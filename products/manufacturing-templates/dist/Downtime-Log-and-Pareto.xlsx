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w to use" sheetId="1" state="visible" r:id="rId3"/>
    <sheet name="Setup" sheetId="2" state="visible" r:id="rId4"/>
    <sheet name="Downtime Log" sheetId="3" state="visible" r:id="rId5"/>
    <sheet name="Pareto" sheetId="4" state="visible" r:id="rId6"/>
    <sheet name="By Mach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<sst xmlns="http://schemas.openxmlformats.org/spreadsheetml/2006/main" count="119" uniqueCount="86">
  <si>
    <t xml:space="preserve">Downtime Log &amp; Pareto</t>
  </si>
  <si>
    <t xml:space="preserve">Version 1.0</t>
  </si>
  <si>
    <t xml:space="preserve">What this does</t>
  </si>
  <si>
    <t xml:space="preserve">Record every stop with a reason. The Pareto sheet ranks reasons by minutes lost so you can see the few causes behind most of your downtime, for any date range and any machine.</t>
  </si>
  <si>
    <t xml:space="preserve">Colour key</t>
  </si>
  <si>
    <t xml:space="preserve">Yellow cells are for you to fill in.</t>
  </si>
  <si>
    <t xml:space="preserve">Grey cells are calculated. Don't type over them.</t>
  </si>
  <si>
    <t xml:space="preserve">Steps</t>
  </si>
  <si>
    <t xml:space="preserve">1. Setup: list your machines, and edit the reason list to match how your plant talks about stops. Each reason has a category (Breakdown, Material, and so on) that you can also rename.</t>
  </si>
  <si>
    <t xml:space="preserve">2. Downtime Log: one row per stop. Enter start and end times, or type the minutes directly if you only know the duration. Stops that cross midnight are handled automatically.</t>
  </si>
  <si>
    <t xml:space="preserve">3. Pareto: choose a date range and, optionally, one machine. Reasons are ranked automatically, with the cumulative percentage and a chart.</t>
  </si>
  <si>
    <t xml:space="preserve">4. By Machine: total downtime and stop counts per machine for the same date range.</t>
  </si>
  <si>
    <t xml:space="preserve">5. The rows marked EXAMPLE show the expected format. Before you start, select their yellow cells and press Delete. Don't delete whole rows.</t>
  </si>
  <si>
    <t xml:space="preserve">Tips</t>
  </si>
  <si>
    <t xml:space="preserve">Keep the reason list short (10-15 reasons). If 'Other' becomes one of your top reasons, read its notes and add the missing reason.</t>
  </si>
  <si>
    <t xml:space="preserve">Pick reasons from the drop-down so spelling stays consistent. A typed reason that isn't on the Setup list shows 'Not in Setup'; its minutes are counted as Unclassified on the Pareto sheet until you fix it.</t>
  </si>
  <si>
    <t xml:space="preserve">The Check column on the log should say OK. A stop counts when its duration is more than 0 minutes. Rows without a date, or with minutes that aren't a number of 0 or more, are left out of the totals.</t>
  </si>
  <si>
    <t xml:space="preserve">Setup</t>
  </si>
  <si>
    <t xml:space="preserve">Machines and downtime reasons used by the drop-downs.</t>
  </si>
  <si>
    <t xml:space="preserve">Machine</t>
  </si>
  <si>
    <t xml:space="preserve">Check</t>
  </si>
  <si>
    <t xml:space="preserve">Downtime reason</t>
  </si>
  <si>
    <t xml:space="preserve">Category</t>
  </si>
  <si>
    <t xml:space="preserve">Press 01</t>
  </si>
  <si>
    <t xml:space="preserve">Mechanical breakdown</t>
  </si>
  <si>
    <t xml:space="preserve">Breakdown</t>
  </si>
  <si>
    <t xml:space="preserve">CNC Lathe 02</t>
  </si>
  <si>
    <t xml:space="preserve">Electrical / controls fault</t>
  </si>
  <si>
    <t xml:space="preserve">Packaging Line A</t>
  </si>
  <si>
    <t xml:space="preserve">Tooling failure</t>
  </si>
  <si>
    <t xml:space="preserve">Changeover / setup</t>
  </si>
  <si>
    <t xml:space="preserve">Setup &amp; adjustment</t>
  </si>
  <si>
    <t xml:space="preserve">Adjustment / tuning</t>
  </si>
  <si>
    <t xml:space="preserve">Waiting for material</t>
  </si>
  <si>
    <t xml:space="preserve">Material</t>
  </si>
  <si>
    <t xml:space="preserve">Waiting for upstream process</t>
  </si>
  <si>
    <t xml:space="preserve">Quality hold / inspection</t>
  </si>
  <si>
    <t xml:space="preserve">Quality</t>
  </si>
  <si>
    <t xml:space="preserve">No operator available</t>
  </si>
  <si>
    <t xml:space="preserve">Labor</t>
  </si>
  <si>
    <t xml:space="preserve">Planned maintenance</t>
  </si>
  <si>
    <t xml:space="preserve">Planned</t>
  </si>
  <si>
    <t xml:space="preserve">Meeting / training</t>
  </si>
  <si>
    <t xml:space="preserve">Other (describe in notes)</t>
  </si>
  <si>
    <t xml:space="preserve">Other</t>
  </si>
  <si>
    <t xml:space="preserve">Downtime Log</t>
  </si>
  <si>
    <t xml:space="preserve">One row per stop. Use start/end times, or type minutes if you only know the duration.</t>
  </si>
  <si>
    <t xml:space="preserve">Date</t>
  </si>
  <si>
    <t xml:space="preserve">Shift</t>
  </si>
  <si>
    <t xml:space="preserve">Start
(hh:mm)</t>
  </si>
  <si>
    <t xml:space="preserve">End
(hh:mm)</t>
  </si>
  <si>
    <t xml:space="preserve">Minutes (if no
start/end)</t>
  </si>
  <si>
    <t xml:space="preserve">Duration
(min)</t>
  </si>
  <si>
    <t xml:space="preserve">Reason</t>
  </si>
  <si>
    <t xml:space="preserve">Notes</t>
  </si>
  <si>
    <t xml:space="preserve">Day</t>
  </si>
  <si>
    <t xml:space="preserve">EXAMPLE - Die change</t>
  </si>
  <si>
    <t xml:space="preserve">EXAMPLE</t>
  </si>
  <si>
    <t xml:space="preserve">EXAMPLE - Insert broke</t>
  </si>
  <si>
    <t xml:space="preserve">Night</t>
  </si>
  <si>
    <t xml:space="preserve">EXAMPLE - Conveyor jam, crossed midnight</t>
  </si>
  <si>
    <t xml:space="preserve">EXAMPLE - Minutes typed directly</t>
  </si>
  <si>
    <t xml:space="preserve">Downtime Pareto</t>
  </si>
  <si>
    <t xml:space="preserve">Reasons ranked by minutes lost. Leave filters blank to include everything.</t>
  </si>
  <si>
    <t xml:space="preserve">From date</t>
  </si>
  <si>
    <t xml:space="preserve">To date</t>
  </si>
  <si>
    <t xml:space="preserve">Machine (blank = all)</t>
  </si>
  <si>
    <t xml:space="preserve">Total downtime (min)</t>
  </si>
  <si>
    <t xml:space="preserve">Unclassified (min)</t>
  </si>
  <si>
    <t xml:space="preserve">Reason blank or not on Setup. Check the log.</t>
  </si>
  <si>
    <t xml:space="preserve">Rank</t>
  </si>
  <si>
    <t xml:space="preserve">Minutes</t>
  </si>
  <si>
    <t xml:space="preserve">Stops</t>
  </si>
  <si>
    <t xml:space="preserve">% of total</t>
  </si>
  <si>
    <t xml:space="preserve">Cumulative %</t>
  </si>
  <si>
    <t xml:space="preserve">Helper: reason</t>
  </si>
  <si>
    <t xml:space="preserve">Helper: minutes</t>
  </si>
  <si>
    <t xml:space="preserve">Helper: stops</t>
  </si>
  <si>
    <t xml:space="preserve">Helper: sort key</t>
  </si>
  <si>
    <t xml:space="preserve">Downtime by Machine</t>
  </si>
  <si>
    <t xml:space="preserve">Uses the date range set on the Pareto sheet (machine filter is ignored here). A stop is any row with more than 0 minutes.</t>
  </si>
  <si>
    <t xml:space="preserve">Downtime (min)</t>
  </si>
  <si>
    <t xml:space="preserve">Avg min per stop</t>
  </si>
  <si>
    <t xml:space="preserve">% of all downtime</t>
  </si>
  <si>
    <t xml:space="preserve">No machine / not in Setup</t>
  </si>
  <si>
    <t xml:space="preserve">All logged downtime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</si>
</sst>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hh:mm"/>
    <numFmt numFmtId="167" formatCode="0"/>
    <numFmt numFmtId="168" formatCode="#,##0"/>
    <numFmt numFmtId="169" formatCode="0.0%"/>
    <numFmt numFmtId="170" formatCode="0%"/>
    <numFmt numFmtId="171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by reason (top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Pareto!C8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Pareto!$B$9:$B$20</c:f>
              <c:strCache>
                <c:ptCount val="12"/>
                <c:pt idx="0">
                  <c:v>Mechanical breakdown</c:v>
                </c:pt>
                <c:pt idx="1">
                  <c:v>Changeover / setup</c:v>
                </c:pt>
                <c:pt idx="2">
                  <c:v>Tooling failure</c:v>
                </c:pt>
                <c:pt idx="3">
                  <c:v>Waiting for material</c:v>
                </c:pt>
                <c:pt idx="4">
                  <c:v>Quality hold / inspection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Pareto!$C$9:$C$20</c:f>
              <c:numCache>
                <c:formatCode>#,##0</c:formatCode>
                <c:ptCount val="12"/>
                <c:pt idx="0">
                  <c:v>100</c:v>
                </c:pt>
                <c:pt idx="1">
                  <c:v>65</c:v>
                </c:pt>
                <c:pt idx="2">
                  <c:v>60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</c:ser>
        <c:gapWidth val="150"/>
        <c:overlap val="0"/>
        <c:axId val="7198020"/>
        <c:axId val="6383468"/>
      </c:barChart>
      <c:lineChart>
        <c:grouping val="standard"/>
        <c:varyColors val="0"/>
        <c:ser>
          <c:idx val="1"/>
          <c:order val="1"/>
          <c:tx>
            <c:strRef>
              <c:f>Pareto!F8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Pareto!$B$9:$B$20</c:f>
              <c:strCache>
                <c:ptCount val="12"/>
                <c:pt idx="0">
                  <c:v>Mechanical breakdown</c:v>
                </c:pt>
                <c:pt idx="1">
                  <c:v>Changeover / setup</c:v>
                </c:pt>
                <c:pt idx="2">
                  <c:v>Tooling failure</c:v>
                </c:pt>
                <c:pt idx="3">
                  <c:v>Waiting for material</c:v>
                </c:pt>
                <c:pt idx="4">
                  <c:v>Quality hold / inspection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Pareto!$F$9:$F$20</c:f>
              <c:numCache>
                <c:formatCode>0.0%</c:formatCode>
                <c:ptCount val="12"/>
                <c:pt idx="0">
                  <c:v>0.392156862745098</c:v>
                </c:pt>
                <c:pt idx="1">
                  <c:v>0.647058823529412</c:v>
                </c:pt>
                <c:pt idx="2">
                  <c:v>0.882352941176471</c:v>
                </c:pt>
                <c:pt idx="3">
                  <c:v>0.941176470588235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506310"/>
        <c:axId val="68067979"/>
      </c:lineChart>
      <c:catAx>
        <c:axId val="7198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3468"/>
        <c:crosses val="autoZero"/>
        <c:auto val="1"/>
        <c:lblAlgn val="ctr"/>
        <c:lblOffset val="100"/>
        <c:noMultiLvlLbl val="0"/>
      </c:catAx>
      <c:valAx>
        <c:axId val="6383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8020"/>
        <c:crosses val="autoZero"/>
        <c:crossBetween val="between"/>
      </c:valAx>
      <c:catAx>
        <c:axId val="6250631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67979"/>
        <c:crosses val="autoZero"/>
        <c:auto val="1"/>
        <c:lblAlgn val="ctr"/>
        <c:lblOffset val="100"/>
        <c:noMultiLvlLbl val="0"/>
      </c:catAx>
      <c:valAx>
        <c:axId val="6806797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0631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23</xdr:col>
      <xdr:colOff>261720</xdr:colOff>
      <xdr:row>17</xdr:row>
      <xdr:rowOff>112680</xdr:rowOff>
    </xdr:to>
    <xdr:graphicFrame>
      <xdr:nvGraphicFramePr>
        <xdr:cNvPr id="0" name="Chart 1"/>
        <xdr:cNvGraphicFramePr/>
      </xdr:nvGraphicFramePr>
      <xdr:xfrm>
        <a:off x="751896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3" t="s">
        <v>7</v>
      </c>
    </row>
    <row r="13" customFormat="false" ht="23.85" hidden="false" customHeight="false" outlineLevel="0" collapsed="false">
      <c r="B13" s="4" t="s">
        <v>8</v>
      </c>
    </row>
    <row r="14" customFormat="false" ht="23.85" hidden="false" customHeight="false" outlineLevel="0" collapsed="false">
      <c r="B14" s="4" t="s">
        <v>9</v>
      </c>
    </row>
    <row r="15" customFormat="false" ht="23.8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23.8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3" t="s">
        <v>13</v>
      </c>
    </row>
    <row r="20" customFormat="false" ht="23.85" hidden="false" customHeight="false" outlineLevel="0" collapsed="false">
      <c r="B20" s="4" t="s">
        <v>14</v>
      </c>
    </row>
    <row r="21" customFormat="false" ht="23.85" hidden="false" customHeight="false" outlineLevel="0" collapsed="false">
      <c r="B21" s="4" t="s">
        <v>15</v>
      </c>
    </row>
    <row r="22" customFormat="false" ht="23.85" hidden="false" customHeight="false" outlineLevel="0" collapsed="false">
      <c r="B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31.5" hidden="false" customHeight="true" outlineLevel="0" collapsed="false">
      <c r="A4" s="7" t="s">
        <v>19</v>
      </c>
      <c r="B4" s="7" t="s">
        <v>20</v>
      </c>
      <c r="C4" s="8"/>
      <c r="D4" s="7" t="s">
        <v>21</v>
      </c>
      <c r="E4" s="7" t="s">
        <v>22</v>
      </c>
      <c r="F4" s="7" t="s">
        <v>20</v>
      </c>
    </row>
    <row r="5" customFormat="false" ht="15" hidden="false" customHeight="false" outlineLevel="0" collapsed="false">
      <c r="A5" s="9" t="s">
        <v>23</v>
      </c>
      <c r="B5" s="10" t="str">
        <f aca="false">IF(A5="","",IF(SUMPRODUCT(--($A$5:A5=A5))&gt;1,"Duplicate: only the first row is used",""))</f>
        <v/>
      </c>
      <c r="D5" s="9" t="s">
        <v>24</v>
      </c>
      <c r="E5" s="9" t="s">
        <v>25</v>
      </c>
      <c r="F5" s="10" t="str">
        <f aca="false">IF(D5="","",IF(SUMPRODUCT(--($D$5:D5=D5))&gt;1,"Duplicate: only the first row is used",""))</f>
        <v/>
      </c>
    </row>
    <row r="6" customFormat="false" ht="15" hidden="false" customHeight="false" outlineLevel="0" collapsed="false">
      <c r="A6" s="9" t="s">
        <v>26</v>
      </c>
      <c r="B6" s="10" t="str">
        <f aca="false">IF(A6="","",IF(SUMPRODUCT(--($A$5:A6=A6))&gt;1,"Duplicate: only the first row is used",""))</f>
        <v/>
      </c>
      <c r="D6" s="9" t="s">
        <v>27</v>
      </c>
      <c r="E6" s="9" t="s">
        <v>25</v>
      </c>
      <c r="F6" s="10" t="str">
        <f aca="false">IF(D6="","",IF(SUMPRODUCT(--($D$5:D6=D6))&gt;1,"Duplicate: only the first row is used",""))</f>
        <v/>
      </c>
    </row>
    <row r="7" customFormat="false" ht="15" hidden="false" customHeight="false" outlineLevel="0" collapsed="false">
      <c r="A7" s="9" t="s">
        <v>28</v>
      </c>
      <c r="B7" s="10" t="str">
        <f aca="false">IF(A7="","",IF(SUMPRODUCT(--($A$5:A7=A7))&gt;1,"Duplicate: only the first row is used",""))</f>
        <v/>
      </c>
      <c r="D7" s="9" t="s">
        <v>29</v>
      </c>
      <c r="E7" s="9" t="s">
        <v>25</v>
      </c>
      <c r="F7" s="10" t="str">
        <f aca="false">IF(D7="","",IF(SUMPRODUCT(--($D$5:D7=D7))&gt;1,"Duplicate: only the first row is used",""))</f>
        <v/>
      </c>
    </row>
    <row r="8" customFormat="false" ht="15" hidden="false" customHeight="false" outlineLevel="0" collapsed="false">
      <c r="A8" s="9"/>
      <c r="B8" s="10" t="str">
        <f aca="false">IF(A8="","",IF(SUMPRODUCT(--($A$5:A8=A8))&gt;1,"Duplicate: only the first row is used",""))</f>
        <v/>
      </c>
      <c r="D8" s="9" t="s">
        <v>30</v>
      </c>
      <c r="E8" s="9" t="s">
        <v>31</v>
      </c>
      <c r="F8" s="10" t="str">
        <f aca="false">IF(D8="","",IF(SUMPRODUCT(--($D$5:D8=D8))&gt;1,"Duplicate: only the first row is used",""))</f>
        <v/>
      </c>
    </row>
    <row r="9" customFormat="false" ht="15" hidden="false" customHeight="false" outlineLevel="0" collapsed="false">
      <c r="A9" s="9"/>
      <c r="B9" s="10" t="str">
        <f aca="false">IF(A9="","",IF(SUMPRODUCT(--($A$5:A9=A9))&gt;1,"Duplicate: only the first row is used",""))</f>
        <v/>
      </c>
      <c r="D9" s="9" t="s">
        <v>32</v>
      </c>
      <c r="E9" s="9" t="s">
        <v>31</v>
      </c>
      <c r="F9" s="10" t="str">
        <f aca="false">IF(D9="","",IF(SUMPRODUCT(--($D$5:D9=D9))&gt;1,"Duplicate: only the first row is used",""))</f>
        <v/>
      </c>
    </row>
    <row r="10" customFormat="false" ht="15" hidden="false" customHeight="false" outlineLevel="0" collapsed="false">
      <c r="A10" s="9"/>
      <c r="B10" s="10" t="str">
        <f aca="false">IF(A10="","",IF(SUMPRODUCT(--($A$5:A10=A10))&gt;1,"Duplicate: only the first row is used",""))</f>
        <v/>
      </c>
      <c r="D10" s="9" t="s">
        <v>33</v>
      </c>
      <c r="E10" s="9" t="s">
        <v>34</v>
      </c>
      <c r="F10" s="10" t="str">
        <f aca="false">IF(D10="","",IF(SUMPRODUCT(--($D$5:D10=D10))&gt;1,"Duplicate: only the first row is used",""))</f>
        <v/>
      </c>
    </row>
    <row r="11" customFormat="false" ht="15" hidden="false" customHeight="false" outlineLevel="0" collapsed="false">
      <c r="A11" s="9"/>
      <c r="B11" s="10" t="str">
        <f aca="false">IF(A11="","",IF(SUMPRODUCT(--($A$5:A11=A11))&gt;1,"Duplicate: only the first row is used",""))</f>
        <v/>
      </c>
      <c r="D11" s="9" t="s">
        <v>35</v>
      </c>
      <c r="E11" s="9" t="s">
        <v>34</v>
      </c>
      <c r="F11" s="10" t="str">
        <f aca="false">IF(D11="","",IF(SUMPRODUCT(--($D$5:D11=D11))&gt;1,"Duplicate: only the first row is used",""))</f>
        <v/>
      </c>
    </row>
    <row r="12" customFormat="false" ht="15" hidden="false" customHeight="false" outlineLevel="0" collapsed="false">
      <c r="A12" s="9"/>
      <c r="B12" s="10" t="str">
        <f aca="false">IF(A12="","",IF(SUMPRODUCT(--($A$5:A12=A12))&gt;1,"Duplicate: only the first row is used",""))</f>
        <v/>
      </c>
      <c r="D12" s="9" t="s">
        <v>36</v>
      </c>
      <c r="E12" s="9" t="s">
        <v>37</v>
      </c>
      <c r="F12" s="10" t="str">
        <f aca="false">IF(D12="","",IF(SUMPRODUCT(--($D$5:D12=D12))&gt;1,"Duplicate: only the first row is used",""))</f>
        <v/>
      </c>
    </row>
    <row r="13" customFormat="false" ht="15" hidden="false" customHeight="false" outlineLevel="0" collapsed="false">
      <c r="A13" s="9"/>
      <c r="B13" s="10" t="str">
        <f aca="false">IF(A13="","",IF(SUMPRODUCT(--($A$5:A13=A13))&gt;1,"Duplicate: only the first row is used",""))</f>
        <v/>
      </c>
      <c r="D13" s="9" t="s">
        <v>38</v>
      </c>
      <c r="E13" s="9" t="s">
        <v>39</v>
      </c>
      <c r="F13" s="10" t="str">
        <f aca="false">IF(D13="","",IF(SUMPRODUCT(--($D$5:D13=D13))&gt;1,"Duplicate: only the first row is used",""))</f>
        <v/>
      </c>
    </row>
    <row r="14" customFormat="false" ht="15" hidden="false" customHeight="false" outlineLevel="0" collapsed="false">
      <c r="A14" s="9"/>
      <c r="B14" s="10" t="str">
        <f aca="false">IF(A14="","",IF(SUMPRODUCT(--($A$5:A14=A14))&gt;1,"Duplicate: only the first row is used",""))</f>
        <v/>
      </c>
      <c r="D14" s="9" t="s">
        <v>40</v>
      </c>
      <c r="E14" s="9" t="s">
        <v>41</v>
      </c>
      <c r="F14" s="10" t="str">
        <f aca="false">IF(D14="","",IF(SUMPRODUCT(--($D$5:D14=D14))&gt;1,"Duplicate: only the first row is used",""))</f>
        <v/>
      </c>
    </row>
    <row r="15" customFormat="false" ht="15" hidden="false" customHeight="false" outlineLevel="0" collapsed="false">
      <c r="A15" s="9"/>
      <c r="B15" s="10" t="str">
        <f aca="false">IF(A15="","",IF(SUMPRODUCT(--($A$5:A15=A15))&gt;1,"Duplicate: only the first row is used",""))</f>
        <v/>
      </c>
      <c r="D15" s="9" t="s">
        <v>42</v>
      </c>
      <c r="E15" s="9" t="s">
        <v>41</v>
      </c>
      <c r="F15" s="10" t="str">
        <f aca="false">IF(D15="","",IF(SUMPRODUCT(--($D$5:D15=D15))&gt;1,"Duplicate: only the first row is used",""))</f>
        <v/>
      </c>
    </row>
    <row r="16" customFormat="false" ht="15" hidden="false" customHeight="false" outlineLevel="0" collapsed="false">
      <c r="A16" s="9"/>
      <c r="B16" s="10" t="str">
        <f aca="false">IF(A16="","",IF(SUMPRODUCT(--($A$5:A16=A16))&gt;1,"Duplicate: only the first row is used",""))</f>
        <v/>
      </c>
      <c r="D16" s="9" t="s">
        <v>43</v>
      </c>
      <c r="E16" s="9" t="s">
        <v>44</v>
      </c>
      <c r="F16" s="10" t="str">
        <f aca="false">IF(D16="","",IF(SUMPRODUCT(--($D$5:D16=D16))&gt;1,"Duplicate: only the first row is used",""))</f>
        <v/>
      </c>
    </row>
    <row r="17" customFormat="false" ht="15" hidden="false" customHeight="false" outlineLevel="0" collapsed="false">
      <c r="A17" s="9"/>
      <c r="B17" s="10" t="str">
        <f aca="false">IF(A17="","",IF(SUMPRODUCT(--($A$5:A17=A17))&gt;1,"Duplicate: only the first row is used",""))</f>
        <v/>
      </c>
      <c r="D17" s="9"/>
      <c r="E17" s="9"/>
      <c r="F17" s="10" t="str">
        <f aca="false">IF(D17="","",IF(SUMPRODUCT(--($D$5:D17=D17))&gt;1,"Duplicate: only the first row is used",""))</f>
        <v/>
      </c>
    </row>
    <row r="18" customFormat="false" ht="15" hidden="false" customHeight="false" outlineLevel="0" collapsed="false">
      <c r="A18" s="9"/>
      <c r="B18" s="10" t="str">
        <f aca="false">IF(A18="","",IF(SUMPRODUCT(--($A$5:A18=A18))&gt;1,"Duplicate: only the first row is used",""))</f>
        <v/>
      </c>
      <c r="D18" s="9"/>
      <c r="E18" s="9"/>
      <c r="F18" s="10" t="str">
        <f aca="false">IF(D18="","",IF(SUMPRODUCT(--($D$5:D18=D18))&gt;1,"Duplicate: only the first row is used",""))</f>
        <v/>
      </c>
    </row>
    <row r="19" customFormat="false" ht="15" hidden="false" customHeight="false" outlineLevel="0" collapsed="false">
      <c r="A19" s="9"/>
      <c r="B19" s="10" t="str">
        <f aca="false">IF(A19="","",IF(SUMPRODUCT(--($A$5:A19=A19))&gt;1,"Duplicate: only the first row is used",""))</f>
        <v/>
      </c>
      <c r="D19" s="9"/>
      <c r="E19" s="9"/>
      <c r="F19" s="10" t="str">
        <f aca="false">IF(D19="","",IF(SUMPRODUCT(--($D$5:D19=D19))&gt;1,"Duplicate: only the first row is used",""))</f>
        <v/>
      </c>
    </row>
    <row r="20" customFormat="false" ht="15" hidden="false" customHeight="false" outlineLevel="0" collapsed="false">
      <c r="A20" s="9"/>
      <c r="B20" s="10" t="str">
        <f aca="false">IF(A20="","",IF(SUMPRODUCT(--($A$5:A20=A20))&gt;1,"Duplicate: only the first row is used",""))</f>
        <v/>
      </c>
      <c r="D20" s="9"/>
      <c r="E20" s="9"/>
      <c r="F20" s="10" t="str">
        <f aca="false">IF(D20="","",IF(SUMPRODUCT(--($D$5:D20=D20))&gt;1,"Duplicate: only the first row is used",""))</f>
        <v/>
      </c>
    </row>
    <row r="21" customFormat="false" ht="15" hidden="false" customHeight="false" outlineLevel="0" collapsed="false">
      <c r="A21" s="9"/>
      <c r="B21" s="10" t="str">
        <f aca="false">IF(A21="","",IF(SUMPRODUCT(--($A$5:A21=A21))&gt;1,"Duplicate: only the first row is used",""))</f>
        <v/>
      </c>
      <c r="D21" s="9"/>
      <c r="E21" s="9"/>
      <c r="F21" s="10" t="str">
        <f aca="false">IF(D21="","",IF(SUMPRODUCT(--($D$5:D21=D21))&gt;1,"Duplicate: only the first row is used",""))</f>
        <v/>
      </c>
    </row>
    <row r="22" customFormat="false" ht="15" hidden="false" customHeight="false" outlineLevel="0" collapsed="false">
      <c r="A22" s="9"/>
      <c r="B22" s="10" t="str">
        <f aca="false">IF(A22="","",IF(SUMPRODUCT(--($A$5:A22=A22))&gt;1,"Duplicate: only the first row is used",""))</f>
        <v/>
      </c>
      <c r="D22" s="9"/>
      <c r="E22" s="9"/>
      <c r="F22" s="10" t="str">
        <f aca="false">IF(D22="","",IF(SUMPRODUCT(--($D$5:D22=D22))&gt;1,"Duplicate: only the first row is used",""))</f>
        <v/>
      </c>
    </row>
    <row r="23" customFormat="false" ht="15" hidden="false" customHeight="false" outlineLevel="0" collapsed="false">
      <c r="A23" s="9"/>
      <c r="B23" s="10" t="str">
        <f aca="false">IF(A23="","",IF(SUMPRODUCT(--($A$5:A23=A23))&gt;1,"Duplicate: only the first row is used",""))</f>
        <v/>
      </c>
      <c r="D23" s="9"/>
      <c r="E23" s="9"/>
      <c r="F23" s="10" t="str">
        <f aca="false">IF(D23="","",IF(SUMPRODUCT(--($D$5:D23=D23))&gt;1,"Duplicate: only the first row is used",""))</f>
        <v/>
      </c>
    </row>
    <row r="24" customFormat="false" ht="15" hidden="false" customHeight="false" outlineLevel="0" collapsed="false">
      <c r="A24" s="9"/>
      <c r="B24" s="10" t="str">
        <f aca="false">IF(A24="","",IF(SUMPRODUCT(--($A$5:A24=A24))&gt;1,"Duplicate: only the first row is used",""))</f>
        <v/>
      </c>
      <c r="D24" s="9"/>
      <c r="E24" s="9"/>
      <c r="F24" s="10" t="str">
        <f aca="false">IF(D24="","",IF(SUMPRODUCT(--($D$5:D24=D24))&gt;1,"Duplicate: only the first row is used",""))</f>
        <v/>
      </c>
    </row>
    <row r="25" customFormat="false" ht="15" hidden="false" customHeight="false" outlineLevel="0" collapsed="false">
      <c r="A25" s="9"/>
      <c r="B25" s="10" t="str">
        <f aca="false">IF(A25="","",IF(SUMPRODUCT(--($A$5:A25=A25))&gt;1,"Duplicate: only the first row is used",""))</f>
        <v/>
      </c>
      <c r="D25" s="9"/>
      <c r="E25" s="9"/>
      <c r="F25" s="10" t="str">
        <f aca="false">IF(D25="","",IF(SUMPRODUCT(--($D$5:D25=D25))&gt;1,"Duplicate: only the first row is used",""))</f>
        <v/>
      </c>
    </row>
    <row r="26" customFormat="false" ht="15" hidden="false" customHeight="false" outlineLevel="0" collapsed="false">
      <c r="A26" s="9"/>
      <c r="B26" s="10" t="str">
        <f aca="false">IF(A26="","",IF(SUMPRODUCT(--($A$5:A26=A26))&gt;1,"Duplicate: only the first row is used",""))</f>
        <v/>
      </c>
      <c r="D26" s="9"/>
      <c r="E26" s="9"/>
      <c r="F26" s="10" t="str">
        <f aca="false">IF(D26="","",IF(SUMPRODUCT(--($D$5:D26=D26))&gt;1,"Duplicate: only the first row is used",""))</f>
        <v/>
      </c>
    </row>
    <row r="27" customFormat="false" ht="15" hidden="false" customHeight="false" outlineLevel="0" collapsed="false">
      <c r="A27" s="9"/>
      <c r="B27" s="10" t="str">
        <f aca="false">IF(A27="","",IF(SUMPRODUCT(--($A$5:A27=A27))&gt;1,"Duplicate: only the first row is used",""))</f>
        <v/>
      </c>
      <c r="D27" s="9"/>
      <c r="E27" s="9"/>
      <c r="F27" s="10" t="str">
        <f aca="false">IF(D27="","",IF(SUMPRODUCT(--($D$5:D27=D27))&gt;1,"Duplicate: only the first row is used",""))</f>
        <v/>
      </c>
    </row>
    <row r="28" customFormat="false" ht="15" hidden="false" customHeight="false" outlineLevel="0" collapsed="false">
      <c r="A28" s="9"/>
      <c r="B28" s="10" t="str">
        <f aca="false">IF(A28="","",IF(SUMPRODUCT(--($A$5:A28=A28))&gt;1,"Duplicate: only the first row is used",""))</f>
        <v/>
      </c>
      <c r="D28" s="9"/>
      <c r="E28" s="9"/>
      <c r="F28" s="10" t="str">
        <f aca="false">IF(D28="","",IF(SUMPRODUCT(--($D$5:D28=D28))&gt;1,"Duplicate: only the first row is used",""))</f>
        <v/>
      </c>
    </row>
    <row r="29" customFormat="false" ht="15" hidden="false" customHeight="false" outlineLevel="0" collapsed="false">
      <c r="A29" s="9"/>
      <c r="B29" s="10" t="str">
        <f aca="false">IF(A29="","",IF(SUMPRODUCT(--($A$5:A29=A29))&gt;1,"Duplicate: only the first row is used",""))</f>
        <v/>
      </c>
      <c r="D29" s="9"/>
      <c r="E29" s="9"/>
      <c r="F29" s="10" t="str">
        <f aca="false">IF(D29="","",IF(SUMPRODUCT(--($D$5:D29=D29))&gt;1,"Duplicate: only the first row is used",""))</f>
        <v/>
      </c>
    </row>
    <row r="30" customFormat="false" ht="15" hidden="false" customHeight="false" outlineLevel="0" collapsed="false">
      <c r="A30" s="9"/>
      <c r="B30" s="10" t="str">
        <f aca="false">IF(A30="","",IF(SUMPRODUCT(--($A$5:A30=A30))&gt;1,"Duplicate: only the first row is used",""))</f>
        <v/>
      </c>
      <c r="D30" s="9"/>
      <c r="E30" s="9"/>
      <c r="F30" s="10" t="str">
        <f aca="false">IF(D30="","",IF(SUMPRODUCT(--($D$5:D30=D30))&gt;1,"Duplicate: only the first row is used",""))</f>
        <v/>
      </c>
    </row>
    <row r="31" customFormat="false" ht="15" hidden="false" customHeight="false" outlineLevel="0" collapsed="false">
      <c r="A31" s="9"/>
      <c r="B31" s="10" t="str">
        <f aca="false">IF(A31="","",IF(SUMPRODUCT(--($A$5:A31=A31))&gt;1,"Duplicate: only the first row is used",""))</f>
        <v/>
      </c>
      <c r="D31" s="9"/>
      <c r="E31" s="9"/>
      <c r="F31" s="10" t="str">
        <f aca="false">IF(D31="","",IF(SUMPRODUCT(--($D$5:D31=D31))&gt;1,"Duplicate: only the first row is used",""))</f>
        <v/>
      </c>
    </row>
    <row r="32" customFormat="false" ht="15" hidden="false" customHeight="false" outlineLevel="0" collapsed="false">
      <c r="A32" s="9"/>
      <c r="B32" s="10" t="str">
        <f aca="false">IF(A32="","",IF(SUMPRODUCT(--($A$5:A32=A32))&gt;1,"Duplicate: only the first row is used",""))</f>
        <v/>
      </c>
      <c r="D32" s="9"/>
      <c r="E32" s="9"/>
      <c r="F32" s="10" t="str">
        <f aca="false">IF(D32="","",IF(SUMPRODUCT(--($D$5:D32=D32))&gt;1,"Duplicate: only the first row is used",""))</f>
        <v/>
      </c>
    </row>
    <row r="33" customFormat="false" ht="15" hidden="false" customHeight="false" outlineLevel="0" collapsed="false">
      <c r="A33" s="9"/>
      <c r="B33" s="10" t="str">
        <f aca="false">IF(A33="","",IF(SUMPRODUCT(--($A$5:A33=A33))&gt;1,"Duplicate: only the first row is used",""))</f>
        <v/>
      </c>
      <c r="D33" s="9"/>
      <c r="E33" s="9"/>
      <c r="F33" s="10" t="str">
        <f aca="false">IF(D33="","",IF(SUMPRODUCT(--($D$5:D33=D33))&gt;1,"Duplicate: only the first row is used",""))</f>
        <v/>
      </c>
    </row>
    <row r="34" customFormat="false" ht="15" hidden="false" customHeight="false" outlineLevel="0" collapsed="false">
      <c r="A34" s="9"/>
      <c r="B34" s="10" t="str">
        <f aca="false">IF(A34="","",IF(SUMPRODUCT(--($A$5:A34=A34))&gt;1,"Duplicate: only the first row is used",""))</f>
        <v/>
      </c>
      <c r="D34" s="9"/>
      <c r="E34" s="9"/>
      <c r="F34" s="10" t="str">
        <f aca="false">IF(D34="","",IF(SUMPRODUCT(--($D$5:D34=D34))&gt;1,"Duplicate: only the first row is used",""))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40"/>
    <col collapsed="false" customWidth="true" hidden="false" outlineLevel="0" max="11" min="11" style="0" width="34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1.5" hidden="false" customHeight="true" outlineLevel="0" collapsed="false">
      <c r="A4" s="7" t="s">
        <v>47</v>
      </c>
      <c r="B4" s="7" t="s">
        <v>48</v>
      </c>
      <c r="C4" s="7" t="s">
        <v>19</v>
      </c>
      <c r="D4" s="7" t="s">
        <v>49</v>
      </c>
      <c r="E4" s="7" t="s">
        <v>50</v>
      </c>
      <c r="F4" s="7" t="s">
        <v>51</v>
      </c>
      <c r="G4" s="7" t="s">
        <v>52</v>
      </c>
      <c r="H4" s="7" t="s">
        <v>53</v>
      </c>
      <c r="I4" s="7" t="s">
        <v>22</v>
      </c>
      <c r="J4" s="7" t="s">
        <v>54</v>
      </c>
      <c r="K4" s="7" t="s">
        <v>20</v>
      </c>
    </row>
    <row r="5" customFormat="false" ht="15" hidden="false" customHeight="false" outlineLevel="0" collapsed="false">
      <c r="A5" s="11" t="n">
        <v>46266</v>
      </c>
      <c r="B5" s="9" t="s">
        <v>55</v>
      </c>
      <c r="C5" s="9" t="s">
        <v>23</v>
      </c>
      <c r="D5" s="12" t="n">
        <v>0.302083333333333</v>
      </c>
      <c r="E5" s="12" t="n">
        <v>0.326388888888889</v>
      </c>
      <c r="F5" s="13"/>
      <c r="G5" s="14" t="n">
        <f aca="false">IF(F5&lt;&gt;"",IF(AND(ISNUMBER(F5),N(F5)&gt;=0),F5,""),IF(AND(ISNUMBER(D5),ISNUMBER(E5)),ROUND(MOD(E5-D5,1)*1440,0),""))</f>
        <v>35</v>
      </c>
      <c r="H5" s="9" t="s">
        <v>30</v>
      </c>
      <c r="I5" s="10" t="str">
        <f aca="false">IF(H5="","",IF(SUMPRODUCT(MAX((Setup!$D$5:$D$34=H5)*(35-ROW(Setup!$D$5:$D$34))))=0,"Not in Setup",INDEX(Setup!$E$5:$E$34,31-SUMPRODUCT(MAX((Setup!$D$5:$D$34=H5)*(35-ROW(Setup!$D$5:$D$34)))))))</f>
        <v>Setup &amp; adjustment</v>
      </c>
      <c r="J5" s="9" t="s">
        <v>56</v>
      </c>
      <c r="K5" s="10" t="str">
        <f aca="false">IF(AND(A5="",C5="",D5="",E5="",F5="",H5=""),"",IF(NOT(ISNUMBER(A5)),"Enter a date",IF(AND(F5&lt;&gt;"",OR(NOT(ISNUMBER(F5)),N(F5)&lt;0)),"Minutes must be a number of 0 or more",IF(G5="","Enter start and end times, or minutes",IF(C5="","Pick a machine",IF(SUMPRODUCT(--(Setup!$A$5:$A$34=C5))=0,"Machine not in Setup",IF(H5="","Pick a reason (counted as unclassified)",IF(I5="Not in Setup","Reason not in Setup (counted as unclassified)",IF(N(G5)=0,"0 minutes: not counted as a stop","OK")))))))))</f>
        <v>OK</v>
      </c>
    </row>
    <row r="6" customFormat="false" ht="15" hidden="false" customHeight="false" outlineLevel="0" collapsed="false">
      <c r="A6" s="11" t="n">
        <v>46266</v>
      </c>
      <c r="B6" s="9" t="s">
        <v>55</v>
      </c>
      <c r="C6" s="9" t="s">
        <v>23</v>
      </c>
      <c r="D6" s="12" t="n">
        <v>0.420138888888889</v>
      </c>
      <c r="E6" s="12" t="n">
        <v>0.430555555555556</v>
      </c>
      <c r="F6" s="13"/>
      <c r="G6" s="14" t="n">
        <f aca="false">IF(F6&lt;&gt;"",IF(AND(ISNUMBER(F6),N(F6)&gt;=0),F6,""),IF(AND(ISNUMBER(D6),ISNUMBER(E6)),ROUND(MOD(E6-D6,1)*1440,0),""))</f>
        <v>15</v>
      </c>
      <c r="H6" s="9" t="s">
        <v>33</v>
      </c>
      <c r="I6" s="10" t="str">
        <f aca="false">IF(H6="","",IF(SUMPRODUCT(MAX((Setup!$D$5:$D$34=H6)*(35-ROW(Setup!$D$5:$D$34))))=0,"Not in Setup",INDEX(Setup!$E$5:$E$34,31-SUMPRODUCT(MAX((Setup!$D$5:$D$34=H6)*(35-ROW(Setup!$D$5:$D$34)))))))</f>
        <v>Material</v>
      </c>
      <c r="J6" s="9" t="s">
        <v>57</v>
      </c>
      <c r="K6" s="10" t="str">
        <f aca="false">IF(AND(A6="",C6="",D6="",E6="",F6="",H6=""),"",IF(NOT(ISNUMBER(A6)),"Enter a date",IF(AND(F6&lt;&gt;"",OR(NOT(ISNUMBER(F6)),N(F6)&lt;0)),"Minutes must be a number of 0 or more",IF(G6="","Enter start and end times, or minutes",IF(C6="","Pick a machine",IF(SUMPRODUCT(--(Setup!$A$5:$A$34=C6))=0,"Machine not in Setup",IF(H6="","Pick a reason (counted as unclassified)",IF(I6="Not in Setup","Reason not in Setup (counted as unclassified)",IF(N(G6)=0,"0 minutes: not counted as a stop","OK")))))))))</f>
        <v>OK</v>
      </c>
    </row>
    <row r="7" customFormat="false" ht="15" hidden="false" customHeight="false" outlineLevel="0" collapsed="false">
      <c r="A7" s="11" t="n">
        <v>46266</v>
      </c>
      <c r="B7" s="9" t="s">
        <v>55</v>
      </c>
      <c r="C7" s="9" t="s">
        <v>26</v>
      </c>
      <c r="D7" s="12" t="n">
        <v>0.375</v>
      </c>
      <c r="E7" s="12" t="n">
        <v>0.416666666666667</v>
      </c>
      <c r="F7" s="13"/>
      <c r="G7" s="14" t="n">
        <f aca="false">IF(F7&lt;&gt;"",IF(AND(ISNUMBER(F7),N(F7)&gt;=0),F7,""),IF(AND(ISNUMBER(D7),ISNUMBER(E7)),ROUND(MOD(E7-D7,1)*1440,0),""))</f>
        <v>60</v>
      </c>
      <c r="H7" s="9" t="s">
        <v>29</v>
      </c>
      <c r="I7" s="10" t="str">
        <f aca="false">IF(H7="","",IF(SUMPRODUCT(MAX((Setup!$D$5:$D$34=H7)*(35-ROW(Setup!$D$5:$D$34))))=0,"Not in Setup",INDEX(Setup!$E$5:$E$34,31-SUMPRODUCT(MAX((Setup!$D$5:$D$34=H7)*(35-ROW(Setup!$D$5:$D$34)))))))</f>
        <v>Breakdown</v>
      </c>
      <c r="J7" s="9" t="s">
        <v>58</v>
      </c>
      <c r="K7" s="10" t="str">
        <f aca="false">IF(AND(A7="",C7="",D7="",E7="",F7="",H7=""),"",IF(NOT(ISNUMBER(A7)),"Enter a date",IF(AND(F7&lt;&gt;"",OR(NOT(ISNUMBER(F7)),N(F7)&lt;0)),"Minutes must be a number of 0 or more",IF(G7="","Enter start and end times, or minutes",IF(C7="","Pick a machine",IF(SUMPRODUCT(--(Setup!$A$5:$A$34=C7))=0,"Machine not in Setup",IF(H7="","Pick a reason (counted as unclassified)",IF(I7="Not in Setup","Reason not in Setup (counted as unclassified)",IF(N(G7)=0,"0 minutes: not counted as a stop","OK")))))))))</f>
        <v>OK</v>
      </c>
    </row>
    <row r="8" customFormat="false" ht="15" hidden="false" customHeight="false" outlineLevel="0" collapsed="false">
      <c r="A8" s="11" t="n">
        <v>46266</v>
      </c>
      <c r="B8" s="9" t="s">
        <v>59</v>
      </c>
      <c r="C8" s="9" t="s">
        <v>28</v>
      </c>
      <c r="D8" s="12" t="n">
        <v>0.986111111111111</v>
      </c>
      <c r="E8" s="12" t="n">
        <v>0.0173611111111111</v>
      </c>
      <c r="F8" s="13"/>
      <c r="G8" s="14" t="n">
        <f aca="false">IF(F8&lt;&gt;"",IF(AND(ISNUMBER(F8),N(F8)&gt;=0),F8,""),IF(AND(ISNUMBER(D8),ISNUMBER(E8)),ROUND(MOD(E8-D8,1)*1440,0),""))</f>
        <v>45</v>
      </c>
      <c r="H8" s="9" t="s">
        <v>24</v>
      </c>
      <c r="I8" s="10" t="str">
        <f aca="false">IF(H8="","",IF(SUMPRODUCT(MAX((Setup!$D$5:$D$34=H8)*(35-ROW(Setup!$D$5:$D$34))))=0,"Not in Setup",INDEX(Setup!$E$5:$E$34,31-SUMPRODUCT(MAX((Setup!$D$5:$D$34=H8)*(35-ROW(Setup!$D$5:$D$34)))))))</f>
        <v>Breakdown</v>
      </c>
      <c r="J8" s="9" t="s">
        <v>60</v>
      </c>
      <c r="K8" s="10" t="str">
        <f aca="false">IF(AND(A8="",C8="",D8="",E8="",F8="",H8=""),"",IF(NOT(ISNUMBER(A8)),"Enter a date",IF(AND(F8&lt;&gt;"",OR(NOT(ISNUMBER(F8)),N(F8)&lt;0)),"Minutes must be a number of 0 or more",IF(G8="","Enter start and end times, or minutes",IF(C8="","Pick a machine",IF(SUMPRODUCT(--(Setup!$A$5:$A$34=C8))=0,"Machine not in Setup",IF(H8="","Pick a reason (counted as unclassified)",IF(I8="Not in Setup","Reason not in Setup (counted as unclassified)",IF(N(G8)=0,"0 minutes: not counted as a stop","OK")))))))))</f>
        <v>OK</v>
      </c>
    </row>
    <row r="9" customFormat="false" ht="15" hidden="false" customHeight="false" outlineLevel="0" collapsed="false">
      <c r="A9" s="11" t="n">
        <v>46267</v>
      </c>
      <c r="B9" s="9" t="s">
        <v>55</v>
      </c>
      <c r="C9" s="9" t="s">
        <v>23</v>
      </c>
      <c r="D9" s="12"/>
      <c r="E9" s="12"/>
      <c r="F9" s="13" t="n">
        <v>55</v>
      </c>
      <c r="G9" s="14" t="n">
        <f aca="false">IF(F9&lt;&gt;"",IF(AND(ISNUMBER(F9),N(F9)&gt;=0),F9,""),IF(AND(ISNUMBER(D9),ISNUMBER(E9)),ROUND(MOD(E9-D9,1)*1440,0),""))</f>
        <v>55</v>
      </c>
      <c r="H9" s="9" t="s">
        <v>24</v>
      </c>
      <c r="I9" s="10" t="str">
        <f aca="false">IF(H9="","",IF(SUMPRODUCT(MAX((Setup!$D$5:$D$34=H9)*(35-ROW(Setup!$D$5:$D$34))))=0,"Not in Setup",INDEX(Setup!$E$5:$E$34,31-SUMPRODUCT(MAX((Setup!$D$5:$D$34=H9)*(35-ROW(Setup!$D$5:$D$34)))))))</f>
        <v>Breakdown</v>
      </c>
      <c r="J9" s="9" t="s">
        <v>61</v>
      </c>
      <c r="K9" s="10" t="str">
        <f aca="false">IF(AND(A9="",C9="",D9="",E9="",F9="",H9=""),"",IF(NOT(ISNUMBER(A9)),"Enter a date",IF(AND(F9&lt;&gt;"",OR(NOT(ISNUMBER(F9)),N(F9)&lt;0)),"Minutes must be a number of 0 or more",IF(G9="","Enter start and end times, or minutes",IF(C9="","Pick a machine",IF(SUMPRODUCT(--(Setup!$A$5:$A$34=C9))=0,"Machine not in Setup",IF(H9="","Pick a reason (counted as unclassified)",IF(I9="Not in Setup","Reason not in Setup (counted as unclassified)",IF(N(G9)=0,"0 minutes: not counted as a stop","OK")))))))))</f>
        <v>OK</v>
      </c>
    </row>
    <row r="10" customFormat="false" ht="15" hidden="false" customHeight="false" outlineLevel="0" collapsed="false">
      <c r="A10" s="11" t="n">
        <v>46267</v>
      </c>
      <c r="B10" s="9" t="s">
        <v>55</v>
      </c>
      <c r="C10" s="9" t="s">
        <v>28</v>
      </c>
      <c r="D10" s="12" t="n">
        <v>0.541666666666667</v>
      </c>
      <c r="E10" s="12" t="n">
        <v>0.5625</v>
      </c>
      <c r="F10" s="13"/>
      <c r="G10" s="14" t="n">
        <f aca="false">IF(F10&lt;&gt;"",IF(AND(ISNUMBER(F10),N(F10)&gt;=0),F10,""),IF(AND(ISNUMBER(D10),ISNUMBER(E10)),ROUND(MOD(E10-D10,1)*1440,0),""))</f>
        <v>30</v>
      </c>
      <c r="H10" s="9" t="s">
        <v>30</v>
      </c>
      <c r="I10" s="10" t="str">
        <f aca="false">IF(H10="","",IF(SUMPRODUCT(MAX((Setup!$D$5:$D$34=H10)*(35-ROW(Setup!$D$5:$D$34))))=0,"Not in Setup",INDEX(Setup!$E$5:$E$34,31-SUMPRODUCT(MAX((Setup!$D$5:$D$34=H10)*(35-ROW(Setup!$D$5:$D$34)))))))</f>
        <v>Setup &amp; adjustment</v>
      </c>
      <c r="J10" s="9" t="s">
        <v>57</v>
      </c>
      <c r="K10" s="10" t="str">
        <f aca="false">IF(AND(A10="",C10="",D10="",E10="",F10="",H10=""),"",IF(NOT(ISNUMBER(A10)),"Enter a date",IF(AND(F10&lt;&gt;"",OR(NOT(ISNUMBER(F10)),N(F10)&lt;0)),"Minutes must be a number of 0 or more",IF(G10="","Enter start and end times, or minutes",IF(C10="","Pick a machine",IF(SUMPRODUCT(--(Setup!$A$5:$A$34=C10))=0,"Machine not in Setup",IF(H10="","Pick a reason (counted as unclassified)",IF(I10="Not in Setup","Reason not in Setup (counted as unclassified)",IF(N(G10)=0,"0 minutes: not counted as a stop","OK")))))))))</f>
        <v>OK</v>
      </c>
    </row>
    <row r="11" customFormat="false" ht="15" hidden="false" customHeight="false" outlineLevel="0" collapsed="false">
      <c r="A11" s="11" t="n">
        <v>46267</v>
      </c>
      <c r="B11" s="9" t="s">
        <v>55</v>
      </c>
      <c r="C11" s="9" t="s">
        <v>26</v>
      </c>
      <c r="D11" s="12" t="n">
        <v>0.590277777777778</v>
      </c>
      <c r="E11" s="12" t="n">
        <v>0.600694444444444</v>
      </c>
      <c r="F11" s="13"/>
      <c r="G11" s="14" t="n">
        <f aca="false">IF(F11&lt;&gt;"",IF(AND(ISNUMBER(F11),N(F11)&gt;=0),F11,""),IF(AND(ISNUMBER(D11),ISNUMBER(E11)),ROUND(MOD(E11-D11,1)*1440,0),""))</f>
        <v>15</v>
      </c>
      <c r="H11" s="9" t="s">
        <v>36</v>
      </c>
      <c r="I11" s="10" t="str">
        <f aca="false">IF(H11="","",IF(SUMPRODUCT(MAX((Setup!$D$5:$D$34=H11)*(35-ROW(Setup!$D$5:$D$34))))=0,"Not in Setup",INDEX(Setup!$E$5:$E$34,31-SUMPRODUCT(MAX((Setup!$D$5:$D$34=H11)*(35-ROW(Setup!$D$5:$D$34)))))))</f>
        <v>Quality</v>
      </c>
      <c r="J11" s="9" t="s">
        <v>57</v>
      </c>
      <c r="K11" s="10" t="str">
        <f aca="false">IF(AND(A11="",C11="",D11="",E11="",F11="",H11=""),"",IF(NOT(ISNUMBER(A11)),"Enter a date",IF(AND(F11&lt;&gt;"",OR(NOT(ISNUMBER(F11)),N(F11)&lt;0)),"Minutes must be a number of 0 or more",IF(G11="","Enter start and end times, or minutes",IF(C11="","Pick a machine",IF(SUMPRODUCT(--(Setup!$A$5:$A$34=C11))=0,"Machine not in Setup",IF(H11="","Pick a reason (counted as unclassified)",IF(I11="Not in Setup","Reason not in Setup (counted as unclassified)",IF(N(G11)=0,"0 minutes: not counted as a stop","OK")))))))))</f>
        <v>OK</v>
      </c>
    </row>
    <row r="12" customFormat="false" ht="15" hidden="false" customHeight="false" outlineLevel="0" collapsed="false">
      <c r="A12" s="11"/>
      <c r="B12" s="9"/>
      <c r="C12" s="9"/>
      <c r="D12" s="12"/>
      <c r="E12" s="12"/>
      <c r="F12" s="13"/>
      <c r="G12" s="14" t="str">
        <f aca="false">IF(F12&lt;&gt;"",IF(AND(ISNUMBER(F12),N(F12)&gt;=0),F12,""),IF(AND(ISNUMBER(D12),ISNUMBER(E12)),ROUND(MOD(E12-D12,1)*1440,0),""))</f>
        <v/>
      </c>
      <c r="H12" s="9"/>
      <c r="I12" s="10" t="str">
        <f aca="false">IF(H12="","",IF(SUMPRODUCT(MAX((Setup!$D$5:$D$34=H12)*(35-ROW(Setup!$D$5:$D$34))))=0,"Not in Setup",INDEX(Setup!$E$5:$E$34,31-SUMPRODUCT(MAX((Setup!$D$5:$D$34=H12)*(35-ROW(Setup!$D$5:$D$34)))))))</f>
        <v/>
      </c>
      <c r="J12" s="9"/>
      <c r="K12" s="10" t="str">
        <f aca="false">IF(AND(A12="",C12="",D12="",E12="",F12="",H12=""),"",IF(NOT(ISNUMBER(A12)),"Enter a date",IF(AND(F12&lt;&gt;"",OR(NOT(ISNUMBER(F12)),N(F12)&lt;0)),"Minutes must be a number of 0 or more",IF(G12="","Enter start and end times, or minutes",IF(C12="","Pick a machine",IF(SUMPRODUCT(--(Setup!$A$5:$A$34=C12))=0,"Machine not in Setup",IF(H12="","Pick a reason (counted as unclassified)",IF(I12="Not in Setup","Reason not in Setup (counted as unclassified)",IF(N(G12)=0,"0 minutes: not counted as a stop","OK")))))))))</f>
        <v/>
      </c>
    </row>
    <row r="13" customFormat="false" ht="15" hidden="false" customHeight="false" outlineLevel="0" collapsed="false">
      <c r="A13" s="11"/>
      <c r="B13" s="9"/>
      <c r="C13" s="9"/>
      <c r="D13" s="12"/>
      <c r="E13" s="12"/>
      <c r="F13" s="13"/>
      <c r="G13" s="14" t="str">
        <f aca="false">IF(F13&lt;&gt;"",IF(AND(ISNUMBER(F13),N(F13)&gt;=0),F13,""),IF(AND(ISNUMBER(D13),ISNUMBER(E13)),ROUND(MOD(E13-D13,1)*1440,0),""))</f>
        <v/>
      </c>
      <c r="H13" s="9"/>
      <c r="I13" s="10" t="str">
        <f aca="false">IF(H13="","",IF(SUMPRODUCT(MAX((Setup!$D$5:$D$34=H13)*(35-ROW(Setup!$D$5:$D$34))))=0,"Not in Setup",INDEX(Setup!$E$5:$E$34,31-SUMPRODUCT(MAX((Setup!$D$5:$D$34=H13)*(35-ROW(Setup!$D$5:$D$34)))))))</f>
        <v/>
      </c>
      <c r="J13" s="9"/>
      <c r="K13" s="10" t="str">
        <f aca="false">IF(AND(A13="",C13="",D13="",E13="",F13="",H13=""),"",IF(NOT(ISNUMBER(A13)),"Enter a date",IF(AND(F13&lt;&gt;"",OR(NOT(ISNUMBER(F13)),N(F13)&lt;0)),"Minutes must be a number of 0 or more",IF(G13="","Enter start and end times, or minutes",IF(C13="","Pick a machine",IF(SUMPRODUCT(--(Setup!$A$5:$A$34=C13))=0,"Machine not in Setup",IF(H13="","Pick a reason (counted as unclassified)",IF(I13="Not in Setup","Reason not in Setup (counted as unclassified)",IF(N(G13)=0,"0 minutes: not counted as a stop","OK")))))))))</f>
        <v/>
      </c>
    </row>
    <row r="14" customFormat="false" ht="15" hidden="false" customHeight="false" outlineLevel="0" collapsed="false">
      <c r="A14" s="11"/>
      <c r="B14" s="9"/>
      <c r="C14" s="9"/>
      <c r="D14" s="12"/>
      <c r="E14" s="12"/>
      <c r="F14" s="13"/>
      <c r="G14" s="14" t="str">
        <f aca="false">IF(F14&lt;&gt;"",IF(AND(ISNUMBER(F14),N(F14)&gt;=0),F14,""),IF(AND(ISNUMBER(D14),ISNUMBER(E14)),ROUND(MOD(E14-D14,1)*1440,0),""))</f>
        <v/>
      </c>
      <c r="H14" s="9"/>
      <c r="I14" s="10" t="str">
        <f aca="false">IF(H14="","",IF(SUMPRODUCT(MAX((Setup!$D$5:$D$34=H14)*(35-ROW(Setup!$D$5:$D$34))))=0,"Not in Setup",INDEX(Setup!$E$5:$E$34,31-SUMPRODUCT(MAX((Setup!$D$5:$D$34=H14)*(35-ROW(Setup!$D$5:$D$34)))))))</f>
        <v/>
      </c>
      <c r="J14" s="9"/>
      <c r="K14" s="10" t="str">
        <f aca="false">IF(AND(A14="",C14="",D14="",E14="",F14="",H14=""),"",IF(NOT(ISNUMBER(A14)),"Enter a date",IF(AND(F14&lt;&gt;"",OR(NOT(ISNUMBER(F14)),N(F14)&lt;0)),"Minutes must be a number of 0 or more",IF(G14="","Enter start and end times, or minutes",IF(C14="","Pick a machine",IF(SUMPRODUCT(--(Setup!$A$5:$A$34=C14))=0,"Machine not in Setup",IF(H14="","Pick a reason (counted as unclassified)",IF(I14="Not in Setup","Reason not in Setup (counted as unclassified)",IF(N(G14)=0,"0 minutes: not counted as a stop","OK")))))))))</f>
        <v/>
      </c>
    </row>
    <row r="15" customFormat="false" ht="15" hidden="false" customHeight="false" outlineLevel="0" collapsed="false">
      <c r="A15" s="11"/>
      <c r="B15" s="9"/>
      <c r="C15" s="9"/>
      <c r="D15" s="12"/>
      <c r="E15" s="12"/>
      <c r="F15" s="13"/>
      <c r="G15" s="14" t="str">
        <f aca="false">IF(F15&lt;&gt;"",IF(AND(ISNUMBER(F15),N(F15)&gt;=0),F15,""),IF(AND(ISNUMBER(D15),ISNUMBER(E15)),ROUND(MOD(E15-D15,1)*1440,0),""))</f>
        <v/>
      </c>
      <c r="H15" s="9"/>
      <c r="I15" s="10" t="str">
        <f aca="false">IF(H15="","",IF(SUMPRODUCT(MAX((Setup!$D$5:$D$34=H15)*(35-ROW(Setup!$D$5:$D$34))))=0,"Not in Setup",INDEX(Setup!$E$5:$E$34,31-SUMPRODUCT(MAX((Setup!$D$5:$D$34=H15)*(35-ROW(Setup!$D$5:$D$34)))))))</f>
        <v/>
      </c>
      <c r="J15" s="9"/>
      <c r="K15" s="10" t="str">
        <f aca="false">IF(AND(A15="",C15="",D15="",E15="",F15="",H15=""),"",IF(NOT(ISNUMBER(A15)),"Enter a date",IF(AND(F15&lt;&gt;"",OR(NOT(ISNUMBER(F15)),N(F15)&lt;0)),"Minutes must be a number of 0 or more",IF(G15="","Enter start and end times, or minutes",IF(C15="","Pick a machine",IF(SUMPRODUCT(--(Setup!$A$5:$A$34=C15))=0,"Machine not in Setup",IF(H15="","Pick a reason (counted as unclassified)",IF(I15="Not in Setup","Reason not in Setup (counted as unclassified)",IF(N(G15)=0,"0 minutes: not counted as a stop","OK")))))))))</f>
        <v/>
      </c>
    </row>
    <row r="16" customFormat="false" ht="15" hidden="false" customHeight="false" outlineLevel="0" collapsed="false">
      <c r="A16" s="11"/>
      <c r="B16" s="9"/>
      <c r="C16" s="9"/>
      <c r="D16" s="12"/>
      <c r="E16" s="12"/>
      <c r="F16" s="13"/>
      <c r="G16" s="14" t="str">
        <f aca="false">IF(F16&lt;&gt;"",IF(AND(ISNUMBER(F16),N(F16)&gt;=0),F16,""),IF(AND(ISNUMBER(D16),ISNUMBER(E16)),ROUND(MOD(E16-D16,1)*1440,0),""))</f>
        <v/>
      </c>
      <c r="H16" s="9"/>
      <c r="I16" s="10" t="str">
        <f aca="false">IF(H16="","",IF(SUMPRODUCT(MAX((Setup!$D$5:$D$34=H16)*(35-ROW(Setup!$D$5:$D$34))))=0,"Not in Setup",INDEX(Setup!$E$5:$E$34,31-SUMPRODUCT(MAX((Setup!$D$5:$D$34=H16)*(35-ROW(Setup!$D$5:$D$34)))))))</f>
        <v/>
      </c>
      <c r="J16" s="9"/>
      <c r="K16" s="10" t="str">
        <f aca="false">IF(AND(A16="",C16="",D16="",E16="",F16="",H16=""),"",IF(NOT(ISNUMBER(A16)),"Enter a date",IF(AND(F16&lt;&gt;"",OR(NOT(ISNUMBER(F16)),N(F16)&lt;0)),"Minutes must be a number of 0 or more",IF(G16="","Enter start and end times, or minutes",IF(C16="","Pick a machine",IF(SUMPRODUCT(--(Setup!$A$5:$A$34=C16))=0,"Machine not in Setup",IF(H16="","Pick a reason (counted as unclassified)",IF(I16="Not in Setup","Reason not in Setup (counted as unclassified)",IF(N(G16)=0,"0 minutes: not counted as a stop","OK")))))))))</f>
        <v/>
      </c>
    </row>
    <row r="17" customFormat="false" ht="15" hidden="false" customHeight="false" outlineLevel="0" collapsed="false">
      <c r="A17" s="11"/>
      <c r="B17" s="9"/>
      <c r="C17" s="9"/>
      <c r="D17" s="12"/>
      <c r="E17" s="12"/>
      <c r="F17" s="13"/>
      <c r="G17" s="14" t="str">
        <f aca="false">IF(F17&lt;&gt;"",IF(AND(ISNUMBER(F17),N(F17)&gt;=0),F17,""),IF(AND(ISNUMBER(D17),ISNUMBER(E17)),ROUND(MOD(E17-D17,1)*1440,0),""))</f>
        <v/>
      </c>
      <c r="H17" s="9"/>
      <c r="I17" s="10" t="str">
        <f aca="false">IF(H17="","",IF(SUMPRODUCT(MAX((Setup!$D$5:$D$34=H17)*(35-ROW(Setup!$D$5:$D$34))))=0,"Not in Setup",INDEX(Setup!$E$5:$E$34,31-SUMPRODUCT(MAX((Setup!$D$5:$D$34=H17)*(35-ROW(Setup!$D$5:$D$34)))))))</f>
        <v/>
      </c>
      <c r="J17" s="9"/>
      <c r="K17" s="10" t="str">
        <f aca="false">IF(AND(A17="",C17="",D17="",E17="",F17="",H17=""),"",IF(NOT(ISNUMBER(A17)),"Enter a date",IF(AND(F17&lt;&gt;"",OR(NOT(ISNUMBER(F17)),N(F17)&lt;0)),"Minutes must be a number of 0 or more",IF(G17="","Enter start and end times, or minutes",IF(C17="","Pick a machine",IF(SUMPRODUCT(--(Setup!$A$5:$A$34=C17))=0,"Machine not in Setup",IF(H17="","Pick a reason (counted as unclassified)",IF(I17="Not in Setup","Reason not in Setup (counted as unclassified)",IF(N(G17)=0,"0 minutes: not counted as a stop","OK")))))))))</f>
        <v/>
      </c>
    </row>
    <row r="18" customFormat="false" ht="15" hidden="false" customHeight="false" outlineLevel="0" collapsed="false">
      <c r="A18" s="11"/>
      <c r="B18" s="9"/>
      <c r="C18" s="9"/>
      <c r="D18" s="12"/>
      <c r="E18" s="12"/>
      <c r="F18" s="13"/>
      <c r="G18" s="14" t="str">
        <f aca="false">IF(F18&lt;&gt;"",IF(AND(ISNUMBER(F18),N(F18)&gt;=0),F18,""),IF(AND(ISNUMBER(D18),ISNUMBER(E18)),ROUND(MOD(E18-D18,1)*1440,0),""))</f>
        <v/>
      </c>
      <c r="H18" s="9"/>
      <c r="I18" s="10" t="str">
        <f aca="false">IF(H18="","",IF(SUMPRODUCT(MAX((Setup!$D$5:$D$34=H18)*(35-ROW(Setup!$D$5:$D$34))))=0,"Not in Setup",INDEX(Setup!$E$5:$E$34,31-SUMPRODUCT(MAX((Setup!$D$5:$D$34=H18)*(35-ROW(Setup!$D$5:$D$34)))))))</f>
        <v/>
      </c>
      <c r="J18" s="9"/>
      <c r="K18" s="10" t="str">
        <f aca="false">IF(AND(A18="",C18="",D18="",E18="",F18="",H18=""),"",IF(NOT(ISNUMBER(A18)),"Enter a date",IF(AND(F18&lt;&gt;"",OR(NOT(ISNUMBER(F18)),N(F18)&lt;0)),"Minutes must be a number of 0 or more",IF(G18="","Enter start and end times, or minutes",IF(C18="","Pick a machine",IF(SUMPRODUCT(--(Setup!$A$5:$A$34=C18))=0,"Machine not in Setup",IF(H18="","Pick a reason (counted as unclassified)",IF(I18="Not in Setup","Reason not in Setup (counted as unclassified)",IF(N(G18)=0,"0 minutes: not counted as a stop","OK")))))))))</f>
        <v/>
      </c>
    </row>
    <row r="19" customFormat="false" ht="15" hidden="false" customHeight="false" outlineLevel="0" collapsed="false">
      <c r="A19" s="11"/>
      <c r="B19" s="9"/>
      <c r="C19" s="9"/>
      <c r="D19" s="12"/>
      <c r="E19" s="12"/>
      <c r="F19" s="13"/>
      <c r="G19" s="14" t="str">
        <f aca="false">IF(F19&lt;&gt;"",IF(AND(ISNUMBER(F19),N(F19)&gt;=0),F19,""),IF(AND(ISNUMBER(D19),ISNUMBER(E19)),ROUND(MOD(E19-D19,1)*1440,0),""))</f>
        <v/>
      </c>
      <c r="H19" s="9"/>
      <c r="I19" s="10" t="str">
        <f aca="false">IF(H19="","",IF(SUMPRODUCT(MAX((Setup!$D$5:$D$34=H19)*(35-ROW(Setup!$D$5:$D$34))))=0,"Not in Setup",INDEX(Setup!$E$5:$E$34,31-SUMPRODUCT(MAX((Setup!$D$5:$D$34=H19)*(35-ROW(Setup!$D$5:$D$34)))))))</f>
        <v/>
      </c>
      <c r="J19" s="9"/>
      <c r="K19" s="10" t="str">
        <f aca="false">IF(AND(A19="",C19="",D19="",E19="",F19="",H19=""),"",IF(NOT(ISNUMBER(A19)),"Enter a date",IF(AND(F19&lt;&gt;"",OR(NOT(ISNUMBER(F19)),N(F19)&lt;0)),"Minutes must be a number of 0 or more",IF(G19="","Enter start and end times, or minutes",IF(C19="","Pick a machine",IF(SUMPRODUCT(--(Setup!$A$5:$A$34=C19))=0,"Machine not in Setup",IF(H19="","Pick a reason (counted as unclassified)",IF(I19="Not in Setup","Reason not in Setup (counted as unclassified)",IF(N(G19)=0,"0 minutes: not counted as a stop","OK")))))))))</f>
        <v/>
      </c>
    </row>
    <row r="20" customFormat="false" ht="15" hidden="false" customHeight="false" outlineLevel="0" collapsed="false">
      <c r="A20" s="11"/>
      <c r="B20" s="9"/>
      <c r="C20" s="9"/>
      <c r="D20" s="12"/>
      <c r="E20" s="12"/>
      <c r="F20" s="13"/>
      <c r="G20" s="14" t="str">
        <f aca="false">IF(F20&lt;&gt;"",IF(AND(ISNUMBER(F20),N(F20)&gt;=0),F20,""),IF(AND(ISNUMBER(D20),ISNUMBER(E20)),ROUND(MOD(E20-D20,1)*1440,0),""))</f>
        <v/>
      </c>
      <c r="H20" s="9"/>
      <c r="I20" s="10" t="str">
        <f aca="false">IF(H20="","",IF(SUMPRODUCT(MAX((Setup!$D$5:$D$34=H20)*(35-ROW(Setup!$D$5:$D$34))))=0,"Not in Setup",INDEX(Setup!$E$5:$E$34,31-SUMPRODUCT(MAX((Setup!$D$5:$D$34=H20)*(35-ROW(Setup!$D$5:$D$34)))))))</f>
        <v/>
      </c>
      <c r="J20" s="9"/>
      <c r="K20" s="10" t="str">
        <f aca="false">IF(AND(A20="",C20="",D20="",E20="",F20="",H20=""),"",IF(NOT(ISNUMBER(A20)),"Enter a date",IF(AND(F20&lt;&gt;"",OR(NOT(ISNUMBER(F20)),N(F20)&lt;0)),"Minutes must be a number of 0 or more",IF(G20="","Enter start and end times, or minutes",IF(C20="","Pick a machine",IF(SUMPRODUCT(--(Setup!$A$5:$A$34=C20))=0,"Machine not in Setup",IF(H20="","Pick a reason (counted as unclassified)",IF(I20="Not in Setup","Reason not in Setup (counted as unclassified)",IF(N(G20)=0,"0 minutes: not counted as a stop","OK")))))))))</f>
        <v/>
      </c>
    </row>
    <row r="21" customFormat="false" ht="15" hidden="false" customHeight="false" outlineLevel="0" collapsed="false">
      <c r="A21" s="11"/>
      <c r="B21" s="9"/>
      <c r="C21" s="9"/>
      <c r="D21" s="12"/>
      <c r="E21" s="12"/>
      <c r="F21" s="13"/>
      <c r="G21" s="14" t="str">
        <f aca="false">IF(F21&lt;&gt;"",IF(AND(ISNUMBER(F21),N(F21)&gt;=0),F21,""),IF(AND(ISNUMBER(D21),ISNUMBER(E21)),ROUND(MOD(E21-D21,1)*1440,0),""))</f>
        <v/>
      </c>
      <c r="H21" s="9"/>
      <c r="I21" s="10" t="str">
        <f aca="false">IF(H21="","",IF(SUMPRODUCT(MAX((Setup!$D$5:$D$34=H21)*(35-ROW(Setup!$D$5:$D$34))))=0,"Not in Setup",INDEX(Setup!$E$5:$E$34,31-SUMPRODUCT(MAX((Setup!$D$5:$D$34=H21)*(35-ROW(Setup!$D$5:$D$34)))))))</f>
        <v/>
      </c>
      <c r="J21" s="9"/>
      <c r="K21" s="10" t="str">
        <f aca="false">IF(AND(A21="",C21="",D21="",E21="",F21="",H21=""),"",IF(NOT(ISNUMBER(A21)),"Enter a date",IF(AND(F21&lt;&gt;"",OR(NOT(ISNUMBER(F21)),N(F21)&lt;0)),"Minutes must be a number of 0 or more",IF(G21="","Enter start and end times, or minutes",IF(C21="","Pick a machine",IF(SUMPRODUCT(--(Setup!$A$5:$A$34=C21))=0,"Machine not in Setup",IF(H21="","Pick a reason (counted as unclassified)",IF(I21="Not in Setup","Reason not in Setup (counted as unclassified)",IF(N(G21)=0,"0 minutes: not counted as a stop","OK")))))))))</f>
        <v/>
      </c>
    </row>
    <row r="22" customFormat="false" ht="15" hidden="false" customHeight="false" outlineLevel="0" collapsed="false">
      <c r="A22" s="11"/>
      <c r="B22" s="9"/>
      <c r="C22" s="9"/>
      <c r="D22" s="12"/>
      <c r="E22" s="12"/>
      <c r="F22" s="13"/>
      <c r="G22" s="14" t="str">
        <f aca="false">IF(F22&lt;&gt;"",IF(AND(ISNUMBER(F22),N(F22)&gt;=0),F22,""),IF(AND(ISNUMBER(D22),ISNUMBER(E22)),ROUND(MOD(E22-D22,1)*1440,0),""))</f>
        <v/>
      </c>
      <c r="H22" s="9"/>
      <c r="I22" s="10" t="str">
        <f aca="false">IF(H22="","",IF(SUMPRODUCT(MAX((Setup!$D$5:$D$34=H22)*(35-ROW(Setup!$D$5:$D$34))))=0,"Not in Setup",INDEX(Setup!$E$5:$E$34,31-SUMPRODUCT(MAX((Setup!$D$5:$D$34=H22)*(35-ROW(Setup!$D$5:$D$34)))))))</f>
        <v/>
      </c>
      <c r="J22" s="9"/>
      <c r="K22" s="10" t="str">
        <f aca="false">IF(AND(A22="",C22="",D22="",E22="",F22="",H22=""),"",IF(NOT(ISNUMBER(A22)),"Enter a date",IF(AND(F22&lt;&gt;"",OR(NOT(ISNUMBER(F22)),N(F22)&lt;0)),"Minutes must be a number of 0 or more",IF(G22="","Enter start and end times, or minutes",IF(C22="","Pick a machine",IF(SUMPRODUCT(--(Setup!$A$5:$A$34=C22))=0,"Machine not in Setup",IF(H22="","Pick a reason (counted as unclassified)",IF(I22="Not in Setup","Reason not in Setup (counted as unclassified)",IF(N(G22)=0,"0 minutes: not counted as a stop","OK")))))))))</f>
        <v/>
      </c>
    </row>
    <row r="23" customFormat="false" ht="15" hidden="false" customHeight="false" outlineLevel="0" collapsed="false">
      <c r="A23" s="11"/>
      <c r="B23" s="9"/>
      <c r="C23" s="9"/>
      <c r="D23" s="12"/>
      <c r="E23" s="12"/>
      <c r="F23" s="13"/>
      <c r="G23" s="14" t="str">
        <f aca="false">IF(F23&lt;&gt;"",IF(AND(ISNUMBER(F23),N(F23)&gt;=0),F23,""),IF(AND(ISNUMBER(D23),ISNUMBER(E23)),ROUND(MOD(E23-D23,1)*1440,0),""))</f>
        <v/>
      </c>
      <c r="H23" s="9"/>
      <c r="I23" s="10" t="str">
        <f aca="false">IF(H23="","",IF(SUMPRODUCT(MAX((Setup!$D$5:$D$34=H23)*(35-ROW(Setup!$D$5:$D$34))))=0,"Not in Setup",INDEX(Setup!$E$5:$E$34,31-SUMPRODUCT(MAX((Setup!$D$5:$D$34=H23)*(35-ROW(Setup!$D$5:$D$34)))))))</f>
        <v/>
      </c>
      <c r="J23" s="9"/>
      <c r="K23" s="10" t="str">
        <f aca="false">IF(AND(A23="",C23="",D23="",E23="",F23="",H23=""),"",IF(NOT(ISNUMBER(A23)),"Enter a date",IF(AND(F23&lt;&gt;"",OR(NOT(ISNUMBER(F23)),N(F23)&lt;0)),"Minutes must be a number of 0 or more",IF(G23="","Enter start and end times, or minutes",IF(C23="","Pick a machine",IF(SUMPRODUCT(--(Setup!$A$5:$A$34=C23))=0,"Machine not in Setup",IF(H23="","Pick a reason (counted as unclassified)",IF(I23="Not in Setup","Reason not in Setup (counted as unclassified)",IF(N(G23)=0,"0 minutes: not counted as a stop","OK")))))))))</f>
        <v/>
      </c>
    </row>
    <row r="24" customFormat="false" ht="15" hidden="false" customHeight="false" outlineLevel="0" collapsed="false">
      <c r="A24" s="11"/>
      <c r="B24" s="9"/>
      <c r="C24" s="9"/>
      <c r="D24" s="12"/>
      <c r="E24" s="12"/>
      <c r="F24" s="13"/>
      <c r="G24" s="14" t="str">
        <f aca="false">IF(F24&lt;&gt;"",IF(AND(ISNUMBER(F24),N(F24)&gt;=0),F24,""),IF(AND(ISNUMBER(D24),ISNUMBER(E24)),ROUND(MOD(E24-D24,1)*1440,0),""))</f>
        <v/>
      </c>
      <c r="H24" s="9"/>
      <c r="I24" s="10" t="str">
        <f aca="false">IF(H24="","",IF(SUMPRODUCT(MAX((Setup!$D$5:$D$34=H24)*(35-ROW(Setup!$D$5:$D$34))))=0,"Not in Setup",INDEX(Setup!$E$5:$E$34,31-SUMPRODUCT(MAX((Setup!$D$5:$D$34=H24)*(35-ROW(Setup!$D$5:$D$34)))))))</f>
        <v/>
      </c>
      <c r="J24" s="9"/>
      <c r="K24" s="10" t="str">
        <f aca="false">IF(AND(A24="",C24="",D24="",E24="",F24="",H24=""),"",IF(NOT(ISNUMBER(A24)),"Enter a date",IF(AND(F24&lt;&gt;"",OR(NOT(ISNUMBER(F24)),N(F24)&lt;0)),"Minutes must be a number of 0 or more",IF(G24="","Enter start and end times, or minutes",IF(C24="","Pick a machine",IF(SUMPRODUCT(--(Setup!$A$5:$A$34=C24))=0,"Machine not in Setup",IF(H24="","Pick a reason (counted as unclassified)",IF(I24="Not in Setup","Reason not in Setup (counted as unclassified)",IF(N(G24)=0,"0 minutes: not counted as a stop","OK")))))))))</f>
        <v/>
      </c>
    </row>
    <row r="25" customFormat="false" ht="15" hidden="false" customHeight="false" outlineLevel="0" collapsed="false">
      <c r="A25" s="11"/>
      <c r="B25" s="9"/>
      <c r="C25" s="9"/>
      <c r="D25" s="12"/>
      <c r="E25" s="12"/>
      <c r="F25" s="13"/>
      <c r="G25" s="14" t="str">
        <f aca="false">IF(F25&lt;&gt;"",IF(AND(ISNUMBER(F25),N(F25)&gt;=0),F25,""),IF(AND(ISNUMBER(D25),ISNUMBER(E25)),ROUND(MOD(E25-D25,1)*1440,0),""))</f>
        <v/>
      </c>
      <c r="H25" s="9"/>
      <c r="I25" s="10" t="str">
        <f aca="false">IF(H25="","",IF(SUMPRODUCT(MAX((Setup!$D$5:$D$34=H25)*(35-ROW(Setup!$D$5:$D$34))))=0,"Not in Setup",INDEX(Setup!$E$5:$E$34,31-SUMPRODUCT(MAX((Setup!$D$5:$D$34=H25)*(35-ROW(Setup!$D$5:$D$34)))))))</f>
        <v/>
      </c>
      <c r="J25" s="9"/>
      <c r="K25" s="10" t="str">
        <f aca="false">IF(AND(A25="",C25="",D25="",E25="",F25="",H25=""),"",IF(NOT(ISNUMBER(A25)),"Enter a date",IF(AND(F25&lt;&gt;"",OR(NOT(ISNUMBER(F25)),N(F25)&lt;0)),"Minutes must be a number of 0 or more",IF(G25="","Enter start and end times, or minutes",IF(C25="","Pick a machine",IF(SUMPRODUCT(--(Setup!$A$5:$A$34=C25))=0,"Machine not in Setup",IF(H25="","Pick a reason (counted as unclassified)",IF(I25="Not in Setup","Reason not in Setup (counted as unclassified)",IF(N(G25)=0,"0 minutes: not counted as a stop","OK")))))))))</f>
        <v/>
      </c>
    </row>
    <row r="26" customFormat="false" ht="15" hidden="false" customHeight="false" outlineLevel="0" collapsed="false">
      <c r="A26" s="11"/>
      <c r="B26" s="9"/>
      <c r="C26" s="9"/>
      <c r="D26" s="12"/>
      <c r="E26" s="12"/>
      <c r="F26" s="13"/>
      <c r="G26" s="14" t="str">
        <f aca="false">IF(F26&lt;&gt;"",IF(AND(ISNUMBER(F26),N(F26)&gt;=0),F26,""),IF(AND(ISNUMBER(D26),ISNUMBER(E26)),ROUND(MOD(E26-D26,1)*1440,0),""))</f>
        <v/>
      </c>
      <c r="H26" s="9"/>
      <c r="I26" s="10" t="str">
        <f aca="false">IF(H26="","",IF(SUMPRODUCT(MAX((Setup!$D$5:$D$34=H26)*(35-ROW(Setup!$D$5:$D$34))))=0,"Not in Setup",INDEX(Setup!$E$5:$E$34,31-SUMPRODUCT(MAX((Setup!$D$5:$D$34=H26)*(35-ROW(Setup!$D$5:$D$34)))))))</f>
        <v/>
      </c>
      <c r="J26" s="9"/>
      <c r="K26" s="10" t="str">
        <f aca="false">IF(AND(A26="",C26="",D26="",E26="",F26="",H26=""),"",IF(NOT(ISNUMBER(A26)),"Enter a date",IF(AND(F26&lt;&gt;"",OR(NOT(ISNUMBER(F26)),N(F26)&lt;0)),"Minutes must be a number of 0 or more",IF(G26="","Enter start and end times, or minutes",IF(C26="","Pick a machine",IF(SUMPRODUCT(--(Setup!$A$5:$A$34=C26))=0,"Machine not in Setup",IF(H26="","Pick a reason (counted as unclassified)",IF(I26="Not in Setup","Reason not in Setup (counted as unclassified)",IF(N(G26)=0,"0 minutes: not counted as a stop","OK")))))))))</f>
        <v/>
      </c>
    </row>
    <row r="27" customFormat="false" ht="15" hidden="false" customHeight="false" outlineLevel="0" collapsed="false">
      <c r="A27" s="11"/>
      <c r="B27" s="9"/>
      <c r="C27" s="9"/>
      <c r="D27" s="12"/>
      <c r="E27" s="12"/>
      <c r="F27" s="13"/>
      <c r="G27" s="14" t="str">
        <f aca="false">IF(F27&lt;&gt;"",IF(AND(ISNUMBER(F27),N(F27)&gt;=0),F27,""),IF(AND(ISNUMBER(D27),ISNUMBER(E27)),ROUND(MOD(E27-D27,1)*1440,0),""))</f>
        <v/>
      </c>
      <c r="H27" s="9"/>
      <c r="I27" s="10" t="str">
        <f aca="false">IF(H27="","",IF(SUMPRODUCT(MAX((Setup!$D$5:$D$34=H27)*(35-ROW(Setup!$D$5:$D$34))))=0,"Not in Setup",INDEX(Setup!$E$5:$E$34,31-SUMPRODUCT(MAX((Setup!$D$5:$D$34=H27)*(35-ROW(Setup!$D$5:$D$34)))))))</f>
        <v/>
      </c>
      <c r="J27" s="9"/>
      <c r="K27" s="10" t="str">
        <f aca="false">IF(AND(A27="",C27="",D27="",E27="",F27="",H27=""),"",IF(NOT(ISNUMBER(A27)),"Enter a date",IF(AND(F27&lt;&gt;"",OR(NOT(ISNUMBER(F27)),N(F27)&lt;0)),"Minutes must be a number of 0 or more",IF(G27="","Enter start and end times, or minutes",IF(C27="","Pick a machine",IF(SUMPRODUCT(--(Setup!$A$5:$A$34=C27))=0,"Machine not in Setup",IF(H27="","Pick a reason (counted as unclassified)",IF(I27="Not in Setup","Reason not in Setup (counted as unclassified)",IF(N(G27)=0,"0 minutes: not counted as a stop","OK")))))))))</f>
        <v/>
      </c>
    </row>
    <row r="28" customFormat="false" ht="15" hidden="false" customHeight="false" outlineLevel="0" collapsed="false">
      <c r="A28" s="11"/>
      <c r="B28" s="9"/>
      <c r="C28" s="9"/>
      <c r="D28" s="12"/>
      <c r="E28" s="12"/>
      <c r="F28" s="13"/>
      <c r="G28" s="14" t="str">
        <f aca="false">IF(F28&lt;&gt;"",IF(AND(ISNUMBER(F28),N(F28)&gt;=0),F28,""),IF(AND(ISNUMBER(D28),ISNUMBER(E28)),ROUND(MOD(E28-D28,1)*1440,0),""))</f>
        <v/>
      </c>
      <c r="H28" s="9"/>
      <c r="I28" s="10" t="str">
        <f aca="false">IF(H28="","",IF(SUMPRODUCT(MAX((Setup!$D$5:$D$34=H28)*(35-ROW(Setup!$D$5:$D$34))))=0,"Not in Setup",INDEX(Setup!$E$5:$E$34,31-SUMPRODUCT(MAX((Setup!$D$5:$D$34=H28)*(35-ROW(Setup!$D$5:$D$34)))))))</f>
        <v/>
      </c>
      <c r="J28" s="9"/>
      <c r="K28" s="10" t="str">
        <f aca="false">IF(AND(A28="",C28="",D28="",E28="",F28="",H28=""),"",IF(NOT(ISNUMBER(A28)),"Enter a date",IF(AND(F28&lt;&gt;"",OR(NOT(ISNUMBER(F28)),N(F28)&lt;0)),"Minutes must be a number of 0 or more",IF(G28="","Enter start and end times, or minutes",IF(C28="","Pick a machine",IF(SUMPRODUCT(--(Setup!$A$5:$A$34=C28))=0,"Machine not in Setup",IF(H28="","Pick a reason (counted as unclassified)",IF(I28="Not in Setup","Reason not in Setup (counted as unclassified)",IF(N(G28)=0,"0 minutes: not counted as a stop","OK")))))))))</f>
        <v/>
      </c>
    </row>
    <row r="29" customFormat="false" ht="15" hidden="false" customHeight="false" outlineLevel="0" collapsed="false">
      <c r="A29" s="11"/>
      <c r="B29" s="9"/>
      <c r="C29" s="9"/>
      <c r="D29" s="12"/>
      <c r="E29" s="12"/>
      <c r="F29" s="13"/>
      <c r="G29" s="14" t="str">
        <f aca="false">IF(F29&lt;&gt;"",IF(AND(ISNUMBER(F29),N(F29)&gt;=0),F29,""),IF(AND(ISNUMBER(D29),ISNUMBER(E29)),ROUND(MOD(E29-D29,1)*1440,0),""))</f>
        <v/>
      </c>
      <c r="H29" s="9"/>
      <c r="I29" s="10" t="str">
        <f aca="false">IF(H29="","",IF(SUMPRODUCT(MAX((Setup!$D$5:$D$34=H29)*(35-ROW(Setup!$D$5:$D$34))))=0,"Not in Setup",INDEX(Setup!$E$5:$E$34,31-SUMPRODUCT(MAX((Setup!$D$5:$D$34=H29)*(35-ROW(Setup!$D$5:$D$34)))))))</f>
        <v/>
      </c>
      <c r="J29" s="9"/>
      <c r="K29" s="10" t="str">
        <f aca="false">IF(AND(A29="",C29="",D29="",E29="",F29="",H29=""),"",IF(NOT(ISNUMBER(A29)),"Enter a date",IF(AND(F29&lt;&gt;"",OR(NOT(ISNUMBER(F29)),N(F29)&lt;0)),"Minutes must be a number of 0 or more",IF(G29="","Enter start and end times, or minutes",IF(C29="","Pick a machine",IF(SUMPRODUCT(--(Setup!$A$5:$A$34=C29))=0,"Machine not in Setup",IF(H29="","Pick a reason (counted as unclassified)",IF(I29="Not in Setup","Reason not in Setup (counted as unclassified)",IF(N(G29)=0,"0 minutes: not counted as a stop","OK")))))))))</f>
        <v/>
      </c>
    </row>
    <row r="30" customFormat="false" ht="15" hidden="false" customHeight="false" outlineLevel="0" collapsed="false">
      <c r="A30" s="11"/>
      <c r="B30" s="9"/>
      <c r="C30" s="9"/>
      <c r="D30" s="12"/>
      <c r="E30" s="12"/>
      <c r="F30" s="13"/>
      <c r="G30" s="14" t="str">
        <f aca="false">IF(F30&lt;&gt;"",IF(AND(ISNUMBER(F30),N(F30)&gt;=0),F30,""),IF(AND(ISNUMBER(D30),ISNUMBER(E30)),ROUND(MOD(E30-D30,1)*1440,0),""))</f>
        <v/>
      </c>
      <c r="H30" s="9"/>
      <c r="I30" s="10" t="str">
        <f aca="false">IF(H30="","",IF(SUMPRODUCT(MAX((Setup!$D$5:$D$34=H30)*(35-ROW(Setup!$D$5:$D$34))))=0,"Not in Setup",INDEX(Setup!$E$5:$E$34,31-SUMPRODUCT(MAX((Setup!$D$5:$D$34=H30)*(35-ROW(Setup!$D$5:$D$34)))))))</f>
        <v/>
      </c>
      <c r="J30" s="9"/>
      <c r="K30" s="10" t="str">
        <f aca="false">IF(AND(A30="",C30="",D30="",E30="",F30="",H30=""),"",IF(NOT(ISNUMBER(A30)),"Enter a date",IF(AND(F30&lt;&gt;"",OR(NOT(ISNUMBER(F30)),N(F30)&lt;0)),"Minutes must be a number of 0 or more",IF(G30="","Enter start and end times, or minutes",IF(C30="","Pick a machine",IF(SUMPRODUCT(--(Setup!$A$5:$A$34=C30))=0,"Machine not in Setup",IF(H30="","Pick a reason (counted as unclassified)",IF(I30="Not in Setup","Reason not in Setup (counted as unclassified)",IF(N(G30)=0,"0 minutes: not counted as a stop","OK")))))))))</f>
        <v/>
      </c>
    </row>
    <row r="31" customFormat="false" ht="15" hidden="false" customHeight="false" outlineLevel="0" collapsed="false">
      <c r="A31" s="11"/>
      <c r="B31" s="9"/>
      <c r="C31" s="9"/>
      <c r="D31" s="12"/>
      <c r="E31" s="12"/>
      <c r="F31" s="13"/>
      <c r="G31" s="14" t="str">
        <f aca="false">IF(F31&lt;&gt;"",IF(AND(ISNUMBER(F31),N(F31)&gt;=0),F31,""),IF(AND(ISNUMBER(D31),ISNUMBER(E31)),ROUND(MOD(E31-D31,1)*1440,0),""))</f>
        <v/>
      </c>
      <c r="H31" s="9"/>
      <c r="I31" s="10" t="str">
        <f aca="false">IF(H31="","",IF(SUMPRODUCT(MAX((Setup!$D$5:$D$34=H31)*(35-ROW(Setup!$D$5:$D$34))))=0,"Not in Setup",INDEX(Setup!$E$5:$E$34,31-SUMPRODUCT(MAX((Setup!$D$5:$D$34=H31)*(35-ROW(Setup!$D$5:$D$34)))))))</f>
        <v/>
      </c>
      <c r="J31" s="9"/>
      <c r="K31" s="10" t="str">
        <f aca="false">IF(AND(A31="",C31="",D31="",E31="",F31="",H31=""),"",IF(NOT(ISNUMBER(A31)),"Enter a date",IF(AND(F31&lt;&gt;"",OR(NOT(ISNUMBER(F31)),N(F31)&lt;0)),"Minutes must be a number of 0 or more",IF(G31="","Enter start and end times, or minutes",IF(C31="","Pick a machine",IF(SUMPRODUCT(--(Setup!$A$5:$A$34=C31))=0,"Machine not in Setup",IF(H31="","Pick a reason (counted as unclassified)",IF(I31="Not in Setup","Reason not in Setup (counted as unclassified)",IF(N(G31)=0,"0 minutes: not counted as a stop","OK")))))))))</f>
        <v/>
      </c>
    </row>
    <row r="32" customFormat="false" ht="15" hidden="false" customHeight="false" outlineLevel="0" collapsed="false">
      <c r="A32" s="11"/>
      <c r="B32" s="9"/>
      <c r="C32" s="9"/>
      <c r="D32" s="12"/>
      <c r="E32" s="12"/>
      <c r="F32" s="13"/>
      <c r="G32" s="14" t="str">
        <f aca="false">IF(F32&lt;&gt;"",IF(AND(ISNUMBER(F32),N(F32)&gt;=0),F32,""),IF(AND(ISNUMBER(D32),ISNUMBER(E32)),ROUND(MOD(E32-D32,1)*1440,0),""))</f>
        <v/>
      </c>
      <c r="H32" s="9"/>
      <c r="I32" s="10" t="str">
        <f aca="false">IF(H32="","",IF(SUMPRODUCT(MAX((Setup!$D$5:$D$34=H32)*(35-ROW(Setup!$D$5:$D$34))))=0,"Not in Setup",INDEX(Setup!$E$5:$E$34,31-SUMPRODUCT(MAX((Setup!$D$5:$D$34=H32)*(35-ROW(Setup!$D$5:$D$34)))))))</f>
        <v/>
      </c>
      <c r="J32" s="9"/>
      <c r="K32" s="10" t="str">
        <f aca="false">IF(AND(A32="",C32="",D32="",E32="",F32="",H32=""),"",IF(NOT(ISNUMBER(A32)),"Enter a date",IF(AND(F32&lt;&gt;"",OR(NOT(ISNUMBER(F32)),N(F32)&lt;0)),"Minutes must be a number of 0 or more",IF(G32="","Enter start and end times, or minutes",IF(C32="","Pick a machine",IF(SUMPRODUCT(--(Setup!$A$5:$A$34=C32))=0,"Machine not in Setup",IF(H32="","Pick a reason (counted as unclassified)",IF(I32="Not in Setup","Reason not in Setup (counted as unclassified)",IF(N(G32)=0,"0 minutes: not counted as a stop","OK")))))))))</f>
        <v/>
      </c>
    </row>
    <row r="33" customFormat="false" ht="15" hidden="false" customHeight="false" outlineLevel="0" collapsed="false">
      <c r="A33" s="11"/>
      <c r="B33" s="9"/>
      <c r="C33" s="9"/>
      <c r="D33" s="12"/>
      <c r="E33" s="12"/>
      <c r="F33" s="13"/>
      <c r="G33" s="14" t="str">
        <f aca="false">IF(F33&lt;&gt;"",IF(AND(ISNUMBER(F33),N(F33)&gt;=0),F33,""),IF(AND(ISNUMBER(D33),ISNUMBER(E33)),ROUND(MOD(E33-D33,1)*1440,0),""))</f>
        <v/>
      </c>
      <c r="H33" s="9"/>
      <c r="I33" s="10" t="str">
        <f aca="false">IF(H33="","",IF(SUMPRODUCT(MAX((Setup!$D$5:$D$34=H33)*(35-ROW(Setup!$D$5:$D$34))))=0,"Not in Setup",INDEX(Setup!$E$5:$E$34,31-SUMPRODUCT(MAX((Setup!$D$5:$D$34=H33)*(35-ROW(Setup!$D$5:$D$34)))))))</f>
        <v/>
      </c>
      <c r="J33" s="9"/>
      <c r="K33" s="10" t="str">
        <f aca="false">IF(AND(A33="",C33="",D33="",E33="",F33="",H33=""),"",IF(NOT(ISNUMBER(A33)),"Enter a date",IF(AND(F33&lt;&gt;"",OR(NOT(ISNUMBER(F33)),N(F33)&lt;0)),"Minutes must be a number of 0 or more",IF(G33="","Enter start and end times, or minutes",IF(C33="","Pick a machine",IF(SUMPRODUCT(--(Setup!$A$5:$A$34=C33))=0,"Machine not in Setup",IF(H33="","Pick a reason (counted as unclassified)",IF(I33="Not in Setup","Reason not in Setup (counted as unclassified)",IF(N(G33)=0,"0 minutes: not counted as a stop","OK")))))))))</f>
        <v/>
      </c>
    </row>
    <row r="34" customFormat="false" ht="15" hidden="false" customHeight="false" outlineLevel="0" collapsed="false">
      <c r="A34" s="11"/>
      <c r="B34" s="9"/>
      <c r="C34" s="9"/>
      <c r="D34" s="12"/>
      <c r="E34" s="12"/>
      <c r="F34" s="13"/>
      <c r="G34" s="14" t="str">
        <f aca="false">IF(F34&lt;&gt;"",IF(AND(ISNUMBER(F34),N(F34)&gt;=0),F34,""),IF(AND(ISNUMBER(D34),ISNUMBER(E34)),ROUND(MOD(E34-D34,1)*1440,0),""))</f>
        <v/>
      </c>
      <c r="H34" s="9"/>
      <c r="I34" s="10" t="str">
        <f aca="false">IF(H34="","",IF(SUMPRODUCT(MAX((Setup!$D$5:$D$34=H34)*(35-ROW(Setup!$D$5:$D$34))))=0,"Not in Setup",INDEX(Setup!$E$5:$E$34,31-SUMPRODUCT(MAX((Setup!$D$5:$D$34=H34)*(35-ROW(Setup!$D$5:$D$34)))))))</f>
        <v/>
      </c>
      <c r="J34" s="9"/>
      <c r="K34" s="10" t="str">
        <f aca="false">IF(AND(A34="",C34="",D34="",E34="",F34="",H34=""),"",IF(NOT(ISNUMBER(A34)),"Enter a date",IF(AND(F34&lt;&gt;"",OR(NOT(ISNUMBER(F34)),N(F34)&lt;0)),"Minutes must be a number of 0 or more",IF(G34="","Enter start and end times, or minutes",IF(C34="","Pick a machine",IF(SUMPRODUCT(--(Setup!$A$5:$A$34=C34))=0,"Machine not in Setup",IF(H34="","Pick a reason (counted as unclassified)",IF(I34="Not in Setup","Reason not in Setup (counted as unclassified)",IF(N(G34)=0,"0 minutes: not counted as a stop","OK")))))))))</f>
        <v/>
      </c>
    </row>
    <row r="35" customFormat="false" ht="15" hidden="false" customHeight="false" outlineLevel="0" collapsed="false">
      <c r="A35" s="11"/>
      <c r="B35" s="9"/>
      <c r="C35" s="9"/>
      <c r="D35" s="12"/>
      <c r="E35" s="12"/>
      <c r="F35" s="13"/>
      <c r="G35" s="14" t="str">
        <f aca="false">IF(F35&lt;&gt;"",IF(AND(ISNUMBER(F35),N(F35)&gt;=0),F35,""),IF(AND(ISNUMBER(D35),ISNUMBER(E35)),ROUND(MOD(E35-D35,1)*1440,0),""))</f>
        <v/>
      </c>
      <c r="H35" s="9"/>
      <c r="I35" s="10" t="str">
        <f aca="false">IF(H35="","",IF(SUMPRODUCT(MAX((Setup!$D$5:$D$34=H35)*(35-ROW(Setup!$D$5:$D$34))))=0,"Not in Setup",INDEX(Setup!$E$5:$E$34,31-SUMPRODUCT(MAX((Setup!$D$5:$D$34=H35)*(35-ROW(Setup!$D$5:$D$34)))))))</f>
        <v/>
      </c>
      <c r="J35" s="9"/>
      <c r="K35" s="10" t="str">
        <f aca="false">IF(AND(A35="",C35="",D35="",E35="",F35="",H35=""),"",IF(NOT(ISNUMBER(A35)),"Enter a date",IF(AND(F35&lt;&gt;"",OR(NOT(ISNUMBER(F35)),N(F35)&lt;0)),"Minutes must be a number of 0 or more",IF(G35="","Enter start and end times, or minutes",IF(C35="","Pick a machine",IF(SUMPRODUCT(--(Setup!$A$5:$A$34=C35))=0,"Machine not in Setup",IF(H35="","Pick a reason (counted as unclassified)",IF(I35="Not in Setup","Reason not in Setup (counted as unclassified)",IF(N(G35)=0,"0 minutes: not counted as a stop","OK")))))))))</f>
        <v/>
      </c>
    </row>
    <row r="36" customFormat="false" ht="15" hidden="false" customHeight="false" outlineLevel="0" collapsed="false">
      <c r="A36" s="11"/>
      <c r="B36" s="9"/>
      <c r="C36" s="9"/>
      <c r="D36" s="12"/>
      <c r="E36" s="12"/>
      <c r="F36" s="13"/>
      <c r="G36" s="14" t="str">
        <f aca="false">IF(F36&lt;&gt;"",IF(AND(ISNUMBER(F36),N(F36)&gt;=0),F36,""),IF(AND(ISNUMBER(D36),ISNUMBER(E36)),ROUND(MOD(E36-D36,1)*1440,0),""))</f>
        <v/>
      </c>
      <c r="H36" s="9"/>
      <c r="I36" s="10" t="str">
        <f aca="false">IF(H36="","",IF(SUMPRODUCT(MAX((Setup!$D$5:$D$34=H36)*(35-ROW(Setup!$D$5:$D$34))))=0,"Not in Setup",INDEX(Setup!$E$5:$E$34,31-SUMPRODUCT(MAX((Setup!$D$5:$D$34=H36)*(35-ROW(Setup!$D$5:$D$34)))))))</f>
        <v/>
      </c>
      <c r="J36" s="9"/>
      <c r="K36" s="10" t="str">
        <f aca="false">IF(AND(A36="",C36="",D36="",E36="",F36="",H36=""),"",IF(NOT(ISNUMBER(A36)),"Enter a date",IF(AND(F36&lt;&gt;"",OR(NOT(ISNUMBER(F36)),N(F36)&lt;0)),"Minutes must be a number of 0 or more",IF(G36="","Enter start and end times, or minutes",IF(C36="","Pick a machine",IF(SUMPRODUCT(--(Setup!$A$5:$A$34=C36))=0,"Machine not in Setup",IF(H36="","Pick a reason (counted as unclassified)",IF(I36="Not in Setup","Reason not in Setup (counted as unclassified)",IF(N(G36)=0,"0 minutes: not counted as a stop","OK")))))))))</f>
        <v/>
      </c>
    </row>
    <row r="37" customFormat="false" ht="15" hidden="false" customHeight="false" outlineLevel="0" collapsed="false">
      <c r="A37" s="11"/>
      <c r="B37" s="9"/>
      <c r="C37" s="9"/>
      <c r="D37" s="12"/>
      <c r="E37" s="12"/>
      <c r="F37" s="13"/>
      <c r="G37" s="14" t="str">
        <f aca="false">IF(F37&lt;&gt;"",IF(AND(ISNUMBER(F37),N(F37)&gt;=0),F37,""),IF(AND(ISNUMBER(D37),ISNUMBER(E37)),ROUND(MOD(E37-D37,1)*1440,0),""))</f>
        <v/>
      </c>
      <c r="H37" s="9"/>
      <c r="I37" s="10" t="str">
        <f aca="false">IF(H37="","",IF(SUMPRODUCT(MAX((Setup!$D$5:$D$34=H37)*(35-ROW(Setup!$D$5:$D$34))))=0,"Not in Setup",INDEX(Setup!$E$5:$E$34,31-SUMPRODUCT(MAX((Setup!$D$5:$D$34=H37)*(35-ROW(Setup!$D$5:$D$34)))))))</f>
        <v/>
      </c>
      <c r="J37" s="9"/>
      <c r="K37" s="10" t="str">
        <f aca="false">IF(AND(A37="",C37="",D37="",E37="",F37="",H37=""),"",IF(NOT(ISNUMBER(A37)),"Enter a date",IF(AND(F37&lt;&gt;"",OR(NOT(ISNUMBER(F37)),N(F37)&lt;0)),"Minutes must be a number of 0 or more",IF(G37="","Enter start and end times, or minutes",IF(C37="","Pick a machine",IF(SUMPRODUCT(--(Setup!$A$5:$A$34=C37))=0,"Machine not in Setup",IF(H37="","Pick a reason (counted as unclassified)",IF(I37="Not in Setup","Reason not in Setup (counted as unclassified)",IF(N(G37)=0,"0 minutes: not counted as a stop","OK")))))))))</f>
        <v/>
      </c>
    </row>
    <row r="38" customFormat="false" ht="15" hidden="false" customHeight="false" outlineLevel="0" collapsed="false">
      <c r="A38" s="11"/>
      <c r="B38" s="9"/>
      <c r="C38" s="9"/>
      <c r="D38" s="12"/>
      <c r="E38" s="12"/>
      <c r="F38" s="13"/>
      <c r="G38" s="14" t="str">
        <f aca="false">IF(F38&lt;&gt;"",IF(AND(ISNUMBER(F38),N(F38)&gt;=0),F38,""),IF(AND(ISNUMBER(D38),ISNUMBER(E38)),ROUND(MOD(E38-D38,1)*1440,0),""))</f>
        <v/>
      </c>
      <c r="H38" s="9"/>
      <c r="I38" s="10" t="str">
        <f aca="false">IF(H38="","",IF(SUMPRODUCT(MAX((Setup!$D$5:$D$34=H38)*(35-ROW(Setup!$D$5:$D$34))))=0,"Not in Setup",INDEX(Setup!$E$5:$E$34,31-SUMPRODUCT(MAX((Setup!$D$5:$D$34=H38)*(35-ROW(Setup!$D$5:$D$34)))))))</f>
        <v/>
      </c>
      <c r="J38" s="9"/>
      <c r="K38" s="10" t="str">
        <f aca="false">IF(AND(A38="",C38="",D38="",E38="",F38="",H38=""),"",IF(NOT(ISNUMBER(A38)),"Enter a date",IF(AND(F38&lt;&gt;"",OR(NOT(ISNUMBER(F38)),N(F38)&lt;0)),"Minutes must be a number of 0 or more",IF(G38="","Enter start and end times, or minutes",IF(C38="","Pick a machine",IF(SUMPRODUCT(--(Setup!$A$5:$A$34=C38))=0,"Machine not in Setup",IF(H38="","Pick a reason (counted as unclassified)",IF(I38="Not in Setup","Reason not in Setup (counted as unclassified)",IF(N(G38)=0,"0 minutes: not counted as a stop","OK")))))))))</f>
        <v/>
      </c>
    </row>
    <row r="39" customFormat="false" ht="15" hidden="false" customHeight="false" outlineLevel="0" collapsed="false">
      <c r="A39" s="11"/>
      <c r="B39" s="9"/>
      <c r="C39" s="9"/>
      <c r="D39" s="12"/>
      <c r="E39" s="12"/>
      <c r="F39" s="13"/>
      <c r="G39" s="14" t="str">
        <f aca="false">IF(F39&lt;&gt;"",IF(AND(ISNUMBER(F39),N(F39)&gt;=0),F39,""),IF(AND(ISNUMBER(D39),ISNUMBER(E39)),ROUND(MOD(E39-D39,1)*1440,0),""))</f>
        <v/>
      </c>
      <c r="H39" s="9"/>
      <c r="I39" s="10" t="str">
        <f aca="false">IF(H39="","",IF(SUMPRODUCT(MAX((Setup!$D$5:$D$34=H39)*(35-ROW(Setup!$D$5:$D$34))))=0,"Not in Setup",INDEX(Setup!$E$5:$E$34,31-SUMPRODUCT(MAX((Setup!$D$5:$D$34=H39)*(35-ROW(Setup!$D$5:$D$34)))))))</f>
        <v/>
      </c>
      <c r="J39" s="9"/>
      <c r="K39" s="10" t="str">
        <f aca="false">IF(AND(A39="",C39="",D39="",E39="",F39="",H39=""),"",IF(NOT(ISNUMBER(A39)),"Enter a date",IF(AND(F39&lt;&gt;"",OR(NOT(ISNUMBER(F39)),N(F39)&lt;0)),"Minutes must be a number of 0 or more",IF(G39="","Enter start and end times, or minutes",IF(C39="","Pick a machine",IF(SUMPRODUCT(--(Setup!$A$5:$A$34=C39))=0,"Machine not in Setup",IF(H39="","Pick a reason (counted as unclassified)",IF(I39="Not in Setup","Reason not in Setup (counted as unclassified)",IF(N(G39)=0,"0 minutes: not counted as a stop","OK")))))))))</f>
        <v/>
      </c>
    </row>
    <row r="40" customFormat="false" ht="15" hidden="false" customHeight="false" outlineLevel="0" collapsed="false">
      <c r="A40" s="11"/>
      <c r="B40" s="9"/>
      <c r="C40" s="9"/>
      <c r="D40" s="12"/>
      <c r="E40" s="12"/>
      <c r="F40" s="13"/>
      <c r="G40" s="14" t="str">
        <f aca="false">IF(F40&lt;&gt;"",IF(AND(ISNUMBER(F40),N(F40)&gt;=0),F40,""),IF(AND(ISNUMBER(D40),ISNUMBER(E40)),ROUND(MOD(E40-D40,1)*1440,0),""))</f>
        <v/>
      </c>
      <c r="H40" s="9"/>
      <c r="I40" s="10" t="str">
        <f aca="false">IF(H40="","",IF(SUMPRODUCT(MAX((Setup!$D$5:$D$34=H40)*(35-ROW(Setup!$D$5:$D$34))))=0,"Not in Setup",INDEX(Setup!$E$5:$E$34,31-SUMPRODUCT(MAX((Setup!$D$5:$D$34=H40)*(35-ROW(Setup!$D$5:$D$34)))))))</f>
        <v/>
      </c>
      <c r="J40" s="9"/>
      <c r="K40" s="10" t="str">
        <f aca="false">IF(AND(A40="",C40="",D40="",E40="",F40="",H40=""),"",IF(NOT(ISNUMBER(A40)),"Enter a date",IF(AND(F40&lt;&gt;"",OR(NOT(ISNUMBER(F40)),N(F40)&lt;0)),"Minutes must be a number of 0 or more",IF(G40="","Enter start and end times, or minutes",IF(C40="","Pick a machine",IF(SUMPRODUCT(--(Setup!$A$5:$A$34=C40))=0,"Machine not in Setup",IF(H40="","Pick a reason (counted as unclassified)",IF(I40="Not in Setup","Reason not in Setup (counted as unclassified)",IF(N(G40)=0,"0 minutes: not counted as a stop","OK")))))))))</f>
        <v/>
      </c>
    </row>
    <row r="41" customFormat="false" ht="15" hidden="false" customHeight="false" outlineLevel="0" collapsed="false">
      <c r="A41" s="11"/>
      <c r="B41" s="9"/>
      <c r="C41" s="9"/>
      <c r="D41" s="12"/>
      <c r="E41" s="12"/>
      <c r="F41" s="13"/>
      <c r="G41" s="14" t="str">
        <f aca="false">IF(F41&lt;&gt;"",IF(AND(ISNUMBER(F41),N(F41)&gt;=0),F41,""),IF(AND(ISNUMBER(D41),ISNUMBER(E41)),ROUND(MOD(E41-D41,1)*1440,0),""))</f>
        <v/>
      </c>
      <c r="H41" s="9"/>
      <c r="I41" s="10" t="str">
        <f aca="false">IF(H41="","",IF(SUMPRODUCT(MAX((Setup!$D$5:$D$34=H41)*(35-ROW(Setup!$D$5:$D$34))))=0,"Not in Setup",INDEX(Setup!$E$5:$E$34,31-SUMPRODUCT(MAX((Setup!$D$5:$D$34=H41)*(35-ROW(Setup!$D$5:$D$34)))))))</f>
        <v/>
      </c>
      <c r="J41" s="9"/>
      <c r="K41" s="10" t="str">
        <f aca="false">IF(AND(A41="",C41="",D41="",E41="",F41="",H41=""),"",IF(NOT(ISNUMBER(A41)),"Enter a date",IF(AND(F41&lt;&gt;"",OR(NOT(ISNUMBER(F41)),N(F41)&lt;0)),"Minutes must be a number of 0 or more",IF(G41="","Enter start and end times, or minutes",IF(C41="","Pick a machine",IF(SUMPRODUCT(--(Setup!$A$5:$A$34=C41))=0,"Machine not in Setup",IF(H41="","Pick a reason (counted as unclassified)",IF(I41="Not in Setup","Reason not in Setup (counted as unclassified)",IF(N(G41)=0,"0 minutes: not counted as a stop","OK")))))))))</f>
        <v/>
      </c>
    </row>
    <row r="42" customFormat="false" ht="15" hidden="false" customHeight="false" outlineLevel="0" collapsed="false">
      <c r="A42" s="11"/>
      <c r="B42" s="9"/>
      <c r="C42" s="9"/>
      <c r="D42" s="12"/>
      <c r="E42" s="12"/>
      <c r="F42" s="13"/>
      <c r="G42" s="14" t="str">
        <f aca="false">IF(F42&lt;&gt;"",IF(AND(ISNUMBER(F42),N(F42)&gt;=0),F42,""),IF(AND(ISNUMBER(D42),ISNUMBER(E42)),ROUND(MOD(E42-D42,1)*1440,0),""))</f>
        <v/>
      </c>
      <c r="H42" s="9"/>
      <c r="I42" s="10" t="str">
        <f aca="false">IF(H42="","",IF(SUMPRODUCT(MAX((Setup!$D$5:$D$34=H42)*(35-ROW(Setup!$D$5:$D$34))))=0,"Not in Setup",INDEX(Setup!$E$5:$E$34,31-SUMPRODUCT(MAX((Setup!$D$5:$D$34=H42)*(35-ROW(Setup!$D$5:$D$34)))))))</f>
        <v/>
      </c>
      <c r="J42" s="9"/>
      <c r="K42" s="10" t="str">
        <f aca="false">IF(AND(A42="",C42="",D42="",E42="",F42="",H42=""),"",IF(NOT(ISNUMBER(A42)),"Enter a date",IF(AND(F42&lt;&gt;"",OR(NOT(ISNUMBER(F42)),N(F42)&lt;0)),"Minutes must be a number of 0 or more",IF(G42="","Enter start and end times, or minutes",IF(C42="","Pick a machine",IF(SUMPRODUCT(--(Setup!$A$5:$A$34=C42))=0,"Machine not in Setup",IF(H42="","Pick a reason (counted as unclassified)",IF(I42="Not in Setup","Reason not in Setup (counted as unclassified)",IF(N(G42)=0,"0 minutes: not counted as a stop","OK")))))))))</f>
        <v/>
      </c>
    </row>
    <row r="43" customFormat="false" ht="15" hidden="false" customHeight="false" outlineLevel="0" collapsed="false">
      <c r="A43" s="11"/>
      <c r="B43" s="9"/>
      <c r="C43" s="9"/>
      <c r="D43" s="12"/>
      <c r="E43" s="12"/>
      <c r="F43" s="13"/>
      <c r="G43" s="14" t="str">
        <f aca="false">IF(F43&lt;&gt;"",IF(AND(ISNUMBER(F43),N(F43)&gt;=0),F43,""),IF(AND(ISNUMBER(D43),ISNUMBER(E43)),ROUND(MOD(E43-D43,1)*1440,0),""))</f>
        <v/>
      </c>
      <c r="H43" s="9"/>
      <c r="I43" s="10" t="str">
        <f aca="false">IF(H43="","",IF(SUMPRODUCT(MAX((Setup!$D$5:$D$34=H43)*(35-ROW(Setup!$D$5:$D$34))))=0,"Not in Setup",INDEX(Setup!$E$5:$E$34,31-SUMPRODUCT(MAX((Setup!$D$5:$D$34=H43)*(35-ROW(Setup!$D$5:$D$34)))))))</f>
        <v/>
      </c>
      <c r="J43" s="9"/>
      <c r="K43" s="10" t="str">
        <f aca="false">IF(AND(A43="",C43="",D43="",E43="",F43="",H43=""),"",IF(NOT(ISNUMBER(A43)),"Enter a date",IF(AND(F43&lt;&gt;"",OR(NOT(ISNUMBER(F43)),N(F43)&lt;0)),"Minutes must be a number of 0 or more",IF(G43="","Enter start and end times, or minutes",IF(C43="","Pick a machine",IF(SUMPRODUCT(--(Setup!$A$5:$A$34=C43))=0,"Machine not in Setup",IF(H43="","Pick a reason (counted as unclassified)",IF(I43="Not in Setup","Reason not in Setup (counted as unclassified)",IF(N(G43)=0,"0 minutes: not counted as a stop","OK")))))))))</f>
        <v/>
      </c>
    </row>
    <row r="44" customFormat="false" ht="15" hidden="false" customHeight="false" outlineLevel="0" collapsed="false">
      <c r="A44" s="11"/>
      <c r="B44" s="9"/>
      <c r="C44" s="9"/>
      <c r="D44" s="12"/>
      <c r="E44" s="12"/>
      <c r="F44" s="13"/>
      <c r="G44" s="14" t="str">
        <f aca="false">IF(F44&lt;&gt;"",IF(AND(ISNUMBER(F44),N(F44)&gt;=0),F44,""),IF(AND(ISNUMBER(D44),ISNUMBER(E44)),ROUND(MOD(E44-D44,1)*1440,0),""))</f>
        <v/>
      </c>
      <c r="H44" s="9"/>
      <c r="I44" s="10" t="str">
        <f aca="false">IF(H44="","",IF(SUMPRODUCT(MAX((Setup!$D$5:$D$34=H44)*(35-ROW(Setup!$D$5:$D$34))))=0,"Not in Setup",INDEX(Setup!$E$5:$E$34,31-SUMPRODUCT(MAX((Setup!$D$5:$D$34=H44)*(35-ROW(Setup!$D$5:$D$34)))))))</f>
        <v/>
      </c>
      <c r="J44" s="9"/>
      <c r="K44" s="10" t="str">
        <f aca="false">IF(AND(A44="",C44="",D44="",E44="",F44="",H44=""),"",IF(NOT(ISNUMBER(A44)),"Enter a date",IF(AND(F44&lt;&gt;"",OR(NOT(ISNUMBER(F44)),N(F44)&lt;0)),"Minutes must be a number of 0 or more",IF(G44="","Enter start and end times, or minutes",IF(C44="","Pick a machine",IF(SUMPRODUCT(--(Setup!$A$5:$A$34=C44))=0,"Machine not in Setup",IF(H44="","Pick a reason (counted as unclassified)",IF(I44="Not in Setup","Reason not in Setup (counted as unclassified)",IF(N(G44)=0,"0 minutes: not counted as a stop","OK")))))))))</f>
        <v/>
      </c>
    </row>
    <row r="45" customFormat="false" ht="15" hidden="false" customHeight="false" outlineLevel="0" collapsed="false">
      <c r="A45" s="11"/>
      <c r="B45" s="9"/>
      <c r="C45" s="9"/>
      <c r="D45" s="12"/>
      <c r="E45" s="12"/>
      <c r="F45" s="13"/>
      <c r="G45" s="14" t="str">
        <f aca="false">IF(F45&lt;&gt;"",IF(AND(ISNUMBER(F45),N(F45)&gt;=0),F45,""),IF(AND(ISNUMBER(D45),ISNUMBER(E45)),ROUND(MOD(E45-D45,1)*1440,0),""))</f>
        <v/>
      </c>
      <c r="H45" s="9"/>
      <c r="I45" s="10" t="str">
        <f aca="false">IF(H45="","",IF(SUMPRODUCT(MAX((Setup!$D$5:$D$34=H45)*(35-ROW(Setup!$D$5:$D$34))))=0,"Not in Setup",INDEX(Setup!$E$5:$E$34,31-SUMPRODUCT(MAX((Setup!$D$5:$D$34=H45)*(35-ROW(Setup!$D$5:$D$34)))))))</f>
        <v/>
      </c>
      <c r="J45" s="9"/>
      <c r="K45" s="10" t="str">
        <f aca="false">IF(AND(A45="",C45="",D45="",E45="",F45="",H45=""),"",IF(NOT(ISNUMBER(A45)),"Enter a date",IF(AND(F45&lt;&gt;"",OR(NOT(ISNUMBER(F45)),N(F45)&lt;0)),"Minutes must be a number of 0 or more",IF(G45="","Enter start and end times, or minutes",IF(C45="","Pick a machine",IF(SUMPRODUCT(--(Setup!$A$5:$A$34=C45))=0,"Machine not in Setup",IF(H45="","Pick a reason (counted as unclassified)",IF(I45="Not in Setup","Reason not in Setup (counted as unclassified)",IF(N(G45)=0,"0 minutes: not counted as a stop","OK")))))))))</f>
        <v/>
      </c>
    </row>
    <row r="46" customFormat="false" ht="15" hidden="false" customHeight="false" outlineLevel="0" collapsed="false">
      <c r="A46" s="11"/>
      <c r="B46" s="9"/>
      <c r="C46" s="9"/>
      <c r="D46" s="12"/>
      <c r="E46" s="12"/>
      <c r="F46" s="13"/>
      <c r="G46" s="14" t="str">
        <f aca="false">IF(F46&lt;&gt;"",IF(AND(ISNUMBER(F46),N(F46)&gt;=0),F46,""),IF(AND(ISNUMBER(D46),ISNUMBER(E46)),ROUND(MOD(E46-D46,1)*1440,0),""))</f>
        <v/>
      </c>
      <c r="H46" s="9"/>
      <c r="I46" s="10" t="str">
        <f aca="false">IF(H46="","",IF(SUMPRODUCT(MAX((Setup!$D$5:$D$34=H46)*(35-ROW(Setup!$D$5:$D$34))))=0,"Not in Setup",INDEX(Setup!$E$5:$E$34,31-SUMPRODUCT(MAX((Setup!$D$5:$D$34=H46)*(35-ROW(Setup!$D$5:$D$34)))))))</f>
        <v/>
      </c>
      <c r="J46" s="9"/>
      <c r="K46" s="10" t="str">
        <f aca="false">IF(AND(A46="",C46="",D46="",E46="",F46="",H46=""),"",IF(NOT(ISNUMBER(A46)),"Enter a date",IF(AND(F46&lt;&gt;"",OR(NOT(ISNUMBER(F46)),N(F46)&lt;0)),"Minutes must be a number of 0 or more",IF(G46="","Enter start and end times, or minutes",IF(C46="","Pick a machine",IF(SUMPRODUCT(--(Setup!$A$5:$A$34=C46))=0,"Machine not in Setup",IF(H46="","Pick a reason (counted as unclassified)",IF(I46="Not in Setup","Reason not in Setup (counted as unclassified)",IF(N(G46)=0,"0 minutes: not counted as a stop","OK")))))))))</f>
        <v/>
      </c>
    </row>
    <row r="47" customFormat="false" ht="15" hidden="false" customHeight="false" outlineLevel="0" collapsed="false">
      <c r="A47" s="11"/>
      <c r="B47" s="9"/>
      <c r="C47" s="9"/>
      <c r="D47" s="12"/>
      <c r="E47" s="12"/>
      <c r="F47" s="13"/>
      <c r="G47" s="14" t="str">
        <f aca="false">IF(F47&lt;&gt;"",IF(AND(ISNUMBER(F47),N(F47)&gt;=0),F47,""),IF(AND(ISNUMBER(D47),ISNUMBER(E47)),ROUND(MOD(E47-D47,1)*1440,0),""))</f>
        <v/>
      </c>
      <c r="H47" s="9"/>
      <c r="I47" s="10" t="str">
        <f aca="false">IF(H47="","",IF(SUMPRODUCT(MAX((Setup!$D$5:$D$34=H47)*(35-ROW(Setup!$D$5:$D$34))))=0,"Not in Setup",INDEX(Setup!$E$5:$E$34,31-SUMPRODUCT(MAX((Setup!$D$5:$D$34=H47)*(35-ROW(Setup!$D$5:$D$34)))))))</f>
        <v/>
      </c>
      <c r="J47" s="9"/>
      <c r="K47" s="10" t="str">
        <f aca="false">IF(AND(A47="",C47="",D47="",E47="",F47="",H47=""),"",IF(NOT(ISNUMBER(A47)),"Enter a date",IF(AND(F47&lt;&gt;"",OR(NOT(ISNUMBER(F47)),N(F47)&lt;0)),"Minutes must be a number of 0 or more",IF(G47="","Enter start and end times, or minutes",IF(C47="","Pick a machine",IF(SUMPRODUCT(--(Setup!$A$5:$A$34=C47))=0,"Machine not in Setup",IF(H47="","Pick a reason (counted as unclassified)",IF(I47="Not in Setup","Reason not in Setup (counted as unclassified)",IF(N(G47)=0,"0 minutes: not counted as a stop","OK")))))))))</f>
        <v/>
      </c>
    </row>
    <row r="48" customFormat="false" ht="15" hidden="false" customHeight="false" outlineLevel="0" collapsed="false">
      <c r="A48" s="11"/>
      <c r="B48" s="9"/>
      <c r="C48" s="9"/>
      <c r="D48" s="12"/>
      <c r="E48" s="12"/>
      <c r="F48" s="13"/>
      <c r="G48" s="14" t="str">
        <f aca="false">IF(F48&lt;&gt;"",IF(AND(ISNUMBER(F48),N(F48)&gt;=0),F48,""),IF(AND(ISNUMBER(D48),ISNUMBER(E48)),ROUND(MOD(E48-D48,1)*1440,0),""))</f>
        <v/>
      </c>
      <c r="H48" s="9"/>
      <c r="I48" s="10" t="str">
        <f aca="false">IF(H48="","",IF(SUMPRODUCT(MAX((Setup!$D$5:$D$34=H48)*(35-ROW(Setup!$D$5:$D$34))))=0,"Not in Setup",INDEX(Setup!$E$5:$E$34,31-SUMPRODUCT(MAX((Setup!$D$5:$D$34=H48)*(35-ROW(Setup!$D$5:$D$34)))))))</f>
        <v/>
      </c>
      <c r="J48" s="9"/>
      <c r="K48" s="10" t="str">
        <f aca="false">IF(AND(A48="",C48="",D48="",E48="",F48="",H48=""),"",IF(NOT(ISNUMBER(A48)),"Enter a date",IF(AND(F48&lt;&gt;"",OR(NOT(ISNUMBER(F48)),N(F48)&lt;0)),"Minutes must be a number of 0 or more",IF(G48="","Enter start and end times, or minutes",IF(C48="","Pick a machine",IF(SUMPRODUCT(--(Setup!$A$5:$A$34=C48))=0,"Machine not in Setup",IF(H48="","Pick a reason (counted as unclassified)",IF(I48="Not in Setup","Reason not in Setup (counted as unclassified)",IF(N(G48)=0,"0 minutes: not counted as a stop","OK")))))))))</f>
        <v/>
      </c>
    </row>
    <row r="49" customFormat="false" ht="15" hidden="false" customHeight="false" outlineLevel="0" collapsed="false">
      <c r="A49" s="11"/>
      <c r="B49" s="9"/>
      <c r="C49" s="9"/>
      <c r="D49" s="12"/>
      <c r="E49" s="12"/>
      <c r="F49" s="13"/>
      <c r="G49" s="14" t="str">
        <f aca="false">IF(F49&lt;&gt;"",IF(AND(ISNUMBER(F49),N(F49)&gt;=0),F49,""),IF(AND(ISNUMBER(D49),ISNUMBER(E49)),ROUND(MOD(E49-D49,1)*1440,0),""))</f>
        <v/>
      </c>
      <c r="H49" s="9"/>
      <c r="I49" s="10" t="str">
        <f aca="false">IF(H49="","",IF(SUMPRODUCT(MAX((Setup!$D$5:$D$34=H49)*(35-ROW(Setup!$D$5:$D$34))))=0,"Not in Setup",INDEX(Setup!$E$5:$E$34,31-SUMPRODUCT(MAX((Setup!$D$5:$D$34=H49)*(35-ROW(Setup!$D$5:$D$34)))))))</f>
        <v/>
      </c>
      <c r="J49" s="9"/>
      <c r="K49" s="10" t="str">
        <f aca="false">IF(AND(A49="",C49="",D49="",E49="",F49="",H49=""),"",IF(NOT(ISNUMBER(A49)),"Enter a date",IF(AND(F49&lt;&gt;"",OR(NOT(ISNUMBER(F49)),N(F49)&lt;0)),"Minutes must be a number of 0 or more",IF(G49="","Enter start and end times, or minutes",IF(C49="","Pick a machine",IF(SUMPRODUCT(--(Setup!$A$5:$A$34=C49))=0,"Machine not in Setup",IF(H49="","Pick a reason (counted as unclassified)",IF(I49="Not in Setup","Reason not in Setup (counted as unclassified)",IF(N(G49)=0,"0 minutes: not counted as a stop","OK")))))))))</f>
        <v/>
      </c>
    </row>
    <row r="50" customFormat="false" ht="15" hidden="false" customHeight="false" outlineLevel="0" collapsed="false">
      <c r="A50" s="11"/>
      <c r="B50" s="9"/>
      <c r="C50" s="9"/>
      <c r="D50" s="12"/>
      <c r="E50" s="12"/>
      <c r="F50" s="13"/>
      <c r="G50" s="14" t="str">
        <f aca="false">IF(F50&lt;&gt;"",IF(AND(ISNUMBER(F50),N(F50)&gt;=0),F50,""),IF(AND(ISNUMBER(D50),ISNUMBER(E50)),ROUND(MOD(E50-D50,1)*1440,0),""))</f>
        <v/>
      </c>
      <c r="H50" s="9"/>
      <c r="I50" s="10" t="str">
        <f aca="false">IF(H50="","",IF(SUMPRODUCT(MAX((Setup!$D$5:$D$34=H50)*(35-ROW(Setup!$D$5:$D$34))))=0,"Not in Setup",INDEX(Setup!$E$5:$E$34,31-SUMPRODUCT(MAX((Setup!$D$5:$D$34=H50)*(35-ROW(Setup!$D$5:$D$34)))))))</f>
        <v/>
      </c>
      <c r="J50" s="9"/>
      <c r="K50" s="10" t="str">
        <f aca="false">IF(AND(A50="",C50="",D50="",E50="",F50="",H50=""),"",IF(NOT(ISNUMBER(A50)),"Enter a date",IF(AND(F50&lt;&gt;"",OR(NOT(ISNUMBER(F50)),N(F50)&lt;0)),"Minutes must be a number of 0 or more",IF(G50="","Enter start and end times, or minutes",IF(C50="","Pick a machine",IF(SUMPRODUCT(--(Setup!$A$5:$A$34=C50))=0,"Machine not in Setup",IF(H50="","Pick a reason (counted as unclassified)",IF(I50="Not in Setup","Reason not in Setup (counted as unclassified)",IF(N(G50)=0,"0 minutes: not counted as a stop","OK")))))))))</f>
        <v/>
      </c>
    </row>
    <row r="51" customFormat="false" ht="15" hidden="false" customHeight="false" outlineLevel="0" collapsed="false">
      <c r="A51" s="11"/>
      <c r="B51" s="9"/>
      <c r="C51" s="9"/>
      <c r="D51" s="12"/>
      <c r="E51" s="12"/>
      <c r="F51" s="13"/>
      <c r="G51" s="14" t="str">
        <f aca="false">IF(F51&lt;&gt;"",IF(AND(ISNUMBER(F51),N(F51)&gt;=0),F51,""),IF(AND(ISNUMBER(D51),ISNUMBER(E51)),ROUND(MOD(E51-D51,1)*1440,0),""))</f>
        <v/>
      </c>
      <c r="H51" s="9"/>
      <c r="I51" s="10" t="str">
        <f aca="false">IF(H51="","",IF(SUMPRODUCT(MAX((Setup!$D$5:$D$34=H51)*(35-ROW(Setup!$D$5:$D$34))))=0,"Not in Setup",INDEX(Setup!$E$5:$E$34,31-SUMPRODUCT(MAX((Setup!$D$5:$D$34=H51)*(35-ROW(Setup!$D$5:$D$34)))))))</f>
        <v/>
      </c>
      <c r="J51" s="9"/>
      <c r="K51" s="10" t="str">
        <f aca="false">IF(AND(A51="",C51="",D51="",E51="",F51="",H51=""),"",IF(NOT(ISNUMBER(A51)),"Enter a date",IF(AND(F51&lt;&gt;"",OR(NOT(ISNUMBER(F51)),N(F51)&lt;0)),"Minutes must be a number of 0 or more",IF(G51="","Enter start and end times, or minutes",IF(C51="","Pick a machine",IF(SUMPRODUCT(--(Setup!$A$5:$A$34=C51))=0,"Machine not in Setup",IF(H51="","Pick a reason (counted as unclassified)",IF(I51="Not in Setup","Reason not in Setup (counted as unclassified)",IF(N(G51)=0,"0 minutes: not counted as a stop","OK")))))))))</f>
        <v/>
      </c>
    </row>
    <row r="52" customFormat="false" ht="15" hidden="false" customHeight="false" outlineLevel="0" collapsed="false">
      <c r="A52" s="11"/>
      <c r="B52" s="9"/>
      <c r="C52" s="9"/>
      <c r="D52" s="12"/>
      <c r="E52" s="12"/>
      <c r="F52" s="13"/>
      <c r="G52" s="14" t="str">
        <f aca="false">IF(F52&lt;&gt;"",IF(AND(ISNUMBER(F52),N(F52)&gt;=0),F52,""),IF(AND(ISNUMBER(D52),ISNUMBER(E52)),ROUND(MOD(E52-D52,1)*1440,0),""))</f>
        <v/>
      </c>
      <c r="H52" s="9"/>
      <c r="I52" s="10" t="str">
        <f aca="false">IF(H52="","",IF(SUMPRODUCT(MAX((Setup!$D$5:$D$34=H52)*(35-ROW(Setup!$D$5:$D$34))))=0,"Not in Setup",INDEX(Setup!$E$5:$E$34,31-SUMPRODUCT(MAX((Setup!$D$5:$D$34=H52)*(35-ROW(Setup!$D$5:$D$34)))))))</f>
        <v/>
      </c>
      <c r="J52" s="9"/>
      <c r="K52" s="10" t="str">
        <f aca="false">IF(AND(A52="",C52="",D52="",E52="",F52="",H52=""),"",IF(NOT(ISNUMBER(A52)),"Enter a date",IF(AND(F52&lt;&gt;"",OR(NOT(ISNUMBER(F52)),N(F52)&lt;0)),"Minutes must be a number of 0 or more",IF(G52="","Enter start and end times, or minutes",IF(C52="","Pick a machine",IF(SUMPRODUCT(--(Setup!$A$5:$A$34=C52))=0,"Machine not in Setup",IF(H52="","Pick a reason (counted as unclassified)",IF(I52="Not in Setup","Reason not in Setup (counted as unclassified)",IF(N(G52)=0,"0 minutes: not counted as a stop","OK")))))))))</f>
        <v/>
      </c>
    </row>
    <row r="53" customFormat="false" ht="15" hidden="false" customHeight="false" outlineLevel="0" collapsed="false">
      <c r="A53" s="11"/>
      <c r="B53" s="9"/>
      <c r="C53" s="9"/>
      <c r="D53" s="12"/>
      <c r="E53" s="12"/>
      <c r="F53" s="13"/>
      <c r="G53" s="14" t="str">
        <f aca="false">IF(F53&lt;&gt;"",IF(AND(ISNUMBER(F53),N(F53)&gt;=0),F53,""),IF(AND(ISNUMBER(D53),ISNUMBER(E53)),ROUND(MOD(E53-D53,1)*1440,0),""))</f>
        <v/>
      </c>
      <c r="H53" s="9"/>
      <c r="I53" s="10" t="str">
        <f aca="false">IF(H53="","",IF(SUMPRODUCT(MAX((Setup!$D$5:$D$34=H53)*(35-ROW(Setup!$D$5:$D$34))))=0,"Not in Setup",INDEX(Setup!$E$5:$E$34,31-SUMPRODUCT(MAX((Setup!$D$5:$D$34=H53)*(35-ROW(Setup!$D$5:$D$34)))))))</f>
        <v/>
      </c>
      <c r="J53" s="9"/>
      <c r="K53" s="10" t="str">
        <f aca="false">IF(AND(A53="",C53="",D53="",E53="",F53="",H53=""),"",IF(NOT(ISNUMBER(A53)),"Enter a date",IF(AND(F53&lt;&gt;"",OR(NOT(ISNUMBER(F53)),N(F53)&lt;0)),"Minutes must be a number of 0 or more",IF(G53="","Enter start and end times, or minutes",IF(C53="","Pick a machine",IF(SUMPRODUCT(--(Setup!$A$5:$A$34=C53))=0,"Machine not in Setup",IF(H53="","Pick a reason (counted as unclassified)",IF(I53="Not in Setup","Reason not in Setup (counted as unclassified)",IF(N(G53)=0,"0 minutes: not counted as a stop","OK")))))))))</f>
        <v/>
      </c>
    </row>
    <row r="54" customFormat="false" ht="15" hidden="false" customHeight="false" outlineLevel="0" collapsed="false">
      <c r="A54" s="11"/>
      <c r="B54" s="9"/>
      <c r="C54" s="9"/>
      <c r="D54" s="12"/>
      <c r="E54" s="12"/>
      <c r="F54" s="13"/>
      <c r="G54" s="14" t="str">
        <f aca="false">IF(F54&lt;&gt;"",IF(AND(ISNUMBER(F54),N(F54)&gt;=0),F54,""),IF(AND(ISNUMBER(D54),ISNUMBER(E54)),ROUND(MOD(E54-D54,1)*1440,0),""))</f>
        <v/>
      </c>
      <c r="H54" s="9"/>
      <c r="I54" s="10" t="str">
        <f aca="false">IF(H54="","",IF(SUMPRODUCT(MAX((Setup!$D$5:$D$34=H54)*(35-ROW(Setup!$D$5:$D$34))))=0,"Not in Setup",INDEX(Setup!$E$5:$E$34,31-SUMPRODUCT(MAX((Setup!$D$5:$D$34=H54)*(35-ROW(Setup!$D$5:$D$34)))))))</f>
        <v/>
      </c>
      <c r="J54" s="9"/>
      <c r="K54" s="10" t="str">
        <f aca="false">IF(AND(A54="",C54="",D54="",E54="",F54="",H54=""),"",IF(NOT(ISNUMBER(A54)),"Enter a date",IF(AND(F54&lt;&gt;"",OR(NOT(ISNUMBER(F54)),N(F54)&lt;0)),"Minutes must be a number of 0 or more",IF(G54="","Enter start and end times, or minutes",IF(C54="","Pick a machine",IF(SUMPRODUCT(--(Setup!$A$5:$A$34=C54))=0,"Machine not in Setup",IF(H54="","Pick a reason (counted as unclassified)",IF(I54="Not in Setup","Reason not in Setup (counted as unclassified)",IF(N(G54)=0,"0 minutes: not counted as a stop","OK")))))))))</f>
        <v/>
      </c>
    </row>
    <row r="55" customFormat="false" ht="15" hidden="false" customHeight="false" outlineLevel="0" collapsed="false">
      <c r="A55" s="11"/>
      <c r="B55" s="9"/>
      <c r="C55" s="9"/>
      <c r="D55" s="12"/>
      <c r="E55" s="12"/>
      <c r="F55" s="13"/>
      <c r="G55" s="14" t="str">
        <f aca="false">IF(F55&lt;&gt;"",IF(AND(ISNUMBER(F55),N(F55)&gt;=0),F55,""),IF(AND(ISNUMBER(D55),ISNUMBER(E55)),ROUND(MOD(E55-D55,1)*1440,0),""))</f>
        <v/>
      </c>
      <c r="H55" s="9"/>
      <c r="I55" s="10" t="str">
        <f aca="false">IF(H55="","",IF(SUMPRODUCT(MAX((Setup!$D$5:$D$34=H55)*(35-ROW(Setup!$D$5:$D$34))))=0,"Not in Setup",INDEX(Setup!$E$5:$E$34,31-SUMPRODUCT(MAX((Setup!$D$5:$D$34=H55)*(35-ROW(Setup!$D$5:$D$34)))))))</f>
        <v/>
      </c>
      <c r="J55" s="9"/>
      <c r="K55" s="10" t="str">
        <f aca="false">IF(AND(A55="",C55="",D55="",E55="",F55="",H55=""),"",IF(NOT(ISNUMBER(A55)),"Enter a date",IF(AND(F55&lt;&gt;"",OR(NOT(ISNUMBER(F55)),N(F55)&lt;0)),"Minutes must be a number of 0 or more",IF(G55="","Enter start and end times, or minutes",IF(C55="","Pick a machine",IF(SUMPRODUCT(--(Setup!$A$5:$A$34=C55))=0,"Machine not in Setup",IF(H55="","Pick a reason (counted as unclassified)",IF(I55="Not in Setup","Reason not in Setup (counted as unclassified)",IF(N(G55)=0,"0 minutes: not counted as a stop","OK")))))))))</f>
        <v/>
      </c>
    </row>
    <row r="56" customFormat="false" ht="15" hidden="false" customHeight="false" outlineLevel="0" collapsed="false">
      <c r="A56" s="11"/>
      <c r="B56" s="9"/>
      <c r="C56" s="9"/>
      <c r="D56" s="12"/>
      <c r="E56" s="12"/>
      <c r="F56" s="13"/>
      <c r="G56" s="14" t="str">
        <f aca="false">IF(F56&lt;&gt;"",IF(AND(ISNUMBER(F56),N(F56)&gt;=0),F56,""),IF(AND(ISNUMBER(D56),ISNUMBER(E56)),ROUND(MOD(E56-D56,1)*1440,0),""))</f>
        <v/>
      </c>
      <c r="H56" s="9"/>
      <c r="I56" s="10" t="str">
        <f aca="false">IF(H56="","",IF(SUMPRODUCT(MAX((Setup!$D$5:$D$34=H56)*(35-ROW(Setup!$D$5:$D$34))))=0,"Not in Setup",INDEX(Setup!$E$5:$E$34,31-SUMPRODUCT(MAX((Setup!$D$5:$D$34=H56)*(35-ROW(Setup!$D$5:$D$34)))))))</f>
        <v/>
      </c>
      <c r="J56" s="9"/>
      <c r="K56" s="10" t="str">
        <f aca="false">IF(AND(A56="",C56="",D56="",E56="",F56="",H56=""),"",IF(NOT(ISNUMBER(A56)),"Enter a date",IF(AND(F56&lt;&gt;"",OR(NOT(ISNUMBER(F56)),N(F56)&lt;0)),"Minutes must be a number of 0 or more",IF(G56="","Enter start and end times, or minutes",IF(C56="","Pick a machine",IF(SUMPRODUCT(--(Setup!$A$5:$A$34=C56))=0,"Machine not in Setup",IF(H56="","Pick a reason (counted as unclassified)",IF(I56="Not in Setup","Reason not in Setup (counted as unclassified)",IF(N(G56)=0,"0 minutes: not counted as a stop","OK")))))))))</f>
        <v/>
      </c>
    </row>
    <row r="57" customFormat="false" ht="15" hidden="false" customHeight="false" outlineLevel="0" collapsed="false">
      <c r="A57" s="11"/>
      <c r="B57" s="9"/>
      <c r="C57" s="9"/>
      <c r="D57" s="12"/>
      <c r="E57" s="12"/>
      <c r="F57" s="13"/>
      <c r="G57" s="14" t="str">
        <f aca="false">IF(F57&lt;&gt;"",IF(AND(ISNUMBER(F57),N(F57)&gt;=0),F57,""),IF(AND(ISNUMBER(D57),ISNUMBER(E57)),ROUND(MOD(E57-D57,1)*1440,0),""))</f>
        <v/>
      </c>
      <c r="H57" s="9"/>
      <c r="I57" s="10" t="str">
        <f aca="false">IF(H57="","",IF(SUMPRODUCT(MAX((Setup!$D$5:$D$34=H57)*(35-ROW(Setup!$D$5:$D$34))))=0,"Not in Setup",INDEX(Setup!$E$5:$E$34,31-SUMPRODUCT(MAX((Setup!$D$5:$D$34=H57)*(35-ROW(Setup!$D$5:$D$34)))))))</f>
        <v/>
      </c>
      <c r="J57" s="9"/>
      <c r="K57" s="10" t="str">
        <f aca="false">IF(AND(A57="",C57="",D57="",E57="",F57="",H57=""),"",IF(NOT(ISNUMBER(A57)),"Enter a date",IF(AND(F57&lt;&gt;"",OR(NOT(ISNUMBER(F57)),N(F57)&lt;0)),"Minutes must be a number of 0 or more",IF(G57="","Enter start and end times, or minutes",IF(C57="","Pick a machine",IF(SUMPRODUCT(--(Setup!$A$5:$A$34=C57))=0,"Machine not in Setup",IF(H57="","Pick a reason (counted as unclassified)",IF(I57="Not in Setup","Reason not in Setup (counted as unclassified)",IF(N(G57)=0,"0 minutes: not counted as a stop","OK")))))))))</f>
        <v/>
      </c>
    </row>
    <row r="58" customFormat="false" ht="15" hidden="false" customHeight="false" outlineLevel="0" collapsed="false">
      <c r="A58" s="11"/>
      <c r="B58" s="9"/>
      <c r="C58" s="9"/>
      <c r="D58" s="12"/>
      <c r="E58" s="12"/>
      <c r="F58" s="13"/>
      <c r="G58" s="14" t="str">
        <f aca="false">IF(F58&lt;&gt;"",IF(AND(ISNUMBER(F58),N(F58)&gt;=0),F58,""),IF(AND(ISNUMBER(D58),ISNUMBER(E58)),ROUND(MOD(E58-D58,1)*1440,0),""))</f>
        <v/>
      </c>
      <c r="H58" s="9"/>
      <c r="I58" s="10" t="str">
        <f aca="false">IF(H58="","",IF(SUMPRODUCT(MAX((Setup!$D$5:$D$34=H58)*(35-ROW(Setup!$D$5:$D$34))))=0,"Not in Setup",INDEX(Setup!$E$5:$E$34,31-SUMPRODUCT(MAX((Setup!$D$5:$D$34=H58)*(35-ROW(Setup!$D$5:$D$34)))))))</f>
        <v/>
      </c>
      <c r="J58" s="9"/>
      <c r="K58" s="10" t="str">
        <f aca="false">IF(AND(A58="",C58="",D58="",E58="",F58="",H58=""),"",IF(NOT(ISNUMBER(A58)),"Enter a date",IF(AND(F58&lt;&gt;"",OR(NOT(ISNUMBER(F58)),N(F58)&lt;0)),"Minutes must be a number of 0 or more",IF(G58="","Enter start and end times, or minutes",IF(C58="","Pick a machine",IF(SUMPRODUCT(--(Setup!$A$5:$A$34=C58))=0,"Machine not in Setup",IF(H58="","Pick a reason (counted as unclassified)",IF(I58="Not in Setup","Reason not in Setup (counted as unclassified)",IF(N(G58)=0,"0 minutes: not counted as a stop","OK")))))))))</f>
        <v/>
      </c>
    </row>
    <row r="59" customFormat="false" ht="15" hidden="false" customHeight="false" outlineLevel="0" collapsed="false">
      <c r="A59" s="11"/>
      <c r="B59" s="9"/>
      <c r="C59" s="9"/>
      <c r="D59" s="12"/>
      <c r="E59" s="12"/>
      <c r="F59" s="13"/>
      <c r="G59" s="14" t="str">
        <f aca="false">IF(F59&lt;&gt;"",IF(AND(ISNUMBER(F59),N(F59)&gt;=0),F59,""),IF(AND(ISNUMBER(D59),ISNUMBER(E59)),ROUND(MOD(E59-D59,1)*1440,0),""))</f>
        <v/>
      </c>
      <c r="H59" s="9"/>
      <c r="I59" s="10" t="str">
        <f aca="false">IF(H59="","",IF(SUMPRODUCT(MAX((Setup!$D$5:$D$34=H59)*(35-ROW(Setup!$D$5:$D$34))))=0,"Not in Setup",INDEX(Setup!$E$5:$E$34,31-SUMPRODUCT(MAX((Setup!$D$5:$D$34=H59)*(35-ROW(Setup!$D$5:$D$34)))))))</f>
        <v/>
      </c>
      <c r="J59" s="9"/>
      <c r="K59" s="10" t="str">
        <f aca="false">IF(AND(A59="",C59="",D59="",E59="",F59="",H59=""),"",IF(NOT(ISNUMBER(A59)),"Enter a date",IF(AND(F59&lt;&gt;"",OR(NOT(ISNUMBER(F59)),N(F59)&lt;0)),"Minutes must be a number of 0 or more",IF(G59="","Enter start and end times, or minutes",IF(C59="","Pick a machine",IF(SUMPRODUCT(--(Setup!$A$5:$A$34=C59))=0,"Machine not in Setup",IF(H59="","Pick a reason (counted as unclassified)",IF(I59="Not in Setup","Reason not in Setup (counted as unclassified)",IF(N(G59)=0,"0 minutes: not counted as a stop","OK")))))))))</f>
        <v/>
      </c>
    </row>
    <row r="60" customFormat="false" ht="15" hidden="false" customHeight="false" outlineLevel="0" collapsed="false">
      <c r="A60" s="11"/>
      <c r="B60" s="9"/>
      <c r="C60" s="9"/>
      <c r="D60" s="12"/>
      <c r="E60" s="12"/>
      <c r="F60" s="13"/>
      <c r="G60" s="14" t="str">
        <f aca="false">IF(F60&lt;&gt;"",IF(AND(ISNUMBER(F60),N(F60)&gt;=0),F60,""),IF(AND(ISNUMBER(D60),ISNUMBER(E60)),ROUND(MOD(E60-D60,1)*1440,0),""))</f>
        <v/>
      </c>
      <c r="H60" s="9"/>
      <c r="I60" s="10" t="str">
        <f aca="false">IF(H60="","",IF(SUMPRODUCT(MAX((Setup!$D$5:$D$34=H60)*(35-ROW(Setup!$D$5:$D$34))))=0,"Not in Setup",INDEX(Setup!$E$5:$E$34,31-SUMPRODUCT(MAX((Setup!$D$5:$D$34=H60)*(35-ROW(Setup!$D$5:$D$34)))))))</f>
        <v/>
      </c>
      <c r="J60" s="9"/>
      <c r="K60" s="10" t="str">
        <f aca="false">IF(AND(A60="",C60="",D60="",E60="",F60="",H60=""),"",IF(NOT(ISNUMBER(A60)),"Enter a date",IF(AND(F60&lt;&gt;"",OR(NOT(ISNUMBER(F60)),N(F60)&lt;0)),"Minutes must be a number of 0 or more",IF(G60="","Enter start and end times, or minutes",IF(C60="","Pick a machine",IF(SUMPRODUCT(--(Setup!$A$5:$A$34=C60))=0,"Machine not in Setup",IF(H60="","Pick a reason (counted as unclassified)",IF(I60="Not in Setup","Reason not in Setup (counted as unclassified)",IF(N(G60)=0,"0 minutes: not counted as a stop","OK")))))))))</f>
        <v/>
      </c>
    </row>
    <row r="61" customFormat="false" ht="15" hidden="false" customHeight="false" outlineLevel="0" collapsed="false">
      <c r="A61" s="11"/>
      <c r="B61" s="9"/>
      <c r="C61" s="9"/>
      <c r="D61" s="12"/>
      <c r="E61" s="12"/>
      <c r="F61" s="13"/>
      <c r="G61" s="14" t="str">
        <f aca="false">IF(F61&lt;&gt;"",IF(AND(ISNUMBER(F61),N(F61)&gt;=0),F61,""),IF(AND(ISNUMBER(D61),ISNUMBER(E61)),ROUND(MOD(E61-D61,1)*1440,0),""))</f>
        <v/>
      </c>
      <c r="H61" s="9"/>
      <c r="I61" s="10" t="str">
        <f aca="false">IF(H61="","",IF(SUMPRODUCT(MAX((Setup!$D$5:$D$34=H61)*(35-ROW(Setup!$D$5:$D$34))))=0,"Not in Setup",INDEX(Setup!$E$5:$E$34,31-SUMPRODUCT(MAX((Setup!$D$5:$D$34=H61)*(35-ROW(Setup!$D$5:$D$34)))))))</f>
        <v/>
      </c>
      <c r="J61" s="9"/>
      <c r="K61" s="10" t="str">
        <f aca="false">IF(AND(A61="",C61="",D61="",E61="",F61="",H61=""),"",IF(NOT(ISNUMBER(A61)),"Enter a date",IF(AND(F61&lt;&gt;"",OR(NOT(ISNUMBER(F61)),N(F61)&lt;0)),"Minutes must be a number of 0 or more",IF(G61="","Enter start and end times, or minutes",IF(C61="","Pick a machine",IF(SUMPRODUCT(--(Setup!$A$5:$A$34=C61))=0,"Machine not in Setup",IF(H61="","Pick a reason (counted as unclassified)",IF(I61="Not in Setup","Reason not in Setup (counted as unclassified)",IF(N(G61)=0,"0 minutes: not counted as a stop","OK")))))))))</f>
        <v/>
      </c>
    </row>
    <row r="62" customFormat="false" ht="15" hidden="false" customHeight="false" outlineLevel="0" collapsed="false">
      <c r="A62" s="11"/>
      <c r="B62" s="9"/>
      <c r="C62" s="9"/>
      <c r="D62" s="12"/>
      <c r="E62" s="12"/>
      <c r="F62" s="13"/>
      <c r="G62" s="14" t="str">
        <f aca="false">IF(F62&lt;&gt;"",IF(AND(ISNUMBER(F62),N(F62)&gt;=0),F62,""),IF(AND(ISNUMBER(D62),ISNUMBER(E62)),ROUND(MOD(E62-D62,1)*1440,0),""))</f>
        <v/>
      </c>
      <c r="H62" s="9"/>
      <c r="I62" s="10" t="str">
        <f aca="false">IF(H62="","",IF(SUMPRODUCT(MAX((Setup!$D$5:$D$34=H62)*(35-ROW(Setup!$D$5:$D$34))))=0,"Not in Setup",INDEX(Setup!$E$5:$E$34,31-SUMPRODUCT(MAX((Setup!$D$5:$D$34=H62)*(35-ROW(Setup!$D$5:$D$34)))))))</f>
        <v/>
      </c>
      <c r="J62" s="9"/>
      <c r="K62" s="10" t="str">
        <f aca="false">IF(AND(A62="",C62="",D62="",E62="",F62="",H62=""),"",IF(NOT(ISNUMBER(A62)),"Enter a date",IF(AND(F62&lt;&gt;"",OR(NOT(ISNUMBER(F62)),N(F62)&lt;0)),"Minutes must be a number of 0 or more",IF(G62="","Enter start and end times, or minutes",IF(C62="","Pick a machine",IF(SUMPRODUCT(--(Setup!$A$5:$A$34=C62))=0,"Machine not in Setup",IF(H62="","Pick a reason (counted as unclassified)",IF(I62="Not in Setup","Reason not in Setup (counted as unclassified)",IF(N(G62)=0,"0 minutes: not counted as a stop","OK")))))))))</f>
        <v/>
      </c>
    </row>
    <row r="63" customFormat="false" ht="15" hidden="false" customHeight="false" outlineLevel="0" collapsed="false">
      <c r="A63" s="11"/>
      <c r="B63" s="9"/>
      <c r="C63" s="9"/>
      <c r="D63" s="12"/>
      <c r="E63" s="12"/>
      <c r="F63" s="13"/>
      <c r="G63" s="14" t="str">
        <f aca="false">IF(F63&lt;&gt;"",IF(AND(ISNUMBER(F63),N(F63)&gt;=0),F63,""),IF(AND(ISNUMBER(D63),ISNUMBER(E63)),ROUND(MOD(E63-D63,1)*1440,0),""))</f>
        <v/>
      </c>
      <c r="H63" s="9"/>
      <c r="I63" s="10" t="str">
        <f aca="false">IF(H63="","",IF(SUMPRODUCT(MAX((Setup!$D$5:$D$34=H63)*(35-ROW(Setup!$D$5:$D$34))))=0,"Not in Setup",INDEX(Setup!$E$5:$E$34,31-SUMPRODUCT(MAX((Setup!$D$5:$D$34=H63)*(35-ROW(Setup!$D$5:$D$34)))))))</f>
        <v/>
      </c>
      <c r="J63" s="9"/>
      <c r="K63" s="10" t="str">
        <f aca="false">IF(AND(A63="",C63="",D63="",E63="",F63="",H63=""),"",IF(NOT(ISNUMBER(A63)),"Enter a date",IF(AND(F63&lt;&gt;"",OR(NOT(ISNUMBER(F63)),N(F63)&lt;0)),"Minutes must be a number of 0 or more",IF(G63="","Enter start and end times, or minutes",IF(C63="","Pick a machine",IF(SUMPRODUCT(--(Setup!$A$5:$A$34=C63))=0,"Machine not in Setup",IF(H63="","Pick a reason (counted as unclassified)",IF(I63="Not in Setup","Reason not in Setup (counted as unclassified)",IF(N(G63)=0,"0 minutes: not counted as a stop","OK")))))))))</f>
        <v/>
      </c>
    </row>
    <row r="64" customFormat="false" ht="15" hidden="false" customHeight="false" outlineLevel="0" collapsed="false">
      <c r="A64" s="11"/>
      <c r="B64" s="9"/>
      <c r="C64" s="9"/>
      <c r="D64" s="12"/>
      <c r="E64" s="12"/>
      <c r="F64" s="13"/>
      <c r="G64" s="14" t="str">
        <f aca="false">IF(F64&lt;&gt;"",IF(AND(ISNUMBER(F64),N(F64)&gt;=0),F64,""),IF(AND(ISNUMBER(D64),ISNUMBER(E64)),ROUND(MOD(E64-D64,1)*1440,0),""))</f>
        <v/>
      </c>
      <c r="H64" s="9"/>
      <c r="I64" s="10" t="str">
        <f aca="false">IF(H64="","",IF(SUMPRODUCT(MAX((Setup!$D$5:$D$34=H64)*(35-ROW(Setup!$D$5:$D$34))))=0,"Not in Setup",INDEX(Setup!$E$5:$E$34,31-SUMPRODUCT(MAX((Setup!$D$5:$D$34=H64)*(35-ROW(Setup!$D$5:$D$34)))))))</f>
        <v/>
      </c>
      <c r="J64" s="9"/>
      <c r="K64" s="10" t="str">
        <f aca="false">IF(AND(A64="",C64="",D64="",E64="",F64="",H64=""),"",IF(NOT(ISNUMBER(A64)),"Enter a date",IF(AND(F64&lt;&gt;"",OR(NOT(ISNUMBER(F64)),N(F64)&lt;0)),"Minutes must be a number of 0 or more",IF(G64="","Enter start and end times, or minutes",IF(C64="","Pick a machine",IF(SUMPRODUCT(--(Setup!$A$5:$A$34=C64))=0,"Machine not in Setup",IF(H64="","Pick a reason (counted as unclassified)",IF(I64="Not in Setup","Reason not in Setup (counted as unclassified)",IF(N(G64)=0,"0 minutes: not counted as a stop","OK")))))))))</f>
        <v/>
      </c>
    </row>
    <row r="65" customFormat="false" ht="15" hidden="false" customHeight="false" outlineLevel="0" collapsed="false">
      <c r="A65" s="11"/>
      <c r="B65" s="9"/>
      <c r="C65" s="9"/>
      <c r="D65" s="12"/>
      <c r="E65" s="12"/>
      <c r="F65" s="13"/>
      <c r="G65" s="14" t="str">
        <f aca="false">IF(F65&lt;&gt;"",IF(AND(ISNUMBER(F65),N(F65)&gt;=0),F65,""),IF(AND(ISNUMBER(D65),ISNUMBER(E65)),ROUND(MOD(E65-D65,1)*1440,0),""))</f>
        <v/>
      </c>
      <c r="H65" s="9"/>
      <c r="I65" s="10" t="str">
        <f aca="false">IF(H65="","",IF(SUMPRODUCT(MAX((Setup!$D$5:$D$34=H65)*(35-ROW(Setup!$D$5:$D$34))))=0,"Not in Setup",INDEX(Setup!$E$5:$E$34,31-SUMPRODUCT(MAX((Setup!$D$5:$D$34=H65)*(35-ROW(Setup!$D$5:$D$34)))))))</f>
        <v/>
      </c>
      <c r="J65" s="9"/>
      <c r="K65" s="10" t="str">
        <f aca="false">IF(AND(A65="",C65="",D65="",E65="",F65="",H65=""),"",IF(NOT(ISNUMBER(A65)),"Enter a date",IF(AND(F65&lt;&gt;"",OR(NOT(ISNUMBER(F65)),N(F65)&lt;0)),"Minutes must be a number of 0 or more",IF(G65="","Enter start and end times, or minutes",IF(C65="","Pick a machine",IF(SUMPRODUCT(--(Setup!$A$5:$A$34=C65))=0,"Machine not in Setup",IF(H65="","Pick a reason (counted as unclassified)",IF(I65="Not in Setup","Reason not in Setup (counted as unclassified)",IF(N(G65)=0,"0 minutes: not counted as a stop","OK")))))))))</f>
        <v/>
      </c>
    </row>
    <row r="66" customFormat="false" ht="15" hidden="false" customHeight="false" outlineLevel="0" collapsed="false">
      <c r="A66" s="11"/>
      <c r="B66" s="9"/>
      <c r="C66" s="9"/>
      <c r="D66" s="12"/>
      <c r="E66" s="12"/>
      <c r="F66" s="13"/>
      <c r="G66" s="14" t="str">
        <f aca="false">IF(F66&lt;&gt;"",IF(AND(ISNUMBER(F66),N(F66)&gt;=0),F66,""),IF(AND(ISNUMBER(D66),ISNUMBER(E66)),ROUND(MOD(E66-D66,1)*1440,0),""))</f>
        <v/>
      </c>
      <c r="H66" s="9"/>
      <c r="I66" s="10" t="str">
        <f aca="false">IF(H66="","",IF(SUMPRODUCT(MAX((Setup!$D$5:$D$34=H66)*(35-ROW(Setup!$D$5:$D$34))))=0,"Not in Setup",INDEX(Setup!$E$5:$E$34,31-SUMPRODUCT(MAX((Setup!$D$5:$D$34=H66)*(35-ROW(Setup!$D$5:$D$34)))))))</f>
        <v/>
      </c>
      <c r="J66" s="9"/>
      <c r="K66" s="10" t="str">
        <f aca="false">IF(AND(A66="",C66="",D66="",E66="",F66="",H66=""),"",IF(NOT(ISNUMBER(A66)),"Enter a date",IF(AND(F66&lt;&gt;"",OR(NOT(ISNUMBER(F66)),N(F66)&lt;0)),"Minutes must be a number of 0 or more",IF(G66="","Enter start and end times, or minutes",IF(C66="","Pick a machine",IF(SUMPRODUCT(--(Setup!$A$5:$A$34=C66))=0,"Machine not in Setup",IF(H66="","Pick a reason (counted as unclassified)",IF(I66="Not in Setup","Reason not in Setup (counted as unclassified)",IF(N(G66)=0,"0 minutes: not counted as a stop","OK")))))))))</f>
        <v/>
      </c>
    </row>
    <row r="67" customFormat="false" ht="15" hidden="false" customHeight="false" outlineLevel="0" collapsed="false">
      <c r="A67" s="11"/>
      <c r="B67" s="9"/>
      <c r="C67" s="9"/>
      <c r="D67" s="12"/>
      <c r="E67" s="12"/>
      <c r="F67" s="13"/>
      <c r="G67" s="14" t="str">
        <f aca="false">IF(F67&lt;&gt;"",IF(AND(ISNUMBER(F67),N(F67)&gt;=0),F67,""),IF(AND(ISNUMBER(D67),ISNUMBER(E67)),ROUND(MOD(E67-D67,1)*1440,0),""))</f>
        <v/>
      </c>
      <c r="H67" s="9"/>
      <c r="I67" s="10" t="str">
        <f aca="false">IF(H67="","",IF(SUMPRODUCT(MAX((Setup!$D$5:$D$34=H67)*(35-ROW(Setup!$D$5:$D$34))))=0,"Not in Setup",INDEX(Setup!$E$5:$E$34,31-SUMPRODUCT(MAX((Setup!$D$5:$D$34=H67)*(35-ROW(Setup!$D$5:$D$34)))))))</f>
        <v/>
      </c>
      <c r="J67" s="9"/>
      <c r="K67" s="10" t="str">
        <f aca="false">IF(AND(A67="",C67="",D67="",E67="",F67="",H67=""),"",IF(NOT(ISNUMBER(A67)),"Enter a date",IF(AND(F67&lt;&gt;"",OR(NOT(ISNUMBER(F67)),N(F67)&lt;0)),"Minutes must be a number of 0 or more",IF(G67="","Enter start and end times, or minutes",IF(C67="","Pick a machine",IF(SUMPRODUCT(--(Setup!$A$5:$A$34=C67))=0,"Machine not in Setup",IF(H67="","Pick a reason (counted as unclassified)",IF(I67="Not in Setup","Reason not in Setup (counted as unclassified)",IF(N(G67)=0,"0 minutes: not counted as a stop","OK")))))))))</f>
        <v/>
      </c>
    </row>
    <row r="68" customFormat="false" ht="15" hidden="false" customHeight="false" outlineLevel="0" collapsed="false">
      <c r="A68" s="11"/>
      <c r="B68" s="9"/>
      <c r="C68" s="9"/>
      <c r="D68" s="12"/>
      <c r="E68" s="12"/>
      <c r="F68" s="13"/>
      <c r="G68" s="14" t="str">
        <f aca="false">IF(F68&lt;&gt;"",IF(AND(ISNUMBER(F68),N(F68)&gt;=0),F68,""),IF(AND(ISNUMBER(D68),ISNUMBER(E68)),ROUND(MOD(E68-D68,1)*1440,0),""))</f>
        <v/>
      </c>
      <c r="H68" s="9"/>
      <c r="I68" s="10" t="str">
        <f aca="false">IF(H68="","",IF(SUMPRODUCT(MAX((Setup!$D$5:$D$34=H68)*(35-ROW(Setup!$D$5:$D$34))))=0,"Not in Setup",INDEX(Setup!$E$5:$E$34,31-SUMPRODUCT(MAX((Setup!$D$5:$D$34=H68)*(35-ROW(Setup!$D$5:$D$34)))))))</f>
        <v/>
      </c>
      <c r="J68" s="9"/>
      <c r="K68" s="10" t="str">
        <f aca="false">IF(AND(A68="",C68="",D68="",E68="",F68="",H68=""),"",IF(NOT(ISNUMBER(A68)),"Enter a date",IF(AND(F68&lt;&gt;"",OR(NOT(ISNUMBER(F68)),N(F68)&lt;0)),"Minutes must be a number of 0 or more",IF(G68="","Enter start and end times, or minutes",IF(C68="","Pick a machine",IF(SUMPRODUCT(--(Setup!$A$5:$A$34=C68))=0,"Machine not in Setup",IF(H68="","Pick a reason (counted as unclassified)",IF(I68="Not in Setup","Reason not in Setup (counted as unclassified)",IF(N(G68)=0,"0 minutes: not counted as a stop","OK")))))))))</f>
        <v/>
      </c>
    </row>
    <row r="69" customFormat="false" ht="15" hidden="false" customHeight="false" outlineLevel="0" collapsed="false">
      <c r="A69" s="11"/>
      <c r="B69" s="9"/>
      <c r="C69" s="9"/>
      <c r="D69" s="12"/>
      <c r="E69" s="12"/>
      <c r="F69" s="13"/>
      <c r="G69" s="14" t="str">
        <f aca="false">IF(F69&lt;&gt;"",IF(AND(ISNUMBER(F69),N(F69)&gt;=0),F69,""),IF(AND(ISNUMBER(D69),ISNUMBER(E69)),ROUND(MOD(E69-D69,1)*1440,0),""))</f>
        <v/>
      </c>
      <c r="H69" s="9"/>
      <c r="I69" s="10" t="str">
        <f aca="false">IF(H69="","",IF(SUMPRODUCT(MAX((Setup!$D$5:$D$34=H69)*(35-ROW(Setup!$D$5:$D$34))))=0,"Not in Setup",INDEX(Setup!$E$5:$E$34,31-SUMPRODUCT(MAX((Setup!$D$5:$D$34=H69)*(35-ROW(Setup!$D$5:$D$34)))))))</f>
        <v/>
      </c>
      <c r="J69" s="9"/>
      <c r="K69" s="10" t="str">
        <f aca="false">IF(AND(A69="",C69="",D69="",E69="",F69="",H69=""),"",IF(NOT(ISNUMBER(A69)),"Enter a date",IF(AND(F69&lt;&gt;"",OR(NOT(ISNUMBER(F69)),N(F69)&lt;0)),"Minutes must be a number of 0 or more",IF(G69="","Enter start and end times, or minutes",IF(C69="","Pick a machine",IF(SUMPRODUCT(--(Setup!$A$5:$A$34=C69))=0,"Machine not in Setup",IF(H69="","Pick a reason (counted as unclassified)",IF(I69="Not in Setup","Reason not in Setup (counted as unclassified)",IF(N(G69)=0,"0 minutes: not counted as a stop","OK")))))))))</f>
        <v/>
      </c>
    </row>
    <row r="70" customFormat="false" ht="15" hidden="false" customHeight="false" outlineLevel="0" collapsed="false">
      <c r="A70" s="11"/>
      <c r="B70" s="9"/>
      <c r="C70" s="9"/>
      <c r="D70" s="12"/>
      <c r="E70" s="12"/>
      <c r="F70" s="13"/>
      <c r="G70" s="14" t="str">
        <f aca="false">IF(F70&lt;&gt;"",IF(AND(ISNUMBER(F70),N(F70)&gt;=0),F70,""),IF(AND(ISNUMBER(D70),ISNUMBER(E70)),ROUND(MOD(E70-D70,1)*1440,0),""))</f>
        <v/>
      </c>
      <c r="H70" s="9"/>
      <c r="I70" s="10" t="str">
        <f aca="false">IF(H70="","",IF(SUMPRODUCT(MAX((Setup!$D$5:$D$34=H70)*(35-ROW(Setup!$D$5:$D$34))))=0,"Not in Setup",INDEX(Setup!$E$5:$E$34,31-SUMPRODUCT(MAX((Setup!$D$5:$D$34=H70)*(35-ROW(Setup!$D$5:$D$34)))))))</f>
        <v/>
      </c>
      <c r="J70" s="9"/>
      <c r="K70" s="10" t="str">
        <f aca="false">IF(AND(A70="",C70="",D70="",E70="",F70="",H70=""),"",IF(NOT(ISNUMBER(A70)),"Enter a date",IF(AND(F70&lt;&gt;"",OR(NOT(ISNUMBER(F70)),N(F70)&lt;0)),"Minutes must be a number of 0 or more",IF(G70="","Enter start and end times, or minutes",IF(C70="","Pick a machine",IF(SUMPRODUCT(--(Setup!$A$5:$A$34=C70))=0,"Machine not in Setup",IF(H70="","Pick a reason (counted as unclassified)",IF(I70="Not in Setup","Reason not in Setup (counted as unclassified)",IF(N(G70)=0,"0 minutes: not counted as a stop","OK")))))))))</f>
        <v/>
      </c>
    </row>
    <row r="71" customFormat="false" ht="15" hidden="false" customHeight="false" outlineLevel="0" collapsed="false">
      <c r="A71" s="11"/>
      <c r="B71" s="9"/>
      <c r="C71" s="9"/>
      <c r="D71" s="12"/>
      <c r="E71" s="12"/>
      <c r="F71" s="13"/>
      <c r="G71" s="14" t="str">
        <f aca="false">IF(F71&lt;&gt;"",IF(AND(ISNUMBER(F71),N(F71)&gt;=0),F71,""),IF(AND(ISNUMBER(D71),ISNUMBER(E71)),ROUND(MOD(E71-D71,1)*1440,0),""))</f>
        <v/>
      </c>
      <c r="H71" s="9"/>
      <c r="I71" s="10" t="str">
        <f aca="false">IF(H71="","",IF(SUMPRODUCT(MAX((Setup!$D$5:$D$34=H71)*(35-ROW(Setup!$D$5:$D$34))))=0,"Not in Setup",INDEX(Setup!$E$5:$E$34,31-SUMPRODUCT(MAX((Setup!$D$5:$D$34=H71)*(35-ROW(Setup!$D$5:$D$34)))))))</f>
        <v/>
      </c>
      <c r="J71" s="9"/>
      <c r="K71" s="10" t="str">
        <f aca="false">IF(AND(A71="",C71="",D71="",E71="",F71="",H71=""),"",IF(NOT(ISNUMBER(A71)),"Enter a date",IF(AND(F71&lt;&gt;"",OR(NOT(ISNUMBER(F71)),N(F71)&lt;0)),"Minutes must be a number of 0 or more",IF(G71="","Enter start and end times, or minutes",IF(C71="","Pick a machine",IF(SUMPRODUCT(--(Setup!$A$5:$A$34=C71))=0,"Machine not in Setup",IF(H71="","Pick a reason (counted as unclassified)",IF(I71="Not in Setup","Reason not in Setup (counted as unclassified)",IF(N(G71)=0,"0 minutes: not counted as a stop","OK")))))))))</f>
        <v/>
      </c>
    </row>
    <row r="72" customFormat="false" ht="15" hidden="false" customHeight="false" outlineLevel="0" collapsed="false">
      <c r="A72" s="11"/>
      <c r="B72" s="9"/>
      <c r="C72" s="9"/>
      <c r="D72" s="12"/>
      <c r="E72" s="12"/>
      <c r="F72" s="13"/>
      <c r="G72" s="14" t="str">
        <f aca="false">IF(F72&lt;&gt;"",IF(AND(ISNUMBER(F72),N(F72)&gt;=0),F72,""),IF(AND(ISNUMBER(D72),ISNUMBER(E72)),ROUND(MOD(E72-D72,1)*1440,0),""))</f>
        <v/>
      </c>
      <c r="H72" s="9"/>
      <c r="I72" s="10" t="str">
        <f aca="false">IF(H72="","",IF(SUMPRODUCT(MAX((Setup!$D$5:$D$34=H72)*(35-ROW(Setup!$D$5:$D$34))))=0,"Not in Setup",INDEX(Setup!$E$5:$E$34,31-SUMPRODUCT(MAX((Setup!$D$5:$D$34=H72)*(35-ROW(Setup!$D$5:$D$34)))))))</f>
        <v/>
      </c>
      <c r="J72" s="9"/>
      <c r="K72" s="10" t="str">
        <f aca="false">IF(AND(A72="",C72="",D72="",E72="",F72="",H72=""),"",IF(NOT(ISNUMBER(A72)),"Enter a date",IF(AND(F72&lt;&gt;"",OR(NOT(ISNUMBER(F72)),N(F72)&lt;0)),"Minutes must be a number of 0 or more",IF(G72="","Enter start and end times, or minutes",IF(C72="","Pick a machine",IF(SUMPRODUCT(--(Setup!$A$5:$A$34=C72))=0,"Machine not in Setup",IF(H72="","Pick a reason (counted as unclassified)",IF(I72="Not in Setup","Reason not in Setup (counted as unclassified)",IF(N(G72)=0,"0 minutes: not counted as a stop","OK")))))))))</f>
        <v/>
      </c>
    </row>
    <row r="73" customFormat="false" ht="15" hidden="false" customHeight="false" outlineLevel="0" collapsed="false">
      <c r="A73" s="11"/>
      <c r="B73" s="9"/>
      <c r="C73" s="9"/>
      <c r="D73" s="12"/>
      <c r="E73" s="12"/>
      <c r="F73" s="13"/>
      <c r="G73" s="14" t="str">
        <f aca="false">IF(F73&lt;&gt;"",IF(AND(ISNUMBER(F73),N(F73)&gt;=0),F73,""),IF(AND(ISNUMBER(D73),ISNUMBER(E73)),ROUND(MOD(E73-D73,1)*1440,0),""))</f>
        <v/>
      </c>
      <c r="H73" s="9"/>
      <c r="I73" s="10" t="str">
        <f aca="false">IF(H73="","",IF(SUMPRODUCT(MAX((Setup!$D$5:$D$34=H73)*(35-ROW(Setup!$D$5:$D$34))))=0,"Not in Setup",INDEX(Setup!$E$5:$E$34,31-SUMPRODUCT(MAX((Setup!$D$5:$D$34=H73)*(35-ROW(Setup!$D$5:$D$34)))))))</f>
        <v/>
      </c>
      <c r="J73" s="9"/>
      <c r="K73" s="10" t="str">
        <f aca="false">IF(AND(A73="",C73="",D73="",E73="",F73="",H73=""),"",IF(NOT(ISNUMBER(A73)),"Enter a date",IF(AND(F73&lt;&gt;"",OR(NOT(ISNUMBER(F73)),N(F73)&lt;0)),"Minutes must be a number of 0 or more",IF(G73="","Enter start and end times, or minutes",IF(C73="","Pick a machine",IF(SUMPRODUCT(--(Setup!$A$5:$A$34=C73))=0,"Machine not in Setup",IF(H73="","Pick a reason (counted as unclassified)",IF(I73="Not in Setup","Reason not in Setup (counted as unclassified)",IF(N(G73)=0,"0 minutes: not counted as a stop","OK")))))))))</f>
        <v/>
      </c>
    </row>
    <row r="74" customFormat="false" ht="15" hidden="false" customHeight="false" outlineLevel="0" collapsed="false">
      <c r="A74" s="11"/>
      <c r="B74" s="9"/>
      <c r="C74" s="9"/>
      <c r="D74" s="12"/>
      <c r="E74" s="12"/>
      <c r="F74" s="13"/>
      <c r="G74" s="14" t="str">
        <f aca="false">IF(F74&lt;&gt;"",IF(AND(ISNUMBER(F74),N(F74)&gt;=0),F74,""),IF(AND(ISNUMBER(D74),ISNUMBER(E74)),ROUND(MOD(E74-D74,1)*1440,0),""))</f>
        <v/>
      </c>
      <c r="H74" s="9"/>
      <c r="I74" s="10" t="str">
        <f aca="false">IF(H74="","",IF(SUMPRODUCT(MAX((Setup!$D$5:$D$34=H74)*(35-ROW(Setup!$D$5:$D$34))))=0,"Not in Setup",INDEX(Setup!$E$5:$E$34,31-SUMPRODUCT(MAX((Setup!$D$5:$D$34=H74)*(35-ROW(Setup!$D$5:$D$34)))))))</f>
        <v/>
      </c>
      <c r="J74" s="9"/>
      <c r="K74" s="10" t="str">
        <f aca="false">IF(AND(A74="",C74="",D74="",E74="",F74="",H74=""),"",IF(NOT(ISNUMBER(A74)),"Enter a date",IF(AND(F74&lt;&gt;"",OR(NOT(ISNUMBER(F74)),N(F74)&lt;0)),"Minutes must be a number of 0 or more",IF(G74="","Enter start and end times, or minutes",IF(C74="","Pick a machine",IF(SUMPRODUCT(--(Setup!$A$5:$A$34=C74))=0,"Machine not in Setup",IF(H74="","Pick a reason (counted as unclassified)",IF(I74="Not in Setup","Reason not in Setup (counted as unclassified)",IF(N(G74)=0,"0 minutes: not counted as a stop","OK")))))))))</f>
        <v/>
      </c>
    </row>
    <row r="75" customFormat="false" ht="15" hidden="false" customHeight="false" outlineLevel="0" collapsed="false">
      <c r="A75" s="11"/>
      <c r="B75" s="9"/>
      <c r="C75" s="9"/>
      <c r="D75" s="12"/>
      <c r="E75" s="12"/>
      <c r="F75" s="13"/>
      <c r="G75" s="14" t="str">
        <f aca="false">IF(F75&lt;&gt;"",IF(AND(ISNUMBER(F75),N(F75)&gt;=0),F75,""),IF(AND(ISNUMBER(D75),ISNUMBER(E75)),ROUND(MOD(E75-D75,1)*1440,0),""))</f>
        <v/>
      </c>
      <c r="H75" s="9"/>
      <c r="I75" s="10" t="str">
        <f aca="false">IF(H75="","",IF(SUMPRODUCT(MAX((Setup!$D$5:$D$34=H75)*(35-ROW(Setup!$D$5:$D$34))))=0,"Not in Setup",INDEX(Setup!$E$5:$E$34,31-SUMPRODUCT(MAX((Setup!$D$5:$D$34=H75)*(35-ROW(Setup!$D$5:$D$34)))))))</f>
        <v/>
      </c>
      <c r="J75" s="9"/>
      <c r="K75" s="10" t="str">
        <f aca="false">IF(AND(A75="",C75="",D75="",E75="",F75="",H75=""),"",IF(NOT(ISNUMBER(A75)),"Enter a date",IF(AND(F75&lt;&gt;"",OR(NOT(ISNUMBER(F75)),N(F75)&lt;0)),"Minutes must be a number of 0 or more",IF(G75="","Enter start and end times, or minutes",IF(C75="","Pick a machine",IF(SUMPRODUCT(--(Setup!$A$5:$A$34=C75))=0,"Machine not in Setup",IF(H75="","Pick a reason (counted as unclassified)",IF(I75="Not in Setup","Reason not in Setup (counted as unclassified)",IF(N(G75)=0,"0 minutes: not counted as a stop","OK")))))))))</f>
        <v/>
      </c>
    </row>
    <row r="76" customFormat="false" ht="15" hidden="false" customHeight="false" outlineLevel="0" collapsed="false">
      <c r="A76" s="11"/>
      <c r="B76" s="9"/>
      <c r="C76" s="9"/>
      <c r="D76" s="12"/>
      <c r="E76" s="12"/>
      <c r="F76" s="13"/>
      <c r="G76" s="14" t="str">
        <f aca="false">IF(F76&lt;&gt;"",IF(AND(ISNUMBER(F76),N(F76)&gt;=0),F76,""),IF(AND(ISNUMBER(D76),ISNUMBER(E76)),ROUND(MOD(E76-D76,1)*1440,0),""))</f>
        <v/>
      </c>
      <c r="H76" s="9"/>
      <c r="I76" s="10" t="str">
        <f aca="false">IF(H76="","",IF(SUMPRODUCT(MAX((Setup!$D$5:$D$34=H76)*(35-ROW(Setup!$D$5:$D$34))))=0,"Not in Setup",INDEX(Setup!$E$5:$E$34,31-SUMPRODUCT(MAX((Setup!$D$5:$D$34=H76)*(35-ROW(Setup!$D$5:$D$34)))))))</f>
        <v/>
      </c>
      <c r="J76" s="9"/>
      <c r="K76" s="10" t="str">
        <f aca="false">IF(AND(A76="",C76="",D76="",E76="",F76="",H76=""),"",IF(NOT(ISNUMBER(A76)),"Enter a date",IF(AND(F76&lt;&gt;"",OR(NOT(ISNUMBER(F76)),N(F76)&lt;0)),"Minutes must be a number of 0 or more",IF(G76="","Enter start and end times, or minutes",IF(C76="","Pick a machine",IF(SUMPRODUCT(--(Setup!$A$5:$A$34=C76))=0,"Machine not in Setup",IF(H76="","Pick a reason (counted as unclassified)",IF(I76="Not in Setup","Reason not in Setup (counted as unclassified)",IF(N(G76)=0,"0 minutes: not counted as a stop","OK")))))))))</f>
        <v/>
      </c>
    </row>
    <row r="77" customFormat="false" ht="15" hidden="false" customHeight="false" outlineLevel="0" collapsed="false">
      <c r="A77" s="11"/>
      <c r="B77" s="9"/>
      <c r="C77" s="9"/>
      <c r="D77" s="12"/>
      <c r="E77" s="12"/>
      <c r="F77" s="13"/>
      <c r="G77" s="14" t="str">
        <f aca="false">IF(F77&lt;&gt;"",IF(AND(ISNUMBER(F77),N(F77)&gt;=0),F77,""),IF(AND(ISNUMBER(D77),ISNUMBER(E77)),ROUND(MOD(E77-D77,1)*1440,0),""))</f>
        <v/>
      </c>
      <c r="H77" s="9"/>
      <c r="I77" s="10" t="str">
        <f aca="false">IF(H77="","",IF(SUMPRODUCT(MAX((Setup!$D$5:$D$34=H77)*(35-ROW(Setup!$D$5:$D$34))))=0,"Not in Setup",INDEX(Setup!$E$5:$E$34,31-SUMPRODUCT(MAX((Setup!$D$5:$D$34=H77)*(35-ROW(Setup!$D$5:$D$34)))))))</f>
        <v/>
      </c>
      <c r="J77" s="9"/>
      <c r="K77" s="10" t="str">
        <f aca="false">IF(AND(A77="",C77="",D77="",E77="",F77="",H77=""),"",IF(NOT(ISNUMBER(A77)),"Enter a date",IF(AND(F77&lt;&gt;"",OR(NOT(ISNUMBER(F77)),N(F77)&lt;0)),"Minutes must be a number of 0 or more",IF(G77="","Enter start and end times, or minutes",IF(C77="","Pick a machine",IF(SUMPRODUCT(--(Setup!$A$5:$A$34=C77))=0,"Machine not in Setup",IF(H77="","Pick a reason (counted as unclassified)",IF(I77="Not in Setup","Reason not in Setup (counted as unclassified)",IF(N(G77)=0,"0 minutes: not counted as a stop","OK")))))))))</f>
        <v/>
      </c>
    </row>
    <row r="78" customFormat="false" ht="15" hidden="false" customHeight="false" outlineLevel="0" collapsed="false">
      <c r="A78" s="11"/>
      <c r="B78" s="9"/>
      <c r="C78" s="9"/>
      <c r="D78" s="12"/>
      <c r="E78" s="12"/>
      <c r="F78" s="13"/>
      <c r="G78" s="14" t="str">
        <f aca="false">IF(F78&lt;&gt;"",IF(AND(ISNUMBER(F78),N(F78)&gt;=0),F78,""),IF(AND(ISNUMBER(D78),ISNUMBER(E78)),ROUND(MOD(E78-D78,1)*1440,0),""))</f>
        <v/>
      </c>
      <c r="H78" s="9"/>
      <c r="I78" s="10" t="str">
        <f aca="false">IF(H78="","",IF(SUMPRODUCT(MAX((Setup!$D$5:$D$34=H78)*(35-ROW(Setup!$D$5:$D$34))))=0,"Not in Setup",INDEX(Setup!$E$5:$E$34,31-SUMPRODUCT(MAX((Setup!$D$5:$D$34=H78)*(35-ROW(Setup!$D$5:$D$34)))))))</f>
        <v/>
      </c>
      <c r="J78" s="9"/>
      <c r="K78" s="10" t="str">
        <f aca="false">IF(AND(A78="",C78="",D78="",E78="",F78="",H78=""),"",IF(NOT(ISNUMBER(A78)),"Enter a date",IF(AND(F78&lt;&gt;"",OR(NOT(ISNUMBER(F78)),N(F78)&lt;0)),"Minutes must be a number of 0 or more",IF(G78="","Enter start and end times, or minutes",IF(C78="","Pick a machine",IF(SUMPRODUCT(--(Setup!$A$5:$A$34=C78))=0,"Machine not in Setup",IF(H78="","Pick a reason (counted as unclassified)",IF(I78="Not in Setup","Reason not in Setup (counted as unclassified)",IF(N(G78)=0,"0 minutes: not counted as a stop","OK")))))))))</f>
        <v/>
      </c>
    </row>
    <row r="79" customFormat="false" ht="15" hidden="false" customHeight="false" outlineLevel="0" collapsed="false">
      <c r="A79" s="11"/>
      <c r="B79" s="9"/>
      <c r="C79" s="9"/>
      <c r="D79" s="12"/>
      <c r="E79" s="12"/>
      <c r="F79" s="13"/>
      <c r="G79" s="14" t="str">
        <f aca="false">IF(F79&lt;&gt;"",IF(AND(ISNUMBER(F79),N(F79)&gt;=0),F79,""),IF(AND(ISNUMBER(D79),ISNUMBER(E79)),ROUND(MOD(E79-D79,1)*1440,0),""))</f>
        <v/>
      </c>
      <c r="H79" s="9"/>
      <c r="I79" s="10" t="str">
        <f aca="false">IF(H79="","",IF(SUMPRODUCT(MAX((Setup!$D$5:$D$34=H79)*(35-ROW(Setup!$D$5:$D$34))))=0,"Not in Setup",INDEX(Setup!$E$5:$E$34,31-SUMPRODUCT(MAX((Setup!$D$5:$D$34=H79)*(35-ROW(Setup!$D$5:$D$34)))))))</f>
        <v/>
      </c>
      <c r="J79" s="9"/>
      <c r="K79" s="10" t="str">
        <f aca="false">IF(AND(A79="",C79="",D79="",E79="",F79="",H79=""),"",IF(NOT(ISNUMBER(A79)),"Enter a date",IF(AND(F79&lt;&gt;"",OR(NOT(ISNUMBER(F79)),N(F79)&lt;0)),"Minutes must be a number of 0 or more",IF(G79="","Enter start and end times, or minutes",IF(C79="","Pick a machine",IF(SUMPRODUCT(--(Setup!$A$5:$A$34=C79))=0,"Machine not in Setup",IF(H79="","Pick a reason (counted as unclassified)",IF(I79="Not in Setup","Reason not in Setup (counted as unclassified)",IF(N(G79)=0,"0 minutes: not counted as a stop","OK")))))))))</f>
        <v/>
      </c>
    </row>
    <row r="80" customFormat="false" ht="15" hidden="false" customHeight="false" outlineLevel="0" collapsed="false">
      <c r="A80" s="11"/>
      <c r="B80" s="9"/>
      <c r="C80" s="9"/>
      <c r="D80" s="12"/>
      <c r="E80" s="12"/>
      <c r="F80" s="13"/>
      <c r="G80" s="14" t="str">
        <f aca="false">IF(F80&lt;&gt;"",IF(AND(ISNUMBER(F80),N(F80)&gt;=0),F80,""),IF(AND(ISNUMBER(D80),ISNUMBER(E80)),ROUND(MOD(E80-D80,1)*1440,0),""))</f>
        <v/>
      </c>
      <c r="H80" s="9"/>
      <c r="I80" s="10" t="str">
        <f aca="false">IF(H80="","",IF(SUMPRODUCT(MAX((Setup!$D$5:$D$34=H80)*(35-ROW(Setup!$D$5:$D$34))))=0,"Not in Setup",INDEX(Setup!$E$5:$E$34,31-SUMPRODUCT(MAX((Setup!$D$5:$D$34=H80)*(35-ROW(Setup!$D$5:$D$34)))))))</f>
        <v/>
      </c>
      <c r="J80" s="9"/>
      <c r="K80" s="10" t="str">
        <f aca="false">IF(AND(A80="",C80="",D80="",E80="",F80="",H80=""),"",IF(NOT(ISNUMBER(A80)),"Enter a date",IF(AND(F80&lt;&gt;"",OR(NOT(ISNUMBER(F80)),N(F80)&lt;0)),"Minutes must be a number of 0 or more",IF(G80="","Enter start and end times, or minutes",IF(C80="","Pick a machine",IF(SUMPRODUCT(--(Setup!$A$5:$A$34=C80))=0,"Machine not in Setup",IF(H80="","Pick a reason (counted as unclassified)",IF(I80="Not in Setup","Reason not in Setup (counted as unclassified)",IF(N(G80)=0,"0 minutes: not counted as a stop","OK")))))))))</f>
        <v/>
      </c>
    </row>
    <row r="81" customFormat="false" ht="15" hidden="false" customHeight="false" outlineLevel="0" collapsed="false">
      <c r="A81" s="11"/>
      <c r="B81" s="9"/>
      <c r="C81" s="9"/>
      <c r="D81" s="12"/>
      <c r="E81" s="12"/>
      <c r="F81" s="13"/>
      <c r="G81" s="14" t="str">
        <f aca="false">IF(F81&lt;&gt;"",IF(AND(ISNUMBER(F81),N(F81)&gt;=0),F81,""),IF(AND(ISNUMBER(D81),ISNUMBER(E81)),ROUND(MOD(E81-D81,1)*1440,0),""))</f>
        <v/>
      </c>
      <c r="H81" s="9"/>
      <c r="I81" s="10" t="str">
        <f aca="false">IF(H81="","",IF(SUMPRODUCT(MAX((Setup!$D$5:$D$34=H81)*(35-ROW(Setup!$D$5:$D$34))))=0,"Not in Setup",INDEX(Setup!$E$5:$E$34,31-SUMPRODUCT(MAX((Setup!$D$5:$D$34=H81)*(35-ROW(Setup!$D$5:$D$34)))))))</f>
        <v/>
      </c>
      <c r="J81" s="9"/>
      <c r="K81" s="10" t="str">
        <f aca="false">IF(AND(A81="",C81="",D81="",E81="",F81="",H81=""),"",IF(NOT(ISNUMBER(A81)),"Enter a date",IF(AND(F81&lt;&gt;"",OR(NOT(ISNUMBER(F81)),N(F81)&lt;0)),"Minutes must be a number of 0 or more",IF(G81="","Enter start and end times, or minutes",IF(C81="","Pick a machine",IF(SUMPRODUCT(--(Setup!$A$5:$A$34=C81))=0,"Machine not in Setup",IF(H81="","Pick a reason (counted as unclassified)",IF(I81="Not in Setup","Reason not in Setup (counted as unclassified)",IF(N(G81)=0,"0 minutes: not counted as a stop","OK")))))))))</f>
        <v/>
      </c>
    </row>
    <row r="82" customFormat="false" ht="15" hidden="false" customHeight="false" outlineLevel="0" collapsed="false">
      <c r="A82" s="11"/>
      <c r="B82" s="9"/>
      <c r="C82" s="9"/>
      <c r="D82" s="12"/>
      <c r="E82" s="12"/>
      <c r="F82" s="13"/>
      <c r="G82" s="14" t="str">
        <f aca="false">IF(F82&lt;&gt;"",IF(AND(ISNUMBER(F82),N(F82)&gt;=0),F82,""),IF(AND(ISNUMBER(D82),ISNUMBER(E82)),ROUND(MOD(E82-D82,1)*1440,0),""))</f>
        <v/>
      </c>
      <c r="H82" s="9"/>
      <c r="I82" s="10" t="str">
        <f aca="false">IF(H82="","",IF(SUMPRODUCT(MAX((Setup!$D$5:$D$34=H82)*(35-ROW(Setup!$D$5:$D$34))))=0,"Not in Setup",INDEX(Setup!$E$5:$E$34,31-SUMPRODUCT(MAX((Setup!$D$5:$D$34=H82)*(35-ROW(Setup!$D$5:$D$34)))))))</f>
        <v/>
      </c>
      <c r="J82" s="9"/>
      <c r="K82" s="10" t="str">
        <f aca="false">IF(AND(A82="",C82="",D82="",E82="",F82="",H82=""),"",IF(NOT(ISNUMBER(A82)),"Enter a date",IF(AND(F82&lt;&gt;"",OR(NOT(ISNUMBER(F82)),N(F82)&lt;0)),"Minutes must be a number of 0 or more",IF(G82="","Enter start and end times, or minutes",IF(C82="","Pick a machine",IF(SUMPRODUCT(--(Setup!$A$5:$A$34=C82))=0,"Machine not in Setup",IF(H82="","Pick a reason (counted as unclassified)",IF(I82="Not in Setup","Reason not in Setup (counted as unclassified)",IF(N(G82)=0,"0 minutes: not counted as a stop","OK")))))))))</f>
        <v/>
      </c>
    </row>
    <row r="83" customFormat="false" ht="15" hidden="false" customHeight="false" outlineLevel="0" collapsed="false">
      <c r="A83" s="11"/>
      <c r="B83" s="9"/>
      <c r="C83" s="9"/>
      <c r="D83" s="12"/>
      <c r="E83" s="12"/>
      <c r="F83" s="13"/>
      <c r="G83" s="14" t="str">
        <f aca="false">IF(F83&lt;&gt;"",IF(AND(ISNUMBER(F83),N(F83)&gt;=0),F83,""),IF(AND(ISNUMBER(D83),ISNUMBER(E83)),ROUND(MOD(E83-D83,1)*1440,0),""))</f>
        <v/>
      </c>
      <c r="H83" s="9"/>
      <c r="I83" s="10" t="str">
        <f aca="false">IF(H83="","",IF(SUMPRODUCT(MAX((Setup!$D$5:$D$34=H83)*(35-ROW(Setup!$D$5:$D$34))))=0,"Not in Setup",INDEX(Setup!$E$5:$E$34,31-SUMPRODUCT(MAX((Setup!$D$5:$D$34=H83)*(35-ROW(Setup!$D$5:$D$34)))))))</f>
        <v/>
      </c>
      <c r="J83" s="9"/>
      <c r="K83" s="10" t="str">
        <f aca="false">IF(AND(A83="",C83="",D83="",E83="",F83="",H83=""),"",IF(NOT(ISNUMBER(A83)),"Enter a date",IF(AND(F83&lt;&gt;"",OR(NOT(ISNUMBER(F83)),N(F83)&lt;0)),"Minutes must be a number of 0 or more",IF(G83="","Enter start and end times, or minutes",IF(C83="","Pick a machine",IF(SUMPRODUCT(--(Setup!$A$5:$A$34=C83))=0,"Machine not in Setup",IF(H83="","Pick a reason (counted as unclassified)",IF(I83="Not in Setup","Reason not in Setup (counted as unclassified)",IF(N(G83)=0,"0 minutes: not counted as a stop","OK")))))))))</f>
        <v/>
      </c>
    </row>
    <row r="84" customFormat="false" ht="15" hidden="false" customHeight="false" outlineLevel="0" collapsed="false">
      <c r="A84" s="11"/>
      <c r="B84" s="9"/>
      <c r="C84" s="9"/>
      <c r="D84" s="12"/>
      <c r="E84" s="12"/>
      <c r="F84" s="13"/>
      <c r="G84" s="14" t="str">
        <f aca="false">IF(F84&lt;&gt;"",IF(AND(ISNUMBER(F84),N(F84)&gt;=0),F84,""),IF(AND(ISNUMBER(D84),ISNUMBER(E84)),ROUND(MOD(E84-D84,1)*1440,0),""))</f>
        <v/>
      </c>
      <c r="H84" s="9"/>
      <c r="I84" s="10" t="str">
        <f aca="false">IF(H84="","",IF(SUMPRODUCT(MAX((Setup!$D$5:$D$34=H84)*(35-ROW(Setup!$D$5:$D$34))))=0,"Not in Setup",INDEX(Setup!$E$5:$E$34,31-SUMPRODUCT(MAX((Setup!$D$5:$D$34=H84)*(35-ROW(Setup!$D$5:$D$34)))))))</f>
        <v/>
      </c>
      <c r="J84" s="9"/>
      <c r="K84" s="10" t="str">
        <f aca="false">IF(AND(A84="",C84="",D84="",E84="",F84="",H84=""),"",IF(NOT(ISNUMBER(A84)),"Enter a date",IF(AND(F84&lt;&gt;"",OR(NOT(ISNUMBER(F84)),N(F84)&lt;0)),"Minutes must be a number of 0 or more",IF(G84="","Enter start and end times, or minutes",IF(C84="","Pick a machine",IF(SUMPRODUCT(--(Setup!$A$5:$A$34=C84))=0,"Machine not in Setup",IF(H84="","Pick a reason (counted as unclassified)",IF(I84="Not in Setup","Reason not in Setup (counted as unclassified)",IF(N(G84)=0,"0 minutes: not counted as a stop","OK")))))))))</f>
        <v/>
      </c>
    </row>
    <row r="85" customFormat="false" ht="15" hidden="false" customHeight="false" outlineLevel="0" collapsed="false">
      <c r="A85" s="11"/>
      <c r="B85" s="9"/>
      <c r="C85" s="9"/>
      <c r="D85" s="12"/>
      <c r="E85" s="12"/>
      <c r="F85" s="13"/>
      <c r="G85" s="14" t="str">
        <f aca="false">IF(F85&lt;&gt;"",IF(AND(ISNUMBER(F85),N(F85)&gt;=0),F85,""),IF(AND(ISNUMBER(D85),ISNUMBER(E85)),ROUND(MOD(E85-D85,1)*1440,0),""))</f>
        <v/>
      </c>
      <c r="H85" s="9"/>
      <c r="I85" s="10" t="str">
        <f aca="false">IF(H85="","",IF(SUMPRODUCT(MAX((Setup!$D$5:$D$34=H85)*(35-ROW(Setup!$D$5:$D$34))))=0,"Not in Setup",INDEX(Setup!$E$5:$E$34,31-SUMPRODUCT(MAX((Setup!$D$5:$D$34=H85)*(35-ROW(Setup!$D$5:$D$34)))))))</f>
        <v/>
      </c>
      <c r="J85" s="9"/>
      <c r="K85" s="10" t="str">
        <f aca="false">IF(AND(A85="",C85="",D85="",E85="",F85="",H85=""),"",IF(NOT(ISNUMBER(A85)),"Enter a date",IF(AND(F85&lt;&gt;"",OR(NOT(ISNUMBER(F85)),N(F85)&lt;0)),"Minutes must be a number of 0 or more",IF(G85="","Enter start and end times, or minutes",IF(C85="","Pick a machine",IF(SUMPRODUCT(--(Setup!$A$5:$A$34=C85))=0,"Machine not in Setup",IF(H85="","Pick a reason (counted as unclassified)",IF(I85="Not in Setup","Reason not in Setup (counted as unclassified)",IF(N(G85)=0,"0 minutes: not counted as a stop","OK")))))))))</f>
        <v/>
      </c>
    </row>
    <row r="86" customFormat="false" ht="15" hidden="false" customHeight="false" outlineLevel="0" collapsed="false">
      <c r="A86" s="11"/>
      <c r="B86" s="9"/>
      <c r="C86" s="9"/>
      <c r="D86" s="12"/>
      <c r="E86" s="12"/>
      <c r="F86" s="13"/>
      <c r="G86" s="14" t="str">
        <f aca="false">IF(F86&lt;&gt;"",IF(AND(ISNUMBER(F86),N(F86)&gt;=0),F86,""),IF(AND(ISNUMBER(D86),ISNUMBER(E86)),ROUND(MOD(E86-D86,1)*1440,0),""))</f>
        <v/>
      </c>
      <c r="H86" s="9"/>
      <c r="I86" s="10" t="str">
        <f aca="false">IF(H86="","",IF(SUMPRODUCT(MAX((Setup!$D$5:$D$34=H86)*(35-ROW(Setup!$D$5:$D$34))))=0,"Not in Setup",INDEX(Setup!$E$5:$E$34,31-SUMPRODUCT(MAX((Setup!$D$5:$D$34=H86)*(35-ROW(Setup!$D$5:$D$34)))))))</f>
        <v/>
      </c>
      <c r="J86" s="9"/>
      <c r="K86" s="10" t="str">
        <f aca="false">IF(AND(A86="",C86="",D86="",E86="",F86="",H86=""),"",IF(NOT(ISNUMBER(A86)),"Enter a date",IF(AND(F86&lt;&gt;"",OR(NOT(ISNUMBER(F86)),N(F86)&lt;0)),"Minutes must be a number of 0 or more",IF(G86="","Enter start and end times, or minutes",IF(C86="","Pick a machine",IF(SUMPRODUCT(--(Setup!$A$5:$A$34=C86))=0,"Machine not in Setup",IF(H86="","Pick a reason (counted as unclassified)",IF(I86="Not in Setup","Reason not in Setup (counted as unclassified)",IF(N(G86)=0,"0 minutes: not counted as a stop","OK")))))))))</f>
        <v/>
      </c>
    </row>
    <row r="87" customFormat="false" ht="15" hidden="false" customHeight="false" outlineLevel="0" collapsed="false">
      <c r="A87" s="11"/>
      <c r="B87" s="9"/>
      <c r="C87" s="9"/>
      <c r="D87" s="12"/>
      <c r="E87" s="12"/>
      <c r="F87" s="13"/>
      <c r="G87" s="14" t="str">
        <f aca="false">IF(F87&lt;&gt;"",IF(AND(ISNUMBER(F87),N(F87)&gt;=0),F87,""),IF(AND(ISNUMBER(D87),ISNUMBER(E87)),ROUND(MOD(E87-D87,1)*1440,0),""))</f>
        <v/>
      </c>
      <c r="H87" s="9"/>
      <c r="I87" s="10" t="str">
        <f aca="false">IF(H87="","",IF(SUMPRODUCT(MAX((Setup!$D$5:$D$34=H87)*(35-ROW(Setup!$D$5:$D$34))))=0,"Not in Setup",INDEX(Setup!$E$5:$E$34,31-SUMPRODUCT(MAX((Setup!$D$5:$D$34=H87)*(35-ROW(Setup!$D$5:$D$34)))))))</f>
        <v/>
      </c>
      <c r="J87" s="9"/>
      <c r="K87" s="10" t="str">
        <f aca="false">IF(AND(A87="",C87="",D87="",E87="",F87="",H87=""),"",IF(NOT(ISNUMBER(A87)),"Enter a date",IF(AND(F87&lt;&gt;"",OR(NOT(ISNUMBER(F87)),N(F87)&lt;0)),"Minutes must be a number of 0 or more",IF(G87="","Enter start and end times, or minutes",IF(C87="","Pick a machine",IF(SUMPRODUCT(--(Setup!$A$5:$A$34=C87))=0,"Machine not in Setup",IF(H87="","Pick a reason (counted as unclassified)",IF(I87="Not in Setup","Reason not in Setup (counted as unclassified)",IF(N(G87)=0,"0 minutes: not counted as a stop","OK")))))))))</f>
        <v/>
      </c>
    </row>
    <row r="88" customFormat="false" ht="15" hidden="false" customHeight="false" outlineLevel="0" collapsed="false">
      <c r="A88" s="11"/>
      <c r="B88" s="9"/>
      <c r="C88" s="9"/>
      <c r="D88" s="12"/>
      <c r="E88" s="12"/>
      <c r="F88" s="13"/>
      <c r="G88" s="14" t="str">
        <f aca="false">IF(F88&lt;&gt;"",IF(AND(ISNUMBER(F88),N(F88)&gt;=0),F88,""),IF(AND(ISNUMBER(D88),ISNUMBER(E88)),ROUND(MOD(E88-D88,1)*1440,0),""))</f>
        <v/>
      </c>
      <c r="H88" s="9"/>
      <c r="I88" s="10" t="str">
        <f aca="false">IF(H88="","",IF(SUMPRODUCT(MAX((Setup!$D$5:$D$34=H88)*(35-ROW(Setup!$D$5:$D$34))))=0,"Not in Setup",INDEX(Setup!$E$5:$E$34,31-SUMPRODUCT(MAX((Setup!$D$5:$D$34=H88)*(35-ROW(Setup!$D$5:$D$34)))))))</f>
        <v/>
      </c>
      <c r="J88" s="9"/>
      <c r="K88" s="10" t="str">
        <f aca="false">IF(AND(A88="",C88="",D88="",E88="",F88="",H88=""),"",IF(NOT(ISNUMBER(A88)),"Enter a date",IF(AND(F88&lt;&gt;"",OR(NOT(ISNUMBER(F88)),N(F88)&lt;0)),"Minutes must be a number of 0 or more",IF(G88="","Enter start and end times, or minutes",IF(C88="","Pick a machine",IF(SUMPRODUCT(--(Setup!$A$5:$A$34=C88))=0,"Machine not in Setup",IF(H88="","Pick a reason (counted as unclassified)",IF(I88="Not in Setup","Reason not in Setup (counted as unclassified)",IF(N(G88)=0,"0 minutes: not counted as a stop","OK")))))))))</f>
        <v/>
      </c>
    </row>
    <row r="89" customFormat="false" ht="15" hidden="false" customHeight="false" outlineLevel="0" collapsed="false">
      <c r="A89" s="11"/>
      <c r="B89" s="9"/>
      <c r="C89" s="9"/>
      <c r="D89" s="12"/>
      <c r="E89" s="12"/>
      <c r="F89" s="13"/>
      <c r="G89" s="14" t="str">
        <f aca="false">IF(F89&lt;&gt;"",IF(AND(ISNUMBER(F89),N(F89)&gt;=0),F89,""),IF(AND(ISNUMBER(D89),ISNUMBER(E89)),ROUND(MOD(E89-D89,1)*1440,0),""))</f>
        <v/>
      </c>
      <c r="H89" s="9"/>
      <c r="I89" s="10" t="str">
        <f aca="false">IF(H89="","",IF(SUMPRODUCT(MAX((Setup!$D$5:$D$34=H89)*(35-ROW(Setup!$D$5:$D$34))))=0,"Not in Setup",INDEX(Setup!$E$5:$E$34,31-SUMPRODUCT(MAX((Setup!$D$5:$D$34=H89)*(35-ROW(Setup!$D$5:$D$34)))))))</f>
        <v/>
      </c>
      <c r="J89" s="9"/>
      <c r="K89" s="10" t="str">
        <f aca="false">IF(AND(A89="",C89="",D89="",E89="",F89="",H89=""),"",IF(NOT(ISNUMBER(A89)),"Enter a date",IF(AND(F89&lt;&gt;"",OR(NOT(ISNUMBER(F89)),N(F89)&lt;0)),"Minutes must be a number of 0 or more",IF(G89="","Enter start and end times, or minutes",IF(C89="","Pick a machine",IF(SUMPRODUCT(--(Setup!$A$5:$A$34=C89))=0,"Machine not in Setup",IF(H89="","Pick a reason (counted as unclassified)",IF(I89="Not in Setup","Reason not in Setup (counted as unclassified)",IF(N(G89)=0,"0 minutes: not counted as a stop","OK")))))))))</f>
        <v/>
      </c>
    </row>
    <row r="90" customFormat="false" ht="15" hidden="false" customHeight="false" outlineLevel="0" collapsed="false">
      <c r="A90" s="11"/>
      <c r="B90" s="9"/>
      <c r="C90" s="9"/>
      <c r="D90" s="12"/>
      <c r="E90" s="12"/>
      <c r="F90" s="13"/>
      <c r="G90" s="14" t="str">
        <f aca="false">IF(F90&lt;&gt;"",IF(AND(ISNUMBER(F90),N(F90)&gt;=0),F90,""),IF(AND(ISNUMBER(D90),ISNUMBER(E90)),ROUND(MOD(E90-D90,1)*1440,0),""))</f>
        <v/>
      </c>
      <c r="H90" s="9"/>
      <c r="I90" s="10" t="str">
        <f aca="false">IF(H90="","",IF(SUMPRODUCT(MAX((Setup!$D$5:$D$34=H90)*(35-ROW(Setup!$D$5:$D$34))))=0,"Not in Setup",INDEX(Setup!$E$5:$E$34,31-SUMPRODUCT(MAX((Setup!$D$5:$D$34=H90)*(35-ROW(Setup!$D$5:$D$34)))))))</f>
        <v/>
      </c>
      <c r="J90" s="9"/>
      <c r="K90" s="10" t="str">
        <f aca="false">IF(AND(A90="",C90="",D90="",E90="",F90="",H90=""),"",IF(NOT(ISNUMBER(A90)),"Enter a date",IF(AND(F90&lt;&gt;"",OR(NOT(ISNUMBER(F90)),N(F90)&lt;0)),"Minutes must be a number of 0 or more",IF(G90="","Enter start and end times, or minutes",IF(C90="","Pick a machine",IF(SUMPRODUCT(--(Setup!$A$5:$A$34=C90))=0,"Machine not in Setup",IF(H90="","Pick a reason (counted as unclassified)",IF(I90="Not in Setup","Reason not in Setup (counted as unclassified)",IF(N(G90)=0,"0 minutes: not counted as a stop","OK")))))))))</f>
        <v/>
      </c>
    </row>
    <row r="91" customFormat="false" ht="15" hidden="false" customHeight="false" outlineLevel="0" collapsed="false">
      <c r="A91" s="11"/>
      <c r="B91" s="9"/>
      <c r="C91" s="9"/>
      <c r="D91" s="12"/>
      <c r="E91" s="12"/>
      <c r="F91" s="13"/>
      <c r="G91" s="14" t="str">
        <f aca="false">IF(F91&lt;&gt;"",IF(AND(ISNUMBER(F91),N(F91)&gt;=0),F91,""),IF(AND(ISNUMBER(D91),ISNUMBER(E91)),ROUND(MOD(E91-D91,1)*1440,0),""))</f>
        <v/>
      </c>
      <c r="H91" s="9"/>
      <c r="I91" s="10" t="str">
        <f aca="false">IF(H91="","",IF(SUMPRODUCT(MAX((Setup!$D$5:$D$34=H91)*(35-ROW(Setup!$D$5:$D$34))))=0,"Not in Setup",INDEX(Setup!$E$5:$E$34,31-SUMPRODUCT(MAX((Setup!$D$5:$D$34=H91)*(35-ROW(Setup!$D$5:$D$34)))))))</f>
        <v/>
      </c>
      <c r="J91" s="9"/>
      <c r="K91" s="10" t="str">
        <f aca="false">IF(AND(A91="",C91="",D91="",E91="",F91="",H91=""),"",IF(NOT(ISNUMBER(A91)),"Enter a date",IF(AND(F91&lt;&gt;"",OR(NOT(ISNUMBER(F91)),N(F91)&lt;0)),"Minutes must be a number of 0 or more",IF(G91="","Enter start and end times, or minutes",IF(C91="","Pick a machine",IF(SUMPRODUCT(--(Setup!$A$5:$A$34=C91))=0,"Machine not in Setup",IF(H91="","Pick a reason (counted as unclassified)",IF(I91="Not in Setup","Reason not in Setup (counted as unclassified)",IF(N(G91)=0,"0 minutes: not counted as a stop","OK")))))))))</f>
        <v/>
      </c>
    </row>
    <row r="92" customFormat="false" ht="15" hidden="false" customHeight="false" outlineLevel="0" collapsed="false">
      <c r="A92" s="11"/>
      <c r="B92" s="9"/>
      <c r="C92" s="9"/>
      <c r="D92" s="12"/>
      <c r="E92" s="12"/>
      <c r="F92" s="13"/>
      <c r="G92" s="14" t="str">
        <f aca="false">IF(F92&lt;&gt;"",IF(AND(ISNUMBER(F92),N(F92)&gt;=0),F92,""),IF(AND(ISNUMBER(D92),ISNUMBER(E92)),ROUND(MOD(E92-D92,1)*1440,0),""))</f>
        <v/>
      </c>
      <c r="H92" s="9"/>
      <c r="I92" s="10" t="str">
        <f aca="false">IF(H92="","",IF(SUMPRODUCT(MAX((Setup!$D$5:$D$34=H92)*(35-ROW(Setup!$D$5:$D$34))))=0,"Not in Setup",INDEX(Setup!$E$5:$E$34,31-SUMPRODUCT(MAX((Setup!$D$5:$D$34=H92)*(35-ROW(Setup!$D$5:$D$34)))))))</f>
        <v/>
      </c>
      <c r="J92" s="9"/>
      <c r="K92" s="10" t="str">
        <f aca="false">IF(AND(A92="",C92="",D92="",E92="",F92="",H92=""),"",IF(NOT(ISNUMBER(A92)),"Enter a date",IF(AND(F92&lt;&gt;"",OR(NOT(ISNUMBER(F92)),N(F92)&lt;0)),"Minutes must be a number of 0 or more",IF(G92="","Enter start and end times, or minutes",IF(C92="","Pick a machine",IF(SUMPRODUCT(--(Setup!$A$5:$A$34=C92))=0,"Machine not in Setup",IF(H92="","Pick a reason (counted as unclassified)",IF(I92="Not in Setup","Reason not in Setup (counted as unclassified)",IF(N(G92)=0,"0 minutes: not counted as a stop","OK")))))))))</f>
        <v/>
      </c>
    </row>
    <row r="93" customFormat="false" ht="15" hidden="false" customHeight="false" outlineLevel="0" collapsed="false">
      <c r="A93" s="11"/>
      <c r="B93" s="9"/>
      <c r="C93" s="9"/>
      <c r="D93" s="12"/>
      <c r="E93" s="12"/>
      <c r="F93" s="13"/>
      <c r="G93" s="14" t="str">
        <f aca="false">IF(F93&lt;&gt;"",IF(AND(ISNUMBER(F93),N(F93)&gt;=0),F93,""),IF(AND(ISNUMBER(D93),ISNUMBER(E93)),ROUND(MOD(E93-D93,1)*1440,0),""))</f>
        <v/>
      </c>
      <c r="H93" s="9"/>
      <c r="I93" s="10" t="str">
        <f aca="false">IF(H93="","",IF(SUMPRODUCT(MAX((Setup!$D$5:$D$34=H93)*(35-ROW(Setup!$D$5:$D$34))))=0,"Not in Setup",INDEX(Setup!$E$5:$E$34,31-SUMPRODUCT(MAX((Setup!$D$5:$D$34=H93)*(35-ROW(Setup!$D$5:$D$34)))))))</f>
        <v/>
      </c>
      <c r="J93" s="9"/>
      <c r="K93" s="10" t="str">
        <f aca="false">IF(AND(A93="",C93="",D93="",E93="",F93="",H93=""),"",IF(NOT(ISNUMBER(A93)),"Enter a date",IF(AND(F93&lt;&gt;"",OR(NOT(ISNUMBER(F93)),N(F93)&lt;0)),"Minutes must be a number of 0 or more",IF(G93="","Enter start and end times, or minutes",IF(C93="","Pick a machine",IF(SUMPRODUCT(--(Setup!$A$5:$A$34=C93))=0,"Machine not in Setup",IF(H93="","Pick a reason (counted as unclassified)",IF(I93="Not in Setup","Reason not in Setup (counted as unclassified)",IF(N(G93)=0,"0 minutes: not counted as a stop","OK")))))))))</f>
        <v/>
      </c>
    </row>
    <row r="94" customFormat="false" ht="15" hidden="false" customHeight="false" outlineLevel="0" collapsed="false">
      <c r="A94" s="11"/>
      <c r="B94" s="9"/>
      <c r="C94" s="9"/>
      <c r="D94" s="12"/>
      <c r="E94" s="12"/>
      <c r="F94" s="13"/>
      <c r="G94" s="14" t="str">
        <f aca="false">IF(F94&lt;&gt;"",IF(AND(ISNUMBER(F94),N(F94)&gt;=0),F94,""),IF(AND(ISNUMBER(D94),ISNUMBER(E94)),ROUND(MOD(E94-D94,1)*1440,0),""))</f>
        <v/>
      </c>
      <c r="H94" s="9"/>
      <c r="I94" s="10" t="str">
        <f aca="false">IF(H94="","",IF(SUMPRODUCT(MAX((Setup!$D$5:$D$34=H94)*(35-ROW(Setup!$D$5:$D$34))))=0,"Not in Setup",INDEX(Setup!$E$5:$E$34,31-SUMPRODUCT(MAX((Setup!$D$5:$D$34=H94)*(35-ROW(Setup!$D$5:$D$34)))))))</f>
        <v/>
      </c>
      <c r="J94" s="9"/>
      <c r="K94" s="10" t="str">
        <f aca="false">IF(AND(A94="",C94="",D94="",E94="",F94="",H94=""),"",IF(NOT(ISNUMBER(A94)),"Enter a date",IF(AND(F94&lt;&gt;"",OR(NOT(ISNUMBER(F94)),N(F94)&lt;0)),"Minutes must be a number of 0 or more",IF(G94="","Enter start and end times, or minutes",IF(C94="","Pick a machine",IF(SUMPRODUCT(--(Setup!$A$5:$A$34=C94))=0,"Machine not in Setup",IF(H94="","Pick a reason (counted as unclassified)",IF(I94="Not in Setup","Reason not in Setup (counted as unclassified)",IF(N(G94)=0,"0 minutes: not counted as a stop","OK")))))))))</f>
        <v/>
      </c>
    </row>
    <row r="95" customFormat="false" ht="15" hidden="false" customHeight="false" outlineLevel="0" collapsed="false">
      <c r="A95" s="11"/>
      <c r="B95" s="9"/>
      <c r="C95" s="9"/>
      <c r="D95" s="12"/>
      <c r="E95" s="12"/>
      <c r="F95" s="13"/>
      <c r="G95" s="14" t="str">
        <f aca="false">IF(F95&lt;&gt;"",IF(AND(ISNUMBER(F95),N(F95)&gt;=0),F95,""),IF(AND(ISNUMBER(D95),ISNUMBER(E95)),ROUND(MOD(E95-D95,1)*1440,0),""))</f>
        <v/>
      </c>
      <c r="H95" s="9"/>
      <c r="I95" s="10" t="str">
        <f aca="false">IF(H95="","",IF(SUMPRODUCT(MAX((Setup!$D$5:$D$34=H95)*(35-ROW(Setup!$D$5:$D$34))))=0,"Not in Setup",INDEX(Setup!$E$5:$E$34,31-SUMPRODUCT(MAX((Setup!$D$5:$D$34=H95)*(35-ROW(Setup!$D$5:$D$34)))))))</f>
        <v/>
      </c>
      <c r="J95" s="9"/>
      <c r="K95" s="10" t="str">
        <f aca="false">IF(AND(A95="",C95="",D95="",E95="",F95="",H95=""),"",IF(NOT(ISNUMBER(A95)),"Enter a date",IF(AND(F95&lt;&gt;"",OR(NOT(ISNUMBER(F95)),N(F95)&lt;0)),"Minutes must be a number of 0 or more",IF(G95="","Enter start and end times, or minutes",IF(C95="","Pick a machine",IF(SUMPRODUCT(--(Setup!$A$5:$A$34=C95))=0,"Machine not in Setup",IF(H95="","Pick a reason (counted as unclassified)",IF(I95="Not in Setup","Reason not in Setup (counted as unclassified)",IF(N(G95)=0,"0 minutes: not counted as a stop","OK")))))))))</f>
        <v/>
      </c>
    </row>
    <row r="96" customFormat="false" ht="15" hidden="false" customHeight="false" outlineLevel="0" collapsed="false">
      <c r="A96" s="11"/>
      <c r="B96" s="9"/>
      <c r="C96" s="9"/>
      <c r="D96" s="12"/>
      <c r="E96" s="12"/>
      <c r="F96" s="13"/>
      <c r="G96" s="14" t="str">
        <f aca="false">IF(F96&lt;&gt;"",IF(AND(ISNUMBER(F96),N(F96)&gt;=0),F96,""),IF(AND(ISNUMBER(D96),ISNUMBER(E96)),ROUND(MOD(E96-D96,1)*1440,0),""))</f>
        <v/>
      </c>
      <c r="H96" s="9"/>
      <c r="I96" s="10" t="str">
        <f aca="false">IF(H96="","",IF(SUMPRODUCT(MAX((Setup!$D$5:$D$34=H96)*(35-ROW(Setup!$D$5:$D$34))))=0,"Not in Setup",INDEX(Setup!$E$5:$E$34,31-SUMPRODUCT(MAX((Setup!$D$5:$D$34=H96)*(35-ROW(Setup!$D$5:$D$34)))))))</f>
        <v/>
      </c>
      <c r="J96" s="9"/>
      <c r="K96" s="10" t="str">
        <f aca="false">IF(AND(A96="",C96="",D96="",E96="",F96="",H96=""),"",IF(NOT(ISNUMBER(A96)),"Enter a date",IF(AND(F96&lt;&gt;"",OR(NOT(ISNUMBER(F96)),N(F96)&lt;0)),"Minutes must be a number of 0 or more",IF(G96="","Enter start and end times, or minutes",IF(C96="","Pick a machine",IF(SUMPRODUCT(--(Setup!$A$5:$A$34=C96))=0,"Machine not in Setup",IF(H96="","Pick a reason (counted as unclassified)",IF(I96="Not in Setup","Reason not in Setup (counted as unclassified)",IF(N(G96)=0,"0 minutes: not counted as a stop","OK")))))))))</f>
        <v/>
      </c>
    </row>
    <row r="97" customFormat="false" ht="15" hidden="false" customHeight="false" outlineLevel="0" collapsed="false">
      <c r="A97" s="11"/>
      <c r="B97" s="9"/>
      <c r="C97" s="9"/>
      <c r="D97" s="12"/>
      <c r="E97" s="12"/>
      <c r="F97" s="13"/>
      <c r="G97" s="14" t="str">
        <f aca="false">IF(F97&lt;&gt;"",IF(AND(ISNUMBER(F97),N(F97)&gt;=0),F97,""),IF(AND(ISNUMBER(D97),ISNUMBER(E97)),ROUND(MOD(E97-D97,1)*1440,0),""))</f>
        <v/>
      </c>
      <c r="H97" s="9"/>
      <c r="I97" s="10" t="str">
        <f aca="false">IF(H97="","",IF(SUMPRODUCT(MAX((Setup!$D$5:$D$34=H97)*(35-ROW(Setup!$D$5:$D$34))))=0,"Not in Setup",INDEX(Setup!$E$5:$E$34,31-SUMPRODUCT(MAX((Setup!$D$5:$D$34=H97)*(35-ROW(Setup!$D$5:$D$34)))))))</f>
        <v/>
      </c>
      <c r="J97" s="9"/>
      <c r="K97" s="10" t="str">
        <f aca="false">IF(AND(A97="",C97="",D97="",E97="",F97="",H97=""),"",IF(NOT(ISNUMBER(A97)),"Enter a date",IF(AND(F97&lt;&gt;"",OR(NOT(ISNUMBER(F97)),N(F97)&lt;0)),"Minutes must be a number of 0 or more",IF(G97="","Enter start and end times, or minutes",IF(C97="","Pick a machine",IF(SUMPRODUCT(--(Setup!$A$5:$A$34=C97))=0,"Machine not in Setup",IF(H97="","Pick a reason (counted as unclassified)",IF(I97="Not in Setup","Reason not in Setup (counted as unclassified)",IF(N(G97)=0,"0 minutes: not counted as a stop","OK")))))))))</f>
        <v/>
      </c>
    </row>
    <row r="98" customFormat="false" ht="15" hidden="false" customHeight="false" outlineLevel="0" collapsed="false">
      <c r="A98" s="11"/>
      <c r="B98" s="9"/>
      <c r="C98" s="9"/>
      <c r="D98" s="12"/>
      <c r="E98" s="12"/>
      <c r="F98" s="13"/>
      <c r="G98" s="14" t="str">
        <f aca="false">IF(F98&lt;&gt;"",IF(AND(ISNUMBER(F98),N(F98)&gt;=0),F98,""),IF(AND(ISNUMBER(D98),ISNUMBER(E98)),ROUND(MOD(E98-D98,1)*1440,0),""))</f>
        <v/>
      </c>
      <c r="H98" s="9"/>
      <c r="I98" s="10" t="str">
        <f aca="false">IF(H98="","",IF(SUMPRODUCT(MAX((Setup!$D$5:$D$34=H98)*(35-ROW(Setup!$D$5:$D$34))))=0,"Not in Setup",INDEX(Setup!$E$5:$E$34,31-SUMPRODUCT(MAX((Setup!$D$5:$D$34=H98)*(35-ROW(Setup!$D$5:$D$34)))))))</f>
        <v/>
      </c>
      <c r="J98" s="9"/>
      <c r="K98" s="10" t="str">
        <f aca="false">IF(AND(A98="",C98="",D98="",E98="",F98="",H98=""),"",IF(NOT(ISNUMBER(A98)),"Enter a date",IF(AND(F98&lt;&gt;"",OR(NOT(ISNUMBER(F98)),N(F98)&lt;0)),"Minutes must be a number of 0 or more",IF(G98="","Enter start and end times, or minutes",IF(C98="","Pick a machine",IF(SUMPRODUCT(--(Setup!$A$5:$A$34=C98))=0,"Machine not in Setup",IF(H98="","Pick a reason (counted as unclassified)",IF(I98="Not in Setup","Reason not in Setup (counted as unclassified)",IF(N(G98)=0,"0 minutes: not counted as a stop","OK")))))))))</f>
        <v/>
      </c>
    </row>
    <row r="99" customFormat="false" ht="15" hidden="false" customHeight="false" outlineLevel="0" collapsed="false">
      <c r="A99" s="11"/>
      <c r="B99" s="9"/>
      <c r="C99" s="9"/>
      <c r="D99" s="12"/>
      <c r="E99" s="12"/>
      <c r="F99" s="13"/>
      <c r="G99" s="14" t="str">
        <f aca="false">IF(F99&lt;&gt;"",IF(AND(ISNUMBER(F99),N(F99)&gt;=0),F99,""),IF(AND(ISNUMBER(D99),ISNUMBER(E99)),ROUND(MOD(E99-D99,1)*1440,0),""))</f>
        <v/>
      </c>
      <c r="H99" s="9"/>
      <c r="I99" s="10" t="str">
        <f aca="false">IF(H99="","",IF(SUMPRODUCT(MAX((Setup!$D$5:$D$34=H99)*(35-ROW(Setup!$D$5:$D$34))))=0,"Not in Setup",INDEX(Setup!$E$5:$E$34,31-SUMPRODUCT(MAX((Setup!$D$5:$D$34=H99)*(35-ROW(Setup!$D$5:$D$34)))))))</f>
        <v/>
      </c>
      <c r="J99" s="9"/>
      <c r="K99" s="10" t="str">
        <f aca="false">IF(AND(A99="",C99="",D99="",E99="",F99="",H99=""),"",IF(NOT(ISNUMBER(A99)),"Enter a date",IF(AND(F99&lt;&gt;"",OR(NOT(ISNUMBER(F99)),N(F99)&lt;0)),"Minutes must be a number of 0 or more",IF(G99="","Enter start and end times, or minutes",IF(C99="","Pick a machine",IF(SUMPRODUCT(--(Setup!$A$5:$A$34=C99))=0,"Machine not in Setup",IF(H99="","Pick a reason (counted as unclassified)",IF(I99="Not in Setup","Reason not in Setup (counted as unclassified)",IF(N(G99)=0,"0 minutes: not counted as a stop","OK")))))))))</f>
        <v/>
      </c>
    </row>
    <row r="100" customFormat="false" ht="15" hidden="false" customHeight="false" outlineLevel="0" collapsed="false">
      <c r="A100" s="11"/>
      <c r="B100" s="9"/>
      <c r="C100" s="9"/>
      <c r="D100" s="12"/>
      <c r="E100" s="12"/>
      <c r="F100" s="13"/>
      <c r="G100" s="14" t="str">
        <f aca="false">IF(F100&lt;&gt;"",IF(AND(ISNUMBER(F100),N(F100)&gt;=0),F100,""),IF(AND(ISNUMBER(D100),ISNUMBER(E100)),ROUND(MOD(E100-D100,1)*1440,0),""))</f>
        <v/>
      </c>
      <c r="H100" s="9"/>
      <c r="I100" s="10" t="str">
        <f aca="false">IF(H100="","",IF(SUMPRODUCT(MAX((Setup!$D$5:$D$34=H100)*(35-ROW(Setup!$D$5:$D$34))))=0,"Not in Setup",INDEX(Setup!$E$5:$E$34,31-SUMPRODUCT(MAX((Setup!$D$5:$D$34=H100)*(35-ROW(Setup!$D$5:$D$34)))))))</f>
        <v/>
      </c>
      <c r="J100" s="9"/>
      <c r="K100" s="10" t="str">
        <f aca="false">IF(AND(A100="",C100="",D100="",E100="",F100="",H100=""),"",IF(NOT(ISNUMBER(A100)),"Enter a date",IF(AND(F100&lt;&gt;"",OR(NOT(ISNUMBER(F100)),N(F100)&lt;0)),"Minutes must be a number of 0 or more",IF(G100="","Enter start and end times, or minutes",IF(C100="","Pick a machine",IF(SUMPRODUCT(--(Setup!$A$5:$A$34=C100))=0,"Machine not in Setup",IF(H100="","Pick a reason (counted as unclassified)",IF(I100="Not in Setup","Reason not in Setup (counted as unclassified)",IF(N(G100)=0,"0 minutes: not counted as a stop","OK")))))))))</f>
        <v/>
      </c>
    </row>
    <row r="101" customFormat="false" ht="15" hidden="false" customHeight="false" outlineLevel="0" collapsed="false">
      <c r="A101" s="11"/>
      <c r="B101" s="9"/>
      <c r="C101" s="9"/>
      <c r="D101" s="12"/>
      <c r="E101" s="12"/>
      <c r="F101" s="13"/>
      <c r="G101" s="14" t="str">
        <f aca="false">IF(F101&lt;&gt;"",IF(AND(ISNUMBER(F101),N(F101)&gt;=0),F101,""),IF(AND(ISNUMBER(D101),ISNUMBER(E101)),ROUND(MOD(E101-D101,1)*1440,0),""))</f>
        <v/>
      </c>
      <c r="H101" s="9"/>
      <c r="I101" s="10" t="str">
        <f aca="false">IF(H101="","",IF(SUMPRODUCT(MAX((Setup!$D$5:$D$34=H101)*(35-ROW(Setup!$D$5:$D$34))))=0,"Not in Setup",INDEX(Setup!$E$5:$E$34,31-SUMPRODUCT(MAX((Setup!$D$5:$D$34=H101)*(35-ROW(Setup!$D$5:$D$34)))))))</f>
        <v/>
      </c>
      <c r="J101" s="9"/>
      <c r="K101" s="10" t="str">
        <f aca="false">IF(AND(A101="",C101="",D101="",E101="",F101="",H101=""),"",IF(NOT(ISNUMBER(A101)),"Enter a date",IF(AND(F101&lt;&gt;"",OR(NOT(ISNUMBER(F101)),N(F101)&lt;0)),"Minutes must be a number of 0 or more",IF(G101="","Enter start and end times, or minutes",IF(C101="","Pick a machine",IF(SUMPRODUCT(--(Setup!$A$5:$A$34=C101))=0,"Machine not in Setup",IF(H101="","Pick a reason (counted as unclassified)",IF(I101="Not in Setup","Reason not in Setup (counted as unclassified)",IF(N(G101)=0,"0 minutes: not counted as a stop","OK")))))))))</f>
        <v/>
      </c>
    </row>
    <row r="102" customFormat="false" ht="15" hidden="false" customHeight="false" outlineLevel="0" collapsed="false">
      <c r="A102" s="11"/>
      <c r="B102" s="9"/>
      <c r="C102" s="9"/>
      <c r="D102" s="12"/>
      <c r="E102" s="12"/>
      <c r="F102" s="13"/>
      <c r="G102" s="14" t="str">
        <f aca="false">IF(F102&lt;&gt;"",IF(AND(ISNUMBER(F102),N(F102)&gt;=0),F102,""),IF(AND(ISNUMBER(D102),ISNUMBER(E102)),ROUND(MOD(E102-D102,1)*1440,0),""))</f>
        <v/>
      </c>
      <c r="H102" s="9"/>
      <c r="I102" s="10" t="str">
        <f aca="false">IF(H102="","",IF(SUMPRODUCT(MAX((Setup!$D$5:$D$34=H102)*(35-ROW(Setup!$D$5:$D$34))))=0,"Not in Setup",INDEX(Setup!$E$5:$E$34,31-SUMPRODUCT(MAX((Setup!$D$5:$D$34=H102)*(35-ROW(Setup!$D$5:$D$34)))))))</f>
        <v/>
      </c>
      <c r="J102" s="9"/>
      <c r="K102" s="10" t="str">
        <f aca="false">IF(AND(A102="",C102="",D102="",E102="",F102="",H102=""),"",IF(NOT(ISNUMBER(A102)),"Enter a date",IF(AND(F102&lt;&gt;"",OR(NOT(ISNUMBER(F102)),N(F102)&lt;0)),"Minutes must be a number of 0 or more",IF(G102="","Enter start and end times, or minutes",IF(C102="","Pick a machine",IF(SUMPRODUCT(--(Setup!$A$5:$A$34=C102))=0,"Machine not in Setup",IF(H102="","Pick a reason (counted as unclassified)",IF(I102="Not in Setup","Reason not in Setup (counted as unclassified)",IF(N(G102)=0,"0 minutes: not counted as a stop","OK")))))))))</f>
        <v/>
      </c>
    </row>
    <row r="103" customFormat="false" ht="15" hidden="false" customHeight="false" outlineLevel="0" collapsed="false">
      <c r="A103" s="11"/>
      <c r="B103" s="9"/>
      <c r="C103" s="9"/>
      <c r="D103" s="12"/>
      <c r="E103" s="12"/>
      <c r="F103" s="13"/>
      <c r="G103" s="14" t="str">
        <f aca="false">IF(F103&lt;&gt;"",IF(AND(ISNUMBER(F103),N(F103)&gt;=0),F103,""),IF(AND(ISNUMBER(D103),ISNUMBER(E103)),ROUND(MOD(E103-D103,1)*1440,0),""))</f>
        <v/>
      </c>
      <c r="H103" s="9"/>
      <c r="I103" s="10" t="str">
        <f aca="false">IF(H103="","",IF(SUMPRODUCT(MAX((Setup!$D$5:$D$34=H103)*(35-ROW(Setup!$D$5:$D$34))))=0,"Not in Setup",INDEX(Setup!$E$5:$E$34,31-SUMPRODUCT(MAX((Setup!$D$5:$D$34=H103)*(35-ROW(Setup!$D$5:$D$34)))))))</f>
        <v/>
      </c>
      <c r="J103" s="9"/>
      <c r="K103" s="10" t="str">
        <f aca="false">IF(AND(A103="",C103="",D103="",E103="",F103="",H103=""),"",IF(NOT(ISNUMBER(A103)),"Enter a date",IF(AND(F103&lt;&gt;"",OR(NOT(ISNUMBER(F103)),N(F103)&lt;0)),"Minutes must be a number of 0 or more",IF(G103="","Enter start and end times, or minutes",IF(C103="","Pick a machine",IF(SUMPRODUCT(--(Setup!$A$5:$A$34=C103))=0,"Machine not in Setup",IF(H103="","Pick a reason (counted as unclassified)",IF(I103="Not in Setup","Reason not in Setup (counted as unclassified)",IF(N(G103)=0,"0 minutes: not counted as a stop","OK")))))))))</f>
        <v/>
      </c>
    </row>
    <row r="104" customFormat="false" ht="15" hidden="false" customHeight="false" outlineLevel="0" collapsed="false">
      <c r="A104" s="11"/>
      <c r="B104" s="9"/>
      <c r="C104" s="9"/>
      <c r="D104" s="12"/>
      <c r="E104" s="12"/>
      <c r="F104" s="13"/>
      <c r="G104" s="14" t="str">
        <f aca="false">IF(F104&lt;&gt;"",IF(AND(ISNUMBER(F104),N(F104)&gt;=0),F104,""),IF(AND(ISNUMBER(D104),ISNUMBER(E104)),ROUND(MOD(E104-D104,1)*1440,0),""))</f>
        <v/>
      </c>
      <c r="H104" s="9"/>
      <c r="I104" s="10" t="str">
        <f aca="false">IF(H104="","",IF(SUMPRODUCT(MAX((Setup!$D$5:$D$34=H104)*(35-ROW(Setup!$D$5:$D$34))))=0,"Not in Setup",INDEX(Setup!$E$5:$E$34,31-SUMPRODUCT(MAX((Setup!$D$5:$D$34=H104)*(35-ROW(Setup!$D$5:$D$34)))))))</f>
        <v/>
      </c>
      <c r="J104" s="9"/>
      <c r="K104" s="10" t="str">
        <f aca="false">IF(AND(A104="",C104="",D104="",E104="",F104="",H104=""),"",IF(NOT(ISNUMBER(A104)),"Enter a date",IF(AND(F104&lt;&gt;"",OR(NOT(ISNUMBER(F104)),N(F104)&lt;0)),"Minutes must be a number of 0 or more",IF(G104="","Enter start and end times, or minutes",IF(C104="","Pick a machine",IF(SUMPRODUCT(--(Setup!$A$5:$A$34=C104))=0,"Machine not in Setup",IF(H104="","Pick a reason (counted as unclassified)",IF(I104="Not in Setup","Reason not in Setup (counted as unclassified)",IF(N(G104)=0,"0 minutes: not counted as a stop","OK")))))))))</f>
        <v/>
      </c>
    </row>
    <row r="105" customFormat="false" ht="15" hidden="false" customHeight="false" outlineLevel="0" collapsed="false">
      <c r="A105" s="11"/>
      <c r="B105" s="9"/>
      <c r="C105" s="9"/>
      <c r="D105" s="12"/>
      <c r="E105" s="12"/>
      <c r="F105" s="13"/>
      <c r="G105" s="14" t="str">
        <f aca="false">IF(F105&lt;&gt;"",IF(AND(ISNUMBER(F105),N(F105)&gt;=0),F105,""),IF(AND(ISNUMBER(D105),ISNUMBER(E105)),ROUND(MOD(E105-D105,1)*1440,0),""))</f>
        <v/>
      </c>
      <c r="H105" s="9"/>
      <c r="I105" s="10" t="str">
        <f aca="false">IF(H105="","",IF(SUMPRODUCT(MAX((Setup!$D$5:$D$34=H105)*(35-ROW(Setup!$D$5:$D$34))))=0,"Not in Setup",INDEX(Setup!$E$5:$E$34,31-SUMPRODUCT(MAX((Setup!$D$5:$D$34=H105)*(35-ROW(Setup!$D$5:$D$34)))))))</f>
        <v/>
      </c>
      <c r="J105" s="9"/>
      <c r="K105" s="10" t="str">
        <f aca="false">IF(AND(A105="",C105="",D105="",E105="",F105="",H105=""),"",IF(NOT(ISNUMBER(A105)),"Enter a date",IF(AND(F105&lt;&gt;"",OR(NOT(ISNUMBER(F105)),N(F105)&lt;0)),"Minutes must be a number of 0 or more",IF(G105="","Enter start and end times, or minutes",IF(C105="","Pick a machine",IF(SUMPRODUCT(--(Setup!$A$5:$A$34=C105))=0,"Machine not in Setup",IF(H105="","Pick a reason (counted as unclassified)",IF(I105="Not in Setup","Reason not in Setup (counted as unclassified)",IF(N(G105)=0,"0 minutes: not counted as a stop","OK")))))))))</f>
        <v/>
      </c>
    </row>
    <row r="106" customFormat="false" ht="15" hidden="false" customHeight="false" outlineLevel="0" collapsed="false">
      <c r="A106" s="11"/>
      <c r="B106" s="9"/>
      <c r="C106" s="9"/>
      <c r="D106" s="12"/>
      <c r="E106" s="12"/>
      <c r="F106" s="13"/>
      <c r="G106" s="14" t="str">
        <f aca="false">IF(F106&lt;&gt;"",IF(AND(ISNUMBER(F106),N(F106)&gt;=0),F106,""),IF(AND(ISNUMBER(D106),ISNUMBER(E106)),ROUND(MOD(E106-D106,1)*1440,0),""))</f>
        <v/>
      </c>
      <c r="H106" s="9"/>
      <c r="I106" s="10" t="str">
        <f aca="false">IF(H106="","",IF(SUMPRODUCT(MAX((Setup!$D$5:$D$34=H106)*(35-ROW(Setup!$D$5:$D$34))))=0,"Not in Setup",INDEX(Setup!$E$5:$E$34,31-SUMPRODUCT(MAX((Setup!$D$5:$D$34=H106)*(35-ROW(Setup!$D$5:$D$34)))))))</f>
        <v/>
      </c>
      <c r="J106" s="9"/>
      <c r="K106" s="10" t="str">
        <f aca="false">IF(AND(A106="",C106="",D106="",E106="",F106="",H106=""),"",IF(NOT(ISNUMBER(A106)),"Enter a date",IF(AND(F106&lt;&gt;"",OR(NOT(ISNUMBER(F106)),N(F106)&lt;0)),"Minutes must be a number of 0 or more",IF(G106="","Enter start and end times, or minutes",IF(C106="","Pick a machine",IF(SUMPRODUCT(--(Setup!$A$5:$A$34=C106))=0,"Machine not in Setup",IF(H106="","Pick a reason (counted as unclassified)",IF(I106="Not in Setup","Reason not in Setup (counted as unclassified)",IF(N(G106)=0,"0 minutes: not counted as a stop","OK")))))))))</f>
        <v/>
      </c>
    </row>
    <row r="107" customFormat="false" ht="15" hidden="false" customHeight="false" outlineLevel="0" collapsed="false">
      <c r="A107" s="11"/>
      <c r="B107" s="9"/>
      <c r="C107" s="9"/>
      <c r="D107" s="12"/>
      <c r="E107" s="12"/>
      <c r="F107" s="13"/>
      <c r="G107" s="14" t="str">
        <f aca="false">IF(F107&lt;&gt;"",IF(AND(ISNUMBER(F107),N(F107)&gt;=0),F107,""),IF(AND(ISNUMBER(D107),ISNUMBER(E107)),ROUND(MOD(E107-D107,1)*1440,0),""))</f>
        <v/>
      </c>
      <c r="H107" s="9"/>
      <c r="I107" s="10" t="str">
        <f aca="false">IF(H107="","",IF(SUMPRODUCT(MAX((Setup!$D$5:$D$34=H107)*(35-ROW(Setup!$D$5:$D$34))))=0,"Not in Setup",INDEX(Setup!$E$5:$E$34,31-SUMPRODUCT(MAX((Setup!$D$5:$D$34=H107)*(35-ROW(Setup!$D$5:$D$34)))))))</f>
        <v/>
      </c>
      <c r="J107" s="9"/>
      <c r="K107" s="10" t="str">
        <f aca="false">IF(AND(A107="",C107="",D107="",E107="",F107="",H107=""),"",IF(NOT(ISNUMBER(A107)),"Enter a date",IF(AND(F107&lt;&gt;"",OR(NOT(ISNUMBER(F107)),N(F107)&lt;0)),"Minutes must be a number of 0 or more",IF(G107="","Enter start and end times, or minutes",IF(C107="","Pick a machine",IF(SUMPRODUCT(--(Setup!$A$5:$A$34=C107))=0,"Machine not in Setup",IF(H107="","Pick a reason (counted as unclassified)",IF(I107="Not in Setup","Reason not in Setup (counted as unclassified)",IF(N(G107)=0,"0 minutes: not counted as a stop","OK")))))))))</f>
        <v/>
      </c>
    </row>
    <row r="108" customFormat="false" ht="15" hidden="false" customHeight="false" outlineLevel="0" collapsed="false">
      <c r="A108" s="11"/>
      <c r="B108" s="9"/>
      <c r="C108" s="9"/>
      <c r="D108" s="12"/>
      <c r="E108" s="12"/>
      <c r="F108" s="13"/>
      <c r="G108" s="14" t="str">
        <f aca="false">IF(F108&lt;&gt;"",IF(AND(ISNUMBER(F108),N(F108)&gt;=0),F108,""),IF(AND(ISNUMBER(D108),ISNUMBER(E108)),ROUND(MOD(E108-D108,1)*1440,0),""))</f>
        <v/>
      </c>
      <c r="H108" s="9"/>
      <c r="I108" s="10" t="str">
        <f aca="false">IF(H108="","",IF(SUMPRODUCT(MAX((Setup!$D$5:$D$34=H108)*(35-ROW(Setup!$D$5:$D$34))))=0,"Not in Setup",INDEX(Setup!$E$5:$E$34,31-SUMPRODUCT(MAX((Setup!$D$5:$D$34=H108)*(35-ROW(Setup!$D$5:$D$34)))))))</f>
        <v/>
      </c>
      <c r="J108" s="9"/>
      <c r="K108" s="10" t="str">
        <f aca="false">IF(AND(A108="",C108="",D108="",E108="",F108="",H108=""),"",IF(NOT(ISNUMBER(A108)),"Enter a date",IF(AND(F108&lt;&gt;"",OR(NOT(ISNUMBER(F108)),N(F108)&lt;0)),"Minutes must be a number of 0 or more",IF(G108="","Enter start and end times, or minutes",IF(C108="","Pick a machine",IF(SUMPRODUCT(--(Setup!$A$5:$A$34=C108))=0,"Machine not in Setup",IF(H108="","Pick a reason (counted as unclassified)",IF(I108="Not in Setup","Reason not in Setup (counted as unclassified)",IF(N(G108)=0,"0 minutes: not counted as a stop","OK")))))))))</f>
        <v/>
      </c>
    </row>
    <row r="109" customFormat="false" ht="15" hidden="false" customHeight="false" outlineLevel="0" collapsed="false">
      <c r="A109" s="11"/>
      <c r="B109" s="9"/>
      <c r="C109" s="9"/>
      <c r="D109" s="12"/>
      <c r="E109" s="12"/>
      <c r="F109" s="13"/>
      <c r="G109" s="14" t="str">
        <f aca="false">IF(F109&lt;&gt;"",IF(AND(ISNUMBER(F109),N(F109)&gt;=0),F109,""),IF(AND(ISNUMBER(D109),ISNUMBER(E109)),ROUND(MOD(E109-D109,1)*1440,0),""))</f>
        <v/>
      </c>
      <c r="H109" s="9"/>
      <c r="I109" s="10" t="str">
        <f aca="false">IF(H109="","",IF(SUMPRODUCT(MAX((Setup!$D$5:$D$34=H109)*(35-ROW(Setup!$D$5:$D$34))))=0,"Not in Setup",INDEX(Setup!$E$5:$E$34,31-SUMPRODUCT(MAX((Setup!$D$5:$D$34=H109)*(35-ROW(Setup!$D$5:$D$34)))))))</f>
        <v/>
      </c>
      <c r="J109" s="9"/>
      <c r="K109" s="10" t="str">
        <f aca="false">IF(AND(A109="",C109="",D109="",E109="",F109="",H109=""),"",IF(NOT(ISNUMBER(A109)),"Enter a date",IF(AND(F109&lt;&gt;"",OR(NOT(ISNUMBER(F109)),N(F109)&lt;0)),"Minutes must be a number of 0 or more",IF(G109="","Enter start and end times, or minutes",IF(C109="","Pick a machine",IF(SUMPRODUCT(--(Setup!$A$5:$A$34=C109))=0,"Machine not in Setup",IF(H109="","Pick a reason (counted as unclassified)",IF(I109="Not in Setup","Reason not in Setup (counted as unclassified)",IF(N(G109)=0,"0 minutes: not counted as a stop","OK")))))))))</f>
        <v/>
      </c>
    </row>
    <row r="110" customFormat="false" ht="15" hidden="false" customHeight="false" outlineLevel="0" collapsed="false">
      <c r="A110" s="11"/>
      <c r="B110" s="9"/>
      <c r="C110" s="9"/>
      <c r="D110" s="12"/>
      <c r="E110" s="12"/>
      <c r="F110" s="13"/>
      <c r="G110" s="14" t="str">
        <f aca="false">IF(F110&lt;&gt;"",IF(AND(ISNUMBER(F110),N(F110)&gt;=0),F110,""),IF(AND(ISNUMBER(D110),ISNUMBER(E110)),ROUND(MOD(E110-D110,1)*1440,0),""))</f>
        <v/>
      </c>
      <c r="H110" s="9"/>
      <c r="I110" s="10" t="str">
        <f aca="false">IF(H110="","",IF(SUMPRODUCT(MAX((Setup!$D$5:$D$34=H110)*(35-ROW(Setup!$D$5:$D$34))))=0,"Not in Setup",INDEX(Setup!$E$5:$E$34,31-SUMPRODUCT(MAX((Setup!$D$5:$D$34=H110)*(35-ROW(Setup!$D$5:$D$34)))))))</f>
        <v/>
      </c>
      <c r="J110" s="9"/>
      <c r="K110" s="10" t="str">
        <f aca="false">IF(AND(A110="",C110="",D110="",E110="",F110="",H110=""),"",IF(NOT(ISNUMBER(A110)),"Enter a date",IF(AND(F110&lt;&gt;"",OR(NOT(ISNUMBER(F110)),N(F110)&lt;0)),"Minutes must be a number of 0 or more",IF(G110="","Enter start and end times, or minutes",IF(C110="","Pick a machine",IF(SUMPRODUCT(--(Setup!$A$5:$A$34=C110))=0,"Machine not in Setup",IF(H110="","Pick a reason (counted as unclassified)",IF(I110="Not in Setup","Reason not in Setup (counted as unclassified)",IF(N(G110)=0,"0 minutes: not counted as a stop","OK")))))))))</f>
        <v/>
      </c>
    </row>
    <row r="111" customFormat="false" ht="15" hidden="false" customHeight="false" outlineLevel="0" collapsed="false">
      <c r="A111" s="11"/>
      <c r="B111" s="9"/>
      <c r="C111" s="9"/>
      <c r="D111" s="12"/>
      <c r="E111" s="12"/>
      <c r="F111" s="13"/>
      <c r="G111" s="14" t="str">
        <f aca="false">IF(F111&lt;&gt;"",IF(AND(ISNUMBER(F111),N(F111)&gt;=0),F111,""),IF(AND(ISNUMBER(D111),ISNUMBER(E111)),ROUND(MOD(E111-D111,1)*1440,0),""))</f>
        <v/>
      </c>
      <c r="H111" s="9"/>
      <c r="I111" s="10" t="str">
        <f aca="false">IF(H111="","",IF(SUMPRODUCT(MAX((Setup!$D$5:$D$34=H111)*(35-ROW(Setup!$D$5:$D$34))))=0,"Not in Setup",INDEX(Setup!$E$5:$E$34,31-SUMPRODUCT(MAX((Setup!$D$5:$D$34=H111)*(35-ROW(Setup!$D$5:$D$34)))))))</f>
        <v/>
      </c>
      <c r="J111" s="9"/>
      <c r="K111" s="10" t="str">
        <f aca="false">IF(AND(A111="",C111="",D111="",E111="",F111="",H111=""),"",IF(NOT(ISNUMBER(A111)),"Enter a date",IF(AND(F111&lt;&gt;"",OR(NOT(ISNUMBER(F111)),N(F111)&lt;0)),"Minutes must be a number of 0 or more",IF(G111="","Enter start and end times, or minutes",IF(C111="","Pick a machine",IF(SUMPRODUCT(--(Setup!$A$5:$A$34=C111))=0,"Machine not in Setup",IF(H111="","Pick a reason (counted as unclassified)",IF(I111="Not in Setup","Reason not in Setup (counted as unclassified)",IF(N(G111)=0,"0 minutes: not counted as a stop","OK")))))))))</f>
        <v/>
      </c>
    </row>
    <row r="112" customFormat="false" ht="15" hidden="false" customHeight="false" outlineLevel="0" collapsed="false">
      <c r="A112" s="11"/>
      <c r="B112" s="9"/>
      <c r="C112" s="9"/>
      <c r="D112" s="12"/>
      <c r="E112" s="12"/>
      <c r="F112" s="13"/>
      <c r="G112" s="14" t="str">
        <f aca="false">IF(F112&lt;&gt;"",IF(AND(ISNUMBER(F112),N(F112)&gt;=0),F112,""),IF(AND(ISNUMBER(D112),ISNUMBER(E112)),ROUND(MOD(E112-D112,1)*1440,0),""))</f>
        <v/>
      </c>
      <c r="H112" s="9"/>
      <c r="I112" s="10" t="str">
        <f aca="false">IF(H112="","",IF(SUMPRODUCT(MAX((Setup!$D$5:$D$34=H112)*(35-ROW(Setup!$D$5:$D$34))))=0,"Not in Setup",INDEX(Setup!$E$5:$E$34,31-SUMPRODUCT(MAX((Setup!$D$5:$D$34=H112)*(35-ROW(Setup!$D$5:$D$34)))))))</f>
        <v/>
      </c>
      <c r="J112" s="9"/>
      <c r="K112" s="10" t="str">
        <f aca="false">IF(AND(A112="",C112="",D112="",E112="",F112="",H112=""),"",IF(NOT(ISNUMBER(A112)),"Enter a date",IF(AND(F112&lt;&gt;"",OR(NOT(ISNUMBER(F112)),N(F112)&lt;0)),"Minutes must be a number of 0 or more",IF(G112="","Enter start and end times, or minutes",IF(C112="","Pick a machine",IF(SUMPRODUCT(--(Setup!$A$5:$A$34=C112))=0,"Machine not in Setup",IF(H112="","Pick a reason (counted as unclassified)",IF(I112="Not in Setup","Reason not in Setup (counted as unclassified)",IF(N(G112)=0,"0 minutes: not counted as a stop","OK")))))))))</f>
        <v/>
      </c>
    </row>
    <row r="113" customFormat="false" ht="15" hidden="false" customHeight="false" outlineLevel="0" collapsed="false">
      <c r="A113" s="11"/>
      <c r="B113" s="9"/>
      <c r="C113" s="9"/>
      <c r="D113" s="12"/>
      <c r="E113" s="12"/>
      <c r="F113" s="13"/>
      <c r="G113" s="14" t="str">
        <f aca="false">IF(F113&lt;&gt;"",IF(AND(ISNUMBER(F113),N(F113)&gt;=0),F113,""),IF(AND(ISNUMBER(D113),ISNUMBER(E113)),ROUND(MOD(E113-D113,1)*1440,0),""))</f>
        <v/>
      </c>
      <c r="H113" s="9"/>
      <c r="I113" s="10" t="str">
        <f aca="false">IF(H113="","",IF(SUMPRODUCT(MAX((Setup!$D$5:$D$34=H113)*(35-ROW(Setup!$D$5:$D$34))))=0,"Not in Setup",INDEX(Setup!$E$5:$E$34,31-SUMPRODUCT(MAX((Setup!$D$5:$D$34=H113)*(35-ROW(Setup!$D$5:$D$34)))))))</f>
        <v/>
      </c>
      <c r="J113" s="9"/>
      <c r="K113" s="10" t="str">
        <f aca="false">IF(AND(A113="",C113="",D113="",E113="",F113="",H113=""),"",IF(NOT(ISNUMBER(A113)),"Enter a date",IF(AND(F113&lt;&gt;"",OR(NOT(ISNUMBER(F113)),N(F113)&lt;0)),"Minutes must be a number of 0 or more",IF(G113="","Enter start and end times, or minutes",IF(C113="","Pick a machine",IF(SUMPRODUCT(--(Setup!$A$5:$A$34=C113))=0,"Machine not in Setup",IF(H113="","Pick a reason (counted as unclassified)",IF(I113="Not in Setup","Reason not in Setup (counted as unclassified)",IF(N(G113)=0,"0 minutes: not counted as a stop","OK")))))))))</f>
        <v/>
      </c>
    </row>
    <row r="114" customFormat="false" ht="15" hidden="false" customHeight="false" outlineLevel="0" collapsed="false">
      <c r="A114" s="11"/>
      <c r="B114" s="9"/>
      <c r="C114" s="9"/>
      <c r="D114" s="12"/>
      <c r="E114" s="12"/>
      <c r="F114" s="13"/>
      <c r="G114" s="14" t="str">
        <f aca="false">IF(F114&lt;&gt;"",IF(AND(ISNUMBER(F114),N(F114)&gt;=0),F114,""),IF(AND(ISNUMBER(D114),ISNUMBER(E114)),ROUND(MOD(E114-D114,1)*1440,0),""))</f>
        <v/>
      </c>
      <c r="H114" s="9"/>
      <c r="I114" s="10" t="str">
        <f aca="false">IF(H114="","",IF(SUMPRODUCT(MAX((Setup!$D$5:$D$34=H114)*(35-ROW(Setup!$D$5:$D$34))))=0,"Not in Setup",INDEX(Setup!$E$5:$E$34,31-SUMPRODUCT(MAX((Setup!$D$5:$D$34=H114)*(35-ROW(Setup!$D$5:$D$34)))))))</f>
        <v/>
      </c>
      <c r="J114" s="9"/>
      <c r="K114" s="10" t="str">
        <f aca="false">IF(AND(A114="",C114="",D114="",E114="",F114="",H114=""),"",IF(NOT(ISNUMBER(A114)),"Enter a date",IF(AND(F114&lt;&gt;"",OR(NOT(ISNUMBER(F114)),N(F114)&lt;0)),"Minutes must be a number of 0 or more",IF(G114="","Enter start and end times, or minutes",IF(C114="","Pick a machine",IF(SUMPRODUCT(--(Setup!$A$5:$A$34=C114))=0,"Machine not in Setup",IF(H114="","Pick a reason (counted as unclassified)",IF(I114="Not in Setup","Reason not in Setup (counted as unclassified)",IF(N(G114)=0,"0 minutes: not counted as a stop","OK")))))))))</f>
        <v/>
      </c>
    </row>
    <row r="115" customFormat="false" ht="15" hidden="false" customHeight="false" outlineLevel="0" collapsed="false">
      <c r="A115" s="11"/>
      <c r="B115" s="9"/>
      <c r="C115" s="9"/>
      <c r="D115" s="12"/>
      <c r="E115" s="12"/>
      <c r="F115" s="13"/>
      <c r="G115" s="14" t="str">
        <f aca="false">IF(F115&lt;&gt;"",IF(AND(ISNUMBER(F115),N(F115)&gt;=0),F115,""),IF(AND(ISNUMBER(D115),ISNUMBER(E115)),ROUND(MOD(E115-D115,1)*1440,0),""))</f>
        <v/>
      </c>
      <c r="H115" s="9"/>
      <c r="I115" s="10" t="str">
        <f aca="false">IF(H115="","",IF(SUMPRODUCT(MAX((Setup!$D$5:$D$34=H115)*(35-ROW(Setup!$D$5:$D$34))))=0,"Not in Setup",INDEX(Setup!$E$5:$E$34,31-SUMPRODUCT(MAX((Setup!$D$5:$D$34=H115)*(35-ROW(Setup!$D$5:$D$34)))))))</f>
        <v/>
      </c>
      <c r="J115" s="9"/>
      <c r="K115" s="10" t="str">
        <f aca="false">IF(AND(A115="",C115="",D115="",E115="",F115="",H115=""),"",IF(NOT(ISNUMBER(A115)),"Enter a date",IF(AND(F115&lt;&gt;"",OR(NOT(ISNUMBER(F115)),N(F115)&lt;0)),"Minutes must be a number of 0 or more",IF(G115="","Enter start and end times, or minutes",IF(C115="","Pick a machine",IF(SUMPRODUCT(--(Setup!$A$5:$A$34=C115))=0,"Machine not in Setup",IF(H115="","Pick a reason (counted as unclassified)",IF(I115="Not in Setup","Reason not in Setup (counted as unclassified)",IF(N(G115)=0,"0 minutes: not counted as a stop","OK")))))))))</f>
        <v/>
      </c>
    </row>
    <row r="116" customFormat="false" ht="15" hidden="false" customHeight="false" outlineLevel="0" collapsed="false">
      <c r="A116" s="11"/>
      <c r="B116" s="9"/>
      <c r="C116" s="9"/>
      <c r="D116" s="12"/>
      <c r="E116" s="12"/>
      <c r="F116" s="13"/>
      <c r="G116" s="14" t="str">
        <f aca="false">IF(F116&lt;&gt;"",IF(AND(ISNUMBER(F116),N(F116)&gt;=0),F116,""),IF(AND(ISNUMBER(D116),ISNUMBER(E116)),ROUND(MOD(E116-D116,1)*1440,0),""))</f>
        <v/>
      </c>
      <c r="H116" s="9"/>
      <c r="I116" s="10" t="str">
        <f aca="false">IF(H116="","",IF(SUMPRODUCT(MAX((Setup!$D$5:$D$34=H116)*(35-ROW(Setup!$D$5:$D$34))))=0,"Not in Setup",INDEX(Setup!$E$5:$E$34,31-SUMPRODUCT(MAX((Setup!$D$5:$D$34=H116)*(35-ROW(Setup!$D$5:$D$34)))))))</f>
        <v/>
      </c>
      <c r="J116" s="9"/>
      <c r="K116" s="10" t="str">
        <f aca="false">IF(AND(A116="",C116="",D116="",E116="",F116="",H116=""),"",IF(NOT(ISNUMBER(A116)),"Enter a date",IF(AND(F116&lt;&gt;"",OR(NOT(ISNUMBER(F116)),N(F116)&lt;0)),"Minutes must be a number of 0 or more",IF(G116="","Enter start and end times, or minutes",IF(C116="","Pick a machine",IF(SUMPRODUCT(--(Setup!$A$5:$A$34=C116))=0,"Machine not in Setup",IF(H116="","Pick a reason (counted as unclassified)",IF(I116="Not in Setup","Reason not in Setup (counted as unclassified)",IF(N(G116)=0,"0 minutes: not counted as a stop","OK")))))))))</f>
        <v/>
      </c>
    </row>
    <row r="117" customFormat="false" ht="15" hidden="false" customHeight="false" outlineLevel="0" collapsed="false">
      <c r="A117" s="11"/>
      <c r="B117" s="9"/>
      <c r="C117" s="9"/>
      <c r="D117" s="12"/>
      <c r="E117" s="12"/>
      <c r="F117" s="13"/>
      <c r="G117" s="14" t="str">
        <f aca="false">IF(F117&lt;&gt;"",IF(AND(ISNUMBER(F117),N(F117)&gt;=0),F117,""),IF(AND(ISNUMBER(D117),ISNUMBER(E117)),ROUND(MOD(E117-D117,1)*1440,0),""))</f>
        <v/>
      </c>
      <c r="H117" s="9"/>
      <c r="I117" s="10" t="str">
        <f aca="false">IF(H117="","",IF(SUMPRODUCT(MAX((Setup!$D$5:$D$34=H117)*(35-ROW(Setup!$D$5:$D$34))))=0,"Not in Setup",INDEX(Setup!$E$5:$E$34,31-SUMPRODUCT(MAX((Setup!$D$5:$D$34=H117)*(35-ROW(Setup!$D$5:$D$34)))))))</f>
        <v/>
      </c>
      <c r="J117" s="9"/>
      <c r="K117" s="10" t="str">
        <f aca="false">IF(AND(A117="",C117="",D117="",E117="",F117="",H117=""),"",IF(NOT(ISNUMBER(A117)),"Enter a date",IF(AND(F117&lt;&gt;"",OR(NOT(ISNUMBER(F117)),N(F117)&lt;0)),"Minutes must be a number of 0 or more",IF(G117="","Enter start and end times, or minutes",IF(C117="","Pick a machine",IF(SUMPRODUCT(--(Setup!$A$5:$A$34=C117))=0,"Machine not in Setup",IF(H117="","Pick a reason (counted as unclassified)",IF(I117="Not in Setup","Reason not in Setup (counted as unclassified)",IF(N(G117)=0,"0 minutes: not counted as a stop","OK")))))))))</f>
        <v/>
      </c>
    </row>
    <row r="118" customFormat="false" ht="15" hidden="false" customHeight="false" outlineLevel="0" collapsed="false">
      <c r="A118" s="11"/>
      <c r="B118" s="9"/>
      <c r="C118" s="9"/>
      <c r="D118" s="12"/>
      <c r="E118" s="12"/>
      <c r="F118" s="13"/>
      <c r="G118" s="14" t="str">
        <f aca="false">IF(F118&lt;&gt;"",IF(AND(ISNUMBER(F118),N(F118)&gt;=0),F118,""),IF(AND(ISNUMBER(D118),ISNUMBER(E118)),ROUND(MOD(E118-D118,1)*1440,0),""))</f>
        <v/>
      </c>
      <c r="H118" s="9"/>
      <c r="I118" s="10" t="str">
        <f aca="false">IF(H118="","",IF(SUMPRODUCT(MAX((Setup!$D$5:$D$34=H118)*(35-ROW(Setup!$D$5:$D$34))))=0,"Not in Setup",INDEX(Setup!$E$5:$E$34,31-SUMPRODUCT(MAX((Setup!$D$5:$D$34=H118)*(35-ROW(Setup!$D$5:$D$34)))))))</f>
        <v/>
      </c>
      <c r="J118" s="9"/>
      <c r="K118" s="10" t="str">
        <f aca="false">IF(AND(A118="",C118="",D118="",E118="",F118="",H118=""),"",IF(NOT(ISNUMBER(A118)),"Enter a date",IF(AND(F118&lt;&gt;"",OR(NOT(ISNUMBER(F118)),N(F118)&lt;0)),"Minutes must be a number of 0 or more",IF(G118="","Enter start and end times, or minutes",IF(C118="","Pick a machine",IF(SUMPRODUCT(--(Setup!$A$5:$A$34=C118))=0,"Machine not in Setup",IF(H118="","Pick a reason (counted as unclassified)",IF(I118="Not in Setup","Reason not in Setup (counted as unclassified)",IF(N(G118)=0,"0 minutes: not counted as a stop","OK")))))))))</f>
        <v/>
      </c>
    </row>
    <row r="119" customFormat="false" ht="15" hidden="false" customHeight="false" outlineLevel="0" collapsed="false">
      <c r="A119" s="11"/>
      <c r="B119" s="9"/>
      <c r="C119" s="9"/>
      <c r="D119" s="12"/>
      <c r="E119" s="12"/>
      <c r="F119" s="13"/>
      <c r="G119" s="14" t="str">
        <f aca="false">IF(F119&lt;&gt;"",IF(AND(ISNUMBER(F119),N(F119)&gt;=0),F119,""),IF(AND(ISNUMBER(D119),ISNUMBER(E119)),ROUND(MOD(E119-D119,1)*1440,0),""))</f>
        <v/>
      </c>
      <c r="H119" s="9"/>
      <c r="I119" s="10" t="str">
        <f aca="false">IF(H119="","",IF(SUMPRODUCT(MAX((Setup!$D$5:$D$34=H119)*(35-ROW(Setup!$D$5:$D$34))))=0,"Not in Setup",INDEX(Setup!$E$5:$E$34,31-SUMPRODUCT(MAX((Setup!$D$5:$D$34=H119)*(35-ROW(Setup!$D$5:$D$34)))))))</f>
        <v/>
      </c>
      <c r="J119" s="9"/>
      <c r="K119" s="10" t="str">
        <f aca="false">IF(AND(A119="",C119="",D119="",E119="",F119="",H119=""),"",IF(NOT(ISNUMBER(A119)),"Enter a date",IF(AND(F119&lt;&gt;"",OR(NOT(ISNUMBER(F119)),N(F119)&lt;0)),"Minutes must be a number of 0 or more",IF(G119="","Enter start and end times, or minutes",IF(C119="","Pick a machine",IF(SUMPRODUCT(--(Setup!$A$5:$A$34=C119))=0,"Machine not in Setup",IF(H119="","Pick a reason (counted as unclassified)",IF(I119="Not in Setup","Reason not in Setup (counted as unclassified)",IF(N(G119)=0,"0 minutes: not counted as a stop","OK")))))))))</f>
        <v/>
      </c>
    </row>
    <row r="120" customFormat="false" ht="15" hidden="false" customHeight="false" outlineLevel="0" collapsed="false">
      <c r="A120" s="11"/>
      <c r="B120" s="9"/>
      <c r="C120" s="9"/>
      <c r="D120" s="12"/>
      <c r="E120" s="12"/>
      <c r="F120" s="13"/>
      <c r="G120" s="14" t="str">
        <f aca="false">IF(F120&lt;&gt;"",IF(AND(ISNUMBER(F120),N(F120)&gt;=0),F120,""),IF(AND(ISNUMBER(D120),ISNUMBER(E120)),ROUND(MOD(E120-D120,1)*1440,0),""))</f>
        <v/>
      </c>
      <c r="H120" s="9"/>
      <c r="I120" s="10" t="str">
        <f aca="false">IF(H120="","",IF(SUMPRODUCT(MAX((Setup!$D$5:$D$34=H120)*(35-ROW(Setup!$D$5:$D$34))))=0,"Not in Setup",INDEX(Setup!$E$5:$E$34,31-SUMPRODUCT(MAX((Setup!$D$5:$D$34=H120)*(35-ROW(Setup!$D$5:$D$34)))))))</f>
        <v/>
      </c>
      <c r="J120" s="9"/>
      <c r="K120" s="10" t="str">
        <f aca="false">IF(AND(A120="",C120="",D120="",E120="",F120="",H120=""),"",IF(NOT(ISNUMBER(A120)),"Enter a date",IF(AND(F120&lt;&gt;"",OR(NOT(ISNUMBER(F120)),N(F120)&lt;0)),"Minutes must be a number of 0 or more",IF(G120="","Enter start and end times, or minutes",IF(C120="","Pick a machine",IF(SUMPRODUCT(--(Setup!$A$5:$A$34=C120))=0,"Machine not in Setup",IF(H120="","Pick a reason (counted as unclassified)",IF(I120="Not in Setup","Reason not in Setup (counted as unclassified)",IF(N(G120)=0,"0 minutes: not counted as a stop","OK")))))))))</f>
        <v/>
      </c>
    </row>
    <row r="121" customFormat="false" ht="15" hidden="false" customHeight="false" outlineLevel="0" collapsed="false">
      <c r="A121" s="11"/>
      <c r="B121" s="9"/>
      <c r="C121" s="9"/>
      <c r="D121" s="12"/>
      <c r="E121" s="12"/>
      <c r="F121" s="13"/>
      <c r="G121" s="14" t="str">
        <f aca="false">IF(F121&lt;&gt;"",IF(AND(ISNUMBER(F121),N(F121)&gt;=0),F121,""),IF(AND(ISNUMBER(D121),ISNUMBER(E121)),ROUND(MOD(E121-D121,1)*1440,0),""))</f>
        <v/>
      </c>
      <c r="H121" s="9"/>
      <c r="I121" s="10" t="str">
        <f aca="false">IF(H121="","",IF(SUMPRODUCT(MAX((Setup!$D$5:$D$34=H121)*(35-ROW(Setup!$D$5:$D$34))))=0,"Not in Setup",INDEX(Setup!$E$5:$E$34,31-SUMPRODUCT(MAX((Setup!$D$5:$D$34=H121)*(35-ROW(Setup!$D$5:$D$34)))))))</f>
        <v/>
      </c>
      <c r="J121" s="9"/>
      <c r="K121" s="10" t="str">
        <f aca="false">IF(AND(A121="",C121="",D121="",E121="",F121="",H121=""),"",IF(NOT(ISNUMBER(A121)),"Enter a date",IF(AND(F121&lt;&gt;"",OR(NOT(ISNUMBER(F121)),N(F121)&lt;0)),"Minutes must be a number of 0 or more",IF(G121="","Enter start and end times, or minutes",IF(C121="","Pick a machine",IF(SUMPRODUCT(--(Setup!$A$5:$A$34=C121))=0,"Machine not in Setup",IF(H121="","Pick a reason (counted as unclassified)",IF(I121="Not in Setup","Reason not in Setup (counted as unclassified)",IF(N(G121)=0,"0 minutes: not counted as a stop","OK")))))))))</f>
        <v/>
      </c>
    </row>
    <row r="122" customFormat="false" ht="15" hidden="false" customHeight="false" outlineLevel="0" collapsed="false">
      <c r="A122" s="11"/>
      <c r="B122" s="9"/>
      <c r="C122" s="9"/>
      <c r="D122" s="12"/>
      <c r="E122" s="12"/>
      <c r="F122" s="13"/>
      <c r="G122" s="14" t="str">
        <f aca="false">IF(F122&lt;&gt;"",IF(AND(ISNUMBER(F122),N(F122)&gt;=0),F122,""),IF(AND(ISNUMBER(D122),ISNUMBER(E122)),ROUND(MOD(E122-D122,1)*1440,0),""))</f>
        <v/>
      </c>
      <c r="H122" s="9"/>
      <c r="I122" s="10" t="str">
        <f aca="false">IF(H122="","",IF(SUMPRODUCT(MAX((Setup!$D$5:$D$34=H122)*(35-ROW(Setup!$D$5:$D$34))))=0,"Not in Setup",INDEX(Setup!$E$5:$E$34,31-SUMPRODUCT(MAX((Setup!$D$5:$D$34=H122)*(35-ROW(Setup!$D$5:$D$34)))))))</f>
        <v/>
      </c>
      <c r="J122" s="9"/>
      <c r="K122" s="10" t="str">
        <f aca="false">IF(AND(A122="",C122="",D122="",E122="",F122="",H122=""),"",IF(NOT(ISNUMBER(A122)),"Enter a date",IF(AND(F122&lt;&gt;"",OR(NOT(ISNUMBER(F122)),N(F122)&lt;0)),"Minutes must be a number of 0 or more",IF(G122="","Enter start and end times, or minutes",IF(C122="","Pick a machine",IF(SUMPRODUCT(--(Setup!$A$5:$A$34=C122))=0,"Machine not in Setup",IF(H122="","Pick a reason (counted as unclassified)",IF(I122="Not in Setup","Reason not in Setup (counted as unclassified)",IF(N(G122)=0,"0 minutes: not counted as a stop","OK")))))))))</f>
        <v/>
      </c>
    </row>
    <row r="123" customFormat="false" ht="15" hidden="false" customHeight="false" outlineLevel="0" collapsed="false">
      <c r="A123" s="11"/>
      <c r="B123" s="9"/>
      <c r="C123" s="9"/>
      <c r="D123" s="12"/>
      <c r="E123" s="12"/>
      <c r="F123" s="13"/>
      <c r="G123" s="14" t="str">
        <f aca="false">IF(F123&lt;&gt;"",IF(AND(ISNUMBER(F123),N(F123)&gt;=0),F123,""),IF(AND(ISNUMBER(D123),ISNUMBER(E123)),ROUND(MOD(E123-D123,1)*1440,0),""))</f>
        <v/>
      </c>
      <c r="H123" s="9"/>
      <c r="I123" s="10" t="str">
        <f aca="false">IF(H123="","",IF(SUMPRODUCT(MAX((Setup!$D$5:$D$34=H123)*(35-ROW(Setup!$D$5:$D$34))))=0,"Not in Setup",INDEX(Setup!$E$5:$E$34,31-SUMPRODUCT(MAX((Setup!$D$5:$D$34=H123)*(35-ROW(Setup!$D$5:$D$34)))))))</f>
        <v/>
      </c>
      <c r="J123" s="9"/>
      <c r="K123" s="10" t="str">
        <f aca="false">IF(AND(A123="",C123="",D123="",E123="",F123="",H123=""),"",IF(NOT(ISNUMBER(A123)),"Enter a date",IF(AND(F123&lt;&gt;"",OR(NOT(ISNUMBER(F123)),N(F123)&lt;0)),"Minutes must be a number of 0 or more",IF(G123="","Enter start and end times, or minutes",IF(C123="","Pick a machine",IF(SUMPRODUCT(--(Setup!$A$5:$A$34=C123))=0,"Machine not in Setup",IF(H123="","Pick a reason (counted as unclassified)",IF(I123="Not in Setup","Reason not in Setup (counted as unclassified)",IF(N(G123)=0,"0 minutes: not counted as a stop","OK")))))))))</f>
        <v/>
      </c>
    </row>
    <row r="124" customFormat="false" ht="15" hidden="false" customHeight="false" outlineLevel="0" collapsed="false">
      <c r="A124" s="11"/>
      <c r="B124" s="9"/>
      <c r="C124" s="9"/>
      <c r="D124" s="12"/>
      <c r="E124" s="12"/>
      <c r="F124" s="13"/>
      <c r="G124" s="14" t="str">
        <f aca="false">IF(F124&lt;&gt;"",IF(AND(ISNUMBER(F124),N(F124)&gt;=0),F124,""),IF(AND(ISNUMBER(D124),ISNUMBER(E124)),ROUND(MOD(E124-D124,1)*1440,0),""))</f>
        <v/>
      </c>
      <c r="H124" s="9"/>
      <c r="I124" s="10" t="str">
        <f aca="false">IF(H124="","",IF(SUMPRODUCT(MAX((Setup!$D$5:$D$34=H124)*(35-ROW(Setup!$D$5:$D$34))))=0,"Not in Setup",INDEX(Setup!$E$5:$E$34,31-SUMPRODUCT(MAX((Setup!$D$5:$D$34=H124)*(35-ROW(Setup!$D$5:$D$34)))))))</f>
        <v/>
      </c>
      <c r="J124" s="9"/>
      <c r="K124" s="10" t="str">
        <f aca="false">IF(AND(A124="",C124="",D124="",E124="",F124="",H124=""),"",IF(NOT(ISNUMBER(A124)),"Enter a date",IF(AND(F124&lt;&gt;"",OR(NOT(ISNUMBER(F124)),N(F124)&lt;0)),"Minutes must be a number of 0 or more",IF(G124="","Enter start and end times, or minutes",IF(C124="","Pick a machine",IF(SUMPRODUCT(--(Setup!$A$5:$A$34=C124))=0,"Machine not in Setup",IF(H124="","Pick a reason (counted as unclassified)",IF(I124="Not in Setup","Reason not in Setup (counted as unclassified)",IF(N(G124)=0,"0 minutes: not counted as a stop","OK")))))))))</f>
        <v/>
      </c>
    </row>
    <row r="125" customFormat="false" ht="15" hidden="false" customHeight="false" outlineLevel="0" collapsed="false">
      <c r="A125" s="11"/>
      <c r="B125" s="9"/>
      <c r="C125" s="9"/>
      <c r="D125" s="12"/>
      <c r="E125" s="12"/>
      <c r="F125" s="13"/>
      <c r="G125" s="14" t="str">
        <f aca="false">IF(F125&lt;&gt;"",IF(AND(ISNUMBER(F125),N(F125)&gt;=0),F125,""),IF(AND(ISNUMBER(D125),ISNUMBER(E125)),ROUND(MOD(E125-D125,1)*1440,0),""))</f>
        <v/>
      </c>
      <c r="H125" s="9"/>
      <c r="I125" s="10" t="str">
        <f aca="false">IF(H125="","",IF(SUMPRODUCT(MAX((Setup!$D$5:$D$34=H125)*(35-ROW(Setup!$D$5:$D$34))))=0,"Not in Setup",INDEX(Setup!$E$5:$E$34,31-SUMPRODUCT(MAX((Setup!$D$5:$D$34=H125)*(35-ROW(Setup!$D$5:$D$34)))))))</f>
        <v/>
      </c>
      <c r="J125" s="9"/>
      <c r="K125" s="10" t="str">
        <f aca="false">IF(AND(A125="",C125="",D125="",E125="",F125="",H125=""),"",IF(NOT(ISNUMBER(A125)),"Enter a date",IF(AND(F125&lt;&gt;"",OR(NOT(ISNUMBER(F125)),N(F125)&lt;0)),"Minutes must be a number of 0 or more",IF(G125="","Enter start and end times, or minutes",IF(C125="","Pick a machine",IF(SUMPRODUCT(--(Setup!$A$5:$A$34=C125))=0,"Machine not in Setup",IF(H125="","Pick a reason (counted as unclassified)",IF(I125="Not in Setup","Reason not in Setup (counted as unclassified)",IF(N(G125)=0,"0 minutes: not counted as a stop","OK")))))))))</f>
        <v/>
      </c>
    </row>
    <row r="126" customFormat="false" ht="15" hidden="false" customHeight="false" outlineLevel="0" collapsed="false">
      <c r="A126" s="11"/>
      <c r="B126" s="9"/>
      <c r="C126" s="9"/>
      <c r="D126" s="12"/>
      <c r="E126" s="12"/>
      <c r="F126" s="13"/>
      <c r="G126" s="14" t="str">
        <f aca="false">IF(F126&lt;&gt;"",IF(AND(ISNUMBER(F126),N(F126)&gt;=0),F126,""),IF(AND(ISNUMBER(D126),ISNUMBER(E126)),ROUND(MOD(E126-D126,1)*1440,0),""))</f>
        <v/>
      </c>
      <c r="H126" s="9"/>
      <c r="I126" s="10" t="str">
        <f aca="false">IF(H126="","",IF(SUMPRODUCT(MAX((Setup!$D$5:$D$34=H126)*(35-ROW(Setup!$D$5:$D$34))))=0,"Not in Setup",INDEX(Setup!$E$5:$E$34,31-SUMPRODUCT(MAX((Setup!$D$5:$D$34=H126)*(35-ROW(Setup!$D$5:$D$34)))))))</f>
        <v/>
      </c>
      <c r="J126" s="9"/>
      <c r="K126" s="10" t="str">
        <f aca="false">IF(AND(A126="",C126="",D126="",E126="",F126="",H126=""),"",IF(NOT(ISNUMBER(A126)),"Enter a date",IF(AND(F126&lt;&gt;"",OR(NOT(ISNUMBER(F126)),N(F126)&lt;0)),"Minutes must be a number of 0 or more",IF(G126="","Enter start and end times, or minutes",IF(C126="","Pick a machine",IF(SUMPRODUCT(--(Setup!$A$5:$A$34=C126))=0,"Machine not in Setup",IF(H126="","Pick a reason (counted as unclassified)",IF(I126="Not in Setup","Reason not in Setup (counted as unclassified)",IF(N(G126)=0,"0 minutes: not counted as a stop","OK")))))))))</f>
        <v/>
      </c>
    </row>
    <row r="127" customFormat="false" ht="15" hidden="false" customHeight="false" outlineLevel="0" collapsed="false">
      <c r="A127" s="11"/>
      <c r="B127" s="9"/>
      <c r="C127" s="9"/>
      <c r="D127" s="12"/>
      <c r="E127" s="12"/>
      <c r="F127" s="13"/>
      <c r="G127" s="14" t="str">
        <f aca="false">IF(F127&lt;&gt;"",IF(AND(ISNUMBER(F127),N(F127)&gt;=0),F127,""),IF(AND(ISNUMBER(D127),ISNUMBER(E127)),ROUND(MOD(E127-D127,1)*1440,0),""))</f>
        <v/>
      </c>
      <c r="H127" s="9"/>
      <c r="I127" s="10" t="str">
        <f aca="false">IF(H127="","",IF(SUMPRODUCT(MAX((Setup!$D$5:$D$34=H127)*(35-ROW(Setup!$D$5:$D$34))))=0,"Not in Setup",INDEX(Setup!$E$5:$E$34,31-SUMPRODUCT(MAX((Setup!$D$5:$D$34=H127)*(35-ROW(Setup!$D$5:$D$34)))))))</f>
        <v/>
      </c>
      <c r="J127" s="9"/>
      <c r="K127" s="10" t="str">
        <f aca="false">IF(AND(A127="",C127="",D127="",E127="",F127="",H127=""),"",IF(NOT(ISNUMBER(A127)),"Enter a date",IF(AND(F127&lt;&gt;"",OR(NOT(ISNUMBER(F127)),N(F127)&lt;0)),"Minutes must be a number of 0 or more",IF(G127="","Enter start and end times, or minutes",IF(C127="","Pick a machine",IF(SUMPRODUCT(--(Setup!$A$5:$A$34=C127))=0,"Machine not in Setup",IF(H127="","Pick a reason (counted as unclassified)",IF(I127="Not in Setup","Reason not in Setup (counted as unclassified)",IF(N(G127)=0,"0 minutes: not counted as a stop","OK")))))))))</f>
        <v/>
      </c>
    </row>
    <row r="128" customFormat="false" ht="15" hidden="false" customHeight="false" outlineLevel="0" collapsed="false">
      <c r="A128" s="11"/>
      <c r="B128" s="9"/>
      <c r="C128" s="9"/>
      <c r="D128" s="12"/>
      <c r="E128" s="12"/>
      <c r="F128" s="13"/>
      <c r="G128" s="14" t="str">
        <f aca="false">IF(F128&lt;&gt;"",IF(AND(ISNUMBER(F128),N(F128)&gt;=0),F128,""),IF(AND(ISNUMBER(D128),ISNUMBER(E128)),ROUND(MOD(E128-D128,1)*1440,0),""))</f>
        <v/>
      </c>
      <c r="H128" s="9"/>
      <c r="I128" s="10" t="str">
        <f aca="false">IF(H128="","",IF(SUMPRODUCT(MAX((Setup!$D$5:$D$34=H128)*(35-ROW(Setup!$D$5:$D$34))))=0,"Not in Setup",INDEX(Setup!$E$5:$E$34,31-SUMPRODUCT(MAX((Setup!$D$5:$D$34=H128)*(35-ROW(Setup!$D$5:$D$34)))))))</f>
        <v/>
      </c>
      <c r="J128" s="9"/>
      <c r="K128" s="10" t="str">
        <f aca="false">IF(AND(A128="",C128="",D128="",E128="",F128="",H128=""),"",IF(NOT(ISNUMBER(A128)),"Enter a date",IF(AND(F128&lt;&gt;"",OR(NOT(ISNUMBER(F128)),N(F128)&lt;0)),"Minutes must be a number of 0 or more",IF(G128="","Enter start and end times, or minutes",IF(C128="","Pick a machine",IF(SUMPRODUCT(--(Setup!$A$5:$A$34=C128))=0,"Machine not in Setup",IF(H128="","Pick a reason (counted as unclassified)",IF(I128="Not in Setup","Reason not in Setup (counted as unclassified)",IF(N(G128)=0,"0 minutes: not counted as a stop","OK")))))))))</f>
        <v/>
      </c>
    </row>
    <row r="129" customFormat="false" ht="15" hidden="false" customHeight="false" outlineLevel="0" collapsed="false">
      <c r="A129" s="11"/>
      <c r="B129" s="9"/>
      <c r="C129" s="9"/>
      <c r="D129" s="12"/>
      <c r="E129" s="12"/>
      <c r="F129" s="13"/>
      <c r="G129" s="14" t="str">
        <f aca="false">IF(F129&lt;&gt;"",IF(AND(ISNUMBER(F129),N(F129)&gt;=0),F129,""),IF(AND(ISNUMBER(D129),ISNUMBER(E129)),ROUND(MOD(E129-D129,1)*1440,0),""))</f>
        <v/>
      </c>
      <c r="H129" s="9"/>
      <c r="I129" s="10" t="str">
        <f aca="false">IF(H129="","",IF(SUMPRODUCT(MAX((Setup!$D$5:$D$34=H129)*(35-ROW(Setup!$D$5:$D$34))))=0,"Not in Setup",INDEX(Setup!$E$5:$E$34,31-SUMPRODUCT(MAX((Setup!$D$5:$D$34=H129)*(35-ROW(Setup!$D$5:$D$34)))))))</f>
        <v/>
      </c>
      <c r="J129" s="9"/>
      <c r="K129" s="10" t="str">
        <f aca="false">IF(AND(A129="",C129="",D129="",E129="",F129="",H129=""),"",IF(NOT(ISNUMBER(A129)),"Enter a date",IF(AND(F129&lt;&gt;"",OR(NOT(ISNUMBER(F129)),N(F129)&lt;0)),"Minutes must be a number of 0 or more",IF(G129="","Enter start and end times, or minutes",IF(C129="","Pick a machine",IF(SUMPRODUCT(--(Setup!$A$5:$A$34=C129))=0,"Machine not in Setup",IF(H129="","Pick a reason (counted as unclassified)",IF(I129="Not in Setup","Reason not in Setup (counted as unclassified)",IF(N(G129)=0,"0 minutes: not counted as a stop","OK")))))))))</f>
        <v/>
      </c>
    </row>
    <row r="130" customFormat="false" ht="15" hidden="false" customHeight="false" outlineLevel="0" collapsed="false">
      <c r="A130" s="11"/>
      <c r="B130" s="9"/>
      <c r="C130" s="9"/>
      <c r="D130" s="12"/>
      <c r="E130" s="12"/>
      <c r="F130" s="13"/>
      <c r="G130" s="14" t="str">
        <f aca="false">IF(F130&lt;&gt;"",IF(AND(ISNUMBER(F130),N(F130)&gt;=0),F130,""),IF(AND(ISNUMBER(D130),ISNUMBER(E130)),ROUND(MOD(E130-D130,1)*1440,0),""))</f>
        <v/>
      </c>
      <c r="H130" s="9"/>
      <c r="I130" s="10" t="str">
        <f aca="false">IF(H130="","",IF(SUMPRODUCT(MAX((Setup!$D$5:$D$34=H130)*(35-ROW(Setup!$D$5:$D$34))))=0,"Not in Setup",INDEX(Setup!$E$5:$E$34,31-SUMPRODUCT(MAX((Setup!$D$5:$D$34=H130)*(35-ROW(Setup!$D$5:$D$34)))))))</f>
        <v/>
      </c>
      <c r="J130" s="9"/>
      <c r="K130" s="10" t="str">
        <f aca="false">IF(AND(A130="",C130="",D130="",E130="",F130="",H130=""),"",IF(NOT(ISNUMBER(A130)),"Enter a date",IF(AND(F130&lt;&gt;"",OR(NOT(ISNUMBER(F130)),N(F130)&lt;0)),"Minutes must be a number of 0 or more",IF(G130="","Enter start and end times, or minutes",IF(C130="","Pick a machine",IF(SUMPRODUCT(--(Setup!$A$5:$A$34=C130))=0,"Machine not in Setup",IF(H130="","Pick a reason (counted as unclassified)",IF(I130="Not in Setup","Reason not in Setup (counted as unclassified)",IF(N(G130)=0,"0 minutes: not counted as a stop","OK")))))))))</f>
        <v/>
      </c>
    </row>
    <row r="131" customFormat="false" ht="15" hidden="false" customHeight="false" outlineLevel="0" collapsed="false">
      <c r="A131" s="11"/>
      <c r="B131" s="9"/>
      <c r="C131" s="9"/>
      <c r="D131" s="12"/>
      <c r="E131" s="12"/>
      <c r="F131" s="13"/>
      <c r="G131" s="14" t="str">
        <f aca="false">IF(F131&lt;&gt;"",IF(AND(ISNUMBER(F131),N(F131)&gt;=0),F131,""),IF(AND(ISNUMBER(D131),ISNUMBER(E131)),ROUND(MOD(E131-D131,1)*1440,0),""))</f>
        <v/>
      </c>
      <c r="H131" s="9"/>
      <c r="I131" s="10" t="str">
        <f aca="false">IF(H131="","",IF(SUMPRODUCT(MAX((Setup!$D$5:$D$34=H131)*(35-ROW(Setup!$D$5:$D$34))))=0,"Not in Setup",INDEX(Setup!$E$5:$E$34,31-SUMPRODUCT(MAX((Setup!$D$5:$D$34=H131)*(35-ROW(Setup!$D$5:$D$34)))))))</f>
        <v/>
      </c>
      <c r="J131" s="9"/>
      <c r="K131" s="10" t="str">
        <f aca="false">IF(AND(A131="",C131="",D131="",E131="",F131="",H131=""),"",IF(NOT(ISNUMBER(A131)),"Enter a date",IF(AND(F131&lt;&gt;"",OR(NOT(ISNUMBER(F131)),N(F131)&lt;0)),"Minutes must be a number of 0 or more",IF(G131="","Enter start and end times, or minutes",IF(C131="","Pick a machine",IF(SUMPRODUCT(--(Setup!$A$5:$A$34=C131))=0,"Machine not in Setup",IF(H131="","Pick a reason (counted as unclassified)",IF(I131="Not in Setup","Reason not in Setup (counted as unclassified)",IF(N(G131)=0,"0 minutes: not counted as a stop","OK")))))))))</f>
        <v/>
      </c>
    </row>
    <row r="132" customFormat="false" ht="15" hidden="false" customHeight="false" outlineLevel="0" collapsed="false">
      <c r="A132" s="11"/>
      <c r="B132" s="9"/>
      <c r="C132" s="9"/>
      <c r="D132" s="12"/>
      <c r="E132" s="12"/>
      <c r="F132" s="13"/>
      <c r="G132" s="14" t="str">
        <f aca="false">IF(F132&lt;&gt;"",IF(AND(ISNUMBER(F132),N(F132)&gt;=0),F132,""),IF(AND(ISNUMBER(D132),ISNUMBER(E132)),ROUND(MOD(E132-D132,1)*1440,0),""))</f>
        <v/>
      </c>
      <c r="H132" s="9"/>
      <c r="I132" s="10" t="str">
        <f aca="false">IF(H132="","",IF(SUMPRODUCT(MAX((Setup!$D$5:$D$34=H132)*(35-ROW(Setup!$D$5:$D$34))))=0,"Not in Setup",INDEX(Setup!$E$5:$E$34,31-SUMPRODUCT(MAX((Setup!$D$5:$D$34=H132)*(35-ROW(Setup!$D$5:$D$34)))))))</f>
        <v/>
      </c>
      <c r="J132" s="9"/>
      <c r="K132" s="10" t="str">
        <f aca="false">IF(AND(A132="",C132="",D132="",E132="",F132="",H132=""),"",IF(NOT(ISNUMBER(A132)),"Enter a date",IF(AND(F132&lt;&gt;"",OR(NOT(ISNUMBER(F132)),N(F132)&lt;0)),"Minutes must be a number of 0 or more",IF(G132="","Enter start and end times, or minutes",IF(C132="","Pick a machine",IF(SUMPRODUCT(--(Setup!$A$5:$A$34=C132))=0,"Machine not in Setup",IF(H132="","Pick a reason (counted as unclassified)",IF(I132="Not in Setup","Reason not in Setup (counted as unclassified)",IF(N(G132)=0,"0 minutes: not counted as a stop","OK")))))))))</f>
        <v/>
      </c>
    </row>
    <row r="133" customFormat="false" ht="15" hidden="false" customHeight="false" outlineLevel="0" collapsed="false">
      <c r="A133" s="11"/>
      <c r="B133" s="9"/>
      <c r="C133" s="9"/>
      <c r="D133" s="12"/>
      <c r="E133" s="12"/>
      <c r="F133" s="13"/>
      <c r="G133" s="14" t="str">
        <f aca="false">IF(F133&lt;&gt;"",IF(AND(ISNUMBER(F133),N(F133)&gt;=0),F133,""),IF(AND(ISNUMBER(D133),ISNUMBER(E133)),ROUND(MOD(E133-D133,1)*1440,0),""))</f>
        <v/>
      </c>
      <c r="H133" s="9"/>
      <c r="I133" s="10" t="str">
        <f aca="false">IF(H133="","",IF(SUMPRODUCT(MAX((Setup!$D$5:$D$34=H133)*(35-ROW(Setup!$D$5:$D$34))))=0,"Not in Setup",INDEX(Setup!$E$5:$E$34,31-SUMPRODUCT(MAX((Setup!$D$5:$D$34=H133)*(35-ROW(Setup!$D$5:$D$34)))))))</f>
        <v/>
      </c>
      <c r="J133" s="9"/>
      <c r="K133" s="10" t="str">
        <f aca="false">IF(AND(A133="",C133="",D133="",E133="",F133="",H133=""),"",IF(NOT(ISNUMBER(A133)),"Enter a date",IF(AND(F133&lt;&gt;"",OR(NOT(ISNUMBER(F133)),N(F133)&lt;0)),"Minutes must be a number of 0 or more",IF(G133="","Enter start and end times, or minutes",IF(C133="","Pick a machine",IF(SUMPRODUCT(--(Setup!$A$5:$A$34=C133))=0,"Machine not in Setup",IF(H133="","Pick a reason (counted as unclassified)",IF(I133="Not in Setup","Reason not in Setup (counted as unclassified)",IF(N(G133)=0,"0 minutes: not counted as a stop","OK")))))))))</f>
        <v/>
      </c>
    </row>
    <row r="134" customFormat="false" ht="15" hidden="false" customHeight="false" outlineLevel="0" collapsed="false">
      <c r="A134" s="11"/>
      <c r="B134" s="9"/>
      <c r="C134" s="9"/>
      <c r="D134" s="12"/>
      <c r="E134" s="12"/>
      <c r="F134" s="13"/>
      <c r="G134" s="14" t="str">
        <f aca="false">IF(F134&lt;&gt;"",IF(AND(ISNUMBER(F134),N(F134)&gt;=0),F134,""),IF(AND(ISNUMBER(D134),ISNUMBER(E134)),ROUND(MOD(E134-D134,1)*1440,0),""))</f>
        <v/>
      </c>
      <c r="H134" s="9"/>
      <c r="I134" s="10" t="str">
        <f aca="false">IF(H134="","",IF(SUMPRODUCT(MAX((Setup!$D$5:$D$34=H134)*(35-ROW(Setup!$D$5:$D$34))))=0,"Not in Setup",INDEX(Setup!$E$5:$E$34,31-SUMPRODUCT(MAX((Setup!$D$5:$D$34=H134)*(35-ROW(Setup!$D$5:$D$34)))))))</f>
        <v/>
      </c>
      <c r="J134" s="9"/>
      <c r="K134" s="10" t="str">
        <f aca="false">IF(AND(A134="",C134="",D134="",E134="",F134="",H134=""),"",IF(NOT(ISNUMBER(A134)),"Enter a date",IF(AND(F134&lt;&gt;"",OR(NOT(ISNUMBER(F134)),N(F134)&lt;0)),"Minutes must be a number of 0 or more",IF(G134="","Enter start and end times, or minutes",IF(C134="","Pick a machine",IF(SUMPRODUCT(--(Setup!$A$5:$A$34=C134))=0,"Machine not in Setup",IF(H134="","Pick a reason (counted as unclassified)",IF(I134="Not in Setup","Reason not in Setup (counted as unclassified)",IF(N(G134)=0,"0 minutes: not counted as a stop","OK")))))))))</f>
        <v/>
      </c>
    </row>
    <row r="135" customFormat="false" ht="15" hidden="false" customHeight="false" outlineLevel="0" collapsed="false">
      <c r="A135" s="11"/>
      <c r="B135" s="9"/>
      <c r="C135" s="9"/>
      <c r="D135" s="12"/>
      <c r="E135" s="12"/>
      <c r="F135" s="13"/>
      <c r="G135" s="14" t="str">
        <f aca="false">IF(F135&lt;&gt;"",IF(AND(ISNUMBER(F135),N(F135)&gt;=0),F135,""),IF(AND(ISNUMBER(D135),ISNUMBER(E135)),ROUND(MOD(E135-D135,1)*1440,0),""))</f>
        <v/>
      </c>
      <c r="H135" s="9"/>
      <c r="I135" s="10" t="str">
        <f aca="false">IF(H135="","",IF(SUMPRODUCT(MAX((Setup!$D$5:$D$34=H135)*(35-ROW(Setup!$D$5:$D$34))))=0,"Not in Setup",INDEX(Setup!$E$5:$E$34,31-SUMPRODUCT(MAX((Setup!$D$5:$D$34=H135)*(35-ROW(Setup!$D$5:$D$34)))))))</f>
        <v/>
      </c>
      <c r="J135" s="9"/>
      <c r="K135" s="10" t="str">
        <f aca="false">IF(AND(A135="",C135="",D135="",E135="",F135="",H135=""),"",IF(NOT(ISNUMBER(A135)),"Enter a date",IF(AND(F135&lt;&gt;"",OR(NOT(ISNUMBER(F135)),N(F135)&lt;0)),"Minutes must be a number of 0 or more",IF(G135="","Enter start and end times, or minutes",IF(C135="","Pick a machine",IF(SUMPRODUCT(--(Setup!$A$5:$A$34=C135))=0,"Machine not in Setup",IF(H135="","Pick a reason (counted as unclassified)",IF(I135="Not in Setup","Reason not in Setup (counted as unclassified)",IF(N(G135)=0,"0 minutes: not counted as a stop","OK")))))))))</f>
        <v/>
      </c>
    </row>
    <row r="136" customFormat="false" ht="15" hidden="false" customHeight="false" outlineLevel="0" collapsed="false">
      <c r="A136" s="11"/>
      <c r="B136" s="9"/>
      <c r="C136" s="9"/>
      <c r="D136" s="12"/>
      <c r="E136" s="12"/>
      <c r="F136" s="13"/>
      <c r="G136" s="14" t="str">
        <f aca="false">IF(F136&lt;&gt;"",IF(AND(ISNUMBER(F136),N(F136)&gt;=0),F136,""),IF(AND(ISNUMBER(D136),ISNUMBER(E136)),ROUND(MOD(E136-D136,1)*1440,0),""))</f>
        <v/>
      </c>
      <c r="H136" s="9"/>
      <c r="I136" s="10" t="str">
        <f aca="false">IF(H136="","",IF(SUMPRODUCT(MAX((Setup!$D$5:$D$34=H136)*(35-ROW(Setup!$D$5:$D$34))))=0,"Not in Setup",INDEX(Setup!$E$5:$E$34,31-SUMPRODUCT(MAX((Setup!$D$5:$D$34=H136)*(35-ROW(Setup!$D$5:$D$34)))))))</f>
        <v/>
      </c>
      <c r="J136" s="9"/>
      <c r="K136" s="10" t="str">
        <f aca="false">IF(AND(A136="",C136="",D136="",E136="",F136="",H136=""),"",IF(NOT(ISNUMBER(A136)),"Enter a date",IF(AND(F136&lt;&gt;"",OR(NOT(ISNUMBER(F136)),N(F136)&lt;0)),"Minutes must be a number of 0 or more",IF(G136="","Enter start and end times, or minutes",IF(C136="","Pick a machine",IF(SUMPRODUCT(--(Setup!$A$5:$A$34=C136))=0,"Machine not in Setup",IF(H136="","Pick a reason (counted as unclassified)",IF(I136="Not in Setup","Reason not in Setup (counted as unclassified)",IF(N(G136)=0,"0 minutes: not counted as a stop","OK")))))))))</f>
        <v/>
      </c>
    </row>
    <row r="137" customFormat="false" ht="15" hidden="false" customHeight="false" outlineLevel="0" collapsed="false">
      <c r="A137" s="11"/>
      <c r="B137" s="9"/>
      <c r="C137" s="9"/>
      <c r="D137" s="12"/>
      <c r="E137" s="12"/>
      <c r="F137" s="13"/>
      <c r="G137" s="14" t="str">
        <f aca="false">IF(F137&lt;&gt;"",IF(AND(ISNUMBER(F137),N(F137)&gt;=0),F137,""),IF(AND(ISNUMBER(D137),ISNUMBER(E137)),ROUND(MOD(E137-D137,1)*1440,0),""))</f>
        <v/>
      </c>
      <c r="H137" s="9"/>
      <c r="I137" s="10" t="str">
        <f aca="false">IF(H137="","",IF(SUMPRODUCT(MAX((Setup!$D$5:$D$34=H137)*(35-ROW(Setup!$D$5:$D$34))))=0,"Not in Setup",INDEX(Setup!$E$5:$E$34,31-SUMPRODUCT(MAX((Setup!$D$5:$D$34=H137)*(35-ROW(Setup!$D$5:$D$34)))))))</f>
        <v/>
      </c>
      <c r="J137" s="9"/>
      <c r="K137" s="10" t="str">
        <f aca="false">IF(AND(A137="",C137="",D137="",E137="",F137="",H137=""),"",IF(NOT(ISNUMBER(A137)),"Enter a date",IF(AND(F137&lt;&gt;"",OR(NOT(ISNUMBER(F137)),N(F137)&lt;0)),"Minutes must be a number of 0 or more",IF(G137="","Enter start and end times, or minutes",IF(C137="","Pick a machine",IF(SUMPRODUCT(--(Setup!$A$5:$A$34=C137))=0,"Machine not in Setup",IF(H137="","Pick a reason (counted as unclassified)",IF(I137="Not in Setup","Reason not in Setup (counted as unclassified)",IF(N(G137)=0,"0 minutes: not counted as a stop","OK")))))))))</f>
        <v/>
      </c>
    </row>
    <row r="138" customFormat="false" ht="15" hidden="false" customHeight="false" outlineLevel="0" collapsed="false">
      <c r="A138" s="11"/>
      <c r="B138" s="9"/>
      <c r="C138" s="9"/>
      <c r="D138" s="12"/>
      <c r="E138" s="12"/>
      <c r="F138" s="13"/>
      <c r="G138" s="14" t="str">
        <f aca="false">IF(F138&lt;&gt;"",IF(AND(ISNUMBER(F138),N(F138)&gt;=0),F138,""),IF(AND(ISNUMBER(D138),ISNUMBER(E138)),ROUND(MOD(E138-D138,1)*1440,0),""))</f>
        <v/>
      </c>
      <c r="H138" s="9"/>
      <c r="I138" s="10" t="str">
        <f aca="false">IF(H138="","",IF(SUMPRODUCT(MAX((Setup!$D$5:$D$34=H138)*(35-ROW(Setup!$D$5:$D$34))))=0,"Not in Setup",INDEX(Setup!$E$5:$E$34,31-SUMPRODUCT(MAX((Setup!$D$5:$D$34=H138)*(35-ROW(Setup!$D$5:$D$34)))))))</f>
        <v/>
      </c>
      <c r="J138" s="9"/>
      <c r="K138" s="10" t="str">
        <f aca="false">IF(AND(A138="",C138="",D138="",E138="",F138="",H138=""),"",IF(NOT(ISNUMBER(A138)),"Enter a date",IF(AND(F138&lt;&gt;"",OR(NOT(ISNUMBER(F138)),N(F138)&lt;0)),"Minutes must be a number of 0 or more",IF(G138="","Enter start and end times, or minutes",IF(C138="","Pick a machine",IF(SUMPRODUCT(--(Setup!$A$5:$A$34=C138))=0,"Machine not in Setup",IF(H138="","Pick a reason (counted as unclassified)",IF(I138="Not in Setup","Reason not in Setup (counted as unclassified)",IF(N(G138)=0,"0 minutes: not counted as a stop","OK")))))))))</f>
        <v/>
      </c>
    </row>
    <row r="139" customFormat="false" ht="15" hidden="false" customHeight="false" outlineLevel="0" collapsed="false">
      <c r="A139" s="11"/>
      <c r="B139" s="9"/>
      <c r="C139" s="9"/>
      <c r="D139" s="12"/>
      <c r="E139" s="12"/>
      <c r="F139" s="13"/>
      <c r="G139" s="14" t="str">
        <f aca="false">IF(F139&lt;&gt;"",IF(AND(ISNUMBER(F139),N(F139)&gt;=0),F139,""),IF(AND(ISNUMBER(D139),ISNUMBER(E139)),ROUND(MOD(E139-D139,1)*1440,0),""))</f>
        <v/>
      </c>
      <c r="H139" s="9"/>
      <c r="I139" s="10" t="str">
        <f aca="false">IF(H139="","",IF(SUMPRODUCT(MAX((Setup!$D$5:$D$34=H139)*(35-ROW(Setup!$D$5:$D$34))))=0,"Not in Setup",INDEX(Setup!$E$5:$E$34,31-SUMPRODUCT(MAX((Setup!$D$5:$D$34=H139)*(35-ROW(Setup!$D$5:$D$34)))))))</f>
        <v/>
      </c>
      <c r="J139" s="9"/>
      <c r="K139" s="10" t="str">
        <f aca="false">IF(AND(A139="",C139="",D139="",E139="",F139="",H139=""),"",IF(NOT(ISNUMBER(A139)),"Enter a date",IF(AND(F139&lt;&gt;"",OR(NOT(ISNUMBER(F139)),N(F139)&lt;0)),"Minutes must be a number of 0 or more",IF(G139="","Enter start and end times, or minutes",IF(C139="","Pick a machine",IF(SUMPRODUCT(--(Setup!$A$5:$A$34=C139))=0,"Machine not in Setup",IF(H139="","Pick a reason (counted as unclassified)",IF(I139="Not in Setup","Reason not in Setup (counted as unclassified)",IF(N(G139)=0,"0 minutes: not counted as a stop","OK")))))))))</f>
        <v/>
      </c>
    </row>
    <row r="140" customFormat="false" ht="15" hidden="false" customHeight="false" outlineLevel="0" collapsed="false">
      <c r="A140" s="11"/>
      <c r="B140" s="9"/>
      <c r="C140" s="9"/>
      <c r="D140" s="12"/>
      <c r="E140" s="12"/>
      <c r="F140" s="13"/>
      <c r="G140" s="14" t="str">
        <f aca="false">IF(F140&lt;&gt;"",IF(AND(ISNUMBER(F140),N(F140)&gt;=0),F140,""),IF(AND(ISNUMBER(D140),ISNUMBER(E140)),ROUND(MOD(E140-D140,1)*1440,0),""))</f>
        <v/>
      </c>
      <c r="H140" s="9"/>
      <c r="I140" s="10" t="str">
        <f aca="false">IF(H140="","",IF(SUMPRODUCT(MAX((Setup!$D$5:$D$34=H140)*(35-ROW(Setup!$D$5:$D$34))))=0,"Not in Setup",INDEX(Setup!$E$5:$E$34,31-SUMPRODUCT(MAX((Setup!$D$5:$D$34=H140)*(35-ROW(Setup!$D$5:$D$34)))))))</f>
        <v/>
      </c>
      <c r="J140" s="9"/>
      <c r="K140" s="10" t="str">
        <f aca="false">IF(AND(A140="",C140="",D140="",E140="",F140="",H140=""),"",IF(NOT(ISNUMBER(A140)),"Enter a date",IF(AND(F140&lt;&gt;"",OR(NOT(ISNUMBER(F140)),N(F140)&lt;0)),"Minutes must be a number of 0 or more",IF(G140="","Enter start and end times, or minutes",IF(C140="","Pick a machine",IF(SUMPRODUCT(--(Setup!$A$5:$A$34=C140))=0,"Machine not in Setup",IF(H140="","Pick a reason (counted as unclassified)",IF(I140="Not in Setup","Reason not in Setup (counted as unclassified)",IF(N(G140)=0,"0 minutes: not counted as a stop","OK")))))))))</f>
        <v/>
      </c>
    </row>
    <row r="141" customFormat="false" ht="15" hidden="false" customHeight="false" outlineLevel="0" collapsed="false">
      <c r="A141" s="11"/>
      <c r="B141" s="9"/>
      <c r="C141" s="9"/>
      <c r="D141" s="12"/>
      <c r="E141" s="12"/>
      <c r="F141" s="13"/>
      <c r="G141" s="14" t="str">
        <f aca="false">IF(F141&lt;&gt;"",IF(AND(ISNUMBER(F141),N(F141)&gt;=0),F141,""),IF(AND(ISNUMBER(D141),ISNUMBER(E141)),ROUND(MOD(E141-D141,1)*1440,0),""))</f>
        <v/>
      </c>
      <c r="H141" s="9"/>
      <c r="I141" s="10" t="str">
        <f aca="false">IF(H141="","",IF(SUMPRODUCT(MAX((Setup!$D$5:$D$34=H141)*(35-ROW(Setup!$D$5:$D$34))))=0,"Not in Setup",INDEX(Setup!$E$5:$E$34,31-SUMPRODUCT(MAX((Setup!$D$5:$D$34=H141)*(35-ROW(Setup!$D$5:$D$34)))))))</f>
        <v/>
      </c>
      <c r="J141" s="9"/>
      <c r="K141" s="10" t="str">
        <f aca="false">IF(AND(A141="",C141="",D141="",E141="",F141="",H141=""),"",IF(NOT(ISNUMBER(A141)),"Enter a date",IF(AND(F141&lt;&gt;"",OR(NOT(ISNUMBER(F141)),N(F141)&lt;0)),"Minutes must be a number of 0 or more",IF(G141="","Enter start and end times, or minutes",IF(C141="","Pick a machine",IF(SUMPRODUCT(--(Setup!$A$5:$A$34=C141))=0,"Machine not in Setup",IF(H141="","Pick a reason (counted as unclassified)",IF(I141="Not in Setup","Reason not in Setup (counted as unclassified)",IF(N(G141)=0,"0 minutes: not counted as a stop","OK")))))))))</f>
        <v/>
      </c>
    </row>
    <row r="142" customFormat="false" ht="15" hidden="false" customHeight="false" outlineLevel="0" collapsed="false">
      <c r="A142" s="11"/>
      <c r="B142" s="9"/>
      <c r="C142" s="9"/>
      <c r="D142" s="12"/>
      <c r="E142" s="12"/>
      <c r="F142" s="13"/>
      <c r="G142" s="14" t="str">
        <f aca="false">IF(F142&lt;&gt;"",IF(AND(ISNUMBER(F142),N(F142)&gt;=0),F142,""),IF(AND(ISNUMBER(D142),ISNUMBER(E142)),ROUND(MOD(E142-D142,1)*1440,0),""))</f>
        <v/>
      </c>
      <c r="H142" s="9"/>
      <c r="I142" s="10" t="str">
        <f aca="false">IF(H142="","",IF(SUMPRODUCT(MAX((Setup!$D$5:$D$34=H142)*(35-ROW(Setup!$D$5:$D$34))))=0,"Not in Setup",INDEX(Setup!$E$5:$E$34,31-SUMPRODUCT(MAX((Setup!$D$5:$D$34=H142)*(35-ROW(Setup!$D$5:$D$34)))))))</f>
        <v/>
      </c>
      <c r="J142" s="9"/>
      <c r="K142" s="10" t="str">
        <f aca="false">IF(AND(A142="",C142="",D142="",E142="",F142="",H142=""),"",IF(NOT(ISNUMBER(A142)),"Enter a date",IF(AND(F142&lt;&gt;"",OR(NOT(ISNUMBER(F142)),N(F142)&lt;0)),"Minutes must be a number of 0 or more",IF(G142="","Enter start and end times, or minutes",IF(C142="","Pick a machine",IF(SUMPRODUCT(--(Setup!$A$5:$A$34=C142))=0,"Machine not in Setup",IF(H142="","Pick a reason (counted as unclassified)",IF(I142="Not in Setup","Reason not in Setup (counted as unclassified)",IF(N(G142)=0,"0 minutes: not counted as a stop","OK")))))))))</f>
        <v/>
      </c>
    </row>
    <row r="143" customFormat="false" ht="15" hidden="false" customHeight="false" outlineLevel="0" collapsed="false">
      <c r="A143" s="11"/>
      <c r="B143" s="9"/>
      <c r="C143" s="9"/>
      <c r="D143" s="12"/>
      <c r="E143" s="12"/>
      <c r="F143" s="13"/>
      <c r="G143" s="14" t="str">
        <f aca="false">IF(F143&lt;&gt;"",IF(AND(ISNUMBER(F143),N(F143)&gt;=0),F143,""),IF(AND(ISNUMBER(D143),ISNUMBER(E143)),ROUND(MOD(E143-D143,1)*1440,0),""))</f>
        <v/>
      </c>
      <c r="H143" s="9"/>
      <c r="I143" s="10" t="str">
        <f aca="false">IF(H143="","",IF(SUMPRODUCT(MAX((Setup!$D$5:$D$34=H143)*(35-ROW(Setup!$D$5:$D$34))))=0,"Not in Setup",INDEX(Setup!$E$5:$E$34,31-SUMPRODUCT(MAX((Setup!$D$5:$D$34=H143)*(35-ROW(Setup!$D$5:$D$34)))))))</f>
        <v/>
      </c>
      <c r="J143" s="9"/>
      <c r="K143" s="10" t="str">
        <f aca="false">IF(AND(A143="",C143="",D143="",E143="",F143="",H143=""),"",IF(NOT(ISNUMBER(A143)),"Enter a date",IF(AND(F143&lt;&gt;"",OR(NOT(ISNUMBER(F143)),N(F143)&lt;0)),"Minutes must be a number of 0 or more",IF(G143="","Enter start and end times, or minutes",IF(C143="","Pick a machine",IF(SUMPRODUCT(--(Setup!$A$5:$A$34=C143))=0,"Machine not in Setup",IF(H143="","Pick a reason (counted as unclassified)",IF(I143="Not in Setup","Reason not in Setup (counted as unclassified)",IF(N(G143)=0,"0 minutes: not counted as a stop","OK")))))))))</f>
        <v/>
      </c>
    </row>
    <row r="144" customFormat="false" ht="15" hidden="false" customHeight="false" outlineLevel="0" collapsed="false">
      <c r="A144" s="11"/>
      <c r="B144" s="9"/>
      <c r="C144" s="9"/>
      <c r="D144" s="12"/>
      <c r="E144" s="12"/>
      <c r="F144" s="13"/>
      <c r="G144" s="14" t="str">
        <f aca="false">IF(F144&lt;&gt;"",IF(AND(ISNUMBER(F144),N(F144)&gt;=0),F144,""),IF(AND(ISNUMBER(D144),ISNUMBER(E144)),ROUND(MOD(E144-D144,1)*1440,0),""))</f>
        <v/>
      </c>
      <c r="H144" s="9"/>
      <c r="I144" s="10" t="str">
        <f aca="false">IF(H144="","",IF(SUMPRODUCT(MAX((Setup!$D$5:$D$34=H144)*(35-ROW(Setup!$D$5:$D$34))))=0,"Not in Setup",INDEX(Setup!$E$5:$E$34,31-SUMPRODUCT(MAX((Setup!$D$5:$D$34=H144)*(35-ROW(Setup!$D$5:$D$34)))))))</f>
        <v/>
      </c>
      <c r="J144" s="9"/>
      <c r="K144" s="10" t="str">
        <f aca="false">IF(AND(A144="",C144="",D144="",E144="",F144="",H144=""),"",IF(NOT(ISNUMBER(A144)),"Enter a date",IF(AND(F144&lt;&gt;"",OR(NOT(ISNUMBER(F144)),N(F144)&lt;0)),"Minutes must be a number of 0 or more",IF(G144="","Enter start and end times, or minutes",IF(C144="","Pick a machine",IF(SUMPRODUCT(--(Setup!$A$5:$A$34=C144))=0,"Machine not in Setup",IF(H144="","Pick a reason (counted as unclassified)",IF(I144="Not in Setup","Reason not in Setup (counted as unclassified)",IF(N(G144)=0,"0 minutes: not counted as a stop","OK")))))))))</f>
        <v/>
      </c>
    </row>
    <row r="145" customFormat="false" ht="15" hidden="false" customHeight="false" outlineLevel="0" collapsed="false">
      <c r="A145" s="11"/>
      <c r="B145" s="9"/>
      <c r="C145" s="9"/>
      <c r="D145" s="12"/>
      <c r="E145" s="12"/>
      <c r="F145" s="13"/>
      <c r="G145" s="14" t="str">
        <f aca="false">IF(F145&lt;&gt;"",IF(AND(ISNUMBER(F145),N(F145)&gt;=0),F145,""),IF(AND(ISNUMBER(D145),ISNUMBER(E145)),ROUND(MOD(E145-D145,1)*1440,0),""))</f>
        <v/>
      </c>
      <c r="H145" s="9"/>
      <c r="I145" s="10" t="str">
        <f aca="false">IF(H145="","",IF(SUMPRODUCT(MAX((Setup!$D$5:$D$34=H145)*(35-ROW(Setup!$D$5:$D$34))))=0,"Not in Setup",INDEX(Setup!$E$5:$E$34,31-SUMPRODUCT(MAX((Setup!$D$5:$D$34=H145)*(35-ROW(Setup!$D$5:$D$34)))))))</f>
        <v/>
      </c>
      <c r="J145" s="9"/>
      <c r="K145" s="10" t="str">
        <f aca="false">IF(AND(A145="",C145="",D145="",E145="",F145="",H145=""),"",IF(NOT(ISNUMBER(A145)),"Enter a date",IF(AND(F145&lt;&gt;"",OR(NOT(ISNUMBER(F145)),N(F145)&lt;0)),"Minutes must be a number of 0 or more",IF(G145="","Enter start and end times, or minutes",IF(C145="","Pick a machine",IF(SUMPRODUCT(--(Setup!$A$5:$A$34=C145))=0,"Machine not in Setup",IF(H145="","Pick a reason (counted as unclassified)",IF(I145="Not in Setup","Reason not in Setup (counted as unclassified)",IF(N(G145)=0,"0 minutes: not counted as a stop","OK")))))))))</f>
        <v/>
      </c>
    </row>
    <row r="146" customFormat="false" ht="15" hidden="false" customHeight="false" outlineLevel="0" collapsed="false">
      <c r="A146" s="11"/>
      <c r="B146" s="9"/>
      <c r="C146" s="9"/>
      <c r="D146" s="12"/>
      <c r="E146" s="12"/>
      <c r="F146" s="13"/>
      <c r="G146" s="14" t="str">
        <f aca="false">IF(F146&lt;&gt;"",IF(AND(ISNUMBER(F146),N(F146)&gt;=0),F146,""),IF(AND(ISNUMBER(D146),ISNUMBER(E146)),ROUND(MOD(E146-D146,1)*1440,0),""))</f>
        <v/>
      </c>
      <c r="H146" s="9"/>
      <c r="I146" s="10" t="str">
        <f aca="false">IF(H146="","",IF(SUMPRODUCT(MAX((Setup!$D$5:$D$34=H146)*(35-ROW(Setup!$D$5:$D$34))))=0,"Not in Setup",INDEX(Setup!$E$5:$E$34,31-SUMPRODUCT(MAX((Setup!$D$5:$D$34=H146)*(35-ROW(Setup!$D$5:$D$34)))))))</f>
        <v/>
      </c>
      <c r="J146" s="9"/>
      <c r="K146" s="10" t="str">
        <f aca="false">IF(AND(A146="",C146="",D146="",E146="",F146="",H146=""),"",IF(NOT(ISNUMBER(A146)),"Enter a date",IF(AND(F146&lt;&gt;"",OR(NOT(ISNUMBER(F146)),N(F146)&lt;0)),"Minutes must be a number of 0 or more",IF(G146="","Enter start and end times, or minutes",IF(C146="","Pick a machine",IF(SUMPRODUCT(--(Setup!$A$5:$A$34=C146))=0,"Machine not in Setup",IF(H146="","Pick a reason (counted as unclassified)",IF(I146="Not in Setup","Reason not in Setup (counted as unclassified)",IF(N(G146)=0,"0 minutes: not counted as a stop","OK")))))))))</f>
        <v/>
      </c>
    </row>
    <row r="147" customFormat="false" ht="15" hidden="false" customHeight="false" outlineLevel="0" collapsed="false">
      <c r="A147" s="11"/>
      <c r="B147" s="9"/>
      <c r="C147" s="9"/>
      <c r="D147" s="12"/>
      <c r="E147" s="12"/>
      <c r="F147" s="13"/>
      <c r="G147" s="14" t="str">
        <f aca="false">IF(F147&lt;&gt;"",IF(AND(ISNUMBER(F147),N(F147)&gt;=0),F147,""),IF(AND(ISNUMBER(D147),ISNUMBER(E147)),ROUND(MOD(E147-D147,1)*1440,0),""))</f>
        <v/>
      </c>
      <c r="H147" s="9"/>
      <c r="I147" s="10" t="str">
        <f aca="false">IF(H147="","",IF(SUMPRODUCT(MAX((Setup!$D$5:$D$34=H147)*(35-ROW(Setup!$D$5:$D$34))))=0,"Not in Setup",INDEX(Setup!$E$5:$E$34,31-SUMPRODUCT(MAX((Setup!$D$5:$D$34=H147)*(35-ROW(Setup!$D$5:$D$34)))))))</f>
        <v/>
      </c>
      <c r="J147" s="9"/>
      <c r="K147" s="10" t="str">
        <f aca="false">IF(AND(A147="",C147="",D147="",E147="",F147="",H147=""),"",IF(NOT(ISNUMBER(A147)),"Enter a date",IF(AND(F147&lt;&gt;"",OR(NOT(ISNUMBER(F147)),N(F147)&lt;0)),"Minutes must be a number of 0 or more",IF(G147="","Enter start and end times, or minutes",IF(C147="","Pick a machine",IF(SUMPRODUCT(--(Setup!$A$5:$A$34=C147))=0,"Machine not in Setup",IF(H147="","Pick a reason (counted as unclassified)",IF(I147="Not in Setup","Reason not in Setup (counted as unclassified)",IF(N(G147)=0,"0 minutes: not counted as a stop","OK")))))))))</f>
        <v/>
      </c>
    </row>
    <row r="148" customFormat="false" ht="15" hidden="false" customHeight="false" outlineLevel="0" collapsed="false">
      <c r="A148" s="11"/>
      <c r="B148" s="9"/>
      <c r="C148" s="9"/>
      <c r="D148" s="12"/>
      <c r="E148" s="12"/>
      <c r="F148" s="13"/>
      <c r="G148" s="14" t="str">
        <f aca="false">IF(F148&lt;&gt;"",IF(AND(ISNUMBER(F148),N(F148)&gt;=0),F148,""),IF(AND(ISNUMBER(D148),ISNUMBER(E148)),ROUND(MOD(E148-D148,1)*1440,0),""))</f>
        <v/>
      </c>
      <c r="H148" s="9"/>
      <c r="I148" s="10" t="str">
        <f aca="false">IF(H148="","",IF(SUMPRODUCT(MAX((Setup!$D$5:$D$34=H148)*(35-ROW(Setup!$D$5:$D$34))))=0,"Not in Setup",INDEX(Setup!$E$5:$E$34,31-SUMPRODUCT(MAX((Setup!$D$5:$D$34=H148)*(35-ROW(Setup!$D$5:$D$34)))))))</f>
        <v/>
      </c>
      <c r="J148" s="9"/>
      <c r="K148" s="10" t="str">
        <f aca="false">IF(AND(A148="",C148="",D148="",E148="",F148="",H148=""),"",IF(NOT(ISNUMBER(A148)),"Enter a date",IF(AND(F148&lt;&gt;"",OR(NOT(ISNUMBER(F148)),N(F148)&lt;0)),"Minutes must be a number of 0 or more",IF(G148="","Enter start and end times, or minutes",IF(C148="","Pick a machine",IF(SUMPRODUCT(--(Setup!$A$5:$A$34=C148))=0,"Machine not in Setup",IF(H148="","Pick a reason (counted as unclassified)",IF(I148="Not in Setup","Reason not in Setup (counted as unclassified)",IF(N(G148)=0,"0 minutes: not counted as a stop","OK")))))))))</f>
        <v/>
      </c>
    </row>
    <row r="149" customFormat="false" ht="15" hidden="false" customHeight="false" outlineLevel="0" collapsed="false">
      <c r="A149" s="11"/>
      <c r="B149" s="9"/>
      <c r="C149" s="9"/>
      <c r="D149" s="12"/>
      <c r="E149" s="12"/>
      <c r="F149" s="13"/>
      <c r="G149" s="14" t="str">
        <f aca="false">IF(F149&lt;&gt;"",IF(AND(ISNUMBER(F149),N(F149)&gt;=0),F149,""),IF(AND(ISNUMBER(D149),ISNUMBER(E149)),ROUND(MOD(E149-D149,1)*1440,0),""))</f>
        <v/>
      </c>
      <c r="H149" s="9"/>
      <c r="I149" s="10" t="str">
        <f aca="false">IF(H149="","",IF(SUMPRODUCT(MAX((Setup!$D$5:$D$34=H149)*(35-ROW(Setup!$D$5:$D$34))))=0,"Not in Setup",INDEX(Setup!$E$5:$E$34,31-SUMPRODUCT(MAX((Setup!$D$5:$D$34=H149)*(35-ROW(Setup!$D$5:$D$34)))))))</f>
        <v/>
      </c>
      <c r="J149" s="9"/>
      <c r="K149" s="10" t="str">
        <f aca="false">IF(AND(A149="",C149="",D149="",E149="",F149="",H149=""),"",IF(NOT(ISNUMBER(A149)),"Enter a date",IF(AND(F149&lt;&gt;"",OR(NOT(ISNUMBER(F149)),N(F149)&lt;0)),"Minutes must be a number of 0 or more",IF(G149="","Enter start and end times, or minutes",IF(C149="","Pick a machine",IF(SUMPRODUCT(--(Setup!$A$5:$A$34=C149))=0,"Machine not in Setup",IF(H149="","Pick a reason (counted as unclassified)",IF(I149="Not in Setup","Reason not in Setup (counted as unclassified)",IF(N(G149)=0,"0 minutes: not counted as a stop","OK")))))))))</f>
        <v/>
      </c>
    </row>
    <row r="150" customFormat="false" ht="15" hidden="false" customHeight="false" outlineLevel="0" collapsed="false">
      <c r="A150" s="11"/>
      <c r="B150" s="9"/>
      <c r="C150" s="9"/>
      <c r="D150" s="12"/>
      <c r="E150" s="12"/>
      <c r="F150" s="13"/>
      <c r="G150" s="14" t="str">
        <f aca="false">IF(F150&lt;&gt;"",IF(AND(ISNUMBER(F150),N(F150)&gt;=0),F150,""),IF(AND(ISNUMBER(D150),ISNUMBER(E150)),ROUND(MOD(E150-D150,1)*1440,0),""))</f>
        <v/>
      </c>
      <c r="H150" s="9"/>
      <c r="I150" s="10" t="str">
        <f aca="false">IF(H150="","",IF(SUMPRODUCT(MAX((Setup!$D$5:$D$34=H150)*(35-ROW(Setup!$D$5:$D$34))))=0,"Not in Setup",INDEX(Setup!$E$5:$E$34,31-SUMPRODUCT(MAX((Setup!$D$5:$D$34=H150)*(35-ROW(Setup!$D$5:$D$34)))))))</f>
        <v/>
      </c>
      <c r="J150" s="9"/>
      <c r="K150" s="10" t="str">
        <f aca="false">IF(AND(A150="",C150="",D150="",E150="",F150="",H150=""),"",IF(NOT(ISNUMBER(A150)),"Enter a date",IF(AND(F150&lt;&gt;"",OR(NOT(ISNUMBER(F150)),N(F150)&lt;0)),"Minutes must be a number of 0 or more",IF(G150="","Enter start and end times, or minutes",IF(C150="","Pick a machine",IF(SUMPRODUCT(--(Setup!$A$5:$A$34=C150))=0,"Machine not in Setup",IF(H150="","Pick a reason (counted as unclassified)",IF(I150="Not in Setup","Reason not in Setup (counted as unclassified)",IF(N(G150)=0,"0 minutes: not counted as a stop","OK")))))))))</f>
        <v/>
      </c>
    </row>
    <row r="151" customFormat="false" ht="15" hidden="false" customHeight="false" outlineLevel="0" collapsed="false">
      <c r="A151" s="11"/>
      <c r="B151" s="9"/>
      <c r="C151" s="9"/>
      <c r="D151" s="12"/>
      <c r="E151" s="12"/>
      <c r="F151" s="13"/>
      <c r="G151" s="14" t="str">
        <f aca="false">IF(F151&lt;&gt;"",IF(AND(ISNUMBER(F151),N(F151)&gt;=0),F151,""),IF(AND(ISNUMBER(D151),ISNUMBER(E151)),ROUND(MOD(E151-D151,1)*1440,0),""))</f>
        <v/>
      </c>
      <c r="H151" s="9"/>
      <c r="I151" s="10" t="str">
        <f aca="false">IF(H151="","",IF(SUMPRODUCT(MAX((Setup!$D$5:$D$34=H151)*(35-ROW(Setup!$D$5:$D$34))))=0,"Not in Setup",INDEX(Setup!$E$5:$E$34,31-SUMPRODUCT(MAX((Setup!$D$5:$D$34=H151)*(35-ROW(Setup!$D$5:$D$34)))))))</f>
        <v/>
      </c>
      <c r="J151" s="9"/>
      <c r="K151" s="10" t="str">
        <f aca="false">IF(AND(A151="",C151="",D151="",E151="",F151="",H151=""),"",IF(NOT(ISNUMBER(A151)),"Enter a date",IF(AND(F151&lt;&gt;"",OR(NOT(ISNUMBER(F151)),N(F151)&lt;0)),"Minutes must be a number of 0 or more",IF(G151="","Enter start and end times, or minutes",IF(C151="","Pick a machine",IF(SUMPRODUCT(--(Setup!$A$5:$A$34=C151))=0,"Machine not in Setup",IF(H151="","Pick a reason (counted as unclassified)",IF(I151="Not in Setup","Reason not in Setup (counted as unclassified)",IF(N(G151)=0,"0 minutes: not counted as a stop","OK")))))))))</f>
        <v/>
      </c>
    </row>
    <row r="152" customFormat="false" ht="15" hidden="false" customHeight="false" outlineLevel="0" collapsed="false">
      <c r="A152" s="11"/>
      <c r="B152" s="9"/>
      <c r="C152" s="9"/>
      <c r="D152" s="12"/>
      <c r="E152" s="12"/>
      <c r="F152" s="13"/>
      <c r="G152" s="14" t="str">
        <f aca="false">IF(F152&lt;&gt;"",IF(AND(ISNUMBER(F152),N(F152)&gt;=0),F152,""),IF(AND(ISNUMBER(D152),ISNUMBER(E152)),ROUND(MOD(E152-D152,1)*1440,0),""))</f>
        <v/>
      </c>
      <c r="H152" s="9"/>
      <c r="I152" s="10" t="str">
        <f aca="false">IF(H152="","",IF(SUMPRODUCT(MAX((Setup!$D$5:$D$34=H152)*(35-ROW(Setup!$D$5:$D$34))))=0,"Not in Setup",INDEX(Setup!$E$5:$E$34,31-SUMPRODUCT(MAX((Setup!$D$5:$D$34=H152)*(35-ROW(Setup!$D$5:$D$34)))))))</f>
        <v/>
      </c>
      <c r="J152" s="9"/>
      <c r="K152" s="10" t="str">
        <f aca="false">IF(AND(A152="",C152="",D152="",E152="",F152="",H152=""),"",IF(NOT(ISNUMBER(A152)),"Enter a date",IF(AND(F152&lt;&gt;"",OR(NOT(ISNUMBER(F152)),N(F152)&lt;0)),"Minutes must be a number of 0 or more",IF(G152="","Enter start and end times, or minutes",IF(C152="","Pick a machine",IF(SUMPRODUCT(--(Setup!$A$5:$A$34=C152))=0,"Machine not in Setup",IF(H152="","Pick a reason (counted as unclassified)",IF(I152="Not in Setup","Reason not in Setup (counted as unclassified)",IF(N(G152)=0,"0 minutes: not counted as a stop","OK")))))))))</f>
        <v/>
      </c>
    </row>
    <row r="153" customFormat="false" ht="15" hidden="false" customHeight="false" outlineLevel="0" collapsed="false">
      <c r="A153" s="11"/>
      <c r="B153" s="9"/>
      <c r="C153" s="9"/>
      <c r="D153" s="12"/>
      <c r="E153" s="12"/>
      <c r="F153" s="13"/>
      <c r="G153" s="14" t="str">
        <f aca="false">IF(F153&lt;&gt;"",IF(AND(ISNUMBER(F153),N(F153)&gt;=0),F153,""),IF(AND(ISNUMBER(D153),ISNUMBER(E153)),ROUND(MOD(E153-D153,1)*1440,0),""))</f>
        <v/>
      </c>
      <c r="H153" s="9"/>
      <c r="I153" s="10" t="str">
        <f aca="false">IF(H153="","",IF(SUMPRODUCT(MAX((Setup!$D$5:$D$34=H153)*(35-ROW(Setup!$D$5:$D$34))))=0,"Not in Setup",INDEX(Setup!$E$5:$E$34,31-SUMPRODUCT(MAX((Setup!$D$5:$D$34=H153)*(35-ROW(Setup!$D$5:$D$34)))))))</f>
        <v/>
      </c>
      <c r="J153" s="9"/>
      <c r="K153" s="10" t="str">
        <f aca="false">IF(AND(A153="",C153="",D153="",E153="",F153="",H153=""),"",IF(NOT(ISNUMBER(A153)),"Enter a date",IF(AND(F153&lt;&gt;"",OR(NOT(ISNUMBER(F153)),N(F153)&lt;0)),"Minutes must be a number of 0 or more",IF(G153="","Enter start and end times, or minutes",IF(C153="","Pick a machine",IF(SUMPRODUCT(--(Setup!$A$5:$A$34=C153))=0,"Machine not in Setup",IF(H153="","Pick a reason (counted as unclassified)",IF(I153="Not in Setup","Reason not in Setup (counted as unclassified)",IF(N(G153)=0,"0 minutes: not counted as a stop","OK")))))))))</f>
        <v/>
      </c>
    </row>
    <row r="154" customFormat="false" ht="15" hidden="false" customHeight="false" outlineLevel="0" collapsed="false">
      <c r="A154" s="11"/>
      <c r="B154" s="9"/>
      <c r="C154" s="9"/>
      <c r="D154" s="12"/>
      <c r="E154" s="12"/>
      <c r="F154" s="13"/>
      <c r="G154" s="14" t="str">
        <f aca="false">IF(F154&lt;&gt;"",IF(AND(ISNUMBER(F154),N(F154)&gt;=0),F154,""),IF(AND(ISNUMBER(D154),ISNUMBER(E154)),ROUND(MOD(E154-D154,1)*1440,0),""))</f>
        <v/>
      </c>
      <c r="H154" s="9"/>
      <c r="I154" s="10" t="str">
        <f aca="false">IF(H154="","",IF(SUMPRODUCT(MAX((Setup!$D$5:$D$34=H154)*(35-ROW(Setup!$D$5:$D$34))))=0,"Not in Setup",INDEX(Setup!$E$5:$E$34,31-SUMPRODUCT(MAX((Setup!$D$5:$D$34=H154)*(35-ROW(Setup!$D$5:$D$34)))))))</f>
        <v/>
      </c>
      <c r="J154" s="9"/>
      <c r="K154" s="10" t="str">
        <f aca="false">IF(AND(A154="",C154="",D154="",E154="",F154="",H154=""),"",IF(NOT(ISNUMBER(A154)),"Enter a date",IF(AND(F154&lt;&gt;"",OR(NOT(ISNUMBER(F154)),N(F154)&lt;0)),"Minutes must be a number of 0 or more",IF(G154="","Enter start and end times, or minutes",IF(C154="","Pick a machine",IF(SUMPRODUCT(--(Setup!$A$5:$A$34=C154))=0,"Machine not in Setup",IF(H154="","Pick a reason (counted as unclassified)",IF(I154="Not in Setup","Reason not in Setup (counted as unclassified)",IF(N(G154)=0,"0 minutes: not counted as a stop","OK")))))))))</f>
        <v/>
      </c>
    </row>
    <row r="155" customFormat="false" ht="15" hidden="false" customHeight="false" outlineLevel="0" collapsed="false">
      <c r="A155" s="11"/>
      <c r="B155" s="9"/>
      <c r="C155" s="9"/>
      <c r="D155" s="12"/>
      <c r="E155" s="12"/>
      <c r="F155" s="13"/>
      <c r="G155" s="14" t="str">
        <f aca="false">IF(F155&lt;&gt;"",IF(AND(ISNUMBER(F155),N(F155)&gt;=0),F155,""),IF(AND(ISNUMBER(D155),ISNUMBER(E155)),ROUND(MOD(E155-D155,1)*1440,0),""))</f>
        <v/>
      </c>
      <c r="H155" s="9"/>
      <c r="I155" s="10" t="str">
        <f aca="false">IF(H155="","",IF(SUMPRODUCT(MAX((Setup!$D$5:$D$34=H155)*(35-ROW(Setup!$D$5:$D$34))))=0,"Not in Setup",INDEX(Setup!$E$5:$E$34,31-SUMPRODUCT(MAX((Setup!$D$5:$D$34=H155)*(35-ROW(Setup!$D$5:$D$34)))))))</f>
        <v/>
      </c>
      <c r="J155" s="9"/>
      <c r="K155" s="10" t="str">
        <f aca="false">IF(AND(A155="",C155="",D155="",E155="",F155="",H155=""),"",IF(NOT(ISNUMBER(A155)),"Enter a date",IF(AND(F155&lt;&gt;"",OR(NOT(ISNUMBER(F155)),N(F155)&lt;0)),"Minutes must be a number of 0 or more",IF(G155="","Enter start and end times, or minutes",IF(C155="","Pick a machine",IF(SUMPRODUCT(--(Setup!$A$5:$A$34=C155))=0,"Machine not in Setup",IF(H155="","Pick a reason (counted as unclassified)",IF(I155="Not in Setup","Reason not in Setup (counted as unclassified)",IF(N(G155)=0,"0 minutes: not counted as a stop","OK")))))))))</f>
        <v/>
      </c>
    </row>
    <row r="156" customFormat="false" ht="15" hidden="false" customHeight="false" outlineLevel="0" collapsed="false">
      <c r="A156" s="11"/>
      <c r="B156" s="9"/>
      <c r="C156" s="9"/>
      <c r="D156" s="12"/>
      <c r="E156" s="12"/>
      <c r="F156" s="13"/>
      <c r="G156" s="14" t="str">
        <f aca="false">IF(F156&lt;&gt;"",IF(AND(ISNUMBER(F156),N(F156)&gt;=0),F156,""),IF(AND(ISNUMBER(D156),ISNUMBER(E156)),ROUND(MOD(E156-D156,1)*1440,0),""))</f>
        <v/>
      </c>
      <c r="H156" s="9"/>
      <c r="I156" s="10" t="str">
        <f aca="false">IF(H156="","",IF(SUMPRODUCT(MAX((Setup!$D$5:$D$34=H156)*(35-ROW(Setup!$D$5:$D$34))))=0,"Not in Setup",INDEX(Setup!$E$5:$E$34,31-SUMPRODUCT(MAX((Setup!$D$5:$D$34=H156)*(35-ROW(Setup!$D$5:$D$34)))))))</f>
        <v/>
      </c>
      <c r="J156" s="9"/>
      <c r="K156" s="10" t="str">
        <f aca="false">IF(AND(A156="",C156="",D156="",E156="",F156="",H156=""),"",IF(NOT(ISNUMBER(A156)),"Enter a date",IF(AND(F156&lt;&gt;"",OR(NOT(ISNUMBER(F156)),N(F156)&lt;0)),"Minutes must be a number of 0 or more",IF(G156="","Enter start and end times, or minutes",IF(C156="","Pick a machine",IF(SUMPRODUCT(--(Setup!$A$5:$A$34=C156))=0,"Machine not in Setup",IF(H156="","Pick a reason (counted as unclassified)",IF(I156="Not in Setup","Reason not in Setup (counted as unclassified)",IF(N(G156)=0,"0 minutes: not counted as a stop","OK")))))))))</f>
        <v/>
      </c>
    </row>
    <row r="157" customFormat="false" ht="15" hidden="false" customHeight="false" outlineLevel="0" collapsed="false">
      <c r="A157" s="11"/>
      <c r="B157" s="9"/>
      <c r="C157" s="9"/>
      <c r="D157" s="12"/>
      <c r="E157" s="12"/>
      <c r="F157" s="13"/>
      <c r="G157" s="14" t="str">
        <f aca="false">IF(F157&lt;&gt;"",IF(AND(ISNUMBER(F157),N(F157)&gt;=0),F157,""),IF(AND(ISNUMBER(D157),ISNUMBER(E157)),ROUND(MOD(E157-D157,1)*1440,0),""))</f>
        <v/>
      </c>
      <c r="H157" s="9"/>
      <c r="I157" s="10" t="str">
        <f aca="false">IF(H157="","",IF(SUMPRODUCT(MAX((Setup!$D$5:$D$34=H157)*(35-ROW(Setup!$D$5:$D$34))))=0,"Not in Setup",INDEX(Setup!$E$5:$E$34,31-SUMPRODUCT(MAX((Setup!$D$5:$D$34=H157)*(35-ROW(Setup!$D$5:$D$34)))))))</f>
        <v/>
      </c>
      <c r="J157" s="9"/>
      <c r="K157" s="10" t="str">
        <f aca="false">IF(AND(A157="",C157="",D157="",E157="",F157="",H157=""),"",IF(NOT(ISNUMBER(A157)),"Enter a date",IF(AND(F157&lt;&gt;"",OR(NOT(ISNUMBER(F157)),N(F157)&lt;0)),"Minutes must be a number of 0 or more",IF(G157="","Enter start and end times, or minutes",IF(C157="","Pick a machine",IF(SUMPRODUCT(--(Setup!$A$5:$A$34=C157))=0,"Machine not in Setup",IF(H157="","Pick a reason (counted as unclassified)",IF(I157="Not in Setup","Reason not in Setup (counted as unclassified)",IF(N(G157)=0,"0 minutes: not counted as a stop","OK")))))))))</f>
        <v/>
      </c>
    </row>
    <row r="158" customFormat="false" ht="15" hidden="false" customHeight="false" outlineLevel="0" collapsed="false">
      <c r="A158" s="11"/>
      <c r="B158" s="9"/>
      <c r="C158" s="9"/>
      <c r="D158" s="12"/>
      <c r="E158" s="12"/>
      <c r="F158" s="13"/>
      <c r="G158" s="14" t="str">
        <f aca="false">IF(F158&lt;&gt;"",IF(AND(ISNUMBER(F158),N(F158)&gt;=0),F158,""),IF(AND(ISNUMBER(D158),ISNUMBER(E158)),ROUND(MOD(E158-D158,1)*1440,0),""))</f>
        <v/>
      </c>
      <c r="H158" s="9"/>
      <c r="I158" s="10" t="str">
        <f aca="false">IF(H158="","",IF(SUMPRODUCT(MAX((Setup!$D$5:$D$34=H158)*(35-ROW(Setup!$D$5:$D$34))))=0,"Not in Setup",INDEX(Setup!$E$5:$E$34,31-SUMPRODUCT(MAX((Setup!$D$5:$D$34=H158)*(35-ROW(Setup!$D$5:$D$34)))))))</f>
        <v/>
      </c>
      <c r="J158" s="9"/>
      <c r="K158" s="10" t="str">
        <f aca="false">IF(AND(A158="",C158="",D158="",E158="",F158="",H158=""),"",IF(NOT(ISNUMBER(A158)),"Enter a date",IF(AND(F158&lt;&gt;"",OR(NOT(ISNUMBER(F158)),N(F158)&lt;0)),"Minutes must be a number of 0 or more",IF(G158="","Enter start and end times, or minutes",IF(C158="","Pick a machine",IF(SUMPRODUCT(--(Setup!$A$5:$A$34=C158))=0,"Machine not in Setup",IF(H158="","Pick a reason (counted as unclassified)",IF(I158="Not in Setup","Reason not in Setup (counted as unclassified)",IF(N(G158)=0,"0 minutes: not counted as a stop","OK")))))))))</f>
        <v/>
      </c>
    </row>
    <row r="159" customFormat="false" ht="15" hidden="false" customHeight="false" outlineLevel="0" collapsed="false">
      <c r="A159" s="11"/>
      <c r="B159" s="9"/>
      <c r="C159" s="9"/>
      <c r="D159" s="12"/>
      <c r="E159" s="12"/>
      <c r="F159" s="13"/>
      <c r="G159" s="14" t="str">
        <f aca="false">IF(F159&lt;&gt;"",IF(AND(ISNUMBER(F159),N(F159)&gt;=0),F159,""),IF(AND(ISNUMBER(D159),ISNUMBER(E159)),ROUND(MOD(E159-D159,1)*1440,0),""))</f>
        <v/>
      </c>
      <c r="H159" s="9"/>
      <c r="I159" s="10" t="str">
        <f aca="false">IF(H159="","",IF(SUMPRODUCT(MAX((Setup!$D$5:$D$34=H159)*(35-ROW(Setup!$D$5:$D$34))))=0,"Not in Setup",INDEX(Setup!$E$5:$E$34,31-SUMPRODUCT(MAX((Setup!$D$5:$D$34=H159)*(35-ROW(Setup!$D$5:$D$34)))))))</f>
        <v/>
      </c>
      <c r="J159" s="9"/>
      <c r="K159" s="10" t="str">
        <f aca="false">IF(AND(A159="",C159="",D159="",E159="",F159="",H159=""),"",IF(NOT(ISNUMBER(A159)),"Enter a date",IF(AND(F159&lt;&gt;"",OR(NOT(ISNUMBER(F159)),N(F159)&lt;0)),"Minutes must be a number of 0 or more",IF(G159="","Enter start and end times, or minutes",IF(C159="","Pick a machine",IF(SUMPRODUCT(--(Setup!$A$5:$A$34=C159))=0,"Machine not in Setup",IF(H159="","Pick a reason (counted as unclassified)",IF(I159="Not in Setup","Reason not in Setup (counted as unclassified)",IF(N(G159)=0,"0 minutes: not counted as a stop","OK")))))))))</f>
        <v/>
      </c>
    </row>
    <row r="160" customFormat="false" ht="15" hidden="false" customHeight="false" outlineLevel="0" collapsed="false">
      <c r="A160" s="11"/>
      <c r="B160" s="9"/>
      <c r="C160" s="9"/>
      <c r="D160" s="12"/>
      <c r="E160" s="12"/>
      <c r="F160" s="13"/>
      <c r="G160" s="14" t="str">
        <f aca="false">IF(F160&lt;&gt;"",IF(AND(ISNUMBER(F160),N(F160)&gt;=0),F160,""),IF(AND(ISNUMBER(D160),ISNUMBER(E160)),ROUND(MOD(E160-D160,1)*1440,0),""))</f>
        <v/>
      </c>
      <c r="H160" s="9"/>
      <c r="I160" s="10" t="str">
        <f aca="false">IF(H160="","",IF(SUMPRODUCT(MAX((Setup!$D$5:$D$34=H160)*(35-ROW(Setup!$D$5:$D$34))))=0,"Not in Setup",INDEX(Setup!$E$5:$E$34,31-SUMPRODUCT(MAX((Setup!$D$5:$D$34=H160)*(35-ROW(Setup!$D$5:$D$34)))))))</f>
        <v/>
      </c>
      <c r="J160" s="9"/>
      <c r="K160" s="10" t="str">
        <f aca="false">IF(AND(A160="",C160="",D160="",E160="",F160="",H160=""),"",IF(NOT(ISNUMBER(A160)),"Enter a date",IF(AND(F160&lt;&gt;"",OR(NOT(ISNUMBER(F160)),N(F160)&lt;0)),"Minutes must be a number of 0 or more",IF(G160="","Enter start and end times, or minutes",IF(C160="","Pick a machine",IF(SUMPRODUCT(--(Setup!$A$5:$A$34=C160))=0,"Machine not in Setup",IF(H160="","Pick a reason (counted as unclassified)",IF(I160="Not in Setup","Reason not in Setup (counted as unclassified)",IF(N(G160)=0,"0 minutes: not counted as a stop","OK")))))))))</f>
        <v/>
      </c>
    </row>
    <row r="161" customFormat="false" ht="15" hidden="false" customHeight="false" outlineLevel="0" collapsed="false">
      <c r="A161" s="11"/>
      <c r="B161" s="9"/>
      <c r="C161" s="9"/>
      <c r="D161" s="12"/>
      <c r="E161" s="12"/>
      <c r="F161" s="13"/>
      <c r="G161" s="14" t="str">
        <f aca="false">IF(F161&lt;&gt;"",IF(AND(ISNUMBER(F161),N(F161)&gt;=0),F161,""),IF(AND(ISNUMBER(D161),ISNUMBER(E161)),ROUND(MOD(E161-D161,1)*1440,0),""))</f>
        <v/>
      </c>
      <c r="H161" s="9"/>
      <c r="I161" s="10" t="str">
        <f aca="false">IF(H161="","",IF(SUMPRODUCT(MAX((Setup!$D$5:$D$34=H161)*(35-ROW(Setup!$D$5:$D$34))))=0,"Not in Setup",INDEX(Setup!$E$5:$E$34,31-SUMPRODUCT(MAX((Setup!$D$5:$D$34=H161)*(35-ROW(Setup!$D$5:$D$34)))))))</f>
        <v/>
      </c>
      <c r="J161" s="9"/>
      <c r="K161" s="10" t="str">
        <f aca="false">IF(AND(A161="",C161="",D161="",E161="",F161="",H161=""),"",IF(NOT(ISNUMBER(A161)),"Enter a date",IF(AND(F161&lt;&gt;"",OR(NOT(ISNUMBER(F161)),N(F161)&lt;0)),"Minutes must be a number of 0 or more",IF(G161="","Enter start and end times, or minutes",IF(C161="","Pick a machine",IF(SUMPRODUCT(--(Setup!$A$5:$A$34=C161))=0,"Machine not in Setup",IF(H161="","Pick a reason (counted as unclassified)",IF(I161="Not in Setup","Reason not in Setup (counted as unclassified)",IF(N(G161)=0,"0 minutes: not counted as a stop","OK")))))))))</f>
        <v/>
      </c>
    </row>
    <row r="162" customFormat="false" ht="15" hidden="false" customHeight="false" outlineLevel="0" collapsed="false">
      <c r="A162" s="11"/>
      <c r="B162" s="9"/>
      <c r="C162" s="9"/>
      <c r="D162" s="12"/>
      <c r="E162" s="12"/>
      <c r="F162" s="13"/>
      <c r="G162" s="14" t="str">
        <f aca="false">IF(F162&lt;&gt;"",IF(AND(ISNUMBER(F162),N(F162)&gt;=0),F162,""),IF(AND(ISNUMBER(D162),ISNUMBER(E162)),ROUND(MOD(E162-D162,1)*1440,0),""))</f>
        <v/>
      </c>
      <c r="H162" s="9"/>
      <c r="I162" s="10" t="str">
        <f aca="false">IF(H162="","",IF(SUMPRODUCT(MAX((Setup!$D$5:$D$34=H162)*(35-ROW(Setup!$D$5:$D$34))))=0,"Not in Setup",INDEX(Setup!$E$5:$E$34,31-SUMPRODUCT(MAX((Setup!$D$5:$D$34=H162)*(35-ROW(Setup!$D$5:$D$34)))))))</f>
        <v/>
      </c>
      <c r="J162" s="9"/>
      <c r="K162" s="10" t="str">
        <f aca="false">IF(AND(A162="",C162="",D162="",E162="",F162="",H162=""),"",IF(NOT(ISNUMBER(A162)),"Enter a date",IF(AND(F162&lt;&gt;"",OR(NOT(ISNUMBER(F162)),N(F162)&lt;0)),"Minutes must be a number of 0 or more",IF(G162="","Enter start and end times, or minutes",IF(C162="","Pick a machine",IF(SUMPRODUCT(--(Setup!$A$5:$A$34=C162))=0,"Machine not in Setup",IF(H162="","Pick a reason (counted as unclassified)",IF(I162="Not in Setup","Reason not in Setup (counted as unclassified)",IF(N(G162)=0,"0 minutes: not counted as a stop","OK")))))))))</f>
        <v/>
      </c>
    </row>
    <row r="163" customFormat="false" ht="15" hidden="false" customHeight="false" outlineLevel="0" collapsed="false">
      <c r="A163" s="11"/>
      <c r="B163" s="9"/>
      <c r="C163" s="9"/>
      <c r="D163" s="12"/>
      <c r="E163" s="12"/>
      <c r="F163" s="13"/>
      <c r="G163" s="14" t="str">
        <f aca="false">IF(F163&lt;&gt;"",IF(AND(ISNUMBER(F163),N(F163)&gt;=0),F163,""),IF(AND(ISNUMBER(D163),ISNUMBER(E163)),ROUND(MOD(E163-D163,1)*1440,0),""))</f>
        <v/>
      </c>
      <c r="H163" s="9"/>
      <c r="I163" s="10" t="str">
        <f aca="false">IF(H163="","",IF(SUMPRODUCT(MAX((Setup!$D$5:$D$34=H163)*(35-ROW(Setup!$D$5:$D$34))))=0,"Not in Setup",INDEX(Setup!$E$5:$E$34,31-SUMPRODUCT(MAX((Setup!$D$5:$D$34=H163)*(35-ROW(Setup!$D$5:$D$34)))))))</f>
        <v/>
      </c>
      <c r="J163" s="9"/>
      <c r="K163" s="10" t="str">
        <f aca="false">IF(AND(A163="",C163="",D163="",E163="",F163="",H163=""),"",IF(NOT(ISNUMBER(A163)),"Enter a date",IF(AND(F163&lt;&gt;"",OR(NOT(ISNUMBER(F163)),N(F163)&lt;0)),"Minutes must be a number of 0 or more",IF(G163="","Enter start and end times, or minutes",IF(C163="","Pick a machine",IF(SUMPRODUCT(--(Setup!$A$5:$A$34=C163))=0,"Machine not in Setup",IF(H163="","Pick a reason (counted as unclassified)",IF(I163="Not in Setup","Reason not in Setup (counted as unclassified)",IF(N(G163)=0,"0 minutes: not counted as a stop","OK")))))))))</f>
        <v/>
      </c>
    </row>
    <row r="164" customFormat="false" ht="15" hidden="false" customHeight="false" outlineLevel="0" collapsed="false">
      <c r="A164" s="11"/>
      <c r="B164" s="9"/>
      <c r="C164" s="9"/>
      <c r="D164" s="12"/>
      <c r="E164" s="12"/>
      <c r="F164" s="13"/>
      <c r="G164" s="14" t="str">
        <f aca="false">IF(F164&lt;&gt;"",IF(AND(ISNUMBER(F164),N(F164)&gt;=0),F164,""),IF(AND(ISNUMBER(D164),ISNUMBER(E164)),ROUND(MOD(E164-D164,1)*1440,0),""))</f>
        <v/>
      </c>
      <c r="H164" s="9"/>
      <c r="I164" s="10" t="str">
        <f aca="false">IF(H164="","",IF(SUMPRODUCT(MAX((Setup!$D$5:$D$34=H164)*(35-ROW(Setup!$D$5:$D$34))))=0,"Not in Setup",INDEX(Setup!$E$5:$E$34,31-SUMPRODUCT(MAX((Setup!$D$5:$D$34=H164)*(35-ROW(Setup!$D$5:$D$34)))))))</f>
        <v/>
      </c>
      <c r="J164" s="9"/>
      <c r="K164" s="10" t="str">
        <f aca="false">IF(AND(A164="",C164="",D164="",E164="",F164="",H164=""),"",IF(NOT(ISNUMBER(A164)),"Enter a date",IF(AND(F164&lt;&gt;"",OR(NOT(ISNUMBER(F164)),N(F164)&lt;0)),"Minutes must be a number of 0 or more",IF(G164="","Enter start and end times, or minutes",IF(C164="","Pick a machine",IF(SUMPRODUCT(--(Setup!$A$5:$A$34=C164))=0,"Machine not in Setup",IF(H164="","Pick a reason (counted as unclassified)",IF(I164="Not in Setup","Reason not in Setup (counted as unclassified)",IF(N(G164)=0,"0 minutes: not counted as a stop","OK")))))))))</f>
        <v/>
      </c>
    </row>
    <row r="165" customFormat="false" ht="15" hidden="false" customHeight="false" outlineLevel="0" collapsed="false">
      <c r="A165" s="11"/>
      <c r="B165" s="9"/>
      <c r="C165" s="9"/>
      <c r="D165" s="12"/>
      <c r="E165" s="12"/>
      <c r="F165" s="13"/>
      <c r="G165" s="14" t="str">
        <f aca="false">IF(F165&lt;&gt;"",IF(AND(ISNUMBER(F165),N(F165)&gt;=0),F165,""),IF(AND(ISNUMBER(D165),ISNUMBER(E165)),ROUND(MOD(E165-D165,1)*1440,0),""))</f>
        <v/>
      </c>
      <c r="H165" s="9"/>
      <c r="I165" s="10" t="str">
        <f aca="false">IF(H165="","",IF(SUMPRODUCT(MAX((Setup!$D$5:$D$34=H165)*(35-ROW(Setup!$D$5:$D$34))))=0,"Not in Setup",INDEX(Setup!$E$5:$E$34,31-SUMPRODUCT(MAX((Setup!$D$5:$D$34=H165)*(35-ROW(Setup!$D$5:$D$34)))))))</f>
        <v/>
      </c>
      <c r="J165" s="9"/>
      <c r="K165" s="10" t="str">
        <f aca="false">IF(AND(A165="",C165="",D165="",E165="",F165="",H165=""),"",IF(NOT(ISNUMBER(A165)),"Enter a date",IF(AND(F165&lt;&gt;"",OR(NOT(ISNUMBER(F165)),N(F165)&lt;0)),"Minutes must be a number of 0 or more",IF(G165="","Enter start and end times, or minutes",IF(C165="","Pick a machine",IF(SUMPRODUCT(--(Setup!$A$5:$A$34=C165))=0,"Machine not in Setup",IF(H165="","Pick a reason (counted as unclassified)",IF(I165="Not in Setup","Reason not in Setup (counted as unclassified)",IF(N(G165)=0,"0 minutes: not counted as a stop","OK")))))))))</f>
        <v/>
      </c>
    </row>
    <row r="166" customFormat="false" ht="15" hidden="false" customHeight="false" outlineLevel="0" collapsed="false">
      <c r="A166" s="11"/>
      <c r="B166" s="9"/>
      <c r="C166" s="9"/>
      <c r="D166" s="12"/>
      <c r="E166" s="12"/>
      <c r="F166" s="13"/>
      <c r="G166" s="14" t="str">
        <f aca="false">IF(F166&lt;&gt;"",IF(AND(ISNUMBER(F166),N(F166)&gt;=0),F166,""),IF(AND(ISNUMBER(D166),ISNUMBER(E166)),ROUND(MOD(E166-D166,1)*1440,0),""))</f>
        <v/>
      </c>
      <c r="H166" s="9"/>
      <c r="I166" s="10" t="str">
        <f aca="false">IF(H166="","",IF(SUMPRODUCT(MAX((Setup!$D$5:$D$34=H166)*(35-ROW(Setup!$D$5:$D$34))))=0,"Not in Setup",INDEX(Setup!$E$5:$E$34,31-SUMPRODUCT(MAX((Setup!$D$5:$D$34=H166)*(35-ROW(Setup!$D$5:$D$34)))))))</f>
        <v/>
      </c>
      <c r="J166" s="9"/>
      <c r="K166" s="10" t="str">
        <f aca="false">IF(AND(A166="",C166="",D166="",E166="",F166="",H166=""),"",IF(NOT(ISNUMBER(A166)),"Enter a date",IF(AND(F166&lt;&gt;"",OR(NOT(ISNUMBER(F166)),N(F166)&lt;0)),"Minutes must be a number of 0 or more",IF(G166="","Enter start and end times, or minutes",IF(C166="","Pick a machine",IF(SUMPRODUCT(--(Setup!$A$5:$A$34=C166))=0,"Machine not in Setup",IF(H166="","Pick a reason (counted as unclassified)",IF(I166="Not in Setup","Reason not in Setup (counted as unclassified)",IF(N(G166)=0,"0 minutes: not counted as a stop","OK")))))))))</f>
        <v/>
      </c>
    </row>
    <row r="167" customFormat="false" ht="15" hidden="false" customHeight="false" outlineLevel="0" collapsed="false">
      <c r="A167" s="11"/>
      <c r="B167" s="9"/>
      <c r="C167" s="9"/>
      <c r="D167" s="12"/>
      <c r="E167" s="12"/>
      <c r="F167" s="13"/>
      <c r="G167" s="14" t="str">
        <f aca="false">IF(F167&lt;&gt;"",IF(AND(ISNUMBER(F167),N(F167)&gt;=0),F167,""),IF(AND(ISNUMBER(D167),ISNUMBER(E167)),ROUND(MOD(E167-D167,1)*1440,0),""))</f>
        <v/>
      </c>
      <c r="H167" s="9"/>
      <c r="I167" s="10" t="str">
        <f aca="false">IF(H167="","",IF(SUMPRODUCT(MAX((Setup!$D$5:$D$34=H167)*(35-ROW(Setup!$D$5:$D$34))))=0,"Not in Setup",INDEX(Setup!$E$5:$E$34,31-SUMPRODUCT(MAX((Setup!$D$5:$D$34=H167)*(35-ROW(Setup!$D$5:$D$34)))))))</f>
        <v/>
      </c>
      <c r="J167" s="9"/>
      <c r="K167" s="10" t="str">
        <f aca="false">IF(AND(A167="",C167="",D167="",E167="",F167="",H167=""),"",IF(NOT(ISNUMBER(A167)),"Enter a date",IF(AND(F167&lt;&gt;"",OR(NOT(ISNUMBER(F167)),N(F167)&lt;0)),"Minutes must be a number of 0 or more",IF(G167="","Enter start and end times, or minutes",IF(C167="","Pick a machine",IF(SUMPRODUCT(--(Setup!$A$5:$A$34=C167))=0,"Machine not in Setup",IF(H167="","Pick a reason (counted as unclassified)",IF(I167="Not in Setup","Reason not in Setup (counted as unclassified)",IF(N(G167)=0,"0 minutes: not counted as a stop","OK")))))))))</f>
        <v/>
      </c>
    </row>
    <row r="168" customFormat="false" ht="15" hidden="false" customHeight="false" outlineLevel="0" collapsed="false">
      <c r="A168" s="11"/>
      <c r="B168" s="9"/>
      <c r="C168" s="9"/>
      <c r="D168" s="12"/>
      <c r="E168" s="12"/>
      <c r="F168" s="13"/>
      <c r="G168" s="14" t="str">
        <f aca="false">IF(F168&lt;&gt;"",IF(AND(ISNUMBER(F168),N(F168)&gt;=0),F168,""),IF(AND(ISNUMBER(D168),ISNUMBER(E168)),ROUND(MOD(E168-D168,1)*1440,0),""))</f>
        <v/>
      </c>
      <c r="H168" s="9"/>
      <c r="I168" s="10" t="str">
        <f aca="false">IF(H168="","",IF(SUMPRODUCT(MAX((Setup!$D$5:$D$34=H168)*(35-ROW(Setup!$D$5:$D$34))))=0,"Not in Setup",INDEX(Setup!$E$5:$E$34,31-SUMPRODUCT(MAX((Setup!$D$5:$D$34=H168)*(35-ROW(Setup!$D$5:$D$34)))))))</f>
        <v/>
      </c>
      <c r="J168" s="9"/>
      <c r="K168" s="10" t="str">
        <f aca="false">IF(AND(A168="",C168="",D168="",E168="",F168="",H168=""),"",IF(NOT(ISNUMBER(A168)),"Enter a date",IF(AND(F168&lt;&gt;"",OR(NOT(ISNUMBER(F168)),N(F168)&lt;0)),"Minutes must be a number of 0 or more",IF(G168="","Enter start and end times, or minutes",IF(C168="","Pick a machine",IF(SUMPRODUCT(--(Setup!$A$5:$A$34=C168))=0,"Machine not in Setup",IF(H168="","Pick a reason (counted as unclassified)",IF(I168="Not in Setup","Reason not in Setup (counted as unclassified)",IF(N(G168)=0,"0 minutes: not counted as a stop","OK")))))))))</f>
        <v/>
      </c>
    </row>
    <row r="169" customFormat="false" ht="15" hidden="false" customHeight="false" outlineLevel="0" collapsed="false">
      <c r="A169" s="11"/>
      <c r="B169" s="9"/>
      <c r="C169" s="9"/>
      <c r="D169" s="12"/>
      <c r="E169" s="12"/>
      <c r="F169" s="13"/>
      <c r="G169" s="14" t="str">
        <f aca="false">IF(F169&lt;&gt;"",IF(AND(ISNUMBER(F169),N(F169)&gt;=0),F169,""),IF(AND(ISNUMBER(D169),ISNUMBER(E169)),ROUND(MOD(E169-D169,1)*1440,0),""))</f>
        <v/>
      </c>
      <c r="H169" s="9"/>
      <c r="I169" s="10" t="str">
        <f aca="false">IF(H169="","",IF(SUMPRODUCT(MAX((Setup!$D$5:$D$34=H169)*(35-ROW(Setup!$D$5:$D$34))))=0,"Not in Setup",INDEX(Setup!$E$5:$E$34,31-SUMPRODUCT(MAX((Setup!$D$5:$D$34=H169)*(35-ROW(Setup!$D$5:$D$34)))))))</f>
        <v/>
      </c>
      <c r="J169" s="9"/>
      <c r="K169" s="10" t="str">
        <f aca="false">IF(AND(A169="",C169="",D169="",E169="",F169="",H169=""),"",IF(NOT(ISNUMBER(A169)),"Enter a date",IF(AND(F169&lt;&gt;"",OR(NOT(ISNUMBER(F169)),N(F169)&lt;0)),"Minutes must be a number of 0 or more",IF(G169="","Enter start and end times, or minutes",IF(C169="","Pick a machine",IF(SUMPRODUCT(--(Setup!$A$5:$A$34=C169))=0,"Machine not in Setup",IF(H169="","Pick a reason (counted as unclassified)",IF(I169="Not in Setup","Reason not in Setup (counted as unclassified)",IF(N(G169)=0,"0 minutes: not counted as a stop","OK")))))))))</f>
        <v/>
      </c>
    </row>
    <row r="170" customFormat="false" ht="15" hidden="false" customHeight="false" outlineLevel="0" collapsed="false">
      <c r="A170" s="11"/>
      <c r="B170" s="9"/>
      <c r="C170" s="9"/>
      <c r="D170" s="12"/>
      <c r="E170" s="12"/>
      <c r="F170" s="13"/>
      <c r="G170" s="14" t="str">
        <f aca="false">IF(F170&lt;&gt;"",IF(AND(ISNUMBER(F170),N(F170)&gt;=0),F170,""),IF(AND(ISNUMBER(D170),ISNUMBER(E170)),ROUND(MOD(E170-D170,1)*1440,0),""))</f>
        <v/>
      </c>
      <c r="H170" s="9"/>
      <c r="I170" s="10" t="str">
        <f aca="false">IF(H170="","",IF(SUMPRODUCT(MAX((Setup!$D$5:$D$34=H170)*(35-ROW(Setup!$D$5:$D$34))))=0,"Not in Setup",INDEX(Setup!$E$5:$E$34,31-SUMPRODUCT(MAX((Setup!$D$5:$D$34=H170)*(35-ROW(Setup!$D$5:$D$34)))))))</f>
        <v/>
      </c>
      <c r="J170" s="9"/>
      <c r="K170" s="10" t="str">
        <f aca="false">IF(AND(A170="",C170="",D170="",E170="",F170="",H170=""),"",IF(NOT(ISNUMBER(A170)),"Enter a date",IF(AND(F170&lt;&gt;"",OR(NOT(ISNUMBER(F170)),N(F170)&lt;0)),"Minutes must be a number of 0 or more",IF(G170="","Enter start and end times, or minutes",IF(C170="","Pick a machine",IF(SUMPRODUCT(--(Setup!$A$5:$A$34=C170))=0,"Machine not in Setup",IF(H170="","Pick a reason (counted as unclassified)",IF(I170="Not in Setup","Reason not in Setup (counted as unclassified)",IF(N(G170)=0,"0 minutes: not counted as a stop","OK")))))))))</f>
        <v/>
      </c>
    </row>
    <row r="171" customFormat="false" ht="15" hidden="false" customHeight="false" outlineLevel="0" collapsed="false">
      <c r="A171" s="11"/>
      <c r="B171" s="9"/>
      <c r="C171" s="9"/>
      <c r="D171" s="12"/>
      <c r="E171" s="12"/>
      <c r="F171" s="13"/>
      <c r="G171" s="14" t="str">
        <f aca="false">IF(F171&lt;&gt;"",IF(AND(ISNUMBER(F171),N(F171)&gt;=0),F171,""),IF(AND(ISNUMBER(D171),ISNUMBER(E171)),ROUND(MOD(E171-D171,1)*1440,0),""))</f>
        <v/>
      </c>
      <c r="H171" s="9"/>
      <c r="I171" s="10" t="str">
        <f aca="false">IF(H171="","",IF(SUMPRODUCT(MAX((Setup!$D$5:$D$34=H171)*(35-ROW(Setup!$D$5:$D$34))))=0,"Not in Setup",INDEX(Setup!$E$5:$E$34,31-SUMPRODUCT(MAX((Setup!$D$5:$D$34=H171)*(35-ROW(Setup!$D$5:$D$34)))))))</f>
        <v/>
      </c>
      <c r="J171" s="9"/>
      <c r="K171" s="10" t="str">
        <f aca="false">IF(AND(A171="",C171="",D171="",E171="",F171="",H171=""),"",IF(NOT(ISNUMBER(A171)),"Enter a date",IF(AND(F171&lt;&gt;"",OR(NOT(ISNUMBER(F171)),N(F171)&lt;0)),"Minutes must be a number of 0 or more",IF(G171="","Enter start and end times, or minutes",IF(C171="","Pick a machine",IF(SUMPRODUCT(--(Setup!$A$5:$A$34=C171))=0,"Machine not in Setup",IF(H171="","Pick a reason (counted as unclassified)",IF(I171="Not in Setup","Reason not in Setup (counted as unclassified)",IF(N(G171)=0,"0 minutes: not counted as a stop","OK")))))))))</f>
        <v/>
      </c>
    </row>
    <row r="172" customFormat="false" ht="15" hidden="false" customHeight="false" outlineLevel="0" collapsed="false">
      <c r="A172" s="11"/>
      <c r="B172" s="9"/>
      <c r="C172" s="9"/>
      <c r="D172" s="12"/>
      <c r="E172" s="12"/>
      <c r="F172" s="13"/>
      <c r="G172" s="14" t="str">
        <f aca="false">IF(F172&lt;&gt;"",IF(AND(ISNUMBER(F172),N(F172)&gt;=0),F172,""),IF(AND(ISNUMBER(D172),ISNUMBER(E172)),ROUND(MOD(E172-D172,1)*1440,0),""))</f>
        <v/>
      </c>
      <c r="H172" s="9"/>
      <c r="I172" s="10" t="str">
        <f aca="false">IF(H172="","",IF(SUMPRODUCT(MAX((Setup!$D$5:$D$34=H172)*(35-ROW(Setup!$D$5:$D$34))))=0,"Not in Setup",INDEX(Setup!$E$5:$E$34,31-SUMPRODUCT(MAX((Setup!$D$5:$D$34=H172)*(35-ROW(Setup!$D$5:$D$34)))))))</f>
        <v/>
      </c>
      <c r="J172" s="9"/>
      <c r="K172" s="10" t="str">
        <f aca="false">IF(AND(A172="",C172="",D172="",E172="",F172="",H172=""),"",IF(NOT(ISNUMBER(A172)),"Enter a date",IF(AND(F172&lt;&gt;"",OR(NOT(ISNUMBER(F172)),N(F172)&lt;0)),"Minutes must be a number of 0 or more",IF(G172="","Enter start and end times, or minutes",IF(C172="","Pick a machine",IF(SUMPRODUCT(--(Setup!$A$5:$A$34=C172))=0,"Machine not in Setup",IF(H172="","Pick a reason (counted as unclassified)",IF(I172="Not in Setup","Reason not in Setup (counted as unclassified)",IF(N(G172)=0,"0 minutes: not counted as a stop","OK")))))))))</f>
        <v/>
      </c>
    </row>
    <row r="173" customFormat="false" ht="15" hidden="false" customHeight="false" outlineLevel="0" collapsed="false">
      <c r="A173" s="11"/>
      <c r="B173" s="9"/>
      <c r="C173" s="9"/>
      <c r="D173" s="12"/>
      <c r="E173" s="12"/>
      <c r="F173" s="13"/>
      <c r="G173" s="14" t="str">
        <f aca="false">IF(F173&lt;&gt;"",IF(AND(ISNUMBER(F173),N(F173)&gt;=0),F173,""),IF(AND(ISNUMBER(D173),ISNUMBER(E173)),ROUND(MOD(E173-D173,1)*1440,0),""))</f>
        <v/>
      </c>
      <c r="H173" s="9"/>
      <c r="I173" s="10" t="str">
        <f aca="false">IF(H173="","",IF(SUMPRODUCT(MAX((Setup!$D$5:$D$34=H173)*(35-ROW(Setup!$D$5:$D$34))))=0,"Not in Setup",INDEX(Setup!$E$5:$E$34,31-SUMPRODUCT(MAX((Setup!$D$5:$D$34=H173)*(35-ROW(Setup!$D$5:$D$34)))))))</f>
        <v/>
      </c>
      <c r="J173" s="9"/>
      <c r="K173" s="10" t="str">
        <f aca="false">IF(AND(A173="",C173="",D173="",E173="",F173="",H173=""),"",IF(NOT(ISNUMBER(A173)),"Enter a date",IF(AND(F173&lt;&gt;"",OR(NOT(ISNUMBER(F173)),N(F173)&lt;0)),"Minutes must be a number of 0 or more",IF(G173="","Enter start and end times, or minutes",IF(C173="","Pick a machine",IF(SUMPRODUCT(--(Setup!$A$5:$A$34=C173))=0,"Machine not in Setup",IF(H173="","Pick a reason (counted as unclassified)",IF(I173="Not in Setup","Reason not in Setup (counted as unclassified)",IF(N(G173)=0,"0 minutes: not counted as a stop","OK")))))))))</f>
        <v/>
      </c>
    </row>
    <row r="174" customFormat="false" ht="15" hidden="false" customHeight="false" outlineLevel="0" collapsed="false">
      <c r="A174" s="11"/>
      <c r="B174" s="9"/>
      <c r="C174" s="9"/>
      <c r="D174" s="12"/>
      <c r="E174" s="12"/>
      <c r="F174" s="13"/>
      <c r="G174" s="14" t="str">
        <f aca="false">IF(F174&lt;&gt;"",IF(AND(ISNUMBER(F174),N(F174)&gt;=0),F174,""),IF(AND(ISNUMBER(D174),ISNUMBER(E174)),ROUND(MOD(E174-D174,1)*1440,0),""))</f>
        <v/>
      </c>
      <c r="H174" s="9"/>
      <c r="I174" s="10" t="str">
        <f aca="false">IF(H174="","",IF(SUMPRODUCT(MAX((Setup!$D$5:$D$34=H174)*(35-ROW(Setup!$D$5:$D$34))))=0,"Not in Setup",INDEX(Setup!$E$5:$E$34,31-SUMPRODUCT(MAX((Setup!$D$5:$D$34=H174)*(35-ROW(Setup!$D$5:$D$34)))))))</f>
        <v/>
      </c>
      <c r="J174" s="9"/>
      <c r="K174" s="10" t="str">
        <f aca="false">IF(AND(A174="",C174="",D174="",E174="",F174="",H174=""),"",IF(NOT(ISNUMBER(A174)),"Enter a date",IF(AND(F174&lt;&gt;"",OR(NOT(ISNUMBER(F174)),N(F174)&lt;0)),"Minutes must be a number of 0 or more",IF(G174="","Enter start and end times, or minutes",IF(C174="","Pick a machine",IF(SUMPRODUCT(--(Setup!$A$5:$A$34=C174))=0,"Machine not in Setup",IF(H174="","Pick a reason (counted as unclassified)",IF(I174="Not in Setup","Reason not in Setup (counted as unclassified)",IF(N(G174)=0,"0 minutes: not counted as a stop","OK")))))))))</f>
        <v/>
      </c>
    </row>
    <row r="175" customFormat="false" ht="15" hidden="false" customHeight="false" outlineLevel="0" collapsed="false">
      <c r="A175" s="11"/>
      <c r="B175" s="9"/>
      <c r="C175" s="9"/>
      <c r="D175" s="12"/>
      <c r="E175" s="12"/>
      <c r="F175" s="13"/>
      <c r="G175" s="14" t="str">
        <f aca="false">IF(F175&lt;&gt;"",IF(AND(ISNUMBER(F175),N(F175)&gt;=0),F175,""),IF(AND(ISNUMBER(D175),ISNUMBER(E175)),ROUND(MOD(E175-D175,1)*1440,0),""))</f>
        <v/>
      </c>
      <c r="H175" s="9"/>
      <c r="I175" s="10" t="str">
        <f aca="false">IF(H175="","",IF(SUMPRODUCT(MAX((Setup!$D$5:$D$34=H175)*(35-ROW(Setup!$D$5:$D$34))))=0,"Not in Setup",INDEX(Setup!$E$5:$E$34,31-SUMPRODUCT(MAX((Setup!$D$5:$D$34=H175)*(35-ROW(Setup!$D$5:$D$34)))))))</f>
        <v/>
      </c>
      <c r="J175" s="9"/>
      <c r="K175" s="10" t="str">
        <f aca="false">IF(AND(A175="",C175="",D175="",E175="",F175="",H175=""),"",IF(NOT(ISNUMBER(A175)),"Enter a date",IF(AND(F175&lt;&gt;"",OR(NOT(ISNUMBER(F175)),N(F175)&lt;0)),"Minutes must be a number of 0 or more",IF(G175="","Enter start and end times, or minutes",IF(C175="","Pick a machine",IF(SUMPRODUCT(--(Setup!$A$5:$A$34=C175))=0,"Machine not in Setup",IF(H175="","Pick a reason (counted as unclassified)",IF(I175="Not in Setup","Reason not in Setup (counted as unclassified)",IF(N(G175)=0,"0 minutes: not counted as a stop","OK")))))))))</f>
        <v/>
      </c>
    </row>
    <row r="176" customFormat="false" ht="15" hidden="false" customHeight="false" outlineLevel="0" collapsed="false">
      <c r="A176" s="11"/>
      <c r="B176" s="9"/>
      <c r="C176" s="9"/>
      <c r="D176" s="12"/>
      <c r="E176" s="12"/>
      <c r="F176" s="13"/>
      <c r="G176" s="14" t="str">
        <f aca="false">IF(F176&lt;&gt;"",IF(AND(ISNUMBER(F176),N(F176)&gt;=0),F176,""),IF(AND(ISNUMBER(D176),ISNUMBER(E176)),ROUND(MOD(E176-D176,1)*1440,0),""))</f>
        <v/>
      </c>
      <c r="H176" s="9"/>
      <c r="I176" s="10" t="str">
        <f aca="false">IF(H176="","",IF(SUMPRODUCT(MAX((Setup!$D$5:$D$34=H176)*(35-ROW(Setup!$D$5:$D$34))))=0,"Not in Setup",INDEX(Setup!$E$5:$E$34,31-SUMPRODUCT(MAX((Setup!$D$5:$D$34=H176)*(35-ROW(Setup!$D$5:$D$34)))))))</f>
        <v/>
      </c>
      <c r="J176" s="9"/>
      <c r="K176" s="10" t="str">
        <f aca="false">IF(AND(A176="",C176="",D176="",E176="",F176="",H176=""),"",IF(NOT(ISNUMBER(A176)),"Enter a date",IF(AND(F176&lt;&gt;"",OR(NOT(ISNUMBER(F176)),N(F176)&lt;0)),"Minutes must be a number of 0 or more",IF(G176="","Enter start and end times, or minutes",IF(C176="","Pick a machine",IF(SUMPRODUCT(--(Setup!$A$5:$A$34=C176))=0,"Machine not in Setup",IF(H176="","Pick a reason (counted as unclassified)",IF(I176="Not in Setup","Reason not in Setup (counted as unclassified)",IF(N(G176)=0,"0 minutes: not counted as a stop","OK")))))))))</f>
        <v/>
      </c>
    </row>
    <row r="177" customFormat="false" ht="15" hidden="false" customHeight="false" outlineLevel="0" collapsed="false">
      <c r="A177" s="11"/>
      <c r="B177" s="9"/>
      <c r="C177" s="9"/>
      <c r="D177" s="12"/>
      <c r="E177" s="12"/>
      <c r="F177" s="13"/>
      <c r="G177" s="14" t="str">
        <f aca="false">IF(F177&lt;&gt;"",IF(AND(ISNUMBER(F177),N(F177)&gt;=0),F177,""),IF(AND(ISNUMBER(D177),ISNUMBER(E177)),ROUND(MOD(E177-D177,1)*1440,0),""))</f>
        <v/>
      </c>
      <c r="H177" s="9"/>
      <c r="I177" s="10" t="str">
        <f aca="false">IF(H177="","",IF(SUMPRODUCT(MAX((Setup!$D$5:$D$34=H177)*(35-ROW(Setup!$D$5:$D$34))))=0,"Not in Setup",INDEX(Setup!$E$5:$E$34,31-SUMPRODUCT(MAX((Setup!$D$5:$D$34=H177)*(35-ROW(Setup!$D$5:$D$34)))))))</f>
        <v/>
      </c>
      <c r="J177" s="9"/>
      <c r="K177" s="10" t="str">
        <f aca="false">IF(AND(A177="",C177="",D177="",E177="",F177="",H177=""),"",IF(NOT(ISNUMBER(A177)),"Enter a date",IF(AND(F177&lt;&gt;"",OR(NOT(ISNUMBER(F177)),N(F177)&lt;0)),"Minutes must be a number of 0 or more",IF(G177="","Enter start and end times, or minutes",IF(C177="","Pick a machine",IF(SUMPRODUCT(--(Setup!$A$5:$A$34=C177))=0,"Machine not in Setup",IF(H177="","Pick a reason (counted as unclassified)",IF(I177="Not in Setup","Reason not in Setup (counted as unclassified)",IF(N(G177)=0,"0 minutes: not counted as a stop","OK")))))))))</f>
        <v/>
      </c>
    </row>
    <row r="178" customFormat="false" ht="15" hidden="false" customHeight="false" outlineLevel="0" collapsed="false">
      <c r="A178" s="11"/>
      <c r="B178" s="9"/>
      <c r="C178" s="9"/>
      <c r="D178" s="12"/>
      <c r="E178" s="12"/>
      <c r="F178" s="13"/>
      <c r="G178" s="14" t="str">
        <f aca="false">IF(F178&lt;&gt;"",IF(AND(ISNUMBER(F178),N(F178)&gt;=0),F178,""),IF(AND(ISNUMBER(D178),ISNUMBER(E178)),ROUND(MOD(E178-D178,1)*1440,0),""))</f>
        <v/>
      </c>
      <c r="H178" s="9"/>
      <c r="I178" s="10" t="str">
        <f aca="false">IF(H178="","",IF(SUMPRODUCT(MAX((Setup!$D$5:$D$34=H178)*(35-ROW(Setup!$D$5:$D$34))))=0,"Not in Setup",INDEX(Setup!$E$5:$E$34,31-SUMPRODUCT(MAX((Setup!$D$5:$D$34=H178)*(35-ROW(Setup!$D$5:$D$34)))))))</f>
        <v/>
      </c>
      <c r="J178" s="9"/>
      <c r="K178" s="10" t="str">
        <f aca="false">IF(AND(A178="",C178="",D178="",E178="",F178="",H178=""),"",IF(NOT(ISNUMBER(A178)),"Enter a date",IF(AND(F178&lt;&gt;"",OR(NOT(ISNUMBER(F178)),N(F178)&lt;0)),"Minutes must be a number of 0 or more",IF(G178="","Enter start and end times, or minutes",IF(C178="","Pick a machine",IF(SUMPRODUCT(--(Setup!$A$5:$A$34=C178))=0,"Machine not in Setup",IF(H178="","Pick a reason (counted as unclassified)",IF(I178="Not in Setup","Reason not in Setup (counted as unclassified)",IF(N(G178)=0,"0 minutes: not counted as a stop","OK")))))))))</f>
        <v/>
      </c>
    </row>
    <row r="179" customFormat="false" ht="15" hidden="false" customHeight="false" outlineLevel="0" collapsed="false">
      <c r="A179" s="11"/>
      <c r="B179" s="9"/>
      <c r="C179" s="9"/>
      <c r="D179" s="12"/>
      <c r="E179" s="12"/>
      <c r="F179" s="13"/>
      <c r="G179" s="14" t="str">
        <f aca="false">IF(F179&lt;&gt;"",IF(AND(ISNUMBER(F179),N(F179)&gt;=0),F179,""),IF(AND(ISNUMBER(D179),ISNUMBER(E179)),ROUND(MOD(E179-D179,1)*1440,0),""))</f>
        <v/>
      </c>
      <c r="H179" s="9"/>
      <c r="I179" s="10" t="str">
        <f aca="false">IF(H179="","",IF(SUMPRODUCT(MAX((Setup!$D$5:$D$34=H179)*(35-ROW(Setup!$D$5:$D$34))))=0,"Not in Setup",INDEX(Setup!$E$5:$E$34,31-SUMPRODUCT(MAX((Setup!$D$5:$D$34=H179)*(35-ROW(Setup!$D$5:$D$34)))))))</f>
        <v/>
      </c>
      <c r="J179" s="9"/>
      <c r="K179" s="10" t="str">
        <f aca="false">IF(AND(A179="",C179="",D179="",E179="",F179="",H179=""),"",IF(NOT(ISNUMBER(A179)),"Enter a date",IF(AND(F179&lt;&gt;"",OR(NOT(ISNUMBER(F179)),N(F179)&lt;0)),"Minutes must be a number of 0 or more",IF(G179="","Enter start and end times, or minutes",IF(C179="","Pick a machine",IF(SUMPRODUCT(--(Setup!$A$5:$A$34=C179))=0,"Machine not in Setup",IF(H179="","Pick a reason (counted as unclassified)",IF(I179="Not in Setup","Reason not in Setup (counted as unclassified)",IF(N(G179)=0,"0 minutes: not counted as a stop","OK")))))))))</f>
        <v/>
      </c>
    </row>
    <row r="180" customFormat="false" ht="15" hidden="false" customHeight="false" outlineLevel="0" collapsed="false">
      <c r="A180" s="11"/>
      <c r="B180" s="9"/>
      <c r="C180" s="9"/>
      <c r="D180" s="12"/>
      <c r="E180" s="12"/>
      <c r="F180" s="13"/>
      <c r="G180" s="14" t="str">
        <f aca="false">IF(F180&lt;&gt;"",IF(AND(ISNUMBER(F180),N(F180)&gt;=0),F180,""),IF(AND(ISNUMBER(D180),ISNUMBER(E180)),ROUND(MOD(E180-D180,1)*1440,0),""))</f>
        <v/>
      </c>
      <c r="H180" s="9"/>
      <c r="I180" s="10" t="str">
        <f aca="false">IF(H180="","",IF(SUMPRODUCT(MAX((Setup!$D$5:$D$34=H180)*(35-ROW(Setup!$D$5:$D$34))))=0,"Not in Setup",INDEX(Setup!$E$5:$E$34,31-SUMPRODUCT(MAX((Setup!$D$5:$D$34=H180)*(35-ROW(Setup!$D$5:$D$34)))))))</f>
        <v/>
      </c>
      <c r="J180" s="9"/>
      <c r="K180" s="10" t="str">
        <f aca="false">IF(AND(A180="",C180="",D180="",E180="",F180="",H180=""),"",IF(NOT(ISNUMBER(A180)),"Enter a date",IF(AND(F180&lt;&gt;"",OR(NOT(ISNUMBER(F180)),N(F180)&lt;0)),"Minutes must be a number of 0 or more",IF(G180="","Enter start and end times, or minutes",IF(C180="","Pick a machine",IF(SUMPRODUCT(--(Setup!$A$5:$A$34=C180))=0,"Machine not in Setup",IF(H180="","Pick a reason (counted as unclassified)",IF(I180="Not in Setup","Reason not in Setup (counted as unclassified)",IF(N(G180)=0,"0 minutes: not counted as a stop","OK")))))))))</f>
        <v/>
      </c>
    </row>
    <row r="181" customFormat="false" ht="15" hidden="false" customHeight="false" outlineLevel="0" collapsed="false">
      <c r="A181" s="11"/>
      <c r="B181" s="9"/>
      <c r="C181" s="9"/>
      <c r="D181" s="12"/>
      <c r="E181" s="12"/>
      <c r="F181" s="13"/>
      <c r="G181" s="14" t="str">
        <f aca="false">IF(F181&lt;&gt;"",IF(AND(ISNUMBER(F181),N(F181)&gt;=0),F181,""),IF(AND(ISNUMBER(D181),ISNUMBER(E181)),ROUND(MOD(E181-D181,1)*1440,0),""))</f>
        <v/>
      </c>
      <c r="H181" s="9"/>
      <c r="I181" s="10" t="str">
        <f aca="false">IF(H181="","",IF(SUMPRODUCT(MAX((Setup!$D$5:$D$34=H181)*(35-ROW(Setup!$D$5:$D$34))))=0,"Not in Setup",INDEX(Setup!$E$5:$E$34,31-SUMPRODUCT(MAX((Setup!$D$5:$D$34=H181)*(35-ROW(Setup!$D$5:$D$34)))))))</f>
        <v/>
      </c>
      <c r="J181" s="9"/>
      <c r="K181" s="10" t="str">
        <f aca="false">IF(AND(A181="",C181="",D181="",E181="",F181="",H181=""),"",IF(NOT(ISNUMBER(A181)),"Enter a date",IF(AND(F181&lt;&gt;"",OR(NOT(ISNUMBER(F181)),N(F181)&lt;0)),"Minutes must be a number of 0 or more",IF(G181="","Enter start and end times, or minutes",IF(C181="","Pick a machine",IF(SUMPRODUCT(--(Setup!$A$5:$A$34=C181))=0,"Machine not in Setup",IF(H181="","Pick a reason (counted as unclassified)",IF(I181="Not in Setup","Reason not in Setup (counted as unclassified)",IF(N(G181)=0,"0 minutes: not counted as a stop","OK")))))))))</f>
        <v/>
      </c>
    </row>
    <row r="182" customFormat="false" ht="15" hidden="false" customHeight="false" outlineLevel="0" collapsed="false">
      <c r="A182" s="11"/>
      <c r="B182" s="9"/>
      <c r="C182" s="9"/>
      <c r="D182" s="12"/>
      <c r="E182" s="12"/>
      <c r="F182" s="13"/>
      <c r="G182" s="14" t="str">
        <f aca="false">IF(F182&lt;&gt;"",IF(AND(ISNUMBER(F182),N(F182)&gt;=0),F182,""),IF(AND(ISNUMBER(D182),ISNUMBER(E182)),ROUND(MOD(E182-D182,1)*1440,0),""))</f>
        <v/>
      </c>
      <c r="H182" s="9"/>
      <c r="I182" s="10" t="str">
        <f aca="false">IF(H182="","",IF(SUMPRODUCT(MAX((Setup!$D$5:$D$34=H182)*(35-ROW(Setup!$D$5:$D$34))))=0,"Not in Setup",INDEX(Setup!$E$5:$E$34,31-SUMPRODUCT(MAX((Setup!$D$5:$D$34=H182)*(35-ROW(Setup!$D$5:$D$34)))))))</f>
        <v/>
      </c>
      <c r="J182" s="9"/>
      <c r="K182" s="10" t="str">
        <f aca="false">IF(AND(A182="",C182="",D182="",E182="",F182="",H182=""),"",IF(NOT(ISNUMBER(A182)),"Enter a date",IF(AND(F182&lt;&gt;"",OR(NOT(ISNUMBER(F182)),N(F182)&lt;0)),"Minutes must be a number of 0 or more",IF(G182="","Enter start and end times, or minutes",IF(C182="","Pick a machine",IF(SUMPRODUCT(--(Setup!$A$5:$A$34=C182))=0,"Machine not in Setup",IF(H182="","Pick a reason (counted as unclassified)",IF(I182="Not in Setup","Reason not in Setup (counted as unclassified)",IF(N(G182)=0,"0 minutes: not counted as a stop","OK")))))))))</f>
        <v/>
      </c>
    </row>
    <row r="183" customFormat="false" ht="15" hidden="false" customHeight="false" outlineLevel="0" collapsed="false">
      <c r="A183" s="11"/>
      <c r="B183" s="9"/>
      <c r="C183" s="9"/>
      <c r="D183" s="12"/>
      <c r="E183" s="12"/>
      <c r="F183" s="13"/>
      <c r="G183" s="14" t="str">
        <f aca="false">IF(F183&lt;&gt;"",IF(AND(ISNUMBER(F183),N(F183)&gt;=0),F183,""),IF(AND(ISNUMBER(D183),ISNUMBER(E183)),ROUND(MOD(E183-D183,1)*1440,0),""))</f>
        <v/>
      </c>
      <c r="H183" s="9"/>
      <c r="I183" s="10" t="str">
        <f aca="false">IF(H183="","",IF(SUMPRODUCT(MAX((Setup!$D$5:$D$34=H183)*(35-ROW(Setup!$D$5:$D$34))))=0,"Not in Setup",INDEX(Setup!$E$5:$E$34,31-SUMPRODUCT(MAX((Setup!$D$5:$D$34=H183)*(35-ROW(Setup!$D$5:$D$34)))))))</f>
        <v/>
      </c>
      <c r="J183" s="9"/>
      <c r="K183" s="10" t="str">
        <f aca="false">IF(AND(A183="",C183="",D183="",E183="",F183="",H183=""),"",IF(NOT(ISNUMBER(A183)),"Enter a date",IF(AND(F183&lt;&gt;"",OR(NOT(ISNUMBER(F183)),N(F183)&lt;0)),"Minutes must be a number of 0 or more",IF(G183="","Enter start and end times, or minutes",IF(C183="","Pick a machine",IF(SUMPRODUCT(--(Setup!$A$5:$A$34=C183))=0,"Machine not in Setup",IF(H183="","Pick a reason (counted as unclassified)",IF(I183="Not in Setup","Reason not in Setup (counted as unclassified)",IF(N(G183)=0,"0 minutes: not counted as a stop","OK")))))))))</f>
        <v/>
      </c>
    </row>
    <row r="184" customFormat="false" ht="15" hidden="false" customHeight="false" outlineLevel="0" collapsed="false">
      <c r="A184" s="11"/>
      <c r="B184" s="9"/>
      <c r="C184" s="9"/>
      <c r="D184" s="12"/>
      <c r="E184" s="12"/>
      <c r="F184" s="13"/>
      <c r="G184" s="14" t="str">
        <f aca="false">IF(F184&lt;&gt;"",IF(AND(ISNUMBER(F184),N(F184)&gt;=0),F184,""),IF(AND(ISNUMBER(D184),ISNUMBER(E184)),ROUND(MOD(E184-D184,1)*1440,0),""))</f>
        <v/>
      </c>
      <c r="H184" s="9"/>
      <c r="I184" s="10" t="str">
        <f aca="false">IF(H184="","",IF(SUMPRODUCT(MAX((Setup!$D$5:$D$34=H184)*(35-ROW(Setup!$D$5:$D$34))))=0,"Not in Setup",INDEX(Setup!$E$5:$E$34,31-SUMPRODUCT(MAX((Setup!$D$5:$D$34=H184)*(35-ROW(Setup!$D$5:$D$34)))))))</f>
        <v/>
      </c>
      <c r="J184" s="9"/>
      <c r="K184" s="10" t="str">
        <f aca="false">IF(AND(A184="",C184="",D184="",E184="",F184="",H184=""),"",IF(NOT(ISNUMBER(A184)),"Enter a date",IF(AND(F184&lt;&gt;"",OR(NOT(ISNUMBER(F184)),N(F184)&lt;0)),"Minutes must be a number of 0 or more",IF(G184="","Enter start and end times, or minutes",IF(C184="","Pick a machine",IF(SUMPRODUCT(--(Setup!$A$5:$A$34=C184))=0,"Machine not in Setup",IF(H184="","Pick a reason (counted as unclassified)",IF(I184="Not in Setup","Reason not in Setup (counted as unclassified)",IF(N(G184)=0,"0 minutes: not counted as a stop","OK")))))))))</f>
        <v/>
      </c>
    </row>
    <row r="185" customFormat="false" ht="15" hidden="false" customHeight="false" outlineLevel="0" collapsed="false">
      <c r="A185" s="11"/>
      <c r="B185" s="9"/>
      <c r="C185" s="9"/>
      <c r="D185" s="12"/>
      <c r="E185" s="12"/>
      <c r="F185" s="13"/>
      <c r="G185" s="14" t="str">
        <f aca="false">IF(F185&lt;&gt;"",IF(AND(ISNUMBER(F185),N(F185)&gt;=0),F185,""),IF(AND(ISNUMBER(D185),ISNUMBER(E185)),ROUND(MOD(E185-D185,1)*1440,0),""))</f>
        <v/>
      </c>
      <c r="H185" s="9"/>
      <c r="I185" s="10" t="str">
        <f aca="false">IF(H185="","",IF(SUMPRODUCT(MAX((Setup!$D$5:$D$34=H185)*(35-ROW(Setup!$D$5:$D$34))))=0,"Not in Setup",INDEX(Setup!$E$5:$E$34,31-SUMPRODUCT(MAX((Setup!$D$5:$D$34=H185)*(35-ROW(Setup!$D$5:$D$34)))))))</f>
        <v/>
      </c>
      <c r="J185" s="9"/>
      <c r="K185" s="10" t="str">
        <f aca="false">IF(AND(A185="",C185="",D185="",E185="",F185="",H185=""),"",IF(NOT(ISNUMBER(A185)),"Enter a date",IF(AND(F185&lt;&gt;"",OR(NOT(ISNUMBER(F185)),N(F185)&lt;0)),"Minutes must be a number of 0 or more",IF(G185="","Enter start and end times, or minutes",IF(C185="","Pick a machine",IF(SUMPRODUCT(--(Setup!$A$5:$A$34=C185))=0,"Machine not in Setup",IF(H185="","Pick a reason (counted as unclassified)",IF(I185="Not in Setup","Reason not in Setup (counted as unclassified)",IF(N(G185)=0,"0 minutes: not counted as a stop","OK")))))))))</f>
        <v/>
      </c>
    </row>
    <row r="186" customFormat="false" ht="15" hidden="false" customHeight="false" outlineLevel="0" collapsed="false">
      <c r="A186" s="11"/>
      <c r="B186" s="9"/>
      <c r="C186" s="9"/>
      <c r="D186" s="12"/>
      <c r="E186" s="12"/>
      <c r="F186" s="13"/>
      <c r="G186" s="14" t="str">
        <f aca="false">IF(F186&lt;&gt;"",IF(AND(ISNUMBER(F186),N(F186)&gt;=0),F186,""),IF(AND(ISNUMBER(D186),ISNUMBER(E186)),ROUND(MOD(E186-D186,1)*1440,0),""))</f>
        <v/>
      </c>
      <c r="H186" s="9"/>
      <c r="I186" s="10" t="str">
        <f aca="false">IF(H186="","",IF(SUMPRODUCT(MAX((Setup!$D$5:$D$34=H186)*(35-ROW(Setup!$D$5:$D$34))))=0,"Not in Setup",INDEX(Setup!$E$5:$E$34,31-SUMPRODUCT(MAX((Setup!$D$5:$D$34=H186)*(35-ROW(Setup!$D$5:$D$34)))))))</f>
        <v/>
      </c>
      <c r="J186" s="9"/>
      <c r="K186" s="10" t="str">
        <f aca="false">IF(AND(A186="",C186="",D186="",E186="",F186="",H186=""),"",IF(NOT(ISNUMBER(A186)),"Enter a date",IF(AND(F186&lt;&gt;"",OR(NOT(ISNUMBER(F186)),N(F186)&lt;0)),"Minutes must be a number of 0 or more",IF(G186="","Enter start and end times, or minutes",IF(C186="","Pick a machine",IF(SUMPRODUCT(--(Setup!$A$5:$A$34=C186))=0,"Machine not in Setup",IF(H186="","Pick a reason (counted as unclassified)",IF(I186="Not in Setup","Reason not in Setup (counted as unclassified)",IF(N(G186)=0,"0 minutes: not counted as a stop","OK")))))))))</f>
        <v/>
      </c>
    </row>
    <row r="187" customFormat="false" ht="15" hidden="false" customHeight="false" outlineLevel="0" collapsed="false">
      <c r="A187" s="11"/>
      <c r="B187" s="9"/>
      <c r="C187" s="9"/>
      <c r="D187" s="12"/>
      <c r="E187" s="12"/>
      <c r="F187" s="13"/>
      <c r="G187" s="14" t="str">
        <f aca="false">IF(F187&lt;&gt;"",IF(AND(ISNUMBER(F187),N(F187)&gt;=0),F187,""),IF(AND(ISNUMBER(D187),ISNUMBER(E187)),ROUND(MOD(E187-D187,1)*1440,0),""))</f>
        <v/>
      </c>
      <c r="H187" s="9"/>
      <c r="I187" s="10" t="str">
        <f aca="false">IF(H187="","",IF(SUMPRODUCT(MAX((Setup!$D$5:$D$34=H187)*(35-ROW(Setup!$D$5:$D$34))))=0,"Not in Setup",INDEX(Setup!$E$5:$E$34,31-SUMPRODUCT(MAX((Setup!$D$5:$D$34=H187)*(35-ROW(Setup!$D$5:$D$34)))))))</f>
        <v/>
      </c>
      <c r="J187" s="9"/>
      <c r="K187" s="10" t="str">
        <f aca="false">IF(AND(A187="",C187="",D187="",E187="",F187="",H187=""),"",IF(NOT(ISNUMBER(A187)),"Enter a date",IF(AND(F187&lt;&gt;"",OR(NOT(ISNUMBER(F187)),N(F187)&lt;0)),"Minutes must be a number of 0 or more",IF(G187="","Enter start and end times, or minutes",IF(C187="","Pick a machine",IF(SUMPRODUCT(--(Setup!$A$5:$A$34=C187))=0,"Machine not in Setup",IF(H187="","Pick a reason (counted as unclassified)",IF(I187="Not in Setup","Reason not in Setup (counted as unclassified)",IF(N(G187)=0,"0 minutes: not counted as a stop","OK")))))))))</f>
        <v/>
      </c>
    </row>
    <row r="188" customFormat="false" ht="15" hidden="false" customHeight="false" outlineLevel="0" collapsed="false">
      <c r="A188" s="11"/>
      <c r="B188" s="9"/>
      <c r="C188" s="9"/>
      <c r="D188" s="12"/>
      <c r="E188" s="12"/>
      <c r="F188" s="13"/>
      <c r="G188" s="14" t="str">
        <f aca="false">IF(F188&lt;&gt;"",IF(AND(ISNUMBER(F188),N(F188)&gt;=0),F188,""),IF(AND(ISNUMBER(D188),ISNUMBER(E188)),ROUND(MOD(E188-D188,1)*1440,0),""))</f>
        <v/>
      </c>
      <c r="H188" s="9"/>
      <c r="I188" s="10" t="str">
        <f aca="false">IF(H188="","",IF(SUMPRODUCT(MAX((Setup!$D$5:$D$34=H188)*(35-ROW(Setup!$D$5:$D$34))))=0,"Not in Setup",INDEX(Setup!$E$5:$E$34,31-SUMPRODUCT(MAX((Setup!$D$5:$D$34=H188)*(35-ROW(Setup!$D$5:$D$34)))))))</f>
        <v/>
      </c>
      <c r="J188" s="9"/>
      <c r="K188" s="10" t="str">
        <f aca="false">IF(AND(A188="",C188="",D188="",E188="",F188="",H188=""),"",IF(NOT(ISNUMBER(A188)),"Enter a date",IF(AND(F188&lt;&gt;"",OR(NOT(ISNUMBER(F188)),N(F188)&lt;0)),"Minutes must be a number of 0 or more",IF(G188="","Enter start and end times, or minutes",IF(C188="","Pick a machine",IF(SUMPRODUCT(--(Setup!$A$5:$A$34=C188))=0,"Machine not in Setup",IF(H188="","Pick a reason (counted as unclassified)",IF(I188="Not in Setup","Reason not in Setup (counted as unclassified)",IF(N(G188)=0,"0 minutes: not counted as a stop","OK")))))))))</f>
        <v/>
      </c>
    </row>
    <row r="189" customFormat="false" ht="15" hidden="false" customHeight="false" outlineLevel="0" collapsed="false">
      <c r="A189" s="11"/>
      <c r="B189" s="9"/>
      <c r="C189" s="9"/>
      <c r="D189" s="12"/>
      <c r="E189" s="12"/>
      <c r="F189" s="13"/>
      <c r="G189" s="14" t="str">
        <f aca="false">IF(F189&lt;&gt;"",IF(AND(ISNUMBER(F189),N(F189)&gt;=0),F189,""),IF(AND(ISNUMBER(D189),ISNUMBER(E189)),ROUND(MOD(E189-D189,1)*1440,0),""))</f>
        <v/>
      </c>
      <c r="H189" s="9"/>
      <c r="I189" s="10" t="str">
        <f aca="false">IF(H189="","",IF(SUMPRODUCT(MAX((Setup!$D$5:$D$34=H189)*(35-ROW(Setup!$D$5:$D$34))))=0,"Not in Setup",INDEX(Setup!$E$5:$E$34,31-SUMPRODUCT(MAX((Setup!$D$5:$D$34=H189)*(35-ROW(Setup!$D$5:$D$34)))))))</f>
        <v/>
      </c>
      <c r="J189" s="9"/>
      <c r="K189" s="10" t="str">
        <f aca="false">IF(AND(A189="",C189="",D189="",E189="",F189="",H189=""),"",IF(NOT(ISNUMBER(A189)),"Enter a date",IF(AND(F189&lt;&gt;"",OR(NOT(ISNUMBER(F189)),N(F189)&lt;0)),"Minutes must be a number of 0 or more",IF(G189="","Enter start and end times, or minutes",IF(C189="","Pick a machine",IF(SUMPRODUCT(--(Setup!$A$5:$A$34=C189))=0,"Machine not in Setup",IF(H189="","Pick a reason (counted as unclassified)",IF(I189="Not in Setup","Reason not in Setup (counted as unclassified)",IF(N(G189)=0,"0 minutes: not counted as a stop","OK")))))))))</f>
        <v/>
      </c>
    </row>
    <row r="190" customFormat="false" ht="15" hidden="false" customHeight="false" outlineLevel="0" collapsed="false">
      <c r="A190" s="11"/>
      <c r="B190" s="9"/>
      <c r="C190" s="9"/>
      <c r="D190" s="12"/>
      <c r="E190" s="12"/>
      <c r="F190" s="13"/>
      <c r="G190" s="14" t="str">
        <f aca="false">IF(F190&lt;&gt;"",IF(AND(ISNUMBER(F190),N(F190)&gt;=0),F190,""),IF(AND(ISNUMBER(D190),ISNUMBER(E190)),ROUND(MOD(E190-D190,1)*1440,0),""))</f>
        <v/>
      </c>
      <c r="H190" s="9"/>
      <c r="I190" s="10" t="str">
        <f aca="false">IF(H190="","",IF(SUMPRODUCT(MAX((Setup!$D$5:$D$34=H190)*(35-ROW(Setup!$D$5:$D$34))))=0,"Not in Setup",INDEX(Setup!$E$5:$E$34,31-SUMPRODUCT(MAX((Setup!$D$5:$D$34=H190)*(35-ROW(Setup!$D$5:$D$34)))))))</f>
        <v/>
      </c>
      <c r="J190" s="9"/>
      <c r="K190" s="10" t="str">
        <f aca="false">IF(AND(A190="",C190="",D190="",E190="",F190="",H190=""),"",IF(NOT(ISNUMBER(A190)),"Enter a date",IF(AND(F190&lt;&gt;"",OR(NOT(ISNUMBER(F190)),N(F190)&lt;0)),"Minutes must be a number of 0 or more",IF(G190="","Enter start and end times, or minutes",IF(C190="","Pick a machine",IF(SUMPRODUCT(--(Setup!$A$5:$A$34=C190))=0,"Machine not in Setup",IF(H190="","Pick a reason (counted as unclassified)",IF(I190="Not in Setup","Reason not in Setup (counted as unclassified)",IF(N(G190)=0,"0 minutes: not counted as a stop","OK")))))))))</f>
        <v/>
      </c>
    </row>
    <row r="191" customFormat="false" ht="15" hidden="false" customHeight="false" outlineLevel="0" collapsed="false">
      <c r="A191" s="11"/>
      <c r="B191" s="9"/>
      <c r="C191" s="9"/>
      <c r="D191" s="12"/>
      <c r="E191" s="12"/>
      <c r="F191" s="13"/>
      <c r="G191" s="14" t="str">
        <f aca="false">IF(F191&lt;&gt;"",IF(AND(ISNUMBER(F191),N(F191)&gt;=0),F191,""),IF(AND(ISNUMBER(D191),ISNUMBER(E191)),ROUND(MOD(E191-D191,1)*1440,0),""))</f>
        <v/>
      </c>
      <c r="H191" s="9"/>
      <c r="I191" s="10" t="str">
        <f aca="false">IF(H191="","",IF(SUMPRODUCT(MAX((Setup!$D$5:$D$34=H191)*(35-ROW(Setup!$D$5:$D$34))))=0,"Not in Setup",INDEX(Setup!$E$5:$E$34,31-SUMPRODUCT(MAX((Setup!$D$5:$D$34=H191)*(35-ROW(Setup!$D$5:$D$34)))))))</f>
        <v/>
      </c>
      <c r="J191" s="9"/>
      <c r="K191" s="10" t="str">
        <f aca="false">IF(AND(A191="",C191="",D191="",E191="",F191="",H191=""),"",IF(NOT(ISNUMBER(A191)),"Enter a date",IF(AND(F191&lt;&gt;"",OR(NOT(ISNUMBER(F191)),N(F191)&lt;0)),"Minutes must be a number of 0 or more",IF(G191="","Enter start and end times, or minutes",IF(C191="","Pick a machine",IF(SUMPRODUCT(--(Setup!$A$5:$A$34=C191))=0,"Machine not in Setup",IF(H191="","Pick a reason (counted as unclassified)",IF(I191="Not in Setup","Reason not in Setup (counted as unclassified)",IF(N(G191)=0,"0 minutes: not counted as a stop","OK")))))))))</f>
        <v/>
      </c>
    </row>
    <row r="192" customFormat="false" ht="15" hidden="false" customHeight="false" outlineLevel="0" collapsed="false">
      <c r="A192" s="11"/>
      <c r="B192" s="9"/>
      <c r="C192" s="9"/>
      <c r="D192" s="12"/>
      <c r="E192" s="12"/>
      <c r="F192" s="13"/>
      <c r="G192" s="14" t="str">
        <f aca="false">IF(F192&lt;&gt;"",IF(AND(ISNUMBER(F192),N(F192)&gt;=0),F192,""),IF(AND(ISNUMBER(D192),ISNUMBER(E192)),ROUND(MOD(E192-D192,1)*1440,0),""))</f>
        <v/>
      </c>
      <c r="H192" s="9"/>
      <c r="I192" s="10" t="str">
        <f aca="false">IF(H192="","",IF(SUMPRODUCT(MAX((Setup!$D$5:$D$34=H192)*(35-ROW(Setup!$D$5:$D$34))))=0,"Not in Setup",INDEX(Setup!$E$5:$E$34,31-SUMPRODUCT(MAX((Setup!$D$5:$D$34=H192)*(35-ROW(Setup!$D$5:$D$34)))))))</f>
        <v/>
      </c>
      <c r="J192" s="9"/>
      <c r="K192" s="10" t="str">
        <f aca="false">IF(AND(A192="",C192="",D192="",E192="",F192="",H192=""),"",IF(NOT(ISNUMBER(A192)),"Enter a date",IF(AND(F192&lt;&gt;"",OR(NOT(ISNUMBER(F192)),N(F192)&lt;0)),"Minutes must be a number of 0 or more",IF(G192="","Enter start and end times, or minutes",IF(C192="","Pick a machine",IF(SUMPRODUCT(--(Setup!$A$5:$A$34=C192))=0,"Machine not in Setup",IF(H192="","Pick a reason (counted as unclassified)",IF(I192="Not in Setup","Reason not in Setup (counted as unclassified)",IF(N(G192)=0,"0 minutes: not counted as a stop","OK")))))))))</f>
        <v/>
      </c>
    </row>
    <row r="193" customFormat="false" ht="15" hidden="false" customHeight="false" outlineLevel="0" collapsed="false">
      <c r="A193" s="11"/>
      <c r="B193" s="9"/>
      <c r="C193" s="9"/>
      <c r="D193" s="12"/>
      <c r="E193" s="12"/>
      <c r="F193" s="13"/>
      <c r="G193" s="14" t="str">
        <f aca="false">IF(F193&lt;&gt;"",IF(AND(ISNUMBER(F193),N(F193)&gt;=0),F193,""),IF(AND(ISNUMBER(D193),ISNUMBER(E193)),ROUND(MOD(E193-D193,1)*1440,0),""))</f>
        <v/>
      </c>
      <c r="H193" s="9"/>
      <c r="I193" s="10" t="str">
        <f aca="false">IF(H193="","",IF(SUMPRODUCT(MAX((Setup!$D$5:$D$34=H193)*(35-ROW(Setup!$D$5:$D$34))))=0,"Not in Setup",INDEX(Setup!$E$5:$E$34,31-SUMPRODUCT(MAX((Setup!$D$5:$D$34=H193)*(35-ROW(Setup!$D$5:$D$34)))))))</f>
        <v/>
      </c>
      <c r="J193" s="9"/>
      <c r="K193" s="10" t="str">
        <f aca="false">IF(AND(A193="",C193="",D193="",E193="",F193="",H193=""),"",IF(NOT(ISNUMBER(A193)),"Enter a date",IF(AND(F193&lt;&gt;"",OR(NOT(ISNUMBER(F193)),N(F193)&lt;0)),"Minutes must be a number of 0 or more",IF(G193="","Enter start and end times, or minutes",IF(C193="","Pick a machine",IF(SUMPRODUCT(--(Setup!$A$5:$A$34=C193))=0,"Machine not in Setup",IF(H193="","Pick a reason (counted as unclassified)",IF(I193="Not in Setup","Reason not in Setup (counted as unclassified)",IF(N(G193)=0,"0 minutes: not counted as a stop","OK")))))))))</f>
        <v/>
      </c>
    </row>
    <row r="194" customFormat="false" ht="15" hidden="false" customHeight="false" outlineLevel="0" collapsed="false">
      <c r="A194" s="11"/>
      <c r="B194" s="9"/>
      <c r="C194" s="9"/>
      <c r="D194" s="12"/>
      <c r="E194" s="12"/>
      <c r="F194" s="13"/>
      <c r="G194" s="14" t="str">
        <f aca="false">IF(F194&lt;&gt;"",IF(AND(ISNUMBER(F194),N(F194)&gt;=0),F194,""),IF(AND(ISNUMBER(D194),ISNUMBER(E194)),ROUND(MOD(E194-D194,1)*1440,0),""))</f>
        <v/>
      </c>
      <c r="H194" s="9"/>
      <c r="I194" s="10" t="str">
        <f aca="false">IF(H194="","",IF(SUMPRODUCT(MAX((Setup!$D$5:$D$34=H194)*(35-ROW(Setup!$D$5:$D$34))))=0,"Not in Setup",INDEX(Setup!$E$5:$E$34,31-SUMPRODUCT(MAX((Setup!$D$5:$D$34=H194)*(35-ROW(Setup!$D$5:$D$34)))))))</f>
        <v/>
      </c>
      <c r="J194" s="9"/>
      <c r="K194" s="10" t="str">
        <f aca="false">IF(AND(A194="",C194="",D194="",E194="",F194="",H194=""),"",IF(NOT(ISNUMBER(A194)),"Enter a date",IF(AND(F194&lt;&gt;"",OR(NOT(ISNUMBER(F194)),N(F194)&lt;0)),"Minutes must be a number of 0 or more",IF(G194="","Enter start and end times, or minutes",IF(C194="","Pick a machine",IF(SUMPRODUCT(--(Setup!$A$5:$A$34=C194))=0,"Machine not in Setup",IF(H194="","Pick a reason (counted as unclassified)",IF(I194="Not in Setup","Reason not in Setup (counted as unclassified)",IF(N(G194)=0,"0 minutes: not counted as a stop","OK")))))))))</f>
        <v/>
      </c>
    </row>
    <row r="195" customFormat="false" ht="15" hidden="false" customHeight="false" outlineLevel="0" collapsed="false">
      <c r="A195" s="11"/>
      <c r="B195" s="9"/>
      <c r="C195" s="9"/>
      <c r="D195" s="12"/>
      <c r="E195" s="12"/>
      <c r="F195" s="13"/>
      <c r="G195" s="14" t="str">
        <f aca="false">IF(F195&lt;&gt;"",IF(AND(ISNUMBER(F195),N(F195)&gt;=0),F195,""),IF(AND(ISNUMBER(D195),ISNUMBER(E195)),ROUND(MOD(E195-D195,1)*1440,0),""))</f>
        <v/>
      </c>
      <c r="H195" s="9"/>
      <c r="I195" s="10" t="str">
        <f aca="false">IF(H195="","",IF(SUMPRODUCT(MAX((Setup!$D$5:$D$34=H195)*(35-ROW(Setup!$D$5:$D$34))))=0,"Not in Setup",INDEX(Setup!$E$5:$E$34,31-SUMPRODUCT(MAX((Setup!$D$5:$D$34=H195)*(35-ROW(Setup!$D$5:$D$34)))))))</f>
        <v/>
      </c>
      <c r="J195" s="9"/>
      <c r="K195" s="10" t="str">
        <f aca="false">IF(AND(A195="",C195="",D195="",E195="",F195="",H195=""),"",IF(NOT(ISNUMBER(A195)),"Enter a date",IF(AND(F195&lt;&gt;"",OR(NOT(ISNUMBER(F195)),N(F195)&lt;0)),"Minutes must be a number of 0 or more",IF(G195="","Enter start and end times, or minutes",IF(C195="","Pick a machine",IF(SUMPRODUCT(--(Setup!$A$5:$A$34=C195))=0,"Machine not in Setup",IF(H195="","Pick a reason (counted as unclassified)",IF(I195="Not in Setup","Reason not in Setup (counted as unclassified)",IF(N(G195)=0,"0 minutes: not counted as a stop","OK")))))))))</f>
        <v/>
      </c>
    </row>
    <row r="196" customFormat="false" ht="15" hidden="false" customHeight="false" outlineLevel="0" collapsed="false">
      <c r="A196" s="11"/>
      <c r="B196" s="9"/>
      <c r="C196" s="9"/>
      <c r="D196" s="12"/>
      <c r="E196" s="12"/>
      <c r="F196" s="13"/>
      <c r="G196" s="14" t="str">
        <f aca="false">IF(F196&lt;&gt;"",IF(AND(ISNUMBER(F196),N(F196)&gt;=0),F196,""),IF(AND(ISNUMBER(D196),ISNUMBER(E196)),ROUND(MOD(E196-D196,1)*1440,0),""))</f>
        <v/>
      </c>
      <c r="H196" s="9"/>
      <c r="I196" s="10" t="str">
        <f aca="false">IF(H196="","",IF(SUMPRODUCT(MAX((Setup!$D$5:$D$34=H196)*(35-ROW(Setup!$D$5:$D$34))))=0,"Not in Setup",INDEX(Setup!$E$5:$E$34,31-SUMPRODUCT(MAX((Setup!$D$5:$D$34=H196)*(35-ROW(Setup!$D$5:$D$34)))))))</f>
        <v/>
      </c>
      <c r="J196" s="9"/>
      <c r="K196" s="10" t="str">
        <f aca="false">IF(AND(A196="",C196="",D196="",E196="",F196="",H196=""),"",IF(NOT(ISNUMBER(A196)),"Enter a date",IF(AND(F196&lt;&gt;"",OR(NOT(ISNUMBER(F196)),N(F196)&lt;0)),"Minutes must be a number of 0 or more",IF(G196="","Enter start and end times, or minutes",IF(C196="","Pick a machine",IF(SUMPRODUCT(--(Setup!$A$5:$A$34=C196))=0,"Machine not in Setup",IF(H196="","Pick a reason (counted as unclassified)",IF(I196="Not in Setup","Reason not in Setup (counted as unclassified)",IF(N(G196)=0,"0 minutes: not counted as a stop","OK")))))))))</f>
        <v/>
      </c>
    </row>
    <row r="197" customFormat="false" ht="15" hidden="false" customHeight="false" outlineLevel="0" collapsed="false">
      <c r="A197" s="11"/>
      <c r="B197" s="9"/>
      <c r="C197" s="9"/>
      <c r="D197" s="12"/>
      <c r="E197" s="12"/>
      <c r="F197" s="13"/>
      <c r="G197" s="14" t="str">
        <f aca="false">IF(F197&lt;&gt;"",IF(AND(ISNUMBER(F197),N(F197)&gt;=0),F197,""),IF(AND(ISNUMBER(D197),ISNUMBER(E197)),ROUND(MOD(E197-D197,1)*1440,0),""))</f>
        <v/>
      </c>
      <c r="H197" s="9"/>
      <c r="I197" s="10" t="str">
        <f aca="false">IF(H197="","",IF(SUMPRODUCT(MAX((Setup!$D$5:$D$34=H197)*(35-ROW(Setup!$D$5:$D$34))))=0,"Not in Setup",INDEX(Setup!$E$5:$E$34,31-SUMPRODUCT(MAX((Setup!$D$5:$D$34=H197)*(35-ROW(Setup!$D$5:$D$34)))))))</f>
        <v/>
      </c>
      <c r="J197" s="9"/>
      <c r="K197" s="10" t="str">
        <f aca="false">IF(AND(A197="",C197="",D197="",E197="",F197="",H197=""),"",IF(NOT(ISNUMBER(A197)),"Enter a date",IF(AND(F197&lt;&gt;"",OR(NOT(ISNUMBER(F197)),N(F197)&lt;0)),"Minutes must be a number of 0 or more",IF(G197="","Enter start and end times, or minutes",IF(C197="","Pick a machine",IF(SUMPRODUCT(--(Setup!$A$5:$A$34=C197))=0,"Machine not in Setup",IF(H197="","Pick a reason (counted as unclassified)",IF(I197="Not in Setup","Reason not in Setup (counted as unclassified)",IF(N(G197)=0,"0 minutes: not counted as a stop","OK")))))))))</f>
        <v/>
      </c>
    </row>
    <row r="198" customFormat="false" ht="15" hidden="false" customHeight="false" outlineLevel="0" collapsed="false">
      <c r="A198" s="11"/>
      <c r="B198" s="9"/>
      <c r="C198" s="9"/>
      <c r="D198" s="12"/>
      <c r="E198" s="12"/>
      <c r="F198" s="13"/>
      <c r="G198" s="14" t="str">
        <f aca="false">IF(F198&lt;&gt;"",IF(AND(ISNUMBER(F198),N(F198)&gt;=0),F198,""),IF(AND(ISNUMBER(D198),ISNUMBER(E198)),ROUND(MOD(E198-D198,1)*1440,0),""))</f>
        <v/>
      </c>
      <c r="H198" s="9"/>
      <c r="I198" s="10" t="str">
        <f aca="false">IF(H198="","",IF(SUMPRODUCT(MAX((Setup!$D$5:$D$34=H198)*(35-ROW(Setup!$D$5:$D$34))))=0,"Not in Setup",INDEX(Setup!$E$5:$E$34,31-SUMPRODUCT(MAX((Setup!$D$5:$D$34=H198)*(35-ROW(Setup!$D$5:$D$34)))))))</f>
        <v/>
      </c>
      <c r="J198" s="9"/>
      <c r="K198" s="10" t="str">
        <f aca="false">IF(AND(A198="",C198="",D198="",E198="",F198="",H198=""),"",IF(NOT(ISNUMBER(A198)),"Enter a date",IF(AND(F198&lt;&gt;"",OR(NOT(ISNUMBER(F198)),N(F198)&lt;0)),"Minutes must be a number of 0 or more",IF(G198="","Enter start and end times, or minutes",IF(C198="","Pick a machine",IF(SUMPRODUCT(--(Setup!$A$5:$A$34=C198))=0,"Machine not in Setup",IF(H198="","Pick a reason (counted as unclassified)",IF(I198="Not in Setup","Reason not in Setup (counted as unclassified)",IF(N(G198)=0,"0 minutes: not counted as a stop","OK")))))))))</f>
        <v/>
      </c>
    </row>
    <row r="199" customFormat="false" ht="15" hidden="false" customHeight="false" outlineLevel="0" collapsed="false">
      <c r="A199" s="11"/>
      <c r="B199" s="9"/>
      <c r="C199" s="9"/>
      <c r="D199" s="12"/>
      <c r="E199" s="12"/>
      <c r="F199" s="13"/>
      <c r="G199" s="14" t="str">
        <f aca="false">IF(F199&lt;&gt;"",IF(AND(ISNUMBER(F199),N(F199)&gt;=0),F199,""),IF(AND(ISNUMBER(D199),ISNUMBER(E199)),ROUND(MOD(E199-D199,1)*1440,0),""))</f>
        <v/>
      </c>
      <c r="H199" s="9"/>
      <c r="I199" s="10" t="str">
        <f aca="false">IF(H199="","",IF(SUMPRODUCT(MAX((Setup!$D$5:$D$34=H199)*(35-ROW(Setup!$D$5:$D$34))))=0,"Not in Setup",INDEX(Setup!$E$5:$E$34,31-SUMPRODUCT(MAX((Setup!$D$5:$D$34=H199)*(35-ROW(Setup!$D$5:$D$34)))))))</f>
        <v/>
      </c>
      <c r="J199" s="9"/>
      <c r="K199" s="10" t="str">
        <f aca="false">IF(AND(A199="",C199="",D199="",E199="",F199="",H199=""),"",IF(NOT(ISNUMBER(A199)),"Enter a date",IF(AND(F199&lt;&gt;"",OR(NOT(ISNUMBER(F199)),N(F199)&lt;0)),"Minutes must be a number of 0 or more",IF(G199="","Enter start and end times, or minutes",IF(C199="","Pick a machine",IF(SUMPRODUCT(--(Setup!$A$5:$A$34=C199))=0,"Machine not in Setup",IF(H199="","Pick a reason (counted as unclassified)",IF(I199="Not in Setup","Reason not in Setup (counted as unclassified)",IF(N(G199)=0,"0 minutes: not counted as a stop","OK")))))))))</f>
        <v/>
      </c>
    </row>
    <row r="200" customFormat="false" ht="15" hidden="false" customHeight="false" outlineLevel="0" collapsed="false">
      <c r="A200" s="11"/>
      <c r="B200" s="9"/>
      <c r="C200" s="9"/>
      <c r="D200" s="12"/>
      <c r="E200" s="12"/>
      <c r="F200" s="13"/>
      <c r="G200" s="14" t="str">
        <f aca="false">IF(F200&lt;&gt;"",IF(AND(ISNUMBER(F200),N(F200)&gt;=0),F200,""),IF(AND(ISNUMBER(D200),ISNUMBER(E200)),ROUND(MOD(E200-D200,1)*1440,0),""))</f>
        <v/>
      </c>
      <c r="H200" s="9"/>
      <c r="I200" s="10" t="str">
        <f aca="false">IF(H200="","",IF(SUMPRODUCT(MAX((Setup!$D$5:$D$34=H200)*(35-ROW(Setup!$D$5:$D$34))))=0,"Not in Setup",INDEX(Setup!$E$5:$E$34,31-SUMPRODUCT(MAX((Setup!$D$5:$D$34=H200)*(35-ROW(Setup!$D$5:$D$34)))))))</f>
        <v/>
      </c>
      <c r="J200" s="9"/>
      <c r="K200" s="10" t="str">
        <f aca="false">IF(AND(A200="",C200="",D200="",E200="",F200="",H200=""),"",IF(NOT(ISNUMBER(A200)),"Enter a date",IF(AND(F200&lt;&gt;"",OR(NOT(ISNUMBER(F200)),N(F200)&lt;0)),"Minutes must be a number of 0 or more",IF(G200="","Enter start and end times, or minutes",IF(C200="","Pick a machine",IF(SUMPRODUCT(--(Setup!$A$5:$A$34=C200))=0,"Machine not in Setup",IF(H200="","Pick a reason (counted as unclassified)",IF(I200="Not in Setup","Reason not in Setup (counted as unclassified)",IF(N(G200)=0,"0 minutes: not counted as a stop","OK")))))))))</f>
        <v/>
      </c>
    </row>
    <row r="201" customFormat="false" ht="15" hidden="false" customHeight="false" outlineLevel="0" collapsed="false">
      <c r="A201" s="11"/>
      <c r="B201" s="9"/>
      <c r="C201" s="9"/>
      <c r="D201" s="12"/>
      <c r="E201" s="12"/>
      <c r="F201" s="13"/>
      <c r="G201" s="14" t="str">
        <f aca="false">IF(F201&lt;&gt;"",IF(AND(ISNUMBER(F201),N(F201)&gt;=0),F201,""),IF(AND(ISNUMBER(D201),ISNUMBER(E201)),ROUND(MOD(E201-D201,1)*1440,0),""))</f>
        <v/>
      </c>
      <c r="H201" s="9"/>
      <c r="I201" s="10" t="str">
        <f aca="false">IF(H201="","",IF(SUMPRODUCT(MAX((Setup!$D$5:$D$34=H201)*(35-ROW(Setup!$D$5:$D$34))))=0,"Not in Setup",INDEX(Setup!$E$5:$E$34,31-SUMPRODUCT(MAX((Setup!$D$5:$D$34=H201)*(35-ROW(Setup!$D$5:$D$34)))))))</f>
        <v/>
      </c>
      <c r="J201" s="9"/>
      <c r="K201" s="10" t="str">
        <f aca="false">IF(AND(A201="",C201="",D201="",E201="",F201="",H201=""),"",IF(NOT(ISNUMBER(A201)),"Enter a date",IF(AND(F201&lt;&gt;"",OR(NOT(ISNUMBER(F201)),N(F201)&lt;0)),"Minutes must be a number of 0 or more",IF(G201="","Enter start and end times, or minutes",IF(C201="","Pick a machine",IF(SUMPRODUCT(--(Setup!$A$5:$A$34=C201))=0,"Machine not in Setup",IF(H201="","Pick a reason (counted as unclassified)",IF(I201="Not in Setup","Reason not in Setup (counted as unclassified)",IF(N(G201)=0,"0 minutes: not counted as a stop","OK")))))))))</f>
        <v/>
      </c>
    </row>
    <row r="202" customFormat="false" ht="15" hidden="false" customHeight="false" outlineLevel="0" collapsed="false">
      <c r="A202" s="11"/>
      <c r="B202" s="9"/>
      <c r="C202" s="9"/>
      <c r="D202" s="12"/>
      <c r="E202" s="12"/>
      <c r="F202" s="13"/>
      <c r="G202" s="14" t="str">
        <f aca="false">IF(F202&lt;&gt;"",IF(AND(ISNUMBER(F202),N(F202)&gt;=0),F202,""),IF(AND(ISNUMBER(D202),ISNUMBER(E202)),ROUND(MOD(E202-D202,1)*1440,0),""))</f>
        <v/>
      </c>
      <c r="H202" s="9"/>
      <c r="I202" s="10" t="str">
        <f aca="false">IF(H202="","",IF(SUMPRODUCT(MAX((Setup!$D$5:$D$34=H202)*(35-ROW(Setup!$D$5:$D$34))))=0,"Not in Setup",INDEX(Setup!$E$5:$E$34,31-SUMPRODUCT(MAX((Setup!$D$5:$D$34=H202)*(35-ROW(Setup!$D$5:$D$34)))))))</f>
        <v/>
      </c>
      <c r="J202" s="9"/>
      <c r="K202" s="10" t="str">
        <f aca="false">IF(AND(A202="",C202="",D202="",E202="",F202="",H202=""),"",IF(NOT(ISNUMBER(A202)),"Enter a date",IF(AND(F202&lt;&gt;"",OR(NOT(ISNUMBER(F202)),N(F202)&lt;0)),"Minutes must be a number of 0 or more",IF(G202="","Enter start and end times, or minutes",IF(C202="","Pick a machine",IF(SUMPRODUCT(--(Setup!$A$5:$A$34=C202))=0,"Machine not in Setup",IF(H202="","Pick a reason (counted as unclassified)",IF(I202="Not in Setup","Reason not in Setup (counted as unclassified)",IF(N(G202)=0,"0 minutes: not counted as a stop","OK")))))))))</f>
        <v/>
      </c>
    </row>
    <row r="203" customFormat="false" ht="15" hidden="false" customHeight="false" outlineLevel="0" collapsed="false">
      <c r="A203" s="11"/>
      <c r="B203" s="9"/>
      <c r="C203" s="9"/>
      <c r="D203" s="12"/>
      <c r="E203" s="12"/>
      <c r="F203" s="13"/>
      <c r="G203" s="14" t="str">
        <f aca="false">IF(F203&lt;&gt;"",IF(AND(ISNUMBER(F203),N(F203)&gt;=0),F203,""),IF(AND(ISNUMBER(D203),ISNUMBER(E203)),ROUND(MOD(E203-D203,1)*1440,0),""))</f>
        <v/>
      </c>
      <c r="H203" s="9"/>
      <c r="I203" s="10" t="str">
        <f aca="false">IF(H203="","",IF(SUMPRODUCT(MAX((Setup!$D$5:$D$34=H203)*(35-ROW(Setup!$D$5:$D$34))))=0,"Not in Setup",INDEX(Setup!$E$5:$E$34,31-SUMPRODUCT(MAX((Setup!$D$5:$D$34=H203)*(35-ROW(Setup!$D$5:$D$34)))))))</f>
        <v/>
      </c>
      <c r="J203" s="9"/>
      <c r="K203" s="10" t="str">
        <f aca="false">IF(AND(A203="",C203="",D203="",E203="",F203="",H203=""),"",IF(NOT(ISNUMBER(A203)),"Enter a date",IF(AND(F203&lt;&gt;"",OR(NOT(ISNUMBER(F203)),N(F203)&lt;0)),"Minutes must be a number of 0 or more",IF(G203="","Enter start and end times, or minutes",IF(C203="","Pick a machine",IF(SUMPRODUCT(--(Setup!$A$5:$A$34=C203))=0,"Machine not in Setup",IF(H203="","Pick a reason (counted as unclassified)",IF(I203="Not in Setup","Reason not in Setup (counted as unclassified)",IF(N(G203)=0,"0 minutes: not counted as a stop","OK")))))))))</f>
        <v/>
      </c>
    </row>
    <row r="204" customFormat="false" ht="15" hidden="false" customHeight="false" outlineLevel="0" collapsed="false">
      <c r="A204" s="11"/>
      <c r="B204" s="9"/>
      <c r="C204" s="9"/>
      <c r="D204" s="12"/>
      <c r="E204" s="12"/>
      <c r="F204" s="13"/>
      <c r="G204" s="14" t="str">
        <f aca="false">IF(F204&lt;&gt;"",IF(AND(ISNUMBER(F204),N(F204)&gt;=0),F204,""),IF(AND(ISNUMBER(D204),ISNUMBER(E204)),ROUND(MOD(E204-D204,1)*1440,0),""))</f>
        <v/>
      </c>
      <c r="H204" s="9"/>
      <c r="I204" s="10" t="str">
        <f aca="false">IF(H204="","",IF(SUMPRODUCT(MAX((Setup!$D$5:$D$34=H204)*(35-ROW(Setup!$D$5:$D$34))))=0,"Not in Setup",INDEX(Setup!$E$5:$E$34,31-SUMPRODUCT(MAX((Setup!$D$5:$D$34=H204)*(35-ROW(Setup!$D$5:$D$34)))))))</f>
        <v/>
      </c>
      <c r="J204" s="9"/>
      <c r="K204" s="10" t="str">
        <f aca="false">IF(AND(A204="",C204="",D204="",E204="",F204="",H204=""),"",IF(NOT(ISNUMBER(A204)),"Enter a date",IF(AND(F204&lt;&gt;"",OR(NOT(ISNUMBER(F204)),N(F204)&lt;0)),"Minutes must be a number of 0 or more",IF(G204="","Enter start and end times, or minutes",IF(C204="","Pick a machine",IF(SUMPRODUCT(--(Setup!$A$5:$A$34=C204))=0,"Machine not in Setup",IF(H204="","Pick a reason (counted as unclassified)",IF(I204="Not in Setup","Reason not in Setup (counted as unclassified)",IF(N(G204)=0,"0 minutes: not counted as a stop","OK")))))))))</f>
        <v/>
      </c>
    </row>
    <row r="205" customFormat="false" ht="15" hidden="false" customHeight="false" outlineLevel="0" collapsed="false">
      <c r="A205" s="11"/>
      <c r="B205" s="9"/>
      <c r="C205" s="9"/>
      <c r="D205" s="12"/>
      <c r="E205" s="12"/>
      <c r="F205" s="13"/>
      <c r="G205" s="14" t="str">
        <f aca="false">IF(F205&lt;&gt;"",IF(AND(ISNUMBER(F205),N(F205)&gt;=0),F205,""),IF(AND(ISNUMBER(D205),ISNUMBER(E205)),ROUND(MOD(E205-D205,1)*1440,0),""))</f>
        <v/>
      </c>
      <c r="H205" s="9"/>
      <c r="I205" s="10" t="str">
        <f aca="false">IF(H205="","",IF(SUMPRODUCT(MAX((Setup!$D$5:$D$34=H205)*(35-ROW(Setup!$D$5:$D$34))))=0,"Not in Setup",INDEX(Setup!$E$5:$E$34,31-SUMPRODUCT(MAX((Setup!$D$5:$D$34=H205)*(35-ROW(Setup!$D$5:$D$34)))))))</f>
        <v/>
      </c>
      <c r="J205" s="9"/>
      <c r="K205" s="10" t="str">
        <f aca="false">IF(AND(A205="",C205="",D205="",E205="",F205="",H205=""),"",IF(NOT(ISNUMBER(A205)),"Enter a date",IF(AND(F205&lt;&gt;"",OR(NOT(ISNUMBER(F205)),N(F205)&lt;0)),"Minutes must be a number of 0 or more",IF(G205="","Enter start and end times, or minutes",IF(C205="","Pick a machine",IF(SUMPRODUCT(--(Setup!$A$5:$A$34=C205))=0,"Machine not in Setup",IF(H205="","Pick a reason (counted as unclassified)",IF(I205="Not in Setup","Reason not in Setup (counted as unclassified)",IF(N(G205)=0,"0 minutes: not counted as a stop","OK")))))))))</f>
        <v/>
      </c>
    </row>
    <row r="206" customFormat="false" ht="15" hidden="false" customHeight="false" outlineLevel="0" collapsed="false">
      <c r="A206" s="11"/>
      <c r="B206" s="9"/>
      <c r="C206" s="9"/>
      <c r="D206" s="12"/>
      <c r="E206" s="12"/>
      <c r="F206" s="13"/>
      <c r="G206" s="14" t="str">
        <f aca="false">IF(F206&lt;&gt;"",IF(AND(ISNUMBER(F206),N(F206)&gt;=0),F206,""),IF(AND(ISNUMBER(D206),ISNUMBER(E206)),ROUND(MOD(E206-D206,1)*1440,0),""))</f>
        <v/>
      </c>
      <c r="H206" s="9"/>
      <c r="I206" s="10" t="str">
        <f aca="false">IF(H206="","",IF(SUMPRODUCT(MAX((Setup!$D$5:$D$34=H206)*(35-ROW(Setup!$D$5:$D$34))))=0,"Not in Setup",INDEX(Setup!$E$5:$E$34,31-SUMPRODUCT(MAX((Setup!$D$5:$D$34=H206)*(35-ROW(Setup!$D$5:$D$34)))))))</f>
        <v/>
      </c>
      <c r="J206" s="9"/>
      <c r="K206" s="10" t="str">
        <f aca="false">IF(AND(A206="",C206="",D206="",E206="",F206="",H206=""),"",IF(NOT(ISNUMBER(A206)),"Enter a date",IF(AND(F206&lt;&gt;"",OR(NOT(ISNUMBER(F206)),N(F206)&lt;0)),"Minutes must be a number of 0 or more",IF(G206="","Enter start and end times, or minutes",IF(C206="","Pick a machine",IF(SUMPRODUCT(--(Setup!$A$5:$A$34=C206))=0,"Machine not in Setup",IF(H206="","Pick a reason (counted as unclassified)",IF(I206="Not in Setup","Reason not in Setup (counted as unclassified)",IF(N(G206)=0,"0 minutes: not counted as a stop","OK")))))))))</f>
        <v/>
      </c>
    </row>
    <row r="207" customFormat="false" ht="15" hidden="false" customHeight="false" outlineLevel="0" collapsed="false">
      <c r="A207" s="11"/>
      <c r="B207" s="9"/>
      <c r="C207" s="9"/>
      <c r="D207" s="12"/>
      <c r="E207" s="12"/>
      <c r="F207" s="13"/>
      <c r="G207" s="14" t="str">
        <f aca="false">IF(F207&lt;&gt;"",IF(AND(ISNUMBER(F207),N(F207)&gt;=0),F207,""),IF(AND(ISNUMBER(D207),ISNUMBER(E207)),ROUND(MOD(E207-D207,1)*1440,0),""))</f>
        <v/>
      </c>
      <c r="H207" s="9"/>
      <c r="I207" s="10" t="str">
        <f aca="false">IF(H207="","",IF(SUMPRODUCT(MAX((Setup!$D$5:$D$34=H207)*(35-ROW(Setup!$D$5:$D$34))))=0,"Not in Setup",INDEX(Setup!$E$5:$E$34,31-SUMPRODUCT(MAX((Setup!$D$5:$D$34=H207)*(35-ROW(Setup!$D$5:$D$34)))))))</f>
        <v/>
      </c>
      <c r="J207" s="9"/>
      <c r="K207" s="10" t="str">
        <f aca="false">IF(AND(A207="",C207="",D207="",E207="",F207="",H207=""),"",IF(NOT(ISNUMBER(A207)),"Enter a date",IF(AND(F207&lt;&gt;"",OR(NOT(ISNUMBER(F207)),N(F207)&lt;0)),"Minutes must be a number of 0 or more",IF(G207="","Enter start and end times, or minutes",IF(C207="","Pick a machine",IF(SUMPRODUCT(--(Setup!$A$5:$A$34=C207))=0,"Machine not in Setup",IF(H207="","Pick a reason (counted as unclassified)",IF(I207="Not in Setup","Reason not in Setup (counted as unclassified)",IF(N(G207)=0,"0 minutes: not counted as a stop","OK")))))))))</f>
        <v/>
      </c>
    </row>
    <row r="208" customFormat="false" ht="15" hidden="false" customHeight="false" outlineLevel="0" collapsed="false">
      <c r="A208" s="11"/>
      <c r="B208" s="9"/>
      <c r="C208" s="9"/>
      <c r="D208" s="12"/>
      <c r="E208" s="12"/>
      <c r="F208" s="13"/>
      <c r="G208" s="14" t="str">
        <f aca="false">IF(F208&lt;&gt;"",IF(AND(ISNUMBER(F208),N(F208)&gt;=0),F208,""),IF(AND(ISNUMBER(D208),ISNUMBER(E208)),ROUND(MOD(E208-D208,1)*1440,0),""))</f>
        <v/>
      </c>
      <c r="H208" s="9"/>
      <c r="I208" s="10" t="str">
        <f aca="false">IF(H208="","",IF(SUMPRODUCT(MAX((Setup!$D$5:$D$34=H208)*(35-ROW(Setup!$D$5:$D$34))))=0,"Not in Setup",INDEX(Setup!$E$5:$E$34,31-SUMPRODUCT(MAX((Setup!$D$5:$D$34=H208)*(35-ROW(Setup!$D$5:$D$34)))))))</f>
        <v/>
      </c>
      <c r="J208" s="9"/>
      <c r="K208" s="10" t="str">
        <f aca="false">IF(AND(A208="",C208="",D208="",E208="",F208="",H208=""),"",IF(NOT(ISNUMBER(A208)),"Enter a date",IF(AND(F208&lt;&gt;"",OR(NOT(ISNUMBER(F208)),N(F208)&lt;0)),"Minutes must be a number of 0 or more",IF(G208="","Enter start and end times, or minutes",IF(C208="","Pick a machine",IF(SUMPRODUCT(--(Setup!$A$5:$A$34=C208))=0,"Machine not in Setup",IF(H208="","Pick a reason (counted as unclassified)",IF(I208="Not in Setup","Reason not in Setup (counted as unclassified)",IF(N(G208)=0,"0 minutes: not counted as a stop","OK")))))))))</f>
        <v/>
      </c>
    </row>
    <row r="209" customFormat="false" ht="15" hidden="false" customHeight="false" outlineLevel="0" collapsed="false">
      <c r="A209" s="11"/>
      <c r="B209" s="9"/>
      <c r="C209" s="9"/>
      <c r="D209" s="12"/>
      <c r="E209" s="12"/>
      <c r="F209" s="13"/>
      <c r="G209" s="14" t="str">
        <f aca="false">IF(F209&lt;&gt;"",IF(AND(ISNUMBER(F209),N(F209)&gt;=0),F209,""),IF(AND(ISNUMBER(D209),ISNUMBER(E209)),ROUND(MOD(E209-D209,1)*1440,0),""))</f>
        <v/>
      </c>
      <c r="H209" s="9"/>
      <c r="I209" s="10" t="str">
        <f aca="false">IF(H209="","",IF(SUMPRODUCT(MAX((Setup!$D$5:$D$34=H209)*(35-ROW(Setup!$D$5:$D$34))))=0,"Not in Setup",INDEX(Setup!$E$5:$E$34,31-SUMPRODUCT(MAX((Setup!$D$5:$D$34=H209)*(35-ROW(Setup!$D$5:$D$34)))))))</f>
        <v/>
      </c>
      <c r="J209" s="9"/>
      <c r="K209" s="10" t="str">
        <f aca="false">IF(AND(A209="",C209="",D209="",E209="",F209="",H209=""),"",IF(NOT(ISNUMBER(A209)),"Enter a date",IF(AND(F209&lt;&gt;"",OR(NOT(ISNUMBER(F209)),N(F209)&lt;0)),"Minutes must be a number of 0 or more",IF(G209="","Enter start and end times, or minutes",IF(C209="","Pick a machine",IF(SUMPRODUCT(--(Setup!$A$5:$A$34=C209))=0,"Machine not in Setup",IF(H209="","Pick a reason (counted as unclassified)",IF(I209="Not in Setup","Reason not in Setup (counted as unclassified)",IF(N(G209)=0,"0 minutes: not counted as a stop","OK")))))))))</f>
        <v/>
      </c>
    </row>
    <row r="210" customFormat="false" ht="15" hidden="false" customHeight="false" outlineLevel="0" collapsed="false">
      <c r="A210" s="11"/>
      <c r="B210" s="9"/>
      <c r="C210" s="9"/>
      <c r="D210" s="12"/>
      <c r="E210" s="12"/>
      <c r="F210" s="13"/>
      <c r="G210" s="14" t="str">
        <f aca="false">IF(F210&lt;&gt;"",IF(AND(ISNUMBER(F210),N(F210)&gt;=0),F210,""),IF(AND(ISNUMBER(D210),ISNUMBER(E210)),ROUND(MOD(E210-D210,1)*1440,0),""))</f>
        <v/>
      </c>
      <c r="H210" s="9"/>
      <c r="I210" s="10" t="str">
        <f aca="false">IF(H210="","",IF(SUMPRODUCT(MAX((Setup!$D$5:$D$34=H210)*(35-ROW(Setup!$D$5:$D$34))))=0,"Not in Setup",INDEX(Setup!$E$5:$E$34,31-SUMPRODUCT(MAX((Setup!$D$5:$D$34=H210)*(35-ROW(Setup!$D$5:$D$34)))))))</f>
        <v/>
      </c>
      <c r="J210" s="9"/>
      <c r="K210" s="10" t="str">
        <f aca="false">IF(AND(A210="",C210="",D210="",E210="",F210="",H210=""),"",IF(NOT(ISNUMBER(A210)),"Enter a date",IF(AND(F210&lt;&gt;"",OR(NOT(ISNUMBER(F210)),N(F210)&lt;0)),"Minutes must be a number of 0 or more",IF(G210="","Enter start and end times, or minutes",IF(C210="","Pick a machine",IF(SUMPRODUCT(--(Setup!$A$5:$A$34=C210))=0,"Machine not in Setup",IF(H210="","Pick a reason (counted as unclassified)",IF(I210="Not in Setup","Reason not in Setup (counted as unclassified)",IF(N(G210)=0,"0 minutes: not counted as a stop","OK")))))))))</f>
        <v/>
      </c>
    </row>
    <row r="211" customFormat="false" ht="15" hidden="false" customHeight="false" outlineLevel="0" collapsed="false">
      <c r="A211" s="11"/>
      <c r="B211" s="9"/>
      <c r="C211" s="9"/>
      <c r="D211" s="12"/>
      <c r="E211" s="12"/>
      <c r="F211" s="13"/>
      <c r="G211" s="14" t="str">
        <f aca="false">IF(F211&lt;&gt;"",IF(AND(ISNUMBER(F211),N(F211)&gt;=0),F211,""),IF(AND(ISNUMBER(D211),ISNUMBER(E211)),ROUND(MOD(E211-D211,1)*1440,0),""))</f>
        <v/>
      </c>
      <c r="H211" s="9"/>
      <c r="I211" s="10" t="str">
        <f aca="false">IF(H211="","",IF(SUMPRODUCT(MAX((Setup!$D$5:$D$34=H211)*(35-ROW(Setup!$D$5:$D$34))))=0,"Not in Setup",INDEX(Setup!$E$5:$E$34,31-SUMPRODUCT(MAX((Setup!$D$5:$D$34=H211)*(35-ROW(Setup!$D$5:$D$34)))))))</f>
        <v/>
      </c>
      <c r="J211" s="9"/>
      <c r="K211" s="10" t="str">
        <f aca="false">IF(AND(A211="",C211="",D211="",E211="",F211="",H211=""),"",IF(NOT(ISNUMBER(A211)),"Enter a date",IF(AND(F211&lt;&gt;"",OR(NOT(ISNUMBER(F211)),N(F211)&lt;0)),"Minutes must be a number of 0 or more",IF(G211="","Enter start and end times, or minutes",IF(C211="","Pick a machine",IF(SUMPRODUCT(--(Setup!$A$5:$A$34=C211))=0,"Machine not in Setup",IF(H211="","Pick a reason (counted as unclassified)",IF(I211="Not in Setup","Reason not in Setup (counted as unclassified)",IF(N(G211)=0,"0 minutes: not counted as a stop","OK")))))))))</f>
        <v/>
      </c>
    </row>
    <row r="212" customFormat="false" ht="15" hidden="false" customHeight="false" outlineLevel="0" collapsed="false">
      <c r="A212" s="11"/>
      <c r="B212" s="9"/>
      <c r="C212" s="9"/>
      <c r="D212" s="12"/>
      <c r="E212" s="12"/>
      <c r="F212" s="13"/>
      <c r="G212" s="14" t="str">
        <f aca="false">IF(F212&lt;&gt;"",IF(AND(ISNUMBER(F212),N(F212)&gt;=0),F212,""),IF(AND(ISNUMBER(D212),ISNUMBER(E212)),ROUND(MOD(E212-D212,1)*1440,0),""))</f>
        <v/>
      </c>
      <c r="H212" s="9"/>
      <c r="I212" s="10" t="str">
        <f aca="false">IF(H212="","",IF(SUMPRODUCT(MAX((Setup!$D$5:$D$34=H212)*(35-ROW(Setup!$D$5:$D$34))))=0,"Not in Setup",INDEX(Setup!$E$5:$E$34,31-SUMPRODUCT(MAX((Setup!$D$5:$D$34=H212)*(35-ROW(Setup!$D$5:$D$34)))))))</f>
        <v/>
      </c>
      <c r="J212" s="9"/>
      <c r="K212" s="10" t="str">
        <f aca="false">IF(AND(A212="",C212="",D212="",E212="",F212="",H212=""),"",IF(NOT(ISNUMBER(A212)),"Enter a date",IF(AND(F212&lt;&gt;"",OR(NOT(ISNUMBER(F212)),N(F212)&lt;0)),"Minutes must be a number of 0 or more",IF(G212="","Enter start and end times, or minutes",IF(C212="","Pick a machine",IF(SUMPRODUCT(--(Setup!$A$5:$A$34=C212))=0,"Machine not in Setup",IF(H212="","Pick a reason (counted as unclassified)",IF(I212="Not in Setup","Reason not in Setup (counted as unclassified)",IF(N(G212)=0,"0 minutes: not counted as a stop","OK")))))))))</f>
        <v/>
      </c>
    </row>
    <row r="213" customFormat="false" ht="15" hidden="false" customHeight="false" outlineLevel="0" collapsed="false">
      <c r="A213" s="11"/>
      <c r="B213" s="9"/>
      <c r="C213" s="9"/>
      <c r="D213" s="12"/>
      <c r="E213" s="12"/>
      <c r="F213" s="13"/>
      <c r="G213" s="14" t="str">
        <f aca="false">IF(F213&lt;&gt;"",IF(AND(ISNUMBER(F213),N(F213)&gt;=0),F213,""),IF(AND(ISNUMBER(D213),ISNUMBER(E213)),ROUND(MOD(E213-D213,1)*1440,0),""))</f>
        <v/>
      </c>
      <c r="H213" s="9"/>
      <c r="I213" s="10" t="str">
        <f aca="false">IF(H213="","",IF(SUMPRODUCT(MAX((Setup!$D$5:$D$34=H213)*(35-ROW(Setup!$D$5:$D$34))))=0,"Not in Setup",INDEX(Setup!$E$5:$E$34,31-SUMPRODUCT(MAX((Setup!$D$5:$D$34=H213)*(35-ROW(Setup!$D$5:$D$34)))))))</f>
        <v/>
      </c>
      <c r="J213" s="9"/>
      <c r="K213" s="10" t="str">
        <f aca="false">IF(AND(A213="",C213="",D213="",E213="",F213="",H213=""),"",IF(NOT(ISNUMBER(A213)),"Enter a date",IF(AND(F213&lt;&gt;"",OR(NOT(ISNUMBER(F213)),N(F213)&lt;0)),"Minutes must be a number of 0 or more",IF(G213="","Enter start and end times, or minutes",IF(C213="","Pick a machine",IF(SUMPRODUCT(--(Setup!$A$5:$A$34=C213))=0,"Machine not in Setup",IF(H213="","Pick a reason (counted as unclassified)",IF(I213="Not in Setup","Reason not in Setup (counted as unclassified)",IF(N(G213)=0,"0 minutes: not counted as a stop","OK")))))))))</f>
        <v/>
      </c>
    </row>
    <row r="214" customFormat="false" ht="15" hidden="false" customHeight="false" outlineLevel="0" collapsed="false">
      <c r="A214" s="11"/>
      <c r="B214" s="9"/>
      <c r="C214" s="9"/>
      <c r="D214" s="12"/>
      <c r="E214" s="12"/>
      <c r="F214" s="13"/>
      <c r="G214" s="14" t="str">
        <f aca="false">IF(F214&lt;&gt;"",IF(AND(ISNUMBER(F214),N(F214)&gt;=0),F214,""),IF(AND(ISNUMBER(D214),ISNUMBER(E214)),ROUND(MOD(E214-D214,1)*1440,0),""))</f>
        <v/>
      </c>
      <c r="H214" s="9"/>
      <c r="I214" s="10" t="str">
        <f aca="false">IF(H214="","",IF(SUMPRODUCT(MAX((Setup!$D$5:$D$34=H214)*(35-ROW(Setup!$D$5:$D$34))))=0,"Not in Setup",INDEX(Setup!$E$5:$E$34,31-SUMPRODUCT(MAX((Setup!$D$5:$D$34=H214)*(35-ROW(Setup!$D$5:$D$34)))))))</f>
        <v/>
      </c>
      <c r="J214" s="9"/>
      <c r="K214" s="10" t="str">
        <f aca="false">IF(AND(A214="",C214="",D214="",E214="",F214="",H214=""),"",IF(NOT(ISNUMBER(A214)),"Enter a date",IF(AND(F214&lt;&gt;"",OR(NOT(ISNUMBER(F214)),N(F214)&lt;0)),"Minutes must be a number of 0 or more",IF(G214="","Enter start and end times, or minutes",IF(C214="","Pick a machine",IF(SUMPRODUCT(--(Setup!$A$5:$A$34=C214))=0,"Machine not in Setup",IF(H214="","Pick a reason (counted as unclassified)",IF(I214="Not in Setup","Reason not in Setup (counted as unclassified)",IF(N(G214)=0,"0 minutes: not counted as a stop","OK")))))))))</f>
        <v/>
      </c>
    </row>
    <row r="215" customFormat="false" ht="15" hidden="false" customHeight="false" outlineLevel="0" collapsed="false">
      <c r="A215" s="11"/>
      <c r="B215" s="9"/>
      <c r="C215" s="9"/>
      <c r="D215" s="12"/>
      <c r="E215" s="12"/>
      <c r="F215" s="13"/>
      <c r="G215" s="14" t="str">
        <f aca="false">IF(F215&lt;&gt;"",IF(AND(ISNUMBER(F215),N(F215)&gt;=0),F215,""),IF(AND(ISNUMBER(D215),ISNUMBER(E215)),ROUND(MOD(E215-D215,1)*1440,0),""))</f>
        <v/>
      </c>
      <c r="H215" s="9"/>
      <c r="I215" s="10" t="str">
        <f aca="false">IF(H215="","",IF(SUMPRODUCT(MAX((Setup!$D$5:$D$34=H215)*(35-ROW(Setup!$D$5:$D$34))))=0,"Not in Setup",INDEX(Setup!$E$5:$E$34,31-SUMPRODUCT(MAX((Setup!$D$5:$D$34=H215)*(35-ROW(Setup!$D$5:$D$34)))))))</f>
        <v/>
      </c>
      <c r="J215" s="9"/>
      <c r="K215" s="10" t="str">
        <f aca="false">IF(AND(A215="",C215="",D215="",E215="",F215="",H215=""),"",IF(NOT(ISNUMBER(A215)),"Enter a date",IF(AND(F215&lt;&gt;"",OR(NOT(ISNUMBER(F215)),N(F215)&lt;0)),"Minutes must be a number of 0 or more",IF(G215="","Enter start and end times, or minutes",IF(C215="","Pick a machine",IF(SUMPRODUCT(--(Setup!$A$5:$A$34=C215))=0,"Machine not in Setup",IF(H215="","Pick a reason (counted as unclassified)",IF(I215="Not in Setup","Reason not in Setup (counted as unclassified)",IF(N(G215)=0,"0 minutes: not counted as a stop","OK")))))))))</f>
        <v/>
      </c>
    </row>
    <row r="216" customFormat="false" ht="15" hidden="false" customHeight="false" outlineLevel="0" collapsed="false">
      <c r="A216" s="11"/>
      <c r="B216" s="9"/>
      <c r="C216" s="9"/>
      <c r="D216" s="12"/>
      <c r="E216" s="12"/>
      <c r="F216" s="13"/>
      <c r="G216" s="14" t="str">
        <f aca="false">IF(F216&lt;&gt;"",IF(AND(ISNUMBER(F216),N(F216)&gt;=0),F216,""),IF(AND(ISNUMBER(D216),ISNUMBER(E216)),ROUND(MOD(E216-D216,1)*1440,0),""))</f>
        <v/>
      </c>
      <c r="H216" s="9"/>
      <c r="I216" s="10" t="str">
        <f aca="false">IF(H216="","",IF(SUMPRODUCT(MAX((Setup!$D$5:$D$34=H216)*(35-ROW(Setup!$D$5:$D$34))))=0,"Not in Setup",INDEX(Setup!$E$5:$E$34,31-SUMPRODUCT(MAX((Setup!$D$5:$D$34=H216)*(35-ROW(Setup!$D$5:$D$34)))))))</f>
        <v/>
      </c>
      <c r="J216" s="9"/>
      <c r="K216" s="10" t="str">
        <f aca="false">IF(AND(A216="",C216="",D216="",E216="",F216="",H216=""),"",IF(NOT(ISNUMBER(A216)),"Enter a date",IF(AND(F216&lt;&gt;"",OR(NOT(ISNUMBER(F216)),N(F216)&lt;0)),"Minutes must be a number of 0 or more",IF(G216="","Enter start and end times, or minutes",IF(C216="","Pick a machine",IF(SUMPRODUCT(--(Setup!$A$5:$A$34=C216))=0,"Machine not in Setup",IF(H216="","Pick a reason (counted as unclassified)",IF(I216="Not in Setup","Reason not in Setup (counted as unclassified)",IF(N(G216)=0,"0 minutes: not counted as a stop","OK")))))))))</f>
        <v/>
      </c>
    </row>
    <row r="217" customFormat="false" ht="15" hidden="false" customHeight="false" outlineLevel="0" collapsed="false">
      <c r="A217" s="11"/>
      <c r="B217" s="9"/>
      <c r="C217" s="9"/>
      <c r="D217" s="12"/>
      <c r="E217" s="12"/>
      <c r="F217" s="13"/>
      <c r="G217" s="14" t="str">
        <f aca="false">IF(F217&lt;&gt;"",IF(AND(ISNUMBER(F217),N(F217)&gt;=0),F217,""),IF(AND(ISNUMBER(D217),ISNUMBER(E217)),ROUND(MOD(E217-D217,1)*1440,0),""))</f>
        <v/>
      </c>
      <c r="H217" s="9"/>
      <c r="I217" s="10" t="str">
        <f aca="false">IF(H217="","",IF(SUMPRODUCT(MAX((Setup!$D$5:$D$34=H217)*(35-ROW(Setup!$D$5:$D$34))))=0,"Not in Setup",INDEX(Setup!$E$5:$E$34,31-SUMPRODUCT(MAX((Setup!$D$5:$D$34=H217)*(35-ROW(Setup!$D$5:$D$34)))))))</f>
        <v/>
      </c>
      <c r="J217" s="9"/>
      <c r="K217" s="10" t="str">
        <f aca="false">IF(AND(A217="",C217="",D217="",E217="",F217="",H217=""),"",IF(NOT(ISNUMBER(A217)),"Enter a date",IF(AND(F217&lt;&gt;"",OR(NOT(ISNUMBER(F217)),N(F217)&lt;0)),"Minutes must be a number of 0 or more",IF(G217="","Enter start and end times, or minutes",IF(C217="","Pick a machine",IF(SUMPRODUCT(--(Setup!$A$5:$A$34=C217))=0,"Machine not in Setup",IF(H217="","Pick a reason (counted as unclassified)",IF(I217="Not in Setup","Reason not in Setup (counted as unclassified)",IF(N(G217)=0,"0 minutes: not counted as a stop","OK")))))))))</f>
        <v/>
      </c>
    </row>
    <row r="218" customFormat="false" ht="15" hidden="false" customHeight="false" outlineLevel="0" collapsed="false">
      <c r="A218" s="11"/>
      <c r="B218" s="9"/>
      <c r="C218" s="9"/>
      <c r="D218" s="12"/>
      <c r="E218" s="12"/>
      <c r="F218" s="13"/>
      <c r="G218" s="14" t="str">
        <f aca="false">IF(F218&lt;&gt;"",IF(AND(ISNUMBER(F218),N(F218)&gt;=0),F218,""),IF(AND(ISNUMBER(D218),ISNUMBER(E218)),ROUND(MOD(E218-D218,1)*1440,0),""))</f>
        <v/>
      </c>
      <c r="H218" s="9"/>
      <c r="I218" s="10" t="str">
        <f aca="false">IF(H218="","",IF(SUMPRODUCT(MAX((Setup!$D$5:$D$34=H218)*(35-ROW(Setup!$D$5:$D$34))))=0,"Not in Setup",INDEX(Setup!$E$5:$E$34,31-SUMPRODUCT(MAX((Setup!$D$5:$D$34=H218)*(35-ROW(Setup!$D$5:$D$34)))))))</f>
        <v/>
      </c>
      <c r="J218" s="9"/>
      <c r="K218" s="10" t="str">
        <f aca="false">IF(AND(A218="",C218="",D218="",E218="",F218="",H218=""),"",IF(NOT(ISNUMBER(A218)),"Enter a date",IF(AND(F218&lt;&gt;"",OR(NOT(ISNUMBER(F218)),N(F218)&lt;0)),"Minutes must be a number of 0 or more",IF(G218="","Enter start and end times, or minutes",IF(C218="","Pick a machine",IF(SUMPRODUCT(--(Setup!$A$5:$A$34=C218))=0,"Machine not in Setup",IF(H218="","Pick a reason (counted as unclassified)",IF(I218="Not in Setup","Reason not in Setup (counted as unclassified)",IF(N(G218)=0,"0 minutes: not counted as a stop","OK")))))))))</f>
        <v/>
      </c>
    </row>
    <row r="219" customFormat="false" ht="15" hidden="false" customHeight="false" outlineLevel="0" collapsed="false">
      <c r="A219" s="11"/>
      <c r="B219" s="9"/>
      <c r="C219" s="9"/>
      <c r="D219" s="12"/>
      <c r="E219" s="12"/>
      <c r="F219" s="13"/>
      <c r="G219" s="14" t="str">
        <f aca="false">IF(F219&lt;&gt;"",IF(AND(ISNUMBER(F219),N(F219)&gt;=0),F219,""),IF(AND(ISNUMBER(D219),ISNUMBER(E219)),ROUND(MOD(E219-D219,1)*1440,0),""))</f>
        <v/>
      </c>
      <c r="H219" s="9"/>
      <c r="I219" s="10" t="str">
        <f aca="false">IF(H219="","",IF(SUMPRODUCT(MAX((Setup!$D$5:$D$34=H219)*(35-ROW(Setup!$D$5:$D$34))))=0,"Not in Setup",INDEX(Setup!$E$5:$E$34,31-SUMPRODUCT(MAX((Setup!$D$5:$D$34=H219)*(35-ROW(Setup!$D$5:$D$34)))))))</f>
        <v/>
      </c>
      <c r="J219" s="9"/>
      <c r="K219" s="10" t="str">
        <f aca="false">IF(AND(A219="",C219="",D219="",E219="",F219="",H219=""),"",IF(NOT(ISNUMBER(A219)),"Enter a date",IF(AND(F219&lt;&gt;"",OR(NOT(ISNUMBER(F219)),N(F219)&lt;0)),"Minutes must be a number of 0 or more",IF(G219="","Enter start and end times, or minutes",IF(C219="","Pick a machine",IF(SUMPRODUCT(--(Setup!$A$5:$A$34=C219))=0,"Machine not in Setup",IF(H219="","Pick a reason (counted as unclassified)",IF(I219="Not in Setup","Reason not in Setup (counted as unclassified)",IF(N(G219)=0,"0 minutes: not counted as a stop","OK")))))))))</f>
        <v/>
      </c>
    </row>
    <row r="220" customFormat="false" ht="15" hidden="false" customHeight="false" outlineLevel="0" collapsed="false">
      <c r="A220" s="11"/>
      <c r="B220" s="9"/>
      <c r="C220" s="9"/>
      <c r="D220" s="12"/>
      <c r="E220" s="12"/>
      <c r="F220" s="13"/>
      <c r="G220" s="14" t="str">
        <f aca="false">IF(F220&lt;&gt;"",IF(AND(ISNUMBER(F220),N(F220)&gt;=0),F220,""),IF(AND(ISNUMBER(D220),ISNUMBER(E220)),ROUND(MOD(E220-D220,1)*1440,0),""))</f>
        <v/>
      </c>
      <c r="H220" s="9"/>
      <c r="I220" s="10" t="str">
        <f aca="false">IF(H220="","",IF(SUMPRODUCT(MAX((Setup!$D$5:$D$34=H220)*(35-ROW(Setup!$D$5:$D$34))))=0,"Not in Setup",INDEX(Setup!$E$5:$E$34,31-SUMPRODUCT(MAX((Setup!$D$5:$D$34=H220)*(35-ROW(Setup!$D$5:$D$34)))))))</f>
        <v/>
      </c>
      <c r="J220" s="9"/>
      <c r="K220" s="10" t="str">
        <f aca="false">IF(AND(A220="",C220="",D220="",E220="",F220="",H220=""),"",IF(NOT(ISNUMBER(A220)),"Enter a date",IF(AND(F220&lt;&gt;"",OR(NOT(ISNUMBER(F220)),N(F220)&lt;0)),"Minutes must be a number of 0 or more",IF(G220="","Enter start and end times, or minutes",IF(C220="","Pick a machine",IF(SUMPRODUCT(--(Setup!$A$5:$A$34=C220))=0,"Machine not in Setup",IF(H220="","Pick a reason (counted as unclassified)",IF(I220="Not in Setup","Reason not in Setup (counted as unclassified)",IF(N(G220)=0,"0 minutes: not counted as a stop","OK")))))))))</f>
        <v/>
      </c>
    </row>
    <row r="221" customFormat="false" ht="15" hidden="false" customHeight="false" outlineLevel="0" collapsed="false">
      <c r="A221" s="11"/>
      <c r="B221" s="9"/>
      <c r="C221" s="9"/>
      <c r="D221" s="12"/>
      <c r="E221" s="12"/>
      <c r="F221" s="13"/>
      <c r="G221" s="14" t="str">
        <f aca="false">IF(F221&lt;&gt;"",IF(AND(ISNUMBER(F221),N(F221)&gt;=0),F221,""),IF(AND(ISNUMBER(D221),ISNUMBER(E221)),ROUND(MOD(E221-D221,1)*1440,0),""))</f>
        <v/>
      </c>
      <c r="H221" s="9"/>
      <c r="I221" s="10" t="str">
        <f aca="false">IF(H221="","",IF(SUMPRODUCT(MAX((Setup!$D$5:$D$34=H221)*(35-ROW(Setup!$D$5:$D$34))))=0,"Not in Setup",INDEX(Setup!$E$5:$E$34,31-SUMPRODUCT(MAX((Setup!$D$5:$D$34=H221)*(35-ROW(Setup!$D$5:$D$34)))))))</f>
        <v/>
      </c>
      <c r="J221" s="9"/>
      <c r="K221" s="10" t="str">
        <f aca="false">IF(AND(A221="",C221="",D221="",E221="",F221="",H221=""),"",IF(NOT(ISNUMBER(A221)),"Enter a date",IF(AND(F221&lt;&gt;"",OR(NOT(ISNUMBER(F221)),N(F221)&lt;0)),"Minutes must be a number of 0 or more",IF(G221="","Enter start and end times, or minutes",IF(C221="","Pick a machine",IF(SUMPRODUCT(--(Setup!$A$5:$A$34=C221))=0,"Machine not in Setup",IF(H221="","Pick a reason (counted as unclassified)",IF(I221="Not in Setup","Reason not in Setup (counted as unclassified)",IF(N(G221)=0,"0 minutes: not counted as a stop","OK")))))))))</f>
        <v/>
      </c>
    </row>
    <row r="222" customFormat="false" ht="15" hidden="false" customHeight="false" outlineLevel="0" collapsed="false">
      <c r="A222" s="11"/>
      <c r="B222" s="9"/>
      <c r="C222" s="9"/>
      <c r="D222" s="12"/>
      <c r="E222" s="12"/>
      <c r="F222" s="13"/>
      <c r="G222" s="14" t="str">
        <f aca="false">IF(F222&lt;&gt;"",IF(AND(ISNUMBER(F222),N(F222)&gt;=0),F222,""),IF(AND(ISNUMBER(D222),ISNUMBER(E222)),ROUND(MOD(E222-D222,1)*1440,0),""))</f>
        <v/>
      </c>
      <c r="H222" s="9"/>
      <c r="I222" s="10" t="str">
        <f aca="false">IF(H222="","",IF(SUMPRODUCT(MAX((Setup!$D$5:$D$34=H222)*(35-ROW(Setup!$D$5:$D$34))))=0,"Not in Setup",INDEX(Setup!$E$5:$E$34,31-SUMPRODUCT(MAX((Setup!$D$5:$D$34=H222)*(35-ROW(Setup!$D$5:$D$34)))))))</f>
        <v/>
      </c>
      <c r="J222" s="9"/>
      <c r="K222" s="10" t="str">
        <f aca="false">IF(AND(A222="",C222="",D222="",E222="",F222="",H222=""),"",IF(NOT(ISNUMBER(A222)),"Enter a date",IF(AND(F222&lt;&gt;"",OR(NOT(ISNUMBER(F222)),N(F222)&lt;0)),"Minutes must be a number of 0 or more",IF(G222="","Enter start and end times, or minutes",IF(C222="","Pick a machine",IF(SUMPRODUCT(--(Setup!$A$5:$A$34=C222))=0,"Machine not in Setup",IF(H222="","Pick a reason (counted as unclassified)",IF(I222="Not in Setup","Reason not in Setup (counted as unclassified)",IF(N(G222)=0,"0 minutes: not counted as a stop","OK")))))))))</f>
        <v/>
      </c>
    </row>
    <row r="223" customFormat="false" ht="15" hidden="false" customHeight="false" outlineLevel="0" collapsed="false">
      <c r="A223" s="11"/>
      <c r="B223" s="9"/>
      <c r="C223" s="9"/>
      <c r="D223" s="12"/>
      <c r="E223" s="12"/>
      <c r="F223" s="13"/>
      <c r="G223" s="14" t="str">
        <f aca="false">IF(F223&lt;&gt;"",IF(AND(ISNUMBER(F223),N(F223)&gt;=0),F223,""),IF(AND(ISNUMBER(D223),ISNUMBER(E223)),ROUND(MOD(E223-D223,1)*1440,0),""))</f>
        <v/>
      </c>
      <c r="H223" s="9"/>
      <c r="I223" s="10" t="str">
        <f aca="false">IF(H223="","",IF(SUMPRODUCT(MAX((Setup!$D$5:$D$34=H223)*(35-ROW(Setup!$D$5:$D$34))))=0,"Not in Setup",INDEX(Setup!$E$5:$E$34,31-SUMPRODUCT(MAX((Setup!$D$5:$D$34=H223)*(35-ROW(Setup!$D$5:$D$34)))))))</f>
        <v/>
      </c>
      <c r="J223" s="9"/>
      <c r="K223" s="10" t="str">
        <f aca="false">IF(AND(A223="",C223="",D223="",E223="",F223="",H223=""),"",IF(NOT(ISNUMBER(A223)),"Enter a date",IF(AND(F223&lt;&gt;"",OR(NOT(ISNUMBER(F223)),N(F223)&lt;0)),"Minutes must be a number of 0 or more",IF(G223="","Enter start and end times, or minutes",IF(C223="","Pick a machine",IF(SUMPRODUCT(--(Setup!$A$5:$A$34=C223))=0,"Machine not in Setup",IF(H223="","Pick a reason (counted as unclassified)",IF(I223="Not in Setup","Reason not in Setup (counted as unclassified)",IF(N(G223)=0,"0 minutes: not counted as a stop","OK")))))))))</f>
        <v/>
      </c>
    </row>
    <row r="224" customFormat="false" ht="15" hidden="false" customHeight="false" outlineLevel="0" collapsed="false">
      <c r="A224" s="11"/>
      <c r="B224" s="9"/>
      <c r="C224" s="9"/>
      <c r="D224" s="12"/>
      <c r="E224" s="12"/>
      <c r="F224" s="13"/>
      <c r="G224" s="14" t="str">
        <f aca="false">IF(F224&lt;&gt;"",IF(AND(ISNUMBER(F224),N(F224)&gt;=0),F224,""),IF(AND(ISNUMBER(D224),ISNUMBER(E224)),ROUND(MOD(E224-D224,1)*1440,0),""))</f>
        <v/>
      </c>
      <c r="H224" s="9"/>
      <c r="I224" s="10" t="str">
        <f aca="false">IF(H224="","",IF(SUMPRODUCT(MAX((Setup!$D$5:$D$34=H224)*(35-ROW(Setup!$D$5:$D$34))))=0,"Not in Setup",INDEX(Setup!$E$5:$E$34,31-SUMPRODUCT(MAX((Setup!$D$5:$D$34=H224)*(35-ROW(Setup!$D$5:$D$34)))))))</f>
        <v/>
      </c>
      <c r="J224" s="9"/>
      <c r="K224" s="10" t="str">
        <f aca="false">IF(AND(A224="",C224="",D224="",E224="",F224="",H224=""),"",IF(NOT(ISNUMBER(A224)),"Enter a date",IF(AND(F224&lt;&gt;"",OR(NOT(ISNUMBER(F224)),N(F224)&lt;0)),"Minutes must be a number of 0 or more",IF(G224="","Enter start and end times, or minutes",IF(C224="","Pick a machine",IF(SUMPRODUCT(--(Setup!$A$5:$A$34=C224))=0,"Machine not in Setup",IF(H224="","Pick a reason (counted as unclassified)",IF(I224="Not in Setup","Reason not in Setup (counted as unclassified)",IF(N(G224)=0,"0 minutes: not counted as a stop","OK")))))))))</f>
        <v/>
      </c>
    </row>
    <row r="225" customFormat="false" ht="15" hidden="false" customHeight="false" outlineLevel="0" collapsed="false">
      <c r="A225" s="11"/>
      <c r="B225" s="9"/>
      <c r="C225" s="9"/>
      <c r="D225" s="12"/>
      <c r="E225" s="12"/>
      <c r="F225" s="13"/>
      <c r="G225" s="14" t="str">
        <f aca="false">IF(F225&lt;&gt;"",IF(AND(ISNUMBER(F225),N(F225)&gt;=0),F225,""),IF(AND(ISNUMBER(D225),ISNUMBER(E225)),ROUND(MOD(E225-D225,1)*1440,0),""))</f>
        <v/>
      </c>
      <c r="H225" s="9"/>
      <c r="I225" s="10" t="str">
        <f aca="false">IF(H225="","",IF(SUMPRODUCT(MAX((Setup!$D$5:$D$34=H225)*(35-ROW(Setup!$D$5:$D$34))))=0,"Not in Setup",INDEX(Setup!$E$5:$E$34,31-SUMPRODUCT(MAX((Setup!$D$5:$D$34=H225)*(35-ROW(Setup!$D$5:$D$34)))))))</f>
        <v/>
      </c>
      <c r="J225" s="9"/>
      <c r="K225" s="10" t="str">
        <f aca="false">IF(AND(A225="",C225="",D225="",E225="",F225="",H225=""),"",IF(NOT(ISNUMBER(A225)),"Enter a date",IF(AND(F225&lt;&gt;"",OR(NOT(ISNUMBER(F225)),N(F225)&lt;0)),"Minutes must be a number of 0 or more",IF(G225="","Enter start and end times, or minutes",IF(C225="","Pick a machine",IF(SUMPRODUCT(--(Setup!$A$5:$A$34=C225))=0,"Machine not in Setup",IF(H225="","Pick a reason (counted as unclassified)",IF(I225="Not in Setup","Reason not in Setup (counted as unclassified)",IF(N(G225)=0,"0 minutes: not counted as a stop","OK")))))))))</f>
        <v/>
      </c>
    </row>
    <row r="226" customFormat="false" ht="15" hidden="false" customHeight="false" outlineLevel="0" collapsed="false">
      <c r="A226" s="11"/>
      <c r="B226" s="9"/>
      <c r="C226" s="9"/>
      <c r="D226" s="12"/>
      <c r="E226" s="12"/>
      <c r="F226" s="13"/>
      <c r="G226" s="14" t="str">
        <f aca="false">IF(F226&lt;&gt;"",IF(AND(ISNUMBER(F226),N(F226)&gt;=0),F226,""),IF(AND(ISNUMBER(D226),ISNUMBER(E226)),ROUND(MOD(E226-D226,1)*1440,0),""))</f>
        <v/>
      </c>
      <c r="H226" s="9"/>
      <c r="I226" s="10" t="str">
        <f aca="false">IF(H226="","",IF(SUMPRODUCT(MAX((Setup!$D$5:$D$34=H226)*(35-ROW(Setup!$D$5:$D$34))))=0,"Not in Setup",INDEX(Setup!$E$5:$E$34,31-SUMPRODUCT(MAX((Setup!$D$5:$D$34=H226)*(35-ROW(Setup!$D$5:$D$34)))))))</f>
        <v/>
      </c>
      <c r="J226" s="9"/>
      <c r="K226" s="10" t="str">
        <f aca="false">IF(AND(A226="",C226="",D226="",E226="",F226="",H226=""),"",IF(NOT(ISNUMBER(A226)),"Enter a date",IF(AND(F226&lt;&gt;"",OR(NOT(ISNUMBER(F226)),N(F226)&lt;0)),"Minutes must be a number of 0 or more",IF(G226="","Enter start and end times, or minutes",IF(C226="","Pick a machine",IF(SUMPRODUCT(--(Setup!$A$5:$A$34=C226))=0,"Machine not in Setup",IF(H226="","Pick a reason (counted as unclassified)",IF(I226="Not in Setup","Reason not in Setup (counted as unclassified)",IF(N(G226)=0,"0 minutes: not counted as a stop","OK")))))))))</f>
        <v/>
      </c>
    </row>
    <row r="227" customFormat="false" ht="15" hidden="false" customHeight="false" outlineLevel="0" collapsed="false">
      <c r="A227" s="11"/>
      <c r="B227" s="9"/>
      <c r="C227" s="9"/>
      <c r="D227" s="12"/>
      <c r="E227" s="12"/>
      <c r="F227" s="13"/>
      <c r="G227" s="14" t="str">
        <f aca="false">IF(F227&lt;&gt;"",IF(AND(ISNUMBER(F227),N(F227)&gt;=0),F227,""),IF(AND(ISNUMBER(D227),ISNUMBER(E227)),ROUND(MOD(E227-D227,1)*1440,0),""))</f>
        <v/>
      </c>
      <c r="H227" s="9"/>
      <c r="I227" s="10" t="str">
        <f aca="false">IF(H227="","",IF(SUMPRODUCT(MAX((Setup!$D$5:$D$34=H227)*(35-ROW(Setup!$D$5:$D$34))))=0,"Not in Setup",INDEX(Setup!$E$5:$E$34,31-SUMPRODUCT(MAX((Setup!$D$5:$D$34=H227)*(35-ROW(Setup!$D$5:$D$34)))))))</f>
        <v/>
      </c>
      <c r="J227" s="9"/>
      <c r="K227" s="10" t="str">
        <f aca="false">IF(AND(A227="",C227="",D227="",E227="",F227="",H227=""),"",IF(NOT(ISNUMBER(A227)),"Enter a date",IF(AND(F227&lt;&gt;"",OR(NOT(ISNUMBER(F227)),N(F227)&lt;0)),"Minutes must be a number of 0 or more",IF(G227="","Enter start and end times, or minutes",IF(C227="","Pick a machine",IF(SUMPRODUCT(--(Setup!$A$5:$A$34=C227))=0,"Machine not in Setup",IF(H227="","Pick a reason (counted as unclassified)",IF(I227="Not in Setup","Reason not in Setup (counted as unclassified)",IF(N(G227)=0,"0 minutes: not counted as a stop","OK")))))))))</f>
        <v/>
      </c>
    </row>
    <row r="228" customFormat="false" ht="15" hidden="false" customHeight="false" outlineLevel="0" collapsed="false">
      <c r="A228" s="11"/>
      <c r="B228" s="9"/>
      <c r="C228" s="9"/>
      <c r="D228" s="12"/>
      <c r="E228" s="12"/>
      <c r="F228" s="13"/>
      <c r="G228" s="14" t="str">
        <f aca="false">IF(F228&lt;&gt;"",IF(AND(ISNUMBER(F228),N(F228)&gt;=0),F228,""),IF(AND(ISNUMBER(D228),ISNUMBER(E228)),ROUND(MOD(E228-D228,1)*1440,0),""))</f>
        <v/>
      </c>
      <c r="H228" s="9"/>
      <c r="I228" s="10" t="str">
        <f aca="false">IF(H228="","",IF(SUMPRODUCT(MAX((Setup!$D$5:$D$34=H228)*(35-ROW(Setup!$D$5:$D$34))))=0,"Not in Setup",INDEX(Setup!$E$5:$E$34,31-SUMPRODUCT(MAX((Setup!$D$5:$D$34=H228)*(35-ROW(Setup!$D$5:$D$34)))))))</f>
        <v/>
      </c>
      <c r="J228" s="9"/>
      <c r="K228" s="10" t="str">
        <f aca="false">IF(AND(A228="",C228="",D228="",E228="",F228="",H228=""),"",IF(NOT(ISNUMBER(A228)),"Enter a date",IF(AND(F228&lt;&gt;"",OR(NOT(ISNUMBER(F228)),N(F228)&lt;0)),"Minutes must be a number of 0 or more",IF(G228="","Enter start and end times, or minutes",IF(C228="","Pick a machine",IF(SUMPRODUCT(--(Setup!$A$5:$A$34=C228))=0,"Machine not in Setup",IF(H228="","Pick a reason (counted as unclassified)",IF(I228="Not in Setup","Reason not in Setup (counted as unclassified)",IF(N(G228)=0,"0 minutes: not counted as a stop","OK")))))))))</f>
        <v/>
      </c>
    </row>
    <row r="229" customFormat="false" ht="15" hidden="false" customHeight="false" outlineLevel="0" collapsed="false">
      <c r="A229" s="11"/>
      <c r="B229" s="9"/>
      <c r="C229" s="9"/>
      <c r="D229" s="12"/>
      <c r="E229" s="12"/>
      <c r="F229" s="13"/>
      <c r="G229" s="14" t="str">
        <f aca="false">IF(F229&lt;&gt;"",IF(AND(ISNUMBER(F229),N(F229)&gt;=0),F229,""),IF(AND(ISNUMBER(D229),ISNUMBER(E229)),ROUND(MOD(E229-D229,1)*1440,0),""))</f>
        <v/>
      </c>
      <c r="H229" s="9"/>
      <c r="I229" s="10" t="str">
        <f aca="false">IF(H229="","",IF(SUMPRODUCT(MAX((Setup!$D$5:$D$34=H229)*(35-ROW(Setup!$D$5:$D$34))))=0,"Not in Setup",INDEX(Setup!$E$5:$E$34,31-SUMPRODUCT(MAX((Setup!$D$5:$D$34=H229)*(35-ROW(Setup!$D$5:$D$34)))))))</f>
        <v/>
      </c>
      <c r="J229" s="9"/>
      <c r="K229" s="10" t="str">
        <f aca="false">IF(AND(A229="",C229="",D229="",E229="",F229="",H229=""),"",IF(NOT(ISNUMBER(A229)),"Enter a date",IF(AND(F229&lt;&gt;"",OR(NOT(ISNUMBER(F229)),N(F229)&lt;0)),"Minutes must be a number of 0 or more",IF(G229="","Enter start and end times, or minutes",IF(C229="","Pick a machine",IF(SUMPRODUCT(--(Setup!$A$5:$A$34=C229))=0,"Machine not in Setup",IF(H229="","Pick a reason (counted as unclassified)",IF(I229="Not in Setup","Reason not in Setup (counted as unclassified)",IF(N(G229)=0,"0 minutes: not counted as a stop","OK")))))))))</f>
        <v/>
      </c>
    </row>
    <row r="230" customFormat="false" ht="15" hidden="false" customHeight="false" outlineLevel="0" collapsed="false">
      <c r="A230" s="11"/>
      <c r="B230" s="9"/>
      <c r="C230" s="9"/>
      <c r="D230" s="12"/>
      <c r="E230" s="12"/>
      <c r="F230" s="13"/>
      <c r="G230" s="14" t="str">
        <f aca="false">IF(F230&lt;&gt;"",IF(AND(ISNUMBER(F230),N(F230)&gt;=0),F230,""),IF(AND(ISNUMBER(D230),ISNUMBER(E230)),ROUND(MOD(E230-D230,1)*1440,0),""))</f>
        <v/>
      </c>
      <c r="H230" s="9"/>
      <c r="I230" s="10" t="str">
        <f aca="false">IF(H230="","",IF(SUMPRODUCT(MAX((Setup!$D$5:$D$34=H230)*(35-ROW(Setup!$D$5:$D$34))))=0,"Not in Setup",INDEX(Setup!$E$5:$E$34,31-SUMPRODUCT(MAX((Setup!$D$5:$D$34=H230)*(35-ROW(Setup!$D$5:$D$34)))))))</f>
        <v/>
      </c>
      <c r="J230" s="9"/>
      <c r="K230" s="10" t="str">
        <f aca="false">IF(AND(A230="",C230="",D230="",E230="",F230="",H230=""),"",IF(NOT(ISNUMBER(A230)),"Enter a date",IF(AND(F230&lt;&gt;"",OR(NOT(ISNUMBER(F230)),N(F230)&lt;0)),"Minutes must be a number of 0 or more",IF(G230="","Enter start and end times, or minutes",IF(C230="","Pick a machine",IF(SUMPRODUCT(--(Setup!$A$5:$A$34=C230))=0,"Machine not in Setup",IF(H230="","Pick a reason (counted as unclassified)",IF(I230="Not in Setup","Reason not in Setup (counted as unclassified)",IF(N(G230)=0,"0 minutes: not counted as a stop","OK")))))))))</f>
        <v/>
      </c>
    </row>
    <row r="231" customFormat="false" ht="15" hidden="false" customHeight="false" outlineLevel="0" collapsed="false">
      <c r="A231" s="11"/>
      <c r="B231" s="9"/>
      <c r="C231" s="9"/>
      <c r="D231" s="12"/>
      <c r="E231" s="12"/>
      <c r="F231" s="13"/>
      <c r="G231" s="14" t="str">
        <f aca="false">IF(F231&lt;&gt;"",IF(AND(ISNUMBER(F231),N(F231)&gt;=0),F231,""),IF(AND(ISNUMBER(D231),ISNUMBER(E231)),ROUND(MOD(E231-D231,1)*1440,0),""))</f>
        <v/>
      </c>
      <c r="H231" s="9"/>
      <c r="I231" s="10" t="str">
        <f aca="false">IF(H231="","",IF(SUMPRODUCT(MAX((Setup!$D$5:$D$34=H231)*(35-ROW(Setup!$D$5:$D$34))))=0,"Not in Setup",INDEX(Setup!$E$5:$E$34,31-SUMPRODUCT(MAX((Setup!$D$5:$D$34=H231)*(35-ROW(Setup!$D$5:$D$34)))))))</f>
        <v/>
      </c>
      <c r="J231" s="9"/>
      <c r="K231" s="10" t="str">
        <f aca="false">IF(AND(A231="",C231="",D231="",E231="",F231="",H231=""),"",IF(NOT(ISNUMBER(A231)),"Enter a date",IF(AND(F231&lt;&gt;"",OR(NOT(ISNUMBER(F231)),N(F231)&lt;0)),"Minutes must be a number of 0 or more",IF(G231="","Enter start and end times, or minutes",IF(C231="","Pick a machine",IF(SUMPRODUCT(--(Setup!$A$5:$A$34=C231))=0,"Machine not in Setup",IF(H231="","Pick a reason (counted as unclassified)",IF(I231="Not in Setup","Reason not in Setup (counted as unclassified)",IF(N(G231)=0,"0 minutes: not counted as a stop","OK")))))))))</f>
        <v/>
      </c>
    </row>
    <row r="232" customFormat="false" ht="15" hidden="false" customHeight="false" outlineLevel="0" collapsed="false">
      <c r="A232" s="11"/>
      <c r="B232" s="9"/>
      <c r="C232" s="9"/>
      <c r="D232" s="12"/>
      <c r="E232" s="12"/>
      <c r="F232" s="13"/>
      <c r="G232" s="14" t="str">
        <f aca="false">IF(F232&lt;&gt;"",IF(AND(ISNUMBER(F232),N(F232)&gt;=0),F232,""),IF(AND(ISNUMBER(D232),ISNUMBER(E232)),ROUND(MOD(E232-D232,1)*1440,0),""))</f>
        <v/>
      </c>
      <c r="H232" s="9"/>
      <c r="I232" s="10" t="str">
        <f aca="false">IF(H232="","",IF(SUMPRODUCT(MAX((Setup!$D$5:$D$34=H232)*(35-ROW(Setup!$D$5:$D$34))))=0,"Not in Setup",INDEX(Setup!$E$5:$E$34,31-SUMPRODUCT(MAX((Setup!$D$5:$D$34=H232)*(35-ROW(Setup!$D$5:$D$34)))))))</f>
        <v/>
      </c>
      <c r="J232" s="9"/>
      <c r="K232" s="10" t="str">
        <f aca="false">IF(AND(A232="",C232="",D232="",E232="",F232="",H232=""),"",IF(NOT(ISNUMBER(A232)),"Enter a date",IF(AND(F232&lt;&gt;"",OR(NOT(ISNUMBER(F232)),N(F232)&lt;0)),"Minutes must be a number of 0 or more",IF(G232="","Enter start and end times, or minutes",IF(C232="","Pick a machine",IF(SUMPRODUCT(--(Setup!$A$5:$A$34=C232))=0,"Machine not in Setup",IF(H232="","Pick a reason (counted as unclassified)",IF(I232="Not in Setup","Reason not in Setup (counted as unclassified)",IF(N(G232)=0,"0 minutes: not counted as a stop","OK")))))))))</f>
        <v/>
      </c>
    </row>
    <row r="233" customFormat="false" ht="15" hidden="false" customHeight="false" outlineLevel="0" collapsed="false">
      <c r="A233" s="11"/>
      <c r="B233" s="9"/>
      <c r="C233" s="9"/>
      <c r="D233" s="12"/>
      <c r="E233" s="12"/>
      <c r="F233" s="13"/>
      <c r="G233" s="14" t="str">
        <f aca="false">IF(F233&lt;&gt;"",IF(AND(ISNUMBER(F233),N(F233)&gt;=0),F233,""),IF(AND(ISNUMBER(D233),ISNUMBER(E233)),ROUND(MOD(E233-D233,1)*1440,0),""))</f>
        <v/>
      </c>
      <c r="H233" s="9"/>
      <c r="I233" s="10" t="str">
        <f aca="false">IF(H233="","",IF(SUMPRODUCT(MAX((Setup!$D$5:$D$34=H233)*(35-ROW(Setup!$D$5:$D$34))))=0,"Not in Setup",INDEX(Setup!$E$5:$E$34,31-SUMPRODUCT(MAX((Setup!$D$5:$D$34=H233)*(35-ROW(Setup!$D$5:$D$34)))))))</f>
        <v/>
      </c>
      <c r="J233" s="9"/>
      <c r="K233" s="10" t="str">
        <f aca="false">IF(AND(A233="",C233="",D233="",E233="",F233="",H233=""),"",IF(NOT(ISNUMBER(A233)),"Enter a date",IF(AND(F233&lt;&gt;"",OR(NOT(ISNUMBER(F233)),N(F233)&lt;0)),"Minutes must be a number of 0 or more",IF(G233="","Enter start and end times, or minutes",IF(C233="","Pick a machine",IF(SUMPRODUCT(--(Setup!$A$5:$A$34=C233))=0,"Machine not in Setup",IF(H233="","Pick a reason (counted as unclassified)",IF(I233="Not in Setup","Reason not in Setup (counted as unclassified)",IF(N(G233)=0,"0 minutes: not counted as a stop","OK")))))))))</f>
        <v/>
      </c>
    </row>
    <row r="234" customFormat="false" ht="15" hidden="false" customHeight="false" outlineLevel="0" collapsed="false">
      <c r="A234" s="11"/>
      <c r="B234" s="9"/>
      <c r="C234" s="9"/>
      <c r="D234" s="12"/>
      <c r="E234" s="12"/>
      <c r="F234" s="13"/>
      <c r="G234" s="14" t="str">
        <f aca="false">IF(F234&lt;&gt;"",IF(AND(ISNUMBER(F234),N(F234)&gt;=0),F234,""),IF(AND(ISNUMBER(D234),ISNUMBER(E234)),ROUND(MOD(E234-D234,1)*1440,0),""))</f>
        <v/>
      </c>
      <c r="H234" s="9"/>
      <c r="I234" s="10" t="str">
        <f aca="false">IF(H234="","",IF(SUMPRODUCT(MAX((Setup!$D$5:$D$34=H234)*(35-ROW(Setup!$D$5:$D$34))))=0,"Not in Setup",INDEX(Setup!$E$5:$E$34,31-SUMPRODUCT(MAX((Setup!$D$5:$D$34=H234)*(35-ROW(Setup!$D$5:$D$34)))))))</f>
        <v/>
      </c>
      <c r="J234" s="9"/>
      <c r="K234" s="10" t="str">
        <f aca="false">IF(AND(A234="",C234="",D234="",E234="",F234="",H234=""),"",IF(NOT(ISNUMBER(A234)),"Enter a date",IF(AND(F234&lt;&gt;"",OR(NOT(ISNUMBER(F234)),N(F234)&lt;0)),"Minutes must be a number of 0 or more",IF(G234="","Enter start and end times, or minutes",IF(C234="","Pick a machine",IF(SUMPRODUCT(--(Setup!$A$5:$A$34=C234))=0,"Machine not in Setup",IF(H234="","Pick a reason (counted as unclassified)",IF(I234="Not in Setup","Reason not in Setup (counted as unclassified)",IF(N(G234)=0,"0 minutes: not counted as a stop","OK")))))))))</f>
        <v/>
      </c>
    </row>
    <row r="235" customFormat="false" ht="15" hidden="false" customHeight="false" outlineLevel="0" collapsed="false">
      <c r="A235" s="11"/>
      <c r="B235" s="9"/>
      <c r="C235" s="9"/>
      <c r="D235" s="12"/>
      <c r="E235" s="12"/>
      <c r="F235" s="13"/>
      <c r="G235" s="14" t="str">
        <f aca="false">IF(F235&lt;&gt;"",IF(AND(ISNUMBER(F235),N(F235)&gt;=0),F235,""),IF(AND(ISNUMBER(D235),ISNUMBER(E235)),ROUND(MOD(E235-D235,1)*1440,0),""))</f>
        <v/>
      </c>
      <c r="H235" s="9"/>
      <c r="I235" s="10" t="str">
        <f aca="false">IF(H235="","",IF(SUMPRODUCT(MAX((Setup!$D$5:$D$34=H235)*(35-ROW(Setup!$D$5:$D$34))))=0,"Not in Setup",INDEX(Setup!$E$5:$E$34,31-SUMPRODUCT(MAX((Setup!$D$5:$D$34=H235)*(35-ROW(Setup!$D$5:$D$34)))))))</f>
        <v/>
      </c>
      <c r="J235" s="9"/>
      <c r="K235" s="10" t="str">
        <f aca="false">IF(AND(A235="",C235="",D235="",E235="",F235="",H235=""),"",IF(NOT(ISNUMBER(A235)),"Enter a date",IF(AND(F235&lt;&gt;"",OR(NOT(ISNUMBER(F235)),N(F235)&lt;0)),"Minutes must be a number of 0 or more",IF(G235="","Enter start and end times, or minutes",IF(C235="","Pick a machine",IF(SUMPRODUCT(--(Setup!$A$5:$A$34=C235))=0,"Machine not in Setup",IF(H235="","Pick a reason (counted as unclassified)",IF(I235="Not in Setup","Reason not in Setup (counted as unclassified)",IF(N(G235)=0,"0 minutes: not counted as a stop","OK")))))))))</f>
        <v/>
      </c>
    </row>
    <row r="236" customFormat="false" ht="15" hidden="false" customHeight="false" outlineLevel="0" collapsed="false">
      <c r="A236" s="11"/>
      <c r="B236" s="9"/>
      <c r="C236" s="9"/>
      <c r="D236" s="12"/>
      <c r="E236" s="12"/>
      <c r="F236" s="13"/>
      <c r="G236" s="14" t="str">
        <f aca="false">IF(F236&lt;&gt;"",IF(AND(ISNUMBER(F236),N(F236)&gt;=0),F236,""),IF(AND(ISNUMBER(D236),ISNUMBER(E236)),ROUND(MOD(E236-D236,1)*1440,0),""))</f>
        <v/>
      </c>
      <c r="H236" s="9"/>
      <c r="I236" s="10" t="str">
        <f aca="false">IF(H236="","",IF(SUMPRODUCT(MAX((Setup!$D$5:$D$34=H236)*(35-ROW(Setup!$D$5:$D$34))))=0,"Not in Setup",INDEX(Setup!$E$5:$E$34,31-SUMPRODUCT(MAX((Setup!$D$5:$D$34=H236)*(35-ROW(Setup!$D$5:$D$34)))))))</f>
        <v/>
      </c>
      <c r="J236" s="9"/>
      <c r="K236" s="10" t="str">
        <f aca="false">IF(AND(A236="",C236="",D236="",E236="",F236="",H236=""),"",IF(NOT(ISNUMBER(A236)),"Enter a date",IF(AND(F236&lt;&gt;"",OR(NOT(ISNUMBER(F236)),N(F236)&lt;0)),"Minutes must be a number of 0 or more",IF(G236="","Enter start and end times, or minutes",IF(C236="","Pick a machine",IF(SUMPRODUCT(--(Setup!$A$5:$A$34=C236))=0,"Machine not in Setup",IF(H236="","Pick a reason (counted as unclassified)",IF(I236="Not in Setup","Reason not in Setup (counted as unclassified)",IF(N(G236)=0,"0 minutes: not counted as a stop","OK")))))))))</f>
        <v/>
      </c>
    </row>
    <row r="237" customFormat="false" ht="15" hidden="false" customHeight="false" outlineLevel="0" collapsed="false">
      <c r="A237" s="11"/>
      <c r="B237" s="9"/>
      <c r="C237" s="9"/>
      <c r="D237" s="12"/>
      <c r="E237" s="12"/>
      <c r="F237" s="13"/>
      <c r="G237" s="14" t="str">
        <f aca="false">IF(F237&lt;&gt;"",IF(AND(ISNUMBER(F237),N(F237)&gt;=0),F237,""),IF(AND(ISNUMBER(D237),ISNUMBER(E237)),ROUND(MOD(E237-D237,1)*1440,0),""))</f>
        <v/>
      </c>
      <c r="H237" s="9"/>
      <c r="I237" s="10" t="str">
        <f aca="false">IF(H237="","",IF(SUMPRODUCT(MAX((Setup!$D$5:$D$34=H237)*(35-ROW(Setup!$D$5:$D$34))))=0,"Not in Setup",INDEX(Setup!$E$5:$E$34,31-SUMPRODUCT(MAX((Setup!$D$5:$D$34=H237)*(35-ROW(Setup!$D$5:$D$34)))))))</f>
        <v/>
      </c>
      <c r="J237" s="9"/>
      <c r="K237" s="10" t="str">
        <f aca="false">IF(AND(A237="",C237="",D237="",E237="",F237="",H237=""),"",IF(NOT(ISNUMBER(A237)),"Enter a date",IF(AND(F237&lt;&gt;"",OR(NOT(ISNUMBER(F237)),N(F237)&lt;0)),"Minutes must be a number of 0 or more",IF(G237="","Enter start and end times, or minutes",IF(C237="","Pick a machine",IF(SUMPRODUCT(--(Setup!$A$5:$A$34=C237))=0,"Machine not in Setup",IF(H237="","Pick a reason (counted as unclassified)",IF(I237="Not in Setup","Reason not in Setup (counted as unclassified)",IF(N(G237)=0,"0 minutes: not counted as a stop","OK")))))))))</f>
        <v/>
      </c>
    </row>
    <row r="238" customFormat="false" ht="15" hidden="false" customHeight="false" outlineLevel="0" collapsed="false">
      <c r="A238" s="11"/>
      <c r="B238" s="9"/>
      <c r="C238" s="9"/>
      <c r="D238" s="12"/>
      <c r="E238" s="12"/>
      <c r="F238" s="13"/>
      <c r="G238" s="14" t="str">
        <f aca="false">IF(F238&lt;&gt;"",IF(AND(ISNUMBER(F238),N(F238)&gt;=0),F238,""),IF(AND(ISNUMBER(D238),ISNUMBER(E238)),ROUND(MOD(E238-D238,1)*1440,0),""))</f>
        <v/>
      </c>
      <c r="H238" s="9"/>
      <c r="I238" s="10" t="str">
        <f aca="false">IF(H238="","",IF(SUMPRODUCT(MAX((Setup!$D$5:$D$34=H238)*(35-ROW(Setup!$D$5:$D$34))))=0,"Not in Setup",INDEX(Setup!$E$5:$E$34,31-SUMPRODUCT(MAX((Setup!$D$5:$D$34=H238)*(35-ROW(Setup!$D$5:$D$34)))))))</f>
        <v/>
      </c>
      <c r="J238" s="9"/>
      <c r="K238" s="10" t="str">
        <f aca="false">IF(AND(A238="",C238="",D238="",E238="",F238="",H238=""),"",IF(NOT(ISNUMBER(A238)),"Enter a date",IF(AND(F238&lt;&gt;"",OR(NOT(ISNUMBER(F238)),N(F238)&lt;0)),"Minutes must be a number of 0 or more",IF(G238="","Enter start and end times, or minutes",IF(C238="","Pick a machine",IF(SUMPRODUCT(--(Setup!$A$5:$A$34=C238))=0,"Machine not in Setup",IF(H238="","Pick a reason (counted as unclassified)",IF(I238="Not in Setup","Reason not in Setup (counted as unclassified)",IF(N(G238)=0,"0 minutes: not counted as a stop","OK")))))))))</f>
        <v/>
      </c>
    </row>
    <row r="239" customFormat="false" ht="15" hidden="false" customHeight="false" outlineLevel="0" collapsed="false">
      <c r="A239" s="11"/>
      <c r="B239" s="9"/>
      <c r="C239" s="9"/>
      <c r="D239" s="12"/>
      <c r="E239" s="12"/>
      <c r="F239" s="13"/>
      <c r="G239" s="14" t="str">
        <f aca="false">IF(F239&lt;&gt;"",IF(AND(ISNUMBER(F239),N(F239)&gt;=0),F239,""),IF(AND(ISNUMBER(D239),ISNUMBER(E239)),ROUND(MOD(E239-D239,1)*1440,0),""))</f>
        <v/>
      </c>
      <c r="H239" s="9"/>
      <c r="I239" s="10" t="str">
        <f aca="false">IF(H239="","",IF(SUMPRODUCT(MAX((Setup!$D$5:$D$34=H239)*(35-ROW(Setup!$D$5:$D$34))))=0,"Not in Setup",INDEX(Setup!$E$5:$E$34,31-SUMPRODUCT(MAX((Setup!$D$5:$D$34=H239)*(35-ROW(Setup!$D$5:$D$34)))))))</f>
        <v/>
      </c>
      <c r="J239" s="9"/>
      <c r="K239" s="10" t="str">
        <f aca="false">IF(AND(A239="",C239="",D239="",E239="",F239="",H239=""),"",IF(NOT(ISNUMBER(A239)),"Enter a date",IF(AND(F239&lt;&gt;"",OR(NOT(ISNUMBER(F239)),N(F239)&lt;0)),"Minutes must be a number of 0 or more",IF(G239="","Enter start and end times, or minutes",IF(C239="","Pick a machine",IF(SUMPRODUCT(--(Setup!$A$5:$A$34=C239))=0,"Machine not in Setup",IF(H239="","Pick a reason (counted as unclassified)",IF(I239="Not in Setup","Reason not in Setup (counted as unclassified)",IF(N(G239)=0,"0 minutes: not counted as a stop","OK")))))))))</f>
        <v/>
      </c>
    </row>
    <row r="240" customFormat="false" ht="15" hidden="false" customHeight="false" outlineLevel="0" collapsed="false">
      <c r="A240" s="11"/>
      <c r="B240" s="9"/>
      <c r="C240" s="9"/>
      <c r="D240" s="12"/>
      <c r="E240" s="12"/>
      <c r="F240" s="13"/>
      <c r="G240" s="14" t="str">
        <f aca="false">IF(F240&lt;&gt;"",IF(AND(ISNUMBER(F240),N(F240)&gt;=0),F240,""),IF(AND(ISNUMBER(D240),ISNUMBER(E240)),ROUND(MOD(E240-D240,1)*1440,0),""))</f>
        <v/>
      </c>
      <c r="H240" s="9"/>
      <c r="I240" s="10" t="str">
        <f aca="false">IF(H240="","",IF(SUMPRODUCT(MAX((Setup!$D$5:$D$34=H240)*(35-ROW(Setup!$D$5:$D$34))))=0,"Not in Setup",INDEX(Setup!$E$5:$E$34,31-SUMPRODUCT(MAX((Setup!$D$5:$D$34=H240)*(35-ROW(Setup!$D$5:$D$34)))))))</f>
        <v/>
      </c>
      <c r="J240" s="9"/>
      <c r="K240" s="10" t="str">
        <f aca="false">IF(AND(A240="",C240="",D240="",E240="",F240="",H240=""),"",IF(NOT(ISNUMBER(A240)),"Enter a date",IF(AND(F240&lt;&gt;"",OR(NOT(ISNUMBER(F240)),N(F240)&lt;0)),"Minutes must be a number of 0 or more",IF(G240="","Enter start and end times, or minutes",IF(C240="","Pick a machine",IF(SUMPRODUCT(--(Setup!$A$5:$A$34=C240))=0,"Machine not in Setup",IF(H240="","Pick a reason (counted as unclassified)",IF(I240="Not in Setup","Reason not in Setup (counted as unclassified)",IF(N(G240)=0,"0 minutes: not counted as a stop","OK")))))))))</f>
        <v/>
      </c>
    </row>
    <row r="241" customFormat="false" ht="15" hidden="false" customHeight="false" outlineLevel="0" collapsed="false">
      <c r="A241" s="11"/>
      <c r="B241" s="9"/>
      <c r="C241" s="9"/>
      <c r="D241" s="12"/>
      <c r="E241" s="12"/>
      <c r="F241" s="13"/>
      <c r="G241" s="14" t="str">
        <f aca="false">IF(F241&lt;&gt;"",IF(AND(ISNUMBER(F241),N(F241)&gt;=0),F241,""),IF(AND(ISNUMBER(D241),ISNUMBER(E241)),ROUND(MOD(E241-D241,1)*1440,0),""))</f>
        <v/>
      </c>
      <c r="H241" s="9"/>
      <c r="I241" s="10" t="str">
        <f aca="false">IF(H241="","",IF(SUMPRODUCT(MAX((Setup!$D$5:$D$34=H241)*(35-ROW(Setup!$D$5:$D$34))))=0,"Not in Setup",INDEX(Setup!$E$5:$E$34,31-SUMPRODUCT(MAX((Setup!$D$5:$D$34=H241)*(35-ROW(Setup!$D$5:$D$34)))))))</f>
        <v/>
      </c>
      <c r="J241" s="9"/>
      <c r="K241" s="10" t="str">
        <f aca="false">IF(AND(A241="",C241="",D241="",E241="",F241="",H241=""),"",IF(NOT(ISNUMBER(A241)),"Enter a date",IF(AND(F241&lt;&gt;"",OR(NOT(ISNUMBER(F241)),N(F241)&lt;0)),"Minutes must be a number of 0 or more",IF(G241="","Enter start and end times, or minutes",IF(C241="","Pick a machine",IF(SUMPRODUCT(--(Setup!$A$5:$A$34=C241))=0,"Machine not in Setup",IF(H241="","Pick a reason (counted as unclassified)",IF(I241="Not in Setup","Reason not in Setup (counted as unclassified)",IF(N(G241)=0,"0 minutes: not counted as a stop","OK")))))))))</f>
        <v/>
      </c>
    </row>
    <row r="242" customFormat="false" ht="15" hidden="false" customHeight="false" outlineLevel="0" collapsed="false">
      <c r="A242" s="11"/>
      <c r="B242" s="9"/>
      <c r="C242" s="9"/>
      <c r="D242" s="12"/>
      <c r="E242" s="12"/>
      <c r="F242" s="13"/>
      <c r="G242" s="14" t="str">
        <f aca="false">IF(F242&lt;&gt;"",IF(AND(ISNUMBER(F242),N(F242)&gt;=0),F242,""),IF(AND(ISNUMBER(D242),ISNUMBER(E242)),ROUND(MOD(E242-D242,1)*1440,0),""))</f>
        <v/>
      </c>
      <c r="H242" s="9"/>
      <c r="I242" s="10" t="str">
        <f aca="false">IF(H242="","",IF(SUMPRODUCT(MAX((Setup!$D$5:$D$34=H242)*(35-ROW(Setup!$D$5:$D$34))))=0,"Not in Setup",INDEX(Setup!$E$5:$E$34,31-SUMPRODUCT(MAX((Setup!$D$5:$D$34=H242)*(35-ROW(Setup!$D$5:$D$34)))))))</f>
        <v/>
      </c>
      <c r="J242" s="9"/>
      <c r="K242" s="10" t="str">
        <f aca="false">IF(AND(A242="",C242="",D242="",E242="",F242="",H242=""),"",IF(NOT(ISNUMBER(A242)),"Enter a date",IF(AND(F242&lt;&gt;"",OR(NOT(ISNUMBER(F242)),N(F242)&lt;0)),"Minutes must be a number of 0 or more",IF(G242="","Enter start and end times, or minutes",IF(C242="","Pick a machine",IF(SUMPRODUCT(--(Setup!$A$5:$A$34=C242))=0,"Machine not in Setup",IF(H242="","Pick a reason (counted as unclassified)",IF(I242="Not in Setup","Reason not in Setup (counted as unclassified)",IF(N(G242)=0,"0 minutes: not counted as a stop","OK")))))))))</f>
        <v/>
      </c>
    </row>
    <row r="243" customFormat="false" ht="15" hidden="false" customHeight="false" outlineLevel="0" collapsed="false">
      <c r="A243" s="11"/>
      <c r="B243" s="9"/>
      <c r="C243" s="9"/>
      <c r="D243" s="12"/>
      <c r="E243" s="12"/>
      <c r="F243" s="13"/>
      <c r="G243" s="14" t="str">
        <f aca="false">IF(F243&lt;&gt;"",IF(AND(ISNUMBER(F243),N(F243)&gt;=0),F243,""),IF(AND(ISNUMBER(D243),ISNUMBER(E243)),ROUND(MOD(E243-D243,1)*1440,0),""))</f>
        <v/>
      </c>
      <c r="H243" s="9"/>
      <c r="I243" s="10" t="str">
        <f aca="false">IF(H243="","",IF(SUMPRODUCT(MAX((Setup!$D$5:$D$34=H243)*(35-ROW(Setup!$D$5:$D$34))))=0,"Not in Setup",INDEX(Setup!$E$5:$E$34,31-SUMPRODUCT(MAX((Setup!$D$5:$D$34=H243)*(35-ROW(Setup!$D$5:$D$34)))))))</f>
        <v/>
      </c>
      <c r="J243" s="9"/>
      <c r="K243" s="10" t="str">
        <f aca="false">IF(AND(A243="",C243="",D243="",E243="",F243="",H243=""),"",IF(NOT(ISNUMBER(A243)),"Enter a date",IF(AND(F243&lt;&gt;"",OR(NOT(ISNUMBER(F243)),N(F243)&lt;0)),"Minutes must be a number of 0 or more",IF(G243="","Enter start and end times, or minutes",IF(C243="","Pick a machine",IF(SUMPRODUCT(--(Setup!$A$5:$A$34=C243))=0,"Machine not in Setup",IF(H243="","Pick a reason (counted as unclassified)",IF(I243="Not in Setup","Reason not in Setup (counted as unclassified)",IF(N(G243)=0,"0 minutes: not counted as a stop","OK")))))))))</f>
        <v/>
      </c>
    </row>
    <row r="244" customFormat="false" ht="15" hidden="false" customHeight="false" outlineLevel="0" collapsed="false">
      <c r="A244" s="11"/>
      <c r="B244" s="9"/>
      <c r="C244" s="9"/>
      <c r="D244" s="12"/>
      <c r="E244" s="12"/>
      <c r="F244" s="13"/>
      <c r="G244" s="14" t="str">
        <f aca="false">IF(F244&lt;&gt;"",IF(AND(ISNUMBER(F244),N(F244)&gt;=0),F244,""),IF(AND(ISNUMBER(D244),ISNUMBER(E244)),ROUND(MOD(E244-D244,1)*1440,0),""))</f>
        <v/>
      </c>
      <c r="H244" s="9"/>
      <c r="I244" s="10" t="str">
        <f aca="false">IF(H244="","",IF(SUMPRODUCT(MAX((Setup!$D$5:$D$34=H244)*(35-ROW(Setup!$D$5:$D$34))))=0,"Not in Setup",INDEX(Setup!$E$5:$E$34,31-SUMPRODUCT(MAX((Setup!$D$5:$D$34=H244)*(35-ROW(Setup!$D$5:$D$34)))))))</f>
        <v/>
      </c>
      <c r="J244" s="9"/>
      <c r="K244" s="10" t="str">
        <f aca="false">IF(AND(A244="",C244="",D244="",E244="",F244="",H244=""),"",IF(NOT(ISNUMBER(A244)),"Enter a date",IF(AND(F244&lt;&gt;"",OR(NOT(ISNUMBER(F244)),N(F244)&lt;0)),"Minutes must be a number of 0 or more",IF(G244="","Enter start and end times, or minutes",IF(C244="","Pick a machine",IF(SUMPRODUCT(--(Setup!$A$5:$A$34=C244))=0,"Machine not in Setup",IF(H244="","Pick a reason (counted as unclassified)",IF(I244="Not in Setup","Reason not in Setup (counted as unclassified)",IF(N(G244)=0,"0 minutes: not counted as a stop","OK")))))))))</f>
        <v/>
      </c>
    </row>
    <row r="245" customFormat="false" ht="15" hidden="false" customHeight="false" outlineLevel="0" collapsed="false">
      <c r="A245" s="11"/>
      <c r="B245" s="9"/>
      <c r="C245" s="9"/>
      <c r="D245" s="12"/>
      <c r="E245" s="12"/>
      <c r="F245" s="13"/>
      <c r="G245" s="14" t="str">
        <f aca="false">IF(F245&lt;&gt;"",IF(AND(ISNUMBER(F245),N(F245)&gt;=0),F245,""),IF(AND(ISNUMBER(D245),ISNUMBER(E245)),ROUND(MOD(E245-D245,1)*1440,0),""))</f>
        <v/>
      </c>
      <c r="H245" s="9"/>
      <c r="I245" s="10" t="str">
        <f aca="false">IF(H245="","",IF(SUMPRODUCT(MAX((Setup!$D$5:$D$34=H245)*(35-ROW(Setup!$D$5:$D$34))))=0,"Not in Setup",INDEX(Setup!$E$5:$E$34,31-SUMPRODUCT(MAX((Setup!$D$5:$D$34=H245)*(35-ROW(Setup!$D$5:$D$34)))))))</f>
        <v/>
      </c>
      <c r="J245" s="9"/>
      <c r="K245" s="10" t="str">
        <f aca="false">IF(AND(A245="",C245="",D245="",E245="",F245="",H245=""),"",IF(NOT(ISNUMBER(A245)),"Enter a date",IF(AND(F245&lt;&gt;"",OR(NOT(ISNUMBER(F245)),N(F245)&lt;0)),"Minutes must be a number of 0 or more",IF(G245="","Enter start and end times, or minutes",IF(C245="","Pick a machine",IF(SUMPRODUCT(--(Setup!$A$5:$A$34=C245))=0,"Machine not in Setup",IF(H245="","Pick a reason (counted as unclassified)",IF(I245="Not in Setup","Reason not in Setup (counted as unclassified)",IF(N(G245)=0,"0 minutes: not counted as a stop","OK")))))))))</f>
        <v/>
      </c>
    </row>
    <row r="246" customFormat="false" ht="15" hidden="false" customHeight="false" outlineLevel="0" collapsed="false">
      <c r="A246" s="11"/>
      <c r="B246" s="9"/>
      <c r="C246" s="9"/>
      <c r="D246" s="12"/>
      <c r="E246" s="12"/>
      <c r="F246" s="13"/>
      <c r="G246" s="14" t="str">
        <f aca="false">IF(F246&lt;&gt;"",IF(AND(ISNUMBER(F246),N(F246)&gt;=0),F246,""),IF(AND(ISNUMBER(D246),ISNUMBER(E246)),ROUND(MOD(E246-D246,1)*1440,0),""))</f>
        <v/>
      </c>
      <c r="H246" s="9"/>
      <c r="I246" s="10" t="str">
        <f aca="false">IF(H246="","",IF(SUMPRODUCT(MAX((Setup!$D$5:$D$34=H246)*(35-ROW(Setup!$D$5:$D$34))))=0,"Not in Setup",INDEX(Setup!$E$5:$E$34,31-SUMPRODUCT(MAX((Setup!$D$5:$D$34=H246)*(35-ROW(Setup!$D$5:$D$34)))))))</f>
        <v/>
      </c>
      <c r="J246" s="9"/>
      <c r="K246" s="10" t="str">
        <f aca="false">IF(AND(A246="",C246="",D246="",E246="",F246="",H246=""),"",IF(NOT(ISNUMBER(A246)),"Enter a date",IF(AND(F246&lt;&gt;"",OR(NOT(ISNUMBER(F246)),N(F246)&lt;0)),"Minutes must be a number of 0 or more",IF(G246="","Enter start and end times, or minutes",IF(C246="","Pick a machine",IF(SUMPRODUCT(--(Setup!$A$5:$A$34=C246))=0,"Machine not in Setup",IF(H246="","Pick a reason (counted as unclassified)",IF(I246="Not in Setup","Reason not in Setup (counted as unclassified)",IF(N(G246)=0,"0 minutes: not counted as a stop","OK")))))))))</f>
        <v/>
      </c>
    </row>
    <row r="247" customFormat="false" ht="15" hidden="false" customHeight="false" outlineLevel="0" collapsed="false">
      <c r="A247" s="11"/>
      <c r="B247" s="9"/>
      <c r="C247" s="9"/>
      <c r="D247" s="12"/>
      <c r="E247" s="12"/>
      <c r="F247" s="13"/>
      <c r="G247" s="14" t="str">
        <f aca="false">IF(F247&lt;&gt;"",IF(AND(ISNUMBER(F247),N(F247)&gt;=0),F247,""),IF(AND(ISNUMBER(D247),ISNUMBER(E247)),ROUND(MOD(E247-D247,1)*1440,0),""))</f>
        <v/>
      </c>
      <c r="H247" s="9"/>
      <c r="I247" s="10" t="str">
        <f aca="false">IF(H247="","",IF(SUMPRODUCT(MAX((Setup!$D$5:$D$34=H247)*(35-ROW(Setup!$D$5:$D$34))))=0,"Not in Setup",INDEX(Setup!$E$5:$E$34,31-SUMPRODUCT(MAX((Setup!$D$5:$D$34=H247)*(35-ROW(Setup!$D$5:$D$34)))))))</f>
        <v/>
      </c>
      <c r="J247" s="9"/>
      <c r="K247" s="10" t="str">
        <f aca="false">IF(AND(A247="",C247="",D247="",E247="",F247="",H247=""),"",IF(NOT(ISNUMBER(A247)),"Enter a date",IF(AND(F247&lt;&gt;"",OR(NOT(ISNUMBER(F247)),N(F247)&lt;0)),"Minutes must be a number of 0 or more",IF(G247="","Enter start and end times, or minutes",IF(C247="","Pick a machine",IF(SUMPRODUCT(--(Setup!$A$5:$A$34=C247))=0,"Machine not in Setup",IF(H247="","Pick a reason (counted as unclassified)",IF(I247="Not in Setup","Reason not in Setup (counted as unclassified)",IF(N(G247)=0,"0 minutes: not counted as a stop","OK")))))))))</f>
        <v/>
      </c>
    </row>
    <row r="248" customFormat="false" ht="15" hidden="false" customHeight="false" outlineLevel="0" collapsed="false">
      <c r="A248" s="11"/>
      <c r="B248" s="9"/>
      <c r="C248" s="9"/>
      <c r="D248" s="12"/>
      <c r="E248" s="12"/>
      <c r="F248" s="13"/>
      <c r="G248" s="14" t="str">
        <f aca="false">IF(F248&lt;&gt;"",IF(AND(ISNUMBER(F248),N(F248)&gt;=0),F248,""),IF(AND(ISNUMBER(D248),ISNUMBER(E248)),ROUND(MOD(E248-D248,1)*1440,0),""))</f>
        <v/>
      </c>
      <c r="H248" s="9"/>
      <c r="I248" s="10" t="str">
        <f aca="false">IF(H248="","",IF(SUMPRODUCT(MAX((Setup!$D$5:$D$34=H248)*(35-ROW(Setup!$D$5:$D$34))))=0,"Not in Setup",INDEX(Setup!$E$5:$E$34,31-SUMPRODUCT(MAX((Setup!$D$5:$D$34=H248)*(35-ROW(Setup!$D$5:$D$34)))))))</f>
        <v/>
      </c>
      <c r="J248" s="9"/>
      <c r="K248" s="10" t="str">
        <f aca="false">IF(AND(A248="",C248="",D248="",E248="",F248="",H248=""),"",IF(NOT(ISNUMBER(A248)),"Enter a date",IF(AND(F248&lt;&gt;"",OR(NOT(ISNUMBER(F248)),N(F248)&lt;0)),"Minutes must be a number of 0 or more",IF(G248="","Enter start and end times, or minutes",IF(C248="","Pick a machine",IF(SUMPRODUCT(--(Setup!$A$5:$A$34=C248))=0,"Machine not in Setup",IF(H248="","Pick a reason (counted as unclassified)",IF(I248="Not in Setup","Reason not in Setup (counted as unclassified)",IF(N(G248)=0,"0 minutes: not counted as a stop","OK")))))))))</f>
        <v/>
      </c>
    </row>
    <row r="249" customFormat="false" ht="15" hidden="false" customHeight="false" outlineLevel="0" collapsed="false">
      <c r="A249" s="11"/>
      <c r="B249" s="9"/>
      <c r="C249" s="9"/>
      <c r="D249" s="12"/>
      <c r="E249" s="12"/>
      <c r="F249" s="13"/>
      <c r="G249" s="14" t="str">
        <f aca="false">IF(F249&lt;&gt;"",IF(AND(ISNUMBER(F249),N(F249)&gt;=0),F249,""),IF(AND(ISNUMBER(D249),ISNUMBER(E249)),ROUND(MOD(E249-D249,1)*1440,0),""))</f>
        <v/>
      </c>
      <c r="H249" s="9"/>
      <c r="I249" s="10" t="str">
        <f aca="false">IF(H249="","",IF(SUMPRODUCT(MAX((Setup!$D$5:$D$34=H249)*(35-ROW(Setup!$D$5:$D$34))))=0,"Not in Setup",INDEX(Setup!$E$5:$E$34,31-SUMPRODUCT(MAX((Setup!$D$5:$D$34=H249)*(35-ROW(Setup!$D$5:$D$34)))))))</f>
        <v/>
      </c>
      <c r="J249" s="9"/>
      <c r="K249" s="10" t="str">
        <f aca="false">IF(AND(A249="",C249="",D249="",E249="",F249="",H249=""),"",IF(NOT(ISNUMBER(A249)),"Enter a date",IF(AND(F249&lt;&gt;"",OR(NOT(ISNUMBER(F249)),N(F249)&lt;0)),"Minutes must be a number of 0 or more",IF(G249="","Enter start and end times, or minutes",IF(C249="","Pick a machine",IF(SUMPRODUCT(--(Setup!$A$5:$A$34=C249))=0,"Machine not in Setup",IF(H249="","Pick a reason (counted as unclassified)",IF(I249="Not in Setup","Reason not in Setup (counted as unclassified)",IF(N(G249)=0,"0 minutes: not counted as a stop","OK")))))))))</f>
        <v/>
      </c>
    </row>
    <row r="250" customFormat="false" ht="15" hidden="false" customHeight="false" outlineLevel="0" collapsed="false">
      <c r="A250" s="11"/>
      <c r="B250" s="9"/>
      <c r="C250" s="9"/>
      <c r="D250" s="12"/>
      <c r="E250" s="12"/>
      <c r="F250" s="13"/>
      <c r="G250" s="14" t="str">
        <f aca="false">IF(F250&lt;&gt;"",IF(AND(ISNUMBER(F250),N(F250)&gt;=0),F250,""),IF(AND(ISNUMBER(D250),ISNUMBER(E250)),ROUND(MOD(E250-D250,1)*1440,0),""))</f>
        <v/>
      </c>
      <c r="H250" s="9"/>
      <c r="I250" s="10" t="str">
        <f aca="false">IF(H250="","",IF(SUMPRODUCT(MAX((Setup!$D$5:$D$34=H250)*(35-ROW(Setup!$D$5:$D$34))))=0,"Not in Setup",INDEX(Setup!$E$5:$E$34,31-SUMPRODUCT(MAX((Setup!$D$5:$D$34=H250)*(35-ROW(Setup!$D$5:$D$34)))))))</f>
        <v/>
      </c>
      <c r="J250" s="9"/>
      <c r="K250" s="10" t="str">
        <f aca="false">IF(AND(A250="",C250="",D250="",E250="",F250="",H250=""),"",IF(NOT(ISNUMBER(A250)),"Enter a date",IF(AND(F250&lt;&gt;"",OR(NOT(ISNUMBER(F250)),N(F250)&lt;0)),"Minutes must be a number of 0 or more",IF(G250="","Enter start and end times, or minutes",IF(C250="","Pick a machine",IF(SUMPRODUCT(--(Setup!$A$5:$A$34=C250))=0,"Machine not in Setup",IF(H250="","Pick a reason (counted as unclassified)",IF(I250="Not in Setup","Reason not in Setup (counted as unclassified)",IF(N(G250)=0,"0 minutes: not counted as a stop","OK")))))))))</f>
        <v/>
      </c>
    </row>
    <row r="251" customFormat="false" ht="15" hidden="false" customHeight="false" outlineLevel="0" collapsed="false">
      <c r="A251" s="11"/>
      <c r="B251" s="9"/>
      <c r="C251" s="9"/>
      <c r="D251" s="12"/>
      <c r="E251" s="12"/>
      <c r="F251" s="13"/>
      <c r="G251" s="14" t="str">
        <f aca="false">IF(F251&lt;&gt;"",IF(AND(ISNUMBER(F251),N(F251)&gt;=0),F251,""),IF(AND(ISNUMBER(D251),ISNUMBER(E251)),ROUND(MOD(E251-D251,1)*1440,0),""))</f>
        <v/>
      </c>
      <c r="H251" s="9"/>
      <c r="I251" s="10" t="str">
        <f aca="false">IF(H251="","",IF(SUMPRODUCT(MAX((Setup!$D$5:$D$34=H251)*(35-ROW(Setup!$D$5:$D$34))))=0,"Not in Setup",INDEX(Setup!$E$5:$E$34,31-SUMPRODUCT(MAX((Setup!$D$5:$D$34=H251)*(35-ROW(Setup!$D$5:$D$34)))))))</f>
        <v/>
      </c>
      <c r="J251" s="9"/>
      <c r="K251" s="10" t="str">
        <f aca="false">IF(AND(A251="",C251="",D251="",E251="",F251="",H251=""),"",IF(NOT(ISNUMBER(A251)),"Enter a date",IF(AND(F251&lt;&gt;"",OR(NOT(ISNUMBER(F251)),N(F251)&lt;0)),"Minutes must be a number of 0 or more",IF(G251="","Enter start and end times, or minutes",IF(C251="","Pick a machine",IF(SUMPRODUCT(--(Setup!$A$5:$A$34=C251))=0,"Machine not in Setup",IF(H251="","Pick a reason (counted as unclassified)",IF(I251="Not in Setup","Reason not in Setup (counted as unclassified)",IF(N(G251)=0,"0 minutes: not counted as a stop","OK")))))))))</f>
        <v/>
      </c>
    </row>
    <row r="252" customFormat="false" ht="15" hidden="false" customHeight="false" outlineLevel="0" collapsed="false">
      <c r="A252" s="11"/>
      <c r="B252" s="9"/>
      <c r="C252" s="9"/>
      <c r="D252" s="12"/>
      <c r="E252" s="12"/>
      <c r="F252" s="13"/>
      <c r="G252" s="14" t="str">
        <f aca="false">IF(F252&lt;&gt;"",IF(AND(ISNUMBER(F252),N(F252)&gt;=0),F252,""),IF(AND(ISNUMBER(D252),ISNUMBER(E252)),ROUND(MOD(E252-D252,1)*1440,0),""))</f>
        <v/>
      </c>
      <c r="H252" s="9"/>
      <c r="I252" s="10" t="str">
        <f aca="false">IF(H252="","",IF(SUMPRODUCT(MAX((Setup!$D$5:$D$34=H252)*(35-ROW(Setup!$D$5:$D$34))))=0,"Not in Setup",INDEX(Setup!$E$5:$E$34,31-SUMPRODUCT(MAX((Setup!$D$5:$D$34=H252)*(35-ROW(Setup!$D$5:$D$34)))))))</f>
        <v/>
      </c>
      <c r="J252" s="9"/>
      <c r="K252" s="10" t="str">
        <f aca="false">IF(AND(A252="",C252="",D252="",E252="",F252="",H252=""),"",IF(NOT(ISNUMBER(A252)),"Enter a date",IF(AND(F252&lt;&gt;"",OR(NOT(ISNUMBER(F252)),N(F252)&lt;0)),"Minutes must be a number of 0 or more",IF(G252="","Enter start and end times, or minutes",IF(C252="","Pick a machine",IF(SUMPRODUCT(--(Setup!$A$5:$A$34=C252))=0,"Machine not in Setup",IF(H252="","Pick a reason (counted as unclassified)",IF(I252="Not in Setup","Reason not in Setup (counted as unclassified)",IF(N(G252)=0,"0 minutes: not counted as a stop","OK")))))))))</f>
        <v/>
      </c>
    </row>
    <row r="253" customFormat="false" ht="15" hidden="false" customHeight="false" outlineLevel="0" collapsed="false">
      <c r="A253" s="11"/>
      <c r="B253" s="9"/>
      <c r="C253" s="9"/>
      <c r="D253" s="12"/>
      <c r="E253" s="12"/>
      <c r="F253" s="13"/>
      <c r="G253" s="14" t="str">
        <f aca="false">IF(F253&lt;&gt;"",IF(AND(ISNUMBER(F253),N(F253)&gt;=0),F253,""),IF(AND(ISNUMBER(D253),ISNUMBER(E253)),ROUND(MOD(E253-D253,1)*1440,0),""))</f>
        <v/>
      </c>
      <c r="H253" s="9"/>
      <c r="I253" s="10" t="str">
        <f aca="false">IF(H253="","",IF(SUMPRODUCT(MAX((Setup!$D$5:$D$34=H253)*(35-ROW(Setup!$D$5:$D$34))))=0,"Not in Setup",INDEX(Setup!$E$5:$E$34,31-SUMPRODUCT(MAX((Setup!$D$5:$D$34=H253)*(35-ROW(Setup!$D$5:$D$34)))))))</f>
        <v/>
      </c>
      <c r="J253" s="9"/>
      <c r="K253" s="10" t="str">
        <f aca="false">IF(AND(A253="",C253="",D253="",E253="",F253="",H253=""),"",IF(NOT(ISNUMBER(A253)),"Enter a date",IF(AND(F253&lt;&gt;"",OR(NOT(ISNUMBER(F253)),N(F253)&lt;0)),"Minutes must be a number of 0 or more",IF(G253="","Enter start and end times, or minutes",IF(C253="","Pick a machine",IF(SUMPRODUCT(--(Setup!$A$5:$A$34=C253))=0,"Machine not in Setup",IF(H253="","Pick a reason (counted as unclassified)",IF(I253="Not in Setup","Reason not in Setup (counted as unclassified)",IF(N(G253)=0,"0 minutes: not counted as a stop","OK")))))))))</f>
        <v/>
      </c>
    </row>
    <row r="254" customFormat="false" ht="15" hidden="false" customHeight="false" outlineLevel="0" collapsed="false">
      <c r="A254" s="11"/>
      <c r="B254" s="9"/>
      <c r="C254" s="9"/>
      <c r="D254" s="12"/>
      <c r="E254" s="12"/>
      <c r="F254" s="13"/>
      <c r="G254" s="14" t="str">
        <f aca="false">IF(F254&lt;&gt;"",IF(AND(ISNUMBER(F254),N(F254)&gt;=0),F254,""),IF(AND(ISNUMBER(D254),ISNUMBER(E254)),ROUND(MOD(E254-D254,1)*1440,0),""))</f>
        <v/>
      </c>
      <c r="H254" s="9"/>
      <c r="I254" s="10" t="str">
        <f aca="false">IF(H254="","",IF(SUMPRODUCT(MAX((Setup!$D$5:$D$34=H254)*(35-ROW(Setup!$D$5:$D$34))))=0,"Not in Setup",INDEX(Setup!$E$5:$E$34,31-SUMPRODUCT(MAX((Setup!$D$5:$D$34=H254)*(35-ROW(Setup!$D$5:$D$34)))))))</f>
        <v/>
      </c>
      <c r="J254" s="9"/>
      <c r="K254" s="10" t="str">
        <f aca="false">IF(AND(A254="",C254="",D254="",E254="",F254="",H254=""),"",IF(NOT(ISNUMBER(A254)),"Enter a date",IF(AND(F254&lt;&gt;"",OR(NOT(ISNUMBER(F254)),N(F254)&lt;0)),"Minutes must be a number of 0 or more",IF(G254="","Enter start and end times, or minutes",IF(C254="","Pick a machine",IF(SUMPRODUCT(--(Setup!$A$5:$A$34=C254))=0,"Machine not in Setup",IF(H254="","Pick a reason (counted as unclassified)",IF(I254="Not in Setup","Reason not in Setup (counted as unclassified)",IF(N(G254)=0,"0 minutes: not counted as a stop","OK")))))))))</f>
        <v/>
      </c>
    </row>
    <row r="255" customFormat="false" ht="15" hidden="false" customHeight="false" outlineLevel="0" collapsed="false">
      <c r="A255" s="11"/>
      <c r="B255" s="9"/>
      <c r="C255" s="9"/>
      <c r="D255" s="12"/>
      <c r="E255" s="12"/>
      <c r="F255" s="13"/>
      <c r="G255" s="14" t="str">
        <f aca="false">IF(F255&lt;&gt;"",IF(AND(ISNUMBER(F255),N(F255)&gt;=0),F255,""),IF(AND(ISNUMBER(D255),ISNUMBER(E255)),ROUND(MOD(E255-D255,1)*1440,0),""))</f>
        <v/>
      </c>
      <c r="H255" s="9"/>
      <c r="I255" s="10" t="str">
        <f aca="false">IF(H255="","",IF(SUMPRODUCT(MAX((Setup!$D$5:$D$34=H255)*(35-ROW(Setup!$D$5:$D$34))))=0,"Not in Setup",INDEX(Setup!$E$5:$E$34,31-SUMPRODUCT(MAX((Setup!$D$5:$D$34=H255)*(35-ROW(Setup!$D$5:$D$34)))))))</f>
        <v/>
      </c>
      <c r="J255" s="9"/>
      <c r="K255" s="10" t="str">
        <f aca="false">IF(AND(A255="",C255="",D255="",E255="",F255="",H255=""),"",IF(NOT(ISNUMBER(A255)),"Enter a date",IF(AND(F255&lt;&gt;"",OR(NOT(ISNUMBER(F255)),N(F255)&lt;0)),"Minutes must be a number of 0 or more",IF(G255="","Enter start and end times, or minutes",IF(C255="","Pick a machine",IF(SUMPRODUCT(--(Setup!$A$5:$A$34=C255))=0,"Machine not in Setup",IF(H255="","Pick a reason (counted as unclassified)",IF(I255="Not in Setup","Reason not in Setup (counted as unclassified)",IF(N(G255)=0,"0 minutes: not counted as a stop","OK")))))))))</f>
        <v/>
      </c>
    </row>
    <row r="256" customFormat="false" ht="15" hidden="false" customHeight="false" outlineLevel="0" collapsed="false">
      <c r="A256" s="11"/>
      <c r="B256" s="9"/>
      <c r="C256" s="9"/>
      <c r="D256" s="12"/>
      <c r="E256" s="12"/>
      <c r="F256" s="13"/>
      <c r="G256" s="14" t="str">
        <f aca="false">IF(F256&lt;&gt;"",IF(AND(ISNUMBER(F256),N(F256)&gt;=0),F256,""),IF(AND(ISNUMBER(D256),ISNUMBER(E256)),ROUND(MOD(E256-D256,1)*1440,0),""))</f>
        <v/>
      </c>
      <c r="H256" s="9"/>
      <c r="I256" s="10" t="str">
        <f aca="false">IF(H256="","",IF(SUMPRODUCT(MAX((Setup!$D$5:$D$34=H256)*(35-ROW(Setup!$D$5:$D$34))))=0,"Not in Setup",INDEX(Setup!$E$5:$E$34,31-SUMPRODUCT(MAX((Setup!$D$5:$D$34=H256)*(35-ROW(Setup!$D$5:$D$34)))))))</f>
        <v/>
      </c>
      <c r="J256" s="9"/>
      <c r="K256" s="10" t="str">
        <f aca="false">IF(AND(A256="",C256="",D256="",E256="",F256="",H256=""),"",IF(NOT(ISNUMBER(A256)),"Enter a date",IF(AND(F256&lt;&gt;"",OR(NOT(ISNUMBER(F256)),N(F256)&lt;0)),"Minutes must be a number of 0 or more",IF(G256="","Enter start and end times, or minutes",IF(C256="","Pick a machine",IF(SUMPRODUCT(--(Setup!$A$5:$A$34=C256))=0,"Machine not in Setup",IF(H256="","Pick a reason (counted as unclassified)",IF(I256="Not in Setup","Reason not in Setup (counted as unclassified)",IF(N(G256)=0,"0 minutes: not counted as a stop","OK")))))))))</f>
        <v/>
      </c>
    </row>
    <row r="257" customFormat="false" ht="15" hidden="false" customHeight="false" outlineLevel="0" collapsed="false">
      <c r="A257" s="11"/>
      <c r="B257" s="9"/>
      <c r="C257" s="9"/>
      <c r="D257" s="12"/>
      <c r="E257" s="12"/>
      <c r="F257" s="13"/>
      <c r="G257" s="14" t="str">
        <f aca="false">IF(F257&lt;&gt;"",IF(AND(ISNUMBER(F257),N(F257)&gt;=0),F257,""),IF(AND(ISNUMBER(D257),ISNUMBER(E257)),ROUND(MOD(E257-D257,1)*1440,0),""))</f>
        <v/>
      </c>
      <c r="H257" s="9"/>
      <c r="I257" s="10" t="str">
        <f aca="false">IF(H257="","",IF(SUMPRODUCT(MAX((Setup!$D$5:$D$34=H257)*(35-ROW(Setup!$D$5:$D$34))))=0,"Not in Setup",INDEX(Setup!$E$5:$E$34,31-SUMPRODUCT(MAX((Setup!$D$5:$D$34=H257)*(35-ROW(Setup!$D$5:$D$34)))))))</f>
        <v/>
      </c>
      <c r="J257" s="9"/>
      <c r="K257" s="10" t="str">
        <f aca="false">IF(AND(A257="",C257="",D257="",E257="",F257="",H257=""),"",IF(NOT(ISNUMBER(A257)),"Enter a date",IF(AND(F257&lt;&gt;"",OR(NOT(ISNUMBER(F257)),N(F257)&lt;0)),"Minutes must be a number of 0 or more",IF(G257="","Enter start and end times, or minutes",IF(C257="","Pick a machine",IF(SUMPRODUCT(--(Setup!$A$5:$A$34=C257))=0,"Machine not in Setup",IF(H257="","Pick a reason (counted as unclassified)",IF(I257="Not in Setup","Reason not in Setup (counted as unclassified)",IF(N(G257)=0,"0 minutes: not counted as a stop","OK")))))))))</f>
        <v/>
      </c>
    </row>
    <row r="258" customFormat="false" ht="15" hidden="false" customHeight="false" outlineLevel="0" collapsed="false">
      <c r="A258" s="11"/>
      <c r="B258" s="9"/>
      <c r="C258" s="9"/>
      <c r="D258" s="12"/>
      <c r="E258" s="12"/>
      <c r="F258" s="13"/>
      <c r="G258" s="14" t="str">
        <f aca="false">IF(F258&lt;&gt;"",IF(AND(ISNUMBER(F258),N(F258)&gt;=0),F258,""),IF(AND(ISNUMBER(D258),ISNUMBER(E258)),ROUND(MOD(E258-D258,1)*1440,0),""))</f>
        <v/>
      </c>
      <c r="H258" s="9"/>
      <c r="I258" s="10" t="str">
        <f aca="false">IF(H258="","",IF(SUMPRODUCT(MAX((Setup!$D$5:$D$34=H258)*(35-ROW(Setup!$D$5:$D$34))))=0,"Not in Setup",INDEX(Setup!$E$5:$E$34,31-SUMPRODUCT(MAX((Setup!$D$5:$D$34=H258)*(35-ROW(Setup!$D$5:$D$34)))))))</f>
        <v/>
      </c>
      <c r="J258" s="9"/>
      <c r="K258" s="10" t="str">
        <f aca="false">IF(AND(A258="",C258="",D258="",E258="",F258="",H258=""),"",IF(NOT(ISNUMBER(A258)),"Enter a date",IF(AND(F258&lt;&gt;"",OR(NOT(ISNUMBER(F258)),N(F258)&lt;0)),"Minutes must be a number of 0 or more",IF(G258="","Enter start and end times, or minutes",IF(C258="","Pick a machine",IF(SUMPRODUCT(--(Setup!$A$5:$A$34=C258))=0,"Machine not in Setup",IF(H258="","Pick a reason (counted as unclassified)",IF(I258="Not in Setup","Reason not in Setup (counted as unclassified)",IF(N(G258)=0,"0 minutes: not counted as a stop","OK")))))))))</f>
        <v/>
      </c>
    </row>
    <row r="259" customFormat="false" ht="15" hidden="false" customHeight="false" outlineLevel="0" collapsed="false">
      <c r="A259" s="11"/>
      <c r="B259" s="9"/>
      <c r="C259" s="9"/>
      <c r="D259" s="12"/>
      <c r="E259" s="12"/>
      <c r="F259" s="13"/>
      <c r="G259" s="14" t="str">
        <f aca="false">IF(F259&lt;&gt;"",IF(AND(ISNUMBER(F259),N(F259)&gt;=0),F259,""),IF(AND(ISNUMBER(D259),ISNUMBER(E259)),ROUND(MOD(E259-D259,1)*1440,0),""))</f>
        <v/>
      </c>
      <c r="H259" s="9"/>
      <c r="I259" s="10" t="str">
        <f aca="false">IF(H259="","",IF(SUMPRODUCT(MAX((Setup!$D$5:$D$34=H259)*(35-ROW(Setup!$D$5:$D$34))))=0,"Not in Setup",INDEX(Setup!$E$5:$E$34,31-SUMPRODUCT(MAX((Setup!$D$5:$D$34=H259)*(35-ROW(Setup!$D$5:$D$34)))))))</f>
        <v/>
      </c>
      <c r="J259" s="9"/>
      <c r="K259" s="10" t="str">
        <f aca="false">IF(AND(A259="",C259="",D259="",E259="",F259="",H259=""),"",IF(NOT(ISNUMBER(A259)),"Enter a date",IF(AND(F259&lt;&gt;"",OR(NOT(ISNUMBER(F259)),N(F259)&lt;0)),"Minutes must be a number of 0 or more",IF(G259="","Enter start and end times, or minutes",IF(C259="","Pick a machine",IF(SUMPRODUCT(--(Setup!$A$5:$A$34=C259))=0,"Machine not in Setup",IF(H259="","Pick a reason (counted as unclassified)",IF(I259="Not in Setup","Reason not in Setup (counted as unclassified)",IF(N(G259)=0,"0 minutes: not counted as a stop","OK")))))))))</f>
        <v/>
      </c>
    </row>
    <row r="260" customFormat="false" ht="15" hidden="false" customHeight="false" outlineLevel="0" collapsed="false">
      <c r="A260" s="11"/>
      <c r="B260" s="9"/>
      <c r="C260" s="9"/>
      <c r="D260" s="12"/>
      <c r="E260" s="12"/>
      <c r="F260" s="13"/>
      <c r="G260" s="14" t="str">
        <f aca="false">IF(F260&lt;&gt;"",IF(AND(ISNUMBER(F260),N(F260)&gt;=0),F260,""),IF(AND(ISNUMBER(D260),ISNUMBER(E260)),ROUND(MOD(E260-D260,1)*1440,0),""))</f>
        <v/>
      </c>
      <c r="H260" s="9"/>
      <c r="I260" s="10" t="str">
        <f aca="false">IF(H260="","",IF(SUMPRODUCT(MAX((Setup!$D$5:$D$34=H260)*(35-ROW(Setup!$D$5:$D$34))))=0,"Not in Setup",INDEX(Setup!$E$5:$E$34,31-SUMPRODUCT(MAX((Setup!$D$5:$D$34=H260)*(35-ROW(Setup!$D$5:$D$34)))))))</f>
        <v/>
      </c>
      <c r="J260" s="9"/>
      <c r="K260" s="10" t="str">
        <f aca="false">IF(AND(A260="",C260="",D260="",E260="",F260="",H260=""),"",IF(NOT(ISNUMBER(A260)),"Enter a date",IF(AND(F260&lt;&gt;"",OR(NOT(ISNUMBER(F260)),N(F260)&lt;0)),"Minutes must be a number of 0 or more",IF(G260="","Enter start and end times, or minutes",IF(C260="","Pick a machine",IF(SUMPRODUCT(--(Setup!$A$5:$A$34=C260))=0,"Machine not in Setup",IF(H260="","Pick a reason (counted as unclassified)",IF(I260="Not in Setup","Reason not in Setup (counted as unclassified)",IF(N(G260)=0,"0 minutes: not counted as a stop","OK")))))))))</f>
        <v/>
      </c>
    </row>
    <row r="261" customFormat="false" ht="15" hidden="false" customHeight="false" outlineLevel="0" collapsed="false">
      <c r="A261" s="11"/>
      <c r="B261" s="9"/>
      <c r="C261" s="9"/>
      <c r="D261" s="12"/>
      <c r="E261" s="12"/>
      <c r="F261" s="13"/>
      <c r="G261" s="14" t="str">
        <f aca="false">IF(F261&lt;&gt;"",IF(AND(ISNUMBER(F261),N(F261)&gt;=0),F261,""),IF(AND(ISNUMBER(D261),ISNUMBER(E261)),ROUND(MOD(E261-D261,1)*1440,0),""))</f>
        <v/>
      </c>
      <c r="H261" s="9"/>
      <c r="I261" s="10" t="str">
        <f aca="false">IF(H261="","",IF(SUMPRODUCT(MAX((Setup!$D$5:$D$34=H261)*(35-ROW(Setup!$D$5:$D$34))))=0,"Not in Setup",INDEX(Setup!$E$5:$E$34,31-SUMPRODUCT(MAX((Setup!$D$5:$D$34=H261)*(35-ROW(Setup!$D$5:$D$34)))))))</f>
        <v/>
      </c>
      <c r="J261" s="9"/>
      <c r="K261" s="10" t="str">
        <f aca="false">IF(AND(A261="",C261="",D261="",E261="",F261="",H261=""),"",IF(NOT(ISNUMBER(A261)),"Enter a date",IF(AND(F261&lt;&gt;"",OR(NOT(ISNUMBER(F261)),N(F261)&lt;0)),"Minutes must be a number of 0 or more",IF(G261="","Enter start and end times, or minutes",IF(C261="","Pick a machine",IF(SUMPRODUCT(--(Setup!$A$5:$A$34=C261))=0,"Machine not in Setup",IF(H261="","Pick a reason (counted as unclassified)",IF(I261="Not in Setup","Reason not in Setup (counted as unclassified)",IF(N(G261)=0,"0 minutes: not counted as a stop","OK")))))))))</f>
        <v/>
      </c>
    </row>
    <row r="262" customFormat="false" ht="15" hidden="false" customHeight="false" outlineLevel="0" collapsed="false">
      <c r="A262" s="11"/>
      <c r="B262" s="9"/>
      <c r="C262" s="9"/>
      <c r="D262" s="12"/>
      <c r="E262" s="12"/>
      <c r="F262" s="13"/>
      <c r="G262" s="14" t="str">
        <f aca="false">IF(F262&lt;&gt;"",IF(AND(ISNUMBER(F262),N(F262)&gt;=0),F262,""),IF(AND(ISNUMBER(D262),ISNUMBER(E262)),ROUND(MOD(E262-D262,1)*1440,0),""))</f>
        <v/>
      </c>
      <c r="H262" s="9"/>
      <c r="I262" s="10" t="str">
        <f aca="false">IF(H262="","",IF(SUMPRODUCT(MAX((Setup!$D$5:$D$34=H262)*(35-ROW(Setup!$D$5:$D$34))))=0,"Not in Setup",INDEX(Setup!$E$5:$E$34,31-SUMPRODUCT(MAX((Setup!$D$5:$D$34=H262)*(35-ROW(Setup!$D$5:$D$34)))))))</f>
        <v/>
      </c>
      <c r="J262" s="9"/>
      <c r="K262" s="10" t="str">
        <f aca="false">IF(AND(A262="",C262="",D262="",E262="",F262="",H262=""),"",IF(NOT(ISNUMBER(A262)),"Enter a date",IF(AND(F262&lt;&gt;"",OR(NOT(ISNUMBER(F262)),N(F262)&lt;0)),"Minutes must be a number of 0 or more",IF(G262="","Enter start and end times, or minutes",IF(C262="","Pick a machine",IF(SUMPRODUCT(--(Setup!$A$5:$A$34=C262))=0,"Machine not in Setup",IF(H262="","Pick a reason (counted as unclassified)",IF(I262="Not in Setup","Reason not in Setup (counted as unclassified)",IF(N(G262)=0,"0 minutes: not counted as a stop","OK")))))))))</f>
        <v/>
      </c>
    </row>
    <row r="263" customFormat="false" ht="15" hidden="false" customHeight="false" outlineLevel="0" collapsed="false">
      <c r="A263" s="11"/>
      <c r="B263" s="9"/>
      <c r="C263" s="9"/>
      <c r="D263" s="12"/>
      <c r="E263" s="12"/>
      <c r="F263" s="13"/>
      <c r="G263" s="14" t="str">
        <f aca="false">IF(F263&lt;&gt;"",IF(AND(ISNUMBER(F263),N(F263)&gt;=0),F263,""),IF(AND(ISNUMBER(D263),ISNUMBER(E263)),ROUND(MOD(E263-D263,1)*1440,0),""))</f>
        <v/>
      </c>
      <c r="H263" s="9"/>
      <c r="I263" s="10" t="str">
        <f aca="false">IF(H263="","",IF(SUMPRODUCT(MAX((Setup!$D$5:$D$34=H263)*(35-ROW(Setup!$D$5:$D$34))))=0,"Not in Setup",INDEX(Setup!$E$5:$E$34,31-SUMPRODUCT(MAX((Setup!$D$5:$D$34=H263)*(35-ROW(Setup!$D$5:$D$34)))))))</f>
        <v/>
      </c>
      <c r="J263" s="9"/>
      <c r="K263" s="10" t="str">
        <f aca="false">IF(AND(A263="",C263="",D263="",E263="",F263="",H263=""),"",IF(NOT(ISNUMBER(A263)),"Enter a date",IF(AND(F263&lt;&gt;"",OR(NOT(ISNUMBER(F263)),N(F263)&lt;0)),"Minutes must be a number of 0 or more",IF(G263="","Enter start and end times, or minutes",IF(C263="","Pick a machine",IF(SUMPRODUCT(--(Setup!$A$5:$A$34=C263))=0,"Machine not in Setup",IF(H263="","Pick a reason (counted as unclassified)",IF(I263="Not in Setup","Reason not in Setup (counted as unclassified)",IF(N(G263)=0,"0 minutes: not counted as a stop","OK")))))))))</f>
        <v/>
      </c>
    </row>
    <row r="264" customFormat="false" ht="15" hidden="false" customHeight="false" outlineLevel="0" collapsed="false">
      <c r="A264" s="11"/>
      <c r="B264" s="9"/>
      <c r="C264" s="9"/>
      <c r="D264" s="12"/>
      <c r="E264" s="12"/>
      <c r="F264" s="13"/>
      <c r="G264" s="14" t="str">
        <f aca="false">IF(F264&lt;&gt;"",IF(AND(ISNUMBER(F264),N(F264)&gt;=0),F264,""),IF(AND(ISNUMBER(D264),ISNUMBER(E264)),ROUND(MOD(E264-D264,1)*1440,0),""))</f>
        <v/>
      </c>
      <c r="H264" s="9"/>
      <c r="I264" s="10" t="str">
        <f aca="false">IF(H264="","",IF(SUMPRODUCT(MAX((Setup!$D$5:$D$34=H264)*(35-ROW(Setup!$D$5:$D$34))))=0,"Not in Setup",INDEX(Setup!$E$5:$E$34,31-SUMPRODUCT(MAX((Setup!$D$5:$D$34=H264)*(35-ROW(Setup!$D$5:$D$34)))))))</f>
        <v/>
      </c>
      <c r="J264" s="9"/>
      <c r="K264" s="10" t="str">
        <f aca="false">IF(AND(A264="",C264="",D264="",E264="",F264="",H264=""),"",IF(NOT(ISNUMBER(A264)),"Enter a date",IF(AND(F264&lt;&gt;"",OR(NOT(ISNUMBER(F264)),N(F264)&lt;0)),"Minutes must be a number of 0 or more",IF(G264="","Enter start and end times, or minutes",IF(C264="","Pick a machine",IF(SUMPRODUCT(--(Setup!$A$5:$A$34=C264))=0,"Machine not in Setup",IF(H264="","Pick a reason (counted as unclassified)",IF(I264="Not in Setup","Reason not in Setup (counted as unclassified)",IF(N(G264)=0,"0 minutes: not counted as a stop","OK")))))))))</f>
        <v/>
      </c>
    </row>
    <row r="265" customFormat="false" ht="15" hidden="false" customHeight="false" outlineLevel="0" collapsed="false">
      <c r="A265" s="11"/>
      <c r="B265" s="9"/>
      <c r="C265" s="9"/>
      <c r="D265" s="12"/>
      <c r="E265" s="12"/>
      <c r="F265" s="13"/>
      <c r="G265" s="14" t="str">
        <f aca="false">IF(F265&lt;&gt;"",IF(AND(ISNUMBER(F265),N(F265)&gt;=0),F265,""),IF(AND(ISNUMBER(D265),ISNUMBER(E265)),ROUND(MOD(E265-D265,1)*1440,0),""))</f>
        <v/>
      </c>
      <c r="H265" s="9"/>
      <c r="I265" s="10" t="str">
        <f aca="false">IF(H265="","",IF(SUMPRODUCT(MAX((Setup!$D$5:$D$34=H265)*(35-ROW(Setup!$D$5:$D$34))))=0,"Not in Setup",INDEX(Setup!$E$5:$E$34,31-SUMPRODUCT(MAX((Setup!$D$5:$D$34=H265)*(35-ROW(Setup!$D$5:$D$34)))))))</f>
        <v/>
      </c>
      <c r="J265" s="9"/>
      <c r="K265" s="10" t="str">
        <f aca="false">IF(AND(A265="",C265="",D265="",E265="",F265="",H265=""),"",IF(NOT(ISNUMBER(A265)),"Enter a date",IF(AND(F265&lt;&gt;"",OR(NOT(ISNUMBER(F265)),N(F265)&lt;0)),"Minutes must be a number of 0 or more",IF(G265="","Enter start and end times, or minutes",IF(C265="","Pick a machine",IF(SUMPRODUCT(--(Setup!$A$5:$A$34=C265))=0,"Machine not in Setup",IF(H265="","Pick a reason (counted as unclassified)",IF(I265="Not in Setup","Reason not in Setup (counted as unclassified)",IF(N(G265)=0,"0 minutes: not counted as a stop","OK")))))))))</f>
        <v/>
      </c>
    </row>
    <row r="266" customFormat="false" ht="15" hidden="false" customHeight="false" outlineLevel="0" collapsed="false">
      <c r="A266" s="11"/>
      <c r="B266" s="9"/>
      <c r="C266" s="9"/>
      <c r="D266" s="12"/>
      <c r="E266" s="12"/>
      <c r="F266" s="13"/>
      <c r="G266" s="14" t="str">
        <f aca="false">IF(F266&lt;&gt;"",IF(AND(ISNUMBER(F266),N(F266)&gt;=0),F266,""),IF(AND(ISNUMBER(D266),ISNUMBER(E266)),ROUND(MOD(E266-D266,1)*1440,0),""))</f>
        <v/>
      </c>
      <c r="H266" s="9"/>
      <c r="I266" s="10" t="str">
        <f aca="false">IF(H266="","",IF(SUMPRODUCT(MAX((Setup!$D$5:$D$34=H266)*(35-ROW(Setup!$D$5:$D$34))))=0,"Not in Setup",INDEX(Setup!$E$5:$E$34,31-SUMPRODUCT(MAX((Setup!$D$5:$D$34=H266)*(35-ROW(Setup!$D$5:$D$34)))))))</f>
        <v/>
      </c>
      <c r="J266" s="9"/>
      <c r="K266" s="10" t="str">
        <f aca="false">IF(AND(A266="",C266="",D266="",E266="",F266="",H266=""),"",IF(NOT(ISNUMBER(A266)),"Enter a date",IF(AND(F266&lt;&gt;"",OR(NOT(ISNUMBER(F266)),N(F266)&lt;0)),"Minutes must be a number of 0 or more",IF(G266="","Enter start and end times, or minutes",IF(C266="","Pick a machine",IF(SUMPRODUCT(--(Setup!$A$5:$A$34=C266))=0,"Machine not in Setup",IF(H266="","Pick a reason (counted as unclassified)",IF(I266="Not in Setup","Reason not in Setup (counted as unclassified)",IF(N(G266)=0,"0 minutes: not counted as a stop","OK")))))))))</f>
        <v/>
      </c>
    </row>
    <row r="267" customFormat="false" ht="15" hidden="false" customHeight="false" outlineLevel="0" collapsed="false">
      <c r="A267" s="11"/>
      <c r="B267" s="9"/>
      <c r="C267" s="9"/>
      <c r="D267" s="12"/>
      <c r="E267" s="12"/>
      <c r="F267" s="13"/>
      <c r="G267" s="14" t="str">
        <f aca="false">IF(F267&lt;&gt;"",IF(AND(ISNUMBER(F267),N(F267)&gt;=0),F267,""),IF(AND(ISNUMBER(D267),ISNUMBER(E267)),ROUND(MOD(E267-D267,1)*1440,0),""))</f>
        <v/>
      </c>
      <c r="H267" s="9"/>
      <c r="I267" s="10" t="str">
        <f aca="false">IF(H267="","",IF(SUMPRODUCT(MAX((Setup!$D$5:$D$34=H267)*(35-ROW(Setup!$D$5:$D$34))))=0,"Not in Setup",INDEX(Setup!$E$5:$E$34,31-SUMPRODUCT(MAX((Setup!$D$5:$D$34=H267)*(35-ROW(Setup!$D$5:$D$34)))))))</f>
        <v/>
      </c>
      <c r="J267" s="9"/>
      <c r="K267" s="10" t="str">
        <f aca="false">IF(AND(A267="",C267="",D267="",E267="",F267="",H267=""),"",IF(NOT(ISNUMBER(A267)),"Enter a date",IF(AND(F267&lt;&gt;"",OR(NOT(ISNUMBER(F267)),N(F267)&lt;0)),"Minutes must be a number of 0 or more",IF(G267="","Enter start and end times, or minutes",IF(C267="","Pick a machine",IF(SUMPRODUCT(--(Setup!$A$5:$A$34=C267))=0,"Machine not in Setup",IF(H267="","Pick a reason (counted as unclassified)",IF(I267="Not in Setup","Reason not in Setup (counted as unclassified)",IF(N(G267)=0,"0 minutes: not counted as a stop","OK")))))))))</f>
        <v/>
      </c>
    </row>
    <row r="268" customFormat="false" ht="15" hidden="false" customHeight="false" outlineLevel="0" collapsed="false">
      <c r="A268" s="11"/>
      <c r="B268" s="9"/>
      <c r="C268" s="9"/>
      <c r="D268" s="12"/>
      <c r="E268" s="12"/>
      <c r="F268" s="13"/>
      <c r="G268" s="14" t="str">
        <f aca="false">IF(F268&lt;&gt;"",IF(AND(ISNUMBER(F268),N(F268)&gt;=0),F268,""),IF(AND(ISNUMBER(D268),ISNUMBER(E268)),ROUND(MOD(E268-D268,1)*1440,0),""))</f>
        <v/>
      </c>
      <c r="H268" s="9"/>
      <c r="I268" s="10" t="str">
        <f aca="false">IF(H268="","",IF(SUMPRODUCT(MAX((Setup!$D$5:$D$34=H268)*(35-ROW(Setup!$D$5:$D$34))))=0,"Not in Setup",INDEX(Setup!$E$5:$E$34,31-SUMPRODUCT(MAX((Setup!$D$5:$D$34=H268)*(35-ROW(Setup!$D$5:$D$34)))))))</f>
        <v/>
      </c>
      <c r="J268" s="9"/>
      <c r="K268" s="10" t="str">
        <f aca="false">IF(AND(A268="",C268="",D268="",E268="",F268="",H268=""),"",IF(NOT(ISNUMBER(A268)),"Enter a date",IF(AND(F268&lt;&gt;"",OR(NOT(ISNUMBER(F268)),N(F268)&lt;0)),"Minutes must be a number of 0 or more",IF(G268="","Enter start and end times, or minutes",IF(C268="","Pick a machine",IF(SUMPRODUCT(--(Setup!$A$5:$A$34=C268))=0,"Machine not in Setup",IF(H268="","Pick a reason (counted as unclassified)",IF(I268="Not in Setup","Reason not in Setup (counted as unclassified)",IF(N(G268)=0,"0 minutes: not counted as a stop","OK")))))))))</f>
        <v/>
      </c>
    </row>
    <row r="269" customFormat="false" ht="15" hidden="false" customHeight="false" outlineLevel="0" collapsed="false">
      <c r="A269" s="11"/>
      <c r="B269" s="9"/>
      <c r="C269" s="9"/>
      <c r="D269" s="12"/>
      <c r="E269" s="12"/>
      <c r="F269" s="13"/>
      <c r="G269" s="14" t="str">
        <f aca="false">IF(F269&lt;&gt;"",IF(AND(ISNUMBER(F269),N(F269)&gt;=0),F269,""),IF(AND(ISNUMBER(D269),ISNUMBER(E269)),ROUND(MOD(E269-D269,1)*1440,0),""))</f>
        <v/>
      </c>
      <c r="H269" s="9"/>
      <c r="I269" s="10" t="str">
        <f aca="false">IF(H269="","",IF(SUMPRODUCT(MAX((Setup!$D$5:$D$34=H269)*(35-ROW(Setup!$D$5:$D$34))))=0,"Not in Setup",INDEX(Setup!$E$5:$E$34,31-SUMPRODUCT(MAX((Setup!$D$5:$D$34=H269)*(35-ROW(Setup!$D$5:$D$34)))))))</f>
        <v/>
      </c>
      <c r="J269" s="9"/>
      <c r="K269" s="10" t="str">
        <f aca="false">IF(AND(A269="",C269="",D269="",E269="",F269="",H269=""),"",IF(NOT(ISNUMBER(A269)),"Enter a date",IF(AND(F269&lt;&gt;"",OR(NOT(ISNUMBER(F269)),N(F269)&lt;0)),"Minutes must be a number of 0 or more",IF(G269="","Enter start and end times, or minutes",IF(C269="","Pick a machine",IF(SUMPRODUCT(--(Setup!$A$5:$A$34=C269))=0,"Machine not in Setup",IF(H269="","Pick a reason (counted as unclassified)",IF(I269="Not in Setup","Reason not in Setup (counted as unclassified)",IF(N(G269)=0,"0 minutes: not counted as a stop","OK")))))))))</f>
        <v/>
      </c>
    </row>
    <row r="270" customFormat="false" ht="15" hidden="false" customHeight="false" outlineLevel="0" collapsed="false">
      <c r="A270" s="11"/>
      <c r="B270" s="9"/>
      <c r="C270" s="9"/>
      <c r="D270" s="12"/>
      <c r="E270" s="12"/>
      <c r="F270" s="13"/>
      <c r="G270" s="14" t="str">
        <f aca="false">IF(F270&lt;&gt;"",IF(AND(ISNUMBER(F270),N(F270)&gt;=0),F270,""),IF(AND(ISNUMBER(D270),ISNUMBER(E270)),ROUND(MOD(E270-D270,1)*1440,0),""))</f>
        <v/>
      </c>
      <c r="H270" s="9"/>
      <c r="I270" s="10" t="str">
        <f aca="false">IF(H270="","",IF(SUMPRODUCT(MAX((Setup!$D$5:$D$34=H270)*(35-ROW(Setup!$D$5:$D$34))))=0,"Not in Setup",INDEX(Setup!$E$5:$E$34,31-SUMPRODUCT(MAX((Setup!$D$5:$D$34=H270)*(35-ROW(Setup!$D$5:$D$34)))))))</f>
        <v/>
      </c>
      <c r="J270" s="9"/>
      <c r="K270" s="10" t="str">
        <f aca="false">IF(AND(A270="",C270="",D270="",E270="",F270="",H270=""),"",IF(NOT(ISNUMBER(A270)),"Enter a date",IF(AND(F270&lt;&gt;"",OR(NOT(ISNUMBER(F270)),N(F270)&lt;0)),"Minutes must be a number of 0 or more",IF(G270="","Enter start and end times, or minutes",IF(C270="","Pick a machine",IF(SUMPRODUCT(--(Setup!$A$5:$A$34=C270))=0,"Machine not in Setup",IF(H270="","Pick a reason (counted as unclassified)",IF(I270="Not in Setup","Reason not in Setup (counted as unclassified)",IF(N(G270)=0,"0 minutes: not counted as a stop","OK")))))))))</f>
        <v/>
      </c>
    </row>
    <row r="271" customFormat="false" ht="15" hidden="false" customHeight="false" outlineLevel="0" collapsed="false">
      <c r="A271" s="11"/>
      <c r="B271" s="9"/>
      <c r="C271" s="9"/>
      <c r="D271" s="12"/>
      <c r="E271" s="12"/>
      <c r="F271" s="13"/>
      <c r="G271" s="14" t="str">
        <f aca="false">IF(F271&lt;&gt;"",IF(AND(ISNUMBER(F271),N(F271)&gt;=0),F271,""),IF(AND(ISNUMBER(D271),ISNUMBER(E271)),ROUND(MOD(E271-D271,1)*1440,0),""))</f>
        <v/>
      </c>
      <c r="H271" s="9"/>
      <c r="I271" s="10" t="str">
        <f aca="false">IF(H271="","",IF(SUMPRODUCT(MAX((Setup!$D$5:$D$34=H271)*(35-ROW(Setup!$D$5:$D$34))))=0,"Not in Setup",INDEX(Setup!$E$5:$E$34,31-SUMPRODUCT(MAX((Setup!$D$5:$D$34=H271)*(35-ROW(Setup!$D$5:$D$34)))))))</f>
        <v/>
      </c>
      <c r="J271" s="9"/>
      <c r="K271" s="10" t="str">
        <f aca="false">IF(AND(A271="",C271="",D271="",E271="",F271="",H271=""),"",IF(NOT(ISNUMBER(A271)),"Enter a date",IF(AND(F271&lt;&gt;"",OR(NOT(ISNUMBER(F271)),N(F271)&lt;0)),"Minutes must be a number of 0 or more",IF(G271="","Enter start and end times, or minutes",IF(C271="","Pick a machine",IF(SUMPRODUCT(--(Setup!$A$5:$A$34=C271))=0,"Machine not in Setup",IF(H271="","Pick a reason (counted as unclassified)",IF(I271="Not in Setup","Reason not in Setup (counted as unclassified)",IF(N(G271)=0,"0 minutes: not counted as a stop","OK")))))))))</f>
        <v/>
      </c>
    </row>
    <row r="272" customFormat="false" ht="15" hidden="false" customHeight="false" outlineLevel="0" collapsed="false">
      <c r="A272" s="11"/>
      <c r="B272" s="9"/>
      <c r="C272" s="9"/>
      <c r="D272" s="12"/>
      <c r="E272" s="12"/>
      <c r="F272" s="13"/>
      <c r="G272" s="14" t="str">
        <f aca="false">IF(F272&lt;&gt;"",IF(AND(ISNUMBER(F272),N(F272)&gt;=0),F272,""),IF(AND(ISNUMBER(D272),ISNUMBER(E272)),ROUND(MOD(E272-D272,1)*1440,0),""))</f>
        <v/>
      </c>
      <c r="H272" s="9"/>
      <c r="I272" s="10" t="str">
        <f aca="false">IF(H272="","",IF(SUMPRODUCT(MAX((Setup!$D$5:$D$34=H272)*(35-ROW(Setup!$D$5:$D$34))))=0,"Not in Setup",INDEX(Setup!$E$5:$E$34,31-SUMPRODUCT(MAX((Setup!$D$5:$D$34=H272)*(35-ROW(Setup!$D$5:$D$34)))))))</f>
        <v/>
      </c>
      <c r="J272" s="9"/>
      <c r="K272" s="10" t="str">
        <f aca="false">IF(AND(A272="",C272="",D272="",E272="",F272="",H272=""),"",IF(NOT(ISNUMBER(A272)),"Enter a date",IF(AND(F272&lt;&gt;"",OR(NOT(ISNUMBER(F272)),N(F272)&lt;0)),"Minutes must be a number of 0 or more",IF(G272="","Enter start and end times, or minutes",IF(C272="","Pick a machine",IF(SUMPRODUCT(--(Setup!$A$5:$A$34=C272))=0,"Machine not in Setup",IF(H272="","Pick a reason (counted as unclassified)",IF(I272="Not in Setup","Reason not in Setup (counted as unclassified)",IF(N(G272)=0,"0 minutes: not counted as a stop","OK")))))))))</f>
        <v/>
      </c>
    </row>
    <row r="273" customFormat="false" ht="15" hidden="false" customHeight="false" outlineLevel="0" collapsed="false">
      <c r="A273" s="11"/>
      <c r="B273" s="9"/>
      <c r="C273" s="9"/>
      <c r="D273" s="12"/>
      <c r="E273" s="12"/>
      <c r="F273" s="13"/>
      <c r="G273" s="14" t="str">
        <f aca="false">IF(F273&lt;&gt;"",IF(AND(ISNUMBER(F273),N(F273)&gt;=0),F273,""),IF(AND(ISNUMBER(D273),ISNUMBER(E273)),ROUND(MOD(E273-D273,1)*1440,0),""))</f>
        <v/>
      </c>
      <c r="H273" s="9"/>
      <c r="I273" s="10" t="str">
        <f aca="false">IF(H273="","",IF(SUMPRODUCT(MAX((Setup!$D$5:$D$34=H273)*(35-ROW(Setup!$D$5:$D$34))))=0,"Not in Setup",INDEX(Setup!$E$5:$E$34,31-SUMPRODUCT(MAX((Setup!$D$5:$D$34=H273)*(35-ROW(Setup!$D$5:$D$34)))))))</f>
        <v/>
      </c>
      <c r="J273" s="9"/>
      <c r="K273" s="10" t="str">
        <f aca="false">IF(AND(A273="",C273="",D273="",E273="",F273="",H273=""),"",IF(NOT(ISNUMBER(A273)),"Enter a date",IF(AND(F273&lt;&gt;"",OR(NOT(ISNUMBER(F273)),N(F273)&lt;0)),"Minutes must be a number of 0 or more",IF(G273="","Enter start and end times, or minutes",IF(C273="","Pick a machine",IF(SUMPRODUCT(--(Setup!$A$5:$A$34=C273))=0,"Machine not in Setup",IF(H273="","Pick a reason (counted as unclassified)",IF(I273="Not in Setup","Reason not in Setup (counted as unclassified)",IF(N(G273)=0,"0 minutes: not counted as a stop","OK")))))))))</f>
        <v/>
      </c>
    </row>
    <row r="274" customFormat="false" ht="15" hidden="false" customHeight="false" outlineLevel="0" collapsed="false">
      <c r="A274" s="11"/>
      <c r="B274" s="9"/>
      <c r="C274" s="9"/>
      <c r="D274" s="12"/>
      <c r="E274" s="12"/>
      <c r="F274" s="13"/>
      <c r="G274" s="14" t="str">
        <f aca="false">IF(F274&lt;&gt;"",IF(AND(ISNUMBER(F274),N(F274)&gt;=0),F274,""),IF(AND(ISNUMBER(D274),ISNUMBER(E274)),ROUND(MOD(E274-D274,1)*1440,0),""))</f>
        <v/>
      </c>
      <c r="H274" s="9"/>
      <c r="I274" s="10" t="str">
        <f aca="false">IF(H274="","",IF(SUMPRODUCT(MAX((Setup!$D$5:$D$34=H274)*(35-ROW(Setup!$D$5:$D$34))))=0,"Not in Setup",INDEX(Setup!$E$5:$E$34,31-SUMPRODUCT(MAX((Setup!$D$5:$D$34=H274)*(35-ROW(Setup!$D$5:$D$34)))))))</f>
        <v/>
      </c>
      <c r="J274" s="9"/>
      <c r="K274" s="10" t="str">
        <f aca="false">IF(AND(A274="",C274="",D274="",E274="",F274="",H274=""),"",IF(NOT(ISNUMBER(A274)),"Enter a date",IF(AND(F274&lt;&gt;"",OR(NOT(ISNUMBER(F274)),N(F274)&lt;0)),"Minutes must be a number of 0 or more",IF(G274="","Enter start and end times, or minutes",IF(C274="","Pick a machine",IF(SUMPRODUCT(--(Setup!$A$5:$A$34=C274))=0,"Machine not in Setup",IF(H274="","Pick a reason (counted as unclassified)",IF(I274="Not in Setup","Reason not in Setup (counted as unclassified)",IF(N(G274)=0,"0 minutes: not counted as a stop","OK")))))))))</f>
        <v/>
      </c>
    </row>
    <row r="275" customFormat="false" ht="15" hidden="false" customHeight="false" outlineLevel="0" collapsed="false">
      <c r="A275" s="11"/>
      <c r="B275" s="9"/>
      <c r="C275" s="9"/>
      <c r="D275" s="12"/>
      <c r="E275" s="12"/>
      <c r="F275" s="13"/>
      <c r="G275" s="14" t="str">
        <f aca="false">IF(F275&lt;&gt;"",IF(AND(ISNUMBER(F275),N(F275)&gt;=0),F275,""),IF(AND(ISNUMBER(D275),ISNUMBER(E275)),ROUND(MOD(E275-D275,1)*1440,0),""))</f>
        <v/>
      </c>
      <c r="H275" s="9"/>
      <c r="I275" s="10" t="str">
        <f aca="false">IF(H275="","",IF(SUMPRODUCT(MAX((Setup!$D$5:$D$34=H275)*(35-ROW(Setup!$D$5:$D$34))))=0,"Not in Setup",INDEX(Setup!$E$5:$E$34,31-SUMPRODUCT(MAX((Setup!$D$5:$D$34=H275)*(35-ROW(Setup!$D$5:$D$34)))))))</f>
        <v/>
      </c>
      <c r="J275" s="9"/>
      <c r="K275" s="10" t="str">
        <f aca="false">IF(AND(A275="",C275="",D275="",E275="",F275="",H275=""),"",IF(NOT(ISNUMBER(A275)),"Enter a date",IF(AND(F275&lt;&gt;"",OR(NOT(ISNUMBER(F275)),N(F275)&lt;0)),"Minutes must be a number of 0 or more",IF(G275="","Enter start and end times, or minutes",IF(C275="","Pick a machine",IF(SUMPRODUCT(--(Setup!$A$5:$A$34=C275))=0,"Machine not in Setup",IF(H275="","Pick a reason (counted as unclassified)",IF(I275="Not in Setup","Reason not in Setup (counted as unclassified)",IF(N(G275)=0,"0 minutes: not counted as a stop","OK")))))))))</f>
        <v/>
      </c>
    </row>
    <row r="276" customFormat="false" ht="15" hidden="false" customHeight="false" outlineLevel="0" collapsed="false">
      <c r="A276" s="11"/>
      <c r="B276" s="9"/>
      <c r="C276" s="9"/>
      <c r="D276" s="12"/>
      <c r="E276" s="12"/>
      <c r="F276" s="13"/>
      <c r="G276" s="14" t="str">
        <f aca="false">IF(F276&lt;&gt;"",IF(AND(ISNUMBER(F276),N(F276)&gt;=0),F276,""),IF(AND(ISNUMBER(D276),ISNUMBER(E276)),ROUND(MOD(E276-D276,1)*1440,0),""))</f>
        <v/>
      </c>
      <c r="H276" s="9"/>
      <c r="I276" s="10" t="str">
        <f aca="false">IF(H276="","",IF(SUMPRODUCT(MAX((Setup!$D$5:$D$34=H276)*(35-ROW(Setup!$D$5:$D$34))))=0,"Not in Setup",INDEX(Setup!$E$5:$E$34,31-SUMPRODUCT(MAX((Setup!$D$5:$D$34=H276)*(35-ROW(Setup!$D$5:$D$34)))))))</f>
        <v/>
      </c>
      <c r="J276" s="9"/>
      <c r="K276" s="10" t="str">
        <f aca="false">IF(AND(A276="",C276="",D276="",E276="",F276="",H276=""),"",IF(NOT(ISNUMBER(A276)),"Enter a date",IF(AND(F276&lt;&gt;"",OR(NOT(ISNUMBER(F276)),N(F276)&lt;0)),"Minutes must be a number of 0 or more",IF(G276="","Enter start and end times, or minutes",IF(C276="","Pick a machine",IF(SUMPRODUCT(--(Setup!$A$5:$A$34=C276))=0,"Machine not in Setup",IF(H276="","Pick a reason (counted as unclassified)",IF(I276="Not in Setup","Reason not in Setup (counted as unclassified)",IF(N(G276)=0,"0 minutes: not counted as a stop","OK")))))))))</f>
        <v/>
      </c>
    </row>
    <row r="277" customFormat="false" ht="15" hidden="false" customHeight="false" outlineLevel="0" collapsed="false">
      <c r="A277" s="11"/>
      <c r="B277" s="9"/>
      <c r="C277" s="9"/>
      <c r="D277" s="12"/>
      <c r="E277" s="12"/>
      <c r="F277" s="13"/>
      <c r="G277" s="14" t="str">
        <f aca="false">IF(F277&lt;&gt;"",IF(AND(ISNUMBER(F277),N(F277)&gt;=0),F277,""),IF(AND(ISNUMBER(D277),ISNUMBER(E277)),ROUND(MOD(E277-D277,1)*1440,0),""))</f>
        <v/>
      </c>
      <c r="H277" s="9"/>
      <c r="I277" s="10" t="str">
        <f aca="false">IF(H277="","",IF(SUMPRODUCT(MAX((Setup!$D$5:$D$34=H277)*(35-ROW(Setup!$D$5:$D$34))))=0,"Not in Setup",INDEX(Setup!$E$5:$E$34,31-SUMPRODUCT(MAX((Setup!$D$5:$D$34=H277)*(35-ROW(Setup!$D$5:$D$34)))))))</f>
        <v/>
      </c>
      <c r="J277" s="9"/>
      <c r="K277" s="10" t="str">
        <f aca="false">IF(AND(A277="",C277="",D277="",E277="",F277="",H277=""),"",IF(NOT(ISNUMBER(A277)),"Enter a date",IF(AND(F277&lt;&gt;"",OR(NOT(ISNUMBER(F277)),N(F277)&lt;0)),"Minutes must be a number of 0 or more",IF(G277="","Enter start and end times, or minutes",IF(C277="","Pick a machine",IF(SUMPRODUCT(--(Setup!$A$5:$A$34=C277))=0,"Machine not in Setup",IF(H277="","Pick a reason (counted as unclassified)",IF(I277="Not in Setup","Reason not in Setup (counted as unclassified)",IF(N(G277)=0,"0 minutes: not counted as a stop","OK")))))))))</f>
        <v/>
      </c>
    </row>
    <row r="278" customFormat="false" ht="15" hidden="false" customHeight="false" outlineLevel="0" collapsed="false">
      <c r="A278" s="11"/>
      <c r="B278" s="9"/>
      <c r="C278" s="9"/>
      <c r="D278" s="12"/>
      <c r="E278" s="12"/>
      <c r="F278" s="13"/>
      <c r="G278" s="14" t="str">
        <f aca="false">IF(F278&lt;&gt;"",IF(AND(ISNUMBER(F278),N(F278)&gt;=0),F278,""),IF(AND(ISNUMBER(D278),ISNUMBER(E278)),ROUND(MOD(E278-D278,1)*1440,0),""))</f>
        <v/>
      </c>
      <c r="H278" s="9"/>
      <c r="I278" s="10" t="str">
        <f aca="false">IF(H278="","",IF(SUMPRODUCT(MAX((Setup!$D$5:$D$34=H278)*(35-ROW(Setup!$D$5:$D$34))))=0,"Not in Setup",INDEX(Setup!$E$5:$E$34,31-SUMPRODUCT(MAX((Setup!$D$5:$D$34=H278)*(35-ROW(Setup!$D$5:$D$34)))))))</f>
        <v/>
      </c>
      <c r="J278" s="9"/>
      <c r="K278" s="10" t="str">
        <f aca="false">IF(AND(A278="",C278="",D278="",E278="",F278="",H278=""),"",IF(NOT(ISNUMBER(A278)),"Enter a date",IF(AND(F278&lt;&gt;"",OR(NOT(ISNUMBER(F278)),N(F278)&lt;0)),"Minutes must be a number of 0 or more",IF(G278="","Enter start and end times, or minutes",IF(C278="","Pick a machine",IF(SUMPRODUCT(--(Setup!$A$5:$A$34=C278))=0,"Machine not in Setup",IF(H278="","Pick a reason (counted as unclassified)",IF(I278="Not in Setup","Reason not in Setup (counted as unclassified)",IF(N(G278)=0,"0 minutes: not counted as a stop","OK")))))))))</f>
        <v/>
      </c>
    </row>
    <row r="279" customFormat="false" ht="15" hidden="false" customHeight="false" outlineLevel="0" collapsed="false">
      <c r="A279" s="11"/>
      <c r="B279" s="9"/>
      <c r="C279" s="9"/>
      <c r="D279" s="12"/>
      <c r="E279" s="12"/>
      <c r="F279" s="13"/>
      <c r="G279" s="14" t="str">
        <f aca="false">IF(F279&lt;&gt;"",IF(AND(ISNUMBER(F279),N(F279)&gt;=0),F279,""),IF(AND(ISNUMBER(D279),ISNUMBER(E279)),ROUND(MOD(E279-D279,1)*1440,0),""))</f>
        <v/>
      </c>
      <c r="H279" s="9"/>
      <c r="I279" s="10" t="str">
        <f aca="false">IF(H279="","",IF(SUMPRODUCT(MAX((Setup!$D$5:$D$34=H279)*(35-ROW(Setup!$D$5:$D$34))))=0,"Not in Setup",INDEX(Setup!$E$5:$E$34,31-SUMPRODUCT(MAX((Setup!$D$5:$D$34=H279)*(35-ROW(Setup!$D$5:$D$34)))))))</f>
        <v/>
      </c>
      <c r="J279" s="9"/>
      <c r="K279" s="10" t="str">
        <f aca="false">IF(AND(A279="",C279="",D279="",E279="",F279="",H279=""),"",IF(NOT(ISNUMBER(A279)),"Enter a date",IF(AND(F279&lt;&gt;"",OR(NOT(ISNUMBER(F279)),N(F279)&lt;0)),"Minutes must be a number of 0 or more",IF(G279="","Enter start and end times, or minutes",IF(C279="","Pick a machine",IF(SUMPRODUCT(--(Setup!$A$5:$A$34=C279))=0,"Machine not in Setup",IF(H279="","Pick a reason (counted as unclassified)",IF(I279="Not in Setup","Reason not in Setup (counted as unclassified)",IF(N(G279)=0,"0 minutes: not counted as a stop","OK")))))))))</f>
        <v/>
      </c>
    </row>
    <row r="280" customFormat="false" ht="15" hidden="false" customHeight="false" outlineLevel="0" collapsed="false">
      <c r="A280" s="11"/>
      <c r="B280" s="9"/>
      <c r="C280" s="9"/>
      <c r="D280" s="12"/>
      <c r="E280" s="12"/>
      <c r="F280" s="13"/>
      <c r="G280" s="14" t="str">
        <f aca="false">IF(F280&lt;&gt;"",IF(AND(ISNUMBER(F280),N(F280)&gt;=0),F280,""),IF(AND(ISNUMBER(D280),ISNUMBER(E280)),ROUND(MOD(E280-D280,1)*1440,0),""))</f>
        <v/>
      </c>
      <c r="H280" s="9"/>
      <c r="I280" s="10" t="str">
        <f aca="false">IF(H280="","",IF(SUMPRODUCT(MAX((Setup!$D$5:$D$34=H280)*(35-ROW(Setup!$D$5:$D$34))))=0,"Not in Setup",INDEX(Setup!$E$5:$E$34,31-SUMPRODUCT(MAX((Setup!$D$5:$D$34=H280)*(35-ROW(Setup!$D$5:$D$34)))))))</f>
        <v/>
      </c>
      <c r="J280" s="9"/>
      <c r="K280" s="10" t="str">
        <f aca="false">IF(AND(A280="",C280="",D280="",E280="",F280="",H280=""),"",IF(NOT(ISNUMBER(A280)),"Enter a date",IF(AND(F280&lt;&gt;"",OR(NOT(ISNUMBER(F280)),N(F280)&lt;0)),"Minutes must be a number of 0 or more",IF(G280="","Enter start and end times, or minutes",IF(C280="","Pick a machine",IF(SUMPRODUCT(--(Setup!$A$5:$A$34=C280))=0,"Machine not in Setup",IF(H280="","Pick a reason (counted as unclassified)",IF(I280="Not in Setup","Reason not in Setup (counted as unclassified)",IF(N(G280)=0,"0 minutes: not counted as a stop","OK")))))))))</f>
        <v/>
      </c>
    </row>
    <row r="281" customFormat="false" ht="15" hidden="false" customHeight="false" outlineLevel="0" collapsed="false">
      <c r="A281" s="11"/>
      <c r="B281" s="9"/>
      <c r="C281" s="9"/>
      <c r="D281" s="12"/>
      <c r="E281" s="12"/>
      <c r="F281" s="13"/>
      <c r="G281" s="14" t="str">
        <f aca="false">IF(F281&lt;&gt;"",IF(AND(ISNUMBER(F281),N(F281)&gt;=0),F281,""),IF(AND(ISNUMBER(D281),ISNUMBER(E281)),ROUND(MOD(E281-D281,1)*1440,0),""))</f>
        <v/>
      </c>
      <c r="H281" s="9"/>
      <c r="I281" s="10" t="str">
        <f aca="false">IF(H281="","",IF(SUMPRODUCT(MAX((Setup!$D$5:$D$34=H281)*(35-ROW(Setup!$D$5:$D$34))))=0,"Not in Setup",INDEX(Setup!$E$5:$E$34,31-SUMPRODUCT(MAX((Setup!$D$5:$D$34=H281)*(35-ROW(Setup!$D$5:$D$34)))))))</f>
        <v/>
      </c>
      <c r="J281" s="9"/>
      <c r="K281" s="10" t="str">
        <f aca="false">IF(AND(A281="",C281="",D281="",E281="",F281="",H281=""),"",IF(NOT(ISNUMBER(A281)),"Enter a date",IF(AND(F281&lt;&gt;"",OR(NOT(ISNUMBER(F281)),N(F281)&lt;0)),"Minutes must be a number of 0 or more",IF(G281="","Enter start and end times, or minutes",IF(C281="","Pick a machine",IF(SUMPRODUCT(--(Setup!$A$5:$A$34=C281))=0,"Machine not in Setup",IF(H281="","Pick a reason (counted as unclassified)",IF(I281="Not in Setup","Reason not in Setup (counted as unclassified)",IF(N(G281)=0,"0 minutes: not counted as a stop","OK")))))))))</f>
        <v/>
      </c>
    </row>
    <row r="282" customFormat="false" ht="15" hidden="false" customHeight="false" outlineLevel="0" collapsed="false">
      <c r="A282" s="11"/>
      <c r="B282" s="9"/>
      <c r="C282" s="9"/>
      <c r="D282" s="12"/>
      <c r="E282" s="12"/>
      <c r="F282" s="13"/>
      <c r="G282" s="14" t="str">
        <f aca="false">IF(F282&lt;&gt;"",IF(AND(ISNUMBER(F282),N(F282)&gt;=0),F282,""),IF(AND(ISNUMBER(D282),ISNUMBER(E282)),ROUND(MOD(E282-D282,1)*1440,0),""))</f>
        <v/>
      </c>
      <c r="H282" s="9"/>
      <c r="I282" s="10" t="str">
        <f aca="false">IF(H282="","",IF(SUMPRODUCT(MAX((Setup!$D$5:$D$34=H282)*(35-ROW(Setup!$D$5:$D$34))))=0,"Not in Setup",INDEX(Setup!$E$5:$E$34,31-SUMPRODUCT(MAX((Setup!$D$5:$D$34=H282)*(35-ROW(Setup!$D$5:$D$34)))))))</f>
        <v/>
      </c>
      <c r="J282" s="9"/>
      <c r="K282" s="10" t="str">
        <f aca="false">IF(AND(A282="",C282="",D282="",E282="",F282="",H282=""),"",IF(NOT(ISNUMBER(A282)),"Enter a date",IF(AND(F282&lt;&gt;"",OR(NOT(ISNUMBER(F282)),N(F282)&lt;0)),"Minutes must be a number of 0 or more",IF(G282="","Enter start and end times, or minutes",IF(C282="","Pick a machine",IF(SUMPRODUCT(--(Setup!$A$5:$A$34=C282))=0,"Machine not in Setup",IF(H282="","Pick a reason (counted as unclassified)",IF(I282="Not in Setup","Reason not in Setup (counted as unclassified)",IF(N(G282)=0,"0 minutes: not counted as a stop","OK")))))))))</f>
        <v/>
      </c>
    </row>
    <row r="283" customFormat="false" ht="15" hidden="false" customHeight="false" outlineLevel="0" collapsed="false">
      <c r="A283" s="11"/>
      <c r="B283" s="9"/>
      <c r="C283" s="9"/>
      <c r="D283" s="12"/>
      <c r="E283" s="12"/>
      <c r="F283" s="13"/>
      <c r="G283" s="14" t="str">
        <f aca="false">IF(F283&lt;&gt;"",IF(AND(ISNUMBER(F283),N(F283)&gt;=0),F283,""),IF(AND(ISNUMBER(D283),ISNUMBER(E283)),ROUND(MOD(E283-D283,1)*1440,0),""))</f>
        <v/>
      </c>
      <c r="H283" s="9"/>
      <c r="I283" s="10" t="str">
        <f aca="false">IF(H283="","",IF(SUMPRODUCT(MAX((Setup!$D$5:$D$34=H283)*(35-ROW(Setup!$D$5:$D$34))))=0,"Not in Setup",INDEX(Setup!$E$5:$E$34,31-SUMPRODUCT(MAX((Setup!$D$5:$D$34=H283)*(35-ROW(Setup!$D$5:$D$34)))))))</f>
        <v/>
      </c>
      <c r="J283" s="9"/>
      <c r="K283" s="10" t="str">
        <f aca="false">IF(AND(A283="",C283="",D283="",E283="",F283="",H283=""),"",IF(NOT(ISNUMBER(A283)),"Enter a date",IF(AND(F283&lt;&gt;"",OR(NOT(ISNUMBER(F283)),N(F283)&lt;0)),"Minutes must be a number of 0 or more",IF(G283="","Enter start and end times, or minutes",IF(C283="","Pick a machine",IF(SUMPRODUCT(--(Setup!$A$5:$A$34=C283))=0,"Machine not in Setup",IF(H283="","Pick a reason (counted as unclassified)",IF(I283="Not in Setup","Reason not in Setup (counted as unclassified)",IF(N(G283)=0,"0 minutes: not counted as a stop","OK")))))))))</f>
        <v/>
      </c>
    </row>
    <row r="284" customFormat="false" ht="15" hidden="false" customHeight="false" outlineLevel="0" collapsed="false">
      <c r="A284" s="11"/>
      <c r="B284" s="9"/>
      <c r="C284" s="9"/>
      <c r="D284" s="12"/>
      <c r="E284" s="12"/>
      <c r="F284" s="13"/>
      <c r="G284" s="14" t="str">
        <f aca="false">IF(F284&lt;&gt;"",IF(AND(ISNUMBER(F284),N(F284)&gt;=0),F284,""),IF(AND(ISNUMBER(D284),ISNUMBER(E284)),ROUND(MOD(E284-D284,1)*1440,0),""))</f>
        <v/>
      </c>
      <c r="H284" s="9"/>
      <c r="I284" s="10" t="str">
        <f aca="false">IF(H284="","",IF(SUMPRODUCT(MAX((Setup!$D$5:$D$34=H284)*(35-ROW(Setup!$D$5:$D$34))))=0,"Not in Setup",INDEX(Setup!$E$5:$E$34,31-SUMPRODUCT(MAX((Setup!$D$5:$D$34=H284)*(35-ROW(Setup!$D$5:$D$34)))))))</f>
        <v/>
      </c>
      <c r="J284" s="9"/>
      <c r="K284" s="10" t="str">
        <f aca="false">IF(AND(A284="",C284="",D284="",E284="",F284="",H284=""),"",IF(NOT(ISNUMBER(A284)),"Enter a date",IF(AND(F284&lt;&gt;"",OR(NOT(ISNUMBER(F284)),N(F284)&lt;0)),"Minutes must be a number of 0 or more",IF(G284="","Enter start and end times, or minutes",IF(C284="","Pick a machine",IF(SUMPRODUCT(--(Setup!$A$5:$A$34=C284))=0,"Machine not in Setup",IF(H284="","Pick a reason (counted as unclassified)",IF(I284="Not in Setup","Reason not in Setup (counted as unclassified)",IF(N(G284)=0,"0 minutes: not counted as a stop","OK")))))))))</f>
        <v/>
      </c>
    </row>
    <row r="285" customFormat="false" ht="15" hidden="false" customHeight="false" outlineLevel="0" collapsed="false">
      <c r="A285" s="11"/>
      <c r="B285" s="9"/>
      <c r="C285" s="9"/>
      <c r="D285" s="12"/>
      <c r="E285" s="12"/>
      <c r="F285" s="13"/>
      <c r="G285" s="14" t="str">
        <f aca="false">IF(F285&lt;&gt;"",IF(AND(ISNUMBER(F285),N(F285)&gt;=0),F285,""),IF(AND(ISNUMBER(D285),ISNUMBER(E285)),ROUND(MOD(E285-D285,1)*1440,0),""))</f>
        <v/>
      </c>
      <c r="H285" s="9"/>
      <c r="I285" s="10" t="str">
        <f aca="false">IF(H285="","",IF(SUMPRODUCT(MAX((Setup!$D$5:$D$34=H285)*(35-ROW(Setup!$D$5:$D$34))))=0,"Not in Setup",INDEX(Setup!$E$5:$E$34,31-SUMPRODUCT(MAX((Setup!$D$5:$D$34=H285)*(35-ROW(Setup!$D$5:$D$34)))))))</f>
        <v/>
      </c>
      <c r="J285" s="9"/>
      <c r="K285" s="10" t="str">
        <f aca="false">IF(AND(A285="",C285="",D285="",E285="",F285="",H285=""),"",IF(NOT(ISNUMBER(A285)),"Enter a date",IF(AND(F285&lt;&gt;"",OR(NOT(ISNUMBER(F285)),N(F285)&lt;0)),"Minutes must be a number of 0 or more",IF(G285="","Enter start and end times, or minutes",IF(C285="","Pick a machine",IF(SUMPRODUCT(--(Setup!$A$5:$A$34=C285))=0,"Machine not in Setup",IF(H285="","Pick a reason (counted as unclassified)",IF(I285="Not in Setup","Reason not in Setup (counted as unclassified)",IF(N(G285)=0,"0 minutes: not counted as a stop","OK")))))))))</f>
        <v/>
      </c>
    </row>
    <row r="286" customFormat="false" ht="15" hidden="false" customHeight="false" outlineLevel="0" collapsed="false">
      <c r="A286" s="11"/>
      <c r="B286" s="9"/>
      <c r="C286" s="9"/>
      <c r="D286" s="12"/>
      <c r="E286" s="12"/>
      <c r="F286" s="13"/>
      <c r="G286" s="14" t="str">
        <f aca="false">IF(F286&lt;&gt;"",IF(AND(ISNUMBER(F286),N(F286)&gt;=0),F286,""),IF(AND(ISNUMBER(D286),ISNUMBER(E286)),ROUND(MOD(E286-D286,1)*1440,0),""))</f>
        <v/>
      </c>
      <c r="H286" s="9"/>
      <c r="I286" s="10" t="str">
        <f aca="false">IF(H286="","",IF(SUMPRODUCT(MAX((Setup!$D$5:$D$34=H286)*(35-ROW(Setup!$D$5:$D$34))))=0,"Not in Setup",INDEX(Setup!$E$5:$E$34,31-SUMPRODUCT(MAX((Setup!$D$5:$D$34=H286)*(35-ROW(Setup!$D$5:$D$34)))))))</f>
        <v/>
      </c>
      <c r="J286" s="9"/>
      <c r="K286" s="10" t="str">
        <f aca="false">IF(AND(A286="",C286="",D286="",E286="",F286="",H286=""),"",IF(NOT(ISNUMBER(A286)),"Enter a date",IF(AND(F286&lt;&gt;"",OR(NOT(ISNUMBER(F286)),N(F286)&lt;0)),"Minutes must be a number of 0 or more",IF(G286="","Enter start and end times, or minutes",IF(C286="","Pick a machine",IF(SUMPRODUCT(--(Setup!$A$5:$A$34=C286))=0,"Machine not in Setup",IF(H286="","Pick a reason (counted as unclassified)",IF(I286="Not in Setup","Reason not in Setup (counted as unclassified)",IF(N(G286)=0,"0 minutes: not counted as a stop","OK")))))))))</f>
        <v/>
      </c>
    </row>
    <row r="287" customFormat="false" ht="15" hidden="false" customHeight="false" outlineLevel="0" collapsed="false">
      <c r="A287" s="11"/>
      <c r="B287" s="9"/>
      <c r="C287" s="9"/>
      <c r="D287" s="12"/>
      <c r="E287" s="12"/>
      <c r="F287" s="13"/>
      <c r="G287" s="14" t="str">
        <f aca="false">IF(F287&lt;&gt;"",IF(AND(ISNUMBER(F287),N(F287)&gt;=0),F287,""),IF(AND(ISNUMBER(D287),ISNUMBER(E287)),ROUND(MOD(E287-D287,1)*1440,0),""))</f>
        <v/>
      </c>
      <c r="H287" s="9"/>
      <c r="I287" s="10" t="str">
        <f aca="false">IF(H287="","",IF(SUMPRODUCT(MAX((Setup!$D$5:$D$34=H287)*(35-ROW(Setup!$D$5:$D$34))))=0,"Not in Setup",INDEX(Setup!$E$5:$E$34,31-SUMPRODUCT(MAX((Setup!$D$5:$D$34=H287)*(35-ROW(Setup!$D$5:$D$34)))))))</f>
        <v/>
      </c>
      <c r="J287" s="9"/>
      <c r="K287" s="10" t="str">
        <f aca="false">IF(AND(A287="",C287="",D287="",E287="",F287="",H287=""),"",IF(NOT(ISNUMBER(A287)),"Enter a date",IF(AND(F287&lt;&gt;"",OR(NOT(ISNUMBER(F287)),N(F287)&lt;0)),"Minutes must be a number of 0 or more",IF(G287="","Enter start and end times, or minutes",IF(C287="","Pick a machine",IF(SUMPRODUCT(--(Setup!$A$5:$A$34=C287))=0,"Machine not in Setup",IF(H287="","Pick a reason (counted as unclassified)",IF(I287="Not in Setup","Reason not in Setup (counted as unclassified)",IF(N(G287)=0,"0 minutes: not counted as a stop","OK")))))))))</f>
        <v/>
      </c>
    </row>
    <row r="288" customFormat="false" ht="15" hidden="false" customHeight="false" outlineLevel="0" collapsed="false">
      <c r="A288" s="11"/>
      <c r="B288" s="9"/>
      <c r="C288" s="9"/>
      <c r="D288" s="12"/>
      <c r="E288" s="12"/>
      <c r="F288" s="13"/>
      <c r="G288" s="14" t="str">
        <f aca="false">IF(F288&lt;&gt;"",IF(AND(ISNUMBER(F288),N(F288)&gt;=0),F288,""),IF(AND(ISNUMBER(D288),ISNUMBER(E288)),ROUND(MOD(E288-D288,1)*1440,0),""))</f>
        <v/>
      </c>
      <c r="H288" s="9"/>
      <c r="I288" s="10" t="str">
        <f aca="false">IF(H288="","",IF(SUMPRODUCT(MAX((Setup!$D$5:$D$34=H288)*(35-ROW(Setup!$D$5:$D$34))))=0,"Not in Setup",INDEX(Setup!$E$5:$E$34,31-SUMPRODUCT(MAX((Setup!$D$5:$D$34=H288)*(35-ROW(Setup!$D$5:$D$34)))))))</f>
        <v/>
      </c>
      <c r="J288" s="9"/>
      <c r="K288" s="10" t="str">
        <f aca="false">IF(AND(A288="",C288="",D288="",E288="",F288="",H288=""),"",IF(NOT(ISNUMBER(A288)),"Enter a date",IF(AND(F288&lt;&gt;"",OR(NOT(ISNUMBER(F288)),N(F288)&lt;0)),"Minutes must be a number of 0 or more",IF(G288="","Enter start and end times, or minutes",IF(C288="","Pick a machine",IF(SUMPRODUCT(--(Setup!$A$5:$A$34=C288))=0,"Machine not in Setup",IF(H288="","Pick a reason (counted as unclassified)",IF(I288="Not in Setup","Reason not in Setup (counted as unclassified)",IF(N(G288)=0,"0 minutes: not counted as a stop","OK")))))))))</f>
        <v/>
      </c>
    </row>
    <row r="289" customFormat="false" ht="15" hidden="false" customHeight="false" outlineLevel="0" collapsed="false">
      <c r="A289" s="11"/>
      <c r="B289" s="9"/>
      <c r="C289" s="9"/>
      <c r="D289" s="12"/>
      <c r="E289" s="12"/>
      <c r="F289" s="13"/>
      <c r="G289" s="14" t="str">
        <f aca="false">IF(F289&lt;&gt;"",IF(AND(ISNUMBER(F289),N(F289)&gt;=0),F289,""),IF(AND(ISNUMBER(D289),ISNUMBER(E289)),ROUND(MOD(E289-D289,1)*1440,0),""))</f>
        <v/>
      </c>
      <c r="H289" s="9"/>
      <c r="I289" s="10" t="str">
        <f aca="false">IF(H289="","",IF(SUMPRODUCT(MAX((Setup!$D$5:$D$34=H289)*(35-ROW(Setup!$D$5:$D$34))))=0,"Not in Setup",INDEX(Setup!$E$5:$E$34,31-SUMPRODUCT(MAX((Setup!$D$5:$D$34=H289)*(35-ROW(Setup!$D$5:$D$34)))))))</f>
        <v/>
      </c>
      <c r="J289" s="9"/>
      <c r="K289" s="10" t="str">
        <f aca="false">IF(AND(A289="",C289="",D289="",E289="",F289="",H289=""),"",IF(NOT(ISNUMBER(A289)),"Enter a date",IF(AND(F289&lt;&gt;"",OR(NOT(ISNUMBER(F289)),N(F289)&lt;0)),"Minutes must be a number of 0 or more",IF(G289="","Enter start and end times, or minutes",IF(C289="","Pick a machine",IF(SUMPRODUCT(--(Setup!$A$5:$A$34=C289))=0,"Machine not in Setup",IF(H289="","Pick a reason (counted as unclassified)",IF(I289="Not in Setup","Reason not in Setup (counted as unclassified)",IF(N(G289)=0,"0 minutes: not counted as a stop","OK")))))))))</f>
        <v/>
      </c>
    </row>
    <row r="290" customFormat="false" ht="15" hidden="false" customHeight="false" outlineLevel="0" collapsed="false">
      <c r="A290" s="11"/>
      <c r="B290" s="9"/>
      <c r="C290" s="9"/>
      <c r="D290" s="12"/>
      <c r="E290" s="12"/>
      <c r="F290" s="13"/>
      <c r="G290" s="14" t="str">
        <f aca="false">IF(F290&lt;&gt;"",IF(AND(ISNUMBER(F290),N(F290)&gt;=0),F290,""),IF(AND(ISNUMBER(D290),ISNUMBER(E290)),ROUND(MOD(E290-D290,1)*1440,0),""))</f>
        <v/>
      </c>
      <c r="H290" s="9"/>
      <c r="I290" s="10" t="str">
        <f aca="false">IF(H290="","",IF(SUMPRODUCT(MAX((Setup!$D$5:$D$34=H290)*(35-ROW(Setup!$D$5:$D$34))))=0,"Not in Setup",INDEX(Setup!$E$5:$E$34,31-SUMPRODUCT(MAX((Setup!$D$5:$D$34=H290)*(35-ROW(Setup!$D$5:$D$34)))))))</f>
        <v/>
      </c>
      <c r="J290" s="9"/>
      <c r="K290" s="10" t="str">
        <f aca="false">IF(AND(A290="",C290="",D290="",E290="",F290="",H290=""),"",IF(NOT(ISNUMBER(A290)),"Enter a date",IF(AND(F290&lt;&gt;"",OR(NOT(ISNUMBER(F290)),N(F290)&lt;0)),"Minutes must be a number of 0 or more",IF(G290="","Enter start and end times, or minutes",IF(C290="","Pick a machine",IF(SUMPRODUCT(--(Setup!$A$5:$A$34=C290))=0,"Machine not in Setup",IF(H290="","Pick a reason (counted as unclassified)",IF(I290="Not in Setup","Reason not in Setup (counted as unclassified)",IF(N(G290)=0,"0 minutes: not counted as a stop","OK")))))))))</f>
        <v/>
      </c>
    </row>
    <row r="291" customFormat="false" ht="15" hidden="false" customHeight="false" outlineLevel="0" collapsed="false">
      <c r="A291" s="11"/>
      <c r="B291" s="9"/>
      <c r="C291" s="9"/>
      <c r="D291" s="12"/>
      <c r="E291" s="12"/>
      <c r="F291" s="13"/>
      <c r="G291" s="14" t="str">
        <f aca="false">IF(F291&lt;&gt;"",IF(AND(ISNUMBER(F291),N(F291)&gt;=0),F291,""),IF(AND(ISNUMBER(D291),ISNUMBER(E291)),ROUND(MOD(E291-D291,1)*1440,0),""))</f>
        <v/>
      </c>
      <c r="H291" s="9"/>
      <c r="I291" s="10" t="str">
        <f aca="false">IF(H291="","",IF(SUMPRODUCT(MAX((Setup!$D$5:$D$34=H291)*(35-ROW(Setup!$D$5:$D$34))))=0,"Not in Setup",INDEX(Setup!$E$5:$E$34,31-SUMPRODUCT(MAX((Setup!$D$5:$D$34=H291)*(35-ROW(Setup!$D$5:$D$34)))))))</f>
        <v/>
      </c>
      <c r="J291" s="9"/>
      <c r="K291" s="10" t="str">
        <f aca="false">IF(AND(A291="",C291="",D291="",E291="",F291="",H291=""),"",IF(NOT(ISNUMBER(A291)),"Enter a date",IF(AND(F291&lt;&gt;"",OR(NOT(ISNUMBER(F291)),N(F291)&lt;0)),"Minutes must be a number of 0 or more",IF(G291="","Enter start and end times, or minutes",IF(C291="","Pick a machine",IF(SUMPRODUCT(--(Setup!$A$5:$A$34=C291))=0,"Machine not in Setup",IF(H291="","Pick a reason (counted as unclassified)",IF(I291="Not in Setup","Reason not in Setup (counted as unclassified)",IF(N(G291)=0,"0 minutes: not counted as a stop","OK")))))))))</f>
        <v/>
      </c>
    </row>
    <row r="292" customFormat="false" ht="15" hidden="false" customHeight="false" outlineLevel="0" collapsed="false">
      <c r="A292" s="11"/>
      <c r="B292" s="9"/>
      <c r="C292" s="9"/>
      <c r="D292" s="12"/>
      <c r="E292" s="12"/>
      <c r="F292" s="13"/>
      <c r="G292" s="14" t="str">
        <f aca="false">IF(F292&lt;&gt;"",IF(AND(ISNUMBER(F292),N(F292)&gt;=0),F292,""),IF(AND(ISNUMBER(D292),ISNUMBER(E292)),ROUND(MOD(E292-D292,1)*1440,0),""))</f>
        <v/>
      </c>
      <c r="H292" s="9"/>
      <c r="I292" s="10" t="str">
        <f aca="false">IF(H292="","",IF(SUMPRODUCT(MAX((Setup!$D$5:$D$34=H292)*(35-ROW(Setup!$D$5:$D$34))))=0,"Not in Setup",INDEX(Setup!$E$5:$E$34,31-SUMPRODUCT(MAX((Setup!$D$5:$D$34=H292)*(35-ROW(Setup!$D$5:$D$34)))))))</f>
        <v/>
      </c>
      <c r="J292" s="9"/>
      <c r="K292" s="10" t="str">
        <f aca="false">IF(AND(A292="",C292="",D292="",E292="",F292="",H292=""),"",IF(NOT(ISNUMBER(A292)),"Enter a date",IF(AND(F292&lt;&gt;"",OR(NOT(ISNUMBER(F292)),N(F292)&lt;0)),"Minutes must be a number of 0 or more",IF(G292="","Enter start and end times, or minutes",IF(C292="","Pick a machine",IF(SUMPRODUCT(--(Setup!$A$5:$A$34=C292))=0,"Machine not in Setup",IF(H292="","Pick a reason (counted as unclassified)",IF(I292="Not in Setup","Reason not in Setup (counted as unclassified)",IF(N(G292)=0,"0 minutes: not counted as a stop","OK")))))))))</f>
        <v/>
      </c>
    </row>
    <row r="293" customFormat="false" ht="15" hidden="false" customHeight="false" outlineLevel="0" collapsed="false">
      <c r="A293" s="11"/>
      <c r="B293" s="9"/>
      <c r="C293" s="9"/>
      <c r="D293" s="12"/>
      <c r="E293" s="12"/>
      <c r="F293" s="13"/>
      <c r="G293" s="14" t="str">
        <f aca="false">IF(F293&lt;&gt;"",IF(AND(ISNUMBER(F293),N(F293)&gt;=0),F293,""),IF(AND(ISNUMBER(D293),ISNUMBER(E293)),ROUND(MOD(E293-D293,1)*1440,0),""))</f>
        <v/>
      </c>
      <c r="H293" s="9"/>
      <c r="I293" s="10" t="str">
        <f aca="false">IF(H293="","",IF(SUMPRODUCT(MAX((Setup!$D$5:$D$34=H293)*(35-ROW(Setup!$D$5:$D$34))))=0,"Not in Setup",INDEX(Setup!$E$5:$E$34,31-SUMPRODUCT(MAX((Setup!$D$5:$D$34=H293)*(35-ROW(Setup!$D$5:$D$34)))))))</f>
        <v/>
      </c>
      <c r="J293" s="9"/>
      <c r="K293" s="10" t="str">
        <f aca="false">IF(AND(A293="",C293="",D293="",E293="",F293="",H293=""),"",IF(NOT(ISNUMBER(A293)),"Enter a date",IF(AND(F293&lt;&gt;"",OR(NOT(ISNUMBER(F293)),N(F293)&lt;0)),"Minutes must be a number of 0 or more",IF(G293="","Enter start and end times, or minutes",IF(C293="","Pick a machine",IF(SUMPRODUCT(--(Setup!$A$5:$A$34=C293))=0,"Machine not in Setup",IF(H293="","Pick a reason (counted as unclassified)",IF(I293="Not in Setup","Reason not in Setup (counted as unclassified)",IF(N(G293)=0,"0 minutes: not counted as a stop","OK")))))))))</f>
        <v/>
      </c>
    </row>
    <row r="294" customFormat="false" ht="15" hidden="false" customHeight="false" outlineLevel="0" collapsed="false">
      <c r="A294" s="11"/>
      <c r="B294" s="9"/>
      <c r="C294" s="9"/>
      <c r="D294" s="12"/>
      <c r="E294" s="12"/>
      <c r="F294" s="13"/>
      <c r="G294" s="14" t="str">
        <f aca="false">IF(F294&lt;&gt;"",IF(AND(ISNUMBER(F294),N(F294)&gt;=0),F294,""),IF(AND(ISNUMBER(D294),ISNUMBER(E294)),ROUND(MOD(E294-D294,1)*1440,0),""))</f>
        <v/>
      </c>
      <c r="H294" s="9"/>
      <c r="I294" s="10" t="str">
        <f aca="false">IF(H294="","",IF(SUMPRODUCT(MAX((Setup!$D$5:$D$34=H294)*(35-ROW(Setup!$D$5:$D$34))))=0,"Not in Setup",INDEX(Setup!$E$5:$E$34,31-SUMPRODUCT(MAX((Setup!$D$5:$D$34=H294)*(35-ROW(Setup!$D$5:$D$34)))))))</f>
        <v/>
      </c>
      <c r="J294" s="9"/>
      <c r="K294" s="10" t="str">
        <f aca="false">IF(AND(A294="",C294="",D294="",E294="",F294="",H294=""),"",IF(NOT(ISNUMBER(A294)),"Enter a date",IF(AND(F294&lt;&gt;"",OR(NOT(ISNUMBER(F294)),N(F294)&lt;0)),"Minutes must be a number of 0 or more",IF(G294="","Enter start and end times, or minutes",IF(C294="","Pick a machine",IF(SUMPRODUCT(--(Setup!$A$5:$A$34=C294))=0,"Machine not in Setup",IF(H294="","Pick a reason (counted as unclassified)",IF(I294="Not in Setup","Reason not in Setup (counted as unclassified)",IF(N(G294)=0,"0 minutes: not counted as a stop","OK")))))))))</f>
        <v/>
      </c>
    </row>
    <row r="295" customFormat="false" ht="15" hidden="false" customHeight="false" outlineLevel="0" collapsed="false">
      <c r="A295" s="11"/>
      <c r="B295" s="9"/>
      <c r="C295" s="9"/>
      <c r="D295" s="12"/>
      <c r="E295" s="12"/>
      <c r="F295" s="13"/>
      <c r="G295" s="14" t="str">
        <f aca="false">IF(F295&lt;&gt;"",IF(AND(ISNUMBER(F295),N(F295)&gt;=0),F295,""),IF(AND(ISNUMBER(D295),ISNUMBER(E295)),ROUND(MOD(E295-D295,1)*1440,0),""))</f>
        <v/>
      </c>
      <c r="H295" s="9"/>
      <c r="I295" s="10" t="str">
        <f aca="false">IF(H295="","",IF(SUMPRODUCT(MAX((Setup!$D$5:$D$34=H295)*(35-ROW(Setup!$D$5:$D$34))))=0,"Not in Setup",INDEX(Setup!$E$5:$E$34,31-SUMPRODUCT(MAX((Setup!$D$5:$D$34=H295)*(35-ROW(Setup!$D$5:$D$34)))))))</f>
        <v/>
      </c>
      <c r="J295" s="9"/>
      <c r="K295" s="10" t="str">
        <f aca="false">IF(AND(A295="",C295="",D295="",E295="",F295="",H295=""),"",IF(NOT(ISNUMBER(A295)),"Enter a date",IF(AND(F295&lt;&gt;"",OR(NOT(ISNUMBER(F295)),N(F295)&lt;0)),"Minutes must be a number of 0 or more",IF(G295="","Enter start and end times, or minutes",IF(C295="","Pick a machine",IF(SUMPRODUCT(--(Setup!$A$5:$A$34=C295))=0,"Machine not in Setup",IF(H295="","Pick a reason (counted as unclassified)",IF(I295="Not in Setup","Reason not in Setup (counted as unclassified)",IF(N(G295)=0,"0 minutes: not counted as a stop","OK")))))))))</f>
        <v/>
      </c>
    </row>
    <row r="296" customFormat="false" ht="15" hidden="false" customHeight="false" outlineLevel="0" collapsed="false">
      <c r="A296" s="11"/>
      <c r="B296" s="9"/>
      <c r="C296" s="9"/>
      <c r="D296" s="12"/>
      <c r="E296" s="12"/>
      <c r="F296" s="13"/>
      <c r="G296" s="14" t="str">
        <f aca="false">IF(F296&lt;&gt;"",IF(AND(ISNUMBER(F296),N(F296)&gt;=0),F296,""),IF(AND(ISNUMBER(D296),ISNUMBER(E296)),ROUND(MOD(E296-D296,1)*1440,0),""))</f>
        <v/>
      </c>
      <c r="H296" s="9"/>
      <c r="I296" s="10" t="str">
        <f aca="false">IF(H296="","",IF(SUMPRODUCT(MAX((Setup!$D$5:$D$34=H296)*(35-ROW(Setup!$D$5:$D$34))))=0,"Not in Setup",INDEX(Setup!$E$5:$E$34,31-SUMPRODUCT(MAX((Setup!$D$5:$D$34=H296)*(35-ROW(Setup!$D$5:$D$34)))))))</f>
        <v/>
      </c>
      <c r="J296" s="9"/>
      <c r="K296" s="10" t="str">
        <f aca="false">IF(AND(A296="",C296="",D296="",E296="",F296="",H296=""),"",IF(NOT(ISNUMBER(A296)),"Enter a date",IF(AND(F296&lt;&gt;"",OR(NOT(ISNUMBER(F296)),N(F296)&lt;0)),"Minutes must be a number of 0 or more",IF(G296="","Enter start and end times, or minutes",IF(C296="","Pick a machine",IF(SUMPRODUCT(--(Setup!$A$5:$A$34=C296))=0,"Machine not in Setup",IF(H296="","Pick a reason (counted as unclassified)",IF(I296="Not in Setup","Reason not in Setup (counted as unclassified)",IF(N(G296)=0,"0 minutes: not counted as a stop","OK")))))))))</f>
        <v/>
      </c>
    </row>
    <row r="297" customFormat="false" ht="15" hidden="false" customHeight="false" outlineLevel="0" collapsed="false">
      <c r="A297" s="11"/>
      <c r="B297" s="9"/>
      <c r="C297" s="9"/>
      <c r="D297" s="12"/>
      <c r="E297" s="12"/>
      <c r="F297" s="13"/>
      <c r="G297" s="14" t="str">
        <f aca="false">IF(F297&lt;&gt;"",IF(AND(ISNUMBER(F297),N(F297)&gt;=0),F297,""),IF(AND(ISNUMBER(D297),ISNUMBER(E297)),ROUND(MOD(E297-D297,1)*1440,0),""))</f>
        <v/>
      </c>
      <c r="H297" s="9"/>
      <c r="I297" s="10" t="str">
        <f aca="false">IF(H297="","",IF(SUMPRODUCT(MAX((Setup!$D$5:$D$34=H297)*(35-ROW(Setup!$D$5:$D$34))))=0,"Not in Setup",INDEX(Setup!$E$5:$E$34,31-SUMPRODUCT(MAX((Setup!$D$5:$D$34=H297)*(35-ROW(Setup!$D$5:$D$34)))))))</f>
        <v/>
      </c>
      <c r="J297" s="9"/>
      <c r="K297" s="10" t="str">
        <f aca="false">IF(AND(A297="",C297="",D297="",E297="",F297="",H297=""),"",IF(NOT(ISNUMBER(A297)),"Enter a date",IF(AND(F297&lt;&gt;"",OR(NOT(ISNUMBER(F297)),N(F297)&lt;0)),"Minutes must be a number of 0 or more",IF(G297="","Enter start and end times, or minutes",IF(C297="","Pick a machine",IF(SUMPRODUCT(--(Setup!$A$5:$A$34=C297))=0,"Machine not in Setup",IF(H297="","Pick a reason (counted as unclassified)",IF(I297="Not in Setup","Reason not in Setup (counted as unclassified)",IF(N(G297)=0,"0 minutes: not counted as a stop","OK")))))))))</f>
        <v/>
      </c>
    </row>
    <row r="298" customFormat="false" ht="15" hidden="false" customHeight="false" outlineLevel="0" collapsed="false">
      <c r="A298" s="11"/>
      <c r="B298" s="9"/>
      <c r="C298" s="9"/>
      <c r="D298" s="12"/>
      <c r="E298" s="12"/>
      <c r="F298" s="13"/>
      <c r="G298" s="14" t="str">
        <f aca="false">IF(F298&lt;&gt;"",IF(AND(ISNUMBER(F298),N(F298)&gt;=0),F298,""),IF(AND(ISNUMBER(D298),ISNUMBER(E298)),ROUND(MOD(E298-D298,1)*1440,0),""))</f>
        <v/>
      </c>
      <c r="H298" s="9"/>
      <c r="I298" s="10" t="str">
        <f aca="false">IF(H298="","",IF(SUMPRODUCT(MAX((Setup!$D$5:$D$34=H298)*(35-ROW(Setup!$D$5:$D$34))))=0,"Not in Setup",INDEX(Setup!$E$5:$E$34,31-SUMPRODUCT(MAX((Setup!$D$5:$D$34=H298)*(35-ROW(Setup!$D$5:$D$34)))))))</f>
        <v/>
      </c>
      <c r="J298" s="9"/>
      <c r="K298" s="10" t="str">
        <f aca="false">IF(AND(A298="",C298="",D298="",E298="",F298="",H298=""),"",IF(NOT(ISNUMBER(A298)),"Enter a date",IF(AND(F298&lt;&gt;"",OR(NOT(ISNUMBER(F298)),N(F298)&lt;0)),"Minutes must be a number of 0 or more",IF(G298="","Enter start and end times, or minutes",IF(C298="","Pick a machine",IF(SUMPRODUCT(--(Setup!$A$5:$A$34=C298))=0,"Machine not in Setup",IF(H298="","Pick a reason (counted as unclassified)",IF(I298="Not in Setup","Reason not in Setup (counted as unclassified)",IF(N(G298)=0,"0 minutes: not counted as a stop","OK")))))))))</f>
        <v/>
      </c>
    </row>
    <row r="299" customFormat="false" ht="15" hidden="false" customHeight="false" outlineLevel="0" collapsed="false">
      <c r="A299" s="11"/>
      <c r="B299" s="9"/>
      <c r="C299" s="9"/>
      <c r="D299" s="12"/>
      <c r="E299" s="12"/>
      <c r="F299" s="13"/>
      <c r="G299" s="14" t="str">
        <f aca="false">IF(F299&lt;&gt;"",IF(AND(ISNUMBER(F299),N(F299)&gt;=0),F299,""),IF(AND(ISNUMBER(D299),ISNUMBER(E299)),ROUND(MOD(E299-D299,1)*1440,0),""))</f>
        <v/>
      </c>
      <c r="H299" s="9"/>
      <c r="I299" s="10" t="str">
        <f aca="false">IF(H299="","",IF(SUMPRODUCT(MAX((Setup!$D$5:$D$34=H299)*(35-ROW(Setup!$D$5:$D$34))))=0,"Not in Setup",INDEX(Setup!$E$5:$E$34,31-SUMPRODUCT(MAX((Setup!$D$5:$D$34=H299)*(35-ROW(Setup!$D$5:$D$34)))))))</f>
        <v/>
      </c>
      <c r="J299" s="9"/>
      <c r="K299" s="10" t="str">
        <f aca="false">IF(AND(A299="",C299="",D299="",E299="",F299="",H299=""),"",IF(NOT(ISNUMBER(A299)),"Enter a date",IF(AND(F299&lt;&gt;"",OR(NOT(ISNUMBER(F299)),N(F299)&lt;0)),"Minutes must be a number of 0 or more",IF(G299="","Enter start and end times, or minutes",IF(C299="","Pick a machine",IF(SUMPRODUCT(--(Setup!$A$5:$A$34=C299))=0,"Machine not in Setup",IF(H299="","Pick a reason (counted as unclassified)",IF(I299="Not in Setup","Reason not in Setup (counted as unclassified)",IF(N(G299)=0,"0 minutes: not counted as a stop","OK")))))))))</f>
        <v/>
      </c>
    </row>
    <row r="300" customFormat="false" ht="15" hidden="false" customHeight="false" outlineLevel="0" collapsed="false">
      <c r="A300" s="11"/>
      <c r="B300" s="9"/>
      <c r="C300" s="9"/>
      <c r="D300" s="12"/>
      <c r="E300" s="12"/>
      <c r="F300" s="13"/>
      <c r="G300" s="14" t="str">
        <f aca="false">IF(F300&lt;&gt;"",IF(AND(ISNUMBER(F300),N(F300)&gt;=0),F300,""),IF(AND(ISNUMBER(D300),ISNUMBER(E300)),ROUND(MOD(E300-D300,1)*1440,0),""))</f>
        <v/>
      </c>
      <c r="H300" s="9"/>
      <c r="I300" s="10" t="str">
        <f aca="false">IF(H300="","",IF(SUMPRODUCT(MAX((Setup!$D$5:$D$34=H300)*(35-ROW(Setup!$D$5:$D$34))))=0,"Not in Setup",INDEX(Setup!$E$5:$E$34,31-SUMPRODUCT(MAX((Setup!$D$5:$D$34=H300)*(35-ROW(Setup!$D$5:$D$34)))))))</f>
        <v/>
      </c>
      <c r="J300" s="9"/>
      <c r="K300" s="10" t="str">
        <f aca="false">IF(AND(A300="",C300="",D300="",E300="",F300="",H300=""),"",IF(NOT(ISNUMBER(A300)),"Enter a date",IF(AND(F300&lt;&gt;"",OR(NOT(ISNUMBER(F300)),N(F300)&lt;0)),"Minutes must be a number of 0 or more",IF(G300="","Enter start and end times, or minutes",IF(C300="","Pick a machine",IF(SUMPRODUCT(--(Setup!$A$5:$A$34=C300))=0,"Machine not in Setup",IF(H300="","Pick a reason (counted as unclassified)",IF(I300="Not in Setup","Reason not in Setup (counted as unclassified)",IF(N(G300)=0,"0 minutes: not counted as a stop","OK")))))))))</f>
        <v/>
      </c>
    </row>
    <row r="301" customFormat="false" ht="15" hidden="false" customHeight="false" outlineLevel="0" collapsed="false">
      <c r="A301" s="11"/>
      <c r="B301" s="9"/>
      <c r="C301" s="9"/>
      <c r="D301" s="12"/>
      <c r="E301" s="12"/>
      <c r="F301" s="13"/>
      <c r="G301" s="14" t="str">
        <f aca="false">IF(F301&lt;&gt;"",IF(AND(ISNUMBER(F301),N(F301)&gt;=0),F301,""),IF(AND(ISNUMBER(D301),ISNUMBER(E301)),ROUND(MOD(E301-D301,1)*1440,0),""))</f>
        <v/>
      </c>
      <c r="H301" s="9"/>
      <c r="I301" s="10" t="str">
        <f aca="false">IF(H301="","",IF(SUMPRODUCT(MAX((Setup!$D$5:$D$34=H301)*(35-ROW(Setup!$D$5:$D$34))))=0,"Not in Setup",INDEX(Setup!$E$5:$E$34,31-SUMPRODUCT(MAX((Setup!$D$5:$D$34=H301)*(35-ROW(Setup!$D$5:$D$34)))))))</f>
        <v/>
      </c>
      <c r="J301" s="9"/>
      <c r="K301" s="10" t="str">
        <f aca="false">IF(AND(A301="",C301="",D301="",E301="",F301="",H301=""),"",IF(NOT(ISNUMBER(A301)),"Enter a date",IF(AND(F301&lt;&gt;"",OR(NOT(ISNUMBER(F301)),N(F301)&lt;0)),"Minutes must be a number of 0 or more",IF(G301="","Enter start and end times, or minutes",IF(C301="","Pick a machine",IF(SUMPRODUCT(--(Setup!$A$5:$A$34=C301))=0,"Machine not in Setup",IF(H301="","Pick a reason (counted as unclassified)",IF(I301="Not in Setup","Reason not in Setup (counted as unclassified)",IF(N(G301)=0,"0 minutes: not counted as a stop","OK")))))))))</f>
        <v/>
      </c>
    </row>
    <row r="302" customFormat="false" ht="15" hidden="false" customHeight="false" outlineLevel="0" collapsed="false">
      <c r="A302" s="11"/>
      <c r="B302" s="9"/>
      <c r="C302" s="9"/>
      <c r="D302" s="12"/>
      <c r="E302" s="12"/>
      <c r="F302" s="13"/>
      <c r="G302" s="14" t="str">
        <f aca="false">IF(F302&lt;&gt;"",IF(AND(ISNUMBER(F302),N(F302)&gt;=0),F302,""),IF(AND(ISNUMBER(D302),ISNUMBER(E302)),ROUND(MOD(E302-D302,1)*1440,0),""))</f>
        <v/>
      </c>
      <c r="H302" s="9"/>
      <c r="I302" s="10" t="str">
        <f aca="false">IF(H302="","",IF(SUMPRODUCT(MAX((Setup!$D$5:$D$34=H302)*(35-ROW(Setup!$D$5:$D$34))))=0,"Not in Setup",INDEX(Setup!$E$5:$E$34,31-SUMPRODUCT(MAX((Setup!$D$5:$D$34=H302)*(35-ROW(Setup!$D$5:$D$34)))))))</f>
        <v/>
      </c>
      <c r="J302" s="9"/>
      <c r="K302" s="10" t="str">
        <f aca="false">IF(AND(A302="",C302="",D302="",E302="",F302="",H302=""),"",IF(NOT(ISNUMBER(A302)),"Enter a date",IF(AND(F302&lt;&gt;"",OR(NOT(ISNUMBER(F302)),N(F302)&lt;0)),"Minutes must be a number of 0 or more",IF(G302="","Enter start and end times, or minutes",IF(C302="","Pick a machine",IF(SUMPRODUCT(--(Setup!$A$5:$A$34=C302))=0,"Machine not in Setup",IF(H302="","Pick a reason (counted as unclassified)",IF(I302="Not in Setup","Reason not in Setup (counted as unclassified)",IF(N(G302)=0,"0 minutes: not counted as a stop","OK")))))))))</f>
        <v/>
      </c>
    </row>
    <row r="303" customFormat="false" ht="15" hidden="false" customHeight="false" outlineLevel="0" collapsed="false">
      <c r="A303" s="11"/>
      <c r="B303" s="9"/>
      <c r="C303" s="9"/>
      <c r="D303" s="12"/>
      <c r="E303" s="12"/>
      <c r="F303" s="13"/>
      <c r="G303" s="14" t="str">
        <f aca="false">IF(F303&lt;&gt;"",IF(AND(ISNUMBER(F303),N(F303)&gt;=0),F303,""),IF(AND(ISNUMBER(D303),ISNUMBER(E303)),ROUND(MOD(E303-D303,1)*1440,0),""))</f>
        <v/>
      </c>
      <c r="H303" s="9"/>
      <c r="I303" s="10" t="str">
        <f aca="false">IF(H303="","",IF(SUMPRODUCT(MAX((Setup!$D$5:$D$34=H303)*(35-ROW(Setup!$D$5:$D$34))))=0,"Not in Setup",INDEX(Setup!$E$5:$E$34,31-SUMPRODUCT(MAX((Setup!$D$5:$D$34=H303)*(35-ROW(Setup!$D$5:$D$34)))))))</f>
        <v/>
      </c>
      <c r="J303" s="9"/>
      <c r="K303" s="10" t="str">
        <f aca="false">IF(AND(A303="",C303="",D303="",E303="",F303="",H303=""),"",IF(NOT(ISNUMBER(A303)),"Enter a date",IF(AND(F303&lt;&gt;"",OR(NOT(ISNUMBER(F303)),N(F303)&lt;0)),"Minutes must be a number of 0 or more",IF(G303="","Enter start and end times, or minutes",IF(C303="","Pick a machine",IF(SUMPRODUCT(--(Setup!$A$5:$A$34=C303))=0,"Machine not in Setup",IF(H303="","Pick a reason (counted as unclassified)",IF(I303="Not in Setup","Reason not in Setup (counted as unclassified)",IF(N(G303)=0,"0 minutes: not counted as a stop","OK")))))))))</f>
        <v/>
      </c>
    </row>
    <row r="304" customFormat="false" ht="15" hidden="false" customHeight="false" outlineLevel="0" collapsed="false">
      <c r="A304" s="11"/>
      <c r="B304" s="9"/>
      <c r="C304" s="9"/>
      <c r="D304" s="12"/>
      <c r="E304" s="12"/>
      <c r="F304" s="13"/>
      <c r="G304" s="14" t="str">
        <f aca="false">IF(F304&lt;&gt;"",IF(AND(ISNUMBER(F304),N(F304)&gt;=0),F304,""),IF(AND(ISNUMBER(D304),ISNUMBER(E304)),ROUND(MOD(E304-D304,1)*1440,0),""))</f>
        <v/>
      </c>
      <c r="H304" s="9"/>
      <c r="I304" s="10" t="str">
        <f aca="false">IF(H304="","",IF(SUMPRODUCT(MAX((Setup!$D$5:$D$34=H304)*(35-ROW(Setup!$D$5:$D$34))))=0,"Not in Setup",INDEX(Setup!$E$5:$E$34,31-SUMPRODUCT(MAX((Setup!$D$5:$D$34=H304)*(35-ROW(Setup!$D$5:$D$34)))))))</f>
        <v/>
      </c>
      <c r="J304" s="9"/>
      <c r="K304" s="10" t="str">
        <f aca="false">IF(AND(A304="",C304="",D304="",E304="",F304="",H304=""),"",IF(NOT(ISNUMBER(A304)),"Enter a date",IF(AND(F304&lt;&gt;"",OR(NOT(ISNUMBER(F304)),N(F304)&lt;0)),"Minutes must be a number of 0 or more",IF(G304="","Enter start and end times, or minutes",IF(C304="","Pick a machine",IF(SUMPRODUCT(--(Setup!$A$5:$A$34=C304))=0,"Machine not in Setup",IF(H304="","Pick a reason (counted as unclassified)",IF(I304="Not in Setup","Reason not in Setup (counted as unclassified)",IF(N(G304)=0,"0 minutes: not counted as a stop","OK")))))))))</f>
        <v/>
      </c>
    </row>
    <row r="305" customFormat="false" ht="15" hidden="false" customHeight="false" outlineLevel="0" collapsed="false">
      <c r="A305" s="11"/>
      <c r="B305" s="9"/>
      <c r="C305" s="9"/>
      <c r="D305" s="12"/>
      <c r="E305" s="12"/>
      <c r="F305" s="13"/>
      <c r="G305" s="14" t="str">
        <f aca="false">IF(F305&lt;&gt;"",IF(AND(ISNUMBER(F305),N(F305)&gt;=0),F305,""),IF(AND(ISNUMBER(D305),ISNUMBER(E305)),ROUND(MOD(E305-D305,1)*1440,0),""))</f>
        <v/>
      </c>
      <c r="H305" s="9"/>
      <c r="I305" s="10" t="str">
        <f aca="false">IF(H305="","",IF(SUMPRODUCT(MAX((Setup!$D$5:$D$34=H305)*(35-ROW(Setup!$D$5:$D$34))))=0,"Not in Setup",INDEX(Setup!$E$5:$E$34,31-SUMPRODUCT(MAX((Setup!$D$5:$D$34=H305)*(35-ROW(Setup!$D$5:$D$34)))))))</f>
        <v/>
      </c>
      <c r="J305" s="9"/>
      <c r="K305" s="10" t="str">
        <f aca="false">IF(AND(A305="",C305="",D305="",E305="",F305="",H305=""),"",IF(NOT(ISNUMBER(A305)),"Enter a date",IF(AND(F305&lt;&gt;"",OR(NOT(ISNUMBER(F305)),N(F305)&lt;0)),"Minutes must be a number of 0 or more",IF(G305="","Enter start and end times, or minutes",IF(C305="","Pick a machine",IF(SUMPRODUCT(--(Setup!$A$5:$A$34=C305))=0,"Machine not in Setup",IF(H305="","Pick a reason (counted as unclassified)",IF(I305="Not in Setup","Reason not in Setup (counted as unclassified)",IF(N(G305)=0,"0 minutes: not counted as a stop","OK")))))))))</f>
        <v/>
      </c>
    </row>
    <row r="306" customFormat="false" ht="15" hidden="false" customHeight="false" outlineLevel="0" collapsed="false">
      <c r="A306" s="11"/>
      <c r="B306" s="9"/>
      <c r="C306" s="9"/>
      <c r="D306" s="12"/>
      <c r="E306" s="12"/>
      <c r="F306" s="13"/>
      <c r="G306" s="14" t="str">
        <f aca="false">IF(F306&lt;&gt;"",IF(AND(ISNUMBER(F306),N(F306)&gt;=0),F306,""),IF(AND(ISNUMBER(D306),ISNUMBER(E306)),ROUND(MOD(E306-D306,1)*1440,0),""))</f>
        <v/>
      </c>
      <c r="H306" s="9"/>
      <c r="I306" s="10" t="str">
        <f aca="false">IF(H306="","",IF(SUMPRODUCT(MAX((Setup!$D$5:$D$34=H306)*(35-ROW(Setup!$D$5:$D$34))))=0,"Not in Setup",INDEX(Setup!$E$5:$E$34,31-SUMPRODUCT(MAX((Setup!$D$5:$D$34=H306)*(35-ROW(Setup!$D$5:$D$34)))))))</f>
        <v/>
      </c>
      <c r="J306" s="9"/>
      <c r="K306" s="10" t="str">
        <f aca="false">IF(AND(A306="",C306="",D306="",E306="",F306="",H306=""),"",IF(NOT(ISNUMBER(A306)),"Enter a date",IF(AND(F306&lt;&gt;"",OR(NOT(ISNUMBER(F306)),N(F306)&lt;0)),"Minutes must be a number of 0 or more",IF(G306="","Enter start and end times, or minutes",IF(C306="","Pick a machine",IF(SUMPRODUCT(--(Setup!$A$5:$A$34=C306))=0,"Machine not in Setup",IF(H306="","Pick a reason (counted as unclassified)",IF(I306="Not in Setup","Reason not in Setup (counted as unclassified)",IF(N(G306)=0,"0 minutes: not counted as a stop","OK")))))))))</f>
        <v/>
      </c>
    </row>
    <row r="307" customFormat="false" ht="15" hidden="false" customHeight="false" outlineLevel="0" collapsed="false">
      <c r="A307" s="11"/>
      <c r="B307" s="9"/>
      <c r="C307" s="9"/>
      <c r="D307" s="12"/>
      <c r="E307" s="12"/>
      <c r="F307" s="13"/>
      <c r="G307" s="14" t="str">
        <f aca="false">IF(F307&lt;&gt;"",IF(AND(ISNUMBER(F307),N(F307)&gt;=0),F307,""),IF(AND(ISNUMBER(D307),ISNUMBER(E307)),ROUND(MOD(E307-D307,1)*1440,0),""))</f>
        <v/>
      </c>
      <c r="H307" s="9"/>
      <c r="I307" s="10" t="str">
        <f aca="false">IF(H307="","",IF(SUMPRODUCT(MAX((Setup!$D$5:$D$34=H307)*(35-ROW(Setup!$D$5:$D$34))))=0,"Not in Setup",INDEX(Setup!$E$5:$E$34,31-SUMPRODUCT(MAX((Setup!$D$5:$D$34=H307)*(35-ROW(Setup!$D$5:$D$34)))))))</f>
        <v/>
      </c>
      <c r="J307" s="9"/>
      <c r="K307" s="10" t="str">
        <f aca="false">IF(AND(A307="",C307="",D307="",E307="",F307="",H307=""),"",IF(NOT(ISNUMBER(A307)),"Enter a date",IF(AND(F307&lt;&gt;"",OR(NOT(ISNUMBER(F307)),N(F307)&lt;0)),"Minutes must be a number of 0 or more",IF(G307="","Enter start and end times, or minutes",IF(C307="","Pick a machine",IF(SUMPRODUCT(--(Setup!$A$5:$A$34=C307))=0,"Machine not in Setup",IF(H307="","Pick a reason (counted as unclassified)",IF(I307="Not in Setup","Reason not in Setup (counted as unclassified)",IF(N(G307)=0,"0 minutes: not counted as a stop","OK")))))))))</f>
        <v/>
      </c>
    </row>
    <row r="308" customFormat="false" ht="15" hidden="false" customHeight="false" outlineLevel="0" collapsed="false">
      <c r="A308" s="11"/>
      <c r="B308" s="9"/>
      <c r="C308" s="9"/>
      <c r="D308" s="12"/>
      <c r="E308" s="12"/>
      <c r="F308" s="13"/>
      <c r="G308" s="14" t="str">
        <f aca="false">IF(F308&lt;&gt;"",IF(AND(ISNUMBER(F308),N(F308)&gt;=0),F308,""),IF(AND(ISNUMBER(D308),ISNUMBER(E308)),ROUND(MOD(E308-D308,1)*1440,0),""))</f>
        <v/>
      </c>
      <c r="H308" s="9"/>
      <c r="I308" s="10" t="str">
        <f aca="false">IF(H308="","",IF(SUMPRODUCT(MAX((Setup!$D$5:$D$34=H308)*(35-ROW(Setup!$D$5:$D$34))))=0,"Not in Setup",INDEX(Setup!$E$5:$E$34,31-SUMPRODUCT(MAX((Setup!$D$5:$D$34=H308)*(35-ROW(Setup!$D$5:$D$34)))))))</f>
        <v/>
      </c>
      <c r="J308" s="9"/>
      <c r="K308" s="10" t="str">
        <f aca="false">IF(AND(A308="",C308="",D308="",E308="",F308="",H308=""),"",IF(NOT(ISNUMBER(A308)),"Enter a date",IF(AND(F308&lt;&gt;"",OR(NOT(ISNUMBER(F308)),N(F308)&lt;0)),"Minutes must be a number of 0 or more",IF(G308="","Enter start and end times, or minutes",IF(C308="","Pick a machine",IF(SUMPRODUCT(--(Setup!$A$5:$A$34=C308))=0,"Machine not in Setup",IF(H308="","Pick a reason (counted as unclassified)",IF(I308="Not in Setup","Reason not in Setup (counted as unclassified)",IF(N(G308)=0,"0 minutes: not counted as a stop","OK")))))))))</f>
        <v/>
      </c>
    </row>
    <row r="309" customFormat="false" ht="15" hidden="false" customHeight="false" outlineLevel="0" collapsed="false">
      <c r="A309" s="11"/>
      <c r="B309" s="9"/>
      <c r="C309" s="9"/>
      <c r="D309" s="12"/>
      <c r="E309" s="12"/>
      <c r="F309" s="13"/>
      <c r="G309" s="14" t="str">
        <f aca="false">IF(F309&lt;&gt;"",IF(AND(ISNUMBER(F309),N(F309)&gt;=0),F309,""),IF(AND(ISNUMBER(D309),ISNUMBER(E309)),ROUND(MOD(E309-D309,1)*1440,0),""))</f>
        <v/>
      </c>
      <c r="H309" s="9"/>
      <c r="I309" s="10" t="str">
        <f aca="false">IF(H309="","",IF(SUMPRODUCT(MAX((Setup!$D$5:$D$34=H309)*(35-ROW(Setup!$D$5:$D$34))))=0,"Not in Setup",INDEX(Setup!$E$5:$E$34,31-SUMPRODUCT(MAX((Setup!$D$5:$D$34=H309)*(35-ROW(Setup!$D$5:$D$34)))))))</f>
        <v/>
      </c>
      <c r="J309" s="9"/>
      <c r="K309" s="10" t="str">
        <f aca="false">IF(AND(A309="",C309="",D309="",E309="",F309="",H309=""),"",IF(NOT(ISNUMBER(A309)),"Enter a date",IF(AND(F309&lt;&gt;"",OR(NOT(ISNUMBER(F309)),N(F309)&lt;0)),"Minutes must be a number of 0 or more",IF(G309="","Enter start and end times, or minutes",IF(C309="","Pick a machine",IF(SUMPRODUCT(--(Setup!$A$5:$A$34=C309))=0,"Machine not in Setup",IF(H309="","Pick a reason (counted as unclassified)",IF(I309="Not in Setup","Reason not in Setup (counted as unclassified)",IF(N(G309)=0,"0 minutes: not counted as a stop","OK")))))))))</f>
        <v/>
      </c>
    </row>
    <row r="310" customFormat="false" ht="15" hidden="false" customHeight="false" outlineLevel="0" collapsed="false">
      <c r="A310" s="11"/>
      <c r="B310" s="9"/>
      <c r="C310" s="9"/>
      <c r="D310" s="12"/>
      <c r="E310" s="12"/>
      <c r="F310" s="13"/>
      <c r="G310" s="14" t="str">
        <f aca="false">IF(F310&lt;&gt;"",IF(AND(ISNUMBER(F310),N(F310)&gt;=0),F310,""),IF(AND(ISNUMBER(D310),ISNUMBER(E310)),ROUND(MOD(E310-D310,1)*1440,0),""))</f>
        <v/>
      </c>
      <c r="H310" s="9"/>
      <c r="I310" s="10" t="str">
        <f aca="false">IF(H310="","",IF(SUMPRODUCT(MAX((Setup!$D$5:$D$34=H310)*(35-ROW(Setup!$D$5:$D$34))))=0,"Not in Setup",INDEX(Setup!$E$5:$E$34,31-SUMPRODUCT(MAX((Setup!$D$5:$D$34=H310)*(35-ROW(Setup!$D$5:$D$34)))))))</f>
        <v/>
      </c>
      <c r="J310" s="9"/>
      <c r="K310" s="10" t="str">
        <f aca="false">IF(AND(A310="",C310="",D310="",E310="",F310="",H310=""),"",IF(NOT(ISNUMBER(A310)),"Enter a date",IF(AND(F310&lt;&gt;"",OR(NOT(ISNUMBER(F310)),N(F310)&lt;0)),"Minutes must be a number of 0 or more",IF(G310="","Enter start and end times, or minutes",IF(C310="","Pick a machine",IF(SUMPRODUCT(--(Setup!$A$5:$A$34=C310))=0,"Machine not in Setup",IF(H310="","Pick a reason (counted as unclassified)",IF(I310="Not in Setup","Reason not in Setup (counted as unclassified)",IF(N(G310)=0,"0 minutes: not counted as a stop","OK")))))))))</f>
        <v/>
      </c>
    </row>
    <row r="311" customFormat="false" ht="15" hidden="false" customHeight="false" outlineLevel="0" collapsed="false">
      <c r="A311" s="11"/>
      <c r="B311" s="9"/>
      <c r="C311" s="9"/>
      <c r="D311" s="12"/>
      <c r="E311" s="12"/>
      <c r="F311" s="13"/>
      <c r="G311" s="14" t="str">
        <f aca="false">IF(F311&lt;&gt;"",IF(AND(ISNUMBER(F311),N(F311)&gt;=0),F311,""),IF(AND(ISNUMBER(D311),ISNUMBER(E311)),ROUND(MOD(E311-D311,1)*1440,0),""))</f>
        <v/>
      </c>
      <c r="H311" s="9"/>
      <c r="I311" s="10" t="str">
        <f aca="false">IF(H311="","",IF(SUMPRODUCT(MAX((Setup!$D$5:$D$34=H311)*(35-ROW(Setup!$D$5:$D$34))))=0,"Not in Setup",INDEX(Setup!$E$5:$E$34,31-SUMPRODUCT(MAX((Setup!$D$5:$D$34=H311)*(35-ROW(Setup!$D$5:$D$34)))))))</f>
        <v/>
      </c>
      <c r="J311" s="9"/>
      <c r="K311" s="10" t="str">
        <f aca="false">IF(AND(A311="",C311="",D311="",E311="",F311="",H311=""),"",IF(NOT(ISNUMBER(A311)),"Enter a date",IF(AND(F311&lt;&gt;"",OR(NOT(ISNUMBER(F311)),N(F311)&lt;0)),"Minutes must be a number of 0 or more",IF(G311="","Enter start and end times, or minutes",IF(C311="","Pick a machine",IF(SUMPRODUCT(--(Setup!$A$5:$A$34=C311))=0,"Machine not in Setup",IF(H311="","Pick a reason (counted as unclassified)",IF(I311="Not in Setup","Reason not in Setup (counted as unclassified)",IF(N(G311)=0,"0 minutes: not counted as a stop","OK")))))))))</f>
        <v/>
      </c>
    </row>
    <row r="312" customFormat="false" ht="15" hidden="false" customHeight="false" outlineLevel="0" collapsed="false">
      <c r="A312" s="11"/>
      <c r="B312" s="9"/>
      <c r="C312" s="9"/>
      <c r="D312" s="12"/>
      <c r="E312" s="12"/>
      <c r="F312" s="13"/>
      <c r="G312" s="14" t="str">
        <f aca="false">IF(F312&lt;&gt;"",IF(AND(ISNUMBER(F312),N(F312)&gt;=0),F312,""),IF(AND(ISNUMBER(D312),ISNUMBER(E312)),ROUND(MOD(E312-D312,1)*1440,0),""))</f>
        <v/>
      </c>
      <c r="H312" s="9"/>
      <c r="I312" s="10" t="str">
        <f aca="false">IF(H312="","",IF(SUMPRODUCT(MAX((Setup!$D$5:$D$34=H312)*(35-ROW(Setup!$D$5:$D$34))))=0,"Not in Setup",INDEX(Setup!$E$5:$E$34,31-SUMPRODUCT(MAX((Setup!$D$5:$D$34=H312)*(35-ROW(Setup!$D$5:$D$34)))))))</f>
        <v/>
      </c>
      <c r="J312" s="9"/>
      <c r="K312" s="10" t="str">
        <f aca="false">IF(AND(A312="",C312="",D312="",E312="",F312="",H312=""),"",IF(NOT(ISNUMBER(A312)),"Enter a date",IF(AND(F312&lt;&gt;"",OR(NOT(ISNUMBER(F312)),N(F312)&lt;0)),"Minutes must be a number of 0 or more",IF(G312="","Enter start and end times, or minutes",IF(C312="","Pick a machine",IF(SUMPRODUCT(--(Setup!$A$5:$A$34=C312))=0,"Machine not in Setup",IF(H312="","Pick a reason (counted as unclassified)",IF(I312="Not in Setup","Reason not in Setup (counted as unclassified)",IF(N(G312)=0,"0 minutes: not counted as a stop","OK")))))))))</f>
        <v/>
      </c>
    </row>
    <row r="313" customFormat="false" ht="15" hidden="false" customHeight="false" outlineLevel="0" collapsed="false">
      <c r="A313" s="11"/>
      <c r="B313" s="9"/>
      <c r="C313" s="9"/>
      <c r="D313" s="12"/>
      <c r="E313" s="12"/>
      <c r="F313" s="13"/>
      <c r="G313" s="14" t="str">
        <f aca="false">IF(F313&lt;&gt;"",IF(AND(ISNUMBER(F313),N(F313)&gt;=0),F313,""),IF(AND(ISNUMBER(D313),ISNUMBER(E313)),ROUND(MOD(E313-D313,1)*1440,0),""))</f>
        <v/>
      </c>
      <c r="H313" s="9"/>
      <c r="I313" s="10" t="str">
        <f aca="false">IF(H313="","",IF(SUMPRODUCT(MAX((Setup!$D$5:$D$34=H313)*(35-ROW(Setup!$D$5:$D$34))))=0,"Not in Setup",INDEX(Setup!$E$5:$E$34,31-SUMPRODUCT(MAX((Setup!$D$5:$D$34=H313)*(35-ROW(Setup!$D$5:$D$34)))))))</f>
        <v/>
      </c>
      <c r="J313" s="9"/>
      <c r="K313" s="10" t="str">
        <f aca="false">IF(AND(A313="",C313="",D313="",E313="",F313="",H313=""),"",IF(NOT(ISNUMBER(A313)),"Enter a date",IF(AND(F313&lt;&gt;"",OR(NOT(ISNUMBER(F313)),N(F313)&lt;0)),"Minutes must be a number of 0 or more",IF(G313="","Enter start and end times, or minutes",IF(C313="","Pick a machine",IF(SUMPRODUCT(--(Setup!$A$5:$A$34=C313))=0,"Machine not in Setup",IF(H313="","Pick a reason (counted as unclassified)",IF(I313="Not in Setup","Reason not in Setup (counted as unclassified)",IF(N(G313)=0,"0 minutes: not counted as a stop","OK")))))))))</f>
        <v/>
      </c>
    </row>
    <row r="314" customFormat="false" ht="15" hidden="false" customHeight="false" outlineLevel="0" collapsed="false">
      <c r="A314" s="11"/>
      <c r="B314" s="9"/>
      <c r="C314" s="9"/>
      <c r="D314" s="12"/>
      <c r="E314" s="12"/>
      <c r="F314" s="13"/>
      <c r="G314" s="14" t="str">
        <f aca="false">IF(F314&lt;&gt;"",IF(AND(ISNUMBER(F314),N(F314)&gt;=0),F314,""),IF(AND(ISNUMBER(D314),ISNUMBER(E314)),ROUND(MOD(E314-D314,1)*1440,0),""))</f>
        <v/>
      </c>
      <c r="H314" s="9"/>
      <c r="I314" s="10" t="str">
        <f aca="false">IF(H314="","",IF(SUMPRODUCT(MAX((Setup!$D$5:$D$34=H314)*(35-ROW(Setup!$D$5:$D$34))))=0,"Not in Setup",INDEX(Setup!$E$5:$E$34,31-SUMPRODUCT(MAX((Setup!$D$5:$D$34=H314)*(35-ROW(Setup!$D$5:$D$34)))))))</f>
        <v/>
      </c>
      <c r="J314" s="9"/>
      <c r="K314" s="10" t="str">
        <f aca="false">IF(AND(A314="",C314="",D314="",E314="",F314="",H314=""),"",IF(NOT(ISNUMBER(A314)),"Enter a date",IF(AND(F314&lt;&gt;"",OR(NOT(ISNUMBER(F314)),N(F314)&lt;0)),"Minutes must be a number of 0 or more",IF(G314="","Enter start and end times, or minutes",IF(C314="","Pick a machine",IF(SUMPRODUCT(--(Setup!$A$5:$A$34=C314))=0,"Machine not in Setup",IF(H314="","Pick a reason (counted as unclassified)",IF(I314="Not in Setup","Reason not in Setup (counted as unclassified)",IF(N(G314)=0,"0 minutes: not counted as a stop","OK")))))))))</f>
        <v/>
      </c>
    </row>
    <row r="315" customFormat="false" ht="15" hidden="false" customHeight="false" outlineLevel="0" collapsed="false">
      <c r="A315" s="11"/>
      <c r="B315" s="9"/>
      <c r="C315" s="9"/>
      <c r="D315" s="12"/>
      <c r="E315" s="12"/>
      <c r="F315" s="13"/>
      <c r="G315" s="14" t="str">
        <f aca="false">IF(F315&lt;&gt;"",IF(AND(ISNUMBER(F315),N(F315)&gt;=0),F315,""),IF(AND(ISNUMBER(D315),ISNUMBER(E315)),ROUND(MOD(E315-D315,1)*1440,0),""))</f>
        <v/>
      </c>
      <c r="H315" s="9"/>
      <c r="I315" s="10" t="str">
        <f aca="false">IF(H315="","",IF(SUMPRODUCT(MAX((Setup!$D$5:$D$34=H315)*(35-ROW(Setup!$D$5:$D$34))))=0,"Not in Setup",INDEX(Setup!$E$5:$E$34,31-SUMPRODUCT(MAX((Setup!$D$5:$D$34=H315)*(35-ROW(Setup!$D$5:$D$34)))))))</f>
        <v/>
      </c>
      <c r="J315" s="9"/>
      <c r="K315" s="10" t="str">
        <f aca="false">IF(AND(A315="",C315="",D315="",E315="",F315="",H315=""),"",IF(NOT(ISNUMBER(A315)),"Enter a date",IF(AND(F315&lt;&gt;"",OR(NOT(ISNUMBER(F315)),N(F315)&lt;0)),"Minutes must be a number of 0 or more",IF(G315="","Enter start and end times, or minutes",IF(C315="","Pick a machine",IF(SUMPRODUCT(--(Setup!$A$5:$A$34=C315))=0,"Machine not in Setup",IF(H315="","Pick a reason (counted as unclassified)",IF(I315="Not in Setup","Reason not in Setup (counted as unclassified)",IF(N(G315)=0,"0 minutes: not counted as a stop","OK")))))))))</f>
        <v/>
      </c>
    </row>
    <row r="316" customFormat="false" ht="15" hidden="false" customHeight="false" outlineLevel="0" collapsed="false">
      <c r="A316" s="11"/>
      <c r="B316" s="9"/>
      <c r="C316" s="9"/>
      <c r="D316" s="12"/>
      <c r="E316" s="12"/>
      <c r="F316" s="13"/>
      <c r="G316" s="14" t="str">
        <f aca="false">IF(F316&lt;&gt;"",IF(AND(ISNUMBER(F316),N(F316)&gt;=0),F316,""),IF(AND(ISNUMBER(D316),ISNUMBER(E316)),ROUND(MOD(E316-D316,1)*1440,0),""))</f>
        <v/>
      </c>
      <c r="H316" s="9"/>
      <c r="I316" s="10" t="str">
        <f aca="false">IF(H316="","",IF(SUMPRODUCT(MAX((Setup!$D$5:$D$34=H316)*(35-ROW(Setup!$D$5:$D$34))))=0,"Not in Setup",INDEX(Setup!$E$5:$E$34,31-SUMPRODUCT(MAX((Setup!$D$5:$D$34=H316)*(35-ROW(Setup!$D$5:$D$34)))))))</f>
        <v/>
      </c>
      <c r="J316" s="9"/>
      <c r="K316" s="10" t="str">
        <f aca="false">IF(AND(A316="",C316="",D316="",E316="",F316="",H316=""),"",IF(NOT(ISNUMBER(A316)),"Enter a date",IF(AND(F316&lt;&gt;"",OR(NOT(ISNUMBER(F316)),N(F316)&lt;0)),"Minutes must be a number of 0 or more",IF(G316="","Enter start and end times, or minutes",IF(C316="","Pick a machine",IF(SUMPRODUCT(--(Setup!$A$5:$A$34=C316))=0,"Machine not in Setup",IF(H316="","Pick a reason (counted as unclassified)",IF(I316="Not in Setup","Reason not in Setup (counted as unclassified)",IF(N(G316)=0,"0 minutes: not counted as a stop","OK")))))))))</f>
        <v/>
      </c>
    </row>
    <row r="317" customFormat="false" ht="15" hidden="false" customHeight="false" outlineLevel="0" collapsed="false">
      <c r="A317" s="11"/>
      <c r="B317" s="9"/>
      <c r="C317" s="9"/>
      <c r="D317" s="12"/>
      <c r="E317" s="12"/>
      <c r="F317" s="13"/>
      <c r="G317" s="14" t="str">
        <f aca="false">IF(F317&lt;&gt;"",IF(AND(ISNUMBER(F317),N(F317)&gt;=0),F317,""),IF(AND(ISNUMBER(D317),ISNUMBER(E317)),ROUND(MOD(E317-D317,1)*1440,0),""))</f>
        <v/>
      </c>
      <c r="H317" s="9"/>
      <c r="I317" s="10" t="str">
        <f aca="false">IF(H317="","",IF(SUMPRODUCT(MAX((Setup!$D$5:$D$34=H317)*(35-ROW(Setup!$D$5:$D$34))))=0,"Not in Setup",INDEX(Setup!$E$5:$E$34,31-SUMPRODUCT(MAX((Setup!$D$5:$D$34=H317)*(35-ROW(Setup!$D$5:$D$34)))))))</f>
        <v/>
      </c>
      <c r="J317" s="9"/>
      <c r="K317" s="10" t="str">
        <f aca="false">IF(AND(A317="",C317="",D317="",E317="",F317="",H317=""),"",IF(NOT(ISNUMBER(A317)),"Enter a date",IF(AND(F317&lt;&gt;"",OR(NOT(ISNUMBER(F317)),N(F317)&lt;0)),"Minutes must be a number of 0 or more",IF(G317="","Enter start and end times, or minutes",IF(C317="","Pick a machine",IF(SUMPRODUCT(--(Setup!$A$5:$A$34=C317))=0,"Machine not in Setup",IF(H317="","Pick a reason (counted as unclassified)",IF(I317="Not in Setup","Reason not in Setup (counted as unclassified)",IF(N(G317)=0,"0 minutes: not counted as a stop","OK")))))))))</f>
        <v/>
      </c>
    </row>
    <row r="318" customFormat="false" ht="15" hidden="false" customHeight="false" outlineLevel="0" collapsed="false">
      <c r="A318" s="11"/>
      <c r="B318" s="9"/>
      <c r="C318" s="9"/>
      <c r="D318" s="12"/>
      <c r="E318" s="12"/>
      <c r="F318" s="13"/>
      <c r="G318" s="14" t="str">
        <f aca="false">IF(F318&lt;&gt;"",IF(AND(ISNUMBER(F318),N(F318)&gt;=0),F318,""),IF(AND(ISNUMBER(D318),ISNUMBER(E318)),ROUND(MOD(E318-D318,1)*1440,0),""))</f>
        <v/>
      </c>
      <c r="H318" s="9"/>
      <c r="I318" s="10" t="str">
        <f aca="false">IF(H318="","",IF(SUMPRODUCT(MAX((Setup!$D$5:$D$34=H318)*(35-ROW(Setup!$D$5:$D$34))))=0,"Not in Setup",INDEX(Setup!$E$5:$E$34,31-SUMPRODUCT(MAX((Setup!$D$5:$D$34=H318)*(35-ROW(Setup!$D$5:$D$34)))))))</f>
        <v/>
      </c>
      <c r="J318" s="9"/>
      <c r="K318" s="10" t="str">
        <f aca="false">IF(AND(A318="",C318="",D318="",E318="",F318="",H318=""),"",IF(NOT(ISNUMBER(A318)),"Enter a date",IF(AND(F318&lt;&gt;"",OR(NOT(ISNUMBER(F318)),N(F318)&lt;0)),"Minutes must be a number of 0 or more",IF(G318="","Enter start and end times, or minutes",IF(C318="","Pick a machine",IF(SUMPRODUCT(--(Setup!$A$5:$A$34=C318))=0,"Machine not in Setup",IF(H318="","Pick a reason (counted as unclassified)",IF(I318="Not in Setup","Reason not in Setup (counted as unclassified)",IF(N(G318)=0,"0 minutes: not counted as a stop","OK")))))))))</f>
        <v/>
      </c>
    </row>
    <row r="319" customFormat="false" ht="15" hidden="false" customHeight="false" outlineLevel="0" collapsed="false">
      <c r="A319" s="11"/>
      <c r="B319" s="9"/>
      <c r="C319" s="9"/>
      <c r="D319" s="12"/>
      <c r="E319" s="12"/>
      <c r="F319" s="13"/>
      <c r="G319" s="14" t="str">
        <f aca="false">IF(F319&lt;&gt;"",IF(AND(ISNUMBER(F319),N(F319)&gt;=0),F319,""),IF(AND(ISNUMBER(D319),ISNUMBER(E319)),ROUND(MOD(E319-D319,1)*1440,0),""))</f>
        <v/>
      </c>
      <c r="H319" s="9"/>
      <c r="I319" s="10" t="str">
        <f aca="false">IF(H319="","",IF(SUMPRODUCT(MAX((Setup!$D$5:$D$34=H319)*(35-ROW(Setup!$D$5:$D$34))))=0,"Not in Setup",INDEX(Setup!$E$5:$E$34,31-SUMPRODUCT(MAX((Setup!$D$5:$D$34=H319)*(35-ROW(Setup!$D$5:$D$34)))))))</f>
        <v/>
      </c>
      <c r="J319" s="9"/>
      <c r="K319" s="10" t="str">
        <f aca="false">IF(AND(A319="",C319="",D319="",E319="",F319="",H319=""),"",IF(NOT(ISNUMBER(A319)),"Enter a date",IF(AND(F319&lt;&gt;"",OR(NOT(ISNUMBER(F319)),N(F319)&lt;0)),"Minutes must be a number of 0 or more",IF(G319="","Enter start and end times, or minutes",IF(C319="","Pick a machine",IF(SUMPRODUCT(--(Setup!$A$5:$A$34=C319))=0,"Machine not in Setup",IF(H319="","Pick a reason (counted as unclassified)",IF(I319="Not in Setup","Reason not in Setup (counted as unclassified)",IF(N(G319)=0,"0 minutes: not counted as a stop","OK")))))))))</f>
        <v/>
      </c>
    </row>
    <row r="320" customFormat="false" ht="15" hidden="false" customHeight="false" outlineLevel="0" collapsed="false">
      <c r="A320" s="11"/>
      <c r="B320" s="9"/>
      <c r="C320" s="9"/>
      <c r="D320" s="12"/>
      <c r="E320" s="12"/>
      <c r="F320" s="13"/>
      <c r="G320" s="14" t="str">
        <f aca="false">IF(F320&lt;&gt;"",IF(AND(ISNUMBER(F320),N(F320)&gt;=0),F320,""),IF(AND(ISNUMBER(D320),ISNUMBER(E320)),ROUND(MOD(E320-D320,1)*1440,0),""))</f>
        <v/>
      </c>
      <c r="H320" s="9"/>
      <c r="I320" s="10" t="str">
        <f aca="false">IF(H320="","",IF(SUMPRODUCT(MAX((Setup!$D$5:$D$34=H320)*(35-ROW(Setup!$D$5:$D$34))))=0,"Not in Setup",INDEX(Setup!$E$5:$E$34,31-SUMPRODUCT(MAX((Setup!$D$5:$D$34=H320)*(35-ROW(Setup!$D$5:$D$34)))))))</f>
        <v/>
      </c>
      <c r="J320" s="9"/>
      <c r="K320" s="10" t="str">
        <f aca="false">IF(AND(A320="",C320="",D320="",E320="",F320="",H320=""),"",IF(NOT(ISNUMBER(A320)),"Enter a date",IF(AND(F320&lt;&gt;"",OR(NOT(ISNUMBER(F320)),N(F320)&lt;0)),"Minutes must be a number of 0 or more",IF(G320="","Enter start and end times, or minutes",IF(C320="","Pick a machine",IF(SUMPRODUCT(--(Setup!$A$5:$A$34=C320))=0,"Machine not in Setup",IF(H320="","Pick a reason (counted as unclassified)",IF(I320="Not in Setup","Reason not in Setup (counted as unclassified)",IF(N(G320)=0,"0 minutes: not counted as a stop","OK")))))))))</f>
        <v/>
      </c>
    </row>
    <row r="321" customFormat="false" ht="15" hidden="false" customHeight="false" outlineLevel="0" collapsed="false">
      <c r="A321" s="11"/>
      <c r="B321" s="9"/>
      <c r="C321" s="9"/>
      <c r="D321" s="12"/>
      <c r="E321" s="12"/>
      <c r="F321" s="13"/>
      <c r="G321" s="14" t="str">
        <f aca="false">IF(F321&lt;&gt;"",IF(AND(ISNUMBER(F321),N(F321)&gt;=0),F321,""),IF(AND(ISNUMBER(D321),ISNUMBER(E321)),ROUND(MOD(E321-D321,1)*1440,0),""))</f>
        <v/>
      </c>
      <c r="H321" s="9"/>
      <c r="I321" s="10" t="str">
        <f aca="false">IF(H321="","",IF(SUMPRODUCT(MAX((Setup!$D$5:$D$34=H321)*(35-ROW(Setup!$D$5:$D$34))))=0,"Not in Setup",INDEX(Setup!$E$5:$E$34,31-SUMPRODUCT(MAX((Setup!$D$5:$D$34=H321)*(35-ROW(Setup!$D$5:$D$34)))))))</f>
        <v/>
      </c>
      <c r="J321" s="9"/>
      <c r="K321" s="10" t="str">
        <f aca="false">IF(AND(A321="",C321="",D321="",E321="",F321="",H321=""),"",IF(NOT(ISNUMBER(A321)),"Enter a date",IF(AND(F321&lt;&gt;"",OR(NOT(ISNUMBER(F321)),N(F321)&lt;0)),"Minutes must be a number of 0 or more",IF(G321="","Enter start and end times, or minutes",IF(C321="","Pick a machine",IF(SUMPRODUCT(--(Setup!$A$5:$A$34=C321))=0,"Machine not in Setup",IF(H321="","Pick a reason (counted as unclassified)",IF(I321="Not in Setup","Reason not in Setup (counted as unclassified)",IF(N(G321)=0,"0 minutes: not counted as a stop","OK")))))))))</f>
        <v/>
      </c>
    </row>
    <row r="322" customFormat="false" ht="15" hidden="false" customHeight="false" outlineLevel="0" collapsed="false">
      <c r="A322" s="11"/>
      <c r="B322" s="9"/>
      <c r="C322" s="9"/>
      <c r="D322" s="12"/>
      <c r="E322" s="12"/>
      <c r="F322" s="13"/>
      <c r="G322" s="14" t="str">
        <f aca="false">IF(F322&lt;&gt;"",IF(AND(ISNUMBER(F322),N(F322)&gt;=0),F322,""),IF(AND(ISNUMBER(D322),ISNUMBER(E322)),ROUND(MOD(E322-D322,1)*1440,0),""))</f>
        <v/>
      </c>
      <c r="H322" s="9"/>
      <c r="I322" s="10" t="str">
        <f aca="false">IF(H322="","",IF(SUMPRODUCT(MAX((Setup!$D$5:$D$34=H322)*(35-ROW(Setup!$D$5:$D$34))))=0,"Not in Setup",INDEX(Setup!$E$5:$E$34,31-SUMPRODUCT(MAX((Setup!$D$5:$D$34=H322)*(35-ROW(Setup!$D$5:$D$34)))))))</f>
        <v/>
      </c>
      <c r="J322" s="9"/>
      <c r="K322" s="10" t="str">
        <f aca="false">IF(AND(A322="",C322="",D322="",E322="",F322="",H322=""),"",IF(NOT(ISNUMBER(A322)),"Enter a date",IF(AND(F322&lt;&gt;"",OR(NOT(ISNUMBER(F322)),N(F322)&lt;0)),"Minutes must be a number of 0 or more",IF(G322="","Enter start and end times, or minutes",IF(C322="","Pick a machine",IF(SUMPRODUCT(--(Setup!$A$5:$A$34=C322))=0,"Machine not in Setup",IF(H322="","Pick a reason (counted as unclassified)",IF(I322="Not in Setup","Reason not in Setup (counted as unclassified)",IF(N(G322)=0,"0 minutes: not counted as a stop","OK")))))))))</f>
        <v/>
      </c>
    </row>
    <row r="323" customFormat="false" ht="15" hidden="false" customHeight="false" outlineLevel="0" collapsed="false">
      <c r="A323" s="11"/>
      <c r="B323" s="9"/>
      <c r="C323" s="9"/>
      <c r="D323" s="12"/>
      <c r="E323" s="12"/>
      <c r="F323" s="13"/>
      <c r="G323" s="14" t="str">
        <f aca="false">IF(F323&lt;&gt;"",IF(AND(ISNUMBER(F323),N(F323)&gt;=0),F323,""),IF(AND(ISNUMBER(D323),ISNUMBER(E323)),ROUND(MOD(E323-D323,1)*1440,0),""))</f>
        <v/>
      </c>
      <c r="H323" s="9"/>
      <c r="I323" s="10" t="str">
        <f aca="false">IF(H323="","",IF(SUMPRODUCT(MAX((Setup!$D$5:$D$34=H323)*(35-ROW(Setup!$D$5:$D$34))))=0,"Not in Setup",INDEX(Setup!$E$5:$E$34,31-SUMPRODUCT(MAX((Setup!$D$5:$D$34=H323)*(35-ROW(Setup!$D$5:$D$34)))))))</f>
        <v/>
      </c>
      <c r="J323" s="9"/>
      <c r="K323" s="10" t="str">
        <f aca="false">IF(AND(A323="",C323="",D323="",E323="",F323="",H323=""),"",IF(NOT(ISNUMBER(A323)),"Enter a date",IF(AND(F323&lt;&gt;"",OR(NOT(ISNUMBER(F323)),N(F323)&lt;0)),"Minutes must be a number of 0 or more",IF(G323="","Enter start and end times, or minutes",IF(C323="","Pick a machine",IF(SUMPRODUCT(--(Setup!$A$5:$A$34=C323))=0,"Machine not in Setup",IF(H323="","Pick a reason (counted as unclassified)",IF(I323="Not in Setup","Reason not in Setup (counted as unclassified)",IF(N(G323)=0,"0 minutes: not counted as a stop","OK")))))))))</f>
        <v/>
      </c>
    </row>
    <row r="324" customFormat="false" ht="15" hidden="false" customHeight="false" outlineLevel="0" collapsed="false">
      <c r="A324" s="11"/>
      <c r="B324" s="9"/>
      <c r="C324" s="9"/>
      <c r="D324" s="12"/>
      <c r="E324" s="12"/>
      <c r="F324" s="13"/>
      <c r="G324" s="14" t="str">
        <f aca="false">IF(F324&lt;&gt;"",IF(AND(ISNUMBER(F324),N(F324)&gt;=0),F324,""),IF(AND(ISNUMBER(D324),ISNUMBER(E324)),ROUND(MOD(E324-D324,1)*1440,0),""))</f>
        <v/>
      </c>
      <c r="H324" s="9"/>
      <c r="I324" s="10" t="str">
        <f aca="false">IF(H324="","",IF(SUMPRODUCT(MAX((Setup!$D$5:$D$34=H324)*(35-ROW(Setup!$D$5:$D$34))))=0,"Not in Setup",INDEX(Setup!$E$5:$E$34,31-SUMPRODUCT(MAX((Setup!$D$5:$D$34=H324)*(35-ROW(Setup!$D$5:$D$34)))))))</f>
        <v/>
      </c>
      <c r="J324" s="9"/>
      <c r="K324" s="10" t="str">
        <f aca="false">IF(AND(A324="",C324="",D324="",E324="",F324="",H324=""),"",IF(NOT(ISNUMBER(A324)),"Enter a date",IF(AND(F324&lt;&gt;"",OR(NOT(ISNUMBER(F324)),N(F324)&lt;0)),"Minutes must be a number of 0 or more",IF(G324="","Enter start and end times, or minutes",IF(C324="","Pick a machine",IF(SUMPRODUCT(--(Setup!$A$5:$A$34=C324))=0,"Machine not in Setup",IF(H324="","Pick a reason (counted as unclassified)",IF(I324="Not in Setup","Reason not in Setup (counted as unclassified)",IF(N(G324)=0,"0 minutes: not counted as a stop","OK")))))))))</f>
        <v/>
      </c>
    </row>
    <row r="325" customFormat="false" ht="15" hidden="false" customHeight="false" outlineLevel="0" collapsed="false">
      <c r="A325" s="11"/>
      <c r="B325" s="9"/>
      <c r="C325" s="9"/>
      <c r="D325" s="12"/>
      <c r="E325" s="12"/>
      <c r="F325" s="13"/>
      <c r="G325" s="14" t="str">
        <f aca="false">IF(F325&lt;&gt;"",IF(AND(ISNUMBER(F325),N(F325)&gt;=0),F325,""),IF(AND(ISNUMBER(D325),ISNUMBER(E325)),ROUND(MOD(E325-D325,1)*1440,0),""))</f>
        <v/>
      </c>
      <c r="H325" s="9"/>
      <c r="I325" s="10" t="str">
        <f aca="false">IF(H325="","",IF(SUMPRODUCT(MAX((Setup!$D$5:$D$34=H325)*(35-ROW(Setup!$D$5:$D$34))))=0,"Not in Setup",INDEX(Setup!$E$5:$E$34,31-SUMPRODUCT(MAX((Setup!$D$5:$D$34=H325)*(35-ROW(Setup!$D$5:$D$34)))))))</f>
        <v/>
      </c>
      <c r="J325" s="9"/>
      <c r="K325" s="10" t="str">
        <f aca="false">IF(AND(A325="",C325="",D325="",E325="",F325="",H325=""),"",IF(NOT(ISNUMBER(A325)),"Enter a date",IF(AND(F325&lt;&gt;"",OR(NOT(ISNUMBER(F325)),N(F325)&lt;0)),"Minutes must be a number of 0 or more",IF(G325="","Enter start and end times, or minutes",IF(C325="","Pick a machine",IF(SUMPRODUCT(--(Setup!$A$5:$A$34=C325))=0,"Machine not in Setup",IF(H325="","Pick a reason (counted as unclassified)",IF(I325="Not in Setup","Reason not in Setup (counted as unclassified)",IF(N(G325)=0,"0 minutes: not counted as a stop","OK")))))))))</f>
        <v/>
      </c>
    </row>
    <row r="326" customFormat="false" ht="15" hidden="false" customHeight="false" outlineLevel="0" collapsed="false">
      <c r="A326" s="11"/>
      <c r="B326" s="9"/>
      <c r="C326" s="9"/>
      <c r="D326" s="12"/>
      <c r="E326" s="12"/>
      <c r="F326" s="13"/>
      <c r="G326" s="14" t="str">
        <f aca="false">IF(F326&lt;&gt;"",IF(AND(ISNUMBER(F326),N(F326)&gt;=0),F326,""),IF(AND(ISNUMBER(D326),ISNUMBER(E326)),ROUND(MOD(E326-D326,1)*1440,0),""))</f>
        <v/>
      </c>
      <c r="H326" s="9"/>
      <c r="I326" s="10" t="str">
        <f aca="false">IF(H326="","",IF(SUMPRODUCT(MAX((Setup!$D$5:$D$34=H326)*(35-ROW(Setup!$D$5:$D$34))))=0,"Not in Setup",INDEX(Setup!$E$5:$E$34,31-SUMPRODUCT(MAX((Setup!$D$5:$D$34=H326)*(35-ROW(Setup!$D$5:$D$34)))))))</f>
        <v/>
      </c>
      <c r="J326" s="9"/>
      <c r="K326" s="10" t="str">
        <f aca="false">IF(AND(A326="",C326="",D326="",E326="",F326="",H326=""),"",IF(NOT(ISNUMBER(A326)),"Enter a date",IF(AND(F326&lt;&gt;"",OR(NOT(ISNUMBER(F326)),N(F326)&lt;0)),"Minutes must be a number of 0 or more",IF(G326="","Enter start and end times, or minutes",IF(C326="","Pick a machine",IF(SUMPRODUCT(--(Setup!$A$5:$A$34=C326))=0,"Machine not in Setup",IF(H326="","Pick a reason (counted as unclassified)",IF(I326="Not in Setup","Reason not in Setup (counted as unclassified)",IF(N(G326)=0,"0 minutes: not counted as a stop","OK")))))))))</f>
        <v/>
      </c>
    </row>
    <row r="327" customFormat="false" ht="15" hidden="false" customHeight="false" outlineLevel="0" collapsed="false">
      <c r="A327" s="11"/>
      <c r="B327" s="9"/>
      <c r="C327" s="9"/>
      <c r="D327" s="12"/>
      <c r="E327" s="12"/>
      <c r="F327" s="13"/>
      <c r="G327" s="14" t="str">
        <f aca="false">IF(F327&lt;&gt;"",IF(AND(ISNUMBER(F327),N(F327)&gt;=0),F327,""),IF(AND(ISNUMBER(D327),ISNUMBER(E327)),ROUND(MOD(E327-D327,1)*1440,0),""))</f>
        <v/>
      </c>
      <c r="H327" s="9"/>
      <c r="I327" s="10" t="str">
        <f aca="false">IF(H327="","",IF(SUMPRODUCT(MAX((Setup!$D$5:$D$34=H327)*(35-ROW(Setup!$D$5:$D$34))))=0,"Not in Setup",INDEX(Setup!$E$5:$E$34,31-SUMPRODUCT(MAX((Setup!$D$5:$D$34=H327)*(35-ROW(Setup!$D$5:$D$34)))))))</f>
        <v/>
      </c>
      <c r="J327" s="9"/>
      <c r="K327" s="10" t="str">
        <f aca="false">IF(AND(A327="",C327="",D327="",E327="",F327="",H327=""),"",IF(NOT(ISNUMBER(A327)),"Enter a date",IF(AND(F327&lt;&gt;"",OR(NOT(ISNUMBER(F327)),N(F327)&lt;0)),"Minutes must be a number of 0 or more",IF(G327="","Enter start and end times, or minutes",IF(C327="","Pick a machine",IF(SUMPRODUCT(--(Setup!$A$5:$A$34=C327))=0,"Machine not in Setup",IF(H327="","Pick a reason (counted as unclassified)",IF(I327="Not in Setup","Reason not in Setup (counted as unclassified)",IF(N(G327)=0,"0 minutes: not counted as a stop","OK")))))))))</f>
        <v/>
      </c>
    </row>
    <row r="328" customFormat="false" ht="15" hidden="false" customHeight="false" outlineLevel="0" collapsed="false">
      <c r="A328" s="11"/>
      <c r="B328" s="9"/>
      <c r="C328" s="9"/>
      <c r="D328" s="12"/>
      <c r="E328" s="12"/>
      <c r="F328" s="13"/>
      <c r="G328" s="14" t="str">
        <f aca="false">IF(F328&lt;&gt;"",IF(AND(ISNUMBER(F328),N(F328)&gt;=0),F328,""),IF(AND(ISNUMBER(D328),ISNUMBER(E328)),ROUND(MOD(E328-D328,1)*1440,0),""))</f>
        <v/>
      </c>
      <c r="H328" s="9"/>
      <c r="I328" s="10" t="str">
        <f aca="false">IF(H328="","",IF(SUMPRODUCT(MAX((Setup!$D$5:$D$34=H328)*(35-ROW(Setup!$D$5:$D$34))))=0,"Not in Setup",INDEX(Setup!$E$5:$E$34,31-SUMPRODUCT(MAX((Setup!$D$5:$D$34=H328)*(35-ROW(Setup!$D$5:$D$34)))))))</f>
        <v/>
      </c>
      <c r="J328" s="9"/>
      <c r="K328" s="10" t="str">
        <f aca="false">IF(AND(A328="",C328="",D328="",E328="",F328="",H328=""),"",IF(NOT(ISNUMBER(A328)),"Enter a date",IF(AND(F328&lt;&gt;"",OR(NOT(ISNUMBER(F328)),N(F328)&lt;0)),"Minutes must be a number of 0 or more",IF(G328="","Enter start and end times, or minutes",IF(C328="","Pick a machine",IF(SUMPRODUCT(--(Setup!$A$5:$A$34=C328))=0,"Machine not in Setup",IF(H328="","Pick a reason (counted as unclassified)",IF(I328="Not in Setup","Reason not in Setup (counted as unclassified)",IF(N(G328)=0,"0 minutes: not counted as a stop","OK")))))))))</f>
        <v/>
      </c>
    </row>
    <row r="329" customFormat="false" ht="15" hidden="false" customHeight="false" outlineLevel="0" collapsed="false">
      <c r="A329" s="11"/>
      <c r="B329" s="9"/>
      <c r="C329" s="9"/>
      <c r="D329" s="12"/>
      <c r="E329" s="12"/>
      <c r="F329" s="13"/>
      <c r="G329" s="14" t="str">
        <f aca="false">IF(F329&lt;&gt;"",IF(AND(ISNUMBER(F329),N(F329)&gt;=0),F329,""),IF(AND(ISNUMBER(D329),ISNUMBER(E329)),ROUND(MOD(E329-D329,1)*1440,0),""))</f>
        <v/>
      </c>
      <c r="H329" s="9"/>
      <c r="I329" s="10" t="str">
        <f aca="false">IF(H329="","",IF(SUMPRODUCT(MAX((Setup!$D$5:$D$34=H329)*(35-ROW(Setup!$D$5:$D$34))))=0,"Not in Setup",INDEX(Setup!$E$5:$E$34,31-SUMPRODUCT(MAX((Setup!$D$5:$D$34=H329)*(35-ROW(Setup!$D$5:$D$34)))))))</f>
        <v/>
      </c>
      <c r="J329" s="9"/>
      <c r="K329" s="10" t="str">
        <f aca="false">IF(AND(A329="",C329="",D329="",E329="",F329="",H329=""),"",IF(NOT(ISNUMBER(A329)),"Enter a date",IF(AND(F329&lt;&gt;"",OR(NOT(ISNUMBER(F329)),N(F329)&lt;0)),"Minutes must be a number of 0 or more",IF(G329="","Enter start and end times, or minutes",IF(C329="","Pick a machine",IF(SUMPRODUCT(--(Setup!$A$5:$A$34=C329))=0,"Machine not in Setup",IF(H329="","Pick a reason (counted as unclassified)",IF(I329="Not in Setup","Reason not in Setup (counted as unclassified)",IF(N(G329)=0,"0 minutes: not counted as a stop","OK")))))))))</f>
        <v/>
      </c>
    </row>
    <row r="330" customFormat="false" ht="15" hidden="false" customHeight="false" outlineLevel="0" collapsed="false">
      <c r="A330" s="11"/>
      <c r="B330" s="9"/>
      <c r="C330" s="9"/>
      <c r="D330" s="12"/>
      <c r="E330" s="12"/>
      <c r="F330" s="13"/>
      <c r="G330" s="14" t="str">
        <f aca="false">IF(F330&lt;&gt;"",IF(AND(ISNUMBER(F330),N(F330)&gt;=0),F330,""),IF(AND(ISNUMBER(D330),ISNUMBER(E330)),ROUND(MOD(E330-D330,1)*1440,0),""))</f>
        <v/>
      </c>
      <c r="H330" s="9"/>
      <c r="I330" s="10" t="str">
        <f aca="false">IF(H330="","",IF(SUMPRODUCT(MAX((Setup!$D$5:$D$34=H330)*(35-ROW(Setup!$D$5:$D$34))))=0,"Not in Setup",INDEX(Setup!$E$5:$E$34,31-SUMPRODUCT(MAX((Setup!$D$5:$D$34=H330)*(35-ROW(Setup!$D$5:$D$34)))))))</f>
        <v/>
      </c>
      <c r="J330" s="9"/>
      <c r="K330" s="10" t="str">
        <f aca="false">IF(AND(A330="",C330="",D330="",E330="",F330="",H330=""),"",IF(NOT(ISNUMBER(A330)),"Enter a date",IF(AND(F330&lt;&gt;"",OR(NOT(ISNUMBER(F330)),N(F330)&lt;0)),"Minutes must be a number of 0 or more",IF(G330="","Enter start and end times, or minutes",IF(C330="","Pick a machine",IF(SUMPRODUCT(--(Setup!$A$5:$A$34=C330))=0,"Machine not in Setup",IF(H330="","Pick a reason (counted as unclassified)",IF(I330="Not in Setup","Reason not in Setup (counted as unclassified)",IF(N(G330)=0,"0 minutes: not counted as a stop","OK")))))))))</f>
        <v/>
      </c>
    </row>
    <row r="331" customFormat="false" ht="15" hidden="false" customHeight="false" outlineLevel="0" collapsed="false">
      <c r="A331" s="11"/>
      <c r="B331" s="9"/>
      <c r="C331" s="9"/>
      <c r="D331" s="12"/>
      <c r="E331" s="12"/>
      <c r="F331" s="13"/>
      <c r="G331" s="14" t="str">
        <f aca="false">IF(F331&lt;&gt;"",IF(AND(ISNUMBER(F331),N(F331)&gt;=0),F331,""),IF(AND(ISNUMBER(D331),ISNUMBER(E331)),ROUND(MOD(E331-D331,1)*1440,0),""))</f>
        <v/>
      </c>
      <c r="H331" s="9"/>
      <c r="I331" s="10" t="str">
        <f aca="false">IF(H331="","",IF(SUMPRODUCT(MAX((Setup!$D$5:$D$34=H331)*(35-ROW(Setup!$D$5:$D$34))))=0,"Not in Setup",INDEX(Setup!$E$5:$E$34,31-SUMPRODUCT(MAX((Setup!$D$5:$D$34=H331)*(35-ROW(Setup!$D$5:$D$34)))))))</f>
        <v/>
      </c>
      <c r="J331" s="9"/>
      <c r="K331" s="10" t="str">
        <f aca="false">IF(AND(A331="",C331="",D331="",E331="",F331="",H331=""),"",IF(NOT(ISNUMBER(A331)),"Enter a date",IF(AND(F331&lt;&gt;"",OR(NOT(ISNUMBER(F331)),N(F331)&lt;0)),"Minutes must be a number of 0 or more",IF(G331="","Enter start and end times, or minutes",IF(C331="","Pick a machine",IF(SUMPRODUCT(--(Setup!$A$5:$A$34=C331))=0,"Machine not in Setup",IF(H331="","Pick a reason (counted as unclassified)",IF(I331="Not in Setup","Reason not in Setup (counted as unclassified)",IF(N(G331)=0,"0 minutes: not counted as a stop","OK")))))))))</f>
        <v/>
      </c>
    </row>
    <row r="332" customFormat="false" ht="15" hidden="false" customHeight="false" outlineLevel="0" collapsed="false">
      <c r="A332" s="11"/>
      <c r="B332" s="9"/>
      <c r="C332" s="9"/>
      <c r="D332" s="12"/>
      <c r="E332" s="12"/>
      <c r="F332" s="13"/>
      <c r="G332" s="14" t="str">
        <f aca="false">IF(F332&lt;&gt;"",IF(AND(ISNUMBER(F332),N(F332)&gt;=0),F332,""),IF(AND(ISNUMBER(D332),ISNUMBER(E332)),ROUND(MOD(E332-D332,1)*1440,0),""))</f>
        <v/>
      </c>
      <c r="H332" s="9"/>
      <c r="I332" s="10" t="str">
        <f aca="false">IF(H332="","",IF(SUMPRODUCT(MAX((Setup!$D$5:$D$34=H332)*(35-ROW(Setup!$D$5:$D$34))))=0,"Not in Setup",INDEX(Setup!$E$5:$E$34,31-SUMPRODUCT(MAX((Setup!$D$5:$D$34=H332)*(35-ROW(Setup!$D$5:$D$34)))))))</f>
        <v/>
      </c>
      <c r="J332" s="9"/>
      <c r="K332" s="10" t="str">
        <f aca="false">IF(AND(A332="",C332="",D332="",E332="",F332="",H332=""),"",IF(NOT(ISNUMBER(A332)),"Enter a date",IF(AND(F332&lt;&gt;"",OR(NOT(ISNUMBER(F332)),N(F332)&lt;0)),"Minutes must be a number of 0 or more",IF(G332="","Enter start and end times, or minutes",IF(C332="","Pick a machine",IF(SUMPRODUCT(--(Setup!$A$5:$A$34=C332))=0,"Machine not in Setup",IF(H332="","Pick a reason (counted as unclassified)",IF(I332="Not in Setup","Reason not in Setup (counted as unclassified)",IF(N(G332)=0,"0 minutes: not counted as a stop","OK")))))))))</f>
        <v/>
      </c>
    </row>
    <row r="333" customFormat="false" ht="15" hidden="false" customHeight="false" outlineLevel="0" collapsed="false">
      <c r="A333" s="11"/>
      <c r="B333" s="9"/>
      <c r="C333" s="9"/>
      <c r="D333" s="12"/>
      <c r="E333" s="12"/>
      <c r="F333" s="13"/>
      <c r="G333" s="14" t="str">
        <f aca="false">IF(F333&lt;&gt;"",IF(AND(ISNUMBER(F333),N(F333)&gt;=0),F333,""),IF(AND(ISNUMBER(D333),ISNUMBER(E333)),ROUND(MOD(E333-D333,1)*1440,0),""))</f>
        <v/>
      </c>
      <c r="H333" s="9"/>
      <c r="I333" s="10" t="str">
        <f aca="false">IF(H333="","",IF(SUMPRODUCT(MAX((Setup!$D$5:$D$34=H333)*(35-ROW(Setup!$D$5:$D$34))))=0,"Not in Setup",INDEX(Setup!$E$5:$E$34,31-SUMPRODUCT(MAX((Setup!$D$5:$D$34=H333)*(35-ROW(Setup!$D$5:$D$34)))))))</f>
        <v/>
      </c>
      <c r="J333" s="9"/>
      <c r="K333" s="10" t="str">
        <f aca="false">IF(AND(A333="",C333="",D333="",E333="",F333="",H333=""),"",IF(NOT(ISNUMBER(A333)),"Enter a date",IF(AND(F333&lt;&gt;"",OR(NOT(ISNUMBER(F333)),N(F333)&lt;0)),"Minutes must be a number of 0 or more",IF(G333="","Enter start and end times, or minutes",IF(C333="","Pick a machine",IF(SUMPRODUCT(--(Setup!$A$5:$A$34=C333))=0,"Machine not in Setup",IF(H333="","Pick a reason (counted as unclassified)",IF(I333="Not in Setup","Reason not in Setup (counted as unclassified)",IF(N(G333)=0,"0 minutes: not counted as a stop","OK")))))))))</f>
        <v/>
      </c>
    </row>
    <row r="334" customFormat="false" ht="15" hidden="false" customHeight="false" outlineLevel="0" collapsed="false">
      <c r="A334" s="11"/>
      <c r="B334" s="9"/>
      <c r="C334" s="9"/>
      <c r="D334" s="12"/>
      <c r="E334" s="12"/>
      <c r="F334" s="13"/>
      <c r="G334" s="14" t="str">
        <f aca="false">IF(F334&lt;&gt;"",IF(AND(ISNUMBER(F334),N(F334)&gt;=0),F334,""),IF(AND(ISNUMBER(D334),ISNUMBER(E334)),ROUND(MOD(E334-D334,1)*1440,0),""))</f>
        <v/>
      </c>
      <c r="H334" s="9"/>
      <c r="I334" s="10" t="str">
        <f aca="false">IF(H334="","",IF(SUMPRODUCT(MAX((Setup!$D$5:$D$34=H334)*(35-ROW(Setup!$D$5:$D$34))))=0,"Not in Setup",INDEX(Setup!$E$5:$E$34,31-SUMPRODUCT(MAX((Setup!$D$5:$D$34=H334)*(35-ROW(Setup!$D$5:$D$34)))))))</f>
        <v/>
      </c>
      <c r="J334" s="9"/>
      <c r="K334" s="10" t="str">
        <f aca="false">IF(AND(A334="",C334="",D334="",E334="",F334="",H334=""),"",IF(NOT(ISNUMBER(A334)),"Enter a date",IF(AND(F334&lt;&gt;"",OR(NOT(ISNUMBER(F334)),N(F334)&lt;0)),"Minutes must be a number of 0 or more",IF(G334="","Enter start and end times, or minutes",IF(C334="","Pick a machine",IF(SUMPRODUCT(--(Setup!$A$5:$A$34=C334))=0,"Machine not in Setup",IF(H334="","Pick a reason (counted as unclassified)",IF(I334="Not in Setup","Reason not in Setup (counted as unclassified)",IF(N(G334)=0,"0 minutes: not counted as a stop","OK")))))))))</f>
        <v/>
      </c>
    </row>
    <row r="335" customFormat="false" ht="15" hidden="false" customHeight="false" outlineLevel="0" collapsed="false">
      <c r="A335" s="11"/>
      <c r="B335" s="9"/>
      <c r="C335" s="9"/>
      <c r="D335" s="12"/>
      <c r="E335" s="12"/>
      <c r="F335" s="13"/>
      <c r="G335" s="14" t="str">
        <f aca="false">IF(F335&lt;&gt;"",IF(AND(ISNUMBER(F335),N(F335)&gt;=0),F335,""),IF(AND(ISNUMBER(D335),ISNUMBER(E335)),ROUND(MOD(E335-D335,1)*1440,0),""))</f>
        <v/>
      </c>
      <c r="H335" s="9"/>
      <c r="I335" s="10" t="str">
        <f aca="false">IF(H335="","",IF(SUMPRODUCT(MAX((Setup!$D$5:$D$34=H335)*(35-ROW(Setup!$D$5:$D$34))))=0,"Not in Setup",INDEX(Setup!$E$5:$E$34,31-SUMPRODUCT(MAX((Setup!$D$5:$D$34=H335)*(35-ROW(Setup!$D$5:$D$34)))))))</f>
        <v/>
      </c>
      <c r="J335" s="9"/>
      <c r="K335" s="10" t="str">
        <f aca="false">IF(AND(A335="",C335="",D335="",E335="",F335="",H335=""),"",IF(NOT(ISNUMBER(A335)),"Enter a date",IF(AND(F335&lt;&gt;"",OR(NOT(ISNUMBER(F335)),N(F335)&lt;0)),"Minutes must be a number of 0 or more",IF(G335="","Enter start and end times, or minutes",IF(C335="","Pick a machine",IF(SUMPRODUCT(--(Setup!$A$5:$A$34=C335))=0,"Machine not in Setup",IF(H335="","Pick a reason (counted as unclassified)",IF(I335="Not in Setup","Reason not in Setup (counted as unclassified)",IF(N(G335)=0,"0 minutes: not counted as a stop","OK")))))))))</f>
        <v/>
      </c>
    </row>
    <row r="336" customFormat="false" ht="15" hidden="false" customHeight="false" outlineLevel="0" collapsed="false">
      <c r="A336" s="11"/>
      <c r="B336" s="9"/>
      <c r="C336" s="9"/>
      <c r="D336" s="12"/>
      <c r="E336" s="12"/>
      <c r="F336" s="13"/>
      <c r="G336" s="14" t="str">
        <f aca="false">IF(F336&lt;&gt;"",IF(AND(ISNUMBER(F336),N(F336)&gt;=0),F336,""),IF(AND(ISNUMBER(D336),ISNUMBER(E336)),ROUND(MOD(E336-D336,1)*1440,0),""))</f>
        <v/>
      </c>
      <c r="H336" s="9"/>
      <c r="I336" s="10" t="str">
        <f aca="false">IF(H336="","",IF(SUMPRODUCT(MAX((Setup!$D$5:$D$34=H336)*(35-ROW(Setup!$D$5:$D$34))))=0,"Not in Setup",INDEX(Setup!$E$5:$E$34,31-SUMPRODUCT(MAX((Setup!$D$5:$D$34=H336)*(35-ROW(Setup!$D$5:$D$34)))))))</f>
        <v/>
      </c>
      <c r="J336" s="9"/>
      <c r="K336" s="10" t="str">
        <f aca="false">IF(AND(A336="",C336="",D336="",E336="",F336="",H336=""),"",IF(NOT(ISNUMBER(A336)),"Enter a date",IF(AND(F336&lt;&gt;"",OR(NOT(ISNUMBER(F336)),N(F336)&lt;0)),"Minutes must be a number of 0 or more",IF(G336="","Enter start and end times, or minutes",IF(C336="","Pick a machine",IF(SUMPRODUCT(--(Setup!$A$5:$A$34=C336))=0,"Machine not in Setup",IF(H336="","Pick a reason (counted as unclassified)",IF(I336="Not in Setup","Reason not in Setup (counted as unclassified)",IF(N(G336)=0,"0 minutes: not counted as a stop","OK")))))))))</f>
        <v/>
      </c>
    </row>
    <row r="337" customFormat="false" ht="15" hidden="false" customHeight="false" outlineLevel="0" collapsed="false">
      <c r="A337" s="11"/>
      <c r="B337" s="9"/>
      <c r="C337" s="9"/>
      <c r="D337" s="12"/>
      <c r="E337" s="12"/>
      <c r="F337" s="13"/>
      <c r="G337" s="14" t="str">
        <f aca="false">IF(F337&lt;&gt;"",IF(AND(ISNUMBER(F337),N(F337)&gt;=0),F337,""),IF(AND(ISNUMBER(D337),ISNUMBER(E337)),ROUND(MOD(E337-D337,1)*1440,0),""))</f>
        <v/>
      </c>
      <c r="H337" s="9"/>
      <c r="I337" s="10" t="str">
        <f aca="false">IF(H337="","",IF(SUMPRODUCT(MAX((Setup!$D$5:$D$34=H337)*(35-ROW(Setup!$D$5:$D$34))))=0,"Not in Setup",INDEX(Setup!$E$5:$E$34,31-SUMPRODUCT(MAX((Setup!$D$5:$D$34=H337)*(35-ROW(Setup!$D$5:$D$34)))))))</f>
        <v/>
      </c>
      <c r="J337" s="9"/>
      <c r="K337" s="10" t="str">
        <f aca="false">IF(AND(A337="",C337="",D337="",E337="",F337="",H337=""),"",IF(NOT(ISNUMBER(A337)),"Enter a date",IF(AND(F337&lt;&gt;"",OR(NOT(ISNUMBER(F337)),N(F337)&lt;0)),"Minutes must be a number of 0 or more",IF(G337="","Enter start and end times, or minutes",IF(C337="","Pick a machine",IF(SUMPRODUCT(--(Setup!$A$5:$A$34=C337))=0,"Machine not in Setup",IF(H337="","Pick a reason (counted as unclassified)",IF(I337="Not in Setup","Reason not in Setup (counted as unclassified)",IF(N(G337)=0,"0 minutes: not counted as a stop","OK")))))))))</f>
        <v/>
      </c>
    </row>
    <row r="338" customFormat="false" ht="15" hidden="false" customHeight="false" outlineLevel="0" collapsed="false">
      <c r="A338" s="11"/>
      <c r="B338" s="9"/>
      <c r="C338" s="9"/>
      <c r="D338" s="12"/>
      <c r="E338" s="12"/>
      <c r="F338" s="13"/>
      <c r="G338" s="14" t="str">
        <f aca="false">IF(F338&lt;&gt;"",IF(AND(ISNUMBER(F338),N(F338)&gt;=0),F338,""),IF(AND(ISNUMBER(D338),ISNUMBER(E338)),ROUND(MOD(E338-D338,1)*1440,0),""))</f>
        <v/>
      </c>
      <c r="H338" s="9"/>
      <c r="I338" s="10" t="str">
        <f aca="false">IF(H338="","",IF(SUMPRODUCT(MAX((Setup!$D$5:$D$34=H338)*(35-ROW(Setup!$D$5:$D$34))))=0,"Not in Setup",INDEX(Setup!$E$5:$E$34,31-SUMPRODUCT(MAX((Setup!$D$5:$D$34=H338)*(35-ROW(Setup!$D$5:$D$34)))))))</f>
        <v/>
      </c>
      <c r="J338" s="9"/>
      <c r="K338" s="10" t="str">
        <f aca="false">IF(AND(A338="",C338="",D338="",E338="",F338="",H338=""),"",IF(NOT(ISNUMBER(A338)),"Enter a date",IF(AND(F338&lt;&gt;"",OR(NOT(ISNUMBER(F338)),N(F338)&lt;0)),"Minutes must be a number of 0 or more",IF(G338="","Enter start and end times, or minutes",IF(C338="","Pick a machine",IF(SUMPRODUCT(--(Setup!$A$5:$A$34=C338))=0,"Machine not in Setup",IF(H338="","Pick a reason (counted as unclassified)",IF(I338="Not in Setup","Reason not in Setup (counted as unclassified)",IF(N(G338)=0,"0 minutes: not counted as a stop","OK")))))))))</f>
        <v/>
      </c>
    </row>
    <row r="339" customFormat="false" ht="15" hidden="false" customHeight="false" outlineLevel="0" collapsed="false">
      <c r="A339" s="11"/>
      <c r="B339" s="9"/>
      <c r="C339" s="9"/>
      <c r="D339" s="12"/>
      <c r="E339" s="12"/>
      <c r="F339" s="13"/>
      <c r="G339" s="14" t="str">
        <f aca="false">IF(F339&lt;&gt;"",IF(AND(ISNUMBER(F339),N(F339)&gt;=0),F339,""),IF(AND(ISNUMBER(D339),ISNUMBER(E339)),ROUND(MOD(E339-D339,1)*1440,0),""))</f>
        <v/>
      </c>
      <c r="H339" s="9"/>
      <c r="I339" s="10" t="str">
        <f aca="false">IF(H339="","",IF(SUMPRODUCT(MAX((Setup!$D$5:$D$34=H339)*(35-ROW(Setup!$D$5:$D$34))))=0,"Not in Setup",INDEX(Setup!$E$5:$E$34,31-SUMPRODUCT(MAX((Setup!$D$5:$D$34=H339)*(35-ROW(Setup!$D$5:$D$34)))))))</f>
        <v/>
      </c>
      <c r="J339" s="9"/>
      <c r="K339" s="10" t="str">
        <f aca="false">IF(AND(A339="",C339="",D339="",E339="",F339="",H339=""),"",IF(NOT(ISNUMBER(A339)),"Enter a date",IF(AND(F339&lt;&gt;"",OR(NOT(ISNUMBER(F339)),N(F339)&lt;0)),"Minutes must be a number of 0 or more",IF(G339="","Enter start and end times, or minutes",IF(C339="","Pick a machine",IF(SUMPRODUCT(--(Setup!$A$5:$A$34=C339))=0,"Machine not in Setup",IF(H339="","Pick a reason (counted as unclassified)",IF(I339="Not in Setup","Reason not in Setup (counted as unclassified)",IF(N(G339)=0,"0 minutes: not counted as a stop","OK")))))))))</f>
        <v/>
      </c>
    </row>
    <row r="340" customFormat="false" ht="15" hidden="false" customHeight="false" outlineLevel="0" collapsed="false">
      <c r="A340" s="11"/>
      <c r="B340" s="9"/>
      <c r="C340" s="9"/>
      <c r="D340" s="12"/>
      <c r="E340" s="12"/>
      <c r="F340" s="13"/>
      <c r="G340" s="14" t="str">
        <f aca="false">IF(F340&lt;&gt;"",IF(AND(ISNUMBER(F340),N(F340)&gt;=0),F340,""),IF(AND(ISNUMBER(D340),ISNUMBER(E340)),ROUND(MOD(E340-D340,1)*1440,0),""))</f>
        <v/>
      </c>
      <c r="H340" s="9"/>
      <c r="I340" s="10" t="str">
        <f aca="false">IF(H340="","",IF(SUMPRODUCT(MAX((Setup!$D$5:$D$34=H340)*(35-ROW(Setup!$D$5:$D$34))))=0,"Not in Setup",INDEX(Setup!$E$5:$E$34,31-SUMPRODUCT(MAX((Setup!$D$5:$D$34=H340)*(35-ROW(Setup!$D$5:$D$34)))))))</f>
        <v/>
      </c>
      <c r="J340" s="9"/>
      <c r="K340" s="10" t="str">
        <f aca="false">IF(AND(A340="",C340="",D340="",E340="",F340="",H340=""),"",IF(NOT(ISNUMBER(A340)),"Enter a date",IF(AND(F340&lt;&gt;"",OR(NOT(ISNUMBER(F340)),N(F340)&lt;0)),"Minutes must be a number of 0 or more",IF(G340="","Enter start and end times, or minutes",IF(C340="","Pick a machine",IF(SUMPRODUCT(--(Setup!$A$5:$A$34=C340))=0,"Machine not in Setup",IF(H340="","Pick a reason (counted as unclassified)",IF(I340="Not in Setup","Reason not in Setup (counted as unclassified)",IF(N(G340)=0,"0 minutes: not counted as a stop","OK")))))))))</f>
        <v/>
      </c>
    </row>
    <row r="341" customFormat="false" ht="15" hidden="false" customHeight="false" outlineLevel="0" collapsed="false">
      <c r="A341" s="11"/>
      <c r="B341" s="9"/>
      <c r="C341" s="9"/>
      <c r="D341" s="12"/>
      <c r="E341" s="12"/>
      <c r="F341" s="13"/>
      <c r="G341" s="14" t="str">
        <f aca="false">IF(F341&lt;&gt;"",IF(AND(ISNUMBER(F341),N(F341)&gt;=0),F341,""),IF(AND(ISNUMBER(D341),ISNUMBER(E341)),ROUND(MOD(E341-D341,1)*1440,0),""))</f>
        <v/>
      </c>
      <c r="H341" s="9"/>
      <c r="I341" s="10" t="str">
        <f aca="false">IF(H341="","",IF(SUMPRODUCT(MAX((Setup!$D$5:$D$34=H341)*(35-ROW(Setup!$D$5:$D$34))))=0,"Not in Setup",INDEX(Setup!$E$5:$E$34,31-SUMPRODUCT(MAX((Setup!$D$5:$D$34=H341)*(35-ROW(Setup!$D$5:$D$34)))))))</f>
        <v/>
      </c>
      <c r="J341" s="9"/>
      <c r="K341" s="10" t="str">
        <f aca="false">IF(AND(A341="",C341="",D341="",E341="",F341="",H341=""),"",IF(NOT(ISNUMBER(A341)),"Enter a date",IF(AND(F341&lt;&gt;"",OR(NOT(ISNUMBER(F341)),N(F341)&lt;0)),"Minutes must be a number of 0 or more",IF(G341="","Enter start and end times, or minutes",IF(C341="","Pick a machine",IF(SUMPRODUCT(--(Setup!$A$5:$A$34=C341))=0,"Machine not in Setup",IF(H341="","Pick a reason (counted as unclassified)",IF(I341="Not in Setup","Reason not in Setup (counted as unclassified)",IF(N(G341)=0,"0 minutes: not counted as a stop","OK")))))))))</f>
        <v/>
      </c>
    </row>
    <row r="342" customFormat="false" ht="15" hidden="false" customHeight="false" outlineLevel="0" collapsed="false">
      <c r="A342" s="11"/>
      <c r="B342" s="9"/>
      <c r="C342" s="9"/>
      <c r="D342" s="12"/>
      <c r="E342" s="12"/>
      <c r="F342" s="13"/>
      <c r="G342" s="14" t="str">
        <f aca="false">IF(F342&lt;&gt;"",IF(AND(ISNUMBER(F342),N(F342)&gt;=0),F342,""),IF(AND(ISNUMBER(D342),ISNUMBER(E342)),ROUND(MOD(E342-D342,1)*1440,0),""))</f>
        <v/>
      </c>
      <c r="H342" s="9"/>
      <c r="I342" s="10" t="str">
        <f aca="false">IF(H342="","",IF(SUMPRODUCT(MAX((Setup!$D$5:$D$34=H342)*(35-ROW(Setup!$D$5:$D$34))))=0,"Not in Setup",INDEX(Setup!$E$5:$E$34,31-SUMPRODUCT(MAX((Setup!$D$5:$D$34=H342)*(35-ROW(Setup!$D$5:$D$34)))))))</f>
        <v/>
      </c>
      <c r="J342" s="9"/>
      <c r="K342" s="10" t="str">
        <f aca="false">IF(AND(A342="",C342="",D342="",E342="",F342="",H342=""),"",IF(NOT(ISNUMBER(A342)),"Enter a date",IF(AND(F342&lt;&gt;"",OR(NOT(ISNUMBER(F342)),N(F342)&lt;0)),"Minutes must be a number of 0 or more",IF(G342="","Enter start and end times, or minutes",IF(C342="","Pick a machine",IF(SUMPRODUCT(--(Setup!$A$5:$A$34=C342))=0,"Machine not in Setup",IF(H342="","Pick a reason (counted as unclassified)",IF(I342="Not in Setup","Reason not in Setup (counted as unclassified)",IF(N(G342)=0,"0 minutes: not counted as a stop","OK")))))))))</f>
        <v/>
      </c>
    </row>
    <row r="343" customFormat="false" ht="15" hidden="false" customHeight="false" outlineLevel="0" collapsed="false">
      <c r="A343" s="11"/>
      <c r="B343" s="9"/>
      <c r="C343" s="9"/>
      <c r="D343" s="12"/>
      <c r="E343" s="12"/>
      <c r="F343" s="13"/>
      <c r="G343" s="14" t="str">
        <f aca="false">IF(F343&lt;&gt;"",IF(AND(ISNUMBER(F343),N(F343)&gt;=0),F343,""),IF(AND(ISNUMBER(D343),ISNUMBER(E343)),ROUND(MOD(E343-D343,1)*1440,0),""))</f>
        <v/>
      </c>
      <c r="H343" s="9"/>
      <c r="I343" s="10" t="str">
        <f aca="false">IF(H343="","",IF(SUMPRODUCT(MAX((Setup!$D$5:$D$34=H343)*(35-ROW(Setup!$D$5:$D$34))))=0,"Not in Setup",INDEX(Setup!$E$5:$E$34,31-SUMPRODUCT(MAX((Setup!$D$5:$D$34=H343)*(35-ROW(Setup!$D$5:$D$34)))))))</f>
        <v/>
      </c>
      <c r="J343" s="9"/>
      <c r="K343" s="10" t="str">
        <f aca="false">IF(AND(A343="",C343="",D343="",E343="",F343="",H343=""),"",IF(NOT(ISNUMBER(A343)),"Enter a date",IF(AND(F343&lt;&gt;"",OR(NOT(ISNUMBER(F343)),N(F343)&lt;0)),"Minutes must be a number of 0 or more",IF(G343="","Enter start and end times, or minutes",IF(C343="","Pick a machine",IF(SUMPRODUCT(--(Setup!$A$5:$A$34=C343))=0,"Machine not in Setup",IF(H343="","Pick a reason (counted as unclassified)",IF(I343="Not in Setup","Reason not in Setup (counted as unclassified)",IF(N(G343)=0,"0 minutes: not counted as a stop","OK")))))))))</f>
        <v/>
      </c>
    </row>
    <row r="344" customFormat="false" ht="15" hidden="false" customHeight="false" outlineLevel="0" collapsed="false">
      <c r="A344" s="11"/>
      <c r="B344" s="9"/>
      <c r="C344" s="9"/>
      <c r="D344" s="12"/>
      <c r="E344" s="12"/>
      <c r="F344" s="13"/>
      <c r="G344" s="14" t="str">
        <f aca="false">IF(F344&lt;&gt;"",IF(AND(ISNUMBER(F344),N(F344)&gt;=0),F344,""),IF(AND(ISNUMBER(D344),ISNUMBER(E344)),ROUND(MOD(E344-D344,1)*1440,0),""))</f>
        <v/>
      </c>
      <c r="H344" s="9"/>
      <c r="I344" s="10" t="str">
        <f aca="false">IF(H344="","",IF(SUMPRODUCT(MAX((Setup!$D$5:$D$34=H344)*(35-ROW(Setup!$D$5:$D$34))))=0,"Not in Setup",INDEX(Setup!$E$5:$E$34,31-SUMPRODUCT(MAX((Setup!$D$5:$D$34=H344)*(35-ROW(Setup!$D$5:$D$34)))))))</f>
        <v/>
      </c>
      <c r="J344" s="9"/>
      <c r="K344" s="10" t="str">
        <f aca="false">IF(AND(A344="",C344="",D344="",E344="",F344="",H344=""),"",IF(NOT(ISNUMBER(A344)),"Enter a date",IF(AND(F344&lt;&gt;"",OR(NOT(ISNUMBER(F344)),N(F344)&lt;0)),"Minutes must be a number of 0 or more",IF(G344="","Enter start and end times, or minutes",IF(C344="","Pick a machine",IF(SUMPRODUCT(--(Setup!$A$5:$A$34=C344))=0,"Machine not in Setup",IF(H344="","Pick a reason (counted as unclassified)",IF(I344="Not in Setup","Reason not in Setup (counted as unclassified)",IF(N(G344)=0,"0 minutes: not counted as a stop","OK")))))))))</f>
        <v/>
      </c>
    </row>
    <row r="345" customFormat="false" ht="15" hidden="false" customHeight="false" outlineLevel="0" collapsed="false">
      <c r="A345" s="11"/>
      <c r="B345" s="9"/>
      <c r="C345" s="9"/>
      <c r="D345" s="12"/>
      <c r="E345" s="12"/>
      <c r="F345" s="13"/>
      <c r="G345" s="14" t="str">
        <f aca="false">IF(F345&lt;&gt;"",IF(AND(ISNUMBER(F345),N(F345)&gt;=0),F345,""),IF(AND(ISNUMBER(D345),ISNUMBER(E345)),ROUND(MOD(E345-D345,1)*1440,0),""))</f>
        <v/>
      </c>
      <c r="H345" s="9"/>
      <c r="I345" s="10" t="str">
        <f aca="false">IF(H345="","",IF(SUMPRODUCT(MAX((Setup!$D$5:$D$34=H345)*(35-ROW(Setup!$D$5:$D$34))))=0,"Not in Setup",INDEX(Setup!$E$5:$E$34,31-SUMPRODUCT(MAX((Setup!$D$5:$D$34=H345)*(35-ROW(Setup!$D$5:$D$34)))))))</f>
        <v/>
      </c>
      <c r="J345" s="9"/>
      <c r="K345" s="10" t="str">
        <f aca="false">IF(AND(A345="",C345="",D345="",E345="",F345="",H345=""),"",IF(NOT(ISNUMBER(A345)),"Enter a date",IF(AND(F345&lt;&gt;"",OR(NOT(ISNUMBER(F345)),N(F345)&lt;0)),"Minutes must be a number of 0 or more",IF(G345="","Enter start and end times, or minutes",IF(C345="","Pick a machine",IF(SUMPRODUCT(--(Setup!$A$5:$A$34=C345))=0,"Machine not in Setup",IF(H345="","Pick a reason (counted as unclassified)",IF(I345="Not in Setup","Reason not in Setup (counted as unclassified)",IF(N(G345)=0,"0 minutes: not counted as a stop","OK")))))))))</f>
        <v/>
      </c>
    </row>
    <row r="346" customFormat="false" ht="15" hidden="false" customHeight="false" outlineLevel="0" collapsed="false">
      <c r="A346" s="11"/>
      <c r="B346" s="9"/>
      <c r="C346" s="9"/>
      <c r="D346" s="12"/>
      <c r="E346" s="12"/>
      <c r="F346" s="13"/>
      <c r="G346" s="14" t="str">
        <f aca="false">IF(F346&lt;&gt;"",IF(AND(ISNUMBER(F346),N(F346)&gt;=0),F346,""),IF(AND(ISNUMBER(D346),ISNUMBER(E346)),ROUND(MOD(E346-D346,1)*1440,0),""))</f>
        <v/>
      </c>
      <c r="H346" s="9"/>
      <c r="I346" s="10" t="str">
        <f aca="false">IF(H346="","",IF(SUMPRODUCT(MAX((Setup!$D$5:$D$34=H346)*(35-ROW(Setup!$D$5:$D$34))))=0,"Not in Setup",INDEX(Setup!$E$5:$E$34,31-SUMPRODUCT(MAX((Setup!$D$5:$D$34=H346)*(35-ROW(Setup!$D$5:$D$34)))))))</f>
        <v/>
      </c>
      <c r="J346" s="9"/>
      <c r="K346" s="10" t="str">
        <f aca="false">IF(AND(A346="",C346="",D346="",E346="",F346="",H346=""),"",IF(NOT(ISNUMBER(A346)),"Enter a date",IF(AND(F346&lt;&gt;"",OR(NOT(ISNUMBER(F346)),N(F346)&lt;0)),"Minutes must be a number of 0 or more",IF(G346="","Enter start and end times, or minutes",IF(C346="","Pick a machine",IF(SUMPRODUCT(--(Setup!$A$5:$A$34=C346))=0,"Machine not in Setup",IF(H346="","Pick a reason (counted as unclassified)",IF(I346="Not in Setup","Reason not in Setup (counted as unclassified)",IF(N(G346)=0,"0 minutes: not counted as a stop","OK")))))))))</f>
        <v/>
      </c>
    </row>
    <row r="347" customFormat="false" ht="15" hidden="false" customHeight="false" outlineLevel="0" collapsed="false">
      <c r="A347" s="11"/>
      <c r="B347" s="9"/>
      <c r="C347" s="9"/>
      <c r="D347" s="12"/>
      <c r="E347" s="12"/>
      <c r="F347" s="13"/>
      <c r="G347" s="14" t="str">
        <f aca="false">IF(F347&lt;&gt;"",IF(AND(ISNUMBER(F347),N(F347)&gt;=0),F347,""),IF(AND(ISNUMBER(D347),ISNUMBER(E347)),ROUND(MOD(E347-D347,1)*1440,0),""))</f>
        <v/>
      </c>
      <c r="H347" s="9"/>
      <c r="I347" s="10" t="str">
        <f aca="false">IF(H347="","",IF(SUMPRODUCT(MAX((Setup!$D$5:$D$34=H347)*(35-ROW(Setup!$D$5:$D$34))))=0,"Not in Setup",INDEX(Setup!$E$5:$E$34,31-SUMPRODUCT(MAX((Setup!$D$5:$D$34=H347)*(35-ROW(Setup!$D$5:$D$34)))))))</f>
        <v/>
      </c>
      <c r="J347" s="9"/>
      <c r="K347" s="10" t="str">
        <f aca="false">IF(AND(A347="",C347="",D347="",E347="",F347="",H347=""),"",IF(NOT(ISNUMBER(A347)),"Enter a date",IF(AND(F347&lt;&gt;"",OR(NOT(ISNUMBER(F347)),N(F347)&lt;0)),"Minutes must be a number of 0 or more",IF(G347="","Enter start and end times, or minutes",IF(C347="","Pick a machine",IF(SUMPRODUCT(--(Setup!$A$5:$A$34=C347))=0,"Machine not in Setup",IF(H347="","Pick a reason (counted as unclassified)",IF(I347="Not in Setup","Reason not in Setup (counted as unclassified)",IF(N(G347)=0,"0 minutes: not counted as a stop","OK")))))))))</f>
        <v/>
      </c>
    </row>
    <row r="348" customFormat="false" ht="15" hidden="false" customHeight="false" outlineLevel="0" collapsed="false">
      <c r="A348" s="11"/>
      <c r="B348" s="9"/>
      <c r="C348" s="9"/>
      <c r="D348" s="12"/>
      <c r="E348" s="12"/>
      <c r="F348" s="13"/>
      <c r="G348" s="14" t="str">
        <f aca="false">IF(F348&lt;&gt;"",IF(AND(ISNUMBER(F348),N(F348)&gt;=0),F348,""),IF(AND(ISNUMBER(D348),ISNUMBER(E348)),ROUND(MOD(E348-D348,1)*1440,0),""))</f>
        <v/>
      </c>
      <c r="H348" s="9"/>
      <c r="I348" s="10" t="str">
        <f aca="false">IF(H348="","",IF(SUMPRODUCT(MAX((Setup!$D$5:$D$34=H348)*(35-ROW(Setup!$D$5:$D$34))))=0,"Not in Setup",INDEX(Setup!$E$5:$E$34,31-SUMPRODUCT(MAX((Setup!$D$5:$D$34=H348)*(35-ROW(Setup!$D$5:$D$34)))))))</f>
        <v/>
      </c>
      <c r="J348" s="9"/>
      <c r="K348" s="10" t="str">
        <f aca="false">IF(AND(A348="",C348="",D348="",E348="",F348="",H348=""),"",IF(NOT(ISNUMBER(A348)),"Enter a date",IF(AND(F348&lt;&gt;"",OR(NOT(ISNUMBER(F348)),N(F348)&lt;0)),"Minutes must be a number of 0 or more",IF(G348="","Enter start and end times, or minutes",IF(C348="","Pick a machine",IF(SUMPRODUCT(--(Setup!$A$5:$A$34=C348))=0,"Machine not in Setup",IF(H348="","Pick a reason (counted as unclassified)",IF(I348="Not in Setup","Reason not in Setup (counted as unclassified)",IF(N(G348)=0,"0 minutes: not counted as a stop","OK")))))))))</f>
        <v/>
      </c>
    </row>
    <row r="349" customFormat="false" ht="15" hidden="false" customHeight="false" outlineLevel="0" collapsed="false">
      <c r="A349" s="11"/>
      <c r="B349" s="9"/>
      <c r="C349" s="9"/>
      <c r="D349" s="12"/>
      <c r="E349" s="12"/>
      <c r="F349" s="13"/>
      <c r="G349" s="14" t="str">
        <f aca="false">IF(F349&lt;&gt;"",IF(AND(ISNUMBER(F349),N(F349)&gt;=0),F349,""),IF(AND(ISNUMBER(D349),ISNUMBER(E349)),ROUND(MOD(E349-D349,1)*1440,0),""))</f>
        <v/>
      </c>
      <c r="H349" s="9"/>
      <c r="I349" s="10" t="str">
        <f aca="false">IF(H349="","",IF(SUMPRODUCT(MAX((Setup!$D$5:$D$34=H349)*(35-ROW(Setup!$D$5:$D$34))))=0,"Not in Setup",INDEX(Setup!$E$5:$E$34,31-SUMPRODUCT(MAX((Setup!$D$5:$D$34=H349)*(35-ROW(Setup!$D$5:$D$34)))))))</f>
        <v/>
      </c>
      <c r="J349" s="9"/>
      <c r="K349" s="10" t="str">
        <f aca="false">IF(AND(A349="",C349="",D349="",E349="",F349="",H349=""),"",IF(NOT(ISNUMBER(A349)),"Enter a date",IF(AND(F349&lt;&gt;"",OR(NOT(ISNUMBER(F349)),N(F349)&lt;0)),"Minutes must be a number of 0 or more",IF(G349="","Enter start and end times, or minutes",IF(C349="","Pick a machine",IF(SUMPRODUCT(--(Setup!$A$5:$A$34=C349))=0,"Machine not in Setup",IF(H349="","Pick a reason (counted as unclassified)",IF(I349="Not in Setup","Reason not in Setup (counted as unclassified)",IF(N(G349)=0,"0 minutes: not counted as a stop","OK")))))))))</f>
        <v/>
      </c>
    </row>
    <row r="350" customFormat="false" ht="15" hidden="false" customHeight="false" outlineLevel="0" collapsed="false">
      <c r="A350" s="11"/>
      <c r="B350" s="9"/>
      <c r="C350" s="9"/>
      <c r="D350" s="12"/>
      <c r="E350" s="12"/>
      <c r="F350" s="13"/>
      <c r="G350" s="14" t="str">
        <f aca="false">IF(F350&lt;&gt;"",IF(AND(ISNUMBER(F350),N(F350)&gt;=0),F350,""),IF(AND(ISNUMBER(D350),ISNUMBER(E350)),ROUND(MOD(E350-D350,1)*1440,0),""))</f>
        <v/>
      </c>
      <c r="H350" s="9"/>
      <c r="I350" s="10" t="str">
        <f aca="false">IF(H350="","",IF(SUMPRODUCT(MAX((Setup!$D$5:$D$34=H350)*(35-ROW(Setup!$D$5:$D$34))))=0,"Not in Setup",INDEX(Setup!$E$5:$E$34,31-SUMPRODUCT(MAX((Setup!$D$5:$D$34=H350)*(35-ROW(Setup!$D$5:$D$34)))))))</f>
        <v/>
      </c>
      <c r="J350" s="9"/>
      <c r="K350" s="10" t="str">
        <f aca="false">IF(AND(A350="",C350="",D350="",E350="",F350="",H350=""),"",IF(NOT(ISNUMBER(A350)),"Enter a date",IF(AND(F350&lt;&gt;"",OR(NOT(ISNUMBER(F350)),N(F350)&lt;0)),"Minutes must be a number of 0 or more",IF(G350="","Enter start and end times, or minutes",IF(C350="","Pick a machine",IF(SUMPRODUCT(--(Setup!$A$5:$A$34=C350))=0,"Machine not in Setup",IF(H350="","Pick a reason (counted as unclassified)",IF(I350="Not in Setup","Reason not in Setup (counted as unclassified)",IF(N(G350)=0,"0 minutes: not counted as a stop","OK")))))))))</f>
        <v/>
      </c>
    </row>
    <row r="351" customFormat="false" ht="15" hidden="false" customHeight="false" outlineLevel="0" collapsed="false">
      <c r="A351" s="11"/>
      <c r="B351" s="9"/>
      <c r="C351" s="9"/>
      <c r="D351" s="12"/>
      <c r="E351" s="12"/>
      <c r="F351" s="13"/>
      <c r="G351" s="14" t="str">
        <f aca="false">IF(F351&lt;&gt;"",IF(AND(ISNUMBER(F351),N(F351)&gt;=0),F351,""),IF(AND(ISNUMBER(D351),ISNUMBER(E351)),ROUND(MOD(E351-D351,1)*1440,0),""))</f>
        <v/>
      </c>
      <c r="H351" s="9"/>
      <c r="I351" s="10" t="str">
        <f aca="false">IF(H351="","",IF(SUMPRODUCT(MAX((Setup!$D$5:$D$34=H351)*(35-ROW(Setup!$D$5:$D$34))))=0,"Not in Setup",INDEX(Setup!$E$5:$E$34,31-SUMPRODUCT(MAX((Setup!$D$5:$D$34=H351)*(35-ROW(Setup!$D$5:$D$34)))))))</f>
        <v/>
      </c>
      <c r="J351" s="9"/>
      <c r="K351" s="10" t="str">
        <f aca="false">IF(AND(A351="",C351="",D351="",E351="",F351="",H351=""),"",IF(NOT(ISNUMBER(A351)),"Enter a date",IF(AND(F351&lt;&gt;"",OR(NOT(ISNUMBER(F351)),N(F351)&lt;0)),"Minutes must be a number of 0 or more",IF(G351="","Enter start and end times, or minutes",IF(C351="","Pick a machine",IF(SUMPRODUCT(--(Setup!$A$5:$A$34=C351))=0,"Machine not in Setup",IF(H351="","Pick a reason (counted as unclassified)",IF(I351="Not in Setup","Reason not in Setup (counted as unclassified)",IF(N(G351)=0,"0 minutes: not counted as a stop","OK")))))))))</f>
        <v/>
      </c>
    </row>
    <row r="352" customFormat="false" ht="15" hidden="false" customHeight="false" outlineLevel="0" collapsed="false">
      <c r="A352" s="11"/>
      <c r="B352" s="9"/>
      <c r="C352" s="9"/>
      <c r="D352" s="12"/>
      <c r="E352" s="12"/>
      <c r="F352" s="13"/>
      <c r="G352" s="14" t="str">
        <f aca="false">IF(F352&lt;&gt;"",IF(AND(ISNUMBER(F352),N(F352)&gt;=0),F352,""),IF(AND(ISNUMBER(D352),ISNUMBER(E352)),ROUND(MOD(E352-D352,1)*1440,0),""))</f>
        <v/>
      </c>
      <c r="H352" s="9"/>
      <c r="I352" s="10" t="str">
        <f aca="false">IF(H352="","",IF(SUMPRODUCT(MAX((Setup!$D$5:$D$34=H352)*(35-ROW(Setup!$D$5:$D$34))))=0,"Not in Setup",INDEX(Setup!$E$5:$E$34,31-SUMPRODUCT(MAX((Setup!$D$5:$D$34=H352)*(35-ROW(Setup!$D$5:$D$34)))))))</f>
        <v/>
      </c>
      <c r="J352" s="9"/>
      <c r="K352" s="10" t="str">
        <f aca="false">IF(AND(A352="",C352="",D352="",E352="",F352="",H352=""),"",IF(NOT(ISNUMBER(A352)),"Enter a date",IF(AND(F352&lt;&gt;"",OR(NOT(ISNUMBER(F352)),N(F352)&lt;0)),"Minutes must be a number of 0 or more",IF(G352="","Enter start and end times, or minutes",IF(C352="","Pick a machine",IF(SUMPRODUCT(--(Setup!$A$5:$A$34=C352))=0,"Machine not in Setup",IF(H352="","Pick a reason (counted as unclassified)",IF(I352="Not in Setup","Reason not in Setup (counted as unclassified)",IF(N(G352)=0,"0 minutes: not counted as a stop","OK")))))))))</f>
        <v/>
      </c>
    </row>
    <row r="353" customFormat="false" ht="15" hidden="false" customHeight="false" outlineLevel="0" collapsed="false">
      <c r="A353" s="11"/>
      <c r="B353" s="9"/>
      <c r="C353" s="9"/>
      <c r="D353" s="12"/>
      <c r="E353" s="12"/>
      <c r="F353" s="13"/>
      <c r="G353" s="14" t="str">
        <f aca="false">IF(F353&lt;&gt;"",IF(AND(ISNUMBER(F353),N(F353)&gt;=0),F353,""),IF(AND(ISNUMBER(D353),ISNUMBER(E353)),ROUND(MOD(E353-D353,1)*1440,0),""))</f>
        <v/>
      </c>
      <c r="H353" s="9"/>
      <c r="I353" s="10" t="str">
        <f aca="false">IF(H353="","",IF(SUMPRODUCT(MAX((Setup!$D$5:$D$34=H353)*(35-ROW(Setup!$D$5:$D$34))))=0,"Not in Setup",INDEX(Setup!$E$5:$E$34,31-SUMPRODUCT(MAX((Setup!$D$5:$D$34=H353)*(35-ROW(Setup!$D$5:$D$34)))))))</f>
        <v/>
      </c>
      <c r="J353" s="9"/>
      <c r="K353" s="10" t="str">
        <f aca="false">IF(AND(A353="",C353="",D353="",E353="",F353="",H353=""),"",IF(NOT(ISNUMBER(A353)),"Enter a date",IF(AND(F353&lt;&gt;"",OR(NOT(ISNUMBER(F353)),N(F353)&lt;0)),"Minutes must be a number of 0 or more",IF(G353="","Enter start and end times, or minutes",IF(C353="","Pick a machine",IF(SUMPRODUCT(--(Setup!$A$5:$A$34=C353))=0,"Machine not in Setup",IF(H353="","Pick a reason (counted as unclassified)",IF(I353="Not in Setup","Reason not in Setup (counted as unclassified)",IF(N(G353)=0,"0 minutes: not counted as a stop","OK")))))))))</f>
        <v/>
      </c>
    </row>
    <row r="354" customFormat="false" ht="15" hidden="false" customHeight="false" outlineLevel="0" collapsed="false">
      <c r="A354" s="11"/>
      <c r="B354" s="9"/>
      <c r="C354" s="9"/>
      <c r="D354" s="12"/>
      <c r="E354" s="12"/>
      <c r="F354" s="13"/>
      <c r="G354" s="14" t="str">
        <f aca="false">IF(F354&lt;&gt;"",IF(AND(ISNUMBER(F354),N(F354)&gt;=0),F354,""),IF(AND(ISNUMBER(D354),ISNUMBER(E354)),ROUND(MOD(E354-D354,1)*1440,0),""))</f>
        <v/>
      </c>
      <c r="H354" s="9"/>
      <c r="I354" s="10" t="str">
        <f aca="false">IF(H354="","",IF(SUMPRODUCT(MAX((Setup!$D$5:$D$34=H354)*(35-ROW(Setup!$D$5:$D$34))))=0,"Not in Setup",INDEX(Setup!$E$5:$E$34,31-SUMPRODUCT(MAX((Setup!$D$5:$D$34=H354)*(35-ROW(Setup!$D$5:$D$34)))))))</f>
        <v/>
      </c>
      <c r="J354" s="9"/>
      <c r="K354" s="10" t="str">
        <f aca="false">IF(AND(A354="",C354="",D354="",E354="",F354="",H354=""),"",IF(NOT(ISNUMBER(A354)),"Enter a date",IF(AND(F354&lt;&gt;"",OR(NOT(ISNUMBER(F354)),N(F354)&lt;0)),"Minutes must be a number of 0 or more",IF(G354="","Enter start and end times, or minutes",IF(C354="","Pick a machine",IF(SUMPRODUCT(--(Setup!$A$5:$A$34=C354))=0,"Machine not in Setup",IF(H354="","Pick a reason (counted as unclassified)",IF(I354="Not in Setup","Reason not in Setup (counted as unclassified)",IF(N(G354)=0,"0 minutes: not counted as a stop","OK")))))))))</f>
        <v/>
      </c>
    </row>
    <row r="355" customFormat="false" ht="15" hidden="false" customHeight="false" outlineLevel="0" collapsed="false">
      <c r="A355" s="11"/>
      <c r="B355" s="9"/>
      <c r="C355" s="9"/>
      <c r="D355" s="12"/>
      <c r="E355" s="12"/>
      <c r="F355" s="13"/>
      <c r="G355" s="14" t="str">
        <f aca="false">IF(F355&lt;&gt;"",IF(AND(ISNUMBER(F355),N(F355)&gt;=0),F355,""),IF(AND(ISNUMBER(D355),ISNUMBER(E355)),ROUND(MOD(E355-D355,1)*1440,0),""))</f>
        <v/>
      </c>
      <c r="H355" s="9"/>
      <c r="I355" s="10" t="str">
        <f aca="false">IF(H355="","",IF(SUMPRODUCT(MAX((Setup!$D$5:$D$34=H355)*(35-ROW(Setup!$D$5:$D$34))))=0,"Not in Setup",INDEX(Setup!$E$5:$E$34,31-SUMPRODUCT(MAX((Setup!$D$5:$D$34=H355)*(35-ROW(Setup!$D$5:$D$34)))))))</f>
        <v/>
      </c>
      <c r="J355" s="9"/>
      <c r="K355" s="10" t="str">
        <f aca="false">IF(AND(A355="",C355="",D355="",E355="",F355="",H355=""),"",IF(NOT(ISNUMBER(A355)),"Enter a date",IF(AND(F355&lt;&gt;"",OR(NOT(ISNUMBER(F355)),N(F355)&lt;0)),"Minutes must be a number of 0 or more",IF(G355="","Enter start and end times, or minutes",IF(C355="","Pick a machine",IF(SUMPRODUCT(--(Setup!$A$5:$A$34=C355))=0,"Machine not in Setup",IF(H355="","Pick a reason (counted as unclassified)",IF(I355="Not in Setup","Reason not in Setup (counted as unclassified)",IF(N(G355)=0,"0 minutes: not counted as a stop","OK")))))))))</f>
        <v/>
      </c>
    </row>
    <row r="356" customFormat="false" ht="15" hidden="false" customHeight="false" outlineLevel="0" collapsed="false">
      <c r="A356" s="11"/>
      <c r="B356" s="9"/>
      <c r="C356" s="9"/>
      <c r="D356" s="12"/>
      <c r="E356" s="12"/>
      <c r="F356" s="13"/>
      <c r="G356" s="14" t="str">
        <f aca="false">IF(F356&lt;&gt;"",IF(AND(ISNUMBER(F356),N(F356)&gt;=0),F356,""),IF(AND(ISNUMBER(D356),ISNUMBER(E356)),ROUND(MOD(E356-D356,1)*1440,0),""))</f>
        <v/>
      </c>
      <c r="H356" s="9"/>
      <c r="I356" s="10" t="str">
        <f aca="false">IF(H356="","",IF(SUMPRODUCT(MAX((Setup!$D$5:$D$34=H356)*(35-ROW(Setup!$D$5:$D$34))))=0,"Not in Setup",INDEX(Setup!$E$5:$E$34,31-SUMPRODUCT(MAX((Setup!$D$5:$D$34=H356)*(35-ROW(Setup!$D$5:$D$34)))))))</f>
        <v/>
      </c>
      <c r="J356" s="9"/>
      <c r="K356" s="10" t="str">
        <f aca="false">IF(AND(A356="",C356="",D356="",E356="",F356="",H356=""),"",IF(NOT(ISNUMBER(A356)),"Enter a date",IF(AND(F356&lt;&gt;"",OR(NOT(ISNUMBER(F356)),N(F356)&lt;0)),"Minutes must be a number of 0 or more",IF(G356="","Enter start and end times, or minutes",IF(C356="","Pick a machine",IF(SUMPRODUCT(--(Setup!$A$5:$A$34=C356))=0,"Machine not in Setup",IF(H356="","Pick a reason (counted as unclassified)",IF(I356="Not in Setup","Reason not in Setup (counted as unclassified)",IF(N(G356)=0,"0 minutes: not counted as a stop","OK")))))))))</f>
        <v/>
      </c>
    </row>
    <row r="357" customFormat="false" ht="15" hidden="false" customHeight="false" outlineLevel="0" collapsed="false">
      <c r="A357" s="11"/>
      <c r="B357" s="9"/>
      <c r="C357" s="9"/>
      <c r="D357" s="12"/>
      <c r="E357" s="12"/>
      <c r="F357" s="13"/>
      <c r="G357" s="14" t="str">
        <f aca="false">IF(F357&lt;&gt;"",IF(AND(ISNUMBER(F357),N(F357)&gt;=0),F357,""),IF(AND(ISNUMBER(D357),ISNUMBER(E357)),ROUND(MOD(E357-D357,1)*1440,0),""))</f>
        <v/>
      </c>
      <c r="H357" s="9"/>
      <c r="I357" s="10" t="str">
        <f aca="false">IF(H357="","",IF(SUMPRODUCT(MAX((Setup!$D$5:$D$34=H357)*(35-ROW(Setup!$D$5:$D$34))))=0,"Not in Setup",INDEX(Setup!$E$5:$E$34,31-SUMPRODUCT(MAX((Setup!$D$5:$D$34=H357)*(35-ROW(Setup!$D$5:$D$34)))))))</f>
        <v/>
      </c>
      <c r="J357" s="9"/>
      <c r="K357" s="10" t="str">
        <f aca="false">IF(AND(A357="",C357="",D357="",E357="",F357="",H357=""),"",IF(NOT(ISNUMBER(A357)),"Enter a date",IF(AND(F357&lt;&gt;"",OR(NOT(ISNUMBER(F357)),N(F357)&lt;0)),"Minutes must be a number of 0 or more",IF(G357="","Enter start and end times, or minutes",IF(C357="","Pick a machine",IF(SUMPRODUCT(--(Setup!$A$5:$A$34=C357))=0,"Machine not in Setup",IF(H357="","Pick a reason (counted as unclassified)",IF(I357="Not in Setup","Reason not in Setup (counted as unclassified)",IF(N(G357)=0,"0 minutes: not counted as a stop","OK")))))))))</f>
        <v/>
      </c>
    </row>
    <row r="358" customFormat="false" ht="15" hidden="false" customHeight="false" outlineLevel="0" collapsed="false">
      <c r="A358" s="11"/>
      <c r="B358" s="9"/>
      <c r="C358" s="9"/>
      <c r="D358" s="12"/>
      <c r="E358" s="12"/>
      <c r="F358" s="13"/>
      <c r="G358" s="14" t="str">
        <f aca="false">IF(F358&lt;&gt;"",IF(AND(ISNUMBER(F358),N(F358)&gt;=0),F358,""),IF(AND(ISNUMBER(D358),ISNUMBER(E358)),ROUND(MOD(E358-D358,1)*1440,0),""))</f>
        <v/>
      </c>
      <c r="H358" s="9"/>
      <c r="I358" s="10" t="str">
        <f aca="false">IF(H358="","",IF(SUMPRODUCT(MAX((Setup!$D$5:$D$34=H358)*(35-ROW(Setup!$D$5:$D$34))))=0,"Not in Setup",INDEX(Setup!$E$5:$E$34,31-SUMPRODUCT(MAX((Setup!$D$5:$D$34=H358)*(35-ROW(Setup!$D$5:$D$34)))))))</f>
        <v/>
      </c>
      <c r="J358" s="9"/>
      <c r="K358" s="10" t="str">
        <f aca="false">IF(AND(A358="",C358="",D358="",E358="",F358="",H358=""),"",IF(NOT(ISNUMBER(A358)),"Enter a date",IF(AND(F358&lt;&gt;"",OR(NOT(ISNUMBER(F358)),N(F358)&lt;0)),"Minutes must be a number of 0 or more",IF(G358="","Enter start and end times, or minutes",IF(C358="","Pick a machine",IF(SUMPRODUCT(--(Setup!$A$5:$A$34=C358))=0,"Machine not in Setup",IF(H358="","Pick a reason (counted as unclassified)",IF(I358="Not in Setup","Reason not in Setup (counted as unclassified)",IF(N(G358)=0,"0 minutes: not counted as a stop","OK")))))))))</f>
        <v/>
      </c>
    </row>
    <row r="359" customFormat="false" ht="15" hidden="false" customHeight="false" outlineLevel="0" collapsed="false">
      <c r="A359" s="11"/>
      <c r="B359" s="9"/>
      <c r="C359" s="9"/>
      <c r="D359" s="12"/>
      <c r="E359" s="12"/>
      <c r="F359" s="13"/>
      <c r="G359" s="14" t="str">
        <f aca="false">IF(F359&lt;&gt;"",IF(AND(ISNUMBER(F359),N(F359)&gt;=0),F359,""),IF(AND(ISNUMBER(D359),ISNUMBER(E359)),ROUND(MOD(E359-D359,1)*1440,0),""))</f>
        <v/>
      </c>
      <c r="H359" s="9"/>
      <c r="I359" s="10" t="str">
        <f aca="false">IF(H359="","",IF(SUMPRODUCT(MAX((Setup!$D$5:$D$34=H359)*(35-ROW(Setup!$D$5:$D$34))))=0,"Not in Setup",INDEX(Setup!$E$5:$E$34,31-SUMPRODUCT(MAX((Setup!$D$5:$D$34=H359)*(35-ROW(Setup!$D$5:$D$34)))))))</f>
        <v/>
      </c>
      <c r="J359" s="9"/>
      <c r="K359" s="10" t="str">
        <f aca="false">IF(AND(A359="",C359="",D359="",E359="",F359="",H359=""),"",IF(NOT(ISNUMBER(A359)),"Enter a date",IF(AND(F359&lt;&gt;"",OR(NOT(ISNUMBER(F359)),N(F359)&lt;0)),"Minutes must be a number of 0 or more",IF(G359="","Enter start and end times, or minutes",IF(C359="","Pick a machine",IF(SUMPRODUCT(--(Setup!$A$5:$A$34=C359))=0,"Machine not in Setup",IF(H359="","Pick a reason (counted as unclassified)",IF(I359="Not in Setup","Reason not in Setup (counted as unclassified)",IF(N(G359)=0,"0 minutes: not counted as a stop","OK")))))))))</f>
        <v/>
      </c>
    </row>
    <row r="360" customFormat="false" ht="15" hidden="false" customHeight="false" outlineLevel="0" collapsed="false">
      <c r="A360" s="11"/>
      <c r="B360" s="9"/>
      <c r="C360" s="9"/>
      <c r="D360" s="12"/>
      <c r="E360" s="12"/>
      <c r="F360" s="13"/>
      <c r="G360" s="14" t="str">
        <f aca="false">IF(F360&lt;&gt;"",IF(AND(ISNUMBER(F360),N(F360)&gt;=0),F360,""),IF(AND(ISNUMBER(D360),ISNUMBER(E360)),ROUND(MOD(E360-D360,1)*1440,0),""))</f>
        <v/>
      </c>
      <c r="H360" s="9"/>
      <c r="I360" s="10" t="str">
        <f aca="false">IF(H360="","",IF(SUMPRODUCT(MAX((Setup!$D$5:$D$34=H360)*(35-ROW(Setup!$D$5:$D$34))))=0,"Not in Setup",INDEX(Setup!$E$5:$E$34,31-SUMPRODUCT(MAX((Setup!$D$5:$D$34=H360)*(35-ROW(Setup!$D$5:$D$34)))))))</f>
        <v/>
      </c>
      <c r="J360" s="9"/>
      <c r="K360" s="10" t="str">
        <f aca="false">IF(AND(A360="",C360="",D360="",E360="",F360="",H360=""),"",IF(NOT(ISNUMBER(A360)),"Enter a date",IF(AND(F360&lt;&gt;"",OR(NOT(ISNUMBER(F360)),N(F360)&lt;0)),"Minutes must be a number of 0 or more",IF(G360="","Enter start and end times, or minutes",IF(C360="","Pick a machine",IF(SUMPRODUCT(--(Setup!$A$5:$A$34=C360))=0,"Machine not in Setup",IF(H360="","Pick a reason (counted as unclassified)",IF(I360="Not in Setup","Reason not in Setup (counted as unclassified)",IF(N(G360)=0,"0 minutes: not counted as a stop","OK")))))))))</f>
        <v/>
      </c>
    </row>
    <row r="361" customFormat="false" ht="15" hidden="false" customHeight="false" outlineLevel="0" collapsed="false">
      <c r="A361" s="11"/>
      <c r="B361" s="9"/>
      <c r="C361" s="9"/>
      <c r="D361" s="12"/>
      <c r="E361" s="12"/>
      <c r="F361" s="13"/>
      <c r="G361" s="14" t="str">
        <f aca="false">IF(F361&lt;&gt;"",IF(AND(ISNUMBER(F361),N(F361)&gt;=0),F361,""),IF(AND(ISNUMBER(D361),ISNUMBER(E361)),ROUND(MOD(E361-D361,1)*1440,0),""))</f>
        <v/>
      </c>
      <c r="H361" s="9"/>
      <c r="I361" s="10" t="str">
        <f aca="false">IF(H361="","",IF(SUMPRODUCT(MAX((Setup!$D$5:$D$34=H361)*(35-ROW(Setup!$D$5:$D$34))))=0,"Not in Setup",INDEX(Setup!$E$5:$E$34,31-SUMPRODUCT(MAX((Setup!$D$5:$D$34=H361)*(35-ROW(Setup!$D$5:$D$34)))))))</f>
        <v/>
      </c>
      <c r="J361" s="9"/>
      <c r="K361" s="10" t="str">
        <f aca="false">IF(AND(A361="",C361="",D361="",E361="",F361="",H361=""),"",IF(NOT(ISNUMBER(A361)),"Enter a date",IF(AND(F361&lt;&gt;"",OR(NOT(ISNUMBER(F361)),N(F361)&lt;0)),"Minutes must be a number of 0 or more",IF(G361="","Enter start and end times, or minutes",IF(C361="","Pick a machine",IF(SUMPRODUCT(--(Setup!$A$5:$A$34=C361))=0,"Machine not in Setup",IF(H361="","Pick a reason (counted as unclassified)",IF(I361="Not in Setup","Reason not in Setup (counted as unclassified)",IF(N(G361)=0,"0 minutes: not counted as a stop","OK")))))))))</f>
        <v/>
      </c>
    </row>
    <row r="362" customFormat="false" ht="15" hidden="false" customHeight="false" outlineLevel="0" collapsed="false">
      <c r="A362" s="11"/>
      <c r="B362" s="9"/>
      <c r="C362" s="9"/>
      <c r="D362" s="12"/>
      <c r="E362" s="12"/>
      <c r="F362" s="13"/>
      <c r="G362" s="14" t="str">
        <f aca="false">IF(F362&lt;&gt;"",IF(AND(ISNUMBER(F362),N(F362)&gt;=0),F362,""),IF(AND(ISNUMBER(D362),ISNUMBER(E362)),ROUND(MOD(E362-D362,1)*1440,0),""))</f>
        <v/>
      </c>
      <c r="H362" s="9"/>
      <c r="I362" s="10" t="str">
        <f aca="false">IF(H362="","",IF(SUMPRODUCT(MAX((Setup!$D$5:$D$34=H362)*(35-ROW(Setup!$D$5:$D$34))))=0,"Not in Setup",INDEX(Setup!$E$5:$E$34,31-SUMPRODUCT(MAX((Setup!$D$5:$D$34=H362)*(35-ROW(Setup!$D$5:$D$34)))))))</f>
        <v/>
      </c>
      <c r="J362" s="9"/>
      <c r="K362" s="10" t="str">
        <f aca="false">IF(AND(A362="",C362="",D362="",E362="",F362="",H362=""),"",IF(NOT(ISNUMBER(A362)),"Enter a date",IF(AND(F362&lt;&gt;"",OR(NOT(ISNUMBER(F362)),N(F362)&lt;0)),"Minutes must be a number of 0 or more",IF(G362="","Enter start and end times, or minutes",IF(C362="","Pick a machine",IF(SUMPRODUCT(--(Setup!$A$5:$A$34=C362))=0,"Machine not in Setup",IF(H362="","Pick a reason (counted as unclassified)",IF(I362="Not in Setup","Reason not in Setup (counted as unclassified)",IF(N(G362)=0,"0 minutes: not counted as a stop","OK")))))))))</f>
        <v/>
      </c>
    </row>
    <row r="363" customFormat="false" ht="15" hidden="false" customHeight="false" outlineLevel="0" collapsed="false">
      <c r="A363" s="11"/>
      <c r="B363" s="9"/>
      <c r="C363" s="9"/>
      <c r="D363" s="12"/>
      <c r="E363" s="12"/>
      <c r="F363" s="13"/>
      <c r="G363" s="14" t="str">
        <f aca="false">IF(F363&lt;&gt;"",IF(AND(ISNUMBER(F363),N(F363)&gt;=0),F363,""),IF(AND(ISNUMBER(D363),ISNUMBER(E363)),ROUND(MOD(E363-D363,1)*1440,0),""))</f>
        <v/>
      </c>
      <c r="H363" s="9"/>
      <c r="I363" s="10" t="str">
        <f aca="false">IF(H363="","",IF(SUMPRODUCT(MAX((Setup!$D$5:$D$34=H363)*(35-ROW(Setup!$D$5:$D$34))))=0,"Not in Setup",INDEX(Setup!$E$5:$E$34,31-SUMPRODUCT(MAX((Setup!$D$5:$D$34=H363)*(35-ROW(Setup!$D$5:$D$34)))))))</f>
        <v/>
      </c>
      <c r="J363" s="9"/>
      <c r="K363" s="10" t="str">
        <f aca="false">IF(AND(A363="",C363="",D363="",E363="",F363="",H363=""),"",IF(NOT(ISNUMBER(A363)),"Enter a date",IF(AND(F363&lt;&gt;"",OR(NOT(ISNUMBER(F363)),N(F363)&lt;0)),"Minutes must be a number of 0 or more",IF(G363="","Enter start and end times, or minutes",IF(C363="","Pick a machine",IF(SUMPRODUCT(--(Setup!$A$5:$A$34=C363))=0,"Machine not in Setup",IF(H363="","Pick a reason (counted as unclassified)",IF(I363="Not in Setup","Reason not in Setup (counted as unclassified)",IF(N(G363)=0,"0 minutes: not counted as a stop","OK")))))))))</f>
        <v/>
      </c>
    </row>
    <row r="364" customFormat="false" ht="15" hidden="false" customHeight="false" outlineLevel="0" collapsed="false">
      <c r="A364" s="11"/>
      <c r="B364" s="9"/>
      <c r="C364" s="9"/>
      <c r="D364" s="12"/>
      <c r="E364" s="12"/>
      <c r="F364" s="13"/>
      <c r="G364" s="14" t="str">
        <f aca="false">IF(F364&lt;&gt;"",IF(AND(ISNUMBER(F364),N(F364)&gt;=0),F364,""),IF(AND(ISNUMBER(D364),ISNUMBER(E364)),ROUND(MOD(E364-D364,1)*1440,0),""))</f>
        <v/>
      </c>
      <c r="H364" s="9"/>
      <c r="I364" s="10" t="str">
        <f aca="false">IF(H364="","",IF(SUMPRODUCT(MAX((Setup!$D$5:$D$34=H364)*(35-ROW(Setup!$D$5:$D$34))))=0,"Not in Setup",INDEX(Setup!$E$5:$E$34,31-SUMPRODUCT(MAX((Setup!$D$5:$D$34=H364)*(35-ROW(Setup!$D$5:$D$34)))))))</f>
        <v/>
      </c>
      <c r="J364" s="9"/>
      <c r="K364" s="10" t="str">
        <f aca="false">IF(AND(A364="",C364="",D364="",E364="",F364="",H364=""),"",IF(NOT(ISNUMBER(A364)),"Enter a date",IF(AND(F364&lt;&gt;"",OR(NOT(ISNUMBER(F364)),N(F364)&lt;0)),"Minutes must be a number of 0 or more",IF(G364="","Enter start and end times, or minutes",IF(C364="","Pick a machine",IF(SUMPRODUCT(--(Setup!$A$5:$A$34=C364))=0,"Machine not in Setup",IF(H364="","Pick a reason (counted as unclassified)",IF(I364="Not in Setup","Reason not in Setup (counted as unclassified)",IF(N(G364)=0,"0 minutes: not counted as a stop","OK")))))))))</f>
        <v/>
      </c>
    </row>
    <row r="365" customFormat="false" ht="15" hidden="false" customHeight="false" outlineLevel="0" collapsed="false">
      <c r="A365" s="11"/>
      <c r="B365" s="9"/>
      <c r="C365" s="9"/>
      <c r="D365" s="12"/>
      <c r="E365" s="12"/>
      <c r="F365" s="13"/>
      <c r="G365" s="14" t="str">
        <f aca="false">IF(F365&lt;&gt;"",IF(AND(ISNUMBER(F365),N(F365)&gt;=0),F365,""),IF(AND(ISNUMBER(D365),ISNUMBER(E365)),ROUND(MOD(E365-D365,1)*1440,0),""))</f>
        <v/>
      </c>
      <c r="H365" s="9"/>
      <c r="I365" s="10" t="str">
        <f aca="false">IF(H365="","",IF(SUMPRODUCT(MAX((Setup!$D$5:$D$34=H365)*(35-ROW(Setup!$D$5:$D$34))))=0,"Not in Setup",INDEX(Setup!$E$5:$E$34,31-SUMPRODUCT(MAX((Setup!$D$5:$D$34=H365)*(35-ROW(Setup!$D$5:$D$34)))))))</f>
        <v/>
      </c>
      <c r="J365" s="9"/>
      <c r="K365" s="10" t="str">
        <f aca="false">IF(AND(A365="",C365="",D365="",E365="",F365="",H365=""),"",IF(NOT(ISNUMBER(A365)),"Enter a date",IF(AND(F365&lt;&gt;"",OR(NOT(ISNUMBER(F365)),N(F365)&lt;0)),"Minutes must be a number of 0 or more",IF(G365="","Enter start and end times, or minutes",IF(C365="","Pick a machine",IF(SUMPRODUCT(--(Setup!$A$5:$A$34=C365))=0,"Machine not in Setup",IF(H365="","Pick a reason (counted as unclassified)",IF(I365="Not in Setup","Reason not in Setup (counted as unclassified)",IF(N(G365)=0,"0 minutes: not counted as a stop","OK")))))))))</f>
        <v/>
      </c>
    </row>
    <row r="366" customFormat="false" ht="15" hidden="false" customHeight="false" outlineLevel="0" collapsed="false">
      <c r="A366" s="11"/>
      <c r="B366" s="9"/>
      <c r="C366" s="9"/>
      <c r="D366" s="12"/>
      <c r="E366" s="12"/>
      <c r="F366" s="13"/>
      <c r="G366" s="14" t="str">
        <f aca="false">IF(F366&lt;&gt;"",IF(AND(ISNUMBER(F366),N(F366)&gt;=0),F366,""),IF(AND(ISNUMBER(D366),ISNUMBER(E366)),ROUND(MOD(E366-D366,1)*1440,0),""))</f>
        <v/>
      </c>
      <c r="H366" s="9"/>
      <c r="I366" s="10" t="str">
        <f aca="false">IF(H366="","",IF(SUMPRODUCT(MAX((Setup!$D$5:$D$34=H366)*(35-ROW(Setup!$D$5:$D$34))))=0,"Not in Setup",INDEX(Setup!$E$5:$E$34,31-SUMPRODUCT(MAX((Setup!$D$5:$D$34=H366)*(35-ROW(Setup!$D$5:$D$34)))))))</f>
        <v/>
      </c>
      <c r="J366" s="9"/>
      <c r="K366" s="10" t="str">
        <f aca="false">IF(AND(A366="",C366="",D366="",E366="",F366="",H366=""),"",IF(NOT(ISNUMBER(A366)),"Enter a date",IF(AND(F366&lt;&gt;"",OR(NOT(ISNUMBER(F366)),N(F366)&lt;0)),"Minutes must be a number of 0 or more",IF(G366="","Enter start and end times, or minutes",IF(C366="","Pick a machine",IF(SUMPRODUCT(--(Setup!$A$5:$A$34=C366))=0,"Machine not in Setup",IF(H366="","Pick a reason (counted as unclassified)",IF(I366="Not in Setup","Reason not in Setup (counted as unclassified)",IF(N(G366)=0,"0 minutes: not counted as a stop","OK")))))))))</f>
        <v/>
      </c>
    </row>
    <row r="367" customFormat="false" ht="15" hidden="false" customHeight="false" outlineLevel="0" collapsed="false">
      <c r="A367" s="11"/>
      <c r="B367" s="9"/>
      <c r="C367" s="9"/>
      <c r="D367" s="12"/>
      <c r="E367" s="12"/>
      <c r="F367" s="13"/>
      <c r="G367" s="14" t="str">
        <f aca="false">IF(F367&lt;&gt;"",IF(AND(ISNUMBER(F367),N(F367)&gt;=0),F367,""),IF(AND(ISNUMBER(D367),ISNUMBER(E367)),ROUND(MOD(E367-D367,1)*1440,0),""))</f>
        <v/>
      </c>
      <c r="H367" s="9"/>
      <c r="I367" s="10" t="str">
        <f aca="false">IF(H367="","",IF(SUMPRODUCT(MAX((Setup!$D$5:$D$34=H367)*(35-ROW(Setup!$D$5:$D$34))))=0,"Not in Setup",INDEX(Setup!$E$5:$E$34,31-SUMPRODUCT(MAX((Setup!$D$5:$D$34=H367)*(35-ROW(Setup!$D$5:$D$34)))))))</f>
        <v/>
      </c>
      <c r="J367" s="9"/>
      <c r="K367" s="10" t="str">
        <f aca="false">IF(AND(A367="",C367="",D367="",E367="",F367="",H367=""),"",IF(NOT(ISNUMBER(A367)),"Enter a date",IF(AND(F367&lt;&gt;"",OR(NOT(ISNUMBER(F367)),N(F367)&lt;0)),"Minutes must be a number of 0 or more",IF(G367="","Enter start and end times, or minutes",IF(C367="","Pick a machine",IF(SUMPRODUCT(--(Setup!$A$5:$A$34=C367))=0,"Machine not in Setup",IF(H367="","Pick a reason (counted as unclassified)",IF(I367="Not in Setup","Reason not in Setup (counted as unclassified)",IF(N(G367)=0,"0 minutes: not counted as a stop","OK")))))))))</f>
        <v/>
      </c>
    </row>
    <row r="368" customFormat="false" ht="15" hidden="false" customHeight="false" outlineLevel="0" collapsed="false">
      <c r="A368" s="11"/>
      <c r="B368" s="9"/>
      <c r="C368" s="9"/>
      <c r="D368" s="12"/>
      <c r="E368" s="12"/>
      <c r="F368" s="13"/>
      <c r="G368" s="14" t="str">
        <f aca="false">IF(F368&lt;&gt;"",IF(AND(ISNUMBER(F368),N(F368)&gt;=0),F368,""),IF(AND(ISNUMBER(D368),ISNUMBER(E368)),ROUND(MOD(E368-D368,1)*1440,0),""))</f>
        <v/>
      </c>
      <c r="H368" s="9"/>
      <c r="I368" s="10" t="str">
        <f aca="false">IF(H368="","",IF(SUMPRODUCT(MAX((Setup!$D$5:$D$34=H368)*(35-ROW(Setup!$D$5:$D$34))))=0,"Not in Setup",INDEX(Setup!$E$5:$E$34,31-SUMPRODUCT(MAX((Setup!$D$5:$D$34=H368)*(35-ROW(Setup!$D$5:$D$34)))))))</f>
        <v/>
      </c>
      <c r="J368" s="9"/>
      <c r="K368" s="10" t="str">
        <f aca="false">IF(AND(A368="",C368="",D368="",E368="",F368="",H368=""),"",IF(NOT(ISNUMBER(A368)),"Enter a date",IF(AND(F368&lt;&gt;"",OR(NOT(ISNUMBER(F368)),N(F368)&lt;0)),"Minutes must be a number of 0 or more",IF(G368="","Enter start and end times, or minutes",IF(C368="","Pick a machine",IF(SUMPRODUCT(--(Setup!$A$5:$A$34=C368))=0,"Machine not in Setup",IF(H368="","Pick a reason (counted as unclassified)",IF(I368="Not in Setup","Reason not in Setup (counted as unclassified)",IF(N(G368)=0,"0 minutes: not counted as a stop","OK")))))))))</f>
        <v/>
      </c>
    </row>
    <row r="369" customFormat="false" ht="15" hidden="false" customHeight="false" outlineLevel="0" collapsed="false">
      <c r="A369" s="11"/>
      <c r="B369" s="9"/>
      <c r="C369" s="9"/>
      <c r="D369" s="12"/>
      <c r="E369" s="12"/>
      <c r="F369" s="13"/>
      <c r="G369" s="14" t="str">
        <f aca="false">IF(F369&lt;&gt;"",IF(AND(ISNUMBER(F369),N(F369)&gt;=0),F369,""),IF(AND(ISNUMBER(D369),ISNUMBER(E369)),ROUND(MOD(E369-D369,1)*1440,0),""))</f>
        <v/>
      </c>
      <c r="H369" s="9"/>
      <c r="I369" s="10" t="str">
        <f aca="false">IF(H369="","",IF(SUMPRODUCT(MAX((Setup!$D$5:$D$34=H369)*(35-ROW(Setup!$D$5:$D$34))))=0,"Not in Setup",INDEX(Setup!$E$5:$E$34,31-SUMPRODUCT(MAX((Setup!$D$5:$D$34=H369)*(35-ROW(Setup!$D$5:$D$34)))))))</f>
        <v/>
      </c>
      <c r="J369" s="9"/>
      <c r="K369" s="10" t="str">
        <f aca="false">IF(AND(A369="",C369="",D369="",E369="",F369="",H369=""),"",IF(NOT(ISNUMBER(A369)),"Enter a date",IF(AND(F369&lt;&gt;"",OR(NOT(ISNUMBER(F369)),N(F369)&lt;0)),"Minutes must be a number of 0 or more",IF(G369="","Enter start and end times, or minutes",IF(C369="","Pick a machine",IF(SUMPRODUCT(--(Setup!$A$5:$A$34=C369))=0,"Machine not in Setup",IF(H369="","Pick a reason (counted as unclassified)",IF(I369="Not in Setup","Reason not in Setup (counted as unclassified)",IF(N(G369)=0,"0 minutes: not counted as a stop","OK")))))))))</f>
        <v/>
      </c>
    </row>
    <row r="370" customFormat="false" ht="15" hidden="false" customHeight="false" outlineLevel="0" collapsed="false">
      <c r="A370" s="11"/>
      <c r="B370" s="9"/>
      <c r="C370" s="9"/>
      <c r="D370" s="12"/>
      <c r="E370" s="12"/>
      <c r="F370" s="13"/>
      <c r="G370" s="14" t="str">
        <f aca="false">IF(F370&lt;&gt;"",IF(AND(ISNUMBER(F370),N(F370)&gt;=0),F370,""),IF(AND(ISNUMBER(D370),ISNUMBER(E370)),ROUND(MOD(E370-D370,1)*1440,0),""))</f>
        <v/>
      </c>
      <c r="H370" s="9"/>
      <c r="I370" s="10" t="str">
        <f aca="false">IF(H370="","",IF(SUMPRODUCT(MAX((Setup!$D$5:$D$34=H370)*(35-ROW(Setup!$D$5:$D$34))))=0,"Not in Setup",INDEX(Setup!$E$5:$E$34,31-SUMPRODUCT(MAX((Setup!$D$5:$D$34=H370)*(35-ROW(Setup!$D$5:$D$34)))))))</f>
        <v/>
      </c>
      <c r="J370" s="9"/>
      <c r="K370" s="10" t="str">
        <f aca="false">IF(AND(A370="",C370="",D370="",E370="",F370="",H370=""),"",IF(NOT(ISNUMBER(A370)),"Enter a date",IF(AND(F370&lt;&gt;"",OR(NOT(ISNUMBER(F370)),N(F370)&lt;0)),"Minutes must be a number of 0 or more",IF(G370="","Enter start and end times, or minutes",IF(C370="","Pick a machine",IF(SUMPRODUCT(--(Setup!$A$5:$A$34=C370))=0,"Machine not in Setup",IF(H370="","Pick a reason (counted as unclassified)",IF(I370="Not in Setup","Reason not in Setup (counted as unclassified)",IF(N(G370)=0,"0 minutes: not counted as a stop","OK")))))))))</f>
        <v/>
      </c>
    </row>
    <row r="371" customFormat="false" ht="15" hidden="false" customHeight="false" outlineLevel="0" collapsed="false">
      <c r="A371" s="11"/>
      <c r="B371" s="9"/>
      <c r="C371" s="9"/>
      <c r="D371" s="12"/>
      <c r="E371" s="12"/>
      <c r="F371" s="13"/>
      <c r="G371" s="14" t="str">
        <f aca="false">IF(F371&lt;&gt;"",IF(AND(ISNUMBER(F371),N(F371)&gt;=0),F371,""),IF(AND(ISNUMBER(D371),ISNUMBER(E371)),ROUND(MOD(E371-D371,1)*1440,0),""))</f>
        <v/>
      </c>
      <c r="H371" s="9"/>
      <c r="I371" s="10" t="str">
        <f aca="false">IF(H371="","",IF(SUMPRODUCT(MAX((Setup!$D$5:$D$34=H371)*(35-ROW(Setup!$D$5:$D$34))))=0,"Not in Setup",INDEX(Setup!$E$5:$E$34,31-SUMPRODUCT(MAX((Setup!$D$5:$D$34=H371)*(35-ROW(Setup!$D$5:$D$34)))))))</f>
        <v/>
      </c>
      <c r="J371" s="9"/>
      <c r="K371" s="10" t="str">
        <f aca="false">IF(AND(A371="",C371="",D371="",E371="",F371="",H371=""),"",IF(NOT(ISNUMBER(A371)),"Enter a date",IF(AND(F371&lt;&gt;"",OR(NOT(ISNUMBER(F371)),N(F371)&lt;0)),"Minutes must be a number of 0 or more",IF(G371="","Enter start and end times, or minutes",IF(C371="","Pick a machine",IF(SUMPRODUCT(--(Setup!$A$5:$A$34=C371))=0,"Machine not in Setup",IF(H371="","Pick a reason (counted as unclassified)",IF(I371="Not in Setup","Reason not in Setup (counted as unclassified)",IF(N(G371)=0,"0 minutes: not counted as a stop","OK")))))))))</f>
        <v/>
      </c>
    </row>
    <row r="372" customFormat="false" ht="15" hidden="false" customHeight="false" outlineLevel="0" collapsed="false">
      <c r="A372" s="11"/>
      <c r="B372" s="9"/>
      <c r="C372" s="9"/>
      <c r="D372" s="12"/>
      <c r="E372" s="12"/>
      <c r="F372" s="13"/>
      <c r="G372" s="14" t="str">
        <f aca="false">IF(F372&lt;&gt;"",IF(AND(ISNUMBER(F372),N(F372)&gt;=0),F372,""),IF(AND(ISNUMBER(D372),ISNUMBER(E372)),ROUND(MOD(E372-D372,1)*1440,0),""))</f>
        <v/>
      </c>
      <c r="H372" s="9"/>
      <c r="I372" s="10" t="str">
        <f aca="false">IF(H372="","",IF(SUMPRODUCT(MAX((Setup!$D$5:$D$34=H372)*(35-ROW(Setup!$D$5:$D$34))))=0,"Not in Setup",INDEX(Setup!$E$5:$E$34,31-SUMPRODUCT(MAX((Setup!$D$5:$D$34=H372)*(35-ROW(Setup!$D$5:$D$34)))))))</f>
        <v/>
      </c>
      <c r="J372" s="9"/>
      <c r="K372" s="10" t="str">
        <f aca="false">IF(AND(A372="",C372="",D372="",E372="",F372="",H372=""),"",IF(NOT(ISNUMBER(A372)),"Enter a date",IF(AND(F372&lt;&gt;"",OR(NOT(ISNUMBER(F372)),N(F372)&lt;0)),"Minutes must be a number of 0 or more",IF(G372="","Enter start and end times, or minutes",IF(C372="","Pick a machine",IF(SUMPRODUCT(--(Setup!$A$5:$A$34=C372))=0,"Machine not in Setup",IF(H372="","Pick a reason (counted as unclassified)",IF(I372="Not in Setup","Reason not in Setup (counted as unclassified)",IF(N(G372)=0,"0 minutes: not counted as a stop","OK")))))))))</f>
        <v/>
      </c>
    </row>
    <row r="373" customFormat="false" ht="15" hidden="false" customHeight="false" outlineLevel="0" collapsed="false">
      <c r="A373" s="11"/>
      <c r="B373" s="9"/>
      <c r="C373" s="9"/>
      <c r="D373" s="12"/>
      <c r="E373" s="12"/>
      <c r="F373" s="13"/>
      <c r="G373" s="14" t="str">
        <f aca="false">IF(F373&lt;&gt;"",IF(AND(ISNUMBER(F373),N(F373)&gt;=0),F373,""),IF(AND(ISNUMBER(D373),ISNUMBER(E373)),ROUND(MOD(E373-D373,1)*1440,0),""))</f>
        <v/>
      </c>
      <c r="H373" s="9"/>
      <c r="I373" s="10" t="str">
        <f aca="false">IF(H373="","",IF(SUMPRODUCT(MAX((Setup!$D$5:$D$34=H373)*(35-ROW(Setup!$D$5:$D$34))))=0,"Not in Setup",INDEX(Setup!$E$5:$E$34,31-SUMPRODUCT(MAX((Setup!$D$5:$D$34=H373)*(35-ROW(Setup!$D$5:$D$34)))))))</f>
        <v/>
      </c>
      <c r="J373" s="9"/>
      <c r="K373" s="10" t="str">
        <f aca="false">IF(AND(A373="",C373="",D373="",E373="",F373="",H373=""),"",IF(NOT(ISNUMBER(A373)),"Enter a date",IF(AND(F373&lt;&gt;"",OR(NOT(ISNUMBER(F373)),N(F373)&lt;0)),"Minutes must be a number of 0 or more",IF(G373="","Enter start and end times, or minutes",IF(C373="","Pick a machine",IF(SUMPRODUCT(--(Setup!$A$5:$A$34=C373))=0,"Machine not in Setup",IF(H373="","Pick a reason (counted as unclassified)",IF(I373="Not in Setup","Reason not in Setup (counted as unclassified)",IF(N(G373)=0,"0 minutes: not counted as a stop","OK")))))))))</f>
        <v/>
      </c>
    </row>
    <row r="374" customFormat="false" ht="15" hidden="false" customHeight="false" outlineLevel="0" collapsed="false">
      <c r="A374" s="11"/>
      <c r="B374" s="9"/>
      <c r="C374" s="9"/>
      <c r="D374" s="12"/>
      <c r="E374" s="12"/>
      <c r="F374" s="13"/>
      <c r="G374" s="14" t="str">
        <f aca="false">IF(F374&lt;&gt;"",IF(AND(ISNUMBER(F374),N(F374)&gt;=0),F374,""),IF(AND(ISNUMBER(D374),ISNUMBER(E374)),ROUND(MOD(E374-D374,1)*1440,0),""))</f>
        <v/>
      </c>
      <c r="H374" s="9"/>
      <c r="I374" s="10" t="str">
        <f aca="false">IF(H374="","",IF(SUMPRODUCT(MAX((Setup!$D$5:$D$34=H374)*(35-ROW(Setup!$D$5:$D$34))))=0,"Not in Setup",INDEX(Setup!$E$5:$E$34,31-SUMPRODUCT(MAX((Setup!$D$5:$D$34=H374)*(35-ROW(Setup!$D$5:$D$34)))))))</f>
        <v/>
      </c>
      <c r="J374" s="9"/>
      <c r="K374" s="10" t="str">
        <f aca="false">IF(AND(A374="",C374="",D374="",E374="",F374="",H374=""),"",IF(NOT(ISNUMBER(A374)),"Enter a date",IF(AND(F374&lt;&gt;"",OR(NOT(ISNUMBER(F374)),N(F374)&lt;0)),"Minutes must be a number of 0 or more",IF(G374="","Enter start and end times, or minutes",IF(C374="","Pick a machine",IF(SUMPRODUCT(--(Setup!$A$5:$A$34=C374))=0,"Machine not in Setup",IF(H374="","Pick a reason (counted as unclassified)",IF(I374="Not in Setup","Reason not in Setup (counted as unclassified)",IF(N(G374)=0,"0 minutes: not counted as a stop","OK")))))))))</f>
        <v/>
      </c>
    </row>
    <row r="375" customFormat="false" ht="15" hidden="false" customHeight="false" outlineLevel="0" collapsed="false">
      <c r="A375" s="11"/>
      <c r="B375" s="9"/>
      <c r="C375" s="9"/>
      <c r="D375" s="12"/>
      <c r="E375" s="12"/>
      <c r="F375" s="13"/>
      <c r="G375" s="14" t="str">
        <f aca="false">IF(F375&lt;&gt;"",IF(AND(ISNUMBER(F375),N(F375)&gt;=0),F375,""),IF(AND(ISNUMBER(D375),ISNUMBER(E375)),ROUND(MOD(E375-D375,1)*1440,0),""))</f>
        <v/>
      </c>
      <c r="H375" s="9"/>
      <c r="I375" s="10" t="str">
        <f aca="false">IF(H375="","",IF(SUMPRODUCT(MAX((Setup!$D$5:$D$34=H375)*(35-ROW(Setup!$D$5:$D$34))))=0,"Not in Setup",INDEX(Setup!$E$5:$E$34,31-SUMPRODUCT(MAX((Setup!$D$5:$D$34=H375)*(35-ROW(Setup!$D$5:$D$34)))))))</f>
        <v/>
      </c>
      <c r="J375" s="9"/>
      <c r="K375" s="10" t="str">
        <f aca="false">IF(AND(A375="",C375="",D375="",E375="",F375="",H375=""),"",IF(NOT(ISNUMBER(A375)),"Enter a date",IF(AND(F375&lt;&gt;"",OR(NOT(ISNUMBER(F375)),N(F375)&lt;0)),"Minutes must be a number of 0 or more",IF(G375="","Enter start and end times, or minutes",IF(C375="","Pick a machine",IF(SUMPRODUCT(--(Setup!$A$5:$A$34=C375))=0,"Machine not in Setup",IF(H375="","Pick a reason (counted as unclassified)",IF(I375="Not in Setup","Reason not in Setup (counted as unclassified)",IF(N(G375)=0,"0 minutes: not counted as a stop","OK")))))))))</f>
        <v/>
      </c>
    </row>
    <row r="376" customFormat="false" ht="15" hidden="false" customHeight="false" outlineLevel="0" collapsed="false">
      <c r="A376" s="11"/>
      <c r="B376" s="9"/>
      <c r="C376" s="9"/>
      <c r="D376" s="12"/>
      <c r="E376" s="12"/>
      <c r="F376" s="13"/>
      <c r="G376" s="14" t="str">
        <f aca="false">IF(F376&lt;&gt;"",IF(AND(ISNUMBER(F376),N(F376)&gt;=0),F376,""),IF(AND(ISNUMBER(D376),ISNUMBER(E376)),ROUND(MOD(E376-D376,1)*1440,0),""))</f>
        <v/>
      </c>
      <c r="H376" s="9"/>
      <c r="I376" s="10" t="str">
        <f aca="false">IF(H376="","",IF(SUMPRODUCT(MAX((Setup!$D$5:$D$34=H376)*(35-ROW(Setup!$D$5:$D$34))))=0,"Not in Setup",INDEX(Setup!$E$5:$E$34,31-SUMPRODUCT(MAX((Setup!$D$5:$D$34=H376)*(35-ROW(Setup!$D$5:$D$34)))))))</f>
        <v/>
      </c>
      <c r="J376" s="9"/>
      <c r="K376" s="10" t="str">
        <f aca="false">IF(AND(A376="",C376="",D376="",E376="",F376="",H376=""),"",IF(NOT(ISNUMBER(A376)),"Enter a date",IF(AND(F376&lt;&gt;"",OR(NOT(ISNUMBER(F376)),N(F376)&lt;0)),"Minutes must be a number of 0 or more",IF(G376="","Enter start and end times, or minutes",IF(C376="","Pick a machine",IF(SUMPRODUCT(--(Setup!$A$5:$A$34=C376))=0,"Machine not in Setup",IF(H376="","Pick a reason (counted as unclassified)",IF(I376="Not in Setup","Reason not in Setup (counted as unclassified)",IF(N(G376)=0,"0 minutes: not counted as a stop","OK")))))))))</f>
        <v/>
      </c>
    </row>
    <row r="377" customFormat="false" ht="15" hidden="false" customHeight="false" outlineLevel="0" collapsed="false">
      <c r="A377" s="11"/>
      <c r="B377" s="9"/>
      <c r="C377" s="9"/>
      <c r="D377" s="12"/>
      <c r="E377" s="12"/>
      <c r="F377" s="13"/>
      <c r="G377" s="14" t="str">
        <f aca="false">IF(F377&lt;&gt;"",IF(AND(ISNUMBER(F377),N(F377)&gt;=0),F377,""),IF(AND(ISNUMBER(D377),ISNUMBER(E377)),ROUND(MOD(E377-D377,1)*1440,0),""))</f>
        <v/>
      </c>
      <c r="H377" s="9"/>
      <c r="I377" s="10" t="str">
        <f aca="false">IF(H377="","",IF(SUMPRODUCT(MAX((Setup!$D$5:$D$34=H377)*(35-ROW(Setup!$D$5:$D$34))))=0,"Not in Setup",INDEX(Setup!$E$5:$E$34,31-SUMPRODUCT(MAX((Setup!$D$5:$D$34=H377)*(35-ROW(Setup!$D$5:$D$34)))))))</f>
        <v/>
      </c>
      <c r="J377" s="9"/>
      <c r="K377" s="10" t="str">
        <f aca="false">IF(AND(A377="",C377="",D377="",E377="",F377="",H377=""),"",IF(NOT(ISNUMBER(A377)),"Enter a date",IF(AND(F377&lt;&gt;"",OR(NOT(ISNUMBER(F377)),N(F377)&lt;0)),"Minutes must be a number of 0 or more",IF(G377="","Enter start and end times, or minutes",IF(C377="","Pick a machine",IF(SUMPRODUCT(--(Setup!$A$5:$A$34=C377))=0,"Machine not in Setup",IF(H377="","Pick a reason (counted as unclassified)",IF(I377="Not in Setup","Reason not in Setup (counted as unclassified)",IF(N(G377)=0,"0 minutes: not counted as a stop","OK")))))))))</f>
        <v/>
      </c>
    </row>
    <row r="378" customFormat="false" ht="15" hidden="false" customHeight="false" outlineLevel="0" collapsed="false">
      <c r="A378" s="11"/>
      <c r="B378" s="9"/>
      <c r="C378" s="9"/>
      <c r="D378" s="12"/>
      <c r="E378" s="12"/>
      <c r="F378" s="13"/>
      <c r="G378" s="14" t="str">
        <f aca="false">IF(F378&lt;&gt;"",IF(AND(ISNUMBER(F378),N(F378)&gt;=0),F378,""),IF(AND(ISNUMBER(D378),ISNUMBER(E378)),ROUND(MOD(E378-D378,1)*1440,0),""))</f>
        <v/>
      </c>
      <c r="H378" s="9"/>
      <c r="I378" s="10" t="str">
        <f aca="false">IF(H378="","",IF(SUMPRODUCT(MAX((Setup!$D$5:$D$34=H378)*(35-ROW(Setup!$D$5:$D$34))))=0,"Not in Setup",INDEX(Setup!$E$5:$E$34,31-SUMPRODUCT(MAX((Setup!$D$5:$D$34=H378)*(35-ROW(Setup!$D$5:$D$34)))))))</f>
        <v/>
      </c>
      <c r="J378" s="9"/>
      <c r="K378" s="10" t="str">
        <f aca="false">IF(AND(A378="",C378="",D378="",E378="",F378="",H378=""),"",IF(NOT(ISNUMBER(A378)),"Enter a date",IF(AND(F378&lt;&gt;"",OR(NOT(ISNUMBER(F378)),N(F378)&lt;0)),"Minutes must be a number of 0 or more",IF(G378="","Enter start and end times, or minutes",IF(C378="","Pick a machine",IF(SUMPRODUCT(--(Setup!$A$5:$A$34=C378))=0,"Machine not in Setup",IF(H378="","Pick a reason (counted as unclassified)",IF(I378="Not in Setup","Reason not in Setup (counted as unclassified)",IF(N(G378)=0,"0 minutes: not counted as a stop","OK")))))))))</f>
        <v/>
      </c>
    </row>
    <row r="379" customFormat="false" ht="15" hidden="false" customHeight="false" outlineLevel="0" collapsed="false">
      <c r="A379" s="11"/>
      <c r="B379" s="9"/>
      <c r="C379" s="9"/>
      <c r="D379" s="12"/>
      <c r="E379" s="12"/>
      <c r="F379" s="13"/>
      <c r="G379" s="14" t="str">
        <f aca="false">IF(F379&lt;&gt;"",IF(AND(ISNUMBER(F379),N(F379)&gt;=0),F379,""),IF(AND(ISNUMBER(D379),ISNUMBER(E379)),ROUND(MOD(E379-D379,1)*1440,0),""))</f>
        <v/>
      </c>
      <c r="H379" s="9"/>
      <c r="I379" s="10" t="str">
        <f aca="false">IF(H379="","",IF(SUMPRODUCT(MAX((Setup!$D$5:$D$34=H379)*(35-ROW(Setup!$D$5:$D$34))))=0,"Not in Setup",INDEX(Setup!$E$5:$E$34,31-SUMPRODUCT(MAX((Setup!$D$5:$D$34=H379)*(35-ROW(Setup!$D$5:$D$34)))))))</f>
        <v/>
      </c>
      <c r="J379" s="9"/>
      <c r="K379" s="10" t="str">
        <f aca="false">IF(AND(A379="",C379="",D379="",E379="",F379="",H379=""),"",IF(NOT(ISNUMBER(A379)),"Enter a date",IF(AND(F379&lt;&gt;"",OR(NOT(ISNUMBER(F379)),N(F379)&lt;0)),"Minutes must be a number of 0 or more",IF(G379="","Enter start and end times, or minutes",IF(C379="","Pick a machine",IF(SUMPRODUCT(--(Setup!$A$5:$A$34=C379))=0,"Machine not in Setup",IF(H379="","Pick a reason (counted as unclassified)",IF(I379="Not in Setup","Reason not in Setup (counted as unclassified)",IF(N(G379)=0,"0 minutes: not counted as a stop","OK")))))))))</f>
        <v/>
      </c>
    </row>
    <row r="380" customFormat="false" ht="15" hidden="false" customHeight="false" outlineLevel="0" collapsed="false">
      <c r="A380" s="11"/>
      <c r="B380" s="9"/>
      <c r="C380" s="9"/>
      <c r="D380" s="12"/>
      <c r="E380" s="12"/>
      <c r="F380" s="13"/>
      <c r="G380" s="14" t="str">
        <f aca="false">IF(F380&lt;&gt;"",IF(AND(ISNUMBER(F380),N(F380)&gt;=0),F380,""),IF(AND(ISNUMBER(D380),ISNUMBER(E380)),ROUND(MOD(E380-D380,1)*1440,0),""))</f>
        <v/>
      </c>
      <c r="H380" s="9"/>
      <c r="I380" s="10" t="str">
        <f aca="false">IF(H380="","",IF(SUMPRODUCT(MAX((Setup!$D$5:$D$34=H380)*(35-ROW(Setup!$D$5:$D$34))))=0,"Not in Setup",INDEX(Setup!$E$5:$E$34,31-SUMPRODUCT(MAX((Setup!$D$5:$D$34=H380)*(35-ROW(Setup!$D$5:$D$34)))))))</f>
        <v/>
      </c>
      <c r="J380" s="9"/>
      <c r="K380" s="10" t="str">
        <f aca="false">IF(AND(A380="",C380="",D380="",E380="",F380="",H380=""),"",IF(NOT(ISNUMBER(A380)),"Enter a date",IF(AND(F380&lt;&gt;"",OR(NOT(ISNUMBER(F380)),N(F380)&lt;0)),"Minutes must be a number of 0 or more",IF(G380="","Enter start and end times, or minutes",IF(C380="","Pick a machine",IF(SUMPRODUCT(--(Setup!$A$5:$A$34=C380))=0,"Machine not in Setup",IF(H380="","Pick a reason (counted as unclassified)",IF(I380="Not in Setup","Reason not in Setup (counted as unclassified)",IF(N(G380)=0,"0 minutes: not counted as a stop","OK")))))))))</f>
        <v/>
      </c>
    </row>
    <row r="381" customFormat="false" ht="15" hidden="false" customHeight="false" outlineLevel="0" collapsed="false">
      <c r="A381" s="11"/>
      <c r="B381" s="9"/>
      <c r="C381" s="9"/>
      <c r="D381" s="12"/>
      <c r="E381" s="12"/>
      <c r="F381" s="13"/>
      <c r="G381" s="14" t="str">
        <f aca="false">IF(F381&lt;&gt;"",IF(AND(ISNUMBER(F381),N(F381)&gt;=0),F381,""),IF(AND(ISNUMBER(D381),ISNUMBER(E381)),ROUND(MOD(E381-D381,1)*1440,0),""))</f>
        <v/>
      </c>
      <c r="H381" s="9"/>
      <c r="I381" s="10" t="str">
        <f aca="false">IF(H381="","",IF(SUMPRODUCT(MAX((Setup!$D$5:$D$34=H381)*(35-ROW(Setup!$D$5:$D$34))))=0,"Not in Setup",INDEX(Setup!$E$5:$E$34,31-SUMPRODUCT(MAX((Setup!$D$5:$D$34=H381)*(35-ROW(Setup!$D$5:$D$34)))))))</f>
        <v/>
      </c>
      <c r="J381" s="9"/>
      <c r="K381" s="10" t="str">
        <f aca="false">IF(AND(A381="",C381="",D381="",E381="",F381="",H381=""),"",IF(NOT(ISNUMBER(A381)),"Enter a date",IF(AND(F381&lt;&gt;"",OR(NOT(ISNUMBER(F381)),N(F381)&lt;0)),"Minutes must be a number of 0 or more",IF(G381="","Enter start and end times, or minutes",IF(C381="","Pick a machine",IF(SUMPRODUCT(--(Setup!$A$5:$A$34=C381))=0,"Machine not in Setup",IF(H381="","Pick a reason (counted as unclassified)",IF(I381="Not in Setup","Reason not in Setup (counted as unclassified)",IF(N(G381)=0,"0 minutes: not counted as a stop","OK")))))))))</f>
        <v/>
      </c>
    </row>
    <row r="382" customFormat="false" ht="15" hidden="false" customHeight="false" outlineLevel="0" collapsed="false">
      <c r="A382" s="11"/>
      <c r="B382" s="9"/>
      <c r="C382" s="9"/>
      <c r="D382" s="12"/>
      <c r="E382" s="12"/>
      <c r="F382" s="13"/>
      <c r="G382" s="14" t="str">
        <f aca="false">IF(F382&lt;&gt;"",IF(AND(ISNUMBER(F382),N(F382)&gt;=0),F382,""),IF(AND(ISNUMBER(D382),ISNUMBER(E382)),ROUND(MOD(E382-D382,1)*1440,0),""))</f>
        <v/>
      </c>
      <c r="H382" s="9"/>
      <c r="I382" s="10" t="str">
        <f aca="false">IF(H382="","",IF(SUMPRODUCT(MAX((Setup!$D$5:$D$34=H382)*(35-ROW(Setup!$D$5:$D$34))))=0,"Not in Setup",INDEX(Setup!$E$5:$E$34,31-SUMPRODUCT(MAX((Setup!$D$5:$D$34=H382)*(35-ROW(Setup!$D$5:$D$34)))))))</f>
        <v/>
      </c>
      <c r="J382" s="9"/>
      <c r="K382" s="10" t="str">
        <f aca="false">IF(AND(A382="",C382="",D382="",E382="",F382="",H382=""),"",IF(NOT(ISNUMBER(A382)),"Enter a date",IF(AND(F382&lt;&gt;"",OR(NOT(ISNUMBER(F382)),N(F382)&lt;0)),"Minutes must be a number of 0 or more",IF(G382="","Enter start and end times, or minutes",IF(C382="","Pick a machine",IF(SUMPRODUCT(--(Setup!$A$5:$A$34=C382))=0,"Machine not in Setup",IF(H382="","Pick a reason (counted as unclassified)",IF(I382="Not in Setup","Reason not in Setup (counted as unclassified)",IF(N(G382)=0,"0 minutes: not counted as a stop","OK")))))))))</f>
        <v/>
      </c>
    </row>
    <row r="383" customFormat="false" ht="15" hidden="false" customHeight="false" outlineLevel="0" collapsed="false">
      <c r="A383" s="11"/>
      <c r="B383" s="9"/>
      <c r="C383" s="9"/>
      <c r="D383" s="12"/>
      <c r="E383" s="12"/>
      <c r="F383" s="13"/>
      <c r="G383" s="14" t="str">
        <f aca="false">IF(F383&lt;&gt;"",IF(AND(ISNUMBER(F383),N(F383)&gt;=0),F383,""),IF(AND(ISNUMBER(D383),ISNUMBER(E383)),ROUND(MOD(E383-D383,1)*1440,0),""))</f>
        <v/>
      </c>
      <c r="H383" s="9"/>
      <c r="I383" s="10" t="str">
        <f aca="false">IF(H383="","",IF(SUMPRODUCT(MAX((Setup!$D$5:$D$34=H383)*(35-ROW(Setup!$D$5:$D$34))))=0,"Not in Setup",INDEX(Setup!$E$5:$E$34,31-SUMPRODUCT(MAX((Setup!$D$5:$D$34=H383)*(35-ROW(Setup!$D$5:$D$34)))))))</f>
        <v/>
      </c>
      <c r="J383" s="9"/>
      <c r="K383" s="10" t="str">
        <f aca="false">IF(AND(A383="",C383="",D383="",E383="",F383="",H383=""),"",IF(NOT(ISNUMBER(A383)),"Enter a date",IF(AND(F383&lt;&gt;"",OR(NOT(ISNUMBER(F383)),N(F383)&lt;0)),"Minutes must be a number of 0 or more",IF(G383="","Enter start and end times, or minutes",IF(C383="","Pick a machine",IF(SUMPRODUCT(--(Setup!$A$5:$A$34=C383))=0,"Machine not in Setup",IF(H383="","Pick a reason (counted as unclassified)",IF(I383="Not in Setup","Reason not in Setup (counted as unclassified)",IF(N(G383)=0,"0 minutes: not counted as a stop","OK")))))))))</f>
        <v/>
      </c>
    </row>
    <row r="384" customFormat="false" ht="15" hidden="false" customHeight="false" outlineLevel="0" collapsed="false">
      <c r="A384" s="11"/>
      <c r="B384" s="9"/>
      <c r="C384" s="9"/>
      <c r="D384" s="12"/>
      <c r="E384" s="12"/>
      <c r="F384" s="13"/>
      <c r="G384" s="14" t="str">
        <f aca="false">IF(F384&lt;&gt;"",IF(AND(ISNUMBER(F384),N(F384)&gt;=0),F384,""),IF(AND(ISNUMBER(D384),ISNUMBER(E384)),ROUND(MOD(E384-D384,1)*1440,0),""))</f>
        <v/>
      </c>
      <c r="H384" s="9"/>
      <c r="I384" s="10" t="str">
        <f aca="false">IF(H384="","",IF(SUMPRODUCT(MAX((Setup!$D$5:$D$34=H384)*(35-ROW(Setup!$D$5:$D$34))))=0,"Not in Setup",INDEX(Setup!$E$5:$E$34,31-SUMPRODUCT(MAX((Setup!$D$5:$D$34=H384)*(35-ROW(Setup!$D$5:$D$34)))))))</f>
        <v/>
      </c>
      <c r="J384" s="9"/>
      <c r="K384" s="10" t="str">
        <f aca="false">IF(AND(A384="",C384="",D384="",E384="",F384="",H384=""),"",IF(NOT(ISNUMBER(A384)),"Enter a date",IF(AND(F384&lt;&gt;"",OR(NOT(ISNUMBER(F384)),N(F384)&lt;0)),"Minutes must be a number of 0 or more",IF(G384="","Enter start and end times, or minutes",IF(C384="","Pick a machine",IF(SUMPRODUCT(--(Setup!$A$5:$A$34=C384))=0,"Machine not in Setup",IF(H384="","Pick a reason (counted as unclassified)",IF(I384="Not in Setup","Reason not in Setup (counted as unclassified)",IF(N(G384)=0,"0 minutes: not counted as a stop","OK")))))))))</f>
        <v/>
      </c>
    </row>
    <row r="385" customFormat="false" ht="15" hidden="false" customHeight="false" outlineLevel="0" collapsed="false">
      <c r="A385" s="11"/>
      <c r="B385" s="9"/>
      <c r="C385" s="9"/>
      <c r="D385" s="12"/>
      <c r="E385" s="12"/>
      <c r="F385" s="13"/>
      <c r="G385" s="14" t="str">
        <f aca="false">IF(F385&lt;&gt;"",IF(AND(ISNUMBER(F385),N(F385)&gt;=0),F385,""),IF(AND(ISNUMBER(D385),ISNUMBER(E385)),ROUND(MOD(E385-D385,1)*1440,0),""))</f>
        <v/>
      </c>
      <c r="H385" s="9"/>
      <c r="I385" s="10" t="str">
        <f aca="false">IF(H385="","",IF(SUMPRODUCT(MAX((Setup!$D$5:$D$34=H385)*(35-ROW(Setup!$D$5:$D$34))))=0,"Not in Setup",INDEX(Setup!$E$5:$E$34,31-SUMPRODUCT(MAX((Setup!$D$5:$D$34=H385)*(35-ROW(Setup!$D$5:$D$34)))))))</f>
        <v/>
      </c>
      <c r="J385" s="9"/>
      <c r="K385" s="10" t="str">
        <f aca="false">IF(AND(A385="",C385="",D385="",E385="",F385="",H385=""),"",IF(NOT(ISNUMBER(A385)),"Enter a date",IF(AND(F385&lt;&gt;"",OR(NOT(ISNUMBER(F385)),N(F385)&lt;0)),"Minutes must be a number of 0 or more",IF(G385="","Enter start and end times, or minutes",IF(C385="","Pick a machine",IF(SUMPRODUCT(--(Setup!$A$5:$A$34=C385))=0,"Machine not in Setup",IF(H385="","Pick a reason (counted as unclassified)",IF(I385="Not in Setup","Reason not in Setup (counted as unclassified)",IF(N(G385)=0,"0 minutes: not counted as a stop","OK")))))))))</f>
        <v/>
      </c>
    </row>
    <row r="386" customFormat="false" ht="15" hidden="false" customHeight="false" outlineLevel="0" collapsed="false">
      <c r="A386" s="11"/>
      <c r="B386" s="9"/>
      <c r="C386" s="9"/>
      <c r="D386" s="12"/>
      <c r="E386" s="12"/>
      <c r="F386" s="13"/>
      <c r="G386" s="14" t="str">
        <f aca="false">IF(F386&lt;&gt;"",IF(AND(ISNUMBER(F386),N(F386)&gt;=0),F386,""),IF(AND(ISNUMBER(D386),ISNUMBER(E386)),ROUND(MOD(E386-D386,1)*1440,0),""))</f>
        <v/>
      </c>
      <c r="H386" s="9"/>
      <c r="I386" s="10" t="str">
        <f aca="false">IF(H386="","",IF(SUMPRODUCT(MAX((Setup!$D$5:$D$34=H386)*(35-ROW(Setup!$D$5:$D$34))))=0,"Not in Setup",INDEX(Setup!$E$5:$E$34,31-SUMPRODUCT(MAX((Setup!$D$5:$D$34=H386)*(35-ROW(Setup!$D$5:$D$34)))))))</f>
        <v/>
      </c>
      <c r="J386" s="9"/>
      <c r="K386" s="10" t="str">
        <f aca="false">IF(AND(A386="",C386="",D386="",E386="",F386="",H386=""),"",IF(NOT(ISNUMBER(A386)),"Enter a date",IF(AND(F386&lt;&gt;"",OR(NOT(ISNUMBER(F386)),N(F386)&lt;0)),"Minutes must be a number of 0 or more",IF(G386="","Enter start and end times, or minutes",IF(C386="","Pick a machine",IF(SUMPRODUCT(--(Setup!$A$5:$A$34=C386))=0,"Machine not in Setup",IF(H386="","Pick a reason (counted as unclassified)",IF(I386="Not in Setup","Reason not in Setup (counted as unclassified)",IF(N(G386)=0,"0 minutes: not counted as a stop","OK")))))))))</f>
        <v/>
      </c>
    </row>
    <row r="387" customFormat="false" ht="15" hidden="false" customHeight="false" outlineLevel="0" collapsed="false">
      <c r="A387" s="11"/>
      <c r="B387" s="9"/>
      <c r="C387" s="9"/>
      <c r="D387" s="12"/>
      <c r="E387" s="12"/>
      <c r="F387" s="13"/>
      <c r="G387" s="14" t="str">
        <f aca="false">IF(F387&lt;&gt;"",IF(AND(ISNUMBER(F387),N(F387)&gt;=0),F387,""),IF(AND(ISNUMBER(D387),ISNUMBER(E387)),ROUND(MOD(E387-D387,1)*1440,0),""))</f>
        <v/>
      </c>
      <c r="H387" s="9"/>
      <c r="I387" s="10" t="str">
        <f aca="false">IF(H387="","",IF(SUMPRODUCT(MAX((Setup!$D$5:$D$34=H387)*(35-ROW(Setup!$D$5:$D$34))))=0,"Not in Setup",INDEX(Setup!$E$5:$E$34,31-SUMPRODUCT(MAX((Setup!$D$5:$D$34=H387)*(35-ROW(Setup!$D$5:$D$34)))))))</f>
        <v/>
      </c>
      <c r="J387" s="9"/>
      <c r="K387" s="10" t="str">
        <f aca="false">IF(AND(A387="",C387="",D387="",E387="",F387="",H387=""),"",IF(NOT(ISNUMBER(A387)),"Enter a date",IF(AND(F387&lt;&gt;"",OR(NOT(ISNUMBER(F387)),N(F387)&lt;0)),"Minutes must be a number of 0 or more",IF(G387="","Enter start and end times, or minutes",IF(C387="","Pick a machine",IF(SUMPRODUCT(--(Setup!$A$5:$A$34=C387))=0,"Machine not in Setup",IF(H387="","Pick a reason (counted as unclassified)",IF(I387="Not in Setup","Reason not in Setup (counted as unclassified)",IF(N(G387)=0,"0 minutes: not counted as a stop","OK")))))))))</f>
        <v/>
      </c>
    </row>
    <row r="388" customFormat="false" ht="15" hidden="false" customHeight="false" outlineLevel="0" collapsed="false">
      <c r="A388" s="11"/>
      <c r="B388" s="9"/>
      <c r="C388" s="9"/>
      <c r="D388" s="12"/>
      <c r="E388" s="12"/>
      <c r="F388" s="13"/>
      <c r="G388" s="14" t="str">
        <f aca="false">IF(F388&lt;&gt;"",IF(AND(ISNUMBER(F388),N(F388)&gt;=0),F388,""),IF(AND(ISNUMBER(D388),ISNUMBER(E388)),ROUND(MOD(E388-D388,1)*1440,0),""))</f>
        <v/>
      </c>
      <c r="H388" s="9"/>
      <c r="I388" s="10" t="str">
        <f aca="false">IF(H388="","",IF(SUMPRODUCT(MAX((Setup!$D$5:$D$34=H388)*(35-ROW(Setup!$D$5:$D$34))))=0,"Not in Setup",INDEX(Setup!$E$5:$E$34,31-SUMPRODUCT(MAX((Setup!$D$5:$D$34=H388)*(35-ROW(Setup!$D$5:$D$34)))))))</f>
        <v/>
      </c>
      <c r="J388" s="9"/>
      <c r="K388" s="10" t="str">
        <f aca="false">IF(AND(A388="",C388="",D388="",E388="",F388="",H388=""),"",IF(NOT(ISNUMBER(A388)),"Enter a date",IF(AND(F388&lt;&gt;"",OR(NOT(ISNUMBER(F388)),N(F388)&lt;0)),"Minutes must be a number of 0 or more",IF(G388="","Enter start and end times, or minutes",IF(C388="","Pick a machine",IF(SUMPRODUCT(--(Setup!$A$5:$A$34=C388))=0,"Machine not in Setup",IF(H388="","Pick a reason (counted as unclassified)",IF(I388="Not in Setup","Reason not in Setup (counted as unclassified)",IF(N(G388)=0,"0 minutes: not counted as a stop","OK")))))))))</f>
        <v/>
      </c>
    </row>
    <row r="389" customFormat="false" ht="15" hidden="false" customHeight="false" outlineLevel="0" collapsed="false">
      <c r="A389" s="11"/>
      <c r="B389" s="9"/>
      <c r="C389" s="9"/>
      <c r="D389" s="12"/>
      <c r="E389" s="12"/>
      <c r="F389" s="13"/>
      <c r="G389" s="14" t="str">
        <f aca="false">IF(F389&lt;&gt;"",IF(AND(ISNUMBER(F389),N(F389)&gt;=0),F389,""),IF(AND(ISNUMBER(D389),ISNUMBER(E389)),ROUND(MOD(E389-D389,1)*1440,0),""))</f>
        <v/>
      </c>
      <c r="H389" s="9"/>
      <c r="I389" s="10" t="str">
        <f aca="false">IF(H389="","",IF(SUMPRODUCT(MAX((Setup!$D$5:$D$34=H389)*(35-ROW(Setup!$D$5:$D$34))))=0,"Not in Setup",INDEX(Setup!$E$5:$E$34,31-SUMPRODUCT(MAX((Setup!$D$5:$D$34=H389)*(35-ROW(Setup!$D$5:$D$34)))))))</f>
        <v/>
      </c>
      <c r="J389" s="9"/>
      <c r="K389" s="10" t="str">
        <f aca="false">IF(AND(A389="",C389="",D389="",E389="",F389="",H389=""),"",IF(NOT(ISNUMBER(A389)),"Enter a date",IF(AND(F389&lt;&gt;"",OR(NOT(ISNUMBER(F389)),N(F389)&lt;0)),"Minutes must be a number of 0 or more",IF(G389="","Enter start and end times, or minutes",IF(C389="","Pick a machine",IF(SUMPRODUCT(--(Setup!$A$5:$A$34=C389))=0,"Machine not in Setup",IF(H389="","Pick a reason (counted as unclassified)",IF(I389="Not in Setup","Reason not in Setup (counted as unclassified)",IF(N(G389)=0,"0 minutes: not counted as a stop","OK")))))))))</f>
        <v/>
      </c>
    </row>
    <row r="390" customFormat="false" ht="15" hidden="false" customHeight="false" outlineLevel="0" collapsed="false">
      <c r="A390" s="11"/>
      <c r="B390" s="9"/>
      <c r="C390" s="9"/>
      <c r="D390" s="12"/>
      <c r="E390" s="12"/>
      <c r="F390" s="13"/>
      <c r="G390" s="14" t="str">
        <f aca="false">IF(F390&lt;&gt;"",IF(AND(ISNUMBER(F390),N(F390)&gt;=0),F390,""),IF(AND(ISNUMBER(D390),ISNUMBER(E390)),ROUND(MOD(E390-D390,1)*1440,0),""))</f>
        <v/>
      </c>
      <c r="H390" s="9"/>
      <c r="I390" s="10" t="str">
        <f aca="false">IF(H390="","",IF(SUMPRODUCT(MAX((Setup!$D$5:$D$34=H390)*(35-ROW(Setup!$D$5:$D$34))))=0,"Not in Setup",INDEX(Setup!$E$5:$E$34,31-SUMPRODUCT(MAX((Setup!$D$5:$D$34=H390)*(35-ROW(Setup!$D$5:$D$34)))))))</f>
        <v/>
      </c>
      <c r="J390" s="9"/>
      <c r="K390" s="10" t="str">
        <f aca="false">IF(AND(A390="",C390="",D390="",E390="",F390="",H390=""),"",IF(NOT(ISNUMBER(A390)),"Enter a date",IF(AND(F390&lt;&gt;"",OR(NOT(ISNUMBER(F390)),N(F390)&lt;0)),"Minutes must be a number of 0 or more",IF(G390="","Enter start and end times, or minutes",IF(C390="","Pick a machine",IF(SUMPRODUCT(--(Setup!$A$5:$A$34=C390))=0,"Machine not in Setup",IF(H390="","Pick a reason (counted as unclassified)",IF(I390="Not in Setup","Reason not in Setup (counted as unclassified)",IF(N(G390)=0,"0 minutes: not counted as a stop","OK")))))))))</f>
        <v/>
      </c>
    </row>
    <row r="391" customFormat="false" ht="15" hidden="false" customHeight="false" outlineLevel="0" collapsed="false">
      <c r="A391" s="11"/>
      <c r="B391" s="9"/>
      <c r="C391" s="9"/>
      <c r="D391" s="12"/>
      <c r="E391" s="12"/>
      <c r="F391" s="13"/>
      <c r="G391" s="14" t="str">
        <f aca="false">IF(F391&lt;&gt;"",IF(AND(ISNUMBER(F391),N(F391)&gt;=0),F391,""),IF(AND(ISNUMBER(D391),ISNUMBER(E391)),ROUND(MOD(E391-D391,1)*1440,0),""))</f>
        <v/>
      </c>
      <c r="H391" s="9"/>
      <c r="I391" s="10" t="str">
        <f aca="false">IF(H391="","",IF(SUMPRODUCT(MAX((Setup!$D$5:$D$34=H391)*(35-ROW(Setup!$D$5:$D$34))))=0,"Not in Setup",INDEX(Setup!$E$5:$E$34,31-SUMPRODUCT(MAX((Setup!$D$5:$D$34=H391)*(35-ROW(Setup!$D$5:$D$34)))))))</f>
        <v/>
      </c>
      <c r="J391" s="9"/>
      <c r="K391" s="10" t="str">
        <f aca="false">IF(AND(A391="",C391="",D391="",E391="",F391="",H391=""),"",IF(NOT(ISNUMBER(A391)),"Enter a date",IF(AND(F391&lt;&gt;"",OR(NOT(ISNUMBER(F391)),N(F391)&lt;0)),"Minutes must be a number of 0 or more",IF(G391="","Enter start and end times, or minutes",IF(C391="","Pick a machine",IF(SUMPRODUCT(--(Setup!$A$5:$A$34=C391))=0,"Machine not in Setup",IF(H391="","Pick a reason (counted as unclassified)",IF(I391="Not in Setup","Reason not in Setup (counted as unclassified)",IF(N(G391)=0,"0 minutes: not counted as a stop","OK")))))))))</f>
        <v/>
      </c>
    </row>
    <row r="392" customFormat="false" ht="15" hidden="false" customHeight="false" outlineLevel="0" collapsed="false">
      <c r="A392" s="11"/>
      <c r="B392" s="9"/>
      <c r="C392" s="9"/>
      <c r="D392" s="12"/>
      <c r="E392" s="12"/>
      <c r="F392" s="13"/>
      <c r="G392" s="14" t="str">
        <f aca="false">IF(F392&lt;&gt;"",IF(AND(ISNUMBER(F392),N(F392)&gt;=0),F392,""),IF(AND(ISNUMBER(D392),ISNUMBER(E392)),ROUND(MOD(E392-D392,1)*1440,0),""))</f>
        <v/>
      </c>
      <c r="H392" s="9"/>
      <c r="I392" s="10" t="str">
        <f aca="false">IF(H392="","",IF(SUMPRODUCT(MAX((Setup!$D$5:$D$34=H392)*(35-ROW(Setup!$D$5:$D$34))))=0,"Not in Setup",INDEX(Setup!$E$5:$E$34,31-SUMPRODUCT(MAX((Setup!$D$5:$D$34=H392)*(35-ROW(Setup!$D$5:$D$34)))))))</f>
        <v/>
      </c>
      <c r="J392" s="9"/>
      <c r="K392" s="10" t="str">
        <f aca="false">IF(AND(A392="",C392="",D392="",E392="",F392="",H392=""),"",IF(NOT(ISNUMBER(A392)),"Enter a date",IF(AND(F392&lt;&gt;"",OR(NOT(ISNUMBER(F392)),N(F392)&lt;0)),"Minutes must be a number of 0 or more",IF(G392="","Enter start and end times, or minutes",IF(C392="","Pick a machine",IF(SUMPRODUCT(--(Setup!$A$5:$A$34=C392))=0,"Machine not in Setup",IF(H392="","Pick a reason (counted as unclassified)",IF(I392="Not in Setup","Reason not in Setup (counted as unclassified)",IF(N(G392)=0,"0 minutes: not counted as a stop","OK")))))))))</f>
        <v/>
      </c>
    </row>
    <row r="393" customFormat="false" ht="15" hidden="false" customHeight="false" outlineLevel="0" collapsed="false">
      <c r="A393" s="11"/>
      <c r="B393" s="9"/>
      <c r="C393" s="9"/>
      <c r="D393" s="12"/>
      <c r="E393" s="12"/>
      <c r="F393" s="13"/>
      <c r="G393" s="14" t="str">
        <f aca="false">IF(F393&lt;&gt;"",IF(AND(ISNUMBER(F393),N(F393)&gt;=0),F393,""),IF(AND(ISNUMBER(D393),ISNUMBER(E393)),ROUND(MOD(E393-D393,1)*1440,0),""))</f>
        <v/>
      </c>
      <c r="H393" s="9"/>
      <c r="I393" s="10" t="str">
        <f aca="false">IF(H393="","",IF(SUMPRODUCT(MAX((Setup!$D$5:$D$34=H393)*(35-ROW(Setup!$D$5:$D$34))))=0,"Not in Setup",INDEX(Setup!$E$5:$E$34,31-SUMPRODUCT(MAX((Setup!$D$5:$D$34=H393)*(35-ROW(Setup!$D$5:$D$34)))))))</f>
        <v/>
      </c>
      <c r="J393" s="9"/>
      <c r="K393" s="10" t="str">
        <f aca="false">IF(AND(A393="",C393="",D393="",E393="",F393="",H393=""),"",IF(NOT(ISNUMBER(A393)),"Enter a date",IF(AND(F393&lt;&gt;"",OR(NOT(ISNUMBER(F393)),N(F393)&lt;0)),"Minutes must be a number of 0 or more",IF(G393="","Enter start and end times, or minutes",IF(C393="","Pick a machine",IF(SUMPRODUCT(--(Setup!$A$5:$A$34=C393))=0,"Machine not in Setup",IF(H393="","Pick a reason (counted as unclassified)",IF(I393="Not in Setup","Reason not in Setup (counted as unclassified)",IF(N(G393)=0,"0 minutes: not counted as a stop","OK")))))))))</f>
        <v/>
      </c>
    </row>
    <row r="394" customFormat="false" ht="15" hidden="false" customHeight="false" outlineLevel="0" collapsed="false">
      <c r="A394" s="11"/>
      <c r="B394" s="9"/>
      <c r="C394" s="9"/>
      <c r="D394" s="12"/>
      <c r="E394" s="12"/>
      <c r="F394" s="13"/>
      <c r="G394" s="14" t="str">
        <f aca="false">IF(F394&lt;&gt;"",IF(AND(ISNUMBER(F394),N(F394)&gt;=0),F394,""),IF(AND(ISNUMBER(D394),ISNUMBER(E394)),ROUND(MOD(E394-D394,1)*1440,0),""))</f>
        <v/>
      </c>
      <c r="H394" s="9"/>
      <c r="I394" s="10" t="str">
        <f aca="false">IF(H394="","",IF(SUMPRODUCT(MAX((Setup!$D$5:$D$34=H394)*(35-ROW(Setup!$D$5:$D$34))))=0,"Not in Setup",INDEX(Setup!$E$5:$E$34,31-SUMPRODUCT(MAX((Setup!$D$5:$D$34=H394)*(35-ROW(Setup!$D$5:$D$34)))))))</f>
        <v/>
      </c>
      <c r="J394" s="9"/>
      <c r="K394" s="10" t="str">
        <f aca="false">IF(AND(A394="",C394="",D394="",E394="",F394="",H394=""),"",IF(NOT(ISNUMBER(A394)),"Enter a date",IF(AND(F394&lt;&gt;"",OR(NOT(ISNUMBER(F394)),N(F394)&lt;0)),"Minutes must be a number of 0 or more",IF(G394="","Enter start and end times, or minutes",IF(C394="","Pick a machine",IF(SUMPRODUCT(--(Setup!$A$5:$A$34=C394))=0,"Machine not in Setup",IF(H394="","Pick a reason (counted as unclassified)",IF(I394="Not in Setup","Reason not in Setup (counted as unclassified)",IF(N(G394)=0,"0 minutes: not counted as a stop","OK")))))))))</f>
        <v/>
      </c>
    </row>
    <row r="395" customFormat="false" ht="15" hidden="false" customHeight="false" outlineLevel="0" collapsed="false">
      <c r="A395" s="11"/>
      <c r="B395" s="9"/>
      <c r="C395" s="9"/>
      <c r="D395" s="12"/>
      <c r="E395" s="12"/>
      <c r="F395" s="13"/>
      <c r="G395" s="14" t="str">
        <f aca="false">IF(F395&lt;&gt;"",IF(AND(ISNUMBER(F395),N(F395)&gt;=0),F395,""),IF(AND(ISNUMBER(D395),ISNUMBER(E395)),ROUND(MOD(E395-D395,1)*1440,0),""))</f>
        <v/>
      </c>
      <c r="H395" s="9"/>
      <c r="I395" s="10" t="str">
        <f aca="false">IF(H395="","",IF(SUMPRODUCT(MAX((Setup!$D$5:$D$34=H395)*(35-ROW(Setup!$D$5:$D$34))))=0,"Not in Setup",INDEX(Setup!$E$5:$E$34,31-SUMPRODUCT(MAX((Setup!$D$5:$D$34=H395)*(35-ROW(Setup!$D$5:$D$34)))))))</f>
        <v/>
      </c>
      <c r="J395" s="9"/>
      <c r="K395" s="10" t="str">
        <f aca="false">IF(AND(A395="",C395="",D395="",E395="",F395="",H395=""),"",IF(NOT(ISNUMBER(A395)),"Enter a date",IF(AND(F395&lt;&gt;"",OR(NOT(ISNUMBER(F395)),N(F395)&lt;0)),"Minutes must be a number of 0 or more",IF(G395="","Enter start and end times, or minutes",IF(C395="","Pick a machine",IF(SUMPRODUCT(--(Setup!$A$5:$A$34=C395))=0,"Machine not in Setup",IF(H395="","Pick a reason (counted as unclassified)",IF(I395="Not in Setup","Reason not in Setup (counted as unclassified)",IF(N(G395)=0,"0 minutes: not counted as a stop","OK")))))))))</f>
        <v/>
      </c>
    </row>
    <row r="396" customFormat="false" ht="15" hidden="false" customHeight="false" outlineLevel="0" collapsed="false">
      <c r="A396" s="11"/>
      <c r="B396" s="9"/>
      <c r="C396" s="9"/>
      <c r="D396" s="12"/>
      <c r="E396" s="12"/>
      <c r="F396" s="13"/>
      <c r="G396" s="14" t="str">
        <f aca="false">IF(F396&lt;&gt;"",IF(AND(ISNUMBER(F396),N(F396)&gt;=0),F396,""),IF(AND(ISNUMBER(D396),ISNUMBER(E396)),ROUND(MOD(E396-D396,1)*1440,0),""))</f>
        <v/>
      </c>
      <c r="H396" s="9"/>
      <c r="I396" s="10" t="str">
        <f aca="false">IF(H396="","",IF(SUMPRODUCT(MAX((Setup!$D$5:$D$34=H396)*(35-ROW(Setup!$D$5:$D$34))))=0,"Not in Setup",INDEX(Setup!$E$5:$E$34,31-SUMPRODUCT(MAX((Setup!$D$5:$D$34=H396)*(35-ROW(Setup!$D$5:$D$34)))))))</f>
        <v/>
      </c>
      <c r="J396" s="9"/>
      <c r="K396" s="10" t="str">
        <f aca="false">IF(AND(A396="",C396="",D396="",E396="",F396="",H396=""),"",IF(NOT(ISNUMBER(A396)),"Enter a date",IF(AND(F396&lt;&gt;"",OR(NOT(ISNUMBER(F396)),N(F396)&lt;0)),"Minutes must be a number of 0 or more",IF(G396="","Enter start and end times, or minutes",IF(C396="","Pick a machine",IF(SUMPRODUCT(--(Setup!$A$5:$A$34=C396))=0,"Machine not in Setup",IF(H396="","Pick a reason (counted as unclassified)",IF(I396="Not in Setup","Reason not in Setup (counted as unclassified)",IF(N(G396)=0,"0 minutes: not counted as a stop","OK")))))))))</f>
        <v/>
      </c>
    </row>
    <row r="397" customFormat="false" ht="15" hidden="false" customHeight="false" outlineLevel="0" collapsed="false">
      <c r="A397" s="11"/>
      <c r="B397" s="9"/>
      <c r="C397" s="9"/>
      <c r="D397" s="12"/>
      <c r="E397" s="12"/>
      <c r="F397" s="13"/>
      <c r="G397" s="14" t="str">
        <f aca="false">IF(F397&lt;&gt;"",IF(AND(ISNUMBER(F397),N(F397)&gt;=0),F397,""),IF(AND(ISNUMBER(D397),ISNUMBER(E397)),ROUND(MOD(E397-D397,1)*1440,0),""))</f>
        <v/>
      </c>
      <c r="H397" s="9"/>
      <c r="I397" s="10" t="str">
        <f aca="false">IF(H397="","",IF(SUMPRODUCT(MAX((Setup!$D$5:$D$34=H397)*(35-ROW(Setup!$D$5:$D$34))))=0,"Not in Setup",INDEX(Setup!$E$5:$E$34,31-SUMPRODUCT(MAX((Setup!$D$5:$D$34=H397)*(35-ROW(Setup!$D$5:$D$34)))))))</f>
        <v/>
      </c>
      <c r="J397" s="9"/>
      <c r="K397" s="10" t="str">
        <f aca="false">IF(AND(A397="",C397="",D397="",E397="",F397="",H397=""),"",IF(NOT(ISNUMBER(A397)),"Enter a date",IF(AND(F397&lt;&gt;"",OR(NOT(ISNUMBER(F397)),N(F397)&lt;0)),"Minutes must be a number of 0 or more",IF(G397="","Enter start and end times, or minutes",IF(C397="","Pick a machine",IF(SUMPRODUCT(--(Setup!$A$5:$A$34=C397))=0,"Machine not in Setup",IF(H397="","Pick a reason (counted as unclassified)",IF(I397="Not in Setup","Reason not in Setup (counted as unclassified)",IF(N(G397)=0,"0 minutes: not counted as a stop","OK")))))))))</f>
        <v/>
      </c>
    </row>
    <row r="398" customFormat="false" ht="15" hidden="false" customHeight="false" outlineLevel="0" collapsed="false">
      <c r="A398" s="11"/>
      <c r="B398" s="9"/>
      <c r="C398" s="9"/>
      <c r="D398" s="12"/>
      <c r="E398" s="12"/>
      <c r="F398" s="13"/>
      <c r="G398" s="14" t="str">
        <f aca="false">IF(F398&lt;&gt;"",IF(AND(ISNUMBER(F398),N(F398)&gt;=0),F398,""),IF(AND(ISNUMBER(D398),ISNUMBER(E398)),ROUND(MOD(E398-D398,1)*1440,0),""))</f>
        <v/>
      </c>
      <c r="H398" s="9"/>
      <c r="I398" s="10" t="str">
        <f aca="false">IF(H398="","",IF(SUMPRODUCT(MAX((Setup!$D$5:$D$34=H398)*(35-ROW(Setup!$D$5:$D$34))))=0,"Not in Setup",INDEX(Setup!$E$5:$E$34,31-SUMPRODUCT(MAX((Setup!$D$5:$D$34=H398)*(35-ROW(Setup!$D$5:$D$34)))))))</f>
        <v/>
      </c>
      <c r="J398" s="9"/>
      <c r="K398" s="10" t="str">
        <f aca="false">IF(AND(A398="",C398="",D398="",E398="",F398="",H398=""),"",IF(NOT(ISNUMBER(A398)),"Enter a date",IF(AND(F398&lt;&gt;"",OR(NOT(ISNUMBER(F398)),N(F398)&lt;0)),"Minutes must be a number of 0 or more",IF(G398="","Enter start and end times, or minutes",IF(C398="","Pick a machine",IF(SUMPRODUCT(--(Setup!$A$5:$A$34=C398))=0,"Machine not in Setup",IF(H398="","Pick a reason (counted as unclassified)",IF(I398="Not in Setup","Reason not in Setup (counted as unclassified)",IF(N(G398)=0,"0 minutes: not counted as a stop","OK")))))))))</f>
        <v/>
      </c>
    </row>
    <row r="399" customFormat="false" ht="15" hidden="false" customHeight="false" outlineLevel="0" collapsed="false">
      <c r="A399" s="11"/>
      <c r="B399" s="9"/>
      <c r="C399" s="9"/>
      <c r="D399" s="12"/>
      <c r="E399" s="12"/>
      <c r="F399" s="13"/>
      <c r="G399" s="14" t="str">
        <f aca="false">IF(F399&lt;&gt;"",IF(AND(ISNUMBER(F399),N(F399)&gt;=0),F399,""),IF(AND(ISNUMBER(D399),ISNUMBER(E399)),ROUND(MOD(E399-D399,1)*1440,0),""))</f>
        <v/>
      </c>
      <c r="H399" s="9"/>
      <c r="I399" s="10" t="str">
        <f aca="false">IF(H399="","",IF(SUMPRODUCT(MAX((Setup!$D$5:$D$34=H399)*(35-ROW(Setup!$D$5:$D$34))))=0,"Not in Setup",INDEX(Setup!$E$5:$E$34,31-SUMPRODUCT(MAX((Setup!$D$5:$D$34=H399)*(35-ROW(Setup!$D$5:$D$34)))))))</f>
        <v/>
      </c>
      <c r="J399" s="9"/>
      <c r="K399" s="10" t="str">
        <f aca="false">IF(AND(A399="",C399="",D399="",E399="",F399="",H399=""),"",IF(NOT(ISNUMBER(A399)),"Enter a date",IF(AND(F399&lt;&gt;"",OR(NOT(ISNUMBER(F399)),N(F399)&lt;0)),"Minutes must be a number of 0 or more",IF(G399="","Enter start and end times, or minutes",IF(C399="","Pick a machine",IF(SUMPRODUCT(--(Setup!$A$5:$A$34=C399))=0,"Machine not in Setup",IF(H399="","Pick a reason (counted as unclassified)",IF(I399="Not in Setup","Reason not in Setup (counted as unclassified)",IF(N(G399)=0,"0 minutes: not counted as a stop","OK")))))))))</f>
        <v/>
      </c>
    </row>
    <row r="400" customFormat="false" ht="15" hidden="false" customHeight="false" outlineLevel="0" collapsed="false">
      <c r="A400" s="11"/>
      <c r="B400" s="9"/>
      <c r="C400" s="9"/>
      <c r="D400" s="12"/>
      <c r="E400" s="12"/>
      <c r="F400" s="13"/>
      <c r="G400" s="14" t="str">
        <f aca="false">IF(F400&lt;&gt;"",IF(AND(ISNUMBER(F400),N(F400)&gt;=0),F400,""),IF(AND(ISNUMBER(D400),ISNUMBER(E400)),ROUND(MOD(E400-D400,1)*1440,0),""))</f>
        <v/>
      </c>
      <c r="H400" s="9"/>
      <c r="I400" s="10" t="str">
        <f aca="false">IF(H400="","",IF(SUMPRODUCT(MAX((Setup!$D$5:$D$34=H400)*(35-ROW(Setup!$D$5:$D$34))))=0,"Not in Setup",INDEX(Setup!$E$5:$E$34,31-SUMPRODUCT(MAX((Setup!$D$5:$D$34=H400)*(35-ROW(Setup!$D$5:$D$34)))))))</f>
        <v/>
      </c>
      <c r="J400" s="9"/>
      <c r="K400" s="10" t="str">
        <f aca="false">IF(AND(A400="",C400="",D400="",E400="",F400="",H400=""),"",IF(NOT(ISNUMBER(A400)),"Enter a date",IF(AND(F400&lt;&gt;"",OR(NOT(ISNUMBER(F400)),N(F400)&lt;0)),"Minutes must be a number of 0 or more",IF(G400="","Enter start and end times, or minutes",IF(C400="","Pick a machine",IF(SUMPRODUCT(--(Setup!$A$5:$A$34=C400))=0,"Machine not in Setup",IF(H400="","Pick a reason (counted as unclassified)",IF(I400="Not in Setup","Reason not in Setup (counted as unclassified)",IF(N(G400)=0,"0 minutes: not counted as a stop","OK")))))))))</f>
        <v/>
      </c>
    </row>
    <row r="401" customFormat="false" ht="15" hidden="false" customHeight="false" outlineLevel="0" collapsed="false">
      <c r="A401" s="11"/>
      <c r="B401" s="9"/>
      <c r="C401" s="9"/>
      <c r="D401" s="12"/>
      <c r="E401" s="12"/>
      <c r="F401" s="13"/>
      <c r="G401" s="14" t="str">
        <f aca="false">IF(F401&lt;&gt;"",IF(AND(ISNUMBER(F401),N(F401)&gt;=0),F401,""),IF(AND(ISNUMBER(D401),ISNUMBER(E401)),ROUND(MOD(E401-D401,1)*1440,0),""))</f>
        <v/>
      </c>
      <c r="H401" s="9"/>
      <c r="I401" s="10" t="str">
        <f aca="false">IF(H401="","",IF(SUMPRODUCT(MAX((Setup!$D$5:$D$34=H401)*(35-ROW(Setup!$D$5:$D$34))))=0,"Not in Setup",INDEX(Setup!$E$5:$E$34,31-SUMPRODUCT(MAX((Setup!$D$5:$D$34=H401)*(35-ROW(Setup!$D$5:$D$34)))))))</f>
        <v/>
      </c>
      <c r="J401" s="9"/>
      <c r="K401" s="10" t="str">
        <f aca="false">IF(AND(A401="",C401="",D401="",E401="",F401="",H401=""),"",IF(NOT(ISNUMBER(A401)),"Enter a date",IF(AND(F401&lt;&gt;"",OR(NOT(ISNUMBER(F401)),N(F401)&lt;0)),"Minutes must be a number of 0 or more",IF(G401="","Enter start and end times, or minutes",IF(C401="","Pick a machine",IF(SUMPRODUCT(--(Setup!$A$5:$A$34=C401))=0,"Machine not in Setup",IF(H401="","Pick a reason (counted as unclassified)",IF(I401="Not in Setup","Reason not in Setup (counted as unclassified)",IF(N(G401)=0,"0 minutes: not counted as a stop","OK")))))))))</f>
        <v/>
      </c>
    </row>
    <row r="402" customFormat="false" ht="15" hidden="false" customHeight="false" outlineLevel="0" collapsed="false">
      <c r="A402" s="11"/>
      <c r="B402" s="9"/>
      <c r="C402" s="9"/>
      <c r="D402" s="12"/>
      <c r="E402" s="12"/>
      <c r="F402" s="13"/>
      <c r="G402" s="14" t="str">
        <f aca="false">IF(F402&lt;&gt;"",IF(AND(ISNUMBER(F402),N(F402)&gt;=0),F402,""),IF(AND(ISNUMBER(D402),ISNUMBER(E402)),ROUND(MOD(E402-D402,1)*1440,0),""))</f>
        <v/>
      </c>
      <c r="H402" s="9"/>
      <c r="I402" s="10" t="str">
        <f aca="false">IF(H402="","",IF(SUMPRODUCT(MAX((Setup!$D$5:$D$34=H402)*(35-ROW(Setup!$D$5:$D$34))))=0,"Not in Setup",INDEX(Setup!$E$5:$E$34,31-SUMPRODUCT(MAX((Setup!$D$5:$D$34=H402)*(35-ROW(Setup!$D$5:$D$34)))))))</f>
        <v/>
      </c>
      <c r="J402" s="9"/>
      <c r="K402" s="10" t="str">
        <f aca="false">IF(AND(A402="",C402="",D402="",E402="",F402="",H402=""),"",IF(NOT(ISNUMBER(A402)),"Enter a date",IF(AND(F402&lt;&gt;"",OR(NOT(ISNUMBER(F402)),N(F402)&lt;0)),"Minutes must be a number of 0 or more",IF(G402="","Enter start and end times, or minutes",IF(C402="","Pick a machine",IF(SUMPRODUCT(--(Setup!$A$5:$A$34=C402))=0,"Machine not in Setup",IF(H402="","Pick a reason (counted as unclassified)",IF(I402="Not in Setup","Reason not in Setup (counted as unclassified)",IF(N(G402)=0,"0 minutes: not counted as a stop","OK")))))))))</f>
        <v/>
      </c>
    </row>
    <row r="403" customFormat="false" ht="15" hidden="false" customHeight="false" outlineLevel="0" collapsed="false">
      <c r="A403" s="11"/>
      <c r="B403" s="9"/>
      <c r="C403" s="9"/>
      <c r="D403" s="12"/>
      <c r="E403" s="12"/>
      <c r="F403" s="13"/>
      <c r="G403" s="14" t="str">
        <f aca="false">IF(F403&lt;&gt;"",IF(AND(ISNUMBER(F403),N(F403)&gt;=0),F403,""),IF(AND(ISNUMBER(D403),ISNUMBER(E403)),ROUND(MOD(E403-D403,1)*1440,0),""))</f>
        <v/>
      </c>
      <c r="H403" s="9"/>
      <c r="I403" s="10" t="str">
        <f aca="false">IF(H403="","",IF(SUMPRODUCT(MAX((Setup!$D$5:$D$34=H403)*(35-ROW(Setup!$D$5:$D$34))))=0,"Not in Setup",INDEX(Setup!$E$5:$E$34,31-SUMPRODUCT(MAX((Setup!$D$5:$D$34=H403)*(35-ROW(Setup!$D$5:$D$34)))))))</f>
        <v/>
      </c>
      <c r="J403" s="9"/>
      <c r="K403" s="10" t="str">
        <f aca="false">IF(AND(A403="",C403="",D403="",E403="",F403="",H403=""),"",IF(NOT(ISNUMBER(A403)),"Enter a date",IF(AND(F403&lt;&gt;"",OR(NOT(ISNUMBER(F403)),N(F403)&lt;0)),"Minutes must be a number of 0 or more",IF(G403="","Enter start and end times, or minutes",IF(C403="","Pick a machine",IF(SUMPRODUCT(--(Setup!$A$5:$A$34=C403))=0,"Machine not in Setup",IF(H403="","Pick a reason (counted as unclassified)",IF(I403="Not in Setup","Reason not in Setup (counted as unclassified)",IF(N(G403)=0,"0 minutes: not counted as a stop","OK")))))))))</f>
        <v/>
      </c>
    </row>
    <row r="404" customFormat="false" ht="15" hidden="false" customHeight="false" outlineLevel="0" collapsed="false">
      <c r="A404" s="11"/>
      <c r="B404" s="9"/>
      <c r="C404" s="9"/>
      <c r="D404" s="12"/>
      <c r="E404" s="12"/>
      <c r="F404" s="13"/>
      <c r="G404" s="14" t="str">
        <f aca="false">IF(F404&lt;&gt;"",IF(AND(ISNUMBER(F404),N(F404)&gt;=0),F404,""),IF(AND(ISNUMBER(D404),ISNUMBER(E404)),ROUND(MOD(E404-D404,1)*1440,0),""))</f>
        <v/>
      </c>
      <c r="H404" s="9"/>
      <c r="I404" s="10" t="str">
        <f aca="false">IF(H404="","",IF(SUMPRODUCT(MAX((Setup!$D$5:$D$34=H404)*(35-ROW(Setup!$D$5:$D$34))))=0,"Not in Setup",INDEX(Setup!$E$5:$E$34,31-SUMPRODUCT(MAX((Setup!$D$5:$D$34=H404)*(35-ROW(Setup!$D$5:$D$34)))))))</f>
        <v/>
      </c>
      <c r="J404" s="9"/>
      <c r="K404" s="10" t="str">
        <f aca="false">IF(AND(A404="",C404="",D404="",E404="",F404="",H404=""),"",IF(NOT(ISNUMBER(A404)),"Enter a date",IF(AND(F404&lt;&gt;"",OR(NOT(ISNUMBER(F404)),N(F404)&lt;0)),"Minutes must be a number of 0 or more",IF(G404="","Enter start and end times, or minutes",IF(C404="","Pick a machine",IF(SUMPRODUCT(--(Setup!$A$5:$A$34=C404))=0,"Machine not in Setup",IF(H404="","Pick a reason (counted as unclassified)",IF(I404="Not in Setup","Reason not in Setup (counted as unclassified)",IF(N(G404)=0,"0 minutes: not counted as a stop","OK")))))))))</f>
        <v/>
      </c>
    </row>
    <row r="405" customFormat="false" ht="15" hidden="false" customHeight="false" outlineLevel="0" collapsed="false">
      <c r="A405" s="11"/>
      <c r="B405" s="9"/>
      <c r="C405" s="9"/>
      <c r="D405" s="12"/>
      <c r="E405" s="12"/>
      <c r="F405" s="13"/>
      <c r="G405" s="14" t="str">
        <f aca="false">IF(F405&lt;&gt;"",IF(AND(ISNUMBER(F405),N(F405)&gt;=0),F405,""),IF(AND(ISNUMBER(D405),ISNUMBER(E405)),ROUND(MOD(E405-D405,1)*1440,0),""))</f>
        <v/>
      </c>
      <c r="H405" s="9"/>
      <c r="I405" s="10" t="str">
        <f aca="false">IF(H405="","",IF(SUMPRODUCT(MAX((Setup!$D$5:$D$34=H405)*(35-ROW(Setup!$D$5:$D$34))))=0,"Not in Setup",INDEX(Setup!$E$5:$E$34,31-SUMPRODUCT(MAX((Setup!$D$5:$D$34=H405)*(35-ROW(Setup!$D$5:$D$34)))))))</f>
        <v/>
      </c>
      <c r="J405" s="9"/>
      <c r="K405" s="10" t="str">
        <f aca="false">IF(AND(A405="",C405="",D405="",E405="",F405="",H405=""),"",IF(NOT(ISNUMBER(A405)),"Enter a date",IF(AND(F405&lt;&gt;"",OR(NOT(ISNUMBER(F405)),N(F405)&lt;0)),"Minutes must be a number of 0 or more",IF(G405="","Enter start and end times, or minutes",IF(C405="","Pick a machine",IF(SUMPRODUCT(--(Setup!$A$5:$A$34=C405))=0,"Machine not in Setup",IF(H405="","Pick a reason (counted as unclassified)",IF(I405="Not in Setup","Reason not in Setup (counted as unclassified)",IF(N(G405)=0,"0 minutes: not counted as a stop","OK")))))))))</f>
        <v/>
      </c>
    </row>
    <row r="406" customFormat="false" ht="15" hidden="false" customHeight="false" outlineLevel="0" collapsed="false">
      <c r="A406" s="11"/>
      <c r="B406" s="9"/>
      <c r="C406" s="9"/>
      <c r="D406" s="12"/>
      <c r="E406" s="12"/>
      <c r="F406" s="13"/>
      <c r="G406" s="14" t="str">
        <f aca="false">IF(F406&lt;&gt;"",IF(AND(ISNUMBER(F406),N(F406)&gt;=0),F406,""),IF(AND(ISNUMBER(D406),ISNUMBER(E406)),ROUND(MOD(E406-D406,1)*1440,0),""))</f>
        <v/>
      </c>
      <c r="H406" s="9"/>
      <c r="I406" s="10" t="str">
        <f aca="false">IF(H406="","",IF(SUMPRODUCT(MAX((Setup!$D$5:$D$34=H406)*(35-ROW(Setup!$D$5:$D$34))))=0,"Not in Setup",INDEX(Setup!$E$5:$E$34,31-SUMPRODUCT(MAX((Setup!$D$5:$D$34=H406)*(35-ROW(Setup!$D$5:$D$34)))))))</f>
        <v/>
      </c>
      <c r="J406" s="9"/>
      <c r="K406" s="10" t="str">
        <f aca="false">IF(AND(A406="",C406="",D406="",E406="",F406="",H406=""),"",IF(NOT(ISNUMBER(A406)),"Enter a date",IF(AND(F406&lt;&gt;"",OR(NOT(ISNUMBER(F406)),N(F406)&lt;0)),"Minutes must be a number of 0 or more",IF(G406="","Enter start and end times, or minutes",IF(C406="","Pick a machine",IF(SUMPRODUCT(--(Setup!$A$5:$A$34=C406))=0,"Machine not in Setup",IF(H406="","Pick a reason (counted as unclassified)",IF(I406="Not in Setup","Reason not in Setup (counted as unclassified)",IF(N(G406)=0,"0 minutes: not counted as a stop","OK")))))))))</f>
        <v/>
      </c>
    </row>
    <row r="407" customFormat="false" ht="15" hidden="false" customHeight="false" outlineLevel="0" collapsed="false">
      <c r="A407" s="11"/>
      <c r="B407" s="9"/>
      <c r="C407" s="9"/>
      <c r="D407" s="12"/>
      <c r="E407" s="12"/>
      <c r="F407" s="13"/>
      <c r="G407" s="14" t="str">
        <f aca="false">IF(F407&lt;&gt;"",IF(AND(ISNUMBER(F407),N(F407)&gt;=0),F407,""),IF(AND(ISNUMBER(D407),ISNUMBER(E407)),ROUND(MOD(E407-D407,1)*1440,0),""))</f>
        <v/>
      </c>
      <c r="H407" s="9"/>
      <c r="I407" s="10" t="str">
        <f aca="false">IF(H407="","",IF(SUMPRODUCT(MAX((Setup!$D$5:$D$34=H407)*(35-ROW(Setup!$D$5:$D$34))))=0,"Not in Setup",INDEX(Setup!$E$5:$E$34,31-SUMPRODUCT(MAX((Setup!$D$5:$D$34=H407)*(35-ROW(Setup!$D$5:$D$34)))))))</f>
        <v/>
      </c>
      <c r="J407" s="9"/>
      <c r="K407" s="10" t="str">
        <f aca="false">IF(AND(A407="",C407="",D407="",E407="",F407="",H407=""),"",IF(NOT(ISNUMBER(A407)),"Enter a date",IF(AND(F407&lt;&gt;"",OR(NOT(ISNUMBER(F407)),N(F407)&lt;0)),"Minutes must be a number of 0 or more",IF(G407="","Enter start and end times, or minutes",IF(C407="","Pick a machine",IF(SUMPRODUCT(--(Setup!$A$5:$A$34=C407))=0,"Machine not in Setup",IF(H407="","Pick a reason (counted as unclassified)",IF(I407="Not in Setup","Reason not in Setup (counted as unclassified)",IF(N(G407)=0,"0 minutes: not counted as a stop","OK")))))))))</f>
        <v/>
      </c>
    </row>
    <row r="408" customFormat="false" ht="15" hidden="false" customHeight="false" outlineLevel="0" collapsed="false">
      <c r="A408" s="11"/>
      <c r="B408" s="9"/>
      <c r="C408" s="9"/>
      <c r="D408" s="12"/>
      <c r="E408" s="12"/>
      <c r="F408" s="13"/>
      <c r="G408" s="14" t="str">
        <f aca="false">IF(F408&lt;&gt;"",IF(AND(ISNUMBER(F408),N(F408)&gt;=0),F408,""),IF(AND(ISNUMBER(D408),ISNUMBER(E408)),ROUND(MOD(E408-D408,1)*1440,0),""))</f>
        <v/>
      </c>
      <c r="H408" s="9"/>
      <c r="I408" s="10" t="str">
        <f aca="false">IF(H408="","",IF(SUMPRODUCT(MAX((Setup!$D$5:$D$34=H408)*(35-ROW(Setup!$D$5:$D$34))))=0,"Not in Setup",INDEX(Setup!$E$5:$E$34,31-SUMPRODUCT(MAX((Setup!$D$5:$D$34=H408)*(35-ROW(Setup!$D$5:$D$34)))))))</f>
        <v/>
      </c>
      <c r="J408" s="9"/>
      <c r="K408" s="10" t="str">
        <f aca="false">IF(AND(A408="",C408="",D408="",E408="",F408="",H408=""),"",IF(NOT(ISNUMBER(A408)),"Enter a date",IF(AND(F408&lt;&gt;"",OR(NOT(ISNUMBER(F408)),N(F408)&lt;0)),"Minutes must be a number of 0 or more",IF(G408="","Enter start and end times, or minutes",IF(C408="","Pick a machine",IF(SUMPRODUCT(--(Setup!$A$5:$A$34=C408))=0,"Machine not in Setup",IF(H408="","Pick a reason (counted as unclassified)",IF(I408="Not in Setup","Reason not in Setup (counted as unclassified)",IF(N(G408)=0,"0 minutes: not counted as a stop","OK")))))))))</f>
        <v/>
      </c>
    </row>
    <row r="409" customFormat="false" ht="15" hidden="false" customHeight="false" outlineLevel="0" collapsed="false">
      <c r="A409" s="11"/>
      <c r="B409" s="9"/>
      <c r="C409" s="9"/>
      <c r="D409" s="12"/>
      <c r="E409" s="12"/>
      <c r="F409" s="13"/>
      <c r="G409" s="14" t="str">
        <f aca="false">IF(F409&lt;&gt;"",IF(AND(ISNUMBER(F409),N(F409)&gt;=0),F409,""),IF(AND(ISNUMBER(D409),ISNUMBER(E409)),ROUND(MOD(E409-D409,1)*1440,0),""))</f>
        <v/>
      </c>
      <c r="H409" s="9"/>
      <c r="I409" s="10" t="str">
        <f aca="false">IF(H409="","",IF(SUMPRODUCT(MAX((Setup!$D$5:$D$34=H409)*(35-ROW(Setup!$D$5:$D$34))))=0,"Not in Setup",INDEX(Setup!$E$5:$E$34,31-SUMPRODUCT(MAX((Setup!$D$5:$D$34=H409)*(35-ROW(Setup!$D$5:$D$34)))))))</f>
        <v/>
      </c>
      <c r="J409" s="9"/>
      <c r="K409" s="10" t="str">
        <f aca="false">IF(AND(A409="",C409="",D409="",E409="",F409="",H409=""),"",IF(NOT(ISNUMBER(A409)),"Enter a date",IF(AND(F409&lt;&gt;"",OR(NOT(ISNUMBER(F409)),N(F409)&lt;0)),"Minutes must be a number of 0 or more",IF(G409="","Enter start and end times, or minutes",IF(C409="","Pick a machine",IF(SUMPRODUCT(--(Setup!$A$5:$A$34=C409))=0,"Machine not in Setup",IF(H409="","Pick a reason (counted as unclassified)",IF(I409="Not in Setup","Reason not in Setup (counted as unclassified)",IF(N(G409)=0,"0 minutes: not counted as a stop","OK")))))))))</f>
        <v/>
      </c>
    </row>
    <row r="410" customFormat="false" ht="15" hidden="false" customHeight="false" outlineLevel="0" collapsed="false">
      <c r="A410" s="11"/>
      <c r="B410" s="9"/>
      <c r="C410" s="9"/>
      <c r="D410" s="12"/>
      <c r="E410" s="12"/>
      <c r="F410" s="13"/>
      <c r="G410" s="14" t="str">
        <f aca="false">IF(F410&lt;&gt;"",IF(AND(ISNUMBER(F410),N(F410)&gt;=0),F410,""),IF(AND(ISNUMBER(D410),ISNUMBER(E410)),ROUND(MOD(E410-D410,1)*1440,0),""))</f>
        <v/>
      </c>
      <c r="H410" s="9"/>
      <c r="I410" s="10" t="str">
        <f aca="false">IF(H410="","",IF(SUMPRODUCT(MAX((Setup!$D$5:$D$34=H410)*(35-ROW(Setup!$D$5:$D$34))))=0,"Not in Setup",INDEX(Setup!$E$5:$E$34,31-SUMPRODUCT(MAX((Setup!$D$5:$D$34=H410)*(35-ROW(Setup!$D$5:$D$34)))))))</f>
        <v/>
      </c>
      <c r="J410" s="9"/>
      <c r="K410" s="10" t="str">
        <f aca="false">IF(AND(A410="",C410="",D410="",E410="",F410="",H410=""),"",IF(NOT(ISNUMBER(A410)),"Enter a date",IF(AND(F410&lt;&gt;"",OR(NOT(ISNUMBER(F410)),N(F410)&lt;0)),"Minutes must be a number of 0 or more",IF(G410="","Enter start and end times, or minutes",IF(C410="","Pick a machine",IF(SUMPRODUCT(--(Setup!$A$5:$A$34=C410))=0,"Machine not in Setup",IF(H410="","Pick a reason (counted as unclassified)",IF(I410="Not in Setup","Reason not in Setup (counted as unclassified)",IF(N(G410)=0,"0 minutes: not counted as a stop","OK")))))))))</f>
        <v/>
      </c>
    </row>
    <row r="411" customFormat="false" ht="15" hidden="false" customHeight="false" outlineLevel="0" collapsed="false">
      <c r="A411" s="11"/>
      <c r="B411" s="9"/>
      <c r="C411" s="9"/>
      <c r="D411" s="12"/>
      <c r="E411" s="12"/>
      <c r="F411" s="13"/>
      <c r="G411" s="14" t="str">
        <f aca="false">IF(F411&lt;&gt;"",IF(AND(ISNUMBER(F411),N(F411)&gt;=0),F411,""),IF(AND(ISNUMBER(D411),ISNUMBER(E411)),ROUND(MOD(E411-D411,1)*1440,0),""))</f>
        <v/>
      </c>
      <c r="H411" s="9"/>
      <c r="I411" s="10" t="str">
        <f aca="false">IF(H411="","",IF(SUMPRODUCT(MAX((Setup!$D$5:$D$34=H411)*(35-ROW(Setup!$D$5:$D$34))))=0,"Not in Setup",INDEX(Setup!$E$5:$E$34,31-SUMPRODUCT(MAX((Setup!$D$5:$D$34=H411)*(35-ROW(Setup!$D$5:$D$34)))))))</f>
        <v/>
      </c>
      <c r="J411" s="9"/>
      <c r="K411" s="10" t="str">
        <f aca="false">IF(AND(A411="",C411="",D411="",E411="",F411="",H411=""),"",IF(NOT(ISNUMBER(A411)),"Enter a date",IF(AND(F411&lt;&gt;"",OR(NOT(ISNUMBER(F411)),N(F411)&lt;0)),"Minutes must be a number of 0 or more",IF(G411="","Enter start and end times, or minutes",IF(C411="","Pick a machine",IF(SUMPRODUCT(--(Setup!$A$5:$A$34=C411))=0,"Machine not in Setup",IF(H411="","Pick a reason (counted as unclassified)",IF(I411="Not in Setup","Reason not in Setup (counted as unclassified)",IF(N(G411)=0,"0 minutes: not counted as a stop","OK")))))))))</f>
        <v/>
      </c>
    </row>
    <row r="412" customFormat="false" ht="15" hidden="false" customHeight="false" outlineLevel="0" collapsed="false">
      <c r="A412" s="11"/>
      <c r="B412" s="9"/>
      <c r="C412" s="9"/>
      <c r="D412" s="12"/>
      <c r="E412" s="12"/>
      <c r="F412" s="13"/>
      <c r="G412" s="14" t="str">
        <f aca="false">IF(F412&lt;&gt;"",IF(AND(ISNUMBER(F412),N(F412)&gt;=0),F412,""),IF(AND(ISNUMBER(D412),ISNUMBER(E412)),ROUND(MOD(E412-D412,1)*1440,0),""))</f>
        <v/>
      </c>
      <c r="H412" s="9"/>
      <c r="I412" s="10" t="str">
        <f aca="false">IF(H412="","",IF(SUMPRODUCT(MAX((Setup!$D$5:$D$34=H412)*(35-ROW(Setup!$D$5:$D$34))))=0,"Not in Setup",INDEX(Setup!$E$5:$E$34,31-SUMPRODUCT(MAX((Setup!$D$5:$D$34=H412)*(35-ROW(Setup!$D$5:$D$34)))))))</f>
        <v/>
      </c>
      <c r="J412" s="9"/>
      <c r="K412" s="10" t="str">
        <f aca="false">IF(AND(A412="",C412="",D412="",E412="",F412="",H412=""),"",IF(NOT(ISNUMBER(A412)),"Enter a date",IF(AND(F412&lt;&gt;"",OR(NOT(ISNUMBER(F412)),N(F412)&lt;0)),"Minutes must be a number of 0 or more",IF(G412="","Enter start and end times, or minutes",IF(C412="","Pick a machine",IF(SUMPRODUCT(--(Setup!$A$5:$A$34=C412))=0,"Machine not in Setup",IF(H412="","Pick a reason (counted as unclassified)",IF(I412="Not in Setup","Reason not in Setup (counted as unclassified)",IF(N(G412)=0,"0 minutes: not counted as a stop","OK")))))))))</f>
        <v/>
      </c>
    </row>
    <row r="413" customFormat="false" ht="15" hidden="false" customHeight="false" outlineLevel="0" collapsed="false">
      <c r="A413" s="11"/>
      <c r="B413" s="9"/>
      <c r="C413" s="9"/>
      <c r="D413" s="12"/>
      <c r="E413" s="12"/>
      <c r="F413" s="13"/>
      <c r="G413" s="14" t="str">
        <f aca="false">IF(F413&lt;&gt;"",IF(AND(ISNUMBER(F413),N(F413)&gt;=0),F413,""),IF(AND(ISNUMBER(D413),ISNUMBER(E413)),ROUND(MOD(E413-D413,1)*1440,0),""))</f>
        <v/>
      </c>
      <c r="H413" s="9"/>
      <c r="I413" s="10" t="str">
        <f aca="false">IF(H413="","",IF(SUMPRODUCT(MAX((Setup!$D$5:$D$34=H413)*(35-ROW(Setup!$D$5:$D$34))))=0,"Not in Setup",INDEX(Setup!$E$5:$E$34,31-SUMPRODUCT(MAX((Setup!$D$5:$D$34=H413)*(35-ROW(Setup!$D$5:$D$34)))))))</f>
        <v/>
      </c>
      <c r="J413" s="9"/>
      <c r="K413" s="10" t="str">
        <f aca="false">IF(AND(A413="",C413="",D413="",E413="",F413="",H413=""),"",IF(NOT(ISNUMBER(A413)),"Enter a date",IF(AND(F413&lt;&gt;"",OR(NOT(ISNUMBER(F413)),N(F413)&lt;0)),"Minutes must be a number of 0 or more",IF(G413="","Enter start and end times, or minutes",IF(C413="","Pick a machine",IF(SUMPRODUCT(--(Setup!$A$5:$A$34=C413))=0,"Machine not in Setup",IF(H413="","Pick a reason (counted as unclassified)",IF(I413="Not in Setup","Reason not in Setup (counted as unclassified)",IF(N(G413)=0,"0 minutes: not counted as a stop","OK")))))))))</f>
        <v/>
      </c>
    </row>
    <row r="414" customFormat="false" ht="15" hidden="false" customHeight="false" outlineLevel="0" collapsed="false">
      <c r="A414" s="11"/>
      <c r="B414" s="9"/>
      <c r="C414" s="9"/>
      <c r="D414" s="12"/>
      <c r="E414" s="12"/>
      <c r="F414" s="13"/>
      <c r="G414" s="14" t="str">
        <f aca="false">IF(F414&lt;&gt;"",IF(AND(ISNUMBER(F414),N(F414)&gt;=0),F414,""),IF(AND(ISNUMBER(D414),ISNUMBER(E414)),ROUND(MOD(E414-D414,1)*1440,0),""))</f>
        <v/>
      </c>
      <c r="H414" s="9"/>
      <c r="I414" s="10" t="str">
        <f aca="false">IF(H414="","",IF(SUMPRODUCT(MAX((Setup!$D$5:$D$34=H414)*(35-ROW(Setup!$D$5:$D$34))))=0,"Not in Setup",INDEX(Setup!$E$5:$E$34,31-SUMPRODUCT(MAX((Setup!$D$5:$D$34=H414)*(35-ROW(Setup!$D$5:$D$34)))))))</f>
        <v/>
      </c>
      <c r="J414" s="9"/>
      <c r="K414" s="10" t="str">
        <f aca="false">IF(AND(A414="",C414="",D414="",E414="",F414="",H414=""),"",IF(NOT(ISNUMBER(A414)),"Enter a date",IF(AND(F414&lt;&gt;"",OR(NOT(ISNUMBER(F414)),N(F414)&lt;0)),"Minutes must be a number of 0 or more",IF(G414="","Enter start and end times, or minutes",IF(C414="","Pick a machine",IF(SUMPRODUCT(--(Setup!$A$5:$A$34=C414))=0,"Machine not in Setup",IF(H414="","Pick a reason (counted as unclassified)",IF(I414="Not in Setup","Reason not in Setup (counted as unclassified)",IF(N(G414)=0,"0 minutes: not counted as a stop","OK")))))))))</f>
        <v/>
      </c>
    </row>
    <row r="415" customFormat="false" ht="15" hidden="false" customHeight="false" outlineLevel="0" collapsed="false">
      <c r="A415" s="11"/>
      <c r="B415" s="9"/>
      <c r="C415" s="9"/>
      <c r="D415" s="12"/>
      <c r="E415" s="12"/>
      <c r="F415" s="13"/>
      <c r="G415" s="14" t="str">
        <f aca="false">IF(F415&lt;&gt;"",IF(AND(ISNUMBER(F415),N(F415)&gt;=0),F415,""),IF(AND(ISNUMBER(D415),ISNUMBER(E415)),ROUND(MOD(E415-D415,1)*1440,0),""))</f>
        <v/>
      </c>
      <c r="H415" s="9"/>
      <c r="I415" s="10" t="str">
        <f aca="false">IF(H415="","",IF(SUMPRODUCT(MAX((Setup!$D$5:$D$34=H415)*(35-ROW(Setup!$D$5:$D$34))))=0,"Not in Setup",INDEX(Setup!$E$5:$E$34,31-SUMPRODUCT(MAX((Setup!$D$5:$D$34=H415)*(35-ROW(Setup!$D$5:$D$34)))))))</f>
        <v/>
      </c>
      <c r="J415" s="9"/>
      <c r="K415" s="10" t="str">
        <f aca="false">IF(AND(A415="",C415="",D415="",E415="",F415="",H415=""),"",IF(NOT(ISNUMBER(A415)),"Enter a date",IF(AND(F415&lt;&gt;"",OR(NOT(ISNUMBER(F415)),N(F415)&lt;0)),"Minutes must be a number of 0 or more",IF(G415="","Enter start and end times, or minutes",IF(C415="","Pick a machine",IF(SUMPRODUCT(--(Setup!$A$5:$A$34=C415))=0,"Machine not in Setup",IF(H415="","Pick a reason (counted as unclassified)",IF(I415="Not in Setup","Reason not in Setup (counted as unclassified)",IF(N(G415)=0,"0 minutes: not counted as a stop","OK")))))))))</f>
        <v/>
      </c>
    </row>
    <row r="416" customFormat="false" ht="15" hidden="false" customHeight="false" outlineLevel="0" collapsed="false">
      <c r="A416" s="11"/>
      <c r="B416" s="9"/>
      <c r="C416" s="9"/>
      <c r="D416" s="12"/>
      <c r="E416" s="12"/>
      <c r="F416" s="13"/>
      <c r="G416" s="14" t="str">
        <f aca="false">IF(F416&lt;&gt;"",IF(AND(ISNUMBER(F416),N(F416)&gt;=0),F416,""),IF(AND(ISNUMBER(D416),ISNUMBER(E416)),ROUND(MOD(E416-D416,1)*1440,0),""))</f>
        <v/>
      </c>
      <c r="H416" s="9"/>
      <c r="I416" s="10" t="str">
        <f aca="false">IF(H416="","",IF(SUMPRODUCT(MAX((Setup!$D$5:$D$34=H416)*(35-ROW(Setup!$D$5:$D$34))))=0,"Not in Setup",INDEX(Setup!$E$5:$E$34,31-SUMPRODUCT(MAX((Setup!$D$5:$D$34=H416)*(35-ROW(Setup!$D$5:$D$34)))))))</f>
        <v/>
      </c>
      <c r="J416" s="9"/>
      <c r="K416" s="10" t="str">
        <f aca="false">IF(AND(A416="",C416="",D416="",E416="",F416="",H416=""),"",IF(NOT(ISNUMBER(A416)),"Enter a date",IF(AND(F416&lt;&gt;"",OR(NOT(ISNUMBER(F416)),N(F416)&lt;0)),"Minutes must be a number of 0 or more",IF(G416="","Enter start and end times, or minutes",IF(C416="","Pick a machine",IF(SUMPRODUCT(--(Setup!$A$5:$A$34=C416))=0,"Machine not in Setup",IF(H416="","Pick a reason (counted as unclassified)",IF(I416="Not in Setup","Reason not in Setup (counted as unclassified)",IF(N(G416)=0,"0 minutes: not counted as a stop","OK")))))))))</f>
        <v/>
      </c>
    </row>
    <row r="417" customFormat="false" ht="15" hidden="false" customHeight="false" outlineLevel="0" collapsed="false">
      <c r="A417" s="11"/>
      <c r="B417" s="9"/>
      <c r="C417" s="9"/>
      <c r="D417" s="12"/>
      <c r="E417" s="12"/>
      <c r="F417" s="13"/>
      <c r="G417" s="14" t="str">
        <f aca="false">IF(F417&lt;&gt;"",IF(AND(ISNUMBER(F417),N(F417)&gt;=0),F417,""),IF(AND(ISNUMBER(D417),ISNUMBER(E417)),ROUND(MOD(E417-D417,1)*1440,0),""))</f>
        <v/>
      </c>
      <c r="H417" s="9"/>
      <c r="I417" s="10" t="str">
        <f aca="false">IF(H417="","",IF(SUMPRODUCT(MAX((Setup!$D$5:$D$34=H417)*(35-ROW(Setup!$D$5:$D$34))))=0,"Not in Setup",INDEX(Setup!$E$5:$E$34,31-SUMPRODUCT(MAX((Setup!$D$5:$D$34=H417)*(35-ROW(Setup!$D$5:$D$34)))))))</f>
        <v/>
      </c>
      <c r="J417" s="9"/>
      <c r="K417" s="10" t="str">
        <f aca="false">IF(AND(A417="",C417="",D417="",E417="",F417="",H417=""),"",IF(NOT(ISNUMBER(A417)),"Enter a date",IF(AND(F417&lt;&gt;"",OR(NOT(ISNUMBER(F417)),N(F417)&lt;0)),"Minutes must be a number of 0 or more",IF(G417="","Enter start and end times, or minutes",IF(C417="","Pick a machine",IF(SUMPRODUCT(--(Setup!$A$5:$A$34=C417))=0,"Machine not in Setup",IF(H417="","Pick a reason (counted as unclassified)",IF(I417="Not in Setup","Reason not in Setup (counted as unclassified)",IF(N(G417)=0,"0 minutes: not counted as a stop","OK")))))))))</f>
        <v/>
      </c>
    </row>
    <row r="418" customFormat="false" ht="15" hidden="false" customHeight="false" outlineLevel="0" collapsed="false">
      <c r="A418" s="11"/>
      <c r="B418" s="9"/>
      <c r="C418" s="9"/>
      <c r="D418" s="12"/>
      <c r="E418" s="12"/>
      <c r="F418" s="13"/>
      <c r="G418" s="14" t="str">
        <f aca="false">IF(F418&lt;&gt;"",IF(AND(ISNUMBER(F418),N(F418)&gt;=0),F418,""),IF(AND(ISNUMBER(D418),ISNUMBER(E418)),ROUND(MOD(E418-D418,1)*1440,0),""))</f>
        <v/>
      </c>
      <c r="H418" s="9"/>
      <c r="I418" s="10" t="str">
        <f aca="false">IF(H418="","",IF(SUMPRODUCT(MAX((Setup!$D$5:$D$34=H418)*(35-ROW(Setup!$D$5:$D$34))))=0,"Not in Setup",INDEX(Setup!$E$5:$E$34,31-SUMPRODUCT(MAX((Setup!$D$5:$D$34=H418)*(35-ROW(Setup!$D$5:$D$34)))))))</f>
        <v/>
      </c>
      <c r="J418" s="9"/>
      <c r="K418" s="10" t="str">
        <f aca="false">IF(AND(A418="",C418="",D418="",E418="",F418="",H418=""),"",IF(NOT(ISNUMBER(A418)),"Enter a date",IF(AND(F418&lt;&gt;"",OR(NOT(ISNUMBER(F418)),N(F418)&lt;0)),"Minutes must be a number of 0 or more",IF(G418="","Enter start and end times, or minutes",IF(C418="","Pick a machine",IF(SUMPRODUCT(--(Setup!$A$5:$A$34=C418))=0,"Machine not in Setup",IF(H418="","Pick a reason (counted as unclassified)",IF(I418="Not in Setup","Reason not in Setup (counted as unclassified)",IF(N(G418)=0,"0 minutes: not counted as a stop","OK")))))))))</f>
        <v/>
      </c>
    </row>
    <row r="419" customFormat="false" ht="15" hidden="false" customHeight="false" outlineLevel="0" collapsed="false">
      <c r="A419" s="11"/>
      <c r="B419" s="9"/>
      <c r="C419" s="9"/>
      <c r="D419" s="12"/>
      <c r="E419" s="12"/>
      <c r="F419" s="13"/>
      <c r="G419" s="14" t="str">
        <f aca="false">IF(F419&lt;&gt;"",IF(AND(ISNUMBER(F419),N(F419)&gt;=0),F419,""),IF(AND(ISNUMBER(D419),ISNUMBER(E419)),ROUND(MOD(E419-D419,1)*1440,0),""))</f>
        <v/>
      </c>
      <c r="H419" s="9"/>
      <c r="I419" s="10" t="str">
        <f aca="false">IF(H419="","",IF(SUMPRODUCT(MAX((Setup!$D$5:$D$34=H419)*(35-ROW(Setup!$D$5:$D$34))))=0,"Not in Setup",INDEX(Setup!$E$5:$E$34,31-SUMPRODUCT(MAX((Setup!$D$5:$D$34=H419)*(35-ROW(Setup!$D$5:$D$34)))))))</f>
        <v/>
      </c>
      <c r="J419" s="9"/>
      <c r="K419" s="10" t="str">
        <f aca="false">IF(AND(A419="",C419="",D419="",E419="",F419="",H419=""),"",IF(NOT(ISNUMBER(A419)),"Enter a date",IF(AND(F419&lt;&gt;"",OR(NOT(ISNUMBER(F419)),N(F419)&lt;0)),"Minutes must be a number of 0 or more",IF(G419="","Enter start and end times, or minutes",IF(C419="","Pick a machine",IF(SUMPRODUCT(--(Setup!$A$5:$A$34=C419))=0,"Machine not in Setup",IF(H419="","Pick a reason (counted as unclassified)",IF(I419="Not in Setup","Reason not in Setup (counted as unclassified)",IF(N(G419)=0,"0 minutes: not counted as a stop","OK")))))))))</f>
        <v/>
      </c>
    </row>
    <row r="420" customFormat="false" ht="15" hidden="false" customHeight="false" outlineLevel="0" collapsed="false">
      <c r="A420" s="11"/>
      <c r="B420" s="9"/>
      <c r="C420" s="9"/>
      <c r="D420" s="12"/>
      <c r="E420" s="12"/>
      <c r="F420" s="13"/>
      <c r="G420" s="14" t="str">
        <f aca="false">IF(F420&lt;&gt;"",IF(AND(ISNUMBER(F420),N(F420)&gt;=0),F420,""),IF(AND(ISNUMBER(D420),ISNUMBER(E420)),ROUND(MOD(E420-D420,1)*1440,0),""))</f>
        <v/>
      </c>
      <c r="H420" s="9"/>
      <c r="I420" s="10" t="str">
        <f aca="false">IF(H420="","",IF(SUMPRODUCT(MAX((Setup!$D$5:$D$34=H420)*(35-ROW(Setup!$D$5:$D$34))))=0,"Not in Setup",INDEX(Setup!$E$5:$E$34,31-SUMPRODUCT(MAX((Setup!$D$5:$D$34=H420)*(35-ROW(Setup!$D$5:$D$34)))))))</f>
        <v/>
      </c>
      <c r="J420" s="9"/>
      <c r="K420" s="10" t="str">
        <f aca="false">IF(AND(A420="",C420="",D420="",E420="",F420="",H420=""),"",IF(NOT(ISNUMBER(A420)),"Enter a date",IF(AND(F420&lt;&gt;"",OR(NOT(ISNUMBER(F420)),N(F420)&lt;0)),"Minutes must be a number of 0 or more",IF(G420="","Enter start and end times, or minutes",IF(C420="","Pick a machine",IF(SUMPRODUCT(--(Setup!$A$5:$A$34=C420))=0,"Machine not in Setup",IF(H420="","Pick a reason (counted as unclassified)",IF(I420="Not in Setup","Reason not in Setup (counted as unclassified)",IF(N(G420)=0,"0 minutes: not counted as a stop","OK")))))))))</f>
        <v/>
      </c>
    </row>
    <row r="421" customFormat="false" ht="15" hidden="false" customHeight="false" outlineLevel="0" collapsed="false">
      <c r="A421" s="11"/>
      <c r="B421" s="9"/>
      <c r="C421" s="9"/>
      <c r="D421" s="12"/>
      <c r="E421" s="12"/>
      <c r="F421" s="13"/>
      <c r="G421" s="14" t="str">
        <f aca="false">IF(F421&lt;&gt;"",IF(AND(ISNUMBER(F421),N(F421)&gt;=0),F421,""),IF(AND(ISNUMBER(D421),ISNUMBER(E421)),ROUND(MOD(E421-D421,1)*1440,0),""))</f>
        <v/>
      </c>
      <c r="H421" s="9"/>
      <c r="I421" s="10" t="str">
        <f aca="false">IF(H421="","",IF(SUMPRODUCT(MAX((Setup!$D$5:$D$34=H421)*(35-ROW(Setup!$D$5:$D$34))))=0,"Not in Setup",INDEX(Setup!$E$5:$E$34,31-SUMPRODUCT(MAX((Setup!$D$5:$D$34=H421)*(35-ROW(Setup!$D$5:$D$34)))))))</f>
        <v/>
      </c>
      <c r="J421" s="9"/>
      <c r="K421" s="10" t="str">
        <f aca="false">IF(AND(A421="",C421="",D421="",E421="",F421="",H421=""),"",IF(NOT(ISNUMBER(A421)),"Enter a date",IF(AND(F421&lt;&gt;"",OR(NOT(ISNUMBER(F421)),N(F421)&lt;0)),"Minutes must be a number of 0 or more",IF(G421="","Enter start and end times, or minutes",IF(C421="","Pick a machine",IF(SUMPRODUCT(--(Setup!$A$5:$A$34=C421))=0,"Machine not in Setup",IF(H421="","Pick a reason (counted as unclassified)",IF(I421="Not in Setup","Reason not in Setup (counted as unclassified)",IF(N(G421)=0,"0 minutes: not counted as a stop","OK")))))))))</f>
        <v/>
      </c>
    </row>
    <row r="422" customFormat="false" ht="15" hidden="false" customHeight="false" outlineLevel="0" collapsed="false">
      <c r="A422" s="11"/>
      <c r="B422" s="9"/>
      <c r="C422" s="9"/>
      <c r="D422" s="12"/>
      <c r="E422" s="12"/>
      <c r="F422" s="13"/>
      <c r="G422" s="14" t="str">
        <f aca="false">IF(F422&lt;&gt;"",IF(AND(ISNUMBER(F422),N(F422)&gt;=0),F422,""),IF(AND(ISNUMBER(D422),ISNUMBER(E422)),ROUND(MOD(E422-D422,1)*1440,0),""))</f>
        <v/>
      </c>
      <c r="H422" s="9"/>
      <c r="I422" s="10" t="str">
        <f aca="false">IF(H422="","",IF(SUMPRODUCT(MAX((Setup!$D$5:$D$34=H422)*(35-ROW(Setup!$D$5:$D$34))))=0,"Not in Setup",INDEX(Setup!$E$5:$E$34,31-SUMPRODUCT(MAX((Setup!$D$5:$D$34=H422)*(35-ROW(Setup!$D$5:$D$34)))))))</f>
        <v/>
      </c>
      <c r="J422" s="9"/>
      <c r="K422" s="10" t="str">
        <f aca="false">IF(AND(A422="",C422="",D422="",E422="",F422="",H422=""),"",IF(NOT(ISNUMBER(A422)),"Enter a date",IF(AND(F422&lt;&gt;"",OR(NOT(ISNUMBER(F422)),N(F422)&lt;0)),"Minutes must be a number of 0 or more",IF(G422="","Enter start and end times, or minutes",IF(C422="","Pick a machine",IF(SUMPRODUCT(--(Setup!$A$5:$A$34=C422))=0,"Machine not in Setup",IF(H422="","Pick a reason (counted as unclassified)",IF(I422="Not in Setup","Reason not in Setup (counted as unclassified)",IF(N(G422)=0,"0 minutes: not counted as a stop","OK")))))))))</f>
        <v/>
      </c>
    </row>
    <row r="423" customFormat="false" ht="15" hidden="false" customHeight="false" outlineLevel="0" collapsed="false">
      <c r="A423" s="11"/>
      <c r="B423" s="9"/>
      <c r="C423" s="9"/>
      <c r="D423" s="12"/>
      <c r="E423" s="12"/>
      <c r="F423" s="13"/>
      <c r="G423" s="14" t="str">
        <f aca="false">IF(F423&lt;&gt;"",IF(AND(ISNUMBER(F423),N(F423)&gt;=0),F423,""),IF(AND(ISNUMBER(D423),ISNUMBER(E423)),ROUND(MOD(E423-D423,1)*1440,0),""))</f>
        <v/>
      </c>
      <c r="H423" s="9"/>
      <c r="I423" s="10" t="str">
        <f aca="false">IF(H423="","",IF(SUMPRODUCT(MAX((Setup!$D$5:$D$34=H423)*(35-ROW(Setup!$D$5:$D$34))))=0,"Not in Setup",INDEX(Setup!$E$5:$E$34,31-SUMPRODUCT(MAX((Setup!$D$5:$D$34=H423)*(35-ROW(Setup!$D$5:$D$34)))))))</f>
        <v/>
      </c>
      <c r="J423" s="9"/>
      <c r="K423" s="10" t="str">
        <f aca="false">IF(AND(A423="",C423="",D423="",E423="",F423="",H423=""),"",IF(NOT(ISNUMBER(A423)),"Enter a date",IF(AND(F423&lt;&gt;"",OR(NOT(ISNUMBER(F423)),N(F423)&lt;0)),"Minutes must be a number of 0 or more",IF(G423="","Enter start and end times, or minutes",IF(C423="","Pick a machine",IF(SUMPRODUCT(--(Setup!$A$5:$A$34=C423))=0,"Machine not in Setup",IF(H423="","Pick a reason (counted as unclassified)",IF(I423="Not in Setup","Reason not in Setup (counted as unclassified)",IF(N(G423)=0,"0 minutes: not counted as a stop","OK")))))))))</f>
        <v/>
      </c>
    </row>
    <row r="424" customFormat="false" ht="15" hidden="false" customHeight="false" outlineLevel="0" collapsed="false">
      <c r="A424" s="11"/>
      <c r="B424" s="9"/>
      <c r="C424" s="9"/>
      <c r="D424" s="12"/>
      <c r="E424" s="12"/>
      <c r="F424" s="13"/>
      <c r="G424" s="14" t="str">
        <f aca="false">IF(F424&lt;&gt;"",IF(AND(ISNUMBER(F424),N(F424)&gt;=0),F424,""),IF(AND(ISNUMBER(D424),ISNUMBER(E424)),ROUND(MOD(E424-D424,1)*1440,0),""))</f>
        <v/>
      </c>
      <c r="H424" s="9"/>
      <c r="I424" s="10" t="str">
        <f aca="false">IF(H424="","",IF(SUMPRODUCT(MAX((Setup!$D$5:$D$34=H424)*(35-ROW(Setup!$D$5:$D$34))))=0,"Not in Setup",INDEX(Setup!$E$5:$E$34,31-SUMPRODUCT(MAX((Setup!$D$5:$D$34=H424)*(35-ROW(Setup!$D$5:$D$34)))))))</f>
        <v/>
      </c>
      <c r="J424" s="9"/>
      <c r="K424" s="10" t="str">
        <f aca="false">IF(AND(A424="",C424="",D424="",E424="",F424="",H424=""),"",IF(NOT(ISNUMBER(A424)),"Enter a date",IF(AND(F424&lt;&gt;"",OR(NOT(ISNUMBER(F424)),N(F424)&lt;0)),"Minutes must be a number of 0 or more",IF(G424="","Enter start and end times, or minutes",IF(C424="","Pick a machine",IF(SUMPRODUCT(--(Setup!$A$5:$A$34=C424))=0,"Machine not in Setup",IF(H424="","Pick a reason (counted as unclassified)",IF(I424="Not in Setup","Reason not in Setup (counted as unclassified)",IF(N(G424)=0,"0 minutes: not counted as a stop","OK")))))))))</f>
        <v/>
      </c>
    </row>
    <row r="425" customFormat="false" ht="15" hidden="false" customHeight="false" outlineLevel="0" collapsed="false">
      <c r="A425" s="11"/>
      <c r="B425" s="9"/>
      <c r="C425" s="9"/>
      <c r="D425" s="12"/>
      <c r="E425" s="12"/>
      <c r="F425" s="13"/>
      <c r="G425" s="14" t="str">
        <f aca="false">IF(F425&lt;&gt;"",IF(AND(ISNUMBER(F425),N(F425)&gt;=0),F425,""),IF(AND(ISNUMBER(D425),ISNUMBER(E425)),ROUND(MOD(E425-D425,1)*1440,0),""))</f>
        <v/>
      </c>
      <c r="H425" s="9"/>
      <c r="I425" s="10" t="str">
        <f aca="false">IF(H425="","",IF(SUMPRODUCT(MAX((Setup!$D$5:$D$34=H425)*(35-ROW(Setup!$D$5:$D$34))))=0,"Not in Setup",INDEX(Setup!$E$5:$E$34,31-SUMPRODUCT(MAX((Setup!$D$5:$D$34=H425)*(35-ROW(Setup!$D$5:$D$34)))))))</f>
        <v/>
      </c>
      <c r="J425" s="9"/>
      <c r="K425" s="10" t="str">
        <f aca="false">IF(AND(A425="",C425="",D425="",E425="",F425="",H425=""),"",IF(NOT(ISNUMBER(A425)),"Enter a date",IF(AND(F425&lt;&gt;"",OR(NOT(ISNUMBER(F425)),N(F425)&lt;0)),"Minutes must be a number of 0 or more",IF(G425="","Enter start and end times, or minutes",IF(C425="","Pick a machine",IF(SUMPRODUCT(--(Setup!$A$5:$A$34=C425))=0,"Machine not in Setup",IF(H425="","Pick a reason (counted as unclassified)",IF(I425="Not in Setup","Reason not in Setup (counted as unclassified)",IF(N(G425)=0,"0 minutes: not counted as a stop","OK")))))))))</f>
        <v/>
      </c>
    </row>
    <row r="426" customFormat="false" ht="15" hidden="false" customHeight="false" outlineLevel="0" collapsed="false">
      <c r="A426" s="11"/>
      <c r="B426" s="9"/>
      <c r="C426" s="9"/>
      <c r="D426" s="12"/>
      <c r="E426" s="12"/>
      <c r="F426" s="13"/>
      <c r="G426" s="14" t="str">
        <f aca="false">IF(F426&lt;&gt;"",IF(AND(ISNUMBER(F426),N(F426)&gt;=0),F426,""),IF(AND(ISNUMBER(D426),ISNUMBER(E426)),ROUND(MOD(E426-D426,1)*1440,0),""))</f>
        <v/>
      </c>
      <c r="H426" s="9"/>
      <c r="I426" s="10" t="str">
        <f aca="false">IF(H426="","",IF(SUMPRODUCT(MAX((Setup!$D$5:$D$34=H426)*(35-ROW(Setup!$D$5:$D$34))))=0,"Not in Setup",INDEX(Setup!$E$5:$E$34,31-SUMPRODUCT(MAX((Setup!$D$5:$D$34=H426)*(35-ROW(Setup!$D$5:$D$34)))))))</f>
        <v/>
      </c>
      <c r="J426" s="9"/>
      <c r="K426" s="10" t="str">
        <f aca="false">IF(AND(A426="",C426="",D426="",E426="",F426="",H426=""),"",IF(NOT(ISNUMBER(A426)),"Enter a date",IF(AND(F426&lt;&gt;"",OR(NOT(ISNUMBER(F426)),N(F426)&lt;0)),"Minutes must be a number of 0 or more",IF(G426="","Enter start and end times, or minutes",IF(C426="","Pick a machine",IF(SUMPRODUCT(--(Setup!$A$5:$A$34=C426))=0,"Machine not in Setup",IF(H426="","Pick a reason (counted as unclassified)",IF(I426="Not in Setup","Reason not in Setup (counted as unclassified)",IF(N(G426)=0,"0 minutes: not counted as a stop","OK")))))))))</f>
        <v/>
      </c>
    </row>
    <row r="427" customFormat="false" ht="15" hidden="false" customHeight="false" outlineLevel="0" collapsed="false">
      <c r="A427" s="11"/>
      <c r="B427" s="9"/>
      <c r="C427" s="9"/>
      <c r="D427" s="12"/>
      <c r="E427" s="12"/>
      <c r="F427" s="13"/>
      <c r="G427" s="14" t="str">
        <f aca="false">IF(F427&lt;&gt;"",IF(AND(ISNUMBER(F427),N(F427)&gt;=0),F427,""),IF(AND(ISNUMBER(D427),ISNUMBER(E427)),ROUND(MOD(E427-D427,1)*1440,0),""))</f>
        <v/>
      </c>
      <c r="H427" s="9"/>
      <c r="I427" s="10" t="str">
        <f aca="false">IF(H427="","",IF(SUMPRODUCT(MAX((Setup!$D$5:$D$34=H427)*(35-ROW(Setup!$D$5:$D$34))))=0,"Not in Setup",INDEX(Setup!$E$5:$E$34,31-SUMPRODUCT(MAX((Setup!$D$5:$D$34=H427)*(35-ROW(Setup!$D$5:$D$34)))))))</f>
        <v/>
      </c>
      <c r="J427" s="9"/>
      <c r="K427" s="10" t="str">
        <f aca="false">IF(AND(A427="",C427="",D427="",E427="",F427="",H427=""),"",IF(NOT(ISNUMBER(A427)),"Enter a date",IF(AND(F427&lt;&gt;"",OR(NOT(ISNUMBER(F427)),N(F427)&lt;0)),"Minutes must be a number of 0 or more",IF(G427="","Enter start and end times, or minutes",IF(C427="","Pick a machine",IF(SUMPRODUCT(--(Setup!$A$5:$A$34=C427))=0,"Machine not in Setup",IF(H427="","Pick a reason (counted as unclassified)",IF(I427="Not in Setup","Reason not in Setup (counted as unclassified)",IF(N(G427)=0,"0 minutes: not counted as a stop","OK")))))))))</f>
        <v/>
      </c>
    </row>
    <row r="428" customFormat="false" ht="15" hidden="false" customHeight="false" outlineLevel="0" collapsed="false">
      <c r="A428" s="11"/>
      <c r="B428" s="9"/>
      <c r="C428" s="9"/>
      <c r="D428" s="12"/>
      <c r="E428" s="12"/>
      <c r="F428" s="13"/>
      <c r="G428" s="14" t="str">
        <f aca="false">IF(F428&lt;&gt;"",IF(AND(ISNUMBER(F428),N(F428)&gt;=0),F428,""),IF(AND(ISNUMBER(D428),ISNUMBER(E428)),ROUND(MOD(E428-D428,1)*1440,0),""))</f>
        <v/>
      </c>
      <c r="H428" s="9"/>
      <c r="I428" s="10" t="str">
        <f aca="false">IF(H428="","",IF(SUMPRODUCT(MAX((Setup!$D$5:$D$34=H428)*(35-ROW(Setup!$D$5:$D$34))))=0,"Not in Setup",INDEX(Setup!$E$5:$E$34,31-SUMPRODUCT(MAX((Setup!$D$5:$D$34=H428)*(35-ROW(Setup!$D$5:$D$34)))))))</f>
        <v/>
      </c>
      <c r="J428" s="9"/>
      <c r="K428" s="10" t="str">
        <f aca="false">IF(AND(A428="",C428="",D428="",E428="",F428="",H428=""),"",IF(NOT(ISNUMBER(A428)),"Enter a date",IF(AND(F428&lt;&gt;"",OR(NOT(ISNUMBER(F428)),N(F428)&lt;0)),"Minutes must be a number of 0 or more",IF(G428="","Enter start and end times, or minutes",IF(C428="","Pick a machine",IF(SUMPRODUCT(--(Setup!$A$5:$A$34=C428))=0,"Machine not in Setup",IF(H428="","Pick a reason (counted as unclassified)",IF(I428="Not in Setup","Reason not in Setup (counted as unclassified)",IF(N(G428)=0,"0 minutes: not counted as a stop","OK")))))))))</f>
        <v/>
      </c>
    </row>
    <row r="429" customFormat="false" ht="15" hidden="false" customHeight="false" outlineLevel="0" collapsed="false">
      <c r="A429" s="11"/>
      <c r="B429" s="9"/>
      <c r="C429" s="9"/>
      <c r="D429" s="12"/>
      <c r="E429" s="12"/>
      <c r="F429" s="13"/>
      <c r="G429" s="14" t="str">
        <f aca="false">IF(F429&lt;&gt;"",IF(AND(ISNUMBER(F429),N(F429)&gt;=0),F429,""),IF(AND(ISNUMBER(D429),ISNUMBER(E429)),ROUND(MOD(E429-D429,1)*1440,0),""))</f>
        <v/>
      </c>
      <c r="H429" s="9"/>
      <c r="I429" s="10" t="str">
        <f aca="false">IF(H429="","",IF(SUMPRODUCT(MAX((Setup!$D$5:$D$34=H429)*(35-ROW(Setup!$D$5:$D$34))))=0,"Not in Setup",INDEX(Setup!$E$5:$E$34,31-SUMPRODUCT(MAX((Setup!$D$5:$D$34=H429)*(35-ROW(Setup!$D$5:$D$34)))))))</f>
        <v/>
      </c>
      <c r="J429" s="9"/>
      <c r="K429" s="10" t="str">
        <f aca="false">IF(AND(A429="",C429="",D429="",E429="",F429="",H429=""),"",IF(NOT(ISNUMBER(A429)),"Enter a date",IF(AND(F429&lt;&gt;"",OR(NOT(ISNUMBER(F429)),N(F429)&lt;0)),"Minutes must be a number of 0 or more",IF(G429="","Enter start and end times, or minutes",IF(C429="","Pick a machine",IF(SUMPRODUCT(--(Setup!$A$5:$A$34=C429))=0,"Machine not in Setup",IF(H429="","Pick a reason (counted as unclassified)",IF(I429="Not in Setup","Reason not in Setup (counted as unclassified)",IF(N(G429)=0,"0 minutes: not counted as a stop","OK")))))))))</f>
        <v/>
      </c>
    </row>
    <row r="430" customFormat="false" ht="15" hidden="false" customHeight="false" outlineLevel="0" collapsed="false">
      <c r="A430" s="11"/>
      <c r="B430" s="9"/>
      <c r="C430" s="9"/>
      <c r="D430" s="12"/>
      <c r="E430" s="12"/>
      <c r="F430" s="13"/>
      <c r="G430" s="14" t="str">
        <f aca="false">IF(F430&lt;&gt;"",IF(AND(ISNUMBER(F430),N(F430)&gt;=0),F430,""),IF(AND(ISNUMBER(D430),ISNUMBER(E430)),ROUND(MOD(E430-D430,1)*1440,0),""))</f>
        <v/>
      </c>
      <c r="H430" s="9"/>
      <c r="I430" s="10" t="str">
        <f aca="false">IF(H430="","",IF(SUMPRODUCT(MAX((Setup!$D$5:$D$34=H430)*(35-ROW(Setup!$D$5:$D$34))))=0,"Not in Setup",INDEX(Setup!$E$5:$E$34,31-SUMPRODUCT(MAX((Setup!$D$5:$D$34=H430)*(35-ROW(Setup!$D$5:$D$34)))))))</f>
        <v/>
      </c>
      <c r="J430" s="9"/>
      <c r="K430" s="10" t="str">
        <f aca="false">IF(AND(A430="",C430="",D430="",E430="",F430="",H430=""),"",IF(NOT(ISNUMBER(A430)),"Enter a date",IF(AND(F430&lt;&gt;"",OR(NOT(ISNUMBER(F430)),N(F430)&lt;0)),"Minutes must be a number of 0 or more",IF(G430="","Enter start and end times, or minutes",IF(C430="","Pick a machine",IF(SUMPRODUCT(--(Setup!$A$5:$A$34=C430))=0,"Machine not in Setup",IF(H430="","Pick a reason (counted as unclassified)",IF(I430="Not in Setup","Reason not in Setup (counted as unclassified)",IF(N(G430)=0,"0 minutes: not counted as a stop","OK")))))))))</f>
        <v/>
      </c>
    </row>
    <row r="431" customFormat="false" ht="15" hidden="false" customHeight="false" outlineLevel="0" collapsed="false">
      <c r="A431" s="11"/>
      <c r="B431" s="9"/>
      <c r="C431" s="9"/>
      <c r="D431" s="12"/>
      <c r="E431" s="12"/>
      <c r="F431" s="13"/>
      <c r="G431" s="14" t="str">
        <f aca="false">IF(F431&lt;&gt;"",IF(AND(ISNUMBER(F431),N(F431)&gt;=0),F431,""),IF(AND(ISNUMBER(D431),ISNUMBER(E431)),ROUND(MOD(E431-D431,1)*1440,0),""))</f>
        <v/>
      </c>
      <c r="H431" s="9"/>
      <c r="I431" s="10" t="str">
        <f aca="false">IF(H431="","",IF(SUMPRODUCT(MAX((Setup!$D$5:$D$34=H431)*(35-ROW(Setup!$D$5:$D$34))))=0,"Not in Setup",INDEX(Setup!$E$5:$E$34,31-SUMPRODUCT(MAX((Setup!$D$5:$D$34=H431)*(35-ROW(Setup!$D$5:$D$34)))))))</f>
        <v/>
      </c>
      <c r="J431" s="9"/>
      <c r="K431" s="10" t="str">
        <f aca="false">IF(AND(A431="",C431="",D431="",E431="",F431="",H431=""),"",IF(NOT(ISNUMBER(A431)),"Enter a date",IF(AND(F431&lt;&gt;"",OR(NOT(ISNUMBER(F431)),N(F431)&lt;0)),"Minutes must be a number of 0 or more",IF(G431="","Enter start and end times, or minutes",IF(C431="","Pick a machine",IF(SUMPRODUCT(--(Setup!$A$5:$A$34=C431))=0,"Machine not in Setup",IF(H431="","Pick a reason (counted as unclassified)",IF(I431="Not in Setup","Reason not in Setup (counted as unclassified)",IF(N(G431)=0,"0 minutes: not counted as a stop","OK")))))))))</f>
        <v/>
      </c>
    </row>
    <row r="432" customFormat="false" ht="15" hidden="false" customHeight="false" outlineLevel="0" collapsed="false">
      <c r="A432" s="11"/>
      <c r="B432" s="9"/>
      <c r="C432" s="9"/>
      <c r="D432" s="12"/>
      <c r="E432" s="12"/>
      <c r="F432" s="13"/>
      <c r="G432" s="14" t="str">
        <f aca="false">IF(F432&lt;&gt;"",IF(AND(ISNUMBER(F432),N(F432)&gt;=0),F432,""),IF(AND(ISNUMBER(D432),ISNUMBER(E432)),ROUND(MOD(E432-D432,1)*1440,0),""))</f>
        <v/>
      </c>
      <c r="H432" s="9"/>
      <c r="I432" s="10" t="str">
        <f aca="false">IF(H432="","",IF(SUMPRODUCT(MAX((Setup!$D$5:$D$34=H432)*(35-ROW(Setup!$D$5:$D$34))))=0,"Not in Setup",INDEX(Setup!$E$5:$E$34,31-SUMPRODUCT(MAX((Setup!$D$5:$D$34=H432)*(35-ROW(Setup!$D$5:$D$34)))))))</f>
        <v/>
      </c>
      <c r="J432" s="9"/>
      <c r="K432" s="10" t="str">
        <f aca="false">IF(AND(A432="",C432="",D432="",E432="",F432="",H432=""),"",IF(NOT(ISNUMBER(A432)),"Enter a date",IF(AND(F432&lt;&gt;"",OR(NOT(ISNUMBER(F432)),N(F432)&lt;0)),"Minutes must be a number of 0 or more",IF(G432="","Enter start and end times, or minutes",IF(C432="","Pick a machine",IF(SUMPRODUCT(--(Setup!$A$5:$A$34=C432))=0,"Machine not in Setup",IF(H432="","Pick a reason (counted as unclassified)",IF(I432="Not in Setup","Reason not in Setup (counted as unclassified)",IF(N(G432)=0,"0 minutes: not counted as a stop","OK")))))))))</f>
        <v/>
      </c>
    </row>
    <row r="433" customFormat="false" ht="15" hidden="false" customHeight="false" outlineLevel="0" collapsed="false">
      <c r="A433" s="11"/>
      <c r="B433" s="9"/>
      <c r="C433" s="9"/>
      <c r="D433" s="12"/>
      <c r="E433" s="12"/>
      <c r="F433" s="13"/>
      <c r="G433" s="14" t="str">
        <f aca="false">IF(F433&lt;&gt;"",IF(AND(ISNUMBER(F433),N(F433)&gt;=0),F433,""),IF(AND(ISNUMBER(D433),ISNUMBER(E433)),ROUND(MOD(E433-D433,1)*1440,0),""))</f>
        <v/>
      </c>
      <c r="H433" s="9"/>
      <c r="I433" s="10" t="str">
        <f aca="false">IF(H433="","",IF(SUMPRODUCT(MAX((Setup!$D$5:$D$34=H433)*(35-ROW(Setup!$D$5:$D$34))))=0,"Not in Setup",INDEX(Setup!$E$5:$E$34,31-SUMPRODUCT(MAX((Setup!$D$5:$D$34=H433)*(35-ROW(Setup!$D$5:$D$34)))))))</f>
        <v/>
      </c>
      <c r="J433" s="9"/>
      <c r="K433" s="10" t="str">
        <f aca="false">IF(AND(A433="",C433="",D433="",E433="",F433="",H433=""),"",IF(NOT(ISNUMBER(A433)),"Enter a date",IF(AND(F433&lt;&gt;"",OR(NOT(ISNUMBER(F433)),N(F433)&lt;0)),"Minutes must be a number of 0 or more",IF(G433="","Enter start and end times, or minutes",IF(C433="","Pick a machine",IF(SUMPRODUCT(--(Setup!$A$5:$A$34=C433))=0,"Machine not in Setup",IF(H433="","Pick a reason (counted as unclassified)",IF(I433="Not in Setup","Reason not in Setup (counted as unclassified)",IF(N(G433)=0,"0 minutes: not counted as a stop","OK")))))))))</f>
        <v/>
      </c>
    </row>
    <row r="434" customFormat="false" ht="15" hidden="false" customHeight="false" outlineLevel="0" collapsed="false">
      <c r="A434" s="11"/>
      <c r="B434" s="9"/>
      <c r="C434" s="9"/>
      <c r="D434" s="12"/>
      <c r="E434" s="12"/>
      <c r="F434" s="13"/>
      <c r="G434" s="14" t="str">
        <f aca="false">IF(F434&lt;&gt;"",IF(AND(ISNUMBER(F434),N(F434)&gt;=0),F434,""),IF(AND(ISNUMBER(D434),ISNUMBER(E434)),ROUND(MOD(E434-D434,1)*1440,0),""))</f>
        <v/>
      </c>
      <c r="H434" s="9"/>
      <c r="I434" s="10" t="str">
        <f aca="false">IF(H434="","",IF(SUMPRODUCT(MAX((Setup!$D$5:$D$34=H434)*(35-ROW(Setup!$D$5:$D$34))))=0,"Not in Setup",INDEX(Setup!$E$5:$E$34,31-SUMPRODUCT(MAX((Setup!$D$5:$D$34=H434)*(35-ROW(Setup!$D$5:$D$34)))))))</f>
        <v/>
      </c>
      <c r="J434" s="9"/>
      <c r="K434" s="10" t="str">
        <f aca="false">IF(AND(A434="",C434="",D434="",E434="",F434="",H434=""),"",IF(NOT(ISNUMBER(A434)),"Enter a date",IF(AND(F434&lt;&gt;"",OR(NOT(ISNUMBER(F434)),N(F434)&lt;0)),"Minutes must be a number of 0 or more",IF(G434="","Enter start and end times, or minutes",IF(C434="","Pick a machine",IF(SUMPRODUCT(--(Setup!$A$5:$A$34=C434))=0,"Machine not in Setup",IF(H434="","Pick a reason (counted as unclassified)",IF(I434="Not in Setup","Reason not in Setup (counted as unclassified)",IF(N(G434)=0,"0 minutes: not counted as a stop","OK")))))))))</f>
        <v/>
      </c>
    </row>
    <row r="435" customFormat="false" ht="15" hidden="false" customHeight="false" outlineLevel="0" collapsed="false">
      <c r="A435" s="11"/>
      <c r="B435" s="9"/>
      <c r="C435" s="9"/>
      <c r="D435" s="12"/>
      <c r="E435" s="12"/>
      <c r="F435" s="13"/>
      <c r="G435" s="14" t="str">
        <f aca="false">IF(F435&lt;&gt;"",IF(AND(ISNUMBER(F435),N(F435)&gt;=0),F435,""),IF(AND(ISNUMBER(D435),ISNUMBER(E435)),ROUND(MOD(E435-D435,1)*1440,0),""))</f>
        <v/>
      </c>
      <c r="H435" s="9"/>
      <c r="I435" s="10" t="str">
        <f aca="false">IF(H435="","",IF(SUMPRODUCT(MAX((Setup!$D$5:$D$34=H435)*(35-ROW(Setup!$D$5:$D$34))))=0,"Not in Setup",INDEX(Setup!$E$5:$E$34,31-SUMPRODUCT(MAX((Setup!$D$5:$D$34=H435)*(35-ROW(Setup!$D$5:$D$34)))))))</f>
        <v/>
      </c>
      <c r="J435" s="9"/>
      <c r="K435" s="10" t="str">
        <f aca="false">IF(AND(A435="",C435="",D435="",E435="",F435="",H435=""),"",IF(NOT(ISNUMBER(A435)),"Enter a date",IF(AND(F435&lt;&gt;"",OR(NOT(ISNUMBER(F435)),N(F435)&lt;0)),"Minutes must be a number of 0 or more",IF(G435="","Enter start and end times, or minutes",IF(C435="","Pick a machine",IF(SUMPRODUCT(--(Setup!$A$5:$A$34=C435))=0,"Machine not in Setup",IF(H435="","Pick a reason (counted as unclassified)",IF(I435="Not in Setup","Reason not in Setup (counted as unclassified)",IF(N(G435)=0,"0 minutes: not counted as a stop","OK")))))))))</f>
        <v/>
      </c>
    </row>
    <row r="436" customFormat="false" ht="15" hidden="false" customHeight="false" outlineLevel="0" collapsed="false">
      <c r="A436" s="11"/>
      <c r="B436" s="9"/>
      <c r="C436" s="9"/>
      <c r="D436" s="12"/>
      <c r="E436" s="12"/>
      <c r="F436" s="13"/>
      <c r="G436" s="14" t="str">
        <f aca="false">IF(F436&lt;&gt;"",IF(AND(ISNUMBER(F436),N(F436)&gt;=0),F436,""),IF(AND(ISNUMBER(D436),ISNUMBER(E436)),ROUND(MOD(E436-D436,1)*1440,0),""))</f>
        <v/>
      </c>
      <c r="H436" s="9"/>
      <c r="I436" s="10" t="str">
        <f aca="false">IF(H436="","",IF(SUMPRODUCT(MAX((Setup!$D$5:$D$34=H436)*(35-ROW(Setup!$D$5:$D$34))))=0,"Not in Setup",INDEX(Setup!$E$5:$E$34,31-SUMPRODUCT(MAX((Setup!$D$5:$D$34=H436)*(35-ROW(Setup!$D$5:$D$34)))))))</f>
        <v/>
      </c>
      <c r="J436" s="9"/>
      <c r="K436" s="10" t="str">
        <f aca="false">IF(AND(A436="",C436="",D436="",E436="",F436="",H436=""),"",IF(NOT(ISNUMBER(A436)),"Enter a date",IF(AND(F436&lt;&gt;"",OR(NOT(ISNUMBER(F436)),N(F436)&lt;0)),"Minutes must be a number of 0 or more",IF(G436="","Enter start and end times, or minutes",IF(C436="","Pick a machine",IF(SUMPRODUCT(--(Setup!$A$5:$A$34=C436))=0,"Machine not in Setup",IF(H436="","Pick a reason (counted as unclassified)",IF(I436="Not in Setup","Reason not in Setup (counted as unclassified)",IF(N(G436)=0,"0 minutes: not counted as a stop","OK")))))))))</f>
        <v/>
      </c>
    </row>
    <row r="437" customFormat="false" ht="15" hidden="false" customHeight="false" outlineLevel="0" collapsed="false">
      <c r="A437" s="11"/>
      <c r="B437" s="9"/>
      <c r="C437" s="9"/>
      <c r="D437" s="12"/>
      <c r="E437" s="12"/>
      <c r="F437" s="13"/>
      <c r="G437" s="14" t="str">
        <f aca="false">IF(F437&lt;&gt;"",IF(AND(ISNUMBER(F437),N(F437)&gt;=0),F437,""),IF(AND(ISNUMBER(D437),ISNUMBER(E437)),ROUND(MOD(E437-D437,1)*1440,0),""))</f>
        <v/>
      </c>
      <c r="H437" s="9"/>
      <c r="I437" s="10" t="str">
        <f aca="false">IF(H437="","",IF(SUMPRODUCT(MAX((Setup!$D$5:$D$34=H437)*(35-ROW(Setup!$D$5:$D$34))))=0,"Not in Setup",INDEX(Setup!$E$5:$E$34,31-SUMPRODUCT(MAX((Setup!$D$5:$D$34=H437)*(35-ROW(Setup!$D$5:$D$34)))))))</f>
        <v/>
      </c>
      <c r="J437" s="9"/>
      <c r="K437" s="10" t="str">
        <f aca="false">IF(AND(A437="",C437="",D437="",E437="",F437="",H437=""),"",IF(NOT(ISNUMBER(A437)),"Enter a date",IF(AND(F437&lt;&gt;"",OR(NOT(ISNUMBER(F437)),N(F437)&lt;0)),"Minutes must be a number of 0 or more",IF(G437="","Enter start and end times, or minutes",IF(C437="","Pick a machine",IF(SUMPRODUCT(--(Setup!$A$5:$A$34=C437))=0,"Machine not in Setup",IF(H437="","Pick a reason (counted as unclassified)",IF(I437="Not in Setup","Reason not in Setup (counted as unclassified)",IF(N(G437)=0,"0 minutes: not counted as a stop","OK")))))))))</f>
        <v/>
      </c>
    </row>
    <row r="438" customFormat="false" ht="15" hidden="false" customHeight="false" outlineLevel="0" collapsed="false">
      <c r="A438" s="11"/>
      <c r="B438" s="9"/>
      <c r="C438" s="9"/>
      <c r="D438" s="12"/>
      <c r="E438" s="12"/>
      <c r="F438" s="13"/>
      <c r="G438" s="14" t="str">
        <f aca="false">IF(F438&lt;&gt;"",IF(AND(ISNUMBER(F438),N(F438)&gt;=0),F438,""),IF(AND(ISNUMBER(D438),ISNUMBER(E438)),ROUND(MOD(E438-D438,1)*1440,0),""))</f>
        <v/>
      </c>
      <c r="H438" s="9"/>
      <c r="I438" s="10" t="str">
        <f aca="false">IF(H438="","",IF(SUMPRODUCT(MAX((Setup!$D$5:$D$34=H438)*(35-ROW(Setup!$D$5:$D$34))))=0,"Not in Setup",INDEX(Setup!$E$5:$E$34,31-SUMPRODUCT(MAX((Setup!$D$5:$D$34=H438)*(35-ROW(Setup!$D$5:$D$34)))))))</f>
        <v/>
      </c>
      <c r="J438" s="9"/>
      <c r="K438" s="10" t="str">
        <f aca="false">IF(AND(A438="",C438="",D438="",E438="",F438="",H438=""),"",IF(NOT(ISNUMBER(A438)),"Enter a date",IF(AND(F438&lt;&gt;"",OR(NOT(ISNUMBER(F438)),N(F438)&lt;0)),"Minutes must be a number of 0 or more",IF(G438="","Enter start and end times, or minutes",IF(C438="","Pick a machine",IF(SUMPRODUCT(--(Setup!$A$5:$A$34=C438))=0,"Machine not in Setup",IF(H438="","Pick a reason (counted as unclassified)",IF(I438="Not in Setup","Reason not in Setup (counted as unclassified)",IF(N(G438)=0,"0 minutes: not counted as a stop","OK")))))))))</f>
        <v/>
      </c>
    </row>
    <row r="439" customFormat="false" ht="15" hidden="false" customHeight="false" outlineLevel="0" collapsed="false">
      <c r="A439" s="11"/>
      <c r="B439" s="9"/>
      <c r="C439" s="9"/>
      <c r="D439" s="12"/>
      <c r="E439" s="12"/>
      <c r="F439" s="13"/>
      <c r="G439" s="14" t="str">
        <f aca="false">IF(F439&lt;&gt;"",IF(AND(ISNUMBER(F439),N(F439)&gt;=0),F439,""),IF(AND(ISNUMBER(D439),ISNUMBER(E439)),ROUND(MOD(E439-D439,1)*1440,0),""))</f>
        <v/>
      </c>
      <c r="H439" s="9"/>
      <c r="I439" s="10" t="str">
        <f aca="false">IF(H439="","",IF(SUMPRODUCT(MAX((Setup!$D$5:$D$34=H439)*(35-ROW(Setup!$D$5:$D$34))))=0,"Not in Setup",INDEX(Setup!$E$5:$E$34,31-SUMPRODUCT(MAX((Setup!$D$5:$D$34=H439)*(35-ROW(Setup!$D$5:$D$34)))))))</f>
        <v/>
      </c>
      <c r="J439" s="9"/>
      <c r="K439" s="10" t="str">
        <f aca="false">IF(AND(A439="",C439="",D439="",E439="",F439="",H439=""),"",IF(NOT(ISNUMBER(A439)),"Enter a date",IF(AND(F439&lt;&gt;"",OR(NOT(ISNUMBER(F439)),N(F439)&lt;0)),"Minutes must be a number of 0 or more",IF(G439="","Enter start and end times, or minutes",IF(C439="","Pick a machine",IF(SUMPRODUCT(--(Setup!$A$5:$A$34=C439))=0,"Machine not in Setup",IF(H439="","Pick a reason (counted as unclassified)",IF(I439="Not in Setup","Reason not in Setup (counted as unclassified)",IF(N(G439)=0,"0 minutes: not counted as a stop","OK")))))))))</f>
        <v/>
      </c>
    </row>
    <row r="440" customFormat="false" ht="15" hidden="false" customHeight="false" outlineLevel="0" collapsed="false">
      <c r="A440" s="11"/>
      <c r="B440" s="9"/>
      <c r="C440" s="9"/>
      <c r="D440" s="12"/>
      <c r="E440" s="12"/>
      <c r="F440" s="13"/>
      <c r="G440" s="14" t="str">
        <f aca="false">IF(F440&lt;&gt;"",IF(AND(ISNUMBER(F440),N(F440)&gt;=0),F440,""),IF(AND(ISNUMBER(D440),ISNUMBER(E440)),ROUND(MOD(E440-D440,1)*1440,0),""))</f>
        <v/>
      </c>
      <c r="H440" s="9"/>
      <c r="I440" s="10" t="str">
        <f aca="false">IF(H440="","",IF(SUMPRODUCT(MAX((Setup!$D$5:$D$34=H440)*(35-ROW(Setup!$D$5:$D$34))))=0,"Not in Setup",INDEX(Setup!$E$5:$E$34,31-SUMPRODUCT(MAX((Setup!$D$5:$D$34=H440)*(35-ROW(Setup!$D$5:$D$34)))))))</f>
        <v/>
      </c>
      <c r="J440" s="9"/>
      <c r="K440" s="10" t="str">
        <f aca="false">IF(AND(A440="",C440="",D440="",E440="",F440="",H440=""),"",IF(NOT(ISNUMBER(A440)),"Enter a date",IF(AND(F440&lt;&gt;"",OR(NOT(ISNUMBER(F440)),N(F440)&lt;0)),"Minutes must be a number of 0 or more",IF(G440="","Enter start and end times, or minutes",IF(C440="","Pick a machine",IF(SUMPRODUCT(--(Setup!$A$5:$A$34=C440))=0,"Machine not in Setup",IF(H440="","Pick a reason (counted as unclassified)",IF(I440="Not in Setup","Reason not in Setup (counted as unclassified)",IF(N(G440)=0,"0 minutes: not counted as a stop","OK")))))))))</f>
        <v/>
      </c>
    </row>
    <row r="441" customFormat="false" ht="15" hidden="false" customHeight="false" outlineLevel="0" collapsed="false">
      <c r="A441" s="11"/>
      <c r="B441" s="9"/>
      <c r="C441" s="9"/>
      <c r="D441" s="12"/>
      <c r="E441" s="12"/>
      <c r="F441" s="13"/>
      <c r="G441" s="14" t="str">
        <f aca="false">IF(F441&lt;&gt;"",IF(AND(ISNUMBER(F441),N(F441)&gt;=0),F441,""),IF(AND(ISNUMBER(D441),ISNUMBER(E441)),ROUND(MOD(E441-D441,1)*1440,0),""))</f>
        <v/>
      </c>
      <c r="H441" s="9"/>
      <c r="I441" s="10" t="str">
        <f aca="false">IF(H441="","",IF(SUMPRODUCT(MAX((Setup!$D$5:$D$34=H441)*(35-ROW(Setup!$D$5:$D$34))))=0,"Not in Setup",INDEX(Setup!$E$5:$E$34,31-SUMPRODUCT(MAX((Setup!$D$5:$D$34=H441)*(35-ROW(Setup!$D$5:$D$34)))))))</f>
        <v/>
      </c>
      <c r="J441" s="9"/>
      <c r="K441" s="10" t="str">
        <f aca="false">IF(AND(A441="",C441="",D441="",E441="",F441="",H441=""),"",IF(NOT(ISNUMBER(A441)),"Enter a date",IF(AND(F441&lt;&gt;"",OR(NOT(ISNUMBER(F441)),N(F441)&lt;0)),"Minutes must be a number of 0 or more",IF(G441="","Enter start and end times, or minutes",IF(C441="","Pick a machine",IF(SUMPRODUCT(--(Setup!$A$5:$A$34=C441))=0,"Machine not in Setup",IF(H441="","Pick a reason (counted as unclassified)",IF(I441="Not in Setup","Reason not in Setup (counted as unclassified)",IF(N(G441)=0,"0 minutes: not counted as a stop","OK")))))))))</f>
        <v/>
      </c>
    </row>
    <row r="442" customFormat="false" ht="15" hidden="false" customHeight="false" outlineLevel="0" collapsed="false">
      <c r="A442" s="11"/>
      <c r="B442" s="9"/>
      <c r="C442" s="9"/>
      <c r="D442" s="12"/>
      <c r="E442" s="12"/>
      <c r="F442" s="13"/>
      <c r="G442" s="14" t="str">
        <f aca="false">IF(F442&lt;&gt;"",IF(AND(ISNUMBER(F442),N(F442)&gt;=0),F442,""),IF(AND(ISNUMBER(D442),ISNUMBER(E442)),ROUND(MOD(E442-D442,1)*1440,0),""))</f>
        <v/>
      </c>
      <c r="H442" s="9"/>
      <c r="I442" s="10" t="str">
        <f aca="false">IF(H442="","",IF(SUMPRODUCT(MAX((Setup!$D$5:$D$34=H442)*(35-ROW(Setup!$D$5:$D$34))))=0,"Not in Setup",INDEX(Setup!$E$5:$E$34,31-SUMPRODUCT(MAX((Setup!$D$5:$D$34=H442)*(35-ROW(Setup!$D$5:$D$34)))))))</f>
        <v/>
      </c>
      <c r="J442" s="9"/>
      <c r="K442" s="10" t="str">
        <f aca="false">IF(AND(A442="",C442="",D442="",E442="",F442="",H442=""),"",IF(NOT(ISNUMBER(A442)),"Enter a date",IF(AND(F442&lt;&gt;"",OR(NOT(ISNUMBER(F442)),N(F442)&lt;0)),"Minutes must be a number of 0 or more",IF(G442="","Enter start and end times, or minutes",IF(C442="","Pick a machine",IF(SUMPRODUCT(--(Setup!$A$5:$A$34=C442))=0,"Machine not in Setup",IF(H442="","Pick a reason (counted as unclassified)",IF(I442="Not in Setup","Reason not in Setup (counted as unclassified)",IF(N(G442)=0,"0 minutes: not counted as a stop","OK")))))))))</f>
        <v/>
      </c>
    </row>
    <row r="443" customFormat="false" ht="15" hidden="false" customHeight="false" outlineLevel="0" collapsed="false">
      <c r="A443" s="11"/>
      <c r="B443" s="9"/>
      <c r="C443" s="9"/>
      <c r="D443" s="12"/>
      <c r="E443" s="12"/>
      <c r="F443" s="13"/>
      <c r="G443" s="14" t="str">
        <f aca="false">IF(F443&lt;&gt;"",IF(AND(ISNUMBER(F443),N(F443)&gt;=0),F443,""),IF(AND(ISNUMBER(D443),ISNUMBER(E443)),ROUND(MOD(E443-D443,1)*1440,0),""))</f>
        <v/>
      </c>
      <c r="H443" s="9"/>
      <c r="I443" s="10" t="str">
        <f aca="false">IF(H443="","",IF(SUMPRODUCT(MAX((Setup!$D$5:$D$34=H443)*(35-ROW(Setup!$D$5:$D$34))))=0,"Not in Setup",INDEX(Setup!$E$5:$E$34,31-SUMPRODUCT(MAX((Setup!$D$5:$D$34=H443)*(35-ROW(Setup!$D$5:$D$34)))))))</f>
        <v/>
      </c>
      <c r="J443" s="9"/>
      <c r="K443" s="10" t="str">
        <f aca="false">IF(AND(A443="",C443="",D443="",E443="",F443="",H443=""),"",IF(NOT(ISNUMBER(A443)),"Enter a date",IF(AND(F443&lt;&gt;"",OR(NOT(ISNUMBER(F443)),N(F443)&lt;0)),"Minutes must be a number of 0 or more",IF(G443="","Enter start and end times, or minutes",IF(C443="","Pick a machine",IF(SUMPRODUCT(--(Setup!$A$5:$A$34=C443))=0,"Machine not in Setup",IF(H443="","Pick a reason (counted as unclassified)",IF(I443="Not in Setup","Reason not in Setup (counted as unclassified)",IF(N(G443)=0,"0 minutes: not counted as a stop","OK")))))))))</f>
        <v/>
      </c>
    </row>
    <row r="444" customFormat="false" ht="15" hidden="false" customHeight="false" outlineLevel="0" collapsed="false">
      <c r="A444" s="11"/>
      <c r="B444" s="9"/>
      <c r="C444" s="9"/>
      <c r="D444" s="12"/>
      <c r="E444" s="12"/>
      <c r="F444" s="13"/>
      <c r="G444" s="14" t="str">
        <f aca="false">IF(F444&lt;&gt;"",IF(AND(ISNUMBER(F444),N(F444)&gt;=0),F444,""),IF(AND(ISNUMBER(D444),ISNUMBER(E444)),ROUND(MOD(E444-D444,1)*1440,0),""))</f>
        <v/>
      </c>
      <c r="H444" s="9"/>
      <c r="I444" s="10" t="str">
        <f aca="false">IF(H444="","",IF(SUMPRODUCT(MAX((Setup!$D$5:$D$34=H444)*(35-ROW(Setup!$D$5:$D$34))))=0,"Not in Setup",INDEX(Setup!$E$5:$E$34,31-SUMPRODUCT(MAX((Setup!$D$5:$D$34=H444)*(35-ROW(Setup!$D$5:$D$34)))))))</f>
        <v/>
      </c>
      <c r="J444" s="9"/>
      <c r="K444" s="10" t="str">
        <f aca="false">IF(AND(A444="",C444="",D444="",E444="",F444="",H444=""),"",IF(NOT(ISNUMBER(A444)),"Enter a date",IF(AND(F444&lt;&gt;"",OR(NOT(ISNUMBER(F444)),N(F444)&lt;0)),"Minutes must be a number of 0 or more",IF(G444="","Enter start and end times, or minutes",IF(C444="","Pick a machine",IF(SUMPRODUCT(--(Setup!$A$5:$A$34=C444))=0,"Machine not in Setup",IF(H444="","Pick a reason (counted as unclassified)",IF(I444="Not in Setup","Reason not in Setup (counted as unclassified)",IF(N(G444)=0,"0 minutes: not counted as a stop","OK")))))))))</f>
        <v/>
      </c>
    </row>
    <row r="445" customFormat="false" ht="15" hidden="false" customHeight="false" outlineLevel="0" collapsed="false">
      <c r="A445" s="11"/>
      <c r="B445" s="9"/>
      <c r="C445" s="9"/>
      <c r="D445" s="12"/>
      <c r="E445" s="12"/>
      <c r="F445" s="13"/>
      <c r="G445" s="14" t="str">
        <f aca="false">IF(F445&lt;&gt;"",IF(AND(ISNUMBER(F445),N(F445)&gt;=0),F445,""),IF(AND(ISNUMBER(D445),ISNUMBER(E445)),ROUND(MOD(E445-D445,1)*1440,0),""))</f>
        <v/>
      </c>
      <c r="H445" s="9"/>
      <c r="I445" s="10" t="str">
        <f aca="false">IF(H445="","",IF(SUMPRODUCT(MAX((Setup!$D$5:$D$34=H445)*(35-ROW(Setup!$D$5:$D$34))))=0,"Not in Setup",INDEX(Setup!$E$5:$E$34,31-SUMPRODUCT(MAX((Setup!$D$5:$D$34=H445)*(35-ROW(Setup!$D$5:$D$34)))))))</f>
        <v/>
      </c>
      <c r="J445" s="9"/>
      <c r="K445" s="10" t="str">
        <f aca="false">IF(AND(A445="",C445="",D445="",E445="",F445="",H445=""),"",IF(NOT(ISNUMBER(A445)),"Enter a date",IF(AND(F445&lt;&gt;"",OR(NOT(ISNUMBER(F445)),N(F445)&lt;0)),"Minutes must be a number of 0 or more",IF(G445="","Enter start and end times, or minutes",IF(C445="","Pick a machine",IF(SUMPRODUCT(--(Setup!$A$5:$A$34=C445))=0,"Machine not in Setup",IF(H445="","Pick a reason (counted as unclassified)",IF(I445="Not in Setup","Reason not in Setup (counted as unclassified)",IF(N(G445)=0,"0 minutes: not counted as a stop","OK")))))))))</f>
        <v/>
      </c>
    </row>
    <row r="446" customFormat="false" ht="15" hidden="false" customHeight="false" outlineLevel="0" collapsed="false">
      <c r="A446" s="11"/>
      <c r="B446" s="9"/>
      <c r="C446" s="9"/>
      <c r="D446" s="12"/>
      <c r="E446" s="12"/>
      <c r="F446" s="13"/>
      <c r="G446" s="14" t="str">
        <f aca="false">IF(F446&lt;&gt;"",IF(AND(ISNUMBER(F446),N(F446)&gt;=0),F446,""),IF(AND(ISNUMBER(D446),ISNUMBER(E446)),ROUND(MOD(E446-D446,1)*1440,0),""))</f>
        <v/>
      </c>
      <c r="H446" s="9"/>
      <c r="I446" s="10" t="str">
        <f aca="false">IF(H446="","",IF(SUMPRODUCT(MAX((Setup!$D$5:$D$34=H446)*(35-ROW(Setup!$D$5:$D$34))))=0,"Not in Setup",INDEX(Setup!$E$5:$E$34,31-SUMPRODUCT(MAX((Setup!$D$5:$D$34=H446)*(35-ROW(Setup!$D$5:$D$34)))))))</f>
        <v/>
      </c>
      <c r="J446" s="9"/>
      <c r="K446" s="10" t="str">
        <f aca="false">IF(AND(A446="",C446="",D446="",E446="",F446="",H446=""),"",IF(NOT(ISNUMBER(A446)),"Enter a date",IF(AND(F446&lt;&gt;"",OR(NOT(ISNUMBER(F446)),N(F446)&lt;0)),"Minutes must be a number of 0 or more",IF(G446="","Enter start and end times, or minutes",IF(C446="","Pick a machine",IF(SUMPRODUCT(--(Setup!$A$5:$A$34=C446))=0,"Machine not in Setup",IF(H446="","Pick a reason (counted as unclassified)",IF(I446="Not in Setup","Reason not in Setup (counted as unclassified)",IF(N(G446)=0,"0 minutes: not counted as a stop","OK")))))))))</f>
        <v/>
      </c>
    </row>
    <row r="447" customFormat="false" ht="15" hidden="false" customHeight="false" outlineLevel="0" collapsed="false">
      <c r="A447" s="11"/>
      <c r="B447" s="9"/>
      <c r="C447" s="9"/>
      <c r="D447" s="12"/>
      <c r="E447" s="12"/>
      <c r="F447" s="13"/>
      <c r="G447" s="14" t="str">
        <f aca="false">IF(F447&lt;&gt;"",IF(AND(ISNUMBER(F447),N(F447)&gt;=0),F447,""),IF(AND(ISNUMBER(D447),ISNUMBER(E447)),ROUND(MOD(E447-D447,1)*1440,0),""))</f>
        <v/>
      </c>
      <c r="H447" s="9"/>
      <c r="I447" s="10" t="str">
        <f aca="false">IF(H447="","",IF(SUMPRODUCT(MAX((Setup!$D$5:$D$34=H447)*(35-ROW(Setup!$D$5:$D$34))))=0,"Not in Setup",INDEX(Setup!$E$5:$E$34,31-SUMPRODUCT(MAX((Setup!$D$5:$D$34=H447)*(35-ROW(Setup!$D$5:$D$34)))))))</f>
        <v/>
      </c>
      <c r="J447" s="9"/>
      <c r="K447" s="10" t="str">
        <f aca="false">IF(AND(A447="",C447="",D447="",E447="",F447="",H447=""),"",IF(NOT(ISNUMBER(A447)),"Enter a date",IF(AND(F447&lt;&gt;"",OR(NOT(ISNUMBER(F447)),N(F447)&lt;0)),"Minutes must be a number of 0 or more",IF(G447="","Enter start and end times, or minutes",IF(C447="","Pick a machine",IF(SUMPRODUCT(--(Setup!$A$5:$A$34=C447))=0,"Machine not in Setup",IF(H447="","Pick a reason (counted as unclassified)",IF(I447="Not in Setup","Reason not in Setup (counted as unclassified)",IF(N(G447)=0,"0 minutes: not counted as a stop","OK")))))))))</f>
        <v/>
      </c>
    </row>
    <row r="448" customFormat="false" ht="15" hidden="false" customHeight="false" outlineLevel="0" collapsed="false">
      <c r="A448" s="11"/>
      <c r="B448" s="9"/>
      <c r="C448" s="9"/>
      <c r="D448" s="12"/>
      <c r="E448" s="12"/>
      <c r="F448" s="13"/>
      <c r="G448" s="14" t="str">
        <f aca="false">IF(F448&lt;&gt;"",IF(AND(ISNUMBER(F448),N(F448)&gt;=0),F448,""),IF(AND(ISNUMBER(D448),ISNUMBER(E448)),ROUND(MOD(E448-D448,1)*1440,0),""))</f>
        <v/>
      </c>
      <c r="H448" s="9"/>
      <c r="I448" s="10" t="str">
        <f aca="false">IF(H448="","",IF(SUMPRODUCT(MAX((Setup!$D$5:$D$34=H448)*(35-ROW(Setup!$D$5:$D$34))))=0,"Not in Setup",INDEX(Setup!$E$5:$E$34,31-SUMPRODUCT(MAX((Setup!$D$5:$D$34=H448)*(35-ROW(Setup!$D$5:$D$34)))))))</f>
        <v/>
      </c>
      <c r="J448" s="9"/>
      <c r="K448" s="10" t="str">
        <f aca="false">IF(AND(A448="",C448="",D448="",E448="",F448="",H448=""),"",IF(NOT(ISNUMBER(A448)),"Enter a date",IF(AND(F448&lt;&gt;"",OR(NOT(ISNUMBER(F448)),N(F448)&lt;0)),"Minutes must be a number of 0 or more",IF(G448="","Enter start and end times, or minutes",IF(C448="","Pick a machine",IF(SUMPRODUCT(--(Setup!$A$5:$A$34=C448))=0,"Machine not in Setup",IF(H448="","Pick a reason (counted as unclassified)",IF(I448="Not in Setup","Reason not in Setup (counted as unclassified)",IF(N(G448)=0,"0 minutes: not counted as a stop","OK")))))))))</f>
        <v/>
      </c>
    </row>
    <row r="449" customFormat="false" ht="15" hidden="false" customHeight="false" outlineLevel="0" collapsed="false">
      <c r="A449" s="11"/>
      <c r="B449" s="9"/>
      <c r="C449" s="9"/>
      <c r="D449" s="12"/>
      <c r="E449" s="12"/>
      <c r="F449" s="13"/>
      <c r="G449" s="14" t="str">
        <f aca="false">IF(F449&lt;&gt;"",IF(AND(ISNUMBER(F449),N(F449)&gt;=0),F449,""),IF(AND(ISNUMBER(D449),ISNUMBER(E449)),ROUND(MOD(E449-D449,1)*1440,0),""))</f>
        <v/>
      </c>
      <c r="H449" s="9"/>
      <c r="I449" s="10" t="str">
        <f aca="false">IF(H449="","",IF(SUMPRODUCT(MAX((Setup!$D$5:$D$34=H449)*(35-ROW(Setup!$D$5:$D$34))))=0,"Not in Setup",INDEX(Setup!$E$5:$E$34,31-SUMPRODUCT(MAX((Setup!$D$5:$D$34=H449)*(35-ROW(Setup!$D$5:$D$34)))))))</f>
        <v/>
      </c>
      <c r="J449" s="9"/>
      <c r="K449" s="10" t="str">
        <f aca="false">IF(AND(A449="",C449="",D449="",E449="",F449="",H449=""),"",IF(NOT(ISNUMBER(A449)),"Enter a date",IF(AND(F449&lt;&gt;"",OR(NOT(ISNUMBER(F449)),N(F449)&lt;0)),"Minutes must be a number of 0 or more",IF(G449="","Enter start and end times, or minutes",IF(C449="","Pick a machine",IF(SUMPRODUCT(--(Setup!$A$5:$A$34=C449))=0,"Machine not in Setup",IF(H449="","Pick a reason (counted as unclassified)",IF(I449="Not in Setup","Reason not in Setup (counted as unclassified)",IF(N(G449)=0,"0 minutes: not counted as a stop","OK")))))))))</f>
        <v/>
      </c>
    </row>
    <row r="450" customFormat="false" ht="15" hidden="false" customHeight="false" outlineLevel="0" collapsed="false">
      <c r="A450" s="11"/>
      <c r="B450" s="9"/>
      <c r="C450" s="9"/>
      <c r="D450" s="12"/>
      <c r="E450" s="12"/>
      <c r="F450" s="13"/>
      <c r="G450" s="14" t="str">
        <f aca="false">IF(F450&lt;&gt;"",IF(AND(ISNUMBER(F450),N(F450)&gt;=0),F450,""),IF(AND(ISNUMBER(D450),ISNUMBER(E450)),ROUND(MOD(E450-D450,1)*1440,0),""))</f>
        <v/>
      </c>
      <c r="H450" s="9"/>
      <c r="I450" s="10" t="str">
        <f aca="false">IF(H450="","",IF(SUMPRODUCT(MAX((Setup!$D$5:$D$34=H450)*(35-ROW(Setup!$D$5:$D$34))))=0,"Not in Setup",INDEX(Setup!$E$5:$E$34,31-SUMPRODUCT(MAX((Setup!$D$5:$D$34=H450)*(35-ROW(Setup!$D$5:$D$34)))))))</f>
        <v/>
      </c>
      <c r="J450" s="9"/>
      <c r="K450" s="10" t="str">
        <f aca="false">IF(AND(A450="",C450="",D450="",E450="",F450="",H450=""),"",IF(NOT(ISNUMBER(A450)),"Enter a date",IF(AND(F450&lt;&gt;"",OR(NOT(ISNUMBER(F450)),N(F450)&lt;0)),"Minutes must be a number of 0 or more",IF(G450="","Enter start and end times, or minutes",IF(C450="","Pick a machine",IF(SUMPRODUCT(--(Setup!$A$5:$A$34=C450))=0,"Machine not in Setup",IF(H450="","Pick a reason (counted as unclassified)",IF(I450="Not in Setup","Reason not in Setup (counted as unclassified)",IF(N(G450)=0,"0 minutes: not counted as a stop","OK")))))))))</f>
        <v/>
      </c>
    </row>
    <row r="451" customFormat="false" ht="15" hidden="false" customHeight="false" outlineLevel="0" collapsed="false">
      <c r="A451" s="11"/>
      <c r="B451" s="9"/>
      <c r="C451" s="9"/>
      <c r="D451" s="12"/>
      <c r="E451" s="12"/>
      <c r="F451" s="13"/>
      <c r="G451" s="14" t="str">
        <f aca="false">IF(F451&lt;&gt;"",IF(AND(ISNUMBER(F451),N(F451)&gt;=0),F451,""),IF(AND(ISNUMBER(D451),ISNUMBER(E451)),ROUND(MOD(E451-D451,1)*1440,0),""))</f>
        <v/>
      </c>
      <c r="H451" s="9"/>
      <c r="I451" s="10" t="str">
        <f aca="false">IF(H451="","",IF(SUMPRODUCT(MAX((Setup!$D$5:$D$34=H451)*(35-ROW(Setup!$D$5:$D$34))))=0,"Not in Setup",INDEX(Setup!$E$5:$E$34,31-SUMPRODUCT(MAX((Setup!$D$5:$D$34=H451)*(35-ROW(Setup!$D$5:$D$34)))))))</f>
        <v/>
      </c>
      <c r="J451" s="9"/>
      <c r="K451" s="10" t="str">
        <f aca="false">IF(AND(A451="",C451="",D451="",E451="",F451="",H451=""),"",IF(NOT(ISNUMBER(A451)),"Enter a date",IF(AND(F451&lt;&gt;"",OR(NOT(ISNUMBER(F451)),N(F451)&lt;0)),"Minutes must be a number of 0 or more",IF(G451="","Enter start and end times, or minutes",IF(C451="","Pick a machine",IF(SUMPRODUCT(--(Setup!$A$5:$A$34=C451))=0,"Machine not in Setup",IF(H451="","Pick a reason (counted as unclassified)",IF(I451="Not in Setup","Reason not in Setup (counted as unclassified)",IF(N(G451)=0,"0 minutes: not counted as a stop","OK")))))))))</f>
        <v/>
      </c>
    </row>
    <row r="452" customFormat="false" ht="15" hidden="false" customHeight="false" outlineLevel="0" collapsed="false">
      <c r="A452" s="11"/>
      <c r="B452" s="9"/>
      <c r="C452" s="9"/>
      <c r="D452" s="12"/>
      <c r="E452" s="12"/>
      <c r="F452" s="13"/>
      <c r="G452" s="14" t="str">
        <f aca="false">IF(F452&lt;&gt;"",IF(AND(ISNUMBER(F452),N(F452)&gt;=0),F452,""),IF(AND(ISNUMBER(D452),ISNUMBER(E452)),ROUND(MOD(E452-D452,1)*1440,0),""))</f>
        <v/>
      </c>
      <c r="H452" s="9"/>
      <c r="I452" s="10" t="str">
        <f aca="false">IF(H452="","",IF(SUMPRODUCT(MAX((Setup!$D$5:$D$34=H452)*(35-ROW(Setup!$D$5:$D$34))))=0,"Not in Setup",INDEX(Setup!$E$5:$E$34,31-SUMPRODUCT(MAX((Setup!$D$5:$D$34=H452)*(35-ROW(Setup!$D$5:$D$34)))))))</f>
        <v/>
      </c>
      <c r="J452" s="9"/>
      <c r="K452" s="10" t="str">
        <f aca="false">IF(AND(A452="",C452="",D452="",E452="",F452="",H452=""),"",IF(NOT(ISNUMBER(A452)),"Enter a date",IF(AND(F452&lt;&gt;"",OR(NOT(ISNUMBER(F452)),N(F452)&lt;0)),"Minutes must be a number of 0 or more",IF(G452="","Enter start and end times, or minutes",IF(C452="","Pick a machine",IF(SUMPRODUCT(--(Setup!$A$5:$A$34=C452))=0,"Machine not in Setup",IF(H452="","Pick a reason (counted as unclassified)",IF(I452="Not in Setup","Reason not in Setup (counted as unclassified)",IF(N(G452)=0,"0 minutes: not counted as a stop","OK")))))))))</f>
        <v/>
      </c>
    </row>
    <row r="453" customFormat="false" ht="15" hidden="false" customHeight="false" outlineLevel="0" collapsed="false">
      <c r="A453" s="11"/>
      <c r="B453" s="9"/>
      <c r="C453" s="9"/>
      <c r="D453" s="12"/>
      <c r="E453" s="12"/>
      <c r="F453" s="13"/>
      <c r="G453" s="14" t="str">
        <f aca="false">IF(F453&lt;&gt;"",IF(AND(ISNUMBER(F453),N(F453)&gt;=0),F453,""),IF(AND(ISNUMBER(D453),ISNUMBER(E453)),ROUND(MOD(E453-D453,1)*1440,0),""))</f>
        <v/>
      </c>
      <c r="H453" s="9"/>
      <c r="I453" s="10" t="str">
        <f aca="false">IF(H453="","",IF(SUMPRODUCT(MAX((Setup!$D$5:$D$34=H453)*(35-ROW(Setup!$D$5:$D$34))))=0,"Not in Setup",INDEX(Setup!$E$5:$E$34,31-SUMPRODUCT(MAX((Setup!$D$5:$D$34=H453)*(35-ROW(Setup!$D$5:$D$34)))))))</f>
        <v/>
      </c>
      <c r="J453" s="9"/>
      <c r="K453" s="10" t="str">
        <f aca="false">IF(AND(A453="",C453="",D453="",E453="",F453="",H453=""),"",IF(NOT(ISNUMBER(A453)),"Enter a date",IF(AND(F453&lt;&gt;"",OR(NOT(ISNUMBER(F453)),N(F453)&lt;0)),"Minutes must be a number of 0 or more",IF(G453="","Enter start and end times, or minutes",IF(C453="","Pick a machine",IF(SUMPRODUCT(--(Setup!$A$5:$A$34=C453))=0,"Machine not in Setup",IF(H453="","Pick a reason (counted as unclassified)",IF(I453="Not in Setup","Reason not in Setup (counted as unclassified)",IF(N(G453)=0,"0 minutes: not counted as a stop","OK")))))))))</f>
        <v/>
      </c>
    </row>
    <row r="454" customFormat="false" ht="15" hidden="false" customHeight="false" outlineLevel="0" collapsed="false">
      <c r="A454" s="11"/>
      <c r="B454" s="9"/>
      <c r="C454" s="9"/>
      <c r="D454" s="12"/>
      <c r="E454" s="12"/>
      <c r="F454" s="13"/>
      <c r="G454" s="14" t="str">
        <f aca="false">IF(F454&lt;&gt;"",IF(AND(ISNUMBER(F454),N(F454)&gt;=0),F454,""),IF(AND(ISNUMBER(D454),ISNUMBER(E454)),ROUND(MOD(E454-D454,1)*1440,0),""))</f>
        <v/>
      </c>
      <c r="H454" s="9"/>
      <c r="I454" s="10" t="str">
        <f aca="false">IF(H454="","",IF(SUMPRODUCT(MAX((Setup!$D$5:$D$34=H454)*(35-ROW(Setup!$D$5:$D$34))))=0,"Not in Setup",INDEX(Setup!$E$5:$E$34,31-SUMPRODUCT(MAX((Setup!$D$5:$D$34=H454)*(35-ROW(Setup!$D$5:$D$34)))))))</f>
        <v/>
      </c>
      <c r="J454" s="9"/>
      <c r="K454" s="10" t="str">
        <f aca="false">IF(AND(A454="",C454="",D454="",E454="",F454="",H454=""),"",IF(NOT(ISNUMBER(A454)),"Enter a date",IF(AND(F454&lt;&gt;"",OR(NOT(ISNUMBER(F454)),N(F454)&lt;0)),"Minutes must be a number of 0 or more",IF(G454="","Enter start and end times, or minutes",IF(C454="","Pick a machine",IF(SUMPRODUCT(--(Setup!$A$5:$A$34=C454))=0,"Machine not in Setup",IF(H454="","Pick a reason (counted as unclassified)",IF(I454="Not in Setup","Reason not in Setup (counted as unclassified)",IF(N(G454)=0,"0 minutes: not counted as a stop","OK")))))))))</f>
        <v/>
      </c>
    </row>
    <row r="455" customFormat="false" ht="15" hidden="false" customHeight="false" outlineLevel="0" collapsed="false">
      <c r="A455" s="11"/>
      <c r="B455" s="9"/>
      <c r="C455" s="9"/>
      <c r="D455" s="12"/>
      <c r="E455" s="12"/>
      <c r="F455" s="13"/>
      <c r="G455" s="14" t="str">
        <f aca="false">IF(F455&lt;&gt;"",IF(AND(ISNUMBER(F455),N(F455)&gt;=0),F455,""),IF(AND(ISNUMBER(D455),ISNUMBER(E455)),ROUND(MOD(E455-D455,1)*1440,0),""))</f>
        <v/>
      </c>
      <c r="H455" s="9"/>
      <c r="I455" s="10" t="str">
        <f aca="false">IF(H455="","",IF(SUMPRODUCT(MAX((Setup!$D$5:$D$34=H455)*(35-ROW(Setup!$D$5:$D$34))))=0,"Not in Setup",INDEX(Setup!$E$5:$E$34,31-SUMPRODUCT(MAX((Setup!$D$5:$D$34=H455)*(35-ROW(Setup!$D$5:$D$34)))))))</f>
        <v/>
      </c>
      <c r="J455" s="9"/>
      <c r="K455" s="10" t="str">
        <f aca="false">IF(AND(A455="",C455="",D455="",E455="",F455="",H455=""),"",IF(NOT(ISNUMBER(A455)),"Enter a date",IF(AND(F455&lt;&gt;"",OR(NOT(ISNUMBER(F455)),N(F455)&lt;0)),"Minutes must be a number of 0 or more",IF(G455="","Enter start and end times, or minutes",IF(C455="","Pick a machine",IF(SUMPRODUCT(--(Setup!$A$5:$A$34=C455))=0,"Machine not in Setup",IF(H455="","Pick a reason (counted as unclassified)",IF(I455="Not in Setup","Reason not in Setup (counted as unclassified)",IF(N(G455)=0,"0 minutes: not counted as a stop","OK")))))))))</f>
        <v/>
      </c>
    </row>
    <row r="456" customFormat="false" ht="15" hidden="false" customHeight="false" outlineLevel="0" collapsed="false">
      <c r="A456" s="11"/>
      <c r="B456" s="9"/>
      <c r="C456" s="9"/>
      <c r="D456" s="12"/>
      <c r="E456" s="12"/>
      <c r="F456" s="13"/>
      <c r="G456" s="14" t="str">
        <f aca="false">IF(F456&lt;&gt;"",IF(AND(ISNUMBER(F456),N(F456)&gt;=0),F456,""),IF(AND(ISNUMBER(D456),ISNUMBER(E456)),ROUND(MOD(E456-D456,1)*1440,0),""))</f>
        <v/>
      </c>
      <c r="H456" s="9"/>
      <c r="I456" s="10" t="str">
        <f aca="false">IF(H456="","",IF(SUMPRODUCT(MAX((Setup!$D$5:$D$34=H456)*(35-ROW(Setup!$D$5:$D$34))))=0,"Not in Setup",INDEX(Setup!$E$5:$E$34,31-SUMPRODUCT(MAX((Setup!$D$5:$D$34=H456)*(35-ROW(Setup!$D$5:$D$34)))))))</f>
        <v/>
      </c>
      <c r="J456" s="9"/>
      <c r="K456" s="10" t="str">
        <f aca="false">IF(AND(A456="",C456="",D456="",E456="",F456="",H456=""),"",IF(NOT(ISNUMBER(A456)),"Enter a date",IF(AND(F456&lt;&gt;"",OR(NOT(ISNUMBER(F456)),N(F456)&lt;0)),"Minutes must be a number of 0 or more",IF(G456="","Enter start and end times, or minutes",IF(C456="","Pick a machine",IF(SUMPRODUCT(--(Setup!$A$5:$A$34=C456))=0,"Machine not in Setup",IF(H456="","Pick a reason (counted as unclassified)",IF(I456="Not in Setup","Reason not in Setup (counted as unclassified)",IF(N(G456)=0,"0 minutes: not counted as a stop","OK")))))))))</f>
        <v/>
      </c>
    </row>
    <row r="457" customFormat="false" ht="15" hidden="false" customHeight="false" outlineLevel="0" collapsed="false">
      <c r="A457" s="11"/>
      <c r="B457" s="9"/>
      <c r="C457" s="9"/>
      <c r="D457" s="12"/>
      <c r="E457" s="12"/>
      <c r="F457" s="13"/>
      <c r="G457" s="14" t="str">
        <f aca="false">IF(F457&lt;&gt;"",IF(AND(ISNUMBER(F457),N(F457)&gt;=0),F457,""),IF(AND(ISNUMBER(D457),ISNUMBER(E457)),ROUND(MOD(E457-D457,1)*1440,0),""))</f>
        <v/>
      </c>
      <c r="H457" s="9"/>
      <c r="I457" s="10" t="str">
        <f aca="false">IF(H457="","",IF(SUMPRODUCT(MAX((Setup!$D$5:$D$34=H457)*(35-ROW(Setup!$D$5:$D$34))))=0,"Not in Setup",INDEX(Setup!$E$5:$E$34,31-SUMPRODUCT(MAX((Setup!$D$5:$D$34=H457)*(35-ROW(Setup!$D$5:$D$34)))))))</f>
        <v/>
      </c>
      <c r="J457" s="9"/>
      <c r="K457" s="10" t="str">
        <f aca="false">IF(AND(A457="",C457="",D457="",E457="",F457="",H457=""),"",IF(NOT(ISNUMBER(A457)),"Enter a date",IF(AND(F457&lt;&gt;"",OR(NOT(ISNUMBER(F457)),N(F457)&lt;0)),"Minutes must be a number of 0 or more",IF(G457="","Enter start and end times, or minutes",IF(C457="","Pick a machine",IF(SUMPRODUCT(--(Setup!$A$5:$A$34=C457))=0,"Machine not in Setup",IF(H457="","Pick a reason (counted as unclassified)",IF(I457="Not in Setup","Reason not in Setup (counted as unclassified)",IF(N(G457)=0,"0 minutes: not counted as a stop","OK")))))))))</f>
        <v/>
      </c>
    </row>
    <row r="458" customFormat="false" ht="15" hidden="false" customHeight="false" outlineLevel="0" collapsed="false">
      <c r="A458" s="11"/>
      <c r="B458" s="9"/>
      <c r="C458" s="9"/>
      <c r="D458" s="12"/>
      <c r="E458" s="12"/>
      <c r="F458" s="13"/>
      <c r="G458" s="14" t="str">
        <f aca="false">IF(F458&lt;&gt;"",IF(AND(ISNUMBER(F458),N(F458)&gt;=0),F458,""),IF(AND(ISNUMBER(D458),ISNUMBER(E458)),ROUND(MOD(E458-D458,1)*1440,0),""))</f>
        <v/>
      </c>
      <c r="H458" s="9"/>
      <c r="I458" s="10" t="str">
        <f aca="false">IF(H458="","",IF(SUMPRODUCT(MAX((Setup!$D$5:$D$34=H458)*(35-ROW(Setup!$D$5:$D$34))))=0,"Not in Setup",INDEX(Setup!$E$5:$E$34,31-SUMPRODUCT(MAX((Setup!$D$5:$D$34=H458)*(35-ROW(Setup!$D$5:$D$34)))))))</f>
        <v/>
      </c>
      <c r="J458" s="9"/>
      <c r="K458" s="10" t="str">
        <f aca="false">IF(AND(A458="",C458="",D458="",E458="",F458="",H458=""),"",IF(NOT(ISNUMBER(A458)),"Enter a date",IF(AND(F458&lt;&gt;"",OR(NOT(ISNUMBER(F458)),N(F458)&lt;0)),"Minutes must be a number of 0 or more",IF(G458="","Enter start and end times, or minutes",IF(C458="","Pick a machine",IF(SUMPRODUCT(--(Setup!$A$5:$A$34=C458))=0,"Machine not in Setup",IF(H458="","Pick a reason (counted as unclassified)",IF(I458="Not in Setup","Reason not in Setup (counted as unclassified)",IF(N(G458)=0,"0 minutes: not counted as a stop","OK")))))))))</f>
        <v/>
      </c>
    </row>
    <row r="459" customFormat="false" ht="15" hidden="false" customHeight="false" outlineLevel="0" collapsed="false">
      <c r="A459" s="11"/>
      <c r="B459" s="9"/>
      <c r="C459" s="9"/>
      <c r="D459" s="12"/>
      <c r="E459" s="12"/>
      <c r="F459" s="13"/>
      <c r="G459" s="14" t="str">
        <f aca="false">IF(F459&lt;&gt;"",IF(AND(ISNUMBER(F459),N(F459)&gt;=0),F459,""),IF(AND(ISNUMBER(D459),ISNUMBER(E459)),ROUND(MOD(E459-D459,1)*1440,0),""))</f>
        <v/>
      </c>
      <c r="H459" s="9"/>
      <c r="I459" s="10" t="str">
        <f aca="false">IF(H459="","",IF(SUMPRODUCT(MAX((Setup!$D$5:$D$34=H459)*(35-ROW(Setup!$D$5:$D$34))))=0,"Not in Setup",INDEX(Setup!$E$5:$E$34,31-SUMPRODUCT(MAX((Setup!$D$5:$D$34=H459)*(35-ROW(Setup!$D$5:$D$34)))))))</f>
        <v/>
      </c>
      <c r="J459" s="9"/>
      <c r="K459" s="10" t="str">
        <f aca="false">IF(AND(A459="",C459="",D459="",E459="",F459="",H459=""),"",IF(NOT(ISNUMBER(A459)),"Enter a date",IF(AND(F459&lt;&gt;"",OR(NOT(ISNUMBER(F459)),N(F459)&lt;0)),"Minutes must be a number of 0 or more",IF(G459="","Enter start and end times, or minutes",IF(C459="","Pick a machine",IF(SUMPRODUCT(--(Setup!$A$5:$A$34=C459))=0,"Machine not in Setup",IF(H459="","Pick a reason (counted as unclassified)",IF(I459="Not in Setup","Reason not in Setup (counted as unclassified)",IF(N(G459)=0,"0 minutes: not counted as a stop","OK")))))))))</f>
        <v/>
      </c>
    </row>
    <row r="460" customFormat="false" ht="15" hidden="false" customHeight="false" outlineLevel="0" collapsed="false">
      <c r="A460" s="11"/>
      <c r="B460" s="9"/>
      <c r="C460" s="9"/>
      <c r="D460" s="12"/>
      <c r="E460" s="12"/>
      <c r="F460" s="13"/>
      <c r="G460" s="14" t="str">
        <f aca="false">IF(F460&lt;&gt;"",IF(AND(ISNUMBER(F460),N(F460)&gt;=0),F460,""),IF(AND(ISNUMBER(D460),ISNUMBER(E460)),ROUND(MOD(E460-D460,1)*1440,0),""))</f>
        <v/>
      </c>
      <c r="H460" s="9"/>
      <c r="I460" s="10" t="str">
        <f aca="false">IF(H460="","",IF(SUMPRODUCT(MAX((Setup!$D$5:$D$34=H460)*(35-ROW(Setup!$D$5:$D$34))))=0,"Not in Setup",INDEX(Setup!$E$5:$E$34,31-SUMPRODUCT(MAX((Setup!$D$5:$D$34=H460)*(35-ROW(Setup!$D$5:$D$34)))))))</f>
        <v/>
      </c>
      <c r="J460" s="9"/>
      <c r="K460" s="10" t="str">
        <f aca="false">IF(AND(A460="",C460="",D460="",E460="",F460="",H460=""),"",IF(NOT(ISNUMBER(A460)),"Enter a date",IF(AND(F460&lt;&gt;"",OR(NOT(ISNUMBER(F460)),N(F460)&lt;0)),"Minutes must be a number of 0 or more",IF(G460="","Enter start and end times, or minutes",IF(C460="","Pick a machine",IF(SUMPRODUCT(--(Setup!$A$5:$A$34=C460))=0,"Machine not in Setup",IF(H460="","Pick a reason (counted as unclassified)",IF(I460="Not in Setup","Reason not in Setup (counted as unclassified)",IF(N(G460)=0,"0 minutes: not counted as a stop","OK")))))))))</f>
        <v/>
      </c>
    </row>
    <row r="461" customFormat="false" ht="15" hidden="false" customHeight="false" outlineLevel="0" collapsed="false">
      <c r="A461" s="11"/>
      <c r="B461" s="9"/>
      <c r="C461" s="9"/>
      <c r="D461" s="12"/>
      <c r="E461" s="12"/>
      <c r="F461" s="13"/>
      <c r="G461" s="14" t="str">
        <f aca="false">IF(F461&lt;&gt;"",IF(AND(ISNUMBER(F461),N(F461)&gt;=0),F461,""),IF(AND(ISNUMBER(D461),ISNUMBER(E461)),ROUND(MOD(E461-D461,1)*1440,0),""))</f>
        <v/>
      </c>
      <c r="H461" s="9"/>
      <c r="I461" s="10" t="str">
        <f aca="false">IF(H461="","",IF(SUMPRODUCT(MAX((Setup!$D$5:$D$34=H461)*(35-ROW(Setup!$D$5:$D$34))))=0,"Not in Setup",INDEX(Setup!$E$5:$E$34,31-SUMPRODUCT(MAX((Setup!$D$5:$D$34=H461)*(35-ROW(Setup!$D$5:$D$34)))))))</f>
        <v/>
      </c>
      <c r="J461" s="9"/>
      <c r="K461" s="10" t="str">
        <f aca="false">IF(AND(A461="",C461="",D461="",E461="",F461="",H461=""),"",IF(NOT(ISNUMBER(A461)),"Enter a date",IF(AND(F461&lt;&gt;"",OR(NOT(ISNUMBER(F461)),N(F461)&lt;0)),"Minutes must be a number of 0 or more",IF(G461="","Enter start and end times, or minutes",IF(C461="","Pick a machine",IF(SUMPRODUCT(--(Setup!$A$5:$A$34=C461))=0,"Machine not in Setup",IF(H461="","Pick a reason (counted as unclassified)",IF(I461="Not in Setup","Reason not in Setup (counted as unclassified)",IF(N(G461)=0,"0 minutes: not counted as a stop","OK")))))))))</f>
        <v/>
      </c>
    </row>
    <row r="462" customFormat="false" ht="15" hidden="false" customHeight="false" outlineLevel="0" collapsed="false">
      <c r="A462" s="11"/>
      <c r="B462" s="9"/>
      <c r="C462" s="9"/>
      <c r="D462" s="12"/>
      <c r="E462" s="12"/>
      <c r="F462" s="13"/>
      <c r="G462" s="14" t="str">
        <f aca="false">IF(F462&lt;&gt;"",IF(AND(ISNUMBER(F462),N(F462)&gt;=0),F462,""),IF(AND(ISNUMBER(D462),ISNUMBER(E462)),ROUND(MOD(E462-D462,1)*1440,0),""))</f>
        <v/>
      </c>
      <c r="H462" s="9"/>
      <c r="I462" s="10" t="str">
        <f aca="false">IF(H462="","",IF(SUMPRODUCT(MAX((Setup!$D$5:$D$34=H462)*(35-ROW(Setup!$D$5:$D$34))))=0,"Not in Setup",INDEX(Setup!$E$5:$E$34,31-SUMPRODUCT(MAX((Setup!$D$5:$D$34=H462)*(35-ROW(Setup!$D$5:$D$34)))))))</f>
        <v/>
      </c>
      <c r="J462" s="9"/>
      <c r="K462" s="10" t="str">
        <f aca="false">IF(AND(A462="",C462="",D462="",E462="",F462="",H462=""),"",IF(NOT(ISNUMBER(A462)),"Enter a date",IF(AND(F462&lt;&gt;"",OR(NOT(ISNUMBER(F462)),N(F462)&lt;0)),"Minutes must be a number of 0 or more",IF(G462="","Enter start and end times, or minutes",IF(C462="","Pick a machine",IF(SUMPRODUCT(--(Setup!$A$5:$A$34=C462))=0,"Machine not in Setup",IF(H462="","Pick a reason (counted as unclassified)",IF(I462="Not in Setup","Reason not in Setup (counted as unclassified)",IF(N(G462)=0,"0 minutes: not counted as a stop","OK")))))))))</f>
        <v/>
      </c>
    </row>
    <row r="463" customFormat="false" ht="15" hidden="false" customHeight="false" outlineLevel="0" collapsed="false">
      <c r="A463" s="11"/>
      <c r="B463" s="9"/>
      <c r="C463" s="9"/>
      <c r="D463" s="12"/>
      <c r="E463" s="12"/>
      <c r="F463" s="13"/>
      <c r="G463" s="14" t="str">
        <f aca="false">IF(F463&lt;&gt;"",IF(AND(ISNUMBER(F463),N(F463)&gt;=0),F463,""),IF(AND(ISNUMBER(D463),ISNUMBER(E463)),ROUND(MOD(E463-D463,1)*1440,0),""))</f>
        <v/>
      </c>
      <c r="H463" s="9"/>
      <c r="I463" s="10" t="str">
        <f aca="false">IF(H463="","",IF(SUMPRODUCT(MAX((Setup!$D$5:$D$34=H463)*(35-ROW(Setup!$D$5:$D$34))))=0,"Not in Setup",INDEX(Setup!$E$5:$E$34,31-SUMPRODUCT(MAX((Setup!$D$5:$D$34=H463)*(35-ROW(Setup!$D$5:$D$34)))))))</f>
        <v/>
      </c>
      <c r="J463" s="9"/>
      <c r="K463" s="10" t="str">
        <f aca="false">IF(AND(A463="",C463="",D463="",E463="",F463="",H463=""),"",IF(NOT(ISNUMBER(A463)),"Enter a date",IF(AND(F463&lt;&gt;"",OR(NOT(ISNUMBER(F463)),N(F463)&lt;0)),"Minutes must be a number of 0 or more",IF(G463="","Enter start and end times, or minutes",IF(C463="","Pick a machine",IF(SUMPRODUCT(--(Setup!$A$5:$A$34=C463))=0,"Machine not in Setup",IF(H463="","Pick a reason (counted as unclassified)",IF(I463="Not in Setup","Reason not in Setup (counted as unclassified)",IF(N(G463)=0,"0 minutes: not counted as a stop","OK")))))))))</f>
        <v/>
      </c>
    </row>
    <row r="464" customFormat="false" ht="15" hidden="false" customHeight="false" outlineLevel="0" collapsed="false">
      <c r="A464" s="11"/>
      <c r="B464" s="9"/>
      <c r="C464" s="9"/>
      <c r="D464" s="12"/>
      <c r="E464" s="12"/>
      <c r="F464" s="13"/>
      <c r="G464" s="14" t="str">
        <f aca="false">IF(F464&lt;&gt;"",IF(AND(ISNUMBER(F464),N(F464)&gt;=0),F464,""),IF(AND(ISNUMBER(D464),ISNUMBER(E464)),ROUND(MOD(E464-D464,1)*1440,0),""))</f>
        <v/>
      </c>
      <c r="H464" s="9"/>
      <c r="I464" s="10" t="str">
        <f aca="false">IF(H464="","",IF(SUMPRODUCT(MAX((Setup!$D$5:$D$34=H464)*(35-ROW(Setup!$D$5:$D$34))))=0,"Not in Setup",INDEX(Setup!$E$5:$E$34,31-SUMPRODUCT(MAX((Setup!$D$5:$D$34=H464)*(35-ROW(Setup!$D$5:$D$34)))))))</f>
        <v/>
      </c>
      <c r="J464" s="9"/>
      <c r="K464" s="10" t="str">
        <f aca="false">IF(AND(A464="",C464="",D464="",E464="",F464="",H464=""),"",IF(NOT(ISNUMBER(A464)),"Enter a date",IF(AND(F464&lt;&gt;"",OR(NOT(ISNUMBER(F464)),N(F464)&lt;0)),"Minutes must be a number of 0 or more",IF(G464="","Enter start and end times, or minutes",IF(C464="","Pick a machine",IF(SUMPRODUCT(--(Setup!$A$5:$A$34=C464))=0,"Machine not in Setup",IF(H464="","Pick a reason (counted as unclassified)",IF(I464="Not in Setup","Reason not in Setup (counted as unclassified)",IF(N(G464)=0,"0 minutes: not counted as a stop","OK")))))))))</f>
        <v/>
      </c>
    </row>
    <row r="465" customFormat="false" ht="15" hidden="false" customHeight="false" outlineLevel="0" collapsed="false">
      <c r="A465" s="11"/>
      <c r="B465" s="9"/>
      <c r="C465" s="9"/>
      <c r="D465" s="12"/>
      <c r="E465" s="12"/>
      <c r="F465" s="13"/>
      <c r="G465" s="14" t="str">
        <f aca="false">IF(F465&lt;&gt;"",IF(AND(ISNUMBER(F465),N(F465)&gt;=0),F465,""),IF(AND(ISNUMBER(D465),ISNUMBER(E465)),ROUND(MOD(E465-D465,1)*1440,0),""))</f>
        <v/>
      </c>
      <c r="H465" s="9"/>
      <c r="I465" s="10" t="str">
        <f aca="false">IF(H465="","",IF(SUMPRODUCT(MAX((Setup!$D$5:$D$34=H465)*(35-ROW(Setup!$D$5:$D$34))))=0,"Not in Setup",INDEX(Setup!$E$5:$E$34,31-SUMPRODUCT(MAX((Setup!$D$5:$D$34=H465)*(35-ROW(Setup!$D$5:$D$34)))))))</f>
        <v/>
      </c>
      <c r="J465" s="9"/>
      <c r="K465" s="10" t="str">
        <f aca="false">IF(AND(A465="",C465="",D465="",E465="",F465="",H465=""),"",IF(NOT(ISNUMBER(A465)),"Enter a date",IF(AND(F465&lt;&gt;"",OR(NOT(ISNUMBER(F465)),N(F465)&lt;0)),"Minutes must be a number of 0 or more",IF(G465="","Enter start and end times, or minutes",IF(C465="","Pick a machine",IF(SUMPRODUCT(--(Setup!$A$5:$A$34=C465))=0,"Machine not in Setup",IF(H465="","Pick a reason (counted as unclassified)",IF(I465="Not in Setup","Reason not in Setup (counted as unclassified)",IF(N(G465)=0,"0 minutes: not counted as a stop","OK")))))))))</f>
        <v/>
      </c>
    </row>
    <row r="466" customFormat="false" ht="15" hidden="false" customHeight="false" outlineLevel="0" collapsed="false">
      <c r="A466" s="11"/>
      <c r="B466" s="9"/>
      <c r="C466" s="9"/>
      <c r="D466" s="12"/>
      <c r="E466" s="12"/>
      <c r="F466" s="13"/>
      <c r="G466" s="14" t="str">
        <f aca="false">IF(F466&lt;&gt;"",IF(AND(ISNUMBER(F466),N(F466)&gt;=0),F466,""),IF(AND(ISNUMBER(D466),ISNUMBER(E466)),ROUND(MOD(E466-D466,1)*1440,0),""))</f>
        <v/>
      </c>
      <c r="H466" s="9"/>
      <c r="I466" s="10" t="str">
        <f aca="false">IF(H466="","",IF(SUMPRODUCT(MAX((Setup!$D$5:$D$34=H466)*(35-ROW(Setup!$D$5:$D$34))))=0,"Not in Setup",INDEX(Setup!$E$5:$E$34,31-SUMPRODUCT(MAX((Setup!$D$5:$D$34=H466)*(35-ROW(Setup!$D$5:$D$34)))))))</f>
        <v/>
      </c>
      <c r="J466" s="9"/>
      <c r="K466" s="10" t="str">
        <f aca="false">IF(AND(A466="",C466="",D466="",E466="",F466="",H466=""),"",IF(NOT(ISNUMBER(A466)),"Enter a date",IF(AND(F466&lt;&gt;"",OR(NOT(ISNUMBER(F466)),N(F466)&lt;0)),"Minutes must be a number of 0 or more",IF(G466="","Enter start and end times, or minutes",IF(C466="","Pick a machine",IF(SUMPRODUCT(--(Setup!$A$5:$A$34=C466))=0,"Machine not in Setup",IF(H466="","Pick a reason (counted as unclassified)",IF(I466="Not in Setup","Reason not in Setup (counted as unclassified)",IF(N(G466)=0,"0 minutes: not counted as a stop","OK")))))))))</f>
        <v/>
      </c>
    </row>
    <row r="467" customFormat="false" ht="15" hidden="false" customHeight="false" outlineLevel="0" collapsed="false">
      <c r="A467" s="11"/>
      <c r="B467" s="9"/>
      <c r="C467" s="9"/>
      <c r="D467" s="12"/>
      <c r="E467" s="12"/>
      <c r="F467" s="13"/>
      <c r="G467" s="14" t="str">
        <f aca="false">IF(F467&lt;&gt;"",IF(AND(ISNUMBER(F467),N(F467)&gt;=0),F467,""),IF(AND(ISNUMBER(D467),ISNUMBER(E467)),ROUND(MOD(E467-D467,1)*1440,0),""))</f>
        <v/>
      </c>
      <c r="H467" s="9"/>
      <c r="I467" s="10" t="str">
        <f aca="false">IF(H467="","",IF(SUMPRODUCT(MAX((Setup!$D$5:$D$34=H467)*(35-ROW(Setup!$D$5:$D$34))))=0,"Not in Setup",INDEX(Setup!$E$5:$E$34,31-SUMPRODUCT(MAX((Setup!$D$5:$D$34=H467)*(35-ROW(Setup!$D$5:$D$34)))))))</f>
        <v/>
      </c>
      <c r="J467" s="9"/>
      <c r="K467" s="10" t="str">
        <f aca="false">IF(AND(A467="",C467="",D467="",E467="",F467="",H467=""),"",IF(NOT(ISNUMBER(A467)),"Enter a date",IF(AND(F467&lt;&gt;"",OR(NOT(ISNUMBER(F467)),N(F467)&lt;0)),"Minutes must be a number of 0 or more",IF(G467="","Enter start and end times, or minutes",IF(C467="","Pick a machine",IF(SUMPRODUCT(--(Setup!$A$5:$A$34=C467))=0,"Machine not in Setup",IF(H467="","Pick a reason (counted as unclassified)",IF(I467="Not in Setup","Reason not in Setup (counted as unclassified)",IF(N(G467)=0,"0 minutes: not counted as a stop","OK")))))))))</f>
        <v/>
      </c>
    </row>
    <row r="468" customFormat="false" ht="15" hidden="false" customHeight="false" outlineLevel="0" collapsed="false">
      <c r="A468" s="11"/>
      <c r="B468" s="9"/>
      <c r="C468" s="9"/>
      <c r="D468" s="12"/>
      <c r="E468" s="12"/>
      <c r="F468" s="13"/>
      <c r="G468" s="14" t="str">
        <f aca="false">IF(F468&lt;&gt;"",IF(AND(ISNUMBER(F468),N(F468)&gt;=0),F468,""),IF(AND(ISNUMBER(D468),ISNUMBER(E468)),ROUND(MOD(E468-D468,1)*1440,0),""))</f>
        <v/>
      </c>
      <c r="H468" s="9"/>
      <c r="I468" s="10" t="str">
        <f aca="false">IF(H468="","",IF(SUMPRODUCT(MAX((Setup!$D$5:$D$34=H468)*(35-ROW(Setup!$D$5:$D$34))))=0,"Not in Setup",INDEX(Setup!$E$5:$E$34,31-SUMPRODUCT(MAX((Setup!$D$5:$D$34=H468)*(35-ROW(Setup!$D$5:$D$34)))))))</f>
        <v/>
      </c>
      <c r="J468" s="9"/>
      <c r="K468" s="10" t="str">
        <f aca="false">IF(AND(A468="",C468="",D468="",E468="",F468="",H468=""),"",IF(NOT(ISNUMBER(A468)),"Enter a date",IF(AND(F468&lt;&gt;"",OR(NOT(ISNUMBER(F468)),N(F468)&lt;0)),"Minutes must be a number of 0 or more",IF(G468="","Enter start and end times, or minutes",IF(C468="","Pick a machine",IF(SUMPRODUCT(--(Setup!$A$5:$A$34=C468))=0,"Machine not in Setup",IF(H468="","Pick a reason (counted as unclassified)",IF(I468="Not in Setup","Reason not in Setup (counted as unclassified)",IF(N(G468)=0,"0 minutes: not counted as a stop","OK")))))))))</f>
        <v/>
      </c>
    </row>
    <row r="469" customFormat="false" ht="15" hidden="false" customHeight="false" outlineLevel="0" collapsed="false">
      <c r="A469" s="11"/>
      <c r="B469" s="9"/>
      <c r="C469" s="9"/>
      <c r="D469" s="12"/>
      <c r="E469" s="12"/>
      <c r="F469" s="13"/>
      <c r="G469" s="14" t="str">
        <f aca="false">IF(F469&lt;&gt;"",IF(AND(ISNUMBER(F469),N(F469)&gt;=0),F469,""),IF(AND(ISNUMBER(D469),ISNUMBER(E469)),ROUND(MOD(E469-D469,1)*1440,0),""))</f>
        <v/>
      </c>
      <c r="H469" s="9"/>
      <c r="I469" s="10" t="str">
        <f aca="false">IF(H469="","",IF(SUMPRODUCT(MAX((Setup!$D$5:$D$34=H469)*(35-ROW(Setup!$D$5:$D$34))))=0,"Not in Setup",INDEX(Setup!$E$5:$E$34,31-SUMPRODUCT(MAX((Setup!$D$5:$D$34=H469)*(35-ROW(Setup!$D$5:$D$34)))))))</f>
        <v/>
      </c>
      <c r="J469" s="9"/>
      <c r="K469" s="10" t="str">
        <f aca="false">IF(AND(A469="",C469="",D469="",E469="",F469="",H469=""),"",IF(NOT(ISNUMBER(A469)),"Enter a date",IF(AND(F469&lt;&gt;"",OR(NOT(ISNUMBER(F469)),N(F469)&lt;0)),"Minutes must be a number of 0 or more",IF(G469="","Enter start and end times, or minutes",IF(C469="","Pick a machine",IF(SUMPRODUCT(--(Setup!$A$5:$A$34=C469))=0,"Machine not in Setup",IF(H469="","Pick a reason (counted as unclassified)",IF(I469="Not in Setup","Reason not in Setup (counted as unclassified)",IF(N(G469)=0,"0 minutes: not counted as a stop","OK")))))))))</f>
        <v/>
      </c>
    </row>
    <row r="470" customFormat="false" ht="15" hidden="false" customHeight="false" outlineLevel="0" collapsed="false">
      <c r="A470" s="11"/>
      <c r="B470" s="9"/>
      <c r="C470" s="9"/>
      <c r="D470" s="12"/>
      <c r="E470" s="12"/>
      <c r="F470" s="13"/>
      <c r="G470" s="14" t="str">
        <f aca="false">IF(F470&lt;&gt;"",IF(AND(ISNUMBER(F470),N(F470)&gt;=0),F470,""),IF(AND(ISNUMBER(D470),ISNUMBER(E470)),ROUND(MOD(E470-D470,1)*1440,0),""))</f>
        <v/>
      </c>
      <c r="H470" s="9"/>
      <c r="I470" s="10" t="str">
        <f aca="false">IF(H470="","",IF(SUMPRODUCT(MAX((Setup!$D$5:$D$34=H470)*(35-ROW(Setup!$D$5:$D$34))))=0,"Not in Setup",INDEX(Setup!$E$5:$E$34,31-SUMPRODUCT(MAX((Setup!$D$5:$D$34=H470)*(35-ROW(Setup!$D$5:$D$34)))))))</f>
        <v/>
      </c>
      <c r="J470" s="9"/>
      <c r="K470" s="10" t="str">
        <f aca="false">IF(AND(A470="",C470="",D470="",E470="",F470="",H470=""),"",IF(NOT(ISNUMBER(A470)),"Enter a date",IF(AND(F470&lt;&gt;"",OR(NOT(ISNUMBER(F470)),N(F470)&lt;0)),"Minutes must be a number of 0 or more",IF(G470="","Enter start and end times, or minutes",IF(C470="","Pick a machine",IF(SUMPRODUCT(--(Setup!$A$5:$A$34=C470))=0,"Machine not in Setup",IF(H470="","Pick a reason (counted as unclassified)",IF(I470="Not in Setup","Reason not in Setup (counted as unclassified)",IF(N(G470)=0,"0 minutes: not counted as a stop","OK")))))))))</f>
        <v/>
      </c>
    </row>
    <row r="471" customFormat="false" ht="15" hidden="false" customHeight="false" outlineLevel="0" collapsed="false">
      <c r="A471" s="11"/>
      <c r="B471" s="9"/>
      <c r="C471" s="9"/>
      <c r="D471" s="12"/>
      <c r="E471" s="12"/>
      <c r="F471" s="13"/>
      <c r="G471" s="14" t="str">
        <f aca="false">IF(F471&lt;&gt;"",IF(AND(ISNUMBER(F471),N(F471)&gt;=0),F471,""),IF(AND(ISNUMBER(D471),ISNUMBER(E471)),ROUND(MOD(E471-D471,1)*1440,0),""))</f>
        <v/>
      </c>
      <c r="H471" s="9"/>
      <c r="I471" s="10" t="str">
        <f aca="false">IF(H471="","",IF(SUMPRODUCT(MAX((Setup!$D$5:$D$34=H471)*(35-ROW(Setup!$D$5:$D$34))))=0,"Not in Setup",INDEX(Setup!$E$5:$E$34,31-SUMPRODUCT(MAX((Setup!$D$5:$D$34=H471)*(35-ROW(Setup!$D$5:$D$34)))))))</f>
        <v/>
      </c>
      <c r="J471" s="9"/>
      <c r="K471" s="10" t="str">
        <f aca="false">IF(AND(A471="",C471="",D471="",E471="",F471="",H471=""),"",IF(NOT(ISNUMBER(A471)),"Enter a date",IF(AND(F471&lt;&gt;"",OR(NOT(ISNUMBER(F471)),N(F471)&lt;0)),"Minutes must be a number of 0 or more",IF(G471="","Enter start and end times, or minutes",IF(C471="","Pick a machine",IF(SUMPRODUCT(--(Setup!$A$5:$A$34=C471))=0,"Machine not in Setup",IF(H471="","Pick a reason (counted as unclassified)",IF(I471="Not in Setup","Reason not in Setup (counted as unclassified)",IF(N(G471)=0,"0 minutes: not counted as a stop","OK")))))))))</f>
        <v/>
      </c>
    </row>
    <row r="472" customFormat="false" ht="15" hidden="false" customHeight="false" outlineLevel="0" collapsed="false">
      <c r="A472" s="11"/>
      <c r="B472" s="9"/>
      <c r="C472" s="9"/>
      <c r="D472" s="12"/>
      <c r="E472" s="12"/>
      <c r="F472" s="13"/>
      <c r="G472" s="14" t="str">
        <f aca="false">IF(F472&lt;&gt;"",IF(AND(ISNUMBER(F472),N(F472)&gt;=0),F472,""),IF(AND(ISNUMBER(D472),ISNUMBER(E472)),ROUND(MOD(E472-D472,1)*1440,0),""))</f>
        <v/>
      </c>
      <c r="H472" s="9"/>
      <c r="I472" s="10" t="str">
        <f aca="false">IF(H472="","",IF(SUMPRODUCT(MAX((Setup!$D$5:$D$34=H472)*(35-ROW(Setup!$D$5:$D$34))))=0,"Not in Setup",INDEX(Setup!$E$5:$E$34,31-SUMPRODUCT(MAX((Setup!$D$5:$D$34=H472)*(35-ROW(Setup!$D$5:$D$34)))))))</f>
        <v/>
      </c>
      <c r="J472" s="9"/>
      <c r="K472" s="10" t="str">
        <f aca="false">IF(AND(A472="",C472="",D472="",E472="",F472="",H472=""),"",IF(NOT(ISNUMBER(A472)),"Enter a date",IF(AND(F472&lt;&gt;"",OR(NOT(ISNUMBER(F472)),N(F472)&lt;0)),"Minutes must be a number of 0 or more",IF(G472="","Enter start and end times, or minutes",IF(C472="","Pick a machine",IF(SUMPRODUCT(--(Setup!$A$5:$A$34=C472))=0,"Machine not in Setup",IF(H472="","Pick a reason (counted as unclassified)",IF(I472="Not in Setup","Reason not in Setup (counted as unclassified)",IF(N(G472)=0,"0 minutes: not counted as a stop","OK")))))))))</f>
        <v/>
      </c>
    </row>
    <row r="473" customFormat="false" ht="15" hidden="false" customHeight="false" outlineLevel="0" collapsed="false">
      <c r="A473" s="11"/>
      <c r="B473" s="9"/>
      <c r="C473" s="9"/>
      <c r="D473" s="12"/>
      <c r="E473" s="12"/>
      <c r="F473" s="13"/>
      <c r="G473" s="14" t="str">
        <f aca="false">IF(F473&lt;&gt;"",IF(AND(ISNUMBER(F473),N(F473)&gt;=0),F473,""),IF(AND(ISNUMBER(D473),ISNUMBER(E473)),ROUND(MOD(E473-D473,1)*1440,0),""))</f>
        <v/>
      </c>
      <c r="H473" s="9"/>
      <c r="I473" s="10" t="str">
        <f aca="false">IF(H473="","",IF(SUMPRODUCT(MAX((Setup!$D$5:$D$34=H473)*(35-ROW(Setup!$D$5:$D$34))))=0,"Not in Setup",INDEX(Setup!$E$5:$E$34,31-SUMPRODUCT(MAX((Setup!$D$5:$D$34=H473)*(35-ROW(Setup!$D$5:$D$34)))))))</f>
        <v/>
      </c>
      <c r="J473" s="9"/>
      <c r="K473" s="10" t="str">
        <f aca="false">IF(AND(A473="",C473="",D473="",E473="",F473="",H473=""),"",IF(NOT(ISNUMBER(A473)),"Enter a date",IF(AND(F473&lt;&gt;"",OR(NOT(ISNUMBER(F473)),N(F473)&lt;0)),"Minutes must be a number of 0 or more",IF(G473="","Enter start and end times, or minutes",IF(C473="","Pick a machine",IF(SUMPRODUCT(--(Setup!$A$5:$A$34=C473))=0,"Machine not in Setup",IF(H473="","Pick a reason (counted as unclassified)",IF(I473="Not in Setup","Reason not in Setup (counted as unclassified)",IF(N(G473)=0,"0 minutes: not counted as a stop","OK")))))))))</f>
        <v/>
      </c>
    </row>
    <row r="474" customFormat="false" ht="15" hidden="false" customHeight="false" outlineLevel="0" collapsed="false">
      <c r="A474" s="11"/>
      <c r="B474" s="9"/>
      <c r="C474" s="9"/>
      <c r="D474" s="12"/>
      <c r="E474" s="12"/>
      <c r="F474" s="13"/>
      <c r="G474" s="14" t="str">
        <f aca="false">IF(F474&lt;&gt;"",IF(AND(ISNUMBER(F474),N(F474)&gt;=0),F474,""),IF(AND(ISNUMBER(D474),ISNUMBER(E474)),ROUND(MOD(E474-D474,1)*1440,0),""))</f>
        <v/>
      </c>
      <c r="H474" s="9"/>
      <c r="I474" s="10" t="str">
        <f aca="false">IF(H474="","",IF(SUMPRODUCT(MAX((Setup!$D$5:$D$34=H474)*(35-ROW(Setup!$D$5:$D$34))))=0,"Not in Setup",INDEX(Setup!$E$5:$E$34,31-SUMPRODUCT(MAX((Setup!$D$5:$D$34=H474)*(35-ROW(Setup!$D$5:$D$34)))))))</f>
        <v/>
      </c>
      <c r="J474" s="9"/>
      <c r="K474" s="10" t="str">
        <f aca="false">IF(AND(A474="",C474="",D474="",E474="",F474="",H474=""),"",IF(NOT(ISNUMBER(A474)),"Enter a date",IF(AND(F474&lt;&gt;"",OR(NOT(ISNUMBER(F474)),N(F474)&lt;0)),"Minutes must be a number of 0 or more",IF(G474="","Enter start and end times, or minutes",IF(C474="","Pick a machine",IF(SUMPRODUCT(--(Setup!$A$5:$A$34=C474))=0,"Machine not in Setup",IF(H474="","Pick a reason (counted as unclassified)",IF(I474="Not in Setup","Reason not in Setup (counted as unclassified)",IF(N(G474)=0,"0 minutes: not counted as a stop","OK")))))))))</f>
        <v/>
      </c>
    </row>
    <row r="475" customFormat="false" ht="15" hidden="false" customHeight="false" outlineLevel="0" collapsed="false">
      <c r="A475" s="11"/>
      <c r="B475" s="9"/>
      <c r="C475" s="9"/>
      <c r="D475" s="12"/>
      <c r="E475" s="12"/>
      <c r="F475" s="13"/>
      <c r="G475" s="14" t="str">
        <f aca="false">IF(F475&lt;&gt;"",IF(AND(ISNUMBER(F475),N(F475)&gt;=0),F475,""),IF(AND(ISNUMBER(D475),ISNUMBER(E475)),ROUND(MOD(E475-D475,1)*1440,0),""))</f>
        <v/>
      </c>
      <c r="H475" s="9"/>
      <c r="I475" s="10" t="str">
        <f aca="false">IF(H475="","",IF(SUMPRODUCT(MAX((Setup!$D$5:$D$34=H475)*(35-ROW(Setup!$D$5:$D$34))))=0,"Not in Setup",INDEX(Setup!$E$5:$E$34,31-SUMPRODUCT(MAX((Setup!$D$5:$D$34=H475)*(35-ROW(Setup!$D$5:$D$34)))))))</f>
        <v/>
      </c>
      <c r="J475" s="9"/>
      <c r="K475" s="10" t="str">
        <f aca="false">IF(AND(A475="",C475="",D475="",E475="",F475="",H475=""),"",IF(NOT(ISNUMBER(A475)),"Enter a date",IF(AND(F475&lt;&gt;"",OR(NOT(ISNUMBER(F475)),N(F475)&lt;0)),"Minutes must be a number of 0 or more",IF(G475="","Enter start and end times, or minutes",IF(C475="","Pick a machine",IF(SUMPRODUCT(--(Setup!$A$5:$A$34=C475))=0,"Machine not in Setup",IF(H475="","Pick a reason (counted as unclassified)",IF(I475="Not in Setup","Reason not in Setup (counted as unclassified)",IF(N(G475)=0,"0 minutes: not counted as a stop","OK")))))))))</f>
        <v/>
      </c>
    </row>
    <row r="476" customFormat="false" ht="15" hidden="false" customHeight="false" outlineLevel="0" collapsed="false">
      <c r="A476" s="11"/>
      <c r="B476" s="9"/>
      <c r="C476" s="9"/>
      <c r="D476" s="12"/>
      <c r="E476" s="12"/>
      <c r="F476" s="13"/>
      <c r="G476" s="14" t="str">
        <f aca="false">IF(F476&lt;&gt;"",IF(AND(ISNUMBER(F476),N(F476)&gt;=0),F476,""),IF(AND(ISNUMBER(D476),ISNUMBER(E476)),ROUND(MOD(E476-D476,1)*1440,0),""))</f>
        <v/>
      </c>
      <c r="H476" s="9"/>
      <c r="I476" s="10" t="str">
        <f aca="false">IF(H476="","",IF(SUMPRODUCT(MAX((Setup!$D$5:$D$34=H476)*(35-ROW(Setup!$D$5:$D$34))))=0,"Not in Setup",INDEX(Setup!$E$5:$E$34,31-SUMPRODUCT(MAX((Setup!$D$5:$D$34=H476)*(35-ROW(Setup!$D$5:$D$34)))))))</f>
        <v/>
      </c>
      <c r="J476" s="9"/>
      <c r="K476" s="10" t="str">
        <f aca="false">IF(AND(A476="",C476="",D476="",E476="",F476="",H476=""),"",IF(NOT(ISNUMBER(A476)),"Enter a date",IF(AND(F476&lt;&gt;"",OR(NOT(ISNUMBER(F476)),N(F476)&lt;0)),"Minutes must be a number of 0 or more",IF(G476="","Enter start and end times, or minutes",IF(C476="","Pick a machine",IF(SUMPRODUCT(--(Setup!$A$5:$A$34=C476))=0,"Machine not in Setup",IF(H476="","Pick a reason (counted as unclassified)",IF(I476="Not in Setup","Reason not in Setup (counted as unclassified)",IF(N(G476)=0,"0 minutes: not counted as a stop","OK")))))))))</f>
        <v/>
      </c>
    </row>
    <row r="477" customFormat="false" ht="15" hidden="false" customHeight="false" outlineLevel="0" collapsed="false">
      <c r="A477" s="11"/>
      <c r="B477" s="9"/>
      <c r="C477" s="9"/>
      <c r="D477" s="12"/>
      <c r="E477" s="12"/>
      <c r="F477" s="13"/>
      <c r="G477" s="14" t="str">
        <f aca="false">IF(F477&lt;&gt;"",IF(AND(ISNUMBER(F477),N(F477)&gt;=0),F477,""),IF(AND(ISNUMBER(D477),ISNUMBER(E477)),ROUND(MOD(E477-D477,1)*1440,0),""))</f>
        <v/>
      </c>
      <c r="H477" s="9"/>
      <c r="I477" s="10" t="str">
        <f aca="false">IF(H477="","",IF(SUMPRODUCT(MAX((Setup!$D$5:$D$34=H477)*(35-ROW(Setup!$D$5:$D$34))))=0,"Not in Setup",INDEX(Setup!$E$5:$E$34,31-SUMPRODUCT(MAX((Setup!$D$5:$D$34=H477)*(35-ROW(Setup!$D$5:$D$34)))))))</f>
        <v/>
      </c>
      <c r="J477" s="9"/>
      <c r="K477" s="10" t="str">
        <f aca="false">IF(AND(A477="",C477="",D477="",E477="",F477="",H477=""),"",IF(NOT(ISNUMBER(A477)),"Enter a date",IF(AND(F477&lt;&gt;"",OR(NOT(ISNUMBER(F477)),N(F477)&lt;0)),"Minutes must be a number of 0 or more",IF(G477="","Enter start and end times, or minutes",IF(C477="","Pick a machine",IF(SUMPRODUCT(--(Setup!$A$5:$A$34=C477))=0,"Machine not in Setup",IF(H477="","Pick a reason (counted as unclassified)",IF(I477="Not in Setup","Reason not in Setup (counted as unclassified)",IF(N(G477)=0,"0 minutes: not counted as a stop","OK")))))))))</f>
        <v/>
      </c>
    </row>
    <row r="478" customFormat="false" ht="15" hidden="false" customHeight="false" outlineLevel="0" collapsed="false">
      <c r="A478" s="11"/>
      <c r="B478" s="9"/>
      <c r="C478" s="9"/>
      <c r="D478" s="12"/>
      <c r="E478" s="12"/>
      <c r="F478" s="13"/>
      <c r="G478" s="14" t="str">
        <f aca="false">IF(F478&lt;&gt;"",IF(AND(ISNUMBER(F478),N(F478)&gt;=0),F478,""),IF(AND(ISNUMBER(D478),ISNUMBER(E478)),ROUND(MOD(E478-D478,1)*1440,0),""))</f>
        <v/>
      </c>
      <c r="H478" s="9"/>
      <c r="I478" s="10" t="str">
        <f aca="false">IF(H478="","",IF(SUMPRODUCT(MAX((Setup!$D$5:$D$34=H478)*(35-ROW(Setup!$D$5:$D$34))))=0,"Not in Setup",INDEX(Setup!$E$5:$E$34,31-SUMPRODUCT(MAX((Setup!$D$5:$D$34=H478)*(35-ROW(Setup!$D$5:$D$34)))))))</f>
        <v/>
      </c>
      <c r="J478" s="9"/>
      <c r="K478" s="10" t="str">
        <f aca="false">IF(AND(A478="",C478="",D478="",E478="",F478="",H478=""),"",IF(NOT(ISNUMBER(A478)),"Enter a date",IF(AND(F478&lt;&gt;"",OR(NOT(ISNUMBER(F478)),N(F478)&lt;0)),"Minutes must be a number of 0 or more",IF(G478="","Enter start and end times, or minutes",IF(C478="","Pick a machine",IF(SUMPRODUCT(--(Setup!$A$5:$A$34=C478))=0,"Machine not in Setup",IF(H478="","Pick a reason (counted as unclassified)",IF(I478="Not in Setup","Reason not in Setup (counted as unclassified)",IF(N(G478)=0,"0 minutes: not counted as a stop","OK")))))))))</f>
        <v/>
      </c>
    </row>
    <row r="479" customFormat="false" ht="15" hidden="false" customHeight="false" outlineLevel="0" collapsed="false">
      <c r="A479" s="11"/>
      <c r="B479" s="9"/>
      <c r="C479" s="9"/>
      <c r="D479" s="12"/>
      <c r="E479" s="12"/>
      <c r="F479" s="13"/>
      <c r="G479" s="14" t="str">
        <f aca="false">IF(F479&lt;&gt;"",IF(AND(ISNUMBER(F479),N(F479)&gt;=0),F479,""),IF(AND(ISNUMBER(D479),ISNUMBER(E479)),ROUND(MOD(E479-D479,1)*1440,0),""))</f>
        <v/>
      </c>
      <c r="H479" s="9"/>
      <c r="I479" s="10" t="str">
        <f aca="false">IF(H479="","",IF(SUMPRODUCT(MAX((Setup!$D$5:$D$34=H479)*(35-ROW(Setup!$D$5:$D$34))))=0,"Not in Setup",INDEX(Setup!$E$5:$E$34,31-SUMPRODUCT(MAX((Setup!$D$5:$D$34=H479)*(35-ROW(Setup!$D$5:$D$34)))))))</f>
        <v/>
      </c>
      <c r="J479" s="9"/>
      <c r="K479" s="10" t="str">
        <f aca="false">IF(AND(A479="",C479="",D479="",E479="",F479="",H479=""),"",IF(NOT(ISNUMBER(A479)),"Enter a date",IF(AND(F479&lt;&gt;"",OR(NOT(ISNUMBER(F479)),N(F479)&lt;0)),"Minutes must be a number of 0 or more",IF(G479="","Enter start and end times, or minutes",IF(C479="","Pick a machine",IF(SUMPRODUCT(--(Setup!$A$5:$A$34=C479))=0,"Machine not in Setup",IF(H479="","Pick a reason (counted as unclassified)",IF(I479="Not in Setup","Reason not in Setup (counted as unclassified)",IF(N(G479)=0,"0 minutes: not counted as a stop","OK")))))))))</f>
        <v/>
      </c>
    </row>
    <row r="480" customFormat="false" ht="15" hidden="false" customHeight="false" outlineLevel="0" collapsed="false">
      <c r="A480" s="11"/>
      <c r="B480" s="9"/>
      <c r="C480" s="9"/>
      <c r="D480" s="12"/>
      <c r="E480" s="12"/>
      <c r="F480" s="13"/>
      <c r="G480" s="14" t="str">
        <f aca="false">IF(F480&lt;&gt;"",IF(AND(ISNUMBER(F480),N(F480)&gt;=0),F480,""),IF(AND(ISNUMBER(D480),ISNUMBER(E480)),ROUND(MOD(E480-D480,1)*1440,0),""))</f>
        <v/>
      </c>
      <c r="H480" s="9"/>
      <c r="I480" s="10" t="str">
        <f aca="false">IF(H480="","",IF(SUMPRODUCT(MAX((Setup!$D$5:$D$34=H480)*(35-ROW(Setup!$D$5:$D$34))))=0,"Not in Setup",INDEX(Setup!$E$5:$E$34,31-SUMPRODUCT(MAX((Setup!$D$5:$D$34=H480)*(35-ROW(Setup!$D$5:$D$34)))))))</f>
        <v/>
      </c>
      <c r="J480" s="9"/>
      <c r="K480" s="10" t="str">
        <f aca="false">IF(AND(A480="",C480="",D480="",E480="",F480="",H480=""),"",IF(NOT(ISNUMBER(A480)),"Enter a date",IF(AND(F480&lt;&gt;"",OR(NOT(ISNUMBER(F480)),N(F480)&lt;0)),"Minutes must be a number of 0 or more",IF(G480="","Enter start and end times, or minutes",IF(C480="","Pick a machine",IF(SUMPRODUCT(--(Setup!$A$5:$A$34=C480))=0,"Machine not in Setup",IF(H480="","Pick a reason (counted as unclassified)",IF(I480="Not in Setup","Reason not in Setup (counted as unclassified)",IF(N(G480)=0,"0 minutes: not counted as a stop","OK")))))))))</f>
        <v/>
      </c>
    </row>
    <row r="481" customFormat="false" ht="15" hidden="false" customHeight="false" outlineLevel="0" collapsed="false">
      <c r="A481" s="11"/>
      <c r="B481" s="9"/>
      <c r="C481" s="9"/>
      <c r="D481" s="12"/>
      <c r="E481" s="12"/>
      <c r="F481" s="13"/>
      <c r="G481" s="14" t="str">
        <f aca="false">IF(F481&lt;&gt;"",IF(AND(ISNUMBER(F481),N(F481)&gt;=0),F481,""),IF(AND(ISNUMBER(D481),ISNUMBER(E481)),ROUND(MOD(E481-D481,1)*1440,0),""))</f>
        <v/>
      </c>
      <c r="H481" s="9"/>
      <c r="I481" s="10" t="str">
        <f aca="false">IF(H481="","",IF(SUMPRODUCT(MAX((Setup!$D$5:$D$34=H481)*(35-ROW(Setup!$D$5:$D$34))))=0,"Not in Setup",INDEX(Setup!$E$5:$E$34,31-SUMPRODUCT(MAX((Setup!$D$5:$D$34=H481)*(35-ROW(Setup!$D$5:$D$34)))))))</f>
        <v/>
      </c>
      <c r="J481" s="9"/>
      <c r="K481" s="10" t="str">
        <f aca="false">IF(AND(A481="",C481="",D481="",E481="",F481="",H481=""),"",IF(NOT(ISNUMBER(A481)),"Enter a date",IF(AND(F481&lt;&gt;"",OR(NOT(ISNUMBER(F481)),N(F481)&lt;0)),"Minutes must be a number of 0 or more",IF(G481="","Enter start and end times, or minutes",IF(C481="","Pick a machine",IF(SUMPRODUCT(--(Setup!$A$5:$A$34=C481))=0,"Machine not in Setup",IF(H481="","Pick a reason (counted as unclassified)",IF(I481="Not in Setup","Reason not in Setup (counted as unclassified)",IF(N(G481)=0,"0 minutes: not counted as a stop","OK")))))))))</f>
        <v/>
      </c>
    </row>
    <row r="482" customFormat="false" ht="15" hidden="false" customHeight="false" outlineLevel="0" collapsed="false">
      <c r="A482" s="11"/>
      <c r="B482" s="9"/>
      <c r="C482" s="9"/>
      <c r="D482" s="12"/>
      <c r="E482" s="12"/>
      <c r="F482" s="13"/>
      <c r="G482" s="14" t="str">
        <f aca="false">IF(F482&lt;&gt;"",IF(AND(ISNUMBER(F482),N(F482)&gt;=0),F482,""),IF(AND(ISNUMBER(D482),ISNUMBER(E482)),ROUND(MOD(E482-D482,1)*1440,0),""))</f>
        <v/>
      </c>
      <c r="H482" s="9"/>
      <c r="I482" s="10" t="str">
        <f aca="false">IF(H482="","",IF(SUMPRODUCT(MAX((Setup!$D$5:$D$34=H482)*(35-ROW(Setup!$D$5:$D$34))))=0,"Not in Setup",INDEX(Setup!$E$5:$E$34,31-SUMPRODUCT(MAX((Setup!$D$5:$D$34=H482)*(35-ROW(Setup!$D$5:$D$34)))))))</f>
        <v/>
      </c>
      <c r="J482" s="9"/>
      <c r="K482" s="10" t="str">
        <f aca="false">IF(AND(A482="",C482="",D482="",E482="",F482="",H482=""),"",IF(NOT(ISNUMBER(A482)),"Enter a date",IF(AND(F482&lt;&gt;"",OR(NOT(ISNUMBER(F482)),N(F482)&lt;0)),"Minutes must be a number of 0 or more",IF(G482="","Enter start and end times, or minutes",IF(C482="","Pick a machine",IF(SUMPRODUCT(--(Setup!$A$5:$A$34=C482))=0,"Machine not in Setup",IF(H482="","Pick a reason (counted as unclassified)",IF(I482="Not in Setup","Reason not in Setup (counted as unclassified)",IF(N(G482)=0,"0 minutes: not counted as a stop","OK")))))))))</f>
        <v/>
      </c>
    </row>
    <row r="483" customFormat="false" ht="15" hidden="false" customHeight="false" outlineLevel="0" collapsed="false">
      <c r="A483" s="11"/>
      <c r="B483" s="9"/>
      <c r="C483" s="9"/>
      <c r="D483" s="12"/>
      <c r="E483" s="12"/>
      <c r="F483" s="13"/>
      <c r="G483" s="14" t="str">
        <f aca="false">IF(F483&lt;&gt;"",IF(AND(ISNUMBER(F483),N(F483)&gt;=0),F483,""),IF(AND(ISNUMBER(D483),ISNUMBER(E483)),ROUND(MOD(E483-D483,1)*1440,0),""))</f>
        <v/>
      </c>
      <c r="H483" s="9"/>
      <c r="I483" s="10" t="str">
        <f aca="false">IF(H483="","",IF(SUMPRODUCT(MAX((Setup!$D$5:$D$34=H483)*(35-ROW(Setup!$D$5:$D$34))))=0,"Not in Setup",INDEX(Setup!$E$5:$E$34,31-SUMPRODUCT(MAX((Setup!$D$5:$D$34=H483)*(35-ROW(Setup!$D$5:$D$34)))))))</f>
        <v/>
      </c>
      <c r="J483" s="9"/>
      <c r="K483" s="10" t="str">
        <f aca="false">IF(AND(A483="",C483="",D483="",E483="",F483="",H483=""),"",IF(NOT(ISNUMBER(A483)),"Enter a date",IF(AND(F483&lt;&gt;"",OR(NOT(ISNUMBER(F483)),N(F483)&lt;0)),"Minutes must be a number of 0 or more",IF(G483="","Enter start and end times, or minutes",IF(C483="","Pick a machine",IF(SUMPRODUCT(--(Setup!$A$5:$A$34=C483))=0,"Machine not in Setup",IF(H483="","Pick a reason (counted as unclassified)",IF(I483="Not in Setup","Reason not in Setup (counted as unclassified)",IF(N(G483)=0,"0 minutes: not counted as a stop","OK")))))))))</f>
        <v/>
      </c>
    </row>
    <row r="484" customFormat="false" ht="15" hidden="false" customHeight="false" outlineLevel="0" collapsed="false">
      <c r="A484" s="11"/>
      <c r="B484" s="9"/>
      <c r="C484" s="9"/>
      <c r="D484" s="12"/>
      <c r="E484" s="12"/>
      <c r="F484" s="13"/>
      <c r="G484" s="14" t="str">
        <f aca="false">IF(F484&lt;&gt;"",IF(AND(ISNUMBER(F484),N(F484)&gt;=0),F484,""),IF(AND(ISNUMBER(D484),ISNUMBER(E484)),ROUND(MOD(E484-D484,1)*1440,0),""))</f>
        <v/>
      </c>
      <c r="H484" s="9"/>
      <c r="I484" s="10" t="str">
        <f aca="false">IF(H484="","",IF(SUMPRODUCT(MAX((Setup!$D$5:$D$34=H484)*(35-ROW(Setup!$D$5:$D$34))))=0,"Not in Setup",INDEX(Setup!$E$5:$E$34,31-SUMPRODUCT(MAX((Setup!$D$5:$D$34=H484)*(35-ROW(Setup!$D$5:$D$34)))))))</f>
        <v/>
      </c>
      <c r="J484" s="9"/>
      <c r="K484" s="10" t="str">
        <f aca="false">IF(AND(A484="",C484="",D484="",E484="",F484="",H484=""),"",IF(NOT(ISNUMBER(A484)),"Enter a date",IF(AND(F484&lt;&gt;"",OR(NOT(ISNUMBER(F484)),N(F484)&lt;0)),"Minutes must be a number of 0 or more",IF(G484="","Enter start and end times, or minutes",IF(C484="","Pick a machine",IF(SUMPRODUCT(--(Setup!$A$5:$A$34=C484))=0,"Machine not in Setup",IF(H484="","Pick a reason (counted as unclassified)",IF(I484="Not in Setup","Reason not in Setup (counted as unclassified)",IF(N(G484)=0,"0 minutes: not counted as a stop","OK")))))))))</f>
        <v/>
      </c>
    </row>
    <row r="485" customFormat="false" ht="15" hidden="false" customHeight="false" outlineLevel="0" collapsed="false">
      <c r="A485" s="11"/>
      <c r="B485" s="9"/>
      <c r="C485" s="9"/>
      <c r="D485" s="12"/>
      <c r="E485" s="12"/>
      <c r="F485" s="13"/>
      <c r="G485" s="14" t="str">
        <f aca="false">IF(F485&lt;&gt;"",IF(AND(ISNUMBER(F485),N(F485)&gt;=0),F485,""),IF(AND(ISNUMBER(D485),ISNUMBER(E485)),ROUND(MOD(E485-D485,1)*1440,0),""))</f>
        <v/>
      </c>
      <c r="H485" s="9"/>
      <c r="I485" s="10" t="str">
        <f aca="false">IF(H485="","",IF(SUMPRODUCT(MAX((Setup!$D$5:$D$34=H485)*(35-ROW(Setup!$D$5:$D$34))))=0,"Not in Setup",INDEX(Setup!$E$5:$E$34,31-SUMPRODUCT(MAX((Setup!$D$5:$D$34=H485)*(35-ROW(Setup!$D$5:$D$34)))))))</f>
        <v/>
      </c>
      <c r="J485" s="9"/>
      <c r="K485" s="10" t="str">
        <f aca="false">IF(AND(A485="",C485="",D485="",E485="",F485="",H485=""),"",IF(NOT(ISNUMBER(A485)),"Enter a date",IF(AND(F485&lt;&gt;"",OR(NOT(ISNUMBER(F485)),N(F485)&lt;0)),"Minutes must be a number of 0 or more",IF(G485="","Enter start and end times, or minutes",IF(C485="","Pick a machine",IF(SUMPRODUCT(--(Setup!$A$5:$A$34=C485))=0,"Machine not in Setup",IF(H485="","Pick a reason (counted as unclassified)",IF(I485="Not in Setup","Reason not in Setup (counted as unclassified)",IF(N(G485)=0,"0 minutes: not counted as a stop","OK")))))))))</f>
        <v/>
      </c>
    </row>
    <row r="486" customFormat="false" ht="15" hidden="false" customHeight="false" outlineLevel="0" collapsed="false">
      <c r="A486" s="11"/>
      <c r="B486" s="9"/>
      <c r="C486" s="9"/>
      <c r="D486" s="12"/>
      <c r="E486" s="12"/>
      <c r="F486" s="13"/>
      <c r="G486" s="14" t="str">
        <f aca="false">IF(F486&lt;&gt;"",IF(AND(ISNUMBER(F486),N(F486)&gt;=0),F486,""),IF(AND(ISNUMBER(D486),ISNUMBER(E486)),ROUND(MOD(E486-D486,1)*1440,0),""))</f>
        <v/>
      </c>
      <c r="H486" s="9"/>
      <c r="I486" s="10" t="str">
        <f aca="false">IF(H486="","",IF(SUMPRODUCT(MAX((Setup!$D$5:$D$34=H486)*(35-ROW(Setup!$D$5:$D$34))))=0,"Not in Setup",INDEX(Setup!$E$5:$E$34,31-SUMPRODUCT(MAX((Setup!$D$5:$D$34=H486)*(35-ROW(Setup!$D$5:$D$34)))))))</f>
        <v/>
      </c>
      <c r="J486" s="9"/>
      <c r="K486" s="10" t="str">
        <f aca="false">IF(AND(A486="",C486="",D486="",E486="",F486="",H486=""),"",IF(NOT(ISNUMBER(A486)),"Enter a date",IF(AND(F486&lt;&gt;"",OR(NOT(ISNUMBER(F486)),N(F486)&lt;0)),"Minutes must be a number of 0 or more",IF(G486="","Enter start and end times, or minutes",IF(C486="","Pick a machine",IF(SUMPRODUCT(--(Setup!$A$5:$A$34=C486))=0,"Machine not in Setup",IF(H486="","Pick a reason (counted as unclassified)",IF(I486="Not in Setup","Reason not in Setup (counted as unclassified)",IF(N(G486)=0,"0 minutes: not counted as a stop","OK")))))))))</f>
        <v/>
      </c>
    </row>
    <row r="487" customFormat="false" ht="15" hidden="false" customHeight="false" outlineLevel="0" collapsed="false">
      <c r="A487" s="11"/>
      <c r="B487" s="9"/>
      <c r="C487" s="9"/>
      <c r="D487" s="12"/>
      <c r="E487" s="12"/>
      <c r="F487" s="13"/>
      <c r="G487" s="14" t="str">
        <f aca="false">IF(F487&lt;&gt;"",IF(AND(ISNUMBER(F487),N(F487)&gt;=0),F487,""),IF(AND(ISNUMBER(D487),ISNUMBER(E487)),ROUND(MOD(E487-D487,1)*1440,0),""))</f>
        <v/>
      </c>
      <c r="H487" s="9"/>
      <c r="I487" s="10" t="str">
        <f aca="false">IF(H487="","",IF(SUMPRODUCT(MAX((Setup!$D$5:$D$34=H487)*(35-ROW(Setup!$D$5:$D$34))))=0,"Not in Setup",INDEX(Setup!$E$5:$E$34,31-SUMPRODUCT(MAX((Setup!$D$5:$D$34=H487)*(35-ROW(Setup!$D$5:$D$34)))))))</f>
        <v/>
      </c>
      <c r="J487" s="9"/>
      <c r="K487" s="10" t="str">
        <f aca="false">IF(AND(A487="",C487="",D487="",E487="",F487="",H487=""),"",IF(NOT(ISNUMBER(A487)),"Enter a date",IF(AND(F487&lt;&gt;"",OR(NOT(ISNUMBER(F487)),N(F487)&lt;0)),"Minutes must be a number of 0 or more",IF(G487="","Enter start and end times, or minutes",IF(C487="","Pick a machine",IF(SUMPRODUCT(--(Setup!$A$5:$A$34=C487))=0,"Machine not in Setup",IF(H487="","Pick a reason (counted as unclassified)",IF(I487="Not in Setup","Reason not in Setup (counted as unclassified)",IF(N(G487)=0,"0 minutes: not counted as a stop","OK")))))))))</f>
        <v/>
      </c>
    </row>
    <row r="488" customFormat="false" ht="15" hidden="false" customHeight="false" outlineLevel="0" collapsed="false">
      <c r="A488" s="11"/>
      <c r="B488" s="9"/>
      <c r="C488" s="9"/>
      <c r="D488" s="12"/>
      <c r="E488" s="12"/>
      <c r="F488" s="13"/>
      <c r="G488" s="14" t="str">
        <f aca="false">IF(F488&lt;&gt;"",IF(AND(ISNUMBER(F488),N(F488)&gt;=0),F488,""),IF(AND(ISNUMBER(D488),ISNUMBER(E488)),ROUND(MOD(E488-D488,1)*1440,0),""))</f>
        <v/>
      </c>
      <c r="H488" s="9"/>
      <c r="I488" s="10" t="str">
        <f aca="false">IF(H488="","",IF(SUMPRODUCT(MAX((Setup!$D$5:$D$34=H488)*(35-ROW(Setup!$D$5:$D$34))))=0,"Not in Setup",INDEX(Setup!$E$5:$E$34,31-SUMPRODUCT(MAX((Setup!$D$5:$D$34=H488)*(35-ROW(Setup!$D$5:$D$34)))))))</f>
        <v/>
      </c>
      <c r="J488" s="9"/>
      <c r="K488" s="10" t="str">
        <f aca="false">IF(AND(A488="",C488="",D488="",E488="",F488="",H488=""),"",IF(NOT(ISNUMBER(A488)),"Enter a date",IF(AND(F488&lt;&gt;"",OR(NOT(ISNUMBER(F488)),N(F488)&lt;0)),"Minutes must be a number of 0 or more",IF(G488="","Enter start and end times, or minutes",IF(C488="","Pick a machine",IF(SUMPRODUCT(--(Setup!$A$5:$A$34=C488))=0,"Machine not in Setup",IF(H488="","Pick a reason (counted as unclassified)",IF(I488="Not in Setup","Reason not in Setup (counted as unclassified)",IF(N(G488)=0,"0 minutes: not counted as a stop","OK")))))))))</f>
        <v/>
      </c>
    </row>
    <row r="489" customFormat="false" ht="15" hidden="false" customHeight="false" outlineLevel="0" collapsed="false">
      <c r="A489" s="11"/>
      <c r="B489" s="9"/>
      <c r="C489" s="9"/>
      <c r="D489" s="12"/>
      <c r="E489" s="12"/>
      <c r="F489" s="13"/>
      <c r="G489" s="14" t="str">
        <f aca="false">IF(F489&lt;&gt;"",IF(AND(ISNUMBER(F489),N(F489)&gt;=0),F489,""),IF(AND(ISNUMBER(D489),ISNUMBER(E489)),ROUND(MOD(E489-D489,1)*1440,0),""))</f>
        <v/>
      </c>
      <c r="H489" s="9"/>
      <c r="I489" s="10" t="str">
        <f aca="false">IF(H489="","",IF(SUMPRODUCT(MAX((Setup!$D$5:$D$34=H489)*(35-ROW(Setup!$D$5:$D$34))))=0,"Not in Setup",INDEX(Setup!$E$5:$E$34,31-SUMPRODUCT(MAX((Setup!$D$5:$D$34=H489)*(35-ROW(Setup!$D$5:$D$34)))))))</f>
        <v/>
      </c>
      <c r="J489" s="9"/>
      <c r="K489" s="10" t="str">
        <f aca="false">IF(AND(A489="",C489="",D489="",E489="",F489="",H489=""),"",IF(NOT(ISNUMBER(A489)),"Enter a date",IF(AND(F489&lt;&gt;"",OR(NOT(ISNUMBER(F489)),N(F489)&lt;0)),"Minutes must be a number of 0 or more",IF(G489="","Enter start and end times, or minutes",IF(C489="","Pick a machine",IF(SUMPRODUCT(--(Setup!$A$5:$A$34=C489))=0,"Machine not in Setup",IF(H489="","Pick a reason (counted as unclassified)",IF(I489="Not in Setup","Reason not in Setup (counted as unclassified)",IF(N(G489)=0,"0 minutes: not counted as a stop","OK")))))))))</f>
        <v/>
      </c>
    </row>
    <row r="490" customFormat="false" ht="15" hidden="false" customHeight="false" outlineLevel="0" collapsed="false">
      <c r="A490" s="11"/>
      <c r="B490" s="9"/>
      <c r="C490" s="9"/>
      <c r="D490" s="12"/>
      <c r="E490" s="12"/>
      <c r="F490" s="13"/>
      <c r="G490" s="14" t="str">
        <f aca="false">IF(F490&lt;&gt;"",IF(AND(ISNUMBER(F490),N(F490)&gt;=0),F490,""),IF(AND(ISNUMBER(D490),ISNUMBER(E490)),ROUND(MOD(E490-D490,1)*1440,0),""))</f>
        <v/>
      </c>
      <c r="H490" s="9"/>
      <c r="I490" s="10" t="str">
        <f aca="false">IF(H490="","",IF(SUMPRODUCT(MAX((Setup!$D$5:$D$34=H490)*(35-ROW(Setup!$D$5:$D$34))))=0,"Not in Setup",INDEX(Setup!$E$5:$E$34,31-SUMPRODUCT(MAX((Setup!$D$5:$D$34=H490)*(35-ROW(Setup!$D$5:$D$34)))))))</f>
        <v/>
      </c>
      <c r="J490" s="9"/>
      <c r="K490" s="10" t="str">
        <f aca="false">IF(AND(A490="",C490="",D490="",E490="",F490="",H490=""),"",IF(NOT(ISNUMBER(A490)),"Enter a date",IF(AND(F490&lt;&gt;"",OR(NOT(ISNUMBER(F490)),N(F490)&lt;0)),"Minutes must be a number of 0 or more",IF(G490="","Enter start and end times, or minutes",IF(C490="","Pick a machine",IF(SUMPRODUCT(--(Setup!$A$5:$A$34=C490))=0,"Machine not in Setup",IF(H490="","Pick a reason (counted as unclassified)",IF(I490="Not in Setup","Reason not in Setup (counted as unclassified)",IF(N(G490)=0,"0 minutes: not counted as a stop","OK")))))))))</f>
        <v/>
      </c>
    </row>
    <row r="491" customFormat="false" ht="15" hidden="false" customHeight="false" outlineLevel="0" collapsed="false">
      <c r="A491" s="11"/>
      <c r="B491" s="9"/>
      <c r="C491" s="9"/>
      <c r="D491" s="12"/>
      <c r="E491" s="12"/>
      <c r="F491" s="13"/>
      <c r="G491" s="14" t="str">
        <f aca="false">IF(F491&lt;&gt;"",IF(AND(ISNUMBER(F491),N(F491)&gt;=0),F491,""),IF(AND(ISNUMBER(D491),ISNUMBER(E491)),ROUND(MOD(E491-D491,1)*1440,0),""))</f>
        <v/>
      </c>
      <c r="H491" s="9"/>
      <c r="I491" s="10" t="str">
        <f aca="false">IF(H491="","",IF(SUMPRODUCT(MAX((Setup!$D$5:$D$34=H491)*(35-ROW(Setup!$D$5:$D$34))))=0,"Not in Setup",INDEX(Setup!$E$5:$E$34,31-SUMPRODUCT(MAX((Setup!$D$5:$D$34=H491)*(35-ROW(Setup!$D$5:$D$34)))))))</f>
        <v/>
      </c>
      <c r="J491" s="9"/>
      <c r="K491" s="10" t="str">
        <f aca="false">IF(AND(A491="",C491="",D491="",E491="",F491="",H491=""),"",IF(NOT(ISNUMBER(A491)),"Enter a date",IF(AND(F491&lt;&gt;"",OR(NOT(ISNUMBER(F491)),N(F491)&lt;0)),"Minutes must be a number of 0 or more",IF(G491="","Enter start and end times, or minutes",IF(C491="","Pick a machine",IF(SUMPRODUCT(--(Setup!$A$5:$A$34=C491))=0,"Machine not in Setup",IF(H491="","Pick a reason (counted as unclassified)",IF(I491="Not in Setup","Reason not in Setup (counted as unclassified)",IF(N(G491)=0,"0 minutes: not counted as a stop","OK")))))))))</f>
        <v/>
      </c>
    </row>
    <row r="492" customFormat="false" ht="15" hidden="false" customHeight="false" outlineLevel="0" collapsed="false">
      <c r="A492" s="11"/>
      <c r="B492" s="9"/>
      <c r="C492" s="9"/>
      <c r="D492" s="12"/>
      <c r="E492" s="12"/>
      <c r="F492" s="13"/>
      <c r="G492" s="14" t="str">
        <f aca="false">IF(F492&lt;&gt;"",IF(AND(ISNUMBER(F492),N(F492)&gt;=0),F492,""),IF(AND(ISNUMBER(D492),ISNUMBER(E492)),ROUND(MOD(E492-D492,1)*1440,0),""))</f>
        <v/>
      </c>
      <c r="H492" s="9"/>
      <c r="I492" s="10" t="str">
        <f aca="false">IF(H492="","",IF(SUMPRODUCT(MAX((Setup!$D$5:$D$34=H492)*(35-ROW(Setup!$D$5:$D$34))))=0,"Not in Setup",INDEX(Setup!$E$5:$E$34,31-SUMPRODUCT(MAX((Setup!$D$5:$D$34=H492)*(35-ROW(Setup!$D$5:$D$34)))))))</f>
        <v/>
      </c>
      <c r="J492" s="9"/>
      <c r="K492" s="10" t="str">
        <f aca="false">IF(AND(A492="",C492="",D492="",E492="",F492="",H492=""),"",IF(NOT(ISNUMBER(A492)),"Enter a date",IF(AND(F492&lt;&gt;"",OR(NOT(ISNUMBER(F492)),N(F492)&lt;0)),"Minutes must be a number of 0 or more",IF(G492="","Enter start and end times, or minutes",IF(C492="","Pick a machine",IF(SUMPRODUCT(--(Setup!$A$5:$A$34=C492))=0,"Machine not in Setup",IF(H492="","Pick a reason (counted as unclassified)",IF(I492="Not in Setup","Reason not in Setup (counted as unclassified)",IF(N(G492)=0,"0 minutes: not counted as a stop","OK")))))))))</f>
        <v/>
      </c>
    </row>
    <row r="493" customFormat="false" ht="15" hidden="false" customHeight="false" outlineLevel="0" collapsed="false">
      <c r="A493" s="11"/>
      <c r="B493" s="9"/>
      <c r="C493" s="9"/>
      <c r="D493" s="12"/>
      <c r="E493" s="12"/>
      <c r="F493" s="13"/>
      <c r="G493" s="14" t="str">
        <f aca="false">IF(F493&lt;&gt;"",IF(AND(ISNUMBER(F493),N(F493)&gt;=0),F493,""),IF(AND(ISNUMBER(D493),ISNUMBER(E493)),ROUND(MOD(E493-D493,1)*1440,0),""))</f>
        <v/>
      </c>
      <c r="H493" s="9"/>
      <c r="I493" s="10" t="str">
        <f aca="false">IF(H493="","",IF(SUMPRODUCT(MAX((Setup!$D$5:$D$34=H493)*(35-ROW(Setup!$D$5:$D$34))))=0,"Not in Setup",INDEX(Setup!$E$5:$E$34,31-SUMPRODUCT(MAX((Setup!$D$5:$D$34=H493)*(35-ROW(Setup!$D$5:$D$34)))))))</f>
        <v/>
      </c>
      <c r="J493" s="9"/>
      <c r="K493" s="10" t="str">
        <f aca="false">IF(AND(A493="",C493="",D493="",E493="",F493="",H493=""),"",IF(NOT(ISNUMBER(A493)),"Enter a date",IF(AND(F493&lt;&gt;"",OR(NOT(ISNUMBER(F493)),N(F493)&lt;0)),"Minutes must be a number of 0 or more",IF(G493="","Enter start and end times, or minutes",IF(C493="","Pick a machine",IF(SUMPRODUCT(--(Setup!$A$5:$A$34=C493))=0,"Machine not in Setup",IF(H493="","Pick a reason (counted as unclassified)",IF(I493="Not in Setup","Reason not in Setup (counted as unclassified)",IF(N(G493)=0,"0 minutes: not counted as a stop","OK")))))))))</f>
        <v/>
      </c>
    </row>
    <row r="494" customFormat="false" ht="15" hidden="false" customHeight="false" outlineLevel="0" collapsed="false">
      <c r="A494" s="11"/>
      <c r="B494" s="9"/>
      <c r="C494" s="9"/>
      <c r="D494" s="12"/>
      <c r="E494" s="12"/>
      <c r="F494" s="13"/>
      <c r="G494" s="14" t="str">
        <f aca="false">IF(F494&lt;&gt;"",IF(AND(ISNUMBER(F494),N(F494)&gt;=0),F494,""),IF(AND(ISNUMBER(D494),ISNUMBER(E494)),ROUND(MOD(E494-D494,1)*1440,0),""))</f>
        <v/>
      </c>
      <c r="H494" s="9"/>
      <c r="I494" s="10" t="str">
        <f aca="false">IF(H494="","",IF(SUMPRODUCT(MAX((Setup!$D$5:$D$34=H494)*(35-ROW(Setup!$D$5:$D$34))))=0,"Not in Setup",INDEX(Setup!$E$5:$E$34,31-SUMPRODUCT(MAX((Setup!$D$5:$D$34=H494)*(35-ROW(Setup!$D$5:$D$34)))))))</f>
        <v/>
      </c>
      <c r="J494" s="9"/>
      <c r="K494" s="10" t="str">
        <f aca="false">IF(AND(A494="",C494="",D494="",E494="",F494="",H494=""),"",IF(NOT(ISNUMBER(A494)),"Enter a date",IF(AND(F494&lt;&gt;"",OR(NOT(ISNUMBER(F494)),N(F494)&lt;0)),"Minutes must be a number of 0 or more",IF(G494="","Enter start and end times, or minutes",IF(C494="","Pick a machine",IF(SUMPRODUCT(--(Setup!$A$5:$A$34=C494))=0,"Machine not in Setup",IF(H494="","Pick a reason (counted as unclassified)",IF(I494="Not in Setup","Reason not in Setup (counted as unclassified)",IF(N(G494)=0,"0 minutes: not counted as a stop","OK")))))))))</f>
        <v/>
      </c>
    </row>
    <row r="495" customFormat="false" ht="15" hidden="false" customHeight="false" outlineLevel="0" collapsed="false">
      <c r="A495" s="11"/>
      <c r="B495" s="9"/>
      <c r="C495" s="9"/>
      <c r="D495" s="12"/>
      <c r="E495" s="12"/>
      <c r="F495" s="13"/>
      <c r="G495" s="14" t="str">
        <f aca="false">IF(F495&lt;&gt;"",IF(AND(ISNUMBER(F495),N(F495)&gt;=0),F495,""),IF(AND(ISNUMBER(D495),ISNUMBER(E495)),ROUND(MOD(E495-D495,1)*1440,0),""))</f>
        <v/>
      </c>
      <c r="H495" s="9"/>
      <c r="I495" s="10" t="str">
        <f aca="false">IF(H495="","",IF(SUMPRODUCT(MAX((Setup!$D$5:$D$34=H495)*(35-ROW(Setup!$D$5:$D$34))))=0,"Not in Setup",INDEX(Setup!$E$5:$E$34,31-SUMPRODUCT(MAX((Setup!$D$5:$D$34=H495)*(35-ROW(Setup!$D$5:$D$34)))))))</f>
        <v/>
      </c>
      <c r="J495" s="9"/>
      <c r="K495" s="10" t="str">
        <f aca="false">IF(AND(A495="",C495="",D495="",E495="",F495="",H495=""),"",IF(NOT(ISNUMBER(A495)),"Enter a date",IF(AND(F495&lt;&gt;"",OR(NOT(ISNUMBER(F495)),N(F495)&lt;0)),"Minutes must be a number of 0 or more",IF(G495="","Enter start and end times, or minutes",IF(C495="","Pick a machine",IF(SUMPRODUCT(--(Setup!$A$5:$A$34=C495))=0,"Machine not in Setup",IF(H495="","Pick a reason (counted as unclassified)",IF(I495="Not in Setup","Reason not in Setup (counted as unclassified)",IF(N(G495)=0,"0 minutes: not counted as a stop","OK")))))))))</f>
        <v/>
      </c>
    </row>
    <row r="496" customFormat="false" ht="15" hidden="false" customHeight="false" outlineLevel="0" collapsed="false">
      <c r="A496" s="11"/>
      <c r="B496" s="9"/>
      <c r="C496" s="9"/>
      <c r="D496" s="12"/>
      <c r="E496" s="12"/>
      <c r="F496" s="13"/>
      <c r="G496" s="14" t="str">
        <f aca="false">IF(F496&lt;&gt;"",IF(AND(ISNUMBER(F496),N(F496)&gt;=0),F496,""),IF(AND(ISNUMBER(D496),ISNUMBER(E496)),ROUND(MOD(E496-D496,1)*1440,0),""))</f>
        <v/>
      </c>
      <c r="H496" s="9"/>
      <c r="I496" s="10" t="str">
        <f aca="false">IF(H496="","",IF(SUMPRODUCT(MAX((Setup!$D$5:$D$34=H496)*(35-ROW(Setup!$D$5:$D$34))))=0,"Not in Setup",INDEX(Setup!$E$5:$E$34,31-SUMPRODUCT(MAX((Setup!$D$5:$D$34=H496)*(35-ROW(Setup!$D$5:$D$34)))))))</f>
        <v/>
      </c>
      <c r="J496" s="9"/>
      <c r="K496" s="10" t="str">
        <f aca="false">IF(AND(A496="",C496="",D496="",E496="",F496="",H496=""),"",IF(NOT(ISNUMBER(A496)),"Enter a date",IF(AND(F496&lt;&gt;"",OR(NOT(ISNUMBER(F496)),N(F496)&lt;0)),"Minutes must be a number of 0 or more",IF(G496="","Enter start and end times, or minutes",IF(C496="","Pick a machine",IF(SUMPRODUCT(--(Setup!$A$5:$A$34=C496))=0,"Machine not in Setup",IF(H496="","Pick a reason (counted as unclassified)",IF(I496="Not in Setup","Reason not in Setup (counted as unclassified)",IF(N(G496)=0,"0 minutes: not counted as a stop","OK")))))))))</f>
        <v/>
      </c>
    </row>
    <row r="497" customFormat="false" ht="15" hidden="false" customHeight="false" outlineLevel="0" collapsed="false">
      <c r="A497" s="11"/>
      <c r="B497" s="9"/>
      <c r="C497" s="9"/>
      <c r="D497" s="12"/>
      <c r="E497" s="12"/>
      <c r="F497" s="13"/>
      <c r="G497" s="14" t="str">
        <f aca="false">IF(F497&lt;&gt;"",IF(AND(ISNUMBER(F497),N(F497)&gt;=0),F497,""),IF(AND(ISNUMBER(D497),ISNUMBER(E497)),ROUND(MOD(E497-D497,1)*1440,0),""))</f>
        <v/>
      </c>
      <c r="H497" s="9"/>
      <c r="I497" s="10" t="str">
        <f aca="false">IF(H497="","",IF(SUMPRODUCT(MAX((Setup!$D$5:$D$34=H497)*(35-ROW(Setup!$D$5:$D$34))))=0,"Not in Setup",INDEX(Setup!$E$5:$E$34,31-SUMPRODUCT(MAX((Setup!$D$5:$D$34=H497)*(35-ROW(Setup!$D$5:$D$34)))))))</f>
        <v/>
      </c>
      <c r="J497" s="9"/>
      <c r="K497" s="10" t="str">
        <f aca="false">IF(AND(A497="",C497="",D497="",E497="",F497="",H497=""),"",IF(NOT(ISNUMBER(A497)),"Enter a date",IF(AND(F497&lt;&gt;"",OR(NOT(ISNUMBER(F497)),N(F497)&lt;0)),"Minutes must be a number of 0 or more",IF(G497="","Enter start and end times, or minutes",IF(C497="","Pick a machine",IF(SUMPRODUCT(--(Setup!$A$5:$A$34=C497))=0,"Machine not in Setup",IF(H497="","Pick a reason (counted as unclassified)",IF(I497="Not in Setup","Reason not in Setup (counted as unclassified)",IF(N(G497)=0,"0 minutes: not counted as a stop","OK")))))))))</f>
        <v/>
      </c>
    </row>
    <row r="498" customFormat="false" ht="15" hidden="false" customHeight="false" outlineLevel="0" collapsed="false">
      <c r="A498" s="11"/>
      <c r="B498" s="9"/>
      <c r="C498" s="9"/>
      <c r="D498" s="12"/>
      <c r="E498" s="12"/>
      <c r="F498" s="13"/>
      <c r="G498" s="14" t="str">
        <f aca="false">IF(F498&lt;&gt;"",IF(AND(ISNUMBER(F498),N(F498)&gt;=0),F498,""),IF(AND(ISNUMBER(D498),ISNUMBER(E498)),ROUND(MOD(E498-D498,1)*1440,0),""))</f>
        <v/>
      </c>
      <c r="H498" s="9"/>
      <c r="I498" s="10" t="str">
        <f aca="false">IF(H498="","",IF(SUMPRODUCT(MAX((Setup!$D$5:$D$34=H498)*(35-ROW(Setup!$D$5:$D$34))))=0,"Not in Setup",INDEX(Setup!$E$5:$E$34,31-SUMPRODUCT(MAX((Setup!$D$5:$D$34=H498)*(35-ROW(Setup!$D$5:$D$34)))))))</f>
        <v/>
      </c>
      <c r="J498" s="9"/>
      <c r="K498" s="10" t="str">
        <f aca="false">IF(AND(A498="",C498="",D498="",E498="",F498="",H498=""),"",IF(NOT(ISNUMBER(A498)),"Enter a date",IF(AND(F498&lt;&gt;"",OR(NOT(ISNUMBER(F498)),N(F498)&lt;0)),"Minutes must be a number of 0 or more",IF(G498="","Enter start and end times, or minutes",IF(C498="","Pick a machine",IF(SUMPRODUCT(--(Setup!$A$5:$A$34=C498))=0,"Machine not in Setup",IF(H498="","Pick a reason (counted as unclassified)",IF(I498="Not in Setup","Reason not in Setup (counted as unclassified)",IF(N(G498)=0,"0 minutes: not counted as a stop","OK")))))))))</f>
        <v/>
      </c>
    </row>
    <row r="499" customFormat="false" ht="15" hidden="false" customHeight="false" outlineLevel="0" collapsed="false">
      <c r="A499" s="11"/>
      <c r="B499" s="9"/>
      <c r="C499" s="9"/>
      <c r="D499" s="12"/>
      <c r="E499" s="12"/>
      <c r="F499" s="13"/>
      <c r="G499" s="14" t="str">
        <f aca="false">IF(F499&lt;&gt;"",IF(AND(ISNUMBER(F499),N(F499)&gt;=0),F499,""),IF(AND(ISNUMBER(D499),ISNUMBER(E499)),ROUND(MOD(E499-D499,1)*1440,0),""))</f>
        <v/>
      </c>
      <c r="H499" s="9"/>
      <c r="I499" s="10" t="str">
        <f aca="false">IF(H499="","",IF(SUMPRODUCT(MAX((Setup!$D$5:$D$34=H499)*(35-ROW(Setup!$D$5:$D$34))))=0,"Not in Setup",INDEX(Setup!$E$5:$E$34,31-SUMPRODUCT(MAX((Setup!$D$5:$D$34=H499)*(35-ROW(Setup!$D$5:$D$34)))))))</f>
        <v/>
      </c>
      <c r="J499" s="9"/>
      <c r="K499" s="10" t="str">
        <f aca="false">IF(AND(A499="",C499="",D499="",E499="",F499="",H499=""),"",IF(NOT(ISNUMBER(A499)),"Enter a date",IF(AND(F499&lt;&gt;"",OR(NOT(ISNUMBER(F499)),N(F499)&lt;0)),"Minutes must be a number of 0 or more",IF(G499="","Enter start and end times, or minutes",IF(C499="","Pick a machine",IF(SUMPRODUCT(--(Setup!$A$5:$A$34=C499))=0,"Machine not in Setup",IF(H499="","Pick a reason (counted as unclassified)",IF(I499="Not in Setup","Reason not in Setup (counted as unclassified)",IF(N(G499)=0,"0 minutes: not counted as a stop","OK")))))))))</f>
        <v/>
      </c>
    </row>
    <row r="500" customFormat="false" ht="15" hidden="false" customHeight="false" outlineLevel="0" collapsed="false">
      <c r="A500" s="11"/>
      <c r="B500" s="9"/>
      <c r="C500" s="9"/>
      <c r="D500" s="12"/>
      <c r="E500" s="12"/>
      <c r="F500" s="13"/>
      <c r="G500" s="14" t="str">
        <f aca="false">IF(F500&lt;&gt;"",IF(AND(ISNUMBER(F500),N(F500)&gt;=0),F500,""),IF(AND(ISNUMBER(D500),ISNUMBER(E500)),ROUND(MOD(E500-D500,1)*1440,0),""))</f>
        <v/>
      </c>
      <c r="H500" s="9"/>
      <c r="I500" s="10" t="str">
        <f aca="false">IF(H500="","",IF(SUMPRODUCT(MAX((Setup!$D$5:$D$34=H500)*(35-ROW(Setup!$D$5:$D$34))))=0,"Not in Setup",INDEX(Setup!$E$5:$E$34,31-SUMPRODUCT(MAX((Setup!$D$5:$D$34=H500)*(35-ROW(Setup!$D$5:$D$34)))))))</f>
        <v/>
      </c>
      <c r="J500" s="9"/>
      <c r="K500" s="10" t="str">
        <f aca="false">IF(AND(A500="",C500="",D500="",E500="",F500="",H500=""),"",IF(NOT(ISNUMBER(A500)),"Enter a date",IF(AND(F500&lt;&gt;"",OR(NOT(ISNUMBER(F500)),N(F500)&lt;0)),"Minutes must be a number of 0 or more",IF(G500="","Enter start and end times, or minutes",IF(C500="","Pick a machine",IF(SUMPRODUCT(--(Setup!$A$5:$A$34=C500))=0,"Machine not in Setup",IF(H500="","Pick a reason (counted as unclassified)",IF(I500="Not in Setup","Reason not in Setup (counted as unclassified)",IF(N(G500)=0,"0 minutes: not counted as a stop","OK")))))))))</f>
        <v/>
      </c>
    </row>
    <row r="501" customFormat="false" ht="15" hidden="false" customHeight="false" outlineLevel="0" collapsed="false">
      <c r="A501" s="11"/>
      <c r="B501" s="9"/>
      <c r="C501" s="9"/>
      <c r="D501" s="12"/>
      <c r="E501" s="12"/>
      <c r="F501" s="13"/>
      <c r="G501" s="14" t="str">
        <f aca="false">IF(F501&lt;&gt;"",IF(AND(ISNUMBER(F501),N(F501)&gt;=0),F501,""),IF(AND(ISNUMBER(D501),ISNUMBER(E501)),ROUND(MOD(E501-D501,1)*1440,0),""))</f>
        <v/>
      </c>
      <c r="H501" s="9"/>
      <c r="I501" s="10" t="str">
        <f aca="false">IF(H501="","",IF(SUMPRODUCT(MAX((Setup!$D$5:$D$34=H501)*(35-ROW(Setup!$D$5:$D$34))))=0,"Not in Setup",INDEX(Setup!$E$5:$E$34,31-SUMPRODUCT(MAX((Setup!$D$5:$D$34=H501)*(35-ROW(Setup!$D$5:$D$34)))))))</f>
        <v/>
      </c>
      <c r="J501" s="9"/>
      <c r="K501" s="10" t="str">
        <f aca="false">IF(AND(A501="",C501="",D501="",E501="",F501="",H501=""),"",IF(NOT(ISNUMBER(A501)),"Enter a date",IF(AND(F501&lt;&gt;"",OR(NOT(ISNUMBER(F501)),N(F501)&lt;0)),"Minutes must be a number of 0 or more",IF(G501="","Enter start and end times, or minutes",IF(C501="","Pick a machine",IF(SUMPRODUCT(--(Setup!$A$5:$A$34=C501))=0,"Machine not in Setup",IF(H501="","Pick a reason (counted as unclassified)",IF(I501="Not in Setup","Reason not in Setup (counted as unclassified)",IF(N(G501)=0,"0 minutes: not counted as a stop","OK")))))))))</f>
        <v/>
      </c>
    </row>
    <row r="502" customFormat="false" ht="15" hidden="false" customHeight="false" outlineLevel="0" collapsed="false">
      <c r="A502" s="11"/>
      <c r="B502" s="9"/>
      <c r="C502" s="9"/>
      <c r="D502" s="12"/>
      <c r="E502" s="12"/>
      <c r="F502" s="13"/>
      <c r="G502" s="14" t="str">
        <f aca="false">IF(F502&lt;&gt;"",IF(AND(ISNUMBER(F502),N(F502)&gt;=0),F502,""),IF(AND(ISNUMBER(D502),ISNUMBER(E502)),ROUND(MOD(E502-D502,1)*1440,0),""))</f>
        <v/>
      </c>
      <c r="H502" s="9"/>
      <c r="I502" s="10" t="str">
        <f aca="false">IF(H502="","",IF(SUMPRODUCT(MAX((Setup!$D$5:$D$34=H502)*(35-ROW(Setup!$D$5:$D$34))))=0,"Not in Setup",INDEX(Setup!$E$5:$E$34,31-SUMPRODUCT(MAX((Setup!$D$5:$D$34=H502)*(35-ROW(Setup!$D$5:$D$34)))))))</f>
        <v/>
      </c>
      <c r="J502" s="9"/>
      <c r="K502" s="10" t="str">
        <f aca="false">IF(AND(A502="",C502="",D502="",E502="",F502="",H502=""),"",IF(NOT(ISNUMBER(A502)),"Enter a date",IF(AND(F502&lt;&gt;"",OR(NOT(ISNUMBER(F502)),N(F502)&lt;0)),"Minutes must be a number of 0 or more",IF(G502="","Enter start and end times, or minutes",IF(C502="","Pick a machine",IF(SUMPRODUCT(--(Setup!$A$5:$A$34=C502))=0,"Machine not in Setup",IF(H502="","Pick a reason (counted as unclassified)",IF(I502="Not in Setup","Reason not in Setup (counted as unclassified)",IF(N(G502)=0,"0 minutes: not counted as a stop","OK")))))))))</f>
        <v/>
      </c>
    </row>
    <row r="503" customFormat="false" ht="15" hidden="false" customHeight="false" outlineLevel="0" collapsed="false">
      <c r="A503" s="11"/>
      <c r="B503" s="9"/>
      <c r="C503" s="9"/>
      <c r="D503" s="12"/>
      <c r="E503" s="12"/>
      <c r="F503" s="13"/>
      <c r="G503" s="14" t="str">
        <f aca="false">IF(F503&lt;&gt;"",IF(AND(ISNUMBER(F503),N(F503)&gt;=0),F503,""),IF(AND(ISNUMBER(D503),ISNUMBER(E503)),ROUND(MOD(E503-D503,1)*1440,0),""))</f>
        <v/>
      </c>
      <c r="H503" s="9"/>
      <c r="I503" s="10" t="str">
        <f aca="false">IF(H503="","",IF(SUMPRODUCT(MAX((Setup!$D$5:$D$34=H503)*(35-ROW(Setup!$D$5:$D$34))))=0,"Not in Setup",INDEX(Setup!$E$5:$E$34,31-SUMPRODUCT(MAX((Setup!$D$5:$D$34=H503)*(35-ROW(Setup!$D$5:$D$34)))))))</f>
        <v/>
      </c>
      <c r="J503" s="9"/>
      <c r="K503" s="10" t="str">
        <f aca="false">IF(AND(A503="",C503="",D503="",E503="",F503="",H503=""),"",IF(NOT(ISNUMBER(A503)),"Enter a date",IF(AND(F503&lt;&gt;"",OR(NOT(ISNUMBER(F503)),N(F503)&lt;0)),"Minutes must be a number of 0 or more",IF(G503="","Enter start and end times, or minutes",IF(C503="","Pick a machine",IF(SUMPRODUCT(--(Setup!$A$5:$A$34=C503))=0,"Machine not in Setup",IF(H503="","Pick a reason (counted as unclassified)",IF(I503="Not in Setup","Reason not in Setup (counted as unclassified)",IF(N(G503)=0,"0 minutes: not counted as a stop","OK")))))))))</f>
        <v/>
      </c>
    </row>
    <row r="504" customFormat="false" ht="15" hidden="false" customHeight="false" outlineLevel="0" collapsed="false">
      <c r="A504" s="11"/>
      <c r="B504" s="9"/>
      <c r="C504" s="9"/>
      <c r="D504" s="12"/>
      <c r="E504" s="12"/>
      <c r="F504" s="13"/>
      <c r="G504" s="14" t="str">
        <f aca="false">IF(F504&lt;&gt;"",IF(AND(ISNUMBER(F504),N(F504)&gt;=0),F504,""),IF(AND(ISNUMBER(D504),ISNUMBER(E504)),ROUND(MOD(E504-D504,1)*1440,0),""))</f>
        <v/>
      </c>
      <c r="H504" s="9"/>
      <c r="I504" s="10" t="str">
        <f aca="false">IF(H504="","",IF(SUMPRODUCT(MAX((Setup!$D$5:$D$34=H504)*(35-ROW(Setup!$D$5:$D$34))))=0,"Not in Setup",INDEX(Setup!$E$5:$E$34,31-SUMPRODUCT(MAX((Setup!$D$5:$D$34=H504)*(35-ROW(Setup!$D$5:$D$34)))))))</f>
        <v/>
      </c>
      <c r="J504" s="9"/>
      <c r="K504" s="10" t="str">
        <f aca="false">IF(AND(A504="",C504="",D504="",E504="",F504="",H504=""),"",IF(NOT(ISNUMBER(A504)),"Enter a date",IF(AND(F504&lt;&gt;"",OR(NOT(ISNUMBER(F504)),N(F504)&lt;0)),"Minutes must be a number of 0 or more",IF(G504="","Enter start and end times, or minutes",IF(C504="","Pick a machine",IF(SUMPRODUCT(--(Setup!$A$5:$A$34=C504))=0,"Machine not in Setup",IF(H504="","Pick a reason (counted as unclassified)",IF(I504="Not in Setup","Reason not in Setup (counted as unclassified)",IF(N(G504)=0,"0 minutes: not counted as a stop","OK")))))))))</f>
        <v/>
      </c>
    </row>
    <row r="505" customFormat="false" ht="15" hidden="false" customHeight="false" outlineLevel="0" collapsed="false">
      <c r="A505" s="11"/>
      <c r="B505" s="9"/>
      <c r="C505" s="9"/>
      <c r="D505" s="12"/>
      <c r="E505" s="12"/>
      <c r="F505" s="13"/>
      <c r="G505" s="14" t="str">
        <f aca="false">IF(F505&lt;&gt;"",IF(AND(ISNUMBER(F505),N(F505)&gt;=0),F505,""),IF(AND(ISNUMBER(D505),ISNUMBER(E505)),ROUND(MOD(E505-D505,1)*1440,0),""))</f>
        <v/>
      </c>
      <c r="H505" s="9"/>
      <c r="I505" s="10" t="str">
        <f aca="false">IF(H505="","",IF(SUMPRODUCT(MAX((Setup!$D$5:$D$34=H505)*(35-ROW(Setup!$D$5:$D$34))))=0,"Not in Setup",INDEX(Setup!$E$5:$E$34,31-SUMPRODUCT(MAX((Setup!$D$5:$D$34=H505)*(35-ROW(Setup!$D$5:$D$34)))))))</f>
        <v/>
      </c>
      <c r="J505" s="9"/>
      <c r="K505" s="10" t="str">
        <f aca="false">IF(AND(A505="",C505="",D505="",E505="",F505="",H505=""),"",IF(NOT(ISNUMBER(A505)),"Enter a date",IF(AND(F505&lt;&gt;"",OR(NOT(ISNUMBER(F505)),N(F505)&lt;0)),"Minutes must be a number of 0 or more",IF(G505="","Enter start and end times, or minutes",IF(C505="","Pick a machine",IF(SUMPRODUCT(--(Setup!$A$5:$A$34=C505))=0,"Machine not in Setup",IF(H505="","Pick a reason (counted as unclassified)",IF(I505="Not in Setup","Reason not in Setup (counted as unclassified)",IF(N(G505)=0,"0 minutes: not counted as a stop","OK")))))))))</f>
        <v/>
      </c>
    </row>
    <row r="506" customFormat="false" ht="15" hidden="false" customHeight="false" outlineLevel="0" collapsed="false">
      <c r="A506" s="11"/>
      <c r="B506" s="9"/>
      <c r="C506" s="9"/>
      <c r="D506" s="12"/>
      <c r="E506" s="12"/>
      <c r="F506" s="13"/>
      <c r="G506" s="14" t="str">
        <f aca="false">IF(F506&lt;&gt;"",IF(AND(ISNUMBER(F506),N(F506)&gt;=0),F506,""),IF(AND(ISNUMBER(D506),ISNUMBER(E506)),ROUND(MOD(E506-D506,1)*1440,0),""))</f>
        <v/>
      </c>
      <c r="H506" s="9"/>
      <c r="I506" s="10" t="str">
        <f aca="false">IF(H506="","",IF(SUMPRODUCT(MAX((Setup!$D$5:$D$34=H506)*(35-ROW(Setup!$D$5:$D$34))))=0,"Not in Setup",INDEX(Setup!$E$5:$E$34,31-SUMPRODUCT(MAX((Setup!$D$5:$D$34=H506)*(35-ROW(Setup!$D$5:$D$34)))))))</f>
        <v/>
      </c>
      <c r="J506" s="9"/>
      <c r="K506" s="10" t="str">
        <f aca="false">IF(AND(A506="",C506="",D506="",E506="",F506="",H506=""),"",IF(NOT(ISNUMBER(A506)),"Enter a date",IF(AND(F506&lt;&gt;"",OR(NOT(ISNUMBER(F506)),N(F506)&lt;0)),"Minutes must be a number of 0 or more",IF(G506="","Enter start and end times, or minutes",IF(C506="","Pick a machine",IF(SUMPRODUCT(--(Setup!$A$5:$A$34=C506))=0,"Machine not in Setup",IF(H506="","Pick a reason (counted as unclassified)",IF(I506="Not in Setup","Reason not in Setup (counted as unclassified)",IF(N(G506)=0,"0 minutes: not counted as a stop","OK")))))))))</f>
        <v/>
      </c>
    </row>
    <row r="507" customFormat="false" ht="15" hidden="false" customHeight="false" outlineLevel="0" collapsed="false">
      <c r="A507" s="11"/>
      <c r="B507" s="9"/>
      <c r="C507" s="9"/>
      <c r="D507" s="12"/>
      <c r="E507" s="12"/>
      <c r="F507" s="13"/>
      <c r="G507" s="14" t="str">
        <f aca="false">IF(F507&lt;&gt;"",IF(AND(ISNUMBER(F507),N(F507)&gt;=0),F507,""),IF(AND(ISNUMBER(D507),ISNUMBER(E507)),ROUND(MOD(E507-D507,1)*1440,0),""))</f>
        <v/>
      </c>
      <c r="H507" s="9"/>
      <c r="I507" s="10" t="str">
        <f aca="false">IF(H507="","",IF(SUMPRODUCT(MAX((Setup!$D$5:$D$34=H507)*(35-ROW(Setup!$D$5:$D$34))))=0,"Not in Setup",INDEX(Setup!$E$5:$E$34,31-SUMPRODUCT(MAX((Setup!$D$5:$D$34=H507)*(35-ROW(Setup!$D$5:$D$34)))))))</f>
        <v/>
      </c>
      <c r="J507" s="9"/>
      <c r="K507" s="10" t="str">
        <f aca="false">IF(AND(A507="",C507="",D507="",E507="",F507="",H507=""),"",IF(NOT(ISNUMBER(A507)),"Enter a date",IF(AND(F507&lt;&gt;"",OR(NOT(ISNUMBER(F507)),N(F507)&lt;0)),"Minutes must be a number of 0 or more",IF(G507="","Enter start and end times, or minutes",IF(C507="","Pick a machine",IF(SUMPRODUCT(--(Setup!$A$5:$A$34=C507))=0,"Machine not in Setup",IF(H507="","Pick a reason (counted as unclassified)",IF(I507="Not in Setup","Reason not in Setup (counted as unclassified)",IF(N(G507)=0,"0 minutes: not counted as a stop","OK")))))))))</f>
        <v/>
      </c>
    </row>
    <row r="508" customFormat="false" ht="15" hidden="false" customHeight="false" outlineLevel="0" collapsed="false">
      <c r="A508" s="11"/>
      <c r="B508" s="9"/>
      <c r="C508" s="9"/>
      <c r="D508" s="12"/>
      <c r="E508" s="12"/>
      <c r="F508" s="13"/>
      <c r="G508" s="14" t="str">
        <f aca="false">IF(F508&lt;&gt;"",IF(AND(ISNUMBER(F508),N(F508)&gt;=0),F508,""),IF(AND(ISNUMBER(D508),ISNUMBER(E508)),ROUND(MOD(E508-D508,1)*1440,0),""))</f>
        <v/>
      </c>
      <c r="H508" s="9"/>
      <c r="I508" s="10" t="str">
        <f aca="false">IF(H508="","",IF(SUMPRODUCT(MAX((Setup!$D$5:$D$34=H508)*(35-ROW(Setup!$D$5:$D$34))))=0,"Not in Setup",INDEX(Setup!$E$5:$E$34,31-SUMPRODUCT(MAX((Setup!$D$5:$D$34=H508)*(35-ROW(Setup!$D$5:$D$34)))))))</f>
        <v/>
      </c>
      <c r="J508" s="9"/>
      <c r="K508" s="10" t="str">
        <f aca="false">IF(AND(A508="",C508="",D508="",E508="",F508="",H508=""),"",IF(NOT(ISNUMBER(A508)),"Enter a date",IF(AND(F508&lt;&gt;"",OR(NOT(ISNUMBER(F508)),N(F508)&lt;0)),"Minutes must be a number of 0 or more",IF(G508="","Enter start and end times, or minutes",IF(C508="","Pick a machine",IF(SUMPRODUCT(--(Setup!$A$5:$A$34=C508))=0,"Machine not in Setup",IF(H508="","Pick a reason (counted as unclassified)",IF(I508="Not in Setup","Reason not in Setup (counted as unclassified)",IF(N(G508)=0,"0 minutes: not counted as a stop","OK")))))))))</f>
        <v/>
      </c>
    </row>
    <row r="509" customFormat="false" ht="15" hidden="false" customHeight="false" outlineLevel="0" collapsed="false">
      <c r="A509" s="11"/>
      <c r="B509" s="9"/>
      <c r="C509" s="9"/>
      <c r="D509" s="12"/>
      <c r="E509" s="12"/>
      <c r="F509" s="13"/>
      <c r="G509" s="14" t="str">
        <f aca="false">IF(F509&lt;&gt;"",IF(AND(ISNUMBER(F509),N(F509)&gt;=0),F509,""),IF(AND(ISNUMBER(D509),ISNUMBER(E509)),ROUND(MOD(E509-D509,1)*1440,0),""))</f>
        <v/>
      </c>
      <c r="H509" s="9"/>
      <c r="I509" s="10" t="str">
        <f aca="false">IF(H509="","",IF(SUMPRODUCT(MAX((Setup!$D$5:$D$34=H509)*(35-ROW(Setup!$D$5:$D$34))))=0,"Not in Setup",INDEX(Setup!$E$5:$E$34,31-SUMPRODUCT(MAX((Setup!$D$5:$D$34=H509)*(35-ROW(Setup!$D$5:$D$34)))))))</f>
        <v/>
      </c>
      <c r="J509" s="9"/>
      <c r="K509" s="10" t="str">
        <f aca="false">IF(AND(A509="",C509="",D509="",E509="",F509="",H509=""),"",IF(NOT(ISNUMBER(A509)),"Enter a date",IF(AND(F509&lt;&gt;"",OR(NOT(ISNUMBER(F509)),N(F509)&lt;0)),"Minutes must be a number of 0 or more",IF(G509="","Enter start and end times, or minutes",IF(C509="","Pick a machine",IF(SUMPRODUCT(--(Setup!$A$5:$A$34=C509))=0,"Machine not in Setup",IF(H509="","Pick a reason (counted as unclassified)",IF(I509="Not in Setup","Reason not in Setup (counted as unclassified)",IF(N(G509)=0,"0 minutes: not counted as a stop","OK")))))))))</f>
        <v/>
      </c>
    </row>
    <row r="510" customFormat="false" ht="15" hidden="false" customHeight="false" outlineLevel="0" collapsed="false">
      <c r="A510" s="11"/>
      <c r="B510" s="9"/>
      <c r="C510" s="9"/>
      <c r="D510" s="12"/>
      <c r="E510" s="12"/>
      <c r="F510" s="13"/>
      <c r="G510" s="14" t="str">
        <f aca="false">IF(F510&lt;&gt;"",IF(AND(ISNUMBER(F510),N(F510)&gt;=0),F510,""),IF(AND(ISNUMBER(D510),ISNUMBER(E510)),ROUND(MOD(E510-D510,1)*1440,0),""))</f>
        <v/>
      </c>
      <c r="H510" s="9"/>
      <c r="I510" s="10" t="str">
        <f aca="false">IF(H510="","",IF(SUMPRODUCT(MAX((Setup!$D$5:$D$34=H510)*(35-ROW(Setup!$D$5:$D$34))))=0,"Not in Setup",INDEX(Setup!$E$5:$E$34,31-SUMPRODUCT(MAX((Setup!$D$5:$D$34=H510)*(35-ROW(Setup!$D$5:$D$34)))))))</f>
        <v/>
      </c>
      <c r="J510" s="9"/>
      <c r="K510" s="10" t="str">
        <f aca="false">IF(AND(A510="",C510="",D510="",E510="",F510="",H510=""),"",IF(NOT(ISNUMBER(A510)),"Enter a date",IF(AND(F510&lt;&gt;"",OR(NOT(ISNUMBER(F510)),N(F510)&lt;0)),"Minutes must be a number of 0 or more",IF(G510="","Enter start and end times, or minutes",IF(C510="","Pick a machine",IF(SUMPRODUCT(--(Setup!$A$5:$A$34=C510))=0,"Machine not in Setup",IF(H510="","Pick a reason (counted as unclassified)",IF(I510="Not in Setup","Reason not in Setup (counted as unclassified)",IF(N(G510)=0,"0 minutes: not counted as a stop","OK")))))))))</f>
        <v/>
      </c>
    </row>
    <row r="511" customFormat="false" ht="15" hidden="false" customHeight="false" outlineLevel="0" collapsed="false">
      <c r="A511" s="11"/>
      <c r="B511" s="9"/>
      <c r="C511" s="9"/>
      <c r="D511" s="12"/>
      <c r="E511" s="12"/>
      <c r="F511" s="13"/>
      <c r="G511" s="14" t="str">
        <f aca="false">IF(F511&lt;&gt;"",IF(AND(ISNUMBER(F511),N(F511)&gt;=0),F511,""),IF(AND(ISNUMBER(D511),ISNUMBER(E511)),ROUND(MOD(E511-D511,1)*1440,0),""))</f>
        <v/>
      </c>
      <c r="H511" s="9"/>
      <c r="I511" s="10" t="str">
        <f aca="false">IF(H511="","",IF(SUMPRODUCT(MAX((Setup!$D$5:$D$34=H511)*(35-ROW(Setup!$D$5:$D$34))))=0,"Not in Setup",INDEX(Setup!$E$5:$E$34,31-SUMPRODUCT(MAX((Setup!$D$5:$D$34=H511)*(35-ROW(Setup!$D$5:$D$34)))))))</f>
        <v/>
      </c>
      <c r="J511" s="9"/>
      <c r="K511" s="10" t="str">
        <f aca="false">IF(AND(A511="",C511="",D511="",E511="",F511="",H511=""),"",IF(NOT(ISNUMBER(A511)),"Enter a date",IF(AND(F511&lt;&gt;"",OR(NOT(ISNUMBER(F511)),N(F511)&lt;0)),"Minutes must be a number of 0 or more",IF(G511="","Enter start and end times, or minutes",IF(C511="","Pick a machine",IF(SUMPRODUCT(--(Setup!$A$5:$A$34=C511))=0,"Machine not in Setup",IF(H511="","Pick a reason (counted as unclassified)",IF(I511="Not in Setup","Reason not in Setup (counted as unclassified)",IF(N(G511)=0,"0 minutes: not counted as a stop","OK")))))))))</f>
        <v/>
      </c>
    </row>
    <row r="512" customFormat="false" ht="15" hidden="false" customHeight="false" outlineLevel="0" collapsed="false">
      <c r="A512" s="11"/>
      <c r="B512" s="9"/>
      <c r="C512" s="9"/>
      <c r="D512" s="12"/>
      <c r="E512" s="12"/>
      <c r="F512" s="13"/>
      <c r="G512" s="14" t="str">
        <f aca="false">IF(F512&lt;&gt;"",IF(AND(ISNUMBER(F512),N(F512)&gt;=0),F512,""),IF(AND(ISNUMBER(D512),ISNUMBER(E512)),ROUND(MOD(E512-D512,1)*1440,0),""))</f>
        <v/>
      </c>
      <c r="H512" s="9"/>
      <c r="I512" s="10" t="str">
        <f aca="false">IF(H512="","",IF(SUMPRODUCT(MAX((Setup!$D$5:$D$34=H512)*(35-ROW(Setup!$D$5:$D$34))))=0,"Not in Setup",INDEX(Setup!$E$5:$E$34,31-SUMPRODUCT(MAX((Setup!$D$5:$D$34=H512)*(35-ROW(Setup!$D$5:$D$34)))))))</f>
        <v/>
      </c>
      <c r="J512" s="9"/>
      <c r="K512" s="10" t="str">
        <f aca="false">IF(AND(A512="",C512="",D512="",E512="",F512="",H512=""),"",IF(NOT(ISNUMBER(A512)),"Enter a date",IF(AND(F512&lt;&gt;"",OR(NOT(ISNUMBER(F512)),N(F512)&lt;0)),"Minutes must be a number of 0 or more",IF(G512="","Enter start and end times, or minutes",IF(C512="","Pick a machine",IF(SUMPRODUCT(--(Setup!$A$5:$A$34=C512))=0,"Machine not in Setup",IF(H512="","Pick a reason (counted as unclassified)",IF(I512="Not in Setup","Reason not in Setup (counted as unclassified)",IF(N(G512)=0,"0 minutes: not counted as a stop","OK")))))))))</f>
        <v/>
      </c>
    </row>
    <row r="513" customFormat="false" ht="15" hidden="false" customHeight="false" outlineLevel="0" collapsed="false">
      <c r="A513" s="11"/>
      <c r="B513" s="9"/>
      <c r="C513" s="9"/>
      <c r="D513" s="12"/>
      <c r="E513" s="12"/>
      <c r="F513" s="13"/>
      <c r="G513" s="14" t="str">
        <f aca="false">IF(F513&lt;&gt;"",IF(AND(ISNUMBER(F513),N(F513)&gt;=0),F513,""),IF(AND(ISNUMBER(D513),ISNUMBER(E513)),ROUND(MOD(E513-D513,1)*1440,0),""))</f>
        <v/>
      </c>
      <c r="H513" s="9"/>
      <c r="I513" s="10" t="str">
        <f aca="false">IF(H513="","",IF(SUMPRODUCT(MAX((Setup!$D$5:$D$34=H513)*(35-ROW(Setup!$D$5:$D$34))))=0,"Not in Setup",INDEX(Setup!$E$5:$E$34,31-SUMPRODUCT(MAX((Setup!$D$5:$D$34=H513)*(35-ROW(Setup!$D$5:$D$34)))))))</f>
        <v/>
      </c>
      <c r="J513" s="9"/>
      <c r="K513" s="10" t="str">
        <f aca="false">IF(AND(A513="",C513="",D513="",E513="",F513="",H513=""),"",IF(NOT(ISNUMBER(A513)),"Enter a date",IF(AND(F513&lt;&gt;"",OR(NOT(ISNUMBER(F513)),N(F513)&lt;0)),"Minutes must be a number of 0 or more",IF(G513="","Enter start and end times, or minutes",IF(C513="","Pick a machine",IF(SUMPRODUCT(--(Setup!$A$5:$A$34=C513))=0,"Machine not in Setup",IF(H513="","Pick a reason (counted as unclassified)",IF(I513="Not in Setup","Reason not in Setup (counted as unclassified)",IF(N(G513)=0,"0 minutes: not counted as a stop","OK")))))))))</f>
        <v/>
      </c>
    </row>
    <row r="514" customFormat="false" ht="15" hidden="false" customHeight="false" outlineLevel="0" collapsed="false">
      <c r="A514" s="11"/>
      <c r="B514" s="9"/>
      <c r="C514" s="9"/>
      <c r="D514" s="12"/>
      <c r="E514" s="12"/>
      <c r="F514" s="13"/>
      <c r="G514" s="14" t="str">
        <f aca="false">IF(F514&lt;&gt;"",IF(AND(ISNUMBER(F514),N(F514)&gt;=0),F514,""),IF(AND(ISNUMBER(D514),ISNUMBER(E514)),ROUND(MOD(E514-D514,1)*1440,0),""))</f>
        <v/>
      </c>
      <c r="H514" s="9"/>
      <c r="I514" s="10" t="str">
        <f aca="false">IF(H514="","",IF(SUMPRODUCT(MAX((Setup!$D$5:$D$34=H514)*(35-ROW(Setup!$D$5:$D$34))))=0,"Not in Setup",INDEX(Setup!$E$5:$E$34,31-SUMPRODUCT(MAX((Setup!$D$5:$D$34=H514)*(35-ROW(Setup!$D$5:$D$34)))))))</f>
        <v/>
      </c>
      <c r="J514" s="9"/>
      <c r="K514" s="10" t="str">
        <f aca="false">IF(AND(A514="",C514="",D514="",E514="",F514="",H514=""),"",IF(NOT(ISNUMBER(A514)),"Enter a date",IF(AND(F514&lt;&gt;"",OR(NOT(ISNUMBER(F514)),N(F514)&lt;0)),"Minutes must be a number of 0 or more",IF(G514="","Enter start and end times, or minutes",IF(C514="","Pick a machine",IF(SUMPRODUCT(--(Setup!$A$5:$A$34=C514))=0,"Machine not in Setup",IF(H514="","Pick a reason (counted as unclassified)",IF(I514="Not in Setup","Reason not in Setup (counted as unclassified)",IF(N(G514)=0,"0 minutes: not counted as a stop","OK")))))))))</f>
        <v/>
      </c>
    </row>
    <row r="515" customFormat="false" ht="15" hidden="false" customHeight="false" outlineLevel="0" collapsed="false">
      <c r="A515" s="11"/>
      <c r="B515" s="9"/>
      <c r="C515" s="9"/>
      <c r="D515" s="12"/>
      <c r="E515" s="12"/>
      <c r="F515" s="13"/>
      <c r="G515" s="14" t="str">
        <f aca="false">IF(F515&lt;&gt;"",IF(AND(ISNUMBER(F515),N(F515)&gt;=0),F515,""),IF(AND(ISNUMBER(D515),ISNUMBER(E515)),ROUND(MOD(E515-D515,1)*1440,0),""))</f>
        <v/>
      </c>
      <c r="H515" s="9"/>
      <c r="I515" s="10" t="str">
        <f aca="false">IF(H515="","",IF(SUMPRODUCT(MAX((Setup!$D$5:$D$34=H515)*(35-ROW(Setup!$D$5:$D$34))))=0,"Not in Setup",INDEX(Setup!$E$5:$E$34,31-SUMPRODUCT(MAX((Setup!$D$5:$D$34=H515)*(35-ROW(Setup!$D$5:$D$34)))))))</f>
        <v/>
      </c>
      <c r="J515" s="9"/>
      <c r="K515" s="10" t="str">
        <f aca="false">IF(AND(A515="",C515="",D515="",E515="",F515="",H515=""),"",IF(NOT(ISNUMBER(A515)),"Enter a date",IF(AND(F515&lt;&gt;"",OR(NOT(ISNUMBER(F515)),N(F515)&lt;0)),"Minutes must be a number of 0 or more",IF(G515="","Enter start and end times, or minutes",IF(C515="","Pick a machine",IF(SUMPRODUCT(--(Setup!$A$5:$A$34=C515))=0,"Machine not in Setup",IF(H515="","Pick a reason (counted as unclassified)",IF(I515="Not in Setup","Reason not in Setup (counted as unclassified)",IF(N(G515)=0,"0 minutes: not counted as a stop","OK")))))))))</f>
        <v/>
      </c>
    </row>
    <row r="516" customFormat="false" ht="15" hidden="false" customHeight="false" outlineLevel="0" collapsed="false">
      <c r="A516" s="11"/>
      <c r="B516" s="9"/>
      <c r="C516" s="9"/>
      <c r="D516" s="12"/>
      <c r="E516" s="12"/>
      <c r="F516" s="13"/>
      <c r="G516" s="14" t="str">
        <f aca="false">IF(F516&lt;&gt;"",IF(AND(ISNUMBER(F516),N(F516)&gt;=0),F516,""),IF(AND(ISNUMBER(D516),ISNUMBER(E516)),ROUND(MOD(E516-D516,1)*1440,0),""))</f>
        <v/>
      </c>
      <c r="H516" s="9"/>
      <c r="I516" s="10" t="str">
        <f aca="false">IF(H516="","",IF(SUMPRODUCT(MAX((Setup!$D$5:$D$34=H516)*(35-ROW(Setup!$D$5:$D$34))))=0,"Not in Setup",INDEX(Setup!$E$5:$E$34,31-SUMPRODUCT(MAX((Setup!$D$5:$D$34=H516)*(35-ROW(Setup!$D$5:$D$34)))))))</f>
        <v/>
      </c>
      <c r="J516" s="9"/>
      <c r="K516" s="10" t="str">
        <f aca="false">IF(AND(A516="",C516="",D516="",E516="",F516="",H516=""),"",IF(NOT(ISNUMBER(A516)),"Enter a date",IF(AND(F516&lt;&gt;"",OR(NOT(ISNUMBER(F516)),N(F516)&lt;0)),"Minutes must be a number of 0 or more",IF(G516="","Enter start and end times, or minutes",IF(C516="","Pick a machine",IF(SUMPRODUCT(--(Setup!$A$5:$A$34=C516))=0,"Machine not in Setup",IF(H516="","Pick a reason (counted as unclassified)",IF(I516="Not in Setup","Reason not in Setup (counted as unclassified)",IF(N(G516)=0,"0 minutes: not counted as a stop","OK")))))))))</f>
        <v/>
      </c>
    </row>
    <row r="517" customFormat="false" ht="15" hidden="false" customHeight="false" outlineLevel="0" collapsed="false">
      <c r="A517" s="11"/>
      <c r="B517" s="9"/>
      <c r="C517" s="9"/>
      <c r="D517" s="12"/>
      <c r="E517" s="12"/>
      <c r="F517" s="13"/>
      <c r="G517" s="14" t="str">
        <f aca="false">IF(F517&lt;&gt;"",IF(AND(ISNUMBER(F517),N(F517)&gt;=0),F517,""),IF(AND(ISNUMBER(D517),ISNUMBER(E517)),ROUND(MOD(E517-D517,1)*1440,0),""))</f>
        <v/>
      </c>
      <c r="H517" s="9"/>
      <c r="I517" s="10" t="str">
        <f aca="false">IF(H517="","",IF(SUMPRODUCT(MAX((Setup!$D$5:$D$34=H517)*(35-ROW(Setup!$D$5:$D$34))))=0,"Not in Setup",INDEX(Setup!$E$5:$E$34,31-SUMPRODUCT(MAX((Setup!$D$5:$D$34=H517)*(35-ROW(Setup!$D$5:$D$34)))))))</f>
        <v/>
      </c>
      <c r="J517" s="9"/>
      <c r="K517" s="10" t="str">
        <f aca="false">IF(AND(A517="",C517="",D517="",E517="",F517="",H517=""),"",IF(NOT(ISNUMBER(A517)),"Enter a date",IF(AND(F517&lt;&gt;"",OR(NOT(ISNUMBER(F517)),N(F517)&lt;0)),"Minutes must be a number of 0 or more",IF(G517="","Enter start and end times, or minutes",IF(C517="","Pick a machine",IF(SUMPRODUCT(--(Setup!$A$5:$A$34=C517))=0,"Machine not in Setup",IF(H517="","Pick a reason (counted as unclassified)",IF(I517="Not in Setup","Reason not in Setup (counted as unclassified)",IF(N(G517)=0,"0 minutes: not counted as a stop","OK")))))))))</f>
        <v/>
      </c>
    </row>
    <row r="518" customFormat="false" ht="15" hidden="false" customHeight="false" outlineLevel="0" collapsed="false">
      <c r="A518" s="11"/>
      <c r="B518" s="9"/>
      <c r="C518" s="9"/>
      <c r="D518" s="12"/>
      <c r="E518" s="12"/>
      <c r="F518" s="13"/>
      <c r="G518" s="14" t="str">
        <f aca="false">IF(F518&lt;&gt;"",IF(AND(ISNUMBER(F518),N(F518)&gt;=0),F518,""),IF(AND(ISNUMBER(D518),ISNUMBER(E518)),ROUND(MOD(E518-D518,1)*1440,0),""))</f>
        <v/>
      </c>
      <c r="H518" s="9"/>
      <c r="I518" s="10" t="str">
        <f aca="false">IF(H518="","",IF(SUMPRODUCT(MAX((Setup!$D$5:$D$34=H518)*(35-ROW(Setup!$D$5:$D$34))))=0,"Not in Setup",INDEX(Setup!$E$5:$E$34,31-SUMPRODUCT(MAX((Setup!$D$5:$D$34=H518)*(35-ROW(Setup!$D$5:$D$34)))))))</f>
        <v/>
      </c>
      <c r="J518" s="9"/>
      <c r="K518" s="10" t="str">
        <f aca="false">IF(AND(A518="",C518="",D518="",E518="",F518="",H518=""),"",IF(NOT(ISNUMBER(A518)),"Enter a date",IF(AND(F518&lt;&gt;"",OR(NOT(ISNUMBER(F518)),N(F518)&lt;0)),"Minutes must be a number of 0 or more",IF(G518="","Enter start and end times, or minutes",IF(C518="","Pick a machine",IF(SUMPRODUCT(--(Setup!$A$5:$A$34=C518))=0,"Machine not in Setup",IF(H518="","Pick a reason (counted as unclassified)",IF(I518="Not in Setup","Reason not in Setup (counted as unclassified)",IF(N(G518)=0,"0 minutes: not counted as a stop","OK")))))))))</f>
        <v/>
      </c>
    </row>
    <row r="519" customFormat="false" ht="15" hidden="false" customHeight="false" outlineLevel="0" collapsed="false">
      <c r="A519" s="11"/>
      <c r="B519" s="9"/>
      <c r="C519" s="9"/>
      <c r="D519" s="12"/>
      <c r="E519" s="12"/>
      <c r="F519" s="13"/>
      <c r="G519" s="14" t="str">
        <f aca="false">IF(F519&lt;&gt;"",IF(AND(ISNUMBER(F519),N(F519)&gt;=0),F519,""),IF(AND(ISNUMBER(D519),ISNUMBER(E519)),ROUND(MOD(E519-D519,1)*1440,0),""))</f>
        <v/>
      </c>
      <c r="H519" s="9"/>
      <c r="I519" s="10" t="str">
        <f aca="false">IF(H519="","",IF(SUMPRODUCT(MAX((Setup!$D$5:$D$34=H519)*(35-ROW(Setup!$D$5:$D$34))))=0,"Not in Setup",INDEX(Setup!$E$5:$E$34,31-SUMPRODUCT(MAX((Setup!$D$5:$D$34=H519)*(35-ROW(Setup!$D$5:$D$34)))))))</f>
        <v/>
      </c>
      <c r="J519" s="9"/>
      <c r="K519" s="10" t="str">
        <f aca="false">IF(AND(A519="",C519="",D519="",E519="",F519="",H519=""),"",IF(NOT(ISNUMBER(A519)),"Enter a date",IF(AND(F519&lt;&gt;"",OR(NOT(ISNUMBER(F519)),N(F519)&lt;0)),"Minutes must be a number of 0 or more",IF(G519="","Enter start and end times, or minutes",IF(C519="","Pick a machine",IF(SUMPRODUCT(--(Setup!$A$5:$A$34=C519))=0,"Machine not in Setup",IF(H519="","Pick a reason (counted as unclassified)",IF(I519="Not in Setup","Reason not in Setup (counted as unclassified)",IF(N(G519)=0,"0 minutes: not counted as a stop","OK")))))))))</f>
        <v/>
      </c>
    </row>
    <row r="520" customFormat="false" ht="15" hidden="false" customHeight="false" outlineLevel="0" collapsed="false">
      <c r="A520" s="11"/>
      <c r="B520" s="9"/>
      <c r="C520" s="9"/>
      <c r="D520" s="12"/>
      <c r="E520" s="12"/>
      <c r="F520" s="13"/>
      <c r="G520" s="14" t="str">
        <f aca="false">IF(F520&lt;&gt;"",IF(AND(ISNUMBER(F520),N(F520)&gt;=0),F520,""),IF(AND(ISNUMBER(D520),ISNUMBER(E520)),ROUND(MOD(E520-D520,1)*1440,0),""))</f>
        <v/>
      </c>
      <c r="H520" s="9"/>
      <c r="I520" s="10" t="str">
        <f aca="false">IF(H520="","",IF(SUMPRODUCT(MAX((Setup!$D$5:$D$34=H520)*(35-ROW(Setup!$D$5:$D$34))))=0,"Not in Setup",INDEX(Setup!$E$5:$E$34,31-SUMPRODUCT(MAX((Setup!$D$5:$D$34=H520)*(35-ROW(Setup!$D$5:$D$34)))))))</f>
        <v/>
      </c>
      <c r="J520" s="9"/>
      <c r="K520" s="10" t="str">
        <f aca="false">IF(AND(A520="",C520="",D520="",E520="",F520="",H520=""),"",IF(NOT(ISNUMBER(A520)),"Enter a date",IF(AND(F520&lt;&gt;"",OR(NOT(ISNUMBER(F520)),N(F520)&lt;0)),"Minutes must be a number of 0 or more",IF(G520="","Enter start and end times, or minutes",IF(C520="","Pick a machine",IF(SUMPRODUCT(--(Setup!$A$5:$A$34=C520))=0,"Machine not in Setup",IF(H520="","Pick a reason (counted as unclassified)",IF(I520="Not in Setup","Reason not in Setup (counted as unclassified)",IF(N(G520)=0,"0 minutes: not counted as a stop","OK")))))))))</f>
        <v/>
      </c>
    </row>
    <row r="521" customFormat="false" ht="15" hidden="false" customHeight="false" outlineLevel="0" collapsed="false">
      <c r="A521" s="11"/>
      <c r="B521" s="9"/>
      <c r="C521" s="9"/>
      <c r="D521" s="12"/>
      <c r="E521" s="12"/>
      <c r="F521" s="13"/>
      <c r="G521" s="14" t="str">
        <f aca="false">IF(F521&lt;&gt;"",IF(AND(ISNUMBER(F521),N(F521)&gt;=0),F521,""),IF(AND(ISNUMBER(D521),ISNUMBER(E521)),ROUND(MOD(E521-D521,1)*1440,0),""))</f>
        <v/>
      </c>
      <c r="H521" s="9"/>
      <c r="I521" s="10" t="str">
        <f aca="false">IF(H521="","",IF(SUMPRODUCT(MAX((Setup!$D$5:$D$34=H521)*(35-ROW(Setup!$D$5:$D$34))))=0,"Not in Setup",INDEX(Setup!$E$5:$E$34,31-SUMPRODUCT(MAX((Setup!$D$5:$D$34=H521)*(35-ROW(Setup!$D$5:$D$34)))))))</f>
        <v/>
      </c>
      <c r="J521" s="9"/>
      <c r="K521" s="10" t="str">
        <f aca="false">IF(AND(A521="",C521="",D521="",E521="",F521="",H521=""),"",IF(NOT(ISNUMBER(A521)),"Enter a date",IF(AND(F521&lt;&gt;"",OR(NOT(ISNUMBER(F521)),N(F521)&lt;0)),"Minutes must be a number of 0 or more",IF(G521="","Enter start and end times, or minutes",IF(C521="","Pick a machine",IF(SUMPRODUCT(--(Setup!$A$5:$A$34=C521))=0,"Machine not in Setup",IF(H521="","Pick a reason (counted as unclassified)",IF(I521="Not in Setup","Reason not in Setup (counted as unclassified)",IF(N(G521)=0,"0 minutes: not counted as a stop","OK")))))))))</f>
        <v/>
      </c>
    </row>
    <row r="522" customFormat="false" ht="15" hidden="false" customHeight="false" outlineLevel="0" collapsed="false">
      <c r="A522" s="11"/>
      <c r="B522" s="9"/>
      <c r="C522" s="9"/>
      <c r="D522" s="12"/>
      <c r="E522" s="12"/>
      <c r="F522" s="13"/>
      <c r="G522" s="14" t="str">
        <f aca="false">IF(F522&lt;&gt;"",IF(AND(ISNUMBER(F522),N(F522)&gt;=0),F522,""),IF(AND(ISNUMBER(D522),ISNUMBER(E522)),ROUND(MOD(E522-D522,1)*1440,0),""))</f>
        <v/>
      </c>
      <c r="H522" s="9"/>
      <c r="I522" s="10" t="str">
        <f aca="false">IF(H522="","",IF(SUMPRODUCT(MAX((Setup!$D$5:$D$34=H522)*(35-ROW(Setup!$D$5:$D$34))))=0,"Not in Setup",INDEX(Setup!$E$5:$E$34,31-SUMPRODUCT(MAX((Setup!$D$5:$D$34=H522)*(35-ROW(Setup!$D$5:$D$34)))))))</f>
        <v/>
      </c>
      <c r="J522" s="9"/>
      <c r="K522" s="10" t="str">
        <f aca="false">IF(AND(A522="",C522="",D522="",E522="",F522="",H522=""),"",IF(NOT(ISNUMBER(A522)),"Enter a date",IF(AND(F522&lt;&gt;"",OR(NOT(ISNUMBER(F522)),N(F522)&lt;0)),"Minutes must be a number of 0 or more",IF(G522="","Enter start and end times, or minutes",IF(C522="","Pick a machine",IF(SUMPRODUCT(--(Setup!$A$5:$A$34=C522))=0,"Machine not in Setup",IF(H522="","Pick a reason (counted as unclassified)",IF(I522="Not in Setup","Reason not in Setup (counted as unclassified)",IF(N(G522)=0,"0 minutes: not counted as a stop","OK")))))))))</f>
        <v/>
      </c>
    </row>
    <row r="523" customFormat="false" ht="15" hidden="false" customHeight="false" outlineLevel="0" collapsed="false">
      <c r="A523" s="11"/>
      <c r="B523" s="9"/>
      <c r="C523" s="9"/>
      <c r="D523" s="12"/>
      <c r="E523" s="12"/>
      <c r="F523" s="13"/>
      <c r="G523" s="14" t="str">
        <f aca="false">IF(F523&lt;&gt;"",IF(AND(ISNUMBER(F523),N(F523)&gt;=0),F523,""),IF(AND(ISNUMBER(D523),ISNUMBER(E523)),ROUND(MOD(E523-D523,1)*1440,0),""))</f>
        <v/>
      </c>
      <c r="H523" s="9"/>
      <c r="I523" s="10" t="str">
        <f aca="false">IF(H523="","",IF(SUMPRODUCT(MAX((Setup!$D$5:$D$34=H523)*(35-ROW(Setup!$D$5:$D$34))))=0,"Not in Setup",INDEX(Setup!$E$5:$E$34,31-SUMPRODUCT(MAX((Setup!$D$5:$D$34=H523)*(35-ROW(Setup!$D$5:$D$34)))))))</f>
        <v/>
      </c>
      <c r="J523" s="9"/>
      <c r="K523" s="10" t="str">
        <f aca="false">IF(AND(A523="",C523="",D523="",E523="",F523="",H523=""),"",IF(NOT(ISNUMBER(A523)),"Enter a date",IF(AND(F523&lt;&gt;"",OR(NOT(ISNUMBER(F523)),N(F523)&lt;0)),"Minutes must be a number of 0 or more",IF(G523="","Enter start and end times, or minutes",IF(C523="","Pick a machine",IF(SUMPRODUCT(--(Setup!$A$5:$A$34=C523))=0,"Machine not in Setup",IF(H523="","Pick a reason (counted as unclassified)",IF(I523="Not in Setup","Reason not in Setup (counted as unclassified)",IF(N(G523)=0,"0 minutes: not counted as a stop","OK")))))))))</f>
        <v/>
      </c>
    </row>
    <row r="524" customFormat="false" ht="15" hidden="false" customHeight="false" outlineLevel="0" collapsed="false">
      <c r="A524" s="11"/>
      <c r="B524" s="9"/>
      <c r="C524" s="9"/>
      <c r="D524" s="12"/>
      <c r="E524" s="12"/>
      <c r="F524" s="13"/>
      <c r="G524" s="14" t="str">
        <f aca="false">IF(F524&lt;&gt;"",IF(AND(ISNUMBER(F524),N(F524)&gt;=0),F524,""),IF(AND(ISNUMBER(D524),ISNUMBER(E524)),ROUND(MOD(E524-D524,1)*1440,0),""))</f>
        <v/>
      </c>
      <c r="H524" s="9"/>
      <c r="I524" s="10" t="str">
        <f aca="false">IF(H524="","",IF(SUMPRODUCT(MAX((Setup!$D$5:$D$34=H524)*(35-ROW(Setup!$D$5:$D$34))))=0,"Not in Setup",INDEX(Setup!$E$5:$E$34,31-SUMPRODUCT(MAX((Setup!$D$5:$D$34=H524)*(35-ROW(Setup!$D$5:$D$34)))))))</f>
        <v/>
      </c>
      <c r="J524" s="9"/>
      <c r="K524" s="10" t="str">
        <f aca="false">IF(AND(A524="",C524="",D524="",E524="",F524="",H524=""),"",IF(NOT(ISNUMBER(A524)),"Enter a date",IF(AND(F524&lt;&gt;"",OR(NOT(ISNUMBER(F524)),N(F524)&lt;0)),"Minutes must be a number of 0 or more",IF(G524="","Enter start and end times, or minutes",IF(C524="","Pick a machine",IF(SUMPRODUCT(--(Setup!$A$5:$A$34=C524))=0,"Machine not in Setup",IF(H524="","Pick a reason (counted as unclassified)",IF(I524="Not in Setup","Reason not in Setup (counted as unclassified)",IF(N(G524)=0,"0 minutes: not counted as a stop","OK")))))))))</f>
        <v/>
      </c>
    </row>
    <row r="525" customFormat="false" ht="15" hidden="false" customHeight="false" outlineLevel="0" collapsed="false">
      <c r="A525" s="11"/>
      <c r="B525" s="9"/>
      <c r="C525" s="9"/>
      <c r="D525" s="12"/>
      <c r="E525" s="12"/>
      <c r="F525" s="13"/>
      <c r="G525" s="14" t="str">
        <f aca="false">IF(F525&lt;&gt;"",IF(AND(ISNUMBER(F525),N(F525)&gt;=0),F525,""),IF(AND(ISNUMBER(D525),ISNUMBER(E525)),ROUND(MOD(E525-D525,1)*1440,0),""))</f>
        <v/>
      </c>
      <c r="H525" s="9"/>
      <c r="I525" s="10" t="str">
        <f aca="false">IF(H525="","",IF(SUMPRODUCT(MAX((Setup!$D$5:$D$34=H525)*(35-ROW(Setup!$D$5:$D$34))))=0,"Not in Setup",INDEX(Setup!$E$5:$E$34,31-SUMPRODUCT(MAX((Setup!$D$5:$D$34=H525)*(35-ROW(Setup!$D$5:$D$34)))))))</f>
        <v/>
      </c>
      <c r="J525" s="9"/>
      <c r="K525" s="10" t="str">
        <f aca="false">IF(AND(A525="",C525="",D525="",E525="",F525="",H525=""),"",IF(NOT(ISNUMBER(A525)),"Enter a date",IF(AND(F525&lt;&gt;"",OR(NOT(ISNUMBER(F525)),N(F525)&lt;0)),"Minutes must be a number of 0 or more",IF(G525="","Enter start and end times, or minutes",IF(C525="","Pick a machine",IF(SUMPRODUCT(--(Setup!$A$5:$A$34=C525))=0,"Machine not in Setup",IF(H525="","Pick a reason (counted as unclassified)",IF(I525="Not in Setup","Reason not in Setup (counted as unclassified)",IF(N(G525)=0,"0 minutes: not counted as a stop","OK")))))))))</f>
        <v/>
      </c>
    </row>
    <row r="526" customFormat="false" ht="15" hidden="false" customHeight="false" outlineLevel="0" collapsed="false">
      <c r="A526" s="11"/>
      <c r="B526" s="9"/>
      <c r="C526" s="9"/>
      <c r="D526" s="12"/>
      <c r="E526" s="12"/>
      <c r="F526" s="13"/>
      <c r="G526" s="14" t="str">
        <f aca="false">IF(F526&lt;&gt;"",IF(AND(ISNUMBER(F526),N(F526)&gt;=0),F526,""),IF(AND(ISNUMBER(D526),ISNUMBER(E526)),ROUND(MOD(E526-D526,1)*1440,0),""))</f>
        <v/>
      </c>
      <c r="H526" s="9"/>
      <c r="I526" s="10" t="str">
        <f aca="false">IF(H526="","",IF(SUMPRODUCT(MAX((Setup!$D$5:$D$34=H526)*(35-ROW(Setup!$D$5:$D$34))))=0,"Not in Setup",INDEX(Setup!$E$5:$E$34,31-SUMPRODUCT(MAX((Setup!$D$5:$D$34=H526)*(35-ROW(Setup!$D$5:$D$34)))))))</f>
        <v/>
      </c>
      <c r="J526" s="9"/>
      <c r="K526" s="10" t="str">
        <f aca="false">IF(AND(A526="",C526="",D526="",E526="",F526="",H526=""),"",IF(NOT(ISNUMBER(A526)),"Enter a date",IF(AND(F526&lt;&gt;"",OR(NOT(ISNUMBER(F526)),N(F526)&lt;0)),"Minutes must be a number of 0 or more",IF(G526="","Enter start and end times, or minutes",IF(C526="","Pick a machine",IF(SUMPRODUCT(--(Setup!$A$5:$A$34=C526))=0,"Machine not in Setup",IF(H526="","Pick a reason (counted as unclassified)",IF(I526="Not in Setup","Reason not in Setup (counted as unclassified)",IF(N(G526)=0,"0 minutes: not counted as a stop","OK")))))))))</f>
        <v/>
      </c>
    </row>
    <row r="527" customFormat="false" ht="15" hidden="false" customHeight="false" outlineLevel="0" collapsed="false">
      <c r="A527" s="11"/>
      <c r="B527" s="9"/>
      <c r="C527" s="9"/>
      <c r="D527" s="12"/>
      <c r="E527" s="12"/>
      <c r="F527" s="13"/>
      <c r="G527" s="14" t="str">
        <f aca="false">IF(F527&lt;&gt;"",IF(AND(ISNUMBER(F527),N(F527)&gt;=0),F527,""),IF(AND(ISNUMBER(D527),ISNUMBER(E527)),ROUND(MOD(E527-D527,1)*1440,0),""))</f>
        <v/>
      </c>
      <c r="H527" s="9"/>
      <c r="I527" s="10" t="str">
        <f aca="false">IF(H527="","",IF(SUMPRODUCT(MAX((Setup!$D$5:$D$34=H527)*(35-ROW(Setup!$D$5:$D$34))))=0,"Not in Setup",INDEX(Setup!$E$5:$E$34,31-SUMPRODUCT(MAX((Setup!$D$5:$D$34=H527)*(35-ROW(Setup!$D$5:$D$34)))))))</f>
        <v/>
      </c>
      <c r="J527" s="9"/>
      <c r="K527" s="10" t="str">
        <f aca="false">IF(AND(A527="",C527="",D527="",E527="",F527="",H527=""),"",IF(NOT(ISNUMBER(A527)),"Enter a date",IF(AND(F527&lt;&gt;"",OR(NOT(ISNUMBER(F527)),N(F527)&lt;0)),"Minutes must be a number of 0 or more",IF(G527="","Enter start and end times, or minutes",IF(C527="","Pick a machine",IF(SUMPRODUCT(--(Setup!$A$5:$A$34=C527))=0,"Machine not in Setup",IF(H527="","Pick a reason (counted as unclassified)",IF(I527="Not in Setup","Reason not in Setup (counted as unclassified)",IF(N(G527)=0,"0 minutes: not counted as a stop","OK")))))))))</f>
        <v/>
      </c>
    </row>
    <row r="528" customFormat="false" ht="15" hidden="false" customHeight="false" outlineLevel="0" collapsed="false">
      <c r="A528" s="11"/>
      <c r="B528" s="9"/>
      <c r="C528" s="9"/>
      <c r="D528" s="12"/>
      <c r="E528" s="12"/>
      <c r="F528" s="13"/>
      <c r="G528" s="14" t="str">
        <f aca="false">IF(F528&lt;&gt;"",IF(AND(ISNUMBER(F528),N(F528)&gt;=0),F528,""),IF(AND(ISNUMBER(D528),ISNUMBER(E528)),ROUND(MOD(E528-D528,1)*1440,0),""))</f>
        <v/>
      </c>
      <c r="H528" s="9"/>
      <c r="I528" s="10" t="str">
        <f aca="false">IF(H528="","",IF(SUMPRODUCT(MAX((Setup!$D$5:$D$34=H528)*(35-ROW(Setup!$D$5:$D$34))))=0,"Not in Setup",INDEX(Setup!$E$5:$E$34,31-SUMPRODUCT(MAX((Setup!$D$5:$D$34=H528)*(35-ROW(Setup!$D$5:$D$34)))))))</f>
        <v/>
      </c>
      <c r="J528" s="9"/>
      <c r="K528" s="10" t="str">
        <f aca="false">IF(AND(A528="",C528="",D528="",E528="",F528="",H528=""),"",IF(NOT(ISNUMBER(A528)),"Enter a date",IF(AND(F528&lt;&gt;"",OR(NOT(ISNUMBER(F528)),N(F528)&lt;0)),"Minutes must be a number of 0 or more",IF(G528="","Enter start and end times, or minutes",IF(C528="","Pick a machine",IF(SUMPRODUCT(--(Setup!$A$5:$A$34=C528))=0,"Machine not in Setup",IF(H528="","Pick a reason (counted as unclassified)",IF(I528="Not in Setup","Reason not in Setup (counted as unclassified)",IF(N(G528)=0,"0 minutes: not counted as a stop","OK")))))))))</f>
        <v/>
      </c>
    </row>
    <row r="529" customFormat="false" ht="15" hidden="false" customHeight="false" outlineLevel="0" collapsed="false">
      <c r="A529" s="11"/>
      <c r="B529" s="9"/>
      <c r="C529" s="9"/>
      <c r="D529" s="12"/>
      <c r="E529" s="12"/>
      <c r="F529" s="13"/>
      <c r="G529" s="14" t="str">
        <f aca="false">IF(F529&lt;&gt;"",IF(AND(ISNUMBER(F529),N(F529)&gt;=0),F529,""),IF(AND(ISNUMBER(D529),ISNUMBER(E529)),ROUND(MOD(E529-D529,1)*1440,0),""))</f>
        <v/>
      </c>
      <c r="H529" s="9"/>
      <c r="I529" s="10" t="str">
        <f aca="false">IF(H529="","",IF(SUMPRODUCT(MAX((Setup!$D$5:$D$34=H529)*(35-ROW(Setup!$D$5:$D$34))))=0,"Not in Setup",INDEX(Setup!$E$5:$E$34,31-SUMPRODUCT(MAX((Setup!$D$5:$D$34=H529)*(35-ROW(Setup!$D$5:$D$34)))))))</f>
        <v/>
      </c>
      <c r="J529" s="9"/>
      <c r="K529" s="10" t="str">
        <f aca="false">IF(AND(A529="",C529="",D529="",E529="",F529="",H529=""),"",IF(NOT(ISNUMBER(A529)),"Enter a date",IF(AND(F529&lt;&gt;"",OR(NOT(ISNUMBER(F529)),N(F529)&lt;0)),"Minutes must be a number of 0 or more",IF(G529="","Enter start and end times, or minutes",IF(C529="","Pick a machine",IF(SUMPRODUCT(--(Setup!$A$5:$A$34=C529))=0,"Machine not in Setup",IF(H529="","Pick a reason (counted as unclassified)",IF(I529="Not in Setup","Reason not in Setup (counted as unclassified)",IF(N(G529)=0,"0 minutes: not counted as a stop","OK")))))))))</f>
        <v/>
      </c>
    </row>
    <row r="530" customFormat="false" ht="15" hidden="false" customHeight="false" outlineLevel="0" collapsed="false">
      <c r="A530" s="11"/>
      <c r="B530" s="9"/>
      <c r="C530" s="9"/>
      <c r="D530" s="12"/>
      <c r="E530" s="12"/>
      <c r="F530" s="13"/>
      <c r="G530" s="14" t="str">
        <f aca="false">IF(F530&lt;&gt;"",IF(AND(ISNUMBER(F530),N(F530)&gt;=0),F530,""),IF(AND(ISNUMBER(D530),ISNUMBER(E530)),ROUND(MOD(E530-D530,1)*1440,0),""))</f>
        <v/>
      </c>
      <c r="H530" s="9"/>
      <c r="I530" s="10" t="str">
        <f aca="false">IF(H530="","",IF(SUMPRODUCT(MAX((Setup!$D$5:$D$34=H530)*(35-ROW(Setup!$D$5:$D$34))))=0,"Not in Setup",INDEX(Setup!$E$5:$E$34,31-SUMPRODUCT(MAX((Setup!$D$5:$D$34=H530)*(35-ROW(Setup!$D$5:$D$34)))))))</f>
        <v/>
      </c>
      <c r="J530" s="9"/>
      <c r="K530" s="10" t="str">
        <f aca="false">IF(AND(A530="",C530="",D530="",E530="",F530="",H530=""),"",IF(NOT(ISNUMBER(A530)),"Enter a date",IF(AND(F530&lt;&gt;"",OR(NOT(ISNUMBER(F530)),N(F530)&lt;0)),"Minutes must be a number of 0 or more",IF(G530="","Enter start and end times, or minutes",IF(C530="","Pick a machine",IF(SUMPRODUCT(--(Setup!$A$5:$A$34=C530))=0,"Machine not in Setup",IF(H530="","Pick a reason (counted as unclassified)",IF(I530="Not in Setup","Reason not in Setup (counted as unclassified)",IF(N(G530)=0,"0 minutes: not counted as a stop","OK")))))))))</f>
        <v/>
      </c>
    </row>
    <row r="531" customFormat="false" ht="15" hidden="false" customHeight="false" outlineLevel="0" collapsed="false">
      <c r="A531" s="11"/>
      <c r="B531" s="9"/>
      <c r="C531" s="9"/>
      <c r="D531" s="12"/>
      <c r="E531" s="12"/>
      <c r="F531" s="13"/>
      <c r="G531" s="14" t="str">
        <f aca="false">IF(F531&lt;&gt;"",IF(AND(ISNUMBER(F531),N(F531)&gt;=0),F531,""),IF(AND(ISNUMBER(D531),ISNUMBER(E531)),ROUND(MOD(E531-D531,1)*1440,0),""))</f>
        <v/>
      </c>
      <c r="H531" s="9"/>
      <c r="I531" s="10" t="str">
        <f aca="false">IF(H531="","",IF(SUMPRODUCT(MAX((Setup!$D$5:$D$34=H531)*(35-ROW(Setup!$D$5:$D$34))))=0,"Not in Setup",INDEX(Setup!$E$5:$E$34,31-SUMPRODUCT(MAX((Setup!$D$5:$D$34=H531)*(35-ROW(Setup!$D$5:$D$34)))))))</f>
        <v/>
      </c>
      <c r="J531" s="9"/>
      <c r="K531" s="10" t="str">
        <f aca="false">IF(AND(A531="",C531="",D531="",E531="",F531="",H531=""),"",IF(NOT(ISNUMBER(A531)),"Enter a date",IF(AND(F531&lt;&gt;"",OR(NOT(ISNUMBER(F531)),N(F531)&lt;0)),"Minutes must be a number of 0 or more",IF(G531="","Enter start and end times, or minutes",IF(C531="","Pick a machine",IF(SUMPRODUCT(--(Setup!$A$5:$A$34=C531))=0,"Machine not in Setup",IF(H531="","Pick a reason (counted as unclassified)",IF(I531="Not in Setup","Reason not in Setup (counted as unclassified)",IF(N(G531)=0,"0 minutes: not counted as a stop","OK")))))))))</f>
        <v/>
      </c>
    </row>
    <row r="532" customFormat="false" ht="15" hidden="false" customHeight="false" outlineLevel="0" collapsed="false">
      <c r="A532" s="11"/>
      <c r="B532" s="9"/>
      <c r="C532" s="9"/>
      <c r="D532" s="12"/>
      <c r="E532" s="12"/>
      <c r="F532" s="13"/>
      <c r="G532" s="14" t="str">
        <f aca="false">IF(F532&lt;&gt;"",IF(AND(ISNUMBER(F532),N(F532)&gt;=0),F532,""),IF(AND(ISNUMBER(D532),ISNUMBER(E532)),ROUND(MOD(E532-D532,1)*1440,0),""))</f>
        <v/>
      </c>
      <c r="H532" s="9"/>
      <c r="I532" s="10" t="str">
        <f aca="false">IF(H532="","",IF(SUMPRODUCT(MAX((Setup!$D$5:$D$34=H532)*(35-ROW(Setup!$D$5:$D$34))))=0,"Not in Setup",INDEX(Setup!$E$5:$E$34,31-SUMPRODUCT(MAX((Setup!$D$5:$D$34=H532)*(35-ROW(Setup!$D$5:$D$34)))))))</f>
        <v/>
      </c>
      <c r="J532" s="9"/>
      <c r="K532" s="10" t="str">
        <f aca="false">IF(AND(A532="",C532="",D532="",E532="",F532="",H532=""),"",IF(NOT(ISNUMBER(A532)),"Enter a date",IF(AND(F532&lt;&gt;"",OR(NOT(ISNUMBER(F532)),N(F532)&lt;0)),"Minutes must be a number of 0 or more",IF(G532="","Enter start and end times, or minutes",IF(C532="","Pick a machine",IF(SUMPRODUCT(--(Setup!$A$5:$A$34=C532))=0,"Machine not in Setup",IF(H532="","Pick a reason (counted as unclassified)",IF(I532="Not in Setup","Reason not in Setup (counted as unclassified)",IF(N(G532)=0,"0 minutes: not counted as a stop","OK")))))))))</f>
        <v/>
      </c>
    </row>
    <row r="533" customFormat="false" ht="15" hidden="false" customHeight="false" outlineLevel="0" collapsed="false">
      <c r="A533" s="11"/>
      <c r="B533" s="9"/>
      <c r="C533" s="9"/>
      <c r="D533" s="12"/>
      <c r="E533" s="12"/>
      <c r="F533" s="13"/>
      <c r="G533" s="14" t="str">
        <f aca="false">IF(F533&lt;&gt;"",IF(AND(ISNUMBER(F533),N(F533)&gt;=0),F533,""),IF(AND(ISNUMBER(D533),ISNUMBER(E533)),ROUND(MOD(E533-D533,1)*1440,0),""))</f>
        <v/>
      </c>
      <c r="H533" s="9"/>
      <c r="I533" s="10" t="str">
        <f aca="false">IF(H533="","",IF(SUMPRODUCT(MAX((Setup!$D$5:$D$34=H533)*(35-ROW(Setup!$D$5:$D$34))))=0,"Not in Setup",INDEX(Setup!$E$5:$E$34,31-SUMPRODUCT(MAX((Setup!$D$5:$D$34=H533)*(35-ROW(Setup!$D$5:$D$34)))))))</f>
        <v/>
      </c>
      <c r="J533" s="9"/>
      <c r="K533" s="10" t="str">
        <f aca="false">IF(AND(A533="",C533="",D533="",E533="",F533="",H533=""),"",IF(NOT(ISNUMBER(A533)),"Enter a date",IF(AND(F533&lt;&gt;"",OR(NOT(ISNUMBER(F533)),N(F533)&lt;0)),"Minutes must be a number of 0 or more",IF(G533="","Enter start and end times, or minutes",IF(C533="","Pick a machine",IF(SUMPRODUCT(--(Setup!$A$5:$A$34=C533))=0,"Machine not in Setup",IF(H533="","Pick a reason (counted as unclassified)",IF(I533="Not in Setup","Reason not in Setup (counted as unclassified)",IF(N(G533)=0,"0 minutes: not counted as a stop","OK")))))))))</f>
        <v/>
      </c>
    </row>
    <row r="534" customFormat="false" ht="15" hidden="false" customHeight="false" outlineLevel="0" collapsed="false">
      <c r="A534" s="11"/>
      <c r="B534" s="9"/>
      <c r="C534" s="9"/>
      <c r="D534" s="12"/>
      <c r="E534" s="12"/>
      <c r="F534" s="13"/>
      <c r="G534" s="14" t="str">
        <f aca="false">IF(F534&lt;&gt;"",IF(AND(ISNUMBER(F534),N(F534)&gt;=0),F534,""),IF(AND(ISNUMBER(D534),ISNUMBER(E534)),ROUND(MOD(E534-D534,1)*1440,0),""))</f>
        <v/>
      </c>
      <c r="H534" s="9"/>
      <c r="I534" s="10" t="str">
        <f aca="false">IF(H534="","",IF(SUMPRODUCT(MAX((Setup!$D$5:$D$34=H534)*(35-ROW(Setup!$D$5:$D$34))))=0,"Not in Setup",INDEX(Setup!$E$5:$E$34,31-SUMPRODUCT(MAX((Setup!$D$5:$D$34=H534)*(35-ROW(Setup!$D$5:$D$34)))))))</f>
        <v/>
      </c>
      <c r="J534" s="9"/>
      <c r="K534" s="10" t="str">
        <f aca="false">IF(AND(A534="",C534="",D534="",E534="",F534="",H534=""),"",IF(NOT(ISNUMBER(A534)),"Enter a date",IF(AND(F534&lt;&gt;"",OR(NOT(ISNUMBER(F534)),N(F534)&lt;0)),"Minutes must be a number of 0 or more",IF(G534="","Enter start and end times, or minutes",IF(C534="","Pick a machine",IF(SUMPRODUCT(--(Setup!$A$5:$A$34=C534))=0,"Machine not in Setup",IF(H534="","Pick a reason (counted as unclassified)",IF(I534="Not in Setup","Reason not in Setup (counted as unclassified)",IF(N(G534)=0,"0 minutes: not counted as a stop","OK")))))))))</f>
        <v/>
      </c>
    </row>
    <row r="535" customFormat="false" ht="15" hidden="false" customHeight="false" outlineLevel="0" collapsed="false">
      <c r="A535" s="11"/>
      <c r="B535" s="9"/>
      <c r="C535" s="9"/>
      <c r="D535" s="12"/>
      <c r="E535" s="12"/>
      <c r="F535" s="13"/>
      <c r="G535" s="14" t="str">
        <f aca="false">IF(F535&lt;&gt;"",IF(AND(ISNUMBER(F535),N(F535)&gt;=0),F535,""),IF(AND(ISNUMBER(D535),ISNUMBER(E535)),ROUND(MOD(E535-D535,1)*1440,0),""))</f>
        <v/>
      </c>
      <c r="H535" s="9"/>
      <c r="I535" s="10" t="str">
        <f aca="false">IF(H535="","",IF(SUMPRODUCT(MAX((Setup!$D$5:$D$34=H535)*(35-ROW(Setup!$D$5:$D$34))))=0,"Not in Setup",INDEX(Setup!$E$5:$E$34,31-SUMPRODUCT(MAX((Setup!$D$5:$D$34=H535)*(35-ROW(Setup!$D$5:$D$34)))))))</f>
        <v/>
      </c>
      <c r="J535" s="9"/>
      <c r="K535" s="10" t="str">
        <f aca="false">IF(AND(A535="",C535="",D535="",E535="",F535="",H535=""),"",IF(NOT(ISNUMBER(A535)),"Enter a date",IF(AND(F535&lt;&gt;"",OR(NOT(ISNUMBER(F535)),N(F535)&lt;0)),"Minutes must be a number of 0 or more",IF(G535="","Enter start and end times, or minutes",IF(C535="","Pick a machine",IF(SUMPRODUCT(--(Setup!$A$5:$A$34=C535))=0,"Machine not in Setup",IF(H535="","Pick a reason (counted as unclassified)",IF(I535="Not in Setup","Reason not in Setup (counted as unclassified)",IF(N(G535)=0,"0 minutes: not counted as a stop","OK")))))))))</f>
        <v/>
      </c>
    </row>
    <row r="536" customFormat="false" ht="15" hidden="false" customHeight="false" outlineLevel="0" collapsed="false">
      <c r="A536" s="11"/>
      <c r="B536" s="9"/>
      <c r="C536" s="9"/>
      <c r="D536" s="12"/>
      <c r="E536" s="12"/>
      <c r="F536" s="13"/>
      <c r="G536" s="14" t="str">
        <f aca="false">IF(F536&lt;&gt;"",IF(AND(ISNUMBER(F536),N(F536)&gt;=0),F536,""),IF(AND(ISNUMBER(D536),ISNUMBER(E536)),ROUND(MOD(E536-D536,1)*1440,0),""))</f>
        <v/>
      </c>
      <c r="H536" s="9"/>
      <c r="I536" s="10" t="str">
        <f aca="false">IF(H536="","",IF(SUMPRODUCT(MAX((Setup!$D$5:$D$34=H536)*(35-ROW(Setup!$D$5:$D$34))))=0,"Not in Setup",INDEX(Setup!$E$5:$E$34,31-SUMPRODUCT(MAX((Setup!$D$5:$D$34=H536)*(35-ROW(Setup!$D$5:$D$34)))))))</f>
        <v/>
      </c>
      <c r="J536" s="9"/>
      <c r="K536" s="10" t="str">
        <f aca="false">IF(AND(A536="",C536="",D536="",E536="",F536="",H536=""),"",IF(NOT(ISNUMBER(A536)),"Enter a date",IF(AND(F536&lt;&gt;"",OR(NOT(ISNUMBER(F536)),N(F536)&lt;0)),"Minutes must be a number of 0 or more",IF(G536="","Enter start and end times, or minutes",IF(C536="","Pick a machine",IF(SUMPRODUCT(--(Setup!$A$5:$A$34=C536))=0,"Machine not in Setup",IF(H536="","Pick a reason (counted as unclassified)",IF(I536="Not in Setup","Reason not in Setup (counted as unclassified)",IF(N(G536)=0,"0 minutes: not counted as a stop","OK")))))))))</f>
        <v/>
      </c>
    </row>
    <row r="537" customFormat="false" ht="15" hidden="false" customHeight="false" outlineLevel="0" collapsed="false">
      <c r="A537" s="11"/>
      <c r="B537" s="9"/>
      <c r="C537" s="9"/>
      <c r="D537" s="12"/>
      <c r="E537" s="12"/>
      <c r="F537" s="13"/>
      <c r="G537" s="14" t="str">
        <f aca="false">IF(F537&lt;&gt;"",IF(AND(ISNUMBER(F537),N(F537)&gt;=0),F537,""),IF(AND(ISNUMBER(D537),ISNUMBER(E537)),ROUND(MOD(E537-D537,1)*1440,0),""))</f>
        <v/>
      </c>
      <c r="H537" s="9"/>
      <c r="I537" s="10" t="str">
        <f aca="false">IF(H537="","",IF(SUMPRODUCT(MAX((Setup!$D$5:$D$34=H537)*(35-ROW(Setup!$D$5:$D$34))))=0,"Not in Setup",INDEX(Setup!$E$5:$E$34,31-SUMPRODUCT(MAX((Setup!$D$5:$D$34=H537)*(35-ROW(Setup!$D$5:$D$34)))))))</f>
        <v/>
      </c>
      <c r="J537" s="9"/>
      <c r="K537" s="10" t="str">
        <f aca="false">IF(AND(A537="",C537="",D537="",E537="",F537="",H537=""),"",IF(NOT(ISNUMBER(A537)),"Enter a date",IF(AND(F537&lt;&gt;"",OR(NOT(ISNUMBER(F537)),N(F537)&lt;0)),"Minutes must be a number of 0 or more",IF(G537="","Enter start and end times, or minutes",IF(C537="","Pick a machine",IF(SUMPRODUCT(--(Setup!$A$5:$A$34=C537))=0,"Machine not in Setup",IF(H537="","Pick a reason (counted as unclassified)",IF(I537="Not in Setup","Reason not in Setup (counted as unclassified)",IF(N(G537)=0,"0 minutes: not counted as a stop","OK")))))))))</f>
        <v/>
      </c>
    </row>
    <row r="538" customFormat="false" ht="15" hidden="false" customHeight="false" outlineLevel="0" collapsed="false">
      <c r="A538" s="11"/>
      <c r="B538" s="9"/>
      <c r="C538" s="9"/>
      <c r="D538" s="12"/>
      <c r="E538" s="12"/>
      <c r="F538" s="13"/>
      <c r="G538" s="14" t="str">
        <f aca="false">IF(F538&lt;&gt;"",IF(AND(ISNUMBER(F538),N(F538)&gt;=0),F538,""),IF(AND(ISNUMBER(D538),ISNUMBER(E538)),ROUND(MOD(E538-D538,1)*1440,0),""))</f>
        <v/>
      </c>
      <c r="H538" s="9"/>
      <c r="I538" s="10" t="str">
        <f aca="false">IF(H538="","",IF(SUMPRODUCT(MAX((Setup!$D$5:$D$34=H538)*(35-ROW(Setup!$D$5:$D$34))))=0,"Not in Setup",INDEX(Setup!$E$5:$E$34,31-SUMPRODUCT(MAX((Setup!$D$5:$D$34=H538)*(35-ROW(Setup!$D$5:$D$34)))))))</f>
        <v/>
      </c>
      <c r="J538" s="9"/>
      <c r="K538" s="10" t="str">
        <f aca="false">IF(AND(A538="",C538="",D538="",E538="",F538="",H538=""),"",IF(NOT(ISNUMBER(A538)),"Enter a date",IF(AND(F538&lt;&gt;"",OR(NOT(ISNUMBER(F538)),N(F538)&lt;0)),"Minutes must be a number of 0 or more",IF(G538="","Enter start and end times, or minutes",IF(C538="","Pick a machine",IF(SUMPRODUCT(--(Setup!$A$5:$A$34=C538))=0,"Machine not in Setup",IF(H538="","Pick a reason (counted as unclassified)",IF(I538="Not in Setup","Reason not in Setup (counted as unclassified)",IF(N(G538)=0,"0 minutes: not counted as a stop","OK")))))))))</f>
        <v/>
      </c>
    </row>
    <row r="539" customFormat="false" ht="15" hidden="false" customHeight="false" outlineLevel="0" collapsed="false">
      <c r="A539" s="11"/>
      <c r="B539" s="9"/>
      <c r="C539" s="9"/>
      <c r="D539" s="12"/>
      <c r="E539" s="12"/>
      <c r="F539" s="13"/>
      <c r="G539" s="14" t="str">
        <f aca="false">IF(F539&lt;&gt;"",IF(AND(ISNUMBER(F539),N(F539)&gt;=0),F539,""),IF(AND(ISNUMBER(D539),ISNUMBER(E539)),ROUND(MOD(E539-D539,1)*1440,0),""))</f>
        <v/>
      </c>
      <c r="H539" s="9"/>
      <c r="I539" s="10" t="str">
        <f aca="false">IF(H539="","",IF(SUMPRODUCT(MAX((Setup!$D$5:$D$34=H539)*(35-ROW(Setup!$D$5:$D$34))))=0,"Not in Setup",INDEX(Setup!$E$5:$E$34,31-SUMPRODUCT(MAX((Setup!$D$5:$D$34=H539)*(35-ROW(Setup!$D$5:$D$34)))))))</f>
        <v/>
      </c>
      <c r="J539" s="9"/>
      <c r="K539" s="10" t="str">
        <f aca="false">IF(AND(A539="",C539="",D539="",E539="",F539="",H539=""),"",IF(NOT(ISNUMBER(A539)),"Enter a date",IF(AND(F539&lt;&gt;"",OR(NOT(ISNUMBER(F539)),N(F539)&lt;0)),"Minutes must be a number of 0 or more",IF(G539="","Enter start and end times, or minutes",IF(C539="","Pick a machine",IF(SUMPRODUCT(--(Setup!$A$5:$A$34=C539))=0,"Machine not in Setup",IF(H539="","Pick a reason (counted as unclassified)",IF(I539="Not in Setup","Reason not in Setup (counted as unclassified)",IF(N(G539)=0,"0 minutes: not counted as a stop","OK")))))))))</f>
        <v/>
      </c>
    </row>
    <row r="540" customFormat="false" ht="15" hidden="false" customHeight="false" outlineLevel="0" collapsed="false">
      <c r="A540" s="11"/>
      <c r="B540" s="9"/>
      <c r="C540" s="9"/>
      <c r="D540" s="12"/>
      <c r="E540" s="12"/>
      <c r="F540" s="13"/>
      <c r="G540" s="14" t="str">
        <f aca="false">IF(F540&lt;&gt;"",IF(AND(ISNUMBER(F540),N(F540)&gt;=0),F540,""),IF(AND(ISNUMBER(D540),ISNUMBER(E540)),ROUND(MOD(E540-D540,1)*1440,0),""))</f>
        <v/>
      </c>
      <c r="H540" s="9"/>
      <c r="I540" s="10" t="str">
        <f aca="false">IF(H540="","",IF(SUMPRODUCT(MAX((Setup!$D$5:$D$34=H540)*(35-ROW(Setup!$D$5:$D$34))))=0,"Not in Setup",INDEX(Setup!$E$5:$E$34,31-SUMPRODUCT(MAX((Setup!$D$5:$D$34=H540)*(35-ROW(Setup!$D$5:$D$34)))))))</f>
        <v/>
      </c>
      <c r="J540" s="9"/>
      <c r="K540" s="10" t="str">
        <f aca="false">IF(AND(A540="",C540="",D540="",E540="",F540="",H540=""),"",IF(NOT(ISNUMBER(A540)),"Enter a date",IF(AND(F540&lt;&gt;"",OR(NOT(ISNUMBER(F540)),N(F540)&lt;0)),"Minutes must be a number of 0 or more",IF(G540="","Enter start and end times, or minutes",IF(C540="","Pick a machine",IF(SUMPRODUCT(--(Setup!$A$5:$A$34=C540))=0,"Machine not in Setup",IF(H540="","Pick a reason (counted as unclassified)",IF(I540="Not in Setup","Reason not in Setup (counted as unclassified)",IF(N(G540)=0,"0 minutes: not counted as a stop","OK")))))))))</f>
        <v/>
      </c>
    </row>
    <row r="541" customFormat="false" ht="15" hidden="false" customHeight="false" outlineLevel="0" collapsed="false">
      <c r="A541" s="11"/>
      <c r="B541" s="9"/>
      <c r="C541" s="9"/>
      <c r="D541" s="12"/>
      <c r="E541" s="12"/>
      <c r="F541" s="13"/>
      <c r="G541" s="14" t="str">
        <f aca="false">IF(F541&lt;&gt;"",IF(AND(ISNUMBER(F541),N(F541)&gt;=0),F541,""),IF(AND(ISNUMBER(D541),ISNUMBER(E541)),ROUND(MOD(E541-D541,1)*1440,0),""))</f>
        <v/>
      </c>
      <c r="H541" s="9"/>
      <c r="I541" s="10" t="str">
        <f aca="false">IF(H541="","",IF(SUMPRODUCT(MAX((Setup!$D$5:$D$34=H541)*(35-ROW(Setup!$D$5:$D$34))))=0,"Not in Setup",INDEX(Setup!$E$5:$E$34,31-SUMPRODUCT(MAX((Setup!$D$5:$D$34=H541)*(35-ROW(Setup!$D$5:$D$34)))))))</f>
        <v/>
      </c>
      <c r="J541" s="9"/>
      <c r="K541" s="10" t="str">
        <f aca="false">IF(AND(A541="",C541="",D541="",E541="",F541="",H541=""),"",IF(NOT(ISNUMBER(A541)),"Enter a date",IF(AND(F541&lt;&gt;"",OR(NOT(ISNUMBER(F541)),N(F541)&lt;0)),"Minutes must be a number of 0 or more",IF(G541="","Enter start and end times, or minutes",IF(C541="","Pick a machine",IF(SUMPRODUCT(--(Setup!$A$5:$A$34=C541))=0,"Machine not in Setup",IF(H541="","Pick a reason (counted as unclassified)",IF(I541="Not in Setup","Reason not in Setup (counted as unclassified)",IF(N(G541)=0,"0 minutes: not counted as a stop","OK")))))))))</f>
        <v/>
      </c>
    </row>
    <row r="542" customFormat="false" ht="15" hidden="false" customHeight="false" outlineLevel="0" collapsed="false">
      <c r="A542" s="11"/>
      <c r="B542" s="9"/>
      <c r="C542" s="9"/>
      <c r="D542" s="12"/>
      <c r="E542" s="12"/>
      <c r="F542" s="13"/>
      <c r="G542" s="14" t="str">
        <f aca="false">IF(F542&lt;&gt;"",IF(AND(ISNUMBER(F542),N(F542)&gt;=0),F542,""),IF(AND(ISNUMBER(D542),ISNUMBER(E542)),ROUND(MOD(E542-D542,1)*1440,0),""))</f>
        <v/>
      </c>
      <c r="H542" s="9"/>
      <c r="I542" s="10" t="str">
        <f aca="false">IF(H542="","",IF(SUMPRODUCT(MAX((Setup!$D$5:$D$34=H542)*(35-ROW(Setup!$D$5:$D$34))))=0,"Not in Setup",INDEX(Setup!$E$5:$E$34,31-SUMPRODUCT(MAX((Setup!$D$5:$D$34=H542)*(35-ROW(Setup!$D$5:$D$34)))))))</f>
        <v/>
      </c>
      <c r="J542" s="9"/>
      <c r="K542" s="10" t="str">
        <f aca="false">IF(AND(A542="",C542="",D542="",E542="",F542="",H542=""),"",IF(NOT(ISNUMBER(A542)),"Enter a date",IF(AND(F542&lt;&gt;"",OR(NOT(ISNUMBER(F542)),N(F542)&lt;0)),"Minutes must be a number of 0 or more",IF(G542="","Enter start and end times, or minutes",IF(C542="","Pick a machine",IF(SUMPRODUCT(--(Setup!$A$5:$A$34=C542))=0,"Machine not in Setup",IF(H542="","Pick a reason (counted as unclassified)",IF(I542="Not in Setup","Reason not in Setup (counted as unclassified)",IF(N(G542)=0,"0 minutes: not counted as a stop","OK")))))))))</f>
        <v/>
      </c>
    </row>
    <row r="543" customFormat="false" ht="15" hidden="false" customHeight="false" outlineLevel="0" collapsed="false">
      <c r="A543" s="11"/>
      <c r="B543" s="9"/>
      <c r="C543" s="9"/>
      <c r="D543" s="12"/>
      <c r="E543" s="12"/>
      <c r="F543" s="13"/>
      <c r="G543" s="14" t="str">
        <f aca="false">IF(F543&lt;&gt;"",IF(AND(ISNUMBER(F543),N(F543)&gt;=0),F543,""),IF(AND(ISNUMBER(D543),ISNUMBER(E543)),ROUND(MOD(E543-D543,1)*1440,0),""))</f>
        <v/>
      </c>
      <c r="H543" s="9"/>
      <c r="I543" s="10" t="str">
        <f aca="false">IF(H543="","",IF(SUMPRODUCT(MAX((Setup!$D$5:$D$34=H543)*(35-ROW(Setup!$D$5:$D$34))))=0,"Not in Setup",INDEX(Setup!$E$5:$E$34,31-SUMPRODUCT(MAX((Setup!$D$5:$D$34=H543)*(35-ROW(Setup!$D$5:$D$34)))))))</f>
        <v/>
      </c>
      <c r="J543" s="9"/>
      <c r="K543" s="10" t="str">
        <f aca="false">IF(AND(A543="",C543="",D543="",E543="",F543="",H543=""),"",IF(NOT(ISNUMBER(A543)),"Enter a date",IF(AND(F543&lt;&gt;"",OR(NOT(ISNUMBER(F543)),N(F543)&lt;0)),"Minutes must be a number of 0 or more",IF(G543="","Enter start and end times, or minutes",IF(C543="","Pick a machine",IF(SUMPRODUCT(--(Setup!$A$5:$A$34=C543))=0,"Machine not in Setup",IF(H543="","Pick a reason (counted as unclassified)",IF(I543="Not in Setup","Reason not in Setup (counted as unclassified)",IF(N(G543)=0,"0 minutes: not counted as a stop","OK")))))))))</f>
        <v/>
      </c>
    </row>
    <row r="544" customFormat="false" ht="15" hidden="false" customHeight="false" outlineLevel="0" collapsed="false">
      <c r="A544" s="11"/>
      <c r="B544" s="9"/>
      <c r="C544" s="9"/>
      <c r="D544" s="12"/>
      <c r="E544" s="12"/>
      <c r="F544" s="13"/>
      <c r="G544" s="14" t="str">
        <f aca="false">IF(F544&lt;&gt;"",IF(AND(ISNUMBER(F544),N(F544)&gt;=0),F544,""),IF(AND(ISNUMBER(D544),ISNUMBER(E544)),ROUND(MOD(E544-D544,1)*1440,0),""))</f>
        <v/>
      </c>
      <c r="H544" s="9"/>
      <c r="I544" s="10" t="str">
        <f aca="false">IF(H544="","",IF(SUMPRODUCT(MAX((Setup!$D$5:$D$34=H544)*(35-ROW(Setup!$D$5:$D$34))))=0,"Not in Setup",INDEX(Setup!$E$5:$E$34,31-SUMPRODUCT(MAX((Setup!$D$5:$D$34=H544)*(35-ROW(Setup!$D$5:$D$34)))))))</f>
        <v/>
      </c>
      <c r="J544" s="9"/>
      <c r="K544" s="10" t="str">
        <f aca="false">IF(AND(A544="",C544="",D544="",E544="",F544="",H544=""),"",IF(NOT(ISNUMBER(A544)),"Enter a date",IF(AND(F544&lt;&gt;"",OR(NOT(ISNUMBER(F544)),N(F544)&lt;0)),"Minutes must be a number of 0 or more",IF(G544="","Enter start and end times, or minutes",IF(C544="","Pick a machine",IF(SUMPRODUCT(--(Setup!$A$5:$A$34=C544))=0,"Machine not in Setup",IF(H544="","Pick a reason (counted as unclassified)",IF(I544="Not in Setup","Reason not in Setup (counted as unclassified)",IF(N(G544)=0,"0 minutes: not counted as a stop","OK")))))))))</f>
        <v/>
      </c>
    </row>
    <row r="545" customFormat="false" ht="15" hidden="false" customHeight="false" outlineLevel="0" collapsed="false">
      <c r="A545" s="11"/>
      <c r="B545" s="9"/>
      <c r="C545" s="9"/>
      <c r="D545" s="12"/>
      <c r="E545" s="12"/>
      <c r="F545" s="13"/>
      <c r="G545" s="14" t="str">
        <f aca="false">IF(F545&lt;&gt;"",IF(AND(ISNUMBER(F545),N(F545)&gt;=0),F545,""),IF(AND(ISNUMBER(D545),ISNUMBER(E545)),ROUND(MOD(E545-D545,1)*1440,0),""))</f>
        <v/>
      </c>
      <c r="H545" s="9"/>
      <c r="I545" s="10" t="str">
        <f aca="false">IF(H545="","",IF(SUMPRODUCT(MAX((Setup!$D$5:$D$34=H545)*(35-ROW(Setup!$D$5:$D$34))))=0,"Not in Setup",INDEX(Setup!$E$5:$E$34,31-SUMPRODUCT(MAX((Setup!$D$5:$D$34=H545)*(35-ROW(Setup!$D$5:$D$34)))))))</f>
        <v/>
      </c>
      <c r="J545" s="9"/>
      <c r="K545" s="10" t="str">
        <f aca="false">IF(AND(A545="",C545="",D545="",E545="",F545="",H545=""),"",IF(NOT(ISNUMBER(A545)),"Enter a date",IF(AND(F545&lt;&gt;"",OR(NOT(ISNUMBER(F545)),N(F545)&lt;0)),"Minutes must be a number of 0 or more",IF(G545="","Enter start and end times, or minutes",IF(C545="","Pick a machine",IF(SUMPRODUCT(--(Setup!$A$5:$A$34=C545))=0,"Machine not in Setup",IF(H545="","Pick a reason (counted as unclassified)",IF(I545="Not in Setup","Reason not in Setup (counted as unclassified)",IF(N(G545)=0,"0 minutes: not counted as a stop","OK")))))))))</f>
        <v/>
      </c>
    </row>
    <row r="546" customFormat="false" ht="15" hidden="false" customHeight="false" outlineLevel="0" collapsed="false">
      <c r="A546" s="11"/>
      <c r="B546" s="9"/>
      <c r="C546" s="9"/>
      <c r="D546" s="12"/>
      <c r="E546" s="12"/>
      <c r="F546" s="13"/>
      <c r="G546" s="14" t="str">
        <f aca="false">IF(F546&lt;&gt;"",IF(AND(ISNUMBER(F546),N(F546)&gt;=0),F546,""),IF(AND(ISNUMBER(D546),ISNUMBER(E546)),ROUND(MOD(E546-D546,1)*1440,0),""))</f>
        <v/>
      </c>
      <c r="H546" s="9"/>
      <c r="I546" s="10" t="str">
        <f aca="false">IF(H546="","",IF(SUMPRODUCT(MAX((Setup!$D$5:$D$34=H546)*(35-ROW(Setup!$D$5:$D$34))))=0,"Not in Setup",INDEX(Setup!$E$5:$E$34,31-SUMPRODUCT(MAX((Setup!$D$5:$D$34=H546)*(35-ROW(Setup!$D$5:$D$34)))))))</f>
        <v/>
      </c>
      <c r="J546" s="9"/>
      <c r="K546" s="10" t="str">
        <f aca="false">IF(AND(A546="",C546="",D546="",E546="",F546="",H546=""),"",IF(NOT(ISNUMBER(A546)),"Enter a date",IF(AND(F546&lt;&gt;"",OR(NOT(ISNUMBER(F546)),N(F546)&lt;0)),"Minutes must be a number of 0 or more",IF(G546="","Enter start and end times, or minutes",IF(C546="","Pick a machine",IF(SUMPRODUCT(--(Setup!$A$5:$A$34=C546))=0,"Machine not in Setup",IF(H546="","Pick a reason (counted as unclassified)",IF(I546="Not in Setup","Reason not in Setup (counted as unclassified)",IF(N(G546)=0,"0 minutes: not counted as a stop","OK")))))))))</f>
        <v/>
      </c>
    </row>
    <row r="547" customFormat="false" ht="15" hidden="false" customHeight="false" outlineLevel="0" collapsed="false">
      <c r="A547" s="11"/>
      <c r="B547" s="9"/>
      <c r="C547" s="9"/>
      <c r="D547" s="12"/>
      <c r="E547" s="12"/>
      <c r="F547" s="13"/>
      <c r="G547" s="14" t="str">
        <f aca="false">IF(F547&lt;&gt;"",IF(AND(ISNUMBER(F547),N(F547)&gt;=0),F547,""),IF(AND(ISNUMBER(D547),ISNUMBER(E547)),ROUND(MOD(E547-D547,1)*1440,0),""))</f>
        <v/>
      </c>
      <c r="H547" s="9"/>
      <c r="I547" s="10" t="str">
        <f aca="false">IF(H547="","",IF(SUMPRODUCT(MAX((Setup!$D$5:$D$34=H547)*(35-ROW(Setup!$D$5:$D$34))))=0,"Not in Setup",INDEX(Setup!$E$5:$E$34,31-SUMPRODUCT(MAX((Setup!$D$5:$D$34=H547)*(35-ROW(Setup!$D$5:$D$34)))))))</f>
        <v/>
      </c>
      <c r="J547" s="9"/>
      <c r="K547" s="10" t="str">
        <f aca="false">IF(AND(A547="",C547="",D547="",E547="",F547="",H547=""),"",IF(NOT(ISNUMBER(A547)),"Enter a date",IF(AND(F547&lt;&gt;"",OR(NOT(ISNUMBER(F547)),N(F547)&lt;0)),"Minutes must be a number of 0 or more",IF(G547="","Enter start and end times, or minutes",IF(C547="","Pick a machine",IF(SUMPRODUCT(--(Setup!$A$5:$A$34=C547))=0,"Machine not in Setup",IF(H547="","Pick a reason (counted as unclassified)",IF(I547="Not in Setup","Reason not in Setup (counted as unclassified)",IF(N(G547)=0,"0 minutes: not counted as a stop","OK")))))))))</f>
        <v/>
      </c>
    </row>
    <row r="548" customFormat="false" ht="15" hidden="false" customHeight="false" outlineLevel="0" collapsed="false">
      <c r="A548" s="11"/>
      <c r="B548" s="9"/>
      <c r="C548" s="9"/>
      <c r="D548" s="12"/>
      <c r="E548" s="12"/>
      <c r="F548" s="13"/>
      <c r="G548" s="14" t="str">
        <f aca="false">IF(F548&lt;&gt;"",IF(AND(ISNUMBER(F548),N(F548)&gt;=0),F548,""),IF(AND(ISNUMBER(D548),ISNUMBER(E548)),ROUND(MOD(E548-D548,1)*1440,0),""))</f>
        <v/>
      </c>
      <c r="H548" s="9"/>
      <c r="I548" s="10" t="str">
        <f aca="false">IF(H548="","",IF(SUMPRODUCT(MAX((Setup!$D$5:$D$34=H548)*(35-ROW(Setup!$D$5:$D$34))))=0,"Not in Setup",INDEX(Setup!$E$5:$E$34,31-SUMPRODUCT(MAX((Setup!$D$5:$D$34=H548)*(35-ROW(Setup!$D$5:$D$34)))))))</f>
        <v/>
      </c>
      <c r="J548" s="9"/>
      <c r="K548" s="10" t="str">
        <f aca="false">IF(AND(A548="",C548="",D548="",E548="",F548="",H548=""),"",IF(NOT(ISNUMBER(A548)),"Enter a date",IF(AND(F548&lt;&gt;"",OR(NOT(ISNUMBER(F548)),N(F548)&lt;0)),"Minutes must be a number of 0 or more",IF(G548="","Enter start and end times, or minutes",IF(C548="","Pick a machine",IF(SUMPRODUCT(--(Setup!$A$5:$A$34=C548))=0,"Machine not in Setup",IF(H548="","Pick a reason (counted as unclassified)",IF(I548="Not in Setup","Reason not in Setup (counted as unclassified)",IF(N(G548)=0,"0 minutes: not counted as a stop","OK")))))))))</f>
        <v/>
      </c>
    </row>
    <row r="549" customFormat="false" ht="15" hidden="false" customHeight="false" outlineLevel="0" collapsed="false">
      <c r="A549" s="11"/>
      <c r="B549" s="9"/>
      <c r="C549" s="9"/>
      <c r="D549" s="12"/>
      <c r="E549" s="12"/>
      <c r="F549" s="13"/>
      <c r="G549" s="14" t="str">
        <f aca="false">IF(F549&lt;&gt;"",IF(AND(ISNUMBER(F549),N(F549)&gt;=0),F549,""),IF(AND(ISNUMBER(D549),ISNUMBER(E549)),ROUND(MOD(E549-D549,1)*1440,0),""))</f>
        <v/>
      </c>
      <c r="H549" s="9"/>
      <c r="I549" s="10" t="str">
        <f aca="false">IF(H549="","",IF(SUMPRODUCT(MAX((Setup!$D$5:$D$34=H549)*(35-ROW(Setup!$D$5:$D$34))))=0,"Not in Setup",INDEX(Setup!$E$5:$E$34,31-SUMPRODUCT(MAX((Setup!$D$5:$D$34=H549)*(35-ROW(Setup!$D$5:$D$34)))))))</f>
        <v/>
      </c>
      <c r="J549" s="9"/>
      <c r="K549" s="10" t="str">
        <f aca="false">IF(AND(A549="",C549="",D549="",E549="",F549="",H549=""),"",IF(NOT(ISNUMBER(A549)),"Enter a date",IF(AND(F549&lt;&gt;"",OR(NOT(ISNUMBER(F549)),N(F549)&lt;0)),"Minutes must be a number of 0 or more",IF(G549="","Enter start and end times, or minutes",IF(C549="","Pick a machine",IF(SUMPRODUCT(--(Setup!$A$5:$A$34=C549))=0,"Machine not in Setup",IF(H549="","Pick a reason (counted as unclassified)",IF(I549="Not in Setup","Reason not in Setup (counted as unclassified)",IF(N(G549)=0,"0 minutes: not counted as a stop","OK")))))))))</f>
        <v/>
      </c>
    </row>
    <row r="550" customFormat="false" ht="15" hidden="false" customHeight="false" outlineLevel="0" collapsed="false">
      <c r="A550" s="11"/>
      <c r="B550" s="9"/>
      <c r="C550" s="9"/>
      <c r="D550" s="12"/>
      <c r="E550" s="12"/>
      <c r="F550" s="13"/>
      <c r="G550" s="14" t="str">
        <f aca="false">IF(F550&lt;&gt;"",IF(AND(ISNUMBER(F550),N(F550)&gt;=0),F550,""),IF(AND(ISNUMBER(D550),ISNUMBER(E550)),ROUND(MOD(E550-D550,1)*1440,0),""))</f>
        <v/>
      </c>
      <c r="H550" s="9"/>
      <c r="I550" s="10" t="str">
        <f aca="false">IF(H550="","",IF(SUMPRODUCT(MAX((Setup!$D$5:$D$34=H550)*(35-ROW(Setup!$D$5:$D$34))))=0,"Not in Setup",INDEX(Setup!$E$5:$E$34,31-SUMPRODUCT(MAX((Setup!$D$5:$D$34=H550)*(35-ROW(Setup!$D$5:$D$34)))))))</f>
        <v/>
      </c>
      <c r="J550" s="9"/>
      <c r="K550" s="10" t="str">
        <f aca="false">IF(AND(A550="",C550="",D550="",E550="",F550="",H550=""),"",IF(NOT(ISNUMBER(A550)),"Enter a date",IF(AND(F550&lt;&gt;"",OR(NOT(ISNUMBER(F550)),N(F550)&lt;0)),"Minutes must be a number of 0 or more",IF(G550="","Enter start and end times, or minutes",IF(C550="","Pick a machine",IF(SUMPRODUCT(--(Setup!$A$5:$A$34=C550))=0,"Machine not in Setup",IF(H550="","Pick a reason (counted as unclassified)",IF(I550="Not in Setup","Reason not in Setup (counted as unclassified)",IF(N(G550)=0,"0 minutes: not counted as a stop","OK")))))))))</f>
        <v/>
      </c>
    </row>
    <row r="551" customFormat="false" ht="15" hidden="false" customHeight="false" outlineLevel="0" collapsed="false">
      <c r="A551" s="11"/>
      <c r="B551" s="9"/>
      <c r="C551" s="9"/>
      <c r="D551" s="12"/>
      <c r="E551" s="12"/>
      <c r="F551" s="13"/>
      <c r="G551" s="14" t="str">
        <f aca="false">IF(F551&lt;&gt;"",IF(AND(ISNUMBER(F551),N(F551)&gt;=0),F551,""),IF(AND(ISNUMBER(D551),ISNUMBER(E551)),ROUND(MOD(E551-D551,1)*1440,0),""))</f>
        <v/>
      </c>
      <c r="H551" s="9"/>
      <c r="I551" s="10" t="str">
        <f aca="false">IF(H551="","",IF(SUMPRODUCT(MAX((Setup!$D$5:$D$34=H551)*(35-ROW(Setup!$D$5:$D$34))))=0,"Not in Setup",INDEX(Setup!$E$5:$E$34,31-SUMPRODUCT(MAX((Setup!$D$5:$D$34=H551)*(35-ROW(Setup!$D$5:$D$34)))))))</f>
        <v/>
      </c>
      <c r="J551" s="9"/>
      <c r="K551" s="10" t="str">
        <f aca="false">IF(AND(A551="",C551="",D551="",E551="",F551="",H551=""),"",IF(NOT(ISNUMBER(A551)),"Enter a date",IF(AND(F551&lt;&gt;"",OR(NOT(ISNUMBER(F551)),N(F551)&lt;0)),"Minutes must be a number of 0 or more",IF(G551="","Enter start and end times, or minutes",IF(C551="","Pick a machine",IF(SUMPRODUCT(--(Setup!$A$5:$A$34=C551))=0,"Machine not in Setup",IF(H551="","Pick a reason (counted as unclassified)",IF(I551="Not in Setup","Reason not in Setup (counted as unclassified)",IF(N(G551)=0,"0 minutes: not counted as a stop","OK")))))))))</f>
        <v/>
      </c>
    </row>
    <row r="552" customFormat="false" ht="15" hidden="false" customHeight="false" outlineLevel="0" collapsed="false">
      <c r="A552" s="11"/>
      <c r="B552" s="9"/>
      <c r="C552" s="9"/>
      <c r="D552" s="12"/>
      <c r="E552" s="12"/>
      <c r="F552" s="13"/>
      <c r="G552" s="14" t="str">
        <f aca="false">IF(F552&lt;&gt;"",IF(AND(ISNUMBER(F552),N(F552)&gt;=0),F552,""),IF(AND(ISNUMBER(D552),ISNUMBER(E552)),ROUND(MOD(E552-D552,1)*1440,0),""))</f>
        <v/>
      </c>
      <c r="H552" s="9"/>
      <c r="I552" s="10" t="str">
        <f aca="false">IF(H552="","",IF(SUMPRODUCT(MAX((Setup!$D$5:$D$34=H552)*(35-ROW(Setup!$D$5:$D$34))))=0,"Not in Setup",INDEX(Setup!$E$5:$E$34,31-SUMPRODUCT(MAX((Setup!$D$5:$D$34=H552)*(35-ROW(Setup!$D$5:$D$34)))))))</f>
        <v/>
      </c>
      <c r="J552" s="9"/>
      <c r="K552" s="10" t="str">
        <f aca="false">IF(AND(A552="",C552="",D552="",E552="",F552="",H552=""),"",IF(NOT(ISNUMBER(A552)),"Enter a date",IF(AND(F552&lt;&gt;"",OR(NOT(ISNUMBER(F552)),N(F552)&lt;0)),"Minutes must be a number of 0 or more",IF(G552="","Enter start and end times, or minutes",IF(C552="","Pick a machine",IF(SUMPRODUCT(--(Setup!$A$5:$A$34=C552))=0,"Machine not in Setup",IF(H552="","Pick a reason (counted as unclassified)",IF(I552="Not in Setup","Reason not in Setup (counted as unclassified)",IF(N(G552)=0,"0 minutes: not counted as a stop","OK")))))))))</f>
        <v/>
      </c>
    </row>
    <row r="553" customFormat="false" ht="15" hidden="false" customHeight="false" outlineLevel="0" collapsed="false">
      <c r="A553" s="11"/>
      <c r="B553" s="9"/>
      <c r="C553" s="9"/>
      <c r="D553" s="12"/>
      <c r="E553" s="12"/>
      <c r="F553" s="13"/>
      <c r="G553" s="14" t="str">
        <f aca="false">IF(F553&lt;&gt;"",IF(AND(ISNUMBER(F553),N(F553)&gt;=0),F553,""),IF(AND(ISNUMBER(D553),ISNUMBER(E553)),ROUND(MOD(E553-D553,1)*1440,0),""))</f>
        <v/>
      </c>
      <c r="H553" s="9"/>
      <c r="I553" s="10" t="str">
        <f aca="false">IF(H553="","",IF(SUMPRODUCT(MAX((Setup!$D$5:$D$34=H553)*(35-ROW(Setup!$D$5:$D$34))))=0,"Not in Setup",INDEX(Setup!$E$5:$E$34,31-SUMPRODUCT(MAX((Setup!$D$5:$D$34=H553)*(35-ROW(Setup!$D$5:$D$34)))))))</f>
        <v/>
      </c>
      <c r="J553" s="9"/>
      <c r="K553" s="10" t="str">
        <f aca="false">IF(AND(A553="",C553="",D553="",E553="",F553="",H553=""),"",IF(NOT(ISNUMBER(A553)),"Enter a date",IF(AND(F553&lt;&gt;"",OR(NOT(ISNUMBER(F553)),N(F553)&lt;0)),"Minutes must be a number of 0 or more",IF(G553="","Enter start and end times, or minutes",IF(C553="","Pick a machine",IF(SUMPRODUCT(--(Setup!$A$5:$A$34=C553))=0,"Machine not in Setup",IF(H553="","Pick a reason (counted as unclassified)",IF(I553="Not in Setup","Reason not in Setup (counted as unclassified)",IF(N(G553)=0,"0 minutes: not counted as a stop","OK")))))))))</f>
        <v/>
      </c>
    </row>
    <row r="554" customFormat="false" ht="15" hidden="false" customHeight="false" outlineLevel="0" collapsed="false">
      <c r="A554" s="11"/>
      <c r="B554" s="9"/>
      <c r="C554" s="9"/>
      <c r="D554" s="12"/>
      <c r="E554" s="12"/>
      <c r="F554" s="13"/>
      <c r="G554" s="14" t="str">
        <f aca="false">IF(F554&lt;&gt;"",IF(AND(ISNUMBER(F554),N(F554)&gt;=0),F554,""),IF(AND(ISNUMBER(D554),ISNUMBER(E554)),ROUND(MOD(E554-D554,1)*1440,0),""))</f>
        <v/>
      </c>
      <c r="H554" s="9"/>
      <c r="I554" s="10" t="str">
        <f aca="false">IF(H554="","",IF(SUMPRODUCT(MAX((Setup!$D$5:$D$34=H554)*(35-ROW(Setup!$D$5:$D$34))))=0,"Not in Setup",INDEX(Setup!$E$5:$E$34,31-SUMPRODUCT(MAX((Setup!$D$5:$D$34=H554)*(35-ROW(Setup!$D$5:$D$34)))))))</f>
        <v/>
      </c>
      <c r="J554" s="9"/>
      <c r="K554" s="10" t="str">
        <f aca="false">IF(AND(A554="",C554="",D554="",E554="",F554="",H554=""),"",IF(NOT(ISNUMBER(A554)),"Enter a date",IF(AND(F554&lt;&gt;"",OR(NOT(ISNUMBER(F554)),N(F554)&lt;0)),"Minutes must be a number of 0 or more",IF(G554="","Enter start and end times, or minutes",IF(C554="","Pick a machine",IF(SUMPRODUCT(--(Setup!$A$5:$A$34=C554))=0,"Machine not in Setup",IF(H554="","Pick a reason (counted as unclassified)",IF(I554="Not in Setup","Reason not in Setup (counted as unclassified)",IF(N(G554)=0,"0 minutes: not counted as a stop","OK")))))))))</f>
        <v/>
      </c>
    </row>
    <row r="555" customFormat="false" ht="15" hidden="false" customHeight="false" outlineLevel="0" collapsed="false">
      <c r="A555" s="11"/>
      <c r="B555" s="9"/>
      <c r="C555" s="9"/>
      <c r="D555" s="12"/>
      <c r="E555" s="12"/>
      <c r="F555" s="13"/>
      <c r="G555" s="14" t="str">
        <f aca="false">IF(F555&lt;&gt;"",IF(AND(ISNUMBER(F555),N(F555)&gt;=0),F555,""),IF(AND(ISNUMBER(D555),ISNUMBER(E555)),ROUND(MOD(E555-D555,1)*1440,0),""))</f>
        <v/>
      </c>
      <c r="H555" s="9"/>
      <c r="I555" s="10" t="str">
        <f aca="false">IF(H555="","",IF(SUMPRODUCT(MAX((Setup!$D$5:$D$34=H555)*(35-ROW(Setup!$D$5:$D$34))))=0,"Not in Setup",INDEX(Setup!$E$5:$E$34,31-SUMPRODUCT(MAX((Setup!$D$5:$D$34=H555)*(35-ROW(Setup!$D$5:$D$34)))))))</f>
        <v/>
      </c>
      <c r="J555" s="9"/>
      <c r="K555" s="10" t="str">
        <f aca="false">IF(AND(A555="",C555="",D555="",E555="",F555="",H555=""),"",IF(NOT(ISNUMBER(A555)),"Enter a date",IF(AND(F555&lt;&gt;"",OR(NOT(ISNUMBER(F555)),N(F555)&lt;0)),"Minutes must be a number of 0 or more",IF(G555="","Enter start and end times, or minutes",IF(C555="","Pick a machine",IF(SUMPRODUCT(--(Setup!$A$5:$A$34=C555))=0,"Machine not in Setup",IF(H555="","Pick a reason (counted as unclassified)",IF(I555="Not in Setup","Reason not in Setup (counted as unclassified)",IF(N(G555)=0,"0 minutes: not counted as a stop","OK")))))))))</f>
        <v/>
      </c>
    </row>
    <row r="556" customFormat="false" ht="15" hidden="false" customHeight="false" outlineLevel="0" collapsed="false">
      <c r="A556" s="11"/>
      <c r="B556" s="9"/>
      <c r="C556" s="9"/>
      <c r="D556" s="12"/>
      <c r="E556" s="12"/>
      <c r="F556" s="13"/>
      <c r="G556" s="14" t="str">
        <f aca="false">IF(F556&lt;&gt;"",IF(AND(ISNUMBER(F556),N(F556)&gt;=0),F556,""),IF(AND(ISNUMBER(D556),ISNUMBER(E556)),ROUND(MOD(E556-D556,1)*1440,0),""))</f>
        <v/>
      </c>
      <c r="H556" s="9"/>
      <c r="I556" s="10" t="str">
        <f aca="false">IF(H556="","",IF(SUMPRODUCT(MAX((Setup!$D$5:$D$34=H556)*(35-ROW(Setup!$D$5:$D$34))))=0,"Not in Setup",INDEX(Setup!$E$5:$E$34,31-SUMPRODUCT(MAX((Setup!$D$5:$D$34=H556)*(35-ROW(Setup!$D$5:$D$34)))))))</f>
        <v/>
      </c>
      <c r="J556" s="9"/>
      <c r="K556" s="10" t="str">
        <f aca="false">IF(AND(A556="",C556="",D556="",E556="",F556="",H556=""),"",IF(NOT(ISNUMBER(A556)),"Enter a date",IF(AND(F556&lt;&gt;"",OR(NOT(ISNUMBER(F556)),N(F556)&lt;0)),"Minutes must be a number of 0 or more",IF(G556="","Enter start and end times, or minutes",IF(C556="","Pick a machine",IF(SUMPRODUCT(--(Setup!$A$5:$A$34=C556))=0,"Machine not in Setup",IF(H556="","Pick a reason (counted as unclassified)",IF(I556="Not in Setup","Reason not in Setup (counted as unclassified)",IF(N(G556)=0,"0 minutes: not counted as a stop","OK")))))))))</f>
        <v/>
      </c>
    </row>
    <row r="557" customFormat="false" ht="15" hidden="false" customHeight="false" outlineLevel="0" collapsed="false">
      <c r="A557" s="11"/>
      <c r="B557" s="9"/>
      <c r="C557" s="9"/>
      <c r="D557" s="12"/>
      <c r="E557" s="12"/>
      <c r="F557" s="13"/>
      <c r="G557" s="14" t="str">
        <f aca="false">IF(F557&lt;&gt;"",IF(AND(ISNUMBER(F557),N(F557)&gt;=0),F557,""),IF(AND(ISNUMBER(D557),ISNUMBER(E557)),ROUND(MOD(E557-D557,1)*1440,0),""))</f>
        <v/>
      </c>
      <c r="H557" s="9"/>
      <c r="I557" s="10" t="str">
        <f aca="false">IF(H557="","",IF(SUMPRODUCT(MAX((Setup!$D$5:$D$34=H557)*(35-ROW(Setup!$D$5:$D$34))))=0,"Not in Setup",INDEX(Setup!$E$5:$E$34,31-SUMPRODUCT(MAX((Setup!$D$5:$D$34=H557)*(35-ROW(Setup!$D$5:$D$34)))))))</f>
        <v/>
      </c>
      <c r="J557" s="9"/>
      <c r="K557" s="10" t="str">
        <f aca="false">IF(AND(A557="",C557="",D557="",E557="",F557="",H557=""),"",IF(NOT(ISNUMBER(A557)),"Enter a date",IF(AND(F557&lt;&gt;"",OR(NOT(ISNUMBER(F557)),N(F557)&lt;0)),"Minutes must be a number of 0 or more",IF(G557="","Enter start and end times, or minutes",IF(C557="","Pick a machine",IF(SUMPRODUCT(--(Setup!$A$5:$A$34=C557))=0,"Machine not in Setup",IF(H557="","Pick a reason (counted as unclassified)",IF(I557="Not in Setup","Reason not in Setup (counted as unclassified)",IF(N(G557)=0,"0 minutes: not counted as a stop","OK")))))))))</f>
        <v/>
      </c>
    </row>
    <row r="558" customFormat="false" ht="15" hidden="false" customHeight="false" outlineLevel="0" collapsed="false">
      <c r="A558" s="11"/>
      <c r="B558" s="9"/>
      <c r="C558" s="9"/>
      <c r="D558" s="12"/>
      <c r="E558" s="12"/>
      <c r="F558" s="13"/>
      <c r="G558" s="14" t="str">
        <f aca="false">IF(F558&lt;&gt;"",IF(AND(ISNUMBER(F558),N(F558)&gt;=0),F558,""),IF(AND(ISNUMBER(D558),ISNUMBER(E558)),ROUND(MOD(E558-D558,1)*1440,0),""))</f>
        <v/>
      </c>
      <c r="H558" s="9"/>
      <c r="I558" s="10" t="str">
        <f aca="false">IF(H558="","",IF(SUMPRODUCT(MAX((Setup!$D$5:$D$34=H558)*(35-ROW(Setup!$D$5:$D$34))))=0,"Not in Setup",INDEX(Setup!$E$5:$E$34,31-SUMPRODUCT(MAX((Setup!$D$5:$D$34=H558)*(35-ROW(Setup!$D$5:$D$34)))))))</f>
        <v/>
      </c>
      <c r="J558" s="9"/>
      <c r="K558" s="10" t="str">
        <f aca="false">IF(AND(A558="",C558="",D558="",E558="",F558="",H558=""),"",IF(NOT(ISNUMBER(A558)),"Enter a date",IF(AND(F558&lt;&gt;"",OR(NOT(ISNUMBER(F558)),N(F558)&lt;0)),"Minutes must be a number of 0 or more",IF(G558="","Enter start and end times, or minutes",IF(C558="","Pick a machine",IF(SUMPRODUCT(--(Setup!$A$5:$A$34=C558))=0,"Machine not in Setup",IF(H558="","Pick a reason (counted as unclassified)",IF(I558="Not in Setup","Reason not in Setup (counted as unclassified)",IF(N(G558)=0,"0 minutes: not counted as a stop","OK")))))))))</f>
        <v/>
      </c>
    </row>
    <row r="559" customFormat="false" ht="15" hidden="false" customHeight="false" outlineLevel="0" collapsed="false">
      <c r="A559" s="11"/>
      <c r="B559" s="9"/>
      <c r="C559" s="9"/>
      <c r="D559" s="12"/>
      <c r="E559" s="12"/>
      <c r="F559" s="13"/>
      <c r="G559" s="14" t="str">
        <f aca="false">IF(F559&lt;&gt;"",IF(AND(ISNUMBER(F559),N(F559)&gt;=0),F559,""),IF(AND(ISNUMBER(D559),ISNUMBER(E559)),ROUND(MOD(E559-D559,1)*1440,0),""))</f>
        <v/>
      </c>
      <c r="H559" s="9"/>
      <c r="I559" s="10" t="str">
        <f aca="false">IF(H559="","",IF(SUMPRODUCT(MAX((Setup!$D$5:$D$34=H559)*(35-ROW(Setup!$D$5:$D$34))))=0,"Not in Setup",INDEX(Setup!$E$5:$E$34,31-SUMPRODUCT(MAX((Setup!$D$5:$D$34=H559)*(35-ROW(Setup!$D$5:$D$34)))))))</f>
        <v/>
      </c>
      <c r="J559" s="9"/>
      <c r="K559" s="10" t="str">
        <f aca="false">IF(AND(A559="",C559="",D559="",E559="",F559="",H559=""),"",IF(NOT(ISNUMBER(A559)),"Enter a date",IF(AND(F559&lt;&gt;"",OR(NOT(ISNUMBER(F559)),N(F559)&lt;0)),"Minutes must be a number of 0 or more",IF(G559="","Enter start and end times, or minutes",IF(C559="","Pick a machine",IF(SUMPRODUCT(--(Setup!$A$5:$A$34=C559))=0,"Machine not in Setup",IF(H559="","Pick a reason (counted as unclassified)",IF(I559="Not in Setup","Reason not in Setup (counted as unclassified)",IF(N(G559)=0,"0 minutes: not counted as a stop","OK")))))))))</f>
        <v/>
      </c>
    </row>
    <row r="560" customFormat="false" ht="15" hidden="false" customHeight="false" outlineLevel="0" collapsed="false">
      <c r="A560" s="11"/>
      <c r="B560" s="9"/>
      <c r="C560" s="9"/>
      <c r="D560" s="12"/>
      <c r="E560" s="12"/>
      <c r="F560" s="13"/>
      <c r="G560" s="14" t="str">
        <f aca="false">IF(F560&lt;&gt;"",IF(AND(ISNUMBER(F560),N(F560)&gt;=0),F560,""),IF(AND(ISNUMBER(D560),ISNUMBER(E560)),ROUND(MOD(E560-D560,1)*1440,0),""))</f>
        <v/>
      </c>
      <c r="H560" s="9"/>
      <c r="I560" s="10" t="str">
        <f aca="false">IF(H560="","",IF(SUMPRODUCT(MAX((Setup!$D$5:$D$34=H560)*(35-ROW(Setup!$D$5:$D$34))))=0,"Not in Setup",INDEX(Setup!$E$5:$E$34,31-SUMPRODUCT(MAX((Setup!$D$5:$D$34=H560)*(35-ROW(Setup!$D$5:$D$34)))))))</f>
        <v/>
      </c>
      <c r="J560" s="9"/>
      <c r="K560" s="10" t="str">
        <f aca="false">IF(AND(A560="",C560="",D560="",E560="",F560="",H560=""),"",IF(NOT(ISNUMBER(A560)),"Enter a date",IF(AND(F560&lt;&gt;"",OR(NOT(ISNUMBER(F560)),N(F560)&lt;0)),"Minutes must be a number of 0 or more",IF(G560="","Enter start and end times, or minutes",IF(C560="","Pick a machine",IF(SUMPRODUCT(--(Setup!$A$5:$A$34=C560))=0,"Machine not in Setup",IF(H560="","Pick a reason (counted as unclassified)",IF(I560="Not in Setup","Reason not in Setup (counted as unclassified)",IF(N(G560)=0,"0 minutes: not counted as a stop","OK")))))))))</f>
        <v/>
      </c>
    </row>
    <row r="561" customFormat="false" ht="15" hidden="false" customHeight="false" outlineLevel="0" collapsed="false">
      <c r="A561" s="11"/>
      <c r="B561" s="9"/>
      <c r="C561" s="9"/>
      <c r="D561" s="12"/>
      <c r="E561" s="12"/>
      <c r="F561" s="13"/>
      <c r="G561" s="14" t="str">
        <f aca="false">IF(F561&lt;&gt;"",IF(AND(ISNUMBER(F561),N(F561)&gt;=0),F561,""),IF(AND(ISNUMBER(D561),ISNUMBER(E561)),ROUND(MOD(E561-D561,1)*1440,0),""))</f>
        <v/>
      </c>
      <c r="H561" s="9"/>
      <c r="I561" s="10" t="str">
        <f aca="false">IF(H561="","",IF(SUMPRODUCT(MAX((Setup!$D$5:$D$34=H561)*(35-ROW(Setup!$D$5:$D$34))))=0,"Not in Setup",INDEX(Setup!$E$5:$E$34,31-SUMPRODUCT(MAX((Setup!$D$5:$D$34=H561)*(35-ROW(Setup!$D$5:$D$34)))))))</f>
        <v/>
      </c>
      <c r="J561" s="9"/>
      <c r="K561" s="10" t="str">
        <f aca="false">IF(AND(A561="",C561="",D561="",E561="",F561="",H561=""),"",IF(NOT(ISNUMBER(A561)),"Enter a date",IF(AND(F561&lt;&gt;"",OR(NOT(ISNUMBER(F561)),N(F561)&lt;0)),"Minutes must be a number of 0 or more",IF(G561="","Enter start and end times, or minutes",IF(C561="","Pick a machine",IF(SUMPRODUCT(--(Setup!$A$5:$A$34=C561))=0,"Machine not in Setup",IF(H561="","Pick a reason (counted as unclassified)",IF(I561="Not in Setup","Reason not in Setup (counted as unclassified)",IF(N(G561)=0,"0 minutes: not counted as a stop","OK")))))))))</f>
        <v/>
      </c>
    </row>
    <row r="562" customFormat="false" ht="15" hidden="false" customHeight="false" outlineLevel="0" collapsed="false">
      <c r="A562" s="11"/>
      <c r="B562" s="9"/>
      <c r="C562" s="9"/>
      <c r="D562" s="12"/>
      <c r="E562" s="12"/>
      <c r="F562" s="13"/>
      <c r="G562" s="14" t="str">
        <f aca="false">IF(F562&lt;&gt;"",IF(AND(ISNUMBER(F562),N(F562)&gt;=0),F562,""),IF(AND(ISNUMBER(D562),ISNUMBER(E562)),ROUND(MOD(E562-D562,1)*1440,0),""))</f>
        <v/>
      </c>
      <c r="H562" s="9"/>
      <c r="I562" s="10" t="str">
        <f aca="false">IF(H562="","",IF(SUMPRODUCT(MAX((Setup!$D$5:$D$34=H562)*(35-ROW(Setup!$D$5:$D$34))))=0,"Not in Setup",INDEX(Setup!$E$5:$E$34,31-SUMPRODUCT(MAX((Setup!$D$5:$D$34=H562)*(35-ROW(Setup!$D$5:$D$34)))))))</f>
        <v/>
      </c>
      <c r="J562" s="9"/>
      <c r="K562" s="10" t="str">
        <f aca="false">IF(AND(A562="",C562="",D562="",E562="",F562="",H562=""),"",IF(NOT(ISNUMBER(A562)),"Enter a date",IF(AND(F562&lt;&gt;"",OR(NOT(ISNUMBER(F562)),N(F562)&lt;0)),"Minutes must be a number of 0 or more",IF(G562="","Enter start and end times, or minutes",IF(C562="","Pick a machine",IF(SUMPRODUCT(--(Setup!$A$5:$A$34=C562))=0,"Machine not in Setup",IF(H562="","Pick a reason (counted as unclassified)",IF(I562="Not in Setup","Reason not in Setup (counted as unclassified)",IF(N(G562)=0,"0 minutes: not counted as a stop","OK")))))))))</f>
        <v/>
      </c>
    </row>
    <row r="563" customFormat="false" ht="15" hidden="false" customHeight="false" outlineLevel="0" collapsed="false">
      <c r="A563" s="11"/>
      <c r="B563" s="9"/>
      <c r="C563" s="9"/>
      <c r="D563" s="12"/>
      <c r="E563" s="12"/>
      <c r="F563" s="13"/>
      <c r="G563" s="14" t="str">
        <f aca="false">IF(F563&lt;&gt;"",IF(AND(ISNUMBER(F563),N(F563)&gt;=0),F563,""),IF(AND(ISNUMBER(D563),ISNUMBER(E563)),ROUND(MOD(E563-D563,1)*1440,0),""))</f>
        <v/>
      </c>
      <c r="H563" s="9"/>
      <c r="I563" s="10" t="str">
        <f aca="false">IF(H563="","",IF(SUMPRODUCT(MAX((Setup!$D$5:$D$34=H563)*(35-ROW(Setup!$D$5:$D$34))))=0,"Not in Setup",INDEX(Setup!$E$5:$E$34,31-SUMPRODUCT(MAX((Setup!$D$5:$D$34=H563)*(35-ROW(Setup!$D$5:$D$34)))))))</f>
        <v/>
      </c>
      <c r="J563" s="9"/>
      <c r="K563" s="10" t="str">
        <f aca="false">IF(AND(A563="",C563="",D563="",E563="",F563="",H563=""),"",IF(NOT(ISNUMBER(A563)),"Enter a date",IF(AND(F563&lt;&gt;"",OR(NOT(ISNUMBER(F563)),N(F563)&lt;0)),"Minutes must be a number of 0 or more",IF(G563="","Enter start and end times, or minutes",IF(C563="","Pick a machine",IF(SUMPRODUCT(--(Setup!$A$5:$A$34=C563))=0,"Machine not in Setup",IF(H563="","Pick a reason (counted as unclassified)",IF(I563="Not in Setup","Reason not in Setup (counted as unclassified)",IF(N(G563)=0,"0 minutes: not counted as a stop","OK")))))))))</f>
        <v/>
      </c>
    </row>
    <row r="564" customFormat="false" ht="15" hidden="false" customHeight="false" outlineLevel="0" collapsed="false">
      <c r="A564" s="11"/>
      <c r="B564" s="9"/>
      <c r="C564" s="9"/>
      <c r="D564" s="12"/>
      <c r="E564" s="12"/>
      <c r="F564" s="13"/>
      <c r="G564" s="14" t="str">
        <f aca="false">IF(F564&lt;&gt;"",IF(AND(ISNUMBER(F564),N(F564)&gt;=0),F564,""),IF(AND(ISNUMBER(D564),ISNUMBER(E564)),ROUND(MOD(E564-D564,1)*1440,0),""))</f>
        <v/>
      </c>
      <c r="H564" s="9"/>
      <c r="I564" s="10" t="str">
        <f aca="false">IF(H564="","",IF(SUMPRODUCT(MAX((Setup!$D$5:$D$34=H564)*(35-ROW(Setup!$D$5:$D$34))))=0,"Not in Setup",INDEX(Setup!$E$5:$E$34,31-SUMPRODUCT(MAX((Setup!$D$5:$D$34=H564)*(35-ROW(Setup!$D$5:$D$34)))))))</f>
        <v/>
      </c>
      <c r="J564" s="9"/>
      <c r="K564" s="10" t="str">
        <f aca="false">IF(AND(A564="",C564="",D564="",E564="",F564="",H564=""),"",IF(NOT(ISNUMBER(A564)),"Enter a date",IF(AND(F564&lt;&gt;"",OR(NOT(ISNUMBER(F564)),N(F564)&lt;0)),"Minutes must be a number of 0 or more",IF(G564="","Enter start and end times, or minutes",IF(C564="","Pick a machine",IF(SUMPRODUCT(--(Setup!$A$5:$A$34=C564))=0,"Machine not in Setup",IF(H564="","Pick a reason (counted as unclassified)",IF(I564="Not in Setup","Reason not in Setup (counted as unclassified)",IF(N(G564)=0,"0 minutes: not counted as a stop","OK")))))))))</f>
        <v/>
      </c>
    </row>
    <row r="565" customFormat="false" ht="15" hidden="false" customHeight="false" outlineLevel="0" collapsed="false">
      <c r="A565" s="11"/>
      <c r="B565" s="9"/>
      <c r="C565" s="9"/>
      <c r="D565" s="12"/>
      <c r="E565" s="12"/>
      <c r="F565" s="13"/>
      <c r="G565" s="14" t="str">
        <f aca="false">IF(F565&lt;&gt;"",IF(AND(ISNUMBER(F565),N(F565)&gt;=0),F565,""),IF(AND(ISNUMBER(D565),ISNUMBER(E565)),ROUND(MOD(E565-D565,1)*1440,0),""))</f>
        <v/>
      </c>
      <c r="H565" s="9"/>
      <c r="I565" s="10" t="str">
        <f aca="false">IF(H565="","",IF(SUMPRODUCT(MAX((Setup!$D$5:$D$34=H565)*(35-ROW(Setup!$D$5:$D$34))))=0,"Not in Setup",INDEX(Setup!$E$5:$E$34,31-SUMPRODUCT(MAX((Setup!$D$5:$D$34=H565)*(35-ROW(Setup!$D$5:$D$34)))))))</f>
        <v/>
      </c>
      <c r="J565" s="9"/>
      <c r="K565" s="10" t="str">
        <f aca="false">IF(AND(A565="",C565="",D565="",E565="",F565="",H565=""),"",IF(NOT(ISNUMBER(A565)),"Enter a date",IF(AND(F565&lt;&gt;"",OR(NOT(ISNUMBER(F565)),N(F565)&lt;0)),"Minutes must be a number of 0 or more",IF(G565="","Enter start and end times, or minutes",IF(C565="","Pick a machine",IF(SUMPRODUCT(--(Setup!$A$5:$A$34=C565))=0,"Machine not in Setup",IF(H565="","Pick a reason (counted as unclassified)",IF(I565="Not in Setup","Reason not in Setup (counted as unclassified)",IF(N(G565)=0,"0 minutes: not counted as a stop","OK")))))))))</f>
        <v/>
      </c>
    </row>
    <row r="566" customFormat="false" ht="15" hidden="false" customHeight="false" outlineLevel="0" collapsed="false">
      <c r="A566" s="11"/>
      <c r="B566" s="9"/>
      <c r="C566" s="9"/>
      <c r="D566" s="12"/>
      <c r="E566" s="12"/>
      <c r="F566" s="13"/>
      <c r="G566" s="14" t="str">
        <f aca="false">IF(F566&lt;&gt;"",IF(AND(ISNUMBER(F566),N(F566)&gt;=0),F566,""),IF(AND(ISNUMBER(D566),ISNUMBER(E566)),ROUND(MOD(E566-D566,1)*1440,0),""))</f>
        <v/>
      </c>
      <c r="H566" s="9"/>
      <c r="I566" s="10" t="str">
        <f aca="false">IF(H566="","",IF(SUMPRODUCT(MAX((Setup!$D$5:$D$34=H566)*(35-ROW(Setup!$D$5:$D$34))))=0,"Not in Setup",INDEX(Setup!$E$5:$E$34,31-SUMPRODUCT(MAX((Setup!$D$5:$D$34=H566)*(35-ROW(Setup!$D$5:$D$34)))))))</f>
        <v/>
      </c>
      <c r="J566" s="9"/>
      <c r="K566" s="10" t="str">
        <f aca="false">IF(AND(A566="",C566="",D566="",E566="",F566="",H566=""),"",IF(NOT(ISNUMBER(A566)),"Enter a date",IF(AND(F566&lt;&gt;"",OR(NOT(ISNUMBER(F566)),N(F566)&lt;0)),"Minutes must be a number of 0 or more",IF(G566="","Enter start and end times, or minutes",IF(C566="","Pick a machine",IF(SUMPRODUCT(--(Setup!$A$5:$A$34=C566))=0,"Machine not in Setup",IF(H566="","Pick a reason (counted as unclassified)",IF(I566="Not in Setup","Reason not in Setup (counted as unclassified)",IF(N(G566)=0,"0 minutes: not counted as a stop","OK")))))))))</f>
        <v/>
      </c>
    </row>
    <row r="567" customFormat="false" ht="15" hidden="false" customHeight="false" outlineLevel="0" collapsed="false">
      <c r="A567" s="11"/>
      <c r="B567" s="9"/>
      <c r="C567" s="9"/>
      <c r="D567" s="12"/>
      <c r="E567" s="12"/>
      <c r="F567" s="13"/>
      <c r="G567" s="14" t="str">
        <f aca="false">IF(F567&lt;&gt;"",IF(AND(ISNUMBER(F567),N(F567)&gt;=0),F567,""),IF(AND(ISNUMBER(D567),ISNUMBER(E567)),ROUND(MOD(E567-D567,1)*1440,0),""))</f>
        <v/>
      </c>
      <c r="H567" s="9"/>
      <c r="I567" s="10" t="str">
        <f aca="false">IF(H567="","",IF(SUMPRODUCT(MAX((Setup!$D$5:$D$34=H567)*(35-ROW(Setup!$D$5:$D$34))))=0,"Not in Setup",INDEX(Setup!$E$5:$E$34,31-SUMPRODUCT(MAX((Setup!$D$5:$D$34=H567)*(35-ROW(Setup!$D$5:$D$34)))))))</f>
        <v/>
      </c>
      <c r="J567" s="9"/>
      <c r="K567" s="10" t="str">
        <f aca="false">IF(AND(A567="",C567="",D567="",E567="",F567="",H567=""),"",IF(NOT(ISNUMBER(A567)),"Enter a date",IF(AND(F567&lt;&gt;"",OR(NOT(ISNUMBER(F567)),N(F567)&lt;0)),"Minutes must be a number of 0 or more",IF(G567="","Enter start and end times, or minutes",IF(C567="","Pick a machine",IF(SUMPRODUCT(--(Setup!$A$5:$A$34=C567))=0,"Machine not in Setup",IF(H567="","Pick a reason (counted as unclassified)",IF(I567="Not in Setup","Reason not in Setup (counted as unclassified)",IF(N(G567)=0,"0 minutes: not counted as a stop","OK")))))))))</f>
        <v/>
      </c>
    </row>
    <row r="568" customFormat="false" ht="15" hidden="false" customHeight="false" outlineLevel="0" collapsed="false">
      <c r="A568" s="11"/>
      <c r="B568" s="9"/>
      <c r="C568" s="9"/>
      <c r="D568" s="12"/>
      <c r="E568" s="12"/>
      <c r="F568" s="13"/>
      <c r="G568" s="14" t="str">
        <f aca="false">IF(F568&lt;&gt;"",IF(AND(ISNUMBER(F568),N(F568)&gt;=0),F568,""),IF(AND(ISNUMBER(D568),ISNUMBER(E568)),ROUND(MOD(E568-D568,1)*1440,0),""))</f>
        <v/>
      </c>
      <c r="H568" s="9"/>
      <c r="I568" s="10" t="str">
        <f aca="false">IF(H568="","",IF(SUMPRODUCT(MAX((Setup!$D$5:$D$34=H568)*(35-ROW(Setup!$D$5:$D$34))))=0,"Not in Setup",INDEX(Setup!$E$5:$E$34,31-SUMPRODUCT(MAX((Setup!$D$5:$D$34=H568)*(35-ROW(Setup!$D$5:$D$34)))))))</f>
        <v/>
      </c>
      <c r="J568" s="9"/>
      <c r="K568" s="10" t="str">
        <f aca="false">IF(AND(A568="",C568="",D568="",E568="",F568="",H568=""),"",IF(NOT(ISNUMBER(A568)),"Enter a date",IF(AND(F568&lt;&gt;"",OR(NOT(ISNUMBER(F568)),N(F568)&lt;0)),"Minutes must be a number of 0 or more",IF(G568="","Enter start and end times, or minutes",IF(C568="","Pick a machine",IF(SUMPRODUCT(--(Setup!$A$5:$A$34=C568))=0,"Machine not in Setup",IF(H568="","Pick a reason (counted as unclassified)",IF(I568="Not in Setup","Reason not in Setup (counted as unclassified)",IF(N(G568)=0,"0 minutes: not counted as a stop","OK")))))))))</f>
        <v/>
      </c>
    </row>
    <row r="569" customFormat="false" ht="15" hidden="false" customHeight="false" outlineLevel="0" collapsed="false">
      <c r="A569" s="11"/>
      <c r="B569" s="9"/>
      <c r="C569" s="9"/>
      <c r="D569" s="12"/>
      <c r="E569" s="12"/>
      <c r="F569" s="13"/>
      <c r="G569" s="14" t="str">
        <f aca="false">IF(F569&lt;&gt;"",IF(AND(ISNUMBER(F569),N(F569)&gt;=0),F569,""),IF(AND(ISNUMBER(D569),ISNUMBER(E569)),ROUND(MOD(E569-D569,1)*1440,0),""))</f>
        <v/>
      </c>
      <c r="H569" s="9"/>
      <c r="I569" s="10" t="str">
        <f aca="false">IF(H569="","",IF(SUMPRODUCT(MAX((Setup!$D$5:$D$34=H569)*(35-ROW(Setup!$D$5:$D$34))))=0,"Not in Setup",INDEX(Setup!$E$5:$E$34,31-SUMPRODUCT(MAX((Setup!$D$5:$D$34=H569)*(35-ROW(Setup!$D$5:$D$34)))))))</f>
        <v/>
      </c>
      <c r="J569" s="9"/>
      <c r="K569" s="10" t="str">
        <f aca="false">IF(AND(A569="",C569="",D569="",E569="",F569="",H569=""),"",IF(NOT(ISNUMBER(A569)),"Enter a date",IF(AND(F569&lt;&gt;"",OR(NOT(ISNUMBER(F569)),N(F569)&lt;0)),"Minutes must be a number of 0 or more",IF(G569="","Enter start and end times, or minutes",IF(C569="","Pick a machine",IF(SUMPRODUCT(--(Setup!$A$5:$A$34=C569))=0,"Machine not in Setup",IF(H569="","Pick a reason (counted as unclassified)",IF(I569="Not in Setup","Reason not in Setup (counted as unclassified)",IF(N(G569)=0,"0 minutes: not counted as a stop","OK")))))))))</f>
        <v/>
      </c>
    </row>
    <row r="570" customFormat="false" ht="15" hidden="false" customHeight="false" outlineLevel="0" collapsed="false">
      <c r="A570" s="11"/>
      <c r="B570" s="9"/>
      <c r="C570" s="9"/>
      <c r="D570" s="12"/>
      <c r="E570" s="12"/>
      <c r="F570" s="13"/>
      <c r="G570" s="14" t="str">
        <f aca="false">IF(F570&lt;&gt;"",IF(AND(ISNUMBER(F570),N(F570)&gt;=0),F570,""),IF(AND(ISNUMBER(D570),ISNUMBER(E570)),ROUND(MOD(E570-D570,1)*1440,0),""))</f>
        <v/>
      </c>
      <c r="H570" s="9"/>
      <c r="I570" s="10" t="str">
        <f aca="false">IF(H570="","",IF(SUMPRODUCT(MAX((Setup!$D$5:$D$34=H570)*(35-ROW(Setup!$D$5:$D$34))))=0,"Not in Setup",INDEX(Setup!$E$5:$E$34,31-SUMPRODUCT(MAX((Setup!$D$5:$D$34=H570)*(35-ROW(Setup!$D$5:$D$34)))))))</f>
        <v/>
      </c>
      <c r="J570" s="9"/>
      <c r="K570" s="10" t="str">
        <f aca="false">IF(AND(A570="",C570="",D570="",E570="",F570="",H570=""),"",IF(NOT(ISNUMBER(A570)),"Enter a date",IF(AND(F570&lt;&gt;"",OR(NOT(ISNUMBER(F570)),N(F570)&lt;0)),"Minutes must be a number of 0 or more",IF(G570="","Enter start and end times, or minutes",IF(C570="","Pick a machine",IF(SUMPRODUCT(--(Setup!$A$5:$A$34=C570))=0,"Machine not in Setup",IF(H570="","Pick a reason (counted as unclassified)",IF(I570="Not in Setup","Reason not in Setup (counted as unclassified)",IF(N(G570)=0,"0 minutes: not counted as a stop","OK")))))))))</f>
        <v/>
      </c>
    </row>
    <row r="571" customFormat="false" ht="15" hidden="false" customHeight="false" outlineLevel="0" collapsed="false">
      <c r="A571" s="11"/>
      <c r="B571" s="9"/>
      <c r="C571" s="9"/>
      <c r="D571" s="12"/>
      <c r="E571" s="12"/>
      <c r="F571" s="13"/>
      <c r="G571" s="14" t="str">
        <f aca="false">IF(F571&lt;&gt;"",IF(AND(ISNUMBER(F571),N(F571)&gt;=0),F571,""),IF(AND(ISNUMBER(D571),ISNUMBER(E571)),ROUND(MOD(E571-D571,1)*1440,0),""))</f>
        <v/>
      </c>
      <c r="H571" s="9"/>
      <c r="I571" s="10" t="str">
        <f aca="false">IF(H571="","",IF(SUMPRODUCT(MAX((Setup!$D$5:$D$34=H571)*(35-ROW(Setup!$D$5:$D$34))))=0,"Not in Setup",INDEX(Setup!$E$5:$E$34,31-SUMPRODUCT(MAX((Setup!$D$5:$D$34=H571)*(35-ROW(Setup!$D$5:$D$34)))))))</f>
        <v/>
      </c>
      <c r="J571" s="9"/>
      <c r="K571" s="10" t="str">
        <f aca="false">IF(AND(A571="",C571="",D571="",E571="",F571="",H571=""),"",IF(NOT(ISNUMBER(A571)),"Enter a date",IF(AND(F571&lt;&gt;"",OR(NOT(ISNUMBER(F571)),N(F571)&lt;0)),"Minutes must be a number of 0 or more",IF(G571="","Enter start and end times, or minutes",IF(C571="","Pick a machine",IF(SUMPRODUCT(--(Setup!$A$5:$A$34=C571))=0,"Machine not in Setup",IF(H571="","Pick a reason (counted as unclassified)",IF(I571="Not in Setup","Reason not in Setup (counted as unclassified)",IF(N(G571)=0,"0 minutes: not counted as a stop","OK")))))))))</f>
        <v/>
      </c>
    </row>
    <row r="572" customFormat="false" ht="15" hidden="false" customHeight="false" outlineLevel="0" collapsed="false">
      <c r="A572" s="11"/>
      <c r="B572" s="9"/>
      <c r="C572" s="9"/>
      <c r="D572" s="12"/>
      <c r="E572" s="12"/>
      <c r="F572" s="13"/>
      <c r="G572" s="14" t="str">
        <f aca="false">IF(F572&lt;&gt;"",IF(AND(ISNUMBER(F572),N(F572)&gt;=0),F572,""),IF(AND(ISNUMBER(D572),ISNUMBER(E572)),ROUND(MOD(E572-D572,1)*1440,0),""))</f>
        <v/>
      </c>
      <c r="H572" s="9"/>
      <c r="I572" s="10" t="str">
        <f aca="false">IF(H572="","",IF(SUMPRODUCT(MAX((Setup!$D$5:$D$34=H572)*(35-ROW(Setup!$D$5:$D$34))))=0,"Not in Setup",INDEX(Setup!$E$5:$E$34,31-SUMPRODUCT(MAX((Setup!$D$5:$D$34=H572)*(35-ROW(Setup!$D$5:$D$34)))))))</f>
        <v/>
      </c>
      <c r="J572" s="9"/>
      <c r="K572" s="10" t="str">
        <f aca="false">IF(AND(A572="",C572="",D572="",E572="",F572="",H572=""),"",IF(NOT(ISNUMBER(A572)),"Enter a date",IF(AND(F572&lt;&gt;"",OR(NOT(ISNUMBER(F572)),N(F572)&lt;0)),"Minutes must be a number of 0 or more",IF(G572="","Enter start and end times, or minutes",IF(C572="","Pick a machine",IF(SUMPRODUCT(--(Setup!$A$5:$A$34=C572))=0,"Machine not in Setup",IF(H572="","Pick a reason (counted as unclassified)",IF(I572="Not in Setup","Reason not in Setup (counted as unclassified)",IF(N(G572)=0,"0 minutes: not counted as a stop","OK")))))))))</f>
        <v/>
      </c>
    </row>
    <row r="573" customFormat="false" ht="15" hidden="false" customHeight="false" outlineLevel="0" collapsed="false">
      <c r="A573" s="11"/>
      <c r="B573" s="9"/>
      <c r="C573" s="9"/>
      <c r="D573" s="12"/>
      <c r="E573" s="12"/>
      <c r="F573" s="13"/>
      <c r="G573" s="14" t="str">
        <f aca="false">IF(F573&lt;&gt;"",IF(AND(ISNUMBER(F573),N(F573)&gt;=0),F573,""),IF(AND(ISNUMBER(D573),ISNUMBER(E573)),ROUND(MOD(E573-D573,1)*1440,0),""))</f>
        <v/>
      </c>
      <c r="H573" s="9"/>
      <c r="I573" s="10" t="str">
        <f aca="false">IF(H573="","",IF(SUMPRODUCT(MAX((Setup!$D$5:$D$34=H573)*(35-ROW(Setup!$D$5:$D$34))))=0,"Not in Setup",INDEX(Setup!$E$5:$E$34,31-SUMPRODUCT(MAX((Setup!$D$5:$D$34=H573)*(35-ROW(Setup!$D$5:$D$34)))))))</f>
        <v/>
      </c>
      <c r="J573" s="9"/>
      <c r="K573" s="10" t="str">
        <f aca="false">IF(AND(A573="",C573="",D573="",E573="",F573="",H573=""),"",IF(NOT(ISNUMBER(A573)),"Enter a date",IF(AND(F573&lt;&gt;"",OR(NOT(ISNUMBER(F573)),N(F573)&lt;0)),"Minutes must be a number of 0 or more",IF(G573="","Enter start and end times, or minutes",IF(C573="","Pick a machine",IF(SUMPRODUCT(--(Setup!$A$5:$A$34=C573))=0,"Machine not in Setup",IF(H573="","Pick a reason (counted as unclassified)",IF(I573="Not in Setup","Reason not in Setup (counted as unclassified)",IF(N(G573)=0,"0 minutes: not counted as a stop","OK")))))))))</f>
        <v/>
      </c>
    </row>
    <row r="574" customFormat="false" ht="15" hidden="false" customHeight="false" outlineLevel="0" collapsed="false">
      <c r="A574" s="11"/>
      <c r="B574" s="9"/>
      <c r="C574" s="9"/>
      <c r="D574" s="12"/>
      <c r="E574" s="12"/>
      <c r="F574" s="13"/>
      <c r="G574" s="14" t="str">
        <f aca="false">IF(F574&lt;&gt;"",IF(AND(ISNUMBER(F574),N(F574)&gt;=0),F574,""),IF(AND(ISNUMBER(D574),ISNUMBER(E574)),ROUND(MOD(E574-D574,1)*1440,0),""))</f>
        <v/>
      </c>
      <c r="H574" s="9"/>
      <c r="I574" s="10" t="str">
        <f aca="false">IF(H574="","",IF(SUMPRODUCT(MAX((Setup!$D$5:$D$34=H574)*(35-ROW(Setup!$D$5:$D$34))))=0,"Not in Setup",INDEX(Setup!$E$5:$E$34,31-SUMPRODUCT(MAX((Setup!$D$5:$D$34=H574)*(35-ROW(Setup!$D$5:$D$34)))))))</f>
        <v/>
      </c>
      <c r="J574" s="9"/>
      <c r="K574" s="10" t="str">
        <f aca="false">IF(AND(A574="",C574="",D574="",E574="",F574="",H574=""),"",IF(NOT(ISNUMBER(A574)),"Enter a date",IF(AND(F574&lt;&gt;"",OR(NOT(ISNUMBER(F574)),N(F574)&lt;0)),"Minutes must be a number of 0 or more",IF(G574="","Enter start and end times, or minutes",IF(C574="","Pick a machine",IF(SUMPRODUCT(--(Setup!$A$5:$A$34=C574))=0,"Machine not in Setup",IF(H574="","Pick a reason (counted as unclassified)",IF(I574="Not in Setup","Reason not in Setup (counted as unclassified)",IF(N(G574)=0,"0 minutes: not counted as a stop","OK")))))))))</f>
        <v/>
      </c>
    </row>
    <row r="575" customFormat="false" ht="15" hidden="false" customHeight="false" outlineLevel="0" collapsed="false">
      <c r="A575" s="11"/>
      <c r="B575" s="9"/>
      <c r="C575" s="9"/>
      <c r="D575" s="12"/>
      <c r="E575" s="12"/>
      <c r="F575" s="13"/>
      <c r="G575" s="14" t="str">
        <f aca="false">IF(F575&lt;&gt;"",IF(AND(ISNUMBER(F575),N(F575)&gt;=0),F575,""),IF(AND(ISNUMBER(D575),ISNUMBER(E575)),ROUND(MOD(E575-D575,1)*1440,0),""))</f>
        <v/>
      </c>
      <c r="H575" s="9"/>
      <c r="I575" s="10" t="str">
        <f aca="false">IF(H575="","",IF(SUMPRODUCT(MAX((Setup!$D$5:$D$34=H575)*(35-ROW(Setup!$D$5:$D$34))))=0,"Not in Setup",INDEX(Setup!$E$5:$E$34,31-SUMPRODUCT(MAX((Setup!$D$5:$D$34=H575)*(35-ROW(Setup!$D$5:$D$34)))))))</f>
        <v/>
      </c>
      <c r="J575" s="9"/>
      <c r="K575" s="10" t="str">
        <f aca="false">IF(AND(A575="",C575="",D575="",E575="",F575="",H575=""),"",IF(NOT(ISNUMBER(A575)),"Enter a date",IF(AND(F575&lt;&gt;"",OR(NOT(ISNUMBER(F575)),N(F575)&lt;0)),"Minutes must be a number of 0 or more",IF(G575="","Enter start and end times, or minutes",IF(C575="","Pick a machine",IF(SUMPRODUCT(--(Setup!$A$5:$A$34=C575))=0,"Machine not in Setup",IF(H575="","Pick a reason (counted as unclassified)",IF(I575="Not in Setup","Reason not in Setup (counted as unclassified)",IF(N(G575)=0,"0 minutes: not counted as a stop","OK")))))))))</f>
        <v/>
      </c>
    </row>
    <row r="576" customFormat="false" ht="15" hidden="false" customHeight="false" outlineLevel="0" collapsed="false">
      <c r="A576" s="11"/>
      <c r="B576" s="9"/>
      <c r="C576" s="9"/>
      <c r="D576" s="12"/>
      <c r="E576" s="12"/>
      <c r="F576" s="13"/>
      <c r="G576" s="14" t="str">
        <f aca="false">IF(F576&lt;&gt;"",IF(AND(ISNUMBER(F576),N(F576)&gt;=0),F576,""),IF(AND(ISNUMBER(D576),ISNUMBER(E576)),ROUND(MOD(E576-D576,1)*1440,0),""))</f>
        <v/>
      </c>
      <c r="H576" s="9"/>
      <c r="I576" s="10" t="str">
        <f aca="false">IF(H576="","",IF(SUMPRODUCT(MAX((Setup!$D$5:$D$34=H576)*(35-ROW(Setup!$D$5:$D$34))))=0,"Not in Setup",INDEX(Setup!$E$5:$E$34,31-SUMPRODUCT(MAX((Setup!$D$5:$D$34=H576)*(35-ROW(Setup!$D$5:$D$34)))))))</f>
        <v/>
      </c>
      <c r="J576" s="9"/>
      <c r="K576" s="10" t="str">
        <f aca="false">IF(AND(A576="",C576="",D576="",E576="",F576="",H576=""),"",IF(NOT(ISNUMBER(A576)),"Enter a date",IF(AND(F576&lt;&gt;"",OR(NOT(ISNUMBER(F576)),N(F576)&lt;0)),"Minutes must be a number of 0 or more",IF(G576="","Enter start and end times, or minutes",IF(C576="","Pick a machine",IF(SUMPRODUCT(--(Setup!$A$5:$A$34=C576))=0,"Machine not in Setup",IF(H576="","Pick a reason (counted as unclassified)",IF(I576="Not in Setup","Reason not in Setup (counted as unclassified)",IF(N(G576)=0,"0 minutes: not counted as a stop","OK")))))))))</f>
        <v/>
      </c>
    </row>
    <row r="577" customFormat="false" ht="15" hidden="false" customHeight="false" outlineLevel="0" collapsed="false">
      <c r="A577" s="11"/>
      <c r="B577" s="9"/>
      <c r="C577" s="9"/>
      <c r="D577" s="12"/>
      <c r="E577" s="12"/>
      <c r="F577" s="13"/>
      <c r="G577" s="14" t="str">
        <f aca="false">IF(F577&lt;&gt;"",IF(AND(ISNUMBER(F577),N(F577)&gt;=0),F577,""),IF(AND(ISNUMBER(D577),ISNUMBER(E577)),ROUND(MOD(E577-D577,1)*1440,0),""))</f>
        <v/>
      </c>
      <c r="H577" s="9"/>
      <c r="I577" s="10" t="str">
        <f aca="false">IF(H577="","",IF(SUMPRODUCT(MAX((Setup!$D$5:$D$34=H577)*(35-ROW(Setup!$D$5:$D$34))))=0,"Not in Setup",INDEX(Setup!$E$5:$E$34,31-SUMPRODUCT(MAX((Setup!$D$5:$D$34=H577)*(35-ROW(Setup!$D$5:$D$34)))))))</f>
        <v/>
      </c>
      <c r="J577" s="9"/>
      <c r="K577" s="10" t="str">
        <f aca="false">IF(AND(A577="",C577="",D577="",E577="",F577="",H577=""),"",IF(NOT(ISNUMBER(A577)),"Enter a date",IF(AND(F577&lt;&gt;"",OR(NOT(ISNUMBER(F577)),N(F577)&lt;0)),"Minutes must be a number of 0 or more",IF(G577="","Enter start and end times, or minutes",IF(C577="","Pick a machine",IF(SUMPRODUCT(--(Setup!$A$5:$A$34=C577))=0,"Machine not in Setup",IF(H577="","Pick a reason (counted as unclassified)",IF(I577="Not in Setup","Reason not in Setup (counted as unclassified)",IF(N(G577)=0,"0 minutes: not counted as a stop","OK")))))))))</f>
        <v/>
      </c>
    </row>
    <row r="578" customFormat="false" ht="15" hidden="false" customHeight="false" outlineLevel="0" collapsed="false">
      <c r="A578" s="11"/>
      <c r="B578" s="9"/>
      <c r="C578" s="9"/>
      <c r="D578" s="12"/>
      <c r="E578" s="12"/>
      <c r="F578" s="13"/>
      <c r="G578" s="14" t="str">
        <f aca="false">IF(F578&lt;&gt;"",IF(AND(ISNUMBER(F578),N(F578)&gt;=0),F578,""),IF(AND(ISNUMBER(D578),ISNUMBER(E578)),ROUND(MOD(E578-D578,1)*1440,0),""))</f>
        <v/>
      </c>
      <c r="H578" s="9"/>
      <c r="I578" s="10" t="str">
        <f aca="false">IF(H578="","",IF(SUMPRODUCT(MAX((Setup!$D$5:$D$34=H578)*(35-ROW(Setup!$D$5:$D$34))))=0,"Not in Setup",INDEX(Setup!$E$5:$E$34,31-SUMPRODUCT(MAX((Setup!$D$5:$D$34=H578)*(35-ROW(Setup!$D$5:$D$34)))))))</f>
        <v/>
      </c>
      <c r="J578" s="9"/>
      <c r="K578" s="10" t="str">
        <f aca="false">IF(AND(A578="",C578="",D578="",E578="",F578="",H578=""),"",IF(NOT(ISNUMBER(A578)),"Enter a date",IF(AND(F578&lt;&gt;"",OR(NOT(ISNUMBER(F578)),N(F578)&lt;0)),"Minutes must be a number of 0 or more",IF(G578="","Enter start and end times, or minutes",IF(C578="","Pick a machine",IF(SUMPRODUCT(--(Setup!$A$5:$A$34=C578))=0,"Machine not in Setup",IF(H578="","Pick a reason (counted as unclassified)",IF(I578="Not in Setup","Reason not in Setup (counted as unclassified)",IF(N(G578)=0,"0 minutes: not counted as a stop","OK")))))))))</f>
        <v/>
      </c>
    </row>
    <row r="579" customFormat="false" ht="15" hidden="false" customHeight="false" outlineLevel="0" collapsed="false">
      <c r="A579" s="11"/>
      <c r="B579" s="9"/>
      <c r="C579" s="9"/>
      <c r="D579" s="12"/>
      <c r="E579" s="12"/>
      <c r="F579" s="13"/>
      <c r="G579" s="14" t="str">
        <f aca="false">IF(F579&lt;&gt;"",IF(AND(ISNUMBER(F579),N(F579)&gt;=0),F579,""),IF(AND(ISNUMBER(D579),ISNUMBER(E579)),ROUND(MOD(E579-D579,1)*1440,0),""))</f>
        <v/>
      </c>
      <c r="H579" s="9"/>
      <c r="I579" s="10" t="str">
        <f aca="false">IF(H579="","",IF(SUMPRODUCT(MAX((Setup!$D$5:$D$34=H579)*(35-ROW(Setup!$D$5:$D$34))))=0,"Not in Setup",INDEX(Setup!$E$5:$E$34,31-SUMPRODUCT(MAX((Setup!$D$5:$D$34=H579)*(35-ROW(Setup!$D$5:$D$34)))))))</f>
        <v/>
      </c>
      <c r="J579" s="9"/>
      <c r="K579" s="10" t="str">
        <f aca="false">IF(AND(A579="",C579="",D579="",E579="",F579="",H579=""),"",IF(NOT(ISNUMBER(A579)),"Enter a date",IF(AND(F579&lt;&gt;"",OR(NOT(ISNUMBER(F579)),N(F579)&lt;0)),"Minutes must be a number of 0 or more",IF(G579="","Enter start and end times, or minutes",IF(C579="","Pick a machine",IF(SUMPRODUCT(--(Setup!$A$5:$A$34=C579))=0,"Machine not in Setup",IF(H579="","Pick a reason (counted as unclassified)",IF(I579="Not in Setup","Reason not in Setup (counted as unclassified)",IF(N(G579)=0,"0 minutes: not counted as a stop","OK")))))))))</f>
        <v/>
      </c>
    </row>
    <row r="580" customFormat="false" ht="15" hidden="false" customHeight="false" outlineLevel="0" collapsed="false">
      <c r="A580" s="11"/>
      <c r="B580" s="9"/>
      <c r="C580" s="9"/>
      <c r="D580" s="12"/>
      <c r="E580" s="12"/>
      <c r="F580" s="13"/>
      <c r="G580" s="14" t="str">
        <f aca="false">IF(F580&lt;&gt;"",IF(AND(ISNUMBER(F580),N(F580)&gt;=0),F580,""),IF(AND(ISNUMBER(D580),ISNUMBER(E580)),ROUND(MOD(E580-D580,1)*1440,0),""))</f>
        <v/>
      </c>
      <c r="H580" s="9"/>
      <c r="I580" s="10" t="str">
        <f aca="false">IF(H580="","",IF(SUMPRODUCT(MAX((Setup!$D$5:$D$34=H580)*(35-ROW(Setup!$D$5:$D$34))))=0,"Not in Setup",INDEX(Setup!$E$5:$E$34,31-SUMPRODUCT(MAX((Setup!$D$5:$D$34=H580)*(35-ROW(Setup!$D$5:$D$34)))))))</f>
        <v/>
      </c>
      <c r="J580" s="9"/>
      <c r="K580" s="10" t="str">
        <f aca="false">IF(AND(A580="",C580="",D580="",E580="",F580="",H580=""),"",IF(NOT(ISNUMBER(A580)),"Enter a date",IF(AND(F580&lt;&gt;"",OR(NOT(ISNUMBER(F580)),N(F580)&lt;0)),"Minutes must be a number of 0 or more",IF(G580="","Enter start and end times, or minutes",IF(C580="","Pick a machine",IF(SUMPRODUCT(--(Setup!$A$5:$A$34=C580))=0,"Machine not in Setup",IF(H580="","Pick a reason (counted as unclassified)",IF(I580="Not in Setup","Reason not in Setup (counted as unclassified)",IF(N(G580)=0,"0 minutes: not counted as a stop","OK")))))))))</f>
        <v/>
      </c>
    </row>
    <row r="581" customFormat="false" ht="15" hidden="false" customHeight="false" outlineLevel="0" collapsed="false">
      <c r="A581" s="11"/>
      <c r="B581" s="9"/>
      <c r="C581" s="9"/>
      <c r="D581" s="12"/>
      <c r="E581" s="12"/>
      <c r="F581" s="13"/>
      <c r="G581" s="14" t="str">
        <f aca="false">IF(F581&lt;&gt;"",IF(AND(ISNUMBER(F581),N(F581)&gt;=0),F581,""),IF(AND(ISNUMBER(D581),ISNUMBER(E581)),ROUND(MOD(E581-D581,1)*1440,0),""))</f>
        <v/>
      </c>
      <c r="H581" s="9"/>
      <c r="I581" s="10" t="str">
        <f aca="false">IF(H581="","",IF(SUMPRODUCT(MAX((Setup!$D$5:$D$34=H581)*(35-ROW(Setup!$D$5:$D$34))))=0,"Not in Setup",INDEX(Setup!$E$5:$E$34,31-SUMPRODUCT(MAX((Setup!$D$5:$D$34=H581)*(35-ROW(Setup!$D$5:$D$34)))))))</f>
        <v/>
      </c>
      <c r="J581" s="9"/>
      <c r="K581" s="10" t="str">
        <f aca="false">IF(AND(A581="",C581="",D581="",E581="",F581="",H581=""),"",IF(NOT(ISNUMBER(A581)),"Enter a date",IF(AND(F581&lt;&gt;"",OR(NOT(ISNUMBER(F581)),N(F581)&lt;0)),"Minutes must be a number of 0 or more",IF(G581="","Enter start and end times, or minutes",IF(C581="","Pick a machine",IF(SUMPRODUCT(--(Setup!$A$5:$A$34=C581))=0,"Machine not in Setup",IF(H581="","Pick a reason (counted as unclassified)",IF(I581="Not in Setup","Reason not in Setup (counted as unclassified)",IF(N(G581)=0,"0 minutes: not counted as a stop","OK")))))))))</f>
        <v/>
      </c>
    </row>
    <row r="582" customFormat="false" ht="15" hidden="false" customHeight="false" outlineLevel="0" collapsed="false">
      <c r="A582" s="11"/>
      <c r="B582" s="9"/>
      <c r="C582" s="9"/>
      <c r="D582" s="12"/>
      <c r="E582" s="12"/>
      <c r="F582" s="13"/>
      <c r="G582" s="14" t="str">
        <f aca="false">IF(F582&lt;&gt;"",IF(AND(ISNUMBER(F582),N(F582)&gt;=0),F582,""),IF(AND(ISNUMBER(D582),ISNUMBER(E582)),ROUND(MOD(E582-D582,1)*1440,0),""))</f>
        <v/>
      </c>
      <c r="H582" s="9"/>
      <c r="I582" s="10" t="str">
        <f aca="false">IF(H582="","",IF(SUMPRODUCT(MAX((Setup!$D$5:$D$34=H582)*(35-ROW(Setup!$D$5:$D$34))))=0,"Not in Setup",INDEX(Setup!$E$5:$E$34,31-SUMPRODUCT(MAX((Setup!$D$5:$D$34=H582)*(35-ROW(Setup!$D$5:$D$34)))))))</f>
        <v/>
      </c>
      <c r="J582" s="9"/>
      <c r="K582" s="10" t="str">
        <f aca="false">IF(AND(A582="",C582="",D582="",E582="",F582="",H582=""),"",IF(NOT(ISNUMBER(A582)),"Enter a date",IF(AND(F582&lt;&gt;"",OR(NOT(ISNUMBER(F582)),N(F582)&lt;0)),"Minutes must be a number of 0 or more",IF(G582="","Enter start and end times, or minutes",IF(C582="","Pick a machine",IF(SUMPRODUCT(--(Setup!$A$5:$A$34=C582))=0,"Machine not in Setup",IF(H582="","Pick a reason (counted as unclassified)",IF(I582="Not in Setup","Reason not in Setup (counted as unclassified)",IF(N(G582)=0,"0 minutes: not counted as a stop","OK")))))))))</f>
        <v/>
      </c>
    </row>
    <row r="583" customFormat="false" ht="15" hidden="false" customHeight="false" outlineLevel="0" collapsed="false">
      <c r="A583" s="11"/>
      <c r="B583" s="9"/>
      <c r="C583" s="9"/>
      <c r="D583" s="12"/>
      <c r="E583" s="12"/>
      <c r="F583" s="13"/>
      <c r="G583" s="14" t="str">
        <f aca="false">IF(F583&lt;&gt;"",IF(AND(ISNUMBER(F583),N(F583)&gt;=0),F583,""),IF(AND(ISNUMBER(D583),ISNUMBER(E583)),ROUND(MOD(E583-D583,1)*1440,0),""))</f>
        <v/>
      </c>
      <c r="H583" s="9"/>
      <c r="I583" s="10" t="str">
        <f aca="false">IF(H583="","",IF(SUMPRODUCT(MAX((Setup!$D$5:$D$34=H583)*(35-ROW(Setup!$D$5:$D$34))))=0,"Not in Setup",INDEX(Setup!$E$5:$E$34,31-SUMPRODUCT(MAX((Setup!$D$5:$D$34=H583)*(35-ROW(Setup!$D$5:$D$34)))))))</f>
        <v/>
      </c>
      <c r="J583" s="9"/>
      <c r="K583" s="10" t="str">
        <f aca="false">IF(AND(A583="",C583="",D583="",E583="",F583="",H583=""),"",IF(NOT(ISNUMBER(A583)),"Enter a date",IF(AND(F583&lt;&gt;"",OR(NOT(ISNUMBER(F583)),N(F583)&lt;0)),"Minutes must be a number of 0 or more",IF(G583="","Enter start and end times, or minutes",IF(C583="","Pick a machine",IF(SUMPRODUCT(--(Setup!$A$5:$A$34=C583))=0,"Machine not in Setup",IF(H583="","Pick a reason (counted as unclassified)",IF(I583="Not in Setup","Reason not in Setup (counted as unclassified)",IF(N(G583)=0,"0 minutes: not counted as a stop","OK")))))))))</f>
        <v/>
      </c>
    </row>
    <row r="584" customFormat="false" ht="15" hidden="false" customHeight="false" outlineLevel="0" collapsed="false">
      <c r="A584" s="11"/>
      <c r="B584" s="9"/>
      <c r="C584" s="9"/>
      <c r="D584" s="12"/>
      <c r="E584" s="12"/>
      <c r="F584" s="13"/>
      <c r="G584" s="14" t="str">
        <f aca="false">IF(F584&lt;&gt;"",IF(AND(ISNUMBER(F584),N(F584)&gt;=0),F584,""),IF(AND(ISNUMBER(D584),ISNUMBER(E584)),ROUND(MOD(E584-D584,1)*1440,0),""))</f>
        <v/>
      </c>
      <c r="H584" s="9"/>
      <c r="I584" s="10" t="str">
        <f aca="false">IF(H584="","",IF(SUMPRODUCT(MAX((Setup!$D$5:$D$34=H584)*(35-ROW(Setup!$D$5:$D$34))))=0,"Not in Setup",INDEX(Setup!$E$5:$E$34,31-SUMPRODUCT(MAX((Setup!$D$5:$D$34=H584)*(35-ROW(Setup!$D$5:$D$34)))))))</f>
        <v/>
      </c>
      <c r="J584" s="9"/>
      <c r="K584" s="10" t="str">
        <f aca="false">IF(AND(A584="",C584="",D584="",E584="",F584="",H584=""),"",IF(NOT(ISNUMBER(A584)),"Enter a date",IF(AND(F584&lt;&gt;"",OR(NOT(ISNUMBER(F584)),N(F584)&lt;0)),"Minutes must be a number of 0 or more",IF(G584="","Enter start and end times, or minutes",IF(C584="","Pick a machine",IF(SUMPRODUCT(--(Setup!$A$5:$A$34=C584))=0,"Machine not in Setup",IF(H584="","Pick a reason (counted as unclassified)",IF(I584="Not in Setup","Reason not in Setup (counted as unclassified)",IF(N(G584)=0,"0 minutes: not counted as a stop","OK")))))))))</f>
        <v/>
      </c>
    </row>
    <row r="585" customFormat="false" ht="15" hidden="false" customHeight="false" outlineLevel="0" collapsed="false">
      <c r="A585" s="11"/>
      <c r="B585" s="9"/>
      <c r="C585" s="9"/>
      <c r="D585" s="12"/>
      <c r="E585" s="12"/>
      <c r="F585" s="13"/>
      <c r="G585" s="14" t="str">
        <f aca="false">IF(F585&lt;&gt;"",IF(AND(ISNUMBER(F585),N(F585)&gt;=0),F585,""),IF(AND(ISNUMBER(D585),ISNUMBER(E585)),ROUND(MOD(E585-D585,1)*1440,0),""))</f>
        <v/>
      </c>
      <c r="H585" s="9"/>
      <c r="I585" s="10" t="str">
        <f aca="false">IF(H585="","",IF(SUMPRODUCT(MAX((Setup!$D$5:$D$34=H585)*(35-ROW(Setup!$D$5:$D$34))))=0,"Not in Setup",INDEX(Setup!$E$5:$E$34,31-SUMPRODUCT(MAX((Setup!$D$5:$D$34=H585)*(35-ROW(Setup!$D$5:$D$34)))))))</f>
        <v/>
      </c>
      <c r="J585" s="9"/>
      <c r="K585" s="10" t="str">
        <f aca="false">IF(AND(A585="",C585="",D585="",E585="",F585="",H585=""),"",IF(NOT(ISNUMBER(A585)),"Enter a date",IF(AND(F585&lt;&gt;"",OR(NOT(ISNUMBER(F585)),N(F585)&lt;0)),"Minutes must be a number of 0 or more",IF(G585="","Enter start and end times, or minutes",IF(C585="","Pick a machine",IF(SUMPRODUCT(--(Setup!$A$5:$A$34=C585))=0,"Machine not in Setup",IF(H585="","Pick a reason (counted as unclassified)",IF(I585="Not in Setup","Reason not in Setup (counted as unclassified)",IF(N(G585)=0,"0 minutes: not counted as a stop","OK")))))))))</f>
        <v/>
      </c>
    </row>
    <row r="586" customFormat="false" ht="15" hidden="false" customHeight="false" outlineLevel="0" collapsed="false">
      <c r="A586" s="11"/>
      <c r="B586" s="9"/>
      <c r="C586" s="9"/>
      <c r="D586" s="12"/>
      <c r="E586" s="12"/>
      <c r="F586" s="13"/>
      <c r="G586" s="14" t="str">
        <f aca="false">IF(F586&lt;&gt;"",IF(AND(ISNUMBER(F586),N(F586)&gt;=0),F586,""),IF(AND(ISNUMBER(D586),ISNUMBER(E586)),ROUND(MOD(E586-D586,1)*1440,0),""))</f>
        <v/>
      </c>
      <c r="H586" s="9"/>
      <c r="I586" s="10" t="str">
        <f aca="false">IF(H586="","",IF(SUMPRODUCT(MAX((Setup!$D$5:$D$34=H586)*(35-ROW(Setup!$D$5:$D$34))))=0,"Not in Setup",INDEX(Setup!$E$5:$E$34,31-SUMPRODUCT(MAX((Setup!$D$5:$D$34=H586)*(35-ROW(Setup!$D$5:$D$34)))))))</f>
        <v/>
      </c>
      <c r="J586" s="9"/>
      <c r="K586" s="10" t="str">
        <f aca="false">IF(AND(A586="",C586="",D586="",E586="",F586="",H586=""),"",IF(NOT(ISNUMBER(A586)),"Enter a date",IF(AND(F586&lt;&gt;"",OR(NOT(ISNUMBER(F586)),N(F586)&lt;0)),"Minutes must be a number of 0 or more",IF(G586="","Enter start and end times, or minutes",IF(C586="","Pick a machine",IF(SUMPRODUCT(--(Setup!$A$5:$A$34=C586))=0,"Machine not in Setup",IF(H586="","Pick a reason (counted as unclassified)",IF(I586="Not in Setup","Reason not in Setup (counted as unclassified)",IF(N(G586)=0,"0 minutes: not counted as a stop","OK")))))))))</f>
        <v/>
      </c>
    </row>
    <row r="587" customFormat="false" ht="15" hidden="false" customHeight="false" outlineLevel="0" collapsed="false">
      <c r="A587" s="11"/>
      <c r="B587" s="9"/>
      <c r="C587" s="9"/>
      <c r="D587" s="12"/>
      <c r="E587" s="12"/>
      <c r="F587" s="13"/>
      <c r="G587" s="14" t="str">
        <f aca="false">IF(F587&lt;&gt;"",IF(AND(ISNUMBER(F587),N(F587)&gt;=0),F587,""),IF(AND(ISNUMBER(D587),ISNUMBER(E587)),ROUND(MOD(E587-D587,1)*1440,0),""))</f>
        <v/>
      </c>
      <c r="H587" s="9"/>
      <c r="I587" s="10" t="str">
        <f aca="false">IF(H587="","",IF(SUMPRODUCT(MAX((Setup!$D$5:$D$34=H587)*(35-ROW(Setup!$D$5:$D$34))))=0,"Not in Setup",INDEX(Setup!$E$5:$E$34,31-SUMPRODUCT(MAX((Setup!$D$5:$D$34=H587)*(35-ROW(Setup!$D$5:$D$34)))))))</f>
        <v/>
      </c>
      <c r="J587" s="9"/>
      <c r="K587" s="10" t="str">
        <f aca="false">IF(AND(A587="",C587="",D587="",E587="",F587="",H587=""),"",IF(NOT(ISNUMBER(A587)),"Enter a date",IF(AND(F587&lt;&gt;"",OR(NOT(ISNUMBER(F587)),N(F587)&lt;0)),"Minutes must be a number of 0 or more",IF(G587="","Enter start and end times, or minutes",IF(C587="","Pick a machine",IF(SUMPRODUCT(--(Setup!$A$5:$A$34=C587))=0,"Machine not in Setup",IF(H587="","Pick a reason (counted as unclassified)",IF(I587="Not in Setup","Reason not in Setup (counted as unclassified)",IF(N(G587)=0,"0 minutes: not counted as a stop","OK")))))))))</f>
        <v/>
      </c>
    </row>
    <row r="588" customFormat="false" ht="15" hidden="false" customHeight="false" outlineLevel="0" collapsed="false">
      <c r="A588" s="11"/>
      <c r="B588" s="9"/>
      <c r="C588" s="9"/>
      <c r="D588" s="12"/>
      <c r="E588" s="12"/>
      <c r="F588" s="13"/>
      <c r="G588" s="14" t="str">
        <f aca="false">IF(F588&lt;&gt;"",IF(AND(ISNUMBER(F588),N(F588)&gt;=0),F588,""),IF(AND(ISNUMBER(D588),ISNUMBER(E588)),ROUND(MOD(E588-D588,1)*1440,0),""))</f>
        <v/>
      </c>
      <c r="H588" s="9"/>
      <c r="I588" s="10" t="str">
        <f aca="false">IF(H588="","",IF(SUMPRODUCT(MAX((Setup!$D$5:$D$34=H588)*(35-ROW(Setup!$D$5:$D$34))))=0,"Not in Setup",INDEX(Setup!$E$5:$E$34,31-SUMPRODUCT(MAX((Setup!$D$5:$D$34=H588)*(35-ROW(Setup!$D$5:$D$34)))))))</f>
        <v/>
      </c>
      <c r="J588" s="9"/>
      <c r="K588" s="10" t="str">
        <f aca="false">IF(AND(A588="",C588="",D588="",E588="",F588="",H588=""),"",IF(NOT(ISNUMBER(A588)),"Enter a date",IF(AND(F588&lt;&gt;"",OR(NOT(ISNUMBER(F588)),N(F588)&lt;0)),"Minutes must be a number of 0 or more",IF(G588="","Enter start and end times, or minutes",IF(C588="","Pick a machine",IF(SUMPRODUCT(--(Setup!$A$5:$A$34=C588))=0,"Machine not in Setup",IF(H588="","Pick a reason (counted as unclassified)",IF(I588="Not in Setup","Reason not in Setup (counted as unclassified)",IF(N(G588)=0,"0 minutes: not counted as a stop","OK")))))))))</f>
        <v/>
      </c>
    </row>
    <row r="589" customFormat="false" ht="15" hidden="false" customHeight="false" outlineLevel="0" collapsed="false">
      <c r="A589" s="11"/>
      <c r="B589" s="9"/>
      <c r="C589" s="9"/>
      <c r="D589" s="12"/>
      <c r="E589" s="12"/>
      <c r="F589" s="13"/>
      <c r="G589" s="14" t="str">
        <f aca="false">IF(F589&lt;&gt;"",IF(AND(ISNUMBER(F589),N(F589)&gt;=0),F589,""),IF(AND(ISNUMBER(D589),ISNUMBER(E589)),ROUND(MOD(E589-D589,1)*1440,0),""))</f>
        <v/>
      </c>
      <c r="H589" s="9"/>
      <c r="I589" s="10" t="str">
        <f aca="false">IF(H589="","",IF(SUMPRODUCT(MAX((Setup!$D$5:$D$34=H589)*(35-ROW(Setup!$D$5:$D$34))))=0,"Not in Setup",INDEX(Setup!$E$5:$E$34,31-SUMPRODUCT(MAX((Setup!$D$5:$D$34=H589)*(35-ROW(Setup!$D$5:$D$34)))))))</f>
        <v/>
      </c>
      <c r="J589" s="9"/>
      <c r="K589" s="10" t="str">
        <f aca="false">IF(AND(A589="",C589="",D589="",E589="",F589="",H589=""),"",IF(NOT(ISNUMBER(A589)),"Enter a date",IF(AND(F589&lt;&gt;"",OR(NOT(ISNUMBER(F589)),N(F589)&lt;0)),"Minutes must be a number of 0 or more",IF(G589="","Enter start and end times, or minutes",IF(C589="","Pick a machine",IF(SUMPRODUCT(--(Setup!$A$5:$A$34=C589))=0,"Machine not in Setup",IF(H589="","Pick a reason (counted as unclassified)",IF(I589="Not in Setup","Reason not in Setup (counted as unclassified)",IF(N(G589)=0,"0 minutes: not counted as a stop","OK")))))))))</f>
        <v/>
      </c>
    </row>
    <row r="590" customFormat="false" ht="15" hidden="false" customHeight="false" outlineLevel="0" collapsed="false">
      <c r="A590" s="11"/>
      <c r="B590" s="9"/>
      <c r="C590" s="9"/>
      <c r="D590" s="12"/>
      <c r="E590" s="12"/>
      <c r="F590" s="13"/>
      <c r="G590" s="14" t="str">
        <f aca="false">IF(F590&lt;&gt;"",IF(AND(ISNUMBER(F590),N(F590)&gt;=0),F590,""),IF(AND(ISNUMBER(D590),ISNUMBER(E590)),ROUND(MOD(E590-D590,1)*1440,0),""))</f>
        <v/>
      </c>
      <c r="H590" s="9"/>
      <c r="I590" s="10" t="str">
        <f aca="false">IF(H590="","",IF(SUMPRODUCT(MAX((Setup!$D$5:$D$34=H590)*(35-ROW(Setup!$D$5:$D$34))))=0,"Not in Setup",INDEX(Setup!$E$5:$E$34,31-SUMPRODUCT(MAX((Setup!$D$5:$D$34=H590)*(35-ROW(Setup!$D$5:$D$34)))))))</f>
        <v/>
      </c>
      <c r="J590" s="9"/>
      <c r="K590" s="10" t="str">
        <f aca="false">IF(AND(A590="",C590="",D590="",E590="",F590="",H590=""),"",IF(NOT(ISNUMBER(A590)),"Enter a date",IF(AND(F590&lt;&gt;"",OR(NOT(ISNUMBER(F590)),N(F590)&lt;0)),"Minutes must be a number of 0 or more",IF(G590="","Enter start and end times, or minutes",IF(C590="","Pick a machine",IF(SUMPRODUCT(--(Setup!$A$5:$A$34=C590))=0,"Machine not in Setup",IF(H590="","Pick a reason (counted as unclassified)",IF(I590="Not in Setup","Reason not in Setup (counted as unclassified)",IF(N(G590)=0,"0 minutes: not counted as a stop","OK")))))))))</f>
        <v/>
      </c>
    </row>
    <row r="591" customFormat="false" ht="15" hidden="false" customHeight="false" outlineLevel="0" collapsed="false">
      <c r="A591" s="11"/>
      <c r="B591" s="9"/>
      <c r="C591" s="9"/>
      <c r="D591" s="12"/>
      <c r="E591" s="12"/>
      <c r="F591" s="13"/>
      <c r="G591" s="14" t="str">
        <f aca="false">IF(F591&lt;&gt;"",IF(AND(ISNUMBER(F591),N(F591)&gt;=0),F591,""),IF(AND(ISNUMBER(D591),ISNUMBER(E591)),ROUND(MOD(E591-D591,1)*1440,0),""))</f>
        <v/>
      </c>
      <c r="H591" s="9"/>
      <c r="I591" s="10" t="str">
        <f aca="false">IF(H591="","",IF(SUMPRODUCT(MAX((Setup!$D$5:$D$34=H591)*(35-ROW(Setup!$D$5:$D$34))))=0,"Not in Setup",INDEX(Setup!$E$5:$E$34,31-SUMPRODUCT(MAX((Setup!$D$5:$D$34=H591)*(35-ROW(Setup!$D$5:$D$34)))))))</f>
        <v/>
      </c>
      <c r="J591" s="9"/>
      <c r="K591" s="10" t="str">
        <f aca="false">IF(AND(A591="",C591="",D591="",E591="",F591="",H591=""),"",IF(NOT(ISNUMBER(A591)),"Enter a date",IF(AND(F591&lt;&gt;"",OR(NOT(ISNUMBER(F591)),N(F591)&lt;0)),"Minutes must be a number of 0 or more",IF(G591="","Enter start and end times, or minutes",IF(C591="","Pick a machine",IF(SUMPRODUCT(--(Setup!$A$5:$A$34=C591))=0,"Machine not in Setup",IF(H591="","Pick a reason (counted as unclassified)",IF(I591="Not in Setup","Reason not in Setup (counted as unclassified)",IF(N(G591)=0,"0 minutes: not counted as a stop","OK")))))))))</f>
        <v/>
      </c>
    </row>
    <row r="592" customFormat="false" ht="15" hidden="false" customHeight="false" outlineLevel="0" collapsed="false">
      <c r="A592" s="11"/>
      <c r="B592" s="9"/>
      <c r="C592" s="9"/>
      <c r="D592" s="12"/>
      <c r="E592" s="12"/>
      <c r="F592" s="13"/>
      <c r="G592" s="14" t="str">
        <f aca="false">IF(F592&lt;&gt;"",IF(AND(ISNUMBER(F592),N(F592)&gt;=0),F592,""),IF(AND(ISNUMBER(D592),ISNUMBER(E592)),ROUND(MOD(E592-D592,1)*1440,0),""))</f>
        <v/>
      </c>
      <c r="H592" s="9"/>
      <c r="I592" s="10" t="str">
        <f aca="false">IF(H592="","",IF(SUMPRODUCT(MAX((Setup!$D$5:$D$34=H592)*(35-ROW(Setup!$D$5:$D$34))))=0,"Not in Setup",INDEX(Setup!$E$5:$E$34,31-SUMPRODUCT(MAX((Setup!$D$5:$D$34=H592)*(35-ROW(Setup!$D$5:$D$34)))))))</f>
        <v/>
      </c>
      <c r="J592" s="9"/>
      <c r="K592" s="10" t="str">
        <f aca="false">IF(AND(A592="",C592="",D592="",E592="",F592="",H592=""),"",IF(NOT(ISNUMBER(A592)),"Enter a date",IF(AND(F592&lt;&gt;"",OR(NOT(ISNUMBER(F592)),N(F592)&lt;0)),"Minutes must be a number of 0 or more",IF(G592="","Enter start and end times, or minutes",IF(C592="","Pick a machine",IF(SUMPRODUCT(--(Setup!$A$5:$A$34=C592))=0,"Machine not in Setup",IF(H592="","Pick a reason (counted as unclassified)",IF(I592="Not in Setup","Reason not in Setup (counted as unclassified)",IF(N(G592)=0,"0 minutes: not counted as a stop","OK")))))))))</f>
        <v/>
      </c>
    </row>
    <row r="593" customFormat="false" ht="15" hidden="false" customHeight="false" outlineLevel="0" collapsed="false">
      <c r="A593" s="11"/>
      <c r="B593" s="9"/>
      <c r="C593" s="9"/>
      <c r="D593" s="12"/>
      <c r="E593" s="12"/>
      <c r="F593" s="13"/>
      <c r="G593" s="14" t="str">
        <f aca="false">IF(F593&lt;&gt;"",IF(AND(ISNUMBER(F593),N(F593)&gt;=0),F593,""),IF(AND(ISNUMBER(D593),ISNUMBER(E593)),ROUND(MOD(E593-D593,1)*1440,0),""))</f>
        <v/>
      </c>
      <c r="H593" s="9"/>
      <c r="I593" s="10" t="str">
        <f aca="false">IF(H593="","",IF(SUMPRODUCT(MAX((Setup!$D$5:$D$34=H593)*(35-ROW(Setup!$D$5:$D$34))))=0,"Not in Setup",INDEX(Setup!$E$5:$E$34,31-SUMPRODUCT(MAX((Setup!$D$5:$D$34=H593)*(35-ROW(Setup!$D$5:$D$34)))))))</f>
        <v/>
      </c>
      <c r="J593" s="9"/>
      <c r="K593" s="10" t="str">
        <f aca="false">IF(AND(A593="",C593="",D593="",E593="",F593="",H593=""),"",IF(NOT(ISNUMBER(A593)),"Enter a date",IF(AND(F593&lt;&gt;"",OR(NOT(ISNUMBER(F593)),N(F593)&lt;0)),"Minutes must be a number of 0 or more",IF(G593="","Enter start and end times, or minutes",IF(C593="","Pick a machine",IF(SUMPRODUCT(--(Setup!$A$5:$A$34=C593))=0,"Machine not in Setup",IF(H593="","Pick a reason (counted as unclassified)",IF(I593="Not in Setup","Reason not in Setup (counted as unclassified)",IF(N(G593)=0,"0 minutes: not counted as a stop","OK")))))))))</f>
        <v/>
      </c>
    </row>
    <row r="594" customFormat="false" ht="15" hidden="false" customHeight="false" outlineLevel="0" collapsed="false">
      <c r="A594" s="11"/>
      <c r="B594" s="9"/>
      <c r="C594" s="9"/>
      <c r="D594" s="12"/>
      <c r="E594" s="12"/>
      <c r="F594" s="13"/>
      <c r="G594" s="14" t="str">
        <f aca="false">IF(F594&lt;&gt;"",IF(AND(ISNUMBER(F594),N(F594)&gt;=0),F594,""),IF(AND(ISNUMBER(D594),ISNUMBER(E594)),ROUND(MOD(E594-D594,1)*1440,0),""))</f>
        <v/>
      </c>
      <c r="H594" s="9"/>
      <c r="I594" s="10" t="str">
        <f aca="false">IF(H594="","",IF(SUMPRODUCT(MAX((Setup!$D$5:$D$34=H594)*(35-ROW(Setup!$D$5:$D$34))))=0,"Not in Setup",INDEX(Setup!$E$5:$E$34,31-SUMPRODUCT(MAX((Setup!$D$5:$D$34=H594)*(35-ROW(Setup!$D$5:$D$34)))))))</f>
        <v/>
      </c>
      <c r="J594" s="9"/>
      <c r="K594" s="10" t="str">
        <f aca="false">IF(AND(A594="",C594="",D594="",E594="",F594="",H594=""),"",IF(NOT(ISNUMBER(A594)),"Enter a date",IF(AND(F594&lt;&gt;"",OR(NOT(ISNUMBER(F594)),N(F594)&lt;0)),"Minutes must be a number of 0 or more",IF(G594="","Enter start and end times, or minutes",IF(C594="","Pick a machine",IF(SUMPRODUCT(--(Setup!$A$5:$A$34=C594))=0,"Machine not in Setup",IF(H594="","Pick a reason (counted as unclassified)",IF(I594="Not in Setup","Reason not in Setup (counted as unclassified)",IF(N(G594)=0,"0 minutes: not counted as a stop","OK")))))))))</f>
        <v/>
      </c>
    </row>
    <row r="595" customFormat="false" ht="15" hidden="false" customHeight="false" outlineLevel="0" collapsed="false">
      <c r="A595" s="11"/>
      <c r="B595" s="9"/>
      <c r="C595" s="9"/>
      <c r="D595" s="12"/>
      <c r="E595" s="12"/>
      <c r="F595" s="13"/>
      <c r="G595" s="14" t="str">
        <f aca="false">IF(F595&lt;&gt;"",IF(AND(ISNUMBER(F595),N(F595)&gt;=0),F595,""),IF(AND(ISNUMBER(D595),ISNUMBER(E595)),ROUND(MOD(E595-D595,1)*1440,0),""))</f>
        <v/>
      </c>
      <c r="H595" s="9"/>
      <c r="I595" s="10" t="str">
        <f aca="false">IF(H595="","",IF(SUMPRODUCT(MAX((Setup!$D$5:$D$34=H595)*(35-ROW(Setup!$D$5:$D$34))))=0,"Not in Setup",INDEX(Setup!$E$5:$E$34,31-SUMPRODUCT(MAX((Setup!$D$5:$D$34=H595)*(35-ROW(Setup!$D$5:$D$34)))))))</f>
        <v/>
      </c>
      <c r="J595" s="9"/>
      <c r="K595" s="10" t="str">
        <f aca="false">IF(AND(A595="",C595="",D595="",E595="",F595="",H595=""),"",IF(NOT(ISNUMBER(A595)),"Enter a date",IF(AND(F595&lt;&gt;"",OR(NOT(ISNUMBER(F595)),N(F595)&lt;0)),"Minutes must be a number of 0 or more",IF(G595="","Enter start and end times, or minutes",IF(C595="","Pick a machine",IF(SUMPRODUCT(--(Setup!$A$5:$A$34=C595))=0,"Machine not in Setup",IF(H595="","Pick a reason (counted as unclassified)",IF(I595="Not in Setup","Reason not in Setup (counted as unclassified)",IF(N(G595)=0,"0 minutes: not counted as a stop","OK")))))))))</f>
        <v/>
      </c>
    </row>
    <row r="596" customFormat="false" ht="15" hidden="false" customHeight="false" outlineLevel="0" collapsed="false">
      <c r="A596" s="11"/>
      <c r="B596" s="9"/>
      <c r="C596" s="9"/>
      <c r="D596" s="12"/>
      <c r="E596" s="12"/>
      <c r="F596" s="13"/>
      <c r="G596" s="14" t="str">
        <f aca="false">IF(F596&lt;&gt;"",IF(AND(ISNUMBER(F596),N(F596)&gt;=0),F596,""),IF(AND(ISNUMBER(D596),ISNUMBER(E596)),ROUND(MOD(E596-D596,1)*1440,0),""))</f>
        <v/>
      </c>
      <c r="H596" s="9"/>
      <c r="I596" s="10" t="str">
        <f aca="false">IF(H596="","",IF(SUMPRODUCT(MAX((Setup!$D$5:$D$34=H596)*(35-ROW(Setup!$D$5:$D$34))))=0,"Not in Setup",INDEX(Setup!$E$5:$E$34,31-SUMPRODUCT(MAX((Setup!$D$5:$D$34=H596)*(35-ROW(Setup!$D$5:$D$34)))))))</f>
        <v/>
      </c>
      <c r="J596" s="9"/>
      <c r="K596" s="10" t="str">
        <f aca="false">IF(AND(A596="",C596="",D596="",E596="",F596="",H596=""),"",IF(NOT(ISNUMBER(A596)),"Enter a date",IF(AND(F596&lt;&gt;"",OR(NOT(ISNUMBER(F596)),N(F596)&lt;0)),"Minutes must be a number of 0 or more",IF(G596="","Enter start and end times, or minutes",IF(C596="","Pick a machine",IF(SUMPRODUCT(--(Setup!$A$5:$A$34=C596))=0,"Machine not in Setup",IF(H596="","Pick a reason (counted as unclassified)",IF(I596="Not in Setup","Reason not in Setup (counted as unclassified)",IF(N(G596)=0,"0 minutes: not counted as a stop","OK")))))))))</f>
        <v/>
      </c>
    </row>
    <row r="597" customFormat="false" ht="15" hidden="false" customHeight="false" outlineLevel="0" collapsed="false">
      <c r="A597" s="11"/>
      <c r="B597" s="9"/>
      <c r="C597" s="9"/>
      <c r="D597" s="12"/>
      <c r="E597" s="12"/>
      <c r="F597" s="13"/>
      <c r="G597" s="14" t="str">
        <f aca="false">IF(F597&lt;&gt;"",IF(AND(ISNUMBER(F597),N(F597)&gt;=0),F597,""),IF(AND(ISNUMBER(D597),ISNUMBER(E597)),ROUND(MOD(E597-D597,1)*1440,0),""))</f>
        <v/>
      </c>
      <c r="H597" s="9"/>
      <c r="I597" s="10" t="str">
        <f aca="false">IF(H597="","",IF(SUMPRODUCT(MAX((Setup!$D$5:$D$34=H597)*(35-ROW(Setup!$D$5:$D$34))))=0,"Not in Setup",INDEX(Setup!$E$5:$E$34,31-SUMPRODUCT(MAX((Setup!$D$5:$D$34=H597)*(35-ROW(Setup!$D$5:$D$34)))))))</f>
        <v/>
      </c>
      <c r="J597" s="9"/>
      <c r="K597" s="10" t="str">
        <f aca="false">IF(AND(A597="",C597="",D597="",E597="",F597="",H597=""),"",IF(NOT(ISNUMBER(A597)),"Enter a date",IF(AND(F597&lt;&gt;"",OR(NOT(ISNUMBER(F597)),N(F597)&lt;0)),"Minutes must be a number of 0 or more",IF(G597="","Enter start and end times, or minutes",IF(C597="","Pick a machine",IF(SUMPRODUCT(--(Setup!$A$5:$A$34=C597))=0,"Machine not in Setup",IF(H597="","Pick a reason (counted as unclassified)",IF(I597="Not in Setup","Reason not in Setup (counted as unclassified)",IF(N(G597)=0,"0 minutes: not counted as a stop","OK")))))))))</f>
        <v/>
      </c>
    </row>
    <row r="598" customFormat="false" ht="15" hidden="false" customHeight="false" outlineLevel="0" collapsed="false">
      <c r="A598" s="11"/>
      <c r="B598" s="9"/>
      <c r="C598" s="9"/>
      <c r="D598" s="12"/>
      <c r="E598" s="12"/>
      <c r="F598" s="13"/>
      <c r="G598" s="14" t="str">
        <f aca="false">IF(F598&lt;&gt;"",IF(AND(ISNUMBER(F598),N(F598)&gt;=0),F598,""),IF(AND(ISNUMBER(D598),ISNUMBER(E598)),ROUND(MOD(E598-D598,1)*1440,0),""))</f>
        <v/>
      </c>
      <c r="H598" s="9"/>
      <c r="I598" s="10" t="str">
        <f aca="false">IF(H598="","",IF(SUMPRODUCT(MAX((Setup!$D$5:$D$34=H598)*(35-ROW(Setup!$D$5:$D$34))))=0,"Not in Setup",INDEX(Setup!$E$5:$E$34,31-SUMPRODUCT(MAX((Setup!$D$5:$D$34=H598)*(35-ROW(Setup!$D$5:$D$34)))))))</f>
        <v/>
      </c>
      <c r="J598" s="9"/>
      <c r="K598" s="10" t="str">
        <f aca="false">IF(AND(A598="",C598="",D598="",E598="",F598="",H598=""),"",IF(NOT(ISNUMBER(A598)),"Enter a date",IF(AND(F598&lt;&gt;"",OR(NOT(ISNUMBER(F598)),N(F598)&lt;0)),"Minutes must be a number of 0 or more",IF(G598="","Enter start and end times, or minutes",IF(C598="","Pick a machine",IF(SUMPRODUCT(--(Setup!$A$5:$A$34=C598))=0,"Machine not in Setup",IF(H598="","Pick a reason (counted as unclassified)",IF(I598="Not in Setup","Reason not in Setup (counted as unclassified)",IF(N(G598)=0,"0 minutes: not counted as a stop","OK")))))))))</f>
        <v/>
      </c>
    </row>
    <row r="599" customFormat="false" ht="15" hidden="false" customHeight="false" outlineLevel="0" collapsed="false">
      <c r="A599" s="11"/>
      <c r="B599" s="9"/>
      <c r="C599" s="9"/>
      <c r="D599" s="12"/>
      <c r="E599" s="12"/>
      <c r="F599" s="13"/>
      <c r="G599" s="14" t="str">
        <f aca="false">IF(F599&lt;&gt;"",IF(AND(ISNUMBER(F599),N(F599)&gt;=0),F599,""),IF(AND(ISNUMBER(D599),ISNUMBER(E599)),ROUND(MOD(E599-D599,1)*1440,0),""))</f>
        <v/>
      </c>
      <c r="H599" s="9"/>
      <c r="I599" s="10" t="str">
        <f aca="false">IF(H599="","",IF(SUMPRODUCT(MAX((Setup!$D$5:$D$34=H599)*(35-ROW(Setup!$D$5:$D$34))))=0,"Not in Setup",INDEX(Setup!$E$5:$E$34,31-SUMPRODUCT(MAX((Setup!$D$5:$D$34=H599)*(35-ROW(Setup!$D$5:$D$34)))))))</f>
        <v/>
      </c>
      <c r="J599" s="9"/>
      <c r="K599" s="10" t="str">
        <f aca="false">IF(AND(A599="",C599="",D599="",E599="",F599="",H599=""),"",IF(NOT(ISNUMBER(A599)),"Enter a date",IF(AND(F599&lt;&gt;"",OR(NOT(ISNUMBER(F599)),N(F599)&lt;0)),"Minutes must be a number of 0 or more",IF(G599="","Enter start and end times, or minutes",IF(C599="","Pick a machine",IF(SUMPRODUCT(--(Setup!$A$5:$A$34=C599))=0,"Machine not in Setup",IF(H599="","Pick a reason (counted as unclassified)",IF(I599="Not in Setup","Reason not in Setup (counted as unclassified)",IF(N(G599)=0,"0 minutes: not counted as a stop","OK")))))))))</f>
        <v/>
      </c>
    </row>
    <row r="600" customFormat="false" ht="15" hidden="false" customHeight="false" outlineLevel="0" collapsed="false">
      <c r="A600" s="11"/>
      <c r="B600" s="9"/>
      <c r="C600" s="9"/>
      <c r="D600" s="12"/>
      <c r="E600" s="12"/>
      <c r="F600" s="13"/>
      <c r="G600" s="14" t="str">
        <f aca="false">IF(F600&lt;&gt;"",IF(AND(ISNUMBER(F600),N(F600)&gt;=0),F600,""),IF(AND(ISNUMBER(D600),ISNUMBER(E600)),ROUND(MOD(E600-D600,1)*1440,0),""))</f>
        <v/>
      </c>
      <c r="H600" s="9"/>
      <c r="I600" s="10" t="str">
        <f aca="false">IF(H600="","",IF(SUMPRODUCT(MAX((Setup!$D$5:$D$34=H600)*(35-ROW(Setup!$D$5:$D$34))))=0,"Not in Setup",INDEX(Setup!$E$5:$E$34,31-SUMPRODUCT(MAX((Setup!$D$5:$D$34=H600)*(35-ROW(Setup!$D$5:$D$34)))))))</f>
        <v/>
      </c>
      <c r="J600" s="9"/>
      <c r="K600" s="10" t="str">
        <f aca="false">IF(AND(A600="",C600="",D600="",E600="",F600="",H600=""),"",IF(NOT(ISNUMBER(A600)),"Enter a date",IF(AND(F600&lt;&gt;"",OR(NOT(ISNUMBER(F600)),N(F600)&lt;0)),"Minutes must be a number of 0 or more",IF(G600="","Enter start and end times, or minutes",IF(C600="","Pick a machine",IF(SUMPRODUCT(--(Setup!$A$5:$A$34=C600))=0,"Machine not in Setup",IF(H600="","Pick a reason (counted as unclassified)",IF(I600="Not in Setup","Reason not in Setup (counted as unclassified)",IF(N(G600)=0,"0 minutes: not counted as a stop","OK")))))))))</f>
        <v/>
      </c>
    </row>
    <row r="601" customFormat="false" ht="15" hidden="false" customHeight="false" outlineLevel="0" collapsed="false">
      <c r="A601" s="11"/>
      <c r="B601" s="9"/>
      <c r="C601" s="9"/>
      <c r="D601" s="12"/>
      <c r="E601" s="12"/>
      <c r="F601" s="13"/>
      <c r="G601" s="14" t="str">
        <f aca="false">IF(F601&lt;&gt;"",IF(AND(ISNUMBER(F601),N(F601)&gt;=0),F601,""),IF(AND(ISNUMBER(D601),ISNUMBER(E601)),ROUND(MOD(E601-D601,1)*1440,0),""))</f>
        <v/>
      </c>
      <c r="H601" s="9"/>
      <c r="I601" s="10" t="str">
        <f aca="false">IF(H601="","",IF(SUMPRODUCT(MAX((Setup!$D$5:$D$34=H601)*(35-ROW(Setup!$D$5:$D$34))))=0,"Not in Setup",INDEX(Setup!$E$5:$E$34,31-SUMPRODUCT(MAX((Setup!$D$5:$D$34=H601)*(35-ROW(Setup!$D$5:$D$34)))))))</f>
        <v/>
      </c>
      <c r="J601" s="9"/>
      <c r="K601" s="10" t="str">
        <f aca="false">IF(AND(A601="",C601="",D601="",E601="",F601="",H601=""),"",IF(NOT(ISNUMBER(A601)),"Enter a date",IF(AND(F601&lt;&gt;"",OR(NOT(ISNUMBER(F601)),N(F601)&lt;0)),"Minutes must be a number of 0 or more",IF(G601="","Enter start and end times, or minutes",IF(C601="","Pick a machine",IF(SUMPRODUCT(--(Setup!$A$5:$A$34=C601))=0,"Machine not in Setup",IF(H601="","Pick a reason (counted as unclassified)",IF(I601="Not in Setup","Reason not in Setup (counted as unclassified)",IF(N(G601)=0,"0 minutes: not counted as a stop","OK")))))))))</f>
        <v/>
      </c>
    </row>
    <row r="602" customFormat="false" ht="15" hidden="false" customHeight="false" outlineLevel="0" collapsed="false">
      <c r="A602" s="11"/>
      <c r="B602" s="9"/>
      <c r="C602" s="9"/>
      <c r="D602" s="12"/>
      <c r="E602" s="12"/>
      <c r="F602" s="13"/>
      <c r="G602" s="14" t="str">
        <f aca="false">IF(F602&lt;&gt;"",IF(AND(ISNUMBER(F602),N(F602)&gt;=0),F602,""),IF(AND(ISNUMBER(D602),ISNUMBER(E602)),ROUND(MOD(E602-D602,1)*1440,0),""))</f>
        <v/>
      </c>
      <c r="H602" s="9"/>
      <c r="I602" s="10" t="str">
        <f aca="false">IF(H602="","",IF(SUMPRODUCT(MAX((Setup!$D$5:$D$34=H602)*(35-ROW(Setup!$D$5:$D$34))))=0,"Not in Setup",INDEX(Setup!$E$5:$E$34,31-SUMPRODUCT(MAX((Setup!$D$5:$D$34=H602)*(35-ROW(Setup!$D$5:$D$34)))))))</f>
        <v/>
      </c>
      <c r="J602" s="9"/>
      <c r="K602" s="10" t="str">
        <f aca="false">IF(AND(A602="",C602="",D602="",E602="",F602="",H602=""),"",IF(NOT(ISNUMBER(A602)),"Enter a date",IF(AND(F602&lt;&gt;"",OR(NOT(ISNUMBER(F602)),N(F602)&lt;0)),"Minutes must be a number of 0 or more",IF(G602="","Enter start and end times, or minutes",IF(C602="","Pick a machine",IF(SUMPRODUCT(--(Setup!$A$5:$A$34=C602))=0,"Machine not in Setup",IF(H602="","Pick a reason (counted as unclassified)",IF(I602="Not in Setup","Reason not in Setup (counted as unclassified)",IF(N(G602)=0,"0 minutes: not counted as a stop","OK")))))))))</f>
        <v/>
      </c>
    </row>
    <row r="603" customFormat="false" ht="15" hidden="false" customHeight="false" outlineLevel="0" collapsed="false">
      <c r="A603" s="11"/>
      <c r="B603" s="9"/>
      <c r="C603" s="9"/>
      <c r="D603" s="12"/>
      <c r="E603" s="12"/>
      <c r="F603" s="13"/>
      <c r="G603" s="14" t="str">
        <f aca="false">IF(F603&lt;&gt;"",IF(AND(ISNUMBER(F603),N(F603)&gt;=0),F603,""),IF(AND(ISNUMBER(D603),ISNUMBER(E603)),ROUND(MOD(E603-D603,1)*1440,0),""))</f>
        <v/>
      </c>
      <c r="H603" s="9"/>
      <c r="I603" s="10" t="str">
        <f aca="false">IF(H603="","",IF(SUMPRODUCT(MAX((Setup!$D$5:$D$34=H603)*(35-ROW(Setup!$D$5:$D$34))))=0,"Not in Setup",INDEX(Setup!$E$5:$E$34,31-SUMPRODUCT(MAX((Setup!$D$5:$D$34=H603)*(35-ROW(Setup!$D$5:$D$34)))))))</f>
        <v/>
      </c>
      <c r="J603" s="9"/>
      <c r="K603" s="10" t="str">
        <f aca="false">IF(AND(A603="",C603="",D603="",E603="",F603="",H603=""),"",IF(NOT(ISNUMBER(A603)),"Enter a date",IF(AND(F603&lt;&gt;"",OR(NOT(ISNUMBER(F603)),N(F603)&lt;0)),"Minutes must be a number of 0 or more",IF(G603="","Enter start and end times, or minutes",IF(C603="","Pick a machine",IF(SUMPRODUCT(--(Setup!$A$5:$A$34=C603))=0,"Machine not in Setup",IF(H603="","Pick a reason (counted as unclassified)",IF(I603="Not in Setup","Reason not in Setup (counted as unclassified)",IF(N(G603)=0,"0 minutes: not counted as a stop","OK")))))))))</f>
        <v/>
      </c>
    </row>
    <row r="604" customFormat="false" ht="15" hidden="false" customHeight="false" outlineLevel="0" collapsed="false">
      <c r="A604" s="11"/>
      <c r="B604" s="9"/>
      <c r="C604" s="9"/>
      <c r="D604" s="12"/>
      <c r="E604" s="12"/>
      <c r="F604" s="13"/>
      <c r="G604" s="14" t="str">
        <f aca="false">IF(F604&lt;&gt;"",IF(AND(ISNUMBER(F604),N(F604)&gt;=0),F604,""),IF(AND(ISNUMBER(D604),ISNUMBER(E604)),ROUND(MOD(E604-D604,1)*1440,0),""))</f>
        <v/>
      </c>
      <c r="H604" s="9"/>
      <c r="I604" s="10" t="str">
        <f aca="false">IF(H604="","",IF(SUMPRODUCT(MAX((Setup!$D$5:$D$34=H604)*(35-ROW(Setup!$D$5:$D$34))))=0,"Not in Setup",INDEX(Setup!$E$5:$E$34,31-SUMPRODUCT(MAX((Setup!$D$5:$D$34=H604)*(35-ROW(Setup!$D$5:$D$34)))))))</f>
        <v/>
      </c>
      <c r="J604" s="9"/>
      <c r="K604" s="10" t="str">
        <f aca="false">IF(AND(A604="",C604="",D604="",E604="",F604="",H604=""),"",IF(NOT(ISNUMBER(A604)),"Enter a date",IF(AND(F604&lt;&gt;"",OR(NOT(ISNUMBER(F604)),N(F604)&lt;0)),"Minutes must be a number of 0 or more",IF(G604="","Enter start and end times, or minutes",IF(C604="","Pick a machine",IF(SUMPRODUCT(--(Setup!$A$5:$A$34=C604))=0,"Machine not in Setup",IF(H604="","Pick a reason (counted as unclassified)",IF(I604="Not in Setup","Reason not in Setup (counted as unclassified)",IF(N(G604)=0,"0 minutes: not counted as a stop","OK")))))))))</f>
        <v/>
      </c>
    </row>
    <row r="605" customFormat="false" ht="15" hidden="false" customHeight="false" outlineLevel="0" collapsed="false">
      <c r="A605" s="11"/>
      <c r="B605" s="9"/>
      <c r="C605" s="9"/>
      <c r="D605" s="12"/>
      <c r="E605" s="12"/>
      <c r="F605" s="13"/>
      <c r="G605" s="14" t="str">
        <f aca="false">IF(F605&lt;&gt;"",IF(AND(ISNUMBER(F605),N(F605)&gt;=0),F605,""),IF(AND(ISNUMBER(D605),ISNUMBER(E605)),ROUND(MOD(E605-D605,1)*1440,0),""))</f>
        <v/>
      </c>
      <c r="H605" s="9"/>
      <c r="I605" s="10" t="str">
        <f aca="false">IF(H605="","",IF(SUMPRODUCT(MAX((Setup!$D$5:$D$34=H605)*(35-ROW(Setup!$D$5:$D$34))))=0,"Not in Setup",INDEX(Setup!$E$5:$E$34,31-SUMPRODUCT(MAX((Setup!$D$5:$D$34=H605)*(35-ROW(Setup!$D$5:$D$34)))))))</f>
        <v/>
      </c>
      <c r="J605" s="9"/>
      <c r="K605" s="10" t="str">
        <f aca="false">IF(AND(A605="",C605="",D605="",E605="",F605="",H605=""),"",IF(NOT(ISNUMBER(A605)),"Enter a date",IF(AND(F605&lt;&gt;"",OR(NOT(ISNUMBER(F605)),N(F605)&lt;0)),"Minutes must be a number of 0 or more",IF(G605="","Enter start and end times, or minutes",IF(C605="","Pick a machine",IF(SUMPRODUCT(--(Setup!$A$5:$A$34=C605))=0,"Machine not in Setup",IF(H605="","Pick a reason (counted as unclassified)",IF(I605="Not in Setup","Reason not in Setup (counted as unclassified)",IF(N(G605)=0,"0 minutes: not counted as a stop","OK")))))))))</f>
        <v/>
      </c>
    </row>
    <row r="606" customFormat="false" ht="15" hidden="false" customHeight="false" outlineLevel="0" collapsed="false">
      <c r="A606" s="11"/>
      <c r="B606" s="9"/>
      <c r="C606" s="9"/>
      <c r="D606" s="12"/>
      <c r="E606" s="12"/>
      <c r="F606" s="13"/>
      <c r="G606" s="14" t="str">
        <f aca="false">IF(F606&lt;&gt;"",IF(AND(ISNUMBER(F606),N(F606)&gt;=0),F606,""),IF(AND(ISNUMBER(D606),ISNUMBER(E606)),ROUND(MOD(E606-D606,1)*1440,0),""))</f>
        <v/>
      </c>
      <c r="H606" s="9"/>
      <c r="I606" s="10" t="str">
        <f aca="false">IF(H606="","",IF(SUMPRODUCT(MAX((Setup!$D$5:$D$34=H606)*(35-ROW(Setup!$D$5:$D$34))))=0,"Not in Setup",INDEX(Setup!$E$5:$E$34,31-SUMPRODUCT(MAX((Setup!$D$5:$D$34=H606)*(35-ROW(Setup!$D$5:$D$34)))))))</f>
        <v/>
      </c>
      <c r="J606" s="9"/>
      <c r="K606" s="10" t="str">
        <f aca="false">IF(AND(A606="",C606="",D606="",E606="",F606="",H606=""),"",IF(NOT(ISNUMBER(A606)),"Enter a date",IF(AND(F606&lt;&gt;"",OR(NOT(ISNUMBER(F606)),N(F606)&lt;0)),"Minutes must be a number of 0 or more",IF(G606="","Enter start and end times, or minutes",IF(C606="","Pick a machine",IF(SUMPRODUCT(--(Setup!$A$5:$A$34=C606))=0,"Machine not in Setup",IF(H606="","Pick a reason (counted as unclassified)",IF(I606="Not in Setup","Reason not in Setup (counted as unclassified)",IF(N(G606)=0,"0 minutes: not counted as a stop","OK")))))))))</f>
        <v/>
      </c>
    </row>
    <row r="607" customFormat="false" ht="15" hidden="false" customHeight="false" outlineLevel="0" collapsed="false">
      <c r="A607" s="11"/>
      <c r="B607" s="9"/>
      <c r="C607" s="9"/>
      <c r="D607" s="12"/>
      <c r="E607" s="12"/>
      <c r="F607" s="13"/>
      <c r="G607" s="14" t="str">
        <f aca="false">IF(F607&lt;&gt;"",IF(AND(ISNUMBER(F607),N(F607)&gt;=0),F607,""),IF(AND(ISNUMBER(D607),ISNUMBER(E607)),ROUND(MOD(E607-D607,1)*1440,0),""))</f>
        <v/>
      </c>
      <c r="H607" s="9"/>
      <c r="I607" s="10" t="str">
        <f aca="false">IF(H607="","",IF(SUMPRODUCT(MAX((Setup!$D$5:$D$34=H607)*(35-ROW(Setup!$D$5:$D$34))))=0,"Not in Setup",INDEX(Setup!$E$5:$E$34,31-SUMPRODUCT(MAX((Setup!$D$5:$D$34=H607)*(35-ROW(Setup!$D$5:$D$34)))))))</f>
        <v/>
      </c>
      <c r="J607" s="9"/>
      <c r="K607" s="10" t="str">
        <f aca="false">IF(AND(A607="",C607="",D607="",E607="",F607="",H607=""),"",IF(NOT(ISNUMBER(A607)),"Enter a date",IF(AND(F607&lt;&gt;"",OR(NOT(ISNUMBER(F607)),N(F607)&lt;0)),"Minutes must be a number of 0 or more",IF(G607="","Enter start and end times, or minutes",IF(C607="","Pick a machine",IF(SUMPRODUCT(--(Setup!$A$5:$A$34=C607))=0,"Machine not in Setup",IF(H607="","Pick a reason (counted as unclassified)",IF(I607="Not in Setup","Reason not in Setup (counted as unclassified)",IF(N(G607)=0,"0 minutes: not counted as a stop","OK")))))))))</f>
        <v/>
      </c>
    </row>
    <row r="608" customFormat="false" ht="15" hidden="false" customHeight="false" outlineLevel="0" collapsed="false">
      <c r="A608" s="11"/>
      <c r="B608" s="9"/>
      <c r="C608" s="9"/>
      <c r="D608" s="12"/>
      <c r="E608" s="12"/>
      <c r="F608" s="13"/>
      <c r="G608" s="14" t="str">
        <f aca="false">IF(F608&lt;&gt;"",IF(AND(ISNUMBER(F608),N(F608)&gt;=0),F608,""),IF(AND(ISNUMBER(D608),ISNUMBER(E608)),ROUND(MOD(E608-D608,1)*1440,0),""))</f>
        <v/>
      </c>
      <c r="H608" s="9"/>
      <c r="I608" s="10" t="str">
        <f aca="false">IF(H608="","",IF(SUMPRODUCT(MAX((Setup!$D$5:$D$34=H608)*(35-ROW(Setup!$D$5:$D$34))))=0,"Not in Setup",INDEX(Setup!$E$5:$E$34,31-SUMPRODUCT(MAX((Setup!$D$5:$D$34=H608)*(35-ROW(Setup!$D$5:$D$34)))))))</f>
        <v/>
      </c>
      <c r="J608" s="9"/>
      <c r="K608" s="10" t="str">
        <f aca="false">IF(AND(A608="",C608="",D608="",E608="",F608="",H608=""),"",IF(NOT(ISNUMBER(A608)),"Enter a date",IF(AND(F608&lt;&gt;"",OR(NOT(ISNUMBER(F608)),N(F608)&lt;0)),"Minutes must be a number of 0 or more",IF(G608="","Enter start and end times, or minutes",IF(C608="","Pick a machine",IF(SUMPRODUCT(--(Setup!$A$5:$A$34=C608))=0,"Machine not in Setup",IF(H608="","Pick a reason (counted as unclassified)",IF(I608="Not in Setup","Reason not in Setup (counted as unclassified)",IF(N(G608)=0,"0 minutes: not counted as a stop","OK")))))))))</f>
        <v/>
      </c>
    </row>
    <row r="609" customFormat="false" ht="15" hidden="false" customHeight="false" outlineLevel="0" collapsed="false">
      <c r="A609" s="11"/>
      <c r="B609" s="9"/>
      <c r="C609" s="9"/>
      <c r="D609" s="12"/>
      <c r="E609" s="12"/>
      <c r="F609" s="13"/>
      <c r="G609" s="14" t="str">
        <f aca="false">IF(F609&lt;&gt;"",IF(AND(ISNUMBER(F609),N(F609)&gt;=0),F609,""),IF(AND(ISNUMBER(D609),ISNUMBER(E609)),ROUND(MOD(E609-D609,1)*1440,0),""))</f>
        <v/>
      </c>
      <c r="H609" s="9"/>
      <c r="I609" s="10" t="str">
        <f aca="false">IF(H609="","",IF(SUMPRODUCT(MAX((Setup!$D$5:$D$34=H609)*(35-ROW(Setup!$D$5:$D$34))))=0,"Not in Setup",INDEX(Setup!$E$5:$E$34,31-SUMPRODUCT(MAX((Setup!$D$5:$D$34=H609)*(35-ROW(Setup!$D$5:$D$34)))))))</f>
        <v/>
      </c>
      <c r="J609" s="9"/>
      <c r="K609" s="10" t="str">
        <f aca="false">IF(AND(A609="",C609="",D609="",E609="",F609="",H609=""),"",IF(NOT(ISNUMBER(A609)),"Enter a date",IF(AND(F609&lt;&gt;"",OR(NOT(ISNUMBER(F609)),N(F609)&lt;0)),"Minutes must be a number of 0 or more",IF(G609="","Enter start and end times, or minutes",IF(C609="","Pick a machine",IF(SUMPRODUCT(--(Setup!$A$5:$A$34=C609))=0,"Machine not in Setup",IF(H609="","Pick a reason (counted as unclassified)",IF(I609="Not in Setup","Reason not in Setup (counted as unclassified)",IF(N(G609)=0,"0 minutes: not counted as a stop","OK")))))))))</f>
        <v/>
      </c>
    </row>
    <row r="610" customFormat="false" ht="15" hidden="false" customHeight="false" outlineLevel="0" collapsed="false">
      <c r="A610" s="11"/>
      <c r="B610" s="9"/>
      <c r="C610" s="9"/>
      <c r="D610" s="12"/>
      <c r="E610" s="12"/>
      <c r="F610" s="13"/>
      <c r="G610" s="14" t="str">
        <f aca="false">IF(F610&lt;&gt;"",IF(AND(ISNUMBER(F610),N(F610)&gt;=0),F610,""),IF(AND(ISNUMBER(D610),ISNUMBER(E610)),ROUND(MOD(E610-D610,1)*1440,0),""))</f>
        <v/>
      </c>
      <c r="H610" s="9"/>
      <c r="I610" s="10" t="str">
        <f aca="false">IF(H610="","",IF(SUMPRODUCT(MAX((Setup!$D$5:$D$34=H610)*(35-ROW(Setup!$D$5:$D$34))))=0,"Not in Setup",INDEX(Setup!$E$5:$E$34,31-SUMPRODUCT(MAX((Setup!$D$5:$D$34=H610)*(35-ROW(Setup!$D$5:$D$34)))))))</f>
        <v/>
      </c>
      <c r="J610" s="9"/>
      <c r="K610" s="10" t="str">
        <f aca="false">IF(AND(A610="",C610="",D610="",E610="",F610="",H610=""),"",IF(NOT(ISNUMBER(A610)),"Enter a date",IF(AND(F610&lt;&gt;"",OR(NOT(ISNUMBER(F610)),N(F610)&lt;0)),"Minutes must be a number of 0 or more",IF(G610="","Enter start and end times, or minutes",IF(C610="","Pick a machine",IF(SUMPRODUCT(--(Setup!$A$5:$A$34=C610))=0,"Machine not in Setup",IF(H610="","Pick a reason (counted as unclassified)",IF(I610="Not in Setup","Reason not in Setup (counted as unclassified)",IF(N(G610)=0,"0 minutes: not counted as a stop","OK")))))))))</f>
        <v/>
      </c>
    </row>
    <row r="611" customFormat="false" ht="15" hidden="false" customHeight="false" outlineLevel="0" collapsed="false">
      <c r="A611" s="11"/>
      <c r="B611" s="9"/>
      <c r="C611" s="9"/>
      <c r="D611" s="12"/>
      <c r="E611" s="12"/>
      <c r="F611" s="13"/>
      <c r="G611" s="14" t="str">
        <f aca="false">IF(F611&lt;&gt;"",IF(AND(ISNUMBER(F611),N(F611)&gt;=0),F611,""),IF(AND(ISNUMBER(D611),ISNUMBER(E611)),ROUND(MOD(E611-D611,1)*1440,0),""))</f>
        <v/>
      </c>
      <c r="H611" s="9"/>
      <c r="I611" s="10" t="str">
        <f aca="false">IF(H611="","",IF(SUMPRODUCT(MAX((Setup!$D$5:$D$34=H611)*(35-ROW(Setup!$D$5:$D$34))))=0,"Not in Setup",INDEX(Setup!$E$5:$E$34,31-SUMPRODUCT(MAX((Setup!$D$5:$D$34=H611)*(35-ROW(Setup!$D$5:$D$34)))))))</f>
        <v/>
      </c>
      <c r="J611" s="9"/>
      <c r="K611" s="10" t="str">
        <f aca="false">IF(AND(A611="",C611="",D611="",E611="",F611="",H611=""),"",IF(NOT(ISNUMBER(A611)),"Enter a date",IF(AND(F611&lt;&gt;"",OR(NOT(ISNUMBER(F611)),N(F611)&lt;0)),"Minutes must be a number of 0 or more",IF(G611="","Enter start and end times, or minutes",IF(C611="","Pick a machine",IF(SUMPRODUCT(--(Setup!$A$5:$A$34=C611))=0,"Machine not in Setup",IF(H611="","Pick a reason (counted as unclassified)",IF(I611="Not in Setup","Reason not in Setup (counted as unclassified)",IF(N(G611)=0,"0 minutes: not counted as a stop","OK")))))))))</f>
        <v/>
      </c>
    </row>
    <row r="612" customFormat="false" ht="15" hidden="false" customHeight="false" outlineLevel="0" collapsed="false">
      <c r="A612" s="11"/>
      <c r="B612" s="9"/>
      <c r="C612" s="9"/>
      <c r="D612" s="12"/>
      <c r="E612" s="12"/>
      <c r="F612" s="13"/>
      <c r="G612" s="14" t="str">
        <f aca="false">IF(F612&lt;&gt;"",IF(AND(ISNUMBER(F612),N(F612)&gt;=0),F612,""),IF(AND(ISNUMBER(D612),ISNUMBER(E612)),ROUND(MOD(E612-D612,1)*1440,0),""))</f>
        <v/>
      </c>
      <c r="H612" s="9"/>
      <c r="I612" s="10" t="str">
        <f aca="false">IF(H612="","",IF(SUMPRODUCT(MAX((Setup!$D$5:$D$34=H612)*(35-ROW(Setup!$D$5:$D$34))))=0,"Not in Setup",INDEX(Setup!$E$5:$E$34,31-SUMPRODUCT(MAX((Setup!$D$5:$D$34=H612)*(35-ROW(Setup!$D$5:$D$34)))))))</f>
        <v/>
      </c>
      <c r="J612" s="9"/>
      <c r="K612" s="10" t="str">
        <f aca="false">IF(AND(A612="",C612="",D612="",E612="",F612="",H612=""),"",IF(NOT(ISNUMBER(A612)),"Enter a date",IF(AND(F612&lt;&gt;"",OR(NOT(ISNUMBER(F612)),N(F612)&lt;0)),"Minutes must be a number of 0 or more",IF(G612="","Enter start and end times, or minutes",IF(C612="","Pick a machine",IF(SUMPRODUCT(--(Setup!$A$5:$A$34=C612))=0,"Machine not in Setup",IF(H612="","Pick a reason (counted as unclassified)",IF(I612="Not in Setup","Reason not in Setup (counted as unclassified)",IF(N(G612)=0,"0 minutes: not counted as a stop","OK")))))))))</f>
        <v/>
      </c>
    </row>
    <row r="613" customFormat="false" ht="15" hidden="false" customHeight="false" outlineLevel="0" collapsed="false">
      <c r="A613" s="11"/>
      <c r="B613" s="9"/>
      <c r="C613" s="9"/>
      <c r="D613" s="12"/>
      <c r="E613" s="12"/>
      <c r="F613" s="13"/>
      <c r="G613" s="14" t="str">
        <f aca="false">IF(F613&lt;&gt;"",IF(AND(ISNUMBER(F613),N(F613)&gt;=0),F613,""),IF(AND(ISNUMBER(D613),ISNUMBER(E613)),ROUND(MOD(E613-D613,1)*1440,0),""))</f>
        <v/>
      </c>
      <c r="H613" s="9"/>
      <c r="I613" s="10" t="str">
        <f aca="false">IF(H613="","",IF(SUMPRODUCT(MAX((Setup!$D$5:$D$34=H613)*(35-ROW(Setup!$D$5:$D$34))))=0,"Not in Setup",INDEX(Setup!$E$5:$E$34,31-SUMPRODUCT(MAX((Setup!$D$5:$D$34=H613)*(35-ROW(Setup!$D$5:$D$34)))))))</f>
        <v/>
      </c>
      <c r="J613" s="9"/>
      <c r="K613" s="10" t="str">
        <f aca="false">IF(AND(A613="",C613="",D613="",E613="",F613="",H613=""),"",IF(NOT(ISNUMBER(A613)),"Enter a date",IF(AND(F613&lt;&gt;"",OR(NOT(ISNUMBER(F613)),N(F613)&lt;0)),"Minutes must be a number of 0 or more",IF(G613="","Enter start and end times, or minutes",IF(C613="","Pick a machine",IF(SUMPRODUCT(--(Setup!$A$5:$A$34=C613))=0,"Machine not in Setup",IF(H613="","Pick a reason (counted as unclassified)",IF(I613="Not in Setup","Reason not in Setup (counted as unclassified)",IF(N(G613)=0,"0 minutes: not counted as a stop","OK")))))))))</f>
        <v/>
      </c>
    </row>
    <row r="614" customFormat="false" ht="15" hidden="false" customHeight="false" outlineLevel="0" collapsed="false">
      <c r="A614" s="11"/>
      <c r="B614" s="9"/>
      <c r="C614" s="9"/>
      <c r="D614" s="12"/>
      <c r="E614" s="12"/>
      <c r="F614" s="13"/>
      <c r="G614" s="14" t="str">
        <f aca="false">IF(F614&lt;&gt;"",IF(AND(ISNUMBER(F614),N(F614)&gt;=0),F614,""),IF(AND(ISNUMBER(D614),ISNUMBER(E614)),ROUND(MOD(E614-D614,1)*1440,0),""))</f>
        <v/>
      </c>
      <c r="H614" s="9"/>
      <c r="I614" s="10" t="str">
        <f aca="false">IF(H614="","",IF(SUMPRODUCT(MAX((Setup!$D$5:$D$34=H614)*(35-ROW(Setup!$D$5:$D$34))))=0,"Not in Setup",INDEX(Setup!$E$5:$E$34,31-SUMPRODUCT(MAX((Setup!$D$5:$D$34=H614)*(35-ROW(Setup!$D$5:$D$34)))))))</f>
        <v/>
      </c>
      <c r="J614" s="9"/>
      <c r="K614" s="10" t="str">
        <f aca="false">IF(AND(A614="",C614="",D614="",E614="",F614="",H614=""),"",IF(NOT(ISNUMBER(A614)),"Enter a date",IF(AND(F614&lt;&gt;"",OR(NOT(ISNUMBER(F614)),N(F614)&lt;0)),"Minutes must be a number of 0 or more",IF(G614="","Enter start and end times, or minutes",IF(C614="","Pick a machine",IF(SUMPRODUCT(--(Setup!$A$5:$A$34=C614))=0,"Machine not in Setup",IF(H614="","Pick a reason (counted as unclassified)",IF(I614="Not in Setup","Reason not in Setup (counted as unclassified)",IF(N(G614)=0,"0 minutes: not counted as a stop","OK")))))))))</f>
        <v/>
      </c>
    </row>
    <row r="615" customFormat="false" ht="15" hidden="false" customHeight="false" outlineLevel="0" collapsed="false">
      <c r="A615" s="11"/>
      <c r="B615" s="9"/>
      <c r="C615" s="9"/>
      <c r="D615" s="12"/>
      <c r="E615" s="12"/>
      <c r="F615" s="13"/>
      <c r="G615" s="14" t="str">
        <f aca="false">IF(F615&lt;&gt;"",IF(AND(ISNUMBER(F615),N(F615)&gt;=0),F615,""),IF(AND(ISNUMBER(D615),ISNUMBER(E615)),ROUND(MOD(E615-D615,1)*1440,0),""))</f>
        <v/>
      </c>
      <c r="H615" s="9"/>
      <c r="I615" s="10" t="str">
        <f aca="false">IF(H615="","",IF(SUMPRODUCT(MAX((Setup!$D$5:$D$34=H615)*(35-ROW(Setup!$D$5:$D$34))))=0,"Not in Setup",INDEX(Setup!$E$5:$E$34,31-SUMPRODUCT(MAX((Setup!$D$5:$D$34=H615)*(35-ROW(Setup!$D$5:$D$34)))))))</f>
        <v/>
      </c>
      <c r="J615" s="9"/>
      <c r="K615" s="10" t="str">
        <f aca="false">IF(AND(A615="",C615="",D615="",E615="",F615="",H615=""),"",IF(NOT(ISNUMBER(A615)),"Enter a date",IF(AND(F615&lt;&gt;"",OR(NOT(ISNUMBER(F615)),N(F615)&lt;0)),"Minutes must be a number of 0 or more",IF(G615="","Enter start and end times, or minutes",IF(C615="","Pick a machine",IF(SUMPRODUCT(--(Setup!$A$5:$A$34=C615))=0,"Machine not in Setup",IF(H615="","Pick a reason (counted as unclassified)",IF(I615="Not in Setup","Reason not in Setup (counted as unclassified)",IF(N(G615)=0,"0 minutes: not counted as a stop","OK")))))))))</f>
        <v/>
      </c>
    </row>
    <row r="616" customFormat="false" ht="15" hidden="false" customHeight="false" outlineLevel="0" collapsed="false">
      <c r="A616" s="11"/>
      <c r="B616" s="9"/>
      <c r="C616" s="9"/>
      <c r="D616" s="12"/>
      <c r="E616" s="12"/>
      <c r="F616" s="13"/>
      <c r="G616" s="14" t="str">
        <f aca="false">IF(F616&lt;&gt;"",IF(AND(ISNUMBER(F616),N(F616)&gt;=0),F616,""),IF(AND(ISNUMBER(D616),ISNUMBER(E616)),ROUND(MOD(E616-D616,1)*1440,0),""))</f>
        <v/>
      </c>
      <c r="H616" s="9"/>
      <c r="I616" s="10" t="str">
        <f aca="false">IF(H616="","",IF(SUMPRODUCT(MAX((Setup!$D$5:$D$34=H616)*(35-ROW(Setup!$D$5:$D$34))))=0,"Not in Setup",INDEX(Setup!$E$5:$E$34,31-SUMPRODUCT(MAX((Setup!$D$5:$D$34=H616)*(35-ROW(Setup!$D$5:$D$34)))))))</f>
        <v/>
      </c>
      <c r="J616" s="9"/>
      <c r="K616" s="10" t="str">
        <f aca="false">IF(AND(A616="",C616="",D616="",E616="",F616="",H616=""),"",IF(NOT(ISNUMBER(A616)),"Enter a date",IF(AND(F616&lt;&gt;"",OR(NOT(ISNUMBER(F616)),N(F616)&lt;0)),"Minutes must be a number of 0 or more",IF(G616="","Enter start and end times, or minutes",IF(C616="","Pick a machine",IF(SUMPRODUCT(--(Setup!$A$5:$A$34=C616))=0,"Machine not in Setup",IF(H616="","Pick a reason (counted as unclassified)",IF(I616="Not in Setup","Reason not in Setup (counted as unclassified)",IF(N(G616)=0,"0 minutes: not counted as a stop","OK")))))))))</f>
        <v/>
      </c>
    </row>
    <row r="617" customFormat="false" ht="15" hidden="false" customHeight="false" outlineLevel="0" collapsed="false">
      <c r="A617" s="11"/>
      <c r="B617" s="9"/>
      <c r="C617" s="9"/>
      <c r="D617" s="12"/>
      <c r="E617" s="12"/>
      <c r="F617" s="13"/>
      <c r="G617" s="14" t="str">
        <f aca="false">IF(F617&lt;&gt;"",IF(AND(ISNUMBER(F617),N(F617)&gt;=0),F617,""),IF(AND(ISNUMBER(D617),ISNUMBER(E617)),ROUND(MOD(E617-D617,1)*1440,0),""))</f>
        <v/>
      </c>
      <c r="H617" s="9"/>
      <c r="I617" s="10" t="str">
        <f aca="false">IF(H617="","",IF(SUMPRODUCT(MAX((Setup!$D$5:$D$34=H617)*(35-ROW(Setup!$D$5:$D$34))))=0,"Not in Setup",INDEX(Setup!$E$5:$E$34,31-SUMPRODUCT(MAX((Setup!$D$5:$D$34=H617)*(35-ROW(Setup!$D$5:$D$34)))))))</f>
        <v/>
      </c>
      <c r="J617" s="9"/>
      <c r="K617" s="10" t="str">
        <f aca="false">IF(AND(A617="",C617="",D617="",E617="",F617="",H617=""),"",IF(NOT(ISNUMBER(A617)),"Enter a date",IF(AND(F617&lt;&gt;"",OR(NOT(ISNUMBER(F617)),N(F617)&lt;0)),"Minutes must be a number of 0 or more",IF(G617="","Enter start and end times, or minutes",IF(C617="","Pick a machine",IF(SUMPRODUCT(--(Setup!$A$5:$A$34=C617))=0,"Machine not in Setup",IF(H617="","Pick a reason (counted as unclassified)",IF(I617="Not in Setup","Reason not in Setup (counted as unclassified)",IF(N(G617)=0,"0 minutes: not counted as a stop","OK")))))))))</f>
        <v/>
      </c>
    </row>
    <row r="618" customFormat="false" ht="15" hidden="false" customHeight="false" outlineLevel="0" collapsed="false">
      <c r="A618" s="11"/>
      <c r="B618" s="9"/>
      <c r="C618" s="9"/>
      <c r="D618" s="12"/>
      <c r="E618" s="12"/>
      <c r="F618" s="13"/>
      <c r="G618" s="14" t="str">
        <f aca="false">IF(F618&lt;&gt;"",IF(AND(ISNUMBER(F618),N(F618)&gt;=0),F618,""),IF(AND(ISNUMBER(D618),ISNUMBER(E618)),ROUND(MOD(E618-D618,1)*1440,0),""))</f>
        <v/>
      </c>
      <c r="H618" s="9"/>
      <c r="I618" s="10" t="str">
        <f aca="false">IF(H618="","",IF(SUMPRODUCT(MAX((Setup!$D$5:$D$34=H618)*(35-ROW(Setup!$D$5:$D$34))))=0,"Not in Setup",INDEX(Setup!$E$5:$E$34,31-SUMPRODUCT(MAX((Setup!$D$5:$D$34=H618)*(35-ROW(Setup!$D$5:$D$34)))))))</f>
        <v/>
      </c>
      <c r="J618" s="9"/>
      <c r="K618" s="10" t="str">
        <f aca="false">IF(AND(A618="",C618="",D618="",E618="",F618="",H618=""),"",IF(NOT(ISNUMBER(A618)),"Enter a date",IF(AND(F618&lt;&gt;"",OR(NOT(ISNUMBER(F618)),N(F618)&lt;0)),"Minutes must be a number of 0 or more",IF(G618="","Enter start and end times, or minutes",IF(C618="","Pick a machine",IF(SUMPRODUCT(--(Setup!$A$5:$A$34=C618))=0,"Machine not in Setup",IF(H618="","Pick a reason (counted as unclassified)",IF(I618="Not in Setup","Reason not in Setup (counted as unclassified)",IF(N(G618)=0,"0 minutes: not counted as a stop","OK")))))))))</f>
        <v/>
      </c>
    </row>
    <row r="619" customFormat="false" ht="15" hidden="false" customHeight="false" outlineLevel="0" collapsed="false">
      <c r="A619" s="11"/>
      <c r="B619" s="9"/>
      <c r="C619" s="9"/>
      <c r="D619" s="12"/>
      <c r="E619" s="12"/>
      <c r="F619" s="13"/>
      <c r="G619" s="14" t="str">
        <f aca="false">IF(F619&lt;&gt;"",IF(AND(ISNUMBER(F619),N(F619)&gt;=0),F619,""),IF(AND(ISNUMBER(D619),ISNUMBER(E619)),ROUND(MOD(E619-D619,1)*1440,0),""))</f>
        <v/>
      </c>
      <c r="H619" s="9"/>
      <c r="I619" s="10" t="str">
        <f aca="false">IF(H619="","",IF(SUMPRODUCT(MAX((Setup!$D$5:$D$34=H619)*(35-ROW(Setup!$D$5:$D$34))))=0,"Not in Setup",INDEX(Setup!$E$5:$E$34,31-SUMPRODUCT(MAX((Setup!$D$5:$D$34=H619)*(35-ROW(Setup!$D$5:$D$34)))))))</f>
        <v/>
      </c>
      <c r="J619" s="9"/>
      <c r="K619" s="10" t="str">
        <f aca="false">IF(AND(A619="",C619="",D619="",E619="",F619="",H619=""),"",IF(NOT(ISNUMBER(A619)),"Enter a date",IF(AND(F619&lt;&gt;"",OR(NOT(ISNUMBER(F619)),N(F619)&lt;0)),"Minutes must be a number of 0 or more",IF(G619="","Enter start and end times, or minutes",IF(C619="","Pick a machine",IF(SUMPRODUCT(--(Setup!$A$5:$A$34=C619))=0,"Machine not in Setup",IF(H619="","Pick a reason (counted as unclassified)",IF(I619="Not in Setup","Reason not in Setup (counted as unclassified)",IF(N(G619)=0,"0 minutes: not counted as a stop","OK")))))))))</f>
        <v/>
      </c>
    </row>
    <row r="620" customFormat="false" ht="15" hidden="false" customHeight="false" outlineLevel="0" collapsed="false">
      <c r="A620" s="11"/>
      <c r="B620" s="9"/>
      <c r="C620" s="9"/>
      <c r="D620" s="12"/>
      <c r="E620" s="12"/>
      <c r="F620" s="13"/>
      <c r="G620" s="14" t="str">
        <f aca="false">IF(F620&lt;&gt;"",IF(AND(ISNUMBER(F620),N(F620)&gt;=0),F620,""),IF(AND(ISNUMBER(D620),ISNUMBER(E620)),ROUND(MOD(E620-D620,1)*1440,0),""))</f>
        <v/>
      </c>
      <c r="H620" s="9"/>
      <c r="I620" s="10" t="str">
        <f aca="false">IF(H620="","",IF(SUMPRODUCT(MAX((Setup!$D$5:$D$34=H620)*(35-ROW(Setup!$D$5:$D$34))))=0,"Not in Setup",INDEX(Setup!$E$5:$E$34,31-SUMPRODUCT(MAX((Setup!$D$5:$D$34=H620)*(35-ROW(Setup!$D$5:$D$34)))))))</f>
        <v/>
      </c>
      <c r="J620" s="9"/>
      <c r="K620" s="10" t="str">
        <f aca="false">IF(AND(A620="",C620="",D620="",E620="",F620="",H620=""),"",IF(NOT(ISNUMBER(A620)),"Enter a date",IF(AND(F620&lt;&gt;"",OR(NOT(ISNUMBER(F620)),N(F620)&lt;0)),"Minutes must be a number of 0 or more",IF(G620="","Enter start and end times, or minutes",IF(C620="","Pick a machine",IF(SUMPRODUCT(--(Setup!$A$5:$A$34=C620))=0,"Machine not in Setup",IF(H620="","Pick a reason (counted as unclassified)",IF(I620="Not in Setup","Reason not in Setup (counted as unclassified)",IF(N(G620)=0,"0 minutes: not counted as a stop","OK")))))))))</f>
        <v/>
      </c>
    </row>
    <row r="621" customFormat="false" ht="15" hidden="false" customHeight="false" outlineLevel="0" collapsed="false">
      <c r="A621" s="11"/>
      <c r="B621" s="9"/>
      <c r="C621" s="9"/>
      <c r="D621" s="12"/>
      <c r="E621" s="12"/>
      <c r="F621" s="13"/>
      <c r="G621" s="14" t="str">
        <f aca="false">IF(F621&lt;&gt;"",IF(AND(ISNUMBER(F621),N(F621)&gt;=0),F621,""),IF(AND(ISNUMBER(D621),ISNUMBER(E621)),ROUND(MOD(E621-D621,1)*1440,0),""))</f>
        <v/>
      </c>
      <c r="H621" s="9"/>
      <c r="I621" s="10" t="str">
        <f aca="false">IF(H621="","",IF(SUMPRODUCT(MAX((Setup!$D$5:$D$34=H621)*(35-ROW(Setup!$D$5:$D$34))))=0,"Not in Setup",INDEX(Setup!$E$5:$E$34,31-SUMPRODUCT(MAX((Setup!$D$5:$D$34=H621)*(35-ROW(Setup!$D$5:$D$34)))))))</f>
        <v/>
      </c>
      <c r="J621" s="9"/>
      <c r="K621" s="10" t="str">
        <f aca="false">IF(AND(A621="",C621="",D621="",E621="",F621="",H621=""),"",IF(NOT(ISNUMBER(A621)),"Enter a date",IF(AND(F621&lt;&gt;"",OR(NOT(ISNUMBER(F621)),N(F621)&lt;0)),"Minutes must be a number of 0 or more",IF(G621="","Enter start and end times, or minutes",IF(C621="","Pick a machine",IF(SUMPRODUCT(--(Setup!$A$5:$A$34=C621))=0,"Machine not in Setup",IF(H621="","Pick a reason (counted as unclassified)",IF(I621="Not in Setup","Reason not in Setup (counted as unclassified)",IF(N(G621)=0,"0 minutes: not counted as a stop","OK")))))))))</f>
        <v/>
      </c>
    </row>
    <row r="622" customFormat="false" ht="15" hidden="false" customHeight="false" outlineLevel="0" collapsed="false">
      <c r="A622" s="11"/>
      <c r="B622" s="9"/>
      <c r="C622" s="9"/>
      <c r="D622" s="12"/>
      <c r="E622" s="12"/>
      <c r="F622" s="13"/>
      <c r="G622" s="14" t="str">
        <f aca="false">IF(F622&lt;&gt;"",IF(AND(ISNUMBER(F622),N(F622)&gt;=0),F622,""),IF(AND(ISNUMBER(D622),ISNUMBER(E622)),ROUND(MOD(E622-D622,1)*1440,0),""))</f>
        <v/>
      </c>
      <c r="H622" s="9"/>
      <c r="I622" s="10" t="str">
        <f aca="false">IF(H622="","",IF(SUMPRODUCT(MAX((Setup!$D$5:$D$34=H622)*(35-ROW(Setup!$D$5:$D$34))))=0,"Not in Setup",INDEX(Setup!$E$5:$E$34,31-SUMPRODUCT(MAX((Setup!$D$5:$D$34=H622)*(35-ROW(Setup!$D$5:$D$34)))))))</f>
        <v/>
      </c>
      <c r="J622" s="9"/>
      <c r="K622" s="10" t="str">
        <f aca="false">IF(AND(A622="",C622="",D622="",E622="",F622="",H622=""),"",IF(NOT(ISNUMBER(A622)),"Enter a date",IF(AND(F622&lt;&gt;"",OR(NOT(ISNUMBER(F622)),N(F622)&lt;0)),"Minutes must be a number of 0 or more",IF(G622="","Enter start and end times, or minutes",IF(C622="","Pick a machine",IF(SUMPRODUCT(--(Setup!$A$5:$A$34=C622))=0,"Machine not in Setup",IF(H622="","Pick a reason (counted as unclassified)",IF(I622="Not in Setup","Reason not in Setup (counted as unclassified)",IF(N(G622)=0,"0 minutes: not counted as a stop","OK")))))))))</f>
        <v/>
      </c>
    </row>
    <row r="623" customFormat="false" ht="15" hidden="false" customHeight="false" outlineLevel="0" collapsed="false">
      <c r="A623" s="11"/>
      <c r="B623" s="9"/>
      <c r="C623" s="9"/>
      <c r="D623" s="12"/>
      <c r="E623" s="12"/>
      <c r="F623" s="13"/>
      <c r="G623" s="14" t="str">
        <f aca="false">IF(F623&lt;&gt;"",IF(AND(ISNUMBER(F623),N(F623)&gt;=0),F623,""),IF(AND(ISNUMBER(D623),ISNUMBER(E623)),ROUND(MOD(E623-D623,1)*1440,0),""))</f>
        <v/>
      </c>
      <c r="H623" s="9"/>
      <c r="I623" s="10" t="str">
        <f aca="false">IF(H623="","",IF(SUMPRODUCT(MAX((Setup!$D$5:$D$34=H623)*(35-ROW(Setup!$D$5:$D$34))))=0,"Not in Setup",INDEX(Setup!$E$5:$E$34,31-SUMPRODUCT(MAX((Setup!$D$5:$D$34=H623)*(35-ROW(Setup!$D$5:$D$34)))))))</f>
        <v/>
      </c>
      <c r="J623" s="9"/>
      <c r="K623" s="10" t="str">
        <f aca="false">IF(AND(A623="",C623="",D623="",E623="",F623="",H623=""),"",IF(NOT(ISNUMBER(A623)),"Enter a date",IF(AND(F623&lt;&gt;"",OR(NOT(ISNUMBER(F623)),N(F623)&lt;0)),"Minutes must be a number of 0 or more",IF(G623="","Enter start and end times, or minutes",IF(C623="","Pick a machine",IF(SUMPRODUCT(--(Setup!$A$5:$A$34=C623))=0,"Machine not in Setup",IF(H623="","Pick a reason (counted as unclassified)",IF(I623="Not in Setup","Reason not in Setup (counted as unclassified)",IF(N(G623)=0,"0 minutes: not counted as a stop","OK")))))))))</f>
        <v/>
      </c>
    </row>
    <row r="624" customFormat="false" ht="15" hidden="false" customHeight="false" outlineLevel="0" collapsed="false">
      <c r="A624" s="11"/>
      <c r="B624" s="9"/>
      <c r="C624" s="9"/>
      <c r="D624" s="12"/>
      <c r="E624" s="12"/>
      <c r="F624" s="13"/>
      <c r="G624" s="14" t="str">
        <f aca="false">IF(F624&lt;&gt;"",IF(AND(ISNUMBER(F624),N(F624)&gt;=0),F624,""),IF(AND(ISNUMBER(D624),ISNUMBER(E624)),ROUND(MOD(E624-D624,1)*1440,0),""))</f>
        <v/>
      </c>
      <c r="H624" s="9"/>
      <c r="I624" s="10" t="str">
        <f aca="false">IF(H624="","",IF(SUMPRODUCT(MAX((Setup!$D$5:$D$34=H624)*(35-ROW(Setup!$D$5:$D$34))))=0,"Not in Setup",INDEX(Setup!$E$5:$E$34,31-SUMPRODUCT(MAX((Setup!$D$5:$D$34=H624)*(35-ROW(Setup!$D$5:$D$34)))))))</f>
        <v/>
      </c>
      <c r="J624" s="9"/>
      <c r="K624" s="10" t="str">
        <f aca="false">IF(AND(A624="",C624="",D624="",E624="",F624="",H624=""),"",IF(NOT(ISNUMBER(A624)),"Enter a date",IF(AND(F624&lt;&gt;"",OR(NOT(ISNUMBER(F624)),N(F624)&lt;0)),"Minutes must be a number of 0 or more",IF(G624="","Enter start and end times, or minutes",IF(C624="","Pick a machine",IF(SUMPRODUCT(--(Setup!$A$5:$A$34=C624))=0,"Machine not in Setup",IF(H624="","Pick a reason (counted as unclassified)",IF(I624="Not in Setup","Reason not in Setup (counted as unclassified)",IF(N(G624)=0,"0 minutes: not counted as a stop","OK")))))))))</f>
        <v/>
      </c>
    </row>
    <row r="625" customFormat="false" ht="15" hidden="false" customHeight="false" outlineLevel="0" collapsed="false">
      <c r="A625" s="11"/>
      <c r="B625" s="9"/>
      <c r="C625" s="9"/>
      <c r="D625" s="12"/>
      <c r="E625" s="12"/>
      <c r="F625" s="13"/>
      <c r="G625" s="14" t="str">
        <f aca="false">IF(F625&lt;&gt;"",IF(AND(ISNUMBER(F625),N(F625)&gt;=0),F625,""),IF(AND(ISNUMBER(D625),ISNUMBER(E625)),ROUND(MOD(E625-D625,1)*1440,0),""))</f>
        <v/>
      </c>
      <c r="H625" s="9"/>
      <c r="I625" s="10" t="str">
        <f aca="false">IF(H625="","",IF(SUMPRODUCT(MAX((Setup!$D$5:$D$34=H625)*(35-ROW(Setup!$D$5:$D$34))))=0,"Not in Setup",INDEX(Setup!$E$5:$E$34,31-SUMPRODUCT(MAX((Setup!$D$5:$D$34=H625)*(35-ROW(Setup!$D$5:$D$34)))))))</f>
        <v/>
      </c>
      <c r="J625" s="9"/>
      <c r="K625" s="10" t="str">
        <f aca="false">IF(AND(A625="",C625="",D625="",E625="",F625="",H625=""),"",IF(NOT(ISNUMBER(A625)),"Enter a date",IF(AND(F625&lt;&gt;"",OR(NOT(ISNUMBER(F625)),N(F625)&lt;0)),"Minutes must be a number of 0 or more",IF(G625="","Enter start and end times, or minutes",IF(C625="","Pick a machine",IF(SUMPRODUCT(--(Setup!$A$5:$A$34=C625))=0,"Machine not in Setup",IF(H625="","Pick a reason (counted as unclassified)",IF(I625="Not in Setup","Reason not in Setup (counted as unclassified)",IF(N(G625)=0,"0 minutes: not counted as a stop","OK")))))))))</f>
        <v/>
      </c>
    </row>
    <row r="626" customFormat="false" ht="15" hidden="false" customHeight="false" outlineLevel="0" collapsed="false">
      <c r="A626" s="11"/>
      <c r="B626" s="9"/>
      <c r="C626" s="9"/>
      <c r="D626" s="12"/>
      <c r="E626" s="12"/>
      <c r="F626" s="13"/>
      <c r="G626" s="14" t="str">
        <f aca="false">IF(F626&lt;&gt;"",IF(AND(ISNUMBER(F626),N(F626)&gt;=0),F626,""),IF(AND(ISNUMBER(D626),ISNUMBER(E626)),ROUND(MOD(E626-D626,1)*1440,0),""))</f>
        <v/>
      </c>
      <c r="H626" s="9"/>
      <c r="I626" s="10" t="str">
        <f aca="false">IF(H626="","",IF(SUMPRODUCT(MAX((Setup!$D$5:$D$34=H626)*(35-ROW(Setup!$D$5:$D$34))))=0,"Not in Setup",INDEX(Setup!$E$5:$E$34,31-SUMPRODUCT(MAX((Setup!$D$5:$D$34=H626)*(35-ROW(Setup!$D$5:$D$34)))))))</f>
        <v/>
      </c>
      <c r="J626" s="9"/>
      <c r="K626" s="10" t="str">
        <f aca="false">IF(AND(A626="",C626="",D626="",E626="",F626="",H626=""),"",IF(NOT(ISNUMBER(A626)),"Enter a date",IF(AND(F626&lt;&gt;"",OR(NOT(ISNUMBER(F626)),N(F626)&lt;0)),"Minutes must be a number of 0 or more",IF(G626="","Enter start and end times, or minutes",IF(C626="","Pick a machine",IF(SUMPRODUCT(--(Setup!$A$5:$A$34=C626))=0,"Machine not in Setup",IF(H626="","Pick a reason (counted as unclassified)",IF(I626="Not in Setup","Reason not in Setup (counted as unclassified)",IF(N(G626)=0,"0 minutes: not counted as a stop","OK")))))))))</f>
        <v/>
      </c>
    </row>
    <row r="627" customFormat="false" ht="15" hidden="false" customHeight="false" outlineLevel="0" collapsed="false">
      <c r="A627" s="11"/>
      <c r="B627" s="9"/>
      <c r="C627" s="9"/>
      <c r="D627" s="12"/>
      <c r="E627" s="12"/>
      <c r="F627" s="13"/>
      <c r="G627" s="14" t="str">
        <f aca="false">IF(F627&lt;&gt;"",IF(AND(ISNUMBER(F627),N(F627)&gt;=0),F627,""),IF(AND(ISNUMBER(D627),ISNUMBER(E627)),ROUND(MOD(E627-D627,1)*1440,0),""))</f>
        <v/>
      </c>
      <c r="H627" s="9"/>
      <c r="I627" s="10" t="str">
        <f aca="false">IF(H627="","",IF(SUMPRODUCT(MAX((Setup!$D$5:$D$34=H627)*(35-ROW(Setup!$D$5:$D$34))))=0,"Not in Setup",INDEX(Setup!$E$5:$E$34,31-SUMPRODUCT(MAX((Setup!$D$5:$D$34=H627)*(35-ROW(Setup!$D$5:$D$34)))))))</f>
        <v/>
      </c>
      <c r="J627" s="9"/>
      <c r="K627" s="10" t="str">
        <f aca="false">IF(AND(A627="",C627="",D627="",E627="",F627="",H627=""),"",IF(NOT(ISNUMBER(A627)),"Enter a date",IF(AND(F627&lt;&gt;"",OR(NOT(ISNUMBER(F627)),N(F627)&lt;0)),"Minutes must be a number of 0 or more",IF(G627="","Enter start and end times, or minutes",IF(C627="","Pick a machine",IF(SUMPRODUCT(--(Setup!$A$5:$A$34=C627))=0,"Machine not in Setup",IF(H627="","Pick a reason (counted as unclassified)",IF(I627="Not in Setup","Reason not in Setup (counted as unclassified)",IF(N(G627)=0,"0 minutes: not counted as a stop","OK")))))))))</f>
        <v/>
      </c>
    </row>
    <row r="628" customFormat="false" ht="15" hidden="false" customHeight="false" outlineLevel="0" collapsed="false">
      <c r="A628" s="11"/>
      <c r="B628" s="9"/>
      <c r="C628" s="9"/>
      <c r="D628" s="12"/>
      <c r="E628" s="12"/>
      <c r="F628" s="13"/>
      <c r="G628" s="14" t="str">
        <f aca="false">IF(F628&lt;&gt;"",IF(AND(ISNUMBER(F628),N(F628)&gt;=0),F628,""),IF(AND(ISNUMBER(D628),ISNUMBER(E628)),ROUND(MOD(E628-D628,1)*1440,0),""))</f>
        <v/>
      </c>
      <c r="H628" s="9"/>
      <c r="I628" s="10" t="str">
        <f aca="false">IF(H628="","",IF(SUMPRODUCT(MAX((Setup!$D$5:$D$34=H628)*(35-ROW(Setup!$D$5:$D$34))))=0,"Not in Setup",INDEX(Setup!$E$5:$E$34,31-SUMPRODUCT(MAX((Setup!$D$5:$D$34=H628)*(35-ROW(Setup!$D$5:$D$34)))))))</f>
        <v/>
      </c>
      <c r="J628" s="9"/>
      <c r="K628" s="10" t="str">
        <f aca="false">IF(AND(A628="",C628="",D628="",E628="",F628="",H628=""),"",IF(NOT(ISNUMBER(A628)),"Enter a date",IF(AND(F628&lt;&gt;"",OR(NOT(ISNUMBER(F628)),N(F628)&lt;0)),"Minutes must be a number of 0 or more",IF(G628="","Enter start and end times, or minutes",IF(C628="","Pick a machine",IF(SUMPRODUCT(--(Setup!$A$5:$A$34=C628))=0,"Machine not in Setup",IF(H628="","Pick a reason (counted as unclassified)",IF(I628="Not in Setup","Reason not in Setup (counted as unclassified)",IF(N(G628)=0,"0 minutes: not counted as a stop","OK")))))))))</f>
        <v/>
      </c>
    </row>
    <row r="629" customFormat="false" ht="15" hidden="false" customHeight="false" outlineLevel="0" collapsed="false">
      <c r="A629" s="11"/>
      <c r="B629" s="9"/>
      <c r="C629" s="9"/>
      <c r="D629" s="12"/>
      <c r="E629" s="12"/>
      <c r="F629" s="13"/>
      <c r="G629" s="14" t="str">
        <f aca="false">IF(F629&lt;&gt;"",IF(AND(ISNUMBER(F629),N(F629)&gt;=0),F629,""),IF(AND(ISNUMBER(D629),ISNUMBER(E629)),ROUND(MOD(E629-D629,1)*1440,0),""))</f>
        <v/>
      </c>
      <c r="H629" s="9"/>
      <c r="I629" s="10" t="str">
        <f aca="false">IF(H629="","",IF(SUMPRODUCT(MAX((Setup!$D$5:$D$34=H629)*(35-ROW(Setup!$D$5:$D$34))))=0,"Not in Setup",INDEX(Setup!$E$5:$E$34,31-SUMPRODUCT(MAX((Setup!$D$5:$D$34=H629)*(35-ROW(Setup!$D$5:$D$34)))))))</f>
        <v/>
      </c>
      <c r="J629" s="9"/>
      <c r="K629" s="10" t="str">
        <f aca="false">IF(AND(A629="",C629="",D629="",E629="",F629="",H629=""),"",IF(NOT(ISNUMBER(A629)),"Enter a date",IF(AND(F629&lt;&gt;"",OR(NOT(ISNUMBER(F629)),N(F629)&lt;0)),"Minutes must be a number of 0 or more",IF(G629="","Enter start and end times, or minutes",IF(C629="","Pick a machine",IF(SUMPRODUCT(--(Setup!$A$5:$A$34=C629))=0,"Machine not in Setup",IF(H629="","Pick a reason (counted as unclassified)",IF(I629="Not in Setup","Reason not in Setup (counted as unclassified)",IF(N(G629)=0,"0 minutes: not counted as a stop","OK")))))))))</f>
        <v/>
      </c>
    </row>
    <row r="630" customFormat="false" ht="15" hidden="false" customHeight="false" outlineLevel="0" collapsed="false">
      <c r="A630" s="11"/>
      <c r="B630" s="9"/>
      <c r="C630" s="9"/>
      <c r="D630" s="12"/>
      <c r="E630" s="12"/>
      <c r="F630" s="13"/>
      <c r="G630" s="14" t="str">
        <f aca="false">IF(F630&lt;&gt;"",IF(AND(ISNUMBER(F630),N(F630)&gt;=0),F630,""),IF(AND(ISNUMBER(D630),ISNUMBER(E630)),ROUND(MOD(E630-D630,1)*1440,0),""))</f>
        <v/>
      </c>
      <c r="H630" s="9"/>
      <c r="I630" s="10" t="str">
        <f aca="false">IF(H630="","",IF(SUMPRODUCT(MAX((Setup!$D$5:$D$34=H630)*(35-ROW(Setup!$D$5:$D$34))))=0,"Not in Setup",INDEX(Setup!$E$5:$E$34,31-SUMPRODUCT(MAX((Setup!$D$5:$D$34=H630)*(35-ROW(Setup!$D$5:$D$34)))))))</f>
        <v/>
      </c>
      <c r="J630" s="9"/>
      <c r="K630" s="10" t="str">
        <f aca="false">IF(AND(A630="",C630="",D630="",E630="",F630="",H630=""),"",IF(NOT(ISNUMBER(A630)),"Enter a date",IF(AND(F630&lt;&gt;"",OR(NOT(ISNUMBER(F630)),N(F630)&lt;0)),"Minutes must be a number of 0 or more",IF(G630="","Enter start and end times, or minutes",IF(C630="","Pick a machine",IF(SUMPRODUCT(--(Setup!$A$5:$A$34=C630))=0,"Machine not in Setup",IF(H630="","Pick a reason (counted as unclassified)",IF(I630="Not in Setup","Reason not in Setup (counted as unclassified)",IF(N(G630)=0,"0 minutes: not counted as a stop","OK")))))))))</f>
        <v/>
      </c>
    </row>
    <row r="631" customFormat="false" ht="15" hidden="false" customHeight="false" outlineLevel="0" collapsed="false">
      <c r="A631" s="11"/>
      <c r="B631" s="9"/>
      <c r="C631" s="9"/>
      <c r="D631" s="12"/>
      <c r="E631" s="12"/>
      <c r="F631" s="13"/>
      <c r="G631" s="14" t="str">
        <f aca="false">IF(F631&lt;&gt;"",IF(AND(ISNUMBER(F631),N(F631)&gt;=0),F631,""),IF(AND(ISNUMBER(D631),ISNUMBER(E631)),ROUND(MOD(E631-D631,1)*1440,0),""))</f>
        <v/>
      </c>
      <c r="H631" s="9"/>
      <c r="I631" s="10" t="str">
        <f aca="false">IF(H631="","",IF(SUMPRODUCT(MAX((Setup!$D$5:$D$34=H631)*(35-ROW(Setup!$D$5:$D$34))))=0,"Not in Setup",INDEX(Setup!$E$5:$E$34,31-SUMPRODUCT(MAX((Setup!$D$5:$D$34=H631)*(35-ROW(Setup!$D$5:$D$34)))))))</f>
        <v/>
      </c>
      <c r="J631" s="9"/>
      <c r="K631" s="10" t="str">
        <f aca="false">IF(AND(A631="",C631="",D631="",E631="",F631="",H631=""),"",IF(NOT(ISNUMBER(A631)),"Enter a date",IF(AND(F631&lt;&gt;"",OR(NOT(ISNUMBER(F631)),N(F631)&lt;0)),"Minutes must be a number of 0 or more",IF(G631="","Enter start and end times, or minutes",IF(C631="","Pick a machine",IF(SUMPRODUCT(--(Setup!$A$5:$A$34=C631))=0,"Machine not in Setup",IF(H631="","Pick a reason (counted as unclassified)",IF(I631="Not in Setup","Reason not in Setup (counted as unclassified)",IF(N(G631)=0,"0 minutes: not counted as a stop","OK")))))))))</f>
        <v/>
      </c>
    </row>
    <row r="632" customFormat="false" ht="15" hidden="false" customHeight="false" outlineLevel="0" collapsed="false">
      <c r="A632" s="11"/>
      <c r="B632" s="9"/>
      <c r="C632" s="9"/>
      <c r="D632" s="12"/>
      <c r="E632" s="12"/>
      <c r="F632" s="13"/>
      <c r="G632" s="14" t="str">
        <f aca="false">IF(F632&lt;&gt;"",IF(AND(ISNUMBER(F632),N(F632)&gt;=0),F632,""),IF(AND(ISNUMBER(D632),ISNUMBER(E632)),ROUND(MOD(E632-D632,1)*1440,0),""))</f>
        <v/>
      </c>
      <c r="H632" s="9"/>
      <c r="I632" s="10" t="str">
        <f aca="false">IF(H632="","",IF(SUMPRODUCT(MAX((Setup!$D$5:$D$34=H632)*(35-ROW(Setup!$D$5:$D$34))))=0,"Not in Setup",INDEX(Setup!$E$5:$E$34,31-SUMPRODUCT(MAX((Setup!$D$5:$D$34=H632)*(35-ROW(Setup!$D$5:$D$34)))))))</f>
        <v/>
      </c>
      <c r="J632" s="9"/>
      <c r="K632" s="10" t="str">
        <f aca="false">IF(AND(A632="",C632="",D632="",E632="",F632="",H632=""),"",IF(NOT(ISNUMBER(A632)),"Enter a date",IF(AND(F632&lt;&gt;"",OR(NOT(ISNUMBER(F632)),N(F632)&lt;0)),"Minutes must be a number of 0 or more",IF(G632="","Enter start and end times, or minutes",IF(C632="","Pick a machine",IF(SUMPRODUCT(--(Setup!$A$5:$A$34=C632))=0,"Machine not in Setup",IF(H632="","Pick a reason (counted as unclassified)",IF(I632="Not in Setup","Reason not in Setup (counted as unclassified)",IF(N(G632)=0,"0 minutes: not counted as a stop","OK")))))))))</f>
        <v/>
      </c>
    </row>
    <row r="633" customFormat="false" ht="15" hidden="false" customHeight="false" outlineLevel="0" collapsed="false">
      <c r="A633" s="11"/>
      <c r="B633" s="9"/>
      <c r="C633" s="9"/>
      <c r="D633" s="12"/>
      <c r="E633" s="12"/>
      <c r="F633" s="13"/>
      <c r="G633" s="14" t="str">
        <f aca="false">IF(F633&lt;&gt;"",IF(AND(ISNUMBER(F633),N(F633)&gt;=0),F633,""),IF(AND(ISNUMBER(D633),ISNUMBER(E633)),ROUND(MOD(E633-D633,1)*1440,0),""))</f>
        <v/>
      </c>
      <c r="H633" s="9"/>
      <c r="I633" s="10" t="str">
        <f aca="false">IF(H633="","",IF(SUMPRODUCT(MAX((Setup!$D$5:$D$34=H633)*(35-ROW(Setup!$D$5:$D$34))))=0,"Not in Setup",INDEX(Setup!$E$5:$E$34,31-SUMPRODUCT(MAX((Setup!$D$5:$D$34=H633)*(35-ROW(Setup!$D$5:$D$34)))))))</f>
        <v/>
      </c>
      <c r="J633" s="9"/>
      <c r="K633" s="10" t="str">
        <f aca="false">IF(AND(A633="",C633="",D633="",E633="",F633="",H633=""),"",IF(NOT(ISNUMBER(A633)),"Enter a date",IF(AND(F633&lt;&gt;"",OR(NOT(ISNUMBER(F633)),N(F633)&lt;0)),"Minutes must be a number of 0 or more",IF(G633="","Enter start and end times, or minutes",IF(C633="","Pick a machine",IF(SUMPRODUCT(--(Setup!$A$5:$A$34=C633))=0,"Machine not in Setup",IF(H633="","Pick a reason (counted as unclassified)",IF(I633="Not in Setup","Reason not in Setup (counted as unclassified)",IF(N(G633)=0,"0 minutes: not counted as a stop","OK")))))))))</f>
        <v/>
      </c>
    </row>
    <row r="634" customFormat="false" ht="15" hidden="false" customHeight="false" outlineLevel="0" collapsed="false">
      <c r="A634" s="11"/>
      <c r="B634" s="9"/>
      <c r="C634" s="9"/>
      <c r="D634" s="12"/>
      <c r="E634" s="12"/>
      <c r="F634" s="13"/>
      <c r="G634" s="14" t="str">
        <f aca="false">IF(F634&lt;&gt;"",IF(AND(ISNUMBER(F634),N(F634)&gt;=0),F634,""),IF(AND(ISNUMBER(D634),ISNUMBER(E634)),ROUND(MOD(E634-D634,1)*1440,0),""))</f>
        <v/>
      </c>
      <c r="H634" s="9"/>
      <c r="I634" s="10" t="str">
        <f aca="false">IF(H634="","",IF(SUMPRODUCT(MAX((Setup!$D$5:$D$34=H634)*(35-ROW(Setup!$D$5:$D$34))))=0,"Not in Setup",INDEX(Setup!$E$5:$E$34,31-SUMPRODUCT(MAX((Setup!$D$5:$D$34=H634)*(35-ROW(Setup!$D$5:$D$34)))))))</f>
        <v/>
      </c>
      <c r="J634" s="9"/>
      <c r="K634" s="10" t="str">
        <f aca="false">IF(AND(A634="",C634="",D634="",E634="",F634="",H634=""),"",IF(NOT(ISNUMBER(A634)),"Enter a date",IF(AND(F634&lt;&gt;"",OR(NOT(ISNUMBER(F634)),N(F634)&lt;0)),"Minutes must be a number of 0 or more",IF(G634="","Enter start and end times, or minutes",IF(C634="","Pick a machine",IF(SUMPRODUCT(--(Setup!$A$5:$A$34=C634))=0,"Machine not in Setup",IF(H634="","Pick a reason (counted as unclassified)",IF(I634="Not in Setup","Reason not in Setup (counted as unclassified)",IF(N(G634)=0,"0 minutes: not counted as a stop","OK")))))))))</f>
        <v/>
      </c>
    </row>
    <row r="635" customFormat="false" ht="15" hidden="false" customHeight="false" outlineLevel="0" collapsed="false">
      <c r="A635" s="11"/>
      <c r="B635" s="9"/>
      <c r="C635" s="9"/>
      <c r="D635" s="12"/>
      <c r="E635" s="12"/>
      <c r="F635" s="13"/>
      <c r="G635" s="14" t="str">
        <f aca="false">IF(F635&lt;&gt;"",IF(AND(ISNUMBER(F635),N(F635)&gt;=0),F635,""),IF(AND(ISNUMBER(D635),ISNUMBER(E635)),ROUND(MOD(E635-D635,1)*1440,0),""))</f>
        <v/>
      </c>
      <c r="H635" s="9"/>
      <c r="I635" s="10" t="str">
        <f aca="false">IF(H635="","",IF(SUMPRODUCT(MAX((Setup!$D$5:$D$34=H635)*(35-ROW(Setup!$D$5:$D$34))))=0,"Not in Setup",INDEX(Setup!$E$5:$E$34,31-SUMPRODUCT(MAX((Setup!$D$5:$D$34=H635)*(35-ROW(Setup!$D$5:$D$34)))))))</f>
        <v/>
      </c>
      <c r="J635" s="9"/>
      <c r="K635" s="10" t="str">
        <f aca="false">IF(AND(A635="",C635="",D635="",E635="",F635="",H635=""),"",IF(NOT(ISNUMBER(A635)),"Enter a date",IF(AND(F635&lt;&gt;"",OR(NOT(ISNUMBER(F635)),N(F635)&lt;0)),"Minutes must be a number of 0 or more",IF(G635="","Enter start and end times, or minutes",IF(C635="","Pick a machine",IF(SUMPRODUCT(--(Setup!$A$5:$A$34=C635))=0,"Machine not in Setup",IF(H635="","Pick a reason (counted as unclassified)",IF(I635="Not in Setup","Reason not in Setup (counted as unclassified)",IF(N(G635)=0,"0 minutes: not counted as a stop","OK")))))))))</f>
        <v/>
      </c>
    </row>
    <row r="636" customFormat="false" ht="15" hidden="false" customHeight="false" outlineLevel="0" collapsed="false">
      <c r="A636" s="11"/>
      <c r="B636" s="9"/>
      <c r="C636" s="9"/>
      <c r="D636" s="12"/>
      <c r="E636" s="12"/>
      <c r="F636" s="13"/>
      <c r="G636" s="14" t="str">
        <f aca="false">IF(F636&lt;&gt;"",IF(AND(ISNUMBER(F636),N(F636)&gt;=0),F636,""),IF(AND(ISNUMBER(D636),ISNUMBER(E636)),ROUND(MOD(E636-D636,1)*1440,0),""))</f>
        <v/>
      </c>
      <c r="H636" s="9"/>
      <c r="I636" s="10" t="str">
        <f aca="false">IF(H636="","",IF(SUMPRODUCT(MAX((Setup!$D$5:$D$34=H636)*(35-ROW(Setup!$D$5:$D$34))))=0,"Not in Setup",INDEX(Setup!$E$5:$E$34,31-SUMPRODUCT(MAX((Setup!$D$5:$D$34=H636)*(35-ROW(Setup!$D$5:$D$34)))))))</f>
        <v/>
      </c>
      <c r="J636" s="9"/>
      <c r="K636" s="10" t="str">
        <f aca="false">IF(AND(A636="",C636="",D636="",E636="",F636="",H636=""),"",IF(NOT(ISNUMBER(A636)),"Enter a date",IF(AND(F636&lt;&gt;"",OR(NOT(ISNUMBER(F636)),N(F636)&lt;0)),"Minutes must be a number of 0 or more",IF(G636="","Enter start and end times, or minutes",IF(C636="","Pick a machine",IF(SUMPRODUCT(--(Setup!$A$5:$A$34=C636))=0,"Machine not in Setup",IF(H636="","Pick a reason (counted as unclassified)",IF(I636="Not in Setup","Reason not in Setup (counted as unclassified)",IF(N(G636)=0,"0 minutes: not counted as a stop","OK")))))))))</f>
        <v/>
      </c>
    </row>
    <row r="637" customFormat="false" ht="15" hidden="false" customHeight="false" outlineLevel="0" collapsed="false">
      <c r="A637" s="11"/>
      <c r="B637" s="9"/>
      <c r="C637" s="9"/>
      <c r="D637" s="12"/>
      <c r="E637" s="12"/>
      <c r="F637" s="13"/>
      <c r="G637" s="14" t="str">
        <f aca="false">IF(F637&lt;&gt;"",IF(AND(ISNUMBER(F637),N(F637)&gt;=0),F637,""),IF(AND(ISNUMBER(D637),ISNUMBER(E637)),ROUND(MOD(E637-D637,1)*1440,0),""))</f>
        <v/>
      </c>
      <c r="H637" s="9"/>
      <c r="I637" s="10" t="str">
        <f aca="false">IF(H637="","",IF(SUMPRODUCT(MAX((Setup!$D$5:$D$34=H637)*(35-ROW(Setup!$D$5:$D$34))))=0,"Not in Setup",INDEX(Setup!$E$5:$E$34,31-SUMPRODUCT(MAX((Setup!$D$5:$D$34=H637)*(35-ROW(Setup!$D$5:$D$34)))))))</f>
        <v/>
      </c>
      <c r="J637" s="9"/>
      <c r="K637" s="10" t="str">
        <f aca="false">IF(AND(A637="",C637="",D637="",E637="",F637="",H637=""),"",IF(NOT(ISNUMBER(A637)),"Enter a date",IF(AND(F637&lt;&gt;"",OR(NOT(ISNUMBER(F637)),N(F637)&lt;0)),"Minutes must be a number of 0 or more",IF(G637="","Enter start and end times, or minutes",IF(C637="","Pick a machine",IF(SUMPRODUCT(--(Setup!$A$5:$A$34=C637))=0,"Machine not in Setup",IF(H637="","Pick a reason (counted as unclassified)",IF(I637="Not in Setup","Reason not in Setup (counted as unclassified)",IF(N(G637)=0,"0 minutes: not counted as a stop","OK")))))))))</f>
        <v/>
      </c>
    </row>
    <row r="638" customFormat="false" ht="15" hidden="false" customHeight="false" outlineLevel="0" collapsed="false">
      <c r="A638" s="11"/>
      <c r="B638" s="9"/>
      <c r="C638" s="9"/>
      <c r="D638" s="12"/>
      <c r="E638" s="12"/>
      <c r="F638" s="13"/>
      <c r="G638" s="14" t="str">
        <f aca="false">IF(F638&lt;&gt;"",IF(AND(ISNUMBER(F638),N(F638)&gt;=0),F638,""),IF(AND(ISNUMBER(D638),ISNUMBER(E638)),ROUND(MOD(E638-D638,1)*1440,0),""))</f>
        <v/>
      </c>
      <c r="H638" s="9"/>
      <c r="I638" s="10" t="str">
        <f aca="false">IF(H638="","",IF(SUMPRODUCT(MAX((Setup!$D$5:$D$34=H638)*(35-ROW(Setup!$D$5:$D$34))))=0,"Not in Setup",INDEX(Setup!$E$5:$E$34,31-SUMPRODUCT(MAX((Setup!$D$5:$D$34=H638)*(35-ROW(Setup!$D$5:$D$34)))))))</f>
        <v/>
      </c>
      <c r="J638" s="9"/>
      <c r="K638" s="10" t="str">
        <f aca="false">IF(AND(A638="",C638="",D638="",E638="",F638="",H638=""),"",IF(NOT(ISNUMBER(A638)),"Enter a date",IF(AND(F638&lt;&gt;"",OR(NOT(ISNUMBER(F638)),N(F638)&lt;0)),"Minutes must be a number of 0 or more",IF(G638="","Enter start and end times, or minutes",IF(C638="","Pick a machine",IF(SUMPRODUCT(--(Setup!$A$5:$A$34=C638))=0,"Machine not in Setup",IF(H638="","Pick a reason (counted as unclassified)",IF(I638="Not in Setup","Reason not in Setup (counted as unclassified)",IF(N(G638)=0,"0 minutes: not counted as a stop","OK")))))))))</f>
        <v/>
      </c>
    </row>
    <row r="639" customFormat="false" ht="15" hidden="false" customHeight="false" outlineLevel="0" collapsed="false">
      <c r="A639" s="11"/>
      <c r="B639" s="9"/>
      <c r="C639" s="9"/>
      <c r="D639" s="12"/>
      <c r="E639" s="12"/>
      <c r="F639" s="13"/>
      <c r="G639" s="14" t="str">
        <f aca="false">IF(F639&lt;&gt;"",IF(AND(ISNUMBER(F639),N(F639)&gt;=0),F639,""),IF(AND(ISNUMBER(D639),ISNUMBER(E639)),ROUND(MOD(E639-D639,1)*1440,0),""))</f>
        <v/>
      </c>
      <c r="H639" s="9"/>
      <c r="I639" s="10" t="str">
        <f aca="false">IF(H639="","",IF(SUMPRODUCT(MAX((Setup!$D$5:$D$34=H639)*(35-ROW(Setup!$D$5:$D$34))))=0,"Not in Setup",INDEX(Setup!$E$5:$E$34,31-SUMPRODUCT(MAX((Setup!$D$5:$D$34=H639)*(35-ROW(Setup!$D$5:$D$34)))))))</f>
        <v/>
      </c>
      <c r="J639" s="9"/>
      <c r="K639" s="10" t="str">
        <f aca="false">IF(AND(A639="",C639="",D639="",E639="",F639="",H639=""),"",IF(NOT(ISNUMBER(A639)),"Enter a date",IF(AND(F639&lt;&gt;"",OR(NOT(ISNUMBER(F639)),N(F639)&lt;0)),"Minutes must be a number of 0 or more",IF(G639="","Enter start and end times, or minutes",IF(C639="","Pick a machine",IF(SUMPRODUCT(--(Setup!$A$5:$A$34=C639))=0,"Machine not in Setup",IF(H639="","Pick a reason (counted as unclassified)",IF(I639="Not in Setup","Reason not in Setup (counted as unclassified)",IF(N(G639)=0,"0 minutes: not counted as a stop","OK")))))))))</f>
        <v/>
      </c>
    </row>
    <row r="640" customFormat="false" ht="15" hidden="false" customHeight="false" outlineLevel="0" collapsed="false">
      <c r="A640" s="11"/>
      <c r="B640" s="9"/>
      <c r="C640" s="9"/>
      <c r="D640" s="12"/>
      <c r="E640" s="12"/>
      <c r="F640" s="13"/>
      <c r="G640" s="14" t="str">
        <f aca="false">IF(F640&lt;&gt;"",IF(AND(ISNUMBER(F640),N(F640)&gt;=0),F640,""),IF(AND(ISNUMBER(D640),ISNUMBER(E640)),ROUND(MOD(E640-D640,1)*1440,0),""))</f>
        <v/>
      </c>
      <c r="H640" s="9"/>
      <c r="I640" s="10" t="str">
        <f aca="false">IF(H640="","",IF(SUMPRODUCT(MAX((Setup!$D$5:$D$34=H640)*(35-ROW(Setup!$D$5:$D$34))))=0,"Not in Setup",INDEX(Setup!$E$5:$E$34,31-SUMPRODUCT(MAX((Setup!$D$5:$D$34=H640)*(35-ROW(Setup!$D$5:$D$34)))))))</f>
        <v/>
      </c>
      <c r="J640" s="9"/>
      <c r="K640" s="10" t="str">
        <f aca="false">IF(AND(A640="",C640="",D640="",E640="",F640="",H640=""),"",IF(NOT(ISNUMBER(A640)),"Enter a date",IF(AND(F640&lt;&gt;"",OR(NOT(ISNUMBER(F640)),N(F640)&lt;0)),"Minutes must be a number of 0 or more",IF(G640="","Enter start and end times, or minutes",IF(C640="","Pick a machine",IF(SUMPRODUCT(--(Setup!$A$5:$A$34=C640))=0,"Machine not in Setup",IF(H640="","Pick a reason (counted as unclassified)",IF(I640="Not in Setup","Reason not in Setup (counted as unclassified)",IF(N(G640)=0,"0 minutes: not counted as a stop","OK")))))))))</f>
        <v/>
      </c>
    </row>
    <row r="641" customFormat="false" ht="15" hidden="false" customHeight="false" outlineLevel="0" collapsed="false">
      <c r="A641" s="11"/>
      <c r="B641" s="9"/>
      <c r="C641" s="9"/>
      <c r="D641" s="12"/>
      <c r="E641" s="12"/>
      <c r="F641" s="13"/>
      <c r="G641" s="14" t="str">
        <f aca="false">IF(F641&lt;&gt;"",IF(AND(ISNUMBER(F641),N(F641)&gt;=0),F641,""),IF(AND(ISNUMBER(D641),ISNUMBER(E641)),ROUND(MOD(E641-D641,1)*1440,0),""))</f>
        <v/>
      </c>
      <c r="H641" s="9"/>
      <c r="I641" s="10" t="str">
        <f aca="false">IF(H641="","",IF(SUMPRODUCT(MAX((Setup!$D$5:$D$34=H641)*(35-ROW(Setup!$D$5:$D$34))))=0,"Not in Setup",INDEX(Setup!$E$5:$E$34,31-SUMPRODUCT(MAX((Setup!$D$5:$D$34=H641)*(35-ROW(Setup!$D$5:$D$34)))))))</f>
        <v/>
      </c>
      <c r="J641" s="9"/>
      <c r="K641" s="10" t="str">
        <f aca="false">IF(AND(A641="",C641="",D641="",E641="",F641="",H641=""),"",IF(NOT(ISNUMBER(A641)),"Enter a date",IF(AND(F641&lt;&gt;"",OR(NOT(ISNUMBER(F641)),N(F641)&lt;0)),"Minutes must be a number of 0 or more",IF(G641="","Enter start and end times, or minutes",IF(C641="","Pick a machine",IF(SUMPRODUCT(--(Setup!$A$5:$A$34=C641))=0,"Machine not in Setup",IF(H641="","Pick a reason (counted as unclassified)",IF(I641="Not in Setup","Reason not in Setup (counted as unclassified)",IF(N(G641)=0,"0 minutes: not counted as a stop","OK")))))))))</f>
        <v/>
      </c>
    </row>
    <row r="642" customFormat="false" ht="15" hidden="false" customHeight="false" outlineLevel="0" collapsed="false">
      <c r="A642" s="11"/>
      <c r="B642" s="9"/>
      <c r="C642" s="9"/>
      <c r="D642" s="12"/>
      <c r="E642" s="12"/>
      <c r="F642" s="13"/>
      <c r="G642" s="14" t="str">
        <f aca="false">IF(F642&lt;&gt;"",IF(AND(ISNUMBER(F642),N(F642)&gt;=0),F642,""),IF(AND(ISNUMBER(D642),ISNUMBER(E642)),ROUND(MOD(E642-D642,1)*1440,0),""))</f>
        <v/>
      </c>
      <c r="H642" s="9"/>
      <c r="I642" s="10" t="str">
        <f aca="false">IF(H642="","",IF(SUMPRODUCT(MAX((Setup!$D$5:$D$34=H642)*(35-ROW(Setup!$D$5:$D$34))))=0,"Not in Setup",INDEX(Setup!$E$5:$E$34,31-SUMPRODUCT(MAX((Setup!$D$5:$D$34=H642)*(35-ROW(Setup!$D$5:$D$34)))))))</f>
        <v/>
      </c>
      <c r="J642" s="9"/>
      <c r="K642" s="10" t="str">
        <f aca="false">IF(AND(A642="",C642="",D642="",E642="",F642="",H642=""),"",IF(NOT(ISNUMBER(A642)),"Enter a date",IF(AND(F642&lt;&gt;"",OR(NOT(ISNUMBER(F642)),N(F642)&lt;0)),"Minutes must be a number of 0 or more",IF(G642="","Enter start and end times, or minutes",IF(C642="","Pick a machine",IF(SUMPRODUCT(--(Setup!$A$5:$A$34=C642))=0,"Machine not in Setup",IF(H642="","Pick a reason (counted as unclassified)",IF(I642="Not in Setup","Reason not in Setup (counted as unclassified)",IF(N(G642)=0,"0 minutes: not counted as a stop","OK")))))))))</f>
        <v/>
      </c>
    </row>
    <row r="643" customFormat="false" ht="15" hidden="false" customHeight="false" outlineLevel="0" collapsed="false">
      <c r="A643" s="11"/>
      <c r="B643" s="9"/>
      <c r="C643" s="9"/>
      <c r="D643" s="12"/>
      <c r="E643" s="12"/>
      <c r="F643" s="13"/>
      <c r="G643" s="14" t="str">
        <f aca="false">IF(F643&lt;&gt;"",IF(AND(ISNUMBER(F643),N(F643)&gt;=0),F643,""),IF(AND(ISNUMBER(D643),ISNUMBER(E643)),ROUND(MOD(E643-D643,1)*1440,0),""))</f>
        <v/>
      </c>
      <c r="H643" s="9"/>
      <c r="I643" s="10" t="str">
        <f aca="false">IF(H643="","",IF(SUMPRODUCT(MAX((Setup!$D$5:$D$34=H643)*(35-ROW(Setup!$D$5:$D$34))))=0,"Not in Setup",INDEX(Setup!$E$5:$E$34,31-SUMPRODUCT(MAX((Setup!$D$5:$D$34=H643)*(35-ROW(Setup!$D$5:$D$34)))))))</f>
        <v/>
      </c>
      <c r="J643" s="9"/>
      <c r="K643" s="10" t="str">
        <f aca="false">IF(AND(A643="",C643="",D643="",E643="",F643="",H643=""),"",IF(NOT(ISNUMBER(A643)),"Enter a date",IF(AND(F643&lt;&gt;"",OR(NOT(ISNUMBER(F643)),N(F643)&lt;0)),"Minutes must be a number of 0 or more",IF(G643="","Enter start and end times, or minutes",IF(C643="","Pick a machine",IF(SUMPRODUCT(--(Setup!$A$5:$A$34=C643))=0,"Machine not in Setup",IF(H643="","Pick a reason (counted as unclassified)",IF(I643="Not in Setup","Reason not in Setup (counted as unclassified)",IF(N(G643)=0,"0 minutes: not counted as a stop","OK")))))))))</f>
        <v/>
      </c>
    </row>
    <row r="644" customFormat="false" ht="15" hidden="false" customHeight="false" outlineLevel="0" collapsed="false">
      <c r="A644" s="11"/>
      <c r="B644" s="9"/>
      <c r="C644" s="9"/>
      <c r="D644" s="12"/>
      <c r="E644" s="12"/>
      <c r="F644" s="13"/>
      <c r="G644" s="14" t="str">
        <f aca="false">IF(F644&lt;&gt;"",IF(AND(ISNUMBER(F644),N(F644)&gt;=0),F644,""),IF(AND(ISNUMBER(D644),ISNUMBER(E644)),ROUND(MOD(E644-D644,1)*1440,0),""))</f>
        <v/>
      </c>
      <c r="H644" s="9"/>
      <c r="I644" s="10" t="str">
        <f aca="false">IF(H644="","",IF(SUMPRODUCT(MAX((Setup!$D$5:$D$34=H644)*(35-ROW(Setup!$D$5:$D$34))))=0,"Not in Setup",INDEX(Setup!$E$5:$E$34,31-SUMPRODUCT(MAX((Setup!$D$5:$D$34=H644)*(35-ROW(Setup!$D$5:$D$34)))))))</f>
        <v/>
      </c>
      <c r="J644" s="9"/>
      <c r="K644" s="10" t="str">
        <f aca="false">IF(AND(A644="",C644="",D644="",E644="",F644="",H644=""),"",IF(NOT(ISNUMBER(A644)),"Enter a date",IF(AND(F644&lt;&gt;"",OR(NOT(ISNUMBER(F644)),N(F644)&lt;0)),"Minutes must be a number of 0 or more",IF(G644="","Enter start and end times, or minutes",IF(C644="","Pick a machine",IF(SUMPRODUCT(--(Setup!$A$5:$A$34=C644))=0,"Machine not in Setup",IF(H644="","Pick a reason (counted as unclassified)",IF(I644="Not in Setup","Reason not in Setup (counted as unclassified)",IF(N(G644)=0,"0 minutes: not counted as a stop","OK")))))))))</f>
        <v/>
      </c>
    </row>
    <row r="645" customFormat="false" ht="15" hidden="false" customHeight="false" outlineLevel="0" collapsed="false">
      <c r="A645" s="11"/>
      <c r="B645" s="9"/>
      <c r="C645" s="9"/>
      <c r="D645" s="12"/>
      <c r="E645" s="12"/>
      <c r="F645" s="13"/>
      <c r="G645" s="14" t="str">
        <f aca="false">IF(F645&lt;&gt;"",IF(AND(ISNUMBER(F645),N(F645)&gt;=0),F645,""),IF(AND(ISNUMBER(D645),ISNUMBER(E645)),ROUND(MOD(E645-D645,1)*1440,0),""))</f>
        <v/>
      </c>
      <c r="H645" s="9"/>
      <c r="I645" s="10" t="str">
        <f aca="false">IF(H645="","",IF(SUMPRODUCT(MAX((Setup!$D$5:$D$34=H645)*(35-ROW(Setup!$D$5:$D$34))))=0,"Not in Setup",INDEX(Setup!$E$5:$E$34,31-SUMPRODUCT(MAX((Setup!$D$5:$D$34=H645)*(35-ROW(Setup!$D$5:$D$34)))))))</f>
        <v/>
      </c>
      <c r="J645" s="9"/>
      <c r="K645" s="10" t="str">
        <f aca="false">IF(AND(A645="",C645="",D645="",E645="",F645="",H645=""),"",IF(NOT(ISNUMBER(A645)),"Enter a date",IF(AND(F645&lt;&gt;"",OR(NOT(ISNUMBER(F645)),N(F645)&lt;0)),"Minutes must be a number of 0 or more",IF(G645="","Enter start and end times, or minutes",IF(C645="","Pick a machine",IF(SUMPRODUCT(--(Setup!$A$5:$A$34=C645))=0,"Machine not in Setup",IF(H645="","Pick a reason (counted as unclassified)",IF(I645="Not in Setup","Reason not in Setup (counted as unclassified)",IF(N(G645)=0,"0 minutes: not counted as a stop","OK")))))))))</f>
        <v/>
      </c>
    </row>
    <row r="646" customFormat="false" ht="15" hidden="false" customHeight="false" outlineLevel="0" collapsed="false">
      <c r="A646" s="11"/>
      <c r="B646" s="9"/>
      <c r="C646" s="9"/>
      <c r="D646" s="12"/>
      <c r="E646" s="12"/>
      <c r="F646" s="13"/>
      <c r="G646" s="14" t="str">
        <f aca="false">IF(F646&lt;&gt;"",IF(AND(ISNUMBER(F646),N(F646)&gt;=0),F646,""),IF(AND(ISNUMBER(D646),ISNUMBER(E646)),ROUND(MOD(E646-D646,1)*1440,0),""))</f>
        <v/>
      </c>
      <c r="H646" s="9"/>
      <c r="I646" s="10" t="str">
        <f aca="false">IF(H646="","",IF(SUMPRODUCT(MAX((Setup!$D$5:$D$34=H646)*(35-ROW(Setup!$D$5:$D$34))))=0,"Not in Setup",INDEX(Setup!$E$5:$E$34,31-SUMPRODUCT(MAX((Setup!$D$5:$D$34=H646)*(35-ROW(Setup!$D$5:$D$34)))))))</f>
        <v/>
      </c>
      <c r="J646" s="9"/>
      <c r="K646" s="10" t="str">
        <f aca="false">IF(AND(A646="",C646="",D646="",E646="",F646="",H646=""),"",IF(NOT(ISNUMBER(A646)),"Enter a date",IF(AND(F646&lt;&gt;"",OR(NOT(ISNUMBER(F646)),N(F646)&lt;0)),"Minutes must be a number of 0 or more",IF(G646="","Enter start and end times, or minutes",IF(C646="","Pick a machine",IF(SUMPRODUCT(--(Setup!$A$5:$A$34=C646))=0,"Machine not in Setup",IF(H646="","Pick a reason (counted as unclassified)",IF(I646="Not in Setup","Reason not in Setup (counted as unclassified)",IF(N(G646)=0,"0 minutes: not counted as a stop","OK")))))))))</f>
        <v/>
      </c>
    </row>
    <row r="647" customFormat="false" ht="15" hidden="false" customHeight="false" outlineLevel="0" collapsed="false">
      <c r="A647" s="11"/>
      <c r="B647" s="9"/>
      <c r="C647" s="9"/>
      <c r="D647" s="12"/>
      <c r="E647" s="12"/>
      <c r="F647" s="13"/>
      <c r="G647" s="14" t="str">
        <f aca="false">IF(F647&lt;&gt;"",IF(AND(ISNUMBER(F647),N(F647)&gt;=0),F647,""),IF(AND(ISNUMBER(D647),ISNUMBER(E647)),ROUND(MOD(E647-D647,1)*1440,0),""))</f>
        <v/>
      </c>
      <c r="H647" s="9"/>
      <c r="I647" s="10" t="str">
        <f aca="false">IF(H647="","",IF(SUMPRODUCT(MAX((Setup!$D$5:$D$34=H647)*(35-ROW(Setup!$D$5:$D$34))))=0,"Not in Setup",INDEX(Setup!$E$5:$E$34,31-SUMPRODUCT(MAX((Setup!$D$5:$D$34=H647)*(35-ROW(Setup!$D$5:$D$34)))))))</f>
        <v/>
      </c>
      <c r="J647" s="9"/>
      <c r="K647" s="10" t="str">
        <f aca="false">IF(AND(A647="",C647="",D647="",E647="",F647="",H647=""),"",IF(NOT(ISNUMBER(A647)),"Enter a date",IF(AND(F647&lt;&gt;"",OR(NOT(ISNUMBER(F647)),N(F647)&lt;0)),"Minutes must be a number of 0 or more",IF(G647="","Enter start and end times, or minutes",IF(C647="","Pick a machine",IF(SUMPRODUCT(--(Setup!$A$5:$A$34=C647))=0,"Machine not in Setup",IF(H647="","Pick a reason (counted as unclassified)",IF(I647="Not in Setup","Reason not in Setup (counted as unclassified)",IF(N(G647)=0,"0 minutes: not counted as a stop","OK")))))))))</f>
        <v/>
      </c>
    </row>
    <row r="648" customFormat="false" ht="15" hidden="false" customHeight="false" outlineLevel="0" collapsed="false">
      <c r="A648" s="11"/>
      <c r="B648" s="9"/>
      <c r="C648" s="9"/>
      <c r="D648" s="12"/>
      <c r="E648" s="12"/>
      <c r="F648" s="13"/>
      <c r="G648" s="14" t="str">
        <f aca="false">IF(F648&lt;&gt;"",IF(AND(ISNUMBER(F648),N(F648)&gt;=0),F648,""),IF(AND(ISNUMBER(D648),ISNUMBER(E648)),ROUND(MOD(E648-D648,1)*1440,0),""))</f>
        <v/>
      </c>
      <c r="H648" s="9"/>
      <c r="I648" s="10" t="str">
        <f aca="false">IF(H648="","",IF(SUMPRODUCT(MAX((Setup!$D$5:$D$34=H648)*(35-ROW(Setup!$D$5:$D$34))))=0,"Not in Setup",INDEX(Setup!$E$5:$E$34,31-SUMPRODUCT(MAX((Setup!$D$5:$D$34=H648)*(35-ROW(Setup!$D$5:$D$34)))))))</f>
        <v/>
      </c>
      <c r="J648" s="9"/>
      <c r="K648" s="10" t="str">
        <f aca="false">IF(AND(A648="",C648="",D648="",E648="",F648="",H648=""),"",IF(NOT(ISNUMBER(A648)),"Enter a date",IF(AND(F648&lt;&gt;"",OR(NOT(ISNUMBER(F648)),N(F648)&lt;0)),"Minutes must be a number of 0 or more",IF(G648="","Enter start and end times, or minutes",IF(C648="","Pick a machine",IF(SUMPRODUCT(--(Setup!$A$5:$A$34=C648))=0,"Machine not in Setup",IF(H648="","Pick a reason (counted as unclassified)",IF(I648="Not in Setup","Reason not in Setup (counted as unclassified)",IF(N(G648)=0,"0 minutes: not counted as a stop","OK")))))))))</f>
        <v/>
      </c>
    </row>
    <row r="649" customFormat="false" ht="15" hidden="false" customHeight="false" outlineLevel="0" collapsed="false">
      <c r="A649" s="11"/>
      <c r="B649" s="9"/>
      <c r="C649" s="9"/>
      <c r="D649" s="12"/>
      <c r="E649" s="12"/>
      <c r="F649" s="13"/>
      <c r="G649" s="14" t="str">
        <f aca="false">IF(F649&lt;&gt;"",IF(AND(ISNUMBER(F649),N(F649)&gt;=0),F649,""),IF(AND(ISNUMBER(D649),ISNUMBER(E649)),ROUND(MOD(E649-D649,1)*1440,0),""))</f>
        <v/>
      </c>
      <c r="H649" s="9"/>
      <c r="I649" s="10" t="str">
        <f aca="false">IF(H649="","",IF(SUMPRODUCT(MAX((Setup!$D$5:$D$34=H649)*(35-ROW(Setup!$D$5:$D$34))))=0,"Not in Setup",INDEX(Setup!$E$5:$E$34,31-SUMPRODUCT(MAX((Setup!$D$5:$D$34=H649)*(35-ROW(Setup!$D$5:$D$34)))))))</f>
        <v/>
      </c>
      <c r="J649" s="9"/>
      <c r="K649" s="10" t="str">
        <f aca="false">IF(AND(A649="",C649="",D649="",E649="",F649="",H649=""),"",IF(NOT(ISNUMBER(A649)),"Enter a date",IF(AND(F649&lt;&gt;"",OR(NOT(ISNUMBER(F649)),N(F649)&lt;0)),"Minutes must be a number of 0 or more",IF(G649="","Enter start and end times, or minutes",IF(C649="","Pick a machine",IF(SUMPRODUCT(--(Setup!$A$5:$A$34=C649))=0,"Machine not in Setup",IF(H649="","Pick a reason (counted as unclassified)",IF(I649="Not in Setup","Reason not in Setup (counted as unclassified)",IF(N(G649)=0,"0 minutes: not counted as a stop","OK")))))))))</f>
        <v/>
      </c>
    </row>
    <row r="650" customFormat="false" ht="15" hidden="false" customHeight="false" outlineLevel="0" collapsed="false">
      <c r="A650" s="11"/>
      <c r="B650" s="9"/>
      <c r="C650" s="9"/>
      <c r="D650" s="12"/>
      <c r="E650" s="12"/>
      <c r="F650" s="13"/>
      <c r="G650" s="14" t="str">
        <f aca="false">IF(F650&lt;&gt;"",IF(AND(ISNUMBER(F650),N(F650)&gt;=0),F650,""),IF(AND(ISNUMBER(D650),ISNUMBER(E650)),ROUND(MOD(E650-D650,1)*1440,0),""))</f>
        <v/>
      </c>
      <c r="H650" s="9"/>
      <c r="I650" s="10" t="str">
        <f aca="false">IF(H650="","",IF(SUMPRODUCT(MAX((Setup!$D$5:$D$34=H650)*(35-ROW(Setup!$D$5:$D$34))))=0,"Not in Setup",INDEX(Setup!$E$5:$E$34,31-SUMPRODUCT(MAX((Setup!$D$5:$D$34=H650)*(35-ROW(Setup!$D$5:$D$34)))))))</f>
        <v/>
      </c>
      <c r="J650" s="9"/>
      <c r="K650" s="10" t="str">
        <f aca="false">IF(AND(A650="",C650="",D650="",E650="",F650="",H650=""),"",IF(NOT(ISNUMBER(A650)),"Enter a date",IF(AND(F650&lt;&gt;"",OR(NOT(ISNUMBER(F650)),N(F650)&lt;0)),"Minutes must be a number of 0 or more",IF(G650="","Enter start and end times, or minutes",IF(C650="","Pick a machine",IF(SUMPRODUCT(--(Setup!$A$5:$A$34=C650))=0,"Machine not in Setup",IF(H650="","Pick a reason (counted as unclassified)",IF(I650="Not in Setup","Reason not in Setup (counted as unclassified)",IF(N(G650)=0,"0 minutes: not counted as a stop","OK")))))))))</f>
        <v/>
      </c>
    </row>
    <row r="651" customFormat="false" ht="15" hidden="false" customHeight="false" outlineLevel="0" collapsed="false">
      <c r="A651" s="11"/>
      <c r="B651" s="9"/>
      <c r="C651" s="9"/>
      <c r="D651" s="12"/>
      <c r="E651" s="12"/>
      <c r="F651" s="13"/>
      <c r="G651" s="14" t="str">
        <f aca="false">IF(F651&lt;&gt;"",IF(AND(ISNUMBER(F651),N(F651)&gt;=0),F651,""),IF(AND(ISNUMBER(D651),ISNUMBER(E651)),ROUND(MOD(E651-D651,1)*1440,0),""))</f>
        <v/>
      </c>
      <c r="H651" s="9"/>
      <c r="I651" s="10" t="str">
        <f aca="false">IF(H651="","",IF(SUMPRODUCT(MAX((Setup!$D$5:$D$34=H651)*(35-ROW(Setup!$D$5:$D$34))))=0,"Not in Setup",INDEX(Setup!$E$5:$E$34,31-SUMPRODUCT(MAX((Setup!$D$5:$D$34=H651)*(35-ROW(Setup!$D$5:$D$34)))))))</f>
        <v/>
      </c>
      <c r="J651" s="9"/>
      <c r="K651" s="10" t="str">
        <f aca="false">IF(AND(A651="",C651="",D651="",E651="",F651="",H651=""),"",IF(NOT(ISNUMBER(A651)),"Enter a date",IF(AND(F651&lt;&gt;"",OR(NOT(ISNUMBER(F651)),N(F651)&lt;0)),"Minutes must be a number of 0 or more",IF(G651="","Enter start and end times, or minutes",IF(C651="","Pick a machine",IF(SUMPRODUCT(--(Setup!$A$5:$A$34=C651))=0,"Machine not in Setup",IF(H651="","Pick a reason (counted as unclassified)",IF(I651="Not in Setup","Reason not in Setup (counted as unclassified)",IF(N(G651)=0,"0 minutes: not counted as a stop","OK")))))))))</f>
        <v/>
      </c>
    </row>
    <row r="652" customFormat="false" ht="15" hidden="false" customHeight="false" outlineLevel="0" collapsed="false">
      <c r="A652" s="11"/>
      <c r="B652" s="9"/>
      <c r="C652" s="9"/>
      <c r="D652" s="12"/>
      <c r="E652" s="12"/>
      <c r="F652" s="13"/>
      <c r="G652" s="14" t="str">
        <f aca="false">IF(F652&lt;&gt;"",IF(AND(ISNUMBER(F652),N(F652)&gt;=0),F652,""),IF(AND(ISNUMBER(D652),ISNUMBER(E652)),ROUND(MOD(E652-D652,1)*1440,0),""))</f>
        <v/>
      </c>
      <c r="H652" s="9"/>
      <c r="I652" s="10" t="str">
        <f aca="false">IF(H652="","",IF(SUMPRODUCT(MAX((Setup!$D$5:$D$34=H652)*(35-ROW(Setup!$D$5:$D$34))))=0,"Not in Setup",INDEX(Setup!$E$5:$E$34,31-SUMPRODUCT(MAX((Setup!$D$5:$D$34=H652)*(35-ROW(Setup!$D$5:$D$34)))))))</f>
        <v/>
      </c>
      <c r="J652" s="9"/>
      <c r="K652" s="10" t="str">
        <f aca="false">IF(AND(A652="",C652="",D652="",E652="",F652="",H652=""),"",IF(NOT(ISNUMBER(A652)),"Enter a date",IF(AND(F652&lt;&gt;"",OR(NOT(ISNUMBER(F652)),N(F652)&lt;0)),"Minutes must be a number of 0 or more",IF(G652="","Enter start and end times, or minutes",IF(C652="","Pick a machine",IF(SUMPRODUCT(--(Setup!$A$5:$A$34=C652))=0,"Machine not in Setup",IF(H652="","Pick a reason (counted as unclassified)",IF(I652="Not in Setup","Reason not in Setup (counted as unclassified)",IF(N(G652)=0,"0 minutes: not counted as a stop","OK")))))))))</f>
        <v/>
      </c>
    </row>
    <row r="653" customFormat="false" ht="15" hidden="false" customHeight="false" outlineLevel="0" collapsed="false">
      <c r="A653" s="11"/>
      <c r="B653" s="9"/>
      <c r="C653" s="9"/>
      <c r="D653" s="12"/>
      <c r="E653" s="12"/>
      <c r="F653" s="13"/>
      <c r="G653" s="14" t="str">
        <f aca="false">IF(F653&lt;&gt;"",IF(AND(ISNUMBER(F653),N(F653)&gt;=0),F653,""),IF(AND(ISNUMBER(D653),ISNUMBER(E653)),ROUND(MOD(E653-D653,1)*1440,0),""))</f>
        <v/>
      </c>
      <c r="H653" s="9"/>
      <c r="I653" s="10" t="str">
        <f aca="false">IF(H653="","",IF(SUMPRODUCT(MAX((Setup!$D$5:$D$34=H653)*(35-ROW(Setup!$D$5:$D$34))))=0,"Not in Setup",INDEX(Setup!$E$5:$E$34,31-SUMPRODUCT(MAX((Setup!$D$5:$D$34=H653)*(35-ROW(Setup!$D$5:$D$34)))))))</f>
        <v/>
      </c>
      <c r="J653" s="9"/>
      <c r="K653" s="10" t="str">
        <f aca="false">IF(AND(A653="",C653="",D653="",E653="",F653="",H653=""),"",IF(NOT(ISNUMBER(A653)),"Enter a date",IF(AND(F653&lt;&gt;"",OR(NOT(ISNUMBER(F653)),N(F653)&lt;0)),"Minutes must be a number of 0 or more",IF(G653="","Enter start and end times, or minutes",IF(C653="","Pick a machine",IF(SUMPRODUCT(--(Setup!$A$5:$A$34=C653))=0,"Machine not in Setup",IF(H653="","Pick a reason (counted as unclassified)",IF(I653="Not in Setup","Reason not in Setup (counted as unclassified)",IF(N(G653)=0,"0 minutes: not counted as a stop","OK")))))))))</f>
        <v/>
      </c>
    </row>
    <row r="654" customFormat="false" ht="15" hidden="false" customHeight="false" outlineLevel="0" collapsed="false">
      <c r="A654" s="11"/>
      <c r="B654" s="9"/>
      <c r="C654" s="9"/>
      <c r="D654" s="12"/>
      <c r="E654" s="12"/>
      <c r="F654" s="13"/>
      <c r="G654" s="14" t="str">
        <f aca="false">IF(F654&lt;&gt;"",IF(AND(ISNUMBER(F654),N(F654)&gt;=0),F654,""),IF(AND(ISNUMBER(D654),ISNUMBER(E654)),ROUND(MOD(E654-D654,1)*1440,0),""))</f>
        <v/>
      </c>
      <c r="H654" s="9"/>
      <c r="I654" s="10" t="str">
        <f aca="false">IF(H654="","",IF(SUMPRODUCT(MAX((Setup!$D$5:$D$34=H654)*(35-ROW(Setup!$D$5:$D$34))))=0,"Not in Setup",INDEX(Setup!$E$5:$E$34,31-SUMPRODUCT(MAX((Setup!$D$5:$D$34=H654)*(35-ROW(Setup!$D$5:$D$34)))))))</f>
        <v/>
      </c>
      <c r="J654" s="9"/>
      <c r="K654" s="10" t="str">
        <f aca="false">IF(AND(A654="",C654="",D654="",E654="",F654="",H654=""),"",IF(NOT(ISNUMBER(A654)),"Enter a date",IF(AND(F654&lt;&gt;"",OR(NOT(ISNUMBER(F654)),N(F654)&lt;0)),"Minutes must be a number of 0 or more",IF(G654="","Enter start and end times, or minutes",IF(C654="","Pick a machine",IF(SUMPRODUCT(--(Setup!$A$5:$A$34=C654))=0,"Machine not in Setup",IF(H654="","Pick a reason (counted as unclassified)",IF(I654="Not in Setup","Reason not in Setup (counted as unclassified)",IF(N(G654)=0,"0 minutes: not counted as a stop","OK")))))))))</f>
        <v/>
      </c>
    </row>
    <row r="655" customFormat="false" ht="15" hidden="false" customHeight="false" outlineLevel="0" collapsed="false">
      <c r="A655" s="11"/>
      <c r="B655" s="9"/>
      <c r="C655" s="9"/>
      <c r="D655" s="12"/>
      <c r="E655" s="12"/>
      <c r="F655" s="13"/>
      <c r="G655" s="14" t="str">
        <f aca="false">IF(F655&lt;&gt;"",IF(AND(ISNUMBER(F655),N(F655)&gt;=0),F655,""),IF(AND(ISNUMBER(D655),ISNUMBER(E655)),ROUND(MOD(E655-D655,1)*1440,0),""))</f>
        <v/>
      </c>
      <c r="H655" s="9"/>
      <c r="I655" s="10" t="str">
        <f aca="false">IF(H655="","",IF(SUMPRODUCT(MAX((Setup!$D$5:$D$34=H655)*(35-ROW(Setup!$D$5:$D$34))))=0,"Not in Setup",INDEX(Setup!$E$5:$E$34,31-SUMPRODUCT(MAX((Setup!$D$5:$D$34=H655)*(35-ROW(Setup!$D$5:$D$34)))))))</f>
        <v/>
      </c>
      <c r="J655" s="9"/>
      <c r="K655" s="10" t="str">
        <f aca="false">IF(AND(A655="",C655="",D655="",E655="",F655="",H655=""),"",IF(NOT(ISNUMBER(A655)),"Enter a date",IF(AND(F655&lt;&gt;"",OR(NOT(ISNUMBER(F655)),N(F655)&lt;0)),"Minutes must be a number of 0 or more",IF(G655="","Enter start and end times, or minutes",IF(C655="","Pick a machine",IF(SUMPRODUCT(--(Setup!$A$5:$A$34=C655))=0,"Machine not in Setup",IF(H655="","Pick a reason (counted as unclassified)",IF(I655="Not in Setup","Reason not in Setup (counted as unclassified)",IF(N(G655)=0,"0 minutes: not counted as a stop","OK")))))))))</f>
        <v/>
      </c>
    </row>
    <row r="656" customFormat="false" ht="15" hidden="false" customHeight="false" outlineLevel="0" collapsed="false">
      <c r="A656" s="11"/>
      <c r="B656" s="9"/>
      <c r="C656" s="9"/>
      <c r="D656" s="12"/>
      <c r="E656" s="12"/>
      <c r="F656" s="13"/>
      <c r="G656" s="14" t="str">
        <f aca="false">IF(F656&lt;&gt;"",IF(AND(ISNUMBER(F656),N(F656)&gt;=0),F656,""),IF(AND(ISNUMBER(D656),ISNUMBER(E656)),ROUND(MOD(E656-D656,1)*1440,0),""))</f>
        <v/>
      </c>
      <c r="H656" s="9"/>
      <c r="I656" s="10" t="str">
        <f aca="false">IF(H656="","",IF(SUMPRODUCT(MAX((Setup!$D$5:$D$34=H656)*(35-ROW(Setup!$D$5:$D$34))))=0,"Not in Setup",INDEX(Setup!$E$5:$E$34,31-SUMPRODUCT(MAX((Setup!$D$5:$D$34=H656)*(35-ROW(Setup!$D$5:$D$34)))))))</f>
        <v/>
      </c>
      <c r="J656" s="9"/>
      <c r="K656" s="10" t="str">
        <f aca="false">IF(AND(A656="",C656="",D656="",E656="",F656="",H656=""),"",IF(NOT(ISNUMBER(A656)),"Enter a date",IF(AND(F656&lt;&gt;"",OR(NOT(ISNUMBER(F656)),N(F656)&lt;0)),"Minutes must be a number of 0 or more",IF(G656="","Enter start and end times, or minutes",IF(C656="","Pick a machine",IF(SUMPRODUCT(--(Setup!$A$5:$A$34=C656))=0,"Machine not in Setup",IF(H656="","Pick a reason (counted as unclassified)",IF(I656="Not in Setup","Reason not in Setup (counted as unclassified)",IF(N(G656)=0,"0 minutes: not counted as a stop","OK")))))))))</f>
        <v/>
      </c>
    </row>
    <row r="657" customFormat="false" ht="15" hidden="false" customHeight="false" outlineLevel="0" collapsed="false">
      <c r="A657" s="11"/>
      <c r="B657" s="9"/>
      <c r="C657" s="9"/>
      <c r="D657" s="12"/>
      <c r="E657" s="12"/>
      <c r="F657" s="13"/>
      <c r="G657" s="14" t="str">
        <f aca="false">IF(F657&lt;&gt;"",IF(AND(ISNUMBER(F657),N(F657)&gt;=0),F657,""),IF(AND(ISNUMBER(D657),ISNUMBER(E657)),ROUND(MOD(E657-D657,1)*1440,0),""))</f>
        <v/>
      </c>
      <c r="H657" s="9"/>
      <c r="I657" s="10" t="str">
        <f aca="false">IF(H657="","",IF(SUMPRODUCT(MAX((Setup!$D$5:$D$34=H657)*(35-ROW(Setup!$D$5:$D$34))))=0,"Not in Setup",INDEX(Setup!$E$5:$E$34,31-SUMPRODUCT(MAX((Setup!$D$5:$D$34=H657)*(35-ROW(Setup!$D$5:$D$34)))))))</f>
        <v/>
      </c>
      <c r="J657" s="9"/>
      <c r="K657" s="10" t="str">
        <f aca="false">IF(AND(A657="",C657="",D657="",E657="",F657="",H657=""),"",IF(NOT(ISNUMBER(A657)),"Enter a date",IF(AND(F657&lt;&gt;"",OR(NOT(ISNUMBER(F657)),N(F657)&lt;0)),"Minutes must be a number of 0 or more",IF(G657="","Enter start and end times, or minutes",IF(C657="","Pick a machine",IF(SUMPRODUCT(--(Setup!$A$5:$A$34=C657))=0,"Machine not in Setup",IF(H657="","Pick a reason (counted as unclassified)",IF(I657="Not in Setup","Reason not in Setup (counted as unclassified)",IF(N(G657)=0,"0 minutes: not counted as a stop","OK")))))))))</f>
        <v/>
      </c>
    </row>
    <row r="658" customFormat="false" ht="15" hidden="false" customHeight="false" outlineLevel="0" collapsed="false">
      <c r="A658" s="11"/>
      <c r="B658" s="9"/>
      <c r="C658" s="9"/>
      <c r="D658" s="12"/>
      <c r="E658" s="12"/>
      <c r="F658" s="13"/>
      <c r="G658" s="14" t="str">
        <f aca="false">IF(F658&lt;&gt;"",IF(AND(ISNUMBER(F658),N(F658)&gt;=0),F658,""),IF(AND(ISNUMBER(D658),ISNUMBER(E658)),ROUND(MOD(E658-D658,1)*1440,0),""))</f>
        <v/>
      </c>
      <c r="H658" s="9"/>
      <c r="I658" s="10" t="str">
        <f aca="false">IF(H658="","",IF(SUMPRODUCT(MAX((Setup!$D$5:$D$34=H658)*(35-ROW(Setup!$D$5:$D$34))))=0,"Not in Setup",INDEX(Setup!$E$5:$E$34,31-SUMPRODUCT(MAX((Setup!$D$5:$D$34=H658)*(35-ROW(Setup!$D$5:$D$34)))))))</f>
        <v/>
      </c>
      <c r="J658" s="9"/>
      <c r="K658" s="10" t="str">
        <f aca="false">IF(AND(A658="",C658="",D658="",E658="",F658="",H658=""),"",IF(NOT(ISNUMBER(A658)),"Enter a date",IF(AND(F658&lt;&gt;"",OR(NOT(ISNUMBER(F658)),N(F658)&lt;0)),"Minutes must be a number of 0 or more",IF(G658="","Enter start and end times, or minutes",IF(C658="","Pick a machine",IF(SUMPRODUCT(--(Setup!$A$5:$A$34=C658))=0,"Machine not in Setup",IF(H658="","Pick a reason (counted as unclassified)",IF(I658="Not in Setup","Reason not in Setup (counted as unclassified)",IF(N(G658)=0,"0 minutes: not counted as a stop","OK")))))))))</f>
        <v/>
      </c>
    </row>
    <row r="659" customFormat="false" ht="15" hidden="false" customHeight="false" outlineLevel="0" collapsed="false">
      <c r="A659" s="11"/>
      <c r="B659" s="9"/>
      <c r="C659" s="9"/>
      <c r="D659" s="12"/>
      <c r="E659" s="12"/>
      <c r="F659" s="13"/>
      <c r="G659" s="14" t="str">
        <f aca="false">IF(F659&lt;&gt;"",IF(AND(ISNUMBER(F659),N(F659)&gt;=0),F659,""),IF(AND(ISNUMBER(D659),ISNUMBER(E659)),ROUND(MOD(E659-D659,1)*1440,0),""))</f>
        <v/>
      </c>
      <c r="H659" s="9"/>
      <c r="I659" s="10" t="str">
        <f aca="false">IF(H659="","",IF(SUMPRODUCT(MAX((Setup!$D$5:$D$34=H659)*(35-ROW(Setup!$D$5:$D$34))))=0,"Not in Setup",INDEX(Setup!$E$5:$E$34,31-SUMPRODUCT(MAX((Setup!$D$5:$D$34=H659)*(35-ROW(Setup!$D$5:$D$34)))))))</f>
        <v/>
      </c>
      <c r="J659" s="9"/>
      <c r="K659" s="10" t="str">
        <f aca="false">IF(AND(A659="",C659="",D659="",E659="",F659="",H659=""),"",IF(NOT(ISNUMBER(A659)),"Enter a date",IF(AND(F659&lt;&gt;"",OR(NOT(ISNUMBER(F659)),N(F659)&lt;0)),"Minutes must be a number of 0 or more",IF(G659="","Enter start and end times, or minutes",IF(C659="","Pick a machine",IF(SUMPRODUCT(--(Setup!$A$5:$A$34=C659))=0,"Machine not in Setup",IF(H659="","Pick a reason (counted as unclassified)",IF(I659="Not in Setup","Reason not in Setup (counted as unclassified)",IF(N(G659)=0,"0 minutes: not counted as a stop","OK")))))))))</f>
        <v/>
      </c>
    </row>
    <row r="660" customFormat="false" ht="15" hidden="false" customHeight="false" outlineLevel="0" collapsed="false">
      <c r="A660" s="11"/>
      <c r="B660" s="9"/>
      <c r="C660" s="9"/>
      <c r="D660" s="12"/>
      <c r="E660" s="12"/>
      <c r="F660" s="13"/>
      <c r="G660" s="14" t="str">
        <f aca="false">IF(F660&lt;&gt;"",IF(AND(ISNUMBER(F660),N(F660)&gt;=0),F660,""),IF(AND(ISNUMBER(D660),ISNUMBER(E660)),ROUND(MOD(E660-D660,1)*1440,0),""))</f>
        <v/>
      </c>
      <c r="H660" s="9"/>
      <c r="I660" s="10" t="str">
        <f aca="false">IF(H660="","",IF(SUMPRODUCT(MAX((Setup!$D$5:$D$34=H660)*(35-ROW(Setup!$D$5:$D$34))))=0,"Not in Setup",INDEX(Setup!$E$5:$E$34,31-SUMPRODUCT(MAX((Setup!$D$5:$D$34=H660)*(35-ROW(Setup!$D$5:$D$34)))))))</f>
        <v/>
      </c>
      <c r="J660" s="9"/>
      <c r="K660" s="10" t="str">
        <f aca="false">IF(AND(A660="",C660="",D660="",E660="",F660="",H660=""),"",IF(NOT(ISNUMBER(A660)),"Enter a date",IF(AND(F660&lt;&gt;"",OR(NOT(ISNUMBER(F660)),N(F660)&lt;0)),"Minutes must be a number of 0 or more",IF(G660="","Enter start and end times, or minutes",IF(C660="","Pick a machine",IF(SUMPRODUCT(--(Setup!$A$5:$A$34=C660))=0,"Machine not in Setup",IF(H660="","Pick a reason (counted as unclassified)",IF(I660="Not in Setup","Reason not in Setup (counted as unclassified)",IF(N(G660)=0,"0 minutes: not counted as a stop","OK")))))))))</f>
        <v/>
      </c>
    </row>
    <row r="661" customFormat="false" ht="15" hidden="false" customHeight="false" outlineLevel="0" collapsed="false">
      <c r="A661" s="11"/>
      <c r="B661" s="9"/>
      <c r="C661" s="9"/>
      <c r="D661" s="12"/>
      <c r="E661" s="12"/>
      <c r="F661" s="13"/>
      <c r="G661" s="14" t="str">
        <f aca="false">IF(F661&lt;&gt;"",IF(AND(ISNUMBER(F661),N(F661)&gt;=0),F661,""),IF(AND(ISNUMBER(D661),ISNUMBER(E661)),ROUND(MOD(E661-D661,1)*1440,0),""))</f>
        <v/>
      </c>
      <c r="H661" s="9"/>
      <c r="I661" s="10" t="str">
        <f aca="false">IF(H661="","",IF(SUMPRODUCT(MAX((Setup!$D$5:$D$34=H661)*(35-ROW(Setup!$D$5:$D$34))))=0,"Not in Setup",INDEX(Setup!$E$5:$E$34,31-SUMPRODUCT(MAX((Setup!$D$5:$D$34=H661)*(35-ROW(Setup!$D$5:$D$34)))))))</f>
        <v/>
      </c>
      <c r="J661" s="9"/>
      <c r="K661" s="10" t="str">
        <f aca="false">IF(AND(A661="",C661="",D661="",E661="",F661="",H661=""),"",IF(NOT(ISNUMBER(A661)),"Enter a date",IF(AND(F661&lt;&gt;"",OR(NOT(ISNUMBER(F661)),N(F661)&lt;0)),"Minutes must be a number of 0 or more",IF(G661="","Enter start and end times, or minutes",IF(C661="","Pick a machine",IF(SUMPRODUCT(--(Setup!$A$5:$A$34=C661))=0,"Machine not in Setup",IF(H661="","Pick a reason (counted as unclassified)",IF(I661="Not in Setup","Reason not in Setup (counted as unclassified)",IF(N(G661)=0,"0 minutes: not counted as a stop","OK")))))))))</f>
        <v/>
      </c>
    </row>
    <row r="662" customFormat="false" ht="15" hidden="false" customHeight="false" outlineLevel="0" collapsed="false">
      <c r="A662" s="11"/>
      <c r="B662" s="9"/>
      <c r="C662" s="9"/>
      <c r="D662" s="12"/>
      <c r="E662" s="12"/>
      <c r="F662" s="13"/>
      <c r="G662" s="14" t="str">
        <f aca="false">IF(F662&lt;&gt;"",IF(AND(ISNUMBER(F662),N(F662)&gt;=0),F662,""),IF(AND(ISNUMBER(D662),ISNUMBER(E662)),ROUND(MOD(E662-D662,1)*1440,0),""))</f>
        <v/>
      </c>
      <c r="H662" s="9"/>
      <c r="I662" s="10" t="str">
        <f aca="false">IF(H662="","",IF(SUMPRODUCT(MAX((Setup!$D$5:$D$34=H662)*(35-ROW(Setup!$D$5:$D$34))))=0,"Not in Setup",INDEX(Setup!$E$5:$E$34,31-SUMPRODUCT(MAX((Setup!$D$5:$D$34=H662)*(35-ROW(Setup!$D$5:$D$34)))))))</f>
        <v/>
      </c>
      <c r="J662" s="9"/>
      <c r="K662" s="10" t="str">
        <f aca="false">IF(AND(A662="",C662="",D662="",E662="",F662="",H662=""),"",IF(NOT(ISNUMBER(A662)),"Enter a date",IF(AND(F662&lt;&gt;"",OR(NOT(ISNUMBER(F662)),N(F662)&lt;0)),"Minutes must be a number of 0 or more",IF(G662="","Enter start and end times, or minutes",IF(C662="","Pick a machine",IF(SUMPRODUCT(--(Setup!$A$5:$A$34=C662))=0,"Machine not in Setup",IF(H662="","Pick a reason (counted as unclassified)",IF(I662="Not in Setup","Reason not in Setup (counted as unclassified)",IF(N(G662)=0,"0 minutes: not counted as a stop","OK")))))))))</f>
        <v/>
      </c>
    </row>
    <row r="663" customFormat="false" ht="15" hidden="false" customHeight="false" outlineLevel="0" collapsed="false">
      <c r="A663" s="11"/>
      <c r="B663" s="9"/>
      <c r="C663" s="9"/>
      <c r="D663" s="12"/>
      <c r="E663" s="12"/>
      <c r="F663" s="13"/>
      <c r="G663" s="14" t="str">
        <f aca="false">IF(F663&lt;&gt;"",IF(AND(ISNUMBER(F663),N(F663)&gt;=0),F663,""),IF(AND(ISNUMBER(D663),ISNUMBER(E663)),ROUND(MOD(E663-D663,1)*1440,0),""))</f>
        <v/>
      </c>
      <c r="H663" s="9"/>
      <c r="I663" s="10" t="str">
        <f aca="false">IF(H663="","",IF(SUMPRODUCT(MAX((Setup!$D$5:$D$34=H663)*(35-ROW(Setup!$D$5:$D$34))))=0,"Not in Setup",INDEX(Setup!$E$5:$E$34,31-SUMPRODUCT(MAX((Setup!$D$5:$D$34=H663)*(35-ROW(Setup!$D$5:$D$34)))))))</f>
        <v/>
      </c>
      <c r="J663" s="9"/>
      <c r="K663" s="10" t="str">
        <f aca="false">IF(AND(A663="",C663="",D663="",E663="",F663="",H663=""),"",IF(NOT(ISNUMBER(A663)),"Enter a date",IF(AND(F663&lt;&gt;"",OR(NOT(ISNUMBER(F663)),N(F663)&lt;0)),"Minutes must be a number of 0 or more",IF(G663="","Enter start and end times, or minutes",IF(C663="","Pick a machine",IF(SUMPRODUCT(--(Setup!$A$5:$A$34=C663))=0,"Machine not in Setup",IF(H663="","Pick a reason (counted as unclassified)",IF(I663="Not in Setup","Reason not in Setup (counted as unclassified)",IF(N(G663)=0,"0 minutes: not counted as a stop","OK")))))))))</f>
        <v/>
      </c>
    </row>
    <row r="664" customFormat="false" ht="15" hidden="false" customHeight="false" outlineLevel="0" collapsed="false">
      <c r="A664" s="11"/>
      <c r="B664" s="9"/>
      <c r="C664" s="9"/>
      <c r="D664" s="12"/>
      <c r="E664" s="12"/>
      <c r="F664" s="13"/>
      <c r="G664" s="14" t="str">
        <f aca="false">IF(F664&lt;&gt;"",IF(AND(ISNUMBER(F664),N(F664)&gt;=0),F664,""),IF(AND(ISNUMBER(D664),ISNUMBER(E664)),ROUND(MOD(E664-D664,1)*1440,0),""))</f>
        <v/>
      </c>
      <c r="H664" s="9"/>
      <c r="I664" s="10" t="str">
        <f aca="false">IF(H664="","",IF(SUMPRODUCT(MAX((Setup!$D$5:$D$34=H664)*(35-ROW(Setup!$D$5:$D$34))))=0,"Not in Setup",INDEX(Setup!$E$5:$E$34,31-SUMPRODUCT(MAX((Setup!$D$5:$D$34=H664)*(35-ROW(Setup!$D$5:$D$34)))))))</f>
        <v/>
      </c>
      <c r="J664" s="9"/>
      <c r="K664" s="10" t="str">
        <f aca="false">IF(AND(A664="",C664="",D664="",E664="",F664="",H664=""),"",IF(NOT(ISNUMBER(A664)),"Enter a date",IF(AND(F664&lt;&gt;"",OR(NOT(ISNUMBER(F664)),N(F664)&lt;0)),"Minutes must be a number of 0 or more",IF(G664="","Enter start and end times, or minutes",IF(C664="","Pick a machine",IF(SUMPRODUCT(--(Setup!$A$5:$A$34=C664))=0,"Machine not in Setup",IF(H664="","Pick a reason (counted as unclassified)",IF(I664="Not in Setup","Reason not in Setup (counted as unclassified)",IF(N(G664)=0,"0 minutes: not counted as a stop","OK")))))))))</f>
        <v/>
      </c>
    </row>
    <row r="665" customFormat="false" ht="15" hidden="false" customHeight="false" outlineLevel="0" collapsed="false">
      <c r="A665" s="11"/>
      <c r="B665" s="9"/>
      <c r="C665" s="9"/>
      <c r="D665" s="12"/>
      <c r="E665" s="12"/>
      <c r="F665" s="13"/>
      <c r="G665" s="14" t="str">
        <f aca="false">IF(F665&lt;&gt;"",IF(AND(ISNUMBER(F665),N(F665)&gt;=0),F665,""),IF(AND(ISNUMBER(D665),ISNUMBER(E665)),ROUND(MOD(E665-D665,1)*1440,0),""))</f>
        <v/>
      </c>
      <c r="H665" s="9"/>
      <c r="I665" s="10" t="str">
        <f aca="false">IF(H665="","",IF(SUMPRODUCT(MAX((Setup!$D$5:$D$34=H665)*(35-ROW(Setup!$D$5:$D$34))))=0,"Not in Setup",INDEX(Setup!$E$5:$E$34,31-SUMPRODUCT(MAX((Setup!$D$5:$D$34=H665)*(35-ROW(Setup!$D$5:$D$34)))))))</f>
        <v/>
      </c>
      <c r="J665" s="9"/>
      <c r="K665" s="10" t="str">
        <f aca="false">IF(AND(A665="",C665="",D665="",E665="",F665="",H665=""),"",IF(NOT(ISNUMBER(A665)),"Enter a date",IF(AND(F665&lt;&gt;"",OR(NOT(ISNUMBER(F665)),N(F665)&lt;0)),"Minutes must be a number of 0 or more",IF(G665="","Enter start and end times, or minutes",IF(C665="","Pick a machine",IF(SUMPRODUCT(--(Setup!$A$5:$A$34=C665))=0,"Machine not in Setup",IF(H665="","Pick a reason (counted as unclassified)",IF(I665="Not in Setup","Reason not in Setup (counted as unclassified)",IF(N(G665)=0,"0 minutes: not counted as a stop","OK")))))))))</f>
        <v/>
      </c>
    </row>
    <row r="666" customFormat="false" ht="15" hidden="false" customHeight="false" outlineLevel="0" collapsed="false">
      <c r="A666" s="11"/>
      <c r="B666" s="9"/>
      <c r="C666" s="9"/>
      <c r="D666" s="12"/>
      <c r="E666" s="12"/>
      <c r="F666" s="13"/>
      <c r="G666" s="14" t="str">
        <f aca="false">IF(F666&lt;&gt;"",IF(AND(ISNUMBER(F666),N(F666)&gt;=0),F666,""),IF(AND(ISNUMBER(D666),ISNUMBER(E666)),ROUND(MOD(E666-D666,1)*1440,0),""))</f>
        <v/>
      </c>
      <c r="H666" s="9"/>
      <c r="I666" s="10" t="str">
        <f aca="false">IF(H666="","",IF(SUMPRODUCT(MAX((Setup!$D$5:$D$34=H666)*(35-ROW(Setup!$D$5:$D$34))))=0,"Not in Setup",INDEX(Setup!$E$5:$E$34,31-SUMPRODUCT(MAX((Setup!$D$5:$D$34=H666)*(35-ROW(Setup!$D$5:$D$34)))))))</f>
        <v/>
      </c>
      <c r="J666" s="9"/>
      <c r="K666" s="10" t="str">
        <f aca="false">IF(AND(A666="",C666="",D666="",E666="",F666="",H666=""),"",IF(NOT(ISNUMBER(A666)),"Enter a date",IF(AND(F666&lt;&gt;"",OR(NOT(ISNUMBER(F666)),N(F666)&lt;0)),"Minutes must be a number of 0 or more",IF(G666="","Enter start and end times, or minutes",IF(C666="","Pick a machine",IF(SUMPRODUCT(--(Setup!$A$5:$A$34=C666))=0,"Machine not in Setup",IF(H666="","Pick a reason (counted as unclassified)",IF(I666="Not in Setup","Reason not in Setup (counted as unclassified)",IF(N(G666)=0,"0 minutes: not counted as a stop","OK")))))))))</f>
        <v/>
      </c>
    </row>
    <row r="667" customFormat="false" ht="15" hidden="false" customHeight="false" outlineLevel="0" collapsed="false">
      <c r="A667" s="11"/>
      <c r="B667" s="9"/>
      <c r="C667" s="9"/>
      <c r="D667" s="12"/>
      <c r="E667" s="12"/>
      <c r="F667" s="13"/>
      <c r="G667" s="14" t="str">
        <f aca="false">IF(F667&lt;&gt;"",IF(AND(ISNUMBER(F667),N(F667)&gt;=0),F667,""),IF(AND(ISNUMBER(D667),ISNUMBER(E667)),ROUND(MOD(E667-D667,1)*1440,0),""))</f>
        <v/>
      </c>
      <c r="H667" s="9"/>
      <c r="I667" s="10" t="str">
        <f aca="false">IF(H667="","",IF(SUMPRODUCT(MAX((Setup!$D$5:$D$34=H667)*(35-ROW(Setup!$D$5:$D$34))))=0,"Not in Setup",INDEX(Setup!$E$5:$E$34,31-SUMPRODUCT(MAX((Setup!$D$5:$D$34=H667)*(35-ROW(Setup!$D$5:$D$34)))))))</f>
        <v/>
      </c>
      <c r="J667" s="9"/>
      <c r="K667" s="10" t="str">
        <f aca="false">IF(AND(A667="",C667="",D667="",E667="",F667="",H667=""),"",IF(NOT(ISNUMBER(A667)),"Enter a date",IF(AND(F667&lt;&gt;"",OR(NOT(ISNUMBER(F667)),N(F667)&lt;0)),"Minutes must be a number of 0 or more",IF(G667="","Enter start and end times, or minutes",IF(C667="","Pick a machine",IF(SUMPRODUCT(--(Setup!$A$5:$A$34=C667))=0,"Machine not in Setup",IF(H667="","Pick a reason (counted as unclassified)",IF(I667="Not in Setup","Reason not in Setup (counted as unclassified)",IF(N(G667)=0,"0 minutes: not counted as a stop","OK")))))))))</f>
        <v/>
      </c>
    </row>
    <row r="668" customFormat="false" ht="15" hidden="false" customHeight="false" outlineLevel="0" collapsed="false">
      <c r="A668" s="11"/>
      <c r="B668" s="9"/>
      <c r="C668" s="9"/>
      <c r="D668" s="12"/>
      <c r="E668" s="12"/>
      <c r="F668" s="13"/>
      <c r="G668" s="14" t="str">
        <f aca="false">IF(F668&lt;&gt;"",IF(AND(ISNUMBER(F668),N(F668)&gt;=0),F668,""),IF(AND(ISNUMBER(D668),ISNUMBER(E668)),ROUND(MOD(E668-D668,1)*1440,0),""))</f>
        <v/>
      </c>
      <c r="H668" s="9"/>
      <c r="I668" s="10" t="str">
        <f aca="false">IF(H668="","",IF(SUMPRODUCT(MAX((Setup!$D$5:$D$34=H668)*(35-ROW(Setup!$D$5:$D$34))))=0,"Not in Setup",INDEX(Setup!$E$5:$E$34,31-SUMPRODUCT(MAX((Setup!$D$5:$D$34=H668)*(35-ROW(Setup!$D$5:$D$34)))))))</f>
        <v/>
      </c>
      <c r="J668" s="9"/>
      <c r="K668" s="10" t="str">
        <f aca="false">IF(AND(A668="",C668="",D668="",E668="",F668="",H668=""),"",IF(NOT(ISNUMBER(A668)),"Enter a date",IF(AND(F668&lt;&gt;"",OR(NOT(ISNUMBER(F668)),N(F668)&lt;0)),"Minutes must be a number of 0 or more",IF(G668="","Enter start and end times, or minutes",IF(C668="","Pick a machine",IF(SUMPRODUCT(--(Setup!$A$5:$A$34=C668))=0,"Machine not in Setup",IF(H668="","Pick a reason (counted as unclassified)",IF(I668="Not in Setup","Reason not in Setup (counted as unclassified)",IF(N(G668)=0,"0 minutes: not counted as a stop","OK")))))))))</f>
        <v/>
      </c>
    </row>
    <row r="669" customFormat="false" ht="15" hidden="false" customHeight="false" outlineLevel="0" collapsed="false">
      <c r="A669" s="11"/>
      <c r="B669" s="9"/>
      <c r="C669" s="9"/>
      <c r="D669" s="12"/>
      <c r="E669" s="12"/>
      <c r="F669" s="13"/>
      <c r="G669" s="14" t="str">
        <f aca="false">IF(F669&lt;&gt;"",IF(AND(ISNUMBER(F669),N(F669)&gt;=0),F669,""),IF(AND(ISNUMBER(D669),ISNUMBER(E669)),ROUND(MOD(E669-D669,1)*1440,0),""))</f>
        <v/>
      </c>
      <c r="H669" s="9"/>
      <c r="I669" s="10" t="str">
        <f aca="false">IF(H669="","",IF(SUMPRODUCT(MAX((Setup!$D$5:$D$34=H669)*(35-ROW(Setup!$D$5:$D$34))))=0,"Not in Setup",INDEX(Setup!$E$5:$E$34,31-SUMPRODUCT(MAX((Setup!$D$5:$D$34=H669)*(35-ROW(Setup!$D$5:$D$34)))))))</f>
        <v/>
      </c>
      <c r="J669" s="9"/>
      <c r="K669" s="10" t="str">
        <f aca="false">IF(AND(A669="",C669="",D669="",E669="",F669="",H669=""),"",IF(NOT(ISNUMBER(A669)),"Enter a date",IF(AND(F669&lt;&gt;"",OR(NOT(ISNUMBER(F669)),N(F669)&lt;0)),"Minutes must be a number of 0 or more",IF(G669="","Enter start and end times, or minutes",IF(C669="","Pick a machine",IF(SUMPRODUCT(--(Setup!$A$5:$A$34=C669))=0,"Machine not in Setup",IF(H669="","Pick a reason (counted as unclassified)",IF(I669="Not in Setup","Reason not in Setup (counted as unclassified)",IF(N(G669)=0,"0 minutes: not counted as a stop","OK")))))))))</f>
        <v/>
      </c>
    </row>
    <row r="670" customFormat="false" ht="15" hidden="false" customHeight="false" outlineLevel="0" collapsed="false">
      <c r="A670" s="11"/>
      <c r="B670" s="9"/>
      <c r="C670" s="9"/>
      <c r="D670" s="12"/>
      <c r="E670" s="12"/>
      <c r="F670" s="13"/>
      <c r="G670" s="14" t="str">
        <f aca="false">IF(F670&lt;&gt;"",IF(AND(ISNUMBER(F670),N(F670)&gt;=0),F670,""),IF(AND(ISNUMBER(D670),ISNUMBER(E670)),ROUND(MOD(E670-D670,1)*1440,0),""))</f>
        <v/>
      </c>
      <c r="H670" s="9"/>
      <c r="I670" s="10" t="str">
        <f aca="false">IF(H670="","",IF(SUMPRODUCT(MAX((Setup!$D$5:$D$34=H670)*(35-ROW(Setup!$D$5:$D$34))))=0,"Not in Setup",INDEX(Setup!$E$5:$E$34,31-SUMPRODUCT(MAX((Setup!$D$5:$D$34=H670)*(35-ROW(Setup!$D$5:$D$34)))))))</f>
        <v/>
      </c>
      <c r="J670" s="9"/>
      <c r="K670" s="10" t="str">
        <f aca="false">IF(AND(A670="",C670="",D670="",E670="",F670="",H670=""),"",IF(NOT(ISNUMBER(A670)),"Enter a date",IF(AND(F670&lt;&gt;"",OR(NOT(ISNUMBER(F670)),N(F670)&lt;0)),"Minutes must be a number of 0 or more",IF(G670="","Enter start and end times, or minutes",IF(C670="","Pick a machine",IF(SUMPRODUCT(--(Setup!$A$5:$A$34=C670))=0,"Machine not in Setup",IF(H670="","Pick a reason (counted as unclassified)",IF(I670="Not in Setup","Reason not in Setup (counted as unclassified)",IF(N(G670)=0,"0 minutes: not counted as a stop","OK")))))))))</f>
        <v/>
      </c>
    </row>
    <row r="671" customFormat="false" ht="15" hidden="false" customHeight="false" outlineLevel="0" collapsed="false">
      <c r="A671" s="11"/>
      <c r="B671" s="9"/>
      <c r="C671" s="9"/>
      <c r="D671" s="12"/>
      <c r="E671" s="12"/>
      <c r="F671" s="13"/>
      <c r="G671" s="14" t="str">
        <f aca="false">IF(F671&lt;&gt;"",IF(AND(ISNUMBER(F671),N(F671)&gt;=0),F671,""),IF(AND(ISNUMBER(D671),ISNUMBER(E671)),ROUND(MOD(E671-D671,1)*1440,0),""))</f>
        <v/>
      </c>
      <c r="H671" s="9"/>
      <c r="I671" s="10" t="str">
        <f aca="false">IF(H671="","",IF(SUMPRODUCT(MAX((Setup!$D$5:$D$34=H671)*(35-ROW(Setup!$D$5:$D$34))))=0,"Not in Setup",INDEX(Setup!$E$5:$E$34,31-SUMPRODUCT(MAX((Setup!$D$5:$D$34=H671)*(35-ROW(Setup!$D$5:$D$34)))))))</f>
        <v/>
      </c>
      <c r="J671" s="9"/>
      <c r="K671" s="10" t="str">
        <f aca="false">IF(AND(A671="",C671="",D671="",E671="",F671="",H671=""),"",IF(NOT(ISNUMBER(A671)),"Enter a date",IF(AND(F671&lt;&gt;"",OR(NOT(ISNUMBER(F671)),N(F671)&lt;0)),"Minutes must be a number of 0 or more",IF(G671="","Enter start and end times, or minutes",IF(C671="","Pick a machine",IF(SUMPRODUCT(--(Setup!$A$5:$A$34=C671))=0,"Machine not in Setup",IF(H671="","Pick a reason (counted as unclassified)",IF(I671="Not in Setup","Reason not in Setup (counted as unclassified)",IF(N(G671)=0,"0 minutes: not counted as a stop","OK")))))))))</f>
        <v/>
      </c>
    </row>
    <row r="672" customFormat="false" ht="15" hidden="false" customHeight="false" outlineLevel="0" collapsed="false">
      <c r="A672" s="11"/>
      <c r="B672" s="9"/>
      <c r="C672" s="9"/>
      <c r="D672" s="12"/>
      <c r="E672" s="12"/>
      <c r="F672" s="13"/>
      <c r="G672" s="14" t="str">
        <f aca="false">IF(F672&lt;&gt;"",IF(AND(ISNUMBER(F672),N(F672)&gt;=0),F672,""),IF(AND(ISNUMBER(D672),ISNUMBER(E672)),ROUND(MOD(E672-D672,1)*1440,0),""))</f>
        <v/>
      </c>
      <c r="H672" s="9"/>
      <c r="I672" s="10" t="str">
        <f aca="false">IF(H672="","",IF(SUMPRODUCT(MAX((Setup!$D$5:$D$34=H672)*(35-ROW(Setup!$D$5:$D$34))))=0,"Not in Setup",INDEX(Setup!$E$5:$E$34,31-SUMPRODUCT(MAX((Setup!$D$5:$D$34=H672)*(35-ROW(Setup!$D$5:$D$34)))))))</f>
        <v/>
      </c>
      <c r="J672" s="9"/>
      <c r="K672" s="10" t="str">
        <f aca="false">IF(AND(A672="",C672="",D672="",E672="",F672="",H672=""),"",IF(NOT(ISNUMBER(A672)),"Enter a date",IF(AND(F672&lt;&gt;"",OR(NOT(ISNUMBER(F672)),N(F672)&lt;0)),"Minutes must be a number of 0 or more",IF(G672="","Enter start and end times, or minutes",IF(C672="","Pick a machine",IF(SUMPRODUCT(--(Setup!$A$5:$A$34=C672))=0,"Machine not in Setup",IF(H672="","Pick a reason (counted as unclassified)",IF(I672="Not in Setup","Reason not in Setup (counted as unclassified)",IF(N(G672)=0,"0 minutes: not counted as a stop","OK")))))))))</f>
        <v/>
      </c>
    </row>
    <row r="673" customFormat="false" ht="15" hidden="false" customHeight="false" outlineLevel="0" collapsed="false">
      <c r="A673" s="11"/>
      <c r="B673" s="9"/>
      <c r="C673" s="9"/>
      <c r="D673" s="12"/>
      <c r="E673" s="12"/>
      <c r="F673" s="13"/>
      <c r="G673" s="14" t="str">
        <f aca="false">IF(F673&lt;&gt;"",IF(AND(ISNUMBER(F673),N(F673)&gt;=0),F673,""),IF(AND(ISNUMBER(D673),ISNUMBER(E673)),ROUND(MOD(E673-D673,1)*1440,0),""))</f>
        <v/>
      </c>
      <c r="H673" s="9"/>
      <c r="I673" s="10" t="str">
        <f aca="false">IF(H673="","",IF(SUMPRODUCT(MAX((Setup!$D$5:$D$34=H673)*(35-ROW(Setup!$D$5:$D$34))))=0,"Not in Setup",INDEX(Setup!$E$5:$E$34,31-SUMPRODUCT(MAX((Setup!$D$5:$D$34=H673)*(35-ROW(Setup!$D$5:$D$34)))))))</f>
        <v/>
      </c>
      <c r="J673" s="9"/>
      <c r="K673" s="10" t="str">
        <f aca="false">IF(AND(A673="",C673="",D673="",E673="",F673="",H673=""),"",IF(NOT(ISNUMBER(A673)),"Enter a date",IF(AND(F673&lt;&gt;"",OR(NOT(ISNUMBER(F673)),N(F673)&lt;0)),"Minutes must be a number of 0 or more",IF(G673="","Enter start and end times, or minutes",IF(C673="","Pick a machine",IF(SUMPRODUCT(--(Setup!$A$5:$A$34=C673))=0,"Machine not in Setup",IF(H673="","Pick a reason (counted as unclassified)",IF(I673="Not in Setup","Reason not in Setup (counted as unclassified)",IF(N(G673)=0,"0 minutes: not counted as a stop","OK")))))))))</f>
        <v/>
      </c>
    </row>
    <row r="674" customFormat="false" ht="15" hidden="false" customHeight="false" outlineLevel="0" collapsed="false">
      <c r="A674" s="11"/>
      <c r="B674" s="9"/>
      <c r="C674" s="9"/>
      <c r="D674" s="12"/>
      <c r="E674" s="12"/>
      <c r="F674" s="13"/>
      <c r="G674" s="14" t="str">
        <f aca="false">IF(F674&lt;&gt;"",IF(AND(ISNUMBER(F674),N(F674)&gt;=0),F674,""),IF(AND(ISNUMBER(D674),ISNUMBER(E674)),ROUND(MOD(E674-D674,1)*1440,0),""))</f>
        <v/>
      </c>
      <c r="H674" s="9"/>
      <c r="I674" s="10" t="str">
        <f aca="false">IF(H674="","",IF(SUMPRODUCT(MAX((Setup!$D$5:$D$34=H674)*(35-ROW(Setup!$D$5:$D$34))))=0,"Not in Setup",INDEX(Setup!$E$5:$E$34,31-SUMPRODUCT(MAX((Setup!$D$5:$D$34=H674)*(35-ROW(Setup!$D$5:$D$34)))))))</f>
        <v/>
      </c>
      <c r="J674" s="9"/>
      <c r="K674" s="10" t="str">
        <f aca="false">IF(AND(A674="",C674="",D674="",E674="",F674="",H674=""),"",IF(NOT(ISNUMBER(A674)),"Enter a date",IF(AND(F674&lt;&gt;"",OR(NOT(ISNUMBER(F674)),N(F674)&lt;0)),"Minutes must be a number of 0 or more",IF(G674="","Enter start and end times, or minutes",IF(C674="","Pick a machine",IF(SUMPRODUCT(--(Setup!$A$5:$A$34=C674))=0,"Machine not in Setup",IF(H674="","Pick a reason (counted as unclassified)",IF(I674="Not in Setup","Reason not in Setup (counted as unclassified)",IF(N(G674)=0,"0 minutes: not counted as a stop","OK")))))))))</f>
        <v/>
      </c>
    </row>
    <row r="675" customFormat="false" ht="15" hidden="false" customHeight="false" outlineLevel="0" collapsed="false">
      <c r="A675" s="11"/>
      <c r="B675" s="9"/>
      <c r="C675" s="9"/>
      <c r="D675" s="12"/>
      <c r="E675" s="12"/>
      <c r="F675" s="13"/>
      <c r="G675" s="14" t="str">
        <f aca="false">IF(F675&lt;&gt;"",IF(AND(ISNUMBER(F675),N(F675)&gt;=0),F675,""),IF(AND(ISNUMBER(D675),ISNUMBER(E675)),ROUND(MOD(E675-D675,1)*1440,0),""))</f>
        <v/>
      </c>
      <c r="H675" s="9"/>
      <c r="I675" s="10" t="str">
        <f aca="false">IF(H675="","",IF(SUMPRODUCT(MAX((Setup!$D$5:$D$34=H675)*(35-ROW(Setup!$D$5:$D$34))))=0,"Not in Setup",INDEX(Setup!$E$5:$E$34,31-SUMPRODUCT(MAX((Setup!$D$5:$D$34=H675)*(35-ROW(Setup!$D$5:$D$34)))))))</f>
        <v/>
      </c>
      <c r="J675" s="9"/>
      <c r="K675" s="10" t="str">
        <f aca="false">IF(AND(A675="",C675="",D675="",E675="",F675="",H675=""),"",IF(NOT(ISNUMBER(A675)),"Enter a date",IF(AND(F675&lt;&gt;"",OR(NOT(ISNUMBER(F675)),N(F675)&lt;0)),"Minutes must be a number of 0 or more",IF(G675="","Enter start and end times, or minutes",IF(C675="","Pick a machine",IF(SUMPRODUCT(--(Setup!$A$5:$A$34=C675))=0,"Machine not in Setup",IF(H675="","Pick a reason (counted as unclassified)",IF(I675="Not in Setup","Reason not in Setup (counted as unclassified)",IF(N(G675)=0,"0 minutes: not counted as a stop","OK")))))))))</f>
        <v/>
      </c>
    </row>
    <row r="676" customFormat="false" ht="15" hidden="false" customHeight="false" outlineLevel="0" collapsed="false">
      <c r="A676" s="11"/>
      <c r="B676" s="9"/>
      <c r="C676" s="9"/>
      <c r="D676" s="12"/>
      <c r="E676" s="12"/>
      <c r="F676" s="13"/>
      <c r="G676" s="14" t="str">
        <f aca="false">IF(F676&lt;&gt;"",IF(AND(ISNUMBER(F676),N(F676)&gt;=0),F676,""),IF(AND(ISNUMBER(D676),ISNUMBER(E676)),ROUND(MOD(E676-D676,1)*1440,0),""))</f>
        <v/>
      </c>
      <c r="H676" s="9"/>
      <c r="I676" s="10" t="str">
        <f aca="false">IF(H676="","",IF(SUMPRODUCT(MAX((Setup!$D$5:$D$34=H676)*(35-ROW(Setup!$D$5:$D$34))))=0,"Not in Setup",INDEX(Setup!$E$5:$E$34,31-SUMPRODUCT(MAX((Setup!$D$5:$D$34=H676)*(35-ROW(Setup!$D$5:$D$34)))))))</f>
        <v/>
      </c>
      <c r="J676" s="9"/>
      <c r="K676" s="10" t="str">
        <f aca="false">IF(AND(A676="",C676="",D676="",E676="",F676="",H676=""),"",IF(NOT(ISNUMBER(A676)),"Enter a date",IF(AND(F676&lt;&gt;"",OR(NOT(ISNUMBER(F676)),N(F676)&lt;0)),"Minutes must be a number of 0 or more",IF(G676="","Enter start and end times, or minutes",IF(C676="","Pick a machine",IF(SUMPRODUCT(--(Setup!$A$5:$A$34=C676))=0,"Machine not in Setup",IF(H676="","Pick a reason (counted as unclassified)",IF(I676="Not in Setup","Reason not in Setup (counted as unclassified)",IF(N(G676)=0,"0 minutes: not counted as a stop","OK")))))))))</f>
        <v/>
      </c>
    </row>
    <row r="677" customFormat="false" ht="15" hidden="false" customHeight="false" outlineLevel="0" collapsed="false">
      <c r="A677" s="11"/>
      <c r="B677" s="9"/>
      <c r="C677" s="9"/>
      <c r="D677" s="12"/>
      <c r="E677" s="12"/>
      <c r="F677" s="13"/>
      <c r="G677" s="14" t="str">
        <f aca="false">IF(F677&lt;&gt;"",IF(AND(ISNUMBER(F677),N(F677)&gt;=0),F677,""),IF(AND(ISNUMBER(D677),ISNUMBER(E677)),ROUND(MOD(E677-D677,1)*1440,0),""))</f>
        <v/>
      </c>
      <c r="H677" s="9"/>
      <c r="I677" s="10" t="str">
        <f aca="false">IF(H677="","",IF(SUMPRODUCT(MAX((Setup!$D$5:$D$34=H677)*(35-ROW(Setup!$D$5:$D$34))))=0,"Not in Setup",INDEX(Setup!$E$5:$E$34,31-SUMPRODUCT(MAX((Setup!$D$5:$D$34=H677)*(35-ROW(Setup!$D$5:$D$34)))))))</f>
        <v/>
      </c>
      <c r="J677" s="9"/>
      <c r="K677" s="10" t="str">
        <f aca="false">IF(AND(A677="",C677="",D677="",E677="",F677="",H677=""),"",IF(NOT(ISNUMBER(A677)),"Enter a date",IF(AND(F677&lt;&gt;"",OR(NOT(ISNUMBER(F677)),N(F677)&lt;0)),"Minutes must be a number of 0 or more",IF(G677="","Enter start and end times, or minutes",IF(C677="","Pick a machine",IF(SUMPRODUCT(--(Setup!$A$5:$A$34=C677))=0,"Machine not in Setup",IF(H677="","Pick a reason (counted as unclassified)",IF(I677="Not in Setup","Reason not in Setup (counted as unclassified)",IF(N(G677)=0,"0 minutes: not counted as a stop","OK")))))))))</f>
        <v/>
      </c>
    </row>
    <row r="678" customFormat="false" ht="15" hidden="false" customHeight="false" outlineLevel="0" collapsed="false">
      <c r="A678" s="11"/>
      <c r="B678" s="9"/>
      <c r="C678" s="9"/>
      <c r="D678" s="12"/>
      <c r="E678" s="12"/>
      <c r="F678" s="13"/>
      <c r="G678" s="14" t="str">
        <f aca="false">IF(F678&lt;&gt;"",IF(AND(ISNUMBER(F678),N(F678)&gt;=0),F678,""),IF(AND(ISNUMBER(D678),ISNUMBER(E678)),ROUND(MOD(E678-D678,1)*1440,0),""))</f>
        <v/>
      </c>
      <c r="H678" s="9"/>
      <c r="I678" s="10" t="str">
        <f aca="false">IF(H678="","",IF(SUMPRODUCT(MAX((Setup!$D$5:$D$34=H678)*(35-ROW(Setup!$D$5:$D$34))))=0,"Not in Setup",INDEX(Setup!$E$5:$E$34,31-SUMPRODUCT(MAX((Setup!$D$5:$D$34=H678)*(35-ROW(Setup!$D$5:$D$34)))))))</f>
        <v/>
      </c>
      <c r="J678" s="9"/>
      <c r="K678" s="10" t="str">
        <f aca="false">IF(AND(A678="",C678="",D678="",E678="",F678="",H678=""),"",IF(NOT(ISNUMBER(A678)),"Enter a date",IF(AND(F678&lt;&gt;"",OR(NOT(ISNUMBER(F678)),N(F678)&lt;0)),"Minutes must be a number of 0 or more",IF(G678="","Enter start and end times, or minutes",IF(C678="","Pick a machine",IF(SUMPRODUCT(--(Setup!$A$5:$A$34=C678))=0,"Machine not in Setup",IF(H678="","Pick a reason (counted as unclassified)",IF(I678="Not in Setup","Reason not in Setup (counted as unclassified)",IF(N(G678)=0,"0 minutes: not counted as a stop","OK")))))))))</f>
        <v/>
      </c>
    </row>
    <row r="679" customFormat="false" ht="15" hidden="false" customHeight="false" outlineLevel="0" collapsed="false">
      <c r="A679" s="11"/>
      <c r="B679" s="9"/>
      <c r="C679" s="9"/>
      <c r="D679" s="12"/>
      <c r="E679" s="12"/>
      <c r="F679" s="13"/>
      <c r="G679" s="14" t="str">
        <f aca="false">IF(F679&lt;&gt;"",IF(AND(ISNUMBER(F679),N(F679)&gt;=0),F679,""),IF(AND(ISNUMBER(D679),ISNUMBER(E679)),ROUND(MOD(E679-D679,1)*1440,0),""))</f>
        <v/>
      </c>
      <c r="H679" s="9"/>
      <c r="I679" s="10" t="str">
        <f aca="false">IF(H679="","",IF(SUMPRODUCT(MAX((Setup!$D$5:$D$34=H679)*(35-ROW(Setup!$D$5:$D$34))))=0,"Not in Setup",INDEX(Setup!$E$5:$E$34,31-SUMPRODUCT(MAX((Setup!$D$5:$D$34=H679)*(35-ROW(Setup!$D$5:$D$34)))))))</f>
        <v/>
      </c>
      <c r="J679" s="9"/>
      <c r="K679" s="10" t="str">
        <f aca="false">IF(AND(A679="",C679="",D679="",E679="",F679="",H679=""),"",IF(NOT(ISNUMBER(A679)),"Enter a date",IF(AND(F679&lt;&gt;"",OR(NOT(ISNUMBER(F679)),N(F679)&lt;0)),"Minutes must be a number of 0 or more",IF(G679="","Enter start and end times, or minutes",IF(C679="","Pick a machine",IF(SUMPRODUCT(--(Setup!$A$5:$A$34=C679))=0,"Machine not in Setup",IF(H679="","Pick a reason (counted as unclassified)",IF(I679="Not in Setup","Reason not in Setup (counted as unclassified)",IF(N(G679)=0,"0 minutes: not counted as a stop","OK")))))))))</f>
        <v/>
      </c>
    </row>
    <row r="680" customFormat="false" ht="15" hidden="false" customHeight="false" outlineLevel="0" collapsed="false">
      <c r="A680" s="11"/>
      <c r="B680" s="9"/>
      <c r="C680" s="9"/>
      <c r="D680" s="12"/>
      <c r="E680" s="12"/>
      <c r="F680" s="13"/>
      <c r="G680" s="14" t="str">
        <f aca="false">IF(F680&lt;&gt;"",IF(AND(ISNUMBER(F680),N(F680)&gt;=0),F680,""),IF(AND(ISNUMBER(D680),ISNUMBER(E680)),ROUND(MOD(E680-D680,1)*1440,0),""))</f>
        <v/>
      </c>
      <c r="H680" s="9"/>
      <c r="I680" s="10" t="str">
        <f aca="false">IF(H680="","",IF(SUMPRODUCT(MAX((Setup!$D$5:$D$34=H680)*(35-ROW(Setup!$D$5:$D$34))))=0,"Not in Setup",INDEX(Setup!$E$5:$E$34,31-SUMPRODUCT(MAX((Setup!$D$5:$D$34=H680)*(35-ROW(Setup!$D$5:$D$34)))))))</f>
        <v/>
      </c>
      <c r="J680" s="9"/>
      <c r="K680" s="10" t="str">
        <f aca="false">IF(AND(A680="",C680="",D680="",E680="",F680="",H680=""),"",IF(NOT(ISNUMBER(A680)),"Enter a date",IF(AND(F680&lt;&gt;"",OR(NOT(ISNUMBER(F680)),N(F680)&lt;0)),"Minutes must be a number of 0 or more",IF(G680="","Enter start and end times, or minutes",IF(C680="","Pick a machine",IF(SUMPRODUCT(--(Setup!$A$5:$A$34=C680))=0,"Machine not in Setup",IF(H680="","Pick a reason (counted as unclassified)",IF(I680="Not in Setup","Reason not in Setup (counted as unclassified)",IF(N(G680)=0,"0 minutes: not counted as a stop","OK")))))))))</f>
        <v/>
      </c>
    </row>
    <row r="681" customFormat="false" ht="15" hidden="false" customHeight="false" outlineLevel="0" collapsed="false">
      <c r="A681" s="11"/>
      <c r="B681" s="9"/>
      <c r="C681" s="9"/>
      <c r="D681" s="12"/>
      <c r="E681" s="12"/>
      <c r="F681" s="13"/>
      <c r="G681" s="14" t="str">
        <f aca="false">IF(F681&lt;&gt;"",IF(AND(ISNUMBER(F681),N(F681)&gt;=0),F681,""),IF(AND(ISNUMBER(D681),ISNUMBER(E681)),ROUND(MOD(E681-D681,1)*1440,0),""))</f>
        <v/>
      </c>
      <c r="H681" s="9"/>
      <c r="I681" s="10" t="str">
        <f aca="false">IF(H681="","",IF(SUMPRODUCT(MAX((Setup!$D$5:$D$34=H681)*(35-ROW(Setup!$D$5:$D$34))))=0,"Not in Setup",INDEX(Setup!$E$5:$E$34,31-SUMPRODUCT(MAX((Setup!$D$5:$D$34=H681)*(35-ROW(Setup!$D$5:$D$34)))))))</f>
        <v/>
      </c>
      <c r="J681" s="9"/>
      <c r="K681" s="10" t="str">
        <f aca="false">IF(AND(A681="",C681="",D681="",E681="",F681="",H681=""),"",IF(NOT(ISNUMBER(A681)),"Enter a date",IF(AND(F681&lt;&gt;"",OR(NOT(ISNUMBER(F681)),N(F681)&lt;0)),"Minutes must be a number of 0 or more",IF(G681="","Enter start and end times, or minutes",IF(C681="","Pick a machine",IF(SUMPRODUCT(--(Setup!$A$5:$A$34=C681))=0,"Machine not in Setup",IF(H681="","Pick a reason (counted as unclassified)",IF(I681="Not in Setup","Reason not in Setup (counted as unclassified)",IF(N(G681)=0,"0 minutes: not counted as a stop","OK")))))))))</f>
        <v/>
      </c>
    </row>
    <row r="682" customFormat="false" ht="15" hidden="false" customHeight="false" outlineLevel="0" collapsed="false">
      <c r="A682" s="11"/>
      <c r="B682" s="9"/>
      <c r="C682" s="9"/>
      <c r="D682" s="12"/>
      <c r="E682" s="12"/>
      <c r="F682" s="13"/>
      <c r="G682" s="14" t="str">
        <f aca="false">IF(F682&lt;&gt;"",IF(AND(ISNUMBER(F682),N(F682)&gt;=0),F682,""),IF(AND(ISNUMBER(D682),ISNUMBER(E682)),ROUND(MOD(E682-D682,1)*1440,0),""))</f>
        <v/>
      </c>
      <c r="H682" s="9"/>
      <c r="I682" s="10" t="str">
        <f aca="false">IF(H682="","",IF(SUMPRODUCT(MAX((Setup!$D$5:$D$34=H682)*(35-ROW(Setup!$D$5:$D$34))))=0,"Not in Setup",INDEX(Setup!$E$5:$E$34,31-SUMPRODUCT(MAX((Setup!$D$5:$D$34=H682)*(35-ROW(Setup!$D$5:$D$34)))))))</f>
        <v/>
      </c>
      <c r="J682" s="9"/>
      <c r="K682" s="10" t="str">
        <f aca="false">IF(AND(A682="",C682="",D682="",E682="",F682="",H682=""),"",IF(NOT(ISNUMBER(A682)),"Enter a date",IF(AND(F682&lt;&gt;"",OR(NOT(ISNUMBER(F682)),N(F682)&lt;0)),"Minutes must be a number of 0 or more",IF(G682="","Enter start and end times, or minutes",IF(C682="","Pick a machine",IF(SUMPRODUCT(--(Setup!$A$5:$A$34=C682))=0,"Machine not in Setup",IF(H682="","Pick a reason (counted as unclassified)",IF(I682="Not in Setup","Reason not in Setup (counted as unclassified)",IF(N(G682)=0,"0 minutes: not counted as a stop","OK")))))))))</f>
        <v/>
      </c>
    </row>
    <row r="683" customFormat="false" ht="15" hidden="false" customHeight="false" outlineLevel="0" collapsed="false">
      <c r="A683" s="11"/>
      <c r="B683" s="9"/>
      <c r="C683" s="9"/>
      <c r="D683" s="12"/>
      <c r="E683" s="12"/>
      <c r="F683" s="13"/>
      <c r="G683" s="14" t="str">
        <f aca="false">IF(F683&lt;&gt;"",IF(AND(ISNUMBER(F683),N(F683)&gt;=0),F683,""),IF(AND(ISNUMBER(D683),ISNUMBER(E683)),ROUND(MOD(E683-D683,1)*1440,0),""))</f>
        <v/>
      </c>
      <c r="H683" s="9"/>
      <c r="I683" s="10" t="str">
        <f aca="false">IF(H683="","",IF(SUMPRODUCT(MAX((Setup!$D$5:$D$34=H683)*(35-ROW(Setup!$D$5:$D$34))))=0,"Not in Setup",INDEX(Setup!$E$5:$E$34,31-SUMPRODUCT(MAX((Setup!$D$5:$D$34=H683)*(35-ROW(Setup!$D$5:$D$34)))))))</f>
        <v/>
      </c>
      <c r="J683" s="9"/>
      <c r="K683" s="10" t="str">
        <f aca="false">IF(AND(A683="",C683="",D683="",E683="",F683="",H683=""),"",IF(NOT(ISNUMBER(A683)),"Enter a date",IF(AND(F683&lt;&gt;"",OR(NOT(ISNUMBER(F683)),N(F683)&lt;0)),"Minutes must be a number of 0 or more",IF(G683="","Enter start and end times, or minutes",IF(C683="","Pick a machine",IF(SUMPRODUCT(--(Setup!$A$5:$A$34=C683))=0,"Machine not in Setup",IF(H683="","Pick a reason (counted as unclassified)",IF(I683="Not in Setup","Reason not in Setup (counted as unclassified)",IF(N(G683)=0,"0 minutes: not counted as a stop","OK")))))))))</f>
        <v/>
      </c>
    </row>
    <row r="684" customFormat="false" ht="15" hidden="false" customHeight="false" outlineLevel="0" collapsed="false">
      <c r="A684" s="11"/>
      <c r="B684" s="9"/>
      <c r="C684" s="9"/>
      <c r="D684" s="12"/>
      <c r="E684" s="12"/>
      <c r="F684" s="13"/>
      <c r="G684" s="14" t="str">
        <f aca="false">IF(F684&lt;&gt;"",IF(AND(ISNUMBER(F684),N(F684)&gt;=0),F684,""),IF(AND(ISNUMBER(D684),ISNUMBER(E684)),ROUND(MOD(E684-D684,1)*1440,0),""))</f>
        <v/>
      </c>
      <c r="H684" s="9"/>
      <c r="I684" s="10" t="str">
        <f aca="false">IF(H684="","",IF(SUMPRODUCT(MAX((Setup!$D$5:$D$34=H684)*(35-ROW(Setup!$D$5:$D$34))))=0,"Not in Setup",INDEX(Setup!$E$5:$E$34,31-SUMPRODUCT(MAX((Setup!$D$5:$D$34=H684)*(35-ROW(Setup!$D$5:$D$34)))))))</f>
        <v/>
      </c>
      <c r="J684" s="9"/>
      <c r="K684" s="10" t="str">
        <f aca="false">IF(AND(A684="",C684="",D684="",E684="",F684="",H684=""),"",IF(NOT(ISNUMBER(A684)),"Enter a date",IF(AND(F684&lt;&gt;"",OR(NOT(ISNUMBER(F684)),N(F684)&lt;0)),"Minutes must be a number of 0 or more",IF(G684="","Enter start and end times, or minutes",IF(C684="","Pick a machine",IF(SUMPRODUCT(--(Setup!$A$5:$A$34=C684))=0,"Machine not in Setup",IF(H684="","Pick a reason (counted as unclassified)",IF(I684="Not in Setup","Reason not in Setup (counted as unclassified)",IF(N(G684)=0,"0 minutes: not counted as a stop","OK")))))))))</f>
        <v/>
      </c>
    </row>
    <row r="685" customFormat="false" ht="15" hidden="false" customHeight="false" outlineLevel="0" collapsed="false">
      <c r="A685" s="11"/>
      <c r="B685" s="9"/>
      <c r="C685" s="9"/>
      <c r="D685" s="12"/>
      <c r="E685" s="12"/>
      <c r="F685" s="13"/>
      <c r="G685" s="14" t="str">
        <f aca="false">IF(F685&lt;&gt;"",IF(AND(ISNUMBER(F685),N(F685)&gt;=0),F685,""),IF(AND(ISNUMBER(D685),ISNUMBER(E685)),ROUND(MOD(E685-D685,1)*1440,0),""))</f>
        <v/>
      </c>
      <c r="H685" s="9"/>
      <c r="I685" s="10" t="str">
        <f aca="false">IF(H685="","",IF(SUMPRODUCT(MAX((Setup!$D$5:$D$34=H685)*(35-ROW(Setup!$D$5:$D$34))))=0,"Not in Setup",INDEX(Setup!$E$5:$E$34,31-SUMPRODUCT(MAX((Setup!$D$5:$D$34=H685)*(35-ROW(Setup!$D$5:$D$34)))))))</f>
        <v/>
      </c>
      <c r="J685" s="9"/>
      <c r="K685" s="10" t="str">
        <f aca="false">IF(AND(A685="",C685="",D685="",E685="",F685="",H685=""),"",IF(NOT(ISNUMBER(A685)),"Enter a date",IF(AND(F685&lt;&gt;"",OR(NOT(ISNUMBER(F685)),N(F685)&lt;0)),"Minutes must be a number of 0 or more",IF(G685="","Enter start and end times, or minutes",IF(C685="","Pick a machine",IF(SUMPRODUCT(--(Setup!$A$5:$A$34=C685))=0,"Machine not in Setup",IF(H685="","Pick a reason (counted as unclassified)",IF(I685="Not in Setup","Reason not in Setup (counted as unclassified)",IF(N(G685)=0,"0 minutes: not counted as a stop","OK")))))))))</f>
        <v/>
      </c>
    </row>
    <row r="686" customFormat="false" ht="15" hidden="false" customHeight="false" outlineLevel="0" collapsed="false">
      <c r="A686" s="11"/>
      <c r="B686" s="9"/>
      <c r="C686" s="9"/>
      <c r="D686" s="12"/>
      <c r="E686" s="12"/>
      <c r="F686" s="13"/>
      <c r="G686" s="14" t="str">
        <f aca="false">IF(F686&lt;&gt;"",IF(AND(ISNUMBER(F686),N(F686)&gt;=0),F686,""),IF(AND(ISNUMBER(D686),ISNUMBER(E686)),ROUND(MOD(E686-D686,1)*1440,0),""))</f>
        <v/>
      </c>
      <c r="H686" s="9"/>
      <c r="I686" s="10" t="str">
        <f aca="false">IF(H686="","",IF(SUMPRODUCT(MAX((Setup!$D$5:$D$34=H686)*(35-ROW(Setup!$D$5:$D$34))))=0,"Not in Setup",INDEX(Setup!$E$5:$E$34,31-SUMPRODUCT(MAX((Setup!$D$5:$D$34=H686)*(35-ROW(Setup!$D$5:$D$34)))))))</f>
        <v/>
      </c>
      <c r="J686" s="9"/>
      <c r="K686" s="10" t="str">
        <f aca="false">IF(AND(A686="",C686="",D686="",E686="",F686="",H686=""),"",IF(NOT(ISNUMBER(A686)),"Enter a date",IF(AND(F686&lt;&gt;"",OR(NOT(ISNUMBER(F686)),N(F686)&lt;0)),"Minutes must be a number of 0 or more",IF(G686="","Enter start and end times, or minutes",IF(C686="","Pick a machine",IF(SUMPRODUCT(--(Setup!$A$5:$A$34=C686))=0,"Machine not in Setup",IF(H686="","Pick a reason (counted as unclassified)",IF(I686="Not in Setup","Reason not in Setup (counted as unclassified)",IF(N(G686)=0,"0 minutes: not counted as a stop","OK")))))))))</f>
        <v/>
      </c>
    </row>
    <row r="687" customFormat="false" ht="15" hidden="false" customHeight="false" outlineLevel="0" collapsed="false">
      <c r="A687" s="11"/>
      <c r="B687" s="9"/>
      <c r="C687" s="9"/>
      <c r="D687" s="12"/>
      <c r="E687" s="12"/>
      <c r="F687" s="13"/>
      <c r="G687" s="14" t="str">
        <f aca="false">IF(F687&lt;&gt;"",IF(AND(ISNUMBER(F687),N(F687)&gt;=0),F687,""),IF(AND(ISNUMBER(D687),ISNUMBER(E687)),ROUND(MOD(E687-D687,1)*1440,0),""))</f>
        <v/>
      </c>
      <c r="H687" s="9"/>
      <c r="I687" s="10" t="str">
        <f aca="false">IF(H687="","",IF(SUMPRODUCT(MAX((Setup!$D$5:$D$34=H687)*(35-ROW(Setup!$D$5:$D$34))))=0,"Not in Setup",INDEX(Setup!$E$5:$E$34,31-SUMPRODUCT(MAX((Setup!$D$5:$D$34=H687)*(35-ROW(Setup!$D$5:$D$34)))))))</f>
        <v/>
      </c>
      <c r="J687" s="9"/>
      <c r="K687" s="10" t="str">
        <f aca="false">IF(AND(A687="",C687="",D687="",E687="",F687="",H687=""),"",IF(NOT(ISNUMBER(A687)),"Enter a date",IF(AND(F687&lt;&gt;"",OR(NOT(ISNUMBER(F687)),N(F687)&lt;0)),"Minutes must be a number of 0 or more",IF(G687="","Enter start and end times, or minutes",IF(C687="","Pick a machine",IF(SUMPRODUCT(--(Setup!$A$5:$A$34=C687))=0,"Machine not in Setup",IF(H687="","Pick a reason (counted as unclassified)",IF(I687="Not in Setup","Reason not in Setup (counted as unclassified)",IF(N(G687)=0,"0 minutes: not counted as a stop","OK")))))))))</f>
        <v/>
      </c>
    </row>
    <row r="688" customFormat="false" ht="15" hidden="false" customHeight="false" outlineLevel="0" collapsed="false">
      <c r="A688" s="11"/>
      <c r="B688" s="9"/>
      <c r="C688" s="9"/>
      <c r="D688" s="12"/>
      <c r="E688" s="12"/>
      <c r="F688" s="13"/>
      <c r="G688" s="14" t="str">
        <f aca="false">IF(F688&lt;&gt;"",IF(AND(ISNUMBER(F688),N(F688)&gt;=0),F688,""),IF(AND(ISNUMBER(D688),ISNUMBER(E688)),ROUND(MOD(E688-D688,1)*1440,0),""))</f>
        <v/>
      </c>
      <c r="H688" s="9"/>
      <c r="I688" s="10" t="str">
        <f aca="false">IF(H688="","",IF(SUMPRODUCT(MAX((Setup!$D$5:$D$34=H688)*(35-ROW(Setup!$D$5:$D$34))))=0,"Not in Setup",INDEX(Setup!$E$5:$E$34,31-SUMPRODUCT(MAX((Setup!$D$5:$D$34=H688)*(35-ROW(Setup!$D$5:$D$34)))))))</f>
        <v/>
      </c>
      <c r="J688" s="9"/>
      <c r="K688" s="10" t="str">
        <f aca="false">IF(AND(A688="",C688="",D688="",E688="",F688="",H688=""),"",IF(NOT(ISNUMBER(A688)),"Enter a date",IF(AND(F688&lt;&gt;"",OR(NOT(ISNUMBER(F688)),N(F688)&lt;0)),"Minutes must be a number of 0 or more",IF(G688="","Enter start and end times, or minutes",IF(C688="","Pick a machine",IF(SUMPRODUCT(--(Setup!$A$5:$A$34=C688))=0,"Machine not in Setup",IF(H688="","Pick a reason (counted as unclassified)",IF(I688="Not in Setup","Reason not in Setup (counted as unclassified)",IF(N(G688)=0,"0 minutes: not counted as a stop","OK")))))))))</f>
        <v/>
      </c>
    </row>
    <row r="689" customFormat="false" ht="15" hidden="false" customHeight="false" outlineLevel="0" collapsed="false">
      <c r="A689" s="11"/>
      <c r="B689" s="9"/>
      <c r="C689" s="9"/>
      <c r="D689" s="12"/>
      <c r="E689" s="12"/>
      <c r="F689" s="13"/>
      <c r="G689" s="14" t="str">
        <f aca="false">IF(F689&lt;&gt;"",IF(AND(ISNUMBER(F689),N(F689)&gt;=0),F689,""),IF(AND(ISNUMBER(D689),ISNUMBER(E689)),ROUND(MOD(E689-D689,1)*1440,0),""))</f>
        <v/>
      </c>
      <c r="H689" s="9"/>
      <c r="I689" s="10" t="str">
        <f aca="false">IF(H689="","",IF(SUMPRODUCT(MAX((Setup!$D$5:$D$34=H689)*(35-ROW(Setup!$D$5:$D$34))))=0,"Not in Setup",INDEX(Setup!$E$5:$E$34,31-SUMPRODUCT(MAX((Setup!$D$5:$D$34=H689)*(35-ROW(Setup!$D$5:$D$34)))))))</f>
        <v/>
      </c>
      <c r="J689" s="9"/>
      <c r="K689" s="10" t="str">
        <f aca="false">IF(AND(A689="",C689="",D689="",E689="",F689="",H689=""),"",IF(NOT(ISNUMBER(A689)),"Enter a date",IF(AND(F689&lt;&gt;"",OR(NOT(ISNUMBER(F689)),N(F689)&lt;0)),"Minutes must be a number of 0 or more",IF(G689="","Enter start and end times, or minutes",IF(C689="","Pick a machine",IF(SUMPRODUCT(--(Setup!$A$5:$A$34=C689))=0,"Machine not in Setup",IF(H689="","Pick a reason (counted as unclassified)",IF(I689="Not in Setup","Reason not in Setup (counted as unclassified)",IF(N(G689)=0,"0 minutes: not counted as a stop","OK")))))))))</f>
        <v/>
      </c>
    </row>
    <row r="690" customFormat="false" ht="15" hidden="false" customHeight="false" outlineLevel="0" collapsed="false">
      <c r="A690" s="11"/>
      <c r="B690" s="9"/>
      <c r="C690" s="9"/>
      <c r="D690" s="12"/>
      <c r="E690" s="12"/>
      <c r="F690" s="13"/>
      <c r="G690" s="14" t="str">
        <f aca="false">IF(F690&lt;&gt;"",IF(AND(ISNUMBER(F690),N(F690)&gt;=0),F690,""),IF(AND(ISNUMBER(D690),ISNUMBER(E690)),ROUND(MOD(E690-D690,1)*1440,0),""))</f>
        <v/>
      </c>
      <c r="H690" s="9"/>
      <c r="I690" s="10" t="str">
        <f aca="false">IF(H690="","",IF(SUMPRODUCT(MAX((Setup!$D$5:$D$34=H690)*(35-ROW(Setup!$D$5:$D$34))))=0,"Not in Setup",INDEX(Setup!$E$5:$E$34,31-SUMPRODUCT(MAX((Setup!$D$5:$D$34=H690)*(35-ROW(Setup!$D$5:$D$34)))))))</f>
        <v/>
      </c>
      <c r="J690" s="9"/>
      <c r="K690" s="10" t="str">
        <f aca="false">IF(AND(A690="",C690="",D690="",E690="",F690="",H690=""),"",IF(NOT(ISNUMBER(A690)),"Enter a date",IF(AND(F690&lt;&gt;"",OR(NOT(ISNUMBER(F690)),N(F690)&lt;0)),"Minutes must be a number of 0 or more",IF(G690="","Enter start and end times, or minutes",IF(C690="","Pick a machine",IF(SUMPRODUCT(--(Setup!$A$5:$A$34=C690))=0,"Machine not in Setup",IF(H690="","Pick a reason (counted as unclassified)",IF(I690="Not in Setup","Reason not in Setup (counted as unclassified)",IF(N(G690)=0,"0 minutes: not counted as a stop","OK")))))))))</f>
        <v/>
      </c>
    </row>
    <row r="691" customFormat="false" ht="15" hidden="false" customHeight="false" outlineLevel="0" collapsed="false">
      <c r="A691" s="11"/>
      <c r="B691" s="9"/>
      <c r="C691" s="9"/>
      <c r="D691" s="12"/>
      <c r="E691" s="12"/>
      <c r="F691" s="13"/>
      <c r="G691" s="14" t="str">
        <f aca="false">IF(F691&lt;&gt;"",IF(AND(ISNUMBER(F691),N(F691)&gt;=0),F691,""),IF(AND(ISNUMBER(D691),ISNUMBER(E691)),ROUND(MOD(E691-D691,1)*1440,0),""))</f>
        <v/>
      </c>
      <c r="H691" s="9"/>
      <c r="I691" s="10" t="str">
        <f aca="false">IF(H691="","",IF(SUMPRODUCT(MAX((Setup!$D$5:$D$34=H691)*(35-ROW(Setup!$D$5:$D$34))))=0,"Not in Setup",INDEX(Setup!$E$5:$E$34,31-SUMPRODUCT(MAX((Setup!$D$5:$D$34=H691)*(35-ROW(Setup!$D$5:$D$34)))))))</f>
        <v/>
      </c>
      <c r="J691" s="9"/>
      <c r="K691" s="10" t="str">
        <f aca="false">IF(AND(A691="",C691="",D691="",E691="",F691="",H691=""),"",IF(NOT(ISNUMBER(A691)),"Enter a date",IF(AND(F691&lt;&gt;"",OR(NOT(ISNUMBER(F691)),N(F691)&lt;0)),"Minutes must be a number of 0 or more",IF(G691="","Enter start and end times, or minutes",IF(C691="","Pick a machine",IF(SUMPRODUCT(--(Setup!$A$5:$A$34=C691))=0,"Machine not in Setup",IF(H691="","Pick a reason (counted as unclassified)",IF(I691="Not in Setup","Reason not in Setup (counted as unclassified)",IF(N(G691)=0,"0 minutes: not counted as a stop","OK")))))))))</f>
        <v/>
      </c>
    </row>
    <row r="692" customFormat="false" ht="15" hidden="false" customHeight="false" outlineLevel="0" collapsed="false">
      <c r="A692" s="11"/>
      <c r="B692" s="9"/>
      <c r="C692" s="9"/>
      <c r="D692" s="12"/>
      <c r="E692" s="12"/>
      <c r="F692" s="13"/>
      <c r="G692" s="14" t="str">
        <f aca="false">IF(F692&lt;&gt;"",IF(AND(ISNUMBER(F692),N(F692)&gt;=0),F692,""),IF(AND(ISNUMBER(D692),ISNUMBER(E692)),ROUND(MOD(E692-D692,1)*1440,0),""))</f>
        <v/>
      </c>
      <c r="H692" s="9"/>
      <c r="I692" s="10" t="str">
        <f aca="false">IF(H692="","",IF(SUMPRODUCT(MAX((Setup!$D$5:$D$34=H692)*(35-ROW(Setup!$D$5:$D$34))))=0,"Not in Setup",INDEX(Setup!$E$5:$E$34,31-SUMPRODUCT(MAX((Setup!$D$5:$D$34=H692)*(35-ROW(Setup!$D$5:$D$34)))))))</f>
        <v/>
      </c>
      <c r="J692" s="9"/>
      <c r="K692" s="10" t="str">
        <f aca="false">IF(AND(A692="",C692="",D692="",E692="",F692="",H692=""),"",IF(NOT(ISNUMBER(A692)),"Enter a date",IF(AND(F692&lt;&gt;"",OR(NOT(ISNUMBER(F692)),N(F692)&lt;0)),"Minutes must be a number of 0 or more",IF(G692="","Enter start and end times, or minutes",IF(C692="","Pick a machine",IF(SUMPRODUCT(--(Setup!$A$5:$A$34=C692))=0,"Machine not in Setup",IF(H692="","Pick a reason (counted as unclassified)",IF(I692="Not in Setup","Reason not in Setup (counted as unclassified)",IF(N(G692)=0,"0 minutes: not counted as a stop","OK")))))))))</f>
        <v/>
      </c>
    </row>
    <row r="693" customFormat="false" ht="15" hidden="false" customHeight="false" outlineLevel="0" collapsed="false">
      <c r="A693" s="11"/>
      <c r="B693" s="9"/>
      <c r="C693" s="9"/>
      <c r="D693" s="12"/>
      <c r="E693" s="12"/>
      <c r="F693" s="13"/>
      <c r="G693" s="14" t="str">
        <f aca="false">IF(F693&lt;&gt;"",IF(AND(ISNUMBER(F693),N(F693)&gt;=0),F693,""),IF(AND(ISNUMBER(D693),ISNUMBER(E693)),ROUND(MOD(E693-D693,1)*1440,0),""))</f>
        <v/>
      </c>
      <c r="H693" s="9"/>
      <c r="I693" s="10" t="str">
        <f aca="false">IF(H693="","",IF(SUMPRODUCT(MAX((Setup!$D$5:$D$34=H693)*(35-ROW(Setup!$D$5:$D$34))))=0,"Not in Setup",INDEX(Setup!$E$5:$E$34,31-SUMPRODUCT(MAX((Setup!$D$5:$D$34=H693)*(35-ROW(Setup!$D$5:$D$34)))))))</f>
        <v/>
      </c>
      <c r="J693" s="9"/>
      <c r="K693" s="10" t="str">
        <f aca="false">IF(AND(A693="",C693="",D693="",E693="",F693="",H693=""),"",IF(NOT(ISNUMBER(A693)),"Enter a date",IF(AND(F693&lt;&gt;"",OR(NOT(ISNUMBER(F693)),N(F693)&lt;0)),"Minutes must be a number of 0 or more",IF(G693="","Enter start and end times, or minutes",IF(C693="","Pick a machine",IF(SUMPRODUCT(--(Setup!$A$5:$A$34=C693))=0,"Machine not in Setup",IF(H693="","Pick a reason (counted as unclassified)",IF(I693="Not in Setup","Reason not in Setup (counted as unclassified)",IF(N(G693)=0,"0 minutes: not counted as a stop","OK")))))))))</f>
        <v/>
      </c>
    </row>
    <row r="694" customFormat="false" ht="15" hidden="false" customHeight="false" outlineLevel="0" collapsed="false">
      <c r="A694" s="11"/>
      <c r="B694" s="9"/>
      <c r="C694" s="9"/>
      <c r="D694" s="12"/>
      <c r="E694" s="12"/>
      <c r="F694" s="13"/>
      <c r="G694" s="14" t="str">
        <f aca="false">IF(F694&lt;&gt;"",IF(AND(ISNUMBER(F694),N(F694)&gt;=0),F694,""),IF(AND(ISNUMBER(D694),ISNUMBER(E694)),ROUND(MOD(E694-D694,1)*1440,0),""))</f>
        <v/>
      </c>
      <c r="H694" s="9"/>
      <c r="I694" s="10" t="str">
        <f aca="false">IF(H694="","",IF(SUMPRODUCT(MAX((Setup!$D$5:$D$34=H694)*(35-ROW(Setup!$D$5:$D$34))))=0,"Not in Setup",INDEX(Setup!$E$5:$E$34,31-SUMPRODUCT(MAX((Setup!$D$5:$D$34=H694)*(35-ROW(Setup!$D$5:$D$34)))))))</f>
        <v/>
      </c>
      <c r="J694" s="9"/>
      <c r="K694" s="10" t="str">
        <f aca="false">IF(AND(A694="",C694="",D694="",E694="",F694="",H694=""),"",IF(NOT(ISNUMBER(A694)),"Enter a date",IF(AND(F694&lt;&gt;"",OR(NOT(ISNUMBER(F694)),N(F694)&lt;0)),"Minutes must be a number of 0 or more",IF(G694="","Enter start and end times, or minutes",IF(C694="","Pick a machine",IF(SUMPRODUCT(--(Setup!$A$5:$A$34=C694))=0,"Machine not in Setup",IF(H694="","Pick a reason (counted as unclassified)",IF(I694="Not in Setup","Reason not in Setup (counted as unclassified)",IF(N(G694)=0,"0 minutes: not counted as a stop","OK")))))))))</f>
        <v/>
      </c>
    </row>
    <row r="695" customFormat="false" ht="15" hidden="false" customHeight="false" outlineLevel="0" collapsed="false">
      <c r="A695" s="11"/>
      <c r="B695" s="9"/>
      <c r="C695" s="9"/>
      <c r="D695" s="12"/>
      <c r="E695" s="12"/>
      <c r="F695" s="13"/>
      <c r="G695" s="14" t="str">
        <f aca="false">IF(F695&lt;&gt;"",IF(AND(ISNUMBER(F695),N(F695)&gt;=0),F695,""),IF(AND(ISNUMBER(D695),ISNUMBER(E695)),ROUND(MOD(E695-D695,1)*1440,0),""))</f>
        <v/>
      </c>
      <c r="H695" s="9"/>
      <c r="I695" s="10" t="str">
        <f aca="false">IF(H695="","",IF(SUMPRODUCT(MAX((Setup!$D$5:$D$34=H695)*(35-ROW(Setup!$D$5:$D$34))))=0,"Not in Setup",INDEX(Setup!$E$5:$E$34,31-SUMPRODUCT(MAX((Setup!$D$5:$D$34=H695)*(35-ROW(Setup!$D$5:$D$34)))))))</f>
        <v/>
      </c>
      <c r="J695" s="9"/>
      <c r="K695" s="10" t="str">
        <f aca="false">IF(AND(A695="",C695="",D695="",E695="",F695="",H695=""),"",IF(NOT(ISNUMBER(A695)),"Enter a date",IF(AND(F695&lt;&gt;"",OR(NOT(ISNUMBER(F695)),N(F695)&lt;0)),"Minutes must be a number of 0 or more",IF(G695="","Enter start and end times, or minutes",IF(C695="","Pick a machine",IF(SUMPRODUCT(--(Setup!$A$5:$A$34=C695))=0,"Machine not in Setup",IF(H695="","Pick a reason (counted as unclassified)",IF(I695="Not in Setup","Reason not in Setup (counted as unclassified)",IF(N(G695)=0,"0 minutes: not counted as a stop","OK")))))))))</f>
        <v/>
      </c>
    </row>
    <row r="696" customFormat="false" ht="15" hidden="false" customHeight="false" outlineLevel="0" collapsed="false">
      <c r="A696" s="11"/>
      <c r="B696" s="9"/>
      <c r="C696" s="9"/>
      <c r="D696" s="12"/>
      <c r="E696" s="12"/>
      <c r="F696" s="13"/>
      <c r="G696" s="14" t="str">
        <f aca="false">IF(F696&lt;&gt;"",IF(AND(ISNUMBER(F696),N(F696)&gt;=0),F696,""),IF(AND(ISNUMBER(D696),ISNUMBER(E696)),ROUND(MOD(E696-D696,1)*1440,0),""))</f>
        <v/>
      </c>
      <c r="H696" s="9"/>
      <c r="I696" s="10" t="str">
        <f aca="false">IF(H696="","",IF(SUMPRODUCT(MAX((Setup!$D$5:$D$34=H696)*(35-ROW(Setup!$D$5:$D$34))))=0,"Not in Setup",INDEX(Setup!$E$5:$E$34,31-SUMPRODUCT(MAX((Setup!$D$5:$D$34=H696)*(35-ROW(Setup!$D$5:$D$34)))))))</f>
        <v/>
      </c>
      <c r="J696" s="9"/>
      <c r="K696" s="10" t="str">
        <f aca="false">IF(AND(A696="",C696="",D696="",E696="",F696="",H696=""),"",IF(NOT(ISNUMBER(A696)),"Enter a date",IF(AND(F696&lt;&gt;"",OR(NOT(ISNUMBER(F696)),N(F696)&lt;0)),"Minutes must be a number of 0 or more",IF(G696="","Enter start and end times, or minutes",IF(C696="","Pick a machine",IF(SUMPRODUCT(--(Setup!$A$5:$A$34=C696))=0,"Machine not in Setup",IF(H696="","Pick a reason (counted as unclassified)",IF(I696="Not in Setup","Reason not in Setup (counted as unclassified)",IF(N(G696)=0,"0 minutes: not counted as a stop","OK")))))))))</f>
        <v/>
      </c>
    </row>
    <row r="697" customFormat="false" ht="15" hidden="false" customHeight="false" outlineLevel="0" collapsed="false">
      <c r="A697" s="11"/>
      <c r="B697" s="9"/>
      <c r="C697" s="9"/>
      <c r="D697" s="12"/>
      <c r="E697" s="12"/>
      <c r="F697" s="13"/>
      <c r="G697" s="14" t="str">
        <f aca="false">IF(F697&lt;&gt;"",IF(AND(ISNUMBER(F697),N(F697)&gt;=0),F697,""),IF(AND(ISNUMBER(D697),ISNUMBER(E697)),ROUND(MOD(E697-D697,1)*1440,0),""))</f>
        <v/>
      </c>
      <c r="H697" s="9"/>
      <c r="I697" s="10" t="str">
        <f aca="false">IF(H697="","",IF(SUMPRODUCT(MAX((Setup!$D$5:$D$34=H697)*(35-ROW(Setup!$D$5:$D$34))))=0,"Not in Setup",INDEX(Setup!$E$5:$E$34,31-SUMPRODUCT(MAX((Setup!$D$5:$D$34=H697)*(35-ROW(Setup!$D$5:$D$34)))))))</f>
        <v/>
      </c>
      <c r="J697" s="9"/>
      <c r="K697" s="10" t="str">
        <f aca="false">IF(AND(A697="",C697="",D697="",E697="",F697="",H697=""),"",IF(NOT(ISNUMBER(A697)),"Enter a date",IF(AND(F697&lt;&gt;"",OR(NOT(ISNUMBER(F697)),N(F697)&lt;0)),"Minutes must be a number of 0 or more",IF(G697="","Enter start and end times, or minutes",IF(C697="","Pick a machine",IF(SUMPRODUCT(--(Setup!$A$5:$A$34=C697))=0,"Machine not in Setup",IF(H697="","Pick a reason (counted as unclassified)",IF(I697="Not in Setup","Reason not in Setup (counted as unclassified)",IF(N(G697)=0,"0 minutes: not counted as a stop","OK")))))))))</f>
        <v/>
      </c>
    </row>
    <row r="698" customFormat="false" ht="15" hidden="false" customHeight="false" outlineLevel="0" collapsed="false">
      <c r="A698" s="11"/>
      <c r="B698" s="9"/>
      <c r="C698" s="9"/>
      <c r="D698" s="12"/>
      <c r="E698" s="12"/>
      <c r="F698" s="13"/>
      <c r="G698" s="14" t="str">
        <f aca="false">IF(F698&lt;&gt;"",IF(AND(ISNUMBER(F698),N(F698)&gt;=0),F698,""),IF(AND(ISNUMBER(D698),ISNUMBER(E698)),ROUND(MOD(E698-D698,1)*1440,0),""))</f>
        <v/>
      </c>
      <c r="H698" s="9"/>
      <c r="I698" s="10" t="str">
        <f aca="false">IF(H698="","",IF(SUMPRODUCT(MAX((Setup!$D$5:$D$34=H698)*(35-ROW(Setup!$D$5:$D$34))))=0,"Not in Setup",INDEX(Setup!$E$5:$E$34,31-SUMPRODUCT(MAX((Setup!$D$5:$D$34=H698)*(35-ROW(Setup!$D$5:$D$34)))))))</f>
        <v/>
      </c>
      <c r="J698" s="9"/>
      <c r="K698" s="10" t="str">
        <f aca="false">IF(AND(A698="",C698="",D698="",E698="",F698="",H698=""),"",IF(NOT(ISNUMBER(A698)),"Enter a date",IF(AND(F698&lt;&gt;"",OR(NOT(ISNUMBER(F698)),N(F698)&lt;0)),"Minutes must be a number of 0 or more",IF(G698="","Enter start and end times, or minutes",IF(C698="","Pick a machine",IF(SUMPRODUCT(--(Setup!$A$5:$A$34=C698))=0,"Machine not in Setup",IF(H698="","Pick a reason (counted as unclassified)",IF(I698="Not in Setup","Reason not in Setup (counted as unclassified)",IF(N(G698)=0,"0 minutes: not counted as a stop","OK")))))))))</f>
        <v/>
      </c>
    </row>
    <row r="699" customFormat="false" ht="15" hidden="false" customHeight="false" outlineLevel="0" collapsed="false">
      <c r="A699" s="11"/>
      <c r="B699" s="9"/>
      <c r="C699" s="9"/>
      <c r="D699" s="12"/>
      <c r="E699" s="12"/>
      <c r="F699" s="13"/>
      <c r="G699" s="14" t="str">
        <f aca="false">IF(F699&lt;&gt;"",IF(AND(ISNUMBER(F699),N(F699)&gt;=0),F699,""),IF(AND(ISNUMBER(D699),ISNUMBER(E699)),ROUND(MOD(E699-D699,1)*1440,0),""))</f>
        <v/>
      </c>
      <c r="H699" s="9"/>
      <c r="I699" s="10" t="str">
        <f aca="false">IF(H699="","",IF(SUMPRODUCT(MAX((Setup!$D$5:$D$34=H699)*(35-ROW(Setup!$D$5:$D$34))))=0,"Not in Setup",INDEX(Setup!$E$5:$E$34,31-SUMPRODUCT(MAX((Setup!$D$5:$D$34=H699)*(35-ROW(Setup!$D$5:$D$34)))))))</f>
        <v/>
      </c>
      <c r="J699" s="9"/>
      <c r="K699" s="10" t="str">
        <f aca="false">IF(AND(A699="",C699="",D699="",E699="",F699="",H699=""),"",IF(NOT(ISNUMBER(A699)),"Enter a date",IF(AND(F699&lt;&gt;"",OR(NOT(ISNUMBER(F699)),N(F699)&lt;0)),"Minutes must be a number of 0 or more",IF(G699="","Enter start and end times, or minutes",IF(C699="","Pick a machine",IF(SUMPRODUCT(--(Setup!$A$5:$A$34=C699))=0,"Machine not in Setup",IF(H699="","Pick a reason (counted as unclassified)",IF(I699="Not in Setup","Reason not in Setup (counted as unclassified)",IF(N(G699)=0,"0 minutes: not counted as a stop","OK")))))))))</f>
        <v/>
      </c>
    </row>
    <row r="700" customFormat="false" ht="15" hidden="false" customHeight="false" outlineLevel="0" collapsed="false">
      <c r="A700" s="11"/>
      <c r="B700" s="9"/>
      <c r="C700" s="9"/>
      <c r="D700" s="12"/>
      <c r="E700" s="12"/>
      <c r="F700" s="13"/>
      <c r="G700" s="14" t="str">
        <f aca="false">IF(F700&lt;&gt;"",IF(AND(ISNUMBER(F700),N(F700)&gt;=0),F700,""),IF(AND(ISNUMBER(D700),ISNUMBER(E700)),ROUND(MOD(E700-D700,1)*1440,0),""))</f>
        <v/>
      </c>
      <c r="H700" s="9"/>
      <c r="I700" s="10" t="str">
        <f aca="false">IF(H700="","",IF(SUMPRODUCT(MAX((Setup!$D$5:$D$34=H700)*(35-ROW(Setup!$D$5:$D$34))))=0,"Not in Setup",INDEX(Setup!$E$5:$E$34,31-SUMPRODUCT(MAX((Setup!$D$5:$D$34=H700)*(35-ROW(Setup!$D$5:$D$34)))))))</f>
        <v/>
      </c>
      <c r="J700" s="9"/>
      <c r="K700" s="10" t="str">
        <f aca="false">IF(AND(A700="",C700="",D700="",E700="",F700="",H700=""),"",IF(NOT(ISNUMBER(A700)),"Enter a date",IF(AND(F700&lt;&gt;"",OR(NOT(ISNUMBER(F700)),N(F700)&lt;0)),"Minutes must be a number of 0 or more",IF(G700="","Enter start and end times, or minutes",IF(C700="","Pick a machine",IF(SUMPRODUCT(--(Setup!$A$5:$A$34=C700))=0,"Machine not in Setup",IF(H700="","Pick a reason (counted as unclassified)",IF(I700="Not in Setup","Reason not in Setup (counted as unclassified)",IF(N(G700)=0,"0 minutes: not counted as a stop","OK")))))))))</f>
        <v/>
      </c>
    </row>
    <row r="701" customFormat="false" ht="15" hidden="false" customHeight="false" outlineLevel="0" collapsed="false">
      <c r="A701" s="11"/>
      <c r="B701" s="9"/>
      <c r="C701" s="9"/>
      <c r="D701" s="12"/>
      <c r="E701" s="12"/>
      <c r="F701" s="13"/>
      <c r="G701" s="14" t="str">
        <f aca="false">IF(F701&lt;&gt;"",IF(AND(ISNUMBER(F701),N(F701)&gt;=0),F701,""),IF(AND(ISNUMBER(D701),ISNUMBER(E701)),ROUND(MOD(E701-D701,1)*1440,0),""))</f>
        <v/>
      </c>
      <c r="H701" s="9"/>
      <c r="I701" s="10" t="str">
        <f aca="false">IF(H701="","",IF(SUMPRODUCT(MAX((Setup!$D$5:$D$34=H701)*(35-ROW(Setup!$D$5:$D$34))))=0,"Not in Setup",INDEX(Setup!$E$5:$E$34,31-SUMPRODUCT(MAX((Setup!$D$5:$D$34=H701)*(35-ROW(Setup!$D$5:$D$34)))))))</f>
        <v/>
      </c>
      <c r="J701" s="9"/>
      <c r="K701" s="10" t="str">
        <f aca="false">IF(AND(A701="",C701="",D701="",E701="",F701="",H701=""),"",IF(NOT(ISNUMBER(A701)),"Enter a date",IF(AND(F701&lt;&gt;"",OR(NOT(ISNUMBER(F701)),N(F701)&lt;0)),"Minutes must be a number of 0 or more",IF(G701="","Enter start and end times, or minutes",IF(C701="","Pick a machine",IF(SUMPRODUCT(--(Setup!$A$5:$A$34=C701))=0,"Machine not in Setup",IF(H701="","Pick a reason (counted as unclassified)",IF(I701="Not in Setup","Reason not in Setup (counted as unclassified)",IF(N(G701)=0,"0 minutes: not counted as a stop","OK")))))))))</f>
        <v/>
      </c>
    </row>
    <row r="702" customFormat="false" ht="15" hidden="false" customHeight="false" outlineLevel="0" collapsed="false">
      <c r="A702" s="11"/>
      <c r="B702" s="9"/>
      <c r="C702" s="9"/>
      <c r="D702" s="12"/>
      <c r="E702" s="12"/>
      <c r="F702" s="13"/>
      <c r="G702" s="14" t="str">
        <f aca="false">IF(F702&lt;&gt;"",IF(AND(ISNUMBER(F702),N(F702)&gt;=0),F702,""),IF(AND(ISNUMBER(D702),ISNUMBER(E702)),ROUND(MOD(E702-D702,1)*1440,0),""))</f>
        <v/>
      </c>
      <c r="H702" s="9"/>
      <c r="I702" s="10" t="str">
        <f aca="false">IF(H702="","",IF(SUMPRODUCT(MAX((Setup!$D$5:$D$34=H702)*(35-ROW(Setup!$D$5:$D$34))))=0,"Not in Setup",INDEX(Setup!$E$5:$E$34,31-SUMPRODUCT(MAX((Setup!$D$5:$D$34=H702)*(35-ROW(Setup!$D$5:$D$34)))))))</f>
        <v/>
      </c>
      <c r="J702" s="9"/>
      <c r="K702" s="10" t="str">
        <f aca="false">IF(AND(A702="",C702="",D702="",E702="",F702="",H702=""),"",IF(NOT(ISNUMBER(A702)),"Enter a date",IF(AND(F702&lt;&gt;"",OR(NOT(ISNUMBER(F702)),N(F702)&lt;0)),"Minutes must be a number of 0 or more",IF(G702="","Enter start and end times, or minutes",IF(C702="","Pick a machine",IF(SUMPRODUCT(--(Setup!$A$5:$A$34=C702))=0,"Machine not in Setup",IF(H702="","Pick a reason (counted as unclassified)",IF(I702="Not in Setup","Reason not in Setup (counted as unclassified)",IF(N(G702)=0,"0 minutes: not counted as a stop","OK")))))))))</f>
        <v/>
      </c>
    </row>
    <row r="703" customFormat="false" ht="15" hidden="false" customHeight="false" outlineLevel="0" collapsed="false">
      <c r="A703" s="11"/>
      <c r="B703" s="9"/>
      <c r="C703" s="9"/>
      <c r="D703" s="12"/>
      <c r="E703" s="12"/>
      <c r="F703" s="13"/>
      <c r="G703" s="14" t="str">
        <f aca="false">IF(F703&lt;&gt;"",IF(AND(ISNUMBER(F703),N(F703)&gt;=0),F703,""),IF(AND(ISNUMBER(D703),ISNUMBER(E703)),ROUND(MOD(E703-D703,1)*1440,0),""))</f>
        <v/>
      </c>
      <c r="H703" s="9"/>
      <c r="I703" s="10" t="str">
        <f aca="false">IF(H703="","",IF(SUMPRODUCT(MAX((Setup!$D$5:$D$34=H703)*(35-ROW(Setup!$D$5:$D$34))))=0,"Not in Setup",INDEX(Setup!$E$5:$E$34,31-SUMPRODUCT(MAX((Setup!$D$5:$D$34=H703)*(35-ROW(Setup!$D$5:$D$34)))))))</f>
        <v/>
      </c>
      <c r="J703" s="9"/>
      <c r="K703" s="10" t="str">
        <f aca="false">IF(AND(A703="",C703="",D703="",E703="",F703="",H703=""),"",IF(NOT(ISNUMBER(A703)),"Enter a date",IF(AND(F703&lt;&gt;"",OR(NOT(ISNUMBER(F703)),N(F703)&lt;0)),"Minutes must be a number of 0 or more",IF(G703="","Enter start and end times, or minutes",IF(C703="","Pick a machine",IF(SUMPRODUCT(--(Setup!$A$5:$A$34=C703))=0,"Machine not in Setup",IF(H703="","Pick a reason (counted as unclassified)",IF(I703="Not in Setup","Reason not in Setup (counted as unclassified)",IF(N(G703)=0,"0 minutes: not counted as a stop","OK")))))))))</f>
        <v/>
      </c>
    </row>
    <row r="704" customFormat="false" ht="15" hidden="false" customHeight="false" outlineLevel="0" collapsed="false">
      <c r="A704" s="11"/>
      <c r="B704" s="9"/>
      <c r="C704" s="9"/>
      <c r="D704" s="12"/>
      <c r="E704" s="12"/>
      <c r="F704" s="13"/>
      <c r="G704" s="14" t="str">
        <f aca="false">IF(F704&lt;&gt;"",IF(AND(ISNUMBER(F704),N(F704)&gt;=0),F704,""),IF(AND(ISNUMBER(D704),ISNUMBER(E704)),ROUND(MOD(E704-D704,1)*1440,0),""))</f>
        <v/>
      </c>
      <c r="H704" s="9"/>
      <c r="I704" s="10" t="str">
        <f aca="false">IF(H704="","",IF(SUMPRODUCT(MAX((Setup!$D$5:$D$34=H704)*(35-ROW(Setup!$D$5:$D$34))))=0,"Not in Setup",INDEX(Setup!$E$5:$E$34,31-SUMPRODUCT(MAX((Setup!$D$5:$D$34=H704)*(35-ROW(Setup!$D$5:$D$34)))))))</f>
        <v/>
      </c>
      <c r="J704" s="9"/>
      <c r="K704" s="10" t="str">
        <f aca="false">IF(AND(A704="",C704="",D704="",E704="",F704="",H704=""),"",IF(NOT(ISNUMBER(A704)),"Enter a date",IF(AND(F704&lt;&gt;"",OR(NOT(ISNUMBER(F704)),N(F704)&lt;0)),"Minutes must be a number of 0 or more",IF(G704="","Enter start and end times, or minutes",IF(C704="","Pick a machine",IF(SUMPRODUCT(--(Setup!$A$5:$A$34=C704))=0,"Machine not in Setup",IF(H704="","Pick a reason (counted as unclassified)",IF(I704="Not in Setup","Reason not in Setup (counted as unclassified)",IF(N(G704)=0,"0 minutes: not counted as a stop","OK")))))))))</f>
        <v/>
      </c>
    </row>
    <row r="705" customFormat="false" ht="15" hidden="false" customHeight="false" outlineLevel="0" collapsed="false">
      <c r="A705" s="11"/>
      <c r="B705" s="9"/>
      <c r="C705" s="9"/>
      <c r="D705" s="12"/>
      <c r="E705" s="12"/>
      <c r="F705" s="13"/>
      <c r="G705" s="14" t="str">
        <f aca="false">IF(F705&lt;&gt;"",IF(AND(ISNUMBER(F705),N(F705)&gt;=0),F705,""),IF(AND(ISNUMBER(D705),ISNUMBER(E705)),ROUND(MOD(E705-D705,1)*1440,0),""))</f>
        <v/>
      </c>
      <c r="H705" s="9"/>
      <c r="I705" s="10" t="str">
        <f aca="false">IF(H705="","",IF(SUMPRODUCT(MAX((Setup!$D$5:$D$34=H705)*(35-ROW(Setup!$D$5:$D$34))))=0,"Not in Setup",INDEX(Setup!$E$5:$E$34,31-SUMPRODUCT(MAX((Setup!$D$5:$D$34=H705)*(35-ROW(Setup!$D$5:$D$34)))))))</f>
        <v/>
      </c>
      <c r="J705" s="9"/>
      <c r="K705" s="10" t="str">
        <f aca="false">IF(AND(A705="",C705="",D705="",E705="",F705="",H705=""),"",IF(NOT(ISNUMBER(A705)),"Enter a date",IF(AND(F705&lt;&gt;"",OR(NOT(ISNUMBER(F705)),N(F705)&lt;0)),"Minutes must be a number of 0 or more",IF(G705="","Enter start and end times, or minutes",IF(C705="","Pick a machine",IF(SUMPRODUCT(--(Setup!$A$5:$A$34=C705))=0,"Machine not in Setup",IF(H705="","Pick a reason (counted as unclassified)",IF(I705="Not in Setup","Reason not in Setup (counted as unclassified)",IF(N(G705)=0,"0 minutes: not counted as a stop","OK")))))))))</f>
        <v/>
      </c>
    </row>
    <row r="706" customFormat="false" ht="15" hidden="false" customHeight="false" outlineLevel="0" collapsed="false">
      <c r="A706" s="11"/>
      <c r="B706" s="9"/>
      <c r="C706" s="9"/>
      <c r="D706" s="12"/>
      <c r="E706" s="12"/>
      <c r="F706" s="13"/>
      <c r="G706" s="14" t="str">
        <f aca="false">IF(F706&lt;&gt;"",IF(AND(ISNUMBER(F706),N(F706)&gt;=0),F706,""),IF(AND(ISNUMBER(D706),ISNUMBER(E706)),ROUND(MOD(E706-D706,1)*1440,0),""))</f>
        <v/>
      </c>
      <c r="H706" s="9"/>
      <c r="I706" s="10" t="str">
        <f aca="false">IF(H706="","",IF(SUMPRODUCT(MAX((Setup!$D$5:$D$34=H706)*(35-ROW(Setup!$D$5:$D$34))))=0,"Not in Setup",INDEX(Setup!$E$5:$E$34,31-SUMPRODUCT(MAX((Setup!$D$5:$D$34=H706)*(35-ROW(Setup!$D$5:$D$34)))))))</f>
        <v/>
      </c>
      <c r="J706" s="9"/>
      <c r="K706" s="10" t="str">
        <f aca="false">IF(AND(A706="",C706="",D706="",E706="",F706="",H706=""),"",IF(NOT(ISNUMBER(A706)),"Enter a date",IF(AND(F706&lt;&gt;"",OR(NOT(ISNUMBER(F706)),N(F706)&lt;0)),"Minutes must be a number of 0 or more",IF(G706="","Enter start and end times, or minutes",IF(C706="","Pick a machine",IF(SUMPRODUCT(--(Setup!$A$5:$A$34=C706))=0,"Machine not in Setup",IF(H706="","Pick a reason (counted as unclassified)",IF(I706="Not in Setup","Reason not in Setup (counted as unclassified)",IF(N(G706)=0,"0 minutes: not counted as a stop","OK")))))))))</f>
        <v/>
      </c>
    </row>
    <row r="707" customFormat="false" ht="15" hidden="false" customHeight="false" outlineLevel="0" collapsed="false">
      <c r="A707" s="11"/>
      <c r="B707" s="9"/>
      <c r="C707" s="9"/>
      <c r="D707" s="12"/>
      <c r="E707" s="12"/>
      <c r="F707" s="13"/>
      <c r="G707" s="14" t="str">
        <f aca="false">IF(F707&lt;&gt;"",IF(AND(ISNUMBER(F707),N(F707)&gt;=0),F707,""),IF(AND(ISNUMBER(D707),ISNUMBER(E707)),ROUND(MOD(E707-D707,1)*1440,0),""))</f>
        <v/>
      </c>
      <c r="H707" s="9"/>
      <c r="I707" s="10" t="str">
        <f aca="false">IF(H707="","",IF(SUMPRODUCT(MAX((Setup!$D$5:$D$34=H707)*(35-ROW(Setup!$D$5:$D$34))))=0,"Not in Setup",INDEX(Setup!$E$5:$E$34,31-SUMPRODUCT(MAX((Setup!$D$5:$D$34=H707)*(35-ROW(Setup!$D$5:$D$34)))))))</f>
        <v/>
      </c>
      <c r="J707" s="9"/>
      <c r="K707" s="10" t="str">
        <f aca="false">IF(AND(A707="",C707="",D707="",E707="",F707="",H707=""),"",IF(NOT(ISNUMBER(A707)),"Enter a date",IF(AND(F707&lt;&gt;"",OR(NOT(ISNUMBER(F707)),N(F707)&lt;0)),"Minutes must be a number of 0 or more",IF(G707="","Enter start and end times, or minutes",IF(C707="","Pick a machine",IF(SUMPRODUCT(--(Setup!$A$5:$A$34=C707))=0,"Machine not in Setup",IF(H707="","Pick a reason (counted as unclassified)",IF(I707="Not in Setup","Reason not in Setup (counted as unclassified)",IF(N(G707)=0,"0 minutes: not counted as a stop","OK")))))))))</f>
        <v/>
      </c>
    </row>
    <row r="708" customFormat="false" ht="15" hidden="false" customHeight="false" outlineLevel="0" collapsed="false">
      <c r="A708" s="11"/>
      <c r="B708" s="9"/>
      <c r="C708" s="9"/>
      <c r="D708" s="12"/>
      <c r="E708" s="12"/>
      <c r="F708" s="13"/>
      <c r="G708" s="14" t="str">
        <f aca="false">IF(F708&lt;&gt;"",IF(AND(ISNUMBER(F708),N(F708)&gt;=0),F708,""),IF(AND(ISNUMBER(D708),ISNUMBER(E708)),ROUND(MOD(E708-D708,1)*1440,0),""))</f>
        <v/>
      </c>
      <c r="H708" s="9"/>
      <c r="I708" s="10" t="str">
        <f aca="false">IF(H708="","",IF(SUMPRODUCT(MAX((Setup!$D$5:$D$34=H708)*(35-ROW(Setup!$D$5:$D$34))))=0,"Not in Setup",INDEX(Setup!$E$5:$E$34,31-SUMPRODUCT(MAX((Setup!$D$5:$D$34=H708)*(35-ROW(Setup!$D$5:$D$34)))))))</f>
        <v/>
      </c>
      <c r="J708" s="9"/>
      <c r="K708" s="10" t="str">
        <f aca="false">IF(AND(A708="",C708="",D708="",E708="",F708="",H708=""),"",IF(NOT(ISNUMBER(A708)),"Enter a date",IF(AND(F708&lt;&gt;"",OR(NOT(ISNUMBER(F708)),N(F708)&lt;0)),"Minutes must be a number of 0 or more",IF(G708="","Enter start and end times, or minutes",IF(C708="","Pick a machine",IF(SUMPRODUCT(--(Setup!$A$5:$A$34=C708))=0,"Machine not in Setup",IF(H708="","Pick a reason (counted as unclassified)",IF(I708="Not in Setup","Reason not in Setup (counted as unclassified)",IF(N(G708)=0,"0 minutes: not counted as a stop","OK")))))))))</f>
        <v/>
      </c>
    </row>
    <row r="709" customFormat="false" ht="15" hidden="false" customHeight="false" outlineLevel="0" collapsed="false">
      <c r="A709" s="11"/>
      <c r="B709" s="9"/>
      <c r="C709" s="9"/>
      <c r="D709" s="12"/>
      <c r="E709" s="12"/>
      <c r="F709" s="13"/>
      <c r="G709" s="14" t="str">
        <f aca="false">IF(F709&lt;&gt;"",IF(AND(ISNUMBER(F709),N(F709)&gt;=0),F709,""),IF(AND(ISNUMBER(D709),ISNUMBER(E709)),ROUND(MOD(E709-D709,1)*1440,0),""))</f>
        <v/>
      </c>
      <c r="H709" s="9"/>
      <c r="I709" s="10" t="str">
        <f aca="false">IF(H709="","",IF(SUMPRODUCT(MAX((Setup!$D$5:$D$34=H709)*(35-ROW(Setup!$D$5:$D$34))))=0,"Not in Setup",INDEX(Setup!$E$5:$E$34,31-SUMPRODUCT(MAX((Setup!$D$5:$D$34=H709)*(35-ROW(Setup!$D$5:$D$34)))))))</f>
        <v/>
      </c>
      <c r="J709" s="9"/>
      <c r="K709" s="10" t="str">
        <f aca="false">IF(AND(A709="",C709="",D709="",E709="",F709="",H709=""),"",IF(NOT(ISNUMBER(A709)),"Enter a date",IF(AND(F709&lt;&gt;"",OR(NOT(ISNUMBER(F709)),N(F709)&lt;0)),"Minutes must be a number of 0 or more",IF(G709="","Enter start and end times, or minutes",IF(C709="","Pick a machine",IF(SUMPRODUCT(--(Setup!$A$5:$A$34=C709))=0,"Machine not in Setup",IF(H709="","Pick a reason (counted as unclassified)",IF(I709="Not in Setup","Reason not in Setup (counted as unclassified)",IF(N(G709)=0,"0 minutes: not counted as a stop","OK")))))))))</f>
        <v/>
      </c>
    </row>
    <row r="710" customFormat="false" ht="15" hidden="false" customHeight="false" outlineLevel="0" collapsed="false">
      <c r="A710" s="11"/>
      <c r="B710" s="9"/>
      <c r="C710" s="9"/>
      <c r="D710" s="12"/>
      <c r="E710" s="12"/>
      <c r="F710" s="13"/>
      <c r="G710" s="14" t="str">
        <f aca="false">IF(F710&lt;&gt;"",IF(AND(ISNUMBER(F710),N(F710)&gt;=0),F710,""),IF(AND(ISNUMBER(D710),ISNUMBER(E710)),ROUND(MOD(E710-D710,1)*1440,0),""))</f>
        <v/>
      </c>
      <c r="H710" s="9"/>
      <c r="I710" s="10" t="str">
        <f aca="false">IF(H710="","",IF(SUMPRODUCT(MAX((Setup!$D$5:$D$34=H710)*(35-ROW(Setup!$D$5:$D$34))))=0,"Not in Setup",INDEX(Setup!$E$5:$E$34,31-SUMPRODUCT(MAX((Setup!$D$5:$D$34=H710)*(35-ROW(Setup!$D$5:$D$34)))))))</f>
        <v/>
      </c>
      <c r="J710" s="9"/>
      <c r="K710" s="10" t="str">
        <f aca="false">IF(AND(A710="",C710="",D710="",E710="",F710="",H710=""),"",IF(NOT(ISNUMBER(A710)),"Enter a date",IF(AND(F710&lt;&gt;"",OR(NOT(ISNUMBER(F710)),N(F710)&lt;0)),"Minutes must be a number of 0 or more",IF(G710="","Enter start and end times, or minutes",IF(C710="","Pick a machine",IF(SUMPRODUCT(--(Setup!$A$5:$A$34=C710))=0,"Machine not in Setup",IF(H710="","Pick a reason (counted as unclassified)",IF(I710="Not in Setup","Reason not in Setup (counted as unclassified)",IF(N(G710)=0,"0 minutes: not counted as a stop","OK")))))))))</f>
        <v/>
      </c>
    </row>
    <row r="711" customFormat="false" ht="15" hidden="false" customHeight="false" outlineLevel="0" collapsed="false">
      <c r="A711" s="11"/>
      <c r="B711" s="9"/>
      <c r="C711" s="9"/>
      <c r="D711" s="12"/>
      <c r="E711" s="12"/>
      <c r="F711" s="13"/>
      <c r="G711" s="14" t="str">
        <f aca="false">IF(F711&lt;&gt;"",IF(AND(ISNUMBER(F711),N(F711)&gt;=0),F711,""),IF(AND(ISNUMBER(D711),ISNUMBER(E711)),ROUND(MOD(E711-D711,1)*1440,0),""))</f>
        <v/>
      </c>
      <c r="H711" s="9"/>
      <c r="I711" s="10" t="str">
        <f aca="false">IF(H711="","",IF(SUMPRODUCT(MAX((Setup!$D$5:$D$34=H711)*(35-ROW(Setup!$D$5:$D$34))))=0,"Not in Setup",INDEX(Setup!$E$5:$E$34,31-SUMPRODUCT(MAX((Setup!$D$5:$D$34=H711)*(35-ROW(Setup!$D$5:$D$34)))))))</f>
        <v/>
      </c>
      <c r="J711" s="9"/>
      <c r="K711" s="10" t="str">
        <f aca="false">IF(AND(A711="",C711="",D711="",E711="",F711="",H711=""),"",IF(NOT(ISNUMBER(A711)),"Enter a date",IF(AND(F711&lt;&gt;"",OR(NOT(ISNUMBER(F711)),N(F711)&lt;0)),"Minutes must be a number of 0 or more",IF(G711="","Enter start and end times, or minutes",IF(C711="","Pick a machine",IF(SUMPRODUCT(--(Setup!$A$5:$A$34=C711))=0,"Machine not in Setup",IF(H711="","Pick a reason (counted as unclassified)",IF(I711="Not in Setup","Reason not in Setup (counted as unclassified)",IF(N(G711)=0,"0 minutes: not counted as a stop","OK")))))))))</f>
        <v/>
      </c>
    </row>
    <row r="712" customFormat="false" ht="15" hidden="false" customHeight="false" outlineLevel="0" collapsed="false">
      <c r="A712" s="11"/>
      <c r="B712" s="9"/>
      <c r="C712" s="9"/>
      <c r="D712" s="12"/>
      <c r="E712" s="12"/>
      <c r="F712" s="13"/>
      <c r="G712" s="14" t="str">
        <f aca="false">IF(F712&lt;&gt;"",IF(AND(ISNUMBER(F712),N(F712)&gt;=0),F712,""),IF(AND(ISNUMBER(D712),ISNUMBER(E712)),ROUND(MOD(E712-D712,1)*1440,0),""))</f>
        <v/>
      </c>
      <c r="H712" s="9"/>
      <c r="I712" s="10" t="str">
        <f aca="false">IF(H712="","",IF(SUMPRODUCT(MAX((Setup!$D$5:$D$34=H712)*(35-ROW(Setup!$D$5:$D$34))))=0,"Not in Setup",INDEX(Setup!$E$5:$E$34,31-SUMPRODUCT(MAX((Setup!$D$5:$D$34=H712)*(35-ROW(Setup!$D$5:$D$34)))))))</f>
        <v/>
      </c>
      <c r="J712" s="9"/>
      <c r="K712" s="10" t="str">
        <f aca="false">IF(AND(A712="",C712="",D712="",E712="",F712="",H712=""),"",IF(NOT(ISNUMBER(A712)),"Enter a date",IF(AND(F712&lt;&gt;"",OR(NOT(ISNUMBER(F712)),N(F712)&lt;0)),"Minutes must be a number of 0 or more",IF(G712="","Enter start and end times, or minutes",IF(C712="","Pick a machine",IF(SUMPRODUCT(--(Setup!$A$5:$A$34=C712))=0,"Machine not in Setup",IF(H712="","Pick a reason (counted as unclassified)",IF(I712="Not in Setup","Reason not in Setup (counted as unclassified)",IF(N(G712)=0,"0 minutes: not counted as a stop","OK")))))))))</f>
        <v/>
      </c>
    </row>
    <row r="713" customFormat="false" ht="15" hidden="false" customHeight="false" outlineLevel="0" collapsed="false">
      <c r="A713" s="11"/>
      <c r="B713" s="9"/>
      <c r="C713" s="9"/>
      <c r="D713" s="12"/>
      <c r="E713" s="12"/>
      <c r="F713" s="13"/>
      <c r="G713" s="14" t="str">
        <f aca="false">IF(F713&lt;&gt;"",IF(AND(ISNUMBER(F713),N(F713)&gt;=0),F713,""),IF(AND(ISNUMBER(D713),ISNUMBER(E713)),ROUND(MOD(E713-D713,1)*1440,0),""))</f>
        <v/>
      </c>
      <c r="H713" s="9"/>
      <c r="I713" s="10" t="str">
        <f aca="false">IF(H713="","",IF(SUMPRODUCT(MAX((Setup!$D$5:$D$34=H713)*(35-ROW(Setup!$D$5:$D$34))))=0,"Not in Setup",INDEX(Setup!$E$5:$E$34,31-SUMPRODUCT(MAX((Setup!$D$5:$D$34=H713)*(35-ROW(Setup!$D$5:$D$34)))))))</f>
        <v/>
      </c>
      <c r="J713" s="9"/>
      <c r="K713" s="10" t="str">
        <f aca="false">IF(AND(A713="",C713="",D713="",E713="",F713="",H713=""),"",IF(NOT(ISNUMBER(A713)),"Enter a date",IF(AND(F713&lt;&gt;"",OR(NOT(ISNUMBER(F713)),N(F713)&lt;0)),"Minutes must be a number of 0 or more",IF(G713="","Enter start and end times, or minutes",IF(C713="","Pick a machine",IF(SUMPRODUCT(--(Setup!$A$5:$A$34=C713))=0,"Machine not in Setup",IF(H713="","Pick a reason (counted as unclassified)",IF(I713="Not in Setup","Reason not in Setup (counted as unclassified)",IF(N(G713)=0,"0 minutes: not counted as a stop","OK")))))))))</f>
        <v/>
      </c>
    </row>
    <row r="714" customFormat="false" ht="15" hidden="false" customHeight="false" outlineLevel="0" collapsed="false">
      <c r="A714" s="11"/>
      <c r="B714" s="9"/>
      <c r="C714" s="9"/>
      <c r="D714" s="12"/>
      <c r="E714" s="12"/>
      <c r="F714" s="13"/>
      <c r="G714" s="14" t="str">
        <f aca="false">IF(F714&lt;&gt;"",IF(AND(ISNUMBER(F714),N(F714)&gt;=0),F714,""),IF(AND(ISNUMBER(D714),ISNUMBER(E714)),ROUND(MOD(E714-D714,1)*1440,0),""))</f>
        <v/>
      </c>
      <c r="H714" s="9"/>
      <c r="I714" s="10" t="str">
        <f aca="false">IF(H714="","",IF(SUMPRODUCT(MAX((Setup!$D$5:$D$34=H714)*(35-ROW(Setup!$D$5:$D$34))))=0,"Not in Setup",INDEX(Setup!$E$5:$E$34,31-SUMPRODUCT(MAX((Setup!$D$5:$D$34=H714)*(35-ROW(Setup!$D$5:$D$34)))))))</f>
        <v/>
      </c>
      <c r="J714" s="9"/>
      <c r="K714" s="10" t="str">
        <f aca="false">IF(AND(A714="",C714="",D714="",E714="",F714="",H714=""),"",IF(NOT(ISNUMBER(A714)),"Enter a date",IF(AND(F714&lt;&gt;"",OR(NOT(ISNUMBER(F714)),N(F714)&lt;0)),"Minutes must be a number of 0 or more",IF(G714="","Enter start and end times, or minutes",IF(C714="","Pick a machine",IF(SUMPRODUCT(--(Setup!$A$5:$A$34=C714))=0,"Machine not in Setup",IF(H714="","Pick a reason (counted as unclassified)",IF(I714="Not in Setup","Reason not in Setup (counted as unclassified)",IF(N(G714)=0,"0 minutes: not counted as a stop","OK")))))))))</f>
        <v/>
      </c>
    </row>
    <row r="715" customFormat="false" ht="15" hidden="false" customHeight="false" outlineLevel="0" collapsed="false">
      <c r="A715" s="11"/>
      <c r="B715" s="9"/>
      <c r="C715" s="9"/>
      <c r="D715" s="12"/>
      <c r="E715" s="12"/>
      <c r="F715" s="13"/>
      <c r="G715" s="14" t="str">
        <f aca="false">IF(F715&lt;&gt;"",IF(AND(ISNUMBER(F715),N(F715)&gt;=0),F715,""),IF(AND(ISNUMBER(D715),ISNUMBER(E715)),ROUND(MOD(E715-D715,1)*1440,0),""))</f>
        <v/>
      </c>
      <c r="H715" s="9"/>
      <c r="I715" s="10" t="str">
        <f aca="false">IF(H715="","",IF(SUMPRODUCT(MAX((Setup!$D$5:$D$34=H715)*(35-ROW(Setup!$D$5:$D$34))))=0,"Not in Setup",INDEX(Setup!$E$5:$E$34,31-SUMPRODUCT(MAX((Setup!$D$5:$D$34=H715)*(35-ROW(Setup!$D$5:$D$34)))))))</f>
        <v/>
      </c>
      <c r="J715" s="9"/>
      <c r="K715" s="10" t="str">
        <f aca="false">IF(AND(A715="",C715="",D715="",E715="",F715="",H715=""),"",IF(NOT(ISNUMBER(A715)),"Enter a date",IF(AND(F715&lt;&gt;"",OR(NOT(ISNUMBER(F715)),N(F715)&lt;0)),"Minutes must be a number of 0 or more",IF(G715="","Enter start and end times, or minutes",IF(C715="","Pick a machine",IF(SUMPRODUCT(--(Setup!$A$5:$A$34=C715))=0,"Machine not in Setup",IF(H715="","Pick a reason (counted as unclassified)",IF(I715="Not in Setup","Reason not in Setup (counted as unclassified)",IF(N(G715)=0,"0 minutes: not counted as a stop","OK")))))))))</f>
        <v/>
      </c>
    </row>
    <row r="716" customFormat="false" ht="15" hidden="false" customHeight="false" outlineLevel="0" collapsed="false">
      <c r="A716" s="11"/>
      <c r="B716" s="9"/>
      <c r="C716" s="9"/>
      <c r="D716" s="12"/>
      <c r="E716" s="12"/>
      <c r="F716" s="13"/>
      <c r="G716" s="14" t="str">
        <f aca="false">IF(F716&lt;&gt;"",IF(AND(ISNUMBER(F716),N(F716)&gt;=0),F716,""),IF(AND(ISNUMBER(D716),ISNUMBER(E716)),ROUND(MOD(E716-D716,1)*1440,0),""))</f>
        <v/>
      </c>
      <c r="H716" s="9"/>
      <c r="I716" s="10" t="str">
        <f aca="false">IF(H716="","",IF(SUMPRODUCT(MAX((Setup!$D$5:$D$34=H716)*(35-ROW(Setup!$D$5:$D$34))))=0,"Not in Setup",INDEX(Setup!$E$5:$E$34,31-SUMPRODUCT(MAX((Setup!$D$5:$D$34=H716)*(35-ROW(Setup!$D$5:$D$34)))))))</f>
        <v/>
      </c>
      <c r="J716" s="9"/>
      <c r="K716" s="10" t="str">
        <f aca="false">IF(AND(A716="",C716="",D716="",E716="",F716="",H716=""),"",IF(NOT(ISNUMBER(A716)),"Enter a date",IF(AND(F716&lt;&gt;"",OR(NOT(ISNUMBER(F716)),N(F716)&lt;0)),"Minutes must be a number of 0 or more",IF(G716="","Enter start and end times, or minutes",IF(C716="","Pick a machine",IF(SUMPRODUCT(--(Setup!$A$5:$A$34=C716))=0,"Machine not in Setup",IF(H716="","Pick a reason (counted as unclassified)",IF(I716="Not in Setup","Reason not in Setup (counted as unclassified)",IF(N(G716)=0,"0 minutes: not counted as a stop","OK")))))))))</f>
        <v/>
      </c>
    </row>
    <row r="717" customFormat="false" ht="15" hidden="false" customHeight="false" outlineLevel="0" collapsed="false">
      <c r="A717" s="11"/>
      <c r="B717" s="9"/>
      <c r="C717" s="9"/>
      <c r="D717" s="12"/>
      <c r="E717" s="12"/>
      <c r="F717" s="13"/>
      <c r="G717" s="14" t="str">
        <f aca="false">IF(F717&lt;&gt;"",IF(AND(ISNUMBER(F717),N(F717)&gt;=0),F717,""),IF(AND(ISNUMBER(D717),ISNUMBER(E717)),ROUND(MOD(E717-D717,1)*1440,0),""))</f>
        <v/>
      </c>
      <c r="H717" s="9"/>
      <c r="I717" s="10" t="str">
        <f aca="false">IF(H717="","",IF(SUMPRODUCT(MAX((Setup!$D$5:$D$34=H717)*(35-ROW(Setup!$D$5:$D$34))))=0,"Not in Setup",INDEX(Setup!$E$5:$E$34,31-SUMPRODUCT(MAX((Setup!$D$5:$D$34=H717)*(35-ROW(Setup!$D$5:$D$34)))))))</f>
        <v/>
      </c>
      <c r="J717" s="9"/>
      <c r="K717" s="10" t="str">
        <f aca="false">IF(AND(A717="",C717="",D717="",E717="",F717="",H717=""),"",IF(NOT(ISNUMBER(A717)),"Enter a date",IF(AND(F717&lt;&gt;"",OR(NOT(ISNUMBER(F717)),N(F717)&lt;0)),"Minutes must be a number of 0 or more",IF(G717="","Enter start and end times, or minutes",IF(C717="","Pick a machine",IF(SUMPRODUCT(--(Setup!$A$5:$A$34=C717))=0,"Machine not in Setup",IF(H717="","Pick a reason (counted as unclassified)",IF(I717="Not in Setup","Reason not in Setup (counted as unclassified)",IF(N(G717)=0,"0 minutes: not counted as a stop","OK")))))))))</f>
        <v/>
      </c>
    </row>
    <row r="718" customFormat="false" ht="15" hidden="false" customHeight="false" outlineLevel="0" collapsed="false">
      <c r="A718" s="11"/>
      <c r="B718" s="9"/>
      <c r="C718" s="9"/>
      <c r="D718" s="12"/>
      <c r="E718" s="12"/>
      <c r="F718" s="13"/>
      <c r="G718" s="14" t="str">
        <f aca="false">IF(F718&lt;&gt;"",IF(AND(ISNUMBER(F718),N(F718)&gt;=0),F718,""),IF(AND(ISNUMBER(D718),ISNUMBER(E718)),ROUND(MOD(E718-D718,1)*1440,0),""))</f>
        <v/>
      </c>
      <c r="H718" s="9"/>
      <c r="I718" s="10" t="str">
        <f aca="false">IF(H718="","",IF(SUMPRODUCT(MAX((Setup!$D$5:$D$34=H718)*(35-ROW(Setup!$D$5:$D$34))))=0,"Not in Setup",INDEX(Setup!$E$5:$E$34,31-SUMPRODUCT(MAX((Setup!$D$5:$D$34=H718)*(35-ROW(Setup!$D$5:$D$34)))))))</f>
        <v/>
      </c>
      <c r="J718" s="9"/>
      <c r="K718" s="10" t="str">
        <f aca="false">IF(AND(A718="",C718="",D718="",E718="",F718="",H718=""),"",IF(NOT(ISNUMBER(A718)),"Enter a date",IF(AND(F718&lt;&gt;"",OR(NOT(ISNUMBER(F718)),N(F718)&lt;0)),"Minutes must be a number of 0 or more",IF(G718="","Enter start and end times, or minutes",IF(C718="","Pick a machine",IF(SUMPRODUCT(--(Setup!$A$5:$A$34=C718))=0,"Machine not in Setup",IF(H718="","Pick a reason (counted as unclassified)",IF(I718="Not in Setup","Reason not in Setup (counted as unclassified)",IF(N(G718)=0,"0 minutes: not counted as a stop","OK")))))))))</f>
        <v/>
      </c>
    </row>
    <row r="719" customFormat="false" ht="15" hidden="false" customHeight="false" outlineLevel="0" collapsed="false">
      <c r="A719" s="11"/>
      <c r="B719" s="9"/>
      <c r="C719" s="9"/>
      <c r="D719" s="12"/>
      <c r="E719" s="12"/>
      <c r="F719" s="13"/>
      <c r="G719" s="14" t="str">
        <f aca="false">IF(F719&lt;&gt;"",IF(AND(ISNUMBER(F719),N(F719)&gt;=0),F719,""),IF(AND(ISNUMBER(D719),ISNUMBER(E719)),ROUND(MOD(E719-D719,1)*1440,0),""))</f>
        <v/>
      </c>
      <c r="H719" s="9"/>
      <c r="I719" s="10" t="str">
        <f aca="false">IF(H719="","",IF(SUMPRODUCT(MAX((Setup!$D$5:$D$34=H719)*(35-ROW(Setup!$D$5:$D$34))))=0,"Not in Setup",INDEX(Setup!$E$5:$E$34,31-SUMPRODUCT(MAX((Setup!$D$5:$D$34=H719)*(35-ROW(Setup!$D$5:$D$34)))))))</f>
        <v/>
      </c>
      <c r="J719" s="9"/>
      <c r="K719" s="10" t="str">
        <f aca="false">IF(AND(A719="",C719="",D719="",E719="",F719="",H719=""),"",IF(NOT(ISNUMBER(A719)),"Enter a date",IF(AND(F719&lt;&gt;"",OR(NOT(ISNUMBER(F719)),N(F719)&lt;0)),"Minutes must be a number of 0 or more",IF(G719="","Enter start and end times, or minutes",IF(C719="","Pick a machine",IF(SUMPRODUCT(--(Setup!$A$5:$A$34=C719))=0,"Machine not in Setup",IF(H719="","Pick a reason (counted as unclassified)",IF(I719="Not in Setup","Reason not in Setup (counted as unclassified)",IF(N(G719)=0,"0 minutes: not counted as a stop","OK")))))))))</f>
        <v/>
      </c>
    </row>
    <row r="720" customFormat="false" ht="15" hidden="false" customHeight="false" outlineLevel="0" collapsed="false">
      <c r="A720" s="11"/>
      <c r="B720" s="9"/>
      <c r="C720" s="9"/>
      <c r="D720" s="12"/>
      <c r="E720" s="12"/>
      <c r="F720" s="13"/>
      <c r="G720" s="14" t="str">
        <f aca="false">IF(F720&lt;&gt;"",IF(AND(ISNUMBER(F720),N(F720)&gt;=0),F720,""),IF(AND(ISNUMBER(D720),ISNUMBER(E720)),ROUND(MOD(E720-D720,1)*1440,0),""))</f>
        <v/>
      </c>
      <c r="H720" s="9"/>
      <c r="I720" s="10" t="str">
        <f aca="false">IF(H720="","",IF(SUMPRODUCT(MAX((Setup!$D$5:$D$34=H720)*(35-ROW(Setup!$D$5:$D$34))))=0,"Not in Setup",INDEX(Setup!$E$5:$E$34,31-SUMPRODUCT(MAX((Setup!$D$5:$D$34=H720)*(35-ROW(Setup!$D$5:$D$34)))))))</f>
        <v/>
      </c>
      <c r="J720" s="9"/>
      <c r="K720" s="10" t="str">
        <f aca="false">IF(AND(A720="",C720="",D720="",E720="",F720="",H720=""),"",IF(NOT(ISNUMBER(A720)),"Enter a date",IF(AND(F720&lt;&gt;"",OR(NOT(ISNUMBER(F720)),N(F720)&lt;0)),"Minutes must be a number of 0 or more",IF(G720="","Enter start and end times, or minutes",IF(C720="","Pick a machine",IF(SUMPRODUCT(--(Setup!$A$5:$A$34=C720))=0,"Machine not in Setup",IF(H720="","Pick a reason (counted as unclassified)",IF(I720="Not in Setup","Reason not in Setup (counted as unclassified)",IF(N(G720)=0,"0 minutes: not counted as a stop","OK")))))))))</f>
        <v/>
      </c>
    </row>
    <row r="721" customFormat="false" ht="15" hidden="false" customHeight="false" outlineLevel="0" collapsed="false">
      <c r="A721" s="11"/>
      <c r="B721" s="9"/>
      <c r="C721" s="9"/>
      <c r="D721" s="12"/>
      <c r="E721" s="12"/>
      <c r="F721" s="13"/>
      <c r="G721" s="14" t="str">
        <f aca="false">IF(F721&lt;&gt;"",IF(AND(ISNUMBER(F721),N(F721)&gt;=0),F721,""),IF(AND(ISNUMBER(D721),ISNUMBER(E721)),ROUND(MOD(E721-D721,1)*1440,0),""))</f>
        <v/>
      </c>
      <c r="H721" s="9"/>
      <c r="I721" s="10" t="str">
        <f aca="false">IF(H721="","",IF(SUMPRODUCT(MAX((Setup!$D$5:$D$34=H721)*(35-ROW(Setup!$D$5:$D$34))))=0,"Not in Setup",INDEX(Setup!$E$5:$E$34,31-SUMPRODUCT(MAX((Setup!$D$5:$D$34=H721)*(35-ROW(Setup!$D$5:$D$34)))))))</f>
        <v/>
      </c>
      <c r="J721" s="9"/>
      <c r="K721" s="10" t="str">
        <f aca="false">IF(AND(A721="",C721="",D721="",E721="",F721="",H721=""),"",IF(NOT(ISNUMBER(A721)),"Enter a date",IF(AND(F721&lt;&gt;"",OR(NOT(ISNUMBER(F721)),N(F721)&lt;0)),"Minutes must be a number of 0 or more",IF(G721="","Enter start and end times, or minutes",IF(C721="","Pick a machine",IF(SUMPRODUCT(--(Setup!$A$5:$A$34=C721))=0,"Machine not in Setup",IF(H721="","Pick a reason (counted as unclassified)",IF(I721="Not in Setup","Reason not in Setup (counted as unclassified)",IF(N(G721)=0,"0 minutes: not counted as a stop","OK")))))))))</f>
        <v/>
      </c>
    </row>
    <row r="722" customFormat="false" ht="15" hidden="false" customHeight="false" outlineLevel="0" collapsed="false">
      <c r="A722" s="11"/>
      <c r="B722" s="9"/>
      <c r="C722" s="9"/>
      <c r="D722" s="12"/>
      <c r="E722" s="12"/>
      <c r="F722" s="13"/>
      <c r="G722" s="14" t="str">
        <f aca="false">IF(F722&lt;&gt;"",IF(AND(ISNUMBER(F722),N(F722)&gt;=0),F722,""),IF(AND(ISNUMBER(D722),ISNUMBER(E722)),ROUND(MOD(E722-D722,1)*1440,0),""))</f>
        <v/>
      </c>
      <c r="H722" s="9"/>
      <c r="I722" s="10" t="str">
        <f aca="false">IF(H722="","",IF(SUMPRODUCT(MAX((Setup!$D$5:$D$34=H722)*(35-ROW(Setup!$D$5:$D$34))))=0,"Not in Setup",INDEX(Setup!$E$5:$E$34,31-SUMPRODUCT(MAX((Setup!$D$5:$D$34=H722)*(35-ROW(Setup!$D$5:$D$34)))))))</f>
        <v/>
      </c>
      <c r="J722" s="9"/>
      <c r="K722" s="10" t="str">
        <f aca="false">IF(AND(A722="",C722="",D722="",E722="",F722="",H722=""),"",IF(NOT(ISNUMBER(A722)),"Enter a date",IF(AND(F722&lt;&gt;"",OR(NOT(ISNUMBER(F722)),N(F722)&lt;0)),"Minutes must be a number of 0 or more",IF(G722="","Enter start and end times, or minutes",IF(C722="","Pick a machine",IF(SUMPRODUCT(--(Setup!$A$5:$A$34=C722))=0,"Machine not in Setup",IF(H722="","Pick a reason (counted as unclassified)",IF(I722="Not in Setup","Reason not in Setup (counted as unclassified)",IF(N(G722)=0,"0 minutes: not counted as a stop","OK")))))))))</f>
        <v/>
      </c>
    </row>
    <row r="723" customFormat="false" ht="15" hidden="false" customHeight="false" outlineLevel="0" collapsed="false">
      <c r="A723" s="11"/>
      <c r="B723" s="9"/>
      <c r="C723" s="9"/>
      <c r="D723" s="12"/>
      <c r="E723" s="12"/>
      <c r="F723" s="13"/>
      <c r="G723" s="14" t="str">
        <f aca="false">IF(F723&lt;&gt;"",IF(AND(ISNUMBER(F723),N(F723)&gt;=0),F723,""),IF(AND(ISNUMBER(D723),ISNUMBER(E723)),ROUND(MOD(E723-D723,1)*1440,0),""))</f>
        <v/>
      </c>
      <c r="H723" s="9"/>
      <c r="I723" s="10" t="str">
        <f aca="false">IF(H723="","",IF(SUMPRODUCT(MAX((Setup!$D$5:$D$34=H723)*(35-ROW(Setup!$D$5:$D$34))))=0,"Not in Setup",INDEX(Setup!$E$5:$E$34,31-SUMPRODUCT(MAX((Setup!$D$5:$D$34=H723)*(35-ROW(Setup!$D$5:$D$34)))))))</f>
        <v/>
      </c>
      <c r="J723" s="9"/>
      <c r="K723" s="10" t="str">
        <f aca="false">IF(AND(A723="",C723="",D723="",E723="",F723="",H723=""),"",IF(NOT(ISNUMBER(A723)),"Enter a date",IF(AND(F723&lt;&gt;"",OR(NOT(ISNUMBER(F723)),N(F723)&lt;0)),"Minutes must be a number of 0 or more",IF(G723="","Enter start and end times, or minutes",IF(C723="","Pick a machine",IF(SUMPRODUCT(--(Setup!$A$5:$A$34=C723))=0,"Machine not in Setup",IF(H723="","Pick a reason (counted as unclassified)",IF(I723="Not in Setup","Reason not in Setup (counted as unclassified)",IF(N(G723)=0,"0 minutes: not counted as a stop","OK")))))))))</f>
        <v/>
      </c>
    </row>
    <row r="724" customFormat="false" ht="15" hidden="false" customHeight="false" outlineLevel="0" collapsed="false">
      <c r="A724" s="11"/>
      <c r="B724" s="9"/>
      <c r="C724" s="9"/>
      <c r="D724" s="12"/>
      <c r="E724" s="12"/>
      <c r="F724" s="13"/>
      <c r="G724" s="14" t="str">
        <f aca="false">IF(F724&lt;&gt;"",IF(AND(ISNUMBER(F724),N(F724)&gt;=0),F724,""),IF(AND(ISNUMBER(D724),ISNUMBER(E724)),ROUND(MOD(E724-D724,1)*1440,0),""))</f>
        <v/>
      </c>
      <c r="H724" s="9"/>
      <c r="I724" s="10" t="str">
        <f aca="false">IF(H724="","",IF(SUMPRODUCT(MAX((Setup!$D$5:$D$34=H724)*(35-ROW(Setup!$D$5:$D$34))))=0,"Not in Setup",INDEX(Setup!$E$5:$E$34,31-SUMPRODUCT(MAX((Setup!$D$5:$D$34=H724)*(35-ROW(Setup!$D$5:$D$34)))))))</f>
        <v/>
      </c>
      <c r="J724" s="9"/>
      <c r="K724" s="10" t="str">
        <f aca="false">IF(AND(A724="",C724="",D724="",E724="",F724="",H724=""),"",IF(NOT(ISNUMBER(A724)),"Enter a date",IF(AND(F724&lt;&gt;"",OR(NOT(ISNUMBER(F724)),N(F724)&lt;0)),"Minutes must be a number of 0 or more",IF(G724="","Enter start and end times, or minutes",IF(C724="","Pick a machine",IF(SUMPRODUCT(--(Setup!$A$5:$A$34=C724))=0,"Machine not in Setup",IF(H724="","Pick a reason (counted as unclassified)",IF(I724="Not in Setup","Reason not in Setup (counted as unclassified)",IF(N(G724)=0,"0 minutes: not counted as a stop","OK")))))))))</f>
        <v/>
      </c>
    </row>
    <row r="725" customFormat="false" ht="15" hidden="false" customHeight="false" outlineLevel="0" collapsed="false">
      <c r="A725" s="11"/>
      <c r="B725" s="9"/>
      <c r="C725" s="9"/>
      <c r="D725" s="12"/>
      <c r="E725" s="12"/>
      <c r="F725" s="13"/>
      <c r="G725" s="14" t="str">
        <f aca="false">IF(F725&lt;&gt;"",IF(AND(ISNUMBER(F725),N(F725)&gt;=0),F725,""),IF(AND(ISNUMBER(D725),ISNUMBER(E725)),ROUND(MOD(E725-D725,1)*1440,0),""))</f>
        <v/>
      </c>
      <c r="H725" s="9"/>
      <c r="I725" s="10" t="str">
        <f aca="false">IF(H725="","",IF(SUMPRODUCT(MAX((Setup!$D$5:$D$34=H725)*(35-ROW(Setup!$D$5:$D$34))))=0,"Not in Setup",INDEX(Setup!$E$5:$E$34,31-SUMPRODUCT(MAX((Setup!$D$5:$D$34=H725)*(35-ROW(Setup!$D$5:$D$34)))))))</f>
        <v/>
      </c>
      <c r="J725" s="9"/>
      <c r="K725" s="10" t="str">
        <f aca="false">IF(AND(A725="",C725="",D725="",E725="",F725="",H725=""),"",IF(NOT(ISNUMBER(A725)),"Enter a date",IF(AND(F725&lt;&gt;"",OR(NOT(ISNUMBER(F725)),N(F725)&lt;0)),"Minutes must be a number of 0 or more",IF(G725="","Enter start and end times, or minutes",IF(C725="","Pick a machine",IF(SUMPRODUCT(--(Setup!$A$5:$A$34=C725))=0,"Machine not in Setup",IF(H725="","Pick a reason (counted as unclassified)",IF(I725="Not in Setup","Reason not in Setup (counted as unclassified)",IF(N(G725)=0,"0 minutes: not counted as a stop","OK")))))))))</f>
        <v/>
      </c>
    </row>
    <row r="726" customFormat="false" ht="15" hidden="false" customHeight="false" outlineLevel="0" collapsed="false">
      <c r="A726" s="11"/>
      <c r="B726" s="9"/>
      <c r="C726" s="9"/>
      <c r="D726" s="12"/>
      <c r="E726" s="12"/>
      <c r="F726" s="13"/>
      <c r="G726" s="14" t="str">
        <f aca="false">IF(F726&lt;&gt;"",IF(AND(ISNUMBER(F726),N(F726)&gt;=0),F726,""),IF(AND(ISNUMBER(D726),ISNUMBER(E726)),ROUND(MOD(E726-D726,1)*1440,0),""))</f>
        <v/>
      </c>
      <c r="H726" s="9"/>
      <c r="I726" s="10" t="str">
        <f aca="false">IF(H726="","",IF(SUMPRODUCT(MAX((Setup!$D$5:$D$34=H726)*(35-ROW(Setup!$D$5:$D$34))))=0,"Not in Setup",INDEX(Setup!$E$5:$E$34,31-SUMPRODUCT(MAX((Setup!$D$5:$D$34=H726)*(35-ROW(Setup!$D$5:$D$34)))))))</f>
        <v/>
      </c>
      <c r="J726" s="9"/>
      <c r="K726" s="10" t="str">
        <f aca="false">IF(AND(A726="",C726="",D726="",E726="",F726="",H726=""),"",IF(NOT(ISNUMBER(A726)),"Enter a date",IF(AND(F726&lt;&gt;"",OR(NOT(ISNUMBER(F726)),N(F726)&lt;0)),"Minutes must be a number of 0 or more",IF(G726="","Enter start and end times, or minutes",IF(C726="","Pick a machine",IF(SUMPRODUCT(--(Setup!$A$5:$A$34=C726))=0,"Machine not in Setup",IF(H726="","Pick a reason (counted as unclassified)",IF(I726="Not in Setup","Reason not in Setup (counted as unclassified)",IF(N(G726)=0,"0 minutes: not counted as a stop","OK")))))))))</f>
        <v/>
      </c>
    </row>
    <row r="727" customFormat="false" ht="15" hidden="false" customHeight="false" outlineLevel="0" collapsed="false">
      <c r="A727" s="11"/>
      <c r="B727" s="9"/>
      <c r="C727" s="9"/>
      <c r="D727" s="12"/>
      <c r="E727" s="12"/>
      <c r="F727" s="13"/>
      <c r="G727" s="14" t="str">
        <f aca="false">IF(F727&lt;&gt;"",IF(AND(ISNUMBER(F727),N(F727)&gt;=0),F727,""),IF(AND(ISNUMBER(D727),ISNUMBER(E727)),ROUND(MOD(E727-D727,1)*1440,0),""))</f>
        <v/>
      </c>
      <c r="H727" s="9"/>
      <c r="I727" s="10" t="str">
        <f aca="false">IF(H727="","",IF(SUMPRODUCT(MAX((Setup!$D$5:$D$34=H727)*(35-ROW(Setup!$D$5:$D$34))))=0,"Not in Setup",INDEX(Setup!$E$5:$E$34,31-SUMPRODUCT(MAX((Setup!$D$5:$D$34=H727)*(35-ROW(Setup!$D$5:$D$34)))))))</f>
        <v/>
      </c>
      <c r="J727" s="9"/>
      <c r="K727" s="10" t="str">
        <f aca="false">IF(AND(A727="",C727="",D727="",E727="",F727="",H727=""),"",IF(NOT(ISNUMBER(A727)),"Enter a date",IF(AND(F727&lt;&gt;"",OR(NOT(ISNUMBER(F727)),N(F727)&lt;0)),"Minutes must be a number of 0 or more",IF(G727="","Enter start and end times, or minutes",IF(C727="","Pick a machine",IF(SUMPRODUCT(--(Setup!$A$5:$A$34=C727))=0,"Machine not in Setup",IF(H727="","Pick a reason (counted as unclassified)",IF(I727="Not in Setup","Reason not in Setup (counted as unclassified)",IF(N(G727)=0,"0 minutes: not counted as a stop","OK")))))))))</f>
        <v/>
      </c>
    </row>
    <row r="728" customFormat="false" ht="15" hidden="false" customHeight="false" outlineLevel="0" collapsed="false">
      <c r="A728" s="11"/>
      <c r="B728" s="9"/>
      <c r="C728" s="9"/>
      <c r="D728" s="12"/>
      <c r="E728" s="12"/>
      <c r="F728" s="13"/>
      <c r="G728" s="14" t="str">
        <f aca="false">IF(F728&lt;&gt;"",IF(AND(ISNUMBER(F728),N(F728)&gt;=0),F728,""),IF(AND(ISNUMBER(D728),ISNUMBER(E728)),ROUND(MOD(E728-D728,1)*1440,0),""))</f>
        <v/>
      </c>
      <c r="H728" s="9"/>
      <c r="I728" s="10" t="str">
        <f aca="false">IF(H728="","",IF(SUMPRODUCT(MAX((Setup!$D$5:$D$34=H728)*(35-ROW(Setup!$D$5:$D$34))))=0,"Not in Setup",INDEX(Setup!$E$5:$E$34,31-SUMPRODUCT(MAX((Setup!$D$5:$D$34=H728)*(35-ROW(Setup!$D$5:$D$34)))))))</f>
        <v/>
      </c>
      <c r="J728" s="9"/>
      <c r="K728" s="10" t="str">
        <f aca="false">IF(AND(A728="",C728="",D728="",E728="",F728="",H728=""),"",IF(NOT(ISNUMBER(A728)),"Enter a date",IF(AND(F728&lt;&gt;"",OR(NOT(ISNUMBER(F728)),N(F728)&lt;0)),"Minutes must be a number of 0 or more",IF(G728="","Enter start and end times, or minutes",IF(C728="","Pick a machine",IF(SUMPRODUCT(--(Setup!$A$5:$A$34=C728))=0,"Machine not in Setup",IF(H728="","Pick a reason (counted as unclassified)",IF(I728="Not in Setup","Reason not in Setup (counted as unclassified)",IF(N(G728)=0,"0 minutes: not counted as a stop","OK")))))))))</f>
        <v/>
      </c>
    </row>
    <row r="729" customFormat="false" ht="15" hidden="false" customHeight="false" outlineLevel="0" collapsed="false">
      <c r="A729" s="11"/>
      <c r="B729" s="9"/>
      <c r="C729" s="9"/>
      <c r="D729" s="12"/>
      <c r="E729" s="12"/>
      <c r="F729" s="13"/>
      <c r="G729" s="14" t="str">
        <f aca="false">IF(F729&lt;&gt;"",IF(AND(ISNUMBER(F729),N(F729)&gt;=0),F729,""),IF(AND(ISNUMBER(D729),ISNUMBER(E729)),ROUND(MOD(E729-D729,1)*1440,0),""))</f>
        <v/>
      </c>
      <c r="H729" s="9"/>
      <c r="I729" s="10" t="str">
        <f aca="false">IF(H729="","",IF(SUMPRODUCT(MAX((Setup!$D$5:$D$34=H729)*(35-ROW(Setup!$D$5:$D$34))))=0,"Not in Setup",INDEX(Setup!$E$5:$E$34,31-SUMPRODUCT(MAX((Setup!$D$5:$D$34=H729)*(35-ROW(Setup!$D$5:$D$34)))))))</f>
        <v/>
      </c>
      <c r="J729" s="9"/>
      <c r="K729" s="10" t="str">
        <f aca="false">IF(AND(A729="",C729="",D729="",E729="",F729="",H729=""),"",IF(NOT(ISNUMBER(A729)),"Enter a date",IF(AND(F729&lt;&gt;"",OR(NOT(ISNUMBER(F729)),N(F729)&lt;0)),"Minutes must be a number of 0 or more",IF(G729="","Enter start and end times, or minutes",IF(C729="","Pick a machine",IF(SUMPRODUCT(--(Setup!$A$5:$A$34=C729))=0,"Machine not in Setup",IF(H729="","Pick a reason (counted as unclassified)",IF(I729="Not in Setup","Reason not in Setup (counted as unclassified)",IF(N(G729)=0,"0 minutes: not counted as a stop","OK")))))))))</f>
        <v/>
      </c>
    </row>
    <row r="730" customFormat="false" ht="15" hidden="false" customHeight="false" outlineLevel="0" collapsed="false">
      <c r="A730" s="11"/>
      <c r="B730" s="9"/>
      <c r="C730" s="9"/>
      <c r="D730" s="12"/>
      <c r="E730" s="12"/>
      <c r="F730" s="13"/>
      <c r="G730" s="14" t="str">
        <f aca="false">IF(F730&lt;&gt;"",IF(AND(ISNUMBER(F730),N(F730)&gt;=0),F730,""),IF(AND(ISNUMBER(D730),ISNUMBER(E730)),ROUND(MOD(E730-D730,1)*1440,0),""))</f>
        <v/>
      </c>
      <c r="H730" s="9"/>
      <c r="I730" s="10" t="str">
        <f aca="false">IF(H730="","",IF(SUMPRODUCT(MAX((Setup!$D$5:$D$34=H730)*(35-ROW(Setup!$D$5:$D$34))))=0,"Not in Setup",INDEX(Setup!$E$5:$E$34,31-SUMPRODUCT(MAX((Setup!$D$5:$D$34=H730)*(35-ROW(Setup!$D$5:$D$34)))))))</f>
        <v/>
      </c>
      <c r="J730" s="9"/>
      <c r="K730" s="10" t="str">
        <f aca="false">IF(AND(A730="",C730="",D730="",E730="",F730="",H730=""),"",IF(NOT(ISNUMBER(A730)),"Enter a date",IF(AND(F730&lt;&gt;"",OR(NOT(ISNUMBER(F730)),N(F730)&lt;0)),"Minutes must be a number of 0 or more",IF(G730="","Enter start and end times, or minutes",IF(C730="","Pick a machine",IF(SUMPRODUCT(--(Setup!$A$5:$A$34=C730))=0,"Machine not in Setup",IF(H730="","Pick a reason (counted as unclassified)",IF(I730="Not in Setup","Reason not in Setup (counted as unclassified)",IF(N(G730)=0,"0 minutes: not counted as a stop","OK")))))))))</f>
        <v/>
      </c>
    </row>
    <row r="731" customFormat="false" ht="15" hidden="false" customHeight="false" outlineLevel="0" collapsed="false">
      <c r="A731" s="11"/>
      <c r="B731" s="9"/>
      <c r="C731" s="9"/>
      <c r="D731" s="12"/>
      <c r="E731" s="12"/>
      <c r="F731" s="13"/>
      <c r="G731" s="14" t="str">
        <f aca="false">IF(F731&lt;&gt;"",IF(AND(ISNUMBER(F731),N(F731)&gt;=0),F731,""),IF(AND(ISNUMBER(D731),ISNUMBER(E731)),ROUND(MOD(E731-D731,1)*1440,0),""))</f>
        <v/>
      </c>
      <c r="H731" s="9"/>
      <c r="I731" s="10" t="str">
        <f aca="false">IF(H731="","",IF(SUMPRODUCT(MAX((Setup!$D$5:$D$34=H731)*(35-ROW(Setup!$D$5:$D$34))))=0,"Not in Setup",INDEX(Setup!$E$5:$E$34,31-SUMPRODUCT(MAX((Setup!$D$5:$D$34=H731)*(35-ROW(Setup!$D$5:$D$34)))))))</f>
        <v/>
      </c>
      <c r="J731" s="9"/>
      <c r="K731" s="10" t="str">
        <f aca="false">IF(AND(A731="",C731="",D731="",E731="",F731="",H731=""),"",IF(NOT(ISNUMBER(A731)),"Enter a date",IF(AND(F731&lt;&gt;"",OR(NOT(ISNUMBER(F731)),N(F731)&lt;0)),"Minutes must be a number of 0 or more",IF(G731="","Enter start and end times, or minutes",IF(C731="","Pick a machine",IF(SUMPRODUCT(--(Setup!$A$5:$A$34=C731))=0,"Machine not in Setup",IF(H731="","Pick a reason (counted as unclassified)",IF(I731="Not in Setup","Reason not in Setup (counted as unclassified)",IF(N(G731)=0,"0 minutes: not counted as a stop","OK")))))))))</f>
        <v/>
      </c>
    </row>
    <row r="732" customFormat="false" ht="15" hidden="false" customHeight="false" outlineLevel="0" collapsed="false">
      <c r="A732" s="11"/>
      <c r="B732" s="9"/>
      <c r="C732" s="9"/>
      <c r="D732" s="12"/>
      <c r="E732" s="12"/>
      <c r="F732" s="13"/>
      <c r="G732" s="14" t="str">
        <f aca="false">IF(F732&lt;&gt;"",IF(AND(ISNUMBER(F732),N(F732)&gt;=0),F732,""),IF(AND(ISNUMBER(D732),ISNUMBER(E732)),ROUND(MOD(E732-D732,1)*1440,0),""))</f>
        <v/>
      </c>
      <c r="H732" s="9"/>
      <c r="I732" s="10" t="str">
        <f aca="false">IF(H732="","",IF(SUMPRODUCT(MAX((Setup!$D$5:$D$34=H732)*(35-ROW(Setup!$D$5:$D$34))))=0,"Not in Setup",INDEX(Setup!$E$5:$E$34,31-SUMPRODUCT(MAX((Setup!$D$5:$D$34=H732)*(35-ROW(Setup!$D$5:$D$34)))))))</f>
        <v/>
      </c>
      <c r="J732" s="9"/>
      <c r="K732" s="10" t="str">
        <f aca="false">IF(AND(A732="",C732="",D732="",E732="",F732="",H732=""),"",IF(NOT(ISNUMBER(A732)),"Enter a date",IF(AND(F732&lt;&gt;"",OR(NOT(ISNUMBER(F732)),N(F732)&lt;0)),"Minutes must be a number of 0 or more",IF(G732="","Enter start and end times, or minutes",IF(C732="","Pick a machine",IF(SUMPRODUCT(--(Setup!$A$5:$A$34=C732))=0,"Machine not in Setup",IF(H732="","Pick a reason (counted as unclassified)",IF(I732="Not in Setup","Reason not in Setup (counted as unclassified)",IF(N(G732)=0,"0 minutes: not counted as a stop","OK")))))))))</f>
        <v/>
      </c>
    </row>
    <row r="733" customFormat="false" ht="15" hidden="false" customHeight="false" outlineLevel="0" collapsed="false">
      <c r="A733" s="11"/>
      <c r="B733" s="9"/>
      <c r="C733" s="9"/>
      <c r="D733" s="12"/>
      <c r="E733" s="12"/>
      <c r="F733" s="13"/>
      <c r="G733" s="14" t="str">
        <f aca="false">IF(F733&lt;&gt;"",IF(AND(ISNUMBER(F733),N(F733)&gt;=0),F733,""),IF(AND(ISNUMBER(D733),ISNUMBER(E733)),ROUND(MOD(E733-D733,1)*1440,0),""))</f>
        <v/>
      </c>
      <c r="H733" s="9"/>
      <c r="I733" s="10" t="str">
        <f aca="false">IF(H733="","",IF(SUMPRODUCT(MAX((Setup!$D$5:$D$34=H733)*(35-ROW(Setup!$D$5:$D$34))))=0,"Not in Setup",INDEX(Setup!$E$5:$E$34,31-SUMPRODUCT(MAX((Setup!$D$5:$D$34=H733)*(35-ROW(Setup!$D$5:$D$34)))))))</f>
        <v/>
      </c>
      <c r="J733" s="9"/>
      <c r="K733" s="10" t="str">
        <f aca="false">IF(AND(A733="",C733="",D733="",E733="",F733="",H733=""),"",IF(NOT(ISNUMBER(A733)),"Enter a date",IF(AND(F733&lt;&gt;"",OR(NOT(ISNUMBER(F733)),N(F733)&lt;0)),"Minutes must be a number of 0 or more",IF(G733="","Enter start and end times, or minutes",IF(C733="","Pick a machine",IF(SUMPRODUCT(--(Setup!$A$5:$A$34=C733))=0,"Machine not in Setup",IF(H733="","Pick a reason (counted as unclassified)",IF(I733="Not in Setup","Reason not in Setup (counted as unclassified)",IF(N(G733)=0,"0 minutes: not counted as a stop","OK")))))))))</f>
        <v/>
      </c>
    </row>
    <row r="734" customFormat="false" ht="15" hidden="false" customHeight="false" outlineLevel="0" collapsed="false">
      <c r="A734" s="11"/>
      <c r="B734" s="9"/>
      <c r="C734" s="9"/>
      <c r="D734" s="12"/>
      <c r="E734" s="12"/>
      <c r="F734" s="13"/>
      <c r="G734" s="14" t="str">
        <f aca="false">IF(F734&lt;&gt;"",IF(AND(ISNUMBER(F734),N(F734)&gt;=0),F734,""),IF(AND(ISNUMBER(D734),ISNUMBER(E734)),ROUND(MOD(E734-D734,1)*1440,0),""))</f>
        <v/>
      </c>
      <c r="H734" s="9"/>
      <c r="I734" s="10" t="str">
        <f aca="false">IF(H734="","",IF(SUMPRODUCT(MAX((Setup!$D$5:$D$34=H734)*(35-ROW(Setup!$D$5:$D$34))))=0,"Not in Setup",INDEX(Setup!$E$5:$E$34,31-SUMPRODUCT(MAX((Setup!$D$5:$D$34=H734)*(35-ROW(Setup!$D$5:$D$34)))))))</f>
        <v/>
      </c>
      <c r="J734" s="9"/>
      <c r="K734" s="10" t="str">
        <f aca="false">IF(AND(A734="",C734="",D734="",E734="",F734="",H734=""),"",IF(NOT(ISNUMBER(A734)),"Enter a date",IF(AND(F734&lt;&gt;"",OR(NOT(ISNUMBER(F734)),N(F734)&lt;0)),"Minutes must be a number of 0 or more",IF(G734="","Enter start and end times, or minutes",IF(C734="","Pick a machine",IF(SUMPRODUCT(--(Setup!$A$5:$A$34=C734))=0,"Machine not in Setup",IF(H734="","Pick a reason (counted as unclassified)",IF(I734="Not in Setup","Reason not in Setup (counted as unclassified)",IF(N(G734)=0,"0 minutes: not counted as a stop","OK")))))))))</f>
        <v/>
      </c>
    </row>
    <row r="735" customFormat="false" ht="15" hidden="false" customHeight="false" outlineLevel="0" collapsed="false">
      <c r="A735" s="11"/>
      <c r="B735" s="9"/>
      <c r="C735" s="9"/>
      <c r="D735" s="12"/>
      <c r="E735" s="12"/>
      <c r="F735" s="13"/>
      <c r="G735" s="14" t="str">
        <f aca="false">IF(F735&lt;&gt;"",IF(AND(ISNUMBER(F735),N(F735)&gt;=0),F735,""),IF(AND(ISNUMBER(D735),ISNUMBER(E735)),ROUND(MOD(E735-D735,1)*1440,0),""))</f>
        <v/>
      </c>
      <c r="H735" s="9"/>
      <c r="I735" s="10" t="str">
        <f aca="false">IF(H735="","",IF(SUMPRODUCT(MAX((Setup!$D$5:$D$34=H735)*(35-ROW(Setup!$D$5:$D$34))))=0,"Not in Setup",INDEX(Setup!$E$5:$E$34,31-SUMPRODUCT(MAX((Setup!$D$5:$D$34=H735)*(35-ROW(Setup!$D$5:$D$34)))))))</f>
        <v/>
      </c>
      <c r="J735" s="9"/>
      <c r="K735" s="10" t="str">
        <f aca="false">IF(AND(A735="",C735="",D735="",E735="",F735="",H735=""),"",IF(NOT(ISNUMBER(A735)),"Enter a date",IF(AND(F735&lt;&gt;"",OR(NOT(ISNUMBER(F735)),N(F735)&lt;0)),"Minutes must be a number of 0 or more",IF(G735="","Enter start and end times, or minutes",IF(C735="","Pick a machine",IF(SUMPRODUCT(--(Setup!$A$5:$A$34=C735))=0,"Machine not in Setup",IF(H735="","Pick a reason (counted as unclassified)",IF(I735="Not in Setup","Reason not in Setup (counted as unclassified)",IF(N(G735)=0,"0 minutes: not counted as a stop","OK")))))))))</f>
        <v/>
      </c>
    </row>
    <row r="736" customFormat="false" ht="15" hidden="false" customHeight="false" outlineLevel="0" collapsed="false">
      <c r="A736" s="11"/>
      <c r="B736" s="9"/>
      <c r="C736" s="9"/>
      <c r="D736" s="12"/>
      <c r="E736" s="12"/>
      <c r="F736" s="13"/>
      <c r="G736" s="14" t="str">
        <f aca="false">IF(F736&lt;&gt;"",IF(AND(ISNUMBER(F736),N(F736)&gt;=0),F736,""),IF(AND(ISNUMBER(D736),ISNUMBER(E736)),ROUND(MOD(E736-D736,1)*1440,0),""))</f>
        <v/>
      </c>
      <c r="H736" s="9"/>
      <c r="I736" s="10" t="str">
        <f aca="false">IF(H736="","",IF(SUMPRODUCT(MAX((Setup!$D$5:$D$34=H736)*(35-ROW(Setup!$D$5:$D$34))))=0,"Not in Setup",INDEX(Setup!$E$5:$E$34,31-SUMPRODUCT(MAX((Setup!$D$5:$D$34=H736)*(35-ROW(Setup!$D$5:$D$34)))))))</f>
        <v/>
      </c>
      <c r="J736" s="9"/>
      <c r="K736" s="10" t="str">
        <f aca="false">IF(AND(A736="",C736="",D736="",E736="",F736="",H736=""),"",IF(NOT(ISNUMBER(A736)),"Enter a date",IF(AND(F736&lt;&gt;"",OR(NOT(ISNUMBER(F736)),N(F736)&lt;0)),"Minutes must be a number of 0 or more",IF(G736="","Enter start and end times, or minutes",IF(C736="","Pick a machine",IF(SUMPRODUCT(--(Setup!$A$5:$A$34=C736))=0,"Machine not in Setup",IF(H736="","Pick a reason (counted as unclassified)",IF(I736="Not in Setup","Reason not in Setup (counted as unclassified)",IF(N(G736)=0,"0 minutes: not counted as a stop","OK")))))))))</f>
        <v/>
      </c>
    </row>
    <row r="737" customFormat="false" ht="15" hidden="false" customHeight="false" outlineLevel="0" collapsed="false">
      <c r="A737" s="11"/>
      <c r="B737" s="9"/>
      <c r="C737" s="9"/>
      <c r="D737" s="12"/>
      <c r="E737" s="12"/>
      <c r="F737" s="13"/>
      <c r="G737" s="14" t="str">
        <f aca="false">IF(F737&lt;&gt;"",IF(AND(ISNUMBER(F737),N(F737)&gt;=0),F737,""),IF(AND(ISNUMBER(D737),ISNUMBER(E737)),ROUND(MOD(E737-D737,1)*1440,0),""))</f>
        <v/>
      </c>
      <c r="H737" s="9"/>
      <c r="I737" s="10" t="str">
        <f aca="false">IF(H737="","",IF(SUMPRODUCT(MAX((Setup!$D$5:$D$34=H737)*(35-ROW(Setup!$D$5:$D$34))))=0,"Not in Setup",INDEX(Setup!$E$5:$E$34,31-SUMPRODUCT(MAX((Setup!$D$5:$D$34=H737)*(35-ROW(Setup!$D$5:$D$34)))))))</f>
        <v/>
      </c>
      <c r="J737" s="9"/>
      <c r="K737" s="10" t="str">
        <f aca="false">IF(AND(A737="",C737="",D737="",E737="",F737="",H737=""),"",IF(NOT(ISNUMBER(A737)),"Enter a date",IF(AND(F737&lt;&gt;"",OR(NOT(ISNUMBER(F737)),N(F737)&lt;0)),"Minutes must be a number of 0 or more",IF(G737="","Enter start and end times, or minutes",IF(C737="","Pick a machine",IF(SUMPRODUCT(--(Setup!$A$5:$A$34=C737))=0,"Machine not in Setup",IF(H737="","Pick a reason (counted as unclassified)",IF(I737="Not in Setup","Reason not in Setup (counted as unclassified)",IF(N(G737)=0,"0 minutes: not counted as a stop","OK")))))))))</f>
        <v/>
      </c>
    </row>
    <row r="738" customFormat="false" ht="15" hidden="false" customHeight="false" outlineLevel="0" collapsed="false">
      <c r="A738" s="11"/>
      <c r="B738" s="9"/>
      <c r="C738" s="9"/>
      <c r="D738" s="12"/>
      <c r="E738" s="12"/>
      <c r="F738" s="13"/>
      <c r="G738" s="14" t="str">
        <f aca="false">IF(F738&lt;&gt;"",IF(AND(ISNUMBER(F738),N(F738)&gt;=0),F738,""),IF(AND(ISNUMBER(D738),ISNUMBER(E738)),ROUND(MOD(E738-D738,1)*1440,0),""))</f>
        <v/>
      </c>
      <c r="H738" s="9"/>
      <c r="I738" s="10" t="str">
        <f aca="false">IF(H738="","",IF(SUMPRODUCT(MAX((Setup!$D$5:$D$34=H738)*(35-ROW(Setup!$D$5:$D$34))))=0,"Not in Setup",INDEX(Setup!$E$5:$E$34,31-SUMPRODUCT(MAX((Setup!$D$5:$D$34=H738)*(35-ROW(Setup!$D$5:$D$34)))))))</f>
        <v/>
      </c>
      <c r="J738" s="9"/>
      <c r="K738" s="10" t="str">
        <f aca="false">IF(AND(A738="",C738="",D738="",E738="",F738="",H738=""),"",IF(NOT(ISNUMBER(A738)),"Enter a date",IF(AND(F738&lt;&gt;"",OR(NOT(ISNUMBER(F738)),N(F738)&lt;0)),"Minutes must be a number of 0 or more",IF(G738="","Enter start and end times, or minutes",IF(C738="","Pick a machine",IF(SUMPRODUCT(--(Setup!$A$5:$A$34=C738))=0,"Machine not in Setup",IF(H738="","Pick a reason (counted as unclassified)",IF(I738="Not in Setup","Reason not in Setup (counted as unclassified)",IF(N(G738)=0,"0 minutes: not counted as a stop","OK")))))))))</f>
        <v/>
      </c>
    </row>
    <row r="739" customFormat="false" ht="15" hidden="false" customHeight="false" outlineLevel="0" collapsed="false">
      <c r="A739" s="11"/>
      <c r="B739" s="9"/>
      <c r="C739" s="9"/>
      <c r="D739" s="12"/>
      <c r="E739" s="12"/>
      <c r="F739" s="13"/>
      <c r="G739" s="14" t="str">
        <f aca="false">IF(F739&lt;&gt;"",IF(AND(ISNUMBER(F739),N(F739)&gt;=0),F739,""),IF(AND(ISNUMBER(D739),ISNUMBER(E739)),ROUND(MOD(E739-D739,1)*1440,0),""))</f>
        <v/>
      </c>
      <c r="H739" s="9"/>
      <c r="I739" s="10" t="str">
        <f aca="false">IF(H739="","",IF(SUMPRODUCT(MAX((Setup!$D$5:$D$34=H739)*(35-ROW(Setup!$D$5:$D$34))))=0,"Not in Setup",INDEX(Setup!$E$5:$E$34,31-SUMPRODUCT(MAX((Setup!$D$5:$D$34=H739)*(35-ROW(Setup!$D$5:$D$34)))))))</f>
        <v/>
      </c>
      <c r="J739" s="9"/>
      <c r="K739" s="10" t="str">
        <f aca="false">IF(AND(A739="",C739="",D739="",E739="",F739="",H739=""),"",IF(NOT(ISNUMBER(A739)),"Enter a date",IF(AND(F739&lt;&gt;"",OR(NOT(ISNUMBER(F739)),N(F739)&lt;0)),"Minutes must be a number of 0 or more",IF(G739="","Enter start and end times, or minutes",IF(C739="","Pick a machine",IF(SUMPRODUCT(--(Setup!$A$5:$A$34=C739))=0,"Machine not in Setup",IF(H739="","Pick a reason (counted as unclassified)",IF(I739="Not in Setup","Reason not in Setup (counted as unclassified)",IF(N(G739)=0,"0 minutes: not counted as a stop","OK")))))))))</f>
        <v/>
      </c>
    </row>
    <row r="740" customFormat="false" ht="15" hidden="false" customHeight="false" outlineLevel="0" collapsed="false">
      <c r="A740" s="11"/>
      <c r="B740" s="9"/>
      <c r="C740" s="9"/>
      <c r="D740" s="12"/>
      <c r="E740" s="12"/>
      <c r="F740" s="13"/>
      <c r="G740" s="14" t="str">
        <f aca="false">IF(F740&lt;&gt;"",IF(AND(ISNUMBER(F740),N(F740)&gt;=0),F740,""),IF(AND(ISNUMBER(D740),ISNUMBER(E740)),ROUND(MOD(E740-D740,1)*1440,0),""))</f>
        <v/>
      </c>
      <c r="H740" s="9"/>
      <c r="I740" s="10" t="str">
        <f aca="false">IF(H740="","",IF(SUMPRODUCT(MAX((Setup!$D$5:$D$34=H740)*(35-ROW(Setup!$D$5:$D$34))))=0,"Not in Setup",INDEX(Setup!$E$5:$E$34,31-SUMPRODUCT(MAX((Setup!$D$5:$D$34=H740)*(35-ROW(Setup!$D$5:$D$34)))))))</f>
        <v/>
      </c>
      <c r="J740" s="9"/>
      <c r="K740" s="10" t="str">
        <f aca="false">IF(AND(A740="",C740="",D740="",E740="",F740="",H740=""),"",IF(NOT(ISNUMBER(A740)),"Enter a date",IF(AND(F740&lt;&gt;"",OR(NOT(ISNUMBER(F740)),N(F740)&lt;0)),"Minutes must be a number of 0 or more",IF(G740="","Enter start and end times, or minutes",IF(C740="","Pick a machine",IF(SUMPRODUCT(--(Setup!$A$5:$A$34=C740))=0,"Machine not in Setup",IF(H740="","Pick a reason (counted as unclassified)",IF(I740="Not in Setup","Reason not in Setup (counted as unclassified)",IF(N(G740)=0,"0 minutes: not counted as a stop","OK")))))))))</f>
        <v/>
      </c>
    </row>
    <row r="741" customFormat="false" ht="15" hidden="false" customHeight="false" outlineLevel="0" collapsed="false">
      <c r="A741" s="11"/>
      <c r="B741" s="9"/>
      <c r="C741" s="9"/>
      <c r="D741" s="12"/>
      <c r="E741" s="12"/>
      <c r="F741" s="13"/>
      <c r="G741" s="14" t="str">
        <f aca="false">IF(F741&lt;&gt;"",IF(AND(ISNUMBER(F741),N(F741)&gt;=0),F741,""),IF(AND(ISNUMBER(D741),ISNUMBER(E741)),ROUND(MOD(E741-D741,1)*1440,0),""))</f>
        <v/>
      </c>
      <c r="H741" s="9"/>
      <c r="I741" s="10" t="str">
        <f aca="false">IF(H741="","",IF(SUMPRODUCT(MAX((Setup!$D$5:$D$34=H741)*(35-ROW(Setup!$D$5:$D$34))))=0,"Not in Setup",INDEX(Setup!$E$5:$E$34,31-SUMPRODUCT(MAX((Setup!$D$5:$D$34=H741)*(35-ROW(Setup!$D$5:$D$34)))))))</f>
        <v/>
      </c>
      <c r="J741" s="9"/>
      <c r="K741" s="10" t="str">
        <f aca="false">IF(AND(A741="",C741="",D741="",E741="",F741="",H741=""),"",IF(NOT(ISNUMBER(A741)),"Enter a date",IF(AND(F741&lt;&gt;"",OR(NOT(ISNUMBER(F741)),N(F741)&lt;0)),"Minutes must be a number of 0 or more",IF(G741="","Enter start and end times, or minutes",IF(C741="","Pick a machine",IF(SUMPRODUCT(--(Setup!$A$5:$A$34=C741))=0,"Machine not in Setup",IF(H741="","Pick a reason (counted as unclassified)",IF(I741="Not in Setup","Reason not in Setup (counted as unclassified)",IF(N(G741)=0,"0 minutes: not counted as a stop","OK")))))))))</f>
        <v/>
      </c>
    </row>
    <row r="742" customFormat="false" ht="15" hidden="false" customHeight="false" outlineLevel="0" collapsed="false">
      <c r="A742" s="11"/>
      <c r="B742" s="9"/>
      <c r="C742" s="9"/>
      <c r="D742" s="12"/>
      <c r="E742" s="12"/>
      <c r="F742" s="13"/>
      <c r="G742" s="14" t="str">
        <f aca="false">IF(F742&lt;&gt;"",IF(AND(ISNUMBER(F742),N(F742)&gt;=0),F742,""),IF(AND(ISNUMBER(D742),ISNUMBER(E742)),ROUND(MOD(E742-D742,1)*1440,0),""))</f>
        <v/>
      </c>
      <c r="H742" s="9"/>
      <c r="I742" s="10" t="str">
        <f aca="false">IF(H742="","",IF(SUMPRODUCT(MAX((Setup!$D$5:$D$34=H742)*(35-ROW(Setup!$D$5:$D$34))))=0,"Not in Setup",INDEX(Setup!$E$5:$E$34,31-SUMPRODUCT(MAX((Setup!$D$5:$D$34=H742)*(35-ROW(Setup!$D$5:$D$34)))))))</f>
        <v/>
      </c>
      <c r="J742" s="9"/>
      <c r="K742" s="10" t="str">
        <f aca="false">IF(AND(A742="",C742="",D742="",E742="",F742="",H742=""),"",IF(NOT(ISNUMBER(A742)),"Enter a date",IF(AND(F742&lt;&gt;"",OR(NOT(ISNUMBER(F742)),N(F742)&lt;0)),"Minutes must be a number of 0 or more",IF(G742="","Enter start and end times, or minutes",IF(C742="","Pick a machine",IF(SUMPRODUCT(--(Setup!$A$5:$A$34=C742))=0,"Machine not in Setup",IF(H742="","Pick a reason (counted as unclassified)",IF(I742="Not in Setup","Reason not in Setup (counted as unclassified)",IF(N(G742)=0,"0 minutes: not counted as a stop","OK")))))))))</f>
        <v/>
      </c>
    </row>
    <row r="743" customFormat="false" ht="15" hidden="false" customHeight="false" outlineLevel="0" collapsed="false">
      <c r="A743" s="11"/>
      <c r="B743" s="9"/>
      <c r="C743" s="9"/>
      <c r="D743" s="12"/>
      <c r="E743" s="12"/>
      <c r="F743" s="13"/>
      <c r="G743" s="14" t="str">
        <f aca="false">IF(F743&lt;&gt;"",IF(AND(ISNUMBER(F743),N(F743)&gt;=0),F743,""),IF(AND(ISNUMBER(D743),ISNUMBER(E743)),ROUND(MOD(E743-D743,1)*1440,0),""))</f>
        <v/>
      </c>
      <c r="H743" s="9"/>
      <c r="I743" s="10" t="str">
        <f aca="false">IF(H743="","",IF(SUMPRODUCT(MAX((Setup!$D$5:$D$34=H743)*(35-ROW(Setup!$D$5:$D$34))))=0,"Not in Setup",INDEX(Setup!$E$5:$E$34,31-SUMPRODUCT(MAX((Setup!$D$5:$D$34=H743)*(35-ROW(Setup!$D$5:$D$34)))))))</f>
        <v/>
      </c>
      <c r="J743" s="9"/>
      <c r="K743" s="10" t="str">
        <f aca="false">IF(AND(A743="",C743="",D743="",E743="",F743="",H743=""),"",IF(NOT(ISNUMBER(A743)),"Enter a date",IF(AND(F743&lt;&gt;"",OR(NOT(ISNUMBER(F743)),N(F743)&lt;0)),"Minutes must be a number of 0 or more",IF(G743="","Enter start and end times, or minutes",IF(C743="","Pick a machine",IF(SUMPRODUCT(--(Setup!$A$5:$A$34=C743))=0,"Machine not in Setup",IF(H743="","Pick a reason (counted as unclassified)",IF(I743="Not in Setup","Reason not in Setup (counted as unclassified)",IF(N(G743)=0,"0 minutes: not counted as a stop","OK")))))))))</f>
        <v/>
      </c>
    </row>
    <row r="744" customFormat="false" ht="15" hidden="false" customHeight="false" outlineLevel="0" collapsed="false">
      <c r="A744" s="11"/>
      <c r="B744" s="9"/>
      <c r="C744" s="9"/>
      <c r="D744" s="12"/>
      <c r="E744" s="12"/>
      <c r="F744" s="13"/>
      <c r="G744" s="14" t="str">
        <f aca="false">IF(F744&lt;&gt;"",IF(AND(ISNUMBER(F744),N(F744)&gt;=0),F744,""),IF(AND(ISNUMBER(D744),ISNUMBER(E744)),ROUND(MOD(E744-D744,1)*1440,0),""))</f>
        <v/>
      </c>
      <c r="H744" s="9"/>
      <c r="I744" s="10" t="str">
        <f aca="false">IF(H744="","",IF(SUMPRODUCT(MAX((Setup!$D$5:$D$34=H744)*(35-ROW(Setup!$D$5:$D$34))))=0,"Not in Setup",INDEX(Setup!$E$5:$E$34,31-SUMPRODUCT(MAX((Setup!$D$5:$D$34=H744)*(35-ROW(Setup!$D$5:$D$34)))))))</f>
        <v/>
      </c>
      <c r="J744" s="9"/>
      <c r="K744" s="10" t="str">
        <f aca="false">IF(AND(A744="",C744="",D744="",E744="",F744="",H744=""),"",IF(NOT(ISNUMBER(A744)),"Enter a date",IF(AND(F744&lt;&gt;"",OR(NOT(ISNUMBER(F744)),N(F744)&lt;0)),"Minutes must be a number of 0 or more",IF(G744="","Enter start and end times, or minutes",IF(C744="","Pick a machine",IF(SUMPRODUCT(--(Setup!$A$5:$A$34=C744))=0,"Machine not in Setup",IF(H744="","Pick a reason (counted as unclassified)",IF(I744="Not in Setup","Reason not in Setup (counted as unclassified)",IF(N(G744)=0,"0 minutes: not counted as a stop","OK")))))))))</f>
        <v/>
      </c>
    </row>
    <row r="745" customFormat="false" ht="15" hidden="false" customHeight="false" outlineLevel="0" collapsed="false">
      <c r="A745" s="11"/>
      <c r="B745" s="9"/>
      <c r="C745" s="9"/>
      <c r="D745" s="12"/>
      <c r="E745" s="12"/>
      <c r="F745" s="13"/>
      <c r="G745" s="14" t="str">
        <f aca="false">IF(F745&lt;&gt;"",IF(AND(ISNUMBER(F745),N(F745)&gt;=0),F745,""),IF(AND(ISNUMBER(D745),ISNUMBER(E745)),ROUND(MOD(E745-D745,1)*1440,0),""))</f>
        <v/>
      </c>
      <c r="H745" s="9"/>
      <c r="I745" s="10" t="str">
        <f aca="false">IF(H745="","",IF(SUMPRODUCT(MAX((Setup!$D$5:$D$34=H745)*(35-ROW(Setup!$D$5:$D$34))))=0,"Not in Setup",INDEX(Setup!$E$5:$E$34,31-SUMPRODUCT(MAX((Setup!$D$5:$D$34=H745)*(35-ROW(Setup!$D$5:$D$34)))))))</f>
        <v/>
      </c>
      <c r="J745" s="9"/>
      <c r="K745" s="10" t="str">
        <f aca="false">IF(AND(A745="",C745="",D745="",E745="",F745="",H745=""),"",IF(NOT(ISNUMBER(A745)),"Enter a date",IF(AND(F745&lt;&gt;"",OR(NOT(ISNUMBER(F745)),N(F745)&lt;0)),"Minutes must be a number of 0 or more",IF(G745="","Enter start and end times, or minutes",IF(C745="","Pick a machine",IF(SUMPRODUCT(--(Setup!$A$5:$A$34=C745))=0,"Machine not in Setup",IF(H745="","Pick a reason (counted as unclassified)",IF(I745="Not in Setup","Reason not in Setup (counted as unclassified)",IF(N(G745)=0,"0 minutes: not counted as a stop","OK")))))))))</f>
        <v/>
      </c>
    </row>
    <row r="746" customFormat="false" ht="15" hidden="false" customHeight="false" outlineLevel="0" collapsed="false">
      <c r="A746" s="11"/>
      <c r="B746" s="9"/>
      <c r="C746" s="9"/>
      <c r="D746" s="12"/>
      <c r="E746" s="12"/>
      <c r="F746" s="13"/>
      <c r="G746" s="14" t="str">
        <f aca="false">IF(F746&lt;&gt;"",IF(AND(ISNUMBER(F746),N(F746)&gt;=0),F746,""),IF(AND(ISNUMBER(D746),ISNUMBER(E746)),ROUND(MOD(E746-D746,1)*1440,0),""))</f>
        <v/>
      </c>
      <c r="H746" s="9"/>
      <c r="I746" s="10" t="str">
        <f aca="false">IF(H746="","",IF(SUMPRODUCT(MAX((Setup!$D$5:$D$34=H746)*(35-ROW(Setup!$D$5:$D$34))))=0,"Not in Setup",INDEX(Setup!$E$5:$E$34,31-SUMPRODUCT(MAX((Setup!$D$5:$D$34=H746)*(35-ROW(Setup!$D$5:$D$34)))))))</f>
        <v/>
      </c>
      <c r="J746" s="9"/>
      <c r="K746" s="10" t="str">
        <f aca="false">IF(AND(A746="",C746="",D746="",E746="",F746="",H746=""),"",IF(NOT(ISNUMBER(A746)),"Enter a date",IF(AND(F746&lt;&gt;"",OR(NOT(ISNUMBER(F746)),N(F746)&lt;0)),"Minutes must be a number of 0 or more",IF(G746="","Enter start and end times, or minutes",IF(C746="","Pick a machine",IF(SUMPRODUCT(--(Setup!$A$5:$A$34=C746))=0,"Machine not in Setup",IF(H746="","Pick a reason (counted as unclassified)",IF(I746="Not in Setup","Reason not in Setup (counted as unclassified)",IF(N(G746)=0,"0 minutes: not counted as a stop","OK")))))))))</f>
        <v/>
      </c>
    </row>
    <row r="747" customFormat="false" ht="15" hidden="false" customHeight="false" outlineLevel="0" collapsed="false">
      <c r="A747" s="11"/>
      <c r="B747" s="9"/>
      <c r="C747" s="9"/>
      <c r="D747" s="12"/>
      <c r="E747" s="12"/>
      <c r="F747" s="13"/>
      <c r="G747" s="14" t="str">
        <f aca="false">IF(F747&lt;&gt;"",IF(AND(ISNUMBER(F747),N(F747)&gt;=0),F747,""),IF(AND(ISNUMBER(D747),ISNUMBER(E747)),ROUND(MOD(E747-D747,1)*1440,0),""))</f>
        <v/>
      </c>
      <c r="H747" s="9"/>
      <c r="I747" s="10" t="str">
        <f aca="false">IF(H747="","",IF(SUMPRODUCT(MAX((Setup!$D$5:$D$34=H747)*(35-ROW(Setup!$D$5:$D$34))))=0,"Not in Setup",INDEX(Setup!$E$5:$E$34,31-SUMPRODUCT(MAX((Setup!$D$5:$D$34=H747)*(35-ROW(Setup!$D$5:$D$34)))))))</f>
        <v/>
      </c>
      <c r="J747" s="9"/>
      <c r="K747" s="10" t="str">
        <f aca="false">IF(AND(A747="",C747="",D747="",E747="",F747="",H747=""),"",IF(NOT(ISNUMBER(A747)),"Enter a date",IF(AND(F747&lt;&gt;"",OR(NOT(ISNUMBER(F747)),N(F747)&lt;0)),"Minutes must be a number of 0 or more",IF(G747="","Enter start and end times, or minutes",IF(C747="","Pick a machine",IF(SUMPRODUCT(--(Setup!$A$5:$A$34=C747))=0,"Machine not in Setup",IF(H747="","Pick a reason (counted as unclassified)",IF(I747="Not in Setup","Reason not in Setup (counted as unclassified)",IF(N(G747)=0,"0 minutes: not counted as a stop","OK")))))))))</f>
        <v/>
      </c>
    </row>
    <row r="748" customFormat="false" ht="15" hidden="false" customHeight="false" outlineLevel="0" collapsed="false">
      <c r="A748" s="11"/>
      <c r="B748" s="9"/>
      <c r="C748" s="9"/>
      <c r="D748" s="12"/>
      <c r="E748" s="12"/>
      <c r="F748" s="13"/>
      <c r="G748" s="14" t="str">
        <f aca="false">IF(F748&lt;&gt;"",IF(AND(ISNUMBER(F748),N(F748)&gt;=0),F748,""),IF(AND(ISNUMBER(D748),ISNUMBER(E748)),ROUND(MOD(E748-D748,1)*1440,0),""))</f>
        <v/>
      </c>
      <c r="H748" s="9"/>
      <c r="I748" s="10" t="str">
        <f aca="false">IF(H748="","",IF(SUMPRODUCT(MAX((Setup!$D$5:$D$34=H748)*(35-ROW(Setup!$D$5:$D$34))))=0,"Not in Setup",INDEX(Setup!$E$5:$E$34,31-SUMPRODUCT(MAX((Setup!$D$5:$D$34=H748)*(35-ROW(Setup!$D$5:$D$34)))))))</f>
        <v/>
      </c>
      <c r="J748" s="9"/>
      <c r="K748" s="10" t="str">
        <f aca="false">IF(AND(A748="",C748="",D748="",E748="",F748="",H748=""),"",IF(NOT(ISNUMBER(A748)),"Enter a date",IF(AND(F748&lt;&gt;"",OR(NOT(ISNUMBER(F748)),N(F748)&lt;0)),"Minutes must be a number of 0 or more",IF(G748="","Enter start and end times, or minutes",IF(C748="","Pick a machine",IF(SUMPRODUCT(--(Setup!$A$5:$A$34=C748))=0,"Machine not in Setup",IF(H748="","Pick a reason (counted as unclassified)",IF(I748="Not in Setup","Reason not in Setup (counted as unclassified)",IF(N(G748)=0,"0 minutes: not counted as a stop","OK")))))))))</f>
        <v/>
      </c>
    </row>
    <row r="749" customFormat="false" ht="15" hidden="false" customHeight="false" outlineLevel="0" collapsed="false">
      <c r="A749" s="11"/>
      <c r="B749" s="9"/>
      <c r="C749" s="9"/>
      <c r="D749" s="12"/>
      <c r="E749" s="12"/>
      <c r="F749" s="13"/>
      <c r="G749" s="14" t="str">
        <f aca="false">IF(F749&lt;&gt;"",IF(AND(ISNUMBER(F749),N(F749)&gt;=0),F749,""),IF(AND(ISNUMBER(D749),ISNUMBER(E749)),ROUND(MOD(E749-D749,1)*1440,0),""))</f>
        <v/>
      </c>
      <c r="H749" s="9"/>
      <c r="I749" s="10" t="str">
        <f aca="false">IF(H749="","",IF(SUMPRODUCT(MAX((Setup!$D$5:$D$34=H749)*(35-ROW(Setup!$D$5:$D$34))))=0,"Not in Setup",INDEX(Setup!$E$5:$E$34,31-SUMPRODUCT(MAX((Setup!$D$5:$D$34=H749)*(35-ROW(Setup!$D$5:$D$34)))))))</f>
        <v/>
      </c>
      <c r="J749" s="9"/>
      <c r="K749" s="10" t="str">
        <f aca="false">IF(AND(A749="",C749="",D749="",E749="",F749="",H749=""),"",IF(NOT(ISNUMBER(A749)),"Enter a date",IF(AND(F749&lt;&gt;"",OR(NOT(ISNUMBER(F749)),N(F749)&lt;0)),"Minutes must be a number of 0 or more",IF(G749="","Enter start and end times, or minutes",IF(C749="","Pick a machine",IF(SUMPRODUCT(--(Setup!$A$5:$A$34=C749))=0,"Machine not in Setup",IF(H749="","Pick a reason (counted as unclassified)",IF(I749="Not in Setup","Reason not in Setup (counted as unclassified)",IF(N(G749)=0,"0 minutes: not counted as a stop","OK")))))))))</f>
        <v/>
      </c>
    </row>
    <row r="750" customFormat="false" ht="15" hidden="false" customHeight="false" outlineLevel="0" collapsed="false">
      <c r="A750" s="11"/>
      <c r="B750" s="9"/>
      <c r="C750" s="9"/>
      <c r="D750" s="12"/>
      <c r="E750" s="12"/>
      <c r="F750" s="13"/>
      <c r="G750" s="14" t="str">
        <f aca="false">IF(F750&lt;&gt;"",IF(AND(ISNUMBER(F750),N(F750)&gt;=0),F750,""),IF(AND(ISNUMBER(D750),ISNUMBER(E750)),ROUND(MOD(E750-D750,1)*1440,0),""))</f>
        <v/>
      </c>
      <c r="H750" s="9"/>
      <c r="I750" s="10" t="str">
        <f aca="false">IF(H750="","",IF(SUMPRODUCT(MAX((Setup!$D$5:$D$34=H750)*(35-ROW(Setup!$D$5:$D$34))))=0,"Not in Setup",INDEX(Setup!$E$5:$E$34,31-SUMPRODUCT(MAX((Setup!$D$5:$D$34=H750)*(35-ROW(Setup!$D$5:$D$34)))))))</f>
        <v/>
      </c>
      <c r="J750" s="9"/>
      <c r="K750" s="10" t="str">
        <f aca="false">IF(AND(A750="",C750="",D750="",E750="",F750="",H750=""),"",IF(NOT(ISNUMBER(A750)),"Enter a date",IF(AND(F750&lt;&gt;"",OR(NOT(ISNUMBER(F750)),N(F750)&lt;0)),"Minutes must be a number of 0 or more",IF(G750="","Enter start and end times, or minutes",IF(C750="","Pick a machine",IF(SUMPRODUCT(--(Setup!$A$5:$A$34=C750))=0,"Machine not in Setup",IF(H750="","Pick a reason (counted as unclassified)",IF(I750="Not in Setup","Reason not in Setup (counted as unclassified)",IF(N(G750)=0,"0 minutes: not counted as a stop","OK")))))))))</f>
        <v/>
      </c>
    </row>
    <row r="751" customFormat="false" ht="15" hidden="false" customHeight="false" outlineLevel="0" collapsed="false">
      <c r="A751" s="11"/>
      <c r="B751" s="9"/>
      <c r="C751" s="9"/>
      <c r="D751" s="12"/>
      <c r="E751" s="12"/>
      <c r="F751" s="13"/>
      <c r="G751" s="14" t="str">
        <f aca="false">IF(F751&lt;&gt;"",IF(AND(ISNUMBER(F751),N(F751)&gt;=0),F751,""),IF(AND(ISNUMBER(D751),ISNUMBER(E751)),ROUND(MOD(E751-D751,1)*1440,0),""))</f>
        <v/>
      </c>
      <c r="H751" s="9"/>
      <c r="I751" s="10" t="str">
        <f aca="false">IF(H751="","",IF(SUMPRODUCT(MAX((Setup!$D$5:$D$34=H751)*(35-ROW(Setup!$D$5:$D$34))))=0,"Not in Setup",INDEX(Setup!$E$5:$E$34,31-SUMPRODUCT(MAX((Setup!$D$5:$D$34=H751)*(35-ROW(Setup!$D$5:$D$34)))))))</f>
        <v/>
      </c>
      <c r="J751" s="9"/>
      <c r="K751" s="10" t="str">
        <f aca="false">IF(AND(A751="",C751="",D751="",E751="",F751="",H751=""),"",IF(NOT(ISNUMBER(A751)),"Enter a date",IF(AND(F751&lt;&gt;"",OR(NOT(ISNUMBER(F751)),N(F751)&lt;0)),"Minutes must be a number of 0 or more",IF(G751="","Enter start and end times, or minutes",IF(C751="","Pick a machine",IF(SUMPRODUCT(--(Setup!$A$5:$A$34=C751))=0,"Machine not in Setup",IF(H751="","Pick a reason (counted as unclassified)",IF(I751="Not in Setup","Reason not in Setup (counted as unclassified)",IF(N(G751)=0,"0 minutes: not counted as a stop","OK")))))))))</f>
        <v/>
      </c>
    </row>
    <row r="752" customFormat="false" ht="15" hidden="false" customHeight="false" outlineLevel="0" collapsed="false">
      <c r="A752" s="11"/>
      <c r="B752" s="9"/>
      <c r="C752" s="9"/>
      <c r="D752" s="12"/>
      <c r="E752" s="12"/>
      <c r="F752" s="13"/>
      <c r="G752" s="14" t="str">
        <f aca="false">IF(F752&lt;&gt;"",IF(AND(ISNUMBER(F752),N(F752)&gt;=0),F752,""),IF(AND(ISNUMBER(D752),ISNUMBER(E752)),ROUND(MOD(E752-D752,1)*1440,0),""))</f>
        <v/>
      </c>
      <c r="H752" s="9"/>
      <c r="I752" s="10" t="str">
        <f aca="false">IF(H752="","",IF(SUMPRODUCT(MAX((Setup!$D$5:$D$34=H752)*(35-ROW(Setup!$D$5:$D$34))))=0,"Not in Setup",INDEX(Setup!$E$5:$E$34,31-SUMPRODUCT(MAX((Setup!$D$5:$D$34=H752)*(35-ROW(Setup!$D$5:$D$34)))))))</f>
        <v/>
      </c>
      <c r="J752" s="9"/>
      <c r="K752" s="10" t="str">
        <f aca="false">IF(AND(A752="",C752="",D752="",E752="",F752="",H752=""),"",IF(NOT(ISNUMBER(A752)),"Enter a date",IF(AND(F752&lt;&gt;"",OR(NOT(ISNUMBER(F752)),N(F752)&lt;0)),"Minutes must be a number of 0 or more",IF(G752="","Enter start and end times, or minutes",IF(C752="","Pick a machine",IF(SUMPRODUCT(--(Setup!$A$5:$A$34=C752))=0,"Machine not in Setup",IF(H752="","Pick a reason (counted as unclassified)",IF(I752="Not in Setup","Reason not in Setup (counted as unclassified)",IF(N(G752)=0,"0 minutes: not counted as a stop","OK")))))))))</f>
        <v/>
      </c>
    </row>
    <row r="753" customFormat="false" ht="15" hidden="false" customHeight="false" outlineLevel="0" collapsed="false">
      <c r="A753" s="11"/>
      <c r="B753" s="9"/>
      <c r="C753" s="9"/>
      <c r="D753" s="12"/>
      <c r="E753" s="12"/>
      <c r="F753" s="13"/>
      <c r="G753" s="14" t="str">
        <f aca="false">IF(F753&lt;&gt;"",IF(AND(ISNUMBER(F753),N(F753)&gt;=0),F753,""),IF(AND(ISNUMBER(D753),ISNUMBER(E753)),ROUND(MOD(E753-D753,1)*1440,0),""))</f>
        <v/>
      </c>
      <c r="H753" s="9"/>
      <c r="I753" s="10" t="str">
        <f aca="false">IF(H753="","",IF(SUMPRODUCT(MAX((Setup!$D$5:$D$34=H753)*(35-ROW(Setup!$D$5:$D$34))))=0,"Not in Setup",INDEX(Setup!$E$5:$E$34,31-SUMPRODUCT(MAX((Setup!$D$5:$D$34=H753)*(35-ROW(Setup!$D$5:$D$34)))))))</f>
        <v/>
      </c>
      <c r="J753" s="9"/>
      <c r="K753" s="10" t="str">
        <f aca="false">IF(AND(A753="",C753="",D753="",E753="",F753="",H753=""),"",IF(NOT(ISNUMBER(A753)),"Enter a date",IF(AND(F753&lt;&gt;"",OR(NOT(ISNUMBER(F753)),N(F753)&lt;0)),"Minutes must be a number of 0 or more",IF(G753="","Enter start and end times, or minutes",IF(C753="","Pick a machine",IF(SUMPRODUCT(--(Setup!$A$5:$A$34=C753))=0,"Machine not in Setup",IF(H753="","Pick a reason (counted as unclassified)",IF(I753="Not in Setup","Reason not in Setup (counted as unclassified)",IF(N(G753)=0,"0 minutes: not counted as a stop","OK")))))))))</f>
        <v/>
      </c>
    </row>
    <row r="754" customFormat="false" ht="15" hidden="false" customHeight="false" outlineLevel="0" collapsed="false">
      <c r="A754" s="11"/>
      <c r="B754" s="9"/>
      <c r="C754" s="9"/>
      <c r="D754" s="12"/>
      <c r="E754" s="12"/>
      <c r="F754" s="13"/>
      <c r="G754" s="14" t="str">
        <f aca="false">IF(F754&lt;&gt;"",IF(AND(ISNUMBER(F754),N(F754)&gt;=0),F754,""),IF(AND(ISNUMBER(D754),ISNUMBER(E754)),ROUND(MOD(E754-D754,1)*1440,0),""))</f>
        <v/>
      </c>
      <c r="H754" s="9"/>
      <c r="I754" s="10" t="str">
        <f aca="false">IF(H754="","",IF(SUMPRODUCT(MAX((Setup!$D$5:$D$34=H754)*(35-ROW(Setup!$D$5:$D$34))))=0,"Not in Setup",INDEX(Setup!$E$5:$E$34,31-SUMPRODUCT(MAX((Setup!$D$5:$D$34=H754)*(35-ROW(Setup!$D$5:$D$34)))))))</f>
        <v/>
      </c>
      <c r="J754" s="9"/>
      <c r="K754" s="10" t="str">
        <f aca="false">IF(AND(A754="",C754="",D754="",E754="",F754="",H754=""),"",IF(NOT(ISNUMBER(A754)),"Enter a date",IF(AND(F754&lt;&gt;"",OR(NOT(ISNUMBER(F754)),N(F754)&lt;0)),"Minutes must be a number of 0 or more",IF(G754="","Enter start and end times, or minutes",IF(C754="","Pick a machine",IF(SUMPRODUCT(--(Setup!$A$5:$A$34=C754))=0,"Machine not in Setup",IF(H754="","Pick a reason (counted as unclassified)",IF(I754="Not in Setup","Reason not in Setup (counted as unclassified)",IF(N(G754)=0,"0 minutes: not counted as a stop","OK")))))))))</f>
        <v/>
      </c>
    </row>
    <row r="755" customFormat="false" ht="15" hidden="false" customHeight="false" outlineLevel="0" collapsed="false">
      <c r="A755" s="11"/>
      <c r="B755" s="9"/>
      <c r="C755" s="9"/>
      <c r="D755" s="12"/>
      <c r="E755" s="12"/>
      <c r="F755" s="13"/>
      <c r="G755" s="14" t="str">
        <f aca="false">IF(F755&lt;&gt;"",IF(AND(ISNUMBER(F755),N(F755)&gt;=0),F755,""),IF(AND(ISNUMBER(D755),ISNUMBER(E755)),ROUND(MOD(E755-D755,1)*1440,0),""))</f>
        <v/>
      </c>
      <c r="H755" s="9"/>
      <c r="I755" s="10" t="str">
        <f aca="false">IF(H755="","",IF(SUMPRODUCT(MAX((Setup!$D$5:$D$34=H755)*(35-ROW(Setup!$D$5:$D$34))))=0,"Not in Setup",INDEX(Setup!$E$5:$E$34,31-SUMPRODUCT(MAX((Setup!$D$5:$D$34=H755)*(35-ROW(Setup!$D$5:$D$34)))))))</f>
        <v/>
      </c>
      <c r="J755" s="9"/>
      <c r="K755" s="10" t="str">
        <f aca="false">IF(AND(A755="",C755="",D755="",E755="",F755="",H755=""),"",IF(NOT(ISNUMBER(A755)),"Enter a date",IF(AND(F755&lt;&gt;"",OR(NOT(ISNUMBER(F755)),N(F755)&lt;0)),"Minutes must be a number of 0 or more",IF(G755="","Enter start and end times, or minutes",IF(C755="","Pick a machine",IF(SUMPRODUCT(--(Setup!$A$5:$A$34=C755))=0,"Machine not in Setup",IF(H755="","Pick a reason (counted as unclassified)",IF(I755="Not in Setup","Reason not in Setup (counted as unclassified)",IF(N(G755)=0,"0 minutes: not counted as a stop","OK")))))))))</f>
        <v/>
      </c>
    </row>
    <row r="756" customFormat="false" ht="15" hidden="false" customHeight="false" outlineLevel="0" collapsed="false">
      <c r="A756" s="11"/>
      <c r="B756" s="9"/>
      <c r="C756" s="9"/>
      <c r="D756" s="12"/>
      <c r="E756" s="12"/>
      <c r="F756" s="13"/>
      <c r="G756" s="14" t="str">
        <f aca="false">IF(F756&lt;&gt;"",IF(AND(ISNUMBER(F756),N(F756)&gt;=0),F756,""),IF(AND(ISNUMBER(D756),ISNUMBER(E756)),ROUND(MOD(E756-D756,1)*1440,0),""))</f>
        <v/>
      </c>
      <c r="H756" s="9"/>
      <c r="I756" s="10" t="str">
        <f aca="false">IF(H756="","",IF(SUMPRODUCT(MAX((Setup!$D$5:$D$34=H756)*(35-ROW(Setup!$D$5:$D$34))))=0,"Not in Setup",INDEX(Setup!$E$5:$E$34,31-SUMPRODUCT(MAX((Setup!$D$5:$D$34=H756)*(35-ROW(Setup!$D$5:$D$34)))))))</f>
        <v/>
      </c>
      <c r="J756" s="9"/>
      <c r="K756" s="10" t="str">
        <f aca="false">IF(AND(A756="",C756="",D756="",E756="",F756="",H756=""),"",IF(NOT(ISNUMBER(A756)),"Enter a date",IF(AND(F756&lt;&gt;"",OR(NOT(ISNUMBER(F756)),N(F756)&lt;0)),"Minutes must be a number of 0 or more",IF(G756="","Enter start and end times, or minutes",IF(C756="","Pick a machine",IF(SUMPRODUCT(--(Setup!$A$5:$A$34=C756))=0,"Machine not in Setup",IF(H756="","Pick a reason (counted as unclassified)",IF(I756="Not in Setup","Reason not in Setup (counted as unclassified)",IF(N(G756)=0,"0 minutes: not counted as a stop","OK")))))))))</f>
        <v/>
      </c>
    </row>
    <row r="757" customFormat="false" ht="15" hidden="false" customHeight="false" outlineLevel="0" collapsed="false">
      <c r="A757" s="11"/>
      <c r="B757" s="9"/>
      <c r="C757" s="9"/>
      <c r="D757" s="12"/>
      <c r="E757" s="12"/>
      <c r="F757" s="13"/>
      <c r="G757" s="14" t="str">
        <f aca="false">IF(F757&lt;&gt;"",IF(AND(ISNUMBER(F757),N(F757)&gt;=0),F757,""),IF(AND(ISNUMBER(D757),ISNUMBER(E757)),ROUND(MOD(E757-D757,1)*1440,0),""))</f>
        <v/>
      </c>
      <c r="H757" s="9"/>
      <c r="I757" s="10" t="str">
        <f aca="false">IF(H757="","",IF(SUMPRODUCT(MAX((Setup!$D$5:$D$34=H757)*(35-ROW(Setup!$D$5:$D$34))))=0,"Not in Setup",INDEX(Setup!$E$5:$E$34,31-SUMPRODUCT(MAX((Setup!$D$5:$D$34=H757)*(35-ROW(Setup!$D$5:$D$34)))))))</f>
        <v/>
      </c>
      <c r="J757" s="9"/>
      <c r="K757" s="10" t="str">
        <f aca="false">IF(AND(A757="",C757="",D757="",E757="",F757="",H757=""),"",IF(NOT(ISNUMBER(A757)),"Enter a date",IF(AND(F757&lt;&gt;"",OR(NOT(ISNUMBER(F757)),N(F757)&lt;0)),"Minutes must be a number of 0 or more",IF(G757="","Enter start and end times, or minutes",IF(C757="","Pick a machine",IF(SUMPRODUCT(--(Setup!$A$5:$A$34=C757))=0,"Machine not in Setup",IF(H757="","Pick a reason (counted as unclassified)",IF(I757="Not in Setup","Reason not in Setup (counted as unclassified)",IF(N(G757)=0,"0 minutes: not counted as a stop","OK")))))))))</f>
        <v/>
      </c>
    </row>
    <row r="758" customFormat="false" ht="15" hidden="false" customHeight="false" outlineLevel="0" collapsed="false">
      <c r="A758" s="11"/>
      <c r="B758" s="9"/>
      <c r="C758" s="9"/>
      <c r="D758" s="12"/>
      <c r="E758" s="12"/>
      <c r="F758" s="13"/>
      <c r="G758" s="14" t="str">
        <f aca="false">IF(F758&lt;&gt;"",IF(AND(ISNUMBER(F758),N(F758)&gt;=0),F758,""),IF(AND(ISNUMBER(D758),ISNUMBER(E758)),ROUND(MOD(E758-D758,1)*1440,0),""))</f>
        <v/>
      </c>
      <c r="H758" s="9"/>
      <c r="I758" s="10" t="str">
        <f aca="false">IF(H758="","",IF(SUMPRODUCT(MAX((Setup!$D$5:$D$34=H758)*(35-ROW(Setup!$D$5:$D$34))))=0,"Not in Setup",INDEX(Setup!$E$5:$E$34,31-SUMPRODUCT(MAX((Setup!$D$5:$D$34=H758)*(35-ROW(Setup!$D$5:$D$34)))))))</f>
        <v/>
      </c>
      <c r="J758" s="9"/>
      <c r="K758" s="10" t="str">
        <f aca="false">IF(AND(A758="",C758="",D758="",E758="",F758="",H758=""),"",IF(NOT(ISNUMBER(A758)),"Enter a date",IF(AND(F758&lt;&gt;"",OR(NOT(ISNUMBER(F758)),N(F758)&lt;0)),"Minutes must be a number of 0 or more",IF(G758="","Enter start and end times, or minutes",IF(C758="","Pick a machine",IF(SUMPRODUCT(--(Setup!$A$5:$A$34=C758))=0,"Machine not in Setup",IF(H758="","Pick a reason (counted as unclassified)",IF(I758="Not in Setup","Reason not in Setup (counted as unclassified)",IF(N(G758)=0,"0 minutes: not counted as a stop","OK")))))))))</f>
        <v/>
      </c>
    </row>
    <row r="759" customFormat="false" ht="15" hidden="false" customHeight="false" outlineLevel="0" collapsed="false">
      <c r="A759" s="11"/>
      <c r="B759" s="9"/>
      <c r="C759" s="9"/>
      <c r="D759" s="12"/>
      <c r="E759" s="12"/>
      <c r="F759" s="13"/>
      <c r="G759" s="14" t="str">
        <f aca="false">IF(F759&lt;&gt;"",IF(AND(ISNUMBER(F759),N(F759)&gt;=0),F759,""),IF(AND(ISNUMBER(D759),ISNUMBER(E759)),ROUND(MOD(E759-D759,1)*1440,0),""))</f>
        <v/>
      </c>
      <c r="H759" s="9"/>
      <c r="I759" s="10" t="str">
        <f aca="false">IF(H759="","",IF(SUMPRODUCT(MAX((Setup!$D$5:$D$34=H759)*(35-ROW(Setup!$D$5:$D$34))))=0,"Not in Setup",INDEX(Setup!$E$5:$E$34,31-SUMPRODUCT(MAX((Setup!$D$5:$D$34=H759)*(35-ROW(Setup!$D$5:$D$34)))))))</f>
        <v/>
      </c>
      <c r="J759" s="9"/>
      <c r="K759" s="10" t="str">
        <f aca="false">IF(AND(A759="",C759="",D759="",E759="",F759="",H759=""),"",IF(NOT(ISNUMBER(A759)),"Enter a date",IF(AND(F759&lt;&gt;"",OR(NOT(ISNUMBER(F759)),N(F759)&lt;0)),"Minutes must be a number of 0 or more",IF(G759="","Enter start and end times, or minutes",IF(C759="","Pick a machine",IF(SUMPRODUCT(--(Setup!$A$5:$A$34=C759))=0,"Machine not in Setup",IF(H759="","Pick a reason (counted as unclassified)",IF(I759="Not in Setup","Reason not in Setup (counted as unclassified)",IF(N(G759)=0,"0 minutes: not counted as a stop","OK")))))))))</f>
        <v/>
      </c>
    </row>
    <row r="760" customFormat="false" ht="15" hidden="false" customHeight="false" outlineLevel="0" collapsed="false">
      <c r="A760" s="11"/>
      <c r="B760" s="9"/>
      <c r="C760" s="9"/>
      <c r="D760" s="12"/>
      <c r="E760" s="12"/>
      <c r="F760" s="13"/>
      <c r="G760" s="14" t="str">
        <f aca="false">IF(F760&lt;&gt;"",IF(AND(ISNUMBER(F760),N(F760)&gt;=0),F760,""),IF(AND(ISNUMBER(D760),ISNUMBER(E760)),ROUND(MOD(E760-D760,1)*1440,0),""))</f>
        <v/>
      </c>
      <c r="H760" s="9"/>
      <c r="I760" s="10" t="str">
        <f aca="false">IF(H760="","",IF(SUMPRODUCT(MAX((Setup!$D$5:$D$34=H760)*(35-ROW(Setup!$D$5:$D$34))))=0,"Not in Setup",INDEX(Setup!$E$5:$E$34,31-SUMPRODUCT(MAX((Setup!$D$5:$D$34=H760)*(35-ROW(Setup!$D$5:$D$34)))))))</f>
        <v/>
      </c>
      <c r="J760" s="9"/>
      <c r="K760" s="10" t="str">
        <f aca="false">IF(AND(A760="",C760="",D760="",E760="",F760="",H760=""),"",IF(NOT(ISNUMBER(A760)),"Enter a date",IF(AND(F760&lt;&gt;"",OR(NOT(ISNUMBER(F760)),N(F760)&lt;0)),"Minutes must be a number of 0 or more",IF(G760="","Enter start and end times, or minutes",IF(C760="","Pick a machine",IF(SUMPRODUCT(--(Setup!$A$5:$A$34=C760))=0,"Machine not in Setup",IF(H760="","Pick a reason (counted as unclassified)",IF(I760="Not in Setup","Reason not in Setup (counted as unclassified)",IF(N(G760)=0,"0 minutes: not counted as a stop","OK")))))))))</f>
        <v/>
      </c>
    </row>
    <row r="761" customFormat="false" ht="15" hidden="false" customHeight="false" outlineLevel="0" collapsed="false">
      <c r="A761" s="11"/>
      <c r="B761" s="9"/>
      <c r="C761" s="9"/>
      <c r="D761" s="12"/>
      <c r="E761" s="12"/>
      <c r="F761" s="13"/>
      <c r="G761" s="14" t="str">
        <f aca="false">IF(F761&lt;&gt;"",IF(AND(ISNUMBER(F761),N(F761)&gt;=0),F761,""),IF(AND(ISNUMBER(D761),ISNUMBER(E761)),ROUND(MOD(E761-D761,1)*1440,0),""))</f>
        <v/>
      </c>
      <c r="H761" s="9"/>
      <c r="I761" s="10" t="str">
        <f aca="false">IF(H761="","",IF(SUMPRODUCT(MAX((Setup!$D$5:$D$34=H761)*(35-ROW(Setup!$D$5:$D$34))))=0,"Not in Setup",INDEX(Setup!$E$5:$E$34,31-SUMPRODUCT(MAX((Setup!$D$5:$D$34=H761)*(35-ROW(Setup!$D$5:$D$34)))))))</f>
        <v/>
      </c>
      <c r="J761" s="9"/>
      <c r="K761" s="10" t="str">
        <f aca="false">IF(AND(A761="",C761="",D761="",E761="",F761="",H761=""),"",IF(NOT(ISNUMBER(A761)),"Enter a date",IF(AND(F761&lt;&gt;"",OR(NOT(ISNUMBER(F761)),N(F761)&lt;0)),"Minutes must be a number of 0 or more",IF(G761="","Enter start and end times, or minutes",IF(C761="","Pick a machine",IF(SUMPRODUCT(--(Setup!$A$5:$A$34=C761))=0,"Machine not in Setup",IF(H761="","Pick a reason (counted as unclassified)",IF(I761="Not in Setup","Reason not in Setup (counted as unclassified)",IF(N(G761)=0,"0 minutes: not counted as a stop","OK")))))))))</f>
        <v/>
      </c>
    </row>
    <row r="762" customFormat="false" ht="15" hidden="false" customHeight="false" outlineLevel="0" collapsed="false">
      <c r="A762" s="11"/>
      <c r="B762" s="9"/>
      <c r="C762" s="9"/>
      <c r="D762" s="12"/>
      <c r="E762" s="12"/>
      <c r="F762" s="13"/>
      <c r="G762" s="14" t="str">
        <f aca="false">IF(F762&lt;&gt;"",IF(AND(ISNUMBER(F762),N(F762)&gt;=0),F762,""),IF(AND(ISNUMBER(D762),ISNUMBER(E762)),ROUND(MOD(E762-D762,1)*1440,0),""))</f>
        <v/>
      </c>
      <c r="H762" s="9"/>
      <c r="I762" s="10" t="str">
        <f aca="false">IF(H762="","",IF(SUMPRODUCT(MAX((Setup!$D$5:$D$34=H762)*(35-ROW(Setup!$D$5:$D$34))))=0,"Not in Setup",INDEX(Setup!$E$5:$E$34,31-SUMPRODUCT(MAX((Setup!$D$5:$D$34=H762)*(35-ROW(Setup!$D$5:$D$34)))))))</f>
        <v/>
      </c>
      <c r="J762" s="9"/>
      <c r="K762" s="10" t="str">
        <f aca="false">IF(AND(A762="",C762="",D762="",E762="",F762="",H762=""),"",IF(NOT(ISNUMBER(A762)),"Enter a date",IF(AND(F762&lt;&gt;"",OR(NOT(ISNUMBER(F762)),N(F762)&lt;0)),"Minutes must be a number of 0 or more",IF(G762="","Enter start and end times, or minutes",IF(C762="","Pick a machine",IF(SUMPRODUCT(--(Setup!$A$5:$A$34=C762))=0,"Machine not in Setup",IF(H762="","Pick a reason (counted as unclassified)",IF(I762="Not in Setup","Reason not in Setup (counted as unclassified)",IF(N(G762)=0,"0 minutes: not counted as a stop","OK")))))))))</f>
        <v/>
      </c>
    </row>
    <row r="763" customFormat="false" ht="15" hidden="false" customHeight="false" outlineLevel="0" collapsed="false">
      <c r="A763" s="11"/>
      <c r="B763" s="9"/>
      <c r="C763" s="9"/>
      <c r="D763" s="12"/>
      <c r="E763" s="12"/>
      <c r="F763" s="13"/>
      <c r="G763" s="14" t="str">
        <f aca="false">IF(F763&lt;&gt;"",IF(AND(ISNUMBER(F763),N(F763)&gt;=0),F763,""),IF(AND(ISNUMBER(D763),ISNUMBER(E763)),ROUND(MOD(E763-D763,1)*1440,0),""))</f>
        <v/>
      </c>
      <c r="H763" s="9"/>
      <c r="I763" s="10" t="str">
        <f aca="false">IF(H763="","",IF(SUMPRODUCT(MAX((Setup!$D$5:$D$34=H763)*(35-ROW(Setup!$D$5:$D$34))))=0,"Not in Setup",INDEX(Setup!$E$5:$E$34,31-SUMPRODUCT(MAX((Setup!$D$5:$D$34=H763)*(35-ROW(Setup!$D$5:$D$34)))))))</f>
        <v/>
      </c>
      <c r="J763" s="9"/>
      <c r="K763" s="10" t="str">
        <f aca="false">IF(AND(A763="",C763="",D763="",E763="",F763="",H763=""),"",IF(NOT(ISNUMBER(A763)),"Enter a date",IF(AND(F763&lt;&gt;"",OR(NOT(ISNUMBER(F763)),N(F763)&lt;0)),"Minutes must be a number of 0 or more",IF(G763="","Enter start and end times, or minutes",IF(C763="","Pick a machine",IF(SUMPRODUCT(--(Setup!$A$5:$A$34=C763))=0,"Machine not in Setup",IF(H763="","Pick a reason (counted as unclassified)",IF(I763="Not in Setup","Reason not in Setup (counted as unclassified)",IF(N(G763)=0,"0 minutes: not counted as a stop","OK")))))))))</f>
        <v/>
      </c>
    </row>
    <row r="764" customFormat="false" ht="15" hidden="false" customHeight="false" outlineLevel="0" collapsed="false">
      <c r="A764" s="11"/>
      <c r="B764" s="9"/>
      <c r="C764" s="9"/>
      <c r="D764" s="12"/>
      <c r="E764" s="12"/>
      <c r="F764" s="13"/>
      <c r="G764" s="14" t="str">
        <f aca="false">IF(F764&lt;&gt;"",IF(AND(ISNUMBER(F764),N(F764)&gt;=0),F764,""),IF(AND(ISNUMBER(D764),ISNUMBER(E764)),ROUND(MOD(E764-D764,1)*1440,0),""))</f>
        <v/>
      </c>
      <c r="H764" s="9"/>
      <c r="I764" s="10" t="str">
        <f aca="false">IF(H764="","",IF(SUMPRODUCT(MAX((Setup!$D$5:$D$34=H764)*(35-ROW(Setup!$D$5:$D$34))))=0,"Not in Setup",INDEX(Setup!$E$5:$E$34,31-SUMPRODUCT(MAX((Setup!$D$5:$D$34=H764)*(35-ROW(Setup!$D$5:$D$34)))))))</f>
        <v/>
      </c>
      <c r="J764" s="9"/>
      <c r="K764" s="10" t="str">
        <f aca="false">IF(AND(A764="",C764="",D764="",E764="",F764="",H764=""),"",IF(NOT(ISNUMBER(A764)),"Enter a date",IF(AND(F764&lt;&gt;"",OR(NOT(ISNUMBER(F764)),N(F764)&lt;0)),"Minutes must be a number of 0 or more",IF(G764="","Enter start and end times, or minutes",IF(C764="","Pick a machine",IF(SUMPRODUCT(--(Setup!$A$5:$A$34=C764))=0,"Machine not in Setup",IF(H764="","Pick a reason (counted as unclassified)",IF(I764="Not in Setup","Reason not in Setup (counted as unclassified)",IF(N(G764)=0,"0 minutes: not counted as a stop","OK")))))))))</f>
        <v/>
      </c>
    </row>
    <row r="765" customFormat="false" ht="15" hidden="false" customHeight="false" outlineLevel="0" collapsed="false">
      <c r="A765" s="11"/>
      <c r="B765" s="9"/>
      <c r="C765" s="9"/>
      <c r="D765" s="12"/>
      <c r="E765" s="12"/>
      <c r="F765" s="13"/>
      <c r="G765" s="14" t="str">
        <f aca="false">IF(F765&lt;&gt;"",IF(AND(ISNUMBER(F765),N(F765)&gt;=0),F765,""),IF(AND(ISNUMBER(D765),ISNUMBER(E765)),ROUND(MOD(E765-D765,1)*1440,0),""))</f>
        <v/>
      </c>
      <c r="H765" s="9"/>
      <c r="I765" s="10" t="str">
        <f aca="false">IF(H765="","",IF(SUMPRODUCT(MAX((Setup!$D$5:$D$34=H765)*(35-ROW(Setup!$D$5:$D$34))))=0,"Not in Setup",INDEX(Setup!$E$5:$E$34,31-SUMPRODUCT(MAX((Setup!$D$5:$D$34=H765)*(35-ROW(Setup!$D$5:$D$34)))))))</f>
        <v/>
      </c>
      <c r="J765" s="9"/>
      <c r="K765" s="10" t="str">
        <f aca="false">IF(AND(A765="",C765="",D765="",E765="",F765="",H765=""),"",IF(NOT(ISNUMBER(A765)),"Enter a date",IF(AND(F765&lt;&gt;"",OR(NOT(ISNUMBER(F765)),N(F765)&lt;0)),"Minutes must be a number of 0 or more",IF(G765="","Enter start and end times, or minutes",IF(C765="","Pick a machine",IF(SUMPRODUCT(--(Setup!$A$5:$A$34=C765))=0,"Machine not in Setup",IF(H765="","Pick a reason (counted as unclassified)",IF(I765="Not in Setup","Reason not in Setup (counted as unclassified)",IF(N(G765)=0,"0 minutes: not counted as a stop","OK")))))))))</f>
        <v/>
      </c>
    </row>
    <row r="766" customFormat="false" ht="15" hidden="false" customHeight="false" outlineLevel="0" collapsed="false">
      <c r="A766" s="11"/>
      <c r="B766" s="9"/>
      <c r="C766" s="9"/>
      <c r="D766" s="12"/>
      <c r="E766" s="12"/>
      <c r="F766" s="13"/>
      <c r="G766" s="14" t="str">
        <f aca="false">IF(F766&lt;&gt;"",IF(AND(ISNUMBER(F766),N(F766)&gt;=0),F766,""),IF(AND(ISNUMBER(D766),ISNUMBER(E766)),ROUND(MOD(E766-D766,1)*1440,0),""))</f>
        <v/>
      </c>
      <c r="H766" s="9"/>
      <c r="I766" s="10" t="str">
        <f aca="false">IF(H766="","",IF(SUMPRODUCT(MAX((Setup!$D$5:$D$34=H766)*(35-ROW(Setup!$D$5:$D$34))))=0,"Not in Setup",INDEX(Setup!$E$5:$E$34,31-SUMPRODUCT(MAX((Setup!$D$5:$D$34=H766)*(35-ROW(Setup!$D$5:$D$34)))))))</f>
        <v/>
      </c>
      <c r="J766" s="9"/>
      <c r="K766" s="10" t="str">
        <f aca="false">IF(AND(A766="",C766="",D766="",E766="",F766="",H766=""),"",IF(NOT(ISNUMBER(A766)),"Enter a date",IF(AND(F766&lt;&gt;"",OR(NOT(ISNUMBER(F766)),N(F766)&lt;0)),"Minutes must be a number of 0 or more",IF(G766="","Enter start and end times, or minutes",IF(C766="","Pick a machine",IF(SUMPRODUCT(--(Setup!$A$5:$A$34=C766))=0,"Machine not in Setup",IF(H766="","Pick a reason (counted as unclassified)",IF(I766="Not in Setup","Reason not in Setup (counted as unclassified)",IF(N(G766)=0,"0 minutes: not counted as a stop","OK")))))))))</f>
        <v/>
      </c>
    </row>
    <row r="767" customFormat="false" ht="15" hidden="false" customHeight="false" outlineLevel="0" collapsed="false">
      <c r="A767" s="11"/>
      <c r="B767" s="9"/>
      <c r="C767" s="9"/>
      <c r="D767" s="12"/>
      <c r="E767" s="12"/>
      <c r="F767" s="13"/>
      <c r="G767" s="14" t="str">
        <f aca="false">IF(F767&lt;&gt;"",IF(AND(ISNUMBER(F767),N(F767)&gt;=0),F767,""),IF(AND(ISNUMBER(D767),ISNUMBER(E767)),ROUND(MOD(E767-D767,1)*1440,0),""))</f>
        <v/>
      </c>
      <c r="H767" s="9"/>
      <c r="I767" s="10" t="str">
        <f aca="false">IF(H767="","",IF(SUMPRODUCT(MAX((Setup!$D$5:$D$34=H767)*(35-ROW(Setup!$D$5:$D$34))))=0,"Not in Setup",INDEX(Setup!$E$5:$E$34,31-SUMPRODUCT(MAX((Setup!$D$5:$D$34=H767)*(35-ROW(Setup!$D$5:$D$34)))))))</f>
        <v/>
      </c>
      <c r="J767" s="9"/>
      <c r="K767" s="10" t="str">
        <f aca="false">IF(AND(A767="",C767="",D767="",E767="",F767="",H767=""),"",IF(NOT(ISNUMBER(A767)),"Enter a date",IF(AND(F767&lt;&gt;"",OR(NOT(ISNUMBER(F767)),N(F767)&lt;0)),"Minutes must be a number of 0 or more",IF(G767="","Enter start and end times, or minutes",IF(C767="","Pick a machine",IF(SUMPRODUCT(--(Setup!$A$5:$A$34=C767))=0,"Machine not in Setup",IF(H767="","Pick a reason (counted as unclassified)",IF(I767="Not in Setup","Reason not in Setup (counted as unclassified)",IF(N(G767)=0,"0 minutes: not counted as a stop","OK")))))))))</f>
        <v/>
      </c>
    </row>
    <row r="768" customFormat="false" ht="15" hidden="false" customHeight="false" outlineLevel="0" collapsed="false">
      <c r="A768" s="11"/>
      <c r="B768" s="9"/>
      <c r="C768" s="9"/>
      <c r="D768" s="12"/>
      <c r="E768" s="12"/>
      <c r="F768" s="13"/>
      <c r="G768" s="14" t="str">
        <f aca="false">IF(F768&lt;&gt;"",IF(AND(ISNUMBER(F768),N(F768)&gt;=0),F768,""),IF(AND(ISNUMBER(D768),ISNUMBER(E768)),ROUND(MOD(E768-D768,1)*1440,0),""))</f>
        <v/>
      </c>
      <c r="H768" s="9"/>
      <c r="I768" s="10" t="str">
        <f aca="false">IF(H768="","",IF(SUMPRODUCT(MAX((Setup!$D$5:$D$34=H768)*(35-ROW(Setup!$D$5:$D$34))))=0,"Not in Setup",INDEX(Setup!$E$5:$E$34,31-SUMPRODUCT(MAX((Setup!$D$5:$D$34=H768)*(35-ROW(Setup!$D$5:$D$34)))))))</f>
        <v/>
      </c>
      <c r="J768" s="9"/>
      <c r="K768" s="10" t="str">
        <f aca="false">IF(AND(A768="",C768="",D768="",E768="",F768="",H768=""),"",IF(NOT(ISNUMBER(A768)),"Enter a date",IF(AND(F768&lt;&gt;"",OR(NOT(ISNUMBER(F768)),N(F768)&lt;0)),"Minutes must be a number of 0 or more",IF(G768="","Enter start and end times, or minutes",IF(C768="","Pick a machine",IF(SUMPRODUCT(--(Setup!$A$5:$A$34=C768))=0,"Machine not in Setup",IF(H768="","Pick a reason (counted as unclassified)",IF(I768="Not in Setup","Reason not in Setup (counted as unclassified)",IF(N(G768)=0,"0 minutes: not counted as a stop","OK")))))))))</f>
        <v/>
      </c>
    </row>
    <row r="769" customFormat="false" ht="15" hidden="false" customHeight="false" outlineLevel="0" collapsed="false">
      <c r="A769" s="11"/>
      <c r="B769" s="9"/>
      <c r="C769" s="9"/>
      <c r="D769" s="12"/>
      <c r="E769" s="12"/>
      <c r="F769" s="13"/>
      <c r="G769" s="14" t="str">
        <f aca="false">IF(F769&lt;&gt;"",IF(AND(ISNUMBER(F769),N(F769)&gt;=0),F769,""),IF(AND(ISNUMBER(D769),ISNUMBER(E769)),ROUND(MOD(E769-D769,1)*1440,0),""))</f>
        <v/>
      </c>
      <c r="H769" s="9"/>
      <c r="I769" s="10" t="str">
        <f aca="false">IF(H769="","",IF(SUMPRODUCT(MAX((Setup!$D$5:$D$34=H769)*(35-ROW(Setup!$D$5:$D$34))))=0,"Not in Setup",INDEX(Setup!$E$5:$E$34,31-SUMPRODUCT(MAX((Setup!$D$5:$D$34=H769)*(35-ROW(Setup!$D$5:$D$34)))))))</f>
        <v/>
      </c>
      <c r="J769" s="9"/>
      <c r="K769" s="10" t="str">
        <f aca="false">IF(AND(A769="",C769="",D769="",E769="",F769="",H769=""),"",IF(NOT(ISNUMBER(A769)),"Enter a date",IF(AND(F769&lt;&gt;"",OR(NOT(ISNUMBER(F769)),N(F769)&lt;0)),"Minutes must be a number of 0 or more",IF(G769="","Enter start and end times, or minutes",IF(C769="","Pick a machine",IF(SUMPRODUCT(--(Setup!$A$5:$A$34=C769))=0,"Machine not in Setup",IF(H769="","Pick a reason (counted as unclassified)",IF(I769="Not in Setup","Reason not in Setup (counted as unclassified)",IF(N(G769)=0,"0 minutes: not counted as a stop","OK")))))))))</f>
        <v/>
      </c>
    </row>
    <row r="770" customFormat="false" ht="15" hidden="false" customHeight="false" outlineLevel="0" collapsed="false">
      <c r="A770" s="11"/>
      <c r="B770" s="9"/>
      <c r="C770" s="9"/>
      <c r="D770" s="12"/>
      <c r="E770" s="12"/>
      <c r="F770" s="13"/>
      <c r="G770" s="14" t="str">
        <f aca="false">IF(F770&lt;&gt;"",IF(AND(ISNUMBER(F770),N(F770)&gt;=0),F770,""),IF(AND(ISNUMBER(D770),ISNUMBER(E770)),ROUND(MOD(E770-D770,1)*1440,0),""))</f>
        <v/>
      </c>
      <c r="H770" s="9"/>
      <c r="I770" s="10" t="str">
        <f aca="false">IF(H770="","",IF(SUMPRODUCT(MAX((Setup!$D$5:$D$34=H770)*(35-ROW(Setup!$D$5:$D$34))))=0,"Not in Setup",INDEX(Setup!$E$5:$E$34,31-SUMPRODUCT(MAX((Setup!$D$5:$D$34=H770)*(35-ROW(Setup!$D$5:$D$34)))))))</f>
        <v/>
      </c>
      <c r="J770" s="9"/>
      <c r="K770" s="10" t="str">
        <f aca="false">IF(AND(A770="",C770="",D770="",E770="",F770="",H770=""),"",IF(NOT(ISNUMBER(A770)),"Enter a date",IF(AND(F770&lt;&gt;"",OR(NOT(ISNUMBER(F770)),N(F770)&lt;0)),"Minutes must be a number of 0 or more",IF(G770="","Enter start and end times, or minutes",IF(C770="","Pick a machine",IF(SUMPRODUCT(--(Setup!$A$5:$A$34=C770))=0,"Machine not in Setup",IF(H770="","Pick a reason (counted as unclassified)",IF(I770="Not in Setup","Reason not in Setup (counted as unclassified)",IF(N(G770)=0,"0 minutes: not counted as a stop","OK")))))))))</f>
        <v/>
      </c>
    </row>
    <row r="771" customFormat="false" ht="15" hidden="false" customHeight="false" outlineLevel="0" collapsed="false">
      <c r="A771" s="11"/>
      <c r="B771" s="9"/>
      <c r="C771" s="9"/>
      <c r="D771" s="12"/>
      <c r="E771" s="12"/>
      <c r="F771" s="13"/>
      <c r="G771" s="14" t="str">
        <f aca="false">IF(F771&lt;&gt;"",IF(AND(ISNUMBER(F771),N(F771)&gt;=0),F771,""),IF(AND(ISNUMBER(D771),ISNUMBER(E771)),ROUND(MOD(E771-D771,1)*1440,0),""))</f>
        <v/>
      </c>
      <c r="H771" s="9"/>
      <c r="I771" s="10" t="str">
        <f aca="false">IF(H771="","",IF(SUMPRODUCT(MAX((Setup!$D$5:$D$34=H771)*(35-ROW(Setup!$D$5:$D$34))))=0,"Not in Setup",INDEX(Setup!$E$5:$E$34,31-SUMPRODUCT(MAX((Setup!$D$5:$D$34=H771)*(35-ROW(Setup!$D$5:$D$34)))))))</f>
        <v/>
      </c>
      <c r="J771" s="9"/>
      <c r="K771" s="10" t="str">
        <f aca="false">IF(AND(A771="",C771="",D771="",E771="",F771="",H771=""),"",IF(NOT(ISNUMBER(A771)),"Enter a date",IF(AND(F771&lt;&gt;"",OR(NOT(ISNUMBER(F771)),N(F771)&lt;0)),"Minutes must be a number of 0 or more",IF(G771="","Enter start and end times, or minutes",IF(C771="","Pick a machine",IF(SUMPRODUCT(--(Setup!$A$5:$A$34=C771))=0,"Machine not in Setup",IF(H771="","Pick a reason (counted as unclassified)",IF(I771="Not in Setup","Reason not in Setup (counted as unclassified)",IF(N(G771)=0,"0 minutes: not counted as a stop","OK")))))))))</f>
        <v/>
      </c>
    </row>
    <row r="772" customFormat="false" ht="15" hidden="false" customHeight="false" outlineLevel="0" collapsed="false">
      <c r="A772" s="11"/>
      <c r="B772" s="9"/>
      <c r="C772" s="9"/>
      <c r="D772" s="12"/>
      <c r="E772" s="12"/>
      <c r="F772" s="13"/>
      <c r="G772" s="14" t="str">
        <f aca="false">IF(F772&lt;&gt;"",IF(AND(ISNUMBER(F772),N(F772)&gt;=0),F772,""),IF(AND(ISNUMBER(D772),ISNUMBER(E772)),ROUND(MOD(E772-D772,1)*1440,0),""))</f>
        <v/>
      </c>
      <c r="H772" s="9"/>
      <c r="I772" s="10" t="str">
        <f aca="false">IF(H772="","",IF(SUMPRODUCT(MAX((Setup!$D$5:$D$34=H772)*(35-ROW(Setup!$D$5:$D$34))))=0,"Not in Setup",INDEX(Setup!$E$5:$E$34,31-SUMPRODUCT(MAX((Setup!$D$5:$D$34=H772)*(35-ROW(Setup!$D$5:$D$34)))))))</f>
        <v/>
      </c>
      <c r="J772" s="9"/>
      <c r="K772" s="10" t="str">
        <f aca="false">IF(AND(A772="",C772="",D772="",E772="",F772="",H772=""),"",IF(NOT(ISNUMBER(A772)),"Enter a date",IF(AND(F772&lt;&gt;"",OR(NOT(ISNUMBER(F772)),N(F772)&lt;0)),"Minutes must be a number of 0 or more",IF(G772="","Enter start and end times, or minutes",IF(C772="","Pick a machine",IF(SUMPRODUCT(--(Setup!$A$5:$A$34=C772))=0,"Machine not in Setup",IF(H772="","Pick a reason (counted as unclassified)",IF(I772="Not in Setup","Reason not in Setup (counted as unclassified)",IF(N(G772)=0,"0 minutes: not counted as a stop","OK")))))))))</f>
        <v/>
      </c>
    </row>
    <row r="773" customFormat="false" ht="15" hidden="false" customHeight="false" outlineLevel="0" collapsed="false">
      <c r="A773" s="11"/>
      <c r="B773" s="9"/>
      <c r="C773" s="9"/>
      <c r="D773" s="12"/>
      <c r="E773" s="12"/>
      <c r="F773" s="13"/>
      <c r="G773" s="14" t="str">
        <f aca="false">IF(F773&lt;&gt;"",IF(AND(ISNUMBER(F773),N(F773)&gt;=0),F773,""),IF(AND(ISNUMBER(D773),ISNUMBER(E773)),ROUND(MOD(E773-D773,1)*1440,0),""))</f>
        <v/>
      </c>
      <c r="H773" s="9"/>
      <c r="I773" s="10" t="str">
        <f aca="false">IF(H773="","",IF(SUMPRODUCT(MAX((Setup!$D$5:$D$34=H773)*(35-ROW(Setup!$D$5:$D$34))))=0,"Not in Setup",INDEX(Setup!$E$5:$E$34,31-SUMPRODUCT(MAX((Setup!$D$5:$D$34=H773)*(35-ROW(Setup!$D$5:$D$34)))))))</f>
        <v/>
      </c>
      <c r="J773" s="9"/>
      <c r="K773" s="10" t="str">
        <f aca="false">IF(AND(A773="",C773="",D773="",E773="",F773="",H773=""),"",IF(NOT(ISNUMBER(A773)),"Enter a date",IF(AND(F773&lt;&gt;"",OR(NOT(ISNUMBER(F773)),N(F773)&lt;0)),"Minutes must be a number of 0 or more",IF(G773="","Enter start and end times, or minutes",IF(C773="","Pick a machine",IF(SUMPRODUCT(--(Setup!$A$5:$A$34=C773))=0,"Machine not in Setup",IF(H773="","Pick a reason (counted as unclassified)",IF(I773="Not in Setup","Reason not in Setup (counted as unclassified)",IF(N(G773)=0,"0 minutes: not counted as a stop","OK")))))))))</f>
        <v/>
      </c>
    </row>
    <row r="774" customFormat="false" ht="15" hidden="false" customHeight="false" outlineLevel="0" collapsed="false">
      <c r="A774" s="11"/>
      <c r="B774" s="9"/>
      <c r="C774" s="9"/>
      <c r="D774" s="12"/>
      <c r="E774" s="12"/>
      <c r="F774" s="13"/>
      <c r="G774" s="14" t="str">
        <f aca="false">IF(F774&lt;&gt;"",IF(AND(ISNUMBER(F774),N(F774)&gt;=0),F774,""),IF(AND(ISNUMBER(D774),ISNUMBER(E774)),ROUND(MOD(E774-D774,1)*1440,0),""))</f>
        <v/>
      </c>
      <c r="H774" s="9"/>
      <c r="I774" s="10" t="str">
        <f aca="false">IF(H774="","",IF(SUMPRODUCT(MAX((Setup!$D$5:$D$34=H774)*(35-ROW(Setup!$D$5:$D$34))))=0,"Not in Setup",INDEX(Setup!$E$5:$E$34,31-SUMPRODUCT(MAX((Setup!$D$5:$D$34=H774)*(35-ROW(Setup!$D$5:$D$34)))))))</f>
        <v/>
      </c>
      <c r="J774" s="9"/>
      <c r="K774" s="10" t="str">
        <f aca="false">IF(AND(A774="",C774="",D774="",E774="",F774="",H774=""),"",IF(NOT(ISNUMBER(A774)),"Enter a date",IF(AND(F774&lt;&gt;"",OR(NOT(ISNUMBER(F774)),N(F774)&lt;0)),"Minutes must be a number of 0 or more",IF(G774="","Enter start and end times, or minutes",IF(C774="","Pick a machine",IF(SUMPRODUCT(--(Setup!$A$5:$A$34=C774))=0,"Machine not in Setup",IF(H774="","Pick a reason (counted as unclassified)",IF(I774="Not in Setup","Reason not in Setup (counted as unclassified)",IF(N(G774)=0,"0 minutes: not counted as a stop","OK")))))))))</f>
        <v/>
      </c>
    </row>
    <row r="775" customFormat="false" ht="15" hidden="false" customHeight="false" outlineLevel="0" collapsed="false">
      <c r="A775" s="11"/>
      <c r="B775" s="9"/>
      <c r="C775" s="9"/>
      <c r="D775" s="12"/>
      <c r="E775" s="12"/>
      <c r="F775" s="13"/>
      <c r="G775" s="14" t="str">
        <f aca="false">IF(F775&lt;&gt;"",IF(AND(ISNUMBER(F775),N(F775)&gt;=0),F775,""),IF(AND(ISNUMBER(D775),ISNUMBER(E775)),ROUND(MOD(E775-D775,1)*1440,0),""))</f>
        <v/>
      </c>
      <c r="H775" s="9"/>
      <c r="I775" s="10" t="str">
        <f aca="false">IF(H775="","",IF(SUMPRODUCT(MAX((Setup!$D$5:$D$34=H775)*(35-ROW(Setup!$D$5:$D$34))))=0,"Not in Setup",INDEX(Setup!$E$5:$E$34,31-SUMPRODUCT(MAX((Setup!$D$5:$D$34=H775)*(35-ROW(Setup!$D$5:$D$34)))))))</f>
        <v/>
      </c>
      <c r="J775" s="9"/>
      <c r="K775" s="10" t="str">
        <f aca="false">IF(AND(A775="",C775="",D775="",E775="",F775="",H775=""),"",IF(NOT(ISNUMBER(A775)),"Enter a date",IF(AND(F775&lt;&gt;"",OR(NOT(ISNUMBER(F775)),N(F775)&lt;0)),"Minutes must be a number of 0 or more",IF(G775="","Enter start and end times, or minutes",IF(C775="","Pick a machine",IF(SUMPRODUCT(--(Setup!$A$5:$A$34=C775))=0,"Machine not in Setup",IF(H775="","Pick a reason (counted as unclassified)",IF(I775="Not in Setup","Reason not in Setup (counted as unclassified)",IF(N(G775)=0,"0 minutes: not counted as a stop","OK")))))))))</f>
        <v/>
      </c>
    </row>
    <row r="776" customFormat="false" ht="15" hidden="false" customHeight="false" outlineLevel="0" collapsed="false">
      <c r="A776" s="11"/>
      <c r="B776" s="9"/>
      <c r="C776" s="9"/>
      <c r="D776" s="12"/>
      <c r="E776" s="12"/>
      <c r="F776" s="13"/>
      <c r="G776" s="14" t="str">
        <f aca="false">IF(F776&lt;&gt;"",IF(AND(ISNUMBER(F776),N(F776)&gt;=0),F776,""),IF(AND(ISNUMBER(D776),ISNUMBER(E776)),ROUND(MOD(E776-D776,1)*1440,0),""))</f>
        <v/>
      </c>
      <c r="H776" s="9"/>
      <c r="I776" s="10" t="str">
        <f aca="false">IF(H776="","",IF(SUMPRODUCT(MAX((Setup!$D$5:$D$34=H776)*(35-ROW(Setup!$D$5:$D$34))))=0,"Not in Setup",INDEX(Setup!$E$5:$E$34,31-SUMPRODUCT(MAX((Setup!$D$5:$D$34=H776)*(35-ROW(Setup!$D$5:$D$34)))))))</f>
        <v/>
      </c>
      <c r="J776" s="9"/>
      <c r="K776" s="10" t="str">
        <f aca="false">IF(AND(A776="",C776="",D776="",E776="",F776="",H776=""),"",IF(NOT(ISNUMBER(A776)),"Enter a date",IF(AND(F776&lt;&gt;"",OR(NOT(ISNUMBER(F776)),N(F776)&lt;0)),"Minutes must be a number of 0 or more",IF(G776="","Enter start and end times, or minutes",IF(C776="","Pick a machine",IF(SUMPRODUCT(--(Setup!$A$5:$A$34=C776))=0,"Machine not in Setup",IF(H776="","Pick a reason (counted as unclassified)",IF(I776="Not in Setup","Reason not in Setup (counted as unclassified)",IF(N(G776)=0,"0 minutes: not counted as a stop","OK")))))))))</f>
        <v/>
      </c>
    </row>
    <row r="777" customFormat="false" ht="15" hidden="false" customHeight="false" outlineLevel="0" collapsed="false">
      <c r="A777" s="11"/>
      <c r="B777" s="9"/>
      <c r="C777" s="9"/>
      <c r="D777" s="12"/>
      <c r="E777" s="12"/>
      <c r="F777" s="13"/>
      <c r="G777" s="14" t="str">
        <f aca="false">IF(F777&lt;&gt;"",IF(AND(ISNUMBER(F777),N(F777)&gt;=0),F777,""),IF(AND(ISNUMBER(D777),ISNUMBER(E777)),ROUND(MOD(E777-D777,1)*1440,0),""))</f>
        <v/>
      </c>
      <c r="H777" s="9"/>
      <c r="I777" s="10" t="str">
        <f aca="false">IF(H777="","",IF(SUMPRODUCT(MAX((Setup!$D$5:$D$34=H777)*(35-ROW(Setup!$D$5:$D$34))))=0,"Not in Setup",INDEX(Setup!$E$5:$E$34,31-SUMPRODUCT(MAX((Setup!$D$5:$D$34=H777)*(35-ROW(Setup!$D$5:$D$34)))))))</f>
        <v/>
      </c>
      <c r="J777" s="9"/>
      <c r="K777" s="10" t="str">
        <f aca="false">IF(AND(A777="",C777="",D777="",E777="",F777="",H777=""),"",IF(NOT(ISNUMBER(A777)),"Enter a date",IF(AND(F777&lt;&gt;"",OR(NOT(ISNUMBER(F777)),N(F777)&lt;0)),"Minutes must be a number of 0 or more",IF(G777="","Enter start and end times, or minutes",IF(C777="","Pick a machine",IF(SUMPRODUCT(--(Setup!$A$5:$A$34=C777))=0,"Machine not in Setup",IF(H777="","Pick a reason (counted as unclassified)",IF(I777="Not in Setup","Reason not in Setup (counted as unclassified)",IF(N(G777)=0,"0 minutes: not counted as a stop","OK")))))))))</f>
        <v/>
      </c>
    </row>
    <row r="778" customFormat="false" ht="15" hidden="false" customHeight="false" outlineLevel="0" collapsed="false">
      <c r="A778" s="11"/>
      <c r="B778" s="9"/>
      <c r="C778" s="9"/>
      <c r="D778" s="12"/>
      <c r="E778" s="12"/>
      <c r="F778" s="13"/>
      <c r="G778" s="14" t="str">
        <f aca="false">IF(F778&lt;&gt;"",IF(AND(ISNUMBER(F778),N(F778)&gt;=0),F778,""),IF(AND(ISNUMBER(D778),ISNUMBER(E778)),ROUND(MOD(E778-D778,1)*1440,0),""))</f>
        <v/>
      </c>
      <c r="H778" s="9"/>
      <c r="I778" s="10" t="str">
        <f aca="false">IF(H778="","",IF(SUMPRODUCT(MAX((Setup!$D$5:$D$34=H778)*(35-ROW(Setup!$D$5:$D$34))))=0,"Not in Setup",INDEX(Setup!$E$5:$E$34,31-SUMPRODUCT(MAX((Setup!$D$5:$D$34=H778)*(35-ROW(Setup!$D$5:$D$34)))))))</f>
        <v/>
      </c>
      <c r="J778" s="9"/>
      <c r="K778" s="10" t="str">
        <f aca="false">IF(AND(A778="",C778="",D778="",E778="",F778="",H778=""),"",IF(NOT(ISNUMBER(A778)),"Enter a date",IF(AND(F778&lt;&gt;"",OR(NOT(ISNUMBER(F778)),N(F778)&lt;0)),"Minutes must be a number of 0 or more",IF(G778="","Enter start and end times, or minutes",IF(C778="","Pick a machine",IF(SUMPRODUCT(--(Setup!$A$5:$A$34=C778))=0,"Machine not in Setup",IF(H778="","Pick a reason (counted as unclassified)",IF(I778="Not in Setup","Reason not in Setup (counted as unclassified)",IF(N(G778)=0,"0 minutes: not counted as a stop","OK")))))))))</f>
        <v/>
      </c>
    </row>
    <row r="779" customFormat="false" ht="15" hidden="false" customHeight="false" outlineLevel="0" collapsed="false">
      <c r="A779" s="11"/>
      <c r="B779" s="9"/>
      <c r="C779" s="9"/>
      <c r="D779" s="12"/>
      <c r="E779" s="12"/>
      <c r="F779" s="13"/>
      <c r="G779" s="14" t="str">
        <f aca="false">IF(F779&lt;&gt;"",IF(AND(ISNUMBER(F779),N(F779)&gt;=0),F779,""),IF(AND(ISNUMBER(D779),ISNUMBER(E779)),ROUND(MOD(E779-D779,1)*1440,0),""))</f>
        <v/>
      </c>
      <c r="H779" s="9"/>
      <c r="I779" s="10" t="str">
        <f aca="false">IF(H779="","",IF(SUMPRODUCT(MAX((Setup!$D$5:$D$34=H779)*(35-ROW(Setup!$D$5:$D$34))))=0,"Not in Setup",INDEX(Setup!$E$5:$E$34,31-SUMPRODUCT(MAX((Setup!$D$5:$D$34=H779)*(35-ROW(Setup!$D$5:$D$34)))))))</f>
        <v/>
      </c>
      <c r="J779" s="9"/>
      <c r="K779" s="10" t="str">
        <f aca="false">IF(AND(A779="",C779="",D779="",E779="",F779="",H779=""),"",IF(NOT(ISNUMBER(A779)),"Enter a date",IF(AND(F779&lt;&gt;"",OR(NOT(ISNUMBER(F779)),N(F779)&lt;0)),"Minutes must be a number of 0 or more",IF(G779="","Enter start and end times, or minutes",IF(C779="","Pick a machine",IF(SUMPRODUCT(--(Setup!$A$5:$A$34=C779))=0,"Machine not in Setup",IF(H779="","Pick a reason (counted as unclassified)",IF(I779="Not in Setup","Reason not in Setup (counted as unclassified)",IF(N(G779)=0,"0 minutes: not counted as a stop","OK")))))))))</f>
        <v/>
      </c>
    </row>
    <row r="780" customFormat="false" ht="15" hidden="false" customHeight="false" outlineLevel="0" collapsed="false">
      <c r="A780" s="11"/>
      <c r="B780" s="9"/>
      <c r="C780" s="9"/>
      <c r="D780" s="12"/>
      <c r="E780" s="12"/>
      <c r="F780" s="13"/>
      <c r="G780" s="14" t="str">
        <f aca="false">IF(F780&lt;&gt;"",IF(AND(ISNUMBER(F780),N(F780)&gt;=0),F780,""),IF(AND(ISNUMBER(D780),ISNUMBER(E780)),ROUND(MOD(E780-D780,1)*1440,0),""))</f>
        <v/>
      </c>
      <c r="H780" s="9"/>
      <c r="I780" s="10" t="str">
        <f aca="false">IF(H780="","",IF(SUMPRODUCT(MAX((Setup!$D$5:$D$34=H780)*(35-ROW(Setup!$D$5:$D$34))))=0,"Not in Setup",INDEX(Setup!$E$5:$E$34,31-SUMPRODUCT(MAX((Setup!$D$5:$D$34=H780)*(35-ROW(Setup!$D$5:$D$34)))))))</f>
        <v/>
      </c>
      <c r="J780" s="9"/>
      <c r="K780" s="10" t="str">
        <f aca="false">IF(AND(A780="",C780="",D780="",E780="",F780="",H780=""),"",IF(NOT(ISNUMBER(A780)),"Enter a date",IF(AND(F780&lt;&gt;"",OR(NOT(ISNUMBER(F780)),N(F780)&lt;0)),"Minutes must be a number of 0 or more",IF(G780="","Enter start and end times, or minutes",IF(C780="","Pick a machine",IF(SUMPRODUCT(--(Setup!$A$5:$A$34=C780))=0,"Machine not in Setup",IF(H780="","Pick a reason (counted as unclassified)",IF(I780="Not in Setup","Reason not in Setup (counted as unclassified)",IF(N(G780)=0,"0 minutes: not counted as a stop","OK")))))))))</f>
        <v/>
      </c>
    </row>
    <row r="781" customFormat="false" ht="15" hidden="false" customHeight="false" outlineLevel="0" collapsed="false">
      <c r="A781" s="11"/>
      <c r="B781" s="9"/>
      <c r="C781" s="9"/>
      <c r="D781" s="12"/>
      <c r="E781" s="12"/>
      <c r="F781" s="13"/>
      <c r="G781" s="14" t="str">
        <f aca="false">IF(F781&lt;&gt;"",IF(AND(ISNUMBER(F781),N(F781)&gt;=0),F781,""),IF(AND(ISNUMBER(D781),ISNUMBER(E781)),ROUND(MOD(E781-D781,1)*1440,0),""))</f>
        <v/>
      </c>
      <c r="H781" s="9"/>
      <c r="I781" s="10" t="str">
        <f aca="false">IF(H781="","",IF(SUMPRODUCT(MAX((Setup!$D$5:$D$34=H781)*(35-ROW(Setup!$D$5:$D$34))))=0,"Not in Setup",INDEX(Setup!$E$5:$E$34,31-SUMPRODUCT(MAX((Setup!$D$5:$D$34=H781)*(35-ROW(Setup!$D$5:$D$34)))))))</f>
        <v/>
      </c>
      <c r="J781" s="9"/>
      <c r="K781" s="10" t="str">
        <f aca="false">IF(AND(A781="",C781="",D781="",E781="",F781="",H781=""),"",IF(NOT(ISNUMBER(A781)),"Enter a date",IF(AND(F781&lt;&gt;"",OR(NOT(ISNUMBER(F781)),N(F781)&lt;0)),"Minutes must be a number of 0 or more",IF(G781="","Enter start and end times, or minutes",IF(C781="","Pick a machine",IF(SUMPRODUCT(--(Setup!$A$5:$A$34=C781))=0,"Machine not in Setup",IF(H781="","Pick a reason (counted as unclassified)",IF(I781="Not in Setup","Reason not in Setup (counted as unclassified)",IF(N(G781)=0,"0 minutes: not counted as a stop","OK")))))))))</f>
        <v/>
      </c>
    </row>
    <row r="782" customFormat="false" ht="15" hidden="false" customHeight="false" outlineLevel="0" collapsed="false">
      <c r="A782" s="11"/>
      <c r="B782" s="9"/>
      <c r="C782" s="9"/>
      <c r="D782" s="12"/>
      <c r="E782" s="12"/>
      <c r="F782" s="13"/>
      <c r="G782" s="14" t="str">
        <f aca="false">IF(F782&lt;&gt;"",IF(AND(ISNUMBER(F782),N(F782)&gt;=0),F782,""),IF(AND(ISNUMBER(D782),ISNUMBER(E782)),ROUND(MOD(E782-D782,1)*1440,0),""))</f>
        <v/>
      </c>
      <c r="H782" s="9"/>
      <c r="I782" s="10" t="str">
        <f aca="false">IF(H782="","",IF(SUMPRODUCT(MAX((Setup!$D$5:$D$34=H782)*(35-ROW(Setup!$D$5:$D$34))))=0,"Not in Setup",INDEX(Setup!$E$5:$E$34,31-SUMPRODUCT(MAX((Setup!$D$5:$D$34=H782)*(35-ROW(Setup!$D$5:$D$34)))))))</f>
        <v/>
      </c>
      <c r="J782" s="9"/>
      <c r="K782" s="10" t="str">
        <f aca="false">IF(AND(A782="",C782="",D782="",E782="",F782="",H782=""),"",IF(NOT(ISNUMBER(A782)),"Enter a date",IF(AND(F782&lt;&gt;"",OR(NOT(ISNUMBER(F782)),N(F782)&lt;0)),"Minutes must be a number of 0 or more",IF(G782="","Enter start and end times, or minutes",IF(C782="","Pick a machine",IF(SUMPRODUCT(--(Setup!$A$5:$A$34=C782))=0,"Machine not in Setup",IF(H782="","Pick a reason (counted as unclassified)",IF(I782="Not in Setup","Reason not in Setup (counted as unclassified)",IF(N(G782)=0,"0 minutes: not counted as a stop","OK")))))))))</f>
        <v/>
      </c>
    </row>
    <row r="783" customFormat="false" ht="15" hidden="false" customHeight="false" outlineLevel="0" collapsed="false">
      <c r="A783" s="11"/>
      <c r="B783" s="9"/>
      <c r="C783" s="9"/>
      <c r="D783" s="12"/>
      <c r="E783" s="12"/>
      <c r="F783" s="13"/>
      <c r="G783" s="14" t="str">
        <f aca="false">IF(F783&lt;&gt;"",IF(AND(ISNUMBER(F783),N(F783)&gt;=0),F783,""),IF(AND(ISNUMBER(D783),ISNUMBER(E783)),ROUND(MOD(E783-D783,1)*1440,0),""))</f>
        <v/>
      </c>
      <c r="H783" s="9"/>
      <c r="I783" s="10" t="str">
        <f aca="false">IF(H783="","",IF(SUMPRODUCT(MAX((Setup!$D$5:$D$34=H783)*(35-ROW(Setup!$D$5:$D$34))))=0,"Not in Setup",INDEX(Setup!$E$5:$E$34,31-SUMPRODUCT(MAX((Setup!$D$5:$D$34=H783)*(35-ROW(Setup!$D$5:$D$34)))))))</f>
        <v/>
      </c>
      <c r="J783" s="9"/>
      <c r="K783" s="10" t="str">
        <f aca="false">IF(AND(A783="",C783="",D783="",E783="",F783="",H783=""),"",IF(NOT(ISNUMBER(A783)),"Enter a date",IF(AND(F783&lt;&gt;"",OR(NOT(ISNUMBER(F783)),N(F783)&lt;0)),"Minutes must be a number of 0 or more",IF(G783="","Enter start and end times, or minutes",IF(C783="","Pick a machine",IF(SUMPRODUCT(--(Setup!$A$5:$A$34=C783))=0,"Machine not in Setup",IF(H783="","Pick a reason (counted as unclassified)",IF(I783="Not in Setup","Reason not in Setup (counted as unclassified)",IF(N(G783)=0,"0 minutes: not counted as a stop","OK")))))))))</f>
        <v/>
      </c>
    </row>
    <row r="784" customFormat="false" ht="15" hidden="false" customHeight="false" outlineLevel="0" collapsed="false">
      <c r="A784" s="11"/>
      <c r="B784" s="9"/>
      <c r="C784" s="9"/>
      <c r="D784" s="12"/>
      <c r="E784" s="12"/>
      <c r="F784" s="13"/>
      <c r="G784" s="14" t="str">
        <f aca="false">IF(F784&lt;&gt;"",IF(AND(ISNUMBER(F784),N(F784)&gt;=0),F784,""),IF(AND(ISNUMBER(D784),ISNUMBER(E784)),ROUND(MOD(E784-D784,1)*1440,0),""))</f>
        <v/>
      </c>
      <c r="H784" s="9"/>
      <c r="I784" s="10" t="str">
        <f aca="false">IF(H784="","",IF(SUMPRODUCT(MAX((Setup!$D$5:$D$34=H784)*(35-ROW(Setup!$D$5:$D$34))))=0,"Not in Setup",INDEX(Setup!$E$5:$E$34,31-SUMPRODUCT(MAX((Setup!$D$5:$D$34=H784)*(35-ROW(Setup!$D$5:$D$34)))))))</f>
        <v/>
      </c>
      <c r="J784" s="9"/>
      <c r="K784" s="10" t="str">
        <f aca="false">IF(AND(A784="",C784="",D784="",E784="",F784="",H784=""),"",IF(NOT(ISNUMBER(A784)),"Enter a date",IF(AND(F784&lt;&gt;"",OR(NOT(ISNUMBER(F784)),N(F784)&lt;0)),"Minutes must be a number of 0 or more",IF(G784="","Enter start and end times, or minutes",IF(C784="","Pick a machine",IF(SUMPRODUCT(--(Setup!$A$5:$A$34=C784))=0,"Machine not in Setup",IF(H784="","Pick a reason (counted as unclassified)",IF(I784="Not in Setup","Reason not in Setup (counted as unclassified)",IF(N(G784)=0,"0 minutes: not counted as a stop","OK")))))))))</f>
        <v/>
      </c>
    </row>
    <row r="785" customFormat="false" ht="15" hidden="false" customHeight="false" outlineLevel="0" collapsed="false">
      <c r="A785" s="11"/>
      <c r="B785" s="9"/>
      <c r="C785" s="9"/>
      <c r="D785" s="12"/>
      <c r="E785" s="12"/>
      <c r="F785" s="13"/>
      <c r="G785" s="14" t="str">
        <f aca="false">IF(F785&lt;&gt;"",IF(AND(ISNUMBER(F785),N(F785)&gt;=0),F785,""),IF(AND(ISNUMBER(D785),ISNUMBER(E785)),ROUND(MOD(E785-D785,1)*1440,0),""))</f>
        <v/>
      </c>
      <c r="H785" s="9"/>
      <c r="I785" s="10" t="str">
        <f aca="false">IF(H785="","",IF(SUMPRODUCT(MAX((Setup!$D$5:$D$34=H785)*(35-ROW(Setup!$D$5:$D$34))))=0,"Not in Setup",INDEX(Setup!$E$5:$E$34,31-SUMPRODUCT(MAX((Setup!$D$5:$D$34=H785)*(35-ROW(Setup!$D$5:$D$34)))))))</f>
        <v/>
      </c>
      <c r="J785" s="9"/>
      <c r="K785" s="10" t="str">
        <f aca="false">IF(AND(A785="",C785="",D785="",E785="",F785="",H785=""),"",IF(NOT(ISNUMBER(A785)),"Enter a date",IF(AND(F785&lt;&gt;"",OR(NOT(ISNUMBER(F785)),N(F785)&lt;0)),"Minutes must be a number of 0 or more",IF(G785="","Enter start and end times, or minutes",IF(C785="","Pick a machine",IF(SUMPRODUCT(--(Setup!$A$5:$A$34=C785))=0,"Machine not in Setup",IF(H785="","Pick a reason (counted as unclassified)",IF(I785="Not in Setup","Reason not in Setup (counted as unclassified)",IF(N(G785)=0,"0 minutes: not counted as a stop","OK")))))))))</f>
        <v/>
      </c>
    </row>
    <row r="786" customFormat="false" ht="15" hidden="false" customHeight="false" outlineLevel="0" collapsed="false">
      <c r="A786" s="11"/>
      <c r="B786" s="9"/>
      <c r="C786" s="9"/>
      <c r="D786" s="12"/>
      <c r="E786" s="12"/>
      <c r="F786" s="13"/>
      <c r="G786" s="14" t="str">
        <f aca="false">IF(F786&lt;&gt;"",IF(AND(ISNUMBER(F786),N(F786)&gt;=0),F786,""),IF(AND(ISNUMBER(D786),ISNUMBER(E786)),ROUND(MOD(E786-D786,1)*1440,0),""))</f>
        <v/>
      </c>
      <c r="H786" s="9"/>
      <c r="I786" s="10" t="str">
        <f aca="false">IF(H786="","",IF(SUMPRODUCT(MAX((Setup!$D$5:$D$34=H786)*(35-ROW(Setup!$D$5:$D$34))))=0,"Not in Setup",INDEX(Setup!$E$5:$E$34,31-SUMPRODUCT(MAX((Setup!$D$5:$D$34=H786)*(35-ROW(Setup!$D$5:$D$34)))))))</f>
        <v/>
      </c>
      <c r="J786" s="9"/>
      <c r="K786" s="10" t="str">
        <f aca="false">IF(AND(A786="",C786="",D786="",E786="",F786="",H786=""),"",IF(NOT(ISNUMBER(A786)),"Enter a date",IF(AND(F786&lt;&gt;"",OR(NOT(ISNUMBER(F786)),N(F786)&lt;0)),"Minutes must be a number of 0 or more",IF(G786="","Enter start and end times, or minutes",IF(C786="","Pick a machine",IF(SUMPRODUCT(--(Setup!$A$5:$A$34=C786))=0,"Machine not in Setup",IF(H786="","Pick a reason (counted as unclassified)",IF(I786="Not in Setup","Reason not in Setup (counted as unclassified)",IF(N(G786)=0,"0 minutes: not counted as a stop","OK")))))))))</f>
        <v/>
      </c>
    </row>
    <row r="787" customFormat="false" ht="15" hidden="false" customHeight="false" outlineLevel="0" collapsed="false">
      <c r="A787" s="11"/>
      <c r="B787" s="9"/>
      <c r="C787" s="9"/>
      <c r="D787" s="12"/>
      <c r="E787" s="12"/>
      <c r="F787" s="13"/>
      <c r="G787" s="14" t="str">
        <f aca="false">IF(F787&lt;&gt;"",IF(AND(ISNUMBER(F787),N(F787)&gt;=0),F787,""),IF(AND(ISNUMBER(D787),ISNUMBER(E787)),ROUND(MOD(E787-D787,1)*1440,0),""))</f>
        <v/>
      </c>
      <c r="H787" s="9"/>
      <c r="I787" s="10" t="str">
        <f aca="false">IF(H787="","",IF(SUMPRODUCT(MAX((Setup!$D$5:$D$34=H787)*(35-ROW(Setup!$D$5:$D$34))))=0,"Not in Setup",INDEX(Setup!$E$5:$E$34,31-SUMPRODUCT(MAX((Setup!$D$5:$D$34=H787)*(35-ROW(Setup!$D$5:$D$34)))))))</f>
        <v/>
      </c>
      <c r="J787" s="9"/>
      <c r="K787" s="10" t="str">
        <f aca="false">IF(AND(A787="",C787="",D787="",E787="",F787="",H787=""),"",IF(NOT(ISNUMBER(A787)),"Enter a date",IF(AND(F787&lt;&gt;"",OR(NOT(ISNUMBER(F787)),N(F787)&lt;0)),"Minutes must be a number of 0 or more",IF(G787="","Enter start and end times, or minutes",IF(C787="","Pick a machine",IF(SUMPRODUCT(--(Setup!$A$5:$A$34=C787))=0,"Machine not in Setup",IF(H787="","Pick a reason (counted as unclassified)",IF(I787="Not in Setup","Reason not in Setup (counted as unclassified)",IF(N(G787)=0,"0 minutes: not counted as a stop","OK")))))))))</f>
        <v/>
      </c>
    </row>
    <row r="788" customFormat="false" ht="15" hidden="false" customHeight="false" outlineLevel="0" collapsed="false">
      <c r="A788" s="11"/>
      <c r="B788" s="9"/>
      <c r="C788" s="9"/>
      <c r="D788" s="12"/>
      <c r="E788" s="12"/>
      <c r="F788" s="13"/>
      <c r="G788" s="14" t="str">
        <f aca="false">IF(F788&lt;&gt;"",IF(AND(ISNUMBER(F788),N(F788)&gt;=0),F788,""),IF(AND(ISNUMBER(D788),ISNUMBER(E788)),ROUND(MOD(E788-D788,1)*1440,0),""))</f>
        <v/>
      </c>
      <c r="H788" s="9"/>
      <c r="I788" s="10" t="str">
        <f aca="false">IF(H788="","",IF(SUMPRODUCT(MAX((Setup!$D$5:$D$34=H788)*(35-ROW(Setup!$D$5:$D$34))))=0,"Not in Setup",INDEX(Setup!$E$5:$E$34,31-SUMPRODUCT(MAX((Setup!$D$5:$D$34=H788)*(35-ROW(Setup!$D$5:$D$34)))))))</f>
        <v/>
      </c>
      <c r="J788" s="9"/>
      <c r="K788" s="10" t="str">
        <f aca="false">IF(AND(A788="",C788="",D788="",E788="",F788="",H788=""),"",IF(NOT(ISNUMBER(A788)),"Enter a date",IF(AND(F788&lt;&gt;"",OR(NOT(ISNUMBER(F788)),N(F788)&lt;0)),"Minutes must be a number of 0 or more",IF(G788="","Enter start and end times, or minutes",IF(C788="","Pick a machine",IF(SUMPRODUCT(--(Setup!$A$5:$A$34=C788))=0,"Machine not in Setup",IF(H788="","Pick a reason (counted as unclassified)",IF(I788="Not in Setup","Reason not in Setup (counted as unclassified)",IF(N(G788)=0,"0 minutes: not counted as a stop","OK")))))))))</f>
        <v/>
      </c>
    </row>
    <row r="789" customFormat="false" ht="15" hidden="false" customHeight="false" outlineLevel="0" collapsed="false">
      <c r="A789" s="11"/>
      <c r="B789" s="9"/>
      <c r="C789" s="9"/>
      <c r="D789" s="12"/>
      <c r="E789" s="12"/>
      <c r="F789" s="13"/>
      <c r="G789" s="14" t="str">
        <f aca="false">IF(F789&lt;&gt;"",IF(AND(ISNUMBER(F789),N(F789)&gt;=0),F789,""),IF(AND(ISNUMBER(D789),ISNUMBER(E789)),ROUND(MOD(E789-D789,1)*1440,0),""))</f>
        <v/>
      </c>
      <c r="H789" s="9"/>
      <c r="I789" s="10" t="str">
        <f aca="false">IF(H789="","",IF(SUMPRODUCT(MAX((Setup!$D$5:$D$34=H789)*(35-ROW(Setup!$D$5:$D$34))))=0,"Not in Setup",INDEX(Setup!$E$5:$E$34,31-SUMPRODUCT(MAX((Setup!$D$5:$D$34=H789)*(35-ROW(Setup!$D$5:$D$34)))))))</f>
        <v/>
      </c>
      <c r="J789" s="9"/>
      <c r="K789" s="10" t="str">
        <f aca="false">IF(AND(A789="",C789="",D789="",E789="",F789="",H789=""),"",IF(NOT(ISNUMBER(A789)),"Enter a date",IF(AND(F789&lt;&gt;"",OR(NOT(ISNUMBER(F789)),N(F789)&lt;0)),"Minutes must be a number of 0 or more",IF(G789="","Enter start and end times, or minutes",IF(C789="","Pick a machine",IF(SUMPRODUCT(--(Setup!$A$5:$A$34=C789))=0,"Machine not in Setup",IF(H789="","Pick a reason (counted as unclassified)",IF(I789="Not in Setup","Reason not in Setup (counted as unclassified)",IF(N(G789)=0,"0 minutes: not counted as a stop","OK")))))))))</f>
        <v/>
      </c>
    </row>
    <row r="790" customFormat="false" ht="15" hidden="false" customHeight="false" outlineLevel="0" collapsed="false">
      <c r="A790" s="11"/>
      <c r="B790" s="9"/>
      <c r="C790" s="9"/>
      <c r="D790" s="12"/>
      <c r="E790" s="12"/>
      <c r="F790" s="13"/>
      <c r="G790" s="14" t="str">
        <f aca="false">IF(F790&lt;&gt;"",IF(AND(ISNUMBER(F790),N(F790)&gt;=0),F790,""),IF(AND(ISNUMBER(D790),ISNUMBER(E790)),ROUND(MOD(E790-D790,1)*1440,0),""))</f>
        <v/>
      </c>
      <c r="H790" s="9"/>
      <c r="I790" s="10" t="str">
        <f aca="false">IF(H790="","",IF(SUMPRODUCT(MAX((Setup!$D$5:$D$34=H790)*(35-ROW(Setup!$D$5:$D$34))))=0,"Not in Setup",INDEX(Setup!$E$5:$E$34,31-SUMPRODUCT(MAX((Setup!$D$5:$D$34=H790)*(35-ROW(Setup!$D$5:$D$34)))))))</f>
        <v/>
      </c>
      <c r="J790" s="9"/>
      <c r="K790" s="10" t="str">
        <f aca="false">IF(AND(A790="",C790="",D790="",E790="",F790="",H790=""),"",IF(NOT(ISNUMBER(A790)),"Enter a date",IF(AND(F790&lt;&gt;"",OR(NOT(ISNUMBER(F790)),N(F790)&lt;0)),"Minutes must be a number of 0 or more",IF(G790="","Enter start and end times, or minutes",IF(C790="","Pick a machine",IF(SUMPRODUCT(--(Setup!$A$5:$A$34=C790))=0,"Machine not in Setup",IF(H790="","Pick a reason (counted as unclassified)",IF(I790="Not in Setup","Reason not in Setup (counted as unclassified)",IF(N(G790)=0,"0 minutes: not counted as a stop","OK")))))))))</f>
        <v/>
      </c>
    </row>
    <row r="791" customFormat="false" ht="15" hidden="false" customHeight="false" outlineLevel="0" collapsed="false">
      <c r="A791" s="11"/>
      <c r="B791" s="9"/>
      <c r="C791" s="9"/>
      <c r="D791" s="12"/>
      <c r="E791" s="12"/>
      <c r="F791" s="13"/>
      <c r="G791" s="14" t="str">
        <f aca="false">IF(F791&lt;&gt;"",IF(AND(ISNUMBER(F791),N(F791)&gt;=0),F791,""),IF(AND(ISNUMBER(D791),ISNUMBER(E791)),ROUND(MOD(E791-D791,1)*1440,0),""))</f>
        <v/>
      </c>
      <c r="H791" s="9"/>
      <c r="I791" s="10" t="str">
        <f aca="false">IF(H791="","",IF(SUMPRODUCT(MAX((Setup!$D$5:$D$34=H791)*(35-ROW(Setup!$D$5:$D$34))))=0,"Not in Setup",INDEX(Setup!$E$5:$E$34,31-SUMPRODUCT(MAX((Setup!$D$5:$D$34=H791)*(35-ROW(Setup!$D$5:$D$34)))))))</f>
        <v/>
      </c>
      <c r="J791" s="9"/>
      <c r="K791" s="10" t="str">
        <f aca="false">IF(AND(A791="",C791="",D791="",E791="",F791="",H791=""),"",IF(NOT(ISNUMBER(A791)),"Enter a date",IF(AND(F791&lt;&gt;"",OR(NOT(ISNUMBER(F791)),N(F791)&lt;0)),"Minutes must be a number of 0 or more",IF(G791="","Enter start and end times, or minutes",IF(C791="","Pick a machine",IF(SUMPRODUCT(--(Setup!$A$5:$A$34=C791))=0,"Machine not in Setup",IF(H791="","Pick a reason (counted as unclassified)",IF(I791="Not in Setup","Reason not in Setup (counted as unclassified)",IF(N(G791)=0,"0 minutes: not counted as a stop","OK")))))))))</f>
        <v/>
      </c>
    </row>
    <row r="792" customFormat="false" ht="15" hidden="false" customHeight="false" outlineLevel="0" collapsed="false">
      <c r="A792" s="11"/>
      <c r="B792" s="9"/>
      <c r="C792" s="9"/>
      <c r="D792" s="12"/>
      <c r="E792" s="12"/>
      <c r="F792" s="13"/>
      <c r="G792" s="14" t="str">
        <f aca="false">IF(F792&lt;&gt;"",IF(AND(ISNUMBER(F792),N(F792)&gt;=0),F792,""),IF(AND(ISNUMBER(D792),ISNUMBER(E792)),ROUND(MOD(E792-D792,1)*1440,0),""))</f>
        <v/>
      </c>
      <c r="H792" s="9"/>
      <c r="I792" s="10" t="str">
        <f aca="false">IF(H792="","",IF(SUMPRODUCT(MAX((Setup!$D$5:$D$34=H792)*(35-ROW(Setup!$D$5:$D$34))))=0,"Not in Setup",INDEX(Setup!$E$5:$E$34,31-SUMPRODUCT(MAX((Setup!$D$5:$D$34=H792)*(35-ROW(Setup!$D$5:$D$34)))))))</f>
        <v/>
      </c>
      <c r="J792" s="9"/>
      <c r="K792" s="10" t="str">
        <f aca="false">IF(AND(A792="",C792="",D792="",E792="",F792="",H792=""),"",IF(NOT(ISNUMBER(A792)),"Enter a date",IF(AND(F792&lt;&gt;"",OR(NOT(ISNUMBER(F792)),N(F792)&lt;0)),"Minutes must be a number of 0 or more",IF(G792="","Enter start and end times, or minutes",IF(C792="","Pick a machine",IF(SUMPRODUCT(--(Setup!$A$5:$A$34=C792))=0,"Machine not in Setup",IF(H792="","Pick a reason (counted as unclassified)",IF(I792="Not in Setup","Reason not in Setup (counted as unclassified)",IF(N(G792)=0,"0 minutes: not counted as a stop","OK")))))))))</f>
        <v/>
      </c>
    </row>
    <row r="793" customFormat="false" ht="15" hidden="false" customHeight="false" outlineLevel="0" collapsed="false">
      <c r="A793" s="11"/>
      <c r="B793" s="9"/>
      <c r="C793" s="9"/>
      <c r="D793" s="12"/>
      <c r="E793" s="12"/>
      <c r="F793" s="13"/>
      <c r="G793" s="14" t="str">
        <f aca="false">IF(F793&lt;&gt;"",IF(AND(ISNUMBER(F793),N(F793)&gt;=0),F793,""),IF(AND(ISNUMBER(D793),ISNUMBER(E793)),ROUND(MOD(E793-D793,1)*1440,0),""))</f>
        <v/>
      </c>
      <c r="H793" s="9"/>
      <c r="I793" s="10" t="str">
        <f aca="false">IF(H793="","",IF(SUMPRODUCT(MAX((Setup!$D$5:$D$34=H793)*(35-ROW(Setup!$D$5:$D$34))))=0,"Not in Setup",INDEX(Setup!$E$5:$E$34,31-SUMPRODUCT(MAX((Setup!$D$5:$D$34=H793)*(35-ROW(Setup!$D$5:$D$34)))))))</f>
        <v/>
      </c>
      <c r="J793" s="9"/>
      <c r="K793" s="10" t="str">
        <f aca="false">IF(AND(A793="",C793="",D793="",E793="",F793="",H793=""),"",IF(NOT(ISNUMBER(A793)),"Enter a date",IF(AND(F793&lt;&gt;"",OR(NOT(ISNUMBER(F793)),N(F793)&lt;0)),"Minutes must be a number of 0 or more",IF(G793="","Enter start and end times, or minutes",IF(C793="","Pick a machine",IF(SUMPRODUCT(--(Setup!$A$5:$A$34=C793))=0,"Machine not in Setup",IF(H793="","Pick a reason (counted as unclassified)",IF(I793="Not in Setup","Reason not in Setup (counted as unclassified)",IF(N(G793)=0,"0 minutes: not counted as a stop","OK")))))))))</f>
        <v/>
      </c>
    </row>
    <row r="794" customFormat="false" ht="15" hidden="false" customHeight="false" outlineLevel="0" collapsed="false">
      <c r="A794" s="11"/>
      <c r="B794" s="9"/>
      <c r="C794" s="9"/>
      <c r="D794" s="12"/>
      <c r="E794" s="12"/>
      <c r="F794" s="13"/>
      <c r="G794" s="14" t="str">
        <f aca="false">IF(F794&lt;&gt;"",IF(AND(ISNUMBER(F794),N(F794)&gt;=0),F794,""),IF(AND(ISNUMBER(D794),ISNUMBER(E794)),ROUND(MOD(E794-D794,1)*1440,0),""))</f>
        <v/>
      </c>
      <c r="H794" s="9"/>
      <c r="I794" s="10" t="str">
        <f aca="false">IF(H794="","",IF(SUMPRODUCT(MAX((Setup!$D$5:$D$34=H794)*(35-ROW(Setup!$D$5:$D$34))))=0,"Not in Setup",INDEX(Setup!$E$5:$E$34,31-SUMPRODUCT(MAX((Setup!$D$5:$D$34=H794)*(35-ROW(Setup!$D$5:$D$34)))))))</f>
        <v/>
      </c>
      <c r="J794" s="9"/>
      <c r="K794" s="10" t="str">
        <f aca="false">IF(AND(A794="",C794="",D794="",E794="",F794="",H794=""),"",IF(NOT(ISNUMBER(A794)),"Enter a date",IF(AND(F794&lt;&gt;"",OR(NOT(ISNUMBER(F794)),N(F794)&lt;0)),"Minutes must be a number of 0 or more",IF(G794="","Enter start and end times, or minutes",IF(C794="","Pick a machine",IF(SUMPRODUCT(--(Setup!$A$5:$A$34=C794))=0,"Machine not in Setup",IF(H794="","Pick a reason (counted as unclassified)",IF(I794="Not in Setup","Reason not in Setup (counted as unclassified)",IF(N(G794)=0,"0 minutes: not counted as a stop","OK")))))))))</f>
        <v/>
      </c>
    </row>
    <row r="795" customFormat="false" ht="15" hidden="false" customHeight="false" outlineLevel="0" collapsed="false">
      <c r="A795" s="11"/>
      <c r="B795" s="9"/>
      <c r="C795" s="9"/>
      <c r="D795" s="12"/>
      <c r="E795" s="12"/>
      <c r="F795" s="13"/>
      <c r="G795" s="14" t="str">
        <f aca="false">IF(F795&lt;&gt;"",IF(AND(ISNUMBER(F795),N(F795)&gt;=0),F795,""),IF(AND(ISNUMBER(D795),ISNUMBER(E795)),ROUND(MOD(E795-D795,1)*1440,0),""))</f>
        <v/>
      </c>
      <c r="H795" s="9"/>
      <c r="I795" s="10" t="str">
        <f aca="false">IF(H795="","",IF(SUMPRODUCT(MAX((Setup!$D$5:$D$34=H795)*(35-ROW(Setup!$D$5:$D$34))))=0,"Not in Setup",INDEX(Setup!$E$5:$E$34,31-SUMPRODUCT(MAX((Setup!$D$5:$D$34=H795)*(35-ROW(Setup!$D$5:$D$34)))))))</f>
        <v/>
      </c>
      <c r="J795" s="9"/>
      <c r="K795" s="10" t="str">
        <f aca="false">IF(AND(A795="",C795="",D795="",E795="",F795="",H795=""),"",IF(NOT(ISNUMBER(A795)),"Enter a date",IF(AND(F795&lt;&gt;"",OR(NOT(ISNUMBER(F795)),N(F795)&lt;0)),"Minutes must be a number of 0 or more",IF(G795="","Enter start and end times, or minutes",IF(C795="","Pick a machine",IF(SUMPRODUCT(--(Setup!$A$5:$A$34=C795))=0,"Machine not in Setup",IF(H795="","Pick a reason (counted as unclassified)",IF(I795="Not in Setup","Reason not in Setup (counted as unclassified)",IF(N(G795)=0,"0 minutes: not counted as a stop","OK")))))))))</f>
        <v/>
      </c>
    </row>
    <row r="796" customFormat="false" ht="15" hidden="false" customHeight="false" outlineLevel="0" collapsed="false">
      <c r="A796" s="11"/>
      <c r="B796" s="9"/>
      <c r="C796" s="9"/>
      <c r="D796" s="12"/>
      <c r="E796" s="12"/>
      <c r="F796" s="13"/>
      <c r="G796" s="14" t="str">
        <f aca="false">IF(F796&lt;&gt;"",IF(AND(ISNUMBER(F796),N(F796)&gt;=0),F796,""),IF(AND(ISNUMBER(D796),ISNUMBER(E796)),ROUND(MOD(E796-D796,1)*1440,0),""))</f>
        <v/>
      </c>
      <c r="H796" s="9"/>
      <c r="I796" s="10" t="str">
        <f aca="false">IF(H796="","",IF(SUMPRODUCT(MAX((Setup!$D$5:$D$34=H796)*(35-ROW(Setup!$D$5:$D$34))))=0,"Not in Setup",INDEX(Setup!$E$5:$E$34,31-SUMPRODUCT(MAX((Setup!$D$5:$D$34=H796)*(35-ROW(Setup!$D$5:$D$34)))))))</f>
        <v/>
      </c>
      <c r="J796" s="9"/>
      <c r="K796" s="10" t="str">
        <f aca="false">IF(AND(A796="",C796="",D796="",E796="",F796="",H796=""),"",IF(NOT(ISNUMBER(A796)),"Enter a date",IF(AND(F796&lt;&gt;"",OR(NOT(ISNUMBER(F796)),N(F796)&lt;0)),"Minutes must be a number of 0 or more",IF(G796="","Enter start and end times, or minutes",IF(C796="","Pick a machine",IF(SUMPRODUCT(--(Setup!$A$5:$A$34=C796))=0,"Machine not in Setup",IF(H796="","Pick a reason (counted as unclassified)",IF(I796="Not in Setup","Reason not in Setup (counted as unclassified)",IF(N(G796)=0,"0 minutes: not counted as a stop","OK")))))))))</f>
        <v/>
      </c>
    </row>
    <row r="797" customFormat="false" ht="15" hidden="false" customHeight="false" outlineLevel="0" collapsed="false">
      <c r="A797" s="11"/>
      <c r="B797" s="9"/>
      <c r="C797" s="9"/>
      <c r="D797" s="12"/>
      <c r="E797" s="12"/>
      <c r="F797" s="13"/>
      <c r="G797" s="14" t="str">
        <f aca="false">IF(F797&lt;&gt;"",IF(AND(ISNUMBER(F797),N(F797)&gt;=0),F797,""),IF(AND(ISNUMBER(D797),ISNUMBER(E797)),ROUND(MOD(E797-D797,1)*1440,0),""))</f>
        <v/>
      </c>
      <c r="H797" s="9"/>
      <c r="I797" s="10" t="str">
        <f aca="false">IF(H797="","",IF(SUMPRODUCT(MAX((Setup!$D$5:$D$34=H797)*(35-ROW(Setup!$D$5:$D$34))))=0,"Not in Setup",INDEX(Setup!$E$5:$E$34,31-SUMPRODUCT(MAX((Setup!$D$5:$D$34=H797)*(35-ROW(Setup!$D$5:$D$34)))))))</f>
        <v/>
      </c>
      <c r="J797" s="9"/>
      <c r="K797" s="10" t="str">
        <f aca="false">IF(AND(A797="",C797="",D797="",E797="",F797="",H797=""),"",IF(NOT(ISNUMBER(A797)),"Enter a date",IF(AND(F797&lt;&gt;"",OR(NOT(ISNUMBER(F797)),N(F797)&lt;0)),"Minutes must be a number of 0 or more",IF(G797="","Enter start and end times, or minutes",IF(C797="","Pick a machine",IF(SUMPRODUCT(--(Setup!$A$5:$A$34=C797))=0,"Machine not in Setup",IF(H797="","Pick a reason (counted as unclassified)",IF(I797="Not in Setup","Reason not in Setup (counted as unclassified)",IF(N(G797)=0,"0 minutes: not counted as a stop","OK")))))))))</f>
        <v/>
      </c>
    </row>
    <row r="798" customFormat="false" ht="15" hidden="false" customHeight="false" outlineLevel="0" collapsed="false">
      <c r="A798" s="11"/>
      <c r="B798" s="9"/>
      <c r="C798" s="9"/>
      <c r="D798" s="12"/>
      <c r="E798" s="12"/>
      <c r="F798" s="13"/>
      <c r="G798" s="14" t="str">
        <f aca="false">IF(F798&lt;&gt;"",IF(AND(ISNUMBER(F798),N(F798)&gt;=0),F798,""),IF(AND(ISNUMBER(D798),ISNUMBER(E798)),ROUND(MOD(E798-D798,1)*1440,0),""))</f>
        <v/>
      </c>
      <c r="H798" s="9"/>
      <c r="I798" s="10" t="str">
        <f aca="false">IF(H798="","",IF(SUMPRODUCT(MAX((Setup!$D$5:$D$34=H798)*(35-ROW(Setup!$D$5:$D$34))))=0,"Not in Setup",INDEX(Setup!$E$5:$E$34,31-SUMPRODUCT(MAX((Setup!$D$5:$D$34=H798)*(35-ROW(Setup!$D$5:$D$34)))))))</f>
        <v/>
      </c>
      <c r="J798" s="9"/>
      <c r="K798" s="10" t="str">
        <f aca="false">IF(AND(A798="",C798="",D798="",E798="",F798="",H798=""),"",IF(NOT(ISNUMBER(A798)),"Enter a date",IF(AND(F798&lt;&gt;"",OR(NOT(ISNUMBER(F798)),N(F798)&lt;0)),"Minutes must be a number of 0 or more",IF(G798="","Enter start and end times, or minutes",IF(C798="","Pick a machine",IF(SUMPRODUCT(--(Setup!$A$5:$A$34=C798))=0,"Machine not in Setup",IF(H798="","Pick a reason (counted as unclassified)",IF(I798="Not in Setup","Reason not in Setup (counted as unclassified)",IF(N(G798)=0,"0 minutes: not counted as a stop","OK")))))))))</f>
        <v/>
      </c>
    </row>
    <row r="799" customFormat="false" ht="15" hidden="false" customHeight="false" outlineLevel="0" collapsed="false">
      <c r="A799" s="11"/>
      <c r="B799" s="9"/>
      <c r="C799" s="9"/>
      <c r="D799" s="12"/>
      <c r="E799" s="12"/>
      <c r="F799" s="13"/>
      <c r="G799" s="14" t="str">
        <f aca="false">IF(F799&lt;&gt;"",IF(AND(ISNUMBER(F799),N(F799)&gt;=0),F799,""),IF(AND(ISNUMBER(D799),ISNUMBER(E799)),ROUND(MOD(E799-D799,1)*1440,0),""))</f>
        <v/>
      </c>
      <c r="H799" s="9"/>
      <c r="I799" s="10" t="str">
        <f aca="false">IF(H799="","",IF(SUMPRODUCT(MAX((Setup!$D$5:$D$34=H799)*(35-ROW(Setup!$D$5:$D$34))))=0,"Not in Setup",INDEX(Setup!$E$5:$E$34,31-SUMPRODUCT(MAX((Setup!$D$5:$D$34=H799)*(35-ROW(Setup!$D$5:$D$34)))))))</f>
        <v/>
      </c>
      <c r="J799" s="9"/>
      <c r="K799" s="10" t="str">
        <f aca="false">IF(AND(A799="",C799="",D799="",E799="",F799="",H799=""),"",IF(NOT(ISNUMBER(A799)),"Enter a date",IF(AND(F799&lt;&gt;"",OR(NOT(ISNUMBER(F799)),N(F799)&lt;0)),"Minutes must be a number of 0 or more",IF(G799="","Enter start and end times, or minutes",IF(C799="","Pick a machine",IF(SUMPRODUCT(--(Setup!$A$5:$A$34=C799))=0,"Machine not in Setup",IF(H799="","Pick a reason (counted as unclassified)",IF(I799="Not in Setup","Reason not in Setup (counted as unclassified)",IF(N(G799)=0,"0 minutes: not counted as a stop","OK")))))))))</f>
        <v/>
      </c>
    </row>
    <row r="800" customFormat="false" ht="15" hidden="false" customHeight="false" outlineLevel="0" collapsed="false">
      <c r="A800" s="11"/>
      <c r="B800" s="9"/>
      <c r="C800" s="9"/>
      <c r="D800" s="12"/>
      <c r="E800" s="12"/>
      <c r="F800" s="13"/>
      <c r="G800" s="14" t="str">
        <f aca="false">IF(F800&lt;&gt;"",IF(AND(ISNUMBER(F800),N(F800)&gt;=0),F800,""),IF(AND(ISNUMBER(D800),ISNUMBER(E800)),ROUND(MOD(E800-D800,1)*1440,0),""))</f>
        <v/>
      </c>
      <c r="H800" s="9"/>
      <c r="I800" s="10" t="str">
        <f aca="false">IF(H800="","",IF(SUMPRODUCT(MAX((Setup!$D$5:$D$34=H800)*(35-ROW(Setup!$D$5:$D$34))))=0,"Not in Setup",INDEX(Setup!$E$5:$E$34,31-SUMPRODUCT(MAX((Setup!$D$5:$D$34=H800)*(35-ROW(Setup!$D$5:$D$34)))))))</f>
        <v/>
      </c>
      <c r="J800" s="9"/>
      <c r="K800" s="10" t="str">
        <f aca="false">IF(AND(A800="",C800="",D800="",E800="",F800="",H800=""),"",IF(NOT(ISNUMBER(A800)),"Enter a date",IF(AND(F800&lt;&gt;"",OR(NOT(ISNUMBER(F800)),N(F800)&lt;0)),"Minutes must be a number of 0 or more",IF(G800="","Enter start and end times, or minutes",IF(C800="","Pick a machine",IF(SUMPRODUCT(--(Setup!$A$5:$A$34=C800))=0,"Machine not in Setup",IF(H800="","Pick a reason (counted as unclassified)",IF(I800="Not in Setup","Reason not in Setup (counted as unclassified)",IF(N(G800)=0,"0 minutes: not counted as a stop","OK")))))))))</f>
        <v/>
      </c>
    </row>
    <row r="801" customFormat="false" ht="15" hidden="false" customHeight="false" outlineLevel="0" collapsed="false">
      <c r="A801" s="11"/>
      <c r="B801" s="9"/>
      <c r="C801" s="9"/>
      <c r="D801" s="12"/>
      <c r="E801" s="12"/>
      <c r="F801" s="13"/>
      <c r="G801" s="14" t="str">
        <f aca="false">IF(F801&lt;&gt;"",IF(AND(ISNUMBER(F801),N(F801)&gt;=0),F801,""),IF(AND(ISNUMBER(D801),ISNUMBER(E801)),ROUND(MOD(E801-D801,1)*1440,0),""))</f>
        <v/>
      </c>
      <c r="H801" s="9"/>
      <c r="I801" s="10" t="str">
        <f aca="false">IF(H801="","",IF(SUMPRODUCT(MAX((Setup!$D$5:$D$34=H801)*(35-ROW(Setup!$D$5:$D$34))))=0,"Not in Setup",INDEX(Setup!$E$5:$E$34,31-SUMPRODUCT(MAX((Setup!$D$5:$D$34=H801)*(35-ROW(Setup!$D$5:$D$34)))))))</f>
        <v/>
      </c>
      <c r="J801" s="9"/>
      <c r="K801" s="10" t="str">
        <f aca="false">IF(AND(A801="",C801="",D801="",E801="",F801="",H801=""),"",IF(NOT(ISNUMBER(A801)),"Enter a date",IF(AND(F801&lt;&gt;"",OR(NOT(ISNUMBER(F801)),N(F801)&lt;0)),"Minutes must be a number of 0 or more",IF(G801="","Enter start and end times, or minutes",IF(C801="","Pick a machine",IF(SUMPRODUCT(--(Setup!$A$5:$A$34=C801))=0,"Machine not in Setup",IF(H801="","Pick a reason (counted as unclassified)",IF(I801="Not in Setup","Reason not in Setup (counted as unclassified)",IF(N(G801)=0,"0 minutes: not counted as a stop","OK")))))))))</f>
        <v/>
      </c>
    </row>
    <row r="802" customFormat="false" ht="15" hidden="false" customHeight="false" outlineLevel="0" collapsed="false">
      <c r="A802" s="11"/>
      <c r="B802" s="9"/>
      <c r="C802" s="9"/>
      <c r="D802" s="12"/>
      <c r="E802" s="12"/>
      <c r="F802" s="13"/>
      <c r="G802" s="14" t="str">
        <f aca="false">IF(F802&lt;&gt;"",IF(AND(ISNUMBER(F802),N(F802)&gt;=0),F802,""),IF(AND(ISNUMBER(D802),ISNUMBER(E802)),ROUND(MOD(E802-D802,1)*1440,0),""))</f>
        <v/>
      </c>
      <c r="H802" s="9"/>
      <c r="I802" s="10" t="str">
        <f aca="false">IF(H802="","",IF(SUMPRODUCT(MAX((Setup!$D$5:$D$34=H802)*(35-ROW(Setup!$D$5:$D$34))))=0,"Not in Setup",INDEX(Setup!$E$5:$E$34,31-SUMPRODUCT(MAX((Setup!$D$5:$D$34=H802)*(35-ROW(Setup!$D$5:$D$34)))))))</f>
        <v/>
      </c>
      <c r="J802" s="9"/>
      <c r="K802" s="10" t="str">
        <f aca="false">IF(AND(A802="",C802="",D802="",E802="",F802="",H802=""),"",IF(NOT(ISNUMBER(A802)),"Enter a date",IF(AND(F802&lt;&gt;"",OR(NOT(ISNUMBER(F802)),N(F802)&lt;0)),"Minutes must be a number of 0 or more",IF(G802="","Enter start and end times, or minutes",IF(C802="","Pick a machine",IF(SUMPRODUCT(--(Setup!$A$5:$A$34=C802))=0,"Machine not in Setup",IF(H802="","Pick a reason (counted as unclassified)",IF(I802="Not in Setup","Reason not in Setup (counted as unclassified)",IF(N(G802)=0,"0 minutes: not counted as a stop","OK")))))))))</f>
        <v/>
      </c>
    </row>
    <row r="803" customFormat="false" ht="15" hidden="false" customHeight="false" outlineLevel="0" collapsed="false">
      <c r="A803" s="11"/>
      <c r="B803" s="9"/>
      <c r="C803" s="9"/>
      <c r="D803" s="12"/>
      <c r="E803" s="12"/>
      <c r="F803" s="13"/>
      <c r="G803" s="14" t="str">
        <f aca="false">IF(F803&lt;&gt;"",IF(AND(ISNUMBER(F803),N(F803)&gt;=0),F803,""),IF(AND(ISNUMBER(D803),ISNUMBER(E803)),ROUND(MOD(E803-D803,1)*1440,0),""))</f>
        <v/>
      </c>
      <c r="H803" s="9"/>
      <c r="I803" s="10" t="str">
        <f aca="false">IF(H803="","",IF(SUMPRODUCT(MAX((Setup!$D$5:$D$34=H803)*(35-ROW(Setup!$D$5:$D$34))))=0,"Not in Setup",INDEX(Setup!$E$5:$E$34,31-SUMPRODUCT(MAX((Setup!$D$5:$D$34=H803)*(35-ROW(Setup!$D$5:$D$34)))))))</f>
        <v/>
      </c>
      <c r="J803" s="9"/>
      <c r="K803" s="10" t="str">
        <f aca="false">IF(AND(A803="",C803="",D803="",E803="",F803="",H803=""),"",IF(NOT(ISNUMBER(A803)),"Enter a date",IF(AND(F803&lt;&gt;"",OR(NOT(ISNUMBER(F803)),N(F803)&lt;0)),"Minutes must be a number of 0 or more",IF(G803="","Enter start and end times, or minutes",IF(C803="","Pick a machine",IF(SUMPRODUCT(--(Setup!$A$5:$A$34=C803))=0,"Machine not in Setup",IF(H803="","Pick a reason (counted as unclassified)",IF(I803="Not in Setup","Reason not in Setup (counted as unclassified)",IF(N(G803)=0,"0 minutes: not counted as a stop","OK")))))))))</f>
        <v/>
      </c>
    </row>
    <row r="804" customFormat="false" ht="15" hidden="false" customHeight="false" outlineLevel="0" collapsed="false">
      <c r="A804" s="11"/>
      <c r="B804" s="9"/>
      <c r="C804" s="9"/>
      <c r="D804" s="12"/>
      <c r="E804" s="12"/>
      <c r="F804" s="13"/>
      <c r="G804" s="14" t="str">
        <f aca="false">IF(F804&lt;&gt;"",IF(AND(ISNUMBER(F804),N(F804)&gt;=0),F804,""),IF(AND(ISNUMBER(D804),ISNUMBER(E804)),ROUND(MOD(E804-D804,1)*1440,0),""))</f>
        <v/>
      </c>
      <c r="H804" s="9"/>
      <c r="I804" s="10" t="str">
        <f aca="false">IF(H804="","",IF(SUMPRODUCT(MAX((Setup!$D$5:$D$34=H804)*(35-ROW(Setup!$D$5:$D$34))))=0,"Not in Setup",INDEX(Setup!$E$5:$E$34,31-SUMPRODUCT(MAX((Setup!$D$5:$D$34=H804)*(35-ROW(Setup!$D$5:$D$34)))))))</f>
        <v/>
      </c>
      <c r="J804" s="9"/>
      <c r="K804" s="10" t="str">
        <f aca="false">IF(AND(A804="",C804="",D804="",E804="",F804="",H804=""),"",IF(NOT(ISNUMBER(A804)),"Enter a date",IF(AND(F804&lt;&gt;"",OR(NOT(ISNUMBER(F804)),N(F804)&lt;0)),"Minutes must be a number of 0 or more",IF(G804="","Enter start and end times, or minutes",IF(C804="","Pick a machine",IF(SUMPRODUCT(--(Setup!$A$5:$A$34=C804))=0,"Machine not in Setup",IF(H804="","Pick a reason (counted as unclassified)",IF(I804="Not in Setup","Reason not in Setup (counted as unclassified)",IF(N(G804)=0,"0 minutes: not counted as a stop","OK")))))))))</f>
        <v/>
      </c>
    </row>
    <row r="805" customFormat="false" ht="15" hidden="false" customHeight="false" outlineLevel="0" collapsed="false">
      <c r="A805" s="11"/>
      <c r="B805" s="9"/>
      <c r="C805" s="9"/>
      <c r="D805" s="12"/>
      <c r="E805" s="12"/>
      <c r="F805" s="13"/>
      <c r="G805" s="14" t="str">
        <f aca="false">IF(F805&lt;&gt;"",IF(AND(ISNUMBER(F805),N(F805)&gt;=0),F805,""),IF(AND(ISNUMBER(D805),ISNUMBER(E805)),ROUND(MOD(E805-D805,1)*1440,0),""))</f>
        <v/>
      </c>
      <c r="H805" s="9"/>
      <c r="I805" s="10" t="str">
        <f aca="false">IF(H805="","",IF(SUMPRODUCT(MAX((Setup!$D$5:$D$34=H805)*(35-ROW(Setup!$D$5:$D$34))))=0,"Not in Setup",INDEX(Setup!$E$5:$E$34,31-SUMPRODUCT(MAX((Setup!$D$5:$D$34=H805)*(35-ROW(Setup!$D$5:$D$34)))))))</f>
        <v/>
      </c>
      <c r="J805" s="9"/>
      <c r="K805" s="10" t="str">
        <f aca="false">IF(AND(A805="",C805="",D805="",E805="",F805="",H805=""),"",IF(NOT(ISNUMBER(A805)),"Enter a date",IF(AND(F805&lt;&gt;"",OR(NOT(ISNUMBER(F805)),N(F805)&lt;0)),"Minutes must be a number of 0 or more",IF(G805="","Enter start and end times, or minutes",IF(C805="","Pick a machine",IF(SUMPRODUCT(--(Setup!$A$5:$A$34=C805))=0,"Machine not in Setup",IF(H805="","Pick a reason (counted as unclassified)",IF(I805="Not in Setup","Reason not in Setup (counted as unclassified)",IF(N(G805)=0,"0 minutes: not counted as a stop","OK")))))))))</f>
        <v/>
      </c>
    </row>
    <row r="806" customFormat="false" ht="15" hidden="false" customHeight="false" outlineLevel="0" collapsed="false">
      <c r="A806" s="11"/>
      <c r="B806" s="9"/>
      <c r="C806" s="9"/>
      <c r="D806" s="12"/>
      <c r="E806" s="12"/>
      <c r="F806" s="13"/>
      <c r="G806" s="14" t="str">
        <f aca="false">IF(F806&lt;&gt;"",IF(AND(ISNUMBER(F806),N(F806)&gt;=0),F806,""),IF(AND(ISNUMBER(D806),ISNUMBER(E806)),ROUND(MOD(E806-D806,1)*1440,0),""))</f>
        <v/>
      </c>
      <c r="H806" s="9"/>
      <c r="I806" s="10" t="str">
        <f aca="false">IF(H806="","",IF(SUMPRODUCT(MAX((Setup!$D$5:$D$34=H806)*(35-ROW(Setup!$D$5:$D$34))))=0,"Not in Setup",INDEX(Setup!$E$5:$E$34,31-SUMPRODUCT(MAX((Setup!$D$5:$D$34=H806)*(35-ROW(Setup!$D$5:$D$34)))))))</f>
        <v/>
      </c>
      <c r="J806" s="9"/>
      <c r="K806" s="10" t="str">
        <f aca="false">IF(AND(A806="",C806="",D806="",E806="",F806="",H806=""),"",IF(NOT(ISNUMBER(A806)),"Enter a date",IF(AND(F806&lt;&gt;"",OR(NOT(ISNUMBER(F806)),N(F806)&lt;0)),"Minutes must be a number of 0 or more",IF(G806="","Enter start and end times, or minutes",IF(C806="","Pick a machine",IF(SUMPRODUCT(--(Setup!$A$5:$A$34=C806))=0,"Machine not in Setup",IF(H806="","Pick a reason (counted as unclassified)",IF(I806="Not in Setup","Reason not in Setup (counted as unclassified)",IF(N(G806)=0,"0 minutes: not counted as a stop","OK")))))))))</f>
        <v/>
      </c>
    </row>
    <row r="807" customFormat="false" ht="15" hidden="false" customHeight="false" outlineLevel="0" collapsed="false">
      <c r="A807" s="11"/>
      <c r="B807" s="9"/>
      <c r="C807" s="9"/>
      <c r="D807" s="12"/>
      <c r="E807" s="12"/>
      <c r="F807" s="13"/>
      <c r="G807" s="14" t="str">
        <f aca="false">IF(F807&lt;&gt;"",IF(AND(ISNUMBER(F807),N(F807)&gt;=0),F807,""),IF(AND(ISNUMBER(D807),ISNUMBER(E807)),ROUND(MOD(E807-D807,1)*1440,0),""))</f>
        <v/>
      </c>
      <c r="H807" s="9"/>
      <c r="I807" s="10" t="str">
        <f aca="false">IF(H807="","",IF(SUMPRODUCT(MAX((Setup!$D$5:$D$34=H807)*(35-ROW(Setup!$D$5:$D$34))))=0,"Not in Setup",INDEX(Setup!$E$5:$E$34,31-SUMPRODUCT(MAX((Setup!$D$5:$D$34=H807)*(35-ROW(Setup!$D$5:$D$34)))))))</f>
        <v/>
      </c>
      <c r="J807" s="9"/>
      <c r="K807" s="10" t="str">
        <f aca="false">IF(AND(A807="",C807="",D807="",E807="",F807="",H807=""),"",IF(NOT(ISNUMBER(A807)),"Enter a date",IF(AND(F807&lt;&gt;"",OR(NOT(ISNUMBER(F807)),N(F807)&lt;0)),"Minutes must be a number of 0 or more",IF(G807="","Enter start and end times, or minutes",IF(C807="","Pick a machine",IF(SUMPRODUCT(--(Setup!$A$5:$A$34=C807))=0,"Machine not in Setup",IF(H807="","Pick a reason (counted as unclassified)",IF(I807="Not in Setup","Reason not in Setup (counted as unclassified)",IF(N(G807)=0,"0 minutes: not counted as a stop","OK")))))))))</f>
        <v/>
      </c>
    </row>
    <row r="808" customFormat="false" ht="15" hidden="false" customHeight="false" outlineLevel="0" collapsed="false">
      <c r="A808" s="11"/>
      <c r="B808" s="9"/>
      <c r="C808" s="9"/>
      <c r="D808" s="12"/>
      <c r="E808" s="12"/>
      <c r="F808" s="13"/>
      <c r="G808" s="14" t="str">
        <f aca="false">IF(F808&lt;&gt;"",IF(AND(ISNUMBER(F808),N(F808)&gt;=0),F808,""),IF(AND(ISNUMBER(D808),ISNUMBER(E808)),ROUND(MOD(E808-D808,1)*1440,0),""))</f>
        <v/>
      </c>
      <c r="H808" s="9"/>
      <c r="I808" s="10" t="str">
        <f aca="false">IF(H808="","",IF(SUMPRODUCT(MAX((Setup!$D$5:$D$34=H808)*(35-ROW(Setup!$D$5:$D$34))))=0,"Not in Setup",INDEX(Setup!$E$5:$E$34,31-SUMPRODUCT(MAX((Setup!$D$5:$D$34=H808)*(35-ROW(Setup!$D$5:$D$34)))))))</f>
        <v/>
      </c>
      <c r="J808" s="9"/>
      <c r="K808" s="10" t="str">
        <f aca="false">IF(AND(A808="",C808="",D808="",E808="",F808="",H808=""),"",IF(NOT(ISNUMBER(A808)),"Enter a date",IF(AND(F808&lt;&gt;"",OR(NOT(ISNUMBER(F808)),N(F808)&lt;0)),"Minutes must be a number of 0 or more",IF(G808="","Enter start and end times, or minutes",IF(C808="","Pick a machine",IF(SUMPRODUCT(--(Setup!$A$5:$A$34=C808))=0,"Machine not in Setup",IF(H808="","Pick a reason (counted as unclassified)",IF(I808="Not in Setup","Reason not in Setup (counted as unclassified)",IF(N(G808)=0,"0 minutes: not counted as a stop","OK")))))))))</f>
        <v/>
      </c>
    </row>
    <row r="809" customFormat="false" ht="15" hidden="false" customHeight="false" outlineLevel="0" collapsed="false">
      <c r="A809" s="11"/>
      <c r="B809" s="9"/>
      <c r="C809" s="9"/>
      <c r="D809" s="12"/>
      <c r="E809" s="12"/>
      <c r="F809" s="13"/>
      <c r="G809" s="14" t="str">
        <f aca="false">IF(F809&lt;&gt;"",IF(AND(ISNUMBER(F809),N(F809)&gt;=0),F809,""),IF(AND(ISNUMBER(D809),ISNUMBER(E809)),ROUND(MOD(E809-D809,1)*1440,0),""))</f>
        <v/>
      </c>
      <c r="H809" s="9"/>
      <c r="I809" s="10" t="str">
        <f aca="false">IF(H809="","",IF(SUMPRODUCT(MAX((Setup!$D$5:$D$34=H809)*(35-ROW(Setup!$D$5:$D$34))))=0,"Not in Setup",INDEX(Setup!$E$5:$E$34,31-SUMPRODUCT(MAX((Setup!$D$5:$D$34=H809)*(35-ROW(Setup!$D$5:$D$34)))))))</f>
        <v/>
      </c>
      <c r="J809" s="9"/>
      <c r="K809" s="10" t="str">
        <f aca="false">IF(AND(A809="",C809="",D809="",E809="",F809="",H809=""),"",IF(NOT(ISNUMBER(A809)),"Enter a date",IF(AND(F809&lt;&gt;"",OR(NOT(ISNUMBER(F809)),N(F809)&lt;0)),"Minutes must be a number of 0 or more",IF(G809="","Enter start and end times, or minutes",IF(C809="","Pick a machine",IF(SUMPRODUCT(--(Setup!$A$5:$A$34=C809))=0,"Machine not in Setup",IF(H809="","Pick a reason (counted as unclassified)",IF(I809="Not in Setup","Reason not in Setup (counted as unclassified)",IF(N(G809)=0,"0 minutes: not counted as a stop","OK")))))))))</f>
        <v/>
      </c>
    </row>
    <row r="810" customFormat="false" ht="15" hidden="false" customHeight="false" outlineLevel="0" collapsed="false">
      <c r="A810" s="11"/>
      <c r="B810" s="9"/>
      <c r="C810" s="9"/>
      <c r="D810" s="12"/>
      <c r="E810" s="12"/>
      <c r="F810" s="13"/>
      <c r="G810" s="14" t="str">
        <f aca="false">IF(F810&lt;&gt;"",IF(AND(ISNUMBER(F810),N(F810)&gt;=0),F810,""),IF(AND(ISNUMBER(D810),ISNUMBER(E810)),ROUND(MOD(E810-D810,1)*1440,0),""))</f>
        <v/>
      </c>
      <c r="H810" s="9"/>
      <c r="I810" s="10" t="str">
        <f aca="false">IF(H810="","",IF(SUMPRODUCT(MAX((Setup!$D$5:$D$34=H810)*(35-ROW(Setup!$D$5:$D$34))))=0,"Not in Setup",INDEX(Setup!$E$5:$E$34,31-SUMPRODUCT(MAX((Setup!$D$5:$D$34=H810)*(35-ROW(Setup!$D$5:$D$34)))))))</f>
        <v/>
      </c>
      <c r="J810" s="9"/>
      <c r="K810" s="10" t="str">
        <f aca="false">IF(AND(A810="",C810="",D810="",E810="",F810="",H810=""),"",IF(NOT(ISNUMBER(A810)),"Enter a date",IF(AND(F810&lt;&gt;"",OR(NOT(ISNUMBER(F810)),N(F810)&lt;0)),"Minutes must be a number of 0 or more",IF(G810="","Enter start and end times, or minutes",IF(C810="","Pick a machine",IF(SUMPRODUCT(--(Setup!$A$5:$A$34=C810))=0,"Machine not in Setup",IF(H810="","Pick a reason (counted as unclassified)",IF(I810="Not in Setup","Reason not in Setup (counted as unclassified)",IF(N(G810)=0,"0 minutes: not counted as a stop","OK")))))))))</f>
        <v/>
      </c>
    </row>
    <row r="811" customFormat="false" ht="15" hidden="false" customHeight="false" outlineLevel="0" collapsed="false">
      <c r="A811" s="11"/>
      <c r="B811" s="9"/>
      <c r="C811" s="9"/>
      <c r="D811" s="12"/>
      <c r="E811" s="12"/>
      <c r="F811" s="13"/>
      <c r="G811" s="14" t="str">
        <f aca="false">IF(F811&lt;&gt;"",IF(AND(ISNUMBER(F811),N(F811)&gt;=0),F811,""),IF(AND(ISNUMBER(D811),ISNUMBER(E811)),ROUND(MOD(E811-D811,1)*1440,0),""))</f>
        <v/>
      </c>
      <c r="H811" s="9"/>
      <c r="I811" s="10" t="str">
        <f aca="false">IF(H811="","",IF(SUMPRODUCT(MAX((Setup!$D$5:$D$34=H811)*(35-ROW(Setup!$D$5:$D$34))))=0,"Not in Setup",INDEX(Setup!$E$5:$E$34,31-SUMPRODUCT(MAX((Setup!$D$5:$D$34=H811)*(35-ROW(Setup!$D$5:$D$34)))))))</f>
        <v/>
      </c>
      <c r="J811" s="9"/>
      <c r="K811" s="10" t="str">
        <f aca="false">IF(AND(A811="",C811="",D811="",E811="",F811="",H811=""),"",IF(NOT(ISNUMBER(A811)),"Enter a date",IF(AND(F811&lt;&gt;"",OR(NOT(ISNUMBER(F811)),N(F811)&lt;0)),"Minutes must be a number of 0 or more",IF(G811="","Enter start and end times, or minutes",IF(C811="","Pick a machine",IF(SUMPRODUCT(--(Setup!$A$5:$A$34=C811))=0,"Machine not in Setup",IF(H811="","Pick a reason (counted as unclassified)",IF(I811="Not in Setup","Reason not in Setup (counted as unclassified)",IF(N(G811)=0,"0 minutes: not counted as a stop","OK")))))))))</f>
        <v/>
      </c>
    </row>
    <row r="812" customFormat="false" ht="15" hidden="false" customHeight="false" outlineLevel="0" collapsed="false">
      <c r="A812" s="11"/>
      <c r="B812" s="9"/>
      <c r="C812" s="9"/>
      <c r="D812" s="12"/>
      <c r="E812" s="12"/>
      <c r="F812" s="13"/>
      <c r="G812" s="14" t="str">
        <f aca="false">IF(F812&lt;&gt;"",IF(AND(ISNUMBER(F812),N(F812)&gt;=0),F812,""),IF(AND(ISNUMBER(D812),ISNUMBER(E812)),ROUND(MOD(E812-D812,1)*1440,0),""))</f>
        <v/>
      </c>
      <c r="H812" s="9"/>
      <c r="I812" s="10" t="str">
        <f aca="false">IF(H812="","",IF(SUMPRODUCT(MAX((Setup!$D$5:$D$34=H812)*(35-ROW(Setup!$D$5:$D$34))))=0,"Not in Setup",INDEX(Setup!$E$5:$E$34,31-SUMPRODUCT(MAX((Setup!$D$5:$D$34=H812)*(35-ROW(Setup!$D$5:$D$34)))))))</f>
        <v/>
      </c>
      <c r="J812" s="9"/>
      <c r="K812" s="10" t="str">
        <f aca="false">IF(AND(A812="",C812="",D812="",E812="",F812="",H812=""),"",IF(NOT(ISNUMBER(A812)),"Enter a date",IF(AND(F812&lt;&gt;"",OR(NOT(ISNUMBER(F812)),N(F812)&lt;0)),"Minutes must be a number of 0 or more",IF(G812="","Enter start and end times, or minutes",IF(C812="","Pick a machine",IF(SUMPRODUCT(--(Setup!$A$5:$A$34=C812))=0,"Machine not in Setup",IF(H812="","Pick a reason (counted as unclassified)",IF(I812="Not in Setup","Reason not in Setup (counted as unclassified)",IF(N(G812)=0,"0 minutes: not counted as a stop","OK")))))))))</f>
        <v/>
      </c>
    </row>
    <row r="813" customFormat="false" ht="15" hidden="false" customHeight="false" outlineLevel="0" collapsed="false">
      <c r="A813" s="11"/>
      <c r="B813" s="9"/>
      <c r="C813" s="9"/>
      <c r="D813" s="12"/>
      <c r="E813" s="12"/>
      <c r="F813" s="13"/>
      <c r="G813" s="14" t="str">
        <f aca="false">IF(F813&lt;&gt;"",IF(AND(ISNUMBER(F813),N(F813)&gt;=0),F813,""),IF(AND(ISNUMBER(D813),ISNUMBER(E813)),ROUND(MOD(E813-D813,1)*1440,0),""))</f>
        <v/>
      </c>
      <c r="H813" s="9"/>
      <c r="I813" s="10" t="str">
        <f aca="false">IF(H813="","",IF(SUMPRODUCT(MAX((Setup!$D$5:$D$34=H813)*(35-ROW(Setup!$D$5:$D$34))))=0,"Not in Setup",INDEX(Setup!$E$5:$E$34,31-SUMPRODUCT(MAX((Setup!$D$5:$D$34=H813)*(35-ROW(Setup!$D$5:$D$34)))))))</f>
        <v/>
      </c>
      <c r="J813" s="9"/>
      <c r="K813" s="10" t="str">
        <f aca="false">IF(AND(A813="",C813="",D813="",E813="",F813="",H813=""),"",IF(NOT(ISNUMBER(A813)),"Enter a date",IF(AND(F813&lt;&gt;"",OR(NOT(ISNUMBER(F813)),N(F813)&lt;0)),"Minutes must be a number of 0 or more",IF(G813="","Enter start and end times, or minutes",IF(C813="","Pick a machine",IF(SUMPRODUCT(--(Setup!$A$5:$A$34=C813))=0,"Machine not in Setup",IF(H813="","Pick a reason (counted as unclassified)",IF(I813="Not in Setup","Reason not in Setup (counted as unclassified)",IF(N(G813)=0,"0 minutes: not counted as a stop","OK")))))))))</f>
        <v/>
      </c>
    </row>
    <row r="814" customFormat="false" ht="15" hidden="false" customHeight="false" outlineLevel="0" collapsed="false">
      <c r="A814" s="11"/>
      <c r="B814" s="9"/>
      <c r="C814" s="9"/>
      <c r="D814" s="12"/>
      <c r="E814" s="12"/>
      <c r="F814" s="13"/>
      <c r="G814" s="14" t="str">
        <f aca="false">IF(F814&lt;&gt;"",IF(AND(ISNUMBER(F814),N(F814)&gt;=0),F814,""),IF(AND(ISNUMBER(D814),ISNUMBER(E814)),ROUND(MOD(E814-D814,1)*1440,0),""))</f>
        <v/>
      </c>
      <c r="H814" s="9"/>
      <c r="I814" s="10" t="str">
        <f aca="false">IF(H814="","",IF(SUMPRODUCT(MAX((Setup!$D$5:$D$34=H814)*(35-ROW(Setup!$D$5:$D$34))))=0,"Not in Setup",INDEX(Setup!$E$5:$E$34,31-SUMPRODUCT(MAX((Setup!$D$5:$D$34=H814)*(35-ROW(Setup!$D$5:$D$34)))))))</f>
        <v/>
      </c>
      <c r="J814" s="9"/>
      <c r="K814" s="10" t="str">
        <f aca="false">IF(AND(A814="",C814="",D814="",E814="",F814="",H814=""),"",IF(NOT(ISNUMBER(A814)),"Enter a date",IF(AND(F814&lt;&gt;"",OR(NOT(ISNUMBER(F814)),N(F814)&lt;0)),"Minutes must be a number of 0 or more",IF(G814="","Enter start and end times, or minutes",IF(C814="","Pick a machine",IF(SUMPRODUCT(--(Setup!$A$5:$A$34=C814))=0,"Machine not in Setup",IF(H814="","Pick a reason (counted as unclassified)",IF(I814="Not in Setup","Reason not in Setup (counted as unclassified)",IF(N(G814)=0,"0 minutes: not counted as a stop","OK")))))))))</f>
        <v/>
      </c>
    </row>
    <row r="815" customFormat="false" ht="15" hidden="false" customHeight="false" outlineLevel="0" collapsed="false">
      <c r="A815" s="11"/>
      <c r="B815" s="9"/>
      <c r="C815" s="9"/>
      <c r="D815" s="12"/>
      <c r="E815" s="12"/>
      <c r="F815" s="13"/>
      <c r="G815" s="14" t="str">
        <f aca="false">IF(F815&lt;&gt;"",IF(AND(ISNUMBER(F815),N(F815)&gt;=0),F815,""),IF(AND(ISNUMBER(D815),ISNUMBER(E815)),ROUND(MOD(E815-D815,1)*1440,0),""))</f>
        <v/>
      </c>
      <c r="H815" s="9"/>
      <c r="I815" s="10" t="str">
        <f aca="false">IF(H815="","",IF(SUMPRODUCT(MAX((Setup!$D$5:$D$34=H815)*(35-ROW(Setup!$D$5:$D$34))))=0,"Not in Setup",INDEX(Setup!$E$5:$E$34,31-SUMPRODUCT(MAX((Setup!$D$5:$D$34=H815)*(35-ROW(Setup!$D$5:$D$34)))))))</f>
        <v/>
      </c>
      <c r="J815" s="9"/>
      <c r="K815" s="10" t="str">
        <f aca="false">IF(AND(A815="",C815="",D815="",E815="",F815="",H815=""),"",IF(NOT(ISNUMBER(A815)),"Enter a date",IF(AND(F815&lt;&gt;"",OR(NOT(ISNUMBER(F815)),N(F815)&lt;0)),"Minutes must be a number of 0 or more",IF(G815="","Enter start and end times, or minutes",IF(C815="","Pick a machine",IF(SUMPRODUCT(--(Setup!$A$5:$A$34=C815))=0,"Machine not in Setup",IF(H815="","Pick a reason (counted as unclassified)",IF(I815="Not in Setup","Reason not in Setup (counted as unclassified)",IF(N(G815)=0,"0 minutes: not counted as a stop","OK")))))))))</f>
        <v/>
      </c>
    </row>
    <row r="816" customFormat="false" ht="15" hidden="false" customHeight="false" outlineLevel="0" collapsed="false">
      <c r="A816" s="11"/>
      <c r="B816" s="9"/>
      <c r="C816" s="9"/>
      <c r="D816" s="12"/>
      <c r="E816" s="12"/>
      <c r="F816" s="13"/>
      <c r="G816" s="14" t="str">
        <f aca="false">IF(F816&lt;&gt;"",IF(AND(ISNUMBER(F816),N(F816)&gt;=0),F816,""),IF(AND(ISNUMBER(D816),ISNUMBER(E816)),ROUND(MOD(E816-D816,1)*1440,0),""))</f>
        <v/>
      </c>
      <c r="H816" s="9"/>
      <c r="I816" s="10" t="str">
        <f aca="false">IF(H816="","",IF(SUMPRODUCT(MAX((Setup!$D$5:$D$34=H816)*(35-ROW(Setup!$D$5:$D$34))))=0,"Not in Setup",INDEX(Setup!$E$5:$E$34,31-SUMPRODUCT(MAX((Setup!$D$5:$D$34=H816)*(35-ROW(Setup!$D$5:$D$34)))))))</f>
        <v/>
      </c>
      <c r="J816" s="9"/>
      <c r="K816" s="10" t="str">
        <f aca="false">IF(AND(A816="",C816="",D816="",E816="",F816="",H816=""),"",IF(NOT(ISNUMBER(A816)),"Enter a date",IF(AND(F816&lt;&gt;"",OR(NOT(ISNUMBER(F816)),N(F816)&lt;0)),"Minutes must be a number of 0 or more",IF(G816="","Enter start and end times, or minutes",IF(C816="","Pick a machine",IF(SUMPRODUCT(--(Setup!$A$5:$A$34=C816))=0,"Machine not in Setup",IF(H816="","Pick a reason (counted as unclassified)",IF(I816="Not in Setup","Reason not in Setup (counted as unclassified)",IF(N(G816)=0,"0 minutes: not counted as a stop","OK")))))))))</f>
        <v/>
      </c>
    </row>
    <row r="817" customFormat="false" ht="15" hidden="false" customHeight="false" outlineLevel="0" collapsed="false">
      <c r="A817" s="11"/>
      <c r="B817" s="9"/>
      <c r="C817" s="9"/>
      <c r="D817" s="12"/>
      <c r="E817" s="12"/>
      <c r="F817" s="13"/>
      <c r="G817" s="14" t="str">
        <f aca="false">IF(F817&lt;&gt;"",IF(AND(ISNUMBER(F817),N(F817)&gt;=0),F817,""),IF(AND(ISNUMBER(D817),ISNUMBER(E817)),ROUND(MOD(E817-D817,1)*1440,0),""))</f>
        <v/>
      </c>
      <c r="H817" s="9"/>
      <c r="I817" s="10" t="str">
        <f aca="false">IF(H817="","",IF(SUMPRODUCT(MAX((Setup!$D$5:$D$34=H817)*(35-ROW(Setup!$D$5:$D$34))))=0,"Not in Setup",INDEX(Setup!$E$5:$E$34,31-SUMPRODUCT(MAX((Setup!$D$5:$D$34=H817)*(35-ROW(Setup!$D$5:$D$34)))))))</f>
        <v/>
      </c>
      <c r="J817" s="9"/>
      <c r="K817" s="10" t="str">
        <f aca="false">IF(AND(A817="",C817="",D817="",E817="",F817="",H817=""),"",IF(NOT(ISNUMBER(A817)),"Enter a date",IF(AND(F817&lt;&gt;"",OR(NOT(ISNUMBER(F817)),N(F817)&lt;0)),"Minutes must be a number of 0 or more",IF(G817="","Enter start and end times, or minutes",IF(C817="","Pick a machine",IF(SUMPRODUCT(--(Setup!$A$5:$A$34=C817))=0,"Machine not in Setup",IF(H817="","Pick a reason (counted as unclassified)",IF(I817="Not in Setup","Reason not in Setup (counted as unclassified)",IF(N(G817)=0,"0 minutes: not counted as a stop","OK")))))))))</f>
        <v/>
      </c>
    </row>
    <row r="818" customFormat="false" ht="15" hidden="false" customHeight="false" outlineLevel="0" collapsed="false">
      <c r="A818" s="11"/>
      <c r="B818" s="9"/>
      <c r="C818" s="9"/>
      <c r="D818" s="12"/>
      <c r="E818" s="12"/>
      <c r="F818" s="13"/>
      <c r="G818" s="14" t="str">
        <f aca="false">IF(F818&lt;&gt;"",IF(AND(ISNUMBER(F818),N(F818)&gt;=0),F818,""),IF(AND(ISNUMBER(D818),ISNUMBER(E818)),ROUND(MOD(E818-D818,1)*1440,0),""))</f>
        <v/>
      </c>
      <c r="H818" s="9"/>
      <c r="I818" s="10" t="str">
        <f aca="false">IF(H818="","",IF(SUMPRODUCT(MAX((Setup!$D$5:$D$34=H818)*(35-ROW(Setup!$D$5:$D$34))))=0,"Not in Setup",INDEX(Setup!$E$5:$E$34,31-SUMPRODUCT(MAX((Setup!$D$5:$D$34=H818)*(35-ROW(Setup!$D$5:$D$34)))))))</f>
        <v/>
      </c>
      <c r="J818" s="9"/>
      <c r="K818" s="10" t="str">
        <f aca="false">IF(AND(A818="",C818="",D818="",E818="",F818="",H818=""),"",IF(NOT(ISNUMBER(A818)),"Enter a date",IF(AND(F818&lt;&gt;"",OR(NOT(ISNUMBER(F818)),N(F818)&lt;0)),"Minutes must be a number of 0 or more",IF(G818="","Enter start and end times, or minutes",IF(C818="","Pick a machine",IF(SUMPRODUCT(--(Setup!$A$5:$A$34=C818))=0,"Machine not in Setup",IF(H818="","Pick a reason (counted as unclassified)",IF(I818="Not in Setup","Reason not in Setup (counted as unclassified)",IF(N(G818)=0,"0 minutes: not counted as a stop","OK")))))))))</f>
        <v/>
      </c>
    </row>
    <row r="819" customFormat="false" ht="15" hidden="false" customHeight="false" outlineLevel="0" collapsed="false">
      <c r="A819" s="11"/>
      <c r="B819" s="9"/>
      <c r="C819" s="9"/>
      <c r="D819" s="12"/>
      <c r="E819" s="12"/>
      <c r="F819" s="13"/>
      <c r="G819" s="14" t="str">
        <f aca="false">IF(F819&lt;&gt;"",IF(AND(ISNUMBER(F819),N(F819)&gt;=0),F819,""),IF(AND(ISNUMBER(D819),ISNUMBER(E819)),ROUND(MOD(E819-D819,1)*1440,0),""))</f>
        <v/>
      </c>
      <c r="H819" s="9"/>
      <c r="I819" s="10" t="str">
        <f aca="false">IF(H819="","",IF(SUMPRODUCT(MAX((Setup!$D$5:$D$34=H819)*(35-ROW(Setup!$D$5:$D$34))))=0,"Not in Setup",INDEX(Setup!$E$5:$E$34,31-SUMPRODUCT(MAX((Setup!$D$5:$D$34=H819)*(35-ROW(Setup!$D$5:$D$34)))))))</f>
        <v/>
      </c>
      <c r="J819" s="9"/>
      <c r="K819" s="10" t="str">
        <f aca="false">IF(AND(A819="",C819="",D819="",E819="",F819="",H819=""),"",IF(NOT(ISNUMBER(A819)),"Enter a date",IF(AND(F819&lt;&gt;"",OR(NOT(ISNUMBER(F819)),N(F819)&lt;0)),"Minutes must be a number of 0 or more",IF(G819="","Enter start and end times, or minutes",IF(C819="","Pick a machine",IF(SUMPRODUCT(--(Setup!$A$5:$A$34=C819))=0,"Machine not in Setup",IF(H819="","Pick a reason (counted as unclassified)",IF(I819="Not in Setup","Reason not in Setup (counted as unclassified)",IF(N(G819)=0,"0 minutes: not counted as a stop","OK")))))))))</f>
        <v/>
      </c>
    </row>
    <row r="820" customFormat="false" ht="15" hidden="false" customHeight="false" outlineLevel="0" collapsed="false">
      <c r="A820" s="11"/>
      <c r="B820" s="9"/>
      <c r="C820" s="9"/>
      <c r="D820" s="12"/>
      <c r="E820" s="12"/>
      <c r="F820" s="13"/>
      <c r="G820" s="14" t="str">
        <f aca="false">IF(F820&lt;&gt;"",IF(AND(ISNUMBER(F820),N(F820)&gt;=0),F820,""),IF(AND(ISNUMBER(D820),ISNUMBER(E820)),ROUND(MOD(E820-D820,1)*1440,0),""))</f>
        <v/>
      </c>
      <c r="H820" s="9"/>
      <c r="I820" s="10" t="str">
        <f aca="false">IF(H820="","",IF(SUMPRODUCT(MAX((Setup!$D$5:$D$34=H820)*(35-ROW(Setup!$D$5:$D$34))))=0,"Not in Setup",INDEX(Setup!$E$5:$E$34,31-SUMPRODUCT(MAX((Setup!$D$5:$D$34=H820)*(35-ROW(Setup!$D$5:$D$34)))))))</f>
        <v/>
      </c>
      <c r="J820" s="9"/>
      <c r="K820" s="10" t="str">
        <f aca="false">IF(AND(A820="",C820="",D820="",E820="",F820="",H820=""),"",IF(NOT(ISNUMBER(A820)),"Enter a date",IF(AND(F820&lt;&gt;"",OR(NOT(ISNUMBER(F820)),N(F820)&lt;0)),"Minutes must be a number of 0 or more",IF(G820="","Enter start and end times, or minutes",IF(C820="","Pick a machine",IF(SUMPRODUCT(--(Setup!$A$5:$A$34=C820))=0,"Machine not in Setup",IF(H820="","Pick a reason (counted as unclassified)",IF(I820="Not in Setup","Reason not in Setup (counted as unclassified)",IF(N(G820)=0,"0 minutes: not counted as a stop","OK")))))))))</f>
        <v/>
      </c>
    </row>
    <row r="821" customFormat="false" ht="15" hidden="false" customHeight="false" outlineLevel="0" collapsed="false">
      <c r="A821" s="11"/>
      <c r="B821" s="9"/>
      <c r="C821" s="9"/>
      <c r="D821" s="12"/>
      <c r="E821" s="12"/>
      <c r="F821" s="13"/>
      <c r="G821" s="14" t="str">
        <f aca="false">IF(F821&lt;&gt;"",IF(AND(ISNUMBER(F821),N(F821)&gt;=0),F821,""),IF(AND(ISNUMBER(D821),ISNUMBER(E821)),ROUND(MOD(E821-D821,1)*1440,0),""))</f>
        <v/>
      </c>
      <c r="H821" s="9"/>
      <c r="I821" s="10" t="str">
        <f aca="false">IF(H821="","",IF(SUMPRODUCT(MAX((Setup!$D$5:$D$34=H821)*(35-ROW(Setup!$D$5:$D$34))))=0,"Not in Setup",INDEX(Setup!$E$5:$E$34,31-SUMPRODUCT(MAX((Setup!$D$5:$D$34=H821)*(35-ROW(Setup!$D$5:$D$34)))))))</f>
        <v/>
      </c>
      <c r="J821" s="9"/>
      <c r="K821" s="10" t="str">
        <f aca="false">IF(AND(A821="",C821="",D821="",E821="",F821="",H821=""),"",IF(NOT(ISNUMBER(A821)),"Enter a date",IF(AND(F821&lt;&gt;"",OR(NOT(ISNUMBER(F821)),N(F821)&lt;0)),"Minutes must be a number of 0 or more",IF(G821="","Enter start and end times, or minutes",IF(C821="","Pick a machine",IF(SUMPRODUCT(--(Setup!$A$5:$A$34=C821))=0,"Machine not in Setup",IF(H821="","Pick a reason (counted as unclassified)",IF(I821="Not in Setup","Reason not in Setup (counted as unclassified)",IF(N(G821)=0,"0 minutes: not counted as a stop","OK")))))))))</f>
        <v/>
      </c>
    </row>
    <row r="822" customFormat="false" ht="15" hidden="false" customHeight="false" outlineLevel="0" collapsed="false">
      <c r="A822" s="11"/>
      <c r="B822" s="9"/>
      <c r="C822" s="9"/>
      <c r="D822" s="12"/>
      <c r="E822" s="12"/>
      <c r="F822" s="13"/>
      <c r="G822" s="14" t="str">
        <f aca="false">IF(F822&lt;&gt;"",IF(AND(ISNUMBER(F822),N(F822)&gt;=0),F822,""),IF(AND(ISNUMBER(D822),ISNUMBER(E822)),ROUND(MOD(E822-D822,1)*1440,0),""))</f>
        <v/>
      </c>
      <c r="H822" s="9"/>
      <c r="I822" s="10" t="str">
        <f aca="false">IF(H822="","",IF(SUMPRODUCT(MAX((Setup!$D$5:$D$34=H822)*(35-ROW(Setup!$D$5:$D$34))))=0,"Not in Setup",INDEX(Setup!$E$5:$E$34,31-SUMPRODUCT(MAX((Setup!$D$5:$D$34=H822)*(35-ROW(Setup!$D$5:$D$34)))))))</f>
        <v/>
      </c>
      <c r="J822" s="9"/>
      <c r="K822" s="10" t="str">
        <f aca="false">IF(AND(A822="",C822="",D822="",E822="",F822="",H822=""),"",IF(NOT(ISNUMBER(A822)),"Enter a date",IF(AND(F822&lt;&gt;"",OR(NOT(ISNUMBER(F822)),N(F822)&lt;0)),"Minutes must be a number of 0 or more",IF(G822="","Enter start and end times, or minutes",IF(C822="","Pick a machine",IF(SUMPRODUCT(--(Setup!$A$5:$A$34=C822))=0,"Machine not in Setup",IF(H822="","Pick a reason (counted as unclassified)",IF(I822="Not in Setup","Reason not in Setup (counted as unclassified)",IF(N(G822)=0,"0 minutes: not counted as a stop","OK")))))))))</f>
        <v/>
      </c>
    </row>
    <row r="823" customFormat="false" ht="15" hidden="false" customHeight="false" outlineLevel="0" collapsed="false">
      <c r="A823" s="11"/>
      <c r="B823" s="9"/>
      <c r="C823" s="9"/>
      <c r="D823" s="12"/>
      <c r="E823" s="12"/>
      <c r="F823" s="13"/>
      <c r="G823" s="14" t="str">
        <f aca="false">IF(F823&lt;&gt;"",IF(AND(ISNUMBER(F823),N(F823)&gt;=0),F823,""),IF(AND(ISNUMBER(D823),ISNUMBER(E823)),ROUND(MOD(E823-D823,1)*1440,0),""))</f>
        <v/>
      </c>
      <c r="H823" s="9"/>
      <c r="I823" s="10" t="str">
        <f aca="false">IF(H823="","",IF(SUMPRODUCT(MAX((Setup!$D$5:$D$34=H823)*(35-ROW(Setup!$D$5:$D$34))))=0,"Not in Setup",INDEX(Setup!$E$5:$E$34,31-SUMPRODUCT(MAX((Setup!$D$5:$D$34=H823)*(35-ROW(Setup!$D$5:$D$34)))))))</f>
        <v/>
      </c>
      <c r="J823" s="9"/>
      <c r="K823" s="10" t="str">
        <f aca="false">IF(AND(A823="",C823="",D823="",E823="",F823="",H823=""),"",IF(NOT(ISNUMBER(A823)),"Enter a date",IF(AND(F823&lt;&gt;"",OR(NOT(ISNUMBER(F823)),N(F823)&lt;0)),"Minutes must be a number of 0 or more",IF(G823="","Enter start and end times, or minutes",IF(C823="","Pick a machine",IF(SUMPRODUCT(--(Setup!$A$5:$A$34=C823))=0,"Machine not in Setup",IF(H823="","Pick a reason (counted as unclassified)",IF(I823="Not in Setup","Reason not in Setup (counted as unclassified)",IF(N(G823)=0,"0 minutes: not counted as a stop","OK")))))))))</f>
        <v/>
      </c>
    </row>
    <row r="824" customFormat="false" ht="15" hidden="false" customHeight="false" outlineLevel="0" collapsed="false">
      <c r="A824" s="11"/>
      <c r="B824" s="9"/>
      <c r="C824" s="9"/>
      <c r="D824" s="12"/>
      <c r="E824" s="12"/>
      <c r="F824" s="13"/>
      <c r="G824" s="14" t="str">
        <f aca="false">IF(F824&lt;&gt;"",IF(AND(ISNUMBER(F824),N(F824)&gt;=0),F824,""),IF(AND(ISNUMBER(D824),ISNUMBER(E824)),ROUND(MOD(E824-D824,1)*1440,0),""))</f>
        <v/>
      </c>
      <c r="H824" s="9"/>
      <c r="I824" s="10" t="str">
        <f aca="false">IF(H824="","",IF(SUMPRODUCT(MAX((Setup!$D$5:$D$34=H824)*(35-ROW(Setup!$D$5:$D$34))))=0,"Not in Setup",INDEX(Setup!$E$5:$E$34,31-SUMPRODUCT(MAX((Setup!$D$5:$D$34=H824)*(35-ROW(Setup!$D$5:$D$34)))))))</f>
        <v/>
      </c>
      <c r="J824" s="9"/>
      <c r="K824" s="10" t="str">
        <f aca="false">IF(AND(A824="",C824="",D824="",E824="",F824="",H824=""),"",IF(NOT(ISNUMBER(A824)),"Enter a date",IF(AND(F824&lt;&gt;"",OR(NOT(ISNUMBER(F824)),N(F824)&lt;0)),"Minutes must be a number of 0 or more",IF(G824="","Enter start and end times, or minutes",IF(C824="","Pick a machine",IF(SUMPRODUCT(--(Setup!$A$5:$A$34=C824))=0,"Machine not in Setup",IF(H824="","Pick a reason (counted as unclassified)",IF(I824="Not in Setup","Reason not in Setup (counted as unclassified)",IF(N(G824)=0,"0 minutes: not counted as a stop","OK")))))))))</f>
        <v/>
      </c>
    </row>
    <row r="825" customFormat="false" ht="15" hidden="false" customHeight="false" outlineLevel="0" collapsed="false">
      <c r="A825" s="11"/>
      <c r="B825" s="9"/>
      <c r="C825" s="9"/>
      <c r="D825" s="12"/>
      <c r="E825" s="12"/>
      <c r="F825" s="13"/>
      <c r="G825" s="14" t="str">
        <f aca="false">IF(F825&lt;&gt;"",IF(AND(ISNUMBER(F825),N(F825)&gt;=0),F825,""),IF(AND(ISNUMBER(D825),ISNUMBER(E825)),ROUND(MOD(E825-D825,1)*1440,0),""))</f>
        <v/>
      </c>
      <c r="H825" s="9"/>
      <c r="I825" s="10" t="str">
        <f aca="false">IF(H825="","",IF(SUMPRODUCT(MAX((Setup!$D$5:$D$34=H825)*(35-ROW(Setup!$D$5:$D$34))))=0,"Not in Setup",INDEX(Setup!$E$5:$E$34,31-SUMPRODUCT(MAX((Setup!$D$5:$D$34=H825)*(35-ROW(Setup!$D$5:$D$34)))))))</f>
        <v/>
      </c>
      <c r="J825" s="9"/>
      <c r="K825" s="10" t="str">
        <f aca="false">IF(AND(A825="",C825="",D825="",E825="",F825="",H825=""),"",IF(NOT(ISNUMBER(A825)),"Enter a date",IF(AND(F825&lt;&gt;"",OR(NOT(ISNUMBER(F825)),N(F825)&lt;0)),"Minutes must be a number of 0 or more",IF(G825="","Enter start and end times, or minutes",IF(C825="","Pick a machine",IF(SUMPRODUCT(--(Setup!$A$5:$A$34=C825))=0,"Machine not in Setup",IF(H825="","Pick a reason (counted as unclassified)",IF(I825="Not in Setup","Reason not in Setup (counted as unclassified)",IF(N(G825)=0,"0 minutes: not counted as a stop","OK")))))))))</f>
        <v/>
      </c>
    </row>
    <row r="826" customFormat="false" ht="15" hidden="false" customHeight="false" outlineLevel="0" collapsed="false">
      <c r="A826" s="11"/>
      <c r="B826" s="9"/>
      <c r="C826" s="9"/>
      <c r="D826" s="12"/>
      <c r="E826" s="12"/>
      <c r="F826" s="13"/>
      <c r="G826" s="14" t="str">
        <f aca="false">IF(F826&lt;&gt;"",IF(AND(ISNUMBER(F826),N(F826)&gt;=0),F826,""),IF(AND(ISNUMBER(D826),ISNUMBER(E826)),ROUND(MOD(E826-D826,1)*1440,0),""))</f>
        <v/>
      </c>
      <c r="H826" s="9"/>
      <c r="I826" s="10" t="str">
        <f aca="false">IF(H826="","",IF(SUMPRODUCT(MAX((Setup!$D$5:$D$34=H826)*(35-ROW(Setup!$D$5:$D$34))))=0,"Not in Setup",INDEX(Setup!$E$5:$E$34,31-SUMPRODUCT(MAX((Setup!$D$5:$D$34=H826)*(35-ROW(Setup!$D$5:$D$34)))))))</f>
        <v/>
      </c>
      <c r="J826" s="9"/>
      <c r="K826" s="10" t="str">
        <f aca="false">IF(AND(A826="",C826="",D826="",E826="",F826="",H826=""),"",IF(NOT(ISNUMBER(A826)),"Enter a date",IF(AND(F826&lt;&gt;"",OR(NOT(ISNUMBER(F826)),N(F826)&lt;0)),"Minutes must be a number of 0 or more",IF(G826="","Enter start and end times, or minutes",IF(C826="","Pick a machine",IF(SUMPRODUCT(--(Setup!$A$5:$A$34=C826))=0,"Machine not in Setup",IF(H826="","Pick a reason (counted as unclassified)",IF(I826="Not in Setup","Reason not in Setup (counted as unclassified)",IF(N(G826)=0,"0 minutes: not counted as a stop","OK")))))))))</f>
        <v/>
      </c>
    </row>
    <row r="827" customFormat="false" ht="15" hidden="false" customHeight="false" outlineLevel="0" collapsed="false">
      <c r="A827" s="11"/>
      <c r="B827" s="9"/>
      <c r="C827" s="9"/>
      <c r="D827" s="12"/>
      <c r="E827" s="12"/>
      <c r="F827" s="13"/>
      <c r="G827" s="14" t="str">
        <f aca="false">IF(F827&lt;&gt;"",IF(AND(ISNUMBER(F827),N(F827)&gt;=0),F827,""),IF(AND(ISNUMBER(D827),ISNUMBER(E827)),ROUND(MOD(E827-D827,1)*1440,0),""))</f>
        <v/>
      </c>
      <c r="H827" s="9"/>
      <c r="I827" s="10" t="str">
        <f aca="false">IF(H827="","",IF(SUMPRODUCT(MAX((Setup!$D$5:$D$34=H827)*(35-ROW(Setup!$D$5:$D$34))))=0,"Not in Setup",INDEX(Setup!$E$5:$E$34,31-SUMPRODUCT(MAX((Setup!$D$5:$D$34=H827)*(35-ROW(Setup!$D$5:$D$34)))))))</f>
        <v/>
      </c>
      <c r="J827" s="9"/>
      <c r="K827" s="10" t="str">
        <f aca="false">IF(AND(A827="",C827="",D827="",E827="",F827="",H827=""),"",IF(NOT(ISNUMBER(A827)),"Enter a date",IF(AND(F827&lt;&gt;"",OR(NOT(ISNUMBER(F827)),N(F827)&lt;0)),"Minutes must be a number of 0 or more",IF(G827="","Enter start and end times, or minutes",IF(C827="","Pick a machine",IF(SUMPRODUCT(--(Setup!$A$5:$A$34=C827))=0,"Machine not in Setup",IF(H827="","Pick a reason (counted as unclassified)",IF(I827="Not in Setup","Reason not in Setup (counted as unclassified)",IF(N(G827)=0,"0 minutes: not counted as a stop","OK")))))))))</f>
        <v/>
      </c>
    </row>
    <row r="828" customFormat="false" ht="15" hidden="false" customHeight="false" outlineLevel="0" collapsed="false">
      <c r="A828" s="11"/>
      <c r="B828" s="9"/>
      <c r="C828" s="9"/>
      <c r="D828" s="12"/>
      <c r="E828" s="12"/>
      <c r="F828" s="13"/>
      <c r="G828" s="14" t="str">
        <f aca="false">IF(F828&lt;&gt;"",IF(AND(ISNUMBER(F828),N(F828)&gt;=0),F828,""),IF(AND(ISNUMBER(D828),ISNUMBER(E828)),ROUND(MOD(E828-D828,1)*1440,0),""))</f>
        <v/>
      </c>
      <c r="H828" s="9"/>
      <c r="I828" s="10" t="str">
        <f aca="false">IF(H828="","",IF(SUMPRODUCT(MAX((Setup!$D$5:$D$34=H828)*(35-ROW(Setup!$D$5:$D$34))))=0,"Not in Setup",INDEX(Setup!$E$5:$E$34,31-SUMPRODUCT(MAX((Setup!$D$5:$D$34=H828)*(35-ROW(Setup!$D$5:$D$34)))))))</f>
        <v/>
      </c>
      <c r="J828" s="9"/>
      <c r="K828" s="10" t="str">
        <f aca="false">IF(AND(A828="",C828="",D828="",E828="",F828="",H828=""),"",IF(NOT(ISNUMBER(A828)),"Enter a date",IF(AND(F828&lt;&gt;"",OR(NOT(ISNUMBER(F828)),N(F828)&lt;0)),"Minutes must be a number of 0 or more",IF(G828="","Enter start and end times, or minutes",IF(C828="","Pick a machine",IF(SUMPRODUCT(--(Setup!$A$5:$A$34=C828))=0,"Machine not in Setup",IF(H828="","Pick a reason (counted as unclassified)",IF(I828="Not in Setup","Reason not in Setup (counted as unclassified)",IF(N(G828)=0,"0 minutes: not counted as a stop","OK")))))))))</f>
        <v/>
      </c>
    </row>
    <row r="829" customFormat="false" ht="15" hidden="false" customHeight="false" outlineLevel="0" collapsed="false">
      <c r="A829" s="11"/>
      <c r="B829" s="9"/>
      <c r="C829" s="9"/>
      <c r="D829" s="12"/>
      <c r="E829" s="12"/>
      <c r="F829" s="13"/>
      <c r="G829" s="14" t="str">
        <f aca="false">IF(F829&lt;&gt;"",IF(AND(ISNUMBER(F829),N(F829)&gt;=0),F829,""),IF(AND(ISNUMBER(D829),ISNUMBER(E829)),ROUND(MOD(E829-D829,1)*1440,0),""))</f>
        <v/>
      </c>
      <c r="H829" s="9"/>
      <c r="I829" s="10" t="str">
        <f aca="false">IF(H829="","",IF(SUMPRODUCT(MAX((Setup!$D$5:$D$34=H829)*(35-ROW(Setup!$D$5:$D$34))))=0,"Not in Setup",INDEX(Setup!$E$5:$E$34,31-SUMPRODUCT(MAX((Setup!$D$5:$D$34=H829)*(35-ROW(Setup!$D$5:$D$34)))))))</f>
        <v/>
      </c>
      <c r="J829" s="9"/>
      <c r="K829" s="10" t="str">
        <f aca="false">IF(AND(A829="",C829="",D829="",E829="",F829="",H829=""),"",IF(NOT(ISNUMBER(A829)),"Enter a date",IF(AND(F829&lt;&gt;"",OR(NOT(ISNUMBER(F829)),N(F829)&lt;0)),"Minutes must be a number of 0 or more",IF(G829="","Enter start and end times, or minutes",IF(C829="","Pick a machine",IF(SUMPRODUCT(--(Setup!$A$5:$A$34=C829))=0,"Machine not in Setup",IF(H829="","Pick a reason (counted as unclassified)",IF(I829="Not in Setup","Reason not in Setup (counted as unclassified)",IF(N(G829)=0,"0 minutes: not counted as a stop","OK")))))))))</f>
        <v/>
      </c>
    </row>
    <row r="830" customFormat="false" ht="15" hidden="false" customHeight="false" outlineLevel="0" collapsed="false">
      <c r="A830" s="11"/>
      <c r="B830" s="9"/>
      <c r="C830" s="9"/>
      <c r="D830" s="12"/>
      <c r="E830" s="12"/>
      <c r="F830" s="13"/>
      <c r="G830" s="14" t="str">
        <f aca="false">IF(F830&lt;&gt;"",IF(AND(ISNUMBER(F830),N(F830)&gt;=0),F830,""),IF(AND(ISNUMBER(D830),ISNUMBER(E830)),ROUND(MOD(E830-D830,1)*1440,0),""))</f>
        <v/>
      </c>
      <c r="H830" s="9"/>
      <c r="I830" s="10" t="str">
        <f aca="false">IF(H830="","",IF(SUMPRODUCT(MAX((Setup!$D$5:$D$34=H830)*(35-ROW(Setup!$D$5:$D$34))))=0,"Not in Setup",INDEX(Setup!$E$5:$E$34,31-SUMPRODUCT(MAX((Setup!$D$5:$D$34=H830)*(35-ROW(Setup!$D$5:$D$34)))))))</f>
        <v/>
      </c>
      <c r="J830" s="9"/>
      <c r="K830" s="10" t="str">
        <f aca="false">IF(AND(A830="",C830="",D830="",E830="",F830="",H830=""),"",IF(NOT(ISNUMBER(A830)),"Enter a date",IF(AND(F830&lt;&gt;"",OR(NOT(ISNUMBER(F830)),N(F830)&lt;0)),"Minutes must be a number of 0 or more",IF(G830="","Enter start and end times, or minutes",IF(C830="","Pick a machine",IF(SUMPRODUCT(--(Setup!$A$5:$A$34=C830))=0,"Machine not in Setup",IF(H830="","Pick a reason (counted as unclassified)",IF(I830="Not in Setup","Reason not in Setup (counted as unclassified)",IF(N(G830)=0,"0 minutes: not counted as a stop","OK")))))))))</f>
        <v/>
      </c>
    </row>
    <row r="831" customFormat="false" ht="15" hidden="false" customHeight="false" outlineLevel="0" collapsed="false">
      <c r="A831" s="11"/>
      <c r="B831" s="9"/>
      <c r="C831" s="9"/>
      <c r="D831" s="12"/>
      <c r="E831" s="12"/>
      <c r="F831" s="13"/>
      <c r="G831" s="14" t="str">
        <f aca="false">IF(F831&lt;&gt;"",IF(AND(ISNUMBER(F831),N(F831)&gt;=0),F831,""),IF(AND(ISNUMBER(D831),ISNUMBER(E831)),ROUND(MOD(E831-D831,1)*1440,0),""))</f>
        <v/>
      </c>
      <c r="H831" s="9"/>
      <c r="I831" s="10" t="str">
        <f aca="false">IF(H831="","",IF(SUMPRODUCT(MAX((Setup!$D$5:$D$34=H831)*(35-ROW(Setup!$D$5:$D$34))))=0,"Not in Setup",INDEX(Setup!$E$5:$E$34,31-SUMPRODUCT(MAX((Setup!$D$5:$D$34=H831)*(35-ROW(Setup!$D$5:$D$34)))))))</f>
        <v/>
      </c>
      <c r="J831" s="9"/>
      <c r="K831" s="10" t="str">
        <f aca="false">IF(AND(A831="",C831="",D831="",E831="",F831="",H831=""),"",IF(NOT(ISNUMBER(A831)),"Enter a date",IF(AND(F831&lt;&gt;"",OR(NOT(ISNUMBER(F831)),N(F831)&lt;0)),"Minutes must be a number of 0 or more",IF(G831="","Enter start and end times, or minutes",IF(C831="","Pick a machine",IF(SUMPRODUCT(--(Setup!$A$5:$A$34=C831))=0,"Machine not in Setup",IF(H831="","Pick a reason (counted as unclassified)",IF(I831="Not in Setup","Reason not in Setup (counted as unclassified)",IF(N(G831)=0,"0 minutes: not counted as a stop","OK")))))))))</f>
        <v/>
      </c>
    </row>
    <row r="832" customFormat="false" ht="15" hidden="false" customHeight="false" outlineLevel="0" collapsed="false">
      <c r="A832" s="11"/>
      <c r="B832" s="9"/>
      <c r="C832" s="9"/>
      <c r="D832" s="12"/>
      <c r="E832" s="12"/>
      <c r="F832" s="13"/>
      <c r="G832" s="14" t="str">
        <f aca="false">IF(F832&lt;&gt;"",IF(AND(ISNUMBER(F832),N(F832)&gt;=0),F832,""),IF(AND(ISNUMBER(D832),ISNUMBER(E832)),ROUND(MOD(E832-D832,1)*1440,0),""))</f>
        <v/>
      </c>
      <c r="H832" s="9"/>
      <c r="I832" s="10" t="str">
        <f aca="false">IF(H832="","",IF(SUMPRODUCT(MAX((Setup!$D$5:$D$34=H832)*(35-ROW(Setup!$D$5:$D$34))))=0,"Not in Setup",INDEX(Setup!$E$5:$E$34,31-SUMPRODUCT(MAX((Setup!$D$5:$D$34=H832)*(35-ROW(Setup!$D$5:$D$34)))))))</f>
        <v/>
      </c>
      <c r="J832" s="9"/>
      <c r="K832" s="10" t="str">
        <f aca="false">IF(AND(A832="",C832="",D832="",E832="",F832="",H832=""),"",IF(NOT(ISNUMBER(A832)),"Enter a date",IF(AND(F832&lt;&gt;"",OR(NOT(ISNUMBER(F832)),N(F832)&lt;0)),"Minutes must be a number of 0 or more",IF(G832="","Enter start and end times, or minutes",IF(C832="","Pick a machine",IF(SUMPRODUCT(--(Setup!$A$5:$A$34=C832))=0,"Machine not in Setup",IF(H832="","Pick a reason (counted as unclassified)",IF(I832="Not in Setup","Reason not in Setup (counted as unclassified)",IF(N(G832)=0,"0 minutes: not counted as a stop","OK")))))))))</f>
        <v/>
      </c>
    </row>
    <row r="833" customFormat="false" ht="15" hidden="false" customHeight="false" outlineLevel="0" collapsed="false">
      <c r="A833" s="11"/>
      <c r="B833" s="9"/>
      <c r="C833" s="9"/>
      <c r="D833" s="12"/>
      <c r="E833" s="12"/>
      <c r="F833" s="13"/>
      <c r="G833" s="14" t="str">
        <f aca="false">IF(F833&lt;&gt;"",IF(AND(ISNUMBER(F833),N(F833)&gt;=0),F833,""),IF(AND(ISNUMBER(D833),ISNUMBER(E833)),ROUND(MOD(E833-D833,1)*1440,0),""))</f>
        <v/>
      </c>
      <c r="H833" s="9"/>
      <c r="I833" s="10" t="str">
        <f aca="false">IF(H833="","",IF(SUMPRODUCT(MAX((Setup!$D$5:$D$34=H833)*(35-ROW(Setup!$D$5:$D$34))))=0,"Not in Setup",INDEX(Setup!$E$5:$E$34,31-SUMPRODUCT(MAX((Setup!$D$5:$D$34=H833)*(35-ROW(Setup!$D$5:$D$34)))))))</f>
        <v/>
      </c>
      <c r="J833" s="9"/>
      <c r="K833" s="10" t="str">
        <f aca="false">IF(AND(A833="",C833="",D833="",E833="",F833="",H833=""),"",IF(NOT(ISNUMBER(A833)),"Enter a date",IF(AND(F833&lt;&gt;"",OR(NOT(ISNUMBER(F833)),N(F833)&lt;0)),"Minutes must be a number of 0 or more",IF(G833="","Enter start and end times, or minutes",IF(C833="","Pick a machine",IF(SUMPRODUCT(--(Setup!$A$5:$A$34=C833))=0,"Machine not in Setup",IF(H833="","Pick a reason (counted as unclassified)",IF(I833="Not in Setup","Reason not in Setup (counted as unclassified)",IF(N(G833)=0,"0 minutes: not counted as a stop","OK")))))))))</f>
        <v/>
      </c>
    </row>
    <row r="834" customFormat="false" ht="15" hidden="false" customHeight="false" outlineLevel="0" collapsed="false">
      <c r="A834" s="11"/>
      <c r="B834" s="9"/>
      <c r="C834" s="9"/>
      <c r="D834" s="12"/>
      <c r="E834" s="12"/>
      <c r="F834" s="13"/>
      <c r="G834" s="14" t="str">
        <f aca="false">IF(F834&lt;&gt;"",IF(AND(ISNUMBER(F834),N(F834)&gt;=0),F834,""),IF(AND(ISNUMBER(D834),ISNUMBER(E834)),ROUND(MOD(E834-D834,1)*1440,0),""))</f>
        <v/>
      </c>
      <c r="H834" s="9"/>
      <c r="I834" s="10" t="str">
        <f aca="false">IF(H834="","",IF(SUMPRODUCT(MAX((Setup!$D$5:$D$34=H834)*(35-ROW(Setup!$D$5:$D$34))))=0,"Not in Setup",INDEX(Setup!$E$5:$E$34,31-SUMPRODUCT(MAX((Setup!$D$5:$D$34=H834)*(35-ROW(Setup!$D$5:$D$34)))))))</f>
        <v/>
      </c>
      <c r="J834" s="9"/>
      <c r="K834" s="10" t="str">
        <f aca="false">IF(AND(A834="",C834="",D834="",E834="",F834="",H834=""),"",IF(NOT(ISNUMBER(A834)),"Enter a date",IF(AND(F834&lt;&gt;"",OR(NOT(ISNUMBER(F834)),N(F834)&lt;0)),"Minutes must be a number of 0 or more",IF(G834="","Enter start and end times, or minutes",IF(C834="","Pick a machine",IF(SUMPRODUCT(--(Setup!$A$5:$A$34=C834))=0,"Machine not in Setup",IF(H834="","Pick a reason (counted as unclassified)",IF(I834="Not in Setup","Reason not in Setup (counted as unclassified)",IF(N(G834)=0,"0 minutes: not counted as a stop","OK")))))))))</f>
        <v/>
      </c>
    </row>
    <row r="835" customFormat="false" ht="15" hidden="false" customHeight="false" outlineLevel="0" collapsed="false">
      <c r="A835" s="11"/>
      <c r="B835" s="9"/>
      <c r="C835" s="9"/>
      <c r="D835" s="12"/>
      <c r="E835" s="12"/>
      <c r="F835" s="13"/>
      <c r="G835" s="14" t="str">
        <f aca="false">IF(F835&lt;&gt;"",IF(AND(ISNUMBER(F835),N(F835)&gt;=0),F835,""),IF(AND(ISNUMBER(D835),ISNUMBER(E835)),ROUND(MOD(E835-D835,1)*1440,0),""))</f>
        <v/>
      </c>
      <c r="H835" s="9"/>
      <c r="I835" s="10" t="str">
        <f aca="false">IF(H835="","",IF(SUMPRODUCT(MAX((Setup!$D$5:$D$34=H835)*(35-ROW(Setup!$D$5:$D$34))))=0,"Not in Setup",INDEX(Setup!$E$5:$E$34,31-SUMPRODUCT(MAX((Setup!$D$5:$D$34=H835)*(35-ROW(Setup!$D$5:$D$34)))))))</f>
        <v/>
      </c>
      <c r="J835" s="9"/>
      <c r="K835" s="10" t="str">
        <f aca="false">IF(AND(A835="",C835="",D835="",E835="",F835="",H835=""),"",IF(NOT(ISNUMBER(A835)),"Enter a date",IF(AND(F835&lt;&gt;"",OR(NOT(ISNUMBER(F835)),N(F835)&lt;0)),"Minutes must be a number of 0 or more",IF(G835="","Enter start and end times, or minutes",IF(C835="","Pick a machine",IF(SUMPRODUCT(--(Setup!$A$5:$A$34=C835))=0,"Machine not in Setup",IF(H835="","Pick a reason (counted as unclassified)",IF(I835="Not in Setup","Reason not in Setup (counted as unclassified)",IF(N(G835)=0,"0 minutes: not counted as a stop","OK")))))))))</f>
        <v/>
      </c>
    </row>
    <row r="836" customFormat="false" ht="15" hidden="false" customHeight="false" outlineLevel="0" collapsed="false">
      <c r="A836" s="11"/>
      <c r="B836" s="9"/>
      <c r="C836" s="9"/>
      <c r="D836" s="12"/>
      <c r="E836" s="12"/>
      <c r="F836" s="13"/>
      <c r="G836" s="14" t="str">
        <f aca="false">IF(F836&lt;&gt;"",IF(AND(ISNUMBER(F836),N(F836)&gt;=0),F836,""),IF(AND(ISNUMBER(D836),ISNUMBER(E836)),ROUND(MOD(E836-D836,1)*1440,0),""))</f>
        <v/>
      </c>
      <c r="H836" s="9"/>
      <c r="I836" s="10" t="str">
        <f aca="false">IF(H836="","",IF(SUMPRODUCT(MAX((Setup!$D$5:$D$34=H836)*(35-ROW(Setup!$D$5:$D$34))))=0,"Not in Setup",INDEX(Setup!$E$5:$E$34,31-SUMPRODUCT(MAX((Setup!$D$5:$D$34=H836)*(35-ROW(Setup!$D$5:$D$34)))))))</f>
        <v/>
      </c>
      <c r="J836" s="9"/>
      <c r="K836" s="10" t="str">
        <f aca="false">IF(AND(A836="",C836="",D836="",E836="",F836="",H836=""),"",IF(NOT(ISNUMBER(A836)),"Enter a date",IF(AND(F836&lt;&gt;"",OR(NOT(ISNUMBER(F836)),N(F836)&lt;0)),"Minutes must be a number of 0 or more",IF(G836="","Enter start and end times, or minutes",IF(C836="","Pick a machine",IF(SUMPRODUCT(--(Setup!$A$5:$A$34=C836))=0,"Machine not in Setup",IF(H836="","Pick a reason (counted as unclassified)",IF(I836="Not in Setup","Reason not in Setup (counted as unclassified)",IF(N(G836)=0,"0 minutes: not counted as a stop","OK")))))))))</f>
        <v/>
      </c>
    </row>
    <row r="837" customFormat="false" ht="15" hidden="false" customHeight="false" outlineLevel="0" collapsed="false">
      <c r="A837" s="11"/>
      <c r="B837" s="9"/>
      <c r="C837" s="9"/>
      <c r="D837" s="12"/>
      <c r="E837" s="12"/>
      <c r="F837" s="13"/>
      <c r="G837" s="14" t="str">
        <f aca="false">IF(F837&lt;&gt;"",IF(AND(ISNUMBER(F837),N(F837)&gt;=0),F837,""),IF(AND(ISNUMBER(D837),ISNUMBER(E837)),ROUND(MOD(E837-D837,1)*1440,0),""))</f>
        <v/>
      </c>
      <c r="H837" s="9"/>
      <c r="I837" s="10" t="str">
        <f aca="false">IF(H837="","",IF(SUMPRODUCT(MAX((Setup!$D$5:$D$34=H837)*(35-ROW(Setup!$D$5:$D$34))))=0,"Not in Setup",INDEX(Setup!$E$5:$E$34,31-SUMPRODUCT(MAX((Setup!$D$5:$D$34=H837)*(35-ROW(Setup!$D$5:$D$34)))))))</f>
        <v/>
      </c>
      <c r="J837" s="9"/>
      <c r="K837" s="10" t="str">
        <f aca="false">IF(AND(A837="",C837="",D837="",E837="",F837="",H837=""),"",IF(NOT(ISNUMBER(A837)),"Enter a date",IF(AND(F837&lt;&gt;"",OR(NOT(ISNUMBER(F837)),N(F837)&lt;0)),"Minutes must be a number of 0 or more",IF(G837="","Enter start and end times, or minutes",IF(C837="","Pick a machine",IF(SUMPRODUCT(--(Setup!$A$5:$A$34=C837))=0,"Machine not in Setup",IF(H837="","Pick a reason (counted as unclassified)",IF(I837="Not in Setup","Reason not in Setup (counted as unclassified)",IF(N(G837)=0,"0 minutes: not counted as a stop","OK")))))))))</f>
        <v/>
      </c>
    </row>
    <row r="838" customFormat="false" ht="15" hidden="false" customHeight="false" outlineLevel="0" collapsed="false">
      <c r="A838" s="11"/>
      <c r="B838" s="9"/>
      <c r="C838" s="9"/>
      <c r="D838" s="12"/>
      <c r="E838" s="12"/>
      <c r="F838" s="13"/>
      <c r="G838" s="14" t="str">
        <f aca="false">IF(F838&lt;&gt;"",IF(AND(ISNUMBER(F838),N(F838)&gt;=0),F838,""),IF(AND(ISNUMBER(D838),ISNUMBER(E838)),ROUND(MOD(E838-D838,1)*1440,0),""))</f>
        <v/>
      </c>
      <c r="H838" s="9"/>
      <c r="I838" s="10" t="str">
        <f aca="false">IF(H838="","",IF(SUMPRODUCT(MAX((Setup!$D$5:$D$34=H838)*(35-ROW(Setup!$D$5:$D$34))))=0,"Not in Setup",INDEX(Setup!$E$5:$E$34,31-SUMPRODUCT(MAX((Setup!$D$5:$D$34=H838)*(35-ROW(Setup!$D$5:$D$34)))))))</f>
        <v/>
      </c>
      <c r="J838" s="9"/>
      <c r="K838" s="10" t="str">
        <f aca="false">IF(AND(A838="",C838="",D838="",E838="",F838="",H838=""),"",IF(NOT(ISNUMBER(A838)),"Enter a date",IF(AND(F838&lt;&gt;"",OR(NOT(ISNUMBER(F838)),N(F838)&lt;0)),"Minutes must be a number of 0 or more",IF(G838="","Enter start and end times, or minutes",IF(C838="","Pick a machine",IF(SUMPRODUCT(--(Setup!$A$5:$A$34=C838))=0,"Machine not in Setup",IF(H838="","Pick a reason (counted as unclassified)",IF(I838="Not in Setup","Reason not in Setup (counted as unclassified)",IF(N(G838)=0,"0 minutes: not counted as a stop","OK")))))))))</f>
        <v/>
      </c>
    </row>
    <row r="839" customFormat="false" ht="15" hidden="false" customHeight="false" outlineLevel="0" collapsed="false">
      <c r="A839" s="11"/>
      <c r="B839" s="9"/>
      <c r="C839" s="9"/>
      <c r="D839" s="12"/>
      <c r="E839" s="12"/>
      <c r="F839" s="13"/>
      <c r="G839" s="14" t="str">
        <f aca="false">IF(F839&lt;&gt;"",IF(AND(ISNUMBER(F839),N(F839)&gt;=0),F839,""),IF(AND(ISNUMBER(D839),ISNUMBER(E839)),ROUND(MOD(E839-D839,1)*1440,0),""))</f>
        <v/>
      </c>
      <c r="H839" s="9"/>
      <c r="I839" s="10" t="str">
        <f aca="false">IF(H839="","",IF(SUMPRODUCT(MAX((Setup!$D$5:$D$34=H839)*(35-ROW(Setup!$D$5:$D$34))))=0,"Not in Setup",INDEX(Setup!$E$5:$E$34,31-SUMPRODUCT(MAX((Setup!$D$5:$D$34=H839)*(35-ROW(Setup!$D$5:$D$34)))))))</f>
        <v/>
      </c>
      <c r="J839" s="9"/>
      <c r="K839" s="10" t="str">
        <f aca="false">IF(AND(A839="",C839="",D839="",E839="",F839="",H839=""),"",IF(NOT(ISNUMBER(A839)),"Enter a date",IF(AND(F839&lt;&gt;"",OR(NOT(ISNUMBER(F839)),N(F839)&lt;0)),"Minutes must be a number of 0 or more",IF(G839="","Enter start and end times, or minutes",IF(C839="","Pick a machine",IF(SUMPRODUCT(--(Setup!$A$5:$A$34=C839))=0,"Machine not in Setup",IF(H839="","Pick a reason (counted as unclassified)",IF(I839="Not in Setup","Reason not in Setup (counted as unclassified)",IF(N(G839)=0,"0 minutes: not counted as a stop","OK")))))))))</f>
        <v/>
      </c>
    </row>
    <row r="840" customFormat="false" ht="15" hidden="false" customHeight="false" outlineLevel="0" collapsed="false">
      <c r="A840" s="11"/>
      <c r="B840" s="9"/>
      <c r="C840" s="9"/>
      <c r="D840" s="12"/>
      <c r="E840" s="12"/>
      <c r="F840" s="13"/>
      <c r="G840" s="14" t="str">
        <f aca="false">IF(F840&lt;&gt;"",IF(AND(ISNUMBER(F840),N(F840)&gt;=0),F840,""),IF(AND(ISNUMBER(D840),ISNUMBER(E840)),ROUND(MOD(E840-D840,1)*1440,0),""))</f>
        <v/>
      </c>
      <c r="H840" s="9"/>
      <c r="I840" s="10" t="str">
        <f aca="false">IF(H840="","",IF(SUMPRODUCT(MAX((Setup!$D$5:$D$34=H840)*(35-ROW(Setup!$D$5:$D$34))))=0,"Not in Setup",INDEX(Setup!$E$5:$E$34,31-SUMPRODUCT(MAX((Setup!$D$5:$D$34=H840)*(35-ROW(Setup!$D$5:$D$34)))))))</f>
        <v/>
      </c>
      <c r="J840" s="9"/>
      <c r="K840" s="10" t="str">
        <f aca="false">IF(AND(A840="",C840="",D840="",E840="",F840="",H840=""),"",IF(NOT(ISNUMBER(A840)),"Enter a date",IF(AND(F840&lt;&gt;"",OR(NOT(ISNUMBER(F840)),N(F840)&lt;0)),"Minutes must be a number of 0 or more",IF(G840="","Enter start and end times, or minutes",IF(C840="","Pick a machine",IF(SUMPRODUCT(--(Setup!$A$5:$A$34=C840))=0,"Machine not in Setup",IF(H840="","Pick a reason (counted as unclassified)",IF(I840="Not in Setup","Reason not in Setup (counted as unclassified)",IF(N(G840)=0,"0 minutes: not counted as a stop","OK")))))))))</f>
        <v/>
      </c>
    </row>
    <row r="841" customFormat="false" ht="15" hidden="false" customHeight="false" outlineLevel="0" collapsed="false">
      <c r="A841" s="11"/>
      <c r="B841" s="9"/>
      <c r="C841" s="9"/>
      <c r="D841" s="12"/>
      <c r="E841" s="12"/>
      <c r="F841" s="13"/>
      <c r="G841" s="14" t="str">
        <f aca="false">IF(F841&lt;&gt;"",IF(AND(ISNUMBER(F841),N(F841)&gt;=0),F841,""),IF(AND(ISNUMBER(D841),ISNUMBER(E841)),ROUND(MOD(E841-D841,1)*1440,0),""))</f>
        <v/>
      </c>
      <c r="H841" s="9"/>
      <c r="I841" s="10" t="str">
        <f aca="false">IF(H841="","",IF(SUMPRODUCT(MAX((Setup!$D$5:$D$34=H841)*(35-ROW(Setup!$D$5:$D$34))))=0,"Not in Setup",INDEX(Setup!$E$5:$E$34,31-SUMPRODUCT(MAX((Setup!$D$5:$D$34=H841)*(35-ROW(Setup!$D$5:$D$34)))))))</f>
        <v/>
      </c>
      <c r="J841" s="9"/>
      <c r="K841" s="10" t="str">
        <f aca="false">IF(AND(A841="",C841="",D841="",E841="",F841="",H841=""),"",IF(NOT(ISNUMBER(A841)),"Enter a date",IF(AND(F841&lt;&gt;"",OR(NOT(ISNUMBER(F841)),N(F841)&lt;0)),"Minutes must be a number of 0 or more",IF(G841="","Enter start and end times, or minutes",IF(C841="","Pick a machine",IF(SUMPRODUCT(--(Setup!$A$5:$A$34=C841))=0,"Machine not in Setup",IF(H841="","Pick a reason (counted as unclassified)",IF(I841="Not in Setup","Reason not in Setup (counted as unclassified)",IF(N(G841)=0,"0 minutes: not counted as a stop","OK")))))))))</f>
        <v/>
      </c>
    </row>
    <row r="842" customFormat="false" ht="15" hidden="false" customHeight="false" outlineLevel="0" collapsed="false">
      <c r="A842" s="11"/>
      <c r="B842" s="9"/>
      <c r="C842" s="9"/>
      <c r="D842" s="12"/>
      <c r="E842" s="12"/>
      <c r="F842" s="13"/>
      <c r="G842" s="14" t="str">
        <f aca="false">IF(F842&lt;&gt;"",IF(AND(ISNUMBER(F842),N(F842)&gt;=0),F842,""),IF(AND(ISNUMBER(D842),ISNUMBER(E842)),ROUND(MOD(E842-D842,1)*1440,0),""))</f>
        <v/>
      </c>
      <c r="H842" s="9"/>
      <c r="I842" s="10" t="str">
        <f aca="false">IF(H842="","",IF(SUMPRODUCT(MAX((Setup!$D$5:$D$34=H842)*(35-ROW(Setup!$D$5:$D$34))))=0,"Not in Setup",INDEX(Setup!$E$5:$E$34,31-SUMPRODUCT(MAX((Setup!$D$5:$D$34=H842)*(35-ROW(Setup!$D$5:$D$34)))))))</f>
        <v/>
      </c>
      <c r="J842" s="9"/>
      <c r="K842" s="10" t="str">
        <f aca="false">IF(AND(A842="",C842="",D842="",E842="",F842="",H842=""),"",IF(NOT(ISNUMBER(A842)),"Enter a date",IF(AND(F842&lt;&gt;"",OR(NOT(ISNUMBER(F842)),N(F842)&lt;0)),"Minutes must be a number of 0 or more",IF(G842="","Enter start and end times, or minutes",IF(C842="","Pick a machine",IF(SUMPRODUCT(--(Setup!$A$5:$A$34=C842))=0,"Machine not in Setup",IF(H842="","Pick a reason (counted as unclassified)",IF(I842="Not in Setup","Reason not in Setup (counted as unclassified)",IF(N(G842)=0,"0 minutes: not counted as a stop","OK")))))))))</f>
        <v/>
      </c>
    </row>
    <row r="843" customFormat="false" ht="15" hidden="false" customHeight="false" outlineLevel="0" collapsed="false">
      <c r="A843" s="11"/>
      <c r="B843" s="9"/>
      <c r="C843" s="9"/>
      <c r="D843" s="12"/>
      <c r="E843" s="12"/>
      <c r="F843" s="13"/>
      <c r="G843" s="14" t="str">
        <f aca="false">IF(F843&lt;&gt;"",IF(AND(ISNUMBER(F843),N(F843)&gt;=0),F843,""),IF(AND(ISNUMBER(D843),ISNUMBER(E843)),ROUND(MOD(E843-D843,1)*1440,0),""))</f>
        <v/>
      </c>
      <c r="H843" s="9"/>
      <c r="I843" s="10" t="str">
        <f aca="false">IF(H843="","",IF(SUMPRODUCT(MAX((Setup!$D$5:$D$34=H843)*(35-ROW(Setup!$D$5:$D$34))))=0,"Not in Setup",INDEX(Setup!$E$5:$E$34,31-SUMPRODUCT(MAX((Setup!$D$5:$D$34=H843)*(35-ROW(Setup!$D$5:$D$34)))))))</f>
        <v/>
      </c>
      <c r="J843" s="9"/>
      <c r="K843" s="10" t="str">
        <f aca="false">IF(AND(A843="",C843="",D843="",E843="",F843="",H843=""),"",IF(NOT(ISNUMBER(A843)),"Enter a date",IF(AND(F843&lt;&gt;"",OR(NOT(ISNUMBER(F843)),N(F843)&lt;0)),"Minutes must be a number of 0 or more",IF(G843="","Enter start and end times, or minutes",IF(C843="","Pick a machine",IF(SUMPRODUCT(--(Setup!$A$5:$A$34=C843))=0,"Machine not in Setup",IF(H843="","Pick a reason (counted as unclassified)",IF(I843="Not in Setup","Reason not in Setup (counted as unclassified)",IF(N(G843)=0,"0 minutes: not counted as a stop","OK")))))))))</f>
        <v/>
      </c>
    </row>
    <row r="844" customFormat="false" ht="15" hidden="false" customHeight="false" outlineLevel="0" collapsed="false">
      <c r="A844" s="11"/>
      <c r="B844" s="9"/>
      <c r="C844" s="9"/>
      <c r="D844" s="12"/>
      <c r="E844" s="12"/>
      <c r="F844" s="13"/>
      <c r="G844" s="14" t="str">
        <f aca="false">IF(F844&lt;&gt;"",IF(AND(ISNUMBER(F844),N(F844)&gt;=0),F844,""),IF(AND(ISNUMBER(D844),ISNUMBER(E844)),ROUND(MOD(E844-D844,1)*1440,0),""))</f>
        <v/>
      </c>
      <c r="H844" s="9"/>
      <c r="I844" s="10" t="str">
        <f aca="false">IF(H844="","",IF(SUMPRODUCT(MAX((Setup!$D$5:$D$34=H844)*(35-ROW(Setup!$D$5:$D$34))))=0,"Not in Setup",INDEX(Setup!$E$5:$E$34,31-SUMPRODUCT(MAX((Setup!$D$5:$D$34=H844)*(35-ROW(Setup!$D$5:$D$34)))))))</f>
        <v/>
      </c>
      <c r="J844" s="9"/>
      <c r="K844" s="10" t="str">
        <f aca="false">IF(AND(A844="",C844="",D844="",E844="",F844="",H844=""),"",IF(NOT(ISNUMBER(A844)),"Enter a date",IF(AND(F844&lt;&gt;"",OR(NOT(ISNUMBER(F844)),N(F844)&lt;0)),"Minutes must be a number of 0 or more",IF(G844="","Enter start and end times, or minutes",IF(C844="","Pick a machine",IF(SUMPRODUCT(--(Setup!$A$5:$A$34=C844))=0,"Machine not in Setup",IF(H844="","Pick a reason (counted as unclassified)",IF(I844="Not in Setup","Reason not in Setup (counted as unclassified)",IF(N(G844)=0,"0 minutes: not counted as a stop","OK")))))))))</f>
        <v/>
      </c>
    </row>
    <row r="845" customFormat="false" ht="15" hidden="false" customHeight="false" outlineLevel="0" collapsed="false">
      <c r="A845" s="11"/>
      <c r="B845" s="9"/>
      <c r="C845" s="9"/>
      <c r="D845" s="12"/>
      <c r="E845" s="12"/>
      <c r="F845" s="13"/>
      <c r="G845" s="14" t="str">
        <f aca="false">IF(F845&lt;&gt;"",IF(AND(ISNUMBER(F845),N(F845)&gt;=0),F845,""),IF(AND(ISNUMBER(D845),ISNUMBER(E845)),ROUND(MOD(E845-D845,1)*1440,0),""))</f>
        <v/>
      </c>
      <c r="H845" s="9"/>
      <c r="I845" s="10" t="str">
        <f aca="false">IF(H845="","",IF(SUMPRODUCT(MAX((Setup!$D$5:$D$34=H845)*(35-ROW(Setup!$D$5:$D$34))))=0,"Not in Setup",INDEX(Setup!$E$5:$E$34,31-SUMPRODUCT(MAX((Setup!$D$5:$D$34=H845)*(35-ROW(Setup!$D$5:$D$34)))))))</f>
        <v/>
      </c>
      <c r="J845" s="9"/>
      <c r="K845" s="10" t="str">
        <f aca="false">IF(AND(A845="",C845="",D845="",E845="",F845="",H845=""),"",IF(NOT(ISNUMBER(A845)),"Enter a date",IF(AND(F845&lt;&gt;"",OR(NOT(ISNUMBER(F845)),N(F845)&lt;0)),"Minutes must be a number of 0 or more",IF(G845="","Enter start and end times, or minutes",IF(C845="","Pick a machine",IF(SUMPRODUCT(--(Setup!$A$5:$A$34=C845))=0,"Machine not in Setup",IF(H845="","Pick a reason (counted as unclassified)",IF(I845="Not in Setup","Reason not in Setup (counted as unclassified)",IF(N(G845)=0,"0 minutes: not counted as a stop","OK")))))))))</f>
        <v/>
      </c>
    </row>
    <row r="846" customFormat="false" ht="15" hidden="false" customHeight="false" outlineLevel="0" collapsed="false">
      <c r="A846" s="11"/>
      <c r="B846" s="9"/>
      <c r="C846" s="9"/>
      <c r="D846" s="12"/>
      <c r="E846" s="12"/>
      <c r="F846" s="13"/>
      <c r="G846" s="14" t="str">
        <f aca="false">IF(F846&lt;&gt;"",IF(AND(ISNUMBER(F846),N(F846)&gt;=0),F846,""),IF(AND(ISNUMBER(D846),ISNUMBER(E846)),ROUND(MOD(E846-D846,1)*1440,0),""))</f>
        <v/>
      </c>
      <c r="H846" s="9"/>
      <c r="I846" s="10" t="str">
        <f aca="false">IF(H846="","",IF(SUMPRODUCT(MAX((Setup!$D$5:$D$34=H846)*(35-ROW(Setup!$D$5:$D$34))))=0,"Not in Setup",INDEX(Setup!$E$5:$E$34,31-SUMPRODUCT(MAX((Setup!$D$5:$D$34=H846)*(35-ROW(Setup!$D$5:$D$34)))))))</f>
        <v/>
      </c>
      <c r="J846" s="9"/>
      <c r="K846" s="10" t="str">
        <f aca="false">IF(AND(A846="",C846="",D846="",E846="",F846="",H846=""),"",IF(NOT(ISNUMBER(A846)),"Enter a date",IF(AND(F846&lt;&gt;"",OR(NOT(ISNUMBER(F846)),N(F846)&lt;0)),"Minutes must be a number of 0 or more",IF(G846="","Enter start and end times, or minutes",IF(C846="","Pick a machine",IF(SUMPRODUCT(--(Setup!$A$5:$A$34=C846))=0,"Machine not in Setup",IF(H846="","Pick a reason (counted as unclassified)",IF(I846="Not in Setup","Reason not in Setup (counted as unclassified)",IF(N(G846)=0,"0 minutes: not counted as a stop","OK")))))))))</f>
        <v/>
      </c>
    </row>
    <row r="847" customFormat="false" ht="15" hidden="false" customHeight="false" outlineLevel="0" collapsed="false">
      <c r="A847" s="11"/>
      <c r="B847" s="9"/>
      <c r="C847" s="9"/>
      <c r="D847" s="12"/>
      <c r="E847" s="12"/>
      <c r="F847" s="13"/>
      <c r="G847" s="14" t="str">
        <f aca="false">IF(F847&lt;&gt;"",IF(AND(ISNUMBER(F847),N(F847)&gt;=0),F847,""),IF(AND(ISNUMBER(D847),ISNUMBER(E847)),ROUND(MOD(E847-D847,1)*1440,0),""))</f>
        <v/>
      </c>
      <c r="H847" s="9"/>
      <c r="I847" s="10" t="str">
        <f aca="false">IF(H847="","",IF(SUMPRODUCT(MAX((Setup!$D$5:$D$34=H847)*(35-ROW(Setup!$D$5:$D$34))))=0,"Not in Setup",INDEX(Setup!$E$5:$E$34,31-SUMPRODUCT(MAX((Setup!$D$5:$D$34=H847)*(35-ROW(Setup!$D$5:$D$34)))))))</f>
        <v/>
      </c>
      <c r="J847" s="9"/>
      <c r="K847" s="10" t="str">
        <f aca="false">IF(AND(A847="",C847="",D847="",E847="",F847="",H847=""),"",IF(NOT(ISNUMBER(A847)),"Enter a date",IF(AND(F847&lt;&gt;"",OR(NOT(ISNUMBER(F847)),N(F847)&lt;0)),"Minutes must be a number of 0 or more",IF(G847="","Enter start and end times, or minutes",IF(C847="","Pick a machine",IF(SUMPRODUCT(--(Setup!$A$5:$A$34=C847))=0,"Machine not in Setup",IF(H847="","Pick a reason (counted as unclassified)",IF(I847="Not in Setup","Reason not in Setup (counted as unclassified)",IF(N(G847)=0,"0 minutes: not counted as a stop","OK")))))))))</f>
        <v/>
      </c>
    </row>
    <row r="848" customFormat="false" ht="15" hidden="false" customHeight="false" outlineLevel="0" collapsed="false">
      <c r="A848" s="11"/>
      <c r="B848" s="9"/>
      <c r="C848" s="9"/>
      <c r="D848" s="12"/>
      <c r="E848" s="12"/>
      <c r="F848" s="13"/>
      <c r="G848" s="14" t="str">
        <f aca="false">IF(F848&lt;&gt;"",IF(AND(ISNUMBER(F848),N(F848)&gt;=0),F848,""),IF(AND(ISNUMBER(D848),ISNUMBER(E848)),ROUND(MOD(E848-D848,1)*1440,0),""))</f>
        <v/>
      </c>
      <c r="H848" s="9"/>
      <c r="I848" s="10" t="str">
        <f aca="false">IF(H848="","",IF(SUMPRODUCT(MAX((Setup!$D$5:$D$34=H848)*(35-ROW(Setup!$D$5:$D$34))))=0,"Not in Setup",INDEX(Setup!$E$5:$E$34,31-SUMPRODUCT(MAX((Setup!$D$5:$D$34=H848)*(35-ROW(Setup!$D$5:$D$34)))))))</f>
        <v/>
      </c>
      <c r="J848" s="9"/>
      <c r="K848" s="10" t="str">
        <f aca="false">IF(AND(A848="",C848="",D848="",E848="",F848="",H848=""),"",IF(NOT(ISNUMBER(A848)),"Enter a date",IF(AND(F848&lt;&gt;"",OR(NOT(ISNUMBER(F848)),N(F848)&lt;0)),"Minutes must be a number of 0 or more",IF(G848="","Enter start and end times, or minutes",IF(C848="","Pick a machine",IF(SUMPRODUCT(--(Setup!$A$5:$A$34=C848))=0,"Machine not in Setup",IF(H848="","Pick a reason (counted as unclassified)",IF(I848="Not in Setup","Reason not in Setup (counted as unclassified)",IF(N(G848)=0,"0 minutes: not counted as a stop","OK")))))))))</f>
        <v/>
      </c>
    </row>
    <row r="849" customFormat="false" ht="15" hidden="false" customHeight="false" outlineLevel="0" collapsed="false">
      <c r="A849" s="11"/>
      <c r="B849" s="9"/>
      <c r="C849" s="9"/>
      <c r="D849" s="12"/>
      <c r="E849" s="12"/>
      <c r="F849" s="13"/>
      <c r="G849" s="14" t="str">
        <f aca="false">IF(F849&lt;&gt;"",IF(AND(ISNUMBER(F849),N(F849)&gt;=0),F849,""),IF(AND(ISNUMBER(D849),ISNUMBER(E849)),ROUND(MOD(E849-D849,1)*1440,0),""))</f>
        <v/>
      </c>
      <c r="H849" s="9"/>
      <c r="I849" s="10" t="str">
        <f aca="false">IF(H849="","",IF(SUMPRODUCT(MAX((Setup!$D$5:$D$34=H849)*(35-ROW(Setup!$D$5:$D$34))))=0,"Not in Setup",INDEX(Setup!$E$5:$E$34,31-SUMPRODUCT(MAX((Setup!$D$5:$D$34=H849)*(35-ROW(Setup!$D$5:$D$34)))))))</f>
        <v/>
      </c>
      <c r="J849" s="9"/>
      <c r="K849" s="10" t="str">
        <f aca="false">IF(AND(A849="",C849="",D849="",E849="",F849="",H849=""),"",IF(NOT(ISNUMBER(A849)),"Enter a date",IF(AND(F849&lt;&gt;"",OR(NOT(ISNUMBER(F849)),N(F849)&lt;0)),"Minutes must be a number of 0 or more",IF(G849="","Enter start and end times, or minutes",IF(C849="","Pick a machine",IF(SUMPRODUCT(--(Setup!$A$5:$A$34=C849))=0,"Machine not in Setup",IF(H849="","Pick a reason (counted as unclassified)",IF(I849="Not in Setup","Reason not in Setup (counted as unclassified)",IF(N(G849)=0,"0 minutes: not counted as a stop","OK")))))))))</f>
        <v/>
      </c>
    </row>
    <row r="850" customFormat="false" ht="15" hidden="false" customHeight="false" outlineLevel="0" collapsed="false">
      <c r="A850" s="11"/>
      <c r="B850" s="9"/>
      <c r="C850" s="9"/>
      <c r="D850" s="12"/>
      <c r="E850" s="12"/>
      <c r="F850" s="13"/>
      <c r="G850" s="14" t="str">
        <f aca="false">IF(F850&lt;&gt;"",IF(AND(ISNUMBER(F850),N(F850)&gt;=0),F850,""),IF(AND(ISNUMBER(D850),ISNUMBER(E850)),ROUND(MOD(E850-D850,1)*1440,0),""))</f>
        <v/>
      </c>
      <c r="H850" s="9"/>
      <c r="I850" s="10" t="str">
        <f aca="false">IF(H850="","",IF(SUMPRODUCT(MAX((Setup!$D$5:$D$34=H850)*(35-ROW(Setup!$D$5:$D$34))))=0,"Not in Setup",INDEX(Setup!$E$5:$E$34,31-SUMPRODUCT(MAX((Setup!$D$5:$D$34=H850)*(35-ROW(Setup!$D$5:$D$34)))))))</f>
        <v/>
      </c>
      <c r="J850" s="9"/>
      <c r="K850" s="10" t="str">
        <f aca="false">IF(AND(A850="",C850="",D850="",E850="",F850="",H850=""),"",IF(NOT(ISNUMBER(A850)),"Enter a date",IF(AND(F850&lt;&gt;"",OR(NOT(ISNUMBER(F850)),N(F850)&lt;0)),"Minutes must be a number of 0 or more",IF(G850="","Enter start and end times, or minutes",IF(C850="","Pick a machine",IF(SUMPRODUCT(--(Setup!$A$5:$A$34=C850))=0,"Machine not in Setup",IF(H850="","Pick a reason (counted as unclassified)",IF(I850="Not in Setup","Reason not in Setup (counted as unclassified)",IF(N(G850)=0,"0 minutes: not counted as a stop","OK")))))))))</f>
        <v/>
      </c>
    </row>
    <row r="851" customFormat="false" ht="15" hidden="false" customHeight="false" outlineLevel="0" collapsed="false">
      <c r="A851" s="11"/>
      <c r="B851" s="9"/>
      <c r="C851" s="9"/>
      <c r="D851" s="12"/>
      <c r="E851" s="12"/>
      <c r="F851" s="13"/>
      <c r="G851" s="14" t="str">
        <f aca="false">IF(F851&lt;&gt;"",IF(AND(ISNUMBER(F851),N(F851)&gt;=0),F851,""),IF(AND(ISNUMBER(D851),ISNUMBER(E851)),ROUND(MOD(E851-D851,1)*1440,0),""))</f>
        <v/>
      </c>
      <c r="H851" s="9"/>
      <c r="I851" s="10" t="str">
        <f aca="false">IF(H851="","",IF(SUMPRODUCT(MAX((Setup!$D$5:$D$34=H851)*(35-ROW(Setup!$D$5:$D$34))))=0,"Not in Setup",INDEX(Setup!$E$5:$E$34,31-SUMPRODUCT(MAX((Setup!$D$5:$D$34=H851)*(35-ROW(Setup!$D$5:$D$34)))))))</f>
        <v/>
      </c>
      <c r="J851" s="9"/>
      <c r="K851" s="10" t="str">
        <f aca="false">IF(AND(A851="",C851="",D851="",E851="",F851="",H851=""),"",IF(NOT(ISNUMBER(A851)),"Enter a date",IF(AND(F851&lt;&gt;"",OR(NOT(ISNUMBER(F851)),N(F851)&lt;0)),"Minutes must be a number of 0 or more",IF(G851="","Enter start and end times, or minutes",IF(C851="","Pick a machine",IF(SUMPRODUCT(--(Setup!$A$5:$A$34=C851))=0,"Machine not in Setup",IF(H851="","Pick a reason (counted as unclassified)",IF(I851="Not in Setup","Reason not in Setup (counted as unclassified)",IF(N(G851)=0,"0 minutes: not counted as a stop","OK")))))))))</f>
        <v/>
      </c>
    </row>
    <row r="852" customFormat="false" ht="15" hidden="false" customHeight="false" outlineLevel="0" collapsed="false">
      <c r="A852" s="11"/>
      <c r="B852" s="9"/>
      <c r="C852" s="9"/>
      <c r="D852" s="12"/>
      <c r="E852" s="12"/>
      <c r="F852" s="13"/>
      <c r="G852" s="14" t="str">
        <f aca="false">IF(F852&lt;&gt;"",IF(AND(ISNUMBER(F852),N(F852)&gt;=0),F852,""),IF(AND(ISNUMBER(D852),ISNUMBER(E852)),ROUND(MOD(E852-D852,1)*1440,0),""))</f>
        <v/>
      </c>
      <c r="H852" s="9"/>
      <c r="I852" s="10" t="str">
        <f aca="false">IF(H852="","",IF(SUMPRODUCT(MAX((Setup!$D$5:$D$34=H852)*(35-ROW(Setup!$D$5:$D$34))))=0,"Not in Setup",INDEX(Setup!$E$5:$E$34,31-SUMPRODUCT(MAX((Setup!$D$5:$D$34=H852)*(35-ROW(Setup!$D$5:$D$34)))))))</f>
        <v/>
      </c>
      <c r="J852" s="9"/>
      <c r="K852" s="10" t="str">
        <f aca="false">IF(AND(A852="",C852="",D852="",E852="",F852="",H852=""),"",IF(NOT(ISNUMBER(A852)),"Enter a date",IF(AND(F852&lt;&gt;"",OR(NOT(ISNUMBER(F852)),N(F852)&lt;0)),"Minutes must be a number of 0 or more",IF(G852="","Enter start and end times, or minutes",IF(C852="","Pick a machine",IF(SUMPRODUCT(--(Setup!$A$5:$A$34=C852))=0,"Machine not in Setup",IF(H852="","Pick a reason (counted as unclassified)",IF(I852="Not in Setup","Reason not in Setup (counted as unclassified)",IF(N(G852)=0,"0 minutes: not counted as a stop","OK")))))))))</f>
        <v/>
      </c>
    </row>
    <row r="853" customFormat="false" ht="15" hidden="false" customHeight="false" outlineLevel="0" collapsed="false">
      <c r="A853" s="11"/>
      <c r="B853" s="9"/>
      <c r="C853" s="9"/>
      <c r="D853" s="12"/>
      <c r="E853" s="12"/>
      <c r="F853" s="13"/>
      <c r="G853" s="14" t="str">
        <f aca="false">IF(F853&lt;&gt;"",IF(AND(ISNUMBER(F853),N(F853)&gt;=0),F853,""),IF(AND(ISNUMBER(D853),ISNUMBER(E853)),ROUND(MOD(E853-D853,1)*1440,0),""))</f>
        <v/>
      </c>
      <c r="H853" s="9"/>
      <c r="I853" s="10" t="str">
        <f aca="false">IF(H853="","",IF(SUMPRODUCT(MAX((Setup!$D$5:$D$34=H853)*(35-ROW(Setup!$D$5:$D$34))))=0,"Not in Setup",INDEX(Setup!$E$5:$E$34,31-SUMPRODUCT(MAX((Setup!$D$5:$D$34=H853)*(35-ROW(Setup!$D$5:$D$34)))))))</f>
        <v/>
      </c>
      <c r="J853" s="9"/>
      <c r="K853" s="10" t="str">
        <f aca="false">IF(AND(A853="",C853="",D853="",E853="",F853="",H853=""),"",IF(NOT(ISNUMBER(A853)),"Enter a date",IF(AND(F853&lt;&gt;"",OR(NOT(ISNUMBER(F853)),N(F853)&lt;0)),"Minutes must be a number of 0 or more",IF(G853="","Enter start and end times, or minutes",IF(C853="","Pick a machine",IF(SUMPRODUCT(--(Setup!$A$5:$A$34=C853))=0,"Machine not in Setup",IF(H853="","Pick a reason (counted as unclassified)",IF(I853="Not in Setup","Reason not in Setup (counted as unclassified)",IF(N(G853)=0,"0 minutes: not counted as a stop","OK")))))))))</f>
        <v/>
      </c>
    </row>
    <row r="854" customFormat="false" ht="15" hidden="false" customHeight="false" outlineLevel="0" collapsed="false">
      <c r="A854" s="11"/>
      <c r="B854" s="9"/>
      <c r="C854" s="9"/>
      <c r="D854" s="12"/>
      <c r="E854" s="12"/>
      <c r="F854" s="13"/>
      <c r="G854" s="14" t="str">
        <f aca="false">IF(F854&lt;&gt;"",IF(AND(ISNUMBER(F854),N(F854)&gt;=0),F854,""),IF(AND(ISNUMBER(D854),ISNUMBER(E854)),ROUND(MOD(E854-D854,1)*1440,0),""))</f>
        <v/>
      </c>
      <c r="H854" s="9"/>
      <c r="I854" s="10" t="str">
        <f aca="false">IF(H854="","",IF(SUMPRODUCT(MAX((Setup!$D$5:$D$34=H854)*(35-ROW(Setup!$D$5:$D$34))))=0,"Not in Setup",INDEX(Setup!$E$5:$E$34,31-SUMPRODUCT(MAX((Setup!$D$5:$D$34=H854)*(35-ROW(Setup!$D$5:$D$34)))))))</f>
        <v/>
      </c>
      <c r="J854" s="9"/>
      <c r="K854" s="10" t="str">
        <f aca="false">IF(AND(A854="",C854="",D854="",E854="",F854="",H854=""),"",IF(NOT(ISNUMBER(A854)),"Enter a date",IF(AND(F854&lt;&gt;"",OR(NOT(ISNUMBER(F854)),N(F854)&lt;0)),"Minutes must be a number of 0 or more",IF(G854="","Enter start and end times, or minutes",IF(C854="","Pick a machine",IF(SUMPRODUCT(--(Setup!$A$5:$A$34=C854))=0,"Machine not in Setup",IF(H854="","Pick a reason (counted as unclassified)",IF(I854="Not in Setup","Reason not in Setup (counted as unclassified)",IF(N(G854)=0,"0 minutes: not counted as a stop","OK")))))))))</f>
        <v/>
      </c>
    </row>
    <row r="855" customFormat="false" ht="15" hidden="false" customHeight="false" outlineLevel="0" collapsed="false">
      <c r="A855" s="11"/>
      <c r="B855" s="9"/>
      <c r="C855" s="9"/>
      <c r="D855" s="12"/>
      <c r="E855" s="12"/>
      <c r="F855" s="13"/>
      <c r="G855" s="14" t="str">
        <f aca="false">IF(F855&lt;&gt;"",IF(AND(ISNUMBER(F855),N(F855)&gt;=0),F855,""),IF(AND(ISNUMBER(D855),ISNUMBER(E855)),ROUND(MOD(E855-D855,1)*1440,0),""))</f>
        <v/>
      </c>
      <c r="H855" s="9"/>
      <c r="I855" s="10" t="str">
        <f aca="false">IF(H855="","",IF(SUMPRODUCT(MAX((Setup!$D$5:$D$34=H855)*(35-ROW(Setup!$D$5:$D$34))))=0,"Not in Setup",INDEX(Setup!$E$5:$E$34,31-SUMPRODUCT(MAX((Setup!$D$5:$D$34=H855)*(35-ROW(Setup!$D$5:$D$34)))))))</f>
        <v/>
      </c>
      <c r="J855" s="9"/>
      <c r="K855" s="10" t="str">
        <f aca="false">IF(AND(A855="",C855="",D855="",E855="",F855="",H855=""),"",IF(NOT(ISNUMBER(A855)),"Enter a date",IF(AND(F855&lt;&gt;"",OR(NOT(ISNUMBER(F855)),N(F855)&lt;0)),"Minutes must be a number of 0 or more",IF(G855="","Enter start and end times, or minutes",IF(C855="","Pick a machine",IF(SUMPRODUCT(--(Setup!$A$5:$A$34=C855))=0,"Machine not in Setup",IF(H855="","Pick a reason (counted as unclassified)",IF(I855="Not in Setup","Reason not in Setup (counted as unclassified)",IF(N(G855)=0,"0 minutes: not counted as a stop","OK")))))))))</f>
        <v/>
      </c>
    </row>
    <row r="856" customFormat="false" ht="15" hidden="false" customHeight="false" outlineLevel="0" collapsed="false">
      <c r="A856" s="11"/>
      <c r="B856" s="9"/>
      <c r="C856" s="9"/>
      <c r="D856" s="12"/>
      <c r="E856" s="12"/>
      <c r="F856" s="13"/>
      <c r="G856" s="14" t="str">
        <f aca="false">IF(F856&lt;&gt;"",IF(AND(ISNUMBER(F856),N(F856)&gt;=0),F856,""),IF(AND(ISNUMBER(D856),ISNUMBER(E856)),ROUND(MOD(E856-D856,1)*1440,0),""))</f>
        <v/>
      </c>
      <c r="H856" s="9"/>
      <c r="I856" s="10" t="str">
        <f aca="false">IF(H856="","",IF(SUMPRODUCT(MAX((Setup!$D$5:$D$34=H856)*(35-ROW(Setup!$D$5:$D$34))))=0,"Not in Setup",INDEX(Setup!$E$5:$E$34,31-SUMPRODUCT(MAX((Setup!$D$5:$D$34=H856)*(35-ROW(Setup!$D$5:$D$34)))))))</f>
        <v/>
      </c>
      <c r="J856" s="9"/>
      <c r="K856" s="10" t="str">
        <f aca="false">IF(AND(A856="",C856="",D856="",E856="",F856="",H856=""),"",IF(NOT(ISNUMBER(A856)),"Enter a date",IF(AND(F856&lt;&gt;"",OR(NOT(ISNUMBER(F856)),N(F856)&lt;0)),"Minutes must be a number of 0 or more",IF(G856="","Enter start and end times, or minutes",IF(C856="","Pick a machine",IF(SUMPRODUCT(--(Setup!$A$5:$A$34=C856))=0,"Machine not in Setup",IF(H856="","Pick a reason (counted as unclassified)",IF(I856="Not in Setup","Reason not in Setup (counted as unclassified)",IF(N(G856)=0,"0 minutes: not counted as a stop","OK")))))))))</f>
        <v/>
      </c>
    </row>
    <row r="857" customFormat="false" ht="15" hidden="false" customHeight="false" outlineLevel="0" collapsed="false">
      <c r="A857" s="11"/>
      <c r="B857" s="9"/>
      <c r="C857" s="9"/>
      <c r="D857" s="12"/>
      <c r="E857" s="12"/>
      <c r="F857" s="13"/>
      <c r="G857" s="14" t="str">
        <f aca="false">IF(F857&lt;&gt;"",IF(AND(ISNUMBER(F857),N(F857)&gt;=0),F857,""),IF(AND(ISNUMBER(D857),ISNUMBER(E857)),ROUND(MOD(E857-D857,1)*1440,0),""))</f>
        <v/>
      </c>
      <c r="H857" s="9"/>
      <c r="I857" s="10" t="str">
        <f aca="false">IF(H857="","",IF(SUMPRODUCT(MAX((Setup!$D$5:$D$34=H857)*(35-ROW(Setup!$D$5:$D$34))))=0,"Not in Setup",INDEX(Setup!$E$5:$E$34,31-SUMPRODUCT(MAX((Setup!$D$5:$D$34=H857)*(35-ROW(Setup!$D$5:$D$34)))))))</f>
        <v/>
      </c>
      <c r="J857" s="9"/>
      <c r="K857" s="10" t="str">
        <f aca="false">IF(AND(A857="",C857="",D857="",E857="",F857="",H857=""),"",IF(NOT(ISNUMBER(A857)),"Enter a date",IF(AND(F857&lt;&gt;"",OR(NOT(ISNUMBER(F857)),N(F857)&lt;0)),"Minutes must be a number of 0 or more",IF(G857="","Enter start and end times, or minutes",IF(C857="","Pick a machine",IF(SUMPRODUCT(--(Setup!$A$5:$A$34=C857))=0,"Machine not in Setup",IF(H857="","Pick a reason (counted as unclassified)",IF(I857="Not in Setup","Reason not in Setup (counted as unclassified)",IF(N(G857)=0,"0 minutes: not counted as a stop","OK")))))))))</f>
        <v/>
      </c>
    </row>
    <row r="858" customFormat="false" ht="15" hidden="false" customHeight="false" outlineLevel="0" collapsed="false">
      <c r="A858" s="11"/>
      <c r="B858" s="9"/>
      <c r="C858" s="9"/>
      <c r="D858" s="12"/>
      <c r="E858" s="12"/>
      <c r="F858" s="13"/>
      <c r="G858" s="14" t="str">
        <f aca="false">IF(F858&lt;&gt;"",IF(AND(ISNUMBER(F858),N(F858)&gt;=0),F858,""),IF(AND(ISNUMBER(D858),ISNUMBER(E858)),ROUND(MOD(E858-D858,1)*1440,0),""))</f>
        <v/>
      </c>
      <c r="H858" s="9"/>
      <c r="I858" s="10" t="str">
        <f aca="false">IF(H858="","",IF(SUMPRODUCT(MAX((Setup!$D$5:$D$34=H858)*(35-ROW(Setup!$D$5:$D$34))))=0,"Not in Setup",INDEX(Setup!$E$5:$E$34,31-SUMPRODUCT(MAX((Setup!$D$5:$D$34=H858)*(35-ROW(Setup!$D$5:$D$34)))))))</f>
        <v/>
      </c>
      <c r="J858" s="9"/>
      <c r="K858" s="10" t="str">
        <f aca="false">IF(AND(A858="",C858="",D858="",E858="",F858="",H858=""),"",IF(NOT(ISNUMBER(A858)),"Enter a date",IF(AND(F858&lt;&gt;"",OR(NOT(ISNUMBER(F858)),N(F858)&lt;0)),"Minutes must be a number of 0 or more",IF(G858="","Enter start and end times, or minutes",IF(C858="","Pick a machine",IF(SUMPRODUCT(--(Setup!$A$5:$A$34=C858))=0,"Machine not in Setup",IF(H858="","Pick a reason (counted as unclassified)",IF(I858="Not in Setup","Reason not in Setup (counted as unclassified)",IF(N(G858)=0,"0 minutes: not counted as a stop","OK")))))))))</f>
        <v/>
      </c>
    </row>
    <row r="859" customFormat="false" ht="15" hidden="false" customHeight="false" outlineLevel="0" collapsed="false">
      <c r="A859" s="11"/>
      <c r="B859" s="9"/>
      <c r="C859" s="9"/>
      <c r="D859" s="12"/>
      <c r="E859" s="12"/>
      <c r="F859" s="13"/>
      <c r="G859" s="14" t="str">
        <f aca="false">IF(F859&lt;&gt;"",IF(AND(ISNUMBER(F859),N(F859)&gt;=0),F859,""),IF(AND(ISNUMBER(D859),ISNUMBER(E859)),ROUND(MOD(E859-D859,1)*1440,0),""))</f>
        <v/>
      </c>
      <c r="H859" s="9"/>
      <c r="I859" s="10" t="str">
        <f aca="false">IF(H859="","",IF(SUMPRODUCT(MAX((Setup!$D$5:$D$34=H859)*(35-ROW(Setup!$D$5:$D$34))))=0,"Not in Setup",INDEX(Setup!$E$5:$E$34,31-SUMPRODUCT(MAX((Setup!$D$5:$D$34=H859)*(35-ROW(Setup!$D$5:$D$34)))))))</f>
        <v/>
      </c>
      <c r="J859" s="9"/>
      <c r="K859" s="10" t="str">
        <f aca="false">IF(AND(A859="",C859="",D859="",E859="",F859="",H859=""),"",IF(NOT(ISNUMBER(A859)),"Enter a date",IF(AND(F859&lt;&gt;"",OR(NOT(ISNUMBER(F859)),N(F859)&lt;0)),"Minutes must be a number of 0 or more",IF(G859="","Enter start and end times, or minutes",IF(C859="","Pick a machine",IF(SUMPRODUCT(--(Setup!$A$5:$A$34=C859))=0,"Machine not in Setup",IF(H859="","Pick a reason (counted as unclassified)",IF(I859="Not in Setup","Reason not in Setup (counted as unclassified)",IF(N(G859)=0,"0 minutes: not counted as a stop","OK")))))))))</f>
        <v/>
      </c>
    </row>
    <row r="860" customFormat="false" ht="15" hidden="false" customHeight="false" outlineLevel="0" collapsed="false">
      <c r="A860" s="11"/>
      <c r="B860" s="9"/>
      <c r="C860" s="9"/>
      <c r="D860" s="12"/>
      <c r="E860" s="12"/>
      <c r="F860" s="13"/>
      <c r="G860" s="14" t="str">
        <f aca="false">IF(F860&lt;&gt;"",IF(AND(ISNUMBER(F860),N(F860)&gt;=0),F860,""),IF(AND(ISNUMBER(D860),ISNUMBER(E860)),ROUND(MOD(E860-D860,1)*1440,0),""))</f>
        <v/>
      </c>
      <c r="H860" s="9"/>
      <c r="I860" s="10" t="str">
        <f aca="false">IF(H860="","",IF(SUMPRODUCT(MAX((Setup!$D$5:$D$34=H860)*(35-ROW(Setup!$D$5:$D$34))))=0,"Not in Setup",INDEX(Setup!$E$5:$E$34,31-SUMPRODUCT(MAX((Setup!$D$5:$D$34=H860)*(35-ROW(Setup!$D$5:$D$34)))))))</f>
        <v/>
      </c>
      <c r="J860" s="9"/>
      <c r="K860" s="10" t="str">
        <f aca="false">IF(AND(A860="",C860="",D860="",E860="",F860="",H860=""),"",IF(NOT(ISNUMBER(A860)),"Enter a date",IF(AND(F860&lt;&gt;"",OR(NOT(ISNUMBER(F860)),N(F860)&lt;0)),"Minutes must be a number of 0 or more",IF(G860="","Enter start and end times, or minutes",IF(C860="","Pick a machine",IF(SUMPRODUCT(--(Setup!$A$5:$A$34=C860))=0,"Machine not in Setup",IF(H860="","Pick a reason (counted as unclassified)",IF(I860="Not in Setup","Reason not in Setup (counted as unclassified)",IF(N(G860)=0,"0 minutes: not counted as a stop","OK")))))))))</f>
        <v/>
      </c>
    </row>
    <row r="861" customFormat="false" ht="15" hidden="false" customHeight="false" outlineLevel="0" collapsed="false">
      <c r="A861" s="11"/>
      <c r="B861" s="9"/>
      <c r="C861" s="9"/>
      <c r="D861" s="12"/>
      <c r="E861" s="12"/>
      <c r="F861" s="13"/>
      <c r="G861" s="14" t="str">
        <f aca="false">IF(F861&lt;&gt;"",IF(AND(ISNUMBER(F861),N(F861)&gt;=0),F861,""),IF(AND(ISNUMBER(D861),ISNUMBER(E861)),ROUND(MOD(E861-D861,1)*1440,0),""))</f>
        <v/>
      </c>
      <c r="H861" s="9"/>
      <c r="I861" s="10" t="str">
        <f aca="false">IF(H861="","",IF(SUMPRODUCT(MAX((Setup!$D$5:$D$34=H861)*(35-ROW(Setup!$D$5:$D$34))))=0,"Not in Setup",INDEX(Setup!$E$5:$E$34,31-SUMPRODUCT(MAX((Setup!$D$5:$D$34=H861)*(35-ROW(Setup!$D$5:$D$34)))))))</f>
        <v/>
      </c>
      <c r="J861" s="9"/>
      <c r="K861" s="10" t="str">
        <f aca="false">IF(AND(A861="",C861="",D861="",E861="",F861="",H861=""),"",IF(NOT(ISNUMBER(A861)),"Enter a date",IF(AND(F861&lt;&gt;"",OR(NOT(ISNUMBER(F861)),N(F861)&lt;0)),"Minutes must be a number of 0 or more",IF(G861="","Enter start and end times, or minutes",IF(C861="","Pick a machine",IF(SUMPRODUCT(--(Setup!$A$5:$A$34=C861))=0,"Machine not in Setup",IF(H861="","Pick a reason (counted as unclassified)",IF(I861="Not in Setup","Reason not in Setup (counted as unclassified)",IF(N(G861)=0,"0 minutes: not counted as a stop","OK")))))))))</f>
        <v/>
      </c>
    </row>
    <row r="862" customFormat="false" ht="15" hidden="false" customHeight="false" outlineLevel="0" collapsed="false">
      <c r="A862" s="11"/>
      <c r="B862" s="9"/>
      <c r="C862" s="9"/>
      <c r="D862" s="12"/>
      <c r="E862" s="12"/>
      <c r="F862" s="13"/>
      <c r="G862" s="14" t="str">
        <f aca="false">IF(F862&lt;&gt;"",IF(AND(ISNUMBER(F862),N(F862)&gt;=0),F862,""),IF(AND(ISNUMBER(D862),ISNUMBER(E862)),ROUND(MOD(E862-D862,1)*1440,0),""))</f>
        <v/>
      </c>
      <c r="H862" s="9"/>
      <c r="I862" s="10" t="str">
        <f aca="false">IF(H862="","",IF(SUMPRODUCT(MAX((Setup!$D$5:$D$34=H862)*(35-ROW(Setup!$D$5:$D$34))))=0,"Not in Setup",INDEX(Setup!$E$5:$E$34,31-SUMPRODUCT(MAX((Setup!$D$5:$D$34=H862)*(35-ROW(Setup!$D$5:$D$34)))))))</f>
        <v/>
      </c>
      <c r="J862" s="9"/>
      <c r="K862" s="10" t="str">
        <f aca="false">IF(AND(A862="",C862="",D862="",E862="",F862="",H862=""),"",IF(NOT(ISNUMBER(A862)),"Enter a date",IF(AND(F862&lt;&gt;"",OR(NOT(ISNUMBER(F862)),N(F862)&lt;0)),"Minutes must be a number of 0 or more",IF(G862="","Enter start and end times, or minutes",IF(C862="","Pick a machine",IF(SUMPRODUCT(--(Setup!$A$5:$A$34=C862))=0,"Machine not in Setup",IF(H862="","Pick a reason (counted as unclassified)",IF(I862="Not in Setup","Reason not in Setup (counted as unclassified)",IF(N(G862)=0,"0 minutes: not counted as a stop","OK")))))))))</f>
        <v/>
      </c>
    </row>
    <row r="863" customFormat="false" ht="15" hidden="false" customHeight="false" outlineLevel="0" collapsed="false">
      <c r="A863" s="11"/>
      <c r="B863" s="9"/>
      <c r="C863" s="9"/>
      <c r="D863" s="12"/>
      <c r="E863" s="12"/>
      <c r="F863" s="13"/>
      <c r="G863" s="14" t="str">
        <f aca="false">IF(F863&lt;&gt;"",IF(AND(ISNUMBER(F863),N(F863)&gt;=0),F863,""),IF(AND(ISNUMBER(D863),ISNUMBER(E863)),ROUND(MOD(E863-D863,1)*1440,0),""))</f>
        <v/>
      </c>
      <c r="H863" s="9"/>
      <c r="I863" s="10" t="str">
        <f aca="false">IF(H863="","",IF(SUMPRODUCT(MAX((Setup!$D$5:$D$34=H863)*(35-ROW(Setup!$D$5:$D$34))))=0,"Not in Setup",INDEX(Setup!$E$5:$E$34,31-SUMPRODUCT(MAX((Setup!$D$5:$D$34=H863)*(35-ROW(Setup!$D$5:$D$34)))))))</f>
        <v/>
      </c>
      <c r="J863" s="9"/>
      <c r="K863" s="10" t="str">
        <f aca="false">IF(AND(A863="",C863="",D863="",E863="",F863="",H863=""),"",IF(NOT(ISNUMBER(A863)),"Enter a date",IF(AND(F863&lt;&gt;"",OR(NOT(ISNUMBER(F863)),N(F863)&lt;0)),"Minutes must be a number of 0 or more",IF(G863="","Enter start and end times, or minutes",IF(C863="","Pick a machine",IF(SUMPRODUCT(--(Setup!$A$5:$A$34=C863))=0,"Machine not in Setup",IF(H863="","Pick a reason (counted as unclassified)",IF(I863="Not in Setup","Reason not in Setup (counted as unclassified)",IF(N(G863)=0,"0 minutes: not counted as a stop","OK")))))))))</f>
        <v/>
      </c>
    </row>
    <row r="864" customFormat="false" ht="15" hidden="false" customHeight="false" outlineLevel="0" collapsed="false">
      <c r="A864" s="11"/>
      <c r="B864" s="9"/>
      <c r="C864" s="9"/>
      <c r="D864" s="12"/>
      <c r="E864" s="12"/>
      <c r="F864" s="13"/>
      <c r="G864" s="14" t="str">
        <f aca="false">IF(F864&lt;&gt;"",IF(AND(ISNUMBER(F864),N(F864)&gt;=0),F864,""),IF(AND(ISNUMBER(D864),ISNUMBER(E864)),ROUND(MOD(E864-D864,1)*1440,0),""))</f>
        <v/>
      </c>
      <c r="H864" s="9"/>
      <c r="I864" s="10" t="str">
        <f aca="false">IF(H864="","",IF(SUMPRODUCT(MAX((Setup!$D$5:$D$34=H864)*(35-ROW(Setup!$D$5:$D$34))))=0,"Not in Setup",INDEX(Setup!$E$5:$E$34,31-SUMPRODUCT(MAX((Setup!$D$5:$D$34=H864)*(35-ROW(Setup!$D$5:$D$34)))))))</f>
        <v/>
      </c>
      <c r="J864" s="9"/>
      <c r="K864" s="10" t="str">
        <f aca="false">IF(AND(A864="",C864="",D864="",E864="",F864="",H864=""),"",IF(NOT(ISNUMBER(A864)),"Enter a date",IF(AND(F864&lt;&gt;"",OR(NOT(ISNUMBER(F864)),N(F864)&lt;0)),"Minutes must be a number of 0 or more",IF(G864="","Enter start and end times, or minutes",IF(C864="","Pick a machine",IF(SUMPRODUCT(--(Setup!$A$5:$A$34=C864))=0,"Machine not in Setup",IF(H864="","Pick a reason (counted as unclassified)",IF(I864="Not in Setup","Reason not in Setup (counted as unclassified)",IF(N(G864)=0,"0 minutes: not counted as a stop","OK")))))))))</f>
        <v/>
      </c>
    </row>
    <row r="865" customFormat="false" ht="15" hidden="false" customHeight="false" outlineLevel="0" collapsed="false">
      <c r="A865" s="11"/>
      <c r="B865" s="9"/>
      <c r="C865" s="9"/>
      <c r="D865" s="12"/>
      <c r="E865" s="12"/>
      <c r="F865" s="13"/>
      <c r="G865" s="14" t="str">
        <f aca="false">IF(F865&lt;&gt;"",IF(AND(ISNUMBER(F865),N(F865)&gt;=0),F865,""),IF(AND(ISNUMBER(D865),ISNUMBER(E865)),ROUND(MOD(E865-D865,1)*1440,0),""))</f>
        <v/>
      </c>
      <c r="H865" s="9"/>
      <c r="I865" s="10" t="str">
        <f aca="false">IF(H865="","",IF(SUMPRODUCT(MAX((Setup!$D$5:$D$34=H865)*(35-ROW(Setup!$D$5:$D$34))))=0,"Not in Setup",INDEX(Setup!$E$5:$E$34,31-SUMPRODUCT(MAX((Setup!$D$5:$D$34=H865)*(35-ROW(Setup!$D$5:$D$34)))))))</f>
        <v/>
      </c>
      <c r="J865" s="9"/>
      <c r="K865" s="10" t="str">
        <f aca="false">IF(AND(A865="",C865="",D865="",E865="",F865="",H865=""),"",IF(NOT(ISNUMBER(A865)),"Enter a date",IF(AND(F865&lt;&gt;"",OR(NOT(ISNUMBER(F865)),N(F865)&lt;0)),"Minutes must be a number of 0 or more",IF(G865="","Enter start and end times, or minutes",IF(C865="","Pick a machine",IF(SUMPRODUCT(--(Setup!$A$5:$A$34=C865))=0,"Machine not in Setup",IF(H865="","Pick a reason (counted as unclassified)",IF(I865="Not in Setup","Reason not in Setup (counted as unclassified)",IF(N(G865)=0,"0 minutes: not counted as a stop","OK")))))))))</f>
        <v/>
      </c>
    </row>
    <row r="866" customFormat="false" ht="15" hidden="false" customHeight="false" outlineLevel="0" collapsed="false">
      <c r="A866" s="11"/>
      <c r="B866" s="9"/>
      <c r="C866" s="9"/>
      <c r="D866" s="12"/>
      <c r="E866" s="12"/>
      <c r="F866" s="13"/>
      <c r="G866" s="14" t="str">
        <f aca="false">IF(F866&lt;&gt;"",IF(AND(ISNUMBER(F866),N(F866)&gt;=0),F866,""),IF(AND(ISNUMBER(D866),ISNUMBER(E866)),ROUND(MOD(E866-D866,1)*1440,0),""))</f>
        <v/>
      </c>
      <c r="H866" s="9"/>
      <c r="I866" s="10" t="str">
        <f aca="false">IF(H866="","",IF(SUMPRODUCT(MAX((Setup!$D$5:$D$34=H866)*(35-ROW(Setup!$D$5:$D$34))))=0,"Not in Setup",INDEX(Setup!$E$5:$E$34,31-SUMPRODUCT(MAX((Setup!$D$5:$D$34=H866)*(35-ROW(Setup!$D$5:$D$34)))))))</f>
        <v/>
      </c>
      <c r="J866" s="9"/>
      <c r="K866" s="10" t="str">
        <f aca="false">IF(AND(A866="",C866="",D866="",E866="",F866="",H866=""),"",IF(NOT(ISNUMBER(A866)),"Enter a date",IF(AND(F866&lt;&gt;"",OR(NOT(ISNUMBER(F866)),N(F866)&lt;0)),"Minutes must be a number of 0 or more",IF(G866="","Enter start and end times, or minutes",IF(C866="","Pick a machine",IF(SUMPRODUCT(--(Setup!$A$5:$A$34=C866))=0,"Machine not in Setup",IF(H866="","Pick a reason (counted as unclassified)",IF(I866="Not in Setup","Reason not in Setup (counted as unclassified)",IF(N(G866)=0,"0 minutes: not counted as a stop","OK")))))))))</f>
        <v/>
      </c>
    </row>
    <row r="867" customFormat="false" ht="15" hidden="false" customHeight="false" outlineLevel="0" collapsed="false">
      <c r="A867" s="11"/>
      <c r="B867" s="9"/>
      <c r="C867" s="9"/>
      <c r="D867" s="12"/>
      <c r="E867" s="12"/>
      <c r="F867" s="13"/>
      <c r="G867" s="14" t="str">
        <f aca="false">IF(F867&lt;&gt;"",IF(AND(ISNUMBER(F867),N(F867)&gt;=0),F867,""),IF(AND(ISNUMBER(D867),ISNUMBER(E867)),ROUND(MOD(E867-D867,1)*1440,0),""))</f>
        <v/>
      </c>
      <c r="H867" s="9"/>
      <c r="I867" s="10" t="str">
        <f aca="false">IF(H867="","",IF(SUMPRODUCT(MAX((Setup!$D$5:$D$34=H867)*(35-ROW(Setup!$D$5:$D$34))))=0,"Not in Setup",INDEX(Setup!$E$5:$E$34,31-SUMPRODUCT(MAX((Setup!$D$5:$D$34=H867)*(35-ROW(Setup!$D$5:$D$34)))))))</f>
        <v/>
      </c>
      <c r="J867" s="9"/>
      <c r="K867" s="10" t="str">
        <f aca="false">IF(AND(A867="",C867="",D867="",E867="",F867="",H867=""),"",IF(NOT(ISNUMBER(A867)),"Enter a date",IF(AND(F867&lt;&gt;"",OR(NOT(ISNUMBER(F867)),N(F867)&lt;0)),"Minutes must be a number of 0 or more",IF(G867="","Enter start and end times, or minutes",IF(C867="","Pick a machine",IF(SUMPRODUCT(--(Setup!$A$5:$A$34=C867))=0,"Machine not in Setup",IF(H867="","Pick a reason (counted as unclassified)",IF(I867="Not in Setup","Reason not in Setup (counted as unclassified)",IF(N(G867)=0,"0 minutes: not counted as a stop","OK")))))))))</f>
        <v/>
      </c>
    </row>
    <row r="868" customFormat="false" ht="15" hidden="false" customHeight="false" outlineLevel="0" collapsed="false">
      <c r="A868" s="11"/>
      <c r="B868" s="9"/>
      <c r="C868" s="9"/>
      <c r="D868" s="12"/>
      <c r="E868" s="12"/>
      <c r="F868" s="13"/>
      <c r="G868" s="14" t="str">
        <f aca="false">IF(F868&lt;&gt;"",IF(AND(ISNUMBER(F868),N(F868)&gt;=0),F868,""),IF(AND(ISNUMBER(D868),ISNUMBER(E868)),ROUND(MOD(E868-D868,1)*1440,0),""))</f>
        <v/>
      </c>
      <c r="H868" s="9"/>
      <c r="I868" s="10" t="str">
        <f aca="false">IF(H868="","",IF(SUMPRODUCT(MAX((Setup!$D$5:$D$34=H868)*(35-ROW(Setup!$D$5:$D$34))))=0,"Not in Setup",INDEX(Setup!$E$5:$E$34,31-SUMPRODUCT(MAX((Setup!$D$5:$D$34=H868)*(35-ROW(Setup!$D$5:$D$34)))))))</f>
        <v/>
      </c>
      <c r="J868" s="9"/>
      <c r="K868" s="10" t="str">
        <f aca="false">IF(AND(A868="",C868="",D868="",E868="",F868="",H868=""),"",IF(NOT(ISNUMBER(A868)),"Enter a date",IF(AND(F868&lt;&gt;"",OR(NOT(ISNUMBER(F868)),N(F868)&lt;0)),"Minutes must be a number of 0 or more",IF(G868="","Enter start and end times, or minutes",IF(C868="","Pick a machine",IF(SUMPRODUCT(--(Setup!$A$5:$A$34=C868))=0,"Machine not in Setup",IF(H868="","Pick a reason (counted as unclassified)",IF(I868="Not in Setup","Reason not in Setup (counted as unclassified)",IF(N(G868)=0,"0 minutes: not counted as a stop","OK")))))))))</f>
        <v/>
      </c>
    </row>
    <row r="869" customFormat="false" ht="15" hidden="false" customHeight="false" outlineLevel="0" collapsed="false">
      <c r="A869" s="11"/>
      <c r="B869" s="9"/>
      <c r="C869" s="9"/>
      <c r="D869" s="12"/>
      <c r="E869" s="12"/>
      <c r="F869" s="13"/>
      <c r="G869" s="14" t="str">
        <f aca="false">IF(F869&lt;&gt;"",IF(AND(ISNUMBER(F869),N(F869)&gt;=0),F869,""),IF(AND(ISNUMBER(D869),ISNUMBER(E869)),ROUND(MOD(E869-D869,1)*1440,0),""))</f>
        <v/>
      </c>
      <c r="H869" s="9"/>
      <c r="I869" s="10" t="str">
        <f aca="false">IF(H869="","",IF(SUMPRODUCT(MAX((Setup!$D$5:$D$34=H869)*(35-ROW(Setup!$D$5:$D$34))))=0,"Not in Setup",INDEX(Setup!$E$5:$E$34,31-SUMPRODUCT(MAX((Setup!$D$5:$D$34=H869)*(35-ROW(Setup!$D$5:$D$34)))))))</f>
        <v/>
      </c>
      <c r="J869" s="9"/>
      <c r="K869" s="10" t="str">
        <f aca="false">IF(AND(A869="",C869="",D869="",E869="",F869="",H869=""),"",IF(NOT(ISNUMBER(A869)),"Enter a date",IF(AND(F869&lt;&gt;"",OR(NOT(ISNUMBER(F869)),N(F869)&lt;0)),"Minutes must be a number of 0 or more",IF(G869="","Enter start and end times, or minutes",IF(C869="","Pick a machine",IF(SUMPRODUCT(--(Setup!$A$5:$A$34=C869))=0,"Machine not in Setup",IF(H869="","Pick a reason (counted as unclassified)",IF(I869="Not in Setup","Reason not in Setup (counted as unclassified)",IF(N(G869)=0,"0 minutes: not counted as a stop","OK")))))))))</f>
        <v/>
      </c>
    </row>
    <row r="870" customFormat="false" ht="15" hidden="false" customHeight="false" outlineLevel="0" collapsed="false">
      <c r="A870" s="11"/>
      <c r="B870" s="9"/>
      <c r="C870" s="9"/>
      <c r="D870" s="12"/>
      <c r="E870" s="12"/>
      <c r="F870" s="13"/>
      <c r="G870" s="14" t="str">
        <f aca="false">IF(F870&lt;&gt;"",IF(AND(ISNUMBER(F870),N(F870)&gt;=0),F870,""),IF(AND(ISNUMBER(D870),ISNUMBER(E870)),ROUND(MOD(E870-D870,1)*1440,0),""))</f>
        <v/>
      </c>
      <c r="H870" s="9"/>
      <c r="I870" s="10" t="str">
        <f aca="false">IF(H870="","",IF(SUMPRODUCT(MAX((Setup!$D$5:$D$34=H870)*(35-ROW(Setup!$D$5:$D$34))))=0,"Not in Setup",INDEX(Setup!$E$5:$E$34,31-SUMPRODUCT(MAX((Setup!$D$5:$D$34=H870)*(35-ROW(Setup!$D$5:$D$34)))))))</f>
        <v/>
      </c>
      <c r="J870" s="9"/>
      <c r="K870" s="10" t="str">
        <f aca="false">IF(AND(A870="",C870="",D870="",E870="",F870="",H870=""),"",IF(NOT(ISNUMBER(A870)),"Enter a date",IF(AND(F870&lt;&gt;"",OR(NOT(ISNUMBER(F870)),N(F870)&lt;0)),"Minutes must be a number of 0 or more",IF(G870="","Enter start and end times, or minutes",IF(C870="","Pick a machine",IF(SUMPRODUCT(--(Setup!$A$5:$A$34=C870))=0,"Machine not in Setup",IF(H870="","Pick a reason (counted as unclassified)",IF(I870="Not in Setup","Reason not in Setup (counted as unclassified)",IF(N(G870)=0,"0 minutes: not counted as a stop","OK")))))))))</f>
        <v/>
      </c>
    </row>
    <row r="871" customFormat="false" ht="15" hidden="false" customHeight="false" outlineLevel="0" collapsed="false">
      <c r="A871" s="11"/>
      <c r="B871" s="9"/>
      <c r="C871" s="9"/>
      <c r="D871" s="12"/>
      <c r="E871" s="12"/>
      <c r="F871" s="13"/>
      <c r="G871" s="14" t="str">
        <f aca="false">IF(F871&lt;&gt;"",IF(AND(ISNUMBER(F871),N(F871)&gt;=0),F871,""),IF(AND(ISNUMBER(D871),ISNUMBER(E871)),ROUND(MOD(E871-D871,1)*1440,0),""))</f>
        <v/>
      </c>
      <c r="H871" s="9"/>
      <c r="I871" s="10" t="str">
        <f aca="false">IF(H871="","",IF(SUMPRODUCT(MAX((Setup!$D$5:$D$34=H871)*(35-ROW(Setup!$D$5:$D$34))))=0,"Not in Setup",INDEX(Setup!$E$5:$E$34,31-SUMPRODUCT(MAX((Setup!$D$5:$D$34=H871)*(35-ROW(Setup!$D$5:$D$34)))))))</f>
        <v/>
      </c>
      <c r="J871" s="9"/>
      <c r="K871" s="10" t="str">
        <f aca="false">IF(AND(A871="",C871="",D871="",E871="",F871="",H871=""),"",IF(NOT(ISNUMBER(A871)),"Enter a date",IF(AND(F871&lt;&gt;"",OR(NOT(ISNUMBER(F871)),N(F871)&lt;0)),"Minutes must be a number of 0 or more",IF(G871="","Enter start and end times, or minutes",IF(C871="","Pick a machine",IF(SUMPRODUCT(--(Setup!$A$5:$A$34=C871))=0,"Machine not in Setup",IF(H871="","Pick a reason (counted as unclassified)",IF(I871="Not in Setup","Reason not in Setup (counted as unclassified)",IF(N(G871)=0,"0 minutes: not counted as a stop","OK")))))))))</f>
        <v/>
      </c>
    </row>
    <row r="872" customFormat="false" ht="15" hidden="false" customHeight="false" outlineLevel="0" collapsed="false">
      <c r="A872" s="11"/>
      <c r="B872" s="9"/>
      <c r="C872" s="9"/>
      <c r="D872" s="12"/>
      <c r="E872" s="12"/>
      <c r="F872" s="13"/>
      <c r="G872" s="14" t="str">
        <f aca="false">IF(F872&lt;&gt;"",IF(AND(ISNUMBER(F872),N(F872)&gt;=0),F872,""),IF(AND(ISNUMBER(D872),ISNUMBER(E872)),ROUND(MOD(E872-D872,1)*1440,0),""))</f>
        <v/>
      </c>
      <c r="H872" s="9"/>
      <c r="I872" s="10" t="str">
        <f aca="false">IF(H872="","",IF(SUMPRODUCT(MAX((Setup!$D$5:$D$34=H872)*(35-ROW(Setup!$D$5:$D$34))))=0,"Not in Setup",INDEX(Setup!$E$5:$E$34,31-SUMPRODUCT(MAX((Setup!$D$5:$D$34=H872)*(35-ROW(Setup!$D$5:$D$34)))))))</f>
        <v/>
      </c>
      <c r="J872" s="9"/>
      <c r="K872" s="10" t="str">
        <f aca="false">IF(AND(A872="",C872="",D872="",E872="",F872="",H872=""),"",IF(NOT(ISNUMBER(A872)),"Enter a date",IF(AND(F872&lt;&gt;"",OR(NOT(ISNUMBER(F872)),N(F872)&lt;0)),"Minutes must be a number of 0 or more",IF(G872="","Enter start and end times, or minutes",IF(C872="","Pick a machine",IF(SUMPRODUCT(--(Setup!$A$5:$A$34=C872))=0,"Machine not in Setup",IF(H872="","Pick a reason (counted as unclassified)",IF(I872="Not in Setup","Reason not in Setup (counted as unclassified)",IF(N(G872)=0,"0 minutes: not counted as a stop","OK")))))))))</f>
        <v/>
      </c>
    </row>
    <row r="873" customFormat="false" ht="15" hidden="false" customHeight="false" outlineLevel="0" collapsed="false">
      <c r="A873" s="11"/>
      <c r="B873" s="9"/>
      <c r="C873" s="9"/>
      <c r="D873" s="12"/>
      <c r="E873" s="12"/>
      <c r="F873" s="13"/>
      <c r="G873" s="14" t="str">
        <f aca="false">IF(F873&lt;&gt;"",IF(AND(ISNUMBER(F873),N(F873)&gt;=0),F873,""),IF(AND(ISNUMBER(D873),ISNUMBER(E873)),ROUND(MOD(E873-D873,1)*1440,0),""))</f>
        <v/>
      </c>
      <c r="H873" s="9"/>
      <c r="I873" s="10" t="str">
        <f aca="false">IF(H873="","",IF(SUMPRODUCT(MAX((Setup!$D$5:$D$34=H873)*(35-ROW(Setup!$D$5:$D$34))))=0,"Not in Setup",INDEX(Setup!$E$5:$E$34,31-SUMPRODUCT(MAX((Setup!$D$5:$D$34=H873)*(35-ROW(Setup!$D$5:$D$34)))))))</f>
        <v/>
      </c>
      <c r="J873" s="9"/>
      <c r="K873" s="10" t="str">
        <f aca="false">IF(AND(A873="",C873="",D873="",E873="",F873="",H873=""),"",IF(NOT(ISNUMBER(A873)),"Enter a date",IF(AND(F873&lt;&gt;"",OR(NOT(ISNUMBER(F873)),N(F873)&lt;0)),"Minutes must be a number of 0 or more",IF(G873="","Enter start and end times, or minutes",IF(C873="","Pick a machine",IF(SUMPRODUCT(--(Setup!$A$5:$A$34=C873))=0,"Machine not in Setup",IF(H873="","Pick a reason (counted as unclassified)",IF(I873="Not in Setup","Reason not in Setup (counted as unclassified)",IF(N(G873)=0,"0 minutes: not counted as a stop","OK")))))))))</f>
        <v/>
      </c>
    </row>
    <row r="874" customFormat="false" ht="15" hidden="false" customHeight="false" outlineLevel="0" collapsed="false">
      <c r="A874" s="11"/>
      <c r="B874" s="9"/>
      <c r="C874" s="9"/>
      <c r="D874" s="12"/>
      <c r="E874" s="12"/>
      <c r="F874" s="13"/>
      <c r="G874" s="14" t="str">
        <f aca="false">IF(F874&lt;&gt;"",IF(AND(ISNUMBER(F874),N(F874)&gt;=0),F874,""),IF(AND(ISNUMBER(D874),ISNUMBER(E874)),ROUND(MOD(E874-D874,1)*1440,0),""))</f>
        <v/>
      </c>
      <c r="H874" s="9"/>
      <c r="I874" s="10" t="str">
        <f aca="false">IF(H874="","",IF(SUMPRODUCT(MAX((Setup!$D$5:$D$34=H874)*(35-ROW(Setup!$D$5:$D$34))))=0,"Not in Setup",INDEX(Setup!$E$5:$E$34,31-SUMPRODUCT(MAX((Setup!$D$5:$D$34=H874)*(35-ROW(Setup!$D$5:$D$34)))))))</f>
        <v/>
      </c>
      <c r="J874" s="9"/>
      <c r="K874" s="10" t="str">
        <f aca="false">IF(AND(A874="",C874="",D874="",E874="",F874="",H874=""),"",IF(NOT(ISNUMBER(A874)),"Enter a date",IF(AND(F874&lt;&gt;"",OR(NOT(ISNUMBER(F874)),N(F874)&lt;0)),"Minutes must be a number of 0 or more",IF(G874="","Enter start and end times, or minutes",IF(C874="","Pick a machine",IF(SUMPRODUCT(--(Setup!$A$5:$A$34=C874))=0,"Machine not in Setup",IF(H874="","Pick a reason (counted as unclassified)",IF(I874="Not in Setup","Reason not in Setup (counted as unclassified)",IF(N(G874)=0,"0 minutes: not counted as a stop","OK")))))))))</f>
        <v/>
      </c>
    </row>
    <row r="875" customFormat="false" ht="15" hidden="false" customHeight="false" outlineLevel="0" collapsed="false">
      <c r="A875" s="11"/>
      <c r="B875" s="9"/>
      <c r="C875" s="9"/>
      <c r="D875" s="12"/>
      <c r="E875" s="12"/>
      <c r="F875" s="13"/>
      <c r="G875" s="14" t="str">
        <f aca="false">IF(F875&lt;&gt;"",IF(AND(ISNUMBER(F875),N(F875)&gt;=0),F875,""),IF(AND(ISNUMBER(D875),ISNUMBER(E875)),ROUND(MOD(E875-D875,1)*1440,0),""))</f>
        <v/>
      </c>
      <c r="H875" s="9"/>
      <c r="I875" s="10" t="str">
        <f aca="false">IF(H875="","",IF(SUMPRODUCT(MAX((Setup!$D$5:$D$34=H875)*(35-ROW(Setup!$D$5:$D$34))))=0,"Not in Setup",INDEX(Setup!$E$5:$E$34,31-SUMPRODUCT(MAX((Setup!$D$5:$D$34=H875)*(35-ROW(Setup!$D$5:$D$34)))))))</f>
        <v/>
      </c>
      <c r="J875" s="9"/>
      <c r="K875" s="10" t="str">
        <f aca="false">IF(AND(A875="",C875="",D875="",E875="",F875="",H875=""),"",IF(NOT(ISNUMBER(A875)),"Enter a date",IF(AND(F875&lt;&gt;"",OR(NOT(ISNUMBER(F875)),N(F875)&lt;0)),"Minutes must be a number of 0 or more",IF(G875="","Enter start and end times, or minutes",IF(C875="","Pick a machine",IF(SUMPRODUCT(--(Setup!$A$5:$A$34=C875))=0,"Machine not in Setup",IF(H875="","Pick a reason (counted as unclassified)",IF(I875="Not in Setup","Reason not in Setup (counted as unclassified)",IF(N(G875)=0,"0 minutes: not counted as a stop","OK")))))))))</f>
        <v/>
      </c>
    </row>
    <row r="876" customFormat="false" ht="15" hidden="false" customHeight="false" outlineLevel="0" collapsed="false">
      <c r="A876" s="11"/>
      <c r="B876" s="9"/>
      <c r="C876" s="9"/>
      <c r="D876" s="12"/>
      <c r="E876" s="12"/>
      <c r="F876" s="13"/>
      <c r="G876" s="14" t="str">
        <f aca="false">IF(F876&lt;&gt;"",IF(AND(ISNUMBER(F876),N(F876)&gt;=0),F876,""),IF(AND(ISNUMBER(D876),ISNUMBER(E876)),ROUND(MOD(E876-D876,1)*1440,0),""))</f>
        <v/>
      </c>
      <c r="H876" s="9"/>
      <c r="I876" s="10" t="str">
        <f aca="false">IF(H876="","",IF(SUMPRODUCT(MAX((Setup!$D$5:$D$34=H876)*(35-ROW(Setup!$D$5:$D$34))))=0,"Not in Setup",INDEX(Setup!$E$5:$E$34,31-SUMPRODUCT(MAX((Setup!$D$5:$D$34=H876)*(35-ROW(Setup!$D$5:$D$34)))))))</f>
        <v/>
      </c>
      <c r="J876" s="9"/>
      <c r="K876" s="10" t="str">
        <f aca="false">IF(AND(A876="",C876="",D876="",E876="",F876="",H876=""),"",IF(NOT(ISNUMBER(A876)),"Enter a date",IF(AND(F876&lt;&gt;"",OR(NOT(ISNUMBER(F876)),N(F876)&lt;0)),"Minutes must be a number of 0 or more",IF(G876="","Enter start and end times, or minutes",IF(C876="","Pick a machine",IF(SUMPRODUCT(--(Setup!$A$5:$A$34=C876))=0,"Machine not in Setup",IF(H876="","Pick a reason (counted as unclassified)",IF(I876="Not in Setup","Reason not in Setup (counted as unclassified)",IF(N(G876)=0,"0 minutes: not counted as a stop","OK")))))))))</f>
        <v/>
      </c>
    </row>
    <row r="877" customFormat="false" ht="15" hidden="false" customHeight="false" outlineLevel="0" collapsed="false">
      <c r="A877" s="11"/>
      <c r="B877" s="9"/>
      <c r="C877" s="9"/>
      <c r="D877" s="12"/>
      <c r="E877" s="12"/>
      <c r="F877" s="13"/>
      <c r="G877" s="14" t="str">
        <f aca="false">IF(F877&lt;&gt;"",IF(AND(ISNUMBER(F877),N(F877)&gt;=0),F877,""),IF(AND(ISNUMBER(D877),ISNUMBER(E877)),ROUND(MOD(E877-D877,1)*1440,0),""))</f>
        <v/>
      </c>
      <c r="H877" s="9"/>
      <c r="I877" s="10" t="str">
        <f aca="false">IF(H877="","",IF(SUMPRODUCT(MAX((Setup!$D$5:$D$34=H877)*(35-ROW(Setup!$D$5:$D$34))))=0,"Not in Setup",INDEX(Setup!$E$5:$E$34,31-SUMPRODUCT(MAX((Setup!$D$5:$D$34=H877)*(35-ROW(Setup!$D$5:$D$34)))))))</f>
        <v/>
      </c>
      <c r="J877" s="9"/>
      <c r="K877" s="10" t="str">
        <f aca="false">IF(AND(A877="",C877="",D877="",E877="",F877="",H877=""),"",IF(NOT(ISNUMBER(A877)),"Enter a date",IF(AND(F877&lt;&gt;"",OR(NOT(ISNUMBER(F877)),N(F877)&lt;0)),"Minutes must be a number of 0 or more",IF(G877="","Enter start and end times, or minutes",IF(C877="","Pick a machine",IF(SUMPRODUCT(--(Setup!$A$5:$A$34=C877))=0,"Machine not in Setup",IF(H877="","Pick a reason (counted as unclassified)",IF(I877="Not in Setup","Reason not in Setup (counted as unclassified)",IF(N(G877)=0,"0 minutes: not counted as a stop","OK")))))))))</f>
        <v/>
      </c>
    </row>
    <row r="878" customFormat="false" ht="15" hidden="false" customHeight="false" outlineLevel="0" collapsed="false">
      <c r="A878" s="11"/>
      <c r="B878" s="9"/>
      <c r="C878" s="9"/>
      <c r="D878" s="12"/>
      <c r="E878" s="12"/>
      <c r="F878" s="13"/>
      <c r="G878" s="14" t="str">
        <f aca="false">IF(F878&lt;&gt;"",IF(AND(ISNUMBER(F878),N(F878)&gt;=0),F878,""),IF(AND(ISNUMBER(D878),ISNUMBER(E878)),ROUND(MOD(E878-D878,1)*1440,0),""))</f>
        <v/>
      </c>
      <c r="H878" s="9"/>
      <c r="I878" s="10" t="str">
        <f aca="false">IF(H878="","",IF(SUMPRODUCT(MAX((Setup!$D$5:$D$34=H878)*(35-ROW(Setup!$D$5:$D$34))))=0,"Not in Setup",INDEX(Setup!$E$5:$E$34,31-SUMPRODUCT(MAX((Setup!$D$5:$D$34=H878)*(35-ROW(Setup!$D$5:$D$34)))))))</f>
        <v/>
      </c>
      <c r="J878" s="9"/>
      <c r="K878" s="10" t="str">
        <f aca="false">IF(AND(A878="",C878="",D878="",E878="",F878="",H878=""),"",IF(NOT(ISNUMBER(A878)),"Enter a date",IF(AND(F878&lt;&gt;"",OR(NOT(ISNUMBER(F878)),N(F878)&lt;0)),"Minutes must be a number of 0 or more",IF(G878="","Enter start and end times, or minutes",IF(C878="","Pick a machine",IF(SUMPRODUCT(--(Setup!$A$5:$A$34=C878))=0,"Machine not in Setup",IF(H878="","Pick a reason (counted as unclassified)",IF(I878="Not in Setup","Reason not in Setup (counted as unclassified)",IF(N(G878)=0,"0 minutes: not counted as a stop","OK")))))))))</f>
        <v/>
      </c>
    </row>
    <row r="879" customFormat="false" ht="15" hidden="false" customHeight="false" outlineLevel="0" collapsed="false">
      <c r="A879" s="11"/>
      <c r="B879" s="9"/>
      <c r="C879" s="9"/>
      <c r="D879" s="12"/>
      <c r="E879" s="12"/>
      <c r="F879" s="13"/>
      <c r="G879" s="14" t="str">
        <f aca="false">IF(F879&lt;&gt;"",IF(AND(ISNUMBER(F879),N(F879)&gt;=0),F879,""),IF(AND(ISNUMBER(D879),ISNUMBER(E879)),ROUND(MOD(E879-D879,1)*1440,0),""))</f>
        <v/>
      </c>
      <c r="H879" s="9"/>
      <c r="I879" s="10" t="str">
        <f aca="false">IF(H879="","",IF(SUMPRODUCT(MAX((Setup!$D$5:$D$34=H879)*(35-ROW(Setup!$D$5:$D$34))))=0,"Not in Setup",INDEX(Setup!$E$5:$E$34,31-SUMPRODUCT(MAX((Setup!$D$5:$D$34=H879)*(35-ROW(Setup!$D$5:$D$34)))))))</f>
        <v/>
      </c>
      <c r="J879" s="9"/>
      <c r="K879" s="10" t="str">
        <f aca="false">IF(AND(A879="",C879="",D879="",E879="",F879="",H879=""),"",IF(NOT(ISNUMBER(A879)),"Enter a date",IF(AND(F879&lt;&gt;"",OR(NOT(ISNUMBER(F879)),N(F879)&lt;0)),"Minutes must be a number of 0 or more",IF(G879="","Enter start and end times, or minutes",IF(C879="","Pick a machine",IF(SUMPRODUCT(--(Setup!$A$5:$A$34=C879))=0,"Machine not in Setup",IF(H879="","Pick a reason (counted as unclassified)",IF(I879="Not in Setup","Reason not in Setup (counted as unclassified)",IF(N(G879)=0,"0 minutes: not counted as a stop","OK")))))))))</f>
        <v/>
      </c>
    </row>
    <row r="880" customFormat="false" ht="15" hidden="false" customHeight="false" outlineLevel="0" collapsed="false">
      <c r="A880" s="11"/>
      <c r="B880" s="9"/>
      <c r="C880" s="9"/>
      <c r="D880" s="12"/>
      <c r="E880" s="12"/>
      <c r="F880" s="13"/>
      <c r="G880" s="14" t="str">
        <f aca="false">IF(F880&lt;&gt;"",IF(AND(ISNUMBER(F880),N(F880)&gt;=0),F880,""),IF(AND(ISNUMBER(D880),ISNUMBER(E880)),ROUND(MOD(E880-D880,1)*1440,0),""))</f>
        <v/>
      </c>
      <c r="H880" s="9"/>
      <c r="I880" s="10" t="str">
        <f aca="false">IF(H880="","",IF(SUMPRODUCT(MAX((Setup!$D$5:$D$34=H880)*(35-ROW(Setup!$D$5:$D$34))))=0,"Not in Setup",INDEX(Setup!$E$5:$E$34,31-SUMPRODUCT(MAX((Setup!$D$5:$D$34=H880)*(35-ROW(Setup!$D$5:$D$34)))))))</f>
        <v/>
      </c>
      <c r="J880" s="9"/>
      <c r="K880" s="10" t="str">
        <f aca="false">IF(AND(A880="",C880="",D880="",E880="",F880="",H880=""),"",IF(NOT(ISNUMBER(A880)),"Enter a date",IF(AND(F880&lt;&gt;"",OR(NOT(ISNUMBER(F880)),N(F880)&lt;0)),"Minutes must be a number of 0 or more",IF(G880="","Enter start and end times, or minutes",IF(C880="","Pick a machine",IF(SUMPRODUCT(--(Setup!$A$5:$A$34=C880))=0,"Machine not in Setup",IF(H880="","Pick a reason (counted as unclassified)",IF(I880="Not in Setup","Reason not in Setup (counted as unclassified)",IF(N(G880)=0,"0 minutes: not counted as a stop","OK")))))))))</f>
        <v/>
      </c>
    </row>
    <row r="881" customFormat="false" ht="15" hidden="false" customHeight="false" outlineLevel="0" collapsed="false">
      <c r="A881" s="11"/>
      <c r="B881" s="9"/>
      <c r="C881" s="9"/>
      <c r="D881" s="12"/>
      <c r="E881" s="12"/>
      <c r="F881" s="13"/>
      <c r="G881" s="14" t="str">
        <f aca="false">IF(F881&lt;&gt;"",IF(AND(ISNUMBER(F881),N(F881)&gt;=0),F881,""),IF(AND(ISNUMBER(D881),ISNUMBER(E881)),ROUND(MOD(E881-D881,1)*1440,0),""))</f>
        <v/>
      </c>
      <c r="H881" s="9"/>
      <c r="I881" s="10" t="str">
        <f aca="false">IF(H881="","",IF(SUMPRODUCT(MAX((Setup!$D$5:$D$34=H881)*(35-ROW(Setup!$D$5:$D$34))))=0,"Not in Setup",INDEX(Setup!$E$5:$E$34,31-SUMPRODUCT(MAX((Setup!$D$5:$D$34=H881)*(35-ROW(Setup!$D$5:$D$34)))))))</f>
        <v/>
      </c>
      <c r="J881" s="9"/>
      <c r="K881" s="10" t="str">
        <f aca="false">IF(AND(A881="",C881="",D881="",E881="",F881="",H881=""),"",IF(NOT(ISNUMBER(A881)),"Enter a date",IF(AND(F881&lt;&gt;"",OR(NOT(ISNUMBER(F881)),N(F881)&lt;0)),"Minutes must be a number of 0 or more",IF(G881="","Enter start and end times, or minutes",IF(C881="","Pick a machine",IF(SUMPRODUCT(--(Setup!$A$5:$A$34=C881))=0,"Machine not in Setup",IF(H881="","Pick a reason (counted as unclassified)",IF(I881="Not in Setup","Reason not in Setup (counted as unclassified)",IF(N(G881)=0,"0 minutes: not counted as a stop","OK")))))))))</f>
        <v/>
      </c>
    </row>
    <row r="882" customFormat="false" ht="15" hidden="false" customHeight="false" outlineLevel="0" collapsed="false">
      <c r="A882" s="11"/>
      <c r="B882" s="9"/>
      <c r="C882" s="9"/>
      <c r="D882" s="12"/>
      <c r="E882" s="12"/>
      <c r="F882" s="13"/>
      <c r="G882" s="14" t="str">
        <f aca="false">IF(F882&lt;&gt;"",IF(AND(ISNUMBER(F882),N(F882)&gt;=0),F882,""),IF(AND(ISNUMBER(D882),ISNUMBER(E882)),ROUND(MOD(E882-D882,1)*1440,0),""))</f>
        <v/>
      </c>
      <c r="H882" s="9"/>
      <c r="I882" s="10" t="str">
        <f aca="false">IF(H882="","",IF(SUMPRODUCT(MAX((Setup!$D$5:$D$34=H882)*(35-ROW(Setup!$D$5:$D$34))))=0,"Not in Setup",INDEX(Setup!$E$5:$E$34,31-SUMPRODUCT(MAX((Setup!$D$5:$D$34=H882)*(35-ROW(Setup!$D$5:$D$34)))))))</f>
        <v/>
      </c>
      <c r="J882" s="9"/>
      <c r="K882" s="10" t="str">
        <f aca="false">IF(AND(A882="",C882="",D882="",E882="",F882="",H882=""),"",IF(NOT(ISNUMBER(A882)),"Enter a date",IF(AND(F882&lt;&gt;"",OR(NOT(ISNUMBER(F882)),N(F882)&lt;0)),"Minutes must be a number of 0 or more",IF(G882="","Enter start and end times, or minutes",IF(C882="","Pick a machine",IF(SUMPRODUCT(--(Setup!$A$5:$A$34=C882))=0,"Machine not in Setup",IF(H882="","Pick a reason (counted as unclassified)",IF(I882="Not in Setup","Reason not in Setup (counted as unclassified)",IF(N(G882)=0,"0 minutes: not counted as a stop","OK")))))))))</f>
        <v/>
      </c>
    </row>
    <row r="883" customFormat="false" ht="15" hidden="false" customHeight="false" outlineLevel="0" collapsed="false">
      <c r="A883" s="11"/>
      <c r="B883" s="9"/>
      <c r="C883" s="9"/>
      <c r="D883" s="12"/>
      <c r="E883" s="12"/>
      <c r="F883" s="13"/>
      <c r="G883" s="14" t="str">
        <f aca="false">IF(F883&lt;&gt;"",IF(AND(ISNUMBER(F883),N(F883)&gt;=0),F883,""),IF(AND(ISNUMBER(D883),ISNUMBER(E883)),ROUND(MOD(E883-D883,1)*1440,0),""))</f>
        <v/>
      </c>
      <c r="H883" s="9"/>
      <c r="I883" s="10" t="str">
        <f aca="false">IF(H883="","",IF(SUMPRODUCT(MAX((Setup!$D$5:$D$34=H883)*(35-ROW(Setup!$D$5:$D$34))))=0,"Not in Setup",INDEX(Setup!$E$5:$E$34,31-SUMPRODUCT(MAX((Setup!$D$5:$D$34=H883)*(35-ROW(Setup!$D$5:$D$34)))))))</f>
        <v/>
      </c>
      <c r="J883" s="9"/>
      <c r="K883" s="10" t="str">
        <f aca="false">IF(AND(A883="",C883="",D883="",E883="",F883="",H883=""),"",IF(NOT(ISNUMBER(A883)),"Enter a date",IF(AND(F883&lt;&gt;"",OR(NOT(ISNUMBER(F883)),N(F883)&lt;0)),"Minutes must be a number of 0 or more",IF(G883="","Enter start and end times, or minutes",IF(C883="","Pick a machine",IF(SUMPRODUCT(--(Setup!$A$5:$A$34=C883))=0,"Machine not in Setup",IF(H883="","Pick a reason (counted as unclassified)",IF(I883="Not in Setup","Reason not in Setup (counted as unclassified)",IF(N(G883)=0,"0 minutes: not counted as a stop","OK")))))))))</f>
        <v/>
      </c>
    </row>
    <row r="884" customFormat="false" ht="15" hidden="false" customHeight="false" outlineLevel="0" collapsed="false">
      <c r="A884" s="11"/>
      <c r="B884" s="9"/>
      <c r="C884" s="9"/>
      <c r="D884" s="12"/>
      <c r="E884" s="12"/>
      <c r="F884" s="13"/>
      <c r="G884" s="14" t="str">
        <f aca="false">IF(F884&lt;&gt;"",IF(AND(ISNUMBER(F884),N(F884)&gt;=0),F884,""),IF(AND(ISNUMBER(D884),ISNUMBER(E884)),ROUND(MOD(E884-D884,1)*1440,0),""))</f>
        <v/>
      </c>
      <c r="H884" s="9"/>
      <c r="I884" s="10" t="str">
        <f aca="false">IF(H884="","",IF(SUMPRODUCT(MAX((Setup!$D$5:$D$34=H884)*(35-ROW(Setup!$D$5:$D$34))))=0,"Not in Setup",INDEX(Setup!$E$5:$E$34,31-SUMPRODUCT(MAX((Setup!$D$5:$D$34=H884)*(35-ROW(Setup!$D$5:$D$34)))))))</f>
        <v/>
      </c>
      <c r="J884" s="9"/>
      <c r="K884" s="10" t="str">
        <f aca="false">IF(AND(A884="",C884="",D884="",E884="",F884="",H884=""),"",IF(NOT(ISNUMBER(A884)),"Enter a date",IF(AND(F884&lt;&gt;"",OR(NOT(ISNUMBER(F884)),N(F884)&lt;0)),"Minutes must be a number of 0 or more",IF(G884="","Enter start and end times, or minutes",IF(C884="","Pick a machine",IF(SUMPRODUCT(--(Setup!$A$5:$A$34=C884))=0,"Machine not in Setup",IF(H884="","Pick a reason (counted as unclassified)",IF(I884="Not in Setup","Reason not in Setup (counted as unclassified)",IF(N(G884)=0,"0 minutes: not counted as a stop","OK")))))))))</f>
        <v/>
      </c>
    </row>
    <row r="885" customFormat="false" ht="15" hidden="false" customHeight="false" outlineLevel="0" collapsed="false">
      <c r="A885" s="11"/>
      <c r="B885" s="9"/>
      <c r="C885" s="9"/>
      <c r="D885" s="12"/>
      <c r="E885" s="12"/>
      <c r="F885" s="13"/>
      <c r="G885" s="14" t="str">
        <f aca="false">IF(F885&lt;&gt;"",IF(AND(ISNUMBER(F885),N(F885)&gt;=0),F885,""),IF(AND(ISNUMBER(D885),ISNUMBER(E885)),ROUND(MOD(E885-D885,1)*1440,0),""))</f>
        <v/>
      </c>
      <c r="H885" s="9"/>
      <c r="I885" s="10" t="str">
        <f aca="false">IF(H885="","",IF(SUMPRODUCT(MAX((Setup!$D$5:$D$34=H885)*(35-ROW(Setup!$D$5:$D$34))))=0,"Not in Setup",INDEX(Setup!$E$5:$E$34,31-SUMPRODUCT(MAX((Setup!$D$5:$D$34=H885)*(35-ROW(Setup!$D$5:$D$34)))))))</f>
        <v/>
      </c>
      <c r="J885" s="9"/>
      <c r="K885" s="10" t="str">
        <f aca="false">IF(AND(A885="",C885="",D885="",E885="",F885="",H885=""),"",IF(NOT(ISNUMBER(A885)),"Enter a date",IF(AND(F885&lt;&gt;"",OR(NOT(ISNUMBER(F885)),N(F885)&lt;0)),"Minutes must be a number of 0 or more",IF(G885="","Enter start and end times, or minutes",IF(C885="","Pick a machine",IF(SUMPRODUCT(--(Setup!$A$5:$A$34=C885))=0,"Machine not in Setup",IF(H885="","Pick a reason (counted as unclassified)",IF(I885="Not in Setup","Reason not in Setup (counted as unclassified)",IF(N(G885)=0,"0 minutes: not counted as a stop","OK")))))))))</f>
        <v/>
      </c>
    </row>
    <row r="886" customFormat="false" ht="15" hidden="false" customHeight="false" outlineLevel="0" collapsed="false">
      <c r="A886" s="11"/>
      <c r="B886" s="9"/>
      <c r="C886" s="9"/>
      <c r="D886" s="12"/>
      <c r="E886" s="12"/>
      <c r="F886" s="13"/>
      <c r="G886" s="14" t="str">
        <f aca="false">IF(F886&lt;&gt;"",IF(AND(ISNUMBER(F886),N(F886)&gt;=0),F886,""),IF(AND(ISNUMBER(D886),ISNUMBER(E886)),ROUND(MOD(E886-D886,1)*1440,0),""))</f>
        <v/>
      </c>
      <c r="H886" s="9"/>
      <c r="I886" s="10" t="str">
        <f aca="false">IF(H886="","",IF(SUMPRODUCT(MAX((Setup!$D$5:$D$34=H886)*(35-ROW(Setup!$D$5:$D$34))))=0,"Not in Setup",INDEX(Setup!$E$5:$E$34,31-SUMPRODUCT(MAX((Setup!$D$5:$D$34=H886)*(35-ROW(Setup!$D$5:$D$34)))))))</f>
        <v/>
      </c>
      <c r="J886" s="9"/>
      <c r="K886" s="10" t="str">
        <f aca="false">IF(AND(A886="",C886="",D886="",E886="",F886="",H886=""),"",IF(NOT(ISNUMBER(A886)),"Enter a date",IF(AND(F886&lt;&gt;"",OR(NOT(ISNUMBER(F886)),N(F886)&lt;0)),"Minutes must be a number of 0 or more",IF(G886="","Enter start and end times, or minutes",IF(C886="","Pick a machine",IF(SUMPRODUCT(--(Setup!$A$5:$A$34=C886))=0,"Machine not in Setup",IF(H886="","Pick a reason (counted as unclassified)",IF(I886="Not in Setup","Reason not in Setup (counted as unclassified)",IF(N(G886)=0,"0 minutes: not counted as a stop","OK")))))))))</f>
        <v/>
      </c>
    </row>
    <row r="887" customFormat="false" ht="15" hidden="false" customHeight="false" outlineLevel="0" collapsed="false">
      <c r="A887" s="11"/>
      <c r="B887" s="9"/>
      <c r="C887" s="9"/>
      <c r="D887" s="12"/>
      <c r="E887" s="12"/>
      <c r="F887" s="13"/>
      <c r="G887" s="14" t="str">
        <f aca="false">IF(F887&lt;&gt;"",IF(AND(ISNUMBER(F887),N(F887)&gt;=0),F887,""),IF(AND(ISNUMBER(D887),ISNUMBER(E887)),ROUND(MOD(E887-D887,1)*1440,0),""))</f>
        <v/>
      </c>
      <c r="H887" s="9"/>
      <c r="I887" s="10" t="str">
        <f aca="false">IF(H887="","",IF(SUMPRODUCT(MAX((Setup!$D$5:$D$34=H887)*(35-ROW(Setup!$D$5:$D$34))))=0,"Not in Setup",INDEX(Setup!$E$5:$E$34,31-SUMPRODUCT(MAX((Setup!$D$5:$D$34=H887)*(35-ROW(Setup!$D$5:$D$34)))))))</f>
        <v/>
      </c>
      <c r="J887" s="9"/>
      <c r="K887" s="10" t="str">
        <f aca="false">IF(AND(A887="",C887="",D887="",E887="",F887="",H887=""),"",IF(NOT(ISNUMBER(A887)),"Enter a date",IF(AND(F887&lt;&gt;"",OR(NOT(ISNUMBER(F887)),N(F887)&lt;0)),"Minutes must be a number of 0 or more",IF(G887="","Enter start and end times, or minutes",IF(C887="","Pick a machine",IF(SUMPRODUCT(--(Setup!$A$5:$A$34=C887))=0,"Machine not in Setup",IF(H887="","Pick a reason (counted as unclassified)",IF(I887="Not in Setup","Reason not in Setup (counted as unclassified)",IF(N(G887)=0,"0 minutes: not counted as a stop","OK")))))))))</f>
        <v/>
      </c>
    </row>
    <row r="888" customFormat="false" ht="15" hidden="false" customHeight="false" outlineLevel="0" collapsed="false">
      <c r="A888" s="11"/>
      <c r="B888" s="9"/>
      <c r="C888" s="9"/>
      <c r="D888" s="12"/>
      <c r="E888" s="12"/>
      <c r="F888" s="13"/>
      <c r="G888" s="14" t="str">
        <f aca="false">IF(F888&lt;&gt;"",IF(AND(ISNUMBER(F888),N(F888)&gt;=0),F888,""),IF(AND(ISNUMBER(D888),ISNUMBER(E888)),ROUND(MOD(E888-D888,1)*1440,0),""))</f>
        <v/>
      </c>
      <c r="H888" s="9"/>
      <c r="I888" s="10" t="str">
        <f aca="false">IF(H888="","",IF(SUMPRODUCT(MAX((Setup!$D$5:$D$34=H888)*(35-ROW(Setup!$D$5:$D$34))))=0,"Not in Setup",INDEX(Setup!$E$5:$E$34,31-SUMPRODUCT(MAX((Setup!$D$5:$D$34=H888)*(35-ROW(Setup!$D$5:$D$34)))))))</f>
        <v/>
      </c>
      <c r="J888" s="9"/>
      <c r="K888" s="10" t="str">
        <f aca="false">IF(AND(A888="",C888="",D888="",E888="",F888="",H888=""),"",IF(NOT(ISNUMBER(A888)),"Enter a date",IF(AND(F888&lt;&gt;"",OR(NOT(ISNUMBER(F888)),N(F888)&lt;0)),"Minutes must be a number of 0 or more",IF(G888="","Enter start and end times, or minutes",IF(C888="","Pick a machine",IF(SUMPRODUCT(--(Setup!$A$5:$A$34=C888))=0,"Machine not in Setup",IF(H888="","Pick a reason (counted as unclassified)",IF(I888="Not in Setup","Reason not in Setup (counted as unclassified)",IF(N(G888)=0,"0 minutes: not counted as a stop","OK")))))))))</f>
        <v/>
      </c>
    </row>
    <row r="889" customFormat="false" ht="15" hidden="false" customHeight="false" outlineLevel="0" collapsed="false">
      <c r="A889" s="11"/>
      <c r="B889" s="9"/>
      <c r="C889" s="9"/>
      <c r="D889" s="12"/>
      <c r="E889" s="12"/>
      <c r="F889" s="13"/>
      <c r="G889" s="14" t="str">
        <f aca="false">IF(F889&lt;&gt;"",IF(AND(ISNUMBER(F889),N(F889)&gt;=0),F889,""),IF(AND(ISNUMBER(D889),ISNUMBER(E889)),ROUND(MOD(E889-D889,1)*1440,0),""))</f>
        <v/>
      </c>
      <c r="H889" s="9"/>
      <c r="I889" s="10" t="str">
        <f aca="false">IF(H889="","",IF(SUMPRODUCT(MAX((Setup!$D$5:$D$34=H889)*(35-ROW(Setup!$D$5:$D$34))))=0,"Not in Setup",INDEX(Setup!$E$5:$E$34,31-SUMPRODUCT(MAX((Setup!$D$5:$D$34=H889)*(35-ROW(Setup!$D$5:$D$34)))))))</f>
        <v/>
      </c>
      <c r="J889" s="9"/>
      <c r="K889" s="10" t="str">
        <f aca="false">IF(AND(A889="",C889="",D889="",E889="",F889="",H889=""),"",IF(NOT(ISNUMBER(A889)),"Enter a date",IF(AND(F889&lt;&gt;"",OR(NOT(ISNUMBER(F889)),N(F889)&lt;0)),"Minutes must be a number of 0 or more",IF(G889="","Enter start and end times, or minutes",IF(C889="","Pick a machine",IF(SUMPRODUCT(--(Setup!$A$5:$A$34=C889))=0,"Machine not in Setup",IF(H889="","Pick a reason (counted as unclassified)",IF(I889="Not in Setup","Reason not in Setup (counted as unclassified)",IF(N(G889)=0,"0 minutes: not counted as a stop","OK")))))))))</f>
        <v/>
      </c>
    </row>
    <row r="890" customFormat="false" ht="15" hidden="false" customHeight="false" outlineLevel="0" collapsed="false">
      <c r="A890" s="11"/>
      <c r="B890" s="9"/>
      <c r="C890" s="9"/>
      <c r="D890" s="12"/>
      <c r="E890" s="12"/>
      <c r="F890" s="13"/>
      <c r="G890" s="14" t="str">
        <f aca="false">IF(F890&lt;&gt;"",IF(AND(ISNUMBER(F890),N(F890)&gt;=0),F890,""),IF(AND(ISNUMBER(D890),ISNUMBER(E890)),ROUND(MOD(E890-D890,1)*1440,0),""))</f>
        <v/>
      </c>
      <c r="H890" s="9"/>
      <c r="I890" s="10" t="str">
        <f aca="false">IF(H890="","",IF(SUMPRODUCT(MAX((Setup!$D$5:$D$34=H890)*(35-ROW(Setup!$D$5:$D$34))))=0,"Not in Setup",INDEX(Setup!$E$5:$E$34,31-SUMPRODUCT(MAX((Setup!$D$5:$D$34=H890)*(35-ROW(Setup!$D$5:$D$34)))))))</f>
        <v/>
      </c>
      <c r="J890" s="9"/>
      <c r="K890" s="10" t="str">
        <f aca="false">IF(AND(A890="",C890="",D890="",E890="",F890="",H890=""),"",IF(NOT(ISNUMBER(A890)),"Enter a date",IF(AND(F890&lt;&gt;"",OR(NOT(ISNUMBER(F890)),N(F890)&lt;0)),"Minutes must be a number of 0 or more",IF(G890="","Enter start and end times, or minutes",IF(C890="","Pick a machine",IF(SUMPRODUCT(--(Setup!$A$5:$A$34=C890))=0,"Machine not in Setup",IF(H890="","Pick a reason (counted as unclassified)",IF(I890="Not in Setup","Reason not in Setup (counted as unclassified)",IF(N(G890)=0,"0 minutes: not counted as a stop","OK")))))))))</f>
        <v/>
      </c>
    </row>
    <row r="891" customFormat="false" ht="15" hidden="false" customHeight="false" outlineLevel="0" collapsed="false">
      <c r="A891" s="11"/>
      <c r="B891" s="9"/>
      <c r="C891" s="9"/>
      <c r="D891" s="12"/>
      <c r="E891" s="12"/>
      <c r="F891" s="13"/>
      <c r="G891" s="14" t="str">
        <f aca="false">IF(F891&lt;&gt;"",IF(AND(ISNUMBER(F891),N(F891)&gt;=0),F891,""),IF(AND(ISNUMBER(D891),ISNUMBER(E891)),ROUND(MOD(E891-D891,1)*1440,0),""))</f>
        <v/>
      </c>
      <c r="H891" s="9"/>
      <c r="I891" s="10" t="str">
        <f aca="false">IF(H891="","",IF(SUMPRODUCT(MAX((Setup!$D$5:$D$34=H891)*(35-ROW(Setup!$D$5:$D$34))))=0,"Not in Setup",INDEX(Setup!$E$5:$E$34,31-SUMPRODUCT(MAX((Setup!$D$5:$D$34=H891)*(35-ROW(Setup!$D$5:$D$34)))))))</f>
        <v/>
      </c>
      <c r="J891" s="9"/>
      <c r="K891" s="10" t="str">
        <f aca="false">IF(AND(A891="",C891="",D891="",E891="",F891="",H891=""),"",IF(NOT(ISNUMBER(A891)),"Enter a date",IF(AND(F891&lt;&gt;"",OR(NOT(ISNUMBER(F891)),N(F891)&lt;0)),"Minutes must be a number of 0 or more",IF(G891="","Enter start and end times, or minutes",IF(C891="","Pick a machine",IF(SUMPRODUCT(--(Setup!$A$5:$A$34=C891))=0,"Machine not in Setup",IF(H891="","Pick a reason (counted as unclassified)",IF(I891="Not in Setup","Reason not in Setup (counted as unclassified)",IF(N(G891)=0,"0 minutes: not counted as a stop","OK")))))))))</f>
        <v/>
      </c>
    </row>
    <row r="892" customFormat="false" ht="15" hidden="false" customHeight="false" outlineLevel="0" collapsed="false">
      <c r="A892" s="11"/>
      <c r="B892" s="9"/>
      <c r="C892" s="9"/>
      <c r="D892" s="12"/>
      <c r="E892" s="12"/>
      <c r="F892" s="13"/>
      <c r="G892" s="14" t="str">
        <f aca="false">IF(F892&lt;&gt;"",IF(AND(ISNUMBER(F892),N(F892)&gt;=0),F892,""),IF(AND(ISNUMBER(D892),ISNUMBER(E892)),ROUND(MOD(E892-D892,1)*1440,0),""))</f>
        <v/>
      </c>
      <c r="H892" s="9"/>
      <c r="I892" s="10" t="str">
        <f aca="false">IF(H892="","",IF(SUMPRODUCT(MAX((Setup!$D$5:$D$34=H892)*(35-ROW(Setup!$D$5:$D$34))))=0,"Not in Setup",INDEX(Setup!$E$5:$E$34,31-SUMPRODUCT(MAX((Setup!$D$5:$D$34=H892)*(35-ROW(Setup!$D$5:$D$34)))))))</f>
        <v/>
      </c>
      <c r="J892" s="9"/>
      <c r="K892" s="10" t="str">
        <f aca="false">IF(AND(A892="",C892="",D892="",E892="",F892="",H892=""),"",IF(NOT(ISNUMBER(A892)),"Enter a date",IF(AND(F892&lt;&gt;"",OR(NOT(ISNUMBER(F892)),N(F892)&lt;0)),"Minutes must be a number of 0 or more",IF(G892="","Enter start and end times, or minutes",IF(C892="","Pick a machine",IF(SUMPRODUCT(--(Setup!$A$5:$A$34=C892))=0,"Machine not in Setup",IF(H892="","Pick a reason (counted as unclassified)",IF(I892="Not in Setup","Reason not in Setup (counted as unclassified)",IF(N(G892)=0,"0 minutes: not counted as a stop","OK")))))))))</f>
        <v/>
      </c>
    </row>
    <row r="893" customFormat="false" ht="15" hidden="false" customHeight="false" outlineLevel="0" collapsed="false">
      <c r="A893" s="11"/>
      <c r="B893" s="9"/>
      <c r="C893" s="9"/>
      <c r="D893" s="12"/>
      <c r="E893" s="12"/>
      <c r="F893" s="13"/>
      <c r="G893" s="14" t="str">
        <f aca="false">IF(F893&lt;&gt;"",IF(AND(ISNUMBER(F893),N(F893)&gt;=0),F893,""),IF(AND(ISNUMBER(D893),ISNUMBER(E893)),ROUND(MOD(E893-D893,1)*1440,0),""))</f>
        <v/>
      </c>
      <c r="H893" s="9"/>
      <c r="I893" s="10" t="str">
        <f aca="false">IF(H893="","",IF(SUMPRODUCT(MAX((Setup!$D$5:$D$34=H893)*(35-ROW(Setup!$D$5:$D$34))))=0,"Not in Setup",INDEX(Setup!$E$5:$E$34,31-SUMPRODUCT(MAX((Setup!$D$5:$D$34=H893)*(35-ROW(Setup!$D$5:$D$34)))))))</f>
        <v/>
      </c>
      <c r="J893" s="9"/>
      <c r="K893" s="10" t="str">
        <f aca="false">IF(AND(A893="",C893="",D893="",E893="",F893="",H893=""),"",IF(NOT(ISNUMBER(A893)),"Enter a date",IF(AND(F893&lt;&gt;"",OR(NOT(ISNUMBER(F893)),N(F893)&lt;0)),"Minutes must be a number of 0 or more",IF(G893="","Enter start and end times, or minutes",IF(C893="","Pick a machine",IF(SUMPRODUCT(--(Setup!$A$5:$A$34=C893))=0,"Machine not in Setup",IF(H893="","Pick a reason (counted as unclassified)",IF(I893="Not in Setup","Reason not in Setup (counted as unclassified)",IF(N(G893)=0,"0 minutes: not counted as a stop","OK")))))))))</f>
        <v/>
      </c>
    </row>
    <row r="894" customFormat="false" ht="15" hidden="false" customHeight="false" outlineLevel="0" collapsed="false">
      <c r="A894" s="11"/>
      <c r="B894" s="9"/>
      <c r="C894" s="9"/>
      <c r="D894" s="12"/>
      <c r="E894" s="12"/>
      <c r="F894" s="13"/>
      <c r="G894" s="14" t="str">
        <f aca="false">IF(F894&lt;&gt;"",IF(AND(ISNUMBER(F894),N(F894)&gt;=0),F894,""),IF(AND(ISNUMBER(D894),ISNUMBER(E894)),ROUND(MOD(E894-D894,1)*1440,0),""))</f>
        <v/>
      </c>
      <c r="H894" s="9"/>
      <c r="I894" s="10" t="str">
        <f aca="false">IF(H894="","",IF(SUMPRODUCT(MAX((Setup!$D$5:$D$34=H894)*(35-ROW(Setup!$D$5:$D$34))))=0,"Not in Setup",INDEX(Setup!$E$5:$E$34,31-SUMPRODUCT(MAX((Setup!$D$5:$D$34=H894)*(35-ROW(Setup!$D$5:$D$34)))))))</f>
        <v/>
      </c>
      <c r="J894" s="9"/>
      <c r="K894" s="10" t="str">
        <f aca="false">IF(AND(A894="",C894="",D894="",E894="",F894="",H894=""),"",IF(NOT(ISNUMBER(A894)),"Enter a date",IF(AND(F894&lt;&gt;"",OR(NOT(ISNUMBER(F894)),N(F894)&lt;0)),"Minutes must be a number of 0 or more",IF(G894="","Enter start and end times, or minutes",IF(C894="","Pick a machine",IF(SUMPRODUCT(--(Setup!$A$5:$A$34=C894))=0,"Machine not in Setup",IF(H894="","Pick a reason (counted as unclassified)",IF(I894="Not in Setup","Reason not in Setup (counted as unclassified)",IF(N(G894)=0,"0 minutes: not counted as a stop","OK")))))))))</f>
        <v/>
      </c>
    </row>
    <row r="895" customFormat="false" ht="15" hidden="false" customHeight="false" outlineLevel="0" collapsed="false">
      <c r="A895" s="11"/>
      <c r="B895" s="9"/>
      <c r="C895" s="9"/>
      <c r="D895" s="12"/>
      <c r="E895" s="12"/>
      <c r="F895" s="13"/>
      <c r="G895" s="14" t="str">
        <f aca="false">IF(F895&lt;&gt;"",IF(AND(ISNUMBER(F895),N(F895)&gt;=0),F895,""),IF(AND(ISNUMBER(D895),ISNUMBER(E895)),ROUND(MOD(E895-D895,1)*1440,0),""))</f>
        <v/>
      </c>
      <c r="H895" s="9"/>
      <c r="I895" s="10" t="str">
        <f aca="false">IF(H895="","",IF(SUMPRODUCT(MAX((Setup!$D$5:$D$34=H895)*(35-ROW(Setup!$D$5:$D$34))))=0,"Not in Setup",INDEX(Setup!$E$5:$E$34,31-SUMPRODUCT(MAX((Setup!$D$5:$D$34=H895)*(35-ROW(Setup!$D$5:$D$34)))))))</f>
        <v/>
      </c>
      <c r="J895" s="9"/>
      <c r="K895" s="10" t="str">
        <f aca="false">IF(AND(A895="",C895="",D895="",E895="",F895="",H895=""),"",IF(NOT(ISNUMBER(A895)),"Enter a date",IF(AND(F895&lt;&gt;"",OR(NOT(ISNUMBER(F895)),N(F895)&lt;0)),"Minutes must be a number of 0 or more",IF(G895="","Enter start and end times, or minutes",IF(C895="","Pick a machine",IF(SUMPRODUCT(--(Setup!$A$5:$A$34=C895))=0,"Machine not in Setup",IF(H895="","Pick a reason (counted as unclassified)",IF(I895="Not in Setup","Reason not in Setup (counted as unclassified)",IF(N(G895)=0,"0 minutes: not counted as a stop","OK")))))))))</f>
        <v/>
      </c>
    </row>
    <row r="896" customFormat="false" ht="15" hidden="false" customHeight="false" outlineLevel="0" collapsed="false">
      <c r="A896" s="11"/>
      <c r="B896" s="9"/>
      <c r="C896" s="9"/>
      <c r="D896" s="12"/>
      <c r="E896" s="12"/>
      <c r="F896" s="13"/>
      <c r="G896" s="14" t="str">
        <f aca="false">IF(F896&lt;&gt;"",IF(AND(ISNUMBER(F896),N(F896)&gt;=0),F896,""),IF(AND(ISNUMBER(D896),ISNUMBER(E896)),ROUND(MOD(E896-D896,1)*1440,0),""))</f>
        <v/>
      </c>
      <c r="H896" s="9"/>
      <c r="I896" s="10" t="str">
        <f aca="false">IF(H896="","",IF(SUMPRODUCT(MAX((Setup!$D$5:$D$34=H896)*(35-ROW(Setup!$D$5:$D$34))))=0,"Not in Setup",INDEX(Setup!$E$5:$E$34,31-SUMPRODUCT(MAX((Setup!$D$5:$D$34=H896)*(35-ROW(Setup!$D$5:$D$34)))))))</f>
        <v/>
      </c>
      <c r="J896" s="9"/>
      <c r="K896" s="10" t="str">
        <f aca="false">IF(AND(A896="",C896="",D896="",E896="",F896="",H896=""),"",IF(NOT(ISNUMBER(A896)),"Enter a date",IF(AND(F896&lt;&gt;"",OR(NOT(ISNUMBER(F896)),N(F896)&lt;0)),"Minutes must be a number of 0 or more",IF(G896="","Enter start and end times, or minutes",IF(C896="","Pick a machine",IF(SUMPRODUCT(--(Setup!$A$5:$A$34=C896))=0,"Machine not in Setup",IF(H896="","Pick a reason (counted as unclassified)",IF(I896="Not in Setup","Reason not in Setup (counted as unclassified)",IF(N(G896)=0,"0 minutes: not counted as a stop","OK")))))))))</f>
        <v/>
      </c>
    </row>
    <row r="897" customFormat="false" ht="15" hidden="false" customHeight="false" outlineLevel="0" collapsed="false">
      <c r="A897" s="11"/>
      <c r="B897" s="9"/>
      <c r="C897" s="9"/>
      <c r="D897" s="12"/>
      <c r="E897" s="12"/>
      <c r="F897" s="13"/>
      <c r="G897" s="14" t="str">
        <f aca="false">IF(F897&lt;&gt;"",IF(AND(ISNUMBER(F897),N(F897)&gt;=0),F897,""),IF(AND(ISNUMBER(D897),ISNUMBER(E897)),ROUND(MOD(E897-D897,1)*1440,0),""))</f>
        <v/>
      </c>
      <c r="H897" s="9"/>
      <c r="I897" s="10" t="str">
        <f aca="false">IF(H897="","",IF(SUMPRODUCT(MAX((Setup!$D$5:$D$34=H897)*(35-ROW(Setup!$D$5:$D$34))))=0,"Not in Setup",INDEX(Setup!$E$5:$E$34,31-SUMPRODUCT(MAX((Setup!$D$5:$D$34=H897)*(35-ROW(Setup!$D$5:$D$34)))))))</f>
        <v/>
      </c>
      <c r="J897" s="9"/>
      <c r="K897" s="10" t="str">
        <f aca="false">IF(AND(A897="",C897="",D897="",E897="",F897="",H897=""),"",IF(NOT(ISNUMBER(A897)),"Enter a date",IF(AND(F897&lt;&gt;"",OR(NOT(ISNUMBER(F897)),N(F897)&lt;0)),"Minutes must be a number of 0 or more",IF(G897="","Enter start and end times, or minutes",IF(C897="","Pick a machine",IF(SUMPRODUCT(--(Setup!$A$5:$A$34=C897))=0,"Machine not in Setup",IF(H897="","Pick a reason (counted as unclassified)",IF(I897="Not in Setup","Reason not in Setup (counted as unclassified)",IF(N(G897)=0,"0 minutes: not counted as a stop","OK")))))))))</f>
        <v/>
      </c>
    </row>
    <row r="898" customFormat="false" ht="15" hidden="false" customHeight="false" outlineLevel="0" collapsed="false">
      <c r="A898" s="11"/>
      <c r="B898" s="9"/>
      <c r="C898" s="9"/>
      <c r="D898" s="12"/>
      <c r="E898" s="12"/>
      <c r="F898" s="13"/>
      <c r="G898" s="14" t="str">
        <f aca="false">IF(F898&lt;&gt;"",IF(AND(ISNUMBER(F898),N(F898)&gt;=0),F898,""),IF(AND(ISNUMBER(D898),ISNUMBER(E898)),ROUND(MOD(E898-D898,1)*1440,0),""))</f>
        <v/>
      </c>
      <c r="H898" s="9"/>
      <c r="I898" s="10" t="str">
        <f aca="false">IF(H898="","",IF(SUMPRODUCT(MAX((Setup!$D$5:$D$34=H898)*(35-ROW(Setup!$D$5:$D$34))))=0,"Not in Setup",INDEX(Setup!$E$5:$E$34,31-SUMPRODUCT(MAX((Setup!$D$5:$D$34=H898)*(35-ROW(Setup!$D$5:$D$34)))))))</f>
        <v/>
      </c>
      <c r="J898" s="9"/>
      <c r="K898" s="10" t="str">
        <f aca="false">IF(AND(A898="",C898="",D898="",E898="",F898="",H898=""),"",IF(NOT(ISNUMBER(A898)),"Enter a date",IF(AND(F898&lt;&gt;"",OR(NOT(ISNUMBER(F898)),N(F898)&lt;0)),"Minutes must be a number of 0 or more",IF(G898="","Enter start and end times, or minutes",IF(C898="","Pick a machine",IF(SUMPRODUCT(--(Setup!$A$5:$A$34=C898))=0,"Machine not in Setup",IF(H898="","Pick a reason (counted as unclassified)",IF(I898="Not in Setup","Reason not in Setup (counted as unclassified)",IF(N(G898)=0,"0 minutes: not counted as a stop","OK")))))))))</f>
        <v/>
      </c>
    </row>
    <row r="899" customFormat="false" ht="15" hidden="false" customHeight="false" outlineLevel="0" collapsed="false">
      <c r="A899" s="11"/>
      <c r="B899" s="9"/>
      <c r="C899" s="9"/>
      <c r="D899" s="12"/>
      <c r="E899" s="12"/>
      <c r="F899" s="13"/>
      <c r="G899" s="14" t="str">
        <f aca="false">IF(F899&lt;&gt;"",IF(AND(ISNUMBER(F899),N(F899)&gt;=0),F899,""),IF(AND(ISNUMBER(D899),ISNUMBER(E899)),ROUND(MOD(E899-D899,1)*1440,0),""))</f>
        <v/>
      </c>
      <c r="H899" s="9"/>
      <c r="I899" s="10" t="str">
        <f aca="false">IF(H899="","",IF(SUMPRODUCT(MAX((Setup!$D$5:$D$34=H899)*(35-ROW(Setup!$D$5:$D$34))))=0,"Not in Setup",INDEX(Setup!$E$5:$E$34,31-SUMPRODUCT(MAX((Setup!$D$5:$D$34=H899)*(35-ROW(Setup!$D$5:$D$34)))))))</f>
        <v/>
      </c>
      <c r="J899" s="9"/>
      <c r="K899" s="10" t="str">
        <f aca="false">IF(AND(A899="",C899="",D899="",E899="",F899="",H899=""),"",IF(NOT(ISNUMBER(A899)),"Enter a date",IF(AND(F899&lt;&gt;"",OR(NOT(ISNUMBER(F899)),N(F899)&lt;0)),"Minutes must be a number of 0 or more",IF(G899="","Enter start and end times, or minutes",IF(C899="","Pick a machine",IF(SUMPRODUCT(--(Setup!$A$5:$A$34=C899))=0,"Machine not in Setup",IF(H899="","Pick a reason (counted as unclassified)",IF(I899="Not in Setup","Reason not in Setup (counted as unclassified)",IF(N(G899)=0,"0 minutes: not counted as a stop","OK")))))))))</f>
        <v/>
      </c>
    </row>
    <row r="900" customFormat="false" ht="15" hidden="false" customHeight="false" outlineLevel="0" collapsed="false">
      <c r="A900" s="11"/>
      <c r="B900" s="9"/>
      <c r="C900" s="9"/>
      <c r="D900" s="12"/>
      <c r="E900" s="12"/>
      <c r="F900" s="13"/>
      <c r="G900" s="14" t="str">
        <f aca="false">IF(F900&lt;&gt;"",IF(AND(ISNUMBER(F900),N(F900)&gt;=0),F900,""),IF(AND(ISNUMBER(D900),ISNUMBER(E900)),ROUND(MOD(E900-D900,1)*1440,0),""))</f>
        <v/>
      </c>
      <c r="H900" s="9"/>
      <c r="I900" s="10" t="str">
        <f aca="false">IF(H900="","",IF(SUMPRODUCT(MAX((Setup!$D$5:$D$34=H900)*(35-ROW(Setup!$D$5:$D$34))))=0,"Not in Setup",INDEX(Setup!$E$5:$E$34,31-SUMPRODUCT(MAX((Setup!$D$5:$D$34=H900)*(35-ROW(Setup!$D$5:$D$34)))))))</f>
        <v/>
      </c>
      <c r="J900" s="9"/>
      <c r="K900" s="10" t="str">
        <f aca="false">IF(AND(A900="",C900="",D900="",E900="",F900="",H900=""),"",IF(NOT(ISNUMBER(A900)),"Enter a date",IF(AND(F900&lt;&gt;"",OR(NOT(ISNUMBER(F900)),N(F900)&lt;0)),"Minutes must be a number of 0 or more",IF(G900="","Enter start and end times, or minutes",IF(C900="","Pick a machine",IF(SUMPRODUCT(--(Setup!$A$5:$A$34=C900))=0,"Machine not in Setup",IF(H900="","Pick a reason (counted as unclassified)",IF(I900="Not in Setup","Reason not in Setup (counted as unclassified)",IF(N(G900)=0,"0 minutes: not counted as a stop","OK")))))))))</f>
        <v/>
      </c>
    </row>
    <row r="901" customFormat="false" ht="15" hidden="false" customHeight="false" outlineLevel="0" collapsed="false">
      <c r="A901" s="11"/>
      <c r="B901" s="9"/>
      <c r="C901" s="9"/>
      <c r="D901" s="12"/>
      <c r="E901" s="12"/>
      <c r="F901" s="13"/>
      <c r="G901" s="14" t="str">
        <f aca="false">IF(F901&lt;&gt;"",IF(AND(ISNUMBER(F901),N(F901)&gt;=0),F901,""),IF(AND(ISNUMBER(D901),ISNUMBER(E901)),ROUND(MOD(E901-D901,1)*1440,0),""))</f>
        <v/>
      </c>
      <c r="H901" s="9"/>
      <c r="I901" s="10" t="str">
        <f aca="false">IF(H901="","",IF(SUMPRODUCT(MAX((Setup!$D$5:$D$34=H901)*(35-ROW(Setup!$D$5:$D$34))))=0,"Not in Setup",INDEX(Setup!$E$5:$E$34,31-SUMPRODUCT(MAX((Setup!$D$5:$D$34=H901)*(35-ROW(Setup!$D$5:$D$34)))))))</f>
        <v/>
      </c>
      <c r="J901" s="9"/>
      <c r="K901" s="10" t="str">
        <f aca="false">IF(AND(A901="",C901="",D901="",E901="",F901="",H901=""),"",IF(NOT(ISNUMBER(A901)),"Enter a date",IF(AND(F901&lt;&gt;"",OR(NOT(ISNUMBER(F901)),N(F901)&lt;0)),"Minutes must be a number of 0 or more",IF(G901="","Enter start and end times, or minutes",IF(C901="","Pick a machine",IF(SUMPRODUCT(--(Setup!$A$5:$A$34=C901))=0,"Machine not in Setup",IF(H901="","Pick a reason (counted as unclassified)",IF(I901="Not in Setup","Reason not in Setup (counted as unclassified)",IF(N(G901)=0,"0 minutes: not counted as a stop","OK")))))))))</f>
        <v/>
      </c>
    </row>
    <row r="902" customFormat="false" ht="15" hidden="false" customHeight="false" outlineLevel="0" collapsed="false">
      <c r="A902" s="11"/>
      <c r="B902" s="9"/>
      <c r="C902" s="9"/>
      <c r="D902" s="12"/>
      <c r="E902" s="12"/>
      <c r="F902" s="13"/>
      <c r="G902" s="14" t="str">
        <f aca="false">IF(F902&lt;&gt;"",IF(AND(ISNUMBER(F902),N(F902)&gt;=0),F902,""),IF(AND(ISNUMBER(D902),ISNUMBER(E902)),ROUND(MOD(E902-D902,1)*1440,0),""))</f>
        <v/>
      </c>
      <c r="H902" s="9"/>
      <c r="I902" s="10" t="str">
        <f aca="false">IF(H902="","",IF(SUMPRODUCT(MAX((Setup!$D$5:$D$34=H902)*(35-ROW(Setup!$D$5:$D$34))))=0,"Not in Setup",INDEX(Setup!$E$5:$E$34,31-SUMPRODUCT(MAX((Setup!$D$5:$D$34=H902)*(35-ROW(Setup!$D$5:$D$34)))))))</f>
        <v/>
      </c>
      <c r="J902" s="9"/>
      <c r="K902" s="10" t="str">
        <f aca="false">IF(AND(A902="",C902="",D902="",E902="",F902="",H902=""),"",IF(NOT(ISNUMBER(A902)),"Enter a date",IF(AND(F902&lt;&gt;"",OR(NOT(ISNUMBER(F902)),N(F902)&lt;0)),"Minutes must be a number of 0 or more",IF(G902="","Enter start and end times, or minutes",IF(C902="","Pick a machine",IF(SUMPRODUCT(--(Setup!$A$5:$A$34=C902))=0,"Machine not in Setup",IF(H902="","Pick a reason (counted as unclassified)",IF(I902="Not in Setup","Reason not in Setup (counted as unclassified)",IF(N(G902)=0,"0 minutes: not counted as a stop","OK")))))))))</f>
        <v/>
      </c>
    </row>
    <row r="903" customFormat="false" ht="15" hidden="false" customHeight="false" outlineLevel="0" collapsed="false">
      <c r="A903" s="11"/>
      <c r="B903" s="9"/>
      <c r="C903" s="9"/>
      <c r="D903" s="12"/>
      <c r="E903" s="12"/>
      <c r="F903" s="13"/>
      <c r="G903" s="14" t="str">
        <f aca="false">IF(F903&lt;&gt;"",IF(AND(ISNUMBER(F903),N(F903)&gt;=0),F903,""),IF(AND(ISNUMBER(D903),ISNUMBER(E903)),ROUND(MOD(E903-D903,1)*1440,0),""))</f>
        <v/>
      </c>
      <c r="H903" s="9"/>
      <c r="I903" s="10" t="str">
        <f aca="false">IF(H903="","",IF(SUMPRODUCT(MAX((Setup!$D$5:$D$34=H903)*(35-ROW(Setup!$D$5:$D$34))))=0,"Not in Setup",INDEX(Setup!$E$5:$E$34,31-SUMPRODUCT(MAX((Setup!$D$5:$D$34=H903)*(35-ROW(Setup!$D$5:$D$34)))))))</f>
        <v/>
      </c>
      <c r="J903" s="9"/>
      <c r="K903" s="10" t="str">
        <f aca="false">IF(AND(A903="",C903="",D903="",E903="",F903="",H903=""),"",IF(NOT(ISNUMBER(A903)),"Enter a date",IF(AND(F903&lt;&gt;"",OR(NOT(ISNUMBER(F903)),N(F903)&lt;0)),"Minutes must be a number of 0 or more",IF(G903="","Enter start and end times, or minutes",IF(C903="","Pick a machine",IF(SUMPRODUCT(--(Setup!$A$5:$A$34=C903))=0,"Machine not in Setup",IF(H903="","Pick a reason (counted as unclassified)",IF(I903="Not in Setup","Reason not in Setup (counted as unclassified)",IF(N(G903)=0,"0 minutes: not counted as a stop","OK")))))))))</f>
        <v/>
      </c>
    </row>
    <row r="904" customFormat="false" ht="15" hidden="false" customHeight="false" outlineLevel="0" collapsed="false">
      <c r="A904" s="11"/>
      <c r="B904" s="9"/>
      <c r="C904" s="9"/>
      <c r="D904" s="12"/>
      <c r="E904" s="12"/>
      <c r="F904" s="13"/>
      <c r="G904" s="14" t="str">
        <f aca="false">IF(F904&lt;&gt;"",IF(AND(ISNUMBER(F904),N(F904)&gt;=0),F904,""),IF(AND(ISNUMBER(D904),ISNUMBER(E904)),ROUND(MOD(E904-D904,1)*1440,0),""))</f>
        <v/>
      </c>
      <c r="H904" s="9"/>
      <c r="I904" s="10" t="str">
        <f aca="false">IF(H904="","",IF(SUMPRODUCT(MAX((Setup!$D$5:$D$34=H904)*(35-ROW(Setup!$D$5:$D$34))))=0,"Not in Setup",INDEX(Setup!$E$5:$E$34,31-SUMPRODUCT(MAX((Setup!$D$5:$D$34=H904)*(35-ROW(Setup!$D$5:$D$34)))))))</f>
        <v/>
      </c>
      <c r="J904" s="9"/>
      <c r="K904" s="10" t="str">
        <f aca="false">IF(AND(A904="",C904="",D904="",E904="",F904="",H904=""),"",IF(NOT(ISNUMBER(A904)),"Enter a date",IF(AND(F904&lt;&gt;"",OR(NOT(ISNUMBER(F904)),N(F904)&lt;0)),"Minutes must be a number of 0 or more",IF(G904="","Enter start and end times, or minutes",IF(C904="","Pick a machine",IF(SUMPRODUCT(--(Setup!$A$5:$A$34=C904))=0,"Machine not in Setup",IF(H904="","Pick a reason (counted as unclassified)",IF(I904="Not in Setup","Reason not in Setup (counted as unclassified)",IF(N(G904)=0,"0 minutes: not counted as a stop","OK")))))))))</f>
        <v/>
      </c>
    </row>
    <row r="905" customFormat="false" ht="15" hidden="false" customHeight="false" outlineLevel="0" collapsed="false">
      <c r="A905" s="11"/>
      <c r="B905" s="9"/>
      <c r="C905" s="9"/>
      <c r="D905" s="12"/>
      <c r="E905" s="12"/>
      <c r="F905" s="13"/>
      <c r="G905" s="14" t="str">
        <f aca="false">IF(F905&lt;&gt;"",IF(AND(ISNUMBER(F905),N(F905)&gt;=0),F905,""),IF(AND(ISNUMBER(D905),ISNUMBER(E905)),ROUND(MOD(E905-D905,1)*1440,0),""))</f>
        <v/>
      </c>
      <c r="H905" s="9"/>
      <c r="I905" s="10" t="str">
        <f aca="false">IF(H905="","",IF(SUMPRODUCT(MAX((Setup!$D$5:$D$34=H905)*(35-ROW(Setup!$D$5:$D$34))))=0,"Not in Setup",INDEX(Setup!$E$5:$E$34,31-SUMPRODUCT(MAX((Setup!$D$5:$D$34=H905)*(35-ROW(Setup!$D$5:$D$34)))))))</f>
        <v/>
      </c>
      <c r="J905" s="9"/>
      <c r="K905" s="10" t="str">
        <f aca="false">IF(AND(A905="",C905="",D905="",E905="",F905="",H905=""),"",IF(NOT(ISNUMBER(A905)),"Enter a date",IF(AND(F905&lt;&gt;"",OR(NOT(ISNUMBER(F905)),N(F905)&lt;0)),"Minutes must be a number of 0 or more",IF(G905="","Enter start and end times, or minutes",IF(C905="","Pick a machine",IF(SUMPRODUCT(--(Setup!$A$5:$A$34=C905))=0,"Machine not in Setup",IF(H905="","Pick a reason (counted as unclassified)",IF(I905="Not in Setup","Reason not in Setup (counted as unclassified)",IF(N(G905)=0,"0 minutes: not counted as a stop","OK")))))))))</f>
        <v/>
      </c>
    </row>
    <row r="906" customFormat="false" ht="15" hidden="false" customHeight="false" outlineLevel="0" collapsed="false">
      <c r="A906" s="11"/>
      <c r="B906" s="9"/>
      <c r="C906" s="9"/>
      <c r="D906" s="12"/>
      <c r="E906" s="12"/>
      <c r="F906" s="13"/>
      <c r="G906" s="14" t="str">
        <f aca="false">IF(F906&lt;&gt;"",IF(AND(ISNUMBER(F906),N(F906)&gt;=0),F906,""),IF(AND(ISNUMBER(D906),ISNUMBER(E906)),ROUND(MOD(E906-D906,1)*1440,0),""))</f>
        <v/>
      </c>
      <c r="H906" s="9"/>
      <c r="I906" s="10" t="str">
        <f aca="false">IF(H906="","",IF(SUMPRODUCT(MAX((Setup!$D$5:$D$34=H906)*(35-ROW(Setup!$D$5:$D$34))))=0,"Not in Setup",INDEX(Setup!$E$5:$E$34,31-SUMPRODUCT(MAX((Setup!$D$5:$D$34=H906)*(35-ROW(Setup!$D$5:$D$34)))))))</f>
        <v/>
      </c>
      <c r="J906" s="9"/>
      <c r="K906" s="10" t="str">
        <f aca="false">IF(AND(A906="",C906="",D906="",E906="",F906="",H906=""),"",IF(NOT(ISNUMBER(A906)),"Enter a date",IF(AND(F906&lt;&gt;"",OR(NOT(ISNUMBER(F906)),N(F906)&lt;0)),"Minutes must be a number of 0 or more",IF(G906="","Enter start and end times, or minutes",IF(C906="","Pick a machine",IF(SUMPRODUCT(--(Setup!$A$5:$A$34=C906))=0,"Machine not in Setup",IF(H906="","Pick a reason (counted as unclassified)",IF(I906="Not in Setup","Reason not in Setup (counted as unclassified)",IF(N(G906)=0,"0 minutes: not counted as a stop","OK")))))))))</f>
        <v/>
      </c>
    </row>
    <row r="907" customFormat="false" ht="15" hidden="false" customHeight="false" outlineLevel="0" collapsed="false">
      <c r="A907" s="11"/>
      <c r="B907" s="9"/>
      <c r="C907" s="9"/>
      <c r="D907" s="12"/>
      <c r="E907" s="12"/>
      <c r="F907" s="13"/>
      <c r="G907" s="14" t="str">
        <f aca="false">IF(F907&lt;&gt;"",IF(AND(ISNUMBER(F907),N(F907)&gt;=0),F907,""),IF(AND(ISNUMBER(D907),ISNUMBER(E907)),ROUND(MOD(E907-D907,1)*1440,0),""))</f>
        <v/>
      </c>
      <c r="H907" s="9"/>
      <c r="I907" s="10" t="str">
        <f aca="false">IF(H907="","",IF(SUMPRODUCT(MAX((Setup!$D$5:$D$34=H907)*(35-ROW(Setup!$D$5:$D$34))))=0,"Not in Setup",INDEX(Setup!$E$5:$E$34,31-SUMPRODUCT(MAX((Setup!$D$5:$D$34=H907)*(35-ROW(Setup!$D$5:$D$34)))))))</f>
        <v/>
      </c>
      <c r="J907" s="9"/>
      <c r="K907" s="10" t="str">
        <f aca="false">IF(AND(A907="",C907="",D907="",E907="",F907="",H907=""),"",IF(NOT(ISNUMBER(A907)),"Enter a date",IF(AND(F907&lt;&gt;"",OR(NOT(ISNUMBER(F907)),N(F907)&lt;0)),"Minutes must be a number of 0 or more",IF(G907="","Enter start and end times, or minutes",IF(C907="","Pick a machine",IF(SUMPRODUCT(--(Setup!$A$5:$A$34=C907))=0,"Machine not in Setup",IF(H907="","Pick a reason (counted as unclassified)",IF(I907="Not in Setup","Reason not in Setup (counted as unclassified)",IF(N(G907)=0,"0 minutes: not counted as a stop","OK")))))))))</f>
        <v/>
      </c>
    </row>
    <row r="908" customFormat="false" ht="15" hidden="false" customHeight="false" outlineLevel="0" collapsed="false">
      <c r="A908" s="11"/>
      <c r="B908" s="9"/>
      <c r="C908" s="9"/>
      <c r="D908" s="12"/>
      <c r="E908" s="12"/>
      <c r="F908" s="13"/>
      <c r="G908" s="14" t="str">
        <f aca="false">IF(F908&lt;&gt;"",IF(AND(ISNUMBER(F908),N(F908)&gt;=0),F908,""),IF(AND(ISNUMBER(D908),ISNUMBER(E908)),ROUND(MOD(E908-D908,1)*1440,0),""))</f>
        <v/>
      </c>
      <c r="H908" s="9"/>
      <c r="I908" s="10" t="str">
        <f aca="false">IF(H908="","",IF(SUMPRODUCT(MAX((Setup!$D$5:$D$34=H908)*(35-ROW(Setup!$D$5:$D$34))))=0,"Not in Setup",INDEX(Setup!$E$5:$E$34,31-SUMPRODUCT(MAX((Setup!$D$5:$D$34=H908)*(35-ROW(Setup!$D$5:$D$34)))))))</f>
        <v/>
      </c>
      <c r="J908" s="9"/>
      <c r="K908" s="10" t="str">
        <f aca="false">IF(AND(A908="",C908="",D908="",E908="",F908="",H908=""),"",IF(NOT(ISNUMBER(A908)),"Enter a date",IF(AND(F908&lt;&gt;"",OR(NOT(ISNUMBER(F908)),N(F908)&lt;0)),"Minutes must be a number of 0 or more",IF(G908="","Enter start and end times, or minutes",IF(C908="","Pick a machine",IF(SUMPRODUCT(--(Setup!$A$5:$A$34=C908))=0,"Machine not in Setup",IF(H908="","Pick a reason (counted as unclassified)",IF(I908="Not in Setup","Reason not in Setup (counted as unclassified)",IF(N(G908)=0,"0 minutes: not counted as a stop","OK")))))))))</f>
        <v/>
      </c>
    </row>
    <row r="909" customFormat="false" ht="15" hidden="false" customHeight="false" outlineLevel="0" collapsed="false">
      <c r="A909" s="11"/>
      <c r="B909" s="9"/>
      <c r="C909" s="9"/>
      <c r="D909" s="12"/>
      <c r="E909" s="12"/>
      <c r="F909" s="13"/>
      <c r="G909" s="14" t="str">
        <f aca="false">IF(F909&lt;&gt;"",IF(AND(ISNUMBER(F909),N(F909)&gt;=0),F909,""),IF(AND(ISNUMBER(D909),ISNUMBER(E909)),ROUND(MOD(E909-D909,1)*1440,0),""))</f>
        <v/>
      </c>
      <c r="H909" s="9"/>
      <c r="I909" s="10" t="str">
        <f aca="false">IF(H909="","",IF(SUMPRODUCT(MAX((Setup!$D$5:$D$34=H909)*(35-ROW(Setup!$D$5:$D$34))))=0,"Not in Setup",INDEX(Setup!$E$5:$E$34,31-SUMPRODUCT(MAX((Setup!$D$5:$D$34=H909)*(35-ROW(Setup!$D$5:$D$34)))))))</f>
        <v/>
      </c>
      <c r="J909" s="9"/>
      <c r="K909" s="10" t="str">
        <f aca="false">IF(AND(A909="",C909="",D909="",E909="",F909="",H909=""),"",IF(NOT(ISNUMBER(A909)),"Enter a date",IF(AND(F909&lt;&gt;"",OR(NOT(ISNUMBER(F909)),N(F909)&lt;0)),"Minutes must be a number of 0 or more",IF(G909="","Enter start and end times, or minutes",IF(C909="","Pick a machine",IF(SUMPRODUCT(--(Setup!$A$5:$A$34=C909))=0,"Machine not in Setup",IF(H909="","Pick a reason (counted as unclassified)",IF(I909="Not in Setup","Reason not in Setup (counted as unclassified)",IF(N(G909)=0,"0 minutes: not counted as a stop","OK")))))))))</f>
        <v/>
      </c>
    </row>
    <row r="910" customFormat="false" ht="15" hidden="false" customHeight="false" outlineLevel="0" collapsed="false">
      <c r="A910" s="11"/>
      <c r="B910" s="9"/>
      <c r="C910" s="9"/>
      <c r="D910" s="12"/>
      <c r="E910" s="12"/>
      <c r="F910" s="13"/>
      <c r="G910" s="14" t="str">
        <f aca="false">IF(F910&lt;&gt;"",IF(AND(ISNUMBER(F910),N(F910)&gt;=0),F910,""),IF(AND(ISNUMBER(D910),ISNUMBER(E910)),ROUND(MOD(E910-D910,1)*1440,0),""))</f>
        <v/>
      </c>
      <c r="H910" s="9"/>
      <c r="I910" s="10" t="str">
        <f aca="false">IF(H910="","",IF(SUMPRODUCT(MAX((Setup!$D$5:$D$34=H910)*(35-ROW(Setup!$D$5:$D$34))))=0,"Not in Setup",INDEX(Setup!$E$5:$E$34,31-SUMPRODUCT(MAX((Setup!$D$5:$D$34=H910)*(35-ROW(Setup!$D$5:$D$34)))))))</f>
        <v/>
      </c>
      <c r="J910" s="9"/>
      <c r="K910" s="10" t="str">
        <f aca="false">IF(AND(A910="",C910="",D910="",E910="",F910="",H910=""),"",IF(NOT(ISNUMBER(A910)),"Enter a date",IF(AND(F910&lt;&gt;"",OR(NOT(ISNUMBER(F910)),N(F910)&lt;0)),"Minutes must be a number of 0 or more",IF(G910="","Enter start and end times, or minutes",IF(C910="","Pick a machine",IF(SUMPRODUCT(--(Setup!$A$5:$A$34=C910))=0,"Machine not in Setup",IF(H910="","Pick a reason (counted as unclassified)",IF(I910="Not in Setup","Reason not in Setup (counted as unclassified)",IF(N(G910)=0,"0 minutes: not counted as a stop","OK")))))))))</f>
        <v/>
      </c>
    </row>
    <row r="911" customFormat="false" ht="15" hidden="false" customHeight="false" outlineLevel="0" collapsed="false">
      <c r="A911" s="11"/>
      <c r="B911" s="9"/>
      <c r="C911" s="9"/>
      <c r="D911" s="12"/>
      <c r="E911" s="12"/>
      <c r="F911" s="13"/>
      <c r="G911" s="14" t="str">
        <f aca="false">IF(F911&lt;&gt;"",IF(AND(ISNUMBER(F911),N(F911)&gt;=0),F911,""),IF(AND(ISNUMBER(D911),ISNUMBER(E911)),ROUND(MOD(E911-D911,1)*1440,0),""))</f>
        <v/>
      </c>
      <c r="H911" s="9"/>
      <c r="I911" s="10" t="str">
        <f aca="false">IF(H911="","",IF(SUMPRODUCT(MAX((Setup!$D$5:$D$34=H911)*(35-ROW(Setup!$D$5:$D$34))))=0,"Not in Setup",INDEX(Setup!$E$5:$E$34,31-SUMPRODUCT(MAX((Setup!$D$5:$D$34=H911)*(35-ROW(Setup!$D$5:$D$34)))))))</f>
        <v/>
      </c>
      <c r="J911" s="9"/>
      <c r="K911" s="10" t="str">
        <f aca="false">IF(AND(A911="",C911="",D911="",E911="",F911="",H911=""),"",IF(NOT(ISNUMBER(A911)),"Enter a date",IF(AND(F911&lt;&gt;"",OR(NOT(ISNUMBER(F911)),N(F911)&lt;0)),"Minutes must be a number of 0 or more",IF(G911="","Enter start and end times, or minutes",IF(C911="","Pick a machine",IF(SUMPRODUCT(--(Setup!$A$5:$A$34=C911))=0,"Machine not in Setup",IF(H911="","Pick a reason (counted as unclassified)",IF(I911="Not in Setup","Reason not in Setup (counted as unclassified)",IF(N(G911)=0,"0 minutes: not counted as a stop","OK")))))))))</f>
        <v/>
      </c>
    </row>
    <row r="912" customFormat="false" ht="15" hidden="false" customHeight="false" outlineLevel="0" collapsed="false">
      <c r="A912" s="11"/>
      <c r="B912" s="9"/>
      <c r="C912" s="9"/>
      <c r="D912" s="12"/>
      <c r="E912" s="12"/>
      <c r="F912" s="13"/>
      <c r="G912" s="14" t="str">
        <f aca="false">IF(F912&lt;&gt;"",IF(AND(ISNUMBER(F912),N(F912)&gt;=0),F912,""),IF(AND(ISNUMBER(D912),ISNUMBER(E912)),ROUND(MOD(E912-D912,1)*1440,0),""))</f>
        <v/>
      </c>
      <c r="H912" s="9"/>
      <c r="I912" s="10" t="str">
        <f aca="false">IF(H912="","",IF(SUMPRODUCT(MAX((Setup!$D$5:$D$34=H912)*(35-ROW(Setup!$D$5:$D$34))))=0,"Not in Setup",INDEX(Setup!$E$5:$E$34,31-SUMPRODUCT(MAX((Setup!$D$5:$D$34=H912)*(35-ROW(Setup!$D$5:$D$34)))))))</f>
        <v/>
      </c>
      <c r="J912" s="9"/>
      <c r="K912" s="10" t="str">
        <f aca="false">IF(AND(A912="",C912="",D912="",E912="",F912="",H912=""),"",IF(NOT(ISNUMBER(A912)),"Enter a date",IF(AND(F912&lt;&gt;"",OR(NOT(ISNUMBER(F912)),N(F912)&lt;0)),"Minutes must be a number of 0 or more",IF(G912="","Enter start and end times, or minutes",IF(C912="","Pick a machine",IF(SUMPRODUCT(--(Setup!$A$5:$A$34=C912))=0,"Machine not in Setup",IF(H912="","Pick a reason (counted as unclassified)",IF(I912="Not in Setup","Reason not in Setup (counted as unclassified)",IF(N(G912)=0,"0 minutes: not counted as a stop","OK")))))))))</f>
        <v/>
      </c>
    </row>
    <row r="913" customFormat="false" ht="15" hidden="false" customHeight="false" outlineLevel="0" collapsed="false">
      <c r="A913" s="11"/>
      <c r="B913" s="9"/>
      <c r="C913" s="9"/>
      <c r="D913" s="12"/>
      <c r="E913" s="12"/>
      <c r="F913" s="13"/>
      <c r="G913" s="14" t="str">
        <f aca="false">IF(F913&lt;&gt;"",IF(AND(ISNUMBER(F913),N(F913)&gt;=0),F913,""),IF(AND(ISNUMBER(D913),ISNUMBER(E913)),ROUND(MOD(E913-D913,1)*1440,0),""))</f>
        <v/>
      </c>
      <c r="H913" s="9"/>
      <c r="I913" s="10" t="str">
        <f aca="false">IF(H913="","",IF(SUMPRODUCT(MAX((Setup!$D$5:$D$34=H913)*(35-ROW(Setup!$D$5:$D$34))))=0,"Not in Setup",INDEX(Setup!$E$5:$E$34,31-SUMPRODUCT(MAX((Setup!$D$5:$D$34=H913)*(35-ROW(Setup!$D$5:$D$34)))))))</f>
        <v/>
      </c>
      <c r="J913" s="9"/>
      <c r="K913" s="10" t="str">
        <f aca="false">IF(AND(A913="",C913="",D913="",E913="",F913="",H913=""),"",IF(NOT(ISNUMBER(A913)),"Enter a date",IF(AND(F913&lt;&gt;"",OR(NOT(ISNUMBER(F913)),N(F913)&lt;0)),"Minutes must be a number of 0 or more",IF(G913="","Enter start and end times, or minutes",IF(C913="","Pick a machine",IF(SUMPRODUCT(--(Setup!$A$5:$A$34=C913))=0,"Machine not in Setup",IF(H913="","Pick a reason (counted as unclassified)",IF(I913="Not in Setup","Reason not in Setup (counted as unclassified)",IF(N(G913)=0,"0 minutes: not counted as a stop","OK")))))))))</f>
        <v/>
      </c>
    </row>
    <row r="914" customFormat="false" ht="15" hidden="false" customHeight="false" outlineLevel="0" collapsed="false">
      <c r="A914" s="11"/>
      <c r="B914" s="9"/>
      <c r="C914" s="9"/>
      <c r="D914" s="12"/>
      <c r="E914" s="12"/>
      <c r="F914" s="13"/>
      <c r="G914" s="14" t="str">
        <f aca="false">IF(F914&lt;&gt;"",IF(AND(ISNUMBER(F914),N(F914)&gt;=0),F914,""),IF(AND(ISNUMBER(D914),ISNUMBER(E914)),ROUND(MOD(E914-D914,1)*1440,0),""))</f>
        <v/>
      </c>
      <c r="H914" s="9"/>
      <c r="I914" s="10" t="str">
        <f aca="false">IF(H914="","",IF(SUMPRODUCT(MAX((Setup!$D$5:$D$34=H914)*(35-ROW(Setup!$D$5:$D$34))))=0,"Not in Setup",INDEX(Setup!$E$5:$E$34,31-SUMPRODUCT(MAX((Setup!$D$5:$D$34=H914)*(35-ROW(Setup!$D$5:$D$34)))))))</f>
        <v/>
      </c>
      <c r="J914" s="9"/>
      <c r="K914" s="10" t="str">
        <f aca="false">IF(AND(A914="",C914="",D914="",E914="",F914="",H914=""),"",IF(NOT(ISNUMBER(A914)),"Enter a date",IF(AND(F914&lt;&gt;"",OR(NOT(ISNUMBER(F914)),N(F914)&lt;0)),"Minutes must be a number of 0 or more",IF(G914="","Enter start and end times, or minutes",IF(C914="","Pick a machine",IF(SUMPRODUCT(--(Setup!$A$5:$A$34=C914))=0,"Machine not in Setup",IF(H914="","Pick a reason (counted as unclassified)",IF(I914="Not in Setup","Reason not in Setup (counted as unclassified)",IF(N(G914)=0,"0 minutes: not counted as a stop","OK")))))))))</f>
        <v/>
      </c>
    </row>
    <row r="915" customFormat="false" ht="15" hidden="false" customHeight="false" outlineLevel="0" collapsed="false">
      <c r="A915" s="11"/>
      <c r="B915" s="9"/>
      <c r="C915" s="9"/>
      <c r="D915" s="12"/>
      <c r="E915" s="12"/>
      <c r="F915" s="13"/>
      <c r="G915" s="14" t="str">
        <f aca="false">IF(F915&lt;&gt;"",IF(AND(ISNUMBER(F915),N(F915)&gt;=0),F915,""),IF(AND(ISNUMBER(D915),ISNUMBER(E915)),ROUND(MOD(E915-D915,1)*1440,0),""))</f>
        <v/>
      </c>
      <c r="H915" s="9"/>
      <c r="I915" s="10" t="str">
        <f aca="false">IF(H915="","",IF(SUMPRODUCT(MAX((Setup!$D$5:$D$34=H915)*(35-ROW(Setup!$D$5:$D$34))))=0,"Not in Setup",INDEX(Setup!$E$5:$E$34,31-SUMPRODUCT(MAX((Setup!$D$5:$D$34=H915)*(35-ROW(Setup!$D$5:$D$34)))))))</f>
        <v/>
      </c>
      <c r="J915" s="9"/>
      <c r="K915" s="10" t="str">
        <f aca="false">IF(AND(A915="",C915="",D915="",E915="",F915="",H915=""),"",IF(NOT(ISNUMBER(A915)),"Enter a date",IF(AND(F915&lt;&gt;"",OR(NOT(ISNUMBER(F915)),N(F915)&lt;0)),"Minutes must be a number of 0 or more",IF(G915="","Enter start and end times, or minutes",IF(C915="","Pick a machine",IF(SUMPRODUCT(--(Setup!$A$5:$A$34=C915))=0,"Machine not in Setup",IF(H915="","Pick a reason (counted as unclassified)",IF(I915="Not in Setup","Reason not in Setup (counted as unclassified)",IF(N(G915)=0,"0 minutes: not counted as a stop","OK")))))))))</f>
        <v/>
      </c>
    </row>
    <row r="916" customFormat="false" ht="15" hidden="false" customHeight="false" outlineLevel="0" collapsed="false">
      <c r="A916" s="11"/>
      <c r="B916" s="9"/>
      <c r="C916" s="9"/>
      <c r="D916" s="12"/>
      <c r="E916" s="12"/>
      <c r="F916" s="13"/>
      <c r="G916" s="14" t="str">
        <f aca="false">IF(F916&lt;&gt;"",IF(AND(ISNUMBER(F916),N(F916)&gt;=0),F916,""),IF(AND(ISNUMBER(D916),ISNUMBER(E916)),ROUND(MOD(E916-D916,1)*1440,0),""))</f>
        <v/>
      </c>
      <c r="H916" s="9"/>
      <c r="I916" s="10" t="str">
        <f aca="false">IF(H916="","",IF(SUMPRODUCT(MAX((Setup!$D$5:$D$34=H916)*(35-ROW(Setup!$D$5:$D$34))))=0,"Not in Setup",INDEX(Setup!$E$5:$E$34,31-SUMPRODUCT(MAX((Setup!$D$5:$D$34=H916)*(35-ROW(Setup!$D$5:$D$34)))))))</f>
        <v/>
      </c>
      <c r="J916" s="9"/>
      <c r="K916" s="10" t="str">
        <f aca="false">IF(AND(A916="",C916="",D916="",E916="",F916="",H916=""),"",IF(NOT(ISNUMBER(A916)),"Enter a date",IF(AND(F916&lt;&gt;"",OR(NOT(ISNUMBER(F916)),N(F916)&lt;0)),"Minutes must be a number of 0 or more",IF(G916="","Enter start and end times, or minutes",IF(C916="","Pick a machine",IF(SUMPRODUCT(--(Setup!$A$5:$A$34=C916))=0,"Machine not in Setup",IF(H916="","Pick a reason (counted as unclassified)",IF(I916="Not in Setup","Reason not in Setup (counted as unclassified)",IF(N(G916)=0,"0 minutes: not counted as a stop","OK")))))))))</f>
        <v/>
      </c>
    </row>
    <row r="917" customFormat="false" ht="15" hidden="false" customHeight="false" outlineLevel="0" collapsed="false">
      <c r="A917" s="11"/>
      <c r="B917" s="9"/>
      <c r="C917" s="9"/>
      <c r="D917" s="12"/>
      <c r="E917" s="12"/>
      <c r="F917" s="13"/>
      <c r="G917" s="14" t="str">
        <f aca="false">IF(F917&lt;&gt;"",IF(AND(ISNUMBER(F917),N(F917)&gt;=0),F917,""),IF(AND(ISNUMBER(D917),ISNUMBER(E917)),ROUND(MOD(E917-D917,1)*1440,0),""))</f>
        <v/>
      </c>
      <c r="H917" s="9"/>
      <c r="I917" s="10" t="str">
        <f aca="false">IF(H917="","",IF(SUMPRODUCT(MAX((Setup!$D$5:$D$34=H917)*(35-ROW(Setup!$D$5:$D$34))))=0,"Not in Setup",INDEX(Setup!$E$5:$E$34,31-SUMPRODUCT(MAX((Setup!$D$5:$D$34=H917)*(35-ROW(Setup!$D$5:$D$34)))))))</f>
        <v/>
      </c>
      <c r="J917" s="9"/>
      <c r="K917" s="10" t="str">
        <f aca="false">IF(AND(A917="",C917="",D917="",E917="",F917="",H917=""),"",IF(NOT(ISNUMBER(A917)),"Enter a date",IF(AND(F917&lt;&gt;"",OR(NOT(ISNUMBER(F917)),N(F917)&lt;0)),"Minutes must be a number of 0 or more",IF(G917="","Enter start and end times, or minutes",IF(C917="","Pick a machine",IF(SUMPRODUCT(--(Setup!$A$5:$A$34=C917))=0,"Machine not in Setup",IF(H917="","Pick a reason (counted as unclassified)",IF(I917="Not in Setup","Reason not in Setup (counted as unclassified)",IF(N(G917)=0,"0 minutes: not counted as a stop","OK")))))))))</f>
        <v/>
      </c>
    </row>
    <row r="918" customFormat="false" ht="15" hidden="false" customHeight="false" outlineLevel="0" collapsed="false">
      <c r="A918" s="11"/>
      <c r="B918" s="9"/>
      <c r="C918" s="9"/>
      <c r="D918" s="12"/>
      <c r="E918" s="12"/>
      <c r="F918" s="13"/>
      <c r="G918" s="14" t="str">
        <f aca="false">IF(F918&lt;&gt;"",IF(AND(ISNUMBER(F918),N(F918)&gt;=0),F918,""),IF(AND(ISNUMBER(D918),ISNUMBER(E918)),ROUND(MOD(E918-D918,1)*1440,0),""))</f>
        <v/>
      </c>
      <c r="H918" s="9"/>
      <c r="I918" s="10" t="str">
        <f aca="false">IF(H918="","",IF(SUMPRODUCT(MAX((Setup!$D$5:$D$34=H918)*(35-ROW(Setup!$D$5:$D$34))))=0,"Not in Setup",INDEX(Setup!$E$5:$E$34,31-SUMPRODUCT(MAX((Setup!$D$5:$D$34=H918)*(35-ROW(Setup!$D$5:$D$34)))))))</f>
        <v/>
      </c>
      <c r="J918" s="9"/>
      <c r="K918" s="10" t="str">
        <f aca="false">IF(AND(A918="",C918="",D918="",E918="",F918="",H918=""),"",IF(NOT(ISNUMBER(A918)),"Enter a date",IF(AND(F918&lt;&gt;"",OR(NOT(ISNUMBER(F918)),N(F918)&lt;0)),"Minutes must be a number of 0 or more",IF(G918="","Enter start and end times, or minutes",IF(C918="","Pick a machine",IF(SUMPRODUCT(--(Setup!$A$5:$A$34=C918))=0,"Machine not in Setup",IF(H918="","Pick a reason (counted as unclassified)",IF(I918="Not in Setup","Reason not in Setup (counted as unclassified)",IF(N(G918)=0,"0 minutes: not counted as a stop","OK")))))))))</f>
        <v/>
      </c>
    </row>
    <row r="919" customFormat="false" ht="15" hidden="false" customHeight="false" outlineLevel="0" collapsed="false">
      <c r="A919" s="11"/>
      <c r="B919" s="9"/>
      <c r="C919" s="9"/>
      <c r="D919" s="12"/>
      <c r="E919" s="12"/>
      <c r="F919" s="13"/>
      <c r="G919" s="14" t="str">
        <f aca="false">IF(F919&lt;&gt;"",IF(AND(ISNUMBER(F919),N(F919)&gt;=0),F919,""),IF(AND(ISNUMBER(D919),ISNUMBER(E919)),ROUND(MOD(E919-D919,1)*1440,0),""))</f>
        <v/>
      </c>
      <c r="H919" s="9"/>
      <c r="I919" s="10" t="str">
        <f aca="false">IF(H919="","",IF(SUMPRODUCT(MAX((Setup!$D$5:$D$34=H919)*(35-ROW(Setup!$D$5:$D$34))))=0,"Not in Setup",INDEX(Setup!$E$5:$E$34,31-SUMPRODUCT(MAX((Setup!$D$5:$D$34=H919)*(35-ROW(Setup!$D$5:$D$34)))))))</f>
        <v/>
      </c>
      <c r="J919" s="9"/>
      <c r="K919" s="10" t="str">
        <f aca="false">IF(AND(A919="",C919="",D919="",E919="",F919="",H919=""),"",IF(NOT(ISNUMBER(A919)),"Enter a date",IF(AND(F919&lt;&gt;"",OR(NOT(ISNUMBER(F919)),N(F919)&lt;0)),"Minutes must be a number of 0 or more",IF(G919="","Enter start and end times, or minutes",IF(C919="","Pick a machine",IF(SUMPRODUCT(--(Setup!$A$5:$A$34=C919))=0,"Machine not in Setup",IF(H919="","Pick a reason (counted as unclassified)",IF(I919="Not in Setup","Reason not in Setup (counted as unclassified)",IF(N(G919)=0,"0 minutes: not counted as a stop","OK")))))))))</f>
        <v/>
      </c>
    </row>
    <row r="920" customFormat="false" ht="15" hidden="false" customHeight="false" outlineLevel="0" collapsed="false">
      <c r="A920" s="11"/>
      <c r="B920" s="9"/>
      <c r="C920" s="9"/>
      <c r="D920" s="12"/>
      <c r="E920" s="12"/>
      <c r="F920" s="13"/>
      <c r="G920" s="14" t="str">
        <f aca="false">IF(F920&lt;&gt;"",IF(AND(ISNUMBER(F920),N(F920)&gt;=0),F920,""),IF(AND(ISNUMBER(D920),ISNUMBER(E920)),ROUND(MOD(E920-D920,1)*1440,0),""))</f>
        <v/>
      </c>
      <c r="H920" s="9"/>
      <c r="I920" s="10" t="str">
        <f aca="false">IF(H920="","",IF(SUMPRODUCT(MAX((Setup!$D$5:$D$34=H920)*(35-ROW(Setup!$D$5:$D$34))))=0,"Not in Setup",INDEX(Setup!$E$5:$E$34,31-SUMPRODUCT(MAX((Setup!$D$5:$D$34=H920)*(35-ROW(Setup!$D$5:$D$34)))))))</f>
        <v/>
      </c>
      <c r="J920" s="9"/>
      <c r="K920" s="10" t="str">
        <f aca="false">IF(AND(A920="",C920="",D920="",E920="",F920="",H920=""),"",IF(NOT(ISNUMBER(A920)),"Enter a date",IF(AND(F920&lt;&gt;"",OR(NOT(ISNUMBER(F920)),N(F920)&lt;0)),"Minutes must be a number of 0 or more",IF(G920="","Enter start and end times, or minutes",IF(C920="","Pick a machine",IF(SUMPRODUCT(--(Setup!$A$5:$A$34=C920))=0,"Machine not in Setup",IF(H920="","Pick a reason (counted as unclassified)",IF(I920="Not in Setup","Reason not in Setup (counted as unclassified)",IF(N(G920)=0,"0 minutes: not counted as a stop","OK")))))))))</f>
        <v/>
      </c>
    </row>
    <row r="921" customFormat="false" ht="15" hidden="false" customHeight="false" outlineLevel="0" collapsed="false">
      <c r="A921" s="11"/>
      <c r="B921" s="9"/>
      <c r="C921" s="9"/>
      <c r="D921" s="12"/>
      <c r="E921" s="12"/>
      <c r="F921" s="13"/>
      <c r="G921" s="14" t="str">
        <f aca="false">IF(F921&lt;&gt;"",IF(AND(ISNUMBER(F921),N(F921)&gt;=0),F921,""),IF(AND(ISNUMBER(D921),ISNUMBER(E921)),ROUND(MOD(E921-D921,1)*1440,0),""))</f>
        <v/>
      </c>
      <c r="H921" s="9"/>
      <c r="I921" s="10" t="str">
        <f aca="false">IF(H921="","",IF(SUMPRODUCT(MAX((Setup!$D$5:$D$34=H921)*(35-ROW(Setup!$D$5:$D$34))))=0,"Not in Setup",INDEX(Setup!$E$5:$E$34,31-SUMPRODUCT(MAX((Setup!$D$5:$D$34=H921)*(35-ROW(Setup!$D$5:$D$34)))))))</f>
        <v/>
      </c>
      <c r="J921" s="9"/>
      <c r="K921" s="10" t="str">
        <f aca="false">IF(AND(A921="",C921="",D921="",E921="",F921="",H921=""),"",IF(NOT(ISNUMBER(A921)),"Enter a date",IF(AND(F921&lt;&gt;"",OR(NOT(ISNUMBER(F921)),N(F921)&lt;0)),"Minutes must be a number of 0 or more",IF(G921="","Enter start and end times, or minutes",IF(C921="","Pick a machine",IF(SUMPRODUCT(--(Setup!$A$5:$A$34=C921))=0,"Machine not in Setup",IF(H921="","Pick a reason (counted as unclassified)",IF(I921="Not in Setup","Reason not in Setup (counted as unclassified)",IF(N(G921)=0,"0 minutes: not counted as a stop","OK")))))))))</f>
        <v/>
      </c>
    </row>
    <row r="922" customFormat="false" ht="15" hidden="false" customHeight="false" outlineLevel="0" collapsed="false">
      <c r="A922" s="11"/>
      <c r="B922" s="9"/>
      <c r="C922" s="9"/>
      <c r="D922" s="12"/>
      <c r="E922" s="12"/>
      <c r="F922" s="13"/>
      <c r="G922" s="14" t="str">
        <f aca="false">IF(F922&lt;&gt;"",IF(AND(ISNUMBER(F922),N(F922)&gt;=0),F922,""),IF(AND(ISNUMBER(D922),ISNUMBER(E922)),ROUND(MOD(E922-D922,1)*1440,0),""))</f>
        <v/>
      </c>
      <c r="H922" s="9"/>
      <c r="I922" s="10" t="str">
        <f aca="false">IF(H922="","",IF(SUMPRODUCT(MAX((Setup!$D$5:$D$34=H922)*(35-ROW(Setup!$D$5:$D$34))))=0,"Not in Setup",INDEX(Setup!$E$5:$E$34,31-SUMPRODUCT(MAX((Setup!$D$5:$D$34=H922)*(35-ROW(Setup!$D$5:$D$34)))))))</f>
        <v/>
      </c>
      <c r="J922" s="9"/>
      <c r="K922" s="10" t="str">
        <f aca="false">IF(AND(A922="",C922="",D922="",E922="",F922="",H922=""),"",IF(NOT(ISNUMBER(A922)),"Enter a date",IF(AND(F922&lt;&gt;"",OR(NOT(ISNUMBER(F922)),N(F922)&lt;0)),"Minutes must be a number of 0 or more",IF(G922="","Enter start and end times, or minutes",IF(C922="","Pick a machine",IF(SUMPRODUCT(--(Setup!$A$5:$A$34=C922))=0,"Machine not in Setup",IF(H922="","Pick a reason (counted as unclassified)",IF(I922="Not in Setup","Reason not in Setup (counted as unclassified)",IF(N(G922)=0,"0 minutes: not counted as a stop","OK")))))))))</f>
        <v/>
      </c>
    </row>
    <row r="923" customFormat="false" ht="15" hidden="false" customHeight="false" outlineLevel="0" collapsed="false">
      <c r="A923" s="11"/>
      <c r="B923" s="9"/>
      <c r="C923" s="9"/>
      <c r="D923" s="12"/>
      <c r="E923" s="12"/>
      <c r="F923" s="13"/>
      <c r="G923" s="14" t="str">
        <f aca="false">IF(F923&lt;&gt;"",IF(AND(ISNUMBER(F923),N(F923)&gt;=0),F923,""),IF(AND(ISNUMBER(D923),ISNUMBER(E923)),ROUND(MOD(E923-D923,1)*1440,0),""))</f>
        <v/>
      </c>
      <c r="H923" s="9"/>
      <c r="I923" s="10" t="str">
        <f aca="false">IF(H923="","",IF(SUMPRODUCT(MAX((Setup!$D$5:$D$34=H923)*(35-ROW(Setup!$D$5:$D$34))))=0,"Not in Setup",INDEX(Setup!$E$5:$E$34,31-SUMPRODUCT(MAX((Setup!$D$5:$D$34=H923)*(35-ROW(Setup!$D$5:$D$34)))))))</f>
        <v/>
      </c>
      <c r="J923" s="9"/>
      <c r="K923" s="10" t="str">
        <f aca="false">IF(AND(A923="",C923="",D923="",E923="",F923="",H923=""),"",IF(NOT(ISNUMBER(A923)),"Enter a date",IF(AND(F923&lt;&gt;"",OR(NOT(ISNUMBER(F923)),N(F923)&lt;0)),"Minutes must be a number of 0 or more",IF(G923="","Enter start and end times, or minutes",IF(C923="","Pick a machine",IF(SUMPRODUCT(--(Setup!$A$5:$A$34=C923))=0,"Machine not in Setup",IF(H923="","Pick a reason (counted as unclassified)",IF(I923="Not in Setup","Reason not in Setup (counted as unclassified)",IF(N(G923)=0,"0 minutes: not counted as a stop","OK")))))))))</f>
        <v/>
      </c>
    </row>
    <row r="924" customFormat="false" ht="15" hidden="false" customHeight="false" outlineLevel="0" collapsed="false">
      <c r="A924" s="11"/>
      <c r="B924" s="9"/>
      <c r="C924" s="9"/>
      <c r="D924" s="12"/>
      <c r="E924" s="12"/>
      <c r="F924" s="13"/>
      <c r="G924" s="14" t="str">
        <f aca="false">IF(F924&lt;&gt;"",IF(AND(ISNUMBER(F924),N(F924)&gt;=0),F924,""),IF(AND(ISNUMBER(D924),ISNUMBER(E924)),ROUND(MOD(E924-D924,1)*1440,0),""))</f>
        <v/>
      </c>
      <c r="H924" s="9"/>
      <c r="I924" s="10" t="str">
        <f aca="false">IF(H924="","",IF(SUMPRODUCT(MAX((Setup!$D$5:$D$34=H924)*(35-ROW(Setup!$D$5:$D$34))))=0,"Not in Setup",INDEX(Setup!$E$5:$E$34,31-SUMPRODUCT(MAX((Setup!$D$5:$D$34=H924)*(35-ROW(Setup!$D$5:$D$34)))))))</f>
        <v/>
      </c>
      <c r="J924" s="9"/>
      <c r="K924" s="10" t="str">
        <f aca="false">IF(AND(A924="",C924="",D924="",E924="",F924="",H924=""),"",IF(NOT(ISNUMBER(A924)),"Enter a date",IF(AND(F924&lt;&gt;"",OR(NOT(ISNUMBER(F924)),N(F924)&lt;0)),"Minutes must be a number of 0 or more",IF(G924="","Enter start and end times, or minutes",IF(C924="","Pick a machine",IF(SUMPRODUCT(--(Setup!$A$5:$A$34=C924))=0,"Machine not in Setup",IF(H924="","Pick a reason (counted as unclassified)",IF(I924="Not in Setup","Reason not in Setup (counted as unclassified)",IF(N(G924)=0,"0 minutes: not counted as a stop","OK")))))))))</f>
        <v/>
      </c>
    </row>
    <row r="925" customFormat="false" ht="15" hidden="false" customHeight="false" outlineLevel="0" collapsed="false">
      <c r="A925" s="11"/>
      <c r="B925" s="9"/>
      <c r="C925" s="9"/>
      <c r="D925" s="12"/>
      <c r="E925" s="12"/>
      <c r="F925" s="13"/>
      <c r="G925" s="14" t="str">
        <f aca="false">IF(F925&lt;&gt;"",IF(AND(ISNUMBER(F925),N(F925)&gt;=0),F925,""),IF(AND(ISNUMBER(D925),ISNUMBER(E925)),ROUND(MOD(E925-D925,1)*1440,0),""))</f>
        <v/>
      </c>
      <c r="H925" s="9"/>
      <c r="I925" s="10" t="str">
        <f aca="false">IF(H925="","",IF(SUMPRODUCT(MAX((Setup!$D$5:$D$34=H925)*(35-ROW(Setup!$D$5:$D$34))))=0,"Not in Setup",INDEX(Setup!$E$5:$E$34,31-SUMPRODUCT(MAX((Setup!$D$5:$D$34=H925)*(35-ROW(Setup!$D$5:$D$34)))))))</f>
        <v/>
      </c>
      <c r="J925" s="9"/>
      <c r="K925" s="10" t="str">
        <f aca="false">IF(AND(A925="",C925="",D925="",E925="",F925="",H925=""),"",IF(NOT(ISNUMBER(A925)),"Enter a date",IF(AND(F925&lt;&gt;"",OR(NOT(ISNUMBER(F925)),N(F925)&lt;0)),"Minutes must be a number of 0 or more",IF(G925="","Enter start and end times, or minutes",IF(C925="","Pick a machine",IF(SUMPRODUCT(--(Setup!$A$5:$A$34=C925))=0,"Machine not in Setup",IF(H925="","Pick a reason (counted as unclassified)",IF(I925="Not in Setup","Reason not in Setup (counted as unclassified)",IF(N(G925)=0,"0 minutes: not counted as a stop","OK")))))))))</f>
        <v/>
      </c>
    </row>
    <row r="926" customFormat="false" ht="15" hidden="false" customHeight="false" outlineLevel="0" collapsed="false">
      <c r="A926" s="11"/>
      <c r="B926" s="9"/>
      <c r="C926" s="9"/>
      <c r="D926" s="12"/>
      <c r="E926" s="12"/>
      <c r="F926" s="13"/>
      <c r="G926" s="14" t="str">
        <f aca="false">IF(F926&lt;&gt;"",IF(AND(ISNUMBER(F926),N(F926)&gt;=0),F926,""),IF(AND(ISNUMBER(D926),ISNUMBER(E926)),ROUND(MOD(E926-D926,1)*1440,0),""))</f>
        <v/>
      </c>
      <c r="H926" s="9"/>
      <c r="I926" s="10" t="str">
        <f aca="false">IF(H926="","",IF(SUMPRODUCT(MAX((Setup!$D$5:$D$34=H926)*(35-ROW(Setup!$D$5:$D$34))))=0,"Not in Setup",INDEX(Setup!$E$5:$E$34,31-SUMPRODUCT(MAX((Setup!$D$5:$D$34=H926)*(35-ROW(Setup!$D$5:$D$34)))))))</f>
        <v/>
      </c>
      <c r="J926" s="9"/>
      <c r="K926" s="10" t="str">
        <f aca="false">IF(AND(A926="",C926="",D926="",E926="",F926="",H926=""),"",IF(NOT(ISNUMBER(A926)),"Enter a date",IF(AND(F926&lt;&gt;"",OR(NOT(ISNUMBER(F926)),N(F926)&lt;0)),"Minutes must be a number of 0 or more",IF(G926="","Enter start and end times, or minutes",IF(C926="","Pick a machine",IF(SUMPRODUCT(--(Setup!$A$5:$A$34=C926))=0,"Machine not in Setup",IF(H926="","Pick a reason (counted as unclassified)",IF(I926="Not in Setup","Reason not in Setup (counted as unclassified)",IF(N(G926)=0,"0 minutes: not counted as a stop","OK")))))))))</f>
        <v/>
      </c>
    </row>
    <row r="927" customFormat="false" ht="15" hidden="false" customHeight="false" outlineLevel="0" collapsed="false">
      <c r="A927" s="11"/>
      <c r="B927" s="9"/>
      <c r="C927" s="9"/>
      <c r="D927" s="12"/>
      <c r="E927" s="12"/>
      <c r="F927" s="13"/>
      <c r="G927" s="14" t="str">
        <f aca="false">IF(F927&lt;&gt;"",IF(AND(ISNUMBER(F927),N(F927)&gt;=0),F927,""),IF(AND(ISNUMBER(D927),ISNUMBER(E927)),ROUND(MOD(E927-D927,1)*1440,0),""))</f>
        <v/>
      </c>
      <c r="H927" s="9"/>
      <c r="I927" s="10" t="str">
        <f aca="false">IF(H927="","",IF(SUMPRODUCT(MAX((Setup!$D$5:$D$34=H927)*(35-ROW(Setup!$D$5:$D$34))))=0,"Not in Setup",INDEX(Setup!$E$5:$E$34,31-SUMPRODUCT(MAX((Setup!$D$5:$D$34=H927)*(35-ROW(Setup!$D$5:$D$34)))))))</f>
        <v/>
      </c>
      <c r="J927" s="9"/>
      <c r="K927" s="10" t="str">
        <f aca="false">IF(AND(A927="",C927="",D927="",E927="",F927="",H927=""),"",IF(NOT(ISNUMBER(A927)),"Enter a date",IF(AND(F927&lt;&gt;"",OR(NOT(ISNUMBER(F927)),N(F927)&lt;0)),"Minutes must be a number of 0 or more",IF(G927="","Enter start and end times, or minutes",IF(C927="","Pick a machine",IF(SUMPRODUCT(--(Setup!$A$5:$A$34=C927))=0,"Machine not in Setup",IF(H927="","Pick a reason (counted as unclassified)",IF(I927="Not in Setup","Reason not in Setup (counted as unclassified)",IF(N(G927)=0,"0 minutes: not counted as a stop","OK")))))))))</f>
        <v/>
      </c>
    </row>
    <row r="928" customFormat="false" ht="15" hidden="false" customHeight="false" outlineLevel="0" collapsed="false">
      <c r="A928" s="11"/>
      <c r="B928" s="9"/>
      <c r="C928" s="9"/>
      <c r="D928" s="12"/>
      <c r="E928" s="12"/>
      <c r="F928" s="13"/>
      <c r="G928" s="14" t="str">
        <f aca="false">IF(F928&lt;&gt;"",IF(AND(ISNUMBER(F928),N(F928)&gt;=0),F928,""),IF(AND(ISNUMBER(D928),ISNUMBER(E928)),ROUND(MOD(E928-D928,1)*1440,0),""))</f>
        <v/>
      </c>
      <c r="H928" s="9"/>
      <c r="I928" s="10" t="str">
        <f aca="false">IF(H928="","",IF(SUMPRODUCT(MAX((Setup!$D$5:$D$34=H928)*(35-ROW(Setup!$D$5:$D$34))))=0,"Not in Setup",INDEX(Setup!$E$5:$E$34,31-SUMPRODUCT(MAX((Setup!$D$5:$D$34=H928)*(35-ROW(Setup!$D$5:$D$34)))))))</f>
        <v/>
      </c>
      <c r="J928" s="9"/>
      <c r="K928" s="10" t="str">
        <f aca="false">IF(AND(A928="",C928="",D928="",E928="",F928="",H928=""),"",IF(NOT(ISNUMBER(A928)),"Enter a date",IF(AND(F928&lt;&gt;"",OR(NOT(ISNUMBER(F928)),N(F928)&lt;0)),"Minutes must be a number of 0 or more",IF(G928="","Enter start and end times, or minutes",IF(C928="","Pick a machine",IF(SUMPRODUCT(--(Setup!$A$5:$A$34=C928))=0,"Machine not in Setup",IF(H928="","Pick a reason (counted as unclassified)",IF(I928="Not in Setup","Reason not in Setup (counted as unclassified)",IF(N(G928)=0,"0 minutes: not counted as a stop","OK")))))))))</f>
        <v/>
      </c>
    </row>
    <row r="929" customFormat="false" ht="15" hidden="false" customHeight="false" outlineLevel="0" collapsed="false">
      <c r="A929" s="11"/>
      <c r="B929" s="9"/>
      <c r="C929" s="9"/>
      <c r="D929" s="12"/>
      <c r="E929" s="12"/>
      <c r="F929" s="13"/>
      <c r="G929" s="14" t="str">
        <f aca="false">IF(F929&lt;&gt;"",IF(AND(ISNUMBER(F929),N(F929)&gt;=0),F929,""),IF(AND(ISNUMBER(D929),ISNUMBER(E929)),ROUND(MOD(E929-D929,1)*1440,0),""))</f>
        <v/>
      </c>
      <c r="H929" s="9"/>
      <c r="I929" s="10" t="str">
        <f aca="false">IF(H929="","",IF(SUMPRODUCT(MAX((Setup!$D$5:$D$34=H929)*(35-ROW(Setup!$D$5:$D$34))))=0,"Not in Setup",INDEX(Setup!$E$5:$E$34,31-SUMPRODUCT(MAX((Setup!$D$5:$D$34=H929)*(35-ROW(Setup!$D$5:$D$34)))))))</f>
        <v/>
      </c>
      <c r="J929" s="9"/>
      <c r="K929" s="10" t="str">
        <f aca="false">IF(AND(A929="",C929="",D929="",E929="",F929="",H929=""),"",IF(NOT(ISNUMBER(A929)),"Enter a date",IF(AND(F929&lt;&gt;"",OR(NOT(ISNUMBER(F929)),N(F929)&lt;0)),"Minutes must be a number of 0 or more",IF(G929="","Enter start and end times, or minutes",IF(C929="","Pick a machine",IF(SUMPRODUCT(--(Setup!$A$5:$A$34=C929))=0,"Machine not in Setup",IF(H929="","Pick a reason (counted as unclassified)",IF(I929="Not in Setup","Reason not in Setup (counted as unclassified)",IF(N(G929)=0,"0 minutes: not counted as a stop","OK")))))))))</f>
        <v/>
      </c>
    </row>
    <row r="930" customFormat="false" ht="15" hidden="false" customHeight="false" outlineLevel="0" collapsed="false">
      <c r="A930" s="11"/>
      <c r="B930" s="9"/>
      <c r="C930" s="9"/>
      <c r="D930" s="12"/>
      <c r="E930" s="12"/>
      <c r="F930" s="13"/>
      <c r="G930" s="14" t="str">
        <f aca="false">IF(F930&lt;&gt;"",IF(AND(ISNUMBER(F930),N(F930)&gt;=0),F930,""),IF(AND(ISNUMBER(D930),ISNUMBER(E930)),ROUND(MOD(E930-D930,1)*1440,0),""))</f>
        <v/>
      </c>
      <c r="H930" s="9"/>
      <c r="I930" s="10" t="str">
        <f aca="false">IF(H930="","",IF(SUMPRODUCT(MAX((Setup!$D$5:$D$34=H930)*(35-ROW(Setup!$D$5:$D$34))))=0,"Not in Setup",INDEX(Setup!$E$5:$E$34,31-SUMPRODUCT(MAX((Setup!$D$5:$D$34=H930)*(35-ROW(Setup!$D$5:$D$34)))))))</f>
        <v/>
      </c>
      <c r="J930" s="9"/>
      <c r="K930" s="10" t="str">
        <f aca="false">IF(AND(A930="",C930="",D930="",E930="",F930="",H930=""),"",IF(NOT(ISNUMBER(A930)),"Enter a date",IF(AND(F930&lt;&gt;"",OR(NOT(ISNUMBER(F930)),N(F930)&lt;0)),"Minutes must be a number of 0 or more",IF(G930="","Enter start and end times, or minutes",IF(C930="","Pick a machine",IF(SUMPRODUCT(--(Setup!$A$5:$A$34=C930))=0,"Machine not in Setup",IF(H930="","Pick a reason (counted as unclassified)",IF(I930="Not in Setup","Reason not in Setup (counted as unclassified)",IF(N(G930)=0,"0 minutes: not counted as a stop","OK")))))))))</f>
        <v/>
      </c>
    </row>
    <row r="931" customFormat="false" ht="15" hidden="false" customHeight="false" outlineLevel="0" collapsed="false">
      <c r="A931" s="11"/>
      <c r="B931" s="9"/>
      <c r="C931" s="9"/>
      <c r="D931" s="12"/>
      <c r="E931" s="12"/>
      <c r="F931" s="13"/>
      <c r="G931" s="14" t="str">
        <f aca="false">IF(F931&lt;&gt;"",IF(AND(ISNUMBER(F931),N(F931)&gt;=0),F931,""),IF(AND(ISNUMBER(D931),ISNUMBER(E931)),ROUND(MOD(E931-D931,1)*1440,0),""))</f>
        <v/>
      </c>
      <c r="H931" s="9"/>
      <c r="I931" s="10" t="str">
        <f aca="false">IF(H931="","",IF(SUMPRODUCT(MAX((Setup!$D$5:$D$34=H931)*(35-ROW(Setup!$D$5:$D$34))))=0,"Not in Setup",INDEX(Setup!$E$5:$E$34,31-SUMPRODUCT(MAX((Setup!$D$5:$D$34=H931)*(35-ROW(Setup!$D$5:$D$34)))))))</f>
        <v/>
      </c>
      <c r="J931" s="9"/>
      <c r="K931" s="10" t="str">
        <f aca="false">IF(AND(A931="",C931="",D931="",E931="",F931="",H931=""),"",IF(NOT(ISNUMBER(A931)),"Enter a date",IF(AND(F931&lt;&gt;"",OR(NOT(ISNUMBER(F931)),N(F931)&lt;0)),"Minutes must be a number of 0 or more",IF(G931="","Enter start and end times, or minutes",IF(C931="","Pick a machine",IF(SUMPRODUCT(--(Setup!$A$5:$A$34=C931))=0,"Machine not in Setup",IF(H931="","Pick a reason (counted as unclassified)",IF(I931="Not in Setup","Reason not in Setup (counted as unclassified)",IF(N(G931)=0,"0 minutes: not counted as a stop","OK")))))))))</f>
        <v/>
      </c>
    </row>
    <row r="932" customFormat="false" ht="15" hidden="false" customHeight="false" outlineLevel="0" collapsed="false">
      <c r="A932" s="11"/>
      <c r="B932" s="9"/>
      <c r="C932" s="9"/>
      <c r="D932" s="12"/>
      <c r="E932" s="12"/>
      <c r="F932" s="13"/>
      <c r="G932" s="14" t="str">
        <f aca="false">IF(F932&lt;&gt;"",IF(AND(ISNUMBER(F932),N(F932)&gt;=0),F932,""),IF(AND(ISNUMBER(D932),ISNUMBER(E932)),ROUND(MOD(E932-D932,1)*1440,0),""))</f>
        <v/>
      </c>
      <c r="H932" s="9"/>
      <c r="I932" s="10" t="str">
        <f aca="false">IF(H932="","",IF(SUMPRODUCT(MAX((Setup!$D$5:$D$34=H932)*(35-ROW(Setup!$D$5:$D$34))))=0,"Not in Setup",INDEX(Setup!$E$5:$E$34,31-SUMPRODUCT(MAX((Setup!$D$5:$D$34=H932)*(35-ROW(Setup!$D$5:$D$34)))))))</f>
        <v/>
      </c>
      <c r="J932" s="9"/>
      <c r="K932" s="10" t="str">
        <f aca="false">IF(AND(A932="",C932="",D932="",E932="",F932="",H932=""),"",IF(NOT(ISNUMBER(A932)),"Enter a date",IF(AND(F932&lt;&gt;"",OR(NOT(ISNUMBER(F932)),N(F932)&lt;0)),"Minutes must be a number of 0 or more",IF(G932="","Enter start and end times, or minutes",IF(C932="","Pick a machine",IF(SUMPRODUCT(--(Setup!$A$5:$A$34=C932))=0,"Machine not in Setup",IF(H932="","Pick a reason (counted as unclassified)",IF(I932="Not in Setup","Reason not in Setup (counted as unclassified)",IF(N(G932)=0,"0 minutes: not counted as a stop","OK")))))))))</f>
        <v/>
      </c>
    </row>
    <row r="933" customFormat="false" ht="15" hidden="false" customHeight="false" outlineLevel="0" collapsed="false">
      <c r="A933" s="11"/>
      <c r="B933" s="9"/>
      <c r="C933" s="9"/>
      <c r="D933" s="12"/>
      <c r="E933" s="12"/>
      <c r="F933" s="13"/>
      <c r="G933" s="14" t="str">
        <f aca="false">IF(F933&lt;&gt;"",IF(AND(ISNUMBER(F933),N(F933)&gt;=0),F933,""),IF(AND(ISNUMBER(D933),ISNUMBER(E933)),ROUND(MOD(E933-D933,1)*1440,0),""))</f>
        <v/>
      </c>
      <c r="H933" s="9"/>
      <c r="I933" s="10" t="str">
        <f aca="false">IF(H933="","",IF(SUMPRODUCT(MAX((Setup!$D$5:$D$34=H933)*(35-ROW(Setup!$D$5:$D$34))))=0,"Not in Setup",INDEX(Setup!$E$5:$E$34,31-SUMPRODUCT(MAX((Setup!$D$5:$D$34=H933)*(35-ROW(Setup!$D$5:$D$34)))))))</f>
        <v/>
      </c>
      <c r="J933" s="9"/>
      <c r="K933" s="10" t="str">
        <f aca="false">IF(AND(A933="",C933="",D933="",E933="",F933="",H933=""),"",IF(NOT(ISNUMBER(A933)),"Enter a date",IF(AND(F933&lt;&gt;"",OR(NOT(ISNUMBER(F933)),N(F933)&lt;0)),"Minutes must be a number of 0 or more",IF(G933="","Enter start and end times, or minutes",IF(C933="","Pick a machine",IF(SUMPRODUCT(--(Setup!$A$5:$A$34=C933))=0,"Machine not in Setup",IF(H933="","Pick a reason (counted as unclassified)",IF(I933="Not in Setup","Reason not in Setup (counted as unclassified)",IF(N(G933)=0,"0 minutes: not counted as a stop","OK")))))))))</f>
        <v/>
      </c>
    </row>
    <row r="934" customFormat="false" ht="15" hidden="false" customHeight="false" outlineLevel="0" collapsed="false">
      <c r="A934" s="11"/>
      <c r="B934" s="9"/>
      <c r="C934" s="9"/>
      <c r="D934" s="12"/>
      <c r="E934" s="12"/>
      <c r="F934" s="13"/>
      <c r="G934" s="14" t="str">
        <f aca="false">IF(F934&lt;&gt;"",IF(AND(ISNUMBER(F934),N(F934)&gt;=0),F934,""),IF(AND(ISNUMBER(D934),ISNUMBER(E934)),ROUND(MOD(E934-D934,1)*1440,0),""))</f>
        <v/>
      </c>
      <c r="H934" s="9"/>
      <c r="I934" s="10" t="str">
        <f aca="false">IF(H934="","",IF(SUMPRODUCT(MAX((Setup!$D$5:$D$34=H934)*(35-ROW(Setup!$D$5:$D$34))))=0,"Not in Setup",INDEX(Setup!$E$5:$E$34,31-SUMPRODUCT(MAX((Setup!$D$5:$D$34=H934)*(35-ROW(Setup!$D$5:$D$34)))))))</f>
        <v/>
      </c>
      <c r="J934" s="9"/>
      <c r="K934" s="10" t="str">
        <f aca="false">IF(AND(A934="",C934="",D934="",E934="",F934="",H934=""),"",IF(NOT(ISNUMBER(A934)),"Enter a date",IF(AND(F934&lt;&gt;"",OR(NOT(ISNUMBER(F934)),N(F934)&lt;0)),"Minutes must be a number of 0 or more",IF(G934="","Enter start and end times, or minutes",IF(C934="","Pick a machine",IF(SUMPRODUCT(--(Setup!$A$5:$A$34=C934))=0,"Machine not in Setup",IF(H934="","Pick a reason (counted as unclassified)",IF(I934="Not in Setup","Reason not in Setup (counted as unclassified)",IF(N(G934)=0,"0 minutes: not counted as a stop","OK")))))))))</f>
        <v/>
      </c>
    </row>
    <row r="935" customFormat="false" ht="15" hidden="false" customHeight="false" outlineLevel="0" collapsed="false">
      <c r="A935" s="11"/>
      <c r="B935" s="9"/>
      <c r="C935" s="9"/>
      <c r="D935" s="12"/>
      <c r="E935" s="12"/>
      <c r="F935" s="13"/>
      <c r="G935" s="14" t="str">
        <f aca="false">IF(F935&lt;&gt;"",IF(AND(ISNUMBER(F935),N(F935)&gt;=0),F935,""),IF(AND(ISNUMBER(D935),ISNUMBER(E935)),ROUND(MOD(E935-D935,1)*1440,0),""))</f>
        <v/>
      </c>
      <c r="H935" s="9"/>
      <c r="I935" s="10" t="str">
        <f aca="false">IF(H935="","",IF(SUMPRODUCT(MAX((Setup!$D$5:$D$34=H935)*(35-ROW(Setup!$D$5:$D$34))))=0,"Not in Setup",INDEX(Setup!$E$5:$E$34,31-SUMPRODUCT(MAX((Setup!$D$5:$D$34=H935)*(35-ROW(Setup!$D$5:$D$34)))))))</f>
        <v/>
      </c>
      <c r="J935" s="9"/>
      <c r="K935" s="10" t="str">
        <f aca="false">IF(AND(A935="",C935="",D935="",E935="",F935="",H935=""),"",IF(NOT(ISNUMBER(A935)),"Enter a date",IF(AND(F935&lt;&gt;"",OR(NOT(ISNUMBER(F935)),N(F935)&lt;0)),"Minutes must be a number of 0 or more",IF(G935="","Enter start and end times, or minutes",IF(C935="","Pick a machine",IF(SUMPRODUCT(--(Setup!$A$5:$A$34=C935))=0,"Machine not in Setup",IF(H935="","Pick a reason (counted as unclassified)",IF(I935="Not in Setup","Reason not in Setup (counted as unclassified)",IF(N(G935)=0,"0 minutes: not counted as a stop","OK")))))))))</f>
        <v/>
      </c>
    </row>
    <row r="936" customFormat="false" ht="15" hidden="false" customHeight="false" outlineLevel="0" collapsed="false">
      <c r="A936" s="11"/>
      <c r="B936" s="9"/>
      <c r="C936" s="9"/>
      <c r="D936" s="12"/>
      <c r="E936" s="12"/>
      <c r="F936" s="13"/>
      <c r="G936" s="14" t="str">
        <f aca="false">IF(F936&lt;&gt;"",IF(AND(ISNUMBER(F936),N(F936)&gt;=0),F936,""),IF(AND(ISNUMBER(D936),ISNUMBER(E936)),ROUND(MOD(E936-D936,1)*1440,0),""))</f>
        <v/>
      </c>
      <c r="H936" s="9"/>
      <c r="I936" s="10" t="str">
        <f aca="false">IF(H936="","",IF(SUMPRODUCT(MAX((Setup!$D$5:$D$34=H936)*(35-ROW(Setup!$D$5:$D$34))))=0,"Not in Setup",INDEX(Setup!$E$5:$E$34,31-SUMPRODUCT(MAX((Setup!$D$5:$D$34=H936)*(35-ROW(Setup!$D$5:$D$34)))))))</f>
        <v/>
      </c>
      <c r="J936" s="9"/>
      <c r="K936" s="10" t="str">
        <f aca="false">IF(AND(A936="",C936="",D936="",E936="",F936="",H936=""),"",IF(NOT(ISNUMBER(A936)),"Enter a date",IF(AND(F936&lt;&gt;"",OR(NOT(ISNUMBER(F936)),N(F936)&lt;0)),"Minutes must be a number of 0 or more",IF(G936="","Enter start and end times, or minutes",IF(C936="","Pick a machine",IF(SUMPRODUCT(--(Setup!$A$5:$A$34=C936))=0,"Machine not in Setup",IF(H936="","Pick a reason (counted as unclassified)",IF(I936="Not in Setup","Reason not in Setup (counted as unclassified)",IF(N(G936)=0,"0 minutes: not counted as a stop","OK")))))))))</f>
        <v/>
      </c>
    </row>
    <row r="937" customFormat="false" ht="15" hidden="false" customHeight="false" outlineLevel="0" collapsed="false">
      <c r="A937" s="11"/>
      <c r="B937" s="9"/>
      <c r="C937" s="9"/>
      <c r="D937" s="12"/>
      <c r="E937" s="12"/>
      <c r="F937" s="13"/>
      <c r="G937" s="14" t="str">
        <f aca="false">IF(F937&lt;&gt;"",IF(AND(ISNUMBER(F937),N(F937)&gt;=0),F937,""),IF(AND(ISNUMBER(D937),ISNUMBER(E937)),ROUND(MOD(E937-D937,1)*1440,0),""))</f>
        <v/>
      </c>
      <c r="H937" s="9"/>
      <c r="I937" s="10" t="str">
        <f aca="false">IF(H937="","",IF(SUMPRODUCT(MAX((Setup!$D$5:$D$34=H937)*(35-ROW(Setup!$D$5:$D$34))))=0,"Not in Setup",INDEX(Setup!$E$5:$E$34,31-SUMPRODUCT(MAX((Setup!$D$5:$D$34=H937)*(35-ROW(Setup!$D$5:$D$34)))))))</f>
        <v/>
      </c>
      <c r="J937" s="9"/>
      <c r="K937" s="10" t="str">
        <f aca="false">IF(AND(A937="",C937="",D937="",E937="",F937="",H937=""),"",IF(NOT(ISNUMBER(A937)),"Enter a date",IF(AND(F937&lt;&gt;"",OR(NOT(ISNUMBER(F937)),N(F937)&lt;0)),"Minutes must be a number of 0 or more",IF(G937="","Enter start and end times, or minutes",IF(C937="","Pick a machine",IF(SUMPRODUCT(--(Setup!$A$5:$A$34=C937))=0,"Machine not in Setup",IF(H937="","Pick a reason (counted as unclassified)",IF(I937="Not in Setup","Reason not in Setup (counted as unclassified)",IF(N(G937)=0,"0 minutes: not counted as a stop","OK")))))))))</f>
        <v/>
      </c>
    </row>
    <row r="938" customFormat="false" ht="15" hidden="false" customHeight="false" outlineLevel="0" collapsed="false">
      <c r="A938" s="11"/>
      <c r="B938" s="9"/>
      <c r="C938" s="9"/>
      <c r="D938" s="12"/>
      <c r="E938" s="12"/>
      <c r="F938" s="13"/>
      <c r="G938" s="14" t="str">
        <f aca="false">IF(F938&lt;&gt;"",IF(AND(ISNUMBER(F938),N(F938)&gt;=0),F938,""),IF(AND(ISNUMBER(D938),ISNUMBER(E938)),ROUND(MOD(E938-D938,1)*1440,0),""))</f>
        <v/>
      </c>
      <c r="H938" s="9"/>
      <c r="I938" s="10" t="str">
        <f aca="false">IF(H938="","",IF(SUMPRODUCT(MAX((Setup!$D$5:$D$34=H938)*(35-ROW(Setup!$D$5:$D$34))))=0,"Not in Setup",INDEX(Setup!$E$5:$E$34,31-SUMPRODUCT(MAX((Setup!$D$5:$D$34=H938)*(35-ROW(Setup!$D$5:$D$34)))))))</f>
        <v/>
      </c>
      <c r="J938" s="9"/>
      <c r="K938" s="10" t="str">
        <f aca="false">IF(AND(A938="",C938="",D938="",E938="",F938="",H938=""),"",IF(NOT(ISNUMBER(A938)),"Enter a date",IF(AND(F938&lt;&gt;"",OR(NOT(ISNUMBER(F938)),N(F938)&lt;0)),"Minutes must be a number of 0 or more",IF(G938="","Enter start and end times, or minutes",IF(C938="","Pick a machine",IF(SUMPRODUCT(--(Setup!$A$5:$A$34=C938))=0,"Machine not in Setup",IF(H938="","Pick a reason (counted as unclassified)",IF(I938="Not in Setup","Reason not in Setup (counted as unclassified)",IF(N(G938)=0,"0 minutes: not counted as a stop","OK")))))))))</f>
        <v/>
      </c>
    </row>
    <row r="939" customFormat="false" ht="15" hidden="false" customHeight="false" outlineLevel="0" collapsed="false">
      <c r="A939" s="11"/>
      <c r="B939" s="9"/>
      <c r="C939" s="9"/>
      <c r="D939" s="12"/>
      <c r="E939" s="12"/>
      <c r="F939" s="13"/>
      <c r="G939" s="14" t="str">
        <f aca="false">IF(F939&lt;&gt;"",IF(AND(ISNUMBER(F939),N(F939)&gt;=0),F939,""),IF(AND(ISNUMBER(D939),ISNUMBER(E939)),ROUND(MOD(E939-D939,1)*1440,0),""))</f>
        <v/>
      </c>
      <c r="H939" s="9"/>
      <c r="I939" s="10" t="str">
        <f aca="false">IF(H939="","",IF(SUMPRODUCT(MAX((Setup!$D$5:$D$34=H939)*(35-ROW(Setup!$D$5:$D$34))))=0,"Not in Setup",INDEX(Setup!$E$5:$E$34,31-SUMPRODUCT(MAX((Setup!$D$5:$D$34=H939)*(35-ROW(Setup!$D$5:$D$34)))))))</f>
        <v/>
      </c>
      <c r="J939" s="9"/>
      <c r="K939" s="10" t="str">
        <f aca="false">IF(AND(A939="",C939="",D939="",E939="",F939="",H939=""),"",IF(NOT(ISNUMBER(A939)),"Enter a date",IF(AND(F939&lt;&gt;"",OR(NOT(ISNUMBER(F939)),N(F939)&lt;0)),"Minutes must be a number of 0 or more",IF(G939="","Enter start and end times, or minutes",IF(C939="","Pick a machine",IF(SUMPRODUCT(--(Setup!$A$5:$A$34=C939))=0,"Machine not in Setup",IF(H939="","Pick a reason (counted as unclassified)",IF(I939="Not in Setup","Reason not in Setup (counted as unclassified)",IF(N(G939)=0,"0 minutes: not counted as a stop","OK")))))))))</f>
        <v/>
      </c>
    </row>
    <row r="940" customFormat="false" ht="15" hidden="false" customHeight="false" outlineLevel="0" collapsed="false">
      <c r="A940" s="11"/>
      <c r="B940" s="9"/>
      <c r="C940" s="9"/>
      <c r="D940" s="12"/>
      <c r="E940" s="12"/>
      <c r="F940" s="13"/>
      <c r="G940" s="14" t="str">
        <f aca="false">IF(F940&lt;&gt;"",IF(AND(ISNUMBER(F940),N(F940)&gt;=0),F940,""),IF(AND(ISNUMBER(D940),ISNUMBER(E940)),ROUND(MOD(E940-D940,1)*1440,0),""))</f>
        <v/>
      </c>
      <c r="H940" s="9"/>
      <c r="I940" s="10" t="str">
        <f aca="false">IF(H940="","",IF(SUMPRODUCT(MAX((Setup!$D$5:$D$34=H940)*(35-ROW(Setup!$D$5:$D$34))))=0,"Not in Setup",INDEX(Setup!$E$5:$E$34,31-SUMPRODUCT(MAX((Setup!$D$5:$D$34=H940)*(35-ROW(Setup!$D$5:$D$34)))))))</f>
        <v/>
      </c>
      <c r="J940" s="9"/>
      <c r="K940" s="10" t="str">
        <f aca="false">IF(AND(A940="",C940="",D940="",E940="",F940="",H940=""),"",IF(NOT(ISNUMBER(A940)),"Enter a date",IF(AND(F940&lt;&gt;"",OR(NOT(ISNUMBER(F940)),N(F940)&lt;0)),"Minutes must be a number of 0 or more",IF(G940="","Enter start and end times, or minutes",IF(C940="","Pick a machine",IF(SUMPRODUCT(--(Setup!$A$5:$A$34=C940))=0,"Machine not in Setup",IF(H940="","Pick a reason (counted as unclassified)",IF(I940="Not in Setup","Reason not in Setup (counted as unclassified)",IF(N(G940)=0,"0 minutes: not counted as a stop","OK")))))))))</f>
        <v/>
      </c>
    </row>
    <row r="941" customFormat="false" ht="15" hidden="false" customHeight="false" outlineLevel="0" collapsed="false">
      <c r="A941" s="11"/>
      <c r="B941" s="9"/>
      <c r="C941" s="9"/>
      <c r="D941" s="12"/>
      <c r="E941" s="12"/>
      <c r="F941" s="13"/>
      <c r="G941" s="14" t="str">
        <f aca="false">IF(F941&lt;&gt;"",IF(AND(ISNUMBER(F941),N(F941)&gt;=0),F941,""),IF(AND(ISNUMBER(D941),ISNUMBER(E941)),ROUND(MOD(E941-D941,1)*1440,0),""))</f>
        <v/>
      </c>
      <c r="H941" s="9"/>
      <c r="I941" s="10" t="str">
        <f aca="false">IF(H941="","",IF(SUMPRODUCT(MAX((Setup!$D$5:$D$34=H941)*(35-ROW(Setup!$D$5:$D$34))))=0,"Not in Setup",INDEX(Setup!$E$5:$E$34,31-SUMPRODUCT(MAX((Setup!$D$5:$D$34=H941)*(35-ROW(Setup!$D$5:$D$34)))))))</f>
        <v/>
      </c>
      <c r="J941" s="9"/>
      <c r="K941" s="10" t="str">
        <f aca="false">IF(AND(A941="",C941="",D941="",E941="",F941="",H941=""),"",IF(NOT(ISNUMBER(A941)),"Enter a date",IF(AND(F941&lt;&gt;"",OR(NOT(ISNUMBER(F941)),N(F941)&lt;0)),"Minutes must be a number of 0 or more",IF(G941="","Enter start and end times, or minutes",IF(C941="","Pick a machine",IF(SUMPRODUCT(--(Setup!$A$5:$A$34=C941))=0,"Machine not in Setup",IF(H941="","Pick a reason (counted as unclassified)",IF(I941="Not in Setup","Reason not in Setup (counted as unclassified)",IF(N(G941)=0,"0 minutes: not counted as a stop","OK")))))))))</f>
        <v/>
      </c>
    </row>
    <row r="942" customFormat="false" ht="15" hidden="false" customHeight="false" outlineLevel="0" collapsed="false">
      <c r="A942" s="11"/>
      <c r="B942" s="9"/>
      <c r="C942" s="9"/>
      <c r="D942" s="12"/>
      <c r="E942" s="12"/>
      <c r="F942" s="13"/>
      <c r="G942" s="14" t="str">
        <f aca="false">IF(F942&lt;&gt;"",IF(AND(ISNUMBER(F942),N(F942)&gt;=0),F942,""),IF(AND(ISNUMBER(D942),ISNUMBER(E942)),ROUND(MOD(E942-D942,1)*1440,0),""))</f>
        <v/>
      </c>
      <c r="H942" s="9"/>
      <c r="I942" s="10" t="str">
        <f aca="false">IF(H942="","",IF(SUMPRODUCT(MAX((Setup!$D$5:$D$34=H942)*(35-ROW(Setup!$D$5:$D$34))))=0,"Not in Setup",INDEX(Setup!$E$5:$E$34,31-SUMPRODUCT(MAX((Setup!$D$5:$D$34=H942)*(35-ROW(Setup!$D$5:$D$34)))))))</f>
        <v/>
      </c>
      <c r="J942" s="9"/>
      <c r="K942" s="10" t="str">
        <f aca="false">IF(AND(A942="",C942="",D942="",E942="",F942="",H942=""),"",IF(NOT(ISNUMBER(A942)),"Enter a date",IF(AND(F942&lt;&gt;"",OR(NOT(ISNUMBER(F942)),N(F942)&lt;0)),"Minutes must be a number of 0 or more",IF(G942="","Enter start and end times, or minutes",IF(C942="","Pick a machine",IF(SUMPRODUCT(--(Setup!$A$5:$A$34=C942))=0,"Machine not in Setup",IF(H942="","Pick a reason (counted as unclassified)",IF(I942="Not in Setup","Reason not in Setup (counted as unclassified)",IF(N(G942)=0,"0 minutes: not counted as a stop","OK")))))))))</f>
        <v/>
      </c>
    </row>
    <row r="943" customFormat="false" ht="15" hidden="false" customHeight="false" outlineLevel="0" collapsed="false">
      <c r="A943" s="11"/>
      <c r="B943" s="9"/>
      <c r="C943" s="9"/>
      <c r="D943" s="12"/>
      <c r="E943" s="12"/>
      <c r="F943" s="13"/>
      <c r="G943" s="14" t="str">
        <f aca="false">IF(F943&lt;&gt;"",IF(AND(ISNUMBER(F943),N(F943)&gt;=0),F943,""),IF(AND(ISNUMBER(D943),ISNUMBER(E943)),ROUND(MOD(E943-D943,1)*1440,0),""))</f>
        <v/>
      </c>
      <c r="H943" s="9"/>
      <c r="I943" s="10" t="str">
        <f aca="false">IF(H943="","",IF(SUMPRODUCT(MAX((Setup!$D$5:$D$34=H943)*(35-ROW(Setup!$D$5:$D$34))))=0,"Not in Setup",INDEX(Setup!$E$5:$E$34,31-SUMPRODUCT(MAX((Setup!$D$5:$D$34=H943)*(35-ROW(Setup!$D$5:$D$34)))))))</f>
        <v/>
      </c>
      <c r="J943" s="9"/>
      <c r="K943" s="10" t="str">
        <f aca="false">IF(AND(A943="",C943="",D943="",E943="",F943="",H943=""),"",IF(NOT(ISNUMBER(A943)),"Enter a date",IF(AND(F943&lt;&gt;"",OR(NOT(ISNUMBER(F943)),N(F943)&lt;0)),"Minutes must be a number of 0 or more",IF(G943="","Enter start and end times, or minutes",IF(C943="","Pick a machine",IF(SUMPRODUCT(--(Setup!$A$5:$A$34=C943))=0,"Machine not in Setup",IF(H943="","Pick a reason (counted as unclassified)",IF(I943="Not in Setup","Reason not in Setup (counted as unclassified)",IF(N(G943)=0,"0 minutes: not counted as a stop","OK")))))))))</f>
        <v/>
      </c>
    </row>
    <row r="944" customFormat="false" ht="15" hidden="false" customHeight="false" outlineLevel="0" collapsed="false">
      <c r="A944" s="11"/>
      <c r="B944" s="9"/>
      <c r="C944" s="9"/>
      <c r="D944" s="12"/>
      <c r="E944" s="12"/>
      <c r="F944" s="13"/>
      <c r="G944" s="14" t="str">
        <f aca="false">IF(F944&lt;&gt;"",IF(AND(ISNUMBER(F944),N(F944)&gt;=0),F944,""),IF(AND(ISNUMBER(D944),ISNUMBER(E944)),ROUND(MOD(E944-D944,1)*1440,0),""))</f>
        <v/>
      </c>
      <c r="H944" s="9"/>
      <c r="I944" s="10" t="str">
        <f aca="false">IF(H944="","",IF(SUMPRODUCT(MAX((Setup!$D$5:$D$34=H944)*(35-ROW(Setup!$D$5:$D$34))))=0,"Not in Setup",INDEX(Setup!$E$5:$E$34,31-SUMPRODUCT(MAX((Setup!$D$5:$D$34=H944)*(35-ROW(Setup!$D$5:$D$34)))))))</f>
        <v/>
      </c>
      <c r="J944" s="9"/>
      <c r="K944" s="10" t="str">
        <f aca="false">IF(AND(A944="",C944="",D944="",E944="",F944="",H944=""),"",IF(NOT(ISNUMBER(A944)),"Enter a date",IF(AND(F944&lt;&gt;"",OR(NOT(ISNUMBER(F944)),N(F944)&lt;0)),"Minutes must be a number of 0 or more",IF(G944="","Enter start and end times, or minutes",IF(C944="","Pick a machine",IF(SUMPRODUCT(--(Setup!$A$5:$A$34=C944))=0,"Machine not in Setup",IF(H944="","Pick a reason (counted as unclassified)",IF(I944="Not in Setup","Reason not in Setup (counted as unclassified)",IF(N(G944)=0,"0 minutes: not counted as a stop","OK")))))))))</f>
        <v/>
      </c>
    </row>
    <row r="945" customFormat="false" ht="15" hidden="false" customHeight="false" outlineLevel="0" collapsed="false">
      <c r="A945" s="11"/>
      <c r="B945" s="9"/>
      <c r="C945" s="9"/>
      <c r="D945" s="12"/>
      <c r="E945" s="12"/>
      <c r="F945" s="13"/>
      <c r="G945" s="14" t="str">
        <f aca="false">IF(F945&lt;&gt;"",IF(AND(ISNUMBER(F945),N(F945)&gt;=0),F945,""),IF(AND(ISNUMBER(D945),ISNUMBER(E945)),ROUND(MOD(E945-D945,1)*1440,0),""))</f>
        <v/>
      </c>
      <c r="H945" s="9"/>
      <c r="I945" s="10" t="str">
        <f aca="false">IF(H945="","",IF(SUMPRODUCT(MAX((Setup!$D$5:$D$34=H945)*(35-ROW(Setup!$D$5:$D$34))))=0,"Not in Setup",INDEX(Setup!$E$5:$E$34,31-SUMPRODUCT(MAX((Setup!$D$5:$D$34=H945)*(35-ROW(Setup!$D$5:$D$34)))))))</f>
        <v/>
      </c>
      <c r="J945" s="9"/>
      <c r="K945" s="10" t="str">
        <f aca="false">IF(AND(A945="",C945="",D945="",E945="",F945="",H945=""),"",IF(NOT(ISNUMBER(A945)),"Enter a date",IF(AND(F945&lt;&gt;"",OR(NOT(ISNUMBER(F945)),N(F945)&lt;0)),"Minutes must be a number of 0 or more",IF(G945="","Enter start and end times, or minutes",IF(C945="","Pick a machine",IF(SUMPRODUCT(--(Setup!$A$5:$A$34=C945))=0,"Machine not in Setup",IF(H945="","Pick a reason (counted as unclassified)",IF(I945="Not in Setup","Reason not in Setup (counted as unclassified)",IF(N(G945)=0,"0 minutes: not counted as a stop","OK")))))))))</f>
        <v/>
      </c>
    </row>
    <row r="946" customFormat="false" ht="15" hidden="false" customHeight="false" outlineLevel="0" collapsed="false">
      <c r="A946" s="11"/>
      <c r="B946" s="9"/>
      <c r="C946" s="9"/>
      <c r="D946" s="12"/>
      <c r="E946" s="12"/>
      <c r="F946" s="13"/>
      <c r="G946" s="14" t="str">
        <f aca="false">IF(F946&lt;&gt;"",IF(AND(ISNUMBER(F946),N(F946)&gt;=0),F946,""),IF(AND(ISNUMBER(D946),ISNUMBER(E946)),ROUND(MOD(E946-D946,1)*1440,0),""))</f>
        <v/>
      </c>
      <c r="H946" s="9"/>
      <c r="I946" s="10" t="str">
        <f aca="false">IF(H946="","",IF(SUMPRODUCT(MAX((Setup!$D$5:$D$34=H946)*(35-ROW(Setup!$D$5:$D$34))))=0,"Not in Setup",INDEX(Setup!$E$5:$E$34,31-SUMPRODUCT(MAX((Setup!$D$5:$D$34=H946)*(35-ROW(Setup!$D$5:$D$34)))))))</f>
        <v/>
      </c>
      <c r="J946" s="9"/>
      <c r="K946" s="10" t="str">
        <f aca="false">IF(AND(A946="",C946="",D946="",E946="",F946="",H946=""),"",IF(NOT(ISNUMBER(A946)),"Enter a date",IF(AND(F946&lt;&gt;"",OR(NOT(ISNUMBER(F946)),N(F946)&lt;0)),"Minutes must be a number of 0 or more",IF(G946="","Enter start and end times, or minutes",IF(C946="","Pick a machine",IF(SUMPRODUCT(--(Setup!$A$5:$A$34=C946))=0,"Machine not in Setup",IF(H946="","Pick a reason (counted as unclassified)",IF(I946="Not in Setup","Reason not in Setup (counted as unclassified)",IF(N(G946)=0,"0 minutes: not counted as a stop","OK")))))))))</f>
        <v/>
      </c>
    </row>
    <row r="947" customFormat="false" ht="15" hidden="false" customHeight="false" outlineLevel="0" collapsed="false">
      <c r="A947" s="11"/>
      <c r="B947" s="9"/>
      <c r="C947" s="9"/>
      <c r="D947" s="12"/>
      <c r="E947" s="12"/>
      <c r="F947" s="13"/>
      <c r="G947" s="14" t="str">
        <f aca="false">IF(F947&lt;&gt;"",IF(AND(ISNUMBER(F947),N(F947)&gt;=0),F947,""),IF(AND(ISNUMBER(D947),ISNUMBER(E947)),ROUND(MOD(E947-D947,1)*1440,0),""))</f>
        <v/>
      </c>
      <c r="H947" s="9"/>
      <c r="I947" s="10" t="str">
        <f aca="false">IF(H947="","",IF(SUMPRODUCT(MAX((Setup!$D$5:$D$34=H947)*(35-ROW(Setup!$D$5:$D$34))))=0,"Not in Setup",INDEX(Setup!$E$5:$E$34,31-SUMPRODUCT(MAX((Setup!$D$5:$D$34=H947)*(35-ROW(Setup!$D$5:$D$34)))))))</f>
        <v/>
      </c>
      <c r="J947" s="9"/>
      <c r="K947" s="10" t="str">
        <f aca="false">IF(AND(A947="",C947="",D947="",E947="",F947="",H947=""),"",IF(NOT(ISNUMBER(A947)),"Enter a date",IF(AND(F947&lt;&gt;"",OR(NOT(ISNUMBER(F947)),N(F947)&lt;0)),"Minutes must be a number of 0 or more",IF(G947="","Enter start and end times, or minutes",IF(C947="","Pick a machine",IF(SUMPRODUCT(--(Setup!$A$5:$A$34=C947))=0,"Machine not in Setup",IF(H947="","Pick a reason (counted as unclassified)",IF(I947="Not in Setup","Reason not in Setup (counted as unclassified)",IF(N(G947)=0,"0 minutes: not counted as a stop","OK")))))))))</f>
        <v/>
      </c>
    </row>
    <row r="948" customFormat="false" ht="15" hidden="false" customHeight="false" outlineLevel="0" collapsed="false">
      <c r="A948" s="11"/>
      <c r="B948" s="9"/>
      <c r="C948" s="9"/>
      <c r="D948" s="12"/>
      <c r="E948" s="12"/>
      <c r="F948" s="13"/>
      <c r="G948" s="14" t="str">
        <f aca="false">IF(F948&lt;&gt;"",IF(AND(ISNUMBER(F948),N(F948)&gt;=0),F948,""),IF(AND(ISNUMBER(D948),ISNUMBER(E948)),ROUND(MOD(E948-D948,1)*1440,0),""))</f>
        <v/>
      </c>
      <c r="H948" s="9"/>
      <c r="I948" s="10" t="str">
        <f aca="false">IF(H948="","",IF(SUMPRODUCT(MAX((Setup!$D$5:$D$34=H948)*(35-ROW(Setup!$D$5:$D$34))))=0,"Not in Setup",INDEX(Setup!$E$5:$E$34,31-SUMPRODUCT(MAX((Setup!$D$5:$D$34=H948)*(35-ROW(Setup!$D$5:$D$34)))))))</f>
        <v/>
      </c>
      <c r="J948" s="9"/>
      <c r="K948" s="10" t="str">
        <f aca="false">IF(AND(A948="",C948="",D948="",E948="",F948="",H948=""),"",IF(NOT(ISNUMBER(A948)),"Enter a date",IF(AND(F948&lt;&gt;"",OR(NOT(ISNUMBER(F948)),N(F948)&lt;0)),"Minutes must be a number of 0 or more",IF(G948="","Enter start and end times, or minutes",IF(C948="","Pick a machine",IF(SUMPRODUCT(--(Setup!$A$5:$A$34=C948))=0,"Machine not in Setup",IF(H948="","Pick a reason (counted as unclassified)",IF(I948="Not in Setup","Reason not in Setup (counted as unclassified)",IF(N(G948)=0,"0 minutes: not counted as a stop","OK")))))))))</f>
        <v/>
      </c>
    </row>
    <row r="949" customFormat="false" ht="15" hidden="false" customHeight="false" outlineLevel="0" collapsed="false">
      <c r="A949" s="11"/>
      <c r="B949" s="9"/>
      <c r="C949" s="9"/>
      <c r="D949" s="12"/>
      <c r="E949" s="12"/>
      <c r="F949" s="13"/>
      <c r="G949" s="14" t="str">
        <f aca="false">IF(F949&lt;&gt;"",IF(AND(ISNUMBER(F949),N(F949)&gt;=0),F949,""),IF(AND(ISNUMBER(D949),ISNUMBER(E949)),ROUND(MOD(E949-D949,1)*1440,0),""))</f>
        <v/>
      </c>
      <c r="H949" s="9"/>
      <c r="I949" s="10" t="str">
        <f aca="false">IF(H949="","",IF(SUMPRODUCT(MAX((Setup!$D$5:$D$34=H949)*(35-ROW(Setup!$D$5:$D$34))))=0,"Not in Setup",INDEX(Setup!$E$5:$E$34,31-SUMPRODUCT(MAX((Setup!$D$5:$D$34=H949)*(35-ROW(Setup!$D$5:$D$34)))))))</f>
        <v/>
      </c>
      <c r="J949" s="9"/>
      <c r="K949" s="10" t="str">
        <f aca="false">IF(AND(A949="",C949="",D949="",E949="",F949="",H949=""),"",IF(NOT(ISNUMBER(A949)),"Enter a date",IF(AND(F949&lt;&gt;"",OR(NOT(ISNUMBER(F949)),N(F949)&lt;0)),"Minutes must be a number of 0 or more",IF(G949="","Enter start and end times, or minutes",IF(C949="","Pick a machine",IF(SUMPRODUCT(--(Setup!$A$5:$A$34=C949))=0,"Machine not in Setup",IF(H949="","Pick a reason (counted as unclassified)",IF(I949="Not in Setup","Reason not in Setup (counted as unclassified)",IF(N(G949)=0,"0 minutes: not counted as a stop","OK")))))))))</f>
        <v/>
      </c>
    </row>
    <row r="950" customFormat="false" ht="15" hidden="false" customHeight="false" outlineLevel="0" collapsed="false">
      <c r="A950" s="11"/>
      <c r="B950" s="9"/>
      <c r="C950" s="9"/>
      <c r="D950" s="12"/>
      <c r="E950" s="12"/>
      <c r="F950" s="13"/>
      <c r="G950" s="14" t="str">
        <f aca="false">IF(F950&lt;&gt;"",IF(AND(ISNUMBER(F950),N(F950)&gt;=0),F950,""),IF(AND(ISNUMBER(D950),ISNUMBER(E950)),ROUND(MOD(E950-D950,1)*1440,0),""))</f>
        <v/>
      </c>
      <c r="H950" s="9"/>
      <c r="I950" s="10" t="str">
        <f aca="false">IF(H950="","",IF(SUMPRODUCT(MAX((Setup!$D$5:$D$34=H950)*(35-ROW(Setup!$D$5:$D$34))))=0,"Not in Setup",INDEX(Setup!$E$5:$E$34,31-SUMPRODUCT(MAX((Setup!$D$5:$D$34=H950)*(35-ROW(Setup!$D$5:$D$34)))))))</f>
        <v/>
      </c>
      <c r="J950" s="9"/>
      <c r="K950" s="10" t="str">
        <f aca="false">IF(AND(A950="",C950="",D950="",E950="",F950="",H950=""),"",IF(NOT(ISNUMBER(A950)),"Enter a date",IF(AND(F950&lt;&gt;"",OR(NOT(ISNUMBER(F950)),N(F950)&lt;0)),"Minutes must be a number of 0 or more",IF(G950="","Enter start and end times, or minutes",IF(C950="","Pick a machine",IF(SUMPRODUCT(--(Setup!$A$5:$A$34=C950))=0,"Machine not in Setup",IF(H950="","Pick a reason (counted as unclassified)",IF(I950="Not in Setup","Reason not in Setup (counted as unclassified)",IF(N(G950)=0,"0 minutes: not counted as a stop","OK")))))))))</f>
        <v/>
      </c>
    </row>
    <row r="951" customFormat="false" ht="15" hidden="false" customHeight="false" outlineLevel="0" collapsed="false">
      <c r="A951" s="11"/>
      <c r="B951" s="9"/>
      <c r="C951" s="9"/>
      <c r="D951" s="12"/>
      <c r="E951" s="12"/>
      <c r="F951" s="13"/>
      <c r="G951" s="14" t="str">
        <f aca="false">IF(F951&lt;&gt;"",IF(AND(ISNUMBER(F951),N(F951)&gt;=0),F951,""),IF(AND(ISNUMBER(D951),ISNUMBER(E951)),ROUND(MOD(E951-D951,1)*1440,0),""))</f>
        <v/>
      </c>
      <c r="H951" s="9"/>
      <c r="I951" s="10" t="str">
        <f aca="false">IF(H951="","",IF(SUMPRODUCT(MAX((Setup!$D$5:$D$34=H951)*(35-ROW(Setup!$D$5:$D$34))))=0,"Not in Setup",INDEX(Setup!$E$5:$E$34,31-SUMPRODUCT(MAX((Setup!$D$5:$D$34=H951)*(35-ROW(Setup!$D$5:$D$34)))))))</f>
        <v/>
      </c>
      <c r="J951" s="9"/>
      <c r="K951" s="10" t="str">
        <f aca="false">IF(AND(A951="",C951="",D951="",E951="",F951="",H951=""),"",IF(NOT(ISNUMBER(A951)),"Enter a date",IF(AND(F951&lt;&gt;"",OR(NOT(ISNUMBER(F951)),N(F951)&lt;0)),"Minutes must be a number of 0 or more",IF(G951="","Enter start and end times, or minutes",IF(C951="","Pick a machine",IF(SUMPRODUCT(--(Setup!$A$5:$A$34=C951))=0,"Machine not in Setup",IF(H951="","Pick a reason (counted as unclassified)",IF(I951="Not in Setup","Reason not in Setup (counted as unclassified)",IF(N(G951)=0,"0 minutes: not counted as a stop","OK")))))))))</f>
        <v/>
      </c>
    </row>
    <row r="952" customFormat="false" ht="15" hidden="false" customHeight="false" outlineLevel="0" collapsed="false">
      <c r="A952" s="11"/>
      <c r="B952" s="9"/>
      <c r="C952" s="9"/>
      <c r="D952" s="12"/>
      <c r="E952" s="12"/>
      <c r="F952" s="13"/>
      <c r="G952" s="14" t="str">
        <f aca="false">IF(F952&lt;&gt;"",IF(AND(ISNUMBER(F952),N(F952)&gt;=0),F952,""),IF(AND(ISNUMBER(D952),ISNUMBER(E952)),ROUND(MOD(E952-D952,1)*1440,0),""))</f>
        <v/>
      </c>
      <c r="H952" s="9"/>
      <c r="I952" s="10" t="str">
        <f aca="false">IF(H952="","",IF(SUMPRODUCT(MAX((Setup!$D$5:$D$34=H952)*(35-ROW(Setup!$D$5:$D$34))))=0,"Not in Setup",INDEX(Setup!$E$5:$E$34,31-SUMPRODUCT(MAX((Setup!$D$5:$D$34=H952)*(35-ROW(Setup!$D$5:$D$34)))))))</f>
        <v/>
      </c>
      <c r="J952" s="9"/>
      <c r="K952" s="10" t="str">
        <f aca="false">IF(AND(A952="",C952="",D952="",E952="",F952="",H952=""),"",IF(NOT(ISNUMBER(A952)),"Enter a date",IF(AND(F952&lt;&gt;"",OR(NOT(ISNUMBER(F952)),N(F952)&lt;0)),"Minutes must be a number of 0 or more",IF(G952="","Enter start and end times, or minutes",IF(C952="","Pick a machine",IF(SUMPRODUCT(--(Setup!$A$5:$A$34=C952))=0,"Machine not in Setup",IF(H952="","Pick a reason (counted as unclassified)",IF(I952="Not in Setup","Reason not in Setup (counted as unclassified)",IF(N(G952)=0,"0 minutes: not counted as a stop","OK")))))))))</f>
        <v/>
      </c>
    </row>
    <row r="953" customFormat="false" ht="15" hidden="false" customHeight="false" outlineLevel="0" collapsed="false">
      <c r="A953" s="11"/>
      <c r="B953" s="9"/>
      <c r="C953" s="9"/>
      <c r="D953" s="12"/>
      <c r="E953" s="12"/>
      <c r="F953" s="13"/>
      <c r="G953" s="14" t="str">
        <f aca="false">IF(F953&lt;&gt;"",IF(AND(ISNUMBER(F953),N(F953)&gt;=0),F953,""),IF(AND(ISNUMBER(D953),ISNUMBER(E953)),ROUND(MOD(E953-D953,1)*1440,0),""))</f>
        <v/>
      </c>
      <c r="H953" s="9"/>
      <c r="I953" s="10" t="str">
        <f aca="false">IF(H953="","",IF(SUMPRODUCT(MAX((Setup!$D$5:$D$34=H953)*(35-ROW(Setup!$D$5:$D$34))))=0,"Not in Setup",INDEX(Setup!$E$5:$E$34,31-SUMPRODUCT(MAX((Setup!$D$5:$D$34=H953)*(35-ROW(Setup!$D$5:$D$34)))))))</f>
        <v/>
      </c>
      <c r="J953" s="9"/>
      <c r="K953" s="10" t="str">
        <f aca="false">IF(AND(A953="",C953="",D953="",E953="",F953="",H953=""),"",IF(NOT(ISNUMBER(A953)),"Enter a date",IF(AND(F953&lt;&gt;"",OR(NOT(ISNUMBER(F953)),N(F953)&lt;0)),"Minutes must be a number of 0 or more",IF(G953="","Enter start and end times, or minutes",IF(C953="","Pick a machine",IF(SUMPRODUCT(--(Setup!$A$5:$A$34=C953))=0,"Machine not in Setup",IF(H953="","Pick a reason (counted as unclassified)",IF(I953="Not in Setup","Reason not in Setup (counted as unclassified)",IF(N(G953)=0,"0 minutes: not counted as a stop","OK")))))))))</f>
        <v/>
      </c>
    </row>
    <row r="954" customFormat="false" ht="15" hidden="false" customHeight="false" outlineLevel="0" collapsed="false">
      <c r="A954" s="11"/>
      <c r="B954" s="9"/>
      <c r="C954" s="9"/>
      <c r="D954" s="12"/>
      <c r="E954" s="12"/>
      <c r="F954" s="13"/>
      <c r="G954" s="14" t="str">
        <f aca="false">IF(F954&lt;&gt;"",IF(AND(ISNUMBER(F954),N(F954)&gt;=0),F954,""),IF(AND(ISNUMBER(D954),ISNUMBER(E954)),ROUND(MOD(E954-D954,1)*1440,0),""))</f>
        <v/>
      </c>
      <c r="H954" s="9"/>
      <c r="I954" s="10" t="str">
        <f aca="false">IF(H954="","",IF(SUMPRODUCT(MAX((Setup!$D$5:$D$34=H954)*(35-ROW(Setup!$D$5:$D$34))))=0,"Not in Setup",INDEX(Setup!$E$5:$E$34,31-SUMPRODUCT(MAX((Setup!$D$5:$D$34=H954)*(35-ROW(Setup!$D$5:$D$34)))))))</f>
        <v/>
      </c>
      <c r="J954" s="9"/>
      <c r="K954" s="10" t="str">
        <f aca="false">IF(AND(A954="",C954="",D954="",E954="",F954="",H954=""),"",IF(NOT(ISNUMBER(A954)),"Enter a date",IF(AND(F954&lt;&gt;"",OR(NOT(ISNUMBER(F954)),N(F954)&lt;0)),"Minutes must be a number of 0 or more",IF(G954="","Enter start and end times, or minutes",IF(C954="","Pick a machine",IF(SUMPRODUCT(--(Setup!$A$5:$A$34=C954))=0,"Machine not in Setup",IF(H954="","Pick a reason (counted as unclassified)",IF(I954="Not in Setup","Reason not in Setup (counted as unclassified)",IF(N(G954)=0,"0 minutes: not counted as a stop","OK")))))))))</f>
        <v/>
      </c>
    </row>
    <row r="955" customFormat="false" ht="15" hidden="false" customHeight="false" outlineLevel="0" collapsed="false">
      <c r="A955" s="11"/>
      <c r="B955" s="9"/>
      <c r="C955" s="9"/>
      <c r="D955" s="12"/>
      <c r="E955" s="12"/>
      <c r="F955" s="13"/>
      <c r="G955" s="14" t="str">
        <f aca="false">IF(F955&lt;&gt;"",IF(AND(ISNUMBER(F955),N(F955)&gt;=0),F955,""),IF(AND(ISNUMBER(D955),ISNUMBER(E955)),ROUND(MOD(E955-D955,1)*1440,0),""))</f>
        <v/>
      </c>
      <c r="H955" s="9"/>
      <c r="I955" s="10" t="str">
        <f aca="false">IF(H955="","",IF(SUMPRODUCT(MAX((Setup!$D$5:$D$34=H955)*(35-ROW(Setup!$D$5:$D$34))))=0,"Not in Setup",INDEX(Setup!$E$5:$E$34,31-SUMPRODUCT(MAX((Setup!$D$5:$D$34=H955)*(35-ROW(Setup!$D$5:$D$34)))))))</f>
        <v/>
      </c>
      <c r="J955" s="9"/>
      <c r="K955" s="10" t="str">
        <f aca="false">IF(AND(A955="",C955="",D955="",E955="",F955="",H955=""),"",IF(NOT(ISNUMBER(A955)),"Enter a date",IF(AND(F955&lt;&gt;"",OR(NOT(ISNUMBER(F955)),N(F955)&lt;0)),"Minutes must be a number of 0 or more",IF(G955="","Enter start and end times, or minutes",IF(C955="","Pick a machine",IF(SUMPRODUCT(--(Setup!$A$5:$A$34=C955))=0,"Machine not in Setup",IF(H955="","Pick a reason (counted as unclassified)",IF(I955="Not in Setup","Reason not in Setup (counted as unclassified)",IF(N(G955)=0,"0 minutes: not counted as a stop","OK")))))))))</f>
        <v/>
      </c>
    </row>
    <row r="956" customFormat="false" ht="15" hidden="false" customHeight="false" outlineLevel="0" collapsed="false">
      <c r="A956" s="11"/>
      <c r="B956" s="9"/>
      <c r="C956" s="9"/>
      <c r="D956" s="12"/>
      <c r="E956" s="12"/>
      <c r="F956" s="13"/>
      <c r="G956" s="14" t="str">
        <f aca="false">IF(F956&lt;&gt;"",IF(AND(ISNUMBER(F956),N(F956)&gt;=0),F956,""),IF(AND(ISNUMBER(D956),ISNUMBER(E956)),ROUND(MOD(E956-D956,1)*1440,0),""))</f>
        <v/>
      </c>
      <c r="H956" s="9"/>
      <c r="I956" s="10" t="str">
        <f aca="false">IF(H956="","",IF(SUMPRODUCT(MAX((Setup!$D$5:$D$34=H956)*(35-ROW(Setup!$D$5:$D$34))))=0,"Not in Setup",INDEX(Setup!$E$5:$E$34,31-SUMPRODUCT(MAX((Setup!$D$5:$D$34=H956)*(35-ROW(Setup!$D$5:$D$34)))))))</f>
        <v/>
      </c>
      <c r="J956" s="9"/>
      <c r="K956" s="10" t="str">
        <f aca="false">IF(AND(A956="",C956="",D956="",E956="",F956="",H956=""),"",IF(NOT(ISNUMBER(A956)),"Enter a date",IF(AND(F956&lt;&gt;"",OR(NOT(ISNUMBER(F956)),N(F956)&lt;0)),"Minutes must be a number of 0 or more",IF(G956="","Enter start and end times, or minutes",IF(C956="","Pick a machine",IF(SUMPRODUCT(--(Setup!$A$5:$A$34=C956))=0,"Machine not in Setup",IF(H956="","Pick a reason (counted as unclassified)",IF(I956="Not in Setup","Reason not in Setup (counted as unclassified)",IF(N(G956)=0,"0 minutes: not counted as a stop","OK")))))))))</f>
        <v/>
      </c>
    </row>
    <row r="957" customFormat="false" ht="15" hidden="false" customHeight="false" outlineLevel="0" collapsed="false">
      <c r="A957" s="11"/>
      <c r="B957" s="9"/>
      <c r="C957" s="9"/>
      <c r="D957" s="12"/>
      <c r="E957" s="12"/>
      <c r="F957" s="13"/>
      <c r="G957" s="14" t="str">
        <f aca="false">IF(F957&lt;&gt;"",IF(AND(ISNUMBER(F957),N(F957)&gt;=0),F957,""),IF(AND(ISNUMBER(D957),ISNUMBER(E957)),ROUND(MOD(E957-D957,1)*1440,0),""))</f>
        <v/>
      </c>
      <c r="H957" s="9"/>
      <c r="I957" s="10" t="str">
        <f aca="false">IF(H957="","",IF(SUMPRODUCT(MAX((Setup!$D$5:$D$34=H957)*(35-ROW(Setup!$D$5:$D$34))))=0,"Not in Setup",INDEX(Setup!$E$5:$E$34,31-SUMPRODUCT(MAX((Setup!$D$5:$D$34=H957)*(35-ROW(Setup!$D$5:$D$34)))))))</f>
        <v/>
      </c>
      <c r="J957" s="9"/>
      <c r="K957" s="10" t="str">
        <f aca="false">IF(AND(A957="",C957="",D957="",E957="",F957="",H957=""),"",IF(NOT(ISNUMBER(A957)),"Enter a date",IF(AND(F957&lt;&gt;"",OR(NOT(ISNUMBER(F957)),N(F957)&lt;0)),"Minutes must be a number of 0 or more",IF(G957="","Enter start and end times, or minutes",IF(C957="","Pick a machine",IF(SUMPRODUCT(--(Setup!$A$5:$A$34=C957))=0,"Machine not in Setup",IF(H957="","Pick a reason (counted as unclassified)",IF(I957="Not in Setup","Reason not in Setup (counted as unclassified)",IF(N(G957)=0,"0 minutes: not counted as a stop","OK")))))))))</f>
        <v/>
      </c>
    </row>
    <row r="958" customFormat="false" ht="15" hidden="false" customHeight="false" outlineLevel="0" collapsed="false">
      <c r="A958" s="11"/>
      <c r="B958" s="9"/>
      <c r="C958" s="9"/>
      <c r="D958" s="12"/>
      <c r="E958" s="12"/>
      <c r="F958" s="13"/>
      <c r="G958" s="14" t="str">
        <f aca="false">IF(F958&lt;&gt;"",IF(AND(ISNUMBER(F958),N(F958)&gt;=0),F958,""),IF(AND(ISNUMBER(D958),ISNUMBER(E958)),ROUND(MOD(E958-D958,1)*1440,0),""))</f>
        <v/>
      </c>
      <c r="H958" s="9"/>
      <c r="I958" s="10" t="str">
        <f aca="false">IF(H958="","",IF(SUMPRODUCT(MAX((Setup!$D$5:$D$34=H958)*(35-ROW(Setup!$D$5:$D$34))))=0,"Not in Setup",INDEX(Setup!$E$5:$E$34,31-SUMPRODUCT(MAX((Setup!$D$5:$D$34=H958)*(35-ROW(Setup!$D$5:$D$34)))))))</f>
        <v/>
      </c>
      <c r="J958" s="9"/>
      <c r="K958" s="10" t="str">
        <f aca="false">IF(AND(A958="",C958="",D958="",E958="",F958="",H958=""),"",IF(NOT(ISNUMBER(A958)),"Enter a date",IF(AND(F958&lt;&gt;"",OR(NOT(ISNUMBER(F958)),N(F958)&lt;0)),"Minutes must be a number of 0 or more",IF(G958="","Enter start and end times, or minutes",IF(C958="","Pick a machine",IF(SUMPRODUCT(--(Setup!$A$5:$A$34=C958))=0,"Machine not in Setup",IF(H958="","Pick a reason (counted as unclassified)",IF(I958="Not in Setup","Reason not in Setup (counted as unclassified)",IF(N(G958)=0,"0 minutes: not counted as a stop","OK")))))))))</f>
        <v/>
      </c>
    </row>
    <row r="959" customFormat="false" ht="15" hidden="false" customHeight="false" outlineLevel="0" collapsed="false">
      <c r="A959" s="11"/>
      <c r="B959" s="9"/>
      <c r="C959" s="9"/>
      <c r="D959" s="12"/>
      <c r="E959" s="12"/>
      <c r="F959" s="13"/>
      <c r="G959" s="14" t="str">
        <f aca="false">IF(F959&lt;&gt;"",IF(AND(ISNUMBER(F959),N(F959)&gt;=0),F959,""),IF(AND(ISNUMBER(D959),ISNUMBER(E959)),ROUND(MOD(E959-D959,1)*1440,0),""))</f>
        <v/>
      </c>
      <c r="H959" s="9"/>
      <c r="I959" s="10" t="str">
        <f aca="false">IF(H959="","",IF(SUMPRODUCT(MAX((Setup!$D$5:$D$34=H959)*(35-ROW(Setup!$D$5:$D$34))))=0,"Not in Setup",INDEX(Setup!$E$5:$E$34,31-SUMPRODUCT(MAX((Setup!$D$5:$D$34=H959)*(35-ROW(Setup!$D$5:$D$34)))))))</f>
        <v/>
      </c>
      <c r="J959" s="9"/>
      <c r="K959" s="10" t="str">
        <f aca="false">IF(AND(A959="",C959="",D959="",E959="",F959="",H959=""),"",IF(NOT(ISNUMBER(A959)),"Enter a date",IF(AND(F959&lt;&gt;"",OR(NOT(ISNUMBER(F959)),N(F959)&lt;0)),"Minutes must be a number of 0 or more",IF(G959="","Enter start and end times, or minutes",IF(C959="","Pick a machine",IF(SUMPRODUCT(--(Setup!$A$5:$A$34=C959))=0,"Machine not in Setup",IF(H959="","Pick a reason (counted as unclassified)",IF(I959="Not in Setup","Reason not in Setup (counted as unclassified)",IF(N(G959)=0,"0 minutes: not counted as a stop","OK")))))))))</f>
        <v/>
      </c>
    </row>
    <row r="960" customFormat="false" ht="15" hidden="false" customHeight="false" outlineLevel="0" collapsed="false">
      <c r="A960" s="11"/>
      <c r="B960" s="9"/>
      <c r="C960" s="9"/>
      <c r="D960" s="12"/>
      <c r="E960" s="12"/>
      <c r="F960" s="13"/>
      <c r="G960" s="14" t="str">
        <f aca="false">IF(F960&lt;&gt;"",IF(AND(ISNUMBER(F960),N(F960)&gt;=0),F960,""),IF(AND(ISNUMBER(D960),ISNUMBER(E960)),ROUND(MOD(E960-D960,1)*1440,0),""))</f>
        <v/>
      </c>
      <c r="H960" s="9"/>
      <c r="I960" s="10" t="str">
        <f aca="false">IF(H960="","",IF(SUMPRODUCT(MAX((Setup!$D$5:$D$34=H960)*(35-ROW(Setup!$D$5:$D$34))))=0,"Not in Setup",INDEX(Setup!$E$5:$E$34,31-SUMPRODUCT(MAX((Setup!$D$5:$D$34=H960)*(35-ROW(Setup!$D$5:$D$34)))))))</f>
        <v/>
      </c>
      <c r="J960" s="9"/>
      <c r="K960" s="10" t="str">
        <f aca="false">IF(AND(A960="",C960="",D960="",E960="",F960="",H960=""),"",IF(NOT(ISNUMBER(A960)),"Enter a date",IF(AND(F960&lt;&gt;"",OR(NOT(ISNUMBER(F960)),N(F960)&lt;0)),"Minutes must be a number of 0 or more",IF(G960="","Enter start and end times, or minutes",IF(C960="","Pick a machine",IF(SUMPRODUCT(--(Setup!$A$5:$A$34=C960))=0,"Machine not in Setup",IF(H960="","Pick a reason (counted as unclassified)",IF(I960="Not in Setup","Reason not in Setup (counted as unclassified)",IF(N(G960)=0,"0 minutes: not counted as a stop","OK")))))))))</f>
        <v/>
      </c>
    </row>
    <row r="961" customFormat="false" ht="15" hidden="false" customHeight="false" outlineLevel="0" collapsed="false">
      <c r="A961" s="11"/>
      <c r="B961" s="9"/>
      <c r="C961" s="9"/>
      <c r="D961" s="12"/>
      <c r="E961" s="12"/>
      <c r="F961" s="13"/>
      <c r="G961" s="14" t="str">
        <f aca="false">IF(F961&lt;&gt;"",IF(AND(ISNUMBER(F961),N(F961)&gt;=0),F961,""),IF(AND(ISNUMBER(D961),ISNUMBER(E961)),ROUND(MOD(E961-D961,1)*1440,0),""))</f>
        <v/>
      </c>
      <c r="H961" s="9"/>
      <c r="I961" s="10" t="str">
        <f aca="false">IF(H961="","",IF(SUMPRODUCT(MAX((Setup!$D$5:$D$34=H961)*(35-ROW(Setup!$D$5:$D$34))))=0,"Not in Setup",INDEX(Setup!$E$5:$E$34,31-SUMPRODUCT(MAX((Setup!$D$5:$D$34=H961)*(35-ROW(Setup!$D$5:$D$34)))))))</f>
        <v/>
      </c>
      <c r="J961" s="9"/>
      <c r="K961" s="10" t="str">
        <f aca="false">IF(AND(A961="",C961="",D961="",E961="",F961="",H961=""),"",IF(NOT(ISNUMBER(A961)),"Enter a date",IF(AND(F961&lt;&gt;"",OR(NOT(ISNUMBER(F961)),N(F961)&lt;0)),"Minutes must be a number of 0 or more",IF(G961="","Enter start and end times, or minutes",IF(C961="","Pick a machine",IF(SUMPRODUCT(--(Setup!$A$5:$A$34=C961))=0,"Machine not in Setup",IF(H961="","Pick a reason (counted as unclassified)",IF(I961="Not in Setup","Reason not in Setup (counted as unclassified)",IF(N(G961)=0,"0 minutes: not counted as a stop","OK")))))))))</f>
        <v/>
      </c>
    </row>
    <row r="962" customFormat="false" ht="15" hidden="false" customHeight="false" outlineLevel="0" collapsed="false">
      <c r="A962" s="11"/>
      <c r="B962" s="9"/>
      <c r="C962" s="9"/>
      <c r="D962" s="12"/>
      <c r="E962" s="12"/>
      <c r="F962" s="13"/>
      <c r="G962" s="14" t="str">
        <f aca="false">IF(F962&lt;&gt;"",IF(AND(ISNUMBER(F962),N(F962)&gt;=0),F962,""),IF(AND(ISNUMBER(D962),ISNUMBER(E962)),ROUND(MOD(E962-D962,1)*1440,0),""))</f>
        <v/>
      </c>
      <c r="H962" s="9"/>
      <c r="I962" s="10" t="str">
        <f aca="false">IF(H962="","",IF(SUMPRODUCT(MAX((Setup!$D$5:$D$34=H962)*(35-ROW(Setup!$D$5:$D$34))))=0,"Not in Setup",INDEX(Setup!$E$5:$E$34,31-SUMPRODUCT(MAX((Setup!$D$5:$D$34=H962)*(35-ROW(Setup!$D$5:$D$34)))))))</f>
        <v/>
      </c>
      <c r="J962" s="9"/>
      <c r="K962" s="10" t="str">
        <f aca="false">IF(AND(A962="",C962="",D962="",E962="",F962="",H962=""),"",IF(NOT(ISNUMBER(A962)),"Enter a date",IF(AND(F962&lt;&gt;"",OR(NOT(ISNUMBER(F962)),N(F962)&lt;0)),"Minutes must be a number of 0 or more",IF(G962="","Enter start and end times, or minutes",IF(C962="","Pick a machine",IF(SUMPRODUCT(--(Setup!$A$5:$A$34=C962))=0,"Machine not in Setup",IF(H962="","Pick a reason (counted as unclassified)",IF(I962="Not in Setup","Reason not in Setup (counted as unclassified)",IF(N(G962)=0,"0 minutes: not counted as a stop","OK")))))))))</f>
        <v/>
      </c>
    </row>
    <row r="963" customFormat="false" ht="15" hidden="false" customHeight="false" outlineLevel="0" collapsed="false">
      <c r="A963" s="11"/>
      <c r="B963" s="9"/>
      <c r="C963" s="9"/>
      <c r="D963" s="12"/>
      <c r="E963" s="12"/>
      <c r="F963" s="13"/>
      <c r="G963" s="14" t="str">
        <f aca="false">IF(F963&lt;&gt;"",IF(AND(ISNUMBER(F963),N(F963)&gt;=0),F963,""),IF(AND(ISNUMBER(D963),ISNUMBER(E963)),ROUND(MOD(E963-D963,1)*1440,0),""))</f>
        <v/>
      </c>
      <c r="H963" s="9"/>
      <c r="I963" s="10" t="str">
        <f aca="false">IF(H963="","",IF(SUMPRODUCT(MAX((Setup!$D$5:$D$34=H963)*(35-ROW(Setup!$D$5:$D$34))))=0,"Not in Setup",INDEX(Setup!$E$5:$E$34,31-SUMPRODUCT(MAX((Setup!$D$5:$D$34=H963)*(35-ROW(Setup!$D$5:$D$34)))))))</f>
        <v/>
      </c>
      <c r="J963" s="9"/>
      <c r="K963" s="10" t="str">
        <f aca="false">IF(AND(A963="",C963="",D963="",E963="",F963="",H963=""),"",IF(NOT(ISNUMBER(A963)),"Enter a date",IF(AND(F963&lt;&gt;"",OR(NOT(ISNUMBER(F963)),N(F963)&lt;0)),"Minutes must be a number of 0 or more",IF(G963="","Enter start and end times, or minutes",IF(C963="","Pick a machine",IF(SUMPRODUCT(--(Setup!$A$5:$A$34=C963))=0,"Machine not in Setup",IF(H963="","Pick a reason (counted as unclassified)",IF(I963="Not in Setup","Reason not in Setup (counted as unclassified)",IF(N(G963)=0,"0 minutes: not counted as a stop","OK")))))))))</f>
        <v/>
      </c>
    </row>
    <row r="964" customFormat="false" ht="15" hidden="false" customHeight="false" outlineLevel="0" collapsed="false">
      <c r="A964" s="11"/>
      <c r="B964" s="9"/>
      <c r="C964" s="9"/>
      <c r="D964" s="12"/>
      <c r="E964" s="12"/>
      <c r="F964" s="13"/>
      <c r="G964" s="14" t="str">
        <f aca="false">IF(F964&lt;&gt;"",IF(AND(ISNUMBER(F964),N(F964)&gt;=0),F964,""),IF(AND(ISNUMBER(D964),ISNUMBER(E964)),ROUND(MOD(E964-D964,1)*1440,0),""))</f>
        <v/>
      </c>
      <c r="H964" s="9"/>
      <c r="I964" s="10" t="str">
        <f aca="false">IF(H964="","",IF(SUMPRODUCT(MAX((Setup!$D$5:$D$34=H964)*(35-ROW(Setup!$D$5:$D$34))))=0,"Not in Setup",INDEX(Setup!$E$5:$E$34,31-SUMPRODUCT(MAX((Setup!$D$5:$D$34=H964)*(35-ROW(Setup!$D$5:$D$34)))))))</f>
        <v/>
      </c>
      <c r="J964" s="9"/>
      <c r="K964" s="10" t="str">
        <f aca="false">IF(AND(A964="",C964="",D964="",E964="",F964="",H964=""),"",IF(NOT(ISNUMBER(A964)),"Enter a date",IF(AND(F964&lt;&gt;"",OR(NOT(ISNUMBER(F964)),N(F964)&lt;0)),"Minutes must be a number of 0 or more",IF(G964="","Enter start and end times, or minutes",IF(C964="","Pick a machine",IF(SUMPRODUCT(--(Setup!$A$5:$A$34=C964))=0,"Machine not in Setup",IF(H964="","Pick a reason (counted as unclassified)",IF(I964="Not in Setup","Reason not in Setup (counted as unclassified)",IF(N(G964)=0,"0 minutes: not counted as a stop","OK")))))))))</f>
        <v/>
      </c>
    </row>
    <row r="965" customFormat="false" ht="15" hidden="false" customHeight="false" outlineLevel="0" collapsed="false">
      <c r="A965" s="11"/>
      <c r="B965" s="9"/>
      <c r="C965" s="9"/>
      <c r="D965" s="12"/>
      <c r="E965" s="12"/>
      <c r="F965" s="13"/>
      <c r="G965" s="14" t="str">
        <f aca="false">IF(F965&lt;&gt;"",IF(AND(ISNUMBER(F965),N(F965)&gt;=0),F965,""),IF(AND(ISNUMBER(D965),ISNUMBER(E965)),ROUND(MOD(E965-D965,1)*1440,0),""))</f>
        <v/>
      </c>
      <c r="H965" s="9"/>
      <c r="I965" s="10" t="str">
        <f aca="false">IF(H965="","",IF(SUMPRODUCT(MAX((Setup!$D$5:$D$34=H965)*(35-ROW(Setup!$D$5:$D$34))))=0,"Not in Setup",INDEX(Setup!$E$5:$E$34,31-SUMPRODUCT(MAX((Setup!$D$5:$D$34=H965)*(35-ROW(Setup!$D$5:$D$34)))))))</f>
        <v/>
      </c>
      <c r="J965" s="9"/>
      <c r="K965" s="10" t="str">
        <f aca="false">IF(AND(A965="",C965="",D965="",E965="",F965="",H965=""),"",IF(NOT(ISNUMBER(A965)),"Enter a date",IF(AND(F965&lt;&gt;"",OR(NOT(ISNUMBER(F965)),N(F965)&lt;0)),"Minutes must be a number of 0 or more",IF(G965="","Enter start and end times, or minutes",IF(C965="","Pick a machine",IF(SUMPRODUCT(--(Setup!$A$5:$A$34=C965))=0,"Machine not in Setup",IF(H965="","Pick a reason (counted as unclassified)",IF(I965="Not in Setup","Reason not in Setup (counted as unclassified)",IF(N(G965)=0,"0 minutes: not counted as a stop","OK")))))))))</f>
        <v/>
      </c>
    </row>
    <row r="966" customFormat="false" ht="15" hidden="false" customHeight="false" outlineLevel="0" collapsed="false">
      <c r="A966" s="11"/>
      <c r="B966" s="9"/>
      <c r="C966" s="9"/>
      <c r="D966" s="12"/>
      <c r="E966" s="12"/>
      <c r="F966" s="13"/>
      <c r="G966" s="14" t="str">
        <f aca="false">IF(F966&lt;&gt;"",IF(AND(ISNUMBER(F966),N(F966)&gt;=0),F966,""),IF(AND(ISNUMBER(D966),ISNUMBER(E966)),ROUND(MOD(E966-D966,1)*1440,0),""))</f>
        <v/>
      </c>
      <c r="H966" s="9"/>
      <c r="I966" s="10" t="str">
        <f aca="false">IF(H966="","",IF(SUMPRODUCT(MAX((Setup!$D$5:$D$34=H966)*(35-ROW(Setup!$D$5:$D$34))))=0,"Not in Setup",INDEX(Setup!$E$5:$E$34,31-SUMPRODUCT(MAX((Setup!$D$5:$D$34=H966)*(35-ROW(Setup!$D$5:$D$34)))))))</f>
        <v/>
      </c>
      <c r="J966" s="9"/>
      <c r="K966" s="10" t="str">
        <f aca="false">IF(AND(A966="",C966="",D966="",E966="",F966="",H966=""),"",IF(NOT(ISNUMBER(A966)),"Enter a date",IF(AND(F966&lt;&gt;"",OR(NOT(ISNUMBER(F966)),N(F966)&lt;0)),"Minutes must be a number of 0 or more",IF(G966="","Enter start and end times, or minutes",IF(C966="","Pick a machine",IF(SUMPRODUCT(--(Setup!$A$5:$A$34=C966))=0,"Machine not in Setup",IF(H966="","Pick a reason (counted as unclassified)",IF(I966="Not in Setup","Reason not in Setup (counted as unclassified)",IF(N(G966)=0,"0 minutes: not counted as a stop","OK")))))))))</f>
        <v/>
      </c>
    </row>
    <row r="967" customFormat="false" ht="15" hidden="false" customHeight="false" outlineLevel="0" collapsed="false">
      <c r="A967" s="11"/>
      <c r="B967" s="9"/>
      <c r="C967" s="9"/>
      <c r="D967" s="12"/>
      <c r="E967" s="12"/>
      <c r="F967" s="13"/>
      <c r="G967" s="14" t="str">
        <f aca="false">IF(F967&lt;&gt;"",IF(AND(ISNUMBER(F967),N(F967)&gt;=0),F967,""),IF(AND(ISNUMBER(D967),ISNUMBER(E967)),ROUND(MOD(E967-D967,1)*1440,0),""))</f>
        <v/>
      </c>
      <c r="H967" s="9"/>
      <c r="I967" s="10" t="str">
        <f aca="false">IF(H967="","",IF(SUMPRODUCT(MAX((Setup!$D$5:$D$34=H967)*(35-ROW(Setup!$D$5:$D$34))))=0,"Not in Setup",INDEX(Setup!$E$5:$E$34,31-SUMPRODUCT(MAX((Setup!$D$5:$D$34=H967)*(35-ROW(Setup!$D$5:$D$34)))))))</f>
        <v/>
      </c>
      <c r="J967" s="9"/>
      <c r="K967" s="10" t="str">
        <f aca="false">IF(AND(A967="",C967="",D967="",E967="",F967="",H967=""),"",IF(NOT(ISNUMBER(A967)),"Enter a date",IF(AND(F967&lt;&gt;"",OR(NOT(ISNUMBER(F967)),N(F967)&lt;0)),"Minutes must be a number of 0 or more",IF(G967="","Enter start and end times, or minutes",IF(C967="","Pick a machine",IF(SUMPRODUCT(--(Setup!$A$5:$A$34=C967))=0,"Machine not in Setup",IF(H967="","Pick a reason (counted as unclassified)",IF(I967="Not in Setup","Reason not in Setup (counted as unclassified)",IF(N(G967)=0,"0 minutes: not counted as a stop","OK")))))))))</f>
        <v/>
      </c>
    </row>
    <row r="968" customFormat="false" ht="15" hidden="false" customHeight="false" outlineLevel="0" collapsed="false">
      <c r="A968" s="11"/>
      <c r="B968" s="9"/>
      <c r="C968" s="9"/>
      <c r="D968" s="12"/>
      <c r="E968" s="12"/>
      <c r="F968" s="13"/>
      <c r="G968" s="14" t="str">
        <f aca="false">IF(F968&lt;&gt;"",IF(AND(ISNUMBER(F968),N(F968)&gt;=0),F968,""),IF(AND(ISNUMBER(D968),ISNUMBER(E968)),ROUND(MOD(E968-D968,1)*1440,0),""))</f>
        <v/>
      </c>
      <c r="H968" s="9"/>
      <c r="I968" s="10" t="str">
        <f aca="false">IF(H968="","",IF(SUMPRODUCT(MAX((Setup!$D$5:$D$34=H968)*(35-ROW(Setup!$D$5:$D$34))))=0,"Not in Setup",INDEX(Setup!$E$5:$E$34,31-SUMPRODUCT(MAX((Setup!$D$5:$D$34=H968)*(35-ROW(Setup!$D$5:$D$34)))))))</f>
        <v/>
      </c>
      <c r="J968" s="9"/>
      <c r="K968" s="10" t="str">
        <f aca="false">IF(AND(A968="",C968="",D968="",E968="",F968="",H968=""),"",IF(NOT(ISNUMBER(A968)),"Enter a date",IF(AND(F968&lt;&gt;"",OR(NOT(ISNUMBER(F968)),N(F968)&lt;0)),"Minutes must be a number of 0 or more",IF(G968="","Enter start and end times, or minutes",IF(C968="","Pick a machine",IF(SUMPRODUCT(--(Setup!$A$5:$A$34=C968))=0,"Machine not in Setup",IF(H968="","Pick a reason (counted as unclassified)",IF(I968="Not in Setup","Reason not in Setup (counted as unclassified)",IF(N(G968)=0,"0 minutes: not counted as a stop","OK")))))))))</f>
        <v/>
      </c>
    </row>
    <row r="969" customFormat="false" ht="15" hidden="false" customHeight="false" outlineLevel="0" collapsed="false">
      <c r="A969" s="11"/>
      <c r="B969" s="9"/>
      <c r="C969" s="9"/>
      <c r="D969" s="12"/>
      <c r="E969" s="12"/>
      <c r="F969" s="13"/>
      <c r="G969" s="14" t="str">
        <f aca="false">IF(F969&lt;&gt;"",IF(AND(ISNUMBER(F969),N(F969)&gt;=0),F969,""),IF(AND(ISNUMBER(D969),ISNUMBER(E969)),ROUND(MOD(E969-D969,1)*1440,0),""))</f>
        <v/>
      </c>
      <c r="H969" s="9"/>
      <c r="I969" s="10" t="str">
        <f aca="false">IF(H969="","",IF(SUMPRODUCT(MAX((Setup!$D$5:$D$34=H969)*(35-ROW(Setup!$D$5:$D$34))))=0,"Not in Setup",INDEX(Setup!$E$5:$E$34,31-SUMPRODUCT(MAX((Setup!$D$5:$D$34=H969)*(35-ROW(Setup!$D$5:$D$34)))))))</f>
        <v/>
      </c>
      <c r="J969" s="9"/>
      <c r="K969" s="10" t="str">
        <f aca="false">IF(AND(A969="",C969="",D969="",E969="",F969="",H969=""),"",IF(NOT(ISNUMBER(A969)),"Enter a date",IF(AND(F969&lt;&gt;"",OR(NOT(ISNUMBER(F969)),N(F969)&lt;0)),"Minutes must be a number of 0 or more",IF(G969="","Enter start and end times, or minutes",IF(C969="","Pick a machine",IF(SUMPRODUCT(--(Setup!$A$5:$A$34=C969))=0,"Machine not in Setup",IF(H969="","Pick a reason (counted as unclassified)",IF(I969="Not in Setup","Reason not in Setup (counted as unclassified)",IF(N(G969)=0,"0 minutes: not counted as a stop","OK")))))))))</f>
        <v/>
      </c>
    </row>
    <row r="970" customFormat="false" ht="15" hidden="false" customHeight="false" outlineLevel="0" collapsed="false">
      <c r="A970" s="11"/>
      <c r="B970" s="9"/>
      <c r="C970" s="9"/>
      <c r="D970" s="12"/>
      <c r="E970" s="12"/>
      <c r="F970" s="13"/>
      <c r="G970" s="14" t="str">
        <f aca="false">IF(F970&lt;&gt;"",IF(AND(ISNUMBER(F970),N(F970)&gt;=0),F970,""),IF(AND(ISNUMBER(D970),ISNUMBER(E970)),ROUND(MOD(E970-D970,1)*1440,0),""))</f>
        <v/>
      </c>
      <c r="H970" s="9"/>
      <c r="I970" s="10" t="str">
        <f aca="false">IF(H970="","",IF(SUMPRODUCT(MAX((Setup!$D$5:$D$34=H970)*(35-ROW(Setup!$D$5:$D$34))))=0,"Not in Setup",INDEX(Setup!$E$5:$E$34,31-SUMPRODUCT(MAX((Setup!$D$5:$D$34=H970)*(35-ROW(Setup!$D$5:$D$34)))))))</f>
        <v/>
      </c>
      <c r="J970" s="9"/>
      <c r="K970" s="10" t="str">
        <f aca="false">IF(AND(A970="",C970="",D970="",E970="",F970="",H970=""),"",IF(NOT(ISNUMBER(A970)),"Enter a date",IF(AND(F970&lt;&gt;"",OR(NOT(ISNUMBER(F970)),N(F970)&lt;0)),"Minutes must be a number of 0 or more",IF(G970="","Enter start and end times, or minutes",IF(C970="","Pick a machine",IF(SUMPRODUCT(--(Setup!$A$5:$A$34=C970))=0,"Machine not in Setup",IF(H970="","Pick a reason (counted as unclassified)",IF(I970="Not in Setup","Reason not in Setup (counted as unclassified)",IF(N(G970)=0,"0 minutes: not counted as a stop","OK")))))))))</f>
        <v/>
      </c>
    </row>
    <row r="971" customFormat="false" ht="15" hidden="false" customHeight="false" outlineLevel="0" collapsed="false">
      <c r="A971" s="11"/>
      <c r="B971" s="9"/>
      <c r="C971" s="9"/>
      <c r="D971" s="12"/>
      <c r="E971" s="12"/>
      <c r="F971" s="13"/>
      <c r="G971" s="14" t="str">
        <f aca="false">IF(F971&lt;&gt;"",IF(AND(ISNUMBER(F971),N(F971)&gt;=0),F971,""),IF(AND(ISNUMBER(D971),ISNUMBER(E971)),ROUND(MOD(E971-D971,1)*1440,0),""))</f>
        <v/>
      </c>
      <c r="H971" s="9"/>
      <c r="I971" s="10" t="str">
        <f aca="false">IF(H971="","",IF(SUMPRODUCT(MAX((Setup!$D$5:$D$34=H971)*(35-ROW(Setup!$D$5:$D$34))))=0,"Not in Setup",INDEX(Setup!$E$5:$E$34,31-SUMPRODUCT(MAX((Setup!$D$5:$D$34=H971)*(35-ROW(Setup!$D$5:$D$34)))))))</f>
        <v/>
      </c>
      <c r="J971" s="9"/>
      <c r="K971" s="10" t="str">
        <f aca="false">IF(AND(A971="",C971="",D971="",E971="",F971="",H971=""),"",IF(NOT(ISNUMBER(A971)),"Enter a date",IF(AND(F971&lt;&gt;"",OR(NOT(ISNUMBER(F971)),N(F971)&lt;0)),"Minutes must be a number of 0 or more",IF(G971="","Enter start and end times, or minutes",IF(C971="","Pick a machine",IF(SUMPRODUCT(--(Setup!$A$5:$A$34=C971))=0,"Machine not in Setup",IF(H971="","Pick a reason (counted as unclassified)",IF(I971="Not in Setup","Reason not in Setup (counted as unclassified)",IF(N(G971)=0,"0 minutes: not counted as a stop","OK")))))))))</f>
        <v/>
      </c>
    </row>
    <row r="972" customFormat="false" ht="15" hidden="false" customHeight="false" outlineLevel="0" collapsed="false">
      <c r="A972" s="11"/>
      <c r="B972" s="9"/>
      <c r="C972" s="9"/>
      <c r="D972" s="12"/>
      <c r="E972" s="12"/>
      <c r="F972" s="13"/>
      <c r="G972" s="14" t="str">
        <f aca="false">IF(F972&lt;&gt;"",IF(AND(ISNUMBER(F972),N(F972)&gt;=0),F972,""),IF(AND(ISNUMBER(D972),ISNUMBER(E972)),ROUND(MOD(E972-D972,1)*1440,0),""))</f>
        <v/>
      </c>
      <c r="H972" s="9"/>
      <c r="I972" s="10" t="str">
        <f aca="false">IF(H972="","",IF(SUMPRODUCT(MAX((Setup!$D$5:$D$34=H972)*(35-ROW(Setup!$D$5:$D$34))))=0,"Not in Setup",INDEX(Setup!$E$5:$E$34,31-SUMPRODUCT(MAX((Setup!$D$5:$D$34=H972)*(35-ROW(Setup!$D$5:$D$34)))))))</f>
        <v/>
      </c>
      <c r="J972" s="9"/>
      <c r="K972" s="10" t="str">
        <f aca="false">IF(AND(A972="",C972="",D972="",E972="",F972="",H972=""),"",IF(NOT(ISNUMBER(A972)),"Enter a date",IF(AND(F972&lt;&gt;"",OR(NOT(ISNUMBER(F972)),N(F972)&lt;0)),"Minutes must be a number of 0 or more",IF(G972="","Enter start and end times, or minutes",IF(C972="","Pick a machine",IF(SUMPRODUCT(--(Setup!$A$5:$A$34=C972))=0,"Machine not in Setup",IF(H972="","Pick a reason (counted as unclassified)",IF(I972="Not in Setup","Reason not in Setup (counted as unclassified)",IF(N(G972)=0,"0 minutes: not counted as a stop","OK")))))))))</f>
        <v/>
      </c>
    </row>
    <row r="973" customFormat="false" ht="15" hidden="false" customHeight="false" outlineLevel="0" collapsed="false">
      <c r="A973" s="11"/>
      <c r="B973" s="9"/>
      <c r="C973" s="9"/>
      <c r="D973" s="12"/>
      <c r="E973" s="12"/>
      <c r="F973" s="13"/>
      <c r="G973" s="14" t="str">
        <f aca="false">IF(F973&lt;&gt;"",IF(AND(ISNUMBER(F973),N(F973)&gt;=0),F973,""),IF(AND(ISNUMBER(D973),ISNUMBER(E973)),ROUND(MOD(E973-D973,1)*1440,0),""))</f>
        <v/>
      </c>
      <c r="H973" s="9"/>
      <c r="I973" s="10" t="str">
        <f aca="false">IF(H973="","",IF(SUMPRODUCT(MAX((Setup!$D$5:$D$34=H973)*(35-ROW(Setup!$D$5:$D$34))))=0,"Not in Setup",INDEX(Setup!$E$5:$E$34,31-SUMPRODUCT(MAX((Setup!$D$5:$D$34=H973)*(35-ROW(Setup!$D$5:$D$34)))))))</f>
        <v/>
      </c>
      <c r="J973" s="9"/>
      <c r="K973" s="10" t="str">
        <f aca="false">IF(AND(A973="",C973="",D973="",E973="",F973="",H973=""),"",IF(NOT(ISNUMBER(A973)),"Enter a date",IF(AND(F973&lt;&gt;"",OR(NOT(ISNUMBER(F973)),N(F973)&lt;0)),"Minutes must be a number of 0 or more",IF(G973="","Enter start and end times, or minutes",IF(C973="","Pick a machine",IF(SUMPRODUCT(--(Setup!$A$5:$A$34=C973))=0,"Machine not in Setup",IF(H973="","Pick a reason (counted as unclassified)",IF(I973="Not in Setup","Reason not in Setup (counted as unclassified)",IF(N(G973)=0,"0 minutes: not counted as a stop","OK")))))))))</f>
        <v/>
      </c>
    </row>
    <row r="974" customFormat="false" ht="15" hidden="false" customHeight="false" outlineLevel="0" collapsed="false">
      <c r="A974" s="11"/>
      <c r="B974" s="9"/>
      <c r="C974" s="9"/>
      <c r="D974" s="12"/>
      <c r="E974" s="12"/>
      <c r="F974" s="13"/>
      <c r="G974" s="14" t="str">
        <f aca="false">IF(F974&lt;&gt;"",IF(AND(ISNUMBER(F974),N(F974)&gt;=0),F974,""),IF(AND(ISNUMBER(D974),ISNUMBER(E974)),ROUND(MOD(E974-D974,1)*1440,0),""))</f>
        <v/>
      </c>
      <c r="H974" s="9"/>
      <c r="I974" s="10" t="str">
        <f aca="false">IF(H974="","",IF(SUMPRODUCT(MAX((Setup!$D$5:$D$34=H974)*(35-ROW(Setup!$D$5:$D$34))))=0,"Not in Setup",INDEX(Setup!$E$5:$E$34,31-SUMPRODUCT(MAX((Setup!$D$5:$D$34=H974)*(35-ROW(Setup!$D$5:$D$34)))))))</f>
        <v/>
      </c>
      <c r="J974" s="9"/>
      <c r="K974" s="10" t="str">
        <f aca="false">IF(AND(A974="",C974="",D974="",E974="",F974="",H974=""),"",IF(NOT(ISNUMBER(A974)),"Enter a date",IF(AND(F974&lt;&gt;"",OR(NOT(ISNUMBER(F974)),N(F974)&lt;0)),"Minutes must be a number of 0 or more",IF(G974="","Enter start and end times, or minutes",IF(C974="","Pick a machine",IF(SUMPRODUCT(--(Setup!$A$5:$A$34=C974))=0,"Machine not in Setup",IF(H974="","Pick a reason (counted as unclassified)",IF(I974="Not in Setup","Reason not in Setup (counted as unclassified)",IF(N(G974)=0,"0 minutes: not counted as a stop","OK")))))))))</f>
        <v/>
      </c>
    </row>
    <row r="975" customFormat="false" ht="15" hidden="false" customHeight="false" outlineLevel="0" collapsed="false">
      <c r="A975" s="11"/>
      <c r="B975" s="9"/>
      <c r="C975" s="9"/>
      <c r="D975" s="12"/>
      <c r="E975" s="12"/>
      <c r="F975" s="13"/>
      <c r="G975" s="14" t="str">
        <f aca="false">IF(F975&lt;&gt;"",IF(AND(ISNUMBER(F975),N(F975)&gt;=0),F975,""),IF(AND(ISNUMBER(D975),ISNUMBER(E975)),ROUND(MOD(E975-D975,1)*1440,0),""))</f>
        <v/>
      </c>
      <c r="H975" s="9"/>
      <c r="I975" s="10" t="str">
        <f aca="false">IF(H975="","",IF(SUMPRODUCT(MAX((Setup!$D$5:$D$34=H975)*(35-ROW(Setup!$D$5:$D$34))))=0,"Not in Setup",INDEX(Setup!$E$5:$E$34,31-SUMPRODUCT(MAX((Setup!$D$5:$D$34=H975)*(35-ROW(Setup!$D$5:$D$34)))))))</f>
        <v/>
      </c>
      <c r="J975" s="9"/>
      <c r="K975" s="10" t="str">
        <f aca="false">IF(AND(A975="",C975="",D975="",E975="",F975="",H975=""),"",IF(NOT(ISNUMBER(A975)),"Enter a date",IF(AND(F975&lt;&gt;"",OR(NOT(ISNUMBER(F975)),N(F975)&lt;0)),"Minutes must be a number of 0 or more",IF(G975="","Enter start and end times, or minutes",IF(C975="","Pick a machine",IF(SUMPRODUCT(--(Setup!$A$5:$A$34=C975))=0,"Machine not in Setup",IF(H975="","Pick a reason (counted as unclassified)",IF(I975="Not in Setup","Reason not in Setup (counted as unclassified)",IF(N(G975)=0,"0 minutes: not counted as a stop","OK")))))))))</f>
        <v/>
      </c>
    </row>
    <row r="976" customFormat="false" ht="15" hidden="false" customHeight="false" outlineLevel="0" collapsed="false">
      <c r="A976" s="11"/>
      <c r="B976" s="9"/>
      <c r="C976" s="9"/>
      <c r="D976" s="12"/>
      <c r="E976" s="12"/>
      <c r="F976" s="13"/>
      <c r="G976" s="14" t="str">
        <f aca="false">IF(F976&lt;&gt;"",IF(AND(ISNUMBER(F976),N(F976)&gt;=0),F976,""),IF(AND(ISNUMBER(D976),ISNUMBER(E976)),ROUND(MOD(E976-D976,1)*1440,0),""))</f>
        <v/>
      </c>
      <c r="H976" s="9"/>
      <c r="I976" s="10" t="str">
        <f aca="false">IF(H976="","",IF(SUMPRODUCT(MAX((Setup!$D$5:$D$34=H976)*(35-ROW(Setup!$D$5:$D$34))))=0,"Not in Setup",INDEX(Setup!$E$5:$E$34,31-SUMPRODUCT(MAX((Setup!$D$5:$D$34=H976)*(35-ROW(Setup!$D$5:$D$34)))))))</f>
        <v/>
      </c>
      <c r="J976" s="9"/>
      <c r="K976" s="10" t="str">
        <f aca="false">IF(AND(A976="",C976="",D976="",E976="",F976="",H976=""),"",IF(NOT(ISNUMBER(A976)),"Enter a date",IF(AND(F976&lt;&gt;"",OR(NOT(ISNUMBER(F976)),N(F976)&lt;0)),"Minutes must be a number of 0 or more",IF(G976="","Enter start and end times, or minutes",IF(C976="","Pick a machine",IF(SUMPRODUCT(--(Setup!$A$5:$A$34=C976))=0,"Machine not in Setup",IF(H976="","Pick a reason (counted as unclassified)",IF(I976="Not in Setup","Reason not in Setup (counted as unclassified)",IF(N(G976)=0,"0 minutes: not counted as a stop","OK")))))))))</f>
        <v/>
      </c>
    </row>
    <row r="977" customFormat="false" ht="15" hidden="false" customHeight="false" outlineLevel="0" collapsed="false">
      <c r="A977" s="11"/>
      <c r="B977" s="9"/>
      <c r="C977" s="9"/>
      <c r="D977" s="12"/>
      <c r="E977" s="12"/>
      <c r="F977" s="13"/>
      <c r="G977" s="14" t="str">
        <f aca="false">IF(F977&lt;&gt;"",IF(AND(ISNUMBER(F977),N(F977)&gt;=0),F977,""),IF(AND(ISNUMBER(D977),ISNUMBER(E977)),ROUND(MOD(E977-D977,1)*1440,0),""))</f>
        <v/>
      </c>
      <c r="H977" s="9"/>
      <c r="I977" s="10" t="str">
        <f aca="false">IF(H977="","",IF(SUMPRODUCT(MAX((Setup!$D$5:$D$34=H977)*(35-ROW(Setup!$D$5:$D$34))))=0,"Not in Setup",INDEX(Setup!$E$5:$E$34,31-SUMPRODUCT(MAX((Setup!$D$5:$D$34=H977)*(35-ROW(Setup!$D$5:$D$34)))))))</f>
        <v/>
      </c>
      <c r="J977" s="9"/>
      <c r="K977" s="10" t="str">
        <f aca="false">IF(AND(A977="",C977="",D977="",E977="",F977="",H977=""),"",IF(NOT(ISNUMBER(A977)),"Enter a date",IF(AND(F977&lt;&gt;"",OR(NOT(ISNUMBER(F977)),N(F977)&lt;0)),"Minutes must be a number of 0 or more",IF(G977="","Enter start and end times, or minutes",IF(C977="","Pick a machine",IF(SUMPRODUCT(--(Setup!$A$5:$A$34=C977))=0,"Machine not in Setup",IF(H977="","Pick a reason (counted as unclassified)",IF(I977="Not in Setup","Reason not in Setup (counted as unclassified)",IF(N(G977)=0,"0 minutes: not counted as a stop","OK")))))))))</f>
        <v/>
      </c>
    </row>
    <row r="978" customFormat="false" ht="15" hidden="false" customHeight="false" outlineLevel="0" collapsed="false">
      <c r="A978" s="11"/>
      <c r="B978" s="9"/>
      <c r="C978" s="9"/>
      <c r="D978" s="12"/>
      <c r="E978" s="12"/>
      <c r="F978" s="13"/>
      <c r="G978" s="14" t="str">
        <f aca="false">IF(F978&lt;&gt;"",IF(AND(ISNUMBER(F978),N(F978)&gt;=0),F978,""),IF(AND(ISNUMBER(D978),ISNUMBER(E978)),ROUND(MOD(E978-D978,1)*1440,0),""))</f>
        <v/>
      </c>
      <c r="H978" s="9"/>
      <c r="I978" s="10" t="str">
        <f aca="false">IF(H978="","",IF(SUMPRODUCT(MAX((Setup!$D$5:$D$34=H978)*(35-ROW(Setup!$D$5:$D$34))))=0,"Not in Setup",INDEX(Setup!$E$5:$E$34,31-SUMPRODUCT(MAX((Setup!$D$5:$D$34=H978)*(35-ROW(Setup!$D$5:$D$34)))))))</f>
        <v/>
      </c>
      <c r="J978" s="9"/>
      <c r="K978" s="10" t="str">
        <f aca="false">IF(AND(A978="",C978="",D978="",E978="",F978="",H978=""),"",IF(NOT(ISNUMBER(A978)),"Enter a date",IF(AND(F978&lt;&gt;"",OR(NOT(ISNUMBER(F978)),N(F978)&lt;0)),"Minutes must be a number of 0 or more",IF(G978="","Enter start and end times, or minutes",IF(C978="","Pick a machine",IF(SUMPRODUCT(--(Setup!$A$5:$A$34=C978))=0,"Machine not in Setup",IF(H978="","Pick a reason (counted as unclassified)",IF(I978="Not in Setup","Reason not in Setup (counted as unclassified)",IF(N(G978)=0,"0 minutes: not counted as a stop","OK")))))))))</f>
        <v/>
      </c>
    </row>
    <row r="979" customFormat="false" ht="15" hidden="false" customHeight="false" outlineLevel="0" collapsed="false">
      <c r="A979" s="11"/>
      <c r="B979" s="9"/>
      <c r="C979" s="9"/>
      <c r="D979" s="12"/>
      <c r="E979" s="12"/>
      <c r="F979" s="13"/>
      <c r="G979" s="14" t="str">
        <f aca="false">IF(F979&lt;&gt;"",IF(AND(ISNUMBER(F979),N(F979)&gt;=0),F979,""),IF(AND(ISNUMBER(D979),ISNUMBER(E979)),ROUND(MOD(E979-D979,1)*1440,0),""))</f>
        <v/>
      </c>
      <c r="H979" s="9"/>
      <c r="I979" s="10" t="str">
        <f aca="false">IF(H979="","",IF(SUMPRODUCT(MAX((Setup!$D$5:$D$34=H979)*(35-ROW(Setup!$D$5:$D$34))))=0,"Not in Setup",INDEX(Setup!$E$5:$E$34,31-SUMPRODUCT(MAX((Setup!$D$5:$D$34=H979)*(35-ROW(Setup!$D$5:$D$34)))))))</f>
        <v/>
      </c>
      <c r="J979" s="9"/>
      <c r="K979" s="10" t="str">
        <f aca="false">IF(AND(A979="",C979="",D979="",E979="",F979="",H979=""),"",IF(NOT(ISNUMBER(A979)),"Enter a date",IF(AND(F979&lt;&gt;"",OR(NOT(ISNUMBER(F979)),N(F979)&lt;0)),"Minutes must be a number of 0 or more",IF(G979="","Enter start and end times, or minutes",IF(C979="","Pick a machine",IF(SUMPRODUCT(--(Setup!$A$5:$A$34=C979))=0,"Machine not in Setup",IF(H979="","Pick a reason (counted as unclassified)",IF(I979="Not in Setup","Reason not in Setup (counted as unclassified)",IF(N(G979)=0,"0 minutes: not counted as a stop","OK")))))))))</f>
        <v/>
      </c>
    </row>
    <row r="980" customFormat="false" ht="15" hidden="false" customHeight="false" outlineLevel="0" collapsed="false">
      <c r="A980" s="11"/>
      <c r="B980" s="9"/>
      <c r="C980" s="9"/>
      <c r="D980" s="12"/>
      <c r="E980" s="12"/>
      <c r="F980" s="13"/>
      <c r="G980" s="14" t="str">
        <f aca="false">IF(F980&lt;&gt;"",IF(AND(ISNUMBER(F980),N(F980)&gt;=0),F980,""),IF(AND(ISNUMBER(D980),ISNUMBER(E980)),ROUND(MOD(E980-D980,1)*1440,0),""))</f>
        <v/>
      </c>
      <c r="H980" s="9"/>
      <c r="I980" s="10" t="str">
        <f aca="false">IF(H980="","",IF(SUMPRODUCT(MAX((Setup!$D$5:$D$34=H980)*(35-ROW(Setup!$D$5:$D$34))))=0,"Not in Setup",INDEX(Setup!$E$5:$E$34,31-SUMPRODUCT(MAX((Setup!$D$5:$D$34=H980)*(35-ROW(Setup!$D$5:$D$34)))))))</f>
        <v/>
      </c>
      <c r="J980" s="9"/>
      <c r="K980" s="10" t="str">
        <f aca="false">IF(AND(A980="",C980="",D980="",E980="",F980="",H980=""),"",IF(NOT(ISNUMBER(A980)),"Enter a date",IF(AND(F980&lt;&gt;"",OR(NOT(ISNUMBER(F980)),N(F980)&lt;0)),"Minutes must be a number of 0 or more",IF(G980="","Enter start and end times, or minutes",IF(C980="","Pick a machine",IF(SUMPRODUCT(--(Setup!$A$5:$A$34=C980))=0,"Machine not in Setup",IF(H980="","Pick a reason (counted as unclassified)",IF(I980="Not in Setup","Reason not in Setup (counted as unclassified)",IF(N(G980)=0,"0 minutes: not counted as a stop","OK")))))))))</f>
        <v/>
      </c>
    </row>
    <row r="981" customFormat="false" ht="15" hidden="false" customHeight="false" outlineLevel="0" collapsed="false">
      <c r="A981" s="11"/>
      <c r="B981" s="9"/>
      <c r="C981" s="9"/>
      <c r="D981" s="12"/>
      <c r="E981" s="12"/>
      <c r="F981" s="13"/>
      <c r="G981" s="14" t="str">
        <f aca="false">IF(F981&lt;&gt;"",IF(AND(ISNUMBER(F981),N(F981)&gt;=0),F981,""),IF(AND(ISNUMBER(D981),ISNUMBER(E981)),ROUND(MOD(E981-D981,1)*1440,0),""))</f>
        <v/>
      </c>
      <c r="H981" s="9"/>
      <c r="I981" s="10" t="str">
        <f aca="false">IF(H981="","",IF(SUMPRODUCT(MAX((Setup!$D$5:$D$34=H981)*(35-ROW(Setup!$D$5:$D$34))))=0,"Not in Setup",INDEX(Setup!$E$5:$E$34,31-SUMPRODUCT(MAX((Setup!$D$5:$D$34=H981)*(35-ROW(Setup!$D$5:$D$34)))))))</f>
        <v/>
      </c>
      <c r="J981" s="9"/>
      <c r="K981" s="10" t="str">
        <f aca="false">IF(AND(A981="",C981="",D981="",E981="",F981="",H981=""),"",IF(NOT(ISNUMBER(A981)),"Enter a date",IF(AND(F981&lt;&gt;"",OR(NOT(ISNUMBER(F981)),N(F981)&lt;0)),"Minutes must be a number of 0 or more",IF(G981="","Enter start and end times, or minutes",IF(C981="","Pick a machine",IF(SUMPRODUCT(--(Setup!$A$5:$A$34=C981))=0,"Machine not in Setup",IF(H981="","Pick a reason (counted as unclassified)",IF(I981="Not in Setup","Reason not in Setup (counted as unclassified)",IF(N(G981)=0,"0 minutes: not counted as a stop","OK")))))))))</f>
        <v/>
      </c>
    </row>
    <row r="982" customFormat="false" ht="15" hidden="false" customHeight="false" outlineLevel="0" collapsed="false">
      <c r="A982" s="11"/>
      <c r="B982" s="9"/>
      <c r="C982" s="9"/>
      <c r="D982" s="12"/>
      <c r="E982" s="12"/>
      <c r="F982" s="13"/>
      <c r="G982" s="14" t="str">
        <f aca="false">IF(F982&lt;&gt;"",IF(AND(ISNUMBER(F982),N(F982)&gt;=0),F982,""),IF(AND(ISNUMBER(D982),ISNUMBER(E982)),ROUND(MOD(E982-D982,1)*1440,0),""))</f>
        <v/>
      </c>
      <c r="H982" s="9"/>
      <c r="I982" s="10" t="str">
        <f aca="false">IF(H982="","",IF(SUMPRODUCT(MAX((Setup!$D$5:$D$34=H982)*(35-ROW(Setup!$D$5:$D$34))))=0,"Not in Setup",INDEX(Setup!$E$5:$E$34,31-SUMPRODUCT(MAX((Setup!$D$5:$D$34=H982)*(35-ROW(Setup!$D$5:$D$34)))))))</f>
        <v/>
      </c>
      <c r="J982" s="9"/>
      <c r="K982" s="10" t="str">
        <f aca="false">IF(AND(A982="",C982="",D982="",E982="",F982="",H982=""),"",IF(NOT(ISNUMBER(A982)),"Enter a date",IF(AND(F982&lt;&gt;"",OR(NOT(ISNUMBER(F982)),N(F982)&lt;0)),"Minutes must be a number of 0 or more",IF(G982="","Enter start and end times, or minutes",IF(C982="","Pick a machine",IF(SUMPRODUCT(--(Setup!$A$5:$A$34=C982))=0,"Machine not in Setup",IF(H982="","Pick a reason (counted as unclassified)",IF(I982="Not in Setup","Reason not in Setup (counted as unclassified)",IF(N(G982)=0,"0 minutes: not counted as a stop","OK")))))))))</f>
        <v/>
      </c>
    </row>
    <row r="983" customFormat="false" ht="15" hidden="false" customHeight="false" outlineLevel="0" collapsed="false">
      <c r="A983" s="11"/>
      <c r="B983" s="9"/>
      <c r="C983" s="9"/>
      <c r="D983" s="12"/>
      <c r="E983" s="12"/>
      <c r="F983" s="13"/>
      <c r="G983" s="14" t="str">
        <f aca="false">IF(F983&lt;&gt;"",IF(AND(ISNUMBER(F983),N(F983)&gt;=0),F983,""),IF(AND(ISNUMBER(D983),ISNUMBER(E983)),ROUND(MOD(E983-D983,1)*1440,0),""))</f>
        <v/>
      </c>
      <c r="H983" s="9"/>
      <c r="I983" s="10" t="str">
        <f aca="false">IF(H983="","",IF(SUMPRODUCT(MAX((Setup!$D$5:$D$34=H983)*(35-ROW(Setup!$D$5:$D$34))))=0,"Not in Setup",INDEX(Setup!$E$5:$E$34,31-SUMPRODUCT(MAX((Setup!$D$5:$D$34=H983)*(35-ROW(Setup!$D$5:$D$34)))))))</f>
        <v/>
      </c>
      <c r="J983" s="9"/>
      <c r="K983" s="10" t="str">
        <f aca="false">IF(AND(A983="",C983="",D983="",E983="",F983="",H983=""),"",IF(NOT(ISNUMBER(A983)),"Enter a date",IF(AND(F983&lt;&gt;"",OR(NOT(ISNUMBER(F983)),N(F983)&lt;0)),"Minutes must be a number of 0 or more",IF(G983="","Enter start and end times, or minutes",IF(C983="","Pick a machine",IF(SUMPRODUCT(--(Setup!$A$5:$A$34=C983))=0,"Machine not in Setup",IF(H983="","Pick a reason (counted as unclassified)",IF(I983="Not in Setup","Reason not in Setup (counted as unclassified)",IF(N(G983)=0,"0 minutes: not counted as a stop","OK")))))))))</f>
        <v/>
      </c>
    </row>
    <row r="984" customFormat="false" ht="15" hidden="false" customHeight="false" outlineLevel="0" collapsed="false">
      <c r="A984" s="11"/>
      <c r="B984" s="9"/>
      <c r="C984" s="9"/>
      <c r="D984" s="12"/>
      <c r="E984" s="12"/>
      <c r="F984" s="13"/>
      <c r="G984" s="14" t="str">
        <f aca="false">IF(F984&lt;&gt;"",IF(AND(ISNUMBER(F984),N(F984)&gt;=0),F984,""),IF(AND(ISNUMBER(D984),ISNUMBER(E984)),ROUND(MOD(E984-D984,1)*1440,0),""))</f>
        <v/>
      </c>
      <c r="H984" s="9"/>
      <c r="I984" s="10" t="str">
        <f aca="false">IF(H984="","",IF(SUMPRODUCT(MAX((Setup!$D$5:$D$34=H984)*(35-ROW(Setup!$D$5:$D$34))))=0,"Not in Setup",INDEX(Setup!$E$5:$E$34,31-SUMPRODUCT(MAX((Setup!$D$5:$D$34=H984)*(35-ROW(Setup!$D$5:$D$34)))))))</f>
        <v/>
      </c>
      <c r="J984" s="9"/>
      <c r="K984" s="10" t="str">
        <f aca="false">IF(AND(A984="",C984="",D984="",E984="",F984="",H984=""),"",IF(NOT(ISNUMBER(A984)),"Enter a date",IF(AND(F984&lt;&gt;"",OR(NOT(ISNUMBER(F984)),N(F984)&lt;0)),"Minutes must be a number of 0 or more",IF(G984="","Enter start and end times, or minutes",IF(C984="","Pick a machine",IF(SUMPRODUCT(--(Setup!$A$5:$A$34=C984))=0,"Machine not in Setup",IF(H984="","Pick a reason (counted as unclassified)",IF(I984="Not in Setup","Reason not in Setup (counted as unclassified)",IF(N(G984)=0,"0 minutes: not counted as a stop","OK")))))))))</f>
        <v/>
      </c>
    </row>
    <row r="985" customFormat="false" ht="15" hidden="false" customHeight="false" outlineLevel="0" collapsed="false">
      <c r="A985" s="11"/>
      <c r="B985" s="9"/>
      <c r="C985" s="9"/>
      <c r="D985" s="12"/>
      <c r="E985" s="12"/>
      <c r="F985" s="13"/>
      <c r="G985" s="14" t="str">
        <f aca="false">IF(F985&lt;&gt;"",IF(AND(ISNUMBER(F985),N(F985)&gt;=0),F985,""),IF(AND(ISNUMBER(D985),ISNUMBER(E985)),ROUND(MOD(E985-D985,1)*1440,0),""))</f>
        <v/>
      </c>
      <c r="H985" s="9"/>
      <c r="I985" s="10" t="str">
        <f aca="false">IF(H985="","",IF(SUMPRODUCT(MAX((Setup!$D$5:$D$34=H985)*(35-ROW(Setup!$D$5:$D$34))))=0,"Not in Setup",INDEX(Setup!$E$5:$E$34,31-SUMPRODUCT(MAX((Setup!$D$5:$D$34=H985)*(35-ROW(Setup!$D$5:$D$34)))))))</f>
        <v/>
      </c>
      <c r="J985" s="9"/>
      <c r="K985" s="10" t="str">
        <f aca="false">IF(AND(A985="",C985="",D985="",E985="",F985="",H985=""),"",IF(NOT(ISNUMBER(A985)),"Enter a date",IF(AND(F985&lt;&gt;"",OR(NOT(ISNUMBER(F985)),N(F985)&lt;0)),"Minutes must be a number of 0 or more",IF(G985="","Enter start and end times, or minutes",IF(C985="","Pick a machine",IF(SUMPRODUCT(--(Setup!$A$5:$A$34=C985))=0,"Machine not in Setup",IF(H985="","Pick a reason (counted as unclassified)",IF(I985="Not in Setup","Reason not in Setup (counted as unclassified)",IF(N(G985)=0,"0 minutes: not counted as a stop","OK")))))))))</f>
        <v/>
      </c>
    </row>
    <row r="986" customFormat="false" ht="15" hidden="false" customHeight="false" outlineLevel="0" collapsed="false">
      <c r="A986" s="11"/>
      <c r="B986" s="9"/>
      <c r="C986" s="9"/>
      <c r="D986" s="12"/>
      <c r="E986" s="12"/>
      <c r="F986" s="13"/>
      <c r="G986" s="14" t="str">
        <f aca="false">IF(F986&lt;&gt;"",IF(AND(ISNUMBER(F986),N(F986)&gt;=0),F986,""),IF(AND(ISNUMBER(D986),ISNUMBER(E986)),ROUND(MOD(E986-D986,1)*1440,0),""))</f>
        <v/>
      </c>
      <c r="H986" s="9"/>
      <c r="I986" s="10" t="str">
        <f aca="false">IF(H986="","",IF(SUMPRODUCT(MAX((Setup!$D$5:$D$34=H986)*(35-ROW(Setup!$D$5:$D$34))))=0,"Not in Setup",INDEX(Setup!$E$5:$E$34,31-SUMPRODUCT(MAX((Setup!$D$5:$D$34=H986)*(35-ROW(Setup!$D$5:$D$34)))))))</f>
        <v/>
      </c>
      <c r="J986" s="9"/>
      <c r="K986" s="10" t="str">
        <f aca="false">IF(AND(A986="",C986="",D986="",E986="",F986="",H986=""),"",IF(NOT(ISNUMBER(A986)),"Enter a date",IF(AND(F986&lt;&gt;"",OR(NOT(ISNUMBER(F986)),N(F986)&lt;0)),"Minutes must be a number of 0 or more",IF(G986="","Enter start and end times, or minutes",IF(C986="","Pick a machine",IF(SUMPRODUCT(--(Setup!$A$5:$A$34=C986))=0,"Machine not in Setup",IF(H986="","Pick a reason (counted as unclassified)",IF(I986="Not in Setup","Reason not in Setup (counted as unclassified)",IF(N(G986)=0,"0 minutes: not counted as a stop","OK")))))))))</f>
        <v/>
      </c>
    </row>
    <row r="987" customFormat="false" ht="15" hidden="false" customHeight="false" outlineLevel="0" collapsed="false">
      <c r="A987" s="11"/>
      <c r="B987" s="9"/>
      <c r="C987" s="9"/>
      <c r="D987" s="12"/>
      <c r="E987" s="12"/>
      <c r="F987" s="13"/>
      <c r="G987" s="14" t="str">
        <f aca="false">IF(F987&lt;&gt;"",IF(AND(ISNUMBER(F987),N(F987)&gt;=0),F987,""),IF(AND(ISNUMBER(D987),ISNUMBER(E987)),ROUND(MOD(E987-D987,1)*1440,0),""))</f>
        <v/>
      </c>
      <c r="H987" s="9"/>
      <c r="I987" s="10" t="str">
        <f aca="false">IF(H987="","",IF(SUMPRODUCT(MAX((Setup!$D$5:$D$34=H987)*(35-ROW(Setup!$D$5:$D$34))))=0,"Not in Setup",INDEX(Setup!$E$5:$E$34,31-SUMPRODUCT(MAX((Setup!$D$5:$D$34=H987)*(35-ROW(Setup!$D$5:$D$34)))))))</f>
        <v/>
      </c>
      <c r="J987" s="9"/>
      <c r="K987" s="10" t="str">
        <f aca="false">IF(AND(A987="",C987="",D987="",E987="",F987="",H987=""),"",IF(NOT(ISNUMBER(A987)),"Enter a date",IF(AND(F987&lt;&gt;"",OR(NOT(ISNUMBER(F987)),N(F987)&lt;0)),"Minutes must be a number of 0 or more",IF(G987="","Enter start and end times, or minutes",IF(C987="","Pick a machine",IF(SUMPRODUCT(--(Setup!$A$5:$A$34=C987))=0,"Machine not in Setup",IF(H987="","Pick a reason (counted as unclassified)",IF(I987="Not in Setup","Reason not in Setup (counted as unclassified)",IF(N(G987)=0,"0 minutes: not counted as a stop","OK")))))))))</f>
        <v/>
      </c>
    </row>
    <row r="988" customFormat="false" ht="15" hidden="false" customHeight="false" outlineLevel="0" collapsed="false">
      <c r="A988" s="11"/>
      <c r="B988" s="9"/>
      <c r="C988" s="9"/>
      <c r="D988" s="12"/>
      <c r="E988" s="12"/>
      <c r="F988" s="13"/>
      <c r="G988" s="14" t="str">
        <f aca="false">IF(F988&lt;&gt;"",IF(AND(ISNUMBER(F988),N(F988)&gt;=0),F988,""),IF(AND(ISNUMBER(D988),ISNUMBER(E988)),ROUND(MOD(E988-D988,1)*1440,0),""))</f>
        <v/>
      </c>
      <c r="H988" s="9"/>
      <c r="I988" s="10" t="str">
        <f aca="false">IF(H988="","",IF(SUMPRODUCT(MAX((Setup!$D$5:$D$34=H988)*(35-ROW(Setup!$D$5:$D$34))))=0,"Not in Setup",INDEX(Setup!$E$5:$E$34,31-SUMPRODUCT(MAX((Setup!$D$5:$D$34=H988)*(35-ROW(Setup!$D$5:$D$34)))))))</f>
        <v/>
      </c>
      <c r="J988" s="9"/>
      <c r="K988" s="10" t="str">
        <f aca="false">IF(AND(A988="",C988="",D988="",E988="",F988="",H988=""),"",IF(NOT(ISNUMBER(A988)),"Enter a date",IF(AND(F988&lt;&gt;"",OR(NOT(ISNUMBER(F988)),N(F988)&lt;0)),"Minutes must be a number of 0 or more",IF(G988="","Enter start and end times, or minutes",IF(C988="","Pick a machine",IF(SUMPRODUCT(--(Setup!$A$5:$A$34=C988))=0,"Machine not in Setup",IF(H988="","Pick a reason (counted as unclassified)",IF(I988="Not in Setup","Reason not in Setup (counted as unclassified)",IF(N(G988)=0,"0 minutes: not counted as a stop","OK")))))))))</f>
        <v/>
      </c>
    </row>
    <row r="989" customFormat="false" ht="15" hidden="false" customHeight="false" outlineLevel="0" collapsed="false">
      <c r="A989" s="11"/>
      <c r="B989" s="9"/>
      <c r="C989" s="9"/>
      <c r="D989" s="12"/>
      <c r="E989" s="12"/>
      <c r="F989" s="13"/>
      <c r="G989" s="14" t="str">
        <f aca="false">IF(F989&lt;&gt;"",IF(AND(ISNUMBER(F989),N(F989)&gt;=0),F989,""),IF(AND(ISNUMBER(D989),ISNUMBER(E989)),ROUND(MOD(E989-D989,1)*1440,0),""))</f>
        <v/>
      </c>
      <c r="H989" s="9"/>
      <c r="I989" s="10" t="str">
        <f aca="false">IF(H989="","",IF(SUMPRODUCT(MAX((Setup!$D$5:$D$34=H989)*(35-ROW(Setup!$D$5:$D$34))))=0,"Not in Setup",INDEX(Setup!$E$5:$E$34,31-SUMPRODUCT(MAX((Setup!$D$5:$D$34=H989)*(35-ROW(Setup!$D$5:$D$34)))))))</f>
        <v/>
      </c>
      <c r="J989" s="9"/>
      <c r="K989" s="10" t="str">
        <f aca="false">IF(AND(A989="",C989="",D989="",E989="",F989="",H989=""),"",IF(NOT(ISNUMBER(A989)),"Enter a date",IF(AND(F989&lt;&gt;"",OR(NOT(ISNUMBER(F989)),N(F989)&lt;0)),"Minutes must be a number of 0 or more",IF(G989="","Enter start and end times, or minutes",IF(C989="","Pick a machine",IF(SUMPRODUCT(--(Setup!$A$5:$A$34=C989))=0,"Machine not in Setup",IF(H989="","Pick a reason (counted as unclassified)",IF(I989="Not in Setup","Reason not in Setup (counted as unclassified)",IF(N(G989)=0,"0 minutes: not counted as a stop","OK")))))))))</f>
        <v/>
      </c>
    </row>
    <row r="990" customFormat="false" ht="15" hidden="false" customHeight="false" outlineLevel="0" collapsed="false">
      <c r="A990" s="11"/>
      <c r="B990" s="9"/>
      <c r="C990" s="9"/>
      <c r="D990" s="12"/>
      <c r="E990" s="12"/>
      <c r="F990" s="13"/>
      <c r="G990" s="14" t="str">
        <f aca="false">IF(F990&lt;&gt;"",IF(AND(ISNUMBER(F990),N(F990)&gt;=0),F990,""),IF(AND(ISNUMBER(D990),ISNUMBER(E990)),ROUND(MOD(E990-D990,1)*1440,0),""))</f>
        <v/>
      </c>
      <c r="H990" s="9"/>
      <c r="I990" s="10" t="str">
        <f aca="false">IF(H990="","",IF(SUMPRODUCT(MAX((Setup!$D$5:$D$34=H990)*(35-ROW(Setup!$D$5:$D$34))))=0,"Not in Setup",INDEX(Setup!$E$5:$E$34,31-SUMPRODUCT(MAX((Setup!$D$5:$D$34=H990)*(35-ROW(Setup!$D$5:$D$34)))))))</f>
        <v/>
      </c>
      <c r="J990" s="9"/>
      <c r="K990" s="10" t="str">
        <f aca="false">IF(AND(A990="",C990="",D990="",E990="",F990="",H990=""),"",IF(NOT(ISNUMBER(A990)),"Enter a date",IF(AND(F990&lt;&gt;"",OR(NOT(ISNUMBER(F990)),N(F990)&lt;0)),"Minutes must be a number of 0 or more",IF(G990="","Enter start and end times, or minutes",IF(C990="","Pick a machine",IF(SUMPRODUCT(--(Setup!$A$5:$A$34=C990))=0,"Machine not in Setup",IF(H990="","Pick a reason (counted as unclassified)",IF(I990="Not in Setup","Reason not in Setup (counted as unclassified)",IF(N(G990)=0,"0 minutes: not counted as a stop","OK")))))))))</f>
        <v/>
      </c>
    </row>
    <row r="991" customFormat="false" ht="15" hidden="false" customHeight="false" outlineLevel="0" collapsed="false">
      <c r="A991" s="11"/>
      <c r="B991" s="9"/>
      <c r="C991" s="9"/>
      <c r="D991" s="12"/>
      <c r="E991" s="12"/>
      <c r="F991" s="13"/>
      <c r="G991" s="14" t="str">
        <f aca="false">IF(F991&lt;&gt;"",IF(AND(ISNUMBER(F991),N(F991)&gt;=0),F991,""),IF(AND(ISNUMBER(D991),ISNUMBER(E991)),ROUND(MOD(E991-D991,1)*1440,0),""))</f>
        <v/>
      </c>
      <c r="H991" s="9"/>
      <c r="I991" s="10" t="str">
        <f aca="false">IF(H991="","",IF(SUMPRODUCT(MAX((Setup!$D$5:$D$34=H991)*(35-ROW(Setup!$D$5:$D$34))))=0,"Not in Setup",INDEX(Setup!$E$5:$E$34,31-SUMPRODUCT(MAX((Setup!$D$5:$D$34=H991)*(35-ROW(Setup!$D$5:$D$34)))))))</f>
        <v/>
      </c>
      <c r="J991" s="9"/>
      <c r="K991" s="10" t="str">
        <f aca="false">IF(AND(A991="",C991="",D991="",E991="",F991="",H991=""),"",IF(NOT(ISNUMBER(A991)),"Enter a date",IF(AND(F991&lt;&gt;"",OR(NOT(ISNUMBER(F991)),N(F991)&lt;0)),"Minutes must be a number of 0 or more",IF(G991="","Enter start and end times, or minutes",IF(C991="","Pick a machine",IF(SUMPRODUCT(--(Setup!$A$5:$A$34=C991))=0,"Machine not in Setup",IF(H991="","Pick a reason (counted as unclassified)",IF(I991="Not in Setup","Reason not in Setup (counted as unclassified)",IF(N(G991)=0,"0 minutes: not counted as a stop","OK")))))))))</f>
        <v/>
      </c>
    </row>
    <row r="992" customFormat="false" ht="15" hidden="false" customHeight="false" outlineLevel="0" collapsed="false">
      <c r="A992" s="11"/>
      <c r="B992" s="9"/>
      <c r="C992" s="9"/>
      <c r="D992" s="12"/>
      <c r="E992" s="12"/>
      <c r="F992" s="13"/>
      <c r="G992" s="14" t="str">
        <f aca="false">IF(F992&lt;&gt;"",IF(AND(ISNUMBER(F992),N(F992)&gt;=0),F992,""),IF(AND(ISNUMBER(D992),ISNUMBER(E992)),ROUND(MOD(E992-D992,1)*1440,0),""))</f>
        <v/>
      </c>
      <c r="H992" s="9"/>
      <c r="I992" s="10" t="str">
        <f aca="false">IF(H992="","",IF(SUMPRODUCT(MAX((Setup!$D$5:$D$34=H992)*(35-ROW(Setup!$D$5:$D$34))))=0,"Not in Setup",INDEX(Setup!$E$5:$E$34,31-SUMPRODUCT(MAX((Setup!$D$5:$D$34=H992)*(35-ROW(Setup!$D$5:$D$34)))))))</f>
        <v/>
      </c>
      <c r="J992" s="9"/>
      <c r="K992" s="10" t="str">
        <f aca="false">IF(AND(A992="",C992="",D992="",E992="",F992="",H992=""),"",IF(NOT(ISNUMBER(A992)),"Enter a date",IF(AND(F992&lt;&gt;"",OR(NOT(ISNUMBER(F992)),N(F992)&lt;0)),"Minutes must be a number of 0 or more",IF(G992="","Enter start and end times, or minutes",IF(C992="","Pick a machine",IF(SUMPRODUCT(--(Setup!$A$5:$A$34=C992))=0,"Machine not in Setup",IF(H992="","Pick a reason (counted as unclassified)",IF(I992="Not in Setup","Reason not in Setup (counted as unclassified)",IF(N(G992)=0,"0 minutes: not counted as a stop","OK")))))))))</f>
        <v/>
      </c>
    </row>
    <row r="993" customFormat="false" ht="15" hidden="false" customHeight="false" outlineLevel="0" collapsed="false">
      <c r="A993" s="11"/>
      <c r="B993" s="9"/>
      <c r="C993" s="9"/>
      <c r="D993" s="12"/>
      <c r="E993" s="12"/>
      <c r="F993" s="13"/>
      <c r="G993" s="14" t="str">
        <f aca="false">IF(F993&lt;&gt;"",IF(AND(ISNUMBER(F993),N(F993)&gt;=0),F993,""),IF(AND(ISNUMBER(D993),ISNUMBER(E993)),ROUND(MOD(E993-D993,1)*1440,0),""))</f>
        <v/>
      </c>
      <c r="H993" s="9"/>
      <c r="I993" s="10" t="str">
        <f aca="false">IF(H993="","",IF(SUMPRODUCT(MAX((Setup!$D$5:$D$34=H993)*(35-ROW(Setup!$D$5:$D$34))))=0,"Not in Setup",INDEX(Setup!$E$5:$E$34,31-SUMPRODUCT(MAX((Setup!$D$5:$D$34=H993)*(35-ROW(Setup!$D$5:$D$34)))))))</f>
        <v/>
      </c>
      <c r="J993" s="9"/>
      <c r="K993" s="10" t="str">
        <f aca="false">IF(AND(A993="",C993="",D993="",E993="",F993="",H993=""),"",IF(NOT(ISNUMBER(A993)),"Enter a date",IF(AND(F993&lt;&gt;"",OR(NOT(ISNUMBER(F993)),N(F993)&lt;0)),"Minutes must be a number of 0 or more",IF(G993="","Enter start and end times, or minutes",IF(C993="","Pick a machine",IF(SUMPRODUCT(--(Setup!$A$5:$A$34=C993))=0,"Machine not in Setup",IF(H993="","Pick a reason (counted as unclassified)",IF(I993="Not in Setup","Reason not in Setup (counted as unclassified)",IF(N(G993)=0,"0 minutes: not counted as a stop","OK")))))))))</f>
        <v/>
      </c>
    </row>
    <row r="994" customFormat="false" ht="15" hidden="false" customHeight="false" outlineLevel="0" collapsed="false">
      <c r="A994" s="11"/>
      <c r="B994" s="9"/>
      <c r="C994" s="9"/>
      <c r="D994" s="12"/>
      <c r="E994" s="12"/>
      <c r="F994" s="13"/>
      <c r="G994" s="14" t="str">
        <f aca="false">IF(F994&lt;&gt;"",IF(AND(ISNUMBER(F994),N(F994)&gt;=0),F994,""),IF(AND(ISNUMBER(D994),ISNUMBER(E994)),ROUND(MOD(E994-D994,1)*1440,0),""))</f>
        <v/>
      </c>
      <c r="H994" s="9"/>
      <c r="I994" s="10" t="str">
        <f aca="false">IF(H994="","",IF(SUMPRODUCT(MAX((Setup!$D$5:$D$34=H994)*(35-ROW(Setup!$D$5:$D$34))))=0,"Not in Setup",INDEX(Setup!$E$5:$E$34,31-SUMPRODUCT(MAX((Setup!$D$5:$D$34=H994)*(35-ROW(Setup!$D$5:$D$34)))))))</f>
        <v/>
      </c>
      <c r="J994" s="9"/>
      <c r="K994" s="10" t="str">
        <f aca="false">IF(AND(A994="",C994="",D994="",E994="",F994="",H994=""),"",IF(NOT(ISNUMBER(A994)),"Enter a date",IF(AND(F994&lt;&gt;"",OR(NOT(ISNUMBER(F994)),N(F994)&lt;0)),"Minutes must be a number of 0 or more",IF(G994="","Enter start and end times, or minutes",IF(C994="","Pick a machine",IF(SUMPRODUCT(--(Setup!$A$5:$A$34=C994))=0,"Machine not in Setup",IF(H994="","Pick a reason (counted as unclassified)",IF(I994="Not in Setup","Reason not in Setup (counted as unclassified)",IF(N(G994)=0,"0 minutes: not counted as a stop","OK")))))))))</f>
        <v/>
      </c>
    </row>
    <row r="995" customFormat="false" ht="15" hidden="false" customHeight="false" outlineLevel="0" collapsed="false">
      <c r="A995" s="11"/>
      <c r="B995" s="9"/>
      <c r="C995" s="9"/>
      <c r="D995" s="12"/>
      <c r="E995" s="12"/>
      <c r="F995" s="13"/>
      <c r="G995" s="14" t="str">
        <f aca="false">IF(F995&lt;&gt;"",IF(AND(ISNUMBER(F995),N(F995)&gt;=0),F995,""),IF(AND(ISNUMBER(D995),ISNUMBER(E995)),ROUND(MOD(E995-D995,1)*1440,0),""))</f>
        <v/>
      </c>
      <c r="H995" s="9"/>
      <c r="I995" s="10" t="str">
        <f aca="false">IF(H995="","",IF(SUMPRODUCT(MAX((Setup!$D$5:$D$34=H995)*(35-ROW(Setup!$D$5:$D$34))))=0,"Not in Setup",INDEX(Setup!$E$5:$E$34,31-SUMPRODUCT(MAX((Setup!$D$5:$D$34=H995)*(35-ROW(Setup!$D$5:$D$34)))))))</f>
        <v/>
      </c>
      <c r="J995" s="9"/>
      <c r="K995" s="10" t="str">
        <f aca="false">IF(AND(A995="",C995="",D995="",E995="",F995="",H995=""),"",IF(NOT(ISNUMBER(A995)),"Enter a date",IF(AND(F995&lt;&gt;"",OR(NOT(ISNUMBER(F995)),N(F995)&lt;0)),"Minutes must be a number of 0 or more",IF(G995="","Enter start and end times, or minutes",IF(C995="","Pick a machine",IF(SUMPRODUCT(--(Setup!$A$5:$A$34=C995))=0,"Machine not in Setup",IF(H995="","Pick a reason (counted as unclassified)",IF(I995="Not in Setup","Reason not in Setup (counted as unclassified)",IF(N(G995)=0,"0 minutes: not counted as a stop","OK")))))))))</f>
        <v/>
      </c>
    </row>
    <row r="996" customFormat="false" ht="15" hidden="false" customHeight="false" outlineLevel="0" collapsed="false">
      <c r="A996" s="11"/>
      <c r="B996" s="9"/>
      <c r="C996" s="9"/>
      <c r="D996" s="12"/>
      <c r="E996" s="12"/>
      <c r="F996" s="13"/>
      <c r="G996" s="14" t="str">
        <f aca="false">IF(F996&lt;&gt;"",IF(AND(ISNUMBER(F996),N(F996)&gt;=0),F996,""),IF(AND(ISNUMBER(D996),ISNUMBER(E996)),ROUND(MOD(E996-D996,1)*1440,0),""))</f>
        <v/>
      </c>
      <c r="H996" s="9"/>
      <c r="I996" s="10" t="str">
        <f aca="false">IF(H996="","",IF(SUMPRODUCT(MAX((Setup!$D$5:$D$34=H996)*(35-ROW(Setup!$D$5:$D$34))))=0,"Not in Setup",INDEX(Setup!$E$5:$E$34,31-SUMPRODUCT(MAX((Setup!$D$5:$D$34=H996)*(35-ROW(Setup!$D$5:$D$34)))))))</f>
        <v/>
      </c>
      <c r="J996" s="9"/>
      <c r="K996" s="10" t="str">
        <f aca="false">IF(AND(A996="",C996="",D996="",E996="",F996="",H996=""),"",IF(NOT(ISNUMBER(A996)),"Enter a date",IF(AND(F996&lt;&gt;"",OR(NOT(ISNUMBER(F996)),N(F996)&lt;0)),"Minutes must be a number of 0 or more",IF(G996="","Enter start and end times, or minutes",IF(C996="","Pick a machine",IF(SUMPRODUCT(--(Setup!$A$5:$A$34=C996))=0,"Machine not in Setup",IF(H996="","Pick a reason (counted as unclassified)",IF(I996="Not in Setup","Reason not in Setup (counted as unclassified)",IF(N(G996)=0,"0 minutes: not counted as a stop","OK")))))))))</f>
        <v/>
      </c>
    </row>
    <row r="997" customFormat="false" ht="15" hidden="false" customHeight="false" outlineLevel="0" collapsed="false">
      <c r="A997" s="11"/>
      <c r="B997" s="9"/>
      <c r="C997" s="9"/>
      <c r="D997" s="12"/>
      <c r="E997" s="12"/>
      <c r="F997" s="13"/>
      <c r="G997" s="14" t="str">
        <f aca="false">IF(F997&lt;&gt;"",IF(AND(ISNUMBER(F997),N(F997)&gt;=0),F997,""),IF(AND(ISNUMBER(D997),ISNUMBER(E997)),ROUND(MOD(E997-D997,1)*1440,0),""))</f>
        <v/>
      </c>
      <c r="H997" s="9"/>
      <c r="I997" s="10" t="str">
        <f aca="false">IF(H997="","",IF(SUMPRODUCT(MAX((Setup!$D$5:$D$34=H997)*(35-ROW(Setup!$D$5:$D$34))))=0,"Not in Setup",INDEX(Setup!$E$5:$E$34,31-SUMPRODUCT(MAX((Setup!$D$5:$D$34=H997)*(35-ROW(Setup!$D$5:$D$34)))))))</f>
        <v/>
      </c>
      <c r="J997" s="9"/>
      <c r="K997" s="10" t="str">
        <f aca="false">IF(AND(A997="",C997="",D997="",E997="",F997="",H997=""),"",IF(NOT(ISNUMBER(A997)),"Enter a date",IF(AND(F997&lt;&gt;"",OR(NOT(ISNUMBER(F997)),N(F997)&lt;0)),"Minutes must be a number of 0 or more",IF(G997="","Enter start and end times, or minutes",IF(C997="","Pick a machine",IF(SUMPRODUCT(--(Setup!$A$5:$A$34=C997))=0,"Machine not in Setup",IF(H997="","Pick a reason (counted as unclassified)",IF(I997="Not in Setup","Reason not in Setup (counted as unclassified)",IF(N(G997)=0,"0 minutes: not counted as a stop","OK")))))))))</f>
        <v/>
      </c>
    </row>
    <row r="998" customFormat="false" ht="15" hidden="false" customHeight="false" outlineLevel="0" collapsed="false">
      <c r="A998" s="11"/>
      <c r="B998" s="9"/>
      <c r="C998" s="9"/>
      <c r="D998" s="12"/>
      <c r="E998" s="12"/>
      <c r="F998" s="13"/>
      <c r="G998" s="14" t="str">
        <f aca="false">IF(F998&lt;&gt;"",IF(AND(ISNUMBER(F998),N(F998)&gt;=0),F998,""),IF(AND(ISNUMBER(D998),ISNUMBER(E998)),ROUND(MOD(E998-D998,1)*1440,0),""))</f>
        <v/>
      </c>
      <c r="H998" s="9"/>
      <c r="I998" s="10" t="str">
        <f aca="false">IF(H998="","",IF(SUMPRODUCT(MAX((Setup!$D$5:$D$34=H998)*(35-ROW(Setup!$D$5:$D$34))))=0,"Not in Setup",INDEX(Setup!$E$5:$E$34,31-SUMPRODUCT(MAX((Setup!$D$5:$D$34=H998)*(35-ROW(Setup!$D$5:$D$34)))))))</f>
        <v/>
      </c>
      <c r="J998" s="9"/>
      <c r="K998" s="10" t="str">
        <f aca="false">IF(AND(A998="",C998="",D998="",E998="",F998="",H998=""),"",IF(NOT(ISNUMBER(A998)),"Enter a date",IF(AND(F998&lt;&gt;"",OR(NOT(ISNUMBER(F998)),N(F998)&lt;0)),"Minutes must be a number of 0 or more",IF(G998="","Enter start and end times, or minutes",IF(C998="","Pick a machine",IF(SUMPRODUCT(--(Setup!$A$5:$A$34=C998))=0,"Machine not in Setup",IF(H998="","Pick a reason (counted as unclassified)",IF(I998="Not in Setup","Reason not in Setup (counted as unclassified)",IF(N(G998)=0,"0 minutes: not counted as a stop","OK")))))))))</f>
        <v/>
      </c>
    </row>
    <row r="999" customFormat="false" ht="15" hidden="false" customHeight="false" outlineLevel="0" collapsed="false">
      <c r="A999" s="11"/>
      <c r="B999" s="9"/>
      <c r="C999" s="9"/>
      <c r="D999" s="12"/>
      <c r="E999" s="12"/>
      <c r="F999" s="13"/>
      <c r="G999" s="14" t="str">
        <f aca="false">IF(F999&lt;&gt;"",IF(AND(ISNUMBER(F999),N(F999)&gt;=0),F999,""),IF(AND(ISNUMBER(D999),ISNUMBER(E999)),ROUND(MOD(E999-D999,1)*1440,0),""))</f>
        <v/>
      </c>
      <c r="H999" s="9"/>
      <c r="I999" s="10" t="str">
        <f aca="false">IF(H999="","",IF(SUMPRODUCT(MAX((Setup!$D$5:$D$34=H999)*(35-ROW(Setup!$D$5:$D$34))))=0,"Not in Setup",INDEX(Setup!$E$5:$E$34,31-SUMPRODUCT(MAX((Setup!$D$5:$D$34=H999)*(35-ROW(Setup!$D$5:$D$34)))))))</f>
        <v/>
      </c>
      <c r="J999" s="9"/>
      <c r="K999" s="10" t="str">
        <f aca="false">IF(AND(A999="",C999="",D999="",E999="",F999="",H999=""),"",IF(NOT(ISNUMBER(A999)),"Enter a date",IF(AND(F999&lt;&gt;"",OR(NOT(ISNUMBER(F999)),N(F999)&lt;0)),"Minutes must be a number of 0 or more",IF(G999="","Enter start and end times, or minutes",IF(C999="","Pick a machine",IF(SUMPRODUCT(--(Setup!$A$5:$A$34=C999))=0,"Machine not in Setup",IF(H999="","Pick a reason (counted as unclassified)",IF(I999="Not in Setup","Reason not in Setup (counted as unclassified)",IF(N(G999)=0,"0 minutes: not counted as a stop","OK")))))))))</f>
        <v/>
      </c>
    </row>
    <row r="1000" customFormat="false" ht="15" hidden="false" customHeight="false" outlineLevel="0" collapsed="false">
      <c r="A1000" s="11"/>
      <c r="B1000" s="9"/>
      <c r="C1000" s="9"/>
      <c r="D1000" s="12"/>
      <c r="E1000" s="12"/>
      <c r="F1000" s="13"/>
      <c r="G1000" s="14" t="str">
        <f aca="false">IF(F1000&lt;&gt;"",IF(AND(ISNUMBER(F1000),N(F1000)&gt;=0),F1000,""),IF(AND(ISNUMBER(D1000),ISNUMBER(E1000)),ROUND(MOD(E1000-D1000,1)*1440,0),""))</f>
        <v/>
      </c>
      <c r="H1000" s="9"/>
      <c r="I1000" s="10" t="str">
        <f aca="false">IF(H1000="","",IF(SUMPRODUCT(MAX((Setup!$D$5:$D$34=H1000)*(35-ROW(Setup!$D$5:$D$34))))=0,"Not in Setup",INDEX(Setup!$E$5:$E$34,31-SUMPRODUCT(MAX((Setup!$D$5:$D$34=H1000)*(35-ROW(Setup!$D$5:$D$34)))))))</f>
        <v/>
      </c>
      <c r="J1000" s="9"/>
      <c r="K1000" s="10" t="str">
        <f aca="false">IF(AND(A1000="",C1000="",D1000="",E1000="",F1000="",H1000=""),"",IF(NOT(ISNUMBER(A1000)),"Enter a date",IF(AND(F1000&lt;&gt;"",OR(NOT(ISNUMBER(F1000)),N(F1000)&lt;0)),"Minutes must be a number of 0 or more",IF(G1000="","Enter start and end times, or minutes",IF(C1000="","Pick a machine",IF(SUMPRODUCT(--(Setup!$A$5:$A$34=C1000))=0,"Machine not in Setup",IF(H1000="","Pick a reason (counted as unclassified)",IF(I1000="Not in Setup","Reason not in Setup (counted as unclassified)",IF(N(G1000)=0,"0 minutes: not counted as a stop","OK")))))))))</f>
        <v/>
      </c>
    </row>
    <row r="1001" customFormat="false" ht="15" hidden="false" customHeight="false" outlineLevel="0" collapsed="false">
      <c r="A1001" s="11"/>
      <c r="B1001" s="9"/>
      <c r="C1001" s="9"/>
      <c r="D1001" s="12"/>
      <c r="E1001" s="12"/>
      <c r="F1001" s="13"/>
      <c r="G1001" s="14" t="str">
        <f aca="false">IF(F1001&lt;&gt;"",IF(AND(ISNUMBER(F1001),N(F1001)&gt;=0),F1001,""),IF(AND(ISNUMBER(D1001),ISNUMBER(E1001)),ROUND(MOD(E1001-D1001,1)*1440,0),""))</f>
        <v/>
      </c>
      <c r="H1001" s="9"/>
      <c r="I1001" s="10" t="str">
        <f aca="false">IF(H1001="","",IF(SUMPRODUCT(MAX((Setup!$D$5:$D$34=H1001)*(35-ROW(Setup!$D$5:$D$34))))=0,"Not in Setup",INDEX(Setup!$E$5:$E$34,31-SUMPRODUCT(MAX((Setup!$D$5:$D$34=H1001)*(35-ROW(Setup!$D$5:$D$34)))))))</f>
        <v/>
      </c>
      <c r="J1001" s="9"/>
      <c r="K1001" s="10" t="str">
        <f aca="false">IF(AND(A1001="",C1001="",D1001="",E1001="",F1001="",H1001=""),"",IF(NOT(ISNUMBER(A1001)),"Enter a date",IF(AND(F1001&lt;&gt;"",OR(NOT(ISNUMBER(F1001)),N(F1001)&lt;0)),"Minutes must be a number of 0 or more",IF(G1001="","Enter start and end times, or minutes",IF(C1001="","Pick a machine",IF(SUMPRODUCT(--(Setup!$A$5:$A$34=C1001))=0,"Machine not in Setup",IF(H1001="","Pick a reason (counted as unclassified)",IF(I1001="Not in Setup","Reason not in Setup (counted as unclassified)",IF(N(G1001)=0,"0 minutes: not counted as a stop","OK")))))))))</f>
        <v/>
      </c>
    </row>
    <row r="1002" customFormat="false" ht="15" hidden="false" customHeight="false" outlineLevel="0" collapsed="false">
      <c r="A1002" s="11"/>
      <c r="B1002" s="9"/>
      <c r="C1002" s="9"/>
      <c r="D1002" s="12"/>
      <c r="E1002" s="12"/>
      <c r="F1002" s="13"/>
      <c r="G1002" s="14" t="str">
        <f aca="false">IF(F1002&lt;&gt;"",IF(AND(ISNUMBER(F1002),N(F1002)&gt;=0),F1002,""),IF(AND(ISNUMBER(D1002),ISNUMBER(E1002)),ROUND(MOD(E1002-D1002,1)*1440,0),""))</f>
        <v/>
      </c>
      <c r="H1002" s="9"/>
      <c r="I1002" s="10" t="str">
        <f aca="false">IF(H1002="","",IF(SUMPRODUCT(MAX((Setup!$D$5:$D$34=H1002)*(35-ROW(Setup!$D$5:$D$34))))=0,"Not in Setup",INDEX(Setup!$E$5:$E$34,31-SUMPRODUCT(MAX((Setup!$D$5:$D$34=H1002)*(35-ROW(Setup!$D$5:$D$34)))))))</f>
        <v/>
      </c>
      <c r="J1002" s="9"/>
      <c r="K1002" s="10" t="str">
        <f aca="false">IF(AND(A1002="",C1002="",D1002="",E1002="",F1002="",H1002=""),"",IF(NOT(ISNUMBER(A1002)),"Enter a date",IF(AND(F1002&lt;&gt;"",OR(NOT(ISNUMBER(F1002)),N(F1002)&lt;0)),"Minutes must be a number of 0 or more",IF(G1002="","Enter start and end times, or minutes",IF(C1002="","Pick a machine",IF(SUMPRODUCT(--(Setup!$A$5:$A$34=C1002))=0,"Machine not in Setup",IF(H1002="","Pick a reason (counted as unclassified)",IF(I1002="Not in Setup","Reason not in Setup (counted as unclassified)",IF(N(G1002)=0,"0 minutes: not counted as a stop","OK")))))))))</f>
        <v/>
      </c>
    </row>
    <row r="1003" customFormat="false" ht="15" hidden="false" customHeight="false" outlineLevel="0" collapsed="false">
      <c r="A1003" s="11"/>
      <c r="B1003" s="9"/>
      <c r="C1003" s="9"/>
      <c r="D1003" s="12"/>
      <c r="E1003" s="12"/>
      <c r="F1003" s="13"/>
      <c r="G1003" s="14" t="str">
        <f aca="false">IF(F1003&lt;&gt;"",IF(AND(ISNUMBER(F1003),N(F1003)&gt;=0),F1003,""),IF(AND(ISNUMBER(D1003),ISNUMBER(E1003)),ROUND(MOD(E1003-D1003,1)*1440,0),""))</f>
        <v/>
      </c>
      <c r="H1003" s="9"/>
      <c r="I1003" s="10" t="str">
        <f aca="false">IF(H1003="","",IF(SUMPRODUCT(MAX((Setup!$D$5:$D$34=H1003)*(35-ROW(Setup!$D$5:$D$34))))=0,"Not in Setup",INDEX(Setup!$E$5:$E$34,31-SUMPRODUCT(MAX((Setup!$D$5:$D$34=H1003)*(35-ROW(Setup!$D$5:$D$34)))))))</f>
        <v/>
      </c>
      <c r="J1003" s="9"/>
      <c r="K1003" s="10" t="str">
        <f aca="false">IF(AND(A1003="",C1003="",D1003="",E1003="",F1003="",H1003=""),"",IF(NOT(ISNUMBER(A1003)),"Enter a date",IF(AND(F1003&lt;&gt;"",OR(NOT(ISNUMBER(F1003)),N(F1003)&lt;0)),"Minutes must be a number of 0 or more",IF(G1003="","Enter start and end times, or minutes",IF(C1003="","Pick a machine",IF(SUMPRODUCT(--(Setup!$A$5:$A$34=C1003))=0,"Machine not in Setup",IF(H1003="","Pick a reason (counted as unclassified)",IF(I1003="Not in Setup","Reason not in Setup (counted as unclassified)",IF(N(G1003)=0,"0 minutes: not counted as a stop","OK")))))))))</f>
        <v/>
      </c>
    </row>
    <row r="1004" customFormat="false" ht="15" hidden="false" customHeight="false" outlineLevel="0" collapsed="false">
      <c r="A1004" s="11"/>
      <c r="B1004" s="9"/>
      <c r="C1004" s="9"/>
      <c r="D1004" s="12"/>
      <c r="E1004" s="12"/>
      <c r="F1004" s="13"/>
      <c r="G1004" s="14" t="str">
        <f aca="false">IF(F1004&lt;&gt;"",IF(AND(ISNUMBER(F1004),N(F1004)&gt;=0),F1004,""),IF(AND(ISNUMBER(D1004),ISNUMBER(E1004)),ROUND(MOD(E1004-D1004,1)*1440,0),""))</f>
        <v/>
      </c>
      <c r="H1004" s="9"/>
      <c r="I1004" s="10" t="str">
        <f aca="false">IF(H1004="","",IF(SUMPRODUCT(MAX((Setup!$D$5:$D$34=H1004)*(35-ROW(Setup!$D$5:$D$34))))=0,"Not in Setup",INDEX(Setup!$E$5:$E$34,31-SUMPRODUCT(MAX((Setup!$D$5:$D$34=H1004)*(35-ROW(Setup!$D$5:$D$34)))))))</f>
        <v/>
      </c>
      <c r="J1004" s="9"/>
      <c r="K1004" s="10" t="str">
        <f aca="false">IF(AND(A1004="",C1004="",D1004="",E1004="",F1004="",H1004=""),"",IF(NOT(ISNUMBER(A1004)),"Enter a date",IF(AND(F1004&lt;&gt;"",OR(NOT(ISNUMBER(F1004)),N(F1004)&lt;0)),"Minutes must be a number of 0 or more",IF(G1004="","Enter start and end times, or minutes",IF(C1004="","Pick a machine",IF(SUMPRODUCT(--(Setup!$A$5:$A$34=C1004))=0,"Machine not in Setup",IF(H1004="","Pick a reason (counted as unclassified)",IF(I1004="Not in Setup","Reason not in Setup (counted as unclassified)",IF(N(G1004)=0,"0 minutes: not counted as a stop","OK")))))))))</f>
        <v/>
      </c>
    </row>
  </sheetData>
  <dataValidations count="3">
    <dataValidation allowBlank="true" error="Pick a machine listed on the Setup sheet." errorStyle="stop" operator="between" showDropDown="false" showErrorMessage="false" showInputMessage="false" sqref="C5:C1004" type="list">
      <formula1>Setup!$A$5:$A$34</formula1>
      <formula2>0</formula2>
    </dataValidation>
    <dataValidation allowBlank="true" error="Pick a reason listed on the Setup sheet." errorStyle="stop" operator="between" showDropDown="false" showErrorMessage="false" showInputMessage="false" sqref="H5:H1004" type="list">
      <formula1>Setup!$D$5:$D$34</formula1>
      <formula2>0</formula2>
    </dataValidation>
    <dataValidation allowBlank="true" error="Enter minutes as a number of 0 or more." errorStyle="stop" operator="greaterThanOrEqual" showDropDown="false" showErrorMessage="false" showInputMessage="false" sqref="F5:F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8" style="0" width="3"/>
    <col collapsed="false" customWidth="true" hidden="true" outlineLevel="0" max="9" min="9" style="0" width="30"/>
    <col collapsed="false" customWidth="true" hidden="true" outlineLevel="0" max="10" min="10" style="0" width="11"/>
    <col collapsed="false" customWidth="true" hidden="true" outlineLevel="0" max="11" min="11" style="0" width="9"/>
    <col collapsed="false" customWidth="true" hidden="true" outlineLevel="0" max="12" min="12" style="0" width="14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3" customFormat="false" ht="15" hidden="false" customHeight="false" outlineLevel="0" collapsed="false">
      <c r="A3" s="15" t="s">
        <v>64</v>
      </c>
      <c r="B3" s="11"/>
      <c r="D3" s="16" t="n">
        <f aca="false">IF(B3="",DATE(1900,1,1),B3)</f>
        <v>2</v>
      </c>
    </row>
    <row r="4" customFormat="false" ht="15" hidden="false" customHeight="false" outlineLevel="0" collapsed="false">
      <c r="A4" s="15" t="s">
        <v>65</v>
      </c>
      <c r="B4" s="11"/>
      <c r="D4" s="16" t="n">
        <f aca="false">IF(B4="",DATE(2999,12,31),B4)</f>
        <v>401768</v>
      </c>
    </row>
    <row r="5" customFormat="false" ht="15" hidden="false" customHeight="false" outlineLevel="0" collapsed="false">
      <c r="A5" s="15" t="s">
        <v>66</v>
      </c>
      <c r="B5" s="9"/>
    </row>
    <row r="6" customFormat="false" ht="15" hidden="false" customHeight="false" outlineLevel="0" collapsed="false">
      <c r="A6" s="15" t="s">
        <v>67</v>
      </c>
      <c r="B6" s="17" t="n">
        <f aca="false">SUMPRODUCT(('Downtime Log'!$A$5:$A$1004&gt;=$D$3)*('Downtime Log'!$A$5:$A$1004&lt;=$D$4)*((($B$5="")+('Downtime Log'!$C$5:$C$1004=$B$5))&gt;0),'Downtime Log'!$G$5:$G$1004)</f>
        <v>255</v>
      </c>
    </row>
    <row r="7" customFormat="false" ht="15" hidden="false" customHeight="false" outlineLevel="0" collapsed="false">
      <c r="A7" s="15" t="s">
        <v>68</v>
      </c>
      <c r="B7" s="18" t="n">
        <f aca="false">B6-SUM($J$9:$J$38)</f>
        <v>0</v>
      </c>
      <c r="C7" s="19" t="s">
        <v>69</v>
      </c>
    </row>
    <row r="8" customFormat="false" ht="31.5" hidden="false" customHeight="true" outlineLevel="0" collapsed="false">
      <c r="A8" s="7" t="s">
        <v>70</v>
      </c>
      <c r="B8" s="7" t="s">
        <v>53</v>
      </c>
      <c r="C8" s="7" t="s">
        <v>71</v>
      </c>
      <c r="D8" s="7" t="s">
        <v>72</v>
      </c>
      <c r="E8" s="7" t="s">
        <v>73</v>
      </c>
      <c r="F8" s="7" t="s">
        <v>74</v>
      </c>
      <c r="I8" s="20" t="s">
        <v>75</v>
      </c>
      <c r="J8" s="20" t="s">
        <v>76</v>
      </c>
      <c r="K8" s="20" t="s">
        <v>77</v>
      </c>
      <c r="L8" s="20" t="s">
        <v>78</v>
      </c>
    </row>
    <row r="9" customFormat="false" ht="15" hidden="false" customHeight="false" outlineLevel="0" collapsed="false">
      <c r="A9" s="21" t="n">
        <v>1</v>
      </c>
      <c r="B9" s="10" t="str">
        <f aca="false">IF(INDEX($J$9:$J$38,MATCH(LARGE($L$9:$L$38,A9),$L$9:$L$38,0))&lt;=0,"",INDEX($I$9:$I$38,MATCH(LARGE($L$9:$L$38,A9),$L$9:$L$38,0)))</f>
        <v>Mechanical breakdown</v>
      </c>
      <c r="C9" s="22" t="n">
        <f aca="false">IF(B9="","",INDEX($J$9:$J$38,MATCH(LARGE($L$9:$L$38,A9),$L$9:$L$38,0)))</f>
        <v>100</v>
      </c>
      <c r="D9" s="14" t="n">
        <f aca="false">IF(B9="","",INDEX($K$9:$K$38,MATCH(LARGE($L$9:$L$38,A9),$L$9:$L$38,0)))</f>
        <v>2</v>
      </c>
      <c r="E9" s="23" t="n">
        <f aca="false">IF(OR(B9="",$B$6=0),"",C9/$B$6)</f>
        <v>0.392156862745098</v>
      </c>
      <c r="F9" s="23" t="n">
        <f aca="false">IF(OR(B9="",$B$6=0),"",SUM($C$9:C9)/$B$6)</f>
        <v>0.392156862745098</v>
      </c>
      <c r="I9" s="24" t="str">
        <f aca="false">IF(Setup!D5="","",IF(SUMPRODUCT(--(Setup!$D$4:D4=Setup!D5))&gt;0,"",Setup!D5))</f>
        <v>Mechanical breakdown</v>
      </c>
      <c r="J9" s="24" t="n">
        <f aca="false">IF(I9="",0,SUMPRODUCT(('Downtime Log'!$H$5:$H$1004=I9)*('Downtime Log'!$A$5:$A$1004&gt;=$D$3)*('Downtime Log'!$A$5:$A$1004&lt;=$D$4)*((($B$5="")+('Downtime Log'!$C$5:$C$1004=$B$5))&gt;0),'Downtime Log'!$G$5:$G$1004))</f>
        <v>100</v>
      </c>
      <c r="K9" s="24" t="n">
        <f aca="false">IF(I9="",0,SUMPRODUCT(('Downtime Log'!$H$5:$H$1004=I9)*('Downtime Log'!$A$5:$A$1004&gt;=$D$3)*('Downtime Log'!$A$5:$A$1004&lt;=$D$4)*((($B$5="")+('Downtime Log'!$C$5:$C$1004=$B$5))&gt;0)*ISNUMBER('Downtime Log'!$G$5:$G$1004)*('Downtime Log'!$G$5:$G$1004&gt;0)))</f>
        <v>2</v>
      </c>
      <c r="L9" s="24" t="n">
        <f aca="false">IF(I9="",-1,J9+(34-1)/1000000)</f>
        <v>100.000033</v>
      </c>
    </row>
    <row r="10" customFormat="false" ht="15" hidden="false" customHeight="false" outlineLevel="0" collapsed="false">
      <c r="A10" s="21" t="n">
        <v>2</v>
      </c>
      <c r="B10" s="10" t="str">
        <f aca="false">IF(INDEX($J$9:$J$38,MATCH(LARGE($L$9:$L$38,A10),$L$9:$L$38,0))&lt;=0,"",INDEX($I$9:$I$38,MATCH(LARGE($L$9:$L$38,A10),$L$9:$L$38,0)))</f>
        <v>Changeover / setup</v>
      </c>
      <c r="C10" s="22" t="n">
        <f aca="false">IF(B10="","",INDEX($J$9:$J$38,MATCH(LARGE($L$9:$L$38,A10),$L$9:$L$38,0)))</f>
        <v>65</v>
      </c>
      <c r="D10" s="14" t="n">
        <f aca="false">IF(B10="","",INDEX($K$9:$K$38,MATCH(LARGE($L$9:$L$38,A10),$L$9:$L$38,0)))</f>
        <v>2</v>
      </c>
      <c r="E10" s="23" t="n">
        <f aca="false">IF(OR(B10="",$B$6=0),"",C10/$B$6)</f>
        <v>0.254901960784314</v>
      </c>
      <c r="F10" s="23" t="n">
        <f aca="false">IF(OR(B10="",$B$6=0),"",SUM($C$9:C10)/$B$6)</f>
        <v>0.647058823529412</v>
      </c>
      <c r="I10" s="24" t="str">
        <f aca="false">IF(Setup!D6="","",IF(SUMPRODUCT(--(Setup!$D$4:D5=Setup!D6))&gt;0,"",Setup!D6))</f>
        <v>Electrical / controls fault</v>
      </c>
      <c r="J10" s="24" t="n">
        <f aca="false">IF(I10="",0,SUMPRODUCT(('Downtime Log'!$H$5:$H$1004=I10)*('Downtime Log'!$A$5:$A$1004&gt;=$D$3)*('Downtime Log'!$A$5:$A$1004&lt;=$D$4)*((($B$5="")+('Downtime Log'!$C$5:$C$1004=$B$5))&gt;0),'Downtime Log'!$G$5:$G$1004))</f>
        <v>0</v>
      </c>
      <c r="K10" s="24" t="n">
        <f aca="false">IF(I10="",0,SUMPRODUCT(('Downtime Log'!$H$5:$H$1004=I10)*('Downtime Log'!$A$5:$A$1004&gt;=$D$3)*('Downtime Log'!$A$5:$A$1004&lt;=$D$4)*((($B$5="")+('Downtime Log'!$C$5:$C$1004=$B$5))&gt;0)*ISNUMBER('Downtime Log'!$G$5:$G$1004)*('Downtime Log'!$G$5:$G$1004&gt;0)))</f>
        <v>0</v>
      </c>
      <c r="L10" s="24" t="n">
        <f aca="false">IF(I10="",-1,J10+(34-2)/1000000)</f>
        <v>3.2E-005</v>
      </c>
    </row>
    <row r="11" customFormat="false" ht="15" hidden="false" customHeight="false" outlineLevel="0" collapsed="false">
      <c r="A11" s="21" t="n">
        <v>3</v>
      </c>
      <c r="B11" s="10" t="str">
        <f aca="false">IF(INDEX($J$9:$J$38,MATCH(LARGE($L$9:$L$38,A11),$L$9:$L$38,0))&lt;=0,"",INDEX($I$9:$I$38,MATCH(LARGE($L$9:$L$38,A11),$L$9:$L$38,0)))</f>
        <v>Tooling failure</v>
      </c>
      <c r="C11" s="22" t="n">
        <f aca="false">IF(B11="","",INDEX($J$9:$J$38,MATCH(LARGE($L$9:$L$38,A11),$L$9:$L$38,0)))</f>
        <v>60</v>
      </c>
      <c r="D11" s="14" t="n">
        <f aca="false">IF(B11="","",INDEX($K$9:$K$38,MATCH(LARGE($L$9:$L$38,A11),$L$9:$L$38,0)))</f>
        <v>1</v>
      </c>
      <c r="E11" s="23" t="n">
        <f aca="false">IF(OR(B11="",$B$6=0),"",C11/$B$6)</f>
        <v>0.235294117647059</v>
      </c>
      <c r="F11" s="23" t="n">
        <f aca="false">IF(OR(B11="",$B$6=0),"",SUM($C$9:C11)/$B$6)</f>
        <v>0.882352941176471</v>
      </c>
      <c r="I11" s="24" t="str">
        <f aca="false">IF(Setup!D7="","",IF(SUMPRODUCT(--(Setup!$D$4:D6=Setup!D7))&gt;0,"",Setup!D7))</f>
        <v>Tooling failure</v>
      </c>
      <c r="J11" s="24" t="n">
        <f aca="false">IF(I11="",0,SUMPRODUCT(('Downtime Log'!$H$5:$H$1004=I11)*('Downtime Log'!$A$5:$A$1004&gt;=$D$3)*('Downtime Log'!$A$5:$A$1004&lt;=$D$4)*((($B$5="")+('Downtime Log'!$C$5:$C$1004=$B$5))&gt;0),'Downtime Log'!$G$5:$G$1004))</f>
        <v>60</v>
      </c>
      <c r="K11" s="24" t="n">
        <f aca="false">IF(I11="",0,SUMPRODUCT(('Downtime Log'!$H$5:$H$1004=I11)*('Downtime Log'!$A$5:$A$1004&gt;=$D$3)*('Downtime Log'!$A$5:$A$1004&lt;=$D$4)*((($B$5="")+('Downtime Log'!$C$5:$C$1004=$B$5))&gt;0)*ISNUMBER('Downtime Log'!$G$5:$G$1004)*('Downtime Log'!$G$5:$G$1004&gt;0)))</f>
        <v>1</v>
      </c>
      <c r="L11" s="24" t="n">
        <f aca="false">IF(I11="",-1,J11+(34-3)/1000000)</f>
        <v>60.000031</v>
      </c>
    </row>
    <row r="12" customFormat="false" ht="15" hidden="false" customHeight="false" outlineLevel="0" collapsed="false">
      <c r="A12" s="21" t="n">
        <v>4</v>
      </c>
      <c r="B12" s="10" t="str">
        <f aca="false">IF(INDEX($J$9:$J$38,MATCH(LARGE($L$9:$L$38,A12),$L$9:$L$38,0))&lt;=0,"",INDEX($I$9:$I$38,MATCH(LARGE($L$9:$L$38,A12),$L$9:$L$38,0)))</f>
        <v>Waiting for material</v>
      </c>
      <c r="C12" s="22" t="n">
        <f aca="false">IF(B12="","",INDEX($J$9:$J$38,MATCH(LARGE($L$9:$L$38,A12),$L$9:$L$38,0)))</f>
        <v>15</v>
      </c>
      <c r="D12" s="14" t="n">
        <f aca="false">IF(B12="","",INDEX($K$9:$K$38,MATCH(LARGE($L$9:$L$38,A12),$L$9:$L$38,0)))</f>
        <v>1</v>
      </c>
      <c r="E12" s="23" t="n">
        <f aca="false">IF(OR(B12="",$B$6=0),"",C12/$B$6)</f>
        <v>0.0588235294117647</v>
      </c>
      <c r="F12" s="23" t="n">
        <f aca="false">IF(OR(B12="",$B$6=0),"",SUM($C$9:C12)/$B$6)</f>
        <v>0.941176470588235</v>
      </c>
      <c r="I12" s="24" t="str">
        <f aca="false">IF(Setup!D8="","",IF(SUMPRODUCT(--(Setup!$D$4:D7=Setup!D8))&gt;0,"",Setup!D8))</f>
        <v>Changeover / setup</v>
      </c>
      <c r="J12" s="24" t="n">
        <f aca="false">IF(I12="",0,SUMPRODUCT(('Downtime Log'!$H$5:$H$1004=I12)*('Downtime Log'!$A$5:$A$1004&gt;=$D$3)*('Downtime Log'!$A$5:$A$1004&lt;=$D$4)*((($B$5="")+('Downtime Log'!$C$5:$C$1004=$B$5))&gt;0),'Downtime Log'!$G$5:$G$1004))</f>
        <v>65</v>
      </c>
      <c r="K12" s="24" t="n">
        <f aca="false">IF(I12="",0,SUMPRODUCT(('Downtime Log'!$H$5:$H$1004=I12)*('Downtime Log'!$A$5:$A$1004&gt;=$D$3)*('Downtime Log'!$A$5:$A$1004&lt;=$D$4)*((($B$5="")+('Downtime Log'!$C$5:$C$1004=$B$5))&gt;0)*ISNUMBER('Downtime Log'!$G$5:$G$1004)*('Downtime Log'!$G$5:$G$1004&gt;0)))</f>
        <v>2</v>
      </c>
      <c r="L12" s="24" t="n">
        <f aca="false">IF(I12="",-1,J12+(34-4)/1000000)</f>
        <v>65.00003</v>
      </c>
    </row>
    <row r="13" customFormat="false" ht="15" hidden="false" customHeight="false" outlineLevel="0" collapsed="false">
      <c r="A13" s="21" t="n">
        <v>5</v>
      </c>
      <c r="B13" s="10" t="str">
        <f aca="false">IF(INDEX($J$9:$J$38,MATCH(LARGE($L$9:$L$38,A13),$L$9:$L$38,0))&lt;=0,"",INDEX($I$9:$I$38,MATCH(LARGE($L$9:$L$38,A13),$L$9:$L$38,0)))</f>
        <v>Quality hold / inspection</v>
      </c>
      <c r="C13" s="22" t="n">
        <f aca="false">IF(B13="","",INDEX($J$9:$J$38,MATCH(LARGE($L$9:$L$38,A13),$L$9:$L$38,0)))</f>
        <v>15</v>
      </c>
      <c r="D13" s="14" t="n">
        <f aca="false">IF(B13="","",INDEX($K$9:$K$38,MATCH(LARGE($L$9:$L$38,A13),$L$9:$L$38,0)))</f>
        <v>1</v>
      </c>
      <c r="E13" s="23" t="n">
        <f aca="false">IF(OR(B13="",$B$6=0),"",C13/$B$6)</f>
        <v>0.0588235294117647</v>
      </c>
      <c r="F13" s="23" t="n">
        <f aca="false">IF(OR(B13="",$B$6=0),"",SUM($C$9:C13)/$B$6)</f>
        <v>1</v>
      </c>
      <c r="I13" s="24" t="str">
        <f aca="false">IF(Setup!D9="","",IF(SUMPRODUCT(--(Setup!$D$4:D8=Setup!D9))&gt;0,"",Setup!D9))</f>
        <v>Adjustment / tuning</v>
      </c>
      <c r="J13" s="24" t="n">
        <f aca="false">IF(I13="",0,SUMPRODUCT(('Downtime Log'!$H$5:$H$1004=I13)*('Downtime Log'!$A$5:$A$1004&gt;=$D$3)*('Downtime Log'!$A$5:$A$1004&lt;=$D$4)*((($B$5="")+('Downtime Log'!$C$5:$C$1004=$B$5))&gt;0),'Downtime Log'!$G$5:$G$1004))</f>
        <v>0</v>
      </c>
      <c r="K13" s="24" t="n">
        <f aca="false">IF(I13="",0,SUMPRODUCT(('Downtime Log'!$H$5:$H$1004=I13)*('Downtime Log'!$A$5:$A$1004&gt;=$D$3)*('Downtime Log'!$A$5:$A$1004&lt;=$D$4)*((($B$5="")+('Downtime Log'!$C$5:$C$1004=$B$5))&gt;0)*ISNUMBER('Downtime Log'!$G$5:$G$1004)*('Downtime Log'!$G$5:$G$1004&gt;0)))</f>
        <v>0</v>
      </c>
      <c r="L13" s="24" t="n">
        <f aca="false">IF(I13="",-1,J13+(34-5)/1000000)</f>
        <v>2.9E-005</v>
      </c>
    </row>
    <row r="14" customFormat="false" ht="15" hidden="false" customHeight="false" outlineLevel="0" collapsed="false">
      <c r="A14" s="21" t="n">
        <v>6</v>
      </c>
      <c r="B14" s="10" t="str">
        <f aca="false">IF(INDEX($J$9:$J$38,MATCH(LARGE($L$9:$L$38,A14),$L$9:$L$38,0))&lt;=0,"",INDEX($I$9:$I$38,MATCH(LARGE($L$9:$L$38,A14),$L$9:$L$38,0)))</f>
        <v/>
      </c>
      <c r="C14" s="22" t="str">
        <f aca="false">IF(B14="","",INDEX($J$9:$J$38,MATCH(LARGE($L$9:$L$38,A14),$L$9:$L$38,0)))</f>
        <v/>
      </c>
      <c r="D14" s="14" t="str">
        <f aca="false">IF(B14="","",INDEX($K$9:$K$38,MATCH(LARGE($L$9:$L$38,A14),$L$9:$L$38,0)))</f>
        <v/>
      </c>
      <c r="E14" s="23" t="str">
        <f aca="false">IF(OR(B14="",$B$6=0),"",C14/$B$6)</f>
        <v/>
      </c>
      <c r="F14" s="23" t="str">
        <f aca="false">IF(OR(B14="",$B$6=0),"",SUM($C$9:C14)/$B$6)</f>
        <v/>
      </c>
      <c r="I14" s="24" t="str">
        <f aca="false">IF(Setup!D10="","",IF(SUMPRODUCT(--(Setup!$D$4:D9=Setup!D10))&gt;0,"",Setup!D10))</f>
        <v>Waiting for material</v>
      </c>
      <c r="J14" s="24" t="n">
        <f aca="false">IF(I14="",0,SUMPRODUCT(('Downtime Log'!$H$5:$H$1004=I14)*('Downtime Log'!$A$5:$A$1004&gt;=$D$3)*('Downtime Log'!$A$5:$A$1004&lt;=$D$4)*((($B$5="")+('Downtime Log'!$C$5:$C$1004=$B$5))&gt;0),'Downtime Log'!$G$5:$G$1004))</f>
        <v>15</v>
      </c>
      <c r="K14" s="24" t="n">
        <f aca="false">IF(I14="",0,SUMPRODUCT(('Downtime Log'!$H$5:$H$1004=I14)*('Downtime Log'!$A$5:$A$1004&gt;=$D$3)*('Downtime Log'!$A$5:$A$1004&lt;=$D$4)*((($B$5="")+('Downtime Log'!$C$5:$C$1004=$B$5))&gt;0)*ISNUMBER('Downtime Log'!$G$5:$G$1004)*('Downtime Log'!$G$5:$G$1004&gt;0)))</f>
        <v>1</v>
      </c>
      <c r="L14" s="24" t="n">
        <f aca="false">IF(I14="",-1,J14+(34-6)/1000000)</f>
        <v>15.000028</v>
      </c>
    </row>
    <row r="15" customFormat="false" ht="15" hidden="false" customHeight="false" outlineLevel="0" collapsed="false">
      <c r="A15" s="21" t="n">
        <v>7</v>
      </c>
      <c r="B15" s="10" t="str">
        <f aca="false">IF(INDEX($J$9:$J$38,MATCH(LARGE($L$9:$L$38,A15),$L$9:$L$38,0))&lt;=0,"",INDEX($I$9:$I$38,MATCH(LARGE($L$9:$L$38,A15),$L$9:$L$38,0)))</f>
        <v/>
      </c>
      <c r="C15" s="22" t="str">
        <f aca="false">IF(B15="","",INDEX($J$9:$J$38,MATCH(LARGE($L$9:$L$38,A15),$L$9:$L$38,0)))</f>
        <v/>
      </c>
      <c r="D15" s="14" t="str">
        <f aca="false">IF(B15="","",INDEX($K$9:$K$38,MATCH(LARGE($L$9:$L$38,A15),$L$9:$L$38,0)))</f>
        <v/>
      </c>
      <c r="E15" s="23" t="str">
        <f aca="false">IF(OR(B15="",$B$6=0),"",C15/$B$6)</f>
        <v/>
      </c>
      <c r="F15" s="23" t="str">
        <f aca="false">IF(OR(B15="",$B$6=0),"",SUM($C$9:C15)/$B$6)</f>
        <v/>
      </c>
      <c r="I15" s="24" t="str">
        <f aca="false">IF(Setup!D11="","",IF(SUMPRODUCT(--(Setup!$D$4:D10=Setup!D11))&gt;0,"",Setup!D11))</f>
        <v>Waiting for upstream process</v>
      </c>
      <c r="J15" s="24" t="n">
        <f aca="false">IF(I15="",0,SUMPRODUCT(('Downtime Log'!$H$5:$H$1004=I15)*('Downtime Log'!$A$5:$A$1004&gt;=$D$3)*('Downtime Log'!$A$5:$A$1004&lt;=$D$4)*((($B$5="")+('Downtime Log'!$C$5:$C$1004=$B$5))&gt;0),'Downtime Log'!$G$5:$G$1004))</f>
        <v>0</v>
      </c>
      <c r="K15" s="24" t="n">
        <f aca="false">IF(I15="",0,SUMPRODUCT(('Downtime Log'!$H$5:$H$1004=I15)*('Downtime Log'!$A$5:$A$1004&gt;=$D$3)*('Downtime Log'!$A$5:$A$1004&lt;=$D$4)*((($B$5="")+('Downtime Log'!$C$5:$C$1004=$B$5))&gt;0)*ISNUMBER('Downtime Log'!$G$5:$G$1004)*('Downtime Log'!$G$5:$G$1004&gt;0)))</f>
        <v>0</v>
      </c>
      <c r="L15" s="24" t="n">
        <f aca="false">IF(I15="",-1,J15+(34-7)/1000000)</f>
        <v>2.7E-005</v>
      </c>
    </row>
    <row r="16" customFormat="false" ht="15" hidden="false" customHeight="false" outlineLevel="0" collapsed="false">
      <c r="A16" s="21" t="n">
        <v>8</v>
      </c>
      <c r="B16" s="10" t="str">
        <f aca="false">IF(INDEX($J$9:$J$38,MATCH(LARGE($L$9:$L$38,A16),$L$9:$L$38,0))&lt;=0,"",INDEX($I$9:$I$38,MATCH(LARGE($L$9:$L$38,A16),$L$9:$L$38,0)))</f>
        <v/>
      </c>
      <c r="C16" s="22" t="str">
        <f aca="false">IF(B16="","",INDEX($J$9:$J$38,MATCH(LARGE($L$9:$L$38,A16),$L$9:$L$38,0)))</f>
        <v/>
      </c>
      <c r="D16" s="14" t="str">
        <f aca="false">IF(B16="","",INDEX($K$9:$K$38,MATCH(LARGE($L$9:$L$38,A16),$L$9:$L$38,0)))</f>
        <v/>
      </c>
      <c r="E16" s="23" t="str">
        <f aca="false">IF(OR(B16="",$B$6=0),"",C16/$B$6)</f>
        <v/>
      </c>
      <c r="F16" s="23" t="str">
        <f aca="false">IF(OR(B16="",$B$6=0),"",SUM($C$9:C16)/$B$6)</f>
        <v/>
      </c>
      <c r="I16" s="24" t="str">
        <f aca="false">IF(Setup!D12="","",IF(SUMPRODUCT(--(Setup!$D$4:D11=Setup!D12))&gt;0,"",Setup!D12))</f>
        <v>Quality hold / inspection</v>
      </c>
      <c r="J16" s="24" t="n">
        <f aca="false">IF(I16="",0,SUMPRODUCT(('Downtime Log'!$H$5:$H$1004=I16)*('Downtime Log'!$A$5:$A$1004&gt;=$D$3)*('Downtime Log'!$A$5:$A$1004&lt;=$D$4)*((($B$5="")+('Downtime Log'!$C$5:$C$1004=$B$5))&gt;0),'Downtime Log'!$G$5:$G$1004))</f>
        <v>15</v>
      </c>
      <c r="K16" s="24" t="n">
        <f aca="false">IF(I16="",0,SUMPRODUCT(('Downtime Log'!$H$5:$H$1004=I16)*('Downtime Log'!$A$5:$A$1004&gt;=$D$3)*('Downtime Log'!$A$5:$A$1004&lt;=$D$4)*((($B$5="")+('Downtime Log'!$C$5:$C$1004=$B$5))&gt;0)*ISNUMBER('Downtime Log'!$G$5:$G$1004)*('Downtime Log'!$G$5:$G$1004&gt;0)))</f>
        <v>1</v>
      </c>
      <c r="L16" s="24" t="n">
        <f aca="false">IF(I16="",-1,J16+(34-8)/1000000)</f>
        <v>15.000026</v>
      </c>
    </row>
    <row r="17" customFormat="false" ht="15" hidden="false" customHeight="false" outlineLevel="0" collapsed="false">
      <c r="A17" s="21" t="n">
        <v>9</v>
      </c>
      <c r="B17" s="10" t="str">
        <f aca="false">IF(INDEX($J$9:$J$38,MATCH(LARGE($L$9:$L$38,A17),$L$9:$L$38,0))&lt;=0,"",INDEX($I$9:$I$38,MATCH(LARGE($L$9:$L$38,A17),$L$9:$L$38,0)))</f>
        <v/>
      </c>
      <c r="C17" s="22" t="str">
        <f aca="false">IF(B17="","",INDEX($J$9:$J$38,MATCH(LARGE($L$9:$L$38,A17),$L$9:$L$38,0)))</f>
        <v/>
      </c>
      <c r="D17" s="14" t="str">
        <f aca="false">IF(B17="","",INDEX($K$9:$K$38,MATCH(LARGE($L$9:$L$38,A17),$L$9:$L$38,0)))</f>
        <v/>
      </c>
      <c r="E17" s="23" t="str">
        <f aca="false">IF(OR(B17="",$B$6=0),"",C17/$B$6)</f>
        <v/>
      </c>
      <c r="F17" s="23" t="str">
        <f aca="false">IF(OR(B17="",$B$6=0),"",SUM($C$9:C17)/$B$6)</f>
        <v/>
      </c>
      <c r="I17" s="24" t="str">
        <f aca="false">IF(Setup!D13="","",IF(SUMPRODUCT(--(Setup!$D$4:D12=Setup!D13))&gt;0,"",Setup!D13))</f>
        <v>No operator available</v>
      </c>
      <c r="J17" s="24" t="n">
        <f aca="false">IF(I17="",0,SUMPRODUCT(('Downtime Log'!$H$5:$H$1004=I17)*('Downtime Log'!$A$5:$A$1004&gt;=$D$3)*('Downtime Log'!$A$5:$A$1004&lt;=$D$4)*((($B$5="")+('Downtime Log'!$C$5:$C$1004=$B$5))&gt;0),'Downtime Log'!$G$5:$G$1004))</f>
        <v>0</v>
      </c>
      <c r="K17" s="24" t="n">
        <f aca="false">IF(I17="",0,SUMPRODUCT(('Downtime Log'!$H$5:$H$1004=I17)*('Downtime Log'!$A$5:$A$1004&gt;=$D$3)*('Downtime Log'!$A$5:$A$1004&lt;=$D$4)*((($B$5="")+('Downtime Log'!$C$5:$C$1004=$B$5))&gt;0)*ISNUMBER('Downtime Log'!$G$5:$G$1004)*('Downtime Log'!$G$5:$G$1004&gt;0)))</f>
        <v>0</v>
      </c>
      <c r="L17" s="24" t="n">
        <f aca="false">IF(I17="",-1,J17+(34-9)/1000000)</f>
        <v>2.5E-005</v>
      </c>
    </row>
    <row r="18" customFormat="false" ht="15" hidden="false" customHeight="false" outlineLevel="0" collapsed="false">
      <c r="A18" s="21" t="n">
        <v>10</v>
      </c>
      <c r="B18" s="10" t="str">
        <f aca="false">IF(INDEX($J$9:$J$38,MATCH(LARGE($L$9:$L$38,A18),$L$9:$L$38,0))&lt;=0,"",INDEX($I$9:$I$38,MATCH(LARGE($L$9:$L$38,A18),$L$9:$L$38,0)))</f>
        <v/>
      </c>
      <c r="C18" s="22" t="str">
        <f aca="false">IF(B18="","",INDEX($J$9:$J$38,MATCH(LARGE($L$9:$L$38,A18),$L$9:$L$38,0)))</f>
        <v/>
      </c>
      <c r="D18" s="14" t="str">
        <f aca="false">IF(B18="","",INDEX($K$9:$K$38,MATCH(LARGE($L$9:$L$38,A18),$L$9:$L$38,0)))</f>
        <v/>
      </c>
      <c r="E18" s="23" t="str">
        <f aca="false">IF(OR(B18="",$B$6=0),"",C18/$B$6)</f>
        <v/>
      </c>
      <c r="F18" s="23" t="str">
        <f aca="false">IF(OR(B18="",$B$6=0),"",SUM($C$9:C18)/$B$6)</f>
        <v/>
      </c>
      <c r="I18" s="24" t="str">
        <f aca="false">IF(Setup!D14="","",IF(SUMPRODUCT(--(Setup!$D$4:D13=Setup!D14))&gt;0,"",Setup!D14))</f>
        <v>Planned maintenance</v>
      </c>
      <c r="J18" s="24" t="n">
        <f aca="false">IF(I18="",0,SUMPRODUCT(('Downtime Log'!$H$5:$H$1004=I18)*('Downtime Log'!$A$5:$A$1004&gt;=$D$3)*('Downtime Log'!$A$5:$A$1004&lt;=$D$4)*((($B$5="")+('Downtime Log'!$C$5:$C$1004=$B$5))&gt;0),'Downtime Log'!$G$5:$G$1004))</f>
        <v>0</v>
      </c>
      <c r="K18" s="24" t="n">
        <f aca="false">IF(I18="",0,SUMPRODUCT(('Downtime Log'!$H$5:$H$1004=I18)*('Downtime Log'!$A$5:$A$1004&gt;=$D$3)*('Downtime Log'!$A$5:$A$1004&lt;=$D$4)*((($B$5="")+('Downtime Log'!$C$5:$C$1004=$B$5))&gt;0)*ISNUMBER('Downtime Log'!$G$5:$G$1004)*('Downtime Log'!$G$5:$G$1004&gt;0)))</f>
        <v>0</v>
      </c>
      <c r="L18" s="24" t="n">
        <f aca="false">IF(I18="",-1,J18+(34-10)/1000000)</f>
        <v>2.4E-005</v>
      </c>
    </row>
    <row r="19" customFormat="false" ht="15" hidden="false" customHeight="false" outlineLevel="0" collapsed="false">
      <c r="A19" s="21" t="n">
        <v>11</v>
      </c>
      <c r="B19" s="10" t="str">
        <f aca="false">IF(INDEX($J$9:$J$38,MATCH(LARGE($L$9:$L$38,A19),$L$9:$L$38,0))&lt;=0,"",INDEX($I$9:$I$38,MATCH(LARGE($L$9:$L$38,A19),$L$9:$L$38,0)))</f>
        <v/>
      </c>
      <c r="C19" s="22" t="str">
        <f aca="false">IF(B19="","",INDEX($J$9:$J$38,MATCH(LARGE($L$9:$L$38,A19),$L$9:$L$38,0)))</f>
        <v/>
      </c>
      <c r="D19" s="14" t="str">
        <f aca="false">IF(B19="","",INDEX($K$9:$K$38,MATCH(LARGE($L$9:$L$38,A19),$L$9:$L$38,0)))</f>
        <v/>
      </c>
      <c r="E19" s="23" t="str">
        <f aca="false">IF(OR(B19="",$B$6=0),"",C19/$B$6)</f>
        <v/>
      </c>
      <c r="F19" s="23" t="str">
        <f aca="false">IF(OR(B19="",$B$6=0),"",SUM($C$9:C19)/$B$6)</f>
        <v/>
      </c>
      <c r="I19" s="24" t="str">
        <f aca="false">IF(Setup!D15="","",IF(SUMPRODUCT(--(Setup!$D$4:D14=Setup!D15))&gt;0,"",Setup!D15))</f>
        <v>Meeting / training</v>
      </c>
      <c r="J19" s="24" t="n">
        <f aca="false">IF(I19="",0,SUMPRODUCT(('Downtime Log'!$H$5:$H$1004=I19)*('Downtime Log'!$A$5:$A$1004&gt;=$D$3)*('Downtime Log'!$A$5:$A$1004&lt;=$D$4)*((($B$5="")+('Downtime Log'!$C$5:$C$1004=$B$5))&gt;0),'Downtime Log'!$G$5:$G$1004))</f>
        <v>0</v>
      </c>
      <c r="K19" s="24" t="n">
        <f aca="false">IF(I19="",0,SUMPRODUCT(('Downtime Log'!$H$5:$H$1004=I19)*('Downtime Log'!$A$5:$A$1004&gt;=$D$3)*('Downtime Log'!$A$5:$A$1004&lt;=$D$4)*((($B$5="")+('Downtime Log'!$C$5:$C$1004=$B$5))&gt;0)*ISNUMBER('Downtime Log'!$G$5:$G$1004)*('Downtime Log'!$G$5:$G$1004&gt;0)))</f>
        <v>0</v>
      </c>
      <c r="L19" s="24" t="n">
        <f aca="false">IF(I19="",-1,J19+(34-11)/1000000)</f>
        <v>2.3E-005</v>
      </c>
    </row>
    <row r="20" customFormat="false" ht="15" hidden="false" customHeight="false" outlineLevel="0" collapsed="false">
      <c r="A20" s="21" t="n">
        <v>12</v>
      </c>
      <c r="B20" s="10" t="str">
        <f aca="false">IF(INDEX($J$9:$J$38,MATCH(LARGE($L$9:$L$38,A20),$L$9:$L$38,0))&lt;=0,"",INDEX($I$9:$I$38,MATCH(LARGE($L$9:$L$38,A20),$L$9:$L$38,0)))</f>
        <v/>
      </c>
      <c r="C20" s="22" t="str">
        <f aca="false">IF(B20="","",INDEX($J$9:$J$38,MATCH(LARGE($L$9:$L$38,A20),$L$9:$L$38,0)))</f>
        <v/>
      </c>
      <c r="D20" s="14" t="str">
        <f aca="false">IF(B20="","",INDEX($K$9:$K$38,MATCH(LARGE($L$9:$L$38,A20),$L$9:$L$38,0)))</f>
        <v/>
      </c>
      <c r="E20" s="23" t="str">
        <f aca="false">IF(OR(B20="",$B$6=0),"",C20/$B$6)</f>
        <v/>
      </c>
      <c r="F20" s="23" t="str">
        <f aca="false">IF(OR(B20="",$B$6=0),"",SUM($C$9:C20)/$B$6)</f>
        <v/>
      </c>
      <c r="I20" s="24" t="str">
        <f aca="false">IF(Setup!D16="","",IF(SUMPRODUCT(--(Setup!$D$4:D15=Setup!D16))&gt;0,"",Setup!D16))</f>
        <v>Other (describe in notes)</v>
      </c>
      <c r="J20" s="24" t="n">
        <f aca="false">IF(I20="",0,SUMPRODUCT(('Downtime Log'!$H$5:$H$1004=I20)*('Downtime Log'!$A$5:$A$1004&gt;=$D$3)*('Downtime Log'!$A$5:$A$1004&lt;=$D$4)*((($B$5="")+('Downtime Log'!$C$5:$C$1004=$B$5))&gt;0),'Downtime Log'!$G$5:$G$1004))</f>
        <v>0</v>
      </c>
      <c r="K20" s="24" t="n">
        <f aca="false">IF(I20="",0,SUMPRODUCT(('Downtime Log'!$H$5:$H$1004=I20)*('Downtime Log'!$A$5:$A$1004&gt;=$D$3)*('Downtime Log'!$A$5:$A$1004&lt;=$D$4)*((($B$5="")+('Downtime Log'!$C$5:$C$1004=$B$5))&gt;0)*ISNUMBER('Downtime Log'!$G$5:$G$1004)*('Downtime Log'!$G$5:$G$1004&gt;0)))</f>
        <v>0</v>
      </c>
      <c r="L20" s="24" t="n">
        <f aca="false">IF(I20="",-1,J20+(34-12)/1000000)</f>
        <v>2.2E-005</v>
      </c>
    </row>
    <row r="21" customFormat="false" ht="15" hidden="false" customHeight="false" outlineLevel="0" collapsed="false">
      <c r="A21" s="21" t="n">
        <v>13</v>
      </c>
      <c r="B21" s="10" t="str">
        <f aca="false">IF(INDEX($J$9:$J$38,MATCH(LARGE($L$9:$L$38,A21),$L$9:$L$38,0))&lt;=0,"",INDEX($I$9:$I$38,MATCH(LARGE($L$9:$L$38,A21),$L$9:$L$38,0)))</f>
        <v/>
      </c>
      <c r="C21" s="22" t="str">
        <f aca="false">IF(B21="","",INDEX($J$9:$J$38,MATCH(LARGE($L$9:$L$38,A21),$L$9:$L$38,0)))</f>
        <v/>
      </c>
      <c r="D21" s="14" t="str">
        <f aca="false">IF(B21="","",INDEX($K$9:$K$38,MATCH(LARGE($L$9:$L$38,A21),$L$9:$L$38,0)))</f>
        <v/>
      </c>
      <c r="E21" s="23" t="str">
        <f aca="false">IF(OR(B21="",$B$6=0),"",C21/$B$6)</f>
        <v/>
      </c>
      <c r="F21" s="23" t="str">
        <f aca="false">IF(OR(B21="",$B$6=0),"",SUM($C$9:C21)/$B$6)</f>
        <v/>
      </c>
      <c r="I21" s="24" t="str">
        <f aca="false">IF(Setup!D17="","",IF(SUMPRODUCT(--(Setup!$D$4:D16=Setup!D17))&gt;0,"",Setup!D17))</f>
        <v/>
      </c>
      <c r="J21" s="24" t="n">
        <f aca="false">IF(I21="",0,SUMPRODUCT(('Downtime Log'!$H$5:$H$1004=I21)*('Downtime Log'!$A$5:$A$1004&gt;=$D$3)*('Downtime Log'!$A$5:$A$1004&lt;=$D$4)*((($B$5="")+('Downtime Log'!$C$5:$C$1004=$B$5))&gt;0),'Downtime Log'!$G$5:$G$1004))</f>
        <v>0</v>
      </c>
      <c r="K21" s="24" t="n">
        <f aca="false">IF(I21="",0,SUMPRODUCT(('Downtime Log'!$H$5:$H$1004=I21)*('Downtime Log'!$A$5:$A$1004&gt;=$D$3)*('Downtime Log'!$A$5:$A$1004&lt;=$D$4)*((($B$5="")+('Downtime Log'!$C$5:$C$1004=$B$5))&gt;0)*ISNUMBER('Downtime Log'!$G$5:$G$1004)*('Downtime Log'!$G$5:$G$1004&gt;0)))</f>
        <v>0</v>
      </c>
      <c r="L21" s="24" t="n">
        <f aca="false">IF(I21="",-1,J21+(34-13)/1000000)</f>
        <v>-1</v>
      </c>
    </row>
    <row r="22" customFormat="false" ht="15" hidden="false" customHeight="false" outlineLevel="0" collapsed="false">
      <c r="A22" s="21" t="n">
        <v>14</v>
      </c>
      <c r="B22" s="10" t="str">
        <f aca="false">IF(INDEX($J$9:$J$38,MATCH(LARGE($L$9:$L$38,A22),$L$9:$L$38,0))&lt;=0,"",INDEX($I$9:$I$38,MATCH(LARGE($L$9:$L$38,A22),$L$9:$L$38,0)))</f>
        <v/>
      </c>
      <c r="C22" s="22" t="str">
        <f aca="false">IF(B22="","",INDEX($J$9:$J$38,MATCH(LARGE($L$9:$L$38,A22),$L$9:$L$38,0)))</f>
        <v/>
      </c>
      <c r="D22" s="14" t="str">
        <f aca="false">IF(B22="","",INDEX($K$9:$K$38,MATCH(LARGE($L$9:$L$38,A22),$L$9:$L$38,0)))</f>
        <v/>
      </c>
      <c r="E22" s="23" t="str">
        <f aca="false">IF(OR(B22="",$B$6=0),"",C22/$B$6)</f>
        <v/>
      </c>
      <c r="F22" s="23" t="str">
        <f aca="false">IF(OR(B22="",$B$6=0),"",SUM($C$9:C22)/$B$6)</f>
        <v/>
      </c>
      <c r="I22" s="24" t="str">
        <f aca="false">IF(Setup!D18="","",IF(SUMPRODUCT(--(Setup!$D$4:D17=Setup!D18))&gt;0,"",Setup!D18))</f>
        <v/>
      </c>
      <c r="J22" s="24" t="n">
        <f aca="false">IF(I22="",0,SUMPRODUCT(('Downtime Log'!$H$5:$H$1004=I22)*('Downtime Log'!$A$5:$A$1004&gt;=$D$3)*('Downtime Log'!$A$5:$A$1004&lt;=$D$4)*((($B$5="")+('Downtime Log'!$C$5:$C$1004=$B$5))&gt;0),'Downtime Log'!$G$5:$G$1004))</f>
        <v>0</v>
      </c>
      <c r="K22" s="24" t="n">
        <f aca="false">IF(I22="",0,SUMPRODUCT(('Downtime Log'!$H$5:$H$1004=I22)*('Downtime Log'!$A$5:$A$1004&gt;=$D$3)*('Downtime Log'!$A$5:$A$1004&lt;=$D$4)*((($B$5="")+('Downtime Log'!$C$5:$C$1004=$B$5))&gt;0)*ISNUMBER('Downtime Log'!$G$5:$G$1004)*('Downtime Log'!$G$5:$G$1004&gt;0)))</f>
        <v>0</v>
      </c>
      <c r="L22" s="24" t="n">
        <f aca="false">IF(I22="",-1,J22+(34-14)/1000000)</f>
        <v>-1</v>
      </c>
    </row>
    <row r="23" customFormat="false" ht="15" hidden="false" customHeight="false" outlineLevel="0" collapsed="false">
      <c r="A23" s="21" t="n">
        <v>15</v>
      </c>
      <c r="B23" s="10" t="str">
        <f aca="false">IF(INDEX($J$9:$J$38,MATCH(LARGE($L$9:$L$38,A23),$L$9:$L$38,0))&lt;=0,"",INDEX($I$9:$I$38,MATCH(LARGE($L$9:$L$38,A23),$L$9:$L$38,0)))</f>
        <v/>
      </c>
      <c r="C23" s="22" t="str">
        <f aca="false">IF(B23="","",INDEX($J$9:$J$38,MATCH(LARGE($L$9:$L$38,A23),$L$9:$L$38,0)))</f>
        <v/>
      </c>
      <c r="D23" s="14" t="str">
        <f aca="false">IF(B23="","",INDEX($K$9:$K$38,MATCH(LARGE($L$9:$L$38,A23),$L$9:$L$38,0)))</f>
        <v/>
      </c>
      <c r="E23" s="23" t="str">
        <f aca="false">IF(OR(B23="",$B$6=0),"",C23/$B$6)</f>
        <v/>
      </c>
      <c r="F23" s="23" t="str">
        <f aca="false">IF(OR(B23="",$B$6=0),"",SUM($C$9:C23)/$B$6)</f>
        <v/>
      </c>
      <c r="I23" s="24" t="str">
        <f aca="false">IF(Setup!D19="","",IF(SUMPRODUCT(--(Setup!$D$4:D18=Setup!D19))&gt;0,"",Setup!D19))</f>
        <v/>
      </c>
      <c r="J23" s="24" t="n">
        <f aca="false">IF(I23="",0,SUMPRODUCT(('Downtime Log'!$H$5:$H$1004=I23)*('Downtime Log'!$A$5:$A$1004&gt;=$D$3)*('Downtime Log'!$A$5:$A$1004&lt;=$D$4)*((($B$5="")+('Downtime Log'!$C$5:$C$1004=$B$5))&gt;0),'Downtime Log'!$G$5:$G$1004))</f>
        <v>0</v>
      </c>
      <c r="K23" s="24" t="n">
        <f aca="false">IF(I23="",0,SUMPRODUCT(('Downtime Log'!$H$5:$H$1004=I23)*('Downtime Log'!$A$5:$A$1004&gt;=$D$3)*('Downtime Log'!$A$5:$A$1004&lt;=$D$4)*((($B$5="")+('Downtime Log'!$C$5:$C$1004=$B$5))&gt;0)*ISNUMBER('Downtime Log'!$G$5:$G$1004)*('Downtime Log'!$G$5:$G$1004&gt;0)))</f>
        <v>0</v>
      </c>
      <c r="L23" s="24" t="n">
        <f aca="false">IF(I23="",-1,J23+(34-15)/1000000)</f>
        <v>-1</v>
      </c>
    </row>
    <row r="24" customFormat="false" ht="15" hidden="false" customHeight="false" outlineLevel="0" collapsed="false">
      <c r="A24" s="21" t="n">
        <v>16</v>
      </c>
      <c r="B24" s="10" t="str">
        <f aca="false">IF(INDEX($J$9:$J$38,MATCH(LARGE($L$9:$L$38,A24),$L$9:$L$38,0))&lt;=0,"",INDEX($I$9:$I$38,MATCH(LARGE($L$9:$L$38,A24),$L$9:$L$38,0)))</f>
        <v/>
      </c>
      <c r="C24" s="22" t="str">
        <f aca="false">IF(B24="","",INDEX($J$9:$J$38,MATCH(LARGE($L$9:$L$38,A24),$L$9:$L$38,0)))</f>
        <v/>
      </c>
      <c r="D24" s="14" t="str">
        <f aca="false">IF(B24="","",INDEX($K$9:$K$38,MATCH(LARGE($L$9:$L$38,A24),$L$9:$L$38,0)))</f>
        <v/>
      </c>
      <c r="E24" s="23" t="str">
        <f aca="false">IF(OR(B24="",$B$6=0),"",C24/$B$6)</f>
        <v/>
      </c>
      <c r="F24" s="23" t="str">
        <f aca="false">IF(OR(B24="",$B$6=0),"",SUM($C$9:C24)/$B$6)</f>
        <v/>
      </c>
      <c r="I24" s="24" t="str">
        <f aca="false">IF(Setup!D20="","",IF(SUMPRODUCT(--(Setup!$D$4:D19=Setup!D20))&gt;0,"",Setup!D20))</f>
        <v/>
      </c>
      <c r="J24" s="24" t="n">
        <f aca="false">IF(I24="",0,SUMPRODUCT(('Downtime Log'!$H$5:$H$1004=I24)*('Downtime Log'!$A$5:$A$1004&gt;=$D$3)*('Downtime Log'!$A$5:$A$1004&lt;=$D$4)*((($B$5="")+('Downtime Log'!$C$5:$C$1004=$B$5))&gt;0),'Downtime Log'!$G$5:$G$1004))</f>
        <v>0</v>
      </c>
      <c r="K24" s="24" t="n">
        <f aca="false">IF(I24="",0,SUMPRODUCT(('Downtime Log'!$H$5:$H$1004=I24)*('Downtime Log'!$A$5:$A$1004&gt;=$D$3)*('Downtime Log'!$A$5:$A$1004&lt;=$D$4)*((($B$5="")+('Downtime Log'!$C$5:$C$1004=$B$5))&gt;0)*ISNUMBER('Downtime Log'!$G$5:$G$1004)*('Downtime Log'!$G$5:$G$1004&gt;0)))</f>
        <v>0</v>
      </c>
      <c r="L24" s="24" t="n">
        <f aca="false">IF(I24="",-1,J24+(34-16)/1000000)</f>
        <v>-1</v>
      </c>
    </row>
    <row r="25" customFormat="false" ht="15" hidden="false" customHeight="false" outlineLevel="0" collapsed="false">
      <c r="A25" s="21" t="n">
        <v>17</v>
      </c>
      <c r="B25" s="10" t="str">
        <f aca="false">IF(INDEX($J$9:$J$38,MATCH(LARGE($L$9:$L$38,A25),$L$9:$L$38,0))&lt;=0,"",INDEX($I$9:$I$38,MATCH(LARGE($L$9:$L$38,A25),$L$9:$L$38,0)))</f>
        <v/>
      </c>
      <c r="C25" s="22" t="str">
        <f aca="false">IF(B25="","",INDEX($J$9:$J$38,MATCH(LARGE($L$9:$L$38,A25),$L$9:$L$38,0)))</f>
        <v/>
      </c>
      <c r="D25" s="14" t="str">
        <f aca="false">IF(B25="","",INDEX($K$9:$K$38,MATCH(LARGE($L$9:$L$38,A25),$L$9:$L$38,0)))</f>
        <v/>
      </c>
      <c r="E25" s="23" t="str">
        <f aca="false">IF(OR(B25="",$B$6=0),"",C25/$B$6)</f>
        <v/>
      </c>
      <c r="F25" s="23" t="str">
        <f aca="false">IF(OR(B25="",$B$6=0),"",SUM($C$9:C25)/$B$6)</f>
        <v/>
      </c>
      <c r="I25" s="24" t="str">
        <f aca="false">IF(Setup!D21="","",IF(SUMPRODUCT(--(Setup!$D$4:D20=Setup!D21))&gt;0,"",Setup!D21))</f>
        <v/>
      </c>
      <c r="J25" s="24" t="n">
        <f aca="false">IF(I25="",0,SUMPRODUCT(('Downtime Log'!$H$5:$H$1004=I25)*('Downtime Log'!$A$5:$A$1004&gt;=$D$3)*('Downtime Log'!$A$5:$A$1004&lt;=$D$4)*((($B$5="")+('Downtime Log'!$C$5:$C$1004=$B$5))&gt;0),'Downtime Log'!$G$5:$G$1004))</f>
        <v>0</v>
      </c>
      <c r="K25" s="24" t="n">
        <f aca="false">IF(I25="",0,SUMPRODUCT(('Downtime Log'!$H$5:$H$1004=I25)*('Downtime Log'!$A$5:$A$1004&gt;=$D$3)*('Downtime Log'!$A$5:$A$1004&lt;=$D$4)*((($B$5="")+('Downtime Log'!$C$5:$C$1004=$B$5))&gt;0)*ISNUMBER('Downtime Log'!$G$5:$G$1004)*('Downtime Log'!$G$5:$G$1004&gt;0)))</f>
        <v>0</v>
      </c>
      <c r="L25" s="24" t="n">
        <f aca="false">IF(I25="",-1,J25+(34-17)/1000000)</f>
        <v>-1</v>
      </c>
    </row>
    <row r="26" customFormat="false" ht="15" hidden="false" customHeight="false" outlineLevel="0" collapsed="false">
      <c r="A26" s="21" t="n">
        <v>18</v>
      </c>
      <c r="B26" s="10" t="str">
        <f aca="false">IF(INDEX($J$9:$J$38,MATCH(LARGE($L$9:$L$38,A26),$L$9:$L$38,0))&lt;=0,"",INDEX($I$9:$I$38,MATCH(LARGE($L$9:$L$38,A26),$L$9:$L$38,0)))</f>
        <v/>
      </c>
      <c r="C26" s="22" t="str">
        <f aca="false">IF(B26="","",INDEX($J$9:$J$38,MATCH(LARGE($L$9:$L$38,A26),$L$9:$L$38,0)))</f>
        <v/>
      </c>
      <c r="D26" s="14" t="str">
        <f aca="false">IF(B26="","",INDEX($K$9:$K$38,MATCH(LARGE($L$9:$L$38,A26),$L$9:$L$38,0)))</f>
        <v/>
      </c>
      <c r="E26" s="23" t="str">
        <f aca="false">IF(OR(B26="",$B$6=0),"",C26/$B$6)</f>
        <v/>
      </c>
      <c r="F26" s="23" t="str">
        <f aca="false">IF(OR(B26="",$B$6=0),"",SUM($C$9:C26)/$B$6)</f>
        <v/>
      </c>
      <c r="I26" s="24" t="str">
        <f aca="false">IF(Setup!D22="","",IF(SUMPRODUCT(--(Setup!$D$4:D21=Setup!D22))&gt;0,"",Setup!D22))</f>
        <v/>
      </c>
      <c r="J26" s="24" t="n">
        <f aca="false">IF(I26="",0,SUMPRODUCT(('Downtime Log'!$H$5:$H$1004=I26)*('Downtime Log'!$A$5:$A$1004&gt;=$D$3)*('Downtime Log'!$A$5:$A$1004&lt;=$D$4)*((($B$5="")+('Downtime Log'!$C$5:$C$1004=$B$5))&gt;0),'Downtime Log'!$G$5:$G$1004))</f>
        <v>0</v>
      </c>
      <c r="K26" s="24" t="n">
        <f aca="false">IF(I26="",0,SUMPRODUCT(('Downtime Log'!$H$5:$H$1004=I26)*('Downtime Log'!$A$5:$A$1004&gt;=$D$3)*('Downtime Log'!$A$5:$A$1004&lt;=$D$4)*((($B$5="")+('Downtime Log'!$C$5:$C$1004=$B$5))&gt;0)*ISNUMBER('Downtime Log'!$G$5:$G$1004)*('Downtime Log'!$G$5:$G$1004&gt;0)))</f>
        <v>0</v>
      </c>
      <c r="L26" s="24" t="n">
        <f aca="false">IF(I26="",-1,J26+(34-18)/1000000)</f>
        <v>-1</v>
      </c>
    </row>
    <row r="27" customFormat="false" ht="15" hidden="false" customHeight="false" outlineLevel="0" collapsed="false">
      <c r="A27" s="21" t="n">
        <v>19</v>
      </c>
      <c r="B27" s="10" t="str">
        <f aca="false">IF(INDEX($J$9:$J$38,MATCH(LARGE($L$9:$L$38,A27),$L$9:$L$38,0))&lt;=0,"",INDEX($I$9:$I$38,MATCH(LARGE($L$9:$L$38,A27),$L$9:$L$38,0)))</f>
        <v/>
      </c>
      <c r="C27" s="22" t="str">
        <f aca="false">IF(B27="","",INDEX($J$9:$J$38,MATCH(LARGE($L$9:$L$38,A27),$L$9:$L$38,0)))</f>
        <v/>
      </c>
      <c r="D27" s="14" t="str">
        <f aca="false">IF(B27="","",INDEX($K$9:$K$38,MATCH(LARGE($L$9:$L$38,A27),$L$9:$L$38,0)))</f>
        <v/>
      </c>
      <c r="E27" s="23" t="str">
        <f aca="false">IF(OR(B27="",$B$6=0),"",C27/$B$6)</f>
        <v/>
      </c>
      <c r="F27" s="23" t="str">
        <f aca="false">IF(OR(B27="",$B$6=0),"",SUM($C$9:C27)/$B$6)</f>
        <v/>
      </c>
      <c r="I27" s="24" t="str">
        <f aca="false">IF(Setup!D23="","",IF(SUMPRODUCT(--(Setup!$D$4:D22=Setup!D23))&gt;0,"",Setup!D23))</f>
        <v/>
      </c>
      <c r="J27" s="24" t="n">
        <f aca="false">IF(I27="",0,SUMPRODUCT(('Downtime Log'!$H$5:$H$1004=I27)*('Downtime Log'!$A$5:$A$1004&gt;=$D$3)*('Downtime Log'!$A$5:$A$1004&lt;=$D$4)*((($B$5="")+('Downtime Log'!$C$5:$C$1004=$B$5))&gt;0),'Downtime Log'!$G$5:$G$1004))</f>
        <v>0</v>
      </c>
      <c r="K27" s="24" t="n">
        <f aca="false">IF(I27="",0,SUMPRODUCT(('Downtime Log'!$H$5:$H$1004=I27)*('Downtime Log'!$A$5:$A$1004&gt;=$D$3)*('Downtime Log'!$A$5:$A$1004&lt;=$D$4)*((($B$5="")+('Downtime Log'!$C$5:$C$1004=$B$5))&gt;0)*ISNUMBER('Downtime Log'!$G$5:$G$1004)*('Downtime Log'!$G$5:$G$1004&gt;0)))</f>
        <v>0</v>
      </c>
      <c r="L27" s="24" t="n">
        <f aca="false">IF(I27="",-1,J27+(34-19)/1000000)</f>
        <v>-1</v>
      </c>
    </row>
    <row r="28" customFormat="false" ht="15" hidden="false" customHeight="false" outlineLevel="0" collapsed="false">
      <c r="A28" s="21" t="n">
        <v>20</v>
      </c>
      <c r="B28" s="10" t="str">
        <f aca="false">IF(INDEX($J$9:$J$38,MATCH(LARGE($L$9:$L$38,A28),$L$9:$L$38,0))&lt;=0,"",INDEX($I$9:$I$38,MATCH(LARGE($L$9:$L$38,A28),$L$9:$L$38,0)))</f>
        <v/>
      </c>
      <c r="C28" s="22" t="str">
        <f aca="false">IF(B28="","",INDEX($J$9:$J$38,MATCH(LARGE($L$9:$L$38,A28),$L$9:$L$38,0)))</f>
        <v/>
      </c>
      <c r="D28" s="14" t="str">
        <f aca="false">IF(B28="","",INDEX($K$9:$K$38,MATCH(LARGE($L$9:$L$38,A28),$L$9:$L$38,0)))</f>
        <v/>
      </c>
      <c r="E28" s="23" t="str">
        <f aca="false">IF(OR(B28="",$B$6=0),"",C28/$B$6)</f>
        <v/>
      </c>
      <c r="F28" s="23" t="str">
        <f aca="false">IF(OR(B28="",$B$6=0),"",SUM($C$9:C28)/$B$6)</f>
        <v/>
      </c>
      <c r="I28" s="24" t="str">
        <f aca="false">IF(Setup!D24="","",IF(SUMPRODUCT(--(Setup!$D$4:D23=Setup!D24))&gt;0,"",Setup!D24))</f>
        <v/>
      </c>
      <c r="J28" s="24" t="n">
        <f aca="false">IF(I28="",0,SUMPRODUCT(('Downtime Log'!$H$5:$H$1004=I28)*('Downtime Log'!$A$5:$A$1004&gt;=$D$3)*('Downtime Log'!$A$5:$A$1004&lt;=$D$4)*((($B$5="")+('Downtime Log'!$C$5:$C$1004=$B$5))&gt;0),'Downtime Log'!$G$5:$G$1004))</f>
        <v>0</v>
      </c>
      <c r="K28" s="24" t="n">
        <f aca="false">IF(I28="",0,SUMPRODUCT(('Downtime Log'!$H$5:$H$1004=I28)*('Downtime Log'!$A$5:$A$1004&gt;=$D$3)*('Downtime Log'!$A$5:$A$1004&lt;=$D$4)*((($B$5="")+('Downtime Log'!$C$5:$C$1004=$B$5))&gt;0)*ISNUMBER('Downtime Log'!$G$5:$G$1004)*('Downtime Log'!$G$5:$G$1004&gt;0)))</f>
        <v>0</v>
      </c>
      <c r="L28" s="24" t="n">
        <f aca="false">IF(I28="",-1,J28+(34-20)/1000000)</f>
        <v>-1</v>
      </c>
    </row>
    <row r="29" customFormat="false" ht="15" hidden="false" customHeight="false" outlineLevel="0" collapsed="false">
      <c r="A29" s="21" t="n">
        <v>21</v>
      </c>
      <c r="B29" s="10" t="str">
        <f aca="false">IF(INDEX($J$9:$J$38,MATCH(LARGE($L$9:$L$38,A29),$L$9:$L$38,0))&lt;=0,"",INDEX($I$9:$I$38,MATCH(LARGE($L$9:$L$38,A29),$L$9:$L$38,0)))</f>
        <v/>
      </c>
      <c r="C29" s="22" t="str">
        <f aca="false">IF(B29="","",INDEX($J$9:$J$38,MATCH(LARGE($L$9:$L$38,A29),$L$9:$L$38,0)))</f>
        <v/>
      </c>
      <c r="D29" s="14" t="str">
        <f aca="false">IF(B29="","",INDEX($K$9:$K$38,MATCH(LARGE($L$9:$L$38,A29),$L$9:$L$38,0)))</f>
        <v/>
      </c>
      <c r="E29" s="23" t="str">
        <f aca="false">IF(OR(B29="",$B$6=0),"",C29/$B$6)</f>
        <v/>
      </c>
      <c r="F29" s="23" t="str">
        <f aca="false">IF(OR(B29="",$B$6=0),"",SUM($C$9:C29)/$B$6)</f>
        <v/>
      </c>
      <c r="I29" s="24" t="str">
        <f aca="false">IF(Setup!D25="","",IF(SUMPRODUCT(--(Setup!$D$4:D24=Setup!D25))&gt;0,"",Setup!D25))</f>
        <v/>
      </c>
      <c r="J29" s="24" t="n">
        <f aca="false">IF(I29="",0,SUMPRODUCT(('Downtime Log'!$H$5:$H$1004=I29)*('Downtime Log'!$A$5:$A$1004&gt;=$D$3)*('Downtime Log'!$A$5:$A$1004&lt;=$D$4)*((($B$5="")+('Downtime Log'!$C$5:$C$1004=$B$5))&gt;0),'Downtime Log'!$G$5:$G$1004))</f>
        <v>0</v>
      </c>
      <c r="K29" s="24" t="n">
        <f aca="false">IF(I29="",0,SUMPRODUCT(('Downtime Log'!$H$5:$H$1004=I29)*('Downtime Log'!$A$5:$A$1004&gt;=$D$3)*('Downtime Log'!$A$5:$A$1004&lt;=$D$4)*((($B$5="")+('Downtime Log'!$C$5:$C$1004=$B$5))&gt;0)*ISNUMBER('Downtime Log'!$G$5:$G$1004)*('Downtime Log'!$G$5:$G$1004&gt;0)))</f>
        <v>0</v>
      </c>
      <c r="L29" s="24" t="n">
        <f aca="false">IF(I29="",-1,J29+(34-21)/1000000)</f>
        <v>-1</v>
      </c>
    </row>
    <row r="30" customFormat="false" ht="15" hidden="false" customHeight="false" outlineLevel="0" collapsed="false">
      <c r="A30" s="21" t="n">
        <v>22</v>
      </c>
      <c r="B30" s="10" t="str">
        <f aca="false">IF(INDEX($J$9:$J$38,MATCH(LARGE($L$9:$L$38,A30),$L$9:$L$38,0))&lt;=0,"",INDEX($I$9:$I$38,MATCH(LARGE($L$9:$L$38,A30),$L$9:$L$38,0)))</f>
        <v/>
      </c>
      <c r="C30" s="22" t="str">
        <f aca="false">IF(B30="","",INDEX($J$9:$J$38,MATCH(LARGE($L$9:$L$38,A30),$L$9:$L$38,0)))</f>
        <v/>
      </c>
      <c r="D30" s="14" t="str">
        <f aca="false">IF(B30="","",INDEX($K$9:$K$38,MATCH(LARGE($L$9:$L$38,A30),$L$9:$L$38,0)))</f>
        <v/>
      </c>
      <c r="E30" s="23" t="str">
        <f aca="false">IF(OR(B30="",$B$6=0),"",C30/$B$6)</f>
        <v/>
      </c>
      <c r="F30" s="23" t="str">
        <f aca="false">IF(OR(B30="",$B$6=0),"",SUM($C$9:C30)/$B$6)</f>
        <v/>
      </c>
      <c r="I30" s="24" t="str">
        <f aca="false">IF(Setup!D26="","",IF(SUMPRODUCT(--(Setup!$D$4:D25=Setup!D26))&gt;0,"",Setup!D26))</f>
        <v/>
      </c>
      <c r="J30" s="24" t="n">
        <f aca="false">IF(I30="",0,SUMPRODUCT(('Downtime Log'!$H$5:$H$1004=I30)*('Downtime Log'!$A$5:$A$1004&gt;=$D$3)*('Downtime Log'!$A$5:$A$1004&lt;=$D$4)*((($B$5="")+('Downtime Log'!$C$5:$C$1004=$B$5))&gt;0),'Downtime Log'!$G$5:$G$1004))</f>
        <v>0</v>
      </c>
      <c r="K30" s="24" t="n">
        <f aca="false">IF(I30="",0,SUMPRODUCT(('Downtime Log'!$H$5:$H$1004=I30)*('Downtime Log'!$A$5:$A$1004&gt;=$D$3)*('Downtime Log'!$A$5:$A$1004&lt;=$D$4)*((($B$5="")+('Downtime Log'!$C$5:$C$1004=$B$5))&gt;0)*ISNUMBER('Downtime Log'!$G$5:$G$1004)*('Downtime Log'!$G$5:$G$1004&gt;0)))</f>
        <v>0</v>
      </c>
      <c r="L30" s="24" t="n">
        <f aca="false">IF(I30="",-1,J30+(34-22)/1000000)</f>
        <v>-1</v>
      </c>
    </row>
    <row r="31" customFormat="false" ht="15" hidden="false" customHeight="false" outlineLevel="0" collapsed="false">
      <c r="A31" s="21" t="n">
        <v>23</v>
      </c>
      <c r="B31" s="10" t="str">
        <f aca="false">IF(INDEX($J$9:$J$38,MATCH(LARGE($L$9:$L$38,A31),$L$9:$L$38,0))&lt;=0,"",INDEX($I$9:$I$38,MATCH(LARGE($L$9:$L$38,A31),$L$9:$L$38,0)))</f>
        <v/>
      </c>
      <c r="C31" s="22" t="str">
        <f aca="false">IF(B31="","",INDEX($J$9:$J$38,MATCH(LARGE($L$9:$L$38,A31),$L$9:$L$38,0)))</f>
        <v/>
      </c>
      <c r="D31" s="14" t="str">
        <f aca="false">IF(B31="","",INDEX($K$9:$K$38,MATCH(LARGE($L$9:$L$38,A31),$L$9:$L$38,0)))</f>
        <v/>
      </c>
      <c r="E31" s="23" t="str">
        <f aca="false">IF(OR(B31="",$B$6=0),"",C31/$B$6)</f>
        <v/>
      </c>
      <c r="F31" s="23" t="str">
        <f aca="false">IF(OR(B31="",$B$6=0),"",SUM($C$9:C31)/$B$6)</f>
        <v/>
      </c>
      <c r="I31" s="24" t="str">
        <f aca="false">IF(Setup!D27="","",IF(SUMPRODUCT(--(Setup!$D$4:D26=Setup!D27))&gt;0,"",Setup!D27))</f>
        <v/>
      </c>
      <c r="J31" s="24" t="n">
        <f aca="false">IF(I31="",0,SUMPRODUCT(('Downtime Log'!$H$5:$H$1004=I31)*('Downtime Log'!$A$5:$A$1004&gt;=$D$3)*('Downtime Log'!$A$5:$A$1004&lt;=$D$4)*((($B$5="")+('Downtime Log'!$C$5:$C$1004=$B$5))&gt;0),'Downtime Log'!$G$5:$G$1004))</f>
        <v>0</v>
      </c>
      <c r="K31" s="24" t="n">
        <f aca="false">IF(I31="",0,SUMPRODUCT(('Downtime Log'!$H$5:$H$1004=I31)*('Downtime Log'!$A$5:$A$1004&gt;=$D$3)*('Downtime Log'!$A$5:$A$1004&lt;=$D$4)*((($B$5="")+('Downtime Log'!$C$5:$C$1004=$B$5))&gt;0)*ISNUMBER('Downtime Log'!$G$5:$G$1004)*('Downtime Log'!$G$5:$G$1004&gt;0)))</f>
        <v>0</v>
      </c>
      <c r="L31" s="24" t="n">
        <f aca="false">IF(I31="",-1,J31+(34-23)/1000000)</f>
        <v>-1</v>
      </c>
    </row>
    <row r="32" customFormat="false" ht="15" hidden="false" customHeight="false" outlineLevel="0" collapsed="false">
      <c r="A32" s="21" t="n">
        <v>24</v>
      </c>
      <c r="B32" s="10" t="str">
        <f aca="false">IF(INDEX($J$9:$J$38,MATCH(LARGE($L$9:$L$38,A32),$L$9:$L$38,0))&lt;=0,"",INDEX($I$9:$I$38,MATCH(LARGE($L$9:$L$38,A32),$L$9:$L$38,0)))</f>
        <v/>
      </c>
      <c r="C32" s="22" t="str">
        <f aca="false">IF(B32="","",INDEX($J$9:$J$38,MATCH(LARGE($L$9:$L$38,A32),$L$9:$L$38,0)))</f>
        <v/>
      </c>
      <c r="D32" s="14" t="str">
        <f aca="false">IF(B32="","",INDEX($K$9:$K$38,MATCH(LARGE($L$9:$L$38,A32),$L$9:$L$38,0)))</f>
        <v/>
      </c>
      <c r="E32" s="23" t="str">
        <f aca="false">IF(OR(B32="",$B$6=0),"",C32/$B$6)</f>
        <v/>
      </c>
      <c r="F32" s="23" t="str">
        <f aca="false">IF(OR(B32="",$B$6=0),"",SUM($C$9:C32)/$B$6)</f>
        <v/>
      </c>
      <c r="I32" s="24" t="str">
        <f aca="false">IF(Setup!D28="","",IF(SUMPRODUCT(--(Setup!$D$4:D27=Setup!D28))&gt;0,"",Setup!D28))</f>
        <v/>
      </c>
      <c r="J32" s="24" t="n">
        <f aca="false">IF(I32="",0,SUMPRODUCT(('Downtime Log'!$H$5:$H$1004=I32)*('Downtime Log'!$A$5:$A$1004&gt;=$D$3)*('Downtime Log'!$A$5:$A$1004&lt;=$D$4)*((($B$5="")+('Downtime Log'!$C$5:$C$1004=$B$5))&gt;0),'Downtime Log'!$G$5:$G$1004))</f>
        <v>0</v>
      </c>
      <c r="K32" s="24" t="n">
        <f aca="false">IF(I32="",0,SUMPRODUCT(('Downtime Log'!$H$5:$H$1004=I32)*('Downtime Log'!$A$5:$A$1004&gt;=$D$3)*('Downtime Log'!$A$5:$A$1004&lt;=$D$4)*((($B$5="")+('Downtime Log'!$C$5:$C$1004=$B$5))&gt;0)*ISNUMBER('Downtime Log'!$G$5:$G$1004)*('Downtime Log'!$G$5:$G$1004&gt;0)))</f>
        <v>0</v>
      </c>
      <c r="L32" s="24" t="n">
        <f aca="false">IF(I32="",-1,J32+(34-24)/1000000)</f>
        <v>-1</v>
      </c>
    </row>
    <row r="33" customFormat="false" ht="15" hidden="false" customHeight="false" outlineLevel="0" collapsed="false">
      <c r="A33" s="21" t="n">
        <v>25</v>
      </c>
      <c r="B33" s="10" t="str">
        <f aca="false">IF(INDEX($J$9:$J$38,MATCH(LARGE($L$9:$L$38,A33),$L$9:$L$38,0))&lt;=0,"",INDEX($I$9:$I$38,MATCH(LARGE($L$9:$L$38,A33),$L$9:$L$38,0)))</f>
        <v/>
      </c>
      <c r="C33" s="22" t="str">
        <f aca="false">IF(B33="","",INDEX($J$9:$J$38,MATCH(LARGE($L$9:$L$38,A33),$L$9:$L$38,0)))</f>
        <v/>
      </c>
      <c r="D33" s="14" t="str">
        <f aca="false">IF(B33="","",INDEX($K$9:$K$38,MATCH(LARGE($L$9:$L$38,A33),$L$9:$L$38,0)))</f>
        <v/>
      </c>
      <c r="E33" s="23" t="str">
        <f aca="false">IF(OR(B33="",$B$6=0),"",C33/$B$6)</f>
        <v/>
      </c>
      <c r="F33" s="23" t="str">
        <f aca="false">IF(OR(B33="",$B$6=0),"",SUM($C$9:C33)/$B$6)</f>
        <v/>
      </c>
      <c r="I33" s="24" t="str">
        <f aca="false">IF(Setup!D29="","",IF(SUMPRODUCT(--(Setup!$D$4:D28=Setup!D29))&gt;0,"",Setup!D29))</f>
        <v/>
      </c>
      <c r="J33" s="24" t="n">
        <f aca="false">IF(I33="",0,SUMPRODUCT(('Downtime Log'!$H$5:$H$1004=I33)*('Downtime Log'!$A$5:$A$1004&gt;=$D$3)*('Downtime Log'!$A$5:$A$1004&lt;=$D$4)*((($B$5="")+('Downtime Log'!$C$5:$C$1004=$B$5))&gt;0),'Downtime Log'!$G$5:$G$1004))</f>
        <v>0</v>
      </c>
      <c r="K33" s="24" t="n">
        <f aca="false">IF(I33="",0,SUMPRODUCT(('Downtime Log'!$H$5:$H$1004=I33)*('Downtime Log'!$A$5:$A$1004&gt;=$D$3)*('Downtime Log'!$A$5:$A$1004&lt;=$D$4)*((($B$5="")+('Downtime Log'!$C$5:$C$1004=$B$5))&gt;0)*ISNUMBER('Downtime Log'!$G$5:$G$1004)*('Downtime Log'!$G$5:$G$1004&gt;0)))</f>
        <v>0</v>
      </c>
      <c r="L33" s="24" t="n">
        <f aca="false">IF(I33="",-1,J33+(34-25)/1000000)</f>
        <v>-1</v>
      </c>
    </row>
    <row r="34" customFormat="false" ht="15" hidden="false" customHeight="false" outlineLevel="0" collapsed="false">
      <c r="A34" s="21" t="n">
        <v>26</v>
      </c>
      <c r="B34" s="10" t="str">
        <f aca="false">IF(INDEX($J$9:$J$38,MATCH(LARGE($L$9:$L$38,A34),$L$9:$L$38,0))&lt;=0,"",INDEX($I$9:$I$38,MATCH(LARGE($L$9:$L$38,A34),$L$9:$L$38,0)))</f>
        <v/>
      </c>
      <c r="C34" s="22" t="str">
        <f aca="false">IF(B34="","",INDEX($J$9:$J$38,MATCH(LARGE($L$9:$L$38,A34),$L$9:$L$38,0)))</f>
        <v/>
      </c>
      <c r="D34" s="14" t="str">
        <f aca="false">IF(B34="","",INDEX($K$9:$K$38,MATCH(LARGE($L$9:$L$38,A34),$L$9:$L$38,0)))</f>
        <v/>
      </c>
      <c r="E34" s="23" t="str">
        <f aca="false">IF(OR(B34="",$B$6=0),"",C34/$B$6)</f>
        <v/>
      </c>
      <c r="F34" s="23" t="str">
        <f aca="false">IF(OR(B34="",$B$6=0),"",SUM($C$9:C34)/$B$6)</f>
        <v/>
      </c>
      <c r="I34" s="24" t="str">
        <f aca="false">IF(Setup!D30="","",IF(SUMPRODUCT(--(Setup!$D$4:D29=Setup!D30))&gt;0,"",Setup!D30))</f>
        <v/>
      </c>
      <c r="J34" s="24" t="n">
        <f aca="false">IF(I34="",0,SUMPRODUCT(('Downtime Log'!$H$5:$H$1004=I34)*('Downtime Log'!$A$5:$A$1004&gt;=$D$3)*('Downtime Log'!$A$5:$A$1004&lt;=$D$4)*((($B$5="")+('Downtime Log'!$C$5:$C$1004=$B$5))&gt;0),'Downtime Log'!$G$5:$G$1004))</f>
        <v>0</v>
      </c>
      <c r="K34" s="24" t="n">
        <f aca="false">IF(I34="",0,SUMPRODUCT(('Downtime Log'!$H$5:$H$1004=I34)*('Downtime Log'!$A$5:$A$1004&gt;=$D$3)*('Downtime Log'!$A$5:$A$1004&lt;=$D$4)*((($B$5="")+('Downtime Log'!$C$5:$C$1004=$B$5))&gt;0)*ISNUMBER('Downtime Log'!$G$5:$G$1004)*('Downtime Log'!$G$5:$G$1004&gt;0)))</f>
        <v>0</v>
      </c>
      <c r="L34" s="24" t="n">
        <f aca="false">IF(I34="",-1,J34+(34-26)/1000000)</f>
        <v>-1</v>
      </c>
    </row>
    <row r="35" customFormat="false" ht="15" hidden="false" customHeight="false" outlineLevel="0" collapsed="false">
      <c r="A35" s="21" t="n">
        <v>27</v>
      </c>
      <c r="B35" s="10" t="str">
        <f aca="false">IF(INDEX($J$9:$J$38,MATCH(LARGE($L$9:$L$38,A35),$L$9:$L$38,0))&lt;=0,"",INDEX($I$9:$I$38,MATCH(LARGE($L$9:$L$38,A35),$L$9:$L$38,0)))</f>
        <v/>
      </c>
      <c r="C35" s="22" t="str">
        <f aca="false">IF(B35="","",INDEX($J$9:$J$38,MATCH(LARGE($L$9:$L$38,A35),$L$9:$L$38,0)))</f>
        <v/>
      </c>
      <c r="D35" s="14" t="str">
        <f aca="false">IF(B35="","",INDEX($K$9:$K$38,MATCH(LARGE($L$9:$L$38,A35),$L$9:$L$38,0)))</f>
        <v/>
      </c>
      <c r="E35" s="23" t="str">
        <f aca="false">IF(OR(B35="",$B$6=0),"",C35/$B$6)</f>
        <v/>
      </c>
      <c r="F35" s="23" t="str">
        <f aca="false">IF(OR(B35="",$B$6=0),"",SUM($C$9:C35)/$B$6)</f>
        <v/>
      </c>
      <c r="I35" s="24" t="str">
        <f aca="false">IF(Setup!D31="","",IF(SUMPRODUCT(--(Setup!$D$4:D30=Setup!D31))&gt;0,"",Setup!D31))</f>
        <v/>
      </c>
      <c r="J35" s="24" t="n">
        <f aca="false">IF(I35="",0,SUMPRODUCT(('Downtime Log'!$H$5:$H$1004=I35)*('Downtime Log'!$A$5:$A$1004&gt;=$D$3)*('Downtime Log'!$A$5:$A$1004&lt;=$D$4)*((($B$5="")+('Downtime Log'!$C$5:$C$1004=$B$5))&gt;0),'Downtime Log'!$G$5:$G$1004))</f>
        <v>0</v>
      </c>
      <c r="K35" s="24" t="n">
        <f aca="false">IF(I35="",0,SUMPRODUCT(('Downtime Log'!$H$5:$H$1004=I35)*('Downtime Log'!$A$5:$A$1004&gt;=$D$3)*('Downtime Log'!$A$5:$A$1004&lt;=$D$4)*((($B$5="")+('Downtime Log'!$C$5:$C$1004=$B$5))&gt;0)*ISNUMBER('Downtime Log'!$G$5:$G$1004)*('Downtime Log'!$G$5:$G$1004&gt;0)))</f>
        <v>0</v>
      </c>
      <c r="L35" s="24" t="n">
        <f aca="false">IF(I35="",-1,J35+(34-27)/1000000)</f>
        <v>-1</v>
      </c>
    </row>
    <row r="36" customFormat="false" ht="15" hidden="false" customHeight="false" outlineLevel="0" collapsed="false">
      <c r="A36" s="21" t="n">
        <v>28</v>
      </c>
      <c r="B36" s="10" t="str">
        <f aca="false">IF(INDEX($J$9:$J$38,MATCH(LARGE($L$9:$L$38,A36),$L$9:$L$38,0))&lt;=0,"",INDEX($I$9:$I$38,MATCH(LARGE($L$9:$L$38,A36),$L$9:$L$38,0)))</f>
        <v/>
      </c>
      <c r="C36" s="22" t="str">
        <f aca="false">IF(B36="","",INDEX($J$9:$J$38,MATCH(LARGE($L$9:$L$38,A36),$L$9:$L$38,0)))</f>
        <v/>
      </c>
      <c r="D36" s="14" t="str">
        <f aca="false">IF(B36="","",INDEX($K$9:$K$38,MATCH(LARGE($L$9:$L$38,A36),$L$9:$L$38,0)))</f>
        <v/>
      </c>
      <c r="E36" s="23" t="str">
        <f aca="false">IF(OR(B36="",$B$6=0),"",C36/$B$6)</f>
        <v/>
      </c>
      <c r="F36" s="23" t="str">
        <f aca="false">IF(OR(B36="",$B$6=0),"",SUM($C$9:C36)/$B$6)</f>
        <v/>
      </c>
      <c r="I36" s="24" t="str">
        <f aca="false">IF(Setup!D32="","",IF(SUMPRODUCT(--(Setup!$D$4:D31=Setup!D32))&gt;0,"",Setup!D32))</f>
        <v/>
      </c>
      <c r="J36" s="24" t="n">
        <f aca="false">IF(I36="",0,SUMPRODUCT(('Downtime Log'!$H$5:$H$1004=I36)*('Downtime Log'!$A$5:$A$1004&gt;=$D$3)*('Downtime Log'!$A$5:$A$1004&lt;=$D$4)*((($B$5="")+('Downtime Log'!$C$5:$C$1004=$B$5))&gt;0),'Downtime Log'!$G$5:$G$1004))</f>
        <v>0</v>
      </c>
      <c r="K36" s="24" t="n">
        <f aca="false">IF(I36="",0,SUMPRODUCT(('Downtime Log'!$H$5:$H$1004=I36)*('Downtime Log'!$A$5:$A$1004&gt;=$D$3)*('Downtime Log'!$A$5:$A$1004&lt;=$D$4)*((($B$5="")+('Downtime Log'!$C$5:$C$1004=$B$5))&gt;0)*ISNUMBER('Downtime Log'!$G$5:$G$1004)*('Downtime Log'!$G$5:$G$1004&gt;0)))</f>
        <v>0</v>
      </c>
      <c r="L36" s="24" t="n">
        <f aca="false">IF(I36="",-1,J36+(34-28)/1000000)</f>
        <v>-1</v>
      </c>
    </row>
    <row r="37" customFormat="false" ht="15" hidden="false" customHeight="false" outlineLevel="0" collapsed="false">
      <c r="A37" s="21" t="n">
        <v>29</v>
      </c>
      <c r="B37" s="10" t="str">
        <f aca="false">IF(INDEX($J$9:$J$38,MATCH(LARGE($L$9:$L$38,A37),$L$9:$L$38,0))&lt;=0,"",INDEX($I$9:$I$38,MATCH(LARGE($L$9:$L$38,A37),$L$9:$L$38,0)))</f>
        <v/>
      </c>
      <c r="C37" s="22" t="str">
        <f aca="false">IF(B37="","",INDEX($J$9:$J$38,MATCH(LARGE($L$9:$L$38,A37),$L$9:$L$38,0)))</f>
        <v/>
      </c>
      <c r="D37" s="14" t="str">
        <f aca="false">IF(B37="","",INDEX($K$9:$K$38,MATCH(LARGE($L$9:$L$38,A37),$L$9:$L$38,0)))</f>
        <v/>
      </c>
      <c r="E37" s="23" t="str">
        <f aca="false">IF(OR(B37="",$B$6=0),"",C37/$B$6)</f>
        <v/>
      </c>
      <c r="F37" s="23" t="str">
        <f aca="false">IF(OR(B37="",$B$6=0),"",SUM($C$9:C37)/$B$6)</f>
        <v/>
      </c>
      <c r="I37" s="24" t="str">
        <f aca="false">IF(Setup!D33="","",IF(SUMPRODUCT(--(Setup!$D$4:D32=Setup!D33))&gt;0,"",Setup!D33))</f>
        <v/>
      </c>
      <c r="J37" s="24" t="n">
        <f aca="false">IF(I37="",0,SUMPRODUCT(('Downtime Log'!$H$5:$H$1004=I37)*('Downtime Log'!$A$5:$A$1004&gt;=$D$3)*('Downtime Log'!$A$5:$A$1004&lt;=$D$4)*((($B$5="")+('Downtime Log'!$C$5:$C$1004=$B$5))&gt;0),'Downtime Log'!$G$5:$G$1004))</f>
        <v>0</v>
      </c>
      <c r="K37" s="24" t="n">
        <f aca="false">IF(I37="",0,SUMPRODUCT(('Downtime Log'!$H$5:$H$1004=I37)*('Downtime Log'!$A$5:$A$1004&gt;=$D$3)*('Downtime Log'!$A$5:$A$1004&lt;=$D$4)*((($B$5="")+('Downtime Log'!$C$5:$C$1004=$B$5))&gt;0)*ISNUMBER('Downtime Log'!$G$5:$G$1004)*('Downtime Log'!$G$5:$G$1004&gt;0)))</f>
        <v>0</v>
      </c>
      <c r="L37" s="24" t="n">
        <f aca="false">IF(I37="",-1,J37+(34-29)/1000000)</f>
        <v>-1</v>
      </c>
    </row>
    <row r="38" customFormat="false" ht="15" hidden="false" customHeight="false" outlineLevel="0" collapsed="false">
      <c r="A38" s="21" t="n">
        <v>30</v>
      </c>
      <c r="B38" s="10" t="str">
        <f aca="false">IF(INDEX($J$9:$J$38,MATCH(LARGE($L$9:$L$38,A38),$L$9:$L$38,0))&lt;=0,"",INDEX($I$9:$I$38,MATCH(LARGE($L$9:$L$38,A38),$L$9:$L$38,0)))</f>
        <v/>
      </c>
      <c r="C38" s="22" t="str">
        <f aca="false">IF(B38="","",INDEX($J$9:$J$38,MATCH(LARGE($L$9:$L$38,A38),$L$9:$L$38,0)))</f>
        <v/>
      </c>
      <c r="D38" s="14" t="str">
        <f aca="false">IF(B38="","",INDEX($K$9:$K$38,MATCH(LARGE($L$9:$L$38,A38),$L$9:$L$38,0)))</f>
        <v/>
      </c>
      <c r="E38" s="23" t="str">
        <f aca="false">IF(OR(B38="",$B$6=0),"",C38/$B$6)</f>
        <v/>
      </c>
      <c r="F38" s="23" t="str">
        <f aca="false">IF(OR(B38="",$B$6=0),"",SUM($C$9:C38)/$B$6)</f>
        <v/>
      </c>
      <c r="I38" s="24" t="str">
        <f aca="false">IF(Setup!D34="","",IF(SUMPRODUCT(--(Setup!$D$4:D33=Setup!D34))&gt;0,"",Setup!D34))</f>
        <v/>
      </c>
      <c r="J38" s="24" t="n">
        <f aca="false">IF(I38="",0,SUMPRODUCT(('Downtime Log'!$H$5:$H$1004=I38)*('Downtime Log'!$A$5:$A$1004&gt;=$D$3)*('Downtime Log'!$A$5:$A$1004&lt;=$D$4)*((($B$5="")+('Downtime Log'!$C$5:$C$1004=$B$5))&gt;0),'Downtime Log'!$G$5:$G$1004))</f>
        <v>0</v>
      </c>
      <c r="K38" s="24" t="n">
        <f aca="false">IF(I38="",0,SUMPRODUCT(('Downtime Log'!$H$5:$H$1004=I38)*('Downtime Log'!$A$5:$A$1004&gt;=$D$3)*('Downtime Log'!$A$5:$A$1004&lt;=$D$4)*((($B$5="")+('Downtime Log'!$C$5:$C$1004=$B$5))&gt;0)*ISNUMBER('Downtime Log'!$G$5:$G$1004)*('Downtime Log'!$G$5:$G$1004&gt;0)))</f>
        <v>0</v>
      </c>
      <c r="L38" s="24" t="n">
        <f aca="false">IF(I38="",-1,J38+(34-30)/1000000)</f>
        <v>-1</v>
      </c>
    </row>
  </sheetData>
  <dataValidations count="1">
    <dataValidation allowBlank="true" errorStyle="stop" operator="between" showDropDown="false" showErrorMessage="false" showInputMessage="false" sqref="B5" type="list">
      <formula1>Setup!$A$5:$A$34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7" t="s">
        <v>19</v>
      </c>
      <c r="B4" s="7" t="s">
        <v>81</v>
      </c>
      <c r="C4" s="7" t="s">
        <v>72</v>
      </c>
      <c r="D4" s="7" t="s">
        <v>82</v>
      </c>
      <c r="E4" s="7" t="s">
        <v>83</v>
      </c>
    </row>
    <row r="5" customFormat="false" ht="15" hidden="false" customHeight="false" outlineLevel="0" collapsed="false">
      <c r="A5" s="10" t="str">
        <f aca="false">IF(Setup!A5="","",IF(SUMPRODUCT(--(Setup!$A$4:A4=Setup!A5))&gt;0,"",Setup!A5))</f>
        <v>Press 01</v>
      </c>
      <c r="B5" s="22" t="n">
        <f aca="false">IF($A5="","",SUMPRODUCT(('Downtime Log'!$C$5:$C$1004=$A5)*('Downtime Log'!$A$5:$A$1004&gt;=Pareto!$D$3)*('Downtime Log'!$A$5:$A$1004&lt;=Pareto!$D$4),'Downtime Log'!$G$5:$G$1004))</f>
        <v>105</v>
      </c>
      <c r="C5" s="14" t="n">
        <f aca="false">IF($A5="","",SUMPRODUCT(('Downtime Log'!$C$5:$C$1004=$A5)*('Downtime Log'!$A$5:$A$1004&gt;=Pareto!$D$3)*('Downtime Log'!$A$5:$A$1004&lt;=Pareto!$D$4)*ISNUMBER('Downtime Log'!$G$5:$G$1004)*('Downtime Log'!$G$5:$G$1004&gt;0)))</f>
        <v>3</v>
      </c>
      <c r="D5" s="25" t="n">
        <f aca="false">IF(OR($A5="",N(C5)=0),"",B5/C5)</f>
        <v>35</v>
      </c>
      <c r="E5" s="23" t="n">
        <f aca="false">IF(OR($A5="",$B$36=0),"",B5/$B$36)</f>
        <v>0.411764705882353</v>
      </c>
    </row>
    <row r="6" customFormat="false" ht="15" hidden="false" customHeight="false" outlineLevel="0" collapsed="false">
      <c r="A6" s="10" t="str">
        <f aca="false">IF(Setup!A6="","",IF(SUMPRODUCT(--(Setup!$A$4:A5=Setup!A6))&gt;0,"",Setup!A6))</f>
        <v>CNC Lathe 02</v>
      </c>
      <c r="B6" s="22" t="n">
        <f aca="false">IF($A6="","",SUMPRODUCT(('Downtime Log'!$C$5:$C$1004=$A6)*('Downtime Log'!$A$5:$A$1004&gt;=Pareto!$D$3)*('Downtime Log'!$A$5:$A$1004&lt;=Pareto!$D$4),'Downtime Log'!$G$5:$G$1004))</f>
        <v>75</v>
      </c>
      <c r="C6" s="14" t="n">
        <f aca="false">IF($A6="","",SUMPRODUCT(('Downtime Log'!$C$5:$C$1004=$A6)*('Downtime Log'!$A$5:$A$1004&gt;=Pareto!$D$3)*('Downtime Log'!$A$5:$A$1004&lt;=Pareto!$D$4)*ISNUMBER('Downtime Log'!$G$5:$G$1004)*('Downtime Log'!$G$5:$G$1004&gt;0)))</f>
        <v>2</v>
      </c>
      <c r="D6" s="25" t="n">
        <f aca="false">IF(OR($A6="",N(C6)=0),"",B6/C6)</f>
        <v>37.5</v>
      </c>
      <c r="E6" s="23" t="n">
        <f aca="false">IF(OR($A6="",$B$36=0),"",B6/$B$36)</f>
        <v>0.294117647058824</v>
      </c>
    </row>
    <row r="7" customFormat="false" ht="15" hidden="false" customHeight="false" outlineLevel="0" collapsed="false">
      <c r="A7" s="10" t="str">
        <f aca="false">IF(Setup!A7="","",IF(SUMPRODUCT(--(Setup!$A$4:A6=Setup!A7))&gt;0,"",Setup!A7))</f>
        <v>Packaging Line A</v>
      </c>
      <c r="B7" s="22" t="n">
        <f aca="false">IF($A7="","",SUMPRODUCT(('Downtime Log'!$C$5:$C$1004=$A7)*('Downtime Log'!$A$5:$A$1004&gt;=Pareto!$D$3)*('Downtime Log'!$A$5:$A$1004&lt;=Pareto!$D$4),'Downtime Log'!$G$5:$G$1004))</f>
        <v>75</v>
      </c>
      <c r="C7" s="14" t="n">
        <f aca="false">IF($A7="","",SUMPRODUCT(('Downtime Log'!$C$5:$C$1004=$A7)*('Downtime Log'!$A$5:$A$1004&gt;=Pareto!$D$3)*('Downtime Log'!$A$5:$A$1004&lt;=Pareto!$D$4)*ISNUMBER('Downtime Log'!$G$5:$G$1004)*('Downtime Log'!$G$5:$G$1004&gt;0)))</f>
        <v>2</v>
      </c>
      <c r="D7" s="25" t="n">
        <f aca="false">IF(OR($A7="",N(C7)=0),"",B7/C7)</f>
        <v>37.5</v>
      </c>
      <c r="E7" s="23" t="n">
        <f aca="false">IF(OR($A7="",$B$36=0),"",B7/$B$36)</f>
        <v>0.294117647058824</v>
      </c>
    </row>
    <row r="8" customFormat="false" ht="15" hidden="false" customHeight="false" outlineLevel="0" collapsed="false">
      <c r="A8" s="10" t="str">
        <f aca="false">IF(Setup!A8="","",IF(SUMPRODUCT(--(Setup!$A$4:A7=Setup!A8))&gt;0,"",Setup!A8))</f>
        <v/>
      </c>
      <c r="B8" s="22" t="str">
        <f aca="false">IF($A8="","",SUMPRODUCT(('Downtime Log'!$C$5:$C$1004=$A8)*('Downtime Log'!$A$5:$A$1004&gt;=Pareto!$D$3)*('Downtime Log'!$A$5:$A$1004&lt;=Pareto!$D$4),'Downtime Log'!$G$5:$G$1004))</f>
        <v/>
      </c>
      <c r="C8" s="14" t="str">
        <f aca="false">IF($A8="","",SUMPRODUCT(('Downtime Log'!$C$5:$C$1004=$A8)*('Downtime Log'!$A$5:$A$1004&gt;=Pareto!$D$3)*('Downtime Log'!$A$5:$A$1004&lt;=Pareto!$D$4)*ISNUMBER('Downtime Log'!$G$5:$G$1004)*('Downtime Log'!$G$5:$G$1004&gt;0)))</f>
        <v/>
      </c>
      <c r="D8" s="25" t="str">
        <f aca="false">IF(OR($A8="",N(C8)=0),"",B8/C8)</f>
        <v/>
      </c>
      <c r="E8" s="23" t="str">
        <f aca="false">IF(OR($A8="",$B$36=0),"",B8/$B$36)</f>
        <v/>
      </c>
    </row>
    <row r="9" customFormat="false" ht="15" hidden="false" customHeight="false" outlineLevel="0" collapsed="false">
      <c r="A9" s="10" t="str">
        <f aca="false">IF(Setup!A9="","",IF(SUMPRODUCT(--(Setup!$A$4:A8=Setup!A9))&gt;0,"",Setup!A9))</f>
        <v/>
      </c>
      <c r="B9" s="22" t="str">
        <f aca="false">IF($A9="","",SUMPRODUCT(('Downtime Log'!$C$5:$C$1004=$A9)*('Downtime Log'!$A$5:$A$1004&gt;=Pareto!$D$3)*('Downtime Log'!$A$5:$A$1004&lt;=Pareto!$D$4),'Downtime Log'!$G$5:$G$1004))</f>
        <v/>
      </c>
      <c r="C9" s="14" t="str">
        <f aca="false">IF($A9="","",SUMPRODUCT(('Downtime Log'!$C$5:$C$1004=$A9)*('Downtime Log'!$A$5:$A$1004&gt;=Pareto!$D$3)*('Downtime Log'!$A$5:$A$1004&lt;=Pareto!$D$4)*ISNUMBER('Downtime Log'!$G$5:$G$1004)*('Downtime Log'!$G$5:$G$1004&gt;0)))</f>
        <v/>
      </c>
      <c r="D9" s="25" t="str">
        <f aca="false">IF(OR($A9="",N(C9)=0),"",B9/C9)</f>
        <v/>
      </c>
      <c r="E9" s="23" t="str">
        <f aca="false">IF(OR($A9="",$B$36=0),"",B9/$B$36)</f>
        <v/>
      </c>
    </row>
    <row r="10" customFormat="false" ht="15" hidden="false" customHeight="false" outlineLevel="0" collapsed="false">
      <c r="A10" s="10" t="str">
        <f aca="false">IF(Setup!A10="","",IF(SUMPRODUCT(--(Setup!$A$4:A9=Setup!A10))&gt;0,"",Setup!A10))</f>
        <v/>
      </c>
      <c r="B10" s="22" t="str">
        <f aca="false">IF($A10="","",SUMPRODUCT(('Downtime Log'!$C$5:$C$1004=$A10)*('Downtime Log'!$A$5:$A$1004&gt;=Pareto!$D$3)*('Downtime Log'!$A$5:$A$1004&lt;=Pareto!$D$4),'Downtime Log'!$G$5:$G$1004))</f>
        <v/>
      </c>
      <c r="C10" s="14" t="str">
        <f aca="false">IF($A10="","",SUMPRODUCT(('Downtime Log'!$C$5:$C$1004=$A10)*('Downtime Log'!$A$5:$A$1004&gt;=Pareto!$D$3)*('Downtime Log'!$A$5:$A$1004&lt;=Pareto!$D$4)*ISNUMBER('Downtime Log'!$G$5:$G$1004)*('Downtime Log'!$G$5:$G$1004&gt;0)))</f>
        <v/>
      </c>
      <c r="D10" s="25" t="str">
        <f aca="false">IF(OR($A10="",N(C10)=0),"",B10/C10)</f>
        <v/>
      </c>
      <c r="E10" s="23" t="str">
        <f aca="false">IF(OR($A10="",$B$36=0),"",B10/$B$36)</f>
        <v/>
      </c>
    </row>
    <row r="11" customFormat="false" ht="15" hidden="false" customHeight="false" outlineLevel="0" collapsed="false">
      <c r="A11" s="10" t="str">
        <f aca="false">IF(Setup!A11="","",IF(SUMPRODUCT(--(Setup!$A$4:A10=Setup!A11))&gt;0,"",Setup!A11))</f>
        <v/>
      </c>
      <c r="B11" s="22" t="str">
        <f aca="false">IF($A11="","",SUMPRODUCT(('Downtime Log'!$C$5:$C$1004=$A11)*('Downtime Log'!$A$5:$A$1004&gt;=Pareto!$D$3)*('Downtime Log'!$A$5:$A$1004&lt;=Pareto!$D$4),'Downtime Log'!$G$5:$G$1004))</f>
        <v/>
      </c>
      <c r="C11" s="14" t="str">
        <f aca="false">IF($A11="","",SUMPRODUCT(('Downtime Log'!$C$5:$C$1004=$A11)*('Downtime Log'!$A$5:$A$1004&gt;=Pareto!$D$3)*('Downtime Log'!$A$5:$A$1004&lt;=Pareto!$D$4)*ISNUMBER('Downtime Log'!$G$5:$G$1004)*('Downtime Log'!$G$5:$G$1004&gt;0)))</f>
        <v/>
      </c>
      <c r="D11" s="25" t="str">
        <f aca="false">IF(OR($A11="",N(C11)=0),"",B11/C11)</f>
        <v/>
      </c>
      <c r="E11" s="23" t="str">
        <f aca="false">IF(OR($A11="",$B$36=0),"",B11/$B$36)</f>
        <v/>
      </c>
    </row>
    <row r="12" customFormat="false" ht="15" hidden="false" customHeight="false" outlineLevel="0" collapsed="false">
      <c r="A12" s="10" t="str">
        <f aca="false">IF(Setup!A12="","",IF(SUMPRODUCT(--(Setup!$A$4:A11=Setup!A12))&gt;0,"",Setup!A12))</f>
        <v/>
      </c>
      <c r="B12" s="22" t="str">
        <f aca="false">IF($A12="","",SUMPRODUCT(('Downtime Log'!$C$5:$C$1004=$A12)*('Downtime Log'!$A$5:$A$1004&gt;=Pareto!$D$3)*('Downtime Log'!$A$5:$A$1004&lt;=Pareto!$D$4),'Downtime Log'!$G$5:$G$1004))</f>
        <v/>
      </c>
      <c r="C12" s="14" t="str">
        <f aca="false">IF($A12="","",SUMPRODUCT(('Downtime Log'!$C$5:$C$1004=$A12)*('Downtime Log'!$A$5:$A$1004&gt;=Pareto!$D$3)*('Downtime Log'!$A$5:$A$1004&lt;=Pareto!$D$4)*ISNUMBER('Downtime Log'!$G$5:$G$1004)*('Downtime Log'!$G$5:$G$1004&gt;0)))</f>
        <v/>
      </c>
      <c r="D12" s="25" t="str">
        <f aca="false">IF(OR($A12="",N(C12)=0),"",B12/C12)</f>
        <v/>
      </c>
      <c r="E12" s="23" t="str">
        <f aca="false">IF(OR($A12="",$B$36=0),"",B12/$B$36)</f>
        <v/>
      </c>
    </row>
    <row r="13" customFormat="false" ht="15" hidden="false" customHeight="false" outlineLevel="0" collapsed="false">
      <c r="A13" s="10" t="str">
        <f aca="false">IF(Setup!A13="","",IF(SUMPRODUCT(--(Setup!$A$4:A12=Setup!A13))&gt;0,"",Setup!A13))</f>
        <v/>
      </c>
      <c r="B13" s="22" t="str">
        <f aca="false">IF($A13="","",SUMPRODUCT(('Downtime Log'!$C$5:$C$1004=$A13)*('Downtime Log'!$A$5:$A$1004&gt;=Pareto!$D$3)*('Downtime Log'!$A$5:$A$1004&lt;=Pareto!$D$4),'Downtime Log'!$G$5:$G$1004))</f>
        <v/>
      </c>
      <c r="C13" s="14" t="str">
        <f aca="false">IF($A13="","",SUMPRODUCT(('Downtime Log'!$C$5:$C$1004=$A13)*('Downtime Log'!$A$5:$A$1004&gt;=Pareto!$D$3)*('Downtime Log'!$A$5:$A$1004&lt;=Pareto!$D$4)*ISNUMBER('Downtime Log'!$G$5:$G$1004)*('Downtime Log'!$G$5:$G$1004&gt;0)))</f>
        <v/>
      </c>
      <c r="D13" s="25" t="str">
        <f aca="false">IF(OR($A13="",N(C13)=0),"",B13/C13)</f>
        <v/>
      </c>
      <c r="E13" s="23" t="str">
        <f aca="false">IF(OR($A13="",$B$36=0),"",B13/$B$36)</f>
        <v/>
      </c>
    </row>
    <row r="14" customFormat="false" ht="15" hidden="false" customHeight="false" outlineLevel="0" collapsed="false">
      <c r="A14" s="10" t="str">
        <f aca="false">IF(Setup!A14="","",IF(SUMPRODUCT(--(Setup!$A$4:A13=Setup!A14))&gt;0,"",Setup!A14))</f>
        <v/>
      </c>
      <c r="B14" s="22" t="str">
        <f aca="false">IF($A14="","",SUMPRODUCT(('Downtime Log'!$C$5:$C$1004=$A14)*('Downtime Log'!$A$5:$A$1004&gt;=Pareto!$D$3)*('Downtime Log'!$A$5:$A$1004&lt;=Pareto!$D$4),'Downtime Log'!$G$5:$G$1004))</f>
        <v/>
      </c>
      <c r="C14" s="14" t="str">
        <f aca="false">IF($A14="","",SUMPRODUCT(('Downtime Log'!$C$5:$C$1004=$A14)*('Downtime Log'!$A$5:$A$1004&gt;=Pareto!$D$3)*('Downtime Log'!$A$5:$A$1004&lt;=Pareto!$D$4)*ISNUMBER('Downtime Log'!$G$5:$G$1004)*('Downtime Log'!$G$5:$G$1004&gt;0)))</f>
        <v/>
      </c>
      <c r="D14" s="25" t="str">
        <f aca="false">IF(OR($A14="",N(C14)=0),"",B14/C14)</f>
        <v/>
      </c>
      <c r="E14" s="23" t="str">
        <f aca="false">IF(OR($A14="",$B$36=0),"",B14/$B$36)</f>
        <v/>
      </c>
    </row>
    <row r="15" customFormat="false" ht="15" hidden="false" customHeight="false" outlineLevel="0" collapsed="false">
      <c r="A15" s="10" t="str">
        <f aca="false">IF(Setup!A15="","",IF(SUMPRODUCT(--(Setup!$A$4:A14=Setup!A15))&gt;0,"",Setup!A15))</f>
        <v/>
      </c>
      <c r="B15" s="22" t="str">
        <f aca="false">IF($A15="","",SUMPRODUCT(('Downtime Log'!$C$5:$C$1004=$A15)*('Downtime Log'!$A$5:$A$1004&gt;=Pareto!$D$3)*('Downtime Log'!$A$5:$A$1004&lt;=Pareto!$D$4),'Downtime Log'!$G$5:$G$1004))</f>
        <v/>
      </c>
      <c r="C15" s="14" t="str">
        <f aca="false">IF($A15="","",SUMPRODUCT(('Downtime Log'!$C$5:$C$1004=$A15)*('Downtime Log'!$A$5:$A$1004&gt;=Pareto!$D$3)*('Downtime Log'!$A$5:$A$1004&lt;=Pareto!$D$4)*ISNUMBER('Downtime Log'!$G$5:$G$1004)*('Downtime Log'!$G$5:$G$1004&gt;0)))</f>
        <v/>
      </c>
      <c r="D15" s="25" t="str">
        <f aca="false">IF(OR($A15="",N(C15)=0),"",B15/C15)</f>
        <v/>
      </c>
      <c r="E15" s="23" t="str">
        <f aca="false">IF(OR($A15="",$B$36=0),"",B15/$B$36)</f>
        <v/>
      </c>
    </row>
    <row r="16" customFormat="false" ht="15" hidden="false" customHeight="false" outlineLevel="0" collapsed="false">
      <c r="A16" s="10" t="str">
        <f aca="false">IF(Setup!A16="","",IF(SUMPRODUCT(--(Setup!$A$4:A15=Setup!A16))&gt;0,"",Setup!A16))</f>
        <v/>
      </c>
      <c r="B16" s="22" t="str">
        <f aca="false">IF($A16="","",SUMPRODUCT(('Downtime Log'!$C$5:$C$1004=$A16)*('Downtime Log'!$A$5:$A$1004&gt;=Pareto!$D$3)*('Downtime Log'!$A$5:$A$1004&lt;=Pareto!$D$4),'Downtime Log'!$G$5:$G$1004))</f>
        <v/>
      </c>
      <c r="C16" s="14" t="str">
        <f aca="false">IF($A16="","",SUMPRODUCT(('Downtime Log'!$C$5:$C$1004=$A16)*('Downtime Log'!$A$5:$A$1004&gt;=Pareto!$D$3)*('Downtime Log'!$A$5:$A$1004&lt;=Pareto!$D$4)*ISNUMBER('Downtime Log'!$G$5:$G$1004)*('Downtime Log'!$G$5:$G$1004&gt;0)))</f>
        <v/>
      </c>
      <c r="D16" s="25" t="str">
        <f aca="false">IF(OR($A16="",N(C16)=0),"",B16/C16)</f>
        <v/>
      </c>
      <c r="E16" s="23" t="str">
        <f aca="false">IF(OR($A16="",$B$36=0),"",B16/$B$36)</f>
        <v/>
      </c>
    </row>
    <row r="17" customFormat="false" ht="15" hidden="false" customHeight="false" outlineLevel="0" collapsed="false">
      <c r="A17" s="10" t="str">
        <f aca="false">IF(Setup!A17="","",IF(SUMPRODUCT(--(Setup!$A$4:A16=Setup!A17))&gt;0,"",Setup!A17))</f>
        <v/>
      </c>
      <c r="B17" s="22" t="str">
        <f aca="false">IF($A17="","",SUMPRODUCT(('Downtime Log'!$C$5:$C$1004=$A17)*('Downtime Log'!$A$5:$A$1004&gt;=Pareto!$D$3)*('Downtime Log'!$A$5:$A$1004&lt;=Pareto!$D$4),'Downtime Log'!$G$5:$G$1004))</f>
        <v/>
      </c>
      <c r="C17" s="14" t="str">
        <f aca="false">IF($A17="","",SUMPRODUCT(('Downtime Log'!$C$5:$C$1004=$A17)*('Downtime Log'!$A$5:$A$1004&gt;=Pareto!$D$3)*('Downtime Log'!$A$5:$A$1004&lt;=Pareto!$D$4)*ISNUMBER('Downtime Log'!$G$5:$G$1004)*('Downtime Log'!$G$5:$G$1004&gt;0)))</f>
        <v/>
      </c>
      <c r="D17" s="25" t="str">
        <f aca="false">IF(OR($A17="",N(C17)=0),"",B17/C17)</f>
        <v/>
      </c>
      <c r="E17" s="23" t="str">
        <f aca="false">IF(OR($A17="",$B$36=0),"",B17/$B$36)</f>
        <v/>
      </c>
    </row>
    <row r="18" customFormat="false" ht="15" hidden="false" customHeight="false" outlineLevel="0" collapsed="false">
      <c r="A18" s="10" t="str">
        <f aca="false">IF(Setup!A18="","",IF(SUMPRODUCT(--(Setup!$A$4:A17=Setup!A18))&gt;0,"",Setup!A18))</f>
        <v/>
      </c>
      <c r="B18" s="22" t="str">
        <f aca="false">IF($A18="","",SUMPRODUCT(('Downtime Log'!$C$5:$C$1004=$A18)*('Downtime Log'!$A$5:$A$1004&gt;=Pareto!$D$3)*('Downtime Log'!$A$5:$A$1004&lt;=Pareto!$D$4),'Downtime Log'!$G$5:$G$1004))</f>
        <v/>
      </c>
      <c r="C18" s="14" t="str">
        <f aca="false">IF($A18="","",SUMPRODUCT(('Downtime Log'!$C$5:$C$1004=$A18)*('Downtime Log'!$A$5:$A$1004&gt;=Pareto!$D$3)*('Downtime Log'!$A$5:$A$1004&lt;=Pareto!$D$4)*ISNUMBER('Downtime Log'!$G$5:$G$1004)*('Downtime Log'!$G$5:$G$1004&gt;0)))</f>
        <v/>
      </c>
      <c r="D18" s="25" t="str">
        <f aca="false">IF(OR($A18="",N(C18)=0),"",B18/C18)</f>
        <v/>
      </c>
      <c r="E18" s="23" t="str">
        <f aca="false">IF(OR($A18="",$B$36=0),"",B18/$B$36)</f>
        <v/>
      </c>
    </row>
    <row r="19" customFormat="false" ht="15" hidden="false" customHeight="false" outlineLevel="0" collapsed="false">
      <c r="A19" s="10" t="str">
        <f aca="false">IF(Setup!A19="","",IF(SUMPRODUCT(--(Setup!$A$4:A18=Setup!A19))&gt;0,"",Setup!A19))</f>
        <v/>
      </c>
      <c r="B19" s="22" t="str">
        <f aca="false">IF($A19="","",SUMPRODUCT(('Downtime Log'!$C$5:$C$1004=$A19)*('Downtime Log'!$A$5:$A$1004&gt;=Pareto!$D$3)*('Downtime Log'!$A$5:$A$1004&lt;=Pareto!$D$4),'Downtime Log'!$G$5:$G$1004))</f>
        <v/>
      </c>
      <c r="C19" s="14" t="str">
        <f aca="false">IF($A19="","",SUMPRODUCT(('Downtime Log'!$C$5:$C$1004=$A19)*('Downtime Log'!$A$5:$A$1004&gt;=Pareto!$D$3)*('Downtime Log'!$A$5:$A$1004&lt;=Pareto!$D$4)*ISNUMBER('Downtime Log'!$G$5:$G$1004)*('Downtime Log'!$G$5:$G$1004&gt;0)))</f>
        <v/>
      </c>
      <c r="D19" s="25" t="str">
        <f aca="false">IF(OR($A19="",N(C19)=0),"",B19/C19)</f>
        <v/>
      </c>
      <c r="E19" s="23" t="str">
        <f aca="false">IF(OR($A19="",$B$36=0),"",B19/$B$36)</f>
        <v/>
      </c>
    </row>
    <row r="20" customFormat="false" ht="15" hidden="false" customHeight="false" outlineLevel="0" collapsed="false">
      <c r="A20" s="10" t="str">
        <f aca="false">IF(Setup!A20="","",IF(SUMPRODUCT(--(Setup!$A$4:A19=Setup!A20))&gt;0,"",Setup!A20))</f>
        <v/>
      </c>
      <c r="B20" s="22" t="str">
        <f aca="false">IF($A20="","",SUMPRODUCT(('Downtime Log'!$C$5:$C$1004=$A20)*('Downtime Log'!$A$5:$A$1004&gt;=Pareto!$D$3)*('Downtime Log'!$A$5:$A$1004&lt;=Pareto!$D$4),'Downtime Log'!$G$5:$G$1004))</f>
        <v/>
      </c>
      <c r="C20" s="14" t="str">
        <f aca="false">IF($A20="","",SUMPRODUCT(('Downtime Log'!$C$5:$C$1004=$A20)*('Downtime Log'!$A$5:$A$1004&gt;=Pareto!$D$3)*('Downtime Log'!$A$5:$A$1004&lt;=Pareto!$D$4)*ISNUMBER('Downtime Log'!$G$5:$G$1004)*('Downtime Log'!$G$5:$G$1004&gt;0)))</f>
        <v/>
      </c>
      <c r="D20" s="25" t="str">
        <f aca="false">IF(OR($A20="",N(C20)=0),"",B20/C20)</f>
        <v/>
      </c>
      <c r="E20" s="23" t="str">
        <f aca="false">IF(OR($A20="",$B$36=0),"",B20/$B$36)</f>
        <v/>
      </c>
    </row>
    <row r="21" customFormat="false" ht="15" hidden="false" customHeight="false" outlineLevel="0" collapsed="false">
      <c r="A21" s="10" t="str">
        <f aca="false">IF(Setup!A21="","",IF(SUMPRODUCT(--(Setup!$A$4:A20=Setup!A21))&gt;0,"",Setup!A21))</f>
        <v/>
      </c>
      <c r="B21" s="22" t="str">
        <f aca="false">IF($A21="","",SUMPRODUCT(('Downtime Log'!$C$5:$C$1004=$A21)*('Downtime Log'!$A$5:$A$1004&gt;=Pareto!$D$3)*('Downtime Log'!$A$5:$A$1004&lt;=Pareto!$D$4),'Downtime Log'!$G$5:$G$1004))</f>
        <v/>
      </c>
      <c r="C21" s="14" t="str">
        <f aca="false">IF($A21="","",SUMPRODUCT(('Downtime Log'!$C$5:$C$1004=$A21)*('Downtime Log'!$A$5:$A$1004&gt;=Pareto!$D$3)*('Downtime Log'!$A$5:$A$1004&lt;=Pareto!$D$4)*ISNUMBER('Downtime Log'!$G$5:$G$1004)*('Downtime Log'!$G$5:$G$1004&gt;0)))</f>
        <v/>
      </c>
      <c r="D21" s="25" t="str">
        <f aca="false">IF(OR($A21="",N(C21)=0),"",B21/C21)</f>
        <v/>
      </c>
      <c r="E21" s="23" t="str">
        <f aca="false">IF(OR($A21="",$B$36=0),"",B21/$B$36)</f>
        <v/>
      </c>
    </row>
    <row r="22" customFormat="false" ht="15" hidden="false" customHeight="false" outlineLevel="0" collapsed="false">
      <c r="A22" s="10" t="str">
        <f aca="false">IF(Setup!A22="","",IF(SUMPRODUCT(--(Setup!$A$4:A21=Setup!A22))&gt;0,"",Setup!A22))</f>
        <v/>
      </c>
      <c r="B22" s="22" t="str">
        <f aca="false">IF($A22="","",SUMPRODUCT(('Downtime Log'!$C$5:$C$1004=$A22)*('Downtime Log'!$A$5:$A$1004&gt;=Pareto!$D$3)*('Downtime Log'!$A$5:$A$1004&lt;=Pareto!$D$4),'Downtime Log'!$G$5:$G$1004))</f>
        <v/>
      </c>
      <c r="C22" s="14" t="str">
        <f aca="false">IF($A22="","",SUMPRODUCT(('Downtime Log'!$C$5:$C$1004=$A22)*('Downtime Log'!$A$5:$A$1004&gt;=Pareto!$D$3)*('Downtime Log'!$A$5:$A$1004&lt;=Pareto!$D$4)*ISNUMBER('Downtime Log'!$G$5:$G$1004)*('Downtime Log'!$G$5:$G$1004&gt;0)))</f>
        <v/>
      </c>
      <c r="D22" s="25" t="str">
        <f aca="false">IF(OR($A22="",N(C22)=0),"",B22/C22)</f>
        <v/>
      </c>
      <c r="E22" s="23" t="str">
        <f aca="false">IF(OR($A22="",$B$36=0),"",B22/$B$36)</f>
        <v/>
      </c>
    </row>
    <row r="23" customFormat="false" ht="15" hidden="false" customHeight="false" outlineLevel="0" collapsed="false">
      <c r="A23" s="10" t="str">
        <f aca="false">IF(Setup!A23="","",IF(SUMPRODUCT(--(Setup!$A$4:A22=Setup!A23))&gt;0,"",Setup!A23))</f>
        <v/>
      </c>
      <c r="B23" s="22" t="str">
        <f aca="false">IF($A23="","",SUMPRODUCT(('Downtime Log'!$C$5:$C$1004=$A23)*('Downtime Log'!$A$5:$A$1004&gt;=Pareto!$D$3)*('Downtime Log'!$A$5:$A$1004&lt;=Pareto!$D$4),'Downtime Log'!$G$5:$G$1004))</f>
        <v/>
      </c>
      <c r="C23" s="14" t="str">
        <f aca="false">IF($A23="","",SUMPRODUCT(('Downtime Log'!$C$5:$C$1004=$A23)*('Downtime Log'!$A$5:$A$1004&gt;=Pareto!$D$3)*('Downtime Log'!$A$5:$A$1004&lt;=Pareto!$D$4)*ISNUMBER('Downtime Log'!$G$5:$G$1004)*('Downtime Log'!$G$5:$G$1004&gt;0)))</f>
        <v/>
      </c>
      <c r="D23" s="25" t="str">
        <f aca="false">IF(OR($A23="",N(C23)=0),"",B23/C23)</f>
        <v/>
      </c>
      <c r="E23" s="23" t="str">
        <f aca="false">IF(OR($A23="",$B$36=0),"",B23/$B$36)</f>
        <v/>
      </c>
    </row>
    <row r="24" customFormat="false" ht="15" hidden="false" customHeight="false" outlineLevel="0" collapsed="false">
      <c r="A24" s="10" t="str">
        <f aca="false">IF(Setup!A24="","",IF(SUMPRODUCT(--(Setup!$A$4:A23=Setup!A24))&gt;0,"",Setup!A24))</f>
        <v/>
      </c>
      <c r="B24" s="22" t="str">
        <f aca="false">IF($A24="","",SUMPRODUCT(('Downtime Log'!$C$5:$C$1004=$A24)*('Downtime Log'!$A$5:$A$1004&gt;=Pareto!$D$3)*('Downtime Log'!$A$5:$A$1004&lt;=Pareto!$D$4),'Downtime Log'!$G$5:$G$1004))</f>
        <v/>
      </c>
      <c r="C24" s="14" t="str">
        <f aca="false">IF($A24="","",SUMPRODUCT(('Downtime Log'!$C$5:$C$1004=$A24)*('Downtime Log'!$A$5:$A$1004&gt;=Pareto!$D$3)*('Downtime Log'!$A$5:$A$1004&lt;=Pareto!$D$4)*ISNUMBER('Downtime Log'!$G$5:$G$1004)*('Downtime Log'!$G$5:$G$1004&gt;0)))</f>
        <v/>
      </c>
      <c r="D24" s="25" t="str">
        <f aca="false">IF(OR($A24="",N(C24)=0),"",B24/C24)</f>
        <v/>
      </c>
      <c r="E24" s="23" t="str">
        <f aca="false">IF(OR($A24="",$B$36=0),"",B24/$B$36)</f>
        <v/>
      </c>
    </row>
    <row r="25" customFormat="false" ht="15" hidden="false" customHeight="false" outlineLevel="0" collapsed="false">
      <c r="A25" s="10" t="str">
        <f aca="false">IF(Setup!A25="","",IF(SUMPRODUCT(--(Setup!$A$4:A24=Setup!A25))&gt;0,"",Setup!A25))</f>
        <v/>
      </c>
      <c r="B25" s="22" t="str">
        <f aca="false">IF($A25="","",SUMPRODUCT(('Downtime Log'!$C$5:$C$1004=$A25)*('Downtime Log'!$A$5:$A$1004&gt;=Pareto!$D$3)*('Downtime Log'!$A$5:$A$1004&lt;=Pareto!$D$4),'Downtime Log'!$G$5:$G$1004))</f>
        <v/>
      </c>
      <c r="C25" s="14" t="str">
        <f aca="false">IF($A25="","",SUMPRODUCT(('Downtime Log'!$C$5:$C$1004=$A25)*('Downtime Log'!$A$5:$A$1004&gt;=Pareto!$D$3)*('Downtime Log'!$A$5:$A$1004&lt;=Pareto!$D$4)*ISNUMBER('Downtime Log'!$G$5:$G$1004)*('Downtime Log'!$G$5:$G$1004&gt;0)))</f>
        <v/>
      </c>
      <c r="D25" s="25" t="str">
        <f aca="false">IF(OR($A25="",N(C25)=0),"",B25/C25)</f>
        <v/>
      </c>
      <c r="E25" s="23" t="str">
        <f aca="false">IF(OR($A25="",$B$36=0),"",B25/$B$36)</f>
        <v/>
      </c>
    </row>
    <row r="26" customFormat="false" ht="15" hidden="false" customHeight="false" outlineLevel="0" collapsed="false">
      <c r="A26" s="10" t="str">
        <f aca="false">IF(Setup!A26="","",IF(SUMPRODUCT(--(Setup!$A$4:A25=Setup!A26))&gt;0,"",Setup!A26))</f>
        <v/>
      </c>
      <c r="B26" s="22" t="str">
        <f aca="false">IF($A26="","",SUMPRODUCT(('Downtime Log'!$C$5:$C$1004=$A26)*('Downtime Log'!$A$5:$A$1004&gt;=Pareto!$D$3)*('Downtime Log'!$A$5:$A$1004&lt;=Pareto!$D$4),'Downtime Log'!$G$5:$G$1004))</f>
        <v/>
      </c>
      <c r="C26" s="14" t="str">
        <f aca="false">IF($A26="","",SUMPRODUCT(('Downtime Log'!$C$5:$C$1004=$A26)*('Downtime Log'!$A$5:$A$1004&gt;=Pareto!$D$3)*('Downtime Log'!$A$5:$A$1004&lt;=Pareto!$D$4)*ISNUMBER('Downtime Log'!$G$5:$G$1004)*('Downtime Log'!$G$5:$G$1004&gt;0)))</f>
        <v/>
      </c>
      <c r="D26" s="25" t="str">
        <f aca="false">IF(OR($A26="",N(C26)=0),"",B26/C26)</f>
        <v/>
      </c>
      <c r="E26" s="23" t="str">
        <f aca="false">IF(OR($A26="",$B$36=0),"",B26/$B$36)</f>
        <v/>
      </c>
    </row>
    <row r="27" customFormat="false" ht="15" hidden="false" customHeight="false" outlineLevel="0" collapsed="false">
      <c r="A27" s="10" t="str">
        <f aca="false">IF(Setup!A27="","",IF(SUMPRODUCT(--(Setup!$A$4:A26=Setup!A27))&gt;0,"",Setup!A27))</f>
        <v/>
      </c>
      <c r="B27" s="22" t="str">
        <f aca="false">IF($A27="","",SUMPRODUCT(('Downtime Log'!$C$5:$C$1004=$A27)*('Downtime Log'!$A$5:$A$1004&gt;=Pareto!$D$3)*('Downtime Log'!$A$5:$A$1004&lt;=Pareto!$D$4),'Downtime Log'!$G$5:$G$1004))</f>
        <v/>
      </c>
      <c r="C27" s="14" t="str">
        <f aca="false">IF($A27="","",SUMPRODUCT(('Downtime Log'!$C$5:$C$1004=$A27)*('Downtime Log'!$A$5:$A$1004&gt;=Pareto!$D$3)*('Downtime Log'!$A$5:$A$1004&lt;=Pareto!$D$4)*ISNUMBER('Downtime Log'!$G$5:$G$1004)*('Downtime Log'!$G$5:$G$1004&gt;0)))</f>
        <v/>
      </c>
      <c r="D27" s="25" t="str">
        <f aca="false">IF(OR($A27="",N(C27)=0),"",B27/C27)</f>
        <v/>
      </c>
      <c r="E27" s="23" t="str">
        <f aca="false">IF(OR($A27="",$B$36=0),"",B27/$B$36)</f>
        <v/>
      </c>
    </row>
    <row r="28" customFormat="false" ht="15" hidden="false" customHeight="false" outlineLevel="0" collapsed="false">
      <c r="A28" s="10" t="str">
        <f aca="false">IF(Setup!A28="","",IF(SUMPRODUCT(--(Setup!$A$4:A27=Setup!A28))&gt;0,"",Setup!A28))</f>
        <v/>
      </c>
      <c r="B28" s="22" t="str">
        <f aca="false">IF($A28="","",SUMPRODUCT(('Downtime Log'!$C$5:$C$1004=$A28)*('Downtime Log'!$A$5:$A$1004&gt;=Pareto!$D$3)*('Downtime Log'!$A$5:$A$1004&lt;=Pareto!$D$4),'Downtime Log'!$G$5:$G$1004))</f>
        <v/>
      </c>
      <c r="C28" s="14" t="str">
        <f aca="false">IF($A28="","",SUMPRODUCT(('Downtime Log'!$C$5:$C$1004=$A28)*('Downtime Log'!$A$5:$A$1004&gt;=Pareto!$D$3)*('Downtime Log'!$A$5:$A$1004&lt;=Pareto!$D$4)*ISNUMBER('Downtime Log'!$G$5:$G$1004)*('Downtime Log'!$G$5:$G$1004&gt;0)))</f>
        <v/>
      </c>
      <c r="D28" s="25" t="str">
        <f aca="false">IF(OR($A28="",N(C28)=0),"",B28/C28)</f>
        <v/>
      </c>
      <c r="E28" s="23" t="str">
        <f aca="false">IF(OR($A28="",$B$36=0),"",B28/$B$36)</f>
        <v/>
      </c>
    </row>
    <row r="29" customFormat="false" ht="15" hidden="false" customHeight="false" outlineLevel="0" collapsed="false">
      <c r="A29" s="10" t="str">
        <f aca="false">IF(Setup!A29="","",IF(SUMPRODUCT(--(Setup!$A$4:A28=Setup!A29))&gt;0,"",Setup!A29))</f>
        <v/>
      </c>
      <c r="B29" s="22" t="str">
        <f aca="false">IF($A29="","",SUMPRODUCT(('Downtime Log'!$C$5:$C$1004=$A29)*('Downtime Log'!$A$5:$A$1004&gt;=Pareto!$D$3)*('Downtime Log'!$A$5:$A$1004&lt;=Pareto!$D$4),'Downtime Log'!$G$5:$G$1004))</f>
        <v/>
      </c>
      <c r="C29" s="14" t="str">
        <f aca="false">IF($A29="","",SUMPRODUCT(('Downtime Log'!$C$5:$C$1004=$A29)*('Downtime Log'!$A$5:$A$1004&gt;=Pareto!$D$3)*('Downtime Log'!$A$5:$A$1004&lt;=Pareto!$D$4)*ISNUMBER('Downtime Log'!$G$5:$G$1004)*('Downtime Log'!$G$5:$G$1004&gt;0)))</f>
        <v/>
      </c>
      <c r="D29" s="25" t="str">
        <f aca="false">IF(OR($A29="",N(C29)=0),"",B29/C29)</f>
        <v/>
      </c>
      <c r="E29" s="23" t="str">
        <f aca="false">IF(OR($A29="",$B$36=0),"",B29/$B$36)</f>
        <v/>
      </c>
    </row>
    <row r="30" customFormat="false" ht="15" hidden="false" customHeight="false" outlineLevel="0" collapsed="false">
      <c r="A30" s="10" t="str">
        <f aca="false">IF(Setup!A30="","",IF(SUMPRODUCT(--(Setup!$A$4:A29=Setup!A30))&gt;0,"",Setup!A30))</f>
        <v/>
      </c>
      <c r="B30" s="22" t="str">
        <f aca="false">IF($A30="","",SUMPRODUCT(('Downtime Log'!$C$5:$C$1004=$A30)*('Downtime Log'!$A$5:$A$1004&gt;=Pareto!$D$3)*('Downtime Log'!$A$5:$A$1004&lt;=Pareto!$D$4),'Downtime Log'!$G$5:$G$1004))</f>
        <v/>
      </c>
      <c r="C30" s="14" t="str">
        <f aca="false">IF($A30="","",SUMPRODUCT(('Downtime Log'!$C$5:$C$1004=$A30)*('Downtime Log'!$A$5:$A$1004&gt;=Pareto!$D$3)*('Downtime Log'!$A$5:$A$1004&lt;=Pareto!$D$4)*ISNUMBER('Downtime Log'!$G$5:$G$1004)*('Downtime Log'!$G$5:$G$1004&gt;0)))</f>
        <v/>
      </c>
      <c r="D30" s="25" t="str">
        <f aca="false">IF(OR($A30="",N(C30)=0),"",B30/C30)</f>
        <v/>
      </c>
      <c r="E30" s="23" t="str">
        <f aca="false">IF(OR($A30="",$B$36=0),"",B30/$B$36)</f>
        <v/>
      </c>
    </row>
    <row r="31" customFormat="false" ht="15" hidden="false" customHeight="false" outlineLevel="0" collapsed="false">
      <c r="A31" s="10" t="str">
        <f aca="false">IF(Setup!A31="","",IF(SUMPRODUCT(--(Setup!$A$4:A30=Setup!A31))&gt;0,"",Setup!A31))</f>
        <v/>
      </c>
      <c r="B31" s="22" t="str">
        <f aca="false">IF($A31="","",SUMPRODUCT(('Downtime Log'!$C$5:$C$1004=$A31)*('Downtime Log'!$A$5:$A$1004&gt;=Pareto!$D$3)*('Downtime Log'!$A$5:$A$1004&lt;=Pareto!$D$4),'Downtime Log'!$G$5:$G$1004))</f>
        <v/>
      </c>
      <c r="C31" s="14" t="str">
        <f aca="false">IF($A31="","",SUMPRODUCT(('Downtime Log'!$C$5:$C$1004=$A31)*('Downtime Log'!$A$5:$A$1004&gt;=Pareto!$D$3)*('Downtime Log'!$A$5:$A$1004&lt;=Pareto!$D$4)*ISNUMBER('Downtime Log'!$G$5:$G$1004)*('Downtime Log'!$G$5:$G$1004&gt;0)))</f>
        <v/>
      </c>
      <c r="D31" s="25" t="str">
        <f aca="false">IF(OR($A31="",N(C31)=0),"",B31/C31)</f>
        <v/>
      </c>
      <c r="E31" s="23" t="str">
        <f aca="false">IF(OR($A31="",$B$36=0),"",B31/$B$36)</f>
        <v/>
      </c>
    </row>
    <row r="32" customFormat="false" ht="15" hidden="false" customHeight="false" outlineLevel="0" collapsed="false">
      <c r="A32" s="10" t="str">
        <f aca="false">IF(Setup!A32="","",IF(SUMPRODUCT(--(Setup!$A$4:A31=Setup!A32))&gt;0,"",Setup!A32))</f>
        <v/>
      </c>
      <c r="B32" s="22" t="str">
        <f aca="false">IF($A32="","",SUMPRODUCT(('Downtime Log'!$C$5:$C$1004=$A32)*('Downtime Log'!$A$5:$A$1004&gt;=Pareto!$D$3)*('Downtime Log'!$A$5:$A$1004&lt;=Pareto!$D$4),'Downtime Log'!$G$5:$G$1004))</f>
        <v/>
      </c>
      <c r="C32" s="14" t="str">
        <f aca="false">IF($A32="","",SUMPRODUCT(('Downtime Log'!$C$5:$C$1004=$A32)*('Downtime Log'!$A$5:$A$1004&gt;=Pareto!$D$3)*('Downtime Log'!$A$5:$A$1004&lt;=Pareto!$D$4)*ISNUMBER('Downtime Log'!$G$5:$G$1004)*('Downtime Log'!$G$5:$G$1004&gt;0)))</f>
        <v/>
      </c>
      <c r="D32" s="25" t="str">
        <f aca="false">IF(OR($A32="",N(C32)=0),"",B32/C32)</f>
        <v/>
      </c>
      <c r="E32" s="23" t="str">
        <f aca="false">IF(OR($A32="",$B$36=0),"",B32/$B$36)</f>
        <v/>
      </c>
    </row>
    <row r="33" customFormat="false" ht="15" hidden="false" customHeight="false" outlineLevel="0" collapsed="false">
      <c r="A33" s="10" t="str">
        <f aca="false">IF(Setup!A33="","",IF(SUMPRODUCT(--(Setup!$A$4:A32=Setup!A33))&gt;0,"",Setup!A33))</f>
        <v/>
      </c>
      <c r="B33" s="22" t="str">
        <f aca="false">IF($A33="","",SUMPRODUCT(('Downtime Log'!$C$5:$C$1004=$A33)*('Downtime Log'!$A$5:$A$1004&gt;=Pareto!$D$3)*('Downtime Log'!$A$5:$A$1004&lt;=Pareto!$D$4),'Downtime Log'!$G$5:$G$1004))</f>
        <v/>
      </c>
      <c r="C33" s="14" t="str">
        <f aca="false">IF($A33="","",SUMPRODUCT(('Downtime Log'!$C$5:$C$1004=$A33)*('Downtime Log'!$A$5:$A$1004&gt;=Pareto!$D$3)*('Downtime Log'!$A$5:$A$1004&lt;=Pareto!$D$4)*ISNUMBER('Downtime Log'!$G$5:$G$1004)*('Downtime Log'!$G$5:$G$1004&gt;0)))</f>
        <v/>
      </c>
      <c r="D33" s="25" t="str">
        <f aca="false">IF(OR($A33="",N(C33)=0),"",B33/C33)</f>
        <v/>
      </c>
      <c r="E33" s="23" t="str">
        <f aca="false">IF(OR($A33="",$B$36=0),"",B33/$B$36)</f>
        <v/>
      </c>
    </row>
    <row r="34" customFormat="false" ht="15" hidden="false" customHeight="false" outlineLevel="0" collapsed="false">
      <c r="A34" s="10" t="str">
        <f aca="false">IF(Setup!A34="","",IF(SUMPRODUCT(--(Setup!$A$4:A33=Setup!A34))&gt;0,"",Setup!A34))</f>
        <v/>
      </c>
      <c r="B34" s="22" t="str">
        <f aca="false">IF($A34="","",SUMPRODUCT(('Downtime Log'!$C$5:$C$1004=$A34)*('Downtime Log'!$A$5:$A$1004&gt;=Pareto!$D$3)*('Downtime Log'!$A$5:$A$1004&lt;=Pareto!$D$4),'Downtime Log'!$G$5:$G$1004))</f>
        <v/>
      </c>
      <c r="C34" s="14" t="str">
        <f aca="false">IF($A34="","",SUMPRODUCT(('Downtime Log'!$C$5:$C$1004=$A34)*('Downtime Log'!$A$5:$A$1004&gt;=Pareto!$D$3)*('Downtime Log'!$A$5:$A$1004&lt;=Pareto!$D$4)*ISNUMBER('Downtime Log'!$G$5:$G$1004)*('Downtime Log'!$G$5:$G$1004&gt;0)))</f>
        <v/>
      </c>
      <c r="D34" s="25" t="str">
        <f aca="false">IF(OR($A34="",N(C34)=0),"",B34/C34)</f>
        <v/>
      </c>
      <c r="E34" s="23" t="str">
        <f aca="false">IF(OR($A34="",$B$36=0),"",B34/$B$36)</f>
        <v/>
      </c>
    </row>
    <row r="35" customFormat="false" ht="15" hidden="false" customHeight="false" outlineLevel="0" collapsed="false">
      <c r="A35" s="10" t="s">
        <v>84</v>
      </c>
      <c r="B35" s="22" t="n">
        <f aca="false">B36-SUM(B5:B34)</f>
        <v>0</v>
      </c>
      <c r="C35" s="14" t="n">
        <f aca="false">SUMPRODUCT(('Downtime Log'!$A$5:$A$1004&gt;=Pareto!$D$3)*('Downtime Log'!$A$5:$A$1004&lt;=Pareto!$D$4)*ISNUMBER('Downtime Log'!$G$5:$G$1004)*('Downtime Log'!$G$5:$G$1004&gt;0))-SUM(C5:C34)</f>
        <v>0</v>
      </c>
      <c r="D35" s="25" t="str">
        <f aca="false">IF(OR($A35="",N(C35)=0),"",B35/C35)</f>
        <v/>
      </c>
      <c r="E35" s="23" t="n">
        <f aca="false">IF(OR($A35="",$B$36=0),"",B35/$B$36)</f>
        <v>0</v>
      </c>
    </row>
    <row r="36" customFormat="false" ht="15" hidden="false" customHeight="false" outlineLevel="0" collapsed="false">
      <c r="A36" s="26" t="s">
        <v>85</v>
      </c>
      <c r="B36" s="27" t="n">
        <f aca="false">SUMPRODUCT(('Downtime Log'!$A$5:$A$1004&gt;=Pareto!$D$3)*('Downtime Log'!$A$5:$A$1004&lt;=Pareto!$D$4),'Downtime Log'!$G$5:$G$1004)</f>
        <v>255</v>
      </c>
      <c r="C36" s="28" t="n">
        <f aca="false">SUMPRODUCT(('Downtime Log'!$A$5:$A$1004&gt;=Pareto!$D$3)*('Downtime Log'!$A$5:$A$1004&lt;=Pareto!$D$4)*ISNUMBER('Downtime Log'!$G$5:$G$1004)*('Downtime Log'!$G$5:$G$1004&gt;0))</f>
        <v>7</v>
      </c>
      <c r="D36" s="29" t="n">
        <f aca="false">IF(OR($A36="",N(C36)=0),"",B36/C36)</f>
        <v>36.4285714285714</v>
      </c>
      <c r="E36" s="30" t="n">
        <f aca="false">IF(OR($A36="",$B$36=0),"",B36/$B$36)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2026-10-11T01:53:28Z</dcterms:created>
  <dc:creator>openpyxl</dc:creator>
  <dc:description/>
  <dc:language>en-US</dc:language>
  <cp:lastModifiedBy/>
  <dcterms:modified xsi:type="dcterms:W3CDTF">2026-10-10T20:57:21Z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