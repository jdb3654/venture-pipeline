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Downtime Log" sheetId="3" state="visible" r:id="rId5"/>
    <sheet name="Pareto" sheetId="4" state="visible" r:id="rId6"/>
    <sheet name="By Machi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<sst xmlns="http://schemas.openxmlformats.org/spreadsheetml/2006/main" count="111" uniqueCount="80">
  <si>
    <t xml:space="preserve">Downtime Log &amp; Pareto</t>
  </si>
  <si>
    <t xml:space="preserve">Version 1.0</t>
  </si>
  <si>
    <t xml:space="preserve">What this does</t>
  </si>
  <si>
    <t xml:space="preserve">Record every stop with a reason. The Pareto sheet ranks reasons by minutes lost so you can see the few causes behind most of your downtime, for any date range and any machine.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</si>
  <si>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</si>
  <si>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</si>
  <si>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</si>
  <si>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</si>
  <si>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machines, and edit the reason list to match how your plant talks about stops. Each reason has a category (Breakdown, Material, and so on) that you can also rename.</t>
  </si>
  <si>
    <t xml:space="preserve">2. Downtime Log: one row per stop. Enter start and end times, or type the minutes directly if you only know the duration. Stops that cross midnight are handled automatically.</t>
  </si>
  <si>
    <t xml:space="preserve">3. Pareto: choose a date range and, optionally, one machine. Reasons are ranked automatically, with the cumulative percentage and a chart.</t>
  </si>
  <si>
    <t xml:space="preserve">4. By Machine: total downtime and stop counts per machine for the same date range.</t>
  </si>
  <si>
    <t xml:space="preserve">5. The rows marked EXAMPLE show the expected format. Delete them before you start.</t>
  </si>
  <si>
    <t xml:space="preserve">Tips</t>
  </si>
  <si>
    <t xml:space="preserve">Keep the reason list short (10-15 reasons). If 'Other' becomes one of your top reasons, read its notes and add the missing reason.</t>
  </si>
  <si>
    <t xml:space="preserve">Pick reasons from the drop-down so spelling stays consistent; a typed reason that isn't on the Setup list shows 'Not in Setup' and won't be counted correctly.</t>
  </si>
  <si>
    <t xml:space="preserve">Setup</t>
  </si>
  <si>
    <t xml:space="preserve">Machines and downtime reasons used by the drop-downs.</t>
  </si>
  <si>
    <t xml:space="preserve">Machine</t>
  </si>
  <si>
    <t xml:space="preserve">Downtime reason</t>
  </si>
  <si>
    <t xml:space="preserve">Category</t>
  </si>
  <si>
    <t xml:space="preserve">Press 01</t>
  </si>
  <si>
    <t xml:space="preserve">Mechanical breakdown</t>
  </si>
  <si>
    <t xml:space="preserve">Breakdown</t>
  </si>
  <si>
    <t xml:space="preserve">CNC Lathe 02</t>
  </si>
  <si>
    <t xml:space="preserve">Electrical / controls fault</t>
  </si>
  <si>
    <t xml:space="preserve">Packaging Line A</t>
  </si>
  <si>
    <t xml:space="preserve">Tooling failure</t>
  </si>
  <si>
    <t xml:space="preserve">Changeover / setup</t>
  </si>
  <si>
    <t xml:space="preserve">Setup &amp; adjustment</t>
  </si>
  <si>
    <t xml:space="preserve">Adjustment / tuning</t>
  </si>
  <si>
    <t xml:space="preserve">Waiting for material</t>
  </si>
  <si>
    <t xml:space="preserve">Material</t>
  </si>
  <si>
    <t xml:space="preserve">Waiting for upstream process</t>
  </si>
  <si>
    <t xml:space="preserve">Quality hold / inspection</t>
  </si>
  <si>
    <t xml:space="preserve">Quality</t>
  </si>
  <si>
    <t xml:space="preserve">No operator available</t>
  </si>
  <si>
    <t xml:space="preserve">Labor</t>
  </si>
  <si>
    <t xml:space="preserve">Planned maintenance</t>
  </si>
  <si>
    <t xml:space="preserve">Planned</t>
  </si>
  <si>
    <t xml:space="preserve">Meeting / training</t>
  </si>
  <si>
    <t xml:space="preserve">Other (describe in notes)</t>
  </si>
  <si>
    <t xml:space="preserve">Other</t>
  </si>
  <si>
    <t xml:space="preserve">Downtime Log</t>
  </si>
  <si>
    <t xml:space="preserve">One row per stop. Use start/end times, or type minutes if you only know the duration.</t>
  </si>
  <si>
    <t xml:space="preserve">Date</t>
  </si>
  <si>
    <t xml:space="preserve">Shift</t>
  </si>
  <si>
    <t xml:space="preserve">Start
(hh:mm)</t>
  </si>
  <si>
    <t xml:space="preserve">End
(hh:mm)</t>
  </si>
  <si>
    <t xml:space="preserve">Minutes (if no
start/end)</t>
  </si>
  <si>
    <t xml:space="preserve">Duration
(min)</t>
  </si>
  <si>
    <t xml:space="preserve">Reason</t>
  </si>
  <si>
    <t xml:space="preserve">Notes</t>
  </si>
  <si>
    <t xml:space="preserve">Day</t>
  </si>
  <si>
    <t xml:space="preserve">EXAMPLE - Die change</t>
  </si>
  <si>
    <t xml:space="preserve">EXAMPLE</t>
  </si>
  <si>
    <t xml:space="preserve">EXAMPLE - Insert broke</t>
  </si>
  <si>
    <t xml:space="preserve">Night</t>
  </si>
  <si>
    <t xml:space="preserve">EXAMPLE - Conveyor jam, crossed midnight</t>
  </si>
  <si>
    <t xml:space="preserve">EXAMPLE - Minutes typed directly</t>
  </si>
  <si>
    <t xml:space="preserve">Downtime Pareto</t>
  </si>
  <si>
    <t xml:space="preserve">Reasons ranked by minutes lost. Leave filters blank to include everything.</t>
  </si>
  <si>
    <t xml:space="preserve">From date</t>
  </si>
  <si>
    <t xml:space="preserve">To date</t>
  </si>
  <si>
    <t xml:space="preserve">Machine (blank = all)</t>
  </si>
  <si>
    <t xml:space="preserve">Total downtime (min)</t>
  </si>
  <si>
    <t xml:space="preserve">Rank</t>
  </si>
  <si>
    <t xml:space="preserve">Minutes</t>
  </si>
  <si>
    <t xml:space="preserve">Stops</t>
  </si>
  <si>
    <t xml:space="preserve">% of total</t>
  </si>
  <si>
    <t xml:space="preserve">Cumulative %</t>
  </si>
  <si>
    <t xml:space="preserve">Helper: reason</t>
  </si>
  <si>
    <t xml:space="preserve">Helper: minutes</t>
  </si>
  <si>
    <t xml:space="preserve">Helper: stops</t>
  </si>
  <si>
    <t xml:space="preserve">Helper: sort key</t>
  </si>
  <si>
    <t xml:space="preserve">Downtime by Machine</t>
  </si>
  <si>
    <t xml:space="preserve">Uses the date range set on the Pareto sheet (machine filter is ignored here).</t>
  </si>
  <si>
    <t xml:space="preserve">Downtime (min)</t>
  </si>
  <si>
    <t xml:space="preserve">Avg min per stop</t>
  </si>
  <si>
    <t xml:space="preserve">% of all downtime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</si>
</sst>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hh:mm"/>
    <numFmt numFmtId="167" formatCode="0"/>
    <numFmt numFmtId="168" formatCode="#,##0"/>
    <numFmt numFmtId="169" formatCode="0.0%"/>
    <numFmt numFmtId="170" formatCode="0%"/>
    <numFmt numFmtId="171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Downtime by reason (top 12)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Pareto!C8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Pareto!$C$9:$C$20</c:f>
              <c:numCache>
                <c:formatCode>#,##0</c:formatCode>
                <c:ptCount val="12"/>
                <c:pt idx="0">
                  <c:v>100</c:v>
                </c:pt>
                <c:pt idx="1">
                  <c:v>65</c:v>
                </c:pt>
                <c:pt idx="2">
                  <c:v>60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</c:ser>
        <c:gapWidth val="150"/>
        <c:overlap val="0"/>
        <c:axId val="68062952"/>
        <c:axId val="63447801"/>
      </c:barChart>
      <c:lineChart>
        <c:grouping val="standard"/>
        <c:varyColors val="0"/>
        <c:ser>
          <c:idx val="1"/>
          <c:order val="1"/>
          <c:tx>
            <c:strRef>
              <c:f>Pareto!F8</c:f>
              <c:strCache>
                <c:ptCount val="1"/>
                <c:pt idx="0">
                  <c:v>Cumulative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Pareto!$F$9:$F$20</c:f>
              <c:numCache>
                <c:formatCode>0.0%</c:formatCode>
                <c:ptCount val="12"/>
                <c:pt idx="0">
                  <c:v>0.392156862745098</c:v>
                </c:pt>
                <c:pt idx="1">
                  <c:v>0.647058823529412</c:v>
                </c:pt>
                <c:pt idx="2">
                  <c:v>0.882352941176471</c:v>
                </c:pt>
                <c:pt idx="3">
                  <c:v>0.941176470588235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111028"/>
        <c:axId val="98090127"/>
      </c:lineChart>
      <c:catAx>
        <c:axId val="68062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47801"/>
        <c:crosses val="autoZero"/>
        <c:auto val="1"/>
        <c:lblAlgn val="ctr"/>
        <c:lblOffset val="100"/>
        <c:noMultiLvlLbl val="0"/>
      </c:catAx>
      <c:valAx>
        <c:axId val="634478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Minutes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62952"/>
        <c:crosses val="autoZero"/>
        <c:crossBetween val="between"/>
      </c:valAx>
      <c:catAx>
        <c:axId val="4611102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90127"/>
        <c:crosses val="autoZero"/>
        <c:auto val="1"/>
        <c:lblAlgn val="ctr"/>
        <c:lblOffset val="100"/>
        <c:noMultiLvlLbl val="0"/>
      </c:catAx>
      <c:valAx>
        <c:axId val="98090127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111028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130680</xdr:rowOff>
    </xdr:from>
    <xdr:to>
      <xdr:col>23</xdr:col>
      <xdr:colOff>261720</xdr:colOff>
      <xdr:row>17</xdr:row>
      <xdr:rowOff>112680</xdr:rowOff>
    </xdr:to>
    <xdr:graphicFrame>
      <xdr:nvGraphicFramePr>
        <xdr:cNvPr id="0" name="Chart 1"/>
        <xdr:cNvGraphicFramePr/>
      </xdr:nvGraphicFramePr>
      <xdr:xfrm>
        <a:off x="751896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23.8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20" customFormat="false" ht="23.8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3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17</v>
      </c>
    </row>
    <row r="4" customFormat="false" ht="31.5" hidden="false" customHeight="true" outlineLevel="0" collapsed="false">
      <c r="A4" s="7" t="s">
        <v>18</v>
      </c>
      <c r="B4" s="8"/>
      <c r="C4" s="8"/>
      <c r="D4" s="7" t="s">
        <v>19</v>
      </c>
      <c r="E4" s="7" t="s">
        <v>20</v>
      </c>
    </row>
    <row r="5" customFormat="false" ht="15" hidden="false" customHeight="false" outlineLevel="0" collapsed="false">
      <c r="A5" s="9" t="s">
        <v>21</v>
      </c>
      <c r="D5" s="9" t="s">
        <v>22</v>
      </c>
      <c r="E5" s="9" t="s">
        <v>23</v>
      </c>
    </row>
    <row r="6" customFormat="false" ht="15" hidden="false" customHeight="false" outlineLevel="0" collapsed="false">
      <c r="A6" s="9" t="s">
        <v>24</v>
      </c>
      <c r="D6" s="9" t="s">
        <v>25</v>
      </c>
      <c r="E6" s="9" t="s">
        <v>23</v>
      </c>
    </row>
    <row r="7" customFormat="false" ht="15" hidden="false" customHeight="false" outlineLevel="0" collapsed="false">
      <c r="A7" s="9" t="s">
        <v>26</v>
      </c>
      <c r="D7" s="9" t="s">
        <v>27</v>
      </c>
      <c r="E7" s="9" t="s">
        <v>23</v>
      </c>
    </row>
    <row r="8" customFormat="false" ht="15" hidden="false" customHeight="false" outlineLevel="0" collapsed="false">
      <c r="A8" s="9"/>
      <c r="D8" s="9" t="s">
        <v>28</v>
      </c>
      <c r="E8" s="9" t="s">
        <v>29</v>
      </c>
    </row>
    <row r="9" customFormat="false" ht="15" hidden="false" customHeight="false" outlineLevel="0" collapsed="false">
      <c r="A9" s="9"/>
      <c r="D9" s="9" t="s">
        <v>30</v>
      </c>
      <c r="E9" s="9" t="s">
        <v>29</v>
      </c>
    </row>
    <row r="10" customFormat="false" ht="15" hidden="false" customHeight="false" outlineLevel="0" collapsed="false">
      <c r="A10" s="9"/>
      <c r="D10" s="9" t="s">
        <v>31</v>
      </c>
      <c r="E10" s="9" t="s">
        <v>32</v>
      </c>
    </row>
    <row r="11" customFormat="false" ht="15" hidden="false" customHeight="false" outlineLevel="0" collapsed="false">
      <c r="A11" s="9"/>
      <c r="D11" s="9" t="s">
        <v>33</v>
      </c>
      <c r="E11" s="9" t="s">
        <v>32</v>
      </c>
    </row>
    <row r="12" customFormat="false" ht="15" hidden="false" customHeight="false" outlineLevel="0" collapsed="false">
      <c r="A12" s="9"/>
      <c r="D12" s="9" t="s">
        <v>34</v>
      </c>
      <c r="E12" s="9" t="s">
        <v>35</v>
      </c>
    </row>
    <row r="13" customFormat="false" ht="15" hidden="false" customHeight="false" outlineLevel="0" collapsed="false">
      <c r="A13" s="9"/>
      <c r="D13" s="9" t="s">
        <v>36</v>
      </c>
      <c r="E13" s="9" t="s">
        <v>37</v>
      </c>
    </row>
    <row r="14" customFormat="false" ht="15" hidden="false" customHeight="false" outlineLevel="0" collapsed="false">
      <c r="A14" s="9"/>
      <c r="D14" s="9" t="s">
        <v>38</v>
      </c>
      <c r="E14" s="9" t="s">
        <v>39</v>
      </c>
    </row>
    <row r="15" customFormat="false" ht="15" hidden="false" customHeight="false" outlineLevel="0" collapsed="false">
      <c r="A15" s="9"/>
      <c r="D15" s="9" t="s">
        <v>40</v>
      </c>
      <c r="E15" s="9" t="s">
        <v>39</v>
      </c>
    </row>
    <row r="16" customFormat="false" ht="15" hidden="false" customHeight="false" outlineLevel="0" collapsed="false">
      <c r="A16" s="9"/>
      <c r="D16" s="9" t="s">
        <v>41</v>
      </c>
      <c r="E16" s="9" t="s">
        <v>42</v>
      </c>
    </row>
    <row r="17" customFormat="false" ht="15" hidden="false" customHeight="false" outlineLevel="0" collapsed="false">
      <c r="A17" s="9"/>
      <c r="D17" s="9"/>
      <c r="E17" s="9"/>
    </row>
    <row r="18" customFormat="false" ht="15" hidden="false" customHeight="false" outlineLevel="0" collapsed="false">
      <c r="A18" s="9"/>
      <c r="D18" s="9"/>
      <c r="E18" s="9"/>
    </row>
    <row r="19" customFormat="false" ht="15" hidden="false" customHeight="false" outlineLevel="0" collapsed="false">
      <c r="A19" s="9"/>
      <c r="D19" s="9"/>
      <c r="E19" s="9"/>
    </row>
    <row r="20" customFormat="false" ht="15" hidden="false" customHeight="false" outlineLevel="0" collapsed="false">
      <c r="A20" s="9"/>
      <c r="D20" s="9"/>
      <c r="E20" s="9"/>
    </row>
    <row r="21" customFormat="false" ht="15" hidden="false" customHeight="false" outlineLevel="0" collapsed="false">
      <c r="A21" s="9"/>
      <c r="D21" s="9"/>
      <c r="E21" s="9"/>
    </row>
    <row r="22" customFormat="false" ht="15" hidden="false" customHeight="false" outlineLevel="0" collapsed="false">
      <c r="A22" s="9"/>
      <c r="D22" s="9"/>
      <c r="E22" s="9"/>
    </row>
    <row r="23" customFormat="false" ht="15" hidden="false" customHeight="false" outlineLevel="0" collapsed="false">
      <c r="A23" s="9"/>
      <c r="D23" s="9"/>
      <c r="E23" s="9"/>
    </row>
    <row r="24" customFormat="false" ht="15" hidden="false" customHeight="false" outlineLevel="0" collapsed="false">
      <c r="A24" s="9"/>
      <c r="D24" s="9"/>
      <c r="E24" s="9"/>
    </row>
    <row r="25" customFormat="false" ht="15" hidden="false" customHeight="false" outlineLevel="0" collapsed="false">
      <c r="A25" s="9"/>
      <c r="D25" s="9"/>
      <c r="E25" s="9"/>
    </row>
    <row r="26" customFormat="false" ht="15" hidden="false" customHeight="false" outlineLevel="0" collapsed="false">
      <c r="A26" s="9"/>
      <c r="D26" s="9"/>
      <c r="E26" s="9"/>
    </row>
    <row r="27" customFormat="false" ht="15" hidden="false" customHeight="false" outlineLevel="0" collapsed="false">
      <c r="A27" s="9"/>
      <c r="D27" s="9"/>
      <c r="E27" s="9"/>
    </row>
    <row r="28" customFormat="false" ht="15" hidden="false" customHeight="false" outlineLevel="0" collapsed="false">
      <c r="A28" s="9"/>
      <c r="D28" s="9"/>
      <c r="E28" s="9"/>
    </row>
    <row r="29" customFormat="false" ht="15" hidden="false" customHeight="false" outlineLevel="0" collapsed="false">
      <c r="A29" s="9"/>
      <c r="D29" s="9"/>
      <c r="E29" s="9"/>
    </row>
    <row r="30" customFormat="false" ht="15" hidden="false" customHeight="false" outlineLevel="0" collapsed="false">
      <c r="A30" s="9"/>
      <c r="D30" s="9"/>
      <c r="E30" s="9"/>
    </row>
    <row r="31" customFormat="false" ht="15" hidden="false" customHeight="false" outlineLevel="0" collapsed="false">
      <c r="A31" s="9"/>
      <c r="D31" s="9"/>
      <c r="E31" s="9"/>
    </row>
    <row r="32" customFormat="false" ht="15" hidden="false" customHeight="false" outlineLevel="0" collapsed="false">
      <c r="A32" s="9"/>
      <c r="D32" s="9"/>
      <c r="E32" s="9"/>
    </row>
    <row r="33" customFormat="false" ht="15" hidden="false" customHeight="false" outlineLevel="0" collapsed="false">
      <c r="A33" s="9"/>
      <c r="D33" s="9"/>
      <c r="E33" s="9"/>
    </row>
    <row r="34" customFormat="false" ht="15" hidden="false" customHeight="false" outlineLevel="0" collapsed="false">
      <c r="A34" s="9"/>
      <c r="D34" s="9"/>
      <c r="E34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0" min="10" style="0" width="40"/>
  </cols>
  <sheetData>
    <row r="1" customFormat="false" ht="19.7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31.5" hidden="false" customHeight="true" outlineLevel="0" collapsed="false">
      <c r="A4" s="7" t="s">
        <v>45</v>
      </c>
      <c r="B4" s="7" t="s">
        <v>46</v>
      </c>
      <c r="C4" s="7" t="s">
        <v>18</v>
      </c>
      <c r="D4" s="7" t="s">
        <v>47</v>
      </c>
      <c r="E4" s="7" t="s">
        <v>48</v>
      </c>
      <c r="F4" s="7" t="s">
        <v>49</v>
      </c>
      <c r="G4" s="7" t="s">
        <v>50</v>
      </c>
      <c r="H4" s="7" t="s">
        <v>51</v>
      </c>
      <c r="I4" s="7" t="s">
        <v>20</v>
      </c>
      <c r="J4" s="7" t="s">
        <v>52</v>
      </c>
    </row>
    <row r="5" customFormat="false" ht="15" hidden="false" customHeight="false" outlineLevel="0" collapsed="false">
      <c r="A5" s="10" t="n">
        <v>46266</v>
      </c>
      <c r="B5" s="9" t="s">
        <v>53</v>
      </c>
      <c r="C5" s="9" t="s">
        <v>21</v>
      </c>
      <c r="D5" s="11" t="n">
        <v>0.302083333333333</v>
      </c>
      <c r="E5" s="11" t="n">
        <v>0.326388888888889</v>
      </c>
      <c r="F5" s="12"/>
      <c r="G5" s="13" t="n">
        <f aca="false">IF(F5&lt;&gt;"",F5,IF(OR(D5="",E5=""),"",ROUND(MOD(E5-D5,1)*1440,0)))</f>
        <v>35</v>
      </c>
      <c r="H5" s="9" t="s">
        <v>28</v>
      </c>
      <c r="I5" s="14" t="str">
        <f aca="false">IF(H5="","",IFERROR(INDEX(Setup!$E$5:$E$34,MATCH(H5,Setup!$D$5:$D$34,0)),"Not in Setup"))</f>
        <v>Setup &amp; adjustment</v>
      </c>
      <c r="J5" s="9" t="s">
        <v>54</v>
      </c>
    </row>
    <row r="6" customFormat="false" ht="15" hidden="false" customHeight="false" outlineLevel="0" collapsed="false">
      <c r="A6" s="10" t="n">
        <v>46266</v>
      </c>
      <c r="B6" s="9" t="s">
        <v>53</v>
      </c>
      <c r="C6" s="9" t="s">
        <v>21</v>
      </c>
      <c r="D6" s="11" t="n">
        <v>0.420138888888889</v>
      </c>
      <c r="E6" s="11" t="n">
        <v>0.430555555555556</v>
      </c>
      <c r="F6" s="12"/>
      <c r="G6" s="13" t="n">
        <f aca="false">IF(F6&lt;&gt;"",F6,IF(OR(D6="",E6=""),"",ROUND(MOD(E6-D6,1)*1440,0)))</f>
        <v>15</v>
      </c>
      <c r="H6" s="9" t="s">
        <v>31</v>
      </c>
      <c r="I6" s="14" t="str">
        <f aca="false">IF(H6="","",IFERROR(INDEX(Setup!$E$5:$E$34,MATCH(H6,Setup!$D$5:$D$34,0)),"Not in Setup"))</f>
        <v>Material</v>
      </c>
      <c r="J6" s="9" t="s">
        <v>55</v>
      </c>
    </row>
    <row r="7" customFormat="false" ht="15" hidden="false" customHeight="false" outlineLevel="0" collapsed="false">
      <c r="A7" s="10" t="n">
        <v>46266</v>
      </c>
      <c r="B7" s="9" t="s">
        <v>53</v>
      </c>
      <c r="C7" s="9" t="s">
        <v>24</v>
      </c>
      <c r="D7" s="11" t="n">
        <v>0.375</v>
      </c>
      <c r="E7" s="11" t="n">
        <v>0.416666666666667</v>
      </c>
      <c r="F7" s="12"/>
      <c r="G7" s="13" t="n">
        <f aca="false">IF(F7&lt;&gt;"",F7,IF(OR(D7="",E7=""),"",ROUND(MOD(E7-D7,1)*1440,0)))</f>
        <v>60</v>
      </c>
      <c r="H7" s="9" t="s">
        <v>27</v>
      </c>
      <c r="I7" s="14" t="str">
        <f aca="false">IF(H7="","",IFERROR(INDEX(Setup!$E$5:$E$34,MATCH(H7,Setup!$D$5:$D$34,0)),"Not in Setup"))</f>
        <v>Breakdown</v>
      </c>
      <c r="J7" s="9" t="s">
        <v>56</v>
      </c>
    </row>
    <row r="8" customFormat="false" ht="15" hidden="false" customHeight="false" outlineLevel="0" collapsed="false">
      <c r="A8" s="10" t="n">
        <v>46266</v>
      </c>
      <c r="B8" s="9" t="s">
        <v>57</v>
      </c>
      <c r="C8" s="9" t="s">
        <v>26</v>
      </c>
      <c r="D8" s="11" t="n">
        <v>0.986111111111111</v>
      </c>
      <c r="E8" s="11" t="n">
        <v>0.0173611111111111</v>
      </c>
      <c r="F8" s="12"/>
      <c r="G8" s="13" t="n">
        <f aca="false">IF(F8&lt;&gt;"",F8,IF(OR(D8="",E8=""),"",ROUND(MOD(E8-D8,1)*1440,0)))</f>
        <v>45</v>
      </c>
      <c r="H8" s="9" t="s">
        <v>22</v>
      </c>
      <c r="I8" s="14" t="str">
        <f aca="false">IF(H8="","",IFERROR(INDEX(Setup!$E$5:$E$34,MATCH(H8,Setup!$D$5:$D$34,0)),"Not in Setup"))</f>
        <v>Breakdown</v>
      </c>
      <c r="J8" s="9" t="s">
        <v>58</v>
      </c>
    </row>
    <row r="9" customFormat="false" ht="15" hidden="false" customHeight="false" outlineLevel="0" collapsed="false">
      <c r="A9" s="10" t="n">
        <v>46267</v>
      </c>
      <c r="B9" s="9" t="s">
        <v>53</v>
      </c>
      <c r="C9" s="9" t="s">
        <v>21</v>
      </c>
      <c r="D9" s="11"/>
      <c r="E9" s="11"/>
      <c r="F9" s="12" t="n">
        <v>55</v>
      </c>
      <c r="G9" s="13" t="n">
        <f aca="false">IF(F9&lt;&gt;"",F9,IF(OR(D9="",E9=""),"",ROUND(MOD(E9-D9,1)*1440,0)))</f>
        <v>55</v>
      </c>
      <c r="H9" s="9" t="s">
        <v>22</v>
      </c>
      <c r="I9" s="14" t="str">
        <f aca="false">IF(H9="","",IFERROR(INDEX(Setup!$E$5:$E$34,MATCH(H9,Setup!$D$5:$D$34,0)),"Not in Setup"))</f>
        <v>Breakdown</v>
      </c>
      <c r="J9" s="9" t="s">
        <v>59</v>
      </c>
    </row>
    <row r="10" customFormat="false" ht="15" hidden="false" customHeight="false" outlineLevel="0" collapsed="false">
      <c r="A10" s="10" t="n">
        <v>46267</v>
      </c>
      <c r="B10" s="9" t="s">
        <v>53</v>
      </c>
      <c r="C10" s="9" t="s">
        <v>26</v>
      </c>
      <c r="D10" s="11" t="n">
        <v>0.541666666666667</v>
      </c>
      <c r="E10" s="11" t="n">
        <v>0.5625</v>
      </c>
      <c r="F10" s="12"/>
      <c r="G10" s="13" t="n">
        <f aca="false">IF(F10&lt;&gt;"",F10,IF(OR(D10="",E10=""),"",ROUND(MOD(E10-D10,1)*1440,0)))</f>
        <v>30</v>
      </c>
      <c r="H10" s="9" t="s">
        <v>28</v>
      </c>
      <c r="I10" s="14" t="str">
        <f aca="false">IF(H10="","",IFERROR(INDEX(Setup!$E$5:$E$34,MATCH(H10,Setup!$D$5:$D$34,0)),"Not in Setup"))</f>
        <v>Setup &amp; adjustment</v>
      </c>
      <c r="J10" s="9" t="s">
        <v>55</v>
      </c>
    </row>
    <row r="11" customFormat="false" ht="15" hidden="false" customHeight="false" outlineLevel="0" collapsed="false">
      <c r="A11" s="10" t="n">
        <v>46267</v>
      </c>
      <c r="B11" s="9" t="s">
        <v>53</v>
      </c>
      <c r="C11" s="9" t="s">
        <v>24</v>
      </c>
      <c r="D11" s="11" t="n">
        <v>0.590277777777778</v>
      </c>
      <c r="E11" s="11" t="n">
        <v>0.600694444444444</v>
      </c>
      <c r="F11" s="12"/>
      <c r="G11" s="13" t="n">
        <f aca="false">IF(F11&lt;&gt;"",F11,IF(OR(D11="",E11=""),"",ROUND(MOD(E11-D11,1)*1440,0)))</f>
        <v>15</v>
      </c>
      <c r="H11" s="9" t="s">
        <v>34</v>
      </c>
      <c r="I11" s="14" t="str">
        <f aca="false">IF(H11="","",IFERROR(INDEX(Setup!$E$5:$E$34,MATCH(H11,Setup!$D$5:$D$34,0)),"Not in Setup"))</f>
        <v>Quality</v>
      </c>
      <c r="J11" s="9" t="s">
        <v>55</v>
      </c>
    </row>
    <row r="12" customFormat="false" ht="15" hidden="false" customHeight="false" outlineLevel="0" collapsed="false">
      <c r="A12" s="10"/>
      <c r="B12" s="9"/>
      <c r="C12" s="9"/>
      <c r="D12" s="11"/>
      <c r="E12" s="11"/>
      <c r="F12" s="12"/>
      <c r="G12" s="13" t="str">
        <f aca="false">IF(F12&lt;&gt;"",F12,IF(OR(D12="",E12=""),"",ROUND(MOD(E12-D12,1)*1440,0)))</f>
        <v/>
      </c>
      <c r="H12" s="9"/>
      <c r="I12" s="14" t="str">
        <f aca="false">IF(H12="","",IFERROR(INDEX(Setup!$E$5:$E$34,MATCH(H12,Setup!$D$5:$D$34,0)),"Not in Setup"))</f>
        <v/>
      </c>
      <c r="J12" s="9"/>
    </row>
    <row r="13" customFormat="false" ht="15" hidden="false" customHeight="false" outlineLevel="0" collapsed="false">
      <c r="A13" s="10"/>
      <c r="B13" s="9"/>
      <c r="C13" s="9"/>
      <c r="D13" s="11"/>
      <c r="E13" s="11"/>
      <c r="F13" s="12"/>
      <c r="G13" s="13" t="str">
        <f aca="false">IF(F13&lt;&gt;"",F13,IF(OR(D13="",E13=""),"",ROUND(MOD(E13-D13,1)*1440,0)))</f>
        <v/>
      </c>
      <c r="H13" s="9"/>
      <c r="I13" s="14" t="str">
        <f aca="false">IF(H13="","",IFERROR(INDEX(Setup!$E$5:$E$34,MATCH(H13,Setup!$D$5:$D$34,0)),"Not in Setup"))</f>
        <v/>
      </c>
      <c r="J13" s="9"/>
    </row>
    <row r="14" customFormat="false" ht="15" hidden="false" customHeight="false" outlineLevel="0" collapsed="false">
      <c r="A14" s="10"/>
      <c r="B14" s="9"/>
      <c r="C14" s="9"/>
      <c r="D14" s="11"/>
      <c r="E14" s="11"/>
      <c r="F14" s="12"/>
      <c r="G14" s="13" t="str">
        <f aca="false">IF(F14&lt;&gt;"",F14,IF(OR(D14="",E14=""),"",ROUND(MOD(E14-D14,1)*1440,0)))</f>
        <v/>
      </c>
      <c r="H14" s="9"/>
      <c r="I14" s="14" t="str">
        <f aca="false">IF(H14="","",IFERROR(INDEX(Setup!$E$5:$E$34,MATCH(H14,Setup!$D$5:$D$34,0)),"Not in Setup"))</f>
        <v/>
      </c>
      <c r="J14" s="9"/>
    </row>
    <row r="15" customFormat="false" ht="15" hidden="false" customHeight="false" outlineLevel="0" collapsed="false">
      <c r="A15" s="10"/>
      <c r="B15" s="9"/>
      <c r="C15" s="9"/>
      <c r="D15" s="11"/>
      <c r="E15" s="11"/>
      <c r="F15" s="12"/>
      <c r="G15" s="13" t="str">
        <f aca="false">IF(F15&lt;&gt;"",F15,IF(OR(D15="",E15=""),"",ROUND(MOD(E15-D15,1)*1440,0)))</f>
        <v/>
      </c>
      <c r="H15" s="9"/>
      <c r="I15" s="14" t="str">
        <f aca="false">IF(H15="","",IFERROR(INDEX(Setup!$E$5:$E$34,MATCH(H15,Setup!$D$5:$D$34,0)),"Not in Setup"))</f>
        <v/>
      </c>
      <c r="J15" s="9"/>
    </row>
    <row r="16" customFormat="false" ht="15" hidden="false" customHeight="false" outlineLevel="0" collapsed="false">
      <c r="A16" s="10"/>
      <c r="B16" s="9"/>
      <c r="C16" s="9"/>
      <c r="D16" s="11"/>
      <c r="E16" s="11"/>
      <c r="F16" s="12"/>
      <c r="G16" s="13" t="str">
        <f aca="false">IF(F16&lt;&gt;"",F16,IF(OR(D16="",E16=""),"",ROUND(MOD(E16-D16,1)*1440,0)))</f>
        <v/>
      </c>
      <c r="H16" s="9"/>
      <c r="I16" s="14" t="str">
        <f aca="false">IF(H16="","",IFERROR(INDEX(Setup!$E$5:$E$34,MATCH(H16,Setup!$D$5:$D$34,0)),"Not in Setup"))</f>
        <v/>
      </c>
      <c r="J16" s="9"/>
    </row>
    <row r="17" customFormat="false" ht="15" hidden="false" customHeight="false" outlineLevel="0" collapsed="false">
      <c r="A17" s="10"/>
      <c r="B17" s="9"/>
      <c r="C17" s="9"/>
      <c r="D17" s="11"/>
      <c r="E17" s="11"/>
      <c r="F17" s="12"/>
      <c r="G17" s="13" t="str">
        <f aca="false">IF(F17&lt;&gt;"",F17,IF(OR(D17="",E17=""),"",ROUND(MOD(E17-D17,1)*1440,0)))</f>
        <v/>
      </c>
      <c r="H17" s="9"/>
      <c r="I17" s="14" t="str">
        <f aca="false">IF(H17="","",IFERROR(INDEX(Setup!$E$5:$E$34,MATCH(H17,Setup!$D$5:$D$34,0)),"Not in Setup"))</f>
        <v/>
      </c>
      <c r="J17" s="9"/>
    </row>
    <row r="18" customFormat="false" ht="15" hidden="false" customHeight="false" outlineLevel="0" collapsed="false">
      <c r="A18" s="10"/>
      <c r="B18" s="9"/>
      <c r="C18" s="9"/>
      <c r="D18" s="11"/>
      <c r="E18" s="11"/>
      <c r="F18" s="12"/>
      <c r="G18" s="13" t="str">
        <f aca="false">IF(F18&lt;&gt;"",F18,IF(OR(D18="",E18=""),"",ROUND(MOD(E18-D18,1)*1440,0)))</f>
        <v/>
      </c>
      <c r="H18" s="9"/>
      <c r="I18" s="14" t="str">
        <f aca="false">IF(H18="","",IFERROR(INDEX(Setup!$E$5:$E$34,MATCH(H18,Setup!$D$5:$D$34,0)),"Not in Setup"))</f>
        <v/>
      </c>
      <c r="J18" s="9"/>
    </row>
    <row r="19" customFormat="false" ht="15" hidden="false" customHeight="false" outlineLevel="0" collapsed="false">
      <c r="A19" s="10"/>
      <c r="B19" s="9"/>
      <c r="C19" s="9"/>
      <c r="D19" s="11"/>
      <c r="E19" s="11"/>
      <c r="F19" s="12"/>
      <c r="G19" s="13" t="str">
        <f aca="false">IF(F19&lt;&gt;"",F19,IF(OR(D19="",E19=""),"",ROUND(MOD(E19-D19,1)*1440,0)))</f>
        <v/>
      </c>
      <c r="H19" s="9"/>
      <c r="I19" s="14" t="str">
        <f aca="false">IF(H19="","",IFERROR(INDEX(Setup!$E$5:$E$34,MATCH(H19,Setup!$D$5:$D$34,0)),"Not in Setup"))</f>
        <v/>
      </c>
      <c r="J19" s="9"/>
    </row>
    <row r="20" customFormat="false" ht="15" hidden="false" customHeight="false" outlineLevel="0" collapsed="false">
      <c r="A20" s="10"/>
      <c r="B20" s="9"/>
      <c r="C20" s="9"/>
      <c r="D20" s="11"/>
      <c r="E20" s="11"/>
      <c r="F20" s="12"/>
      <c r="G20" s="13" t="str">
        <f aca="false">IF(F20&lt;&gt;"",F20,IF(OR(D20="",E20=""),"",ROUND(MOD(E20-D20,1)*1440,0)))</f>
        <v/>
      </c>
      <c r="H20" s="9"/>
      <c r="I20" s="14" t="str">
        <f aca="false">IF(H20="","",IFERROR(INDEX(Setup!$E$5:$E$34,MATCH(H20,Setup!$D$5:$D$34,0)),"Not in Setup"))</f>
        <v/>
      </c>
      <c r="J20" s="9"/>
    </row>
    <row r="21" customFormat="false" ht="15" hidden="false" customHeight="false" outlineLevel="0" collapsed="false">
      <c r="A21" s="10"/>
      <c r="B21" s="9"/>
      <c r="C21" s="9"/>
      <c r="D21" s="11"/>
      <c r="E21" s="11"/>
      <c r="F21" s="12"/>
      <c r="G21" s="13" t="str">
        <f aca="false">IF(F21&lt;&gt;"",F21,IF(OR(D21="",E21=""),"",ROUND(MOD(E21-D21,1)*1440,0)))</f>
        <v/>
      </c>
      <c r="H21" s="9"/>
      <c r="I21" s="14" t="str">
        <f aca="false">IF(H21="","",IFERROR(INDEX(Setup!$E$5:$E$34,MATCH(H21,Setup!$D$5:$D$34,0)),"Not in Setup"))</f>
        <v/>
      </c>
      <c r="J21" s="9"/>
    </row>
    <row r="22" customFormat="false" ht="15" hidden="false" customHeight="false" outlineLevel="0" collapsed="false">
      <c r="A22" s="10"/>
      <c r="B22" s="9"/>
      <c r="C22" s="9"/>
      <c r="D22" s="11"/>
      <c r="E22" s="11"/>
      <c r="F22" s="12"/>
      <c r="G22" s="13" t="str">
        <f aca="false">IF(F22&lt;&gt;"",F22,IF(OR(D22="",E22=""),"",ROUND(MOD(E22-D22,1)*1440,0)))</f>
        <v/>
      </c>
      <c r="H22" s="9"/>
      <c r="I22" s="14" t="str">
        <f aca="false">IF(H22="","",IFERROR(INDEX(Setup!$E$5:$E$34,MATCH(H22,Setup!$D$5:$D$34,0)),"Not in Setup"))</f>
        <v/>
      </c>
      <c r="J22" s="9"/>
    </row>
    <row r="23" customFormat="false" ht="15" hidden="false" customHeight="false" outlineLevel="0" collapsed="false">
      <c r="A23" s="10"/>
      <c r="B23" s="9"/>
      <c r="C23" s="9"/>
      <c r="D23" s="11"/>
      <c r="E23" s="11"/>
      <c r="F23" s="12"/>
      <c r="G23" s="13" t="str">
        <f aca="false">IF(F23&lt;&gt;"",F23,IF(OR(D23="",E23=""),"",ROUND(MOD(E23-D23,1)*1440,0)))</f>
        <v/>
      </c>
      <c r="H23" s="9"/>
      <c r="I23" s="14" t="str">
        <f aca="false">IF(H23="","",IFERROR(INDEX(Setup!$E$5:$E$34,MATCH(H23,Setup!$D$5:$D$34,0)),"Not in Setup"))</f>
        <v/>
      </c>
      <c r="J23" s="9"/>
    </row>
    <row r="24" customFormat="false" ht="15" hidden="false" customHeight="false" outlineLevel="0" collapsed="false">
      <c r="A24" s="10"/>
      <c r="B24" s="9"/>
      <c r="C24" s="9"/>
      <c r="D24" s="11"/>
      <c r="E24" s="11"/>
      <c r="F24" s="12"/>
      <c r="G24" s="13" t="str">
        <f aca="false">IF(F24&lt;&gt;"",F24,IF(OR(D24="",E24=""),"",ROUND(MOD(E24-D24,1)*1440,0)))</f>
        <v/>
      </c>
      <c r="H24" s="9"/>
      <c r="I24" s="14" t="str">
        <f aca="false">IF(H24="","",IFERROR(INDEX(Setup!$E$5:$E$34,MATCH(H24,Setup!$D$5:$D$34,0)),"Not in Setup"))</f>
        <v/>
      </c>
      <c r="J24" s="9"/>
    </row>
    <row r="25" customFormat="false" ht="15" hidden="false" customHeight="false" outlineLevel="0" collapsed="false">
      <c r="A25" s="10"/>
      <c r="B25" s="9"/>
      <c r="C25" s="9"/>
      <c r="D25" s="11"/>
      <c r="E25" s="11"/>
      <c r="F25" s="12"/>
      <c r="G25" s="13" t="str">
        <f aca="false">IF(F25&lt;&gt;"",F25,IF(OR(D25="",E25=""),"",ROUND(MOD(E25-D25,1)*1440,0)))</f>
        <v/>
      </c>
      <c r="H25" s="9"/>
      <c r="I25" s="14" t="str">
        <f aca="false">IF(H25="","",IFERROR(INDEX(Setup!$E$5:$E$34,MATCH(H25,Setup!$D$5:$D$34,0)),"Not in Setup"))</f>
        <v/>
      </c>
      <c r="J25" s="9"/>
    </row>
    <row r="26" customFormat="false" ht="15" hidden="false" customHeight="false" outlineLevel="0" collapsed="false">
      <c r="A26" s="10"/>
      <c r="B26" s="9"/>
      <c r="C26" s="9"/>
      <c r="D26" s="11"/>
      <c r="E26" s="11"/>
      <c r="F26" s="12"/>
      <c r="G26" s="13" t="str">
        <f aca="false">IF(F26&lt;&gt;"",F26,IF(OR(D26="",E26=""),"",ROUND(MOD(E26-D26,1)*1440,0)))</f>
        <v/>
      </c>
      <c r="H26" s="9"/>
      <c r="I26" s="14" t="str">
        <f aca="false">IF(H26="","",IFERROR(INDEX(Setup!$E$5:$E$34,MATCH(H26,Setup!$D$5:$D$34,0)),"Not in Setup"))</f>
        <v/>
      </c>
      <c r="J26" s="9"/>
    </row>
    <row r="27" customFormat="false" ht="15" hidden="false" customHeight="false" outlineLevel="0" collapsed="false">
      <c r="A27" s="10"/>
      <c r="B27" s="9"/>
      <c r="C27" s="9"/>
      <c r="D27" s="11"/>
      <c r="E27" s="11"/>
      <c r="F27" s="12"/>
      <c r="G27" s="13" t="str">
        <f aca="false">IF(F27&lt;&gt;"",F27,IF(OR(D27="",E27=""),"",ROUND(MOD(E27-D27,1)*1440,0)))</f>
        <v/>
      </c>
      <c r="H27" s="9"/>
      <c r="I27" s="14" t="str">
        <f aca="false">IF(H27="","",IFERROR(INDEX(Setup!$E$5:$E$34,MATCH(H27,Setup!$D$5:$D$34,0)),"Not in Setup"))</f>
        <v/>
      </c>
      <c r="J27" s="9"/>
    </row>
    <row r="28" customFormat="false" ht="15" hidden="false" customHeight="false" outlineLevel="0" collapsed="false">
      <c r="A28" s="10"/>
      <c r="B28" s="9"/>
      <c r="C28" s="9"/>
      <c r="D28" s="11"/>
      <c r="E28" s="11"/>
      <c r="F28" s="12"/>
      <c r="G28" s="13" t="str">
        <f aca="false">IF(F28&lt;&gt;"",F28,IF(OR(D28="",E28=""),"",ROUND(MOD(E28-D28,1)*1440,0)))</f>
        <v/>
      </c>
      <c r="H28" s="9"/>
      <c r="I28" s="14" t="str">
        <f aca="false">IF(H28="","",IFERROR(INDEX(Setup!$E$5:$E$34,MATCH(H28,Setup!$D$5:$D$34,0)),"Not in Setup"))</f>
        <v/>
      </c>
      <c r="J28" s="9"/>
    </row>
    <row r="29" customFormat="false" ht="15" hidden="false" customHeight="false" outlineLevel="0" collapsed="false">
      <c r="A29" s="10"/>
      <c r="B29" s="9"/>
      <c r="C29" s="9"/>
      <c r="D29" s="11"/>
      <c r="E29" s="11"/>
      <c r="F29" s="12"/>
      <c r="G29" s="13" t="str">
        <f aca="false">IF(F29&lt;&gt;"",F29,IF(OR(D29="",E29=""),"",ROUND(MOD(E29-D29,1)*1440,0)))</f>
        <v/>
      </c>
      <c r="H29" s="9"/>
      <c r="I29" s="14" t="str">
        <f aca="false">IF(H29="","",IFERROR(INDEX(Setup!$E$5:$E$34,MATCH(H29,Setup!$D$5:$D$34,0)),"Not in Setup"))</f>
        <v/>
      </c>
      <c r="J29" s="9"/>
    </row>
    <row r="30" customFormat="false" ht="15" hidden="false" customHeight="false" outlineLevel="0" collapsed="false">
      <c r="A30" s="10"/>
      <c r="B30" s="9"/>
      <c r="C30" s="9"/>
      <c r="D30" s="11"/>
      <c r="E30" s="11"/>
      <c r="F30" s="12"/>
      <c r="G30" s="13" t="str">
        <f aca="false">IF(F30&lt;&gt;"",F30,IF(OR(D30="",E30=""),"",ROUND(MOD(E30-D30,1)*1440,0)))</f>
        <v/>
      </c>
      <c r="H30" s="9"/>
      <c r="I30" s="14" t="str">
        <f aca="false">IF(H30="","",IFERROR(INDEX(Setup!$E$5:$E$34,MATCH(H30,Setup!$D$5:$D$34,0)),"Not in Setup"))</f>
        <v/>
      </c>
      <c r="J30" s="9"/>
    </row>
    <row r="31" customFormat="false" ht="15" hidden="false" customHeight="false" outlineLevel="0" collapsed="false">
      <c r="A31" s="10"/>
      <c r="B31" s="9"/>
      <c r="C31" s="9"/>
      <c r="D31" s="11"/>
      <c r="E31" s="11"/>
      <c r="F31" s="12"/>
      <c r="G31" s="13" t="str">
        <f aca="false">IF(F31&lt;&gt;"",F31,IF(OR(D31="",E31=""),"",ROUND(MOD(E31-D31,1)*1440,0)))</f>
        <v/>
      </c>
      <c r="H31" s="9"/>
      <c r="I31" s="14" t="str">
        <f aca="false">IF(H31="","",IFERROR(INDEX(Setup!$E$5:$E$34,MATCH(H31,Setup!$D$5:$D$34,0)),"Not in Setup"))</f>
        <v/>
      </c>
      <c r="J31" s="9"/>
    </row>
    <row r="32" customFormat="false" ht="15" hidden="false" customHeight="false" outlineLevel="0" collapsed="false">
      <c r="A32" s="10"/>
      <c r="B32" s="9"/>
      <c r="C32" s="9"/>
      <c r="D32" s="11"/>
      <c r="E32" s="11"/>
      <c r="F32" s="12"/>
      <c r="G32" s="13" t="str">
        <f aca="false">IF(F32&lt;&gt;"",F32,IF(OR(D32="",E32=""),"",ROUND(MOD(E32-D32,1)*1440,0)))</f>
        <v/>
      </c>
      <c r="H32" s="9"/>
      <c r="I32" s="14" t="str">
        <f aca="false">IF(H32="","",IFERROR(INDEX(Setup!$E$5:$E$34,MATCH(H32,Setup!$D$5:$D$34,0)),"Not in Setup"))</f>
        <v/>
      </c>
      <c r="J32" s="9"/>
    </row>
    <row r="33" customFormat="false" ht="15" hidden="false" customHeight="false" outlineLevel="0" collapsed="false">
      <c r="A33" s="10"/>
      <c r="B33" s="9"/>
      <c r="C33" s="9"/>
      <c r="D33" s="11"/>
      <c r="E33" s="11"/>
      <c r="F33" s="12"/>
      <c r="G33" s="13" t="str">
        <f aca="false">IF(F33&lt;&gt;"",F33,IF(OR(D33="",E33=""),"",ROUND(MOD(E33-D33,1)*1440,0)))</f>
        <v/>
      </c>
      <c r="H33" s="9"/>
      <c r="I33" s="14" t="str">
        <f aca="false">IF(H33="","",IFERROR(INDEX(Setup!$E$5:$E$34,MATCH(H33,Setup!$D$5:$D$34,0)),"Not in Setup"))</f>
        <v/>
      </c>
      <c r="J33" s="9"/>
    </row>
    <row r="34" customFormat="false" ht="15" hidden="false" customHeight="false" outlineLevel="0" collapsed="false">
      <c r="A34" s="10"/>
      <c r="B34" s="9"/>
      <c r="C34" s="9"/>
      <c r="D34" s="11"/>
      <c r="E34" s="11"/>
      <c r="F34" s="12"/>
      <c r="G34" s="13" t="str">
        <f aca="false">IF(F34&lt;&gt;"",F34,IF(OR(D34="",E34=""),"",ROUND(MOD(E34-D34,1)*1440,0)))</f>
        <v/>
      </c>
      <c r="H34" s="9"/>
      <c r="I34" s="14" t="str">
        <f aca="false">IF(H34="","",IFERROR(INDEX(Setup!$E$5:$E$34,MATCH(H34,Setup!$D$5:$D$34,0)),"Not in Setup"))</f>
        <v/>
      </c>
      <c r="J34" s="9"/>
    </row>
    <row r="35" customFormat="false" ht="15" hidden="false" customHeight="false" outlineLevel="0" collapsed="false">
      <c r="A35" s="10"/>
      <c r="B35" s="9"/>
      <c r="C35" s="9"/>
      <c r="D35" s="11"/>
      <c r="E35" s="11"/>
      <c r="F35" s="12"/>
      <c r="G35" s="13" t="str">
        <f aca="false">IF(F35&lt;&gt;"",F35,IF(OR(D35="",E35=""),"",ROUND(MOD(E35-D35,1)*1440,0)))</f>
        <v/>
      </c>
      <c r="H35" s="9"/>
      <c r="I35" s="14" t="str">
        <f aca="false">IF(H35="","",IFERROR(INDEX(Setup!$E$5:$E$34,MATCH(H35,Setup!$D$5:$D$34,0)),"Not in Setup"))</f>
        <v/>
      </c>
      <c r="J35" s="9"/>
    </row>
    <row r="36" customFormat="false" ht="15" hidden="false" customHeight="false" outlineLevel="0" collapsed="false">
      <c r="A36" s="10"/>
      <c r="B36" s="9"/>
      <c r="C36" s="9"/>
      <c r="D36" s="11"/>
      <c r="E36" s="11"/>
      <c r="F36" s="12"/>
      <c r="G36" s="13" t="str">
        <f aca="false">IF(F36&lt;&gt;"",F36,IF(OR(D36="",E36=""),"",ROUND(MOD(E36-D36,1)*1440,0)))</f>
        <v/>
      </c>
      <c r="H36" s="9"/>
      <c r="I36" s="14" t="str">
        <f aca="false">IF(H36="","",IFERROR(INDEX(Setup!$E$5:$E$34,MATCH(H36,Setup!$D$5:$D$34,0)),"Not in Setup"))</f>
        <v/>
      </c>
      <c r="J36" s="9"/>
    </row>
    <row r="37" customFormat="false" ht="15" hidden="false" customHeight="false" outlineLevel="0" collapsed="false">
      <c r="A37" s="10"/>
      <c r="B37" s="9"/>
      <c r="C37" s="9"/>
      <c r="D37" s="11"/>
      <c r="E37" s="11"/>
      <c r="F37" s="12"/>
      <c r="G37" s="13" t="str">
        <f aca="false">IF(F37&lt;&gt;"",F37,IF(OR(D37="",E37=""),"",ROUND(MOD(E37-D37,1)*1440,0)))</f>
        <v/>
      </c>
      <c r="H37" s="9"/>
      <c r="I37" s="14" t="str">
        <f aca="false">IF(H37="","",IFERROR(INDEX(Setup!$E$5:$E$34,MATCH(H37,Setup!$D$5:$D$34,0)),"Not in Setup"))</f>
        <v/>
      </c>
      <c r="J37" s="9"/>
    </row>
    <row r="38" customFormat="false" ht="15" hidden="false" customHeight="false" outlineLevel="0" collapsed="false">
      <c r="A38" s="10"/>
      <c r="B38" s="9"/>
      <c r="C38" s="9"/>
      <c r="D38" s="11"/>
      <c r="E38" s="11"/>
      <c r="F38" s="12"/>
      <c r="G38" s="13" t="str">
        <f aca="false">IF(F38&lt;&gt;"",F38,IF(OR(D38="",E38=""),"",ROUND(MOD(E38-D38,1)*1440,0)))</f>
        <v/>
      </c>
      <c r="H38" s="9"/>
      <c r="I38" s="14" t="str">
        <f aca="false">IF(H38="","",IFERROR(INDEX(Setup!$E$5:$E$34,MATCH(H38,Setup!$D$5:$D$34,0)),"Not in Setup"))</f>
        <v/>
      </c>
      <c r="J38" s="9"/>
    </row>
    <row r="39" customFormat="false" ht="15" hidden="false" customHeight="false" outlineLevel="0" collapsed="false">
      <c r="A39" s="10"/>
      <c r="B39" s="9"/>
      <c r="C39" s="9"/>
      <c r="D39" s="11"/>
      <c r="E39" s="11"/>
      <c r="F39" s="12"/>
      <c r="G39" s="13" t="str">
        <f aca="false">IF(F39&lt;&gt;"",F39,IF(OR(D39="",E39=""),"",ROUND(MOD(E39-D39,1)*1440,0)))</f>
        <v/>
      </c>
      <c r="H39" s="9"/>
      <c r="I39" s="14" t="str">
        <f aca="false">IF(H39="","",IFERROR(INDEX(Setup!$E$5:$E$34,MATCH(H39,Setup!$D$5:$D$34,0)),"Not in Setup"))</f>
        <v/>
      </c>
      <c r="J39" s="9"/>
    </row>
    <row r="40" customFormat="false" ht="15" hidden="false" customHeight="false" outlineLevel="0" collapsed="false">
      <c r="A40" s="10"/>
      <c r="B40" s="9"/>
      <c r="C40" s="9"/>
      <c r="D40" s="11"/>
      <c r="E40" s="11"/>
      <c r="F40" s="12"/>
      <c r="G40" s="13" t="str">
        <f aca="false">IF(F40&lt;&gt;"",F40,IF(OR(D40="",E40=""),"",ROUND(MOD(E40-D40,1)*1440,0)))</f>
        <v/>
      </c>
      <c r="H40" s="9"/>
      <c r="I40" s="14" t="str">
        <f aca="false">IF(H40="","",IFERROR(INDEX(Setup!$E$5:$E$34,MATCH(H40,Setup!$D$5:$D$34,0)),"Not in Setup"))</f>
        <v/>
      </c>
      <c r="J40" s="9"/>
    </row>
    <row r="41" customFormat="false" ht="15" hidden="false" customHeight="false" outlineLevel="0" collapsed="false">
      <c r="A41" s="10"/>
      <c r="B41" s="9"/>
      <c r="C41" s="9"/>
      <c r="D41" s="11"/>
      <c r="E41" s="11"/>
      <c r="F41" s="12"/>
      <c r="G41" s="13" t="str">
        <f aca="false">IF(F41&lt;&gt;"",F41,IF(OR(D41="",E41=""),"",ROUND(MOD(E41-D41,1)*1440,0)))</f>
        <v/>
      </c>
      <c r="H41" s="9"/>
      <c r="I41" s="14" t="str">
        <f aca="false">IF(H41="","",IFERROR(INDEX(Setup!$E$5:$E$34,MATCH(H41,Setup!$D$5:$D$34,0)),"Not in Setup"))</f>
        <v/>
      </c>
      <c r="J41" s="9"/>
    </row>
    <row r="42" customFormat="false" ht="15" hidden="false" customHeight="false" outlineLevel="0" collapsed="false">
      <c r="A42" s="10"/>
      <c r="B42" s="9"/>
      <c r="C42" s="9"/>
      <c r="D42" s="11"/>
      <c r="E42" s="11"/>
      <c r="F42" s="12"/>
      <c r="G42" s="13" t="str">
        <f aca="false">IF(F42&lt;&gt;"",F42,IF(OR(D42="",E42=""),"",ROUND(MOD(E42-D42,1)*1440,0)))</f>
        <v/>
      </c>
      <c r="H42" s="9"/>
      <c r="I42" s="14" t="str">
        <f aca="false">IF(H42="","",IFERROR(INDEX(Setup!$E$5:$E$34,MATCH(H42,Setup!$D$5:$D$34,0)),"Not in Setup"))</f>
        <v/>
      </c>
      <c r="J42" s="9"/>
    </row>
    <row r="43" customFormat="false" ht="15" hidden="false" customHeight="false" outlineLevel="0" collapsed="false">
      <c r="A43" s="10"/>
      <c r="B43" s="9"/>
      <c r="C43" s="9"/>
      <c r="D43" s="11"/>
      <c r="E43" s="11"/>
      <c r="F43" s="12"/>
      <c r="G43" s="13" t="str">
        <f aca="false">IF(F43&lt;&gt;"",F43,IF(OR(D43="",E43=""),"",ROUND(MOD(E43-D43,1)*1440,0)))</f>
        <v/>
      </c>
      <c r="H43" s="9"/>
      <c r="I43" s="14" t="str">
        <f aca="false">IF(H43="","",IFERROR(INDEX(Setup!$E$5:$E$34,MATCH(H43,Setup!$D$5:$D$34,0)),"Not in Setup"))</f>
        <v/>
      </c>
      <c r="J43" s="9"/>
    </row>
    <row r="44" customFormat="false" ht="15" hidden="false" customHeight="false" outlineLevel="0" collapsed="false">
      <c r="A44" s="10"/>
      <c r="B44" s="9"/>
      <c r="C44" s="9"/>
      <c r="D44" s="11"/>
      <c r="E44" s="11"/>
      <c r="F44" s="12"/>
      <c r="G44" s="13" t="str">
        <f aca="false">IF(F44&lt;&gt;"",F44,IF(OR(D44="",E44=""),"",ROUND(MOD(E44-D44,1)*1440,0)))</f>
        <v/>
      </c>
      <c r="H44" s="9"/>
      <c r="I44" s="14" t="str">
        <f aca="false">IF(H44="","",IFERROR(INDEX(Setup!$E$5:$E$34,MATCH(H44,Setup!$D$5:$D$34,0)),"Not in Setup"))</f>
        <v/>
      </c>
      <c r="J44" s="9"/>
    </row>
    <row r="45" customFormat="false" ht="15" hidden="false" customHeight="false" outlineLevel="0" collapsed="false">
      <c r="A45" s="10"/>
      <c r="B45" s="9"/>
      <c r="C45" s="9"/>
      <c r="D45" s="11"/>
      <c r="E45" s="11"/>
      <c r="F45" s="12"/>
      <c r="G45" s="13" t="str">
        <f aca="false">IF(F45&lt;&gt;"",F45,IF(OR(D45="",E45=""),"",ROUND(MOD(E45-D45,1)*1440,0)))</f>
        <v/>
      </c>
      <c r="H45" s="9"/>
      <c r="I45" s="14" t="str">
        <f aca="false">IF(H45="","",IFERROR(INDEX(Setup!$E$5:$E$34,MATCH(H45,Setup!$D$5:$D$34,0)),"Not in Setup"))</f>
        <v/>
      </c>
      <c r="J45" s="9"/>
    </row>
    <row r="46" customFormat="false" ht="15" hidden="false" customHeight="false" outlineLevel="0" collapsed="false">
      <c r="A46" s="10"/>
      <c r="B46" s="9"/>
      <c r="C46" s="9"/>
      <c r="D46" s="11"/>
      <c r="E46" s="11"/>
      <c r="F46" s="12"/>
      <c r="G46" s="13" t="str">
        <f aca="false">IF(F46&lt;&gt;"",F46,IF(OR(D46="",E46=""),"",ROUND(MOD(E46-D46,1)*1440,0)))</f>
        <v/>
      </c>
      <c r="H46" s="9"/>
      <c r="I46" s="14" t="str">
        <f aca="false">IF(H46="","",IFERROR(INDEX(Setup!$E$5:$E$34,MATCH(H46,Setup!$D$5:$D$34,0)),"Not in Setup"))</f>
        <v/>
      </c>
      <c r="J46" s="9"/>
    </row>
    <row r="47" customFormat="false" ht="15" hidden="false" customHeight="false" outlineLevel="0" collapsed="false">
      <c r="A47" s="10"/>
      <c r="B47" s="9"/>
      <c r="C47" s="9"/>
      <c r="D47" s="11"/>
      <c r="E47" s="11"/>
      <c r="F47" s="12"/>
      <c r="G47" s="13" t="str">
        <f aca="false">IF(F47&lt;&gt;"",F47,IF(OR(D47="",E47=""),"",ROUND(MOD(E47-D47,1)*1440,0)))</f>
        <v/>
      </c>
      <c r="H47" s="9"/>
      <c r="I47" s="14" t="str">
        <f aca="false">IF(H47="","",IFERROR(INDEX(Setup!$E$5:$E$34,MATCH(H47,Setup!$D$5:$D$34,0)),"Not in Setup"))</f>
        <v/>
      </c>
      <c r="J47" s="9"/>
    </row>
    <row r="48" customFormat="false" ht="15" hidden="false" customHeight="false" outlineLevel="0" collapsed="false">
      <c r="A48" s="10"/>
      <c r="B48" s="9"/>
      <c r="C48" s="9"/>
      <c r="D48" s="11"/>
      <c r="E48" s="11"/>
      <c r="F48" s="12"/>
      <c r="G48" s="13" t="str">
        <f aca="false">IF(F48&lt;&gt;"",F48,IF(OR(D48="",E48=""),"",ROUND(MOD(E48-D48,1)*1440,0)))</f>
        <v/>
      </c>
      <c r="H48" s="9"/>
      <c r="I48" s="14" t="str">
        <f aca="false">IF(H48="","",IFERROR(INDEX(Setup!$E$5:$E$34,MATCH(H48,Setup!$D$5:$D$34,0)),"Not in Setup"))</f>
        <v/>
      </c>
      <c r="J48" s="9"/>
    </row>
    <row r="49" customFormat="false" ht="15" hidden="false" customHeight="false" outlineLevel="0" collapsed="false">
      <c r="A49" s="10"/>
      <c r="B49" s="9"/>
      <c r="C49" s="9"/>
      <c r="D49" s="11"/>
      <c r="E49" s="11"/>
      <c r="F49" s="12"/>
      <c r="G49" s="13" t="str">
        <f aca="false">IF(F49&lt;&gt;"",F49,IF(OR(D49="",E49=""),"",ROUND(MOD(E49-D49,1)*1440,0)))</f>
        <v/>
      </c>
      <c r="H49" s="9"/>
      <c r="I49" s="14" t="str">
        <f aca="false">IF(H49="","",IFERROR(INDEX(Setup!$E$5:$E$34,MATCH(H49,Setup!$D$5:$D$34,0)),"Not in Setup"))</f>
        <v/>
      </c>
      <c r="J49" s="9"/>
    </row>
    <row r="50" customFormat="false" ht="15" hidden="false" customHeight="false" outlineLevel="0" collapsed="false">
      <c r="A50" s="10"/>
      <c r="B50" s="9"/>
      <c r="C50" s="9"/>
      <c r="D50" s="11"/>
      <c r="E50" s="11"/>
      <c r="F50" s="12"/>
      <c r="G50" s="13" t="str">
        <f aca="false">IF(F50&lt;&gt;"",F50,IF(OR(D50="",E50=""),"",ROUND(MOD(E50-D50,1)*1440,0)))</f>
        <v/>
      </c>
      <c r="H50" s="9"/>
      <c r="I50" s="14" t="str">
        <f aca="false">IF(H50="","",IFERROR(INDEX(Setup!$E$5:$E$34,MATCH(H50,Setup!$D$5:$D$34,0)),"Not in Setup"))</f>
        <v/>
      </c>
      <c r="J50" s="9"/>
    </row>
    <row r="51" customFormat="false" ht="15" hidden="false" customHeight="false" outlineLevel="0" collapsed="false">
      <c r="A51" s="10"/>
      <c r="B51" s="9"/>
      <c r="C51" s="9"/>
      <c r="D51" s="11"/>
      <c r="E51" s="11"/>
      <c r="F51" s="12"/>
      <c r="G51" s="13" t="str">
        <f aca="false">IF(F51&lt;&gt;"",F51,IF(OR(D51="",E51=""),"",ROUND(MOD(E51-D51,1)*1440,0)))</f>
        <v/>
      </c>
      <c r="H51" s="9"/>
      <c r="I51" s="14" t="str">
        <f aca="false">IF(H51="","",IFERROR(INDEX(Setup!$E$5:$E$34,MATCH(H51,Setup!$D$5:$D$34,0)),"Not in Setup"))</f>
        <v/>
      </c>
      <c r="J51" s="9"/>
    </row>
    <row r="52" customFormat="false" ht="15" hidden="false" customHeight="false" outlineLevel="0" collapsed="false">
      <c r="A52" s="10"/>
      <c r="B52" s="9"/>
      <c r="C52" s="9"/>
      <c r="D52" s="11"/>
      <c r="E52" s="11"/>
      <c r="F52" s="12"/>
      <c r="G52" s="13" t="str">
        <f aca="false">IF(F52&lt;&gt;"",F52,IF(OR(D52="",E52=""),"",ROUND(MOD(E52-D52,1)*1440,0)))</f>
        <v/>
      </c>
      <c r="H52" s="9"/>
      <c r="I52" s="14" t="str">
        <f aca="false">IF(H52="","",IFERROR(INDEX(Setup!$E$5:$E$34,MATCH(H52,Setup!$D$5:$D$34,0)),"Not in Setup"))</f>
        <v/>
      </c>
      <c r="J52" s="9"/>
    </row>
    <row r="53" customFormat="false" ht="15" hidden="false" customHeight="false" outlineLevel="0" collapsed="false">
      <c r="A53" s="10"/>
      <c r="B53" s="9"/>
      <c r="C53" s="9"/>
      <c r="D53" s="11"/>
      <c r="E53" s="11"/>
      <c r="F53" s="12"/>
      <c r="G53" s="13" t="str">
        <f aca="false">IF(F53&lt;&gt;"",F53,IF(OR(D53="",E53=""),"",ROUND(MOD(E53-D53,1)*1440,0)))</f>
        <v/>
      </c>
      <c r="H53" s="9"/>
      <c r="I53" s="14" t="str">
        <f aca="false">IF(H53="","",IFERROR(INDEX(Setup!$E$5:$E$34,MATCH(H53,Setup!$D$5:$D$34,0)),"Not in Setup"))</f>
        <v/>
      </c>
      <c r="J53" s="9"/>
    </row>
    <row r="54" customFormat="false" ht="15" hidden="false" customHeight="false" outlineLevel="0" collapsed="false">
      <c r="A54" s="10"/>
      <c r="B54" s="9"/>
      <c r="C54" s="9"/>
      <c r="D54" s="11"/>
      <c r="E54" s="11"/>
      <c r="F54" s="12"/>
      <c r="G54" s="13" t="str">
        <f aca="false">IF(F54&lt;&gt;"",F54,IF(OR(D54="",E54=""),"",ROUND(MOD(E54-D54,1)*1440,0)))</f>
        <v/>
      </c>
      <c r="H54" s="9"/>
      <c r="I54" s="14" t="str">
        <f aca="false">IF(H54="","",IFERROR(INDEX(Setup!$E$5:$E$34,MATCH(H54,Setup!$D$5:$D$34,0)),"Not in Setup"))</f>
        <v/>
      </c>
      <c r="J54" s="9"/>
    </row>
    <row r="55" customFormat="false" ht="15" hidden="false" customHeight="false" outlineLevel="0" collapsed="false">
      <c r="A55" s="10"/>
      <c r="B55" s="9"/>
      <c r="C55" s="9"/>
      <c r="D55" s="11"/>
      <c r="E55" s="11"/>
      <c r="F55" s="12"/>
      <c r="G55" s="13" t="str">
        <f aca="false">IF(F55&lt;&gt;"",F55,IF(OR(D55="",E55=""),"",ROUND(MOD(E55-D55,1)*1440,0)))</f>
        <v/>
      </c>
      <c r="H55" s="9"/>
      <c r="I55" s="14" t="str">
        <f aca="false">IF(H55="","",IFERROR(INDEX(Setup!$E$5:$E$34,MATCH(H55,Setup!$D$5:$D$34,0)),"Not in Setup"))</f>
        <v/>
      </c>
      <c r="J55" s="9"/>
    </row>
    <row r="56" customFormat="false" ht="15" hidden="false" customHeight="false" outlineLevel="0" collapsed="false">
      <c r="A56" s="10"/>
      <c r="B56" s="9"/>
      <c r="C56" s="9"/>
      <c r="D56" s="11"/>
      <c r="E56" s="11"/>
      <c r="F56" s="12"/>
      <c r="G56" s="13" t="str">
        <f aca="false">IF(F56&lt;&gt;"",F56,IF(OR(D56="",E56=""),"",ROUND(MOD(E56-D56,1)*1440,0)))</f>
        <v/>
      </c>
      <c r="H56" s="9"/>
      <c r="I56" s="14" t="str">
        <f aca="false">IF(H56="","",IFERROR(INDEX(Setup!$E$5:$E$34,MATCH(H56,Setup!$D$5:$D$34,0)),"Not in Setup"))</f>
        <v/>
      </c>
      <c r="J56" s="9"/>
    </row>
    <row r="57" customFormat="false" ht="15" hidden="false" customHeight="false" outlineLevel="0" collapsed="false">
      <c r="A57" s="10"/>
      <c r="B57" s="9"/>
      <c r="C57" s="9"/>
      <c r="D57" s="11"/>
      <c r="E57" s="11"/>
      <c r="F57" s="12"/>
      <c r="G57" s="13" t="str">
        <f aca="false">IF(F57&lt;&gt;"",F57,IF(OR(D57="",E57=""),"",ROUND(MOD(E57-D57,1)*1440,0)))</f>
        <v/>
      </c>
      <c r="H57" s="9"/>
      <c r="I57" s="14" t="str">
        <f aca="false">IF(H57="","",IFERROR(INDEX(Setup!$E$5:$E$34,MATCH(H57,Setup!$D$5:$D$34,0)),"Not in Setup"))</f>
        <v/>
      </c>
      <c r="J57" s="9"/>
    </row>
    <row r="58" customFormat="false" ht="15" hidden="false" customHeight="false" outlineLevel="0" collapsed="false">
      <c r="A58" s="10"/>
      <c r="B58" s="9"/>
      <c r="C58" s="9"/>
      <c r="D58" s="11"/>
      <c r="E58" s="11"/>
      <c r="F58" s="12"/>
      <c r="G58" s="13" t="str">
        <f aca="false">IF(F58&lt;&gt;"",F58,IF(OR(D58="",E58=""),"",ROUND(MOD(E58-D58,1)*1440,0)))</f>
        <v/>
      </c>
      <c r="H58" s="9"/>
      <c r="I58" s="14" t="str">
        <f aca="false">IF(H58="","",IFERROR(INDEX(Setup!$E$5:$E$34,MATCH(H58,Setup!$D$5:$D$34,0)),"Not in Setup"))</f>
        <v/>
      </c>
      <c r="J58" s="9"/>
    </row>
    <row r="59" customFormat="false" ht="15" hidden="false" customHeight="false" outlineLevel="0" collapsed="false">
      <c r="A59" s="10"/>
      <c r="B59" s="9"/>
      <c r="C59" s="9"/>
      <c r="D59" s="11"/>
      <c r="E59" s="11"/>
      <c r="F59" s="12"/>
      <c r="G59" s="13" t="str">
        <f aca="false">IF(F59&lt;&gt;"",F59,IF(OR(D59="",E59=""),"",ROUND(MOD(E59-D59,1)*1440,0)))</f>
        <v/>
      </c>
      <c r="H59" s="9"/>
      <c r="I59" s="14" t="str">
        <f aca="false">IF(H59="","",IFERROR(INDEX(Setup!$E$5:$E$34,MATCH(H59,Setup!$D$5:$D$34,0)),"Not in Setup"))</f>
        <v/>
      </c>
      <c r="J59" s="9"/>
    </row>
    <row r="60" customFormat="false" ht="15" hidden="false" customHeight="false" outlineLevel="0" collapsed="false">
      <c r="A60" s="10"/>
      <c r="B60" s="9"/>
      <c r="C60" s="9"/>
      <c r="D60" s="11"/>
      <c r="E60" s="11"/>
      <c r="F60" s="12"/>
      <c r="G60" s="13" t="str">
        <f aca="false">IF(F60&lt;&gt;"",F60,IF(OR(D60="",E60=""),"",ROUND(MOD(E60-D60,1)*1440,0)))</f>
        <v/>
      </c>
      <c r="H60" s="9"/>
      <c r="I60" s="14" t="str">
        <f aca="false">IF(H60="","",IFERROR(INDEX(Setup!$E$5:$E$34,MATCH(H60,Setup!$D$5:$D$34,0)),"Not in Setup"))</f>
        <v/>
      </c>
      <c r="J60" s="9"/>
    </row>
    <row r="61" customFormat="false" ht="15" hidden="false" customHeight="false" outlineLevel="0" collapsed="false">
      <c r="A61" s="10"/>
      <c r="B61" s="9"/>
      <c r="C61" s="9"/>
      <c r="D61" s="11"/>
      <c r="E61" s="11"/>
      <c r="F61" s="12"/>
      <c r="G61" s="13" t="str">
        <f aca="false">IF(F61&lt;&gt;"",F61,IF(OR(D61="",E61=""),"",ROUND(MOD(E61-D61,1)*1440,0)))</f>
        <v/>
      </c>
      <c r="H61" s="9"/>
      <c r="I61" s="14" t="str">
        <f aca="false">IF(H61="","",IFERROR(INDEX(Setup!$E$5:$E$34,MATCH(H61,Setup!$D$5:$D$34,0)),"Not in Setup"))</f>
        <v/>
      </c>
      <c r="J61" s="9"/>
    </row>
    <row r="62" customFormat="false" ht="15" hidden="false" customHeight="false" outlineLevel="0" collapsed="false">
      <c r="A62" s="10"/>
      <c r="B62" s="9"/>
      <c r="C62" s="9"/>
      <c r="D62" s="11"/>
      <c r="E62" s="11"/>
      <c r="F62" s="12"/>
      <c r="G62" s="13" t="str">
        <f aca="false">IF(F62&lt;&gt;"",F62,IF(OR(D62="",E62=""),"",ROUND(MOD(E62-D62,1)*1440,0)))</f>
        <v/>
      </c>
      <c r="H62" s="9"/>
      <c r="I62" s="14" t="str">
        <f aca="false">IF(H62="","",IFERROR(INDEX(Setup!$E$5:$E$34,MATCH(H62,Setup!$D$5:$D$34,0)),"Not in Setup"))</f>
        <v/>
      </c>
      <c r="J62" s="9"/>
    </row>
    <row r="63" customFormat="false" ht="15" hidden="false" customHeight="false" outlineLevel="0" collapsed="false">
      <c r="A63" s="10"/>
      <c r="B63" s="9"/>
      <c r="C63" s="9"/>
      <c r="D63" s="11"/>
      <c r="E63" s="11"/>
      <c r="F63" s="12"/>
      <c r="G63" s="13" t="str">
        <f aca="false">IF(F63&lt;&gt;"",F63,IF(OR(D63="",E63=""),"",ROUND(MOD(E63-D63,1)*1440,0)))</f>
        <v/>
      </c>
      <c r="H63" s="9"/>
      <c r="I63" s="14" t="str">
        <f aca="false">IF(H63="","",IFERROR(INDEX(Setup!$E$5:$E$34,MATCH(H63,Setup!$D$5:$D$34,0)),"Not in Setup"))</f>
        <v/>
      </c>
      <c r="J63" s="9"/>
    </row>
    <row r="64" customFormat="false" ht="15" hidden="false" customHeight="false" outlineLevel="0" collapsed="false">
      <c r="A64" s="10"/>
      <c r="B64" s="9"/>
      <c r="C64" s="9"/>
      <c r="D64" s="11"/>
      <c r="E64" s="11"/>
      <c r="F64" s="12"/>
      <c r="G64" s="13" t="str">
        <f aca="false">IF(F64&lt;&gt;"",F64,IF(OR(D64="",E64=""),"",ROUND(MOD(E64-D64,1)*1440,0)))</f>
        <v/>
      </c>
      <c r="H64" s="9"/>
      <c r="I64" s="14" t="str">
        <f aca="false">IF(H64="","",IFERROR(INDEX(Setup!$E$5:$E$34,MATCH(H64,Setup!$D$5:$D$34,0)),"Not in Setup"))</f>
        <v/>
      </c>
      <c r="J64" s="9"/>
    </row>
    <row r="65" customFormat="false" ht="15" hidden="false" customHeight="false" outlineLevel="0" collapsed="false">
      <c r="A65" s="10"/>
      <c r="B65" s="9"/>
      <c r="C65" s="9"/>
      <c r="D65" s="11"/>
      <c r="E65" s="11"/>
      <c r="F65" s="12"/>
      <c r="G65" s="13" t="str">
        <f aca="false">IF(F65&lt;&gt;"",F65,IF(OR(D65="",E65=""),"",ROUND(MOD(E65-D65,1)*1440,0)))</f>
        <v/>
      </c>
      <c r="H65" s="9"/>
      <c r="I65" s="14" t="str">
        <f aca="false">IF(H65="","",IFERROR(INDEX(Setup!$E$5:$E$34,MATCH(H65,Setup!$D$5:$D$34,0)),"Not in Setup"))</f>
        <v/>
      </c>
      <c r="J65" s="9"/>
    </row>
    <row r="66" customFormat="false" ht="15" hidden="false" customHeight="false" outlineLevel="0" collapsed="false">
      <c r="A66" s="10"/>
      <c r="B66" s="9"/>
      <c r="C66" s="9"/>
      <c r="D66" s="11"/>
      <c r="E66" s="11"/>
      <c r="F66" s="12"/>
      <c r="G66" s="13" t="str">
        <f aca="false">IF(F66&lt;&gt;"",F66,IF(OR(D66="",E66=""),"",ROUND(MOD(E66-D66,1)*1440,0)))</f>
        <v/>
      </c>
      <c r="H66" s="9"/>
      <c r="I66" s="14" t="str">
        <f aca="false">IF(H66="","",IFERROR(INDEX(Setup!$E$5:$E$34,MATCH(H66,Setup!$D$5:$D$34,0)),"Not in Setup"))</f>
        <v/>
      </c>
      <c r="J66" s="9"/>
    </row>
    <row r="67" customFormat="false" ht="15" hidden="false" customHeight="false" outlineLevel="0" collapsed="false">
      <c r="A67" s="10"/>
      <c r="B67" s="9"/>
      <c r="C67" s="9"/>
      <c r="D67" s="11"/>
      <c r="E67" s="11"/>
      <c r="F67" s="12"/>
      <c r="G67" s="13" t="str">
        <f aca="false">IF(F67&lt;&gt;"",F67,IF(OR(D67="",E67=""),"",ROUND(MOD(E67-D67,1)*1440,0)))</f>
        <v/>
      </c>
      <c r="H67" s="9"/>
      <c r="I67" s="14" t="str">
        <f aca="false">IF(H67="","",IFERROR(INDEX(Setup!$E$5:$E$34,MATCH(H67,Setup!$D$5:$D$34,0)),"Not in Setup"))</f>
        <v/>
      </c>
      <c r="J67" s="9"/>
    </row>
    <row r="68" customFormat="false" ht="15" hidden="false" customHeight="false" outlineLevel="0" collapsed="false">
      <c r="A68" s="10"/>
      <c r="B68" s="9"/>
      <c r="C68" s="9"/>
      <c r="D68" s="11"/>
      <c r="E68" s="11"/>
      <c r="F68" s="12"/>
      <c r="G68" s="13" t="str">
        <f aca="false">IF(F68&lt;&gt;"",F68,IF(OR(D68="",E68=""),"",ROUND(MOD(E68-D68,1)*1440,0)))</f>
        <v/>
      </c>
      <c r="H68" s="9"/>
      <c r="I68" s="14" t="str">
        <f aca="false">IF(H68="","",IFERROR(INDEX(Setup!$E$5:$E$34,MATCH(H68,Setup!$D$5:$D$34,0)),"Not in Setup"))</f>
        <v/>
      </c>
      <c r="J68" s="9"/>
    </row>
    <row r="69" customFormat="false" ht="15" hidden="false" customHeight="false" outlineLevel="0" collapsed="false">
      <c r="A69" s="10"/>
      <c r="B69" s="9"/>
      <c r="C69" s="9"/>
      <c r="D69" s="11"/>
      <c r="E69" s="11"/>
      <c r="F69" s="12"/>
      <c r="G69" s="13" t="str">
        <f aca="false">IF(F69&lt;&gt;"",F69,IF(OR(D69="",E69=""),"",ROUND(MOD(E69-D69,1)*1440,0)))</f>
        <v/>
      </c>
      <c r="H69" s="9"/>
      <c r="I69" s="14" t="str">
        <f aca="false">IF(H69="","",IFERROR(INDEX(Setup!$E$5:$E$34,MATCH(H69,Setup!$D$5:$D$34,0)),"Not in Setup"))</f>
        <v/>
      </c>
      <c r="J69" s="9"/>
    </row>
    <row r="70" customFormat="false" ht="15" hidden="false" customHeight="false" outlineLevel="0" collapsed="false">
      <c r="A70" s="10"/>
      <c r="B70" s="9"/>
      <c r="C70" s="9"/>
      <c r="D70" s="11"/>
      <c r="E70" s="11"/>
      <c r="F70" s="12"/>
      <c r="G70" s="13" t="str">
        <f aca="false">IF(F70&lt;&gt;"",F70,IF(OR(D70="",E70=""),"",ROUND(MOD(E70-D70,1)*1440,0)))</f>
        <v/>
      </c>
      <c r="H70" s="9"/>
      <c r="I70" s="14" t="str">
        <f aca="false">IF(H70="","",IFERROR(INDEX(Setup!$E$5:$E$34,MATCH(H70,Setup!$D$5:$D$34,0)),"Not in Setup"))</f>
        <v/>
      </c>
      <c r="J70" s="9"/>
    </row>
    <row r="71" customFormat="false" ht="15" hidden="false" customHeight="false" outlineLevel="0" collapsed="false">
      <c r="A71" s="10"/>
      <c r="B71" s="9"/>
      <c r="C71" s="9"/>
      <c r="D71" s="11"/>
      <c r="E71" s="11"/>
      <c r="F71" s="12"/>
      <c r="G71" s="13" t="str">
        <f aca="false">IF(F71&lt;&gt;"",F71,IF(OR(D71="",E71=""),"",ROUND(MOD(E71-D71,1)*1440,0)))</f>
        <v/>
      </c>
      <c r="H71" s="9"/>
      <c r="I71" s="14" t="str">
        <f aca="false">IF(H71="","",IFERROR(INDEX(Setup!$E$5:$E$34,MATCH(H71,Setup!$D$5:$D$34,0)),"Not in Setup"))</f>
        <v/>
      </c>
      <c r="J71" s="9"/>
    </row>
    <row r="72" customFormat="false" ht="15" hidden="false" customHeight="false" outlineLevel="0" collapsed="false">
      <c r="A72" s="10"/>
      <c r="B72" s="9"/>
      <c r="C72" s="9"/>
      <c r="D72" s="11"/>
      <c r="E72" s="11"/>
      <c r="F72" s="12"/>
      <c r="G72" s="13" t="str">
        <f aca="false">IF(F72&lt;&gt;"",F72,IF(OR(D72="",E72=""),"",ROUND(MOD(E72-D72,1)*1440,0)))</f>
        <v/>
      </c>
      <c r="H72" s="9"/>
      <c r="I72" s="14" t="str">
        <f aca="false">IF(H72="","",IFERROR(INDEX(Setup!$E$5:$E$34,MATCH(H72,Setup!$D$5:$D$34,0)),"Not in Setup"))</f>
        <v/>
      </c>
      <c r="J72" s="9"/>
    </row>
    <row r="73" customFormat="false" ht="15" hidden="false" customHeight="false" outlineLevel="0" collapsed="false">
      <c r="A73" s="10"/>
      <c r="B73" s="9"/>
      <c r="C73" s="9"/>
      <c r="D73" s="11"/>
      <c r="E73" s="11"/>
      <c r="F73" s="12"/>
      <c r="G73" s="13" t="str">
        <f aca="false">IF(F73&lt;&gt;"",F73,IF(OR(D73="",E73=""),"",ROUND(MOD(E73-D73,1)*1440,0)))</f>
        <v/>
      </c>
      <c r="H73" s="9"/>
      <c r="I73" s="14" t="str">
        <f aca="false">IF(H73="","",IFERROR(INDEX(Setup!$E$5:$E$34,MATCH(H73,Setup!$D$5:$D$34,0)),"Not in Setup"))</f>
        <v/>
      </c>
      <c r="J73" s="9"/>
    </row>
    <row r="74" customFormat="false" ht="15" hidden="false" customHeight="false" outlineLevel="0" collapsed="false">
      <c r="A74" s="10"/>
      <c r="B74" s="9"/>
      <c r="C74" s="9"/>
      <c r="D74" s="11"/>
      <c r="E74" s="11"/>
      <c r="F74" s="12"/>
      <c r="G74" s="13" t="str">
        <f aca="false">IF(F74&lt;&gt;"",F74,IF(OR(D74="",E74=""),"",ROUND(MOD(E74-D74,1)*1440,0)))</f>
        <v/>
      </c>
      <c r="H74" s="9"/>
      <c r="I74" s="14" t="str">
        <f aca="false">IF(H74="","",IFERROR(INDEX(Setup!$E$5:$E$34,MATCH(H74,Setup!$D$5:$D$34,0)),"Not in Setup"))</f>
        <v/>
      </c>
      <c r="J74" s="9"/>
    </row>
    <row r="75" customFormat="false" ht="15" hidden="false" customHeight="false" outlineLevel="0" collapsed="false">
      <c r="A75" s="10"/>
      <c r="B75" s="9"/>
      <c r="C75" s="9"/>
      <c r="D75" s="11"/>
      <c r="E75" s="11"/>
      <c r="F75" s="12"/>
      <c r="G75" s="13" t="str">
        <f aca="false">IF(F75&lt;&gt;"",F75,IF(OR(D75="",E75=""),"",ROUND(MOD(E75-D75,1)*1440,0)))</f>
        <v/>
      </c>
      <c r="H75" s="9"/>
      <c r="I75" s="14" t="str">
        <f aca="false">IF(H75="","",IFERROR(INDEX(Setup!$E$5:$E$34,MATCH(H75,Setup!$D$5:$D$34,0)),"Not in Setup"))</f>
        <v/>
      </c>
      <c r="J75" s="9"/>
    </row>
    <row r="76" customFormat="false" ht="15" hidden="false" customHeight="false" outlineLevel="0" collapsed="false">
      <c r="A76" s="10"/>
      <c r="B76" s="9"/>
      <c r="C76" s="9"/>
      <c r="D76" s="11"/>
      <c r="E76" s="11"/>
      <c r="F76" s="12"/>
      <c r="G76" s="13" t="str">
        <f aca="false">IF(F76&lt;&gt;"",F76,IF(OR(D76="",E76=""),"",ROUND(MOD(E76-D76,1)*1440,0)))</f>
        <v/>
      </c>
      <c r="H76" s="9"/>
      <c r="I76" s="14" t="str">
        <f aca="false">IF(H76="","",IFERROR(INDEX(Setup!$E$5:$E$34,MATCH(H76,Setup!$D$5:$D$34,0)),"Not in Setup"))</f>
        <v/>
      </c>
      <c r="J76" s="9"/>
    </row>
    <row r="77" customFormat="false" ht="15" hidden="false" customHeight="false" outlineLevel="0" collapsed="false">
      <c r="A77" s="10"/>
      <c r="B77" s="9"/>
      <c r="C77" s="9"/>
      <c r="D77" s="11"/>
      <c r="E77" s="11"/>
      <c r="F77" s="12"/>
      <c r="G77" s="13" t="str">
        <f aca="false">IF(F77&lt;&gt;"",F77,IF(OR(D77="",E77=""),"",ROUND(MOD(E77-D77,1)*1440,0)))</f>
        <v/>
      </c>
      <c r="H77" s="9"/>
      <c r="I77" s="14" t="str">
        <f aca="false">IF(H77="","",IFERROR(INDEX(Setup!$E$5:$E$34,MATCH(H77,Setup!$D$5:$D$34,0)),"Not in Setup"))</f>
        <v/>
      </c>
      <c r="J77" s="9"/>
    </row>
    <row r="78" customFormat="false" ht="15" hidden="false" customHeight="false" outlineLevel="0" collapsed="false">
      <c r="A78" s="10"/>
      <c r="B78" s="9"/>
      <c r="C78" s="9"/>
      <c r="D78" s="11"/>
      <c r="E78" s="11"/>
      <c r="F78" s="12"/>
      <c r="G78" s="13" t="str">
        <f aca="false">IF(F78&lt;&gt;"",F78,IF(OR(D78="",E78=""),"",ROUND(MOD(E78-D78,1)*1440,0)))</f>
        <v/>
      </c>
      <c r="H78" s="9"/>
      <c r="I78" s="14" t="str">
        <f aca="false">IF(H78="","",IFERROR(INDEX(Setup!$E$5:$E$34,MATCH(H78,Setup!$D$5:$D$34,0)),"Not in Setup"))</f>
        <v/>
      </c>
      <c r="J78" s="9"/>
    </row>
    <row r="79" customFormat="false" ht="15" hidden="false" customHeight="false" outlineLevel="0" collapsed="false">
      <c r="A79" s="10"/>
      <c r="B79" s="9"/>
      <c r="C79" s="9"/>
      <c r="D79" s="11"/>
      <c r="E79" s="11"/>
      <c r="F79" s="12"/>
      <c r="G79" s="13" t="str">
        <f aca="false">IF(F79&lt;&gt;"",F79,IF(OR(D79="",E79=""),"",ROUND(MOD(E79-D79,1)*1440,0)))</f>
        <v/>
      </c>
      <c r="H79" s="9"/>
      <c r="I79" s="14" t="str">
        <f aca="false">IF(H79="","",IFERROR(INDEX(Setup!$E$5:$E$34,MATCH(H79,Setup!$D$5:$D$34,0)),"Not in Setup"))</f>
        <v/>
      </c>
      <c r="J79" s="9"/>
    </row>
    <row r="80" customFormat="false" ht="15" hidden="false" customHeight="false" outlineLevel="0" collapsed="false">
      <c r="A80" s="10"/>
      <c r="B80" s="9"/>
      <c r="C80" s="9"/>
      <c r="D80" s="11"/>
      <c r="E80" s="11"/>
      <c r="F80" s="12"/>
      <c r="G80" s="13" t="str">
        <f aca="false">IF(F80&lt;&gt;"",F80,IF(OR(D80="",E80=""),"",ROUND(MOD(E80-D80,1)*1440,0)))</f>
        <v/>
      </c>
      <c r="H80" s="9"/>
      <c r="I80" s="14" t="str">
        <f aca="false">IF(H80="","",IFERROR(INDEX(Setup!$E$5:$E$34,MATCH(H80,Setup!$D$5:$D$34,0)),"Not in Setup"))</f>
        <v/>
      </c>
      <c r="J80" s="9"/>
    </row>
    <row r="81" customFormat="false" ht="15" hidden="false" customHeight="false" outlineLevel="0" collapsed="false">
      <c r="A81" s="10"/>
      <c r="B81" s="9"/>
      <c r="C81" s="9"/>
      <c r="D81" s="11"/>
      <c r="E81" s="11"/>
      <c r="F81" s="12"/>
      <c r="G81" s="13" t="str">
        <f aca="false">IF(F81&lt;&gt;"",F81,IF(OR(D81="",E81=""),"",ROUND(MOD(E81-D81,1)*1440,0)))</f>
        <v/>
      </c>
      <c r="H81" s="9"/>
      <c r="I81" s="14" t="str">
        <f aca="false">IF(H81="","",IFERROR(INDEX(Setup!$E$5:$E$34,MATCH(H81,Setup!$D$5:$D$34,0)),"Not in Setup"))</f>
        <v/>
      </c>
      <c r="J81" s="9"/>
    </row>
    <row r="82" customFormat="false" ht="15" hidden="false" customHeight="false" outlineLevel="0" collapsed="false">
      <c r="A82" s="10"/>
      <c r="B82" s="9"/>
      <c r="C82" s="9"/>
      <c r="D82" s="11"/>
      <c r="E82" s="11"/>
      <c r="F82" s="12"/>
      <c r="G82" s="13" t="str">
        <f aca="false">IF(F82&lt;&gt;"",F82,IF(OR(D82="",E82=""),"",ROUND(MOD(E82-D82,1)*1440,0)))</f>
        <v/>
      </c>
      <c r="H82" s="9"/>
      <c r="I82" s="14" t="str">
        <f aca="false">IF(H82="","",IFERROR(INDEX(Setup!$E$5:$E$34,MATCH(H82,Setup!$D$5:$D$34,0)),"Not in Setup"))</f>
        <v/>
      </c>
      <c r="J82" s="9"/>
    </row>
    <row r="83" customFormat="false" ht="15" hidden="false" customHeight="false" outlineLevel="0" collapsed="false">
      <c r="A83" s="10"/>
      <c r="B83" s="9"/>
      <c r="C83" s="9"/>
      <c r="D83" s="11"/>
      <c r="E83" s="11"/>
      <c r="F83" s="12"/>
      <c r="G83" s="13" t="str">
        <f aca="false">IF(F83&lt;&gt;"",F83,IF(OR(D83="",E83=""),"",ROUND(MOD(E83-D83,1)*1440,0)))</f>
        <v/>
      </c>
      <c r="H83" s="9"/>
      <c r="I83" s="14" t="str">
        <f aca="false">IF(H83="","",IFERROR(INDEX(Setup!$E$5:$E$34,MATCH(H83,Setup!$D$5:$D$34,0)),"Not in Setup"))</f>
        <v/>
      </c>
      <c r="J83" s="9"/>
    </row>
    <row r="84" customFormat="false" ht="15" hidden="false" customHeight="false" outlineLevel="0" collapsed="false">
      <c r="A84" s="10"/>
      <c r="B84" s="9"/>
      <c r="C84" s="9"/>
      <c r="D84" s="11"/>
      <c r="E84" s="11"/>
      <c r="F84" s="12"/>
      <c r="G84" s="13" t="str">
        <f aca="false">IF(F84&lt;&gt;"",F84,IF(OR(D84="",E84=""),"",ROUND(MOD(E84-D84,1)*1440,0)))</f>
        <v/>
      </c>
      <c r="H84" s="9"/>
      <c r="I84" s="14" t="str">
        <f aca="false">IF(H84="","",IFERROR(INDEX(Setup!$E$5:$E$34,MATCH(H84,Setup!$D$5:$D$34,0)),"Not in Setup"))</f>
        <v/>
      </c>
      <c r="J84" s="9"/>
    </row>
    <row r="85" customFormat="false" ht="15" hidden="false" customHeight="false" outlineLevel="0" collapsed="false">
      <c r="A85" s="10"/>
      <c r="B85" s="9"/>
      <c r="C85" s="9"/>
      <c r="D85" s="11"/>
      <c r="E85" s="11"/>
      <c r="F85" s="12"/>
      <c r="G85" s="13" t="str">
        <f aca="false">IF(F85&lt;&gt;"",F85,IF(OR(D85="",E85=""),"",ROUND(MOD(E85-D85,1)*1440,0)))</f>
        <v/>
      </c>
      <c r="H85" s="9"/>
      <c r="I85" s="14" t="str">
        <f aca="false">IF(H85="","",IFERROR(INDEX(Setup!$E$5:$E$34,MATCH(H85,Setup!$D$5:$D$34,0)),"Not in Setup"))</f>
        <v/>
      </c>
      <c r="J85" s="9"/>
    </row>
    <row r="86" customFormat="false" ht="15" hidden="false" customHeight="false" outlineLevel="0" collapsed="false">
      <c r="A86" s="10"/>
      <c r="B86" s="9"/>
      <c r="C86" s="9"/>
      <c r="D86" s="11"/>
      <c r="E86" s="11"/>
      <c r="F86" s="12"/>
      <c r="G86" s="13" t="str">
        <f aca="false">IF(F86&lt;&gt;"",F86,IF(OR(D86="",E86=""),"",ROUND(MOD(E86-D86,1)*1440,0)))</f>
        <v/>
      </c>
      <c r="H86" s="9"/>
      <c r="I86" s="14" t="str">
        <f aca="false">IF(H86="","",IFERROR(INDEX(Setup!$E$5:$E$34,MATCH(H86,Setup!$D$5:$D$34,0)),"Not in Setup"))</f>
        <v/>
      </c>
      <c r="J86" s="9"/>
    </row>
    <row r="87" customFormat="false" ht="15" hidden="false" customHeight="false" outlineLevel="0" collapsed="false">
      <c r="A87" s="10"/>
      <c r="B87" s="9"/>
      <c r="C87" s="9"/>
      <c r="D87" s="11"/>
      <c r="E87" s="11"/>
      <c r="F87" s="12"/>
      <c r="G87" s="13" t="str">
        <f aca="false">IF(F87&lt;&gt;"",F87,IF(OR(D87="",E87=""),"",ROUND(MOD(E87-D87,1)*1440,0)))</f>
        <v/>
      </c>
      <c r="H87" s="9"/>
      <c r="I87" s="14" t="str">
        <f aca="false">IF(H87="","",IFERROR(INDEX(Setup!$E$5:$E$34,MATCH(H87,Setup!$D$5:$D$34,0)),"Not in Setup"))</f>
        <v/>
      </c>
      <c r="J87" s="9"/>
    </row>
    <row r="88" customFormat="false" ht="15" hidden="false" customHeight="false" outlineLevel="0" collapsed="false">
      <c r="A88" s="10"/>
      <c r="B88" s="9"/>
      <c r="C88" s="9"/>
      <c r="D88" s="11"/>
      <c r="E88" s="11"/>
      <c r="F88" s="12"/>
      <c r="G88" s="13" t="str">
        <f aca="false">IF(F88&lt;&gt;"",F88,IF(OR(D88="",E88=""),"",ROUND(MOD(E88-D88,1)*1440,0)))</f>
        <v/>
      </c>
      <c r="H88" s="9"/>
      <c r="I88" s="14" t="str">
        <f aca="false">IF(H88="","",IFERROR(INDEX(Setup!$E$5:$E$34,MATCH(H88,Setup!$D$5:$D$34,0)),"Not in Setup"))</f>
        <v/>
      </c>
      <c r="J88" s="9"/>
    </row>
    <row r="89" customFormat="false" ht="15" hidden="false" customHeight="false" outlineLevel="0" collapsed="false">
      <c r="A89" s="10"/>
      <c r="B89" s="9"/>
      <c r="C89" s="9"/>
      <c r="D89" s="11"/>
      <c r="E89" s="11"/>
      <c r="F89" s="12"/>
      <c r="G89" s="13" t="str">
        <f aca="false">IF(F89&lt;&gt;"",F89,IF(OR(D89="",E89=""),"",ROUND(MOD(E89-D89,1)*1440,0)))</f>
        <v/>
      </c>
      <c r="H89" s="9"/>
      <c r="I89" s="14" t="str">
        <f aca="false">IF(H89="","",IFERROR(INDEX(Setup!$E$5:$E$34,MATCH(H89,Setup!$D$5:$D$34,0)),"Not in Setup"))</f>
        <v/>
      </c>
      <c r="J89" s="9"/>
    </row>
    <row r="90" customFormat="false" ht="15" hidden="false" customHeight="false" outlineLevel="0" collapsed="false">
      <c r="A90" s="10"/>
      <c r="B90" s="9"/>
      <c r="C90" s="9"/>
      <c r="D90" s="11"/>
      <c r="E90" s="11"/>
      <c r="F90" s="12"/>
      <c r="G90" s="13" t="str">
        <f aca="false">IF(F90&lt;&gt;"",F90,IF(OR(D90="",E90=""),"",ROUND(MOD(E90-D90,1)*1440,0)))</f>
        <v/>
      </c>
      <c r="H90" s="9"/>
      <c r="I90" s="14" t="str">
        <f aca="false">IF(H90="","",IFERROR(INDEX(Setup!$E$5:$E$34,MATCH(H90,Setup!$D$5:$D$34,0)),"Not in Setup"))</f>
        <v/>
      </c>
      <c r="J90" s="9"/>
    </row>
    <row r="91" customFormat="false" ht="15" hidden="false" customHeight="false" outlineLevel="0" collapsed="false">
      <c r="A91" s="10"/>
      <c r="B91" s="9"/>
      <c r="C91" s="9"/>
      <c r="D91" s="11"/>
      <c r="E91" s="11"/>
      <c r="F91" s="12"/>
      <c r="G91" s="13" t="str">
        <f aca="false">IF(F91&lt;&gt;"",F91,IF(OR(D91="",E91=""),"",ROUND(MOD(E91-D91,1)*1440,0)))</f>
        <v/>
      </c>
      <c r="H91" s="9"/>
      <c r="I91" s="14" t="str">
        <f aca="false">IF(H91="","",IFERROR(INDEX(Setup!$E$5:$E$34,MATCH(H91,Setup!$D$5:$D$34,0)),"Not in Setup"))</f>
        <v/>
      </c>
      <c r="J91" s="9"/>
    </row>
    <row r="92" customFormat="false" ht="15" hidden="false" customHeight="false" outlineLevel="0" collapsed="false">
      <c r="A92" s="10"/>
      <c r="B92" s="9"/>
      <c r="C92" s="9"/>
      <c r="D92" s="11"/>
      <c r="E92" s="11"/>
      <c r="F92" s="12"/>
      <c r="G92" s="13" t="str">
        <f aca="false">IF(F92&lt;&gt;"",F92,IF(OR(D92="",E92=""),"",ROUND(MOD(E92-D92,1)*1440,0)))</f>
        <v/>
      </c>
      <c r="H92" s="9"/>
      <c r="I92" s="14" t="str">
        <f aca="false">IF(H92="","",IFERROR(INDEX(Setup!$E$5:$E$34,MATCH(H92,Setup!$D$5:$D$34,0)),"Not in Setup"))</f>
        <v/>
      </c>
      <c r="J92" s="9"/>
    </row>
    <row r="93" customFormat="false" ht="15" hidden="false" customHeight="false" outlineLevel="0" collapsed="false">
      <c r="A93" s="10"/>
      <c r="B93" s="9"/>
      <c r="C93" s="9"/>
      <c r="D93" s="11"/>
      <c r="E93" s="11"/>
      <c r="F93" s="12"/>
      <c r="G93" s="13" t="str">
        <f aca="false">IF(F93&lt;&gt;"",F93,IF(OR(D93="",E93=""),"",ROUND(MOD(E93-D93,1)*1440,0)))</f>
        <v/>
      </c>
      <c r="H93" s="9"/>
      <c r="I93" s="14" t="str">
        <f aca="false">IF(H93="","",IFERROR(INDEX(Setup!$E$5:$E$34,MATCH(H93,Setup!$D$5:$D$34,0)),"Not in Setup"))</f>
        <v/>
      </c>
      <c r="J93" s="9"/>
    </row>
    <row r="94" customFormat="false" ht="15" hidden="false" customHeight="false" outlineLevel="0" collapsed="false">
      <c r="A94" s="10"/>
      <c r="B94" s="9"/>
      <c r="C94" s="9"/>
      <c r="D94" s="11"/>
      <c r="E94" s="11"/>
      <c r="F94" s="12"/>
      <c r="G94" s="13" t="str">
        <f aca="false">IF(F94&lt;&gt;"",F94,IF(OR(D94="",E94=""),"",ROUND(MOD(E94-D94,1)*1440,0)))</f>
        <v/>
      </c>
      <c r="H94" s="9"/>
      <c r="I94" s="14" t="str">
        <f aca="false">IF(H94="","",IFERROR(INDEX(Setup!$E$5:$E$34,MATCH(H94,Setup!$D$5:$D$34,0)),"Not in Setup"))</f>
        <v/>
      </c>
      <c r="J94" s="9"/>
    </row>
    <row r="95" customFormat="false" ht="15" hidden="false" customHeight="false" outlineLevel="0" collapsed="false">
      <c r="A95" s="10"/>
      <c r="B95" s="9"/>
      <c r="C95" s="9"/>
      <c r="D95" s="11"/>
      <c r="E95" s="11"/>
      <c r="F95" s="12"/>
      <c r="G95" s="13" t="str">
        <f aca="false">IF(F95&lt;&gt;"",F95,IF(OR(D95="",E95=""),"",ROUND(MOD(E95-D95,1)*1440,0)))</f>
        <v/>
      </c>
      <c r="H95" s="9"/>
      <c r="I95" s="14" t="str">
        <f aca="false">IF(H95="","",IFERROR(INDEX(Setup!$E$5:$E$34,MATCH(H95,Setup!$D$5:$D$34,0)),"Not in Setup"))</f>
        <v/>
      </c>
      <c r="J95" s="9"/>
    </row>
    <row r="96" customFormat="false" ht="15" hidden="false" customHeight="false" outlineLevel="0" collapsed="false">
      <c r="A96" s="10"/>
      <c r="B96" s="9"/>
      <c r="C96" s="9"/>
      <c r="D96" s="11"/>
      <c r="E96" s="11"/>
      <c r="F96" s="12"/>
      <c r="G96" s="13" t="str">
        <f aca="false">IF(F96&lt;&gt;"",F96,IF(OR(D96="",E96=""),"",ROUND(MOD(E96-D96,1)*1440,0)))</f>
        <v/>
      </c>
      <c r="H96" s="9"/>
      <c r="I96" s="14" t="str">
        <f aca="false">IF(H96="","",IFERROR(INDEX(Setup!$E$5:$E$34,MATCH(H96,Setup!$D$5:$D$34,0)),"Not in Setup"))</f>
        <v/>
      </c>
      <c r="J96" s="9"/>
    </row>
    <row r="97" customFormat="false" ht="15" hidden="false" customHeight="false" outlineLevel="0" collapsed="false">
      <c r="A97" s="10"/>
      <c r="B97" s="9"/>
      <c r="C97" s="9"/>
      <c r="D97" s="11"/>
      <c r="E97" s="11"/>
      <c r="F97" s="12"/>
      <c r="G97" s="13" t="str">
        <f aca="false">IF(F97&lt;&gt;"",F97,IF(OR(D97="",E97=""),"",ROUND(MOD(E97-D97,1)*1440,0)))</f>
        <v/>
      </c>
      <c r="H97" s="9"/>
      <c r="I97" s="14" t="str">
        <f aca="false">IF(H97="","",IFERROR(INDEX(Setup!$E$5:$E$34,MATCH(H97,Setup!$D$5:$D$34,0)),"Not in Setup"))</f>
        <v/>
      </c>
      <c r="J97" s="9"/>
    </row>
    <row r="98" customFormat="false" ht="15" hidden="false" customHeight="false" outlineLevel="0" collapsed="false">
      <c r="A98" s="10"/>
      <c r="B98" s="9"/>
      <c r="C98" s="9"/>
      <c r="D98" s="11"/>
      <c r="E98" s="11"/>
      <c r="F98" s="12"/>
      <c r="G98" s="13" t="str">
        <f aca="false">IF(F98&lt;&gt;"",F98,IF(OR(D98="",E98=""),"",ROUND(MOD(E98-D98,1)*1440,0)))</f>
        <v/>
      </c>
      <c r="H98" s="9"/>
      <c r="I98" s="14" t="str">
        <f aca="false">IF(H98="","",IFERROR(INDEX(Setup!$E$5:$E$34,MATCH(H98,Setup!$D$5:$D$34,0)),"Not in Setup"))</f>
        <v/>
      </c>
      <c r="J98" s="9"/>
    </row>
    <row r="99" customFormat="false" ht="15" hidden="false" customHeight="false" outlineLevel="0" collapsed="false">
      <c r="A99" s="10"/>
      <c r="B99" s="9"/>
      <c r="C99" s="9"/>
      <c r="D99" s="11"/>
      <c r="E99" s="11"/>
      <c r="F99" s="12"/>
      <c r="G99" s="13" t="str">
        <f aca="false">IF(F99&lt;&gt;"",F99,IF(OR(D99="",E99=""),"",ROUND(MOD(E99-D99,1)*1440,0)))</f>
        <v/>
      </c>
      <c r="H99" s="9"/>
      <c r="I99" s="14" t="str">
        <f aca="false">IF(H99="","",IFERROR(INDEX(Setup!$E$5:$E$34,MATCH(H99,Setup!$D$5:$D$34,0)),"Not in Setup"))</f>
        <v/>
      </c>
      <c r="J99" s="9"/>
    </row>
    <row r="100" customFormat="false" ht="15" hidden="false" customHeight="false" outlineLevel="0" collapsed="false">
      <c r="A100" s="10"/>
      <c r="B100" s="9"/>
      <c r="C100" s="9"/>
      <c r="D100" s="11"/>
      <c r="E100" s="11"/>
      <c r="F100" s="12"/>
      <c r="G100" s="13" t="str">
        <f aca="false">IF(F100&lt;&gt;"",F100,IF(OR(D100="",E100=""),"",ROUND(MOD(E100-D100,1)*1440,0)))</f>
        <v/>
      </c>
      <c r="H100" s="9"/>
      <c r="I100" s="14" t="str">
        <f aca="false">IF(H100="","",IFERROR(INDEX(Setup!$E$5:$E$34,MATCH(H100,Setup!$D$5:$D$34,0)),"Not in Setup"))</f>
        <v/>
      </c>
      <c r="J100" s="9"/>
    </row>
    <row r="101" customFormat="false" ht="15" hidden="false" customHeight="false" outlineLevel="0" collapsed="false">
      <c r="A101" s="10"/>
      <c r="B101" s="9"/>
      <c r="C101" s="9"/>
      <c r="D101" s="11"/>
      <c r="E101" s="11"/>
      <c r="F101" s="12"/>
      <c r="G101" s="13" t="str">
        <f aca="false">IF(F101&lt;&gt;"",F101,IF(OR(D101="",E101=""),"",ROUND(MOD(E101-D101,1)*1440,0)))</f>
        <v/>
      </c>
      <c r="H101" s="9"/>
      <c r="I101" s="14" t="str">
        <f aca="false">IF(H101="","",IFERROR(INDEX(Setup!$E$5:$E$34,MATCH(H101,Setup!$D$5:$D$34,0)),"Not in Setup"))</f>
        <v/>
      </c>
      <c r="J101" s="9"/>
    </row>
    <row r="102" customFormat="false" ht="15" hidden="false" customHeight="false" outlineLevel="0" collapsed="false">
      <c r="A102" s="10"/>
      <c r="B102" s="9"/>
      <c r="C102" s="9"/>
      <c r="D102" s="11"/>
      <c r="E102" s="11"/>
      <c r="F102" s="12"/>
      <c r="G102" s="13" t="str">
        <f aca="false">IF(F102&lt;&gt;"",F102,IF(OR(D102="",E102=""),"",ROUND(MOD(E102-D102,1)*1440,0)))</f>
        <v/>
      </c>
      <c r="H102" s="9"/>
      <c r="I102" s="14" t="str">
        <f aca="false">IF(H102="","",IFERROR(INDEX(Setup!$E$5:$E$34,MATCH(H102,Setup!$D$5:$D$34,0)),"Not in Setup"))</f>
        <v/>
      </c>
      <c r="J102" s="9"/>
    </row>
    <row r="103" customFormat="false" ht="15" hidden="false" customHeight="false" outlineLevel="0" collapsed="false">
      <c r="A103" s="10"/>
      <c r="B103" s="9"/>
      <c r="C103" s="9"/>
      <c r="D103" s="11"/>
      <c r="E103" s="11"/>
      <c r="F103" s="12"/>
      <c r="G103" s="13" t="str">
        <f aca="false">IF(F103&lt;&gt;"",F103,IF(OR(D103="",E103=""),"",ROUND(MOD(E103-D103,1)*1440,0)))</f>
        <v/>
      </c>
      <c r="H103" s="9"/>
      <c r="I103" s="14" t="str">
        <f aca="false">IF(H103="","",IFERROR(INDEX(Setup!$E$5:$E$34,MATCH(H103,Setup!$D$5:$D$34,0)),"Not in Setup"))</f>
        <v/>
      </c>
      <c r="J103" s="9"/>
    </row>
    <row r="104" customFormat="false" ht="15" hidden="false" customHeight="false" outlineLevel="0" collapsed="false">
      <c r="A104" s="10"/>
      <c r="B104" s="9"/>
      <c r="C104" s="9"/>
      <c r="D104" s="11"/>
      <c r="E104" s="11"/>
      <c r="F104" s="12"/>
      <c r="G104" s="13" t="str">
        <f aca="false">IF(F104&lt;&gt;"",F104,IF(OR(D104="",E104=""),"",ROUND(MOD(E104-D104,1)*1440,0)))</f>
        <v/>
      </c>
      <c r="H104" s="9"/>
      <c r="I104" s="14" t="str">
        <f aca="false">IF(H104="","",IFERROR(INDEX(Setup!$E$5:$E$34,MATCH(H104,Setup!$D$5:$D$34,0)),"Not in Setup"))</f>
        <v/>
      </c>
      <c r="J104" s="9"/>
    </row>
    <row r="105" customFormat="false" ht="15" hidden="false" customHeight="false" outlineLevel="0" collapsed="false">
      <c r="A105" s="10"/>
      <c r="B105" s="9"/>
      <c r="C105" s="9"/>
      <c r="D105" s="11"/>
      <c r="E105" s="11"/>
      <c r="F105" s="12"/>
      <c r="G105" s="13" t="str">
        <f aca="false">IF(F105&lt;&gt;"",F105,IF(OR(D105="",E105=""),"",ROUND(MOD(E105-D105,1)*1440,0)))</f>
        <v/>
      </c>
      <c r="H105" s="9"/>
      <c r="I105" s="14" t="str">
        <f aca="false">IF(H105="","",IFERROR(INDEX(Setup!$E$5:$E$34,MATCH(H105,Setup!$D$5:$D$34,0)),"Not in Setup"))</f>
        <v/>
      </c>
      <c r="J105" s="9"/>
    </row>
    <row r="106" customFormat="false" ht="15" hidden="false" customHeight="false" outlineLevel="0" collapsed="false">
      <c r="A106" s="10"/>
      <c r="B106" s="9"/>
      <c r="C106" s="9"/>
      <c r="D106" s="11"/>
      <c r="E106" s="11"/>
      <c r="F106" s="12"/>
      <c r="G106" s="13" t="str">
        <f aca="false">IF(F106&lt;&gt;"",F106,IF(OR(D106="",E106=""),"",ROUND(MOD(E106-D106,1)*1440,0)))</f>
        <v/>
      </c>
      <c r="H106" s="9"/>
      <c r="I106" s="14" t="str">
        <f aca="false">IF(H106="","",IFERROR(INDEX(Setup!$E$5:$E$34,MATCH(H106,Setup!$D$5:$D$34,0)),"Not in Setup"))</f>
        <v/>
      </c>
      <c r="J106" s="9"/>
    </row>
    <row r="107" customFormat="false" ht="15" hidden="false" customHeight="false" outlineLevel="0" collapsed="false">
      <c r="A107" s="10"/>
      <c r="B107" s="9"/>
      <c r="C107" s="9"/>
      <c r="D107" s="11"/>
      <c r="E107" s="11"/>
      <c r="F107" s="12"/>
      <c r="G107" s="13" t="str">
        <f aca="false">IF(F107&lt;&gt;"",F107,IF(OR(D107="",E107=""),"",ROUND(MOD(E107-D107,1)*1440,0)))</f>
        <v/>
      </c>
      <c r="H107" s="9"/>
      <c r="I107" s="14" t="str">
        <f aca="false">IF(H107="","",IFERROR(INDEX(Setup!$E$5:$E$34,MATCH(H107,Setup!$D$5:$D$34,0)),"Not in Setup"))</f>
        <v/>
      </c>
      <c r="J107" s="9"/>
    </row>
    <row r="108" customFormat="false" ht="15" hidden="false" customHeight="false" outlineLevel="0" collapsed="false">
      <c r="A108" s="10"/>
      <c r="B108" s="9"/>
      <c r="C108" s="9"/>
      <c r="D108" s="11"/>
      <c r="E108" s="11"/>
      <c r="F108" s="12"/>
      <c r="G108" s="13" t="str">
        <f aca="false">IF(F108&lt;&gt;"",F108,IF(OR(D108="",E108=""),"",ROUND(MOD(E108-D108,1)*1440,0)))</f>
        <v/>
      </c>
      <c r="H108" s="9"/>
      <c r="I108" s="14" t="str">
        <f aca="false">IF(H108="","",IFERROR(INDEX(Setup!$E$5:$E$34,MATCH(H108,Setup!$D$5:$D$34,0)),"Not in Setup"))</f>
        <v/>
      </c>
      <c r="J108" s="9"/>
    </row>
    <row r="109" customFormat="false" ht="15" hidden="false" customHeight="false" outlineLevel="0" collapsed="false">
      <c r="A109" s="10"/>
      <c r="B109" s="9"/>
      <c r="C109" s="9"/>
      <c r="D109" s="11"/>
      <c r="E109" s="11"/>
      <c r="F109" s="12"/>
      <c r="G109" s="13" t="str">
        <f aca="false">IF(F109&lt;&gt;"",F109,IF(OR(D109="",E109=""),"",ROUND(MOD(E109-D109,1)*1440,0)))</f>
        <v/>
      </c>
      <c r="H109" s="9"/>
      <c r="I109" s="14" t="str">
        <f aca="false">IF(H109="","",IFERROR(INDEX(Setup!$E$5:$E$34,MATCH(H109,Setup!$D$5:$D$34,0)),"Not in Setup"))</f>
        <v/>
      </c>
      <c r="J109" s="9"/>
    </row>
    <row r="110" customFormat="false" ht="15" hidden="false" customHeight="false" outlineLevel="0" collapsed="false">
      <c r="A110" s="10"/>
      <c r="B110" s="9"/>
      <c r="C110" s="9"/>
      <c r="D110" s="11"/>
      <c r="E110" s="11"/>
      <c r="F110" s="12"/>
      <c r="G110" s="13" t="str">
        <f aca="false">IF(F110&lt;&gt;"",F110,IF(OR(D110="",E110=""),"",ROUND(MOD(E110-D110,1)*1440,0)))</f>
        <v/>
      </c>
      <c r="H110" s="9"/>
      <c r="I110" s="14" t="str">
        <f aca="false">IF(H110="","",IFERROR(INDEX(Setup!$E$5:$E$34,MATCH(H110,Setup!$D$5:$D$34,0)),"Not in Setup"))</f>
        <v/>
      </c>
      <c r="J110" s="9"/>
    </row>
    <row r="111" customFormat="false" ht="15" hidden="false" customHeight="false" outlineLevel="0" collapsed="false">
      <c r="A111" s="10"/>
      <c r="B111" s="9"/>
      <c r="C111" s="9"/>
      <c r="D111" s="11"/>
      <c r="E111" s="11"/>
      <c r="F111" s="12"/>
      <c r="G111" s="13" t="str">
        <f aca="false">IF(F111&lt;&gt;"",F111,IF(OR(D111="",E111=""),"",ROUND(MOD(E111-D111,1)*1440,0)))</f>
        <v/>
      </c>
      <c r="H111" s="9"/>
      <c r="I111" s="14" t="str">
        <f aca="false">IF(H111="","",IFERROR(INDEX(Setup!$E$5:$E$34,MATCH(H111,Setup!$D$5:$D$34,0)),"Not in Setup"))</f>
        <v/>
      </c>
      <c r="J111" s="9"/>
    </row>
    <row r="112" customFormat="false" ht="15" hidden="false" customHeight="false" outlineLevel="0" collapsed="false">
      <c r="A112" s="10"/>
      <c r="B112" s="9"/>
      <c r="C112" s="9"/>
      <c r="D112" s="11"/>
      <c r="E112" s="11"/>
      <c r="F112" s="12"/>
      <c r="G112" s="13" t="str">
        <f aca="false">IF(F112&lt;&gt;"",F112,IF(OR(D112="",E112=""),"",ROUND(MOD(E112-D112,1)*1440,0)))</f>
        <v/>
      </c>
      <c r="H112" s="9"/>
      <c r="I112" s="14" t="str">
        <f aca="false">IF(H112="","",IFERROR(INDEX(Setup!$E$5:$E$34,MATCH(H112,Setup!$D$5:$D$34,0)),"Not in Setup"))</f>
        <v/>
      </c>
      <c r="J112" s="9"/>
    </row>
    <row r="113" customFormat="false" ht="15" hidden="false" customHeight="false" outlineLevel="0" collapsed="false">
      <c r="A113" s="10"/>
      <c r="B113" s="9"/>
      <c r="C113" s="9"/>
      <c r="D113" s="11"/>
      <c r="E113" s="11"/>
      <c r="F113" s="12"/>
      <c r="G113" s="13" t="str">
        <f aca="false">IF(F113&lt;&gt;"",F113,IF(OR(D113="",E113=""),"",ROUND(MOD(E113-D113,1)*1440,0)))</f>
        <v/>
      </c>
      <c r="H113" s="9"/>
      <c r="I113" s="14" t="str">
        <f aca="false">IF(H113="","",IFERROR(INDEX(Setup!$E$5:$E$34,MATCH(H113,Setup!$D$5:$D$34,0)),"Not in Setup"))</f>
        <v/>
      </c>
      <c r="J113" s="9"/>
    </row>
    <row r="114" customFormat="false" ht="15" hidden="false" customHeight="false" outlineLevel="0" collapsed="false">
      <c r="A114" s="10"/>
      <c r="B114" s="9"/>
      <c r="C114" s="9"/>
      <c r="D114" s="11"/>
      <c r="E114" s="11"/>
      <c r="F114" s="12"/>
      <c r="G114" s="13" t="str">
        <f aca="false">IF(F114&lt;&gt;"",F114,IF(OR(D114="",E114=""),"",ROUND(MOD(E114-D114,1)*1440,0)))</f>
        <v/>
      </c>
      <c r="H114" s="9"/>
      <c r="I114" s="14" t="str">
        <f aca="false">IF(H114="","",IFERROR(INDEX(Setup!$E$5:$E$34,MATCH(H114,Setup!$D$5:$D$34,0)),"Not in Setup"))</f>
        <v/>
      </c>
      <c r="J114" s="9"/>
    </row>
    <row r="115" customFormat="false" ht="15" hidden="false" customHeight="false" outlineLevel="0" collapsed="false">
      <c r="A115" s="10"/>
      <c r="B115" s="9"/>
      <c r="C115" s="9"/>
      <c r="D115" s="11"/>
      <c r="E115" s="11"/>
      <c r="F115" s="12"/>
      <c r="G115" s="13" t="str">
        <f aca="false">IF(F115&lt;&gt;"",F115,IF(OR(D115="",E115=""),"",ROUND(MOD(E115-D115,1)*1440,0)))</f>
        <v/>
      </c>
      <c r="H115" s="9"/>
      <c r="I115" s="14" t="str">
        <f aca="false">IF(H115="","",IFERROR(INDEX(Setup!$E$5:$E$34,MATCH(H115,Setup!$D$5:$D$34,0)),"Not in Setup"))</f>
        <v/>
      </c>
      <c r="J115" s="9"/>
    </row>
    <row r="116" customFormat="false" ht="15" hidden="false" customHeight="false" outlineLevel="0" collapsed="false">
      <c r="A116" s="10"/>
      <c r="B116" s="9"/>
      <c r="C116" s="9"/>
      <c r="D116" s="11"/>
      <c r="E116" s="11"/>
      <c r="F116" s="12"/>
      <c r="G116" s="13" t="str">
        <f aca="false">IF(F116&lt;&gt;"",F116,IF(OR(D116="",E116=""),"",ROUND(MOD(E116-D116,1)*1440,0)))</f>
        <v/>
      </c>
      <c r="H116" s="9"/>
      <c r="I116" s="14" t="str">
        <f aca="false">IF(H116="","",IFERROR(INDEX(Setup!$E$5:$E$34,MATCH(H116,Setup!$D$5:$D$34,0)),"Not in Setup"))</f>
        <v/>
      </c>
      <c r="J116" s="9"/>
    </row>
    <row r="117" customFormat="false" ht="15" hidden="false" customHeight="false" outlineLevel="0" collapsed="false">
      <c r="A117" s="10"/>
      <c r="B117" s="9"/>
      <c r="C117" s="9"/>
      <c r="D117" s="11"/>
      <c r="E117" s="11"/>
      <c r="F117" s="12"/>
      <c r="G117" s="13" t="str">
        <f aca="false">IF(F117&lt;&gt;"",F117,IF(OR(D117="",E117=""),"",ROUND(MOD(E117-D117,1)*1440,0)))</f>
        <v/>
      </c>
      <c r="H117" s="9"/>
      <c r="I117" s="14" t="str">
        <f aca="false">IF(H117="","",IFERROR(INDEX(Setup!$E$5:$E$34,MATCH(H117,Setup!$D$5:$D$34,0)),"Not in Setup"))</f>
        <v/>
      </c>
      <c r="J117" s="9"/>
    </row>
    <row r="118" customFormat="false" ht="15" hidden="false" customHeight="false" outlineLevel="0" collapsed="false">
      <c r="A118" s="10"/>
      <c r="B118" s="9"/>
      <c r="C118" s="9"/>
      <c r="D118" s="11"/>
      <c r="E118" s="11"/>
      <c r="F118" s="12"/>
      <c r="G118" s="13" t="str">
        <f aca="false">IF(F118&lt;&gt;"",F118,IF(OR(D118="",E118=""),"",ROUND(MOD(E118-D118,1)*1440,0)))</f>
        <v/>
      </c>
      <c r="H118" s="9"/>
      <c r="I118" s="14" t="str">
        <f aca="false">IF(H118="","",IFERROR(INDEX(Setup!$E$5:$E$34,MATCH(H118,Setup!$D$5:$D$34,0)),"Not in Setup"))</f>
        <v/>
      </c>
      <c r="J118" s="9"/>
    </row>
    <row r="119" customFormat="false" ht="15" hidden="false" customHeight="false" outlineLevel="0" collapsed="false">
      <c r="A119" s="10"/>
      <c r="B119" s="9"/>
      <c r="C119" s="9"/>
      <c r="D119" s="11"/>
      <c r="E119" s="11"/>
      <c r="F119" s="12"/>
      <c r="G119" s="13" t="str">
        <f aca="false">IF(F119&lt;&gt;"",F119,IF(OR(D119="",E119=""),"",ROUND(MOD(E119-D119,1)*1440,0)))</f>
        <v/>
      </c>
      <c r="H119" s="9"/>
      <c r="I119" s="14" t="str">
        <f aca="false">IF(H119="","",IFERROR(INDEX(Setup!$E$5:$E$34,MATCH(H119,Setup!$D$5:$D$34,0)),"Not in Setup"))</f>
        <v/>
      </c>
      <c r="J119" s="9"/>
    </row>
    <row r="120" customFormat="false" ht="15" hidden="false" customHeight="false" outlineLevel="0" collapsed="false">
      <c r="A120" s="10"/>
      <c r="B120" s="9"/>
      <c r="C120" s="9"/>
      <c r="D120" s="11"/>
      <c r="E120" s="11"/>
      <c r="F120" s="12"/>
      <c r="G120" s="13" t="str">
        <f aca="false">IF(F120&lt;&gt;"",F120,IF(OR(D120="",E120=""),"",ROUND(MOD(E120-D120,1)*1440,0)))</f>
        <v/>
      </c>
      <c r="H120" s="9"/>
      <c r="I120" s="14" t="str">
        <f aca="false">IF(H120="","",IFERROR(INDEX(Setup!$E$5:$E$34,MATCH(H120,Setup!$D$5:$D$34,0)),"Not in Setup"))</f>
        <v/>
      </c>
      <c r="J120" s="9"/>
    </row>
    <row r="121" customFormat="false" ht="15" hidden="false" customHeight="false" outlineLevel="0" collapsed="false">
      <c r="A121" s="10"/>
      <c r="B121" s="9"/>
      <c r="C121" s="9"/>
      <c r="D121" s="11"/>
      <c r="E121" s="11"/>
      <c r="F121" s="12"/>
      <c r="G121" s="13" t="str">
        <f aca="false">IF(F121&lt;&gt;"",F121,IF(OR(D121="",E121=""),"",ROUND(MOD(E121-D121,1)*1440,0)))</f>
        <v/>
      </c>
      <c r="H121" s="9"/>
      <c r="I121" s="14" t="str">
        <f aca="false">IF(H121="","",IFERROR(INDEX(Setup!$E$5:$E$34,MATCH(H121,Setup!$D$5:$D$34,0)),"Not in Setup"))</f>
        <v/>
      </c>
      <c r="J121" s="9"/>
    </row>
    <row r="122" customFormat="false" ht="15" hidden="false" customHeight="false" outlineLevel="0" collapsed="false">
      <c r="A122" s="10"/>
      <c r="B122" s="9"/>
      <c r="C122" s="9"/>
      <c r="D122" s="11"/>
      <c r="E122" s="11"/>
      <c r="F122" s="12"/>
      <c r="G122" s="13" t="str">
        <f aca="false">IF(F122&lt;&gt;"",F122,IF(OR(D122="",E122=""),"",ROUND(MOD(E122-D122,1)*1440,0)))</f>
        <v/>
      </c>
      <c r="H122" s="9"/>
      <c r="I122" s="14" t="str">
        <f aca="false">IF(H122="","",IFERROR(INDEX(Setup!$E$5:$E$34,MATCH(H122,Setup!$D$5:$D$34,0)),"Not in Setup"))</f>
        <v/>
      </c>
      <c r="J122" s="9"/>
    </row>
    <row r="123" customFormat="false" ht="15" hidden="false" customHeight="false" outlineLevel="0" collapsed="false">
      <c r="A123" s="10"/>
      <c r="B123" s="9"/>
      <c r="C123" s="9"/>
      <c r="D123" s="11"/>
      <c r="E123" s="11"/>
      <c r="F123" s="12"/>
      <c r="G123" s="13" t="str">
        <f aca="false">IF(F123&lt;&gt;"",F123,IF(OR(D123="",E123=""),"",ROUND(MOD(E123-D123,1)*1440,0)))</f>
        <v/>
      </c>
      <c r="H123" s="9"/>
      <c r="I123" s="14" t="str">
        <f aca="false">IF(H123="","",IFERROR(INDEX(Setup!$E$5:$E$34,MATCH(H123,Setup!$D$5:$D$34,0)),"Not in Setup"))</f>
        <v/>
      </c>
      <c r="J123" s="9"/>
    </row>
    <row r="124" customFormat="false" ht="15" hidden="false" customHeight="false" outlineLevel="0" collapsed="false">
      <c r="A124" s="10"/>
      <c r="B124" s="9"/>
      <c r="C124" s="9"/>
      <c r="D124" s="11"/>
      <c r="E124" s="11"/>
      <c r="F124" s="12"/>
      <c r="G124" s="13" t="str">
        <f aca="false">IF(F124&lt;&gt;"",F124,IF(OR(D124="",E124=""),"",ROUND(MOD(E124-D124,1)*1440,0)))</f>
        <v/>
      </c>
      <c r="H124" s="9"/>
      <c r="I124" s="14" t="str">
        <f aca="false">IF(H124="","",IFERROR(INDEX(Setup!$E$5:$E$34,MATCH(H124,Setup!$D$5:$D$34,0)),"Not in Setup"))</f>
        <v/>
      </c>
      <c r="J124" s="9"/>
    </row>
    <row r="125" customFormat="false" ht="15" hidden="false" customHeight="false" outlineLevel="0" collapsed="false">
      <c r="A125" s="10"/>
      <c r="B125" s="9"/>
      <c r="C125" s="9"/>
      <c r="D125" s="11"/>
      <c r="E125" s="11"/>
      <c r="F125" s="12"/>
      <c r="G125" s="13" t="str">
        <f aca="false">IF(F125&lt;&gt;"",F125,IF(OR(D125="",E125=""),"",ROUND(MOD(E125-D125,1)*1440,0)))</f>
        <v/>
      </c>
      <c r="H125" s="9"/>
      <c r="I125" s="14" t="str">
        <f aca="false">IF(H125="","",IFERROR(INDEX(Setup!$E$5:$E$34,MATCH(H125,Setup!$D$5:$D$34,0)),"Not in Setup"))</f>
        <v/>
      </c>
      <c r="J125" s="9"/>
    </row>
    <row r="126" customFormat="false" ht="15" hidden="false" customHeight="false" outlineLevel="0" collapsed="false">
      <c r="A126" s="10"/>
      <c r="B126" s="9"/>
      <c r="C126" s="9"/>
      <c r="D126" s="11"/>
      <c r="E126" s="11"/>
      <c r="F126" s="12"/>
      <c r="G126" s="13" t="str">
        <f aca="false">IF(F126&lt;&gt;"",F126,IF(OR(D126="",E126=""),"",ROUND(MOD(E126-D126,1)*1440,0)))</f>
        <v/>
      </c>
      <c r="H126" s="9"/>
      <c r="I126" s="14" t="str">
        <f aca="false">IF(H126="","",IFERROR(INDEX(Setup!$E$5:$E$34,MATCH(H126,Setup!$D$5:$D$34,0)),"Not in Setup"))</f>
        <v/>
      </c>
      <c r="J126" s="9"/>
    </row>
    <row r="127" customFormat="false" ht="15" hidden="false" customHeight="false" outlineLevel="0" collapsed="false">
      <c r="A127" s="10"/>
      <c r="B127" s="9"/>
      <c r="C127" s="9"/>
      <c r="D127" s="11"/>
      <c r="E127" s="11"/>
      <c r="F127" s="12"/>
      <c r="G127" s="13" t="str">
        <f aca="false">IF(F127&lt;&gt;"",F127,IF(OR(D127="",E127=""),"",ROUND(MOD(E127-D127,1)*1440,0)))</f>
        <v/>
      </c>
      <c r="H127" s="9"/>
      <c r="I127" s="14" t="str">
        <f aca="false">IF(H127="","",IFERROR(INDEX(Setup!$E$5:$E$34,MATCH(H127,Setup!$D$5:$D$34,0)),"Not in Setup"))</f>
        <v/>
      </c>
      <c r="J127" s="9"/>
    </row>
    <row r="128" customFormat="false" ht="15" hidden="false" customHeight="false" outlineLevel="0" collapsed="false">
      <c r="A128" s="10"/>
      <c r="B128" s="9"/>
      <c r="C128" s="9"/>
      <c r="D128" s="11"/>
      <c r="E128" s="11"/>
      <c r="F128" s="12"/>
      <c r="G128" s="13" t="str">
        <f aca="false">IF(F128&lt;&gt;"",F128,IF(OR(D128="",E128=""),"",ROUND(MOD(E128-D128,1)*1440,0)))</f>
        <v/>
      </c>
      <c r="H128" s="9"/>
      <c r="I128" s="14" t="str">
        <f aca="false">IF(H128="","",IFERROR(INDEX(Setup!$E$5:$E$34,MATCH(H128,Setup!$D$5:$D$34,0)),"Not in Setup"))</f>
        <v/>
      </c>
      <c r="J128" s="9"/>
    </row>
    <row r="129" customFormat="false" ht="15" hidden="false" customHeight="false" outlineLevel="0" collapsed="false">
      <c r="A129" s="10"/>
      <c r="B129" s="9"/>
      <c r="C129" s="9"/>
      <c r="D129" s="11"/>
      <c r="E129" s="11"/>
      <c r="F129" s="12"/>
      <c r="G129" s="13" t="str">
        <f aca="false">IF(F129&lt;&gt;"",F129,IF(OR(D129="",E129=""),"",ROUND(MOD(E129-D129,1)*1440,0)))</f>
        <v/>
      </c>
      <c r="H129" s="9"/>
      <c r="I129" s="14" t="str">
        <f aca="false">IF(H129="","",IFERROR(INDEX(Setup!$E$5:$E$34,MATCH(H129,Setup!$D$5:$D$34,0)),"Not in Setup"))</f>
        <v/>
      </c>
      <c r="J129" s="9"/>
    </row>
    <row r="130" customFormat="false" ht="15" hidden="false" customHeight="false" outlineLevel="0" collapsed="false">
      <c r="A130" s="10"/>
      <c r="B130" s="9"/>
      <c r="C130" s="9"/>
      <c r="D130" s="11"/>
      <c r="E130" s="11"/>
      <c r="F130" s="12"/>
      <c r="G130" s="13" t="str">
        <f aca="false">IF(F130&lt;&gt;"",F130,IF(OR(D130="",E130=""),"",ROUND(MOD(E130-D130,1)*1440,0)))</f>
        <v/>
      </c>
      <c r="H130" s="9"/>
      <c r="I130" s="14" t="str">
        <f aca="false">IF(H130="","",IFERROR(INDEX(Setup!$E$5:$E$34,MATCH(H130,Setup!$D$5:$D$34,0)),"Not in Setup"))</f>
        <v/>
      </c>
      <c r="J130" s="9"/>
    </row>
    <row r="131" customFormat="false" ht="15" hidden="false" customHeight="false" outlineLevel="0" collapsed="false">
      <c r="A131" s="10"/>
      <c r="B131" s="9"/>
      <c r="C131" s="9"/>
      <c r="D131" s="11"/>
      <c r="E131" s="11"/>
      <c r="F131" s="12"/>
      <c r="G131" s="13" t="str">
        <f aca="false">IF(F131&lt;&gt;"",F131,IF(OR(D131="",E131=""),"",ROUND(MOD(E131-D131,1)*1440,0)))</f>
        <v/>
      </c>
      <c r="H131" s="9"/>
      <c r="I131" s="14" t="str">
        <f aca="false">IF(H131="","",IFERROR(INDEX(Setup!$E$5:$E$34,MATCH(H131,Setup!$D$5:$D$34,0)),"Not in Setup"))</f>
        <v/>
      </c>
      <c r="J131" s="9"/>
    </row>
    <row r="132" customFormat="false" ht="15" hidden="false" customHeight="false" outlineLevel="0" collapsed="false">
      <c r="A132" s="10"/>
      <c r="B132" s="9"/>
      <c r="C132" s="9"/>
      <c r="D132" s="11"/>
      <c r="E132" s="11"/>
      <c r="F132" s="12"/>
      <c r="G132" s="13" t="str">
        <f aca="false">IF(F132&lt;&gt;"",F132,IF(OR(D132="",E132=""),"",ROUND(MOD(E132-D132,1)*1440,0)))</f>
        <v/>
      </c>
      <c r="H132" s="9"/>
      <c r="I132" s="14" t="str">
        <f aca="false">IF(H132="","",IFERROR(INDEX(Setup!$E$5:$E$34,MATCH(H132,Setup!$D$5:$D$34,0)),"Not in Setup"))</f>
        <v/>
      </c>
      <c r="J132" s="9"/>
    </row>
    <row r="133" customFormat="false" ht="15" hidden="false" customHeight="false" outlineLevel="0" collapsed="false">
      <c r="A133" s="10"/>
      <c r="B133" s="9"/>
      <c r="C133" s="9"/>
      <c r="D133" s="11"/>
      <c r="E133" s="11"/>
      <c r="F133" s="12"/>
      <c r="G133" s="13" t="str">
        <f aca="false">IF(F133&lt;&gt;"",F133,IF(OR(D133="",E133=""),"",ROUND(MOD(E133-D133,1)*1440,0)))</f>
        <v/>
      </c>
      <c r="H133" s="9"/>
      <c r="I133" s="14" t="str">
        <f aca="false">IF(H133="","",IFERROR(INDEX(Setup!$E$5:$E$34,MATCH(H133,Setup!$D$5:$D$34,0)),"Not in Setup"))</f>
        <v/>
      </c>
      <c r="J133" s="9"/>
    </row>
    <row r="134" customFormat="false" ht="15" hidden="false" customHeight="false" outlineLevel="0" collapsed="false">
      <c r="A134" s="10"/>
      <c r="B134" s="9"/>
      <c r="C134" s="9"/>
      <c r="D134" s="11"/>
      <c r="E134" s="11"/>
      <c r="F134" s="12"/>
      <c r="G134" s="13" t="str">
        <f aca="false">IF(F134&lt;&gt;"",F134,IF(OR(D134="",E134=""),"",ROUND(MOD(E134-D134,1)*1440,0)))</f>
        <v/>
      </c>
      <c r="H134" s="9"/>
      <c r="I134" s="14" t="str">
        <f aca="false">IF(H134="","",IFERROR(INDEX(Setup!$E$5:$E$34,MATCH(H134,Setup!$D$5:$D$34,0)),"Not in Setup"))</f>
        <v/>
      </c>
      <c r="J134" s="9"/>
    </row>
    <row r="135" customFormat="false" ht="15" hidden="false" customHeight="false" outlineLevel="0" collapsed="false">
      <c r="A135" s="10"/>
      <c r="B135" s="9"/>
      <c r="C135" s="9"/>
      <c r="D135" s="11"/>
      <c r="E135" s="11"/>
      <c r="F135" s="12"/>
      <c r="G135" s="13" t="str">
        <f aca="false">IF(F135&lt;&gt;"",F135,IF(OR(D135="",E135=""),"",ROUND(MOD(E135-D135,1)*1440,0)))</f>
        <v/>
      </c>
      <c r="H135" s="9"/>
      <c r="I135" s="14" t="str">
        <f aca="false">IF(H135="","",IFERROR(INDEX(Setup!$E$5:$E$34,MATCH(H135,Setup!$D$5:$D$34,0)),"Not in Setup"))</f>
        <v/>
      </c>
      <c r="J135" s="9"/>
    </row>
    <row r="136" customFormat="false" ht="15" hidden="false" customHeight="false" outlineLevel="0" collapsed="false">
      <c r="A136" s="10"/>
      <c r="B136" s="9"/>
      <c r="C136" s="9"/>
      <c r="D136" s="11"/>
      <c r="E136" s="11"/>
      <c r="F136" s="12"/>
      <c r="G136" s="13" t="str">
        <f aca="false">IF(F136&lt;&gt;"",F136,IF(OR(D136="",E136=""),"",ROUND(MOD(E136-D136,1)*1440,0)))</f>
        <v/>
      </c>
      <c r="H136" s="9"/>
      <c r="I136" s="14" t="str">
        <f aca="false">IF(H136="","",IFERROR(INDEX(Setup!$E$5:$E$34,MATCH(H136,Setup!$D$5:$D$34,0)),"Not in Setup"))</f>
        <v/>
      </c>
      <c r="J136" s="9"/>
    </row>
    <row r="137" customFormat="false" ht="15" hidden="false" customHeight="false" outlineLevel="0" collapsed="false">
      <c r="A137" s="10"/>
      <c r="B137" s="9"/>
      <c r="C137" s="9"/>
      <c r="D137" s="11"/>
      <c r="E137" s="11"/>
      <c r="F137" s="12"/>
      <c r="G137" s="13" t="str">
        <f aca="false">IF(F137&lt;&gt;"",F137,IF(OR(D137="",E137=""),"",ROUND(MOD(E137-D137,1)*1440,0)))</f>
        <v/>
      </c>
      <c r="H137" s="9"/>
      <c r="I137" s="14" t="str">
        <f aca="false">IF(H137="","",IFERROR(INDEX(Setup!$E$5:$E$34,MATCH(H137,Setup!$D$5:$D$34,0)),"Not in Setup"))</f>
        <v/>
      </c>
      <c r="J137" s="9"/>
    </row>
    <row r="138" customFormat="false" ht="15" hidden="false" customHeight="false" outlineLevel="0" collapsed="false">
      <c r="A138" s="10"/>
      <c r="B138" s="9"/>
      <c r="C138" s="9"/>
      <c r="D138" s="11"/>
      <c r="E138" s="11"/>
      <c r="F138" s="12"/>
      <c r="G138" s="13" t="str">
        <f aca="false">IF(F138&lt;&gt;"",F138,IF(OR(D138="",E138=""),"",ROUND(MOD(E138-D138,1)*1440,0)))</f>
        <v/>
      </c>
      <c r="H138" s="9"/>
      <c r="I138" s="14" t="str">
        <f aca="false">IF(H138="","",IFERROR(INDEX(Setup!$E$5:$E$34,MATCH(H138,Setup!$D$5:$D$34,0)),"Not in Setup"))</f>
        <v/>
      </c>
      <c r="J138" s="9"/>
    </row>
    <row r="139" customFormat="false" ht="15" hidden="false" customHeight="false" outlineLevel="0" collapsed="false">
      <c r="A139" s="10"/>
      <c r="B139" s="9"/>
      <c r="C139" s="9"/>
      <c r="D139" s="11"/>
      <c r="E139" s="11"/>
      <c r="F139" s="12"/>
      <c r="G139" s="13" t="str">
        <f aca="false">IF(F139&lt;&gt;"",F139,IF(OR(D139="",E139=""),"",ROUND(MOD(E139-D139,1)*1440,0)))</f>
        <v/>
      </c>
      <c r="H139" s="9"/>
      <c r="I139" s="14" t="str">
        <f aca="false">IF(H139="","",IFERROR(INDEX(Setup!$E$5:$E$34,MATCH(H139,Setup!$D$5:$D$34,0)),"Not in Setup"))</f>
        <v/>
      </c>
      <c r="J139" s="9"/>
    </row>
    <row r="140" customFormat="false" ht="15" hidden="false" customHeight="false" outlineLevel="0" collapsed="false">
      <c r="A140" s="10"/>
      <c r="B140" s="9"/>
      <c r="C140" s="9"/>
      <c r="D140" s="11"/>
      <c r="E140" s="11"/>
      <c r="F140" s="12"/>
      <c r="G140" s="13" t="str">
        <f aca="false">IF(F140&lt;&gt;"",F140,IF(OR(D140="",E140=""),"",ROUND(MOD(E140-D140,1)*1440,0)))</f>
        <v/>
      </c>
      <c r="H140" s="9"/>
      <c r="I140" s="14" t="str">
        <f aca="false">IF(H140="","",IFERROR(INDEX(Setup!$E$5:$E$34,MATCH(H140,Setup!$D$5:$D$34,0)),"Not in Setup"))</f>
        <v/>
      </c>
      <c r="J140" s="9"/>
    </row>
    <row r="141" customFormat="false" ht="15" hidden="false" customHeight="false" outlineLevel="0" collapsed="false">
      <c r="A141" s="10"/>
      <c r="B141" s="9"/>
      <c r="C141" s="9"/>
      <c r="D141" s="11"/>
      <c r="E141" s="11"/>
      <c r="F141" s="12"/>
      <c r="G141" s="13" t="str">
        <f aca="false">IF(F141&lt;&gt;"",F141,IF(OR(D141="",E141=""),"",ROUND(MOD(E141-D141,1)*1440,0)))</f>
        <v/>
      </c>
      <c r="H141" s="9"/>
      <c r="I141" s="14" t="str">
        <f aca="false">IF(H141="","",IFERROR(INDEX(Setup!$E$5:$E$34,MATCH(H141,Setup!$D$5:$D$34,0)),"Not in Setup"))</f>
        <v/>
      </c>
      <c r="J141" s="9"/>
    </row>
    <row r="142" customFormat="false" ht="15" hidden="false" customHeight="false" outlineLevel="0" collapsed="false">
      <c r="A142" s="10"/>
      <c r="B142" s="9"/>
      <c r="C142" s="9"/>
      <c r="D142" s="11"/>
      <c r="E142" s="11"/>
      <c r="F142" s="12"/>
      <c r="G142" s="13" t="str">
        <f aca="false">IF(F142&lt;&gt;"",F142,IF(OR(D142="",E142=""),"",ROUND(MOD(E142-D142,1)*1440,0)))</f>
        <v/>
      </c>
      <c r="H142" s="9"/>
      <c r="I142" s="14" t="str">
        <f aca="false">IF(H142="","",IFERROR(INDEX(Setup!$E$5:$E$34,MATCH(H142,Setup!$D$5:$D$34,0)),"Not in Setup"))</f>
        <v/>
      </c>
      <c r="J142" s="9"/>
    </row>
    <row r="143" customFormat="false" ht="15" hidden="false" customHeight="false" outlineLevel="0" collapsed="false">
      <c r="A143" s="10"/>
      <c r="B143" s="9"/>
      <c r="C143" s="9"/>
      <c r="D143" s="11"/>
      <c r="E143" s="11"/>
      <c r="F143" s="12"/>
      <c r="G143" s="13" t="str">
        <f aca="false">IF(F143&lt;&gt;"",F143,IF(OR(D143="",E143=""),"",ROUND(MOD(E143-D143,1)*1440,0)))</f>
        <v/>
      </c>
      <c r="H143" s="9"/>
      <c r="I143" s="14" t="str">
        <f aca="false">IF(H143="","",IFERROR(INDEX(Setup!$E$5:$E$34,MATCH(H143,Setup!$D$5:$D$34,0)),"Not in Setup"))</f>
        <v/>
      </c>
      <c r="J143" s="9"/>
    </row>
    <row r="144" customFormat="false" ht="15" hidden="false" customHeight="false" outlineLevel="0" collapsed="false">
      <c r="A144" s="10"/>
      <c r="B144" s="9"/>
      <c r="C144" s="9"/>
      <c r="D144" s="11"/>
      <c r="E144" s="11"/>
      <c r="F144" s="12"/>
      <c r="G144" s="13" t="str">
        <f aca="false">IF(F144&lt;&gt;"",F144,IF(OR(D144="",E144=""),"",ROUND(MOD(E144-D144,1)*1440,0)))</f>
        <v/>
      </c>
      <c r="H144" s="9"/>
      <c r="I144" s="14" t="str">
        <f aca="false">IF(H144="","",IFERROR(INDEX(Setup!$E$5:$E$34,MATCH(H144,Setup!$D$5:$D$34,0)),"Not in Setup"))</f>
        <v/>
      </c>
      <c r="J144" s="9"/>
    </row>
    <row r="145" customFormat="false" ht="15" hidden="false" customHeight="false" outlineLevel="0" collapsed="false">
      <c r="A145" s="10"/>
      <c r="B145" s="9"/>
      <c r="C145" s="9"/>
      <c r="D145" s="11"/>
      <c r="E145" s="11"/>
      <c r="F145" s="12"/>
      <c r="G145" s="13" t="str">
        <f aca="false">IF(F145&lt;&gt;"",F145,IF(OR(D145="",E145=""),"",ROUND(MOD(E145-D145,1)*1440,0)))</f>
        <v/>
      </c>
      <c r="H145" s="9"/>
      <c r="I145" s="14" t="str">
        <f aca="false">IF(H145="","",IFERROR(INDEX(Setup!$E$5:$E$34,MATCH(H145,Setup!$D$5:$D$34,0)),"Not in Setup"))</f>
        <v/>
      </c>
      <c r="J145" s="9"/>
    </row>
    <row r="146" customFormat="false" ht="15" hidden="false" customHeight="false" outlineLevel="0" collapsed="false">
      <c r="A146" s="10"/>
      <c r="B146" s="9"/>
      <c r="C146" s="9"/>
      <c r="D146" s="11"/>
      <c r="E146" s="11"/>
      <c r="F146" s="12"/>
      <c r="G146" s="13" t="str">
        <f aca="false">IF(F146&lt;&gt;"",F146,IF(OR(D146="",E146=""),"",ROUND(MOD(E146-D146,1)*1440,0)))</f>
        <v/>
      </c>
      <c r="H146" s="9"/>
      <c r="I146" s="14" t="str">
        <f aca="false">IF(H146="","",IFERROR(INDEX(Setup!$E$5:$E$34,MATCH(H146,Setup!$D$5:$D$34,0)),"Not in Setup"))</f>
        <v/>
      </c>
      <c r="J146" s="9"/>
    </row>
    <row r="147" customFormat="false" ht="15" hidden="false" customHeight="false" outlineLevel="0" collapsed="false">
      <c r="A147" s="10"/>
      <c r="B147" s="9"/>
      <c r="C147" s="9"/>
      <c r="D147" s="11"/>
      <c r="E147" s="11"/>
      <c r="F147" s="12"/>
      <c r="G147" s="13" t="str">
        <f aca="false">IF(F147&lt;&gt;"",F147,IF(OR(D147="",E147=""),"",ROUND(MOD(E147-D147,1)*1440,0)))</f>
        <v/>
      </c>
      <c r="H147" s="9"/>
      <c r="I147" s="14" t="str">
        <f aca="false">IF(H147="","",IFERROR(INDEX(Setup!$E$5:$E$34,MATCH(H147,Setup!$D$5:$D$34,0)),"Not in Setup"))</f>
        <v/>
      </c>
      <c r="J147" s="9"/>
    </row>
    <row r="148" customFormat="false" ht="15" hidden="false" customHeight="false" outlineLevel="0" collapsed="false">
      <c r="A148" s="10"/>
      <c r="B148" s="9"/>
      <c r="C148" s="9"/>
      <c r="D148" s="11"/>
      <c r="E148" s="11"/>
      <c r="F148" s="12"/>
      <c r="G148" s="13" t="str">
        <f aca="false">IF(F148&lt;&gt;"",F148,IF(OR(D148="",E148=""),"",ROUND(MOD(E148-D148,1)*1440,0)))</f>
        <v/>
      </c>
      <c r="H148" s="9"/>
      <c r="I148" s="14" t="str">
        <f aca="false">IF(H148="","",IFERROR(INDEX(Setup!$E$5:$E$34,MATCH(H148,Setup!$D$5:$D$34,0)),"Not in Setup"))</f>
        <v/>
      </c>
      <c r="J148" s="9"/>
    </row>
    <row r="149" customFormat="false" ht="15" hidden="false" customHeight="false" outlineLevel="0" collapsed="false">
      <c r="A149" s="10"/>
      <c r="B149" s="9"/>
      <c r="C149" s="9"/>
      <c r="D149" s="11"/>
      <c r="E149" s="11"/>
      <c r="F149" s="12"/>
      <c r="G149" s="13" t="str">
        <f aca="false">IF(F149&lt;&gt;"",F149,IF(OR(D149="",E149=""),"",ROUND(MOD(E149-D149,1)*1440,0)))</f>
        <v/>
      </c>
      <c r="H149" s="9"/>
      <c r="I149" s="14" t="str">
        <f aca="false">IF(H149="","",IFERROR(INDEX(Setup!$E$5:$E$34,MATCH(H149,Setup!$D$5:$D$34,0)),"Not in Setup"))</f>
        <v/>
      </c>
      <c r="J149" s="9"/>
    </row>
    <row r="150" customFormat="false" ht="15" hidden="false" customHeight="false" outlineLevel="0" collapsed="false">
      <c r="A150" s="10"/>
      <c r="B150" s="9"/>
      <c r="C150" s="9"/>
      <c r="D150" s="11"/>
      <c r="E150" s="11"/>
      <c r="F150" s="12"/>
      <c r="G150" s="13" t="str">
        <f aca="false">IF(F150&lt;&gt;"",F150,IF(OR(D150="",E150=""),"",ROUND(MOD(E150-D150,1)*1440,0)))</f>
        <v/>
      </c>
      <c r="H150" s="9"/>
      <c r="I150" s="14" t="str">
        <f aca="false">IF(H150="","",IFERROR(INDEX(Setup!$E$5:$E$34,MATCH(H150,Setup!$D$5:$D$34,0)),"Not in Setup"))</f>
        <v/>
      </c>
      <c r="J150" s="9"/>
    </row>
    <row r="151" customFormat="false" ht="15" hidden="false" customHeight="false" outlineLevel="0" collapsed="false">
      <c r="A151" s="10"/>
      <c r="B151" s="9"/>
      <c r="C151" s="9"/>
      <c r="D151" s="11"/>
      <c r="E151" s="11"/>
      <c r="F151" s="12"/>
      <c r="G151" s="13" t="str">
        <f aca="false">IF(F151&lt;&gt;"",F151,IF(OR(D151="",E151=""),"",ROUND(MOD(E151-D151,1)*1440,0)))</f>
        <v/>
      </c>
      <c r="H151" s="9"/>
      <c r="I151" s="14" t="str">
        <f aca="false">IF(H151="","",IFERROR(INDEX(Setup!$E$5:$E$34,MATCH(H151,Setup!$D$5:$D$34,0)),"Not in Setup"))</f>
        <v/>
      </c>
      <c r="J151" s="9"/>
    </row>
    <row r="152" customFormat="false" ht="15" hidden="false" customHeight="false" outlineLevel="0" collapsed="false">
      <c r="A152" s="10"/>
      <c r="B152" s="9"/>
      <c r="C152" s="9"/>
      <c r="D152" s="11"/>
      <c r="E152" s="11"/>
      <c r="F152" s="12"/>
      <c r="G152" s="13" t="str">
        <f aca="false">IF(F152&lt;&gt;"",F152,IF(OR(D152="",E152=""),"",ROUND(MOD(E152-D152,1)*1440,0)))</f>
        <v/>
      </c>
      <c r="H152" s="9"/>
      <c r="I152" s="14" t="str">
        <f aca="false">IF(H152="","",IFERROR(INDEX(Setup!$E$5:$E$34,MATCH(H152,Setup!$D$5:$D$34,0)),"Not in Setup"))</f>
        <v/>
      </c>
      <c r="J152" s="9"/>
    </row>
    <row r="153" customFormat="false" ht="15" hidden="false" customHeight="false" outlineLevel="0" collapsed="false">
      <c r="A153" s="10"/>
      <c r="B153" s="9"/>
      <c r="C153" s="9"/>
      <c r="D153" s="11"/>
      <c r="E153" s="11"/>
      <c r="F153" s="12"/>
      <c r="G153" s="13" t="str">
        <f aca="false">IF(F153&lt;&gt;"",F153,IF(OR(D153="",E153=""),"",ROUND(MOD(E153-D153,1)*1440,0)))</f>
        <v/>
      </c>
      <c r="H153" s="9"/>
      <c r="I153" s="14" t="str">
        <f aca="false">IF(H153="","",IFERROR(INDEX(Setup!$E$5:$E$34,MATCH(H153,Setup!$D$5:$D$34,0)),"Not in Setup"))</f>
        <v/>
      </c>
      <c r="J153" s="9"/>
    </row>
    <row r="154" customFormat="false" ht="15" hidden="false" customHeight="false" outlineLevel="0" collapsed="false">
      <c r="A154" s="10"/>
      <c r="B154" s="9"/>
      <c r="C154" s="9"/>
      <c r="D154" s="11"/>
      <c r="E154" s="11"/>
      <c r="F154" s="12"/>
      <c r="G154" s="13" t="str">
        <f aca="false">IF(F154&lt;&gt;"",F154,IF(OR(D154="",E154=""),"",ROUND(MOD(E154-D154,1)*1440,0)))</f>
        <v/>
      </c>
      <c r="H154" s="9"/>
      <c r="I154" s="14" t="str">
        <f aca="false">IF(H154="","",IFERROR(INDEX(Setup!$E$5:$E$34,MATCH(H154,Setup!$D$5:$D$34,0)),"Not in Setup"))</f>
        <v/>
      </c>
      <c r="J154" s="9"/>
    </row>
    <row r="155" customFormat="false" ht="15" hidden="false" customHeight="false" outlineLevel="0" collapsed="false">
      <c r="A155" s="10"/>
      <c r="B155" s="9"/>
      <c r="C155" s="9"/>
      <c r="D155" s="11"/>
      <c r="E155" s="11"/>
      <c r="F155" s="12"/>
      <c r="G155" s="13" t="str">
        <f aca="false">IF(F155&lt;&gt;"",F155,IF(OR(D155="",E155=""),"",ROUND(MOD(E155-D155,1)*1440,0)))</f>
        <v/>
      </c>
      <c r="H155" s="9"/>
      <c r="I155" s="14" t="str">
        <f aca="false">IF(H155="","",IFERROR(INDEX(Setup!$E$5:$E$34,MATCH(H155,Setup!$D$5:$D$34,0)),"Not in Setup"))</f>
        <v/>
      </c>
      <c r="J155" s="9"/>
    </row>
    <row r="156" customFormat="false" ht="15" hidden="false" customHeight="false" outlineLevel="0" collapsed="false">
      <c r="A156" s="10"/>
      <c r="B156" s="9"/>
      <c r="C156" s="9"/>
      <c r="D156" s="11"/>
      <c r="E156" s="11"/>
      <c r="F156" s="12"/>
      <c r="G156" s="13" t="str">
        <f aca="false">IF(F156&lt;&gt;"",F156,IF(OR(D156="",E156=""),"",ROUND(MOD(E156-D156,1)*1440,0)))</f>
        <v/>
      </c>
      <c r="H156" s="9"/>
      <c r="I156" s="14" t="str">
        <f aca="false">IF(H156="","",IFERROR(INDEX(Setup!$E$5:$E$34,MATCH(H156,Setup!$D$5:$D$34,0)),"Not in Setup"))</f>
        <v/>
      </c>
      <c r="J156" s="9"/>
    </row>
    <row r="157" customFormat="false" ht="15" hidden="false" customHeight="false" outlineLevel="0" collapsed="false">
      <c r="A157" s="10"/>
      <c r="B157" s="9"/>
      <c r="C157" s="9"/>
      <c r="D157" s="11"/>
      <c r="E157" s="11"/>
      <c r="F157" s="12"/>
      <c r="G157" s="13" t="str">
        <f aca="false">IF(F157&lt;&gt;"",F157,IF(OR(D157="",E157=""),"",ROUND(MOD(E157-D157,1)*1440,0)))</f>
        <v/>
      </c>
      <c r="H157" s="9"/>
      <c r="I157" s="14" t="str">
        <f aca="false">IF(H157="","",IFERROR(INDEX(Setup!$E$5:$E$34,MATCH(H157,Setup!$D$5:$D$34,0)),"Not in Setup"))</f>
        <v/>
      </c>
      <c r="J157" s="9"/>
    </row>
    <row r="158" customFormat="false" ht="15" hidden="false" customHeight="false" outlineLevel="0" collapsed="false">
      <c r="A158" s="10"/>
      <c r="B158" s="9"/>
      <c r="C158" s="9"/>
      <c r="D158" s="11"/>
      <c r="E158" s="11"/>
      <c r="F158" s="12"/>
      <c r="G158" s="13" t="str">
        <f aca="false">IF(F158&lt;&gt;"",F158,IF(OR(D158="",E158=""),"",ROUND(MOD(E158-D158,1)*1440,0)))</f>
        <v/>
      </c>
      <c r="H158" s="9"/>
      <c r="I158" s="14" t="str">
        <f aca="false">IF(H158="","",IFERROR(INDEX(Setup!$E$5:$E$34,MATCH(H158,Setup!$D$5:$D$34,0)),"Not in Setup"))</f>
        <v/>
      </c>
      <c r="J158" s="9"/>
    </row>
    <row r="159" customFormat="false" ht="15" hidden="false" customHeight="false" outlineLevel="0" collapsed="false">
      <c r="A159" s="10"/>
      <c r="B159" s="9"/>
      <c r="C159" s="9"/>
      <c r="D159" s="11"/>
      <c r="E159" s="11"/>
      <c r="F159" s="12"/>
      <c r="G159" s="13" t="str">
        <f aca="false">IF(F159&lt;&gt;"",F159,IF(OR(D159="",E159=""),"",ROUND(MOD(E159-D159,1)*1440,0)))</f>
        <v/>
      </c>
      <c r="H159" s="9"/>
      <c r="I159" s="14" t="str">
        <f aca="false">IF(H159="","",IFERROR(INDEX(Setup!$E$5:$E$34,MATCH(H159,Setup!$D$5:$D$34,0)),"Not in Setup"))</f>
        <v/>
      </c>
      <c r="J159" s="9"/>
    </row>
    <row r="160" customFormat="false" ht="15" hidden="false" customHeight="false" outlineLevel="0" collapsed="false">
      <c r="A160" s="10"/>
      <c r="B160" s="9"/>
      <c r="C160" s="9"/>
      <c r="D160" s="11"/>
      <c r="E160" s="11"/>
      <c r="F160" s="12"/>
      <c r="G160" s="13" t="str">
        <f aca="false">IF(F160&lt;&gt;"",F160,IF(OR(D160="",E160=""),"",ROUND(MOD(E160-D160,1)*1440,0)))</f>
        <v/>
      </c>
      <c r="H160" s="9"/>
      <c r="I160" s="14" t="str">
        <f aca="false">IF(H160="","",IFERROR(INDEX(Setup!$E$5:$E$34,MATCH(H160,Setup!$D$5:$D$34,0)),"Not in Setup"))</f>
        <v/>
      </c>
      <c r="J160" s="9"/>
    </row>
    <row r="161" customFormat="false" ht="15" hidden="false" customHeight="false" outlineLevel="0" collapsed="false">
      <c r="A161" s="10"/>
      <c r="B161" s="9"/>
      <c r="C161" s="9"/>
      <c r="D161" s="11"/>
      <c r="E161" s="11"/>
      <c r="F161" s="12"/>
      <c r="G161" s="13" t="str">
        <f aca="false">IF(F161&lt;&gt;"",F161,IF(OR(D161="",E161=""),"",ROUND(MOD(E161-D161,1)*1440,0)))</f>
        <v/>
      </c>
      <c r="H161" s="9"/>
      <c r="I161" s="14" t="str">
        <f aca="false">IF(H161="","",IFERROR(INDEX(Setup!$E$5:$E$34,MATCH(H161,Setup!$D$5:$D$34,0)),"Not in Setup"))</f>
        <v/>
      </c>
      <c r="J161" s="9"/>
    </row>
    <row r="162" customFormat="false" ht="15" hidden="false" customHeight="false" outlineLevel="0" collapsed="false">
      <c r="A162" s="10"/>
      <c r="B162" s="9"/>
      <c r="C162" s="9"/>
      <c r="D162" s="11"/>
      <c r="E162" s="11"/>
      <c r="F162" s="12"/>
      <c r="G162" s="13" t="str">
        <f aca="false">IF(F162&lt;&gt;"",F162,IF(OR(D162="",E162=""),"",ROUND(MOD(E162-D162,1)*1440,0)))</f>
        <v/>
      </c>
      <c r="H162" s="9"/>
      <c r="I162" s="14" t="str">
        <f aca="false">IF(H162="","",IFERROR(INDEX(Setup!$E$5:$E$34,MATCH(H162,Setup!$D$5:$D$34,0)),"Not in Setup"))</f>
        <v/>
      </c>
      <c r="J162" s="9"/>
    </row>
    <row r="163" customFormat="false" ht="15" hidden="false" customHeight="false" outlineLevel="0" collapsed="false">
      <c r="A163" s="10"/>
      <c r="B163" s="9"/>
      <c r="C163" s="9"/>
      <c r="D163" s="11"/>
      <c r="E163" s="11"/>
      <c r="F163" s="12"/>
      <c r="G163" s="13" t="str">
        <f aca="false">IF(F163&lt;&gt;"",F163,IF(OR(D163="",E163=""),"",ROUND(MOD(E163-D163,1)*1440,0)))</f>
        <v/>
      </c>
      <c r="H163" s="9"/>
      <c r="I163" s="14" t="str">
        <f aca="false">IF(H163="","",IFERROR(INDEX(Setup!$E$5:$E$34,MATCH(H163,Setup!$D$5:$D$34,0)),"Not in Setup"))</f>
        <v/>
      </c>
      <c r="J163" s="9"/>
    </row>
    <row r="164" customFormat="false" ht="15" hidden="false" customHeight="false" outlineLevel="0" collapsed="false">
      <c r="A164" s="10"/>
      <c r="B164" s="9"/>
      <c r="C164" s="9"/>
      <c r="D164" s="11"/>
      <c r="E164" s="11"/>
      <c r="F164" s="12"/>
      <c r="G164" s="13" t="str">
        <f aca="false">IF(F164&lt;&gt;"",F164,IF(OR(D164="",E164=""),"",ROUND(MOD(E164-D164,1)*1440,0)))</f>
        <v/>
      </c>
      <c r="H164" s="9"/>
      <c r="I164" s="14" t="str">
        <f aca="false">IF(H164="","",IFERROR(INDEX(Setup!$E$5:$E$34,MATCH(H164,Setup!$D$5:$D$34,0)),"Not in Setup"))</f>
        <v/>
      </c>
      <c r="J164" s="9"/>
    </row>
    <row r="165" customFormat="false" ht="15" hidden="false" customHeight="false" outlineLevel="0" collapsed="false">
      <c r="A165" s="10"/>
      <c r="B165" s="9"/>
      <c r="C165" s="9"/>
      <c r="D165" s="11"/>
      <c r="E165" s="11"/>
      <c r="F165" s="12"/>
      <c r="G165" s="13" t="str">
        <f aca="false">IF(F165&lt;&gt;"",F165,IF(OR(D165="",E165=""),"",ROUND(MOD(E165-D165,1)*1440,0)))</f>
        <v/>
      </c>
      <c r="H165" s="9"/>
      <c r="I165" s="14" t="str">
        <f aca="false">IF(H165="","",IFERROR(INDEX(Setup!$E$5:$E$34,MATCH(H165,Setup!$D$5:$D$34,0)),"Not in Setup"))</f>
        <v/>
      </c>
      <c r="J165" s="9"/>
    </row>
    <row r="166" customFormat="false" ht="15" hidden="false" customHeight="false" outlineLevel="0" collapsed="false">
      <c r="A166" s="10"/>
      <c r="B166" s="9"/>
      <c r="C166" s="9"/>
      <c r="D166" s="11"/>
      <c r="E166" s="11"/>
      <c r="F166" s="12"/>
      <c r="G166" s="13" t="str">
        <f aca="false">IF(F166&lt;&gt;"",F166,IF(OR(D166="",E166=""),"",ROUND(MOD(E166-D166,1)*1440,0)))</f>
        <v/>
      </c>
      <c r="H166" s="9"/>
      <c r="I166" s="14" t="str">
        <f aca="false">IF(H166="","",IFERROR(INDEX(Setup!$E$5:$E$34,MATCH(H166,Setup!$D$5:$D$34,0)),"Not in Setup"))</f>
        <v/>
      </c>
      <c r="J166" s="9"/>
    </row>
    <row r="167" customFormat="false" ht="15" hidden="false" customHeight="false" outlineLevel="0" collapsed="false">
      <c r="A167" s="10"/>
      <c r="B167" s="9"/>
      <c r="C167" s="9"/>
      <c r="D167" s="11"/>
      <c r="E167" s="11"/>
      <c r="F167" s="12"/>
      <c r="G167" s="13" t="str">
        <f aca="false">IF(F167&lt;&gt;"",F167,IF(OR(D167="",E167=""),"",ROUND(MOD(E167-D167,1)*1440,0)))</f>
        <v/>
      </c>
      <c r="H167" s="9"/>
      <c r="I167" s="14" t="str">
        <f aca="false">IF(H167="","",IFERROR(INDEX(Setup!$E$5:$E$34,MATCH(H167,Setup!$D$5:$D$34,0)),"Not in Setup"))</f>
        <v/>
      </c>
      <c r="J167" s="9"/>
    </row>
    <row r="168" customFormat="false" ht="15" hidden="false" customHeight="false" outlineLevel="0" collapsed="false">
      <c r="A168" s="10"/>
      <c r="B168" s="9"/>
      <c r="C168" s="9"/>
      <c r="D168" s="11"/>
      <c r="E168" s="11"/>
      <c r="F168" s="12"/>
      <c r="G168" s="13" t="str">
        <f aca="false">IF(F168&lt;&gt;"",F168,IF(OR(D168="",E168=""),"",ROUND(MOD(E168-D168,1)*1440,0)))</f>
        <v/>
      </c>
      <c r="H168" s="9"/>
      <c r="I168" s="14" t="str">
        <f aca="false">IF(H168="","",IFERROR(INDEX(Setup!$E$5:$E$34,MATCH(H168,Setup!$D$5:$D$34,0)),"Not in Setup"))</f>
        <v/>
      </c>
      <c r="J168" s="9"/>
    </row>
    <row r="169" customFormat="false" ht="15" hidden="false" customHeight="false" outlineLevel="0" collapsed="false">
      <c r="A169" s="10"/>
      <c r="B169" s="9"/>
      <c r="C169" s="9"/>
      <c r="D169" s="11"/>
      <c r="E169" s="11"/>
      <c r="F169" s="12"/>
      <c r="G169" s="13" t="str">
        <f aca="false">IF(F169&lt;&gt;"",F169,IF(OR(D169="",E169=""),"",ROUND(MOD(E169-D169,1)*1440,0)))</f>
        <v/>
      </c>
      <c r="H169" s="9"/>
      <c r="I169" s="14" t="str">
        <f aca="false">IF(H169="","",IFERROR(INDEX(Setup!$E$5:$E$34,MATCH(H169,Setup!$D$5:$D$34,0)),"Not in Setup"))</f>
        <v/>
      </c>
      <c r="J169" s="9"/>
    </row>
    <row r="170" customFormat="false" ht="15" hidden="false" customHeight="false" outlineLevel="0" collapsed="false">
      <c r="A170" s="10"/>
      <c r="B170" s="9"/>
      <c r="C170" s="9"/>
      <c r="D170" s="11"/>
      <c r="E170" s="11"/>
      <c r="F170" s="12"/>
      <c r="G170" s="13" t="str">
        <f aca="false">IF(F170&lt;&gt;"",F170,IF(OR(D170="",E170=""),"",ROUND(MOD(E170-D170,1)*1440,0)))</f>
        <v/>
      </c>
      <c r="H170" s="9"/>
      <c r="I170" s="14" t="str">
        <f aca="false">IF(H170="","",IFERROR(INDEX(Setup!$E$5:$E$34,MATCH(H170,Setup!$D$5:$D$34,0)),"Not in Setup"))</f>
        <v/>
      </c>
      <c r="J170" s="9"/>
    </row>
    <row r="171" customFormat="false" ht="15" hidden="false" customHeight="false" outlineLevel="0" collapsed="false">
      <c r="A171" s="10"/>
      <c r="B171" s="9"/>
      <c r="C171" s="9"/>
      <c r="D171" s="11"/>
      <c r="E171" s="11"/>
      <c r="F171" s="12"/>
      <c r="G171" s="13" t="str">
        <f aca="false">IF(F171&lt;&gt;"",F171,IF(OR(D171="",E171=""),"",ROUND(MOD(E171-D171,1)*1440,0)))</f>
        <v/>
      </c>
      <c r="H171" s="9"/>
      <c r="I171" s="14" t="str">
        <f aca="false">IF(H171="","",IFERROR(INDEX(Setup!$E$5:$E$34,MATCH(H171,Setup!$D$5:$D$34,0)),"Not in Setup"))</f>
        <v/>
      </c>
      <c r="J171" s="9"/>
    </row>
    <row r="172" customFormat="false" ht="15" hidden="false" customHeight="false" outlineLevel="0" collapsed="false">
      <c r="A172" s="10"/>
      <c r="B172" s="9"/>
      <c r="C172" s="9"/>
      <c r="D172" s="11"/>
      <c r="E172" s="11"/>
      <c r="F172" s="12"/>
      <c r="G172" s="13" t="str">
        <f aca="false">IF(F172&lt;&gt;"",F172,IF(OR(D172="",E172=""),"",ROUND(MOD(E172-D172,1)*1440,0)))</f>
        <v/>
      </c>
      <c r="H172" s="9"/>
      <c r="I172" s="14" t="str">
        <f aca="false">IF(H172="","",IFERROR(INDEX(Setup!$E$5:$E$34,MATCH(H172,Setup!$D$5:$D$34,0)),"Not in Setup"))</f>
        <v/>
      </c>
      <c r="J172" s="9"/>
    </row>
    <row r="173" customFormat="false" ht="15" hidden="false" customHeight="false" outlineLevel="0" collapsed="false">
      <c r="A173" s="10"/>
      <c r="B173" s="9"/>
      <c r="C173" s="9"/>
      <c r="D173" s="11"/>
      <c r="E173" s="11"/>
      <c r="F173" s="12"/>
      <c r="G173" s="13" t="str">
        <f aca="false">IF(F173&lt;&gt;"",F173,IF(OR(D173="",E173=""),"",ROUND(MOD(E173-D173,1)*1440,0)))</f>
        <v/>
      </c>
      <c r="H173" s="9"/>
      <c r="I173" s="14" t="str">
        <f aca="false">IF(H173="","",IFERROR(INDEX(Setup!$E$5:$E$34,MATCH(H173,Setup!$D$5:$D$34,0)),"Not in Setup"))</f>
        <v/>
      </c>
      <c r="J173" s="9"/>
    </row>
    <row r="174" customFormat="false" ht="15" hidden="false" customHeight="false" outlineLevel="0" collapsed="false">
      <c r="A174" s="10"/>
      <c r="B174" s="9"/>
      <c r="C174" s="9"/>
      <c r="D174" s="11"/>
      <c r="E174" s="11"/>
      <c r="F174" s="12"/>
      <c r="G174" s="13" t="str">
        <f aca="false">IF(F174&lt;&gt;"",F174,IF(OR(D174="",E174=""),"",ROUND(MOD(E174-D174,1)*1440,0)))</f>
        <v/>
      </c>
      <c r="H174" s="9"/>
      <c r="I174" s="14" t="str">
        <f aca="false">IF(H174="","",IFERROR(INDEX(Setup!$E$5:$E$34,MATCH(H174,Setup!$D$5:$D$34,0)),"Not in Setup"))</f>
        <v/>
      </c>
      <c r="J174" s="9"/>
    </row>
    <row r="175" customFormat="false" ht="15" hidden="false" customHeight="false" outlineLevel="0" collapsed="false">
      <c r="A175" s="10"/>
      <c r="B175" s="9"/>
      <c r="C175" s="9"/>
      <c r="D175" s="11"/>
      <c r="E175" s="11"/>
      <c r="F175" s="12"/>
      <c r="G175" s="13" t="str">
        <f aca="false">IF(F175&lt;&gt;"",F175,IF(OR(D175="",E175=""),"",ROUND(MOD(E175-D175,1)*1440,0)))</f>
        <v/>
      </c>
      <c r="H175" s="9"/>
      <c r="I175" s="14" t="str">
        <f aca="false">IF(H175="","",IFERROR(INDEX(Setup!$E$5:$E$34,MATCH(H175,Setup!$D$5:$D$34,0)),"Not in Setup"))</f>
        <v/>
      </c>
      <c r="J175" s="9"/>
    </row>
    <row r="176" customFormat="false" ht="15" hidden="false" customHeight="false" outlineLevel="0" collapsed="false">
      <c r="A176" s="10"/>
      <c r="B176" s="9"/>
      <c r="C176" s="9"/>
      <c r="D176" s="11"/>
      <c r="E176" s="11"/>
      <c r="F176" s="12"/>
      <c r="G176" s="13" t="str">
        <f aca="false">IF(F176&lt;&gt;"",F176,IF(OR(D176="",E176=""),"",ROUND(MOD(E176-D176,1)*1440,0)))</f>
        <v/>
      </c>
      <c r="H176" s="9"/>
      <c r="I176" s="14" t="str">
        <f aca="false">IF(H176="","",IFERROR(INDEX(Setup!$E$5:$E$34,MATCH(H176,Setup!$D$5:$D$34,0)),"Not in Setup"))</f>
        <v/>
      </c>
      <c r="J176" s="9"/>
    </row>
    <row r="177" customFormat="false" ht="15" hidden="false" customHeight="false" outlineLevel="0" collapsed="false">
      <c r="A177" s="10"/>
      <c r="B177" s="9"/>
      <c r="C177" s="9"/>
      <c r="D177" s="11"/>
      <c r="E177" s="11"/>
      <c r="F177" s="12"/>
      <c r="G177" s="13" t="str">
        <f aca="false">IF(F177&lt;&gt;"",F177,IF(OR(D177="",E177=""),"",ROUND(MOD(E177-D177,1)*1440,0)))</f>
        <v/>
      </c>
      <c r="H177" s="9"/>
      <c r="I177" s="14" t="str">
        <f aca="false">IF(H177="","",IFERROR(INDEX(Setup!$E$5:$E$34,MATCH(H177,Setup!$D$5:$D$34,0)),"Not in Setup"))</f>
        <v/>
      </c>
      <c r="J177" s="9"/>
    </row>
    <row r="178" customFormat="false" ht="15" hidden="false" customHeight="false" outlineLevel="0" collapsed="false">
      <c r="A178" s="10"/>
      <c r="B178" s="9"/>
      <c r="C178" s="9"/>
      <c r="D178" s="11"/>
      <c r="E178" s="11"/>
      <c r="F178" s="12"/>
      <c r="G178" s="13" t="str">
        <f aca="false">IF(F178&lt;&gt;"",F178,IF(OR(D178="",E178=""),"",ROUND(MOD(E178-D178,1)*1440,0)))</f>
        <v/>
      </c>
      <c r="H178" s="9"/>
      <c r="I178" s="14" t="str">
        <f aca="false">IF(H178="","",IFERROR(INDEX(Setup!$E$5:$E$34,MATCH(H178,Setup!$D$5:$D$34,0)),"Not in Setup"))</f>
        <v/>
      </c>
      <c r="J178" s="9"/>
    </row>
    <row r="179" customFormat="false" ht="15" hidden="false" customHeight="false" outlineLevel="0" collapsed="false">
      <c r="A179" s="10"/>
      <c r="B179" s="9"/>
      <c r="C179" s="9"/>
      <c r="D179" s="11"/>
      <c r="E179" s="11"/>
      <c r="F179" s="12"/>
      <c r="G179" s="13" t="str">
        <f aca="false">IF(F179&lt;&gt;"",F179,IF(OR(D179="",E179=""),"",ROUND(MOD(E179-D179,1)*1440,0)))</f>
        <v/>
      </c>
      <c r="H179" s="9"/>
      <c r="I179" s="14" t="str">
        <f aca="false">IF(H179="","",IFERROR(INDEX(Setup!$E$5:$E$34,MATCH(H179,Setup!$D$5:$D$34,0)),"Not in Setup"))</f>
        <v/>
      </c>
      <c r="J179" s="9"/>
    </row>
    <row r="180" customFormat="false" ht="15" hidden="false" customHeight="false" outlineLevel="0" collapsed="false">
      <c r="A180" s="10"/>
      <c r="B180" s="9"/>
      <c r="C180" s="9"/>
      <c r="D180" s="11"/>
      <c r="E180" s="11"/>
      <c r="F180" s="12"/>
      <c r="G180" s="13" t="str">
        <f aca="false">IF(F180&lt;&gt;"",F180,IF(OR(D180="",E180=""),"",ROUND(MOD(E180-D180,1)*1440,0)))</f>
        <v/>
      </c>
      <c r="H180" s="9"/>
      <c r="I180" s="14" t="str">
        <f aca="false">IF(H180="","",IFERROR(INDEX(Setup!$E$5:$E$34,MATCH(H180,Setup!$D$5:$D$34,0)),"Not in Setup"))</f>
        <v/>
      </c>
      <c r="J180" s="9"/>
    </row>
    <row r="181" customFormat="false" ht="15" hidden="false" customHeight="false" outlineLevel="0" collapsed="false">
      <c r="A181" s="10"/>
      <c r="B181" s="9"/>
      <c r="C181" s="9"/>
      <c r="D181" s="11"/>
      <c r="E181" s="11"/>
      <c r="F181" s="12"/>
      <c r="G181" s="13" t="str">
        <f aca="false">IF(F181&lt;&gt;"",F181,IF(OR(D181="",E181=""),"",ROUND(MOD(E181-D181,1)*1440,0)))</f>
        <v/>
      </c>
      <c r="H181" s="9"/>
      <c r="I181" s="14" t="str">
        <f aca="false">IF(H181="","",IFERROR(INDEX(Setup!$E$5:$E$34,MATCH(H181,Setup!$D$5:$D$34,0)),"Not in Setup"))</f>
        <v/>
      </c>
      <c r="J181" s="9"/>
    </row>
    <row r="182" customFormat="false" ht="15" hidden="false" customHeight="false" outlineLevel="0" collapsed="false">
      <c r="A182" s="10"/>
      <c r="B182" s="9"/>
      <c r="C182" s="9"/>
      <c r="D182" s="11"/>
      <c r="E182" s="11"/>
      <c r="F182" s="12"/>
      <c r="G182" s="13" t="str">
        <f aca="false">IF(F182&lt;&gt;"",F182,IF(OR(D182="",E182=""),"",ROUND(MOD(E182-D182,1)*1440,0)))</f>
        <v/>
      </c>
      <c r="H182" s="9"/>
      <c r="I182" s="14" t="str">
        <f aca="false">IF(H182="","",IFERROR(INDEX(Setup!$E$5:$E$34,MATCH(H182,Setup!$D$5:$D$34,0)),"Not in Setup"))</f>
        <v/>
      </c>
      <c r="J182" s="9"/>
    </row>
    <row r="183" customFormat="false" ht="15" hidden="false" customHeight="false" outlineLevel="0" collapsed="false">
      <c r="A183" s="10"/>
      <c r="B183" s="9"/>
      <c r="C183" s="9"/>
      <c r="D183" s="11"/>
      <c r="E183" s="11"/>
      <c r="F183" s="12"/>
      <c r="G183" s="13" t="str">
        <f aca="false">IF(F183&lt;&gt;"",F183,IF(OR(D183="",E183=""),"",ROUND(MOD(E183-D183,1)*1440,0)))</f>
        <v/>
      </c>
      <c r="H183" s="9"/>
      <c r="I183" s="14" t="str">
        <f aca="false">IF(H183="","",IFERROR(INDEX(Setup!$E$5:$E$34,MATCH(H183,Setup!$D$5:$D$34,0)),"Not in Setup"))</f>
        <v/>
      </c>
      <c r="J183" s="9"/>
    </row>
    <row r="184" customFormat="false" ht="15" hidden="false" customHeight="false" outlineLevel="0" collapsed="false">
      <c r="A184" s="10"/>
      <c r="B184" s="9"/>
      <c r="C184" s="9"/>
      <c r="D184" s="11"/>
      <c r="E184" s="11"/>
      <c r="F184" s="12"/>
      <c r="G184" s="13" t="str">
        <f aca="false">IF(F184&lt;&gt;"",F184,IF(OR(D184="",E184=""),"",ROUND(MOD(E184-D184,1)*1440,0)))</f>
        <v/>
      </c>
      <c r="H184" s="9"/>
      <c r="I184" s="14" t="str">
        <f aca="false">IF(H184="","",IFERROR(INDEX(Setup!$E$5:$E$34,MATCH(H184,Setup!$D$5:$D$34,0)),"Not in Setup"))</f>
        <v/>
      </c>
      <c r="J184" s="9"/>
    </row>
    <row r="185" customFormat="false" ht="15" hidden="false" customHeight="false" outlineLevel="0" collapsed="false">
      <c r="A185" s="10"/>
      <c r="B185" s="9"/>
      <c r="C185" s="9"/>
      <c r="D185" s="11"/>
      <c r="E185" s="11"/>
      <c r="F185" s="12"/>
      <c r="G185" s="13" t="str">
        <f aca="false">IF(F185&lt;&gt;"",F185,IF(OR(D185="",E185=""),"",ROUND(MOD(E185-D185,1)*1440,0)))</f>
        <v/>
      </c>
      <c r="H185" s="9"/>
      <c r="I185" s="14" t="str">
        <f aca="false">IF(H185="","",IFERROR(INDEX(Setup!$E$5:$E$34,MATCH(H185,Setup!$D$5:$D$34,0)),"Not in Setup"))</f>
        <v/>
      </c>
      <c r="J185" s="9"/>
    </row>
    <row r="186" customFormat="false" ht="15" hidden="false" customHeight="false" outlineLevel="0" collapsed="false">
      <c r="A186" s="10"/>
      <c r="B186" s="9"/>
      <c r="C186" s="9"/>
      <c r="D186" s="11"/>
      <c r="E186" s="11"/>
      <c r="F186" s="12"/>
      <c r="G186" s="13" t="str">
        <f aca="false">IF(F186&lt;&gt;"",F186,IF(OR(D186="",E186=""),"",ROUND(MOD(E186-D186,1)*1440,0)))</f>
        <v/>
      </c>
      <c r="H186" s="9"/>
      <c r="I186" s="14" t="str">
        <f aca="false">IF(H186="","",IFERROR(INDEX(Setup!$E$5:$E$34,MATCH(H186,Setup!$D$5:$D$34,0)),"Not in Setup"))</f>
        <v/>
      </c>
      <c r="J186" s="9"/>
    </row>
    <row r="187" customFormat="false" ht="15" hidden="false" customHeight="false" outlineLevel="0" collapsed="false">
      <c r="A187" s="10"/>
      <c r="B187" s="9"/>
      <c r="C187" s="9"/>
      <c r="D187" s="11"/>
      <c r="E187" s="11"/>
      <c r="F187" s="12"/>
      <c r="G187" s="13" t="str">
        <f aca="false">IF(F187&lt;&gt;"",F187,IF(OR(D187="",E187=""),"",ROUND(MOD(E187-D187,1)*1440,0)))</f>
        <v/>
      </c>
      <c r="H187" s="9"/>
      <c r="I187" s="14" t="str">
        <f aca="false">IF(H187="","",IFERROR(INDEX(Setup!$E$5:$E$34,MATCH(H187,Setup!$D$5:$D$34,0)),"Not in Setup"))</f>
        <v/>
      </c>
      <c r="J187" s="9"/>
    </row>
    <row r="188" customFormat="false" ht="15" hidden="false" customHeight="false" outlineLevel="0" collapsed="false">
      <c r="A188" s="10"/>
      <c r="B188" s="9"/>
      <c r="C188" s="9"/>
      <c r="D188" s="11"/>
      <c r="E188" s="11"/>
      <c r="F188" s="12"/>
      <c r="G188" s="13" t="str">
        <f aca="false">IF(F188&lt;&gt;"",F188,IF(OR(D188="",E188=""),"",ROUND(MOD(E188-D188,1)*1440,0)))</f>
        <v/>
      </c>
      <c r="H188" s="9"/>
      <c r="I188" s="14" t="str">
        <f aca="false">IF(H188="","",IFERROR(INDEX(Setup!$E$5:$E$34,MATCH(H188,Setup!$D$5:$D$34,0)),"Not in Setup"))</f>
        <v/>
      </c>
      <c r="J188" s="9"/>
    </row>
    <row r="189" customFormat="false" ht="15" hidden="false" customHeight="false" outlineLevel="0" collapsed="false">
      <c r="A189" s="10"/>
      <c r="B189" s="9"/>
      <c r="C189" s="9"/>
      <c r="D189" s="11"/>
      <c r="E189" s="11"/>
      <c r="F189" s="12"/>
      <c r="G189" s="13" t="str">
        <f aca="false">IF(F189&lt;&gt;"",F189,IF(OR(D189="",E189=""),"",ROUND(MOD(E189-D189,1)*1440,0)))</f>
        <v/>
      </c>
      <c r="H189" s="9"/>
      <c r="I189" s="14" t="str">
        <f aca="false">IF(H189="","",IFERROR(INDEX(Setup!$E$5:$E$34,MATCH(H189,Setup!$D$5:$D$34,0)),"Not in Setup"))</f>
        <v/>
      </c>
      <c r="J189" s="9"/>
    </row>
    <row r="190" customFormat="false" ht="15" hidden="false" customHeight="false" outlineLevel="0" collapsed="false">
      <c r="A190" s="10"/>
      <c r="B190" s="9"/>
      <c r="C190" s="9"/>
      <c r="D190" s="11"/>
      <c r="E190" s="11"/>
      <c r="F190" s="12"/>
      <c r="G190" s="13" t="str">
        <f aca="false">IF(F190&lt;&gt;"",F190,IF(OR(D190="",E190=""),"",ROUND(MOD(E190-D190,1)*1440,0)))</f>
        <v/>
      </c>
      <c r="H190" s="9"/>
      <c r="I190" s="14" t="str">
        <f aca="false">IF(H190="","",IFERROR(INDEX(Setup!$E$5:$E$34,MATCH(H190,Setup!$D$5:$D$34,0)),"Not in Setup"))</f>
        <v/>
      </c>
      <c r="J190" s="9"/>
    </row>
    <row r="191" customFormat="false" ht="15" hidden="false" customHeight="false" outlineLevel="0" collapsed="false">
      <c r="A191" s="10"/>
      <c r="B191" s="9"/>
      <c r="C191" s="9"/>
      <c r="D191" s="11"/>
      <c r="E191" s="11"/>
      <c r="F191" s="12"/>
      <c r="G191" s="13" t="str">
        <f aca="false">IF(F191&lt;&gt;"",F191,IF(OR(D191="",E191=""),"",ROUND(MOD(E191-D191,1)*1440,0)))</f>
        <v/>
      </c>
      <c r="H191" s="9"/>
      <c r="I191" s="14" t="str">
        <f aca="false">IF(H191="","",IFERROR(INDEX(Setup!$E$5:$E$34,MATCH(H191,Setup!$D$5:$D$34,0)),"Not in Setup"))</f>
        <v/>
      </c>
      <c r="J191" s="9"/>
    </row>
    <row r="192" customFormat="false" ht="15" hidden="false" customHeight="false" outlineLevel="0" collapsed="false">
      <c r="A192" s="10"/>
      <c r="B192" s="9"/>
      <c r="C192" s="9"/>
      <c r="D192" s="11"/>
      <c r="E192" s="11"/>
      <c r="F192" s="12"/>
      <c r="G192" s="13" t="str">
        <f aca="false">IF(F192&lt;&gt;"",F192,IF(OR(D192="",E192=""),"",ROUND(MOD(E192-D192,1)*1440,0)))</f>
        <v/>
      </c>
      <c r="H192" s="9"/>
      <c r="I192" s="14" t="str">
        <f aca="false">IF(H192="","",IFERROR(INDEX(Setup!$E$5:$E$34,MATCH(H192,Setup!$D$5:$D$34,0)),"Not in Setup"))</f>
        <v/>
      </c>
      <c r="J192" s="9"/>
    </row>
    <row r="193" customFormat="false" ht="15" hidden="false" customHeight="false" outlineLevel="0" collapsed="false">
      <c r="A193" s="10"/>
      <c r="B193" s="9"/>
      <c r="C193" s="9"/>
      <c r="D193" s="11"/>
      <c r="E193" s="11"/>
      <c r="F193" s="12"/>
      <c r="G193" s="13" t="str">
        <f aca="false">IF(F193&lt;&gt;"",F193,IF(OR(D193="",E193=""),"",ROUND(MOD(E193-D193,1)*1440,0)))</f>
        <v/>
      </c>
      <c r="H193" s="9"/>
      <c r="I193" s="14" t="str">
        <f aca="false">IF(H193="","",IFERROR(INDEX(Setup!$E$5:$E$34,MATCH(H193,Setup!$D$5:$D$34,0)),"Not in Setup"))</f>
        <v/>
      </c>
      <c r="J193" s="9"/>
    </row>
    <row r="194" customFormat="false" ht="15" hidden="false" customHeight="false" outlineLevel="0" collapsed="false">
      <c r="A194" s="10"/>
      <c r="B194" s="9"/>
      <c r="C194" s="9"/>
      <c r="D194" s="11"/>
      <c r="E194" s="11"/>
      <c r="F194" s="12"/>
      <c r="G194" s="13" t="str">
        <f aca="false">IF(F194&lt;&gt;"",F194,IF(OR(D194="",E194=""),"",ROUND(MOD(E194-D194,1)*1440,0)))</f>
        <v/>
      </c>
      <c r="H194" s="9"/>
      <c r="I194" s="14" t="str">
        <f aca="false">IF(H194="","",IFERROR(INDEX(Setup!$E$5:$E$34,MATCH(H194,Setup!$D$5:$D$34,0)),"Not in Setup"))</f>
        <v/>
      </c>
      <c r="J194" s="9"/>
    </row>
    <row r="195" customFormat="false" ht="15" hidden="false" customHeight="false" outlineLevel="0" collapsed="false">
      <c r="A195" s="10"/>
      <c r="B195" s="9"/>
      <c r="C195" s="9"/>
      <c r="D195" s="11"/>
      <c r="E195" s="11"/>
      <c r="F195" s="12"/>
      <c r="G195" s="13" t="str">
        <f aca="false">IF(F195&lt;&gt;"",F195,IF(OR(D195="",E195=""),"",ROUND(MOD(E195-D195,1)*1440,0)))</f>
        <v/>
      </c>
      <c r="H195" s="9"/>
      <c r="I195" s="14" t="str">
        <f aca="false">IF(H195="","",IFERROR(INDEX(Setup!$E$5:$E$34,MATCH(H195,Setup!$D$5:$D$34,0)),"Not in Setup"))</f>
        <v/>
      </c>
      <c r="J195" s="9"/>
    </row>
    <row r="196" customFormat="false" ht="15" hidden="false" customHeight="false" outlineLevel="0" collapsed="false">
      <c r="A196" s="10"/>
      <c r="B196" s="9"/>
      <c r="C196" s="9"/>
      <c r="D196" s="11"/>
      <c r="E196" s="11"/>
      <c r="F196" s="12"/>
      <c r="G196" s="13" t="str">
        <f aca="false">IF(F196&lt;&gt;"",F196,IF(OR(D196="",E196=""),"",ROUND(MOD(E196-D196,1)*1440,0)))</f>
        <v/>
      </c>
      <c r="H196" s="9"/>
      <c r="I196" s="14" t="str">
        <f aca="false">IF(H196="","",IFERROR(INDEX(Setup!$E$5:$E$34,MATCH(H196,Setup!$D$5:$D$34,0)),"Not in Setup"))</f>
        <v/>
      </c>
      <c r="J196" s="9"/>
    </row>
    <row r="197" customFormat="false" ht="15" hidden="false" customHeight="false" outlineLevel="0" collapsed="false">
      <c r="A197" s="10"/>
      <c r="B197" s="9"/>
      <c r="C197" s="9"/>
      <c r="D197" s="11"/>
      <c r="E197" s="11"/>
      <c r="F197" s="12"/>
      <c r="G197" s="13" t="str">
        <f aca="false">IF(F197&lt;&gt;"",F197,IF(OR(D197="",E197=""),"",ROUND(MOD(E197-D197,1)*1440,0)))</f>
        <v/>
      </c>
      <c r="H197" s="9"/>
      <c r="I197" s="14" t="str">
        <f aca="false">IF(H197="","",IFERROR(INDEX(Setup!$E$5:$E$34,MATCH(H197,Setup!$D$5:$D$34,0)),"Not in Setup"))</f>
        <v/>
      </c>
      <c r="J197" s="9"/>
    </row>
    <row r="198" customFormat="false" ht="15" hidden="false" customHeight="false" outlineLevel="0" collapsed="false">
      <c r="A198" s="10"/>
      <c r="B198" s="9"/>
      <c r="C198" s="9"/>
      <c r="D198" s="11"/>
      <c r="E198" s="11"/>
      <c r="F198" s="12"/>
      <c r="G198" s="13" t="str">
        <f aca="false">IF(F198&lt;&gt;"",F198,IF(OR(D198="",E198=""),"",ROUND(MOD(E198-D198,1)*1440,0)))</f>
        <v/>
      </c>
      <c r="H198" s="9"/>
      <c r="I198" s="14" t="str">
        <f aca="false">IF(H198="","",IFERROR(INDEX(Setup!$E$5:$E$34,MATCH(H198,Setup!$D$5:$D$34,0)),"Not in Setup"))</f>
        <v/>
      </c>
      <c r="J198" s="9"/>
    </row>
    <row r="199" customFormat="false" ht="15" hidden="false" customHeight="false" outlineLevel="0" collapsed="false">
      <c r="A199" s="10"/>
      <c r="B199" s="9"/>
      <c r="C199" s="9"/>
      <c r="D199" s="11"/>
      <c r="E199" s="11"/>
      <c r="F199" s="12"/>
      <c r="G199" s="13" t="str">
        <f aca="false">IF(F199&lt;&gt;"",F199,IF(OR(D199="",E199=""),"",ROUND(MOD(E199-D199,1)*1440,0)))</f>
        <v/>
      </c>
      <c r="H199" s="9"/>
      <c r="I199" s="14" t="str">
        <f aca="false">IF(H199="","",IFERROR(INDEX(Setup!$E$5:$E$34,MATCH(H199,Setup!$D$5:$D$34,0)),"Not in Setup"))</f>
        <v/>
      </c>
      <c r="J199" s="9"/>
    </row>
    <row r="200" customFormat="false" ht="15" hidden="false" customHeight="false" outlineLevel="0" collapsed="false">
      <c r="A200" s="10"/>
      <c r="B200" s="9"/>
      <c r="C200" s="9"/>
      <c r="D200" s="11"/>
      <c r="E200" s="11"/>
      <c r="F200" s="12"/>
      <c r="G200" s="13" t="str">
        <f aca="false">IF(F200&lt;&gt;"",F200,IF(OR(D200="",E200=""),"",ROUND(MOD(E200-D200,1)*1440,0)))</f>
        <v/>
      </c>
      <c r="H200" s="9"/>
      <c r="I200" s="14" t="str">
        <f aca="false">IF(H200="","",IFERROR(INDEX(Setup!$E$5:$E$34,MATCH(H200,Setup!$D$5:$D$34,0)),"Not in Setup"))</f>
        <v/>
      </c>
      <c r="J200" s="9"/>
    </row>
    <row r="201" customFormat="false" ht="15" hidden="false" customHeight="false" outlineLevel="0" collapsed="false">
      <c r="A201" s="10"/>
      <c r="B201" s="9"/>
      <c r="C201" s="9"/>
      <c r="D201" s="11"/>
      <c r="E201" s="11"/>
      <c r="F201" s="12"/>
      <c r="G201" s="13" t="str">
        <f aca="false">IF(F201&lt;&gt;"",F201,IF(OR(D201="",E201=""),"",ROUND(MOD(E201-D201,1)*1440,0)))</f>
        <v/>
      </c>
      <c r="H201" s="9"/>
      <c r="I201" s="14" t="str">
        <f aca="false">IF(H201="","",IFERROR(INDEX(Setup!$E$5:$E$34,MATCH(H201,Setup!$D$5:$D$34,0)),"Not in Setup"))</f>
        <v/>
      </c>
      <c r="J201" s="9"/>
    </row>
    <row r="202" customFormat="false" ht="15" hidden="false" customHeight="false" outlineLevel="0" collapsed="false">
      <c r="A202" s="10"/>
      <c r="B202" s="9"/>
      <c r="C202" s="9"/>
      <c r="D202" s="11"/>
      <c r="E202" s="11"/>
      <c r="F202" s="12"/>
      <c r="G202" s="13" t="str">
        <f aca="false">IF(F202&lt;&gt;"",F202,IF(OR(D202="",E202=""),"",ROUND(MOD(E202-D202,1)*1440,0)))</f>
        <v/>
      </c>
      <c r="H202" s="9"/>
      <c r="I202" s="14" t="str">
        <f aca="false">IF(H202="","",IFERROR(INDEX(Setup!$E$5:$E$34,MATCH(H202,Setup!$D$5:$D$34,0)),"Not in Setup"))</f>
        <v/>
      </c>
      <c r="J202" s="9"/>
    </row>
    <row r="203" customFormat="false" ht="15" hidden="false" customHeight="false" outlineLevel="0" collapsed="false">
      <c r="A203" s="10"/>
      <c r="B203" s="9"/>
      <c r="C203" s="9"/>
      <c r="D203" s="11"/>
      <c r="E203" s="11"/>
      <c r="F203" s="12"/>
      <c r="G203" s="13" t="str">
        <f aca="false">IF(F203&lt;&gt;"",F203,IF(OR(D203="",E203=""),"",ROUND(MOD(E203-D203,1)*1440,0)))</f>
        <v/>
      </c>
      <c r="H203" s="9"/>
      <c r="I203" s="14" t="str">
        <f aca="false">IF(H203="","",IFERROR(INDEX(Setup!$E$5:$E$34,MATCH(H203,Setup!$D$5:$D$34,0)),"Not in Setup"))</f>
        <v/>
      </c>
      <c r="J203" s="9"/>
    </row>
    <row r="204" customFormat="false" ht="15" hidden="false" customHeight="false" outlineLevel="0" collapsed="false">
      <c r="A204" s="10"/>
      <c r="B204" s="9"/>
      <c r="C204" s="9"/>
      <c r="D204" s="11"/>
      <c r="E204" s="11"/>
      <c r="F204" s="12"/>
      <c r="G204" s="13" t="str">
        <f aca="false">IF(F204&lt;&gt;"",F204,IF(OR(D204="",E204=""),"",ROUND(MOD(E204-D204,1)*1440,0)))</f>
        <v/>
      </c>
      <c r="H204" s="9"/>
      <c r="I204" s="14" t="str">
        <f aca="false">IF(H204="","",IFERROR(INDEX(Setup!$E$5:$E$34,MATCH(H204,Setup!$D$5:$D$34,0)),"Not in Setup"))</f>
        <v/>
      </c>
      <c r="J204" s="9"/>
    </row>
    <row r="205" customFormat="false" ht="15" hidden="false" customHeight="false" outlineLevel="0" collapsed="false">
      <c r="A205" s="10"/>
      <c r="B205" s="9"/>
      <c r="C205" s="9"/>
      <c r="D205" s="11"/>
      <c r="E205" s="11"/>
      <c r="F205" s="12"/>
      <c r="G205" s="13" t="str">
        <f aca="false">IF(F205&lt;&gt;"",F205,IF(OR(D205="",E205=""),"",ROUND(MOD(E205-D205,1)*1440,0)))</f>
        <v/>
      </c>
      <c r="H205" s="9"/>
      <c r="I205" s="14" t="str">
        <f aca="false">IF(H205="","",IFERROR(INDEX(Setup!$E$5:$E$34,MATCH(H205,Setup!$D$5:$D$34,0)),"Not in Setup"))</f>
        <v/>
      </c>
      <c r="J205" s="9"/>
    </row>
    <row r="206" customFormat="false" ht="15" hidden="false" customHeight="false" outlineLevel="0" collapsed="false">
      <c r="A206" s="10"/>
      <c r="B206" s="9"/>
      <c r="C206" s="9"/>
      <c r="D206" s="11"/>
      <c r="E206" s="11"/>
      <c r="F206" s="12"/>
      <c r="G206" s="13" t="str">
        <f aca="false">IF(F206&lt;&gt;"",F206,IF(OR(D206="",E206=""),"",ROUND(MOD(E206-D206,1)*1440,0)))</f>
        <v/>
      </c>
      <c r="H206" s="9"/>
      <c r="I206" s="14" t="str">
        <f aca="false">IF(H206="","",IFERROR(INDEX(Setup!$E$5:$E$34,MATCH(H206,Setup!$D$5:$D$34,0)),"Not in Setup"))</f>
        <v/>
      </c>
      <c r="J206" s="9"/>
    </row>
    <row r="207" customFormat="false" ht="15" hidden="false" customHeight="false" outlineLevel="0" collapsed="false">
      <c r="A207" s="10"/>
      <c r="B207" s="9"/>
      <c r="C207" s="9"/>
      <c r="D207" s="11"/>
      <c r="E207" s="11"/>
      <c r="F207" s="12"/>
      <c r="G207" s="13" t="str">
        <f aca="false">IF(F207&lt;&gt;"",F207,IF(OR(D207="",E207=""),"",ROUND(MOD(E207-D207,1)*1440,0)))</f>
        <v/>
      </c>
      <c r="H207" s="9"/>
      <c r="I207" s="14" t="str">
        <f aca="false">IF(H207="","",IFERROR(INDEX(Setup!$E$5:$E$34,MATCH(H207,Setup!$D$5:$D$34,0)),"Not in Setup"))</f>
        <v/>
      </c>
      <c r="J207" s="9"/>
    </row>
    <row r="208" customFormat="false" ht="15" hidden="false" customHeight="false" outlineLevel="0" collapsed="false">
      <c r="A208" s="10"/>
      <c r="B208" s="9"/>
      <c r="C208" s="9"/>
      <c r="D208" s="11"/>
      <c r="E208" s="11"/>
      <c r="F208" s="12"/>
      <c r="G208" s="13" t="str">
        <f aca="false">IF(F208&lt;&gt;"",F208,IF(OR(D208="",E208=""),"",ROUND(MOD(E208-D208,1)*1440,0)))</f>
        <v/>
      </c>
      <c r="H208" s="9"/>
      <c r="I208" s="14" t="str">
        <f aca="false">IF(H208="","",IFERROR(INDEX(Setup!$E$5:$E$34,MATCH(H208,Setup!$D$5:$D$34,0)),"Not in Setup"))</f>
        <v/>
      </c>
      <c r="J208" s="9"/>
    </row>
    <row r="209" customFormat="false" ht="15" hidden="false" customHeight="false" outlineLevel="0" collapsed="false">
      <c r="A209" s="10"/>
      <c r="B209" s="9"/>
      <c r="C209" s="9"/>
      <c r="D209" s="11"/>
      <c r="E209" s="11"/>
      <c r="F209" s="12"/>
      <c r="G209" s="13" t="str">
        <f aca="false">IF(F209&lt;&gt;"",F209,IF(OR(D209="",E209=""),"",ROUND(MOD(E209-D209,1)*1440,0)))</f>
        <v/>
      </c>
      <c r="H209" s="9"/>
      <c r="I209" s="14" t="str">
        <f aca="false">IF(H209="","",IFERROR(INDEX(Setup!$E$5:$E$34,MATCH(H209,Setup!$D$5:$D$34,0)),"Not in Setup"))</f>
        <v/>
      </c>
      <c r="J209" s="9"/>
    </row>
    <row r="210" customFormat="false" ht="15" hidden="false" customHeight="false" outlineLevel="0" collapsed="false">
      <c r="A210" s="10"/>
      <c r="B210" s="9"/>
      <c r="C210" s="9"/>
      <c r="D210" s="11"/>
      <c r="E210" s="11"/>
      <c r="F210" s="12"/>
      <c r="G210" s="13" t="str">
        <f aca="false">IF(F210&lt;&gt;"",F210,IF(OR(D210="",E210=""),"",ROUND(MOD(E210-D210,1)*1440,0)))</f>
        <v/>
      </c>
      <c r="H210" s="9"/>
      <c r="I210" s="14" t="str">
        <f aca="false">IF(H210="","",IFERROR(INDEX(Setup!$E$5:$E$34,MATCH(H210,Setup!$D$5:$D$34,0)),"Not in Setup"))</f>
        <v/>
      </c>
      <c r="J210" s="9"/>
    </row>
    <row r="211" customFormat="false" ht="15" hidden="false" customHeight="false" outlineLevel="0" collapsed="false">
      <c r="A211" s="10"/>
      <c r="B211" s="9"/>
      <c r="C211" s="9"/>
      <c r="D211" s="11"/>
      <c r="E211" s="11"/>
      <c r="F211" s="12"/>
      <c r="G211" s="13" t="str">
        <f aca="false">IF(F211&lt;&gt;"",F211,IF(OR(D211="",E211=""),"",ROUND(MOD(E211-D211,1)*1440,0)))</f>
        <v/>
      </c>
      <c r="H211" s="9"/>
      <c r="I211" s="14" t="str">
        <f aca="false">IF(H211="","",IFERROR(INDEX(Setup!$E$5:$E$34,MATCH(H211,Setup!$D$5:$D$34,0)),"Not in Setup"))</f>
        <v/>
      </c>
      <c r="J211" s="9"/>
    </row>
    <row r="212" customFormat="false" ht="15" hidden="false" customHeight="false" outlineLevel="0" collapsed="false">
      <c r="A212" s="10"/>
      <c r="B212" s="9"/>
      <c r="C212" s="9"/>
      <c r="D212" s="11"/>
      <c r="E212" s="11"/>
      <c r="F212" s="12"/>
      <c r="G212" s="13" t="str">
        <f aca="false">IF(F212&lt;&gt;"",F212,IF(OR(D212="",E212=""),"",ROUND(MOD(E212-D212,1)*1440,0)))</f>
        <v/>
      </c>
      <c r="H212" s="9"/>
      <c r="I212" s="14" t="str">
        <f aca="false">IF(H212="","",IFERROR(INDEX(Setup!$E$5:$E$34,MATCH(H212,Setup!$D$5:$D$34,0)),"Not in Setup"))</f>
        <v/>
      </c>
      <c r="J212" s="9"/>
    </row>
    <row r="213" customFormat="false" ht="15" hidden="false" customHeight="false" outlineLevel="0" collapsed="false">
      <c r="A213" s="10"/>
      <c r="B213" s="9"/>
      <c r="C213" s="9"/>
      <c r="D213" s="11"/>
      <c r="E213" s="11"/>
      <c r="F213" s="12"/>
      <c r="G213" s="13" t="str">
        <f aca="false">IF(F213&lt;&gt;"",F213,IF(OR(D213="",E213=""),"",ROUND(MOD(E213-D213,1)*1440,0)))</f>
        <v/>
      </c>
      <c r="H213" s="9"/>
      <c r="I213" s="14" t="str">
        <f aca="false">IF(H213="","",IFERROR(INDEX(Setup!$E$5:$E$34,MATCH(H213,Setup!$D$5:$D$34,0)),"Not in Setup"))</f>
        <v/>
      </c>
      <c r="J213" s="9"/>
    </row>
    <row r="214" customFormat="false" ht="15" hidden="false" customHeight="false" outlineLevel="0" collapsed="false">
      <c r="A214" s="10"/>
      <c r="B214" s="9"/>
      <c r="C214" s="9"/>
      <c r="D214" s="11"/>
      <c r="E214" s="11"/>
      <c r="F214" s="12"/>
      <c r="G214" s="13" t="str">
        <f aca="false">IF(F214&lt;&gt;"",F214,IF(OR(D214="",E214=""),"",ROUND(MOD(E214-D214,1)*1440,0)))</f>
        <v/>
      </c>
      <c r="H214" s="9"/>
      <c r="I214" s="14" t="str">
        <f aca="false">IF(H214="","",IFERROR(INDEX(Setup!$E$5:$E$34,MATCH(H214,Setup!$D$5:$D$34,0)),"Not in Setup"))</f>
        <v/>
      </c>
      <c r="J214" s="9"/>
    </row>
    <row r="215" customFormat="false" ht="15" hidden="false" customHeight="false" outlineLevel="0" collapsed="false">
      <c r="A215" s="10"/>
      <c r="B215" s="9"/>
      <c r="C215" s="9"/>
      <c r="D215" s="11"/>
      <c r="E215" s="11"/>
      <c r="F215" s="12"/>
      <c r="G215" s="13" t="str">
        <f aca="false">IF(F215&lt;&gt;"",F215,IF(OR(D215="",E215=""),"",ROUND(MOD(E215-D215,1)*1440,0)))</f>
        <v/>
      </c>
      <c r="H215" s="9"/>
      <c r="I215" s="14" t="str">
        <f aca="false">IF(H215="","",IFERROR(INDEX(Setup!$E$5:$E$34,MATCH(H215,Setup!$D$5:$D$34,0)),"Not in Setup"))</f>
        <v/>
      </c>
      <c r="J215" s="9"/>
    </row>
    <row r="216" customFormat="false" ht="15" hidden="false" customHeight="false" outlineLevel="0" collapsed="false">
      <c r="A216" s="10"/>
      <c r="B216" s="9"/>
      <c r="C216" s="9"/>
      <c r="D216" s="11"/>
      <c r="E216" s="11"/>
      <c r="F216" s="12"/>
      <c r="G216" s="13" t="str">
        <f aca="false">IF(F216&lt;&gt;"",F216,IF(OR(D216="",E216=""),"",ROUND(MOD(E216-D216,1)*1440,0)))</f>
        <v/>
      </c>
      <c r="H216" s="9"/>
      <c r="I216" s="14" t="str">
        <f aca="false">IF(H216="","",IFERROR(INDEX(Setup!$E$5:$E$34,MATCH(H216,Setup!$D$5:$D$34,0)),"Not in Setup"))</f>
        <v/>
      </c>
      <c r="J216" s="9"/>
    </row>
    <row r="217" customFormat="false" ht="15" hidden="false" customHeight="false" outlineLevel="0" collapsed="false">
      <c r="A217" s="10"/>
      <c r="B217" s="9"/>
      <c r="C217" s="9"/>
      <c r="D217" s="11"/>
      <c r="E217" s="11"/>
      <c r="F217" s="12"/>
      <c r="G217" s="13" t="str">
        <f aca="false">IF(F217&lt;&gt;"",F217,IF(OR(D217="",E217=""),"",ROUND(MOD(E217-D217,1)*1440,0)))</f>
        <v/>
      </c>
      <c r="H217" s="9"/>
      <c r="I217" s="14" t="str">
        <f aca="false">IF(H217="","",IFERROR(INDEX(Setup!$E$5:$E$34,MATCH(H217,Setup!$D$5:$D$34,0)),"Not in Setup"))</f>
        <v/>
      </c>
      <c r="J217" s="9"/>
    </row>
    <row r="218" customFormat="false" ht="15" hidden="false" customHeight="false" outlineLevel="0" collapsed="false">
      <c r="A218" s="10"/>
      <c r="B218" s="9"/>
      <c r="C218" s="9"/>
      <c r="D218" s="11"/>
      <c r="E218" s="11"/>
      <c r="F218" s="12"/>
      <c r="G218" s="13" t="str">
        <f aca="false">IF(F218&lt;&gt;"",F218,IF(OR(D218="",E218=""),"",ROUND(MOD(E218-D218,1)*1440,0)))</f>
        <v/>
      </c>
      <c r="H218" s="9"/>
      <c r="I218" s="14" t="str">
        <f aca="false">IF(H218="","",IFERROR(INDEX(Setup!$E$5:$E$34,MATCH(H218,Setup!$D$5:$D$34,0)),"Not in Setup"))</f>
        <v/>
      </c>
      <c r="J218" s="9"/>
    </row>
    <row r="219" customFormat="false" ht="15" hidden="false" customHeight="false" outlineLevel="0" collapsed="false">
      <c r="A219" s="10"/>
      <c r="B219" s="9"/>
      <c r="C219" s="9"/>
      <c r="D219" s="11"/>
      <c r="E219" s="11"/>
      <c r="F219" s="12"/>
      <c r="G219" s="13" t="str">
        <f aca="false">IF(F219&lt;&gt;"",F219,IF(OR(D219="",E219=""),"",ROUND(MOD(E219-D219,1)*1440,0)))</f>
        <v/>
      </c>
      <c r="H219" s="9"/>
      <c r="I219" s="14" t="str">
        <f aca="false">IF(H219="","",IFERROR(INDEX(Setup!$E$5:$E$34,MATCH(H219,Setup!$D$5:$D$34,0)),"Not in Setup"))</f>
        <v/>
      </c>
      <c r="J219" s="9"/>
    </row>
    <row r="220" customFormat="false" ht="15" hidden="false" customHeight="false" outlineLevel="0" collapsed="false">
      <c r="A220" s="10"/>
      <c r="B220" s="9"/>
      <c r="C220" s="9"/>
      <c r="D220" s="11"/>
      <c r="E220" s="11"/>
      <c r="F220" s="12"/>
      <c r="G220" s="13" t="str">
        <f aca="false">IF(F220&lt;&gt;"",F220,IF(OR(D220="",E220=""),"",ROUND(MOD(E220-D220,1)*1440,0)))</f>
        <v/>
      </c>
      <c r="H220" s="9"/>
      <c r="I220" s="14" t="str">
        <f aca="false">IF(H220="","",IFERROR(INDEX(Setup!$E$5:$E$34,MATCH(H220,Setup!$D$5:$D$34,0)),"Not in Setup"))</f>
        <v/>
      </c>
      <c r="J220" s="9"/>
    </row>
    <row r="221" customFormat="false" ht="15" hidden="false" customHeight="false" outlineLevel="0" collapsed="false">
      <c r="A221" s="10"/>
      <c r="B221" s="9"/>
      <c r="C221" s="9"/>
      <c r="D221" s="11"/>
      <c r="E221" s="11"/>
      <c r="F221" s="12"/>
      <c r="G221" s="13" t="str">
        <f aca="false">IF(F221&lt;&gt;"",F221,IF(OR(D221="",E221=""),"",ROUND(MOD(E221-D221,1)*1440,0)))</f>
        <v/>
      </c>
      <c r="H221" s="9"/>
      <c r="I221" s="14" t="str">
        <f aca="false">IF(H221="","",IFERROR(INDEX(Setup!$E$5:$E$34,MATCH(H221,Setup!$D$5:$D$34,0)),"Not in Setup"))</f>
        <v/>
      </c>
      <c r="J221" s="9"/>
    </row>
    <row r="222" customFormat="false" ht="15" hidden="false" customHeight="false" outlineLevel="0" collapsed="false">
      <c r="A222" s="10"/>
      <c r="B222" s="9"/>
      <c r="C222" s="9"/>
      <c r="D222" s="11"/>
      <c r="E222" s="11"/>
      <c r="F222" s="12"/>
      <c r="G222" s="13" t="str">
        <f aca="false">IF(F222&lt;&gt;"",F222,IF(OR(D222="",E222=""),"",ROUND(MOD(E222-D222,1)*1440,0)))</f>
        <v/>
      </c>
      <c r="H222" s="9"/>
      <c r="I222" s="14" t="str">
        <f aca="false">IF(H222="","",IFERROR(INDEX(Setup!$E$5:$E$34,MATCH(H222,Setup!$D$5:$D$34,0)),"Not in Setup"))</f>
        <v/>
      </c>
      <c r="J222" s="9"/>
    </row>
    <row r="223" customFormat="false" ht="15" hidden="false" customHeight="false" outlineLevel="0" collapsed="false">
      <c r="A223" s="10"/>
      <c r="B223" s="9"/>
      <c r="C223" s="9"/>
      <c r="D223" s="11"/>
      <c r="E223" s="11"/>
      <c r="F223" s="12"/>
      <c r="G223" s="13" t="str">
        <f aca="false">IF(F223&lt;&gt;"",F223,IF(OR(D223="",E223=""),"",ROUND(MOD(E223-D223,1)*1440,0)))</f>
        <v/>
      </c>
      <c r="H223" s="9"/>
      <c r="I223" s="14" t="str">
        <f aca="false">IF(H223="","",IFERROR(INDEX(Setup!$E$5:$E$34,MATCH(H223,Setup!$D$5:$D$34,0)),"Not in Setup"))</f>
        <v/>
      </c>
      <c r="J223" s="9"/>
    </row>
    <row r="224" customFormat="false" ht="15" hidden="false" customHeight="false" outlineLevel="0" collapsed="false">
      <c r="A224" s="10"/>
      <c r="B224" s="9"/>
      <c r="C224" s="9"/>
      <c r="D224" s="11"/>
      <c r="E224" s="11"/>
      <c r="F224" s="12"/>
      <c r="G224" s="13" t="str">
        <f aca="false">IF(F224&lt;&gt;"",F224,IF(OR(D224="",E224=""),"",ROUND(MOD(E224-D224,1)*1440,0)))</f>
        <v/>
      </c>
      <c r="H224" s="9"/>
      <c r="I224" s="14" t="str">
        <f aca="false">IF(H224="","",IFERROR(INDEX(Setup!$E$5:$E$34,MATCH(H224,Setup!$D$5:$D$34,0)),"Not in Setup"))</f>
        <v/>
      </c>
      <c r="J224" s="9"/>
    </row>
    <row r="225" customFormat="false" ht="15" hidden="false" customHeight="false" outlineLevel="0" collapsed="false">
      <c r="A225" s="10"/>
      <c r="B225" s="9"/>
      <c r="C225" s="9"/>
      <c r="D225" s="11"/>
      <c r="E225" s="11"/>
      <c r="F225" s="12"/>
      <c r="G225" s="13" t="str">
        <f aca="false">IF(F225&lt;&gt;"",F225,IF(OR(D225="",E225=""),"",ROUND(MOD(E225-D225,1)*1440,0)))</f>
        <v/>
      </c>
      <c r="H225" s="9"/>
      <c r="I225" s="14" t="str">
        <f aca="false">IF(H225="","",IFERROR(INDEX(Setup!$E$5:$E$34,MATCH(H225,Setup!$D$5:$D$34,0)),"Not in Setup"))</f>
        <v/>
      </c>
      <c r="J225" s="9"/>
    </row>
    <row r="226" customFormat="false" ht="15" hidden="false" customHeight="false" outlineLevel="0" collapsed="false">
      <c r="A226" s="10"/>
      <c r="B226" s="9"/>
      <c r="C226" s="9"/>
      <c r="D226" s="11"/>
      <c r="E226" s="11"/>
      <c r="F226" s="12"/>
      <c r="G226" s="13" t="str">
        <f aca="false">IF(F226&lt;&gt;"",F226,IF(OR(D226="",E226=""),"",ROUND(MOD(E226-D226,1)*1440,0)))</f>
        <v/>
      </c>
      <c r="H226" s="9"/>
      <c r="I226" s="14" t="str">
        <f aca="false">IF(H226="","",IFERROR(INDEX(Setup!$E$5:$E$34,MATCH(H226,Setup!$D$5:$D$34,0)),"Not in Setup"))</f>
        <v/>
      </c>
      <c r="J226" s="9"/>
    </row>
    <row r="227" customFormat="false" ht="15" hidden="false" customHeight="false" outlineLevel="0" collapsed="false">
      <c r="A227" s="10"/>
      <c r="B227" s="9"/>
      <c r="C227" s="9"/>
      <c r="D227" s="11"/>
      <c r="E227" s="11"/>
      <c r="F227" s="12"/>
      <c r="G227" s="13" t="str">
        <f aca="false">IF(F227&lt;&gt;"",F227,IF(OR(D227="",E227=""),"",ROUND(MOD(E227-D227,1)*1440,0)))</f>
        <v/>
      </c>
      <c r="H227" s="9"/>
      <c r="I227" s="14" t="str">
        <f aca="false">IF(H227="","",IFERROR(INDEX(Setup!$E$5:$E$34,MATCH(H227,Setup!$D$5:$D$34,0)),"Not in Setup"))</f>
        <v/>
      </c>
      <c r="J227" s="9"/>
    </row>
    <row r="228" customFormat="false" ht="15" hidden="false" customHeight="false" outlineLevel="0" collapsed="false">
      <c r="A228" s="10"/>
      <c r="B228" s="9"/>
      <c r="C228" s="9"/>
      <c r="D228" s="11"/>
      <c r="E228" s="11"/>
      <c r="F228" s="12"/>
      <c r="G228" s="13" t="str">
        <f aca="false">IF(F228&lt;&gt;"",F228,IF(OR(D228="",E228=""),"",ROUND(MOD(E228-D228,1)*1440,0)))</f>
        <v/>
      </c>
      <c r="H228" s="9"/>
      <c r="I228" s="14" t="str">
        <f aca="false">IF(H228="","",IFERROR(INDEX(Setup!$E$5:$E$34,MATCH(H228,Setup!$D$5:$D$34,0)),"Not in Setup"))</f>
        <v/>
      </c>
      <c r="J228" s="9"/>
    </row>
    <row r="229" customFormat="false" ht="15" hidden="false" customHeight="false" outlineLevel="0" collapsed="false">
      <c r="A229" s="10"/>
      <c r="B229" s="9"/>
      <c r="C229" s="9"/>
      <c r="D229" s="11"/>
      <c r="E229" s="11"/>
      <c r="F229" s="12"/>
      <c r="G229" s="13" t="str">
        <f aca="false">IF(F229&lt;&gt;"",F229,IF(OR(D229="",E229=""),"",ROUND(MOD(E229-D229,1)*1440,0)))</f>
        <v/>
      </c>
      <c r="H229" s="9"/>
      <c r="I229" s="14" t="str">
        <f aca="false">IF(H229="","",IFERROR(INDEX(Setup!$E$5:$E$34,MATCH(H229,Setup!$D$5:$D$34,0)),"Not in Setup"))</f>
        <v/>
      </c>
      <c r="J229" s="9"/>
    </row>
    <row r="230" customFormat="false" ht="15" hidden="false" customHeight="false" outlineLevel="0" collapsed="false">
      <c r="A230" s="10"/>
      <c r="B230" s="9"/>
      <c r="C230" s="9"/>
      <c r="D230" s="11"/>
      <c r="E230" s="11"/>
      <c r="F230" s="12"/>
      <c r="G230" s="13" t="str">
        <f aca="false">IF(F230&lt;&gt;"",F230,IF(OR(D230="",E230=""),"",ROUND(MOD(E230-D230,1)*1440,0)))</f>
        <v/>
      </c>
      <c r="H230" s="9"/>
      <c r="I230" s="14" t="str">
        <f aca="false">IF(H230="","",IFERROR(INDEX(Setup!$E$5:$E$34,MATCH(H230,Setup!$D$5:$D$34,0)),"Not in Setup"))</f>
        <v/>
      </c>
      <c r="J230" s="9"/>
    </row>
    <row r="231" customFormat="false" ht="15" hidden="false" customHeight="false" outlineLevel="0" collapsed="false">
      <c r="A231" s="10"/>
      <c r="B231" s="9"/>
      <c r="C231" s="9"/>
      <c r="D231" s="11"/>
      <c r="E231" s="11"/>
      <c r="F231" s="12"/>
      <c r="G231" s="13" t="str">
        <f aca="false">IF(F231&lt;&gt;"",F231,IF(OR(D231="",E231=""),"",ROUND(MOD(E231-D231,1)*1440,0)))</f>
        <v/>
      </c>
      <c r="H231" s="9"/>
      <c r="I231" s="14" t="str">
        <f aca="false">IF(H231="","",IFERROR(INDEX(Setup!$E$5:$E$34,MATCH(H231,Setup!$D$5:$D$34,0)),"Not in Setup"))</f>
        <v/>
      </c>
      <c r="J231" s="9"/>
    </row>
    <row r="232" customFormat="false" ht="15" hidden="false" customHeight="false" outlineLevel="0" collapsed="false">
      <c r="A232" s="10"/>
      <c r="B232" s="9"/>
      <c r="C232" s="9"/>
      <c r="D232" s="11"/>
      <c r="E232" s="11"/>
      <c r="F232" s="12"/>
      <c r="G232" s="13" t="str">
        <f aca="false">IF(F232&lt;&gt;"",F232,IF(OR(D232="",E232=""),"",ROUND(MOD(E232-D232,1)*1440,0)))</f>
        <v/>
      </c>
      <c r="H232" s="9"/>
      <c r="I232" s="14" t="str">
        <f aca="false">IF(H232="","",IFERROR(INDEX(Setup!$E$5:$E$34,MATCH(H232,Setup!$D$5:$D$34,0)),"Not in Setup"))</f>
        <v/>
      </c>
      <c r="J232" s="9"/>
    </row>
    <row r="233" customFormat="false" ht="15" hidden="false" customHeight="false" outlineLevel="0" collapsed="false">
      <c r="A233" s="10"/>
      <c r="B233" s="9"/>
      <c r="C233" s="9"/>
      <c r="D233" s="11"/>
      <c r="E233" s="11"/>
      <c r="F233" s="12"/>
      <c r="G233" s="13" t="str">
        <f aca="false">IF(F233&lt;&gt;"",F233,IF(OR(D233="",E233=""),"",ROUND(MOD(E233-D233,1)*1440,0)))</f>
        <v/>
      </c>
      <c r="H233" s="9"/>
      <c r="I233" s="14" t="str">
        <f aca="false">IF(H233="","",IFERROR(INDEX(Setup!$E$5:$E$34,MATCH(H233,Setup!$D$5:$D$34,0)),"Not in Setup"))</f>
        <v/>
      </c>
      <c r="J233" s="9"/>
    </row>
    <row r="234" customFormat="false" ht="15" hidden="false" customHeight="false" outlineLevel="0" collapsed="false">
      <c r="A234" s="10"/>
      <c r="B234" s="9"/>
      <c r="C234" s="9"/>
      <c r="D234" s="11"/>
      <c r="E234" s="11"/>
      <c r="F234" s="12"/>
      <c r="G234" s="13" t="str">
        <f aca="false">IF(F234&lt;&gt;"",F234,IF(OR(D234="",E234=""),"",ROUND(MOD(E234-D234,1)*1440,0)))</f>
        <v/>
      </c>
      <c r="H234" s="9"/>
      <c r="I234" s="14" t="str">
        <f aca="false">IF(H234="","",IFERROR(INDEX(Setup!$E$5:$E$34,MATCH(H234,Setup!$D$5:$D$34,0)),"Not in Setup"))</f>
        <v/>
      </c>
      <c r="J234" s="9"/>
    </row>
    <row r="235" customFormat="false" ht="15" hidden="false" customHeight="false" outlineLevel="0" collapsed="false">
      <c r="A235" s="10"/>
      <c r="B235" s="9"/>
      <c r="C235" s="9"/>
      <c r="D235" s="11"/>
      <c r="E235" s="11"/>
      <c r="F235" s="12"/>
      <c r="G235" s="13" t="str">
        <f aca="false">IF(F235&lt;&gt;"",F235,IF(OR(D235="",E235=""),"",ROUND(MOD(E235-D235,1)*1440,0)))</f>
        <v/>
      </c>
      <c r="H235" s="9"/>
      <c r="I235" s="14" t="str">
        <f aca="false">IF(H235="","",IFERROR(INDEX(Setup!$E$5:$E$34,MATCH(H235,Setup!$D$5:$D$34,0)),"Not in Setup"))</f>
        <v/>
      </c>
      <c r="J235" s="9"/>
    </row>
    <row r="236" customFormat="false" ht="15" hidden="false" customHeight="false" outlineLevel="0" collapsed="false">
      <c r="A236" s="10"/>
      <c r="B236" s="9"/>
      <c r="C236" s="9"/>
      <c r="D236" s="11"/>
      <c r="E236" s="11"/>
      <c r="F236" s="12"/>
      <c r="G236" s="13" t="str">
        <f aca="false">IF(F236&lt;&gt;"",F236,IF(OR(D236="",E236=""),"",ROUND(MOD(E236-D236,1)*1440,0)))</f>
        <v/>
      </c>
      <c r="H236" s="9"/>
      <c r="I236" s="14" t="str">
        <f aca="false">IF(H236="","",IFERROR(INDEX(Setup!$E$5:$E$34,MATCH(H236,Setup!$D$5:$D$34,0)),"Not in Setup"))</f>
        <v/>
      </c>
      <c r="J236" s="9"/>
    </row>
    <row r="237" customFormat="false" ht="15" hidden="false" customHeight="false" outlineLevel="0" collapsed="false">
      <c r="A237" s="10"/>
      <c r="B237" s="9"/>
      <c r="C237" s="9"/>
      <c r="D237" s="11"/>
      <c r="E237" s="11"/>
      <c r="F237" s="12"/>
      <c r="G237" s="13" t="str">
        <f aca="false">IF(F237&lt;&gt;"",F237,IF(OR(D237="",E237=""),"",ROUND(MOD(E237-D237,1)*1440,0)))</f>
        <v/>
      </c>
      <c r="H237" s="9"/>
      <c r="I237" s="14" t="str">
        <f aca="false">IF(H237="","",IFERROR(INDEX(Setup!$E$5:$E$34,MATCH(H237,Setup!$D$5:$D$34,0)),"Not in Setup"))</f>
        <v/>
      </c>
      <c r="J237" s="9"/>
    </row>
    <row r="238" customFormat="false" ht="15" hidden="false" customHeight="false" outlineLevel="0" collapsed="false">
      <c r="A238" s="10"/>
      <c r="B238" s="9"/>
      <c r="C238" s="9"/>
      <c r="D238" s="11"/>
      <c r="E238" s="11"/>
      <c r="F238" s="12"/>
      <c r="G238" s="13" t="str">
        <f aca="false">IF(F238&lt;&gt;"",F238,IF(OR(D238="",E238=""),"",ROUND(MOD(E238-D238,1)*1440,0)))</f>
        <v/>
      </c>
      <c r="H238" s="9"/>
      <c r="I238" s="14" t="str">
        <f aca="false">IF(H238="","",IFERROR(INDEX(Setup!$E$5:$E$34,MATCH(H238,Setup!$D$5:$D$34,0)),"Not in Setup"))</f>
        <v/>
      </c>
      <c r="J238" s="9"/>
    </row>
    <row r="239" customFormat="false" ht="15" hidden="false" customHeight="false" outlineLevel="0" collapsed="false">
      <c r="A239" s="10"/>
      <c r="B239" s="9"/>
      <c r="C239" s="9"/>
      <c r="D239" s="11"/>
      <c r="E239" s="11"/>
      <c r="F239" s="12"/>
      <c r="G239" s="13" t="str">
        <f aca="false">IF(F239&lt;&gt;"",F239,IF(OR(D239="",E239=""),"",ROUND(MOD(E239-D239,1)*1440,0)))</f>
        <v/>
      </c>
      <c r="H239" s="9"/>
      <c r="I239" s="14" t="str">
        <f aca="false">IF(H239="","",IFERROR(INDEX(Setup!$E$5:$E$34,MATCH(H239,Setup!$D$5:$D$34,0)),"Not in Setup"))</f>
        <v/>
      </c>
      <c r="J239" s="9"/>
    </row>
    <row r="240" customFormat="false" ht="15" hidden="false" customHeight="false" outlineLevel="0" collapsed="false">
      <c r="A240" s="10"/>
      <c r="B240" s="9"/>
      <c r="C240" s="9"/>
      <c r="D240" s="11"/>
      <c r="E240" s="11"/>
      <c r="F240" s="12"/>
      <c r="G240" s="13" t="str">
        <f aca="false">IF(F240&lt;&gt;"",F240,IF(OR(D240="",E240=""),"",ROUND(MOD(E240-D240,1)*1440,0)))</f>
        <v/>
      </c>
      <c r="H240" s="9"/>
      <c r="I240" s="14" t="str">
        <f aca="false">IF(H240="","",IFERROR(INDEX(Setup!$E$5:$E$34,MATCH(H240,Setup!$D$5:$D$34,0)),"Not in Setup"))</f>
        <v/>
      </c>
      <c r="J240" s="9"/>
    </row>
    <row r="241" customFormat="false" ht="15" hidden="false" customHeight="false" outlineLevel="0" collapsed="false">
      <c r="A241" s="10"/>
      <c r="B241" s="9"/>
      <c r="C241" s="9"/>
      <c r="D241" s="11"/>
      <c r="E241" s="11"/>
      <c r="F241" s="12"/>
      <c r="G241" s="13" t="str">
        <f aca="false">IF(F241&lt;&gt;"",F241,IF(OR(D241="",E241=""),"",ROUND(MOD(E241-D241,1)*1440,0)))</f>
        <v/>
      </c>
      <c r="H241" s="9"/>
      <c r="I241" s="14" t="str">
        <f aca="false">IF(H241="","",IFERROR(INDEX(Setup!$E$5:$E$34,MATCH(H241,Setup!$D$5:$D$34,0)),"Not in Setup"))</f>
        <v/>
      </c>
      <c r="J241" s="9"/>
    </row>
    <row r="242" customFormat="false" ht="15" hidden="false" customHeight="false" outlineLevel="0" collapsed="false">
      <c r="A242" s="10"/>
      <c r="B242" s="9"/>
      <c r="C242" s="9"/>
      <c r="D242" s="11"/>
      <c r="E242" s="11"/>
      <c r="F242" s="12"/>
      <c r="G242" s="13" t="str">
        <f aca="false">IF(F242&lt;&gt;"",F242,IF(OR(D242="",E242=""),"",ROUND(MOD(E242-D242,1)*1440,0)))</f>
        <v/>
      </c>
      <c r="H242" s="9"/>
      <c r="I242" s="14" t="str">
        <f aca="false">IF(H242="","",IFERROR(INDEX(Setup!$E$5:$E$34,MATCH(H242,Setup!$D$5:$D$34,0)),"Not in Setup"))</f>
        <v/>
      </c>
      <c r="J242" s="9"/>
    </row>
    <row r="243" customFormat="false" ht="15" hidden="false" customHeight="false" outlineLevel="0" collapsed="false">
      <c r="A243" s="10"/>
      <c r="B243" s="9"/>
      <c r="C243" s="9"/>
      <c r="D243" s="11"/>
      <c r="E243" s="11"/>
      <c r="F243" s="12"/>
      <c r="G243" s="13" t="str">
        <f aca="false">IF(F243&lt;&gt;"",F243,IF(OR(D243="",E243=""),"",ROUND(MOD(E243-D243,1)*1440,0)))</f>
        <v/>
      </c>
      <c r="H243" s="9"/>
      <c r="I243" s="14" t="str">
        <f aca="false">IF(H243="","",IFERROR(INDEX(Setup!$E$5:$E$34,MATCH(H243,Setup!$D$5:$D$34,0)),"Not in Setup"))</f>
        <v/>
      </c>
      <c r="J243" s="9"/>
    </row>
    <row r="244" customFormat="false" ht="15" hidden="false" customHeight="false" outlineLevel="0" collapsed="false">
      <c r="A244" s="10"/>
      <c r="B244" s="9"/>
      <c r="C244" s="9"/>
      <c r="D244" s="11"/>
      <c r="E244" s="11"/>
      <c r="F244" s="12"/>
      <c r="G244" s="13" t="str">
        <f aca="false">IF(F244&lt;&gt;"",F244,IF(OR(D244="",E244=""),"",ROUND(MOD(E244-D244,1)*1440,0)))</f>
        <v/>
      </c>
      <c r="H244" s="9"/>
      <c r="I244" s="14" t="str">
        <f aca="false">IF(H244="","",IFERROR(INDEX(Setup!$E$5:$E$34,MATCH(H244,Setup!$D$5:$D$34,0)),"Not in Setup"))</f>
        <v/>
      </c>
      <c r="J244" s="9"/>
    </row>
    <row r="245" customFormat="false" ht="15" hidden="false" customHeight="false" outlineLevel="0" collapsed="false">
      <c r="A245" s="10"/>
      <c r="B245" s="9"/>
      <c r="C245" s="9"/>
      <c r="D245" s="11"/>
      <c r="E245" s="11"/>
      <c r="F245" s="12"/>
      <c r="G245" s="13" t="str">
        <f aca="false">IF(F245&lt;&gt;"",F245,IF(OR(D245="",E245=""),"",ROUND(MOD(E245-D245,1)*1440,0)))</f>
        <v/>
      </c>
      <c r="H245" s="9"/>
      <c r="I245" s="14" t="str">
        <f aca="false">IF(H245="","",IFERROR(INDEX(Setup!$E$5:$E$34,MATCH(H245,Setup!$D$5:$D$34,0)),"Not in Setup"))</f>
        <v/>
      </c>
      <c r="J245" s="9"/>
    </row>
    <row r="246" customFormat="false" ht="15" hidden="false" customHeight="false" outlineLevel="0" collapsed="false">
      <c r="A246" s="10"/>
      <c r="B246" s="9"/>
      <c r="C246" s="9"/>
      <c r="D246" s="11"/>
      <c r="E246" s="11"/>
      <c r="F246" s="12"/>
      <c r="G246" s="13" t="str">
        <f aca="false">IF(F246&lt;&gt;"",F246,IF(OR(D246="",E246=""),"",ROUND(MOD(E246-D246,1)*1440,0)))</f>
        <v/>
      </c>
      <c r="H246" s="9"/>
      <c r="I246" s="14" t="str">
        <f aca="false">IF(H246="","",IFERROR(INDEX(Setup!$E$5:$E$34,MATCH(H246,Setup!$D$5:$D$34,0)),"Not in Setup"))</f>
        <v/>
      </c>
      <c r="J246" s="9"/>
    </row>
    <row r="247" customFormat="false" ht="15" hidden="false" customHeight="false" outlineLevel="0" collapsed="false">
      <c r="A247" s="10"/>
      <c r="B247" s="9"/>
      <c r="C247" s="9"/>
      <c r="D247" s="11"/>
      <c r="E247" s="11"/>
      <c r="F247" s="12"/>
      <c r="G247" s="13" t="str">
        <f aca="false">IF(F247&lt;&gt;"",F247,IF(OR(D247="",E247=""),"",ROUND(MOD(E247-D247,1)*1440,0)))</f>
        <v/>
      </c>
      <c r="H247" s="9"/>
      <c r="I247" s="14" t="str">
        <f aca="false">IF(H247="","",IFERROR(INDEX(Setup!$E$5:$E$34,MATCH(H247,Setup!$D$5:$D$34,0)),"Not in Setup"))</f>
        <v/>
      </c>
      <c r="J247" s="9"/>
    </row>
    <row r="248" customFormat="false" ht="15" hidden="false" customHeight="false" outlineLevel="0" collapsed="false">
      <c r="A248" s="10"/>
      <c r="B248" s="9"/>
      <c r="C248" s="9"/>
      <c r="D248" s="11"/>
      <c r="E248" s="11"/>
      <c r="F248" s="12"/>
      <c r="G248" s="13" t="str">
        <f aca="false">IF(F248&lt;&gt;"",F248,IF(OR(D248="",E248=""),"",ROUND(MOD(E248-D248,1)*1440,0)))</f>
        <v/>
      </c>
      <c r="H248" s="9"/>
      <c r="I248" s="14" t="str">
        <f aca="false">IF(H248="","",IFERROR(INDEX(Setup!$E$5:$E$34,MATCH(H248,Setup!$D$5:$D$34,0)),"Not in Setup"))</f>
        <v/>
      </c>
      <c r="J248" s="9"/>
    </row>
    <row r="249" customFormat="false" ht="15" hidden="false" customHeight="false" outlineLevel="0" collapsed="false">
      <c r="A249" s="10"/>
      <c r="B249" s="9"/>
      <c r="C249" s="9"/>
      <c r="D249" s="11"/>
      <c r="E249" s="11"/>
      <c r="F249" s="12"/>
      <c r="G249" s="13" t="str">
        <f aca="false">IF(F249&lt;&gt;"",F249,IF(OR(D249="",E249=""),"",ROUND(MOD(E249-D249,1)*1440,0)))</f>
        <v/>
      </c>
      <c r="H249" s="9"/>
      <c r="I249" s="14" t="str">
        <f aca="false">IF(H249="","",IFERROR(INDEX(Setup!$E$5:$E$34,MATCH(H249,Setup!$D$5:$D$34,0)),"Not in Setup"))</f>
        <v/>
      </c>
      <c r="J249" s="9"/>
    </row>
    <row r="250" customFormat="false" ht="15" hidden="false" customHeight="false" outlineLevel="0" collapsed="false">
      <c r="A250" s="10"/>
      <c r="B250" s="9"/>
      <c r="C250" s="9"/>
      <c r="D250" s="11"/>
      <c r="E250" s="11"/>
      <c r="F250" s="12"/>
      <c r="G250" s="13" t="str">
        <f aca="false">IF(F250&lt;&gt;"",F250,IF(OR(D250="",E250=""),"",ROUND(MOD(E250-D250,1)*1440,0)))</f>
        <v/>
      </c>
      <c r="H250" s="9"/>
      <c r="I250" s="14" t="str">
        <f aca="false">IF(H250="","",IFERROR(INDEX(Setup!$E$5:$E$34,MATCH(H250,Setup!$D$5:$D$34,0)),"Not in Setup"))</f>
        <v/>
      </c>
      <c r="J250" s="9"/>
    </row>
    <row r="251" customFormat="false" ht="15" hidden="false" customHeight="false" outlineLevel="0" collapsed="false">
      <c r="A251" s="10"/>
      <c r="B251" s="9"/>
      <c r="C251" s="9"/>
      <c r="D251" s="11"/>
      <c r="E251" s="11"/>
      <c r="F251" s="12"/>
      <c r="G251" s="13" t="str">
        <f aca="false">IF(F251&lt;&gt;"",F251,IF(OR(D251="",E251=""),"",ROUND(MOD(E251-D251,1)*1440,0)))</f>
        <v/>
      </c>
      <c r="H251" s="9"/>
      <c r="I251" s="14" t="str">
        <f aca="false">IF(H251="","",IFERROR(INDEX(Setup!$E$5:$E$34,MATCH(H251,Setup!$D$5:$D$34,0)),"Not in Setup"))</f>
        <v/>
      </c>
      <c r="J251" s="9"/>
    </row>
    <row r="252" customFormat="false" ht="15" hidden="false" customHeight="false" outlineLevel="0" collapsed="false">
      <c r="A252" s="10"/>
      <c r="B252" s="9"/>
      <c r="C252" s="9"/>
      <c r="D252" s="11"/>
      <c r="E252" s="11"/>
      <c r="F252" s="12"/>
      <c r="G252" s="13" t="str">
        <f aca="false">IF(F252&lt;&gt;"",F252,IF(OR(D252="",E252=""),"",ROUND(MOD(E252-D252,1)*1440,0)))</f>
        <v/>
      </c>
      <c r="H252" s="9"/>
      <c r="I252" s="14" t="str">
        <f aca="false">IF(H252="","",IFERROR(INDEX(Setup!$E$5:$E$34,MATCH(H252,Setup!$D$5:$D$34,0)),"Not in Setup"))</f>
        <v/>
      </c>
      <c r="J252" s="9"/>
    </row>
    <row r="253" customFormat="false" ht="15" hidden="false" customHeight="false" outlineLevel="0" collapsed="false">
      <c r="A253" s="10"/>
      <c r="B253" s="9"/>
      <c r="C253" s="9"/>
      <c r="D253" s="11"/>
      <c r="E253" s="11"/>
      <c r="F253" s="12"/>
      <c r="G253" s="13" t="str">
        <f aca="false">IF(F253&lt;&gt;"",F253,IF(OR(D253="",E253=""),"",ROUND(MOD(E253-D253,1)*1440,0)))</f>
        <v/>
      </c>
      <c r="H253" s="9"/>
      <c r="I253" s="14" t="str">
        <f aca="false">IF(H253="","",IFERROR(INDEX(Setup!$E$5:$E$34,MATCH(H253,Setup!$D$5:$D$34,0)),"Not in Setup"))</f>
        <v/>
      </c>
      <c r="J253" s="9"/>
    </row>
    <row r="254" customFormat="false" ht="15" hidden="false" customHeight="false" outlineLevel="0" collapsed="false">
      <c r="A254" s="10"/>
      <c r="B254" s="9"/>
      <c r="C254" s="9"/>
      <c r="D254" s="11"/>
      <c r="E254" s="11"/>
      <c r="F254" s="12"/>
      <c r="G254" s="13" t="str">
        <f aca="false">IF(F254&lt;&gt;"",F254,IF(OR(D254="",E254=""),"",ROUND(MOD(E254-D254,1)*1440,0)))</f>
        <v/>
      </c>
      <c r="H254" s="9"/>
      <c r="I254" s="14" t="str">
        <f aca="false">IF(H254="","",IFERROR(INDEX(Setup!$E$5:$E$34,MATCH(H254,Setup!$D$5:$D$34,0)),"Not in Setup"))</f>
        <v/>
      </c>
      <c r="J254" s="9"/>
    </row>
    <row r="255" customFormat="false" ht="15" hidden="false" customHeight="false" outlineLevel="0" collapsed="false">
      <c r="A255" s="10"/>
      <c r="B255" s="9"/>
      <c r="C255" s="9"/>
      <c r="D255" s="11"/>
      <c r="E255" s="11"/>
      <c r="F255" s="12"/>
      <c r="G255" s="13" t="str">
        <f aca="false">IF(F255&lt;&gt;"",F255,IF(OR(D255="",E255=""),"",ROUND(MOD(E255-D255,1)*1440,0)))</f>
        <v/>
      </c>
      <c r="H255" s="9"/>
      <c r="I255" s="14" t="str">
        <f aca="false">IF(H255="","",IFERROR(INDEX(Setup!$E$5:$E$34,MATCH(H255,Setup!$D$5:$D$34,0)),"Not in Setup"))</f>
        <v/>
      </c>
      <c r="J255" s="9"/>
    </row>
    <row r="256" customFormat="false" ht="15" hidden="false" customHeight="false" outlineLevel="0" collapsed="false">
      <c r="A256" s="10"/>
      <c r="B256" s="9"/>
      <c r="C256" s="9"/>
      <c r="D256" s="11"/>
      <c r="E256" s="11"/>
      <c r="F256" s="12"/>
      <c r="G256" s="13" t="str">
        <f aca="false">IF(F256&lt;&gt;"",F256,IF(OR(D256="",E256=""),"",ROUND(MOD(E256-D256,1)*1440,0)))</f>
        <v/>
      </c>
      <c r="H256" s="9"/>
      <c r="I256" s="14" t="str">
        <f aca="false">IF(H256="","",IFERROR(INDEX(Setup!$E$5:$E$34,MATCH(H256,Setup!$D$5:$D$34,0)),"Not in Setup"))</f>
        <v/>
      </c>
      <c r="J256" s="9"/>
    </row>
    <row r="257" customFormat="false" ht="15" hidden="false" customHeight="false" outlineLevel="0" collapsed="false">
      <c r="A257" s="10"/>
      <c r="B257" s="9"/>
      <c r="C257" s="9"/>
      <c r="D257" s="11"/>
      <c r="E257" s="11"/>
      <c r="F257" s="12"/>
      <c r="G257" s="13" t="str">
        <f aca="false">IF(F257&lt;&gt;"",F257,IF(OR(D257="",E257=""),"",ROUND(MOD(E257-D257,1)*1440,0)))</f>
        <v/>
      </c>
      <c r="H257" s="9"/>
      <c r="I257" s="14" t="str">
        <f aca="false">IF(H257="","",IFERROR(INDEX(Setup!$E$5:$E$34,MATCH(H257,Setup!$D$5:$D$34,0)),"Not in Setup"))</f>
        <v/>
      </c>
      <c r="J257" s="9"/>
    </row>
    <row r="258" customFormat="false" ht="15" hidden="false" customHeight="false" outlineLevel="0" collapsed="false">
      <c r="A258" s="10"/>
      <c r="B258" s="9"/>
      <c r="C258" s="9"/>
      <c r="D258" s="11"/>
      <c r="E258" s="11"/>
      <c r="F258" s="12"/>
      <c r="G258" s="13" t="str">
        <f aca="false">IF(F258&lt;&gt;"",F258,IF(OR(D258="",E258=""),"",ROUND(MOD(E258-D258,1)*1440,0)))</f>
        <v/>
      </c>
      <c r="H258" s="9"/>
      <c r="I258" s="14" t="str">
        <f aca="false">IF(H258="","",IFERROR(INDEX(Setup!$E$5:$E$34,MATCH(H258,Setup!$D$5:$D$34,0)),"Not in Setup"))</f>
        <v/>
      </c>
      <c r="J258" s="9"/>
    </row>
    <row r="259" customFormat="false" ht="15" hidden="false" customHeight="false" outlineLevel="0" collapsed="false">
      <c r="A259" s="10"/>
      <c r="B259" s="9"/>
      <c r="C259" s="9"/>
      <c r="D259" s="11"/>
      <c r="E259" s="11"/>
      <c r="F259" s="12"/>
      <c r="G259" s="13" t="str">
        <f aca="false">IF(F259&lt;&gt;"",F259,IF(OR(D259="",E259=""),"",ROUND(MOD(E259-D259,1)*1440,0)))</f>
        <v/>
      </c>
      <c r="H259" s="9"/>
      <c r="I259" s="14" t="str">
        <f aca="false">IF(H259="","",IFERROR(INDEX(Setup!$E$5:$E$34,MATCH(H259,Setup!$D$5:$D$34,0)),"Not in Setup"))</f>
        <v/>
      </c>
      <c r="J259" s="9"/>
    </row>
    <row r="260" customFormat="false" ht="15" hidden="false" customHeight="false" outlineLevel="0" collapsed="false">
      <c r="A260" s="10"/>
      <c r="B260" s="9"/>
      <c r="C260" s="9"/>
      <c r="D260" s="11"/>
      <c r="E260" s="11"/>
      <c r="F260" s="12"/>
      <c r="G260" s="13" t="str">
        <f aca="false">IF(F260&lt;&gt;"",F260,IF(OR(D260="",E260=""),"",ROUND(MOD(E260-D260,1)*1440,0)))</f>
        <v/>
      </c>
      <c r="H260" s="9"/>
      <c r="I260" s="14" t="str">
        <f aca="false">IF(H260="","",IFERROR(INDEX(Setup!$E$5:$E$34,MATCH(H260,Setup!$D$5:$D$34,0)),"Not in Setup"))</f>
        <v/>
      </c>
      <c r="J260" s="9"/>
    </row>
    <row r="261" customFormat="false" ht="15" hidden="false" customHeight="false" outlineLevel="0" collapsed="false">
      <c r="A261" s="10"/>
      <c r="B261" s="9"/>
      <c r="C261" s="9"/>
      <c r="D261" s="11"/>
      <c r="E261" s="11"/>
      <c r="F261" s="12"/>
      <c r="G261" s="13" t="str">
        <f aca="false">IF(F261&lt;&gt;"",F261,IF(OR(D261="",E261=""),"",ROUND(MOD(E261-D261,1)*1440,0)))</f>
        <v/>
      </c>
      <c r="H261" s="9"/>
      <c r="I261" s="14" t="str">
        <f aca="false">IF(H261="","",IFERROR(INDEX(Setup!$E$5:$E$34,MATCH(H261,Setup!$D$5:$D$34,0)),"Not in Setup"))</f>
        <v/>
      </c>
      <c r="J261" s="9"/>
    </row>
    <row r="262" customFormat="false" ht="15" hidden="false" customHeight="false" outlineLevel="0" collapsed="false">
      <c r="A262" s="10"/>
      <c r="B262" s="9"/>
      <c r="C262" s="9"/>
      <c r="D262" s="11"/>
      <c r="E262" s="11"/>
      <c r="F262" s="12"/>
      <c r="G262" s="13" t="str">
        <f aca="false">IF(F262&lt;&gt;"",F262,IF(OR(D262="",E262=""),"",ROUND(MOD(E262-D262,1)*1440,0)))</f>
        <v/>
      </c>
      <c r="H262" s="9"/>
      <c r="I262" s="14" t="str">
        <f aca="false">IF(H262="","",IFERROR(INDEX(Setup!$E$5:$E$34,MATCH(H262,Setup!$D$5:$D$34,0)),"Not in Setup"))</f>
        <v/>
      </c>
      <c r="J262" s="9"/>
    </row>
    <row r="263" customFormat="false" ht="15" hidden="false" customHeight="false" outlineLevel="0" collapsed="false">
      <c r="A263" s="10"/>
      <c r="B263" s="9"/>
      <c r="C263" s="9"/>
      <c r="D263" s="11"/>
      <c r="E263" s="11"/>
      <c r="F263" s="12"/>
      <c r="G263" s="13" t="str">
        <f aca="false">IF(F263&lt;&gt;"",F263,IF(OR(D263="",E263=""),"",ROUND(MOD(E263-D263,1)*1440,0)))</f>
        <v/>
      </c>
      <c r="H263" s="9"/>
      <c r="I263" s="14" t="str">
        <f aca="false">IF(H263="","",IFERROR(INDEX(Setup!$E$5:$E$34,MATCH(H263,Setup!$D$5:$D$34,0)),"Not in Setup"))</f>
        <v/>
      </c>
      <c r="J263" s="9"/>
    </row>
    <row r="264" customFormat="false" ht="15" hidden="false" customHeight="false" outlineLevel="0" collapsed="false">
      <c r="A264" s="10"/>
      <c r="B264" s="9"/>
      <c r="C264" s="9"/>
      <c r="D264" s="11"/>
      <c r="E264" s="11"/>
      <c r="F264" s="12"/>
      <c r="G264" s="13" t="str">
        <f aca="false">IF(F264&lt;&gt;"",F264,IF(OR(D264="",E264=""),"",ROUND(MOD(E264-D264,1)*1440,0)))</f>
        <v/>
      </c>
      <c r="H264" s="9"/>
      <c r="I264" s="14" t="str">
        <f aca="false">IF(H264="","",IFERROR(INDEX(Setup!$E$5:$E$34,MATCH(H264,Setup!$D$5:$D$34,0)),"Not in Setup"))</f>
        <v/>
      </c>
      <c r="J264" s="9"/>
    </row>
    <row r="265" customFormat="false" ht="15" hidden="false" customHeight="false" outlineLevel="0" collapsed="false">
      <c r="A265" s="10"/>
      <c r="B265" s="9"/>
      <c r="C265" s="9"/>
      <c r="D265" s="11"/>
      <c r="E265" s="11"/>
      <c r="F265" s="12"/>
      <c r="G265" s="13" t="str">
        <f aca="false">IF(F265&lt;&gt;"",F265,IF(OR(D265="",E265=""),"",ROUND(MOD(E265-D265,1)*1440,0)))</f>
        <v/>
      </c>
      <c r="H265" s="9"/>
      <c r="I265" s="14" t="str">
        <f aca="false">IF(H265="","",IFERROR(INDEX(Setup!$E$5:$E$34,MATCH(H265,Setup!$D$5:$D$34,0)),"Not in Setup"))</f>
        <v/>
      </c>
      <c r="J265" s="9"/>
    </row>
    <row r="266" customFormat="false" ht="15" hidden="false" customHeight="false" outlineLevel="0" collapsed="false">
      <c r="A266" s="10"/>
      <c r="B266" s="9"/>
      <c r="C266" s="9"/>
      <c r="D266" s="11"/>
      <c r="E266" s="11"/>
      <c r="F266" s="12"/>
      <c r="G266" s="13" t="str">
        <f aca="false">IF(F266&lt;&gt;"",F266,IF(OR(D266="",E266=""),"",ROUND(MOD(E266-D266,1)*1440,0)))</f>
        <v/>
      </c>
      <c r="H266" s="9"/>
      <c r="I266" s="14" t="str">
        <f aca="false">IF(H266="","",IFERROR(INDEX(Setup!$E$5:$E$34,MATCH(H266,Setup!$D$5:$D$34,0)),"Not in Setup"))</f>
        <v/>
      </c>
      <c r="J266" s="9"/>
    </row>
    <row r="267" customFormat="false" ht="15" hidden="false" customHeight="false" outlineLevel="0" collapsed="false">
      <c r="A267" s="10"/>
      <c r="B267" s="9"/>
      <c r="C267" s="9"/>
      <c r="D267" s="11"/>
      <c r="E267" s="11"/>
      <c r="F267" s="12"/>
      <c r="G267" s="13" t="str">
        <f aca="false">IF(F267&lt;&gt;"",F267,IF(OR(D267="",E267=""),"",ROUND(MOD(E267-D267,1)*1440,0)))</f>
        <v/>
      </c>
      <c r="H267" s="9"/>
      <c r="I267" s="14" t="str">
        <f aca="false">IF(H267="","",IFERROR(INDEX(Setup!$E$5:$E$34,MATCH(H267,Setup!$D$5:$D$34,0)),"Not in Setup"))</f>
        <v/>
      </c>
      <c r="J267" s="9"/>
    </row>
    <row r="268" customFormat="false" ht="15" hidden="false" customHeight="false" outlineLevel="0" collapsed="false">
      <c r="A268" s="10"/>
      <c r="B268" s="9"/>
      <c r="C268" s="9"/>
      <c r="D268" s="11"/>
      <c r="E268" s="11"/>
      <c r="F268" s="12"/>
      <c r="G268" s="13" t="str">
        <f aca="false">IF(F268&lt;&gt;"",F268,IF(OR(D268="",E268=""),"",ROUND(MOD(E268-D268,1)*1440,0)))</f>
        <v/>
      </c>
      <c r="H268" s="9"/>
      <c r="I268" s="14" t="str">
        <f aca="false">IF(H268="","",IFERROR(INDEX(Setup!$E$5:$E$34,MATCH(H268,Setup!$D$5:$D$34,0)),"Not in Setup"))</f>
        <v/>
      </c>
      <c r="J268" s="9"/>
    </row>
    <row r="269" customFormat="false" ht="15" hidden="false" customHeight="false" outlineLevel="0" collapsed="false">
      <c r="A269" s="10"/>
      <c r="B269" s="9"/>
      <c r="C269" s="9"/>
      <c r="D269" s="11"/>
      <c r="E269" s="11"/>
      <c r="F269" s="12"/>
      <c r="G269" s="13" t="str">
        <f aca="false">IF(F269&lt;&gt;"",F269,IF(OR(D269="",E269=""),"",ROUND(MOD(E269-D269,1)*1440,0)))</f>
        <v/>
      </c>
      <c r="H269" s="9"/>
      <c r="I269" s="14" t="str">
        <f aca="false">IF(H269="","",IFERROR(INDEX(Setup!$E$5:$E$34,MATCH(H269,Setup!$D$5:$D$34,0)),"Not in Setup"))</f>
        <v/>
      </c>
      <c r="J269" s="9"/>
    </row>
    <row r="270" customFormat="false" ht="15" hidden="false" customHeight="false" outlineLevel="0" collapsed="false">
      <c r="A270" s="10"/>
      <c r="B270" s="9"/>
      <c r="C270" s="9"/>
      <c r="D270" s="11"/>
      <c r="E270" s="11"/>
      <c r="F270" s="12"/>
      <c r="G270" s="13" t="str">
        <f aca="false">IF(F270&lt;&gt;"",F270,IF(OR(D270="",E270=""),"",ROUND(MOD(E270-D270,1)*1440,0)))</f>
        <v/>
      </c>
      <c r="H270" s="9"/>
      <c r="I270" s="14" t="str">
        <f aca="false">IF(H270="","",IFERROR(INDEX(Setup!$E$5:$E$34,MATCH(H270,Setup!$D$5:$D$34,0)),"Not in Setup"))</f>
        <v/>
      </c>
      <c r="J270" s="9"/>
    </row>
    <row r="271" customFormat="false" ht="15" hidden="false" customHeight="false" outlineLevel="0" collapsed="false">
      <c r="A271" s="10"/>
      <c r="B271" s="9"/>
      <c r="C271" s="9"/>
      <c r="D271" s="11"/>
      <c r="E271" s="11"/>
      <c r="F271" s="12"/>
      <c r="G271" s="13" t="str">
        <f aca="false">IF(F271&lt;&gt;"",F271,IF(OR(D271="",E271=""),"",ROUND(MOD(E271-D271,1)*1440,0)))</f>
        <v/>
      </c>
      <c r="H271" s="9"/>
      <c r="I271" s="14" t="str">
        <f aca="false">IF(H271="","",IFERROR(INDEX(Setup!$E$5:$E$34,MATCH(H271,Setup!$D$5:$D$34,0)),"Not in Setup"))</f>
        <v/>
      </c>
      <c r="J271" s="9"/>
    </row>
    <row r="272" customFormat="false" ht="15" hidden="false" customHeight="false" outlineLevel="0" collapsed="false">
      <c r="A272" s="10"/>
      <c r="B272" s="9"/>
      <c r="C272" s="9"/>
      <c r="D272" s="11"/>
      <c r="E272" s="11"/>
      <c r="F272" s="12"/>
      <c r="G272" s="13" t="str">
        <f aca="false">IF(F272&lt;&gt;"",F272,IF(OR(D272="",E272=""),"",ROUND(MOD(E272-D272,1)*1440,0)))</f>
        <v/>
      </c>
      <c r="H272" s="9"/>
      <c r="I272" s="14" t="str">
        <f aca="false">IF(H272="","",IFERROR(INDEX(Setup!$E$5:$E$34,MATCH(H272,Setup!$D$5:$D$34,0)),"Not in Setup"))</f>
        <v/>
      </c>
      <c r="J272" s="9"/>
    </row>
    <row r="273" customFormat="false" ht="15" hidden="false" customHeight="false" outlineLevel="0" collapsed="false">
      <c r="A273" s="10"/>
      <c r="B273" s="9"/>
      <c r="C273" s="9"/>
      <c r="D273" s="11"/>
      <c r="E273" s="11"/>
      <c r="F273" s="12"/>
      <c r="G273" s="13" t="str">
        <f aca="false">IF(F273&lt;&gt;"",F273,IF(OR(D273="",E273=""),"",ROUND(MOD(E273-D273,1)*1440,0)))</f>
        <v/>
      </c>
      <c r="H273" s="9"/>
      <c r="I273" s="14" t="str">
        <f aca="false">IF(H273="","",IFERROR(INDEX(Setup!$E$5:$E$34,MATCH(H273,Setup!$D$5:$D$34,0)),"Not in Setup"))</f>
        <v/>
      </c>
      <c r="J273" s="9"/>
    </row>
    <row r="274" customFormat="false" ht="15" hidden="false" customHeight="false" outlineLevel="0" collapsed="false">
      <c r="A274" s="10"/>
      <c r="B274" s="9"/>
      <c r="C274" s="9"/>
      <c r="D274" s="11"/>
      <c r="E274" s="11"/>
      <c r="F274" s="12"/>
      <c r="G274" s="13" t="str">
        <f aca="false">IF(F274&lt;&gt;"",F274,IF(OR(D274="",E274=""),"",ROUND(MOD(E274-D274,1)*1440,0)))</f>
        <v/>
      </c>
      <c r="H274" s="9"/>
      <c r="I274" s="14" t="str">
        <f aca="false">IF(H274="","",IFERROR(INDEX(Setup!$E$5:$E$34,MATCH(H274,Setup!$D$5:$D$34,0)),"Not in Setup"))</f>
        <v/>
      </c>
      <c r="J274" s="9"/>
    </row>
    <row r="275" customFormat="false" ht="15" hidden="false" customHeight="false" outlineLevel="0" collapsed="false">
      <c r="A275" s="10"/>
      <c r="B275" s="9"/>
      <c r="C275" s="9"/>
      <c r="D275" s="11"/>
      <c r="E275" s="11"/>
      <c r="F275" s="12"/>
      <c r="G275" s="13" t="str">
        <f aca="false">IF(F275&lt;&gt;"",F275,IF(OR(D275="",E275=""),"",ROUND(MOD(E275-D275,1)*1440,0)))</f>
        <v/>
      </c>
      <c r="H275" s="9"/>
      <c r="I275" s="14" t="str">
        <f aca="false">IF(H275="","",IFERROR(INDEX(Setup!$E$5:$E$34,MATCH(H275,Setup!$D$5:$D$34,0)),"Not in Setup"))</f>
        <v/>
      </c>
      <c r="J275" s="9"/>
    </row>
    <row r="276" customFormat="false" ht="15" hidden="false" customHeight="false" outlineLevel="0" collapsed="false">
      <c r="A276" s="10"/>
      <c r="B276" s="9"/>
      <c r="C276" s="9"/>
      <c r="D276" s="11"/>
      <c r="E276" s="11"/>
      <c r="F276" s="12"/>
      <c r="G276" s="13" t="str">
        <f aca="false">IF(F276&lt;&gt;"",F276,IF(OR(D276="",E276=""),"",ROUND(MOD(E276-D276,1)*1440,0)))</f>
        <v/>
      </c>
      <c r="H276" s="9"/>
      <c r="I276" s="14" t="str">
        <f aca="false">IF(H276="","",IFERROR(INDEX(Setup!$E$5:$E$34,MATCH(H276,Setup!$D$5:$D$34,0)),"Not in Setup"))</f>
        <v/>
      </c>
      <c r="J276" s="9"/>
    </row>
    <row r="277" customFormat="false" ht="15" hidden="false" customHeight="false" outlineLevel="0" collapsed="false">
      <c r="A277" s="10"/>
      <c r="B277" s="9"/>
      <c r="C277" s="9"/>
      <c r="D277" s="11"/>
      <c r="E277" s="11"/>
      <c r="F277" s="12"/>
      <c r="G277" s="13" t="str">
        <f aca="false">IF(F277&lt;&gt;"",F277,IF(OR(D277="",E277=""),"",ROUND(MOD(E277-D277,1)*1440,0)))</f>
        <v/>
      </c>
      <c r="H277" s="9"/>
      <c r="I277" s="14" t="str">
        <f aca="false">IF(H277="","",IFERROR(INDEX(Setup!$E$5:$E$34,MATCH(H277,Setup!$D$5:$D$34,0)),"Not in Setup"))</f>
        <v/>
      </c>
      <c r="J277" s="9"/>
    </row>
    <row r="278" customFormat="false" ht="15" hidden="false" customHeight="false" outlineLevel="0" collapsed="false">
      <c r="A278" s="10"/>
      <c r="B278" s="9"/>
      <c r="C278" s="9"/>
      <c r="D278" s="11"/>
      <c r="E278" s="11"/>
      <c r="F278" s="12"/>
      <c r="G278" s="13" t="str">
        <f aca="false">IF(F278&lt;&gt;"",F278,IF(OR(D278="",E278=""),"",ROUND(MOD(E278-D278,1)*1440,0)))</f>
        <v/>
      </c>
      <c r="H278" s="9"/>
      <c r="I278" s="14" t="str">
        <f aca="false">IF(H278="","",IFERROR(INDEX(Setup!$E$5:$E$34,MATCH(H278,Setup!$D$5:$D$34,0)),"Not in Setup"))</f>
        <v/>
      </c>
      <c r="J278" s="9"/>
    </row>
    <row r="279" customFormat="false" ht="15" hidden="false" customHeight="false" outlineLevel="0" collapsed="false">
      <c r="A279" s="10"/>
      <c r="B279" s="9"/>
      <c r="C279" s="9"/>
      <c r="D279" s="11"/>
      <c r="E279" s="11"/>
      <c r="F279" s="12"/>
      <c r="G279" s="13" t="str">
        <f aca="false">IF(F279&lt;&gt;"",F279,IF(OR(D279="",E279=""),"",ROUND(MOD(E279-D279,1)*1440,0)))</f>
        <v/>
      </c>
      <c r="H279" s="9"/>
      <c r="I279" s="14" t="str">
        <f aca="false">IF(H279="","",IFERROR(INDEX(Setup!$E$5:$E$34,MATCH(H279,Setup!$D$5:$D$34,0)),"Not in Setup"))</f>
        <v/>
      </c>
      <c r="J279" s="9"/>
    </row>
    <row r="280" customFormat="false" ht="15" hidden="false" customHeight="false" outlineLevel="0" collapsed="false">
      <c r="A280" s="10"/>
      <c r="B280" s="9"/>
      <c r="C280" s="9"/>
      <c r="D280" s="11"/>
      <c r="E280" s="11"/>
      <c r="F280" s="12"/>
      <c r="G280" s="13" t="str">
        <f aca="false">IF(F280&lt;&gt;"",F280,IF(OR(D280="",E280=""),"",ROUND(MOD(E280-D280,1)*1440,0)))</f>
        <v/>
      </c>
      <c r="H280" s="9"/>
      <c r="I280" s="14" t="str">
        <f aca="false">IF(H280="","",IFERROR(INDEX(Setup!$E$5:$E$34,MATCH(H280,Setup!$D$5:$D$34,0)),"Not in Setup"))</f>
        <v/>
      </c>
      <c r="J280" s="9"/>
    </row>
    <row r="281" customFormat="false" ht="15" hidden="false" customHeight="false" outlineLevel="0" collapsed="false">
      <c r="A281" s="10"/>
      <c r="B281" s="9"/>
      <c r="C281" s="9"/>
      <c r="D281" s="11"/>
      <c r="E281" s="11"/>
      <c r="F281" s="12"/>
      <c r="G281" s="13" t="str">
        <f aca="false">IF(F281&lt;&gt;"",F281,IF(OR(D281="",E281=""),"",ROUND(MOD(E281-D281,1)*1440,0)))</f>
        <v/>
      </c>
      <c r="H281" s="9"/>
      <c r="I281" s="14" t="str">
        <f aca="false">IF(H281="","",IFERROR(INDEX(Setup!$E$5:$E$34,MATCH(H281,Setup!$D$5:$D$34,0)),"Not in Setup"))</f>
        <v/>
      </c>
      <c r="J281" s="9"/>
    </row>
    <row r="282" customFormat="false" ht="15" hidden="false" customHeight="false" outlineLevel="0" collapsed="false">
      <c r="A282" s="10"/>
      <c r="B282" s="9"/>
      <c r="C282" s="9"/>
      <c r="D282" s="11"/>
      <c r="E282" s="11"/>
      <c r="F282" s="12"/>
      <c r="G282" s="13" t="str">
        <f aca="false">IF(F282&lt;&gt;"",F282,IF(OR(D282="",E282=""),"",ROUND(MOD(E282-D282,1)*1440,0)))</f>
        <v/>
      </c>
      <c r="H282" s="9"/>
      <c r="I282" s="14" t="str">
        <f aca="false">IF(H282="","",IFERROR(INDEX(Setup!$E$5:$E$34,MATCH(H282,Setup!$D$5:$D$34,0)),"Not in Setup"))</f>
        <v/>
      </c>
      <c r="J282" s="9"/>
    </row>
    <row r="283" customFormat="false" ht="15" hidden="false" customHeight="false" outlineLevel="0" collapsed="false">
      <c r="A283" s="10"/>
      <c r="B283" s="9"/>
      <c r="C283" s="9"/>
      <c r="D283" s="11"/>
      <c r="E283" s="11"/>
      <c r="F283" s="12"/>
      <c r="G283" s="13" t="str">
        <f aca="false">IF(F283&lt;&gt;"",F283,IF(OR(D283="",E283=""),"",ROUND(MOD(E283-D283,1)*1440,0)))</f>
        <v/>
      </c>
      <c r="H283" s="9"/>
      <c r="I283" s="14" t="str">
        <f aca="false">IF(H283="","",IFERROR(INDEX(Setup!$E$5:$E$34,MATCH(H283,Setup!$D$5:$D$34,0)),"Not in Setup"))</f>
        <v/>
      </c>
      <c r="J283" s="9"/>
    </row>
    <row r="284" customFormat="false" ht="15" hidden="false" customHeight="false" outlineLevel="0" collapsed="false">
      <c r="A284" s="10"/>
      <c r="B284" s="9"/>
      <c r="C284" s="9"/>
      <c r="D284" s="11"/>
      <c r="E284" s="11"/>
      <c r="F284" s="12"/>
      <c r="G284" s="13" t="str">
        <f aca="false">IF(F284&lt;&gt;"",F284,IF(OR(D284="",E284=""),"",ROUND(MOD(E284-D284,1)*1440,0)))</f>
        <v/>
      </c>
      <c r="H284" s="9"/>
      <c r="I284" s="14" t="str">
        <f aca="false">IF(H284="","",IFERROR(INDEX(Setup!$E$5:$E$34,MATCH(H284,Setup!$D$5:$D$34,0)),"Not in Setup"))</f>
        <v/>
      </c>
      <c r="J284" s="9"/>
    </row>
    <row r="285" customFormat="false" ht="15" hidden="false" customHeight="false" outlineLevel="0" collapsed="false">
      <c r="A285" s="10"/>
      <c r="B285" s="9"/>
      <c r="C285" s="9"/>
      <c r="D285" s="11"/>
      <c r="E285" s="11"/>
      <c r="F285" s="12"/>
      <c r="G285" s="13" t="str">
        <f aca="false">IF(F285&lt;&gt;"",F285,IF(OR(D285="",E285=""),"",ROUND(MOD(E285-D285,1)*1440,0)))</f>
        <v/>
      </c>
      <c r="H285" s="9"/>
      <c r="I285" s="14" t="str">
        <f aca="false">IF(H285="","",IFERROR(INDEX(Setup!$E$5:$E$34,MATCH(H285,Setup!$D$5:$D$34,0)),"Not in Setup"))</f>
        <v/>
      </c>
      <c r="J285" s="9"/>
    </row>
    <row r="286" customFormat="false" ht="15" hidden="false" customHeight="false" outlineLevel="0" collapsed="false">
      <c r="A286" s="10"/>
      <c r="B286" s="9"/>
      <c r="C286" s="9"/>
      <c r="D286" s="11"/>
      <c r="E286" s="11"/>
      <c r="F286" s="12"/>
      <c r="G286" s="13" t="str">
        <f aca="false">IF(F286&lt;&gt;"",F286,IF(OR(D286="",E286=""),"",ROUND(MOD(E286-D286,1)*1440,0)))</f>
        <v/>
      </c>
      <c r="H286" s="9"/>
      <c r="I286" s="14" t="str">
        <f aca="false">IF(H286="","",IFERROR(INDEX(Setup!$E$5:$E$34,MATCH(H286,Setup!$D$5:$D$34,0)),"Not in Setup"))</f>
        <v/>
      </c>
      <c r="J286" s="9"/>
    </row>
    <row r="287" customFormat="false" ht="15" hidden="false" customHeight="false" outlineLevel="0" collapsed="false">
      <c r="A287" s="10"/>
      <c r="B287" s="9"/>
      <c r="C287" s="9"/>
      <c r="D287" s="11"/>
      <c r="E287" s="11"/>
      <c r="F287" s="12"/>
      <c r="G287" s="13" t="str">
        <f aca="false">IF(F287&lt;&gt;"",F287,IF(OR(D287="",E287=""),"",ROUND(MOD(E287-D287,1)*1440,0)))</f>
        <v/>
      </c>
      <c r="H287" s="9"/>
      <c r="I287" s="14" t="str">
        <f aca="false">IF(H287="","",IFERROR(INDEX(Setup!$E$5:$E$34,MATCH(H287,Setup!$D$5:$D$34,0)),"Not in Setup"))</f>
        <v/>
      </c>
      <c r="J287" s="9"/>
    </row>
    <row r="288" customFormat="false" ht="15" hidden="false" customHeight="false" outlineLevel="0" collapsed="false">
      <c r="A288" s="10"/>
      <c r="B288" s="9"/>
      <c r="C288" s="9"/>
      <c r="D288" s="11"/>
      <c r="E288" s="11"/>
      <c r="F288" s="12"/>
      <c r="G288" s="13" t="str">
        <f aca="false">IF(F288&lt;&gt;"",F288,IF(OR(D288="",E288=""),"",ROUND(MOD(E288-D288,1)*1440,0)))</f>
        <v/>
      </c>
      <c r="H288" s="9"/>
      <c r="I288" s="14" t="str">
        <f aca="false">IF(H288="","",IFERROR(INDEX(Setup!$E$5:$E$34,MATCH(H288,Setup!$D$5:$D$34,0)),"Not in Setup"))</f>
        <v/>
      </c>
      <c r="J288" s="9"/>
    </row>
    <row r="289" customFormat="false" ht="15" hidden="false" customHeight="false" outlineLevel="0" collapsed="false">
      <c r="A289" s="10"/>
      <c r="B289" s="9"/>
      <c r="C289" s="9"/>
      <c r="D289" s="11"/>
      <c r="E289" s="11"/>
      <c r="F289" s="12"/>
      <c r="G289" s="13" t="str">
        <f aca="false">IF(F289&lt;&gt;"",F289,IF(OR(D289="",E289=""),"",ROUND(MOD(E289-D289,1)*1440,0)))</f>
        <v/>
      </c>
      <c r="H289" s="9"/>
      <c r="I289" s="14" t="str">
        <f aca="false">IF(H289="","",IFERROR(INDEX(Setup!$E$5:$E$34,MATCH(H289,Setup!$D$5:$D$34,0)),"Not in Setup"))</f>
        <v/>
      </c>
      <c r="J289" s="9"/>
    </row>
    <row r="290" customFormat="false" ht="15" hidden="false" customHeight="false" outlineLevel="0" collapsed="false">
      <c r="A290" s="10"/>
      <c r="B290" s="9"/>
      <c r="C290" s="9"/>
      <c r="D290" s="11"/>
      <c r="E290" s="11"/>
      <c r="F290" s="12"/>
      <c r="G290" s="13" t="str">
        <f aca="false">IF(F290&lt;&gt;"",F290,IF(OR(D290="",E290=""),"",ROUND(MOD(E290-D290,1)*1440,0)))</f>
        <v/>
      </c>
      <c r="H290" s="9"/>
      <c r="I290" s="14" t="str">
        <f aca="false">IF(H290="","",IFERROR(INDEX(Setup!$E$5:$E$34,MATCH(H290,Setup!$D$5:$D$34,0)),"Not in Setup"))</f>
        <v/>
      </c>
      <c r="J290" s="9"/>
    </row>
    <row r="291" customFormat="false" ht="15" hidden="false" customHeight="false" outlineLevel="0" collapsed="false">
      <c r="A291" s="10"/>
      <c r="B291" s="9"/>
      <c r="C291" s="9"/>
      <c r="D291" s="11"/>
      <c r="E291" s="11"/>
      <c r="F291" s="12"/>
      <c r="G291" s="13" t="str">
        <f aca="false">IF(F291&lt;&gt;"",F291,IF(OR(D291="",E291=""),"",ROUND(MOD(E291-D291,1)*1440,0)))</f>
        <v/>
      </c>
      <c r="H291" s="9"/>
      <c r="I291" s="14" t="str">
        <f aca="false">IF(H291="","",IFERROR(INDEX(Setup!$E$5:$E$34,MATCH(H291,Setup!$D$5:$D$34,0)),"Not in Setup"))</f>
        <v/>
      </c>
      <c r="J291" s="9"/>
    </row>
    <row r="292" customFormat="false" ht="15" hidden="false" customHeight="false" outlineLevel="0" collapsed="false">
      <c r="A292" s="10"/>
      <c r="B292" s="9"/>
      <c r="C292" s="9"/>
      <c r="D292" s="11"/>
      <c r="E292" s="11"/>
      <c r="F292" s="12"/>
      <c r="G292" s="13" t="str">
        <f aca="false">IF(F292&lt;&gt;"",F292,IF(OR(D292="",E292=""),"",ROUND(MOD(E292-D292,1)*1440,0)))</f>
        <v/>
      </c>
      <c r="H292" s="9"/>
      <c r="I292" s="14" t="str">
        <f aca="false">IF(H292="","",IFERROR(INDEX(Setup!$E$5:$E$34,MATCH(H292,Setup!$D$5:$D$34,0)),"Not in Setup"))</f>
        <v/>
      </c>
      <c r="J292" s="9"/>
    </row>
    <row r="293" customFormat="false" ht="15" hidden="false" customHeight="false" outlineLevel="0" collapsed="false">
      <c r="A293" s="10"/>
      <c r="B293" s="9"/>
      <c r="C293" s="9"/>
      <c r="D293" s="11"/>
      <c r="E293" s="11"/>
      <c r="F293" s="12"/>
      <c r="G293" s="13" t="str">
        <f aca="false">IF(F293&lt;&gt;"",F293,IF(OR(D293="",E293=""),"",ROUND(MOD(E293-D293,1)*1440,0)))</f>
        <v/>
      </c>
      <c r="H293" s="9"/>
      <c r="I293" s="14" t="str">
        <f aca="false">IF(H293="","",IFERROR(INDEX(Setup!$E$5:$E$34,MATCH(H293,Setup!$D$5:$D$34,0)),"Not in Setup"))</f>
        <v/>
      </c>
      <c r="J293" s="9"/>
    </row>
    <row r="294" customFormat="false" ht="15" hidden="false" customHeight="false" outlineLevel="0" collapsed="false">
      <c r="A294" s="10"/>
      <c r="B294" s="9"/>
      <c r="C294" s="9"/>
      <c r="D294" s="11"/>
      <c r="E294" s="11"/>
      <c r="F294" s="12"/>
      <c r="G294" s="13" t="str">
        <f aca="false">IF(F294&lt;&gt;"",F294,IF(OR(D294="",E294=""),"",ROUND(MOD(E294-D294,1)*1440,0)))</f>
        <v/>
      </c>
      <c r="H294" s="9"/>
      <c r="I294" s="14" t="str">
        <f aca="false">IF(H294="","",IFERROR(INDEX(Setup!$E$5:$E$34,MATCH(H294,Setup!$D$5:$D$34,0)),"Not in Setup"))</f>
        <v/>
      </c>
      <c r="J294" s="9"/>
    </row>
    <row r="295" customFormat="false" ht="15" hidden="false" customHeight="false" outlineLevel="0" collapsed="false">
      <c r="A295" s="10"/>
      <c r="B295" s="9"/>
      <c r="C295" s="9"/>
      <c r="D295" s="11"/>
      <c r="E295" s="11"/>
      <c r="F295" s="12"/>
      <c r="G295" s="13" t="str">
        <f aca="false">IF(F295&lt;&gt;"",F295,IF(OR(D295="",E295=""),"",ROUND(MOD(E295-D295,1)*1440,0)))</f>
        <v/>
      </c>
      <c r="H295" s="9"/>
      <c r="I295" s="14" t="str">
        <f aca="false">IF(H295="","",IFERROR(INDEX(Setup!$E$5:$E$34,MATCH(H295,Setup!$D$5:$D$34,0)),"Not in Setup"))</f>
        <v/>
      </c>
      <c r="J295" s="9"/>
    </row>
    <row r="296" customFormat="false" ht="15" hidden="false" customHeight="false" outlineLevel="0" collapsed="false">
      <c r="A296" s="10"/>
      <c r="B296" s="9"/>
      <c r="C296" s="9"/>
      <c r="D296" s="11"/>
      <c r="E296" s="11"/>
      <c r="F296" s="12"/>
      <c r="G296" s="13" t="str">
        <f aca="false">IF(F296&lt;&gt;"",F296,IF(OR(D296="",E296=""),"",ROUND(MOD(E296-D296,1)*1440,0)))</f>
        <v/>
      </c>
      <c r="H296" s="9"/>
      <c r="I296" s="14" t="str">
        <f aca="false">IF(H296="","",IFERROR(INDEX(Setup!$E$5:$E$34,MATCH(H296,Setup!$D$5:$D$34,0)),"Not in Setup"))</f>
        <v/>
      </c>
      <c r="J296" s="9"/>
    </row>
    <row r="297" customFormat="false" ht="15" hidden="false" customHeight="false" outlineLevel="0" collapsed="false">
      <c r="A297" s="10"/>
      <c r="B297" s="9"/>
      <c r="C297" s="9"/>
      <c r="D297" s="11"/>
      <c r="E297" s="11"/>
      <c r="F297" s="12"/>
      <c r="G297" s="13" t="str">
        <f aca="false">IF(F297&lt;&gt;"",F297,IF(OR(D297="",E297=""),"",ROUND(MOD(E297-D297,1)*1440,0)))</f>
        <v/>
      </c>
      <c r="H297" s="9"/>
      <c r="I297" s="14" t="str">
        <f aca="false">IF(H297="","",IFERROR(INDEX(Setup!$E$5:$E$34,MATCH(H297,Setup!$D$5:$D$34,0)),"Not in Setup"))</f>
        <v/>
      </c>
      <c r="J297" s="9"/>
    </row>
    <row r="298" customFormat="false" ht="15" hidden="false" customHeight="false" outlineLevel="0" collapsed="false">
      <c r="A298" s="10"/>
      <c r="B298" s="9"/>
      <c r="C298" s="9"/>
      <c r="D298" s="11"/>
      <c r="E298" s="11"/>
      <c r="F298" s="12"/>
      <c r="G298" s="13" t="str">
        <f aca="false">IF(F298&lt;&gt;"",F298,IF(OR(D298="",E298=""),"",ROUND(MOD(E298-D298,1)*1440,0)))</f>
        <v/>
      </c>
      <c r="H298" s="9"/>
      <c r="I298" s="14" t="str">
        <f aca="false">IF(H298="","",IFERROR(INDEX(Setup!$E$5:$E$34,MATCH(H298,Setup!$D$5:$D$34,0)),"Not in Setup"))</f>
        <v/>
      </c>
      <c r="J298" s="9"/>
    </row>
    <row r="299" customFormat="false" ht="15" hidden="false" customHeight="false" outlineLevel="0" collapsed="false">
      <c r="A299" s="10"/>
      <c r="B299" s="9"/>
      <c r="C299" s="9"/>
      <c r="D299" s="11"/>
      <c r="E299" s="11"/>
      <c r="F299" s="12"/>
      <c r="G299" s="13" t="str">
        <f aca="false">IF(F299&lt;&gt;"",F299,IF(OR(D299="",E299=""),"",ROUND(MOD(E299-D299,1)*1440,0)))</f>
        <v/>
      </c>
      <c r="H299" s="9"/>
      <c r="I299" s="14" t="str">
        <f aca="false">IF(H299="","",IFERROR(INDEX(Setup!$E$5:$E$34,MATCH(H299,Setup!$D$5:$D$34,0)),"Not in Setup"))</f>
        <v/>
      </c>
      <c r="J299" s="9"/>
    </row>
    <row r="300" customFormat="false" ht="15" hidden="false" customHeight="false" outlineLevel="0" collapsed="false">
      <c r="A300" s="10"/>
      <c r="B300" s="9"/>
      <c r="C300" s="9"/>
      <c r="D300" s="11"/>
      <c r="E300" s="11"/>
      <c r="F300" s="12"/>
      <c r="G300" s="13" t="str">
        <f aca="false">IF(F300&lt;&gt;"",F300,IF(OR(D300="",E300=""),"",ROUND(MOD(E300-D300,1)*1440,0)))</f>
        <v/>
      </c>
      <c r="H300" s="9"/>
      <c r="I300" s="14" t="str">
        <f aca="false">IF(H300="","",IFERROR(INDEX(Setup!$E$5:$E$34,MATCH(H300,Setup!$D$5:$D$34,0)),"Not in Setup"))</f>
        <v/>
      </c>
      <c r="J300" s="9"/>
    </row>
    <row r="301" customFormat="false" ht="15" hidden="false" customHeight="false" outlineLevel="0" collapsed="false">
      <c r="A301" s="10"/>
      <c r="B301" s="9"/>
      <c r="C301" s="9"/>
      <c r="D301" s="11"/>
      <c r="E301" s="11"/>
      <c r="F301" s="12"/>
      <c r="G301" s="13" t="str">
        <f aca="false">IF(F301&lt;&gt;"",F301,IF(OR(D301="",E301=""),"",ROUND(MOD(E301-D301,1)*1440,0)))</f>
        <v/>
      </c>
      <c r="H301" s="9"/>
      <c r="I301" s="14" t="str">
        <f aca="false">IF(H301="","",IFERROR(INDEX(Setup!$E$5:$E$34,MATCH(H301,Setup!$D$5:$D$34,0)),"Not in Setup"))</f>
        <v/>
      </c>
      <c r="J301" s="9"/>
    </row>
    <row r="302" customFormat="false" ht="15" hidden="false" customHeight="false" outlineLevel="0" collapsed="false">
      <c r="A302" s="10"/>
      <c r="B302" s="9"/>
      <c r="C302" s="9"/>
      <c r="D302" s="11"/>
      <c r="E302" s="11"/>
      <c r="F302" s="12"/>
      <c r="G302" s="13" t="str">
        <f aca="false">IF(F302&lt;&gt;"",F302,IF(OR(D302="",E302=""),"",ROUND(MOD(E302-D302,1)*1440,0)))</f>
        <v/>
      </c>
      <c r="H302" s="9"/>
      <c r="I302" s="14" t="str">
        <f aca="false">IF(H302="","",IFERROR(INDEX(Setup!$E$5:$E$34,MATCH(H302,Setup!$D$5:$D$34,0)),"Not in Setup"))</f>
        <v/>
      </c>
      <c r="J302" s="9"/>
    </row>
    <row r="303" customFormat="false" ht="15" hidden="false" customHeight="false" outlineLevel="0" collapsed="false">
      <c r="A303" s="10"/>
      <c r="B303" s="9"/>
      <c r="C303" s="9"/>
      <c r="D303" s="11"/>
      <c r="E303" s="11"/>
      <c r="F303" s="12"/>
      <c r="G303" s="13" t="str">
        <f aca="false">IF(F303&lt;&gt;"",F303,IF(OR(D303="",E303=""),"",ROUND(MOD(E303-D303,1)*1440,0)))</f>
        <v/>
      </c>
      <c r="H303" s="9"/>
      <c r="I303" s="14" t="str">
        <f aca="false">IF(H303="","",IFERROR(INDEX(Setup!$E$5:$E$34,MATCH(H303,Setup!$D$5:$D$34,0)),"Not in Setup"))</f>
        <v/>
      </c>
      <c r="J303" s="9"/>
    </row>
    <row r="304" customFormat="false" ht="15" hidden="false" customHeight="false" outlineLevel="0" collapsed="false">
      <c r="A304" s="10"/>
      <c r="B304" s="9"/>
      <c r="C304" s="9"/>
      <c r="D304" s="11"/>
      <c r="E304" s="11"/>
      <c r="F304" s="12"/>
      <c r="G304" s="13" t="str">
        <f aca="false">IF(F304&lt;&gt;"",F304,IF(OR(D304="",E304=""),"",ROUND(MOD(E304-D304,1)*1440,0)))</f>
        <v/>
      </c>
      <c r="H304" s="9"/>
      <c r="I304" s="14" t="str">
        <f aca="false">IF(H304="","",IFERROR(INDEX(Setup!$E$5:$E$34,MATCH(H304,Setup!$D$5:$D$34,0)),"Not in Setup"))</f>
        <v/>
      </c>
      <c r="J304" s="9"/>
    </row>
    <row r="305" customFormat="false" ht="15" hidden="false" customHeight="false" outlineLevel="0" collapsed="false">
      <c r="A305" s="10"/>
      <c r="B305" s="9"/>
      <c r="C305" s="9"/>
      <c r="D305" s="11"/>
      <c r="E305" s="11"/>
      <c r="F305" s="12"/>
      <c r="G305" s="13" t="str">
        <f aca="false">IF(F305&lt;&gt;"",F305,IF(OR(D305="",E305=""),"",ROUND(MOD(E305-D305,1)*1440,0)))</f>
        <v/>
      </c>
      <c r="H305" s="9"/>
      <c r="I305" s="14" t="str">
        <f aca="false">IF(H305="","",IFERROR(INDEX(Setup!$E$5:$E$34,MATCH(H305,Setup!$D$5:$D$34,0)),"Not in Setup"))</f>
        <v/>
      </c>
      <c r="J305" s="9"/>
    </row>
    <row r="306" customFormat="false" ht="15" hidden="false" customHeight="false" outlineLevel="0" collapsed="false">
      <c r="A306" s="10"/>
      <c r="B306" s="9"/>
      <c r="C306" s="9"/>
      <c r="D306" s="11"/>
      <c r="E306" s="11"/>
      <c r="F306" s="12"/>
      <c r="G306" s="13" t="str">
        <f aca="false">IF(F306&lt;&gt;"",F306,IF(OR(D306="",E306=""),"",ROUND(MOD(E306-D306,1)*1440,0)))</f>
        <v/>
      </c>
      <c r="H306" s="9"/>
      <c r="I306" s="14" t="str">
        <f aca="false">IF(H306="","",IFERROR(INDEX(Setup!$E$5:$E$34,MATCH(H306,Setup!$D$5:$D$34,0)),"Not in Setup"))</f>
        <v/>
      </c>
      <c r="J306" s="9"/>
    </row>
    <row r="307" customFormat="false" ht="15" hidden="false" customHeight="false" outlineLevel="0" collapsed="false">
      <c r="A307" s="10"/>
      <c r="B307" s="9"/>
      <c r="C307" s="9"/>
      <c r="D307" s="11"/>
      <c r="E307" s="11"/>
      <c r="F307" s="12"/>
      <c r="G307" s="13" t="str">
        <f aca="false">IF(F307&lt;&gt;"",F307,IF(OR(D307="",E307=""),"",ROUND(MOD(E307-D307,1)*1440,0)))</f>
        <v/>
      </c>
      <c r="H307" s="9"/>
      <c r="I307" s="14" t="str">
        <f aca="false">IF(H307="","",IFERROR(INDEX(Setup!$E$5:$E$34,MATCH(H307,Setup!$D$5:$D$34,0)),"Not in Setup"))</f>
        <v/>
      </c>
      <c r="J307" s="9"/>
    </row>
    <row r="308" customFormat="false" ht="15" hidden="false" customHeight="false" outlineLevel="0" collapsed="false">
      <c r="A308" s="10"/>
      <c r="B308" s="9"/>
      <c r="C308" s="9"/>
      <c r="D308" s="11"/>
      <c r="E308" s="11"/>
      <c r="F308" s="12"/>
      <c r="G308" s="13" t="str">
        <f aca="false">IF(F308&lt;&gt;"",F308,IF(OR(D308="",E308=""),"",ROUND(MOD(E308-D308,1)*1440,0)))</f>
        <v/>
      </c>
      <c r="H308" s="9"/>
      <c r="I308" s="14" t="str">
        <f aca="false">IF(H308="","",IFERROR(INDEX(Setup!$E$5:$E$34,MATCH(H308,Setup!$D$5:$D$34,0)),"Not in Setup"))</f>
        <v/>
      </c>
      <c r="J308" s="9"/>
    </row>
    <row r="309" customFormat="false" ht="15" hidden="false" customHeight="false" outlineLevel="0" collapsed="false">
      <c r="A309" s="10"/>
      <c r="B309" s="9"/>
      <c r="C309" s="9"/>
      <c r="D309" s="11"/>
      <c r="E309" s="11"/>
      <c r="F309" s="12"/>
      <c r="G309" s="13" t="str">
        <f aca="false">IF(F309&lt;&gt;"",F309,IF(OR(D309="",E309=""),"",ROUND(MOD(E309-D309,1)*1440,0)))</f>
        <v/>
      </c>
      <c r="H309" s="9"/>
      <c r="I309" s="14" t="str">
        <f aca="false">IF(H309="","",IFERROR(INDEX(Setup!$E$5:$E$34,MATCH(H309,Setup!$D$5:$D$34,0)),"Not in Setup"))</f>
        <v/>
      </c>
      <c r="J309" s="9"/>
    </row>
    <row r="310" customFormat="false" ht="15" hidden="false" customHeight="false" outlineLevel="0" collapsed="false">
      <c r="A310" s="10"/>
      <c r="B310" s="9"/>
      <c r="C310" s="9"/>
      <c r="D310" s="11"/>
      <c r="E310" s="11"/>
      <c r="F310" s="12"/>
      <c r="G310" s="13" t="str">
        <f aca="false">IF(F310&lt;&gt;"",F310,IF(OR(D310="",E310=""),"",ROUND(MOD(E310-D310,1)*1440,0)))</f>
        <v/>
      </c>
      <c r="H310" s="9"/>
      <c r="I310" s="14" t="str">
        <f aca="false">IF(H310="","",IFERROR(INDEX(Setup!$E$5:$E$34,MATCH(H310,Setup!$D$5:$D$34,0)),"Not in Setup"))</f>
        <v/>
      </c>
      <c r="J310" s="9"/>
    </row>
    <row r="311" customFormat="false" ht="15" hidden="false" customHeight="false" outlineLevel="0" collapsed="false">
      <c r="A311" s="10"/>
      <c r="B311" s="9"/>
      <c r="C311" s="9"/>
      <c r="D311" s="11"/>
      <c r="E311" s="11"/>
      <c r="F311" s="12"/>
      <c r="G311" s="13" t="str">
        <f aca="false">IF(F311&lt;&gt;"",F311,IF(OR(D311="",E311=""),"",ROUND(MOD(E311-D311,1)*1440,0)))</f>
        <v/>
      </c>
      <c r="H311" s="9"/>
      <c r="I311" s="14" t="str">
        <f aca="false">IF(H311="","",IFERROR(INDEX(Setup!$E$5:$E$34,MATCH(H311,Setup!$D$5:$D$34,0)),"Not in Setup"))</f>
        <v/>
      </c>
      <c r="J311" s="9"/>
    </row>
    <row r="312" customFormat="false" ht="15" hidden="false" customHeight="false" outlineLevel="0" collapsed="false">
      <c r="A312" s="10"/>
      <c r="B312" s="9"/>
      <c r="C312" s="9"/>
      <c r="D312" s="11"/>
      <c r="E312" s="11"/>
      <c r="F312" s="12"/>
      <c r="G312" s="13" t="str">
        <f aca="false">IF(F312&lt;&gt;"",F312,IF(OR(D312="",E312=""),"",ROUND(MOD(E312-D312,1)*1440,0)))</f>
        <v/>
      </c>
      <c r="H312" s="9"/>
      <c r="I312" s="14" t="str">
        <f aca="false">IF(H312="","",IFERROR(INDEX(Setup!$E$5:$E$34,MATCH(H312,Setup!$D$5:$D$34,0)),"Not in Setup"))</f>
        <v/>
      </c>
      <c r="J312" s="9"/>
    </row>
    <row r="313" customFormat="false" ht="15" hidden="false" customHeight="false" outlineLevel="0" collapsed="false">
      <c r="A313" s="10"/>
      <c r="B313" s="9"/>
      <c r="C313" s="9"/>
      <c r="D313" s="11"/>
      <c r="E313" s="11"/>
      <c r="F313" s="12"/>
      <c r="G313" s="13" t="str">
        <f aca="false">IF(F313&lt;&gt;"",F313,IF(OR(D313="",E313=""),"",ROUND(MOD(E313-D313,1)*1440,0)))</f>
        <v/>
      </c>
      <c r="H313" s="9"/>
      <c r="I313" s="14" t="str">
        <f aca="false">IF(H313="","",IFERROR(INDEX(Setup!$E$5:$E$34,MATCH(H313,Setup!$D$5:$D$34,0)),"Not in Setup"))</f>
        <v/>
      </c>
      <c r="J313" s="9"/>
    </row>
    <row r="314" customFormat="false" ht="15" hidden="false" customHeight="false" outlineLevel="0" collapsed="false">
      <c r="A314" s="10"/>
      <c r="B314" s="9"/>
      <c r="C314" s="9"/>
      <c r="D314" s="11"/>
      <c r="E314" s="11"/>
      <c r="F314" s="12"/>
      <c r="G314" s="13" t="str">
        <f aca="false">IF(F314&lt;&gt;"",F314,IF(OR(D314="",E314=""),"",ROUND(MOD(E314-D314,1)*1440,0)))</f>
        <v/>
      </c>
      <c r="H314" s="9"/>
      <c r="I314" s="14" t="str">
        <f aca="false">IF(H314="","",IFERROR(INDEX(Setup!$E$5:$E$34,MATCH(H314,Setup!$D$5:$D$34,0)),"Not in Setup"))</f>
        <v/>
      </c>
      <c r="J314" s="9"/>
    </row>
    <row r="315" customFormat="false" ht="15" hidden="false" customHeight="false" outlineLevel="0" collapsed="false">
      <c r="A315" s="10"/>
      <c r="B315" s="9"/>
      <c r="C315" s="9"/>
      <c r="D315" s="11"/>
      <c r="E315" s="11"/>
      <c r="F315" s="12"/>
      <c r="G315" s="13" t="str">
        <f aca="false">IF(F315&lt;&gt;"",F315,IF(OR(D315="",E315=""),"",ROUND(MOD(E315-D315,1)*1440,0)))</f>
        <v/>
      </c>
      <c r="H315" s="9"/>
      <c r="I315" s="14" t="str">
        <f aca="false">IF(H315="","",IFERROR(INDEX(Setup!$E$5:$E$34,MATCH(H315,Setup!$D$5:$D$34,0)),"Not in Setup"))</f>
        <v/>
      </c>
      <c r="J315" s="9"/>
    </row>
    <row r="316" customFormat="false" ht="15" hidden="false" customHeight="false" outlineLevel="0" collapsed="false">
      <c r="A316" s="10"/>
      <c r="B316" s="9"/>
      <c r="C316" s="9"/>
      <c r="D316" s="11"/>
      <c r="E316" s="11"/>
      <c r="F316" s="12"/>
      <c r="G316" s="13" t="str">
        <f aca="false">IF(F316&lt;&gt;"",F316,IF(OR(D316="",E316=""),"",ROUND(MOD(E316-D316,1)*1440,0)))</f>
        <v/>
      </c>
      <c r="H316" s="9"/>
      <c r="I316" s="14" t="str">
        <f aca="false">IF(H316="","",IFERROR(INDEX(Setup!$E$5:$E$34,MATCH(H316,Setup!$D$5:$D$34,0)),"Not in Setup"))</f>
        <v/>
      </c>
      <c r="J316" s="9"/>
    </row>
    <row r="317" customFormat="false" ht="15" hidden="false" customHeight="false" outlineLevel="0" collapsed="false">
      <c r="A317" s="10"/>
      <c r="B317" s="9"/>
      <c r="C317" s="9"/>
      <c r="D317" s="11"/>
      <c r="E317" s="11"/>
      <c r="F317" s="12"/>
      <c r="G317" s="13" t="str">
        <f aca="false">IF(F317&lt;&gt;"",F317,IF(OR(D317="",E317=""),"",ROUND(MOD(E317-D317,1)*1440,0)))</f>
        <v/>
      </c>
      <c r="H317" s="9"/>
      <c r="I317" s="14" t="str">
        <f aca="false">IF(H317="","",IFERROR(INDEX(Setup!$E$5:$E$34,MATCH(H317,Setup!$D$5:$D$34,0)),"Not in Setup"))</f>
        <v/>
      </c>
      <c r="J317" s="9"/>
    </row>
    <row r="318" customFormat="false" ht="15" hidden="false" customHeight="false" outlineLevel="0" collapsed="false">
      <c r="A318" s="10"/>
      <c r="B318" s="9"/>
      <c r="C318" s="9"/>
      <c r="D318" s="11"/>
      <c r="E318" s="11"/>
      <c r="F318" s="12"/>
      <c r="G318" s="13" t="str">
        <f aca="false">IF(F318&lt;&gt;"",F318,IF(OR(D318="",E318=""),"",ROUND(MOD(E318-D318,1)*1440,0)))</f>
        <v/>
      </c>
      <c r="H318" s="9"/>
      <c r="I318" s="14" t="str">
        <f aca="false">IF(H318="","",IFERROR(INDEX(Setup!$E$5:$E$34,MATCH(H318,Setup!$D$5:$D$34,0)),"Not in Setup"))</f>
        <v/>
      </c>
      <c r="J318" s="9"/>
    </row>
    <row r="319" customFormat="false" ht="15" hidden="false" customHeight="false" outlineLevel="0" collapsed="false">
      <c r="A319" s="10"/>
      <c r="B319" s="9"/>
      <c r="C319" s="9"/>
      <c r="D319" s="11"/>
      <c r="E319" s="11"/>
      <c r="F319" s="12"/>
      <c r="G319" s="13" t="str">
        <f aca="false">IF(F319&lt;&gt;"",F319,IF(OR(D319="",E319=""),"",ROUND(MOD(E319-D319,1)*1440,0)))</f>
        <v/>
      </c>
      <c r="H319" s="9"/>
      <c r="I319" s="14" t="str">
        <f aca="false">IF(H319="","",IFERROR(INDEX(Setup!$E$5:$E$34,MATCH(H319,Setup!$D$5:$D$34,0)),"Not in Setup"))</f>
        <v/>
      </c>
      <c r="J319" s="9"/>
    </row>
    <row r="320" customFormat="false" ht="15" hidden="false" customHeight="false" outlineLevel="0" collapsed="false">
      <c r="A320" s="10"/>
      <c r="B320" s="9"/>
      <c r="C320" s="9"/>
      <c r="D320" s="11"/>
      <c r="E320" s="11"/>
      <c r="F320" s="12"/>
      <c r="G320" s="13" t="str">
        <f aca="false">IF(F320&lt;&gt;"",F320,IF(OR(D320="",E320=""),"",ROUND(MOD(E320-D320,1)*1440,0)))</f>
        <v/>
      </c>
      <c r="H320" s="9"/>
      <c r="I320" s="14" t="str">
        <f aca="false">IF(H320="","",IFERROR(INDEX(Setup!$E$5:$E$34,MATCH(H320,Setup!$D$5:$D$34,0)),"Not in Setup"))</f>
        <v/>
      </c>
      <c r="J320" s="9"/>
    </row>
    <row r="321" customFormat="false" ht="15" hidden="false" customHeight="false" outlineLevel="0" collapsed="false">
      <c r="A321" s="10"/>
      <c r="B321" s="9"/>
      <c r="C321" s="9"/>
      <c r="D321" s="11"/>
      <c r="E321" s="11"/>
      <c r="F321" s="12"/>
      <c r="G321" s="13" t="str">
        <f aca="false">IF(F321&lt;&gt;"",F321,IF(OR(D321="",E321=""),"",ROUND(MOD(E321-D321,1)*1440,0)))</f>
        <v/>
      </c>
      <c r="H321" s="9"/>
      <c r="I321" s="14" t="str">
        <f aca="false">IF(H321="","",IFERROR(INDEX(Setup!$E$5:$E$34,MATCH(H321,Setup!$D$5:$D$34,0)),"Not in Setup"))</f>
        <v/>
      </c>
      <c r="J321" s="9"/>
    </row>
    <row r="322" customFormat="false" ht="15" hidden="false" customHeight="false" outlineLevel="0" collapsed="false">
      <c r="A322" s="10"/>
      <c r="B322" s="9"/>
      <c r="C322" s="9"/>
      <c r="D322" s="11"/>
      <c r="E322" s="11"/>
      <c r="F322" s="12"/>
      <c r="G322" s="13" t="str">
        <f aca="false">IF(F322&lt;&gt;"",F322,IF(OR(D322="",E322=""),"",ROUND(MOD(E322-D322,1)*1440,0)))</f>
        <v/>
      </c>
      <c r="H322" s="9"/>
      <c r="I322" s="14" t="str">
        <f aca="false">IF(H322="","",IFERROR(INDEX(Setup!$E$5:$E$34,MATCH(H322,Setup!$D$5:$D$34,0)),"Not in Setup"))</f>
        <v/>
      </c>
      <c r="J322" s="9"/>
    </row>
    <row r="323" customFormat="false" ht="15" hidden="false" customHeight="false" outlineLevel="0" collapsed="false">
      <c r="A323" s="10"/>
      <c r="B323" s="9"/>
      <c r="C323" s="9"/>
      <c r="D323" s="11"/>
      <c r="E323" s="11"/>
      <c r="F323" s="12"/>
      <c r="G323" s="13" t="str">
        <f aca="false">IF(F323&lt;&gt;"",F323,IF(OR(D323="",E323=""),"",ROUND(MOD(E323-D323,1)*1440,0)))</f>
        <v/>
      </c>
      <c r="H323" s="9"/>
      <c r="I323" s="14" t="str">
        <f aca="false">IF(H323="","",IFERROR(INDEX(Setup!$E$5:$E$34,MATCH(H323,Setup!$D$5:$D$34,0)),"Not in Setup"))</f>
        <v/>
      </c>
      <c r="J323" s="9"/>
    </row>
    <row r="324" customFormat="false" ht="15" hidden="false" customHeight="false" outlineLevel="0" collapsed="false">
      <c r="A324" s="10"/>
      <c r="B324" s="9"/>
      <c r="C324" s="9"/>
      <c r="D324" s="11"/>
      <c r="E324" s="11"/>
      <c r="F324" s="12"/>
      <c r="G324" s="13" t="str">
        <f aca="false">IF(F324&lt;&gt;"",F324,IF(OR(D324="",E324=""),"",ROUND(MOD(E324-D324,1)*1440,0)))</f>
        <v/>
      </c>
      <c r="H324" s="9"/>
      <c r="I324" s="14" t="str">
        <f aca="false">IF(H324="","",IFERROR(INDEX(Setup!$E$5:$E$34,MATCH(H324,Setup!$D$5:$D$34,0)),"Not in Setup"))</f>
        <v/>
      </c>
      <c r="J324" s="9"/>
    </row>
    <row r="325" customFormat="false" ht="15" hidden="false" customHeight="false" outlineLevel="0" collapsed="false">
      <c r="A325" s="10"/>
      <c r="B325" s="9"/>
      <c r="C325" s="9"/>
      <c r="D325" s="11"/>
      <c r="E325" s="11"/>
      <c r="F325" s="12"/>
      <c r="G325" s="13" t="str">
        <f aca="false">IF(F325&lt;&gt;"",F325,IF(OR(D325="",E325=""),"",ROUND(MOD(E325-D325,1)*1440,0)))</f>
        <v/>
      </c>
      <c r="H325" s="9"/>
      <c r="I325" s="14" t="str">
        <f aca="false">IF(H325="","",IFERROR(INDEX(Setup!$E$5:$E$34,MATCH(H325,Setup!$D$5:$D$34,0)),"Not in Setup"))</f>
        <v/>
      </c>
      <c r="J325" s="9"/>
    </row>
    <row r="326" customFormat="false" ht="15" hidden="false" customHeight="false" outlineLevel="0" collapsed="false">
      <c r="A326" s="10"/>
      <c r="B326" s="9"/>
      <c r="C326" s="9"/>
      <c r="D326" s="11"/>
      <c r="E326" s="11"/>
      <c r="F326" s="12"/>
      <c r="G326" s="13" t="str">
        <f aca="false">IF(F326&lt;&gt;"",F326,IF(OR(D326="",E326=""),"",ROUND(MOD(E326-D326,1)*1440,0)))</f>
        <v/>
      </c>
      <c r="H326" s="9"/>
      <c r="I326" s="14" t="str">
        <f aca="false">IF(H326="","",IFERROR(INDEX(Setup!$E$5:$E$34,MATCH(H326,Setup!$D$5:$D$34,0)),"Not in Setup"))</f>
        <v/>
      </c>
      <c r="J326" s="9"/>
    </row>
    <row r="327" customFormat="false" ht="15" hidden="false" customHeight="false" outlineLevel="0" collapsed="false">
      <c r="A327" s="10"/>
      <c r="B327" s="9"/>
      <c r="C327" s="9"/>
      <c r="D327" s="11"/>
      <c r="E327" s="11"/>
      <c r="F327" s="12"/>
      <c r="G327" s="13" t="str">
        <f aca="false">IF(F327&lt;&gt;"",F327,IF(OR(D327="",E327=""),"",ROUND(MOD(E327-D327,1)*1440,0)))</f>
        <v/>
      </c>
      <c r="H327" s="9"/>
      <c r="I327" s="14" t="str">
        <f aca="false">IF(H327="","",IFERROR(INDEX(Setup!$E$5:$E$34,MATCH(H327,Setup!$D$5:$D$34,0)),"Not in Setup"))</f>
        <v/>
      </c>
      <c r="J327" s="9"/>
    </row>
    <row r="328" customFormat="false" ht="15" hidden="false" customHeight="false" outlineLevel="0" collapsed="false">
      <c r="A328" s="10"/>
      <c r="B328" s="9"/>
      <c r="C328" s="9"/>
      <c r="D328" s="11"/>
      <c r="E328" s="11"/>
      <c r="F328" s="12"/>
      <c r="G328" s="13" t="str">
        <f aca="false">IF(F328&lt;&gt;"",F328,IF(OR(D328="",E328=""),"",ROUND(MOD(E328-D328,1)*1440,0)))</f>
        <v/>
      </c>
      <c r="H328" s="9"/>
      <c r="I328" s="14" t="str">
        <f aca="false">IF(H328="","",IFERROR(INDEX(Setup!$E$5:$E$34,MATCH(H328,Setup!$D$5:$D$34,0)),"Not in Setup"))</f>
        <v/>
      </c>
      <c r="J328" s="9"/>
    </row>
    <row r="329" customFormat="false" ht="15" hidden="false" customHeight="false" outlineLevel="0" collapsed="false">
      <c r="A329" s="10"/>
      <c r="B329" s="9"/>
      <c r="C329" s="9"/>
      <c r="D329" s="11"/>
      <c r="E329" s="11"/>
      <c r="F329" s="12"/>
      <c r="G329" s="13" t="str">
        <f aca="false">IF(F329&lt;&gt;"",F329,IF(OR(D329="",E329=""),"",ROUND(MOD(E329-D329,1)*1440,0)))</f>
        <v/>
      </c>
      <c r="H329" s="9"/>
      <c r="I329" s="14" t="str">
        <f aca="false">IF(H329="","",IFERROR(INDEX(Setup!$E$5:$E$34,MATCH(H329,Setup!$D$5:$D$34,0)),"Not in Setup"))</f>
        <v/>
      </c>
      <c r="J329" s="9"/>
    </row>
    <row r="330" customFormat="false" ht="15" hidden="false" customHeight="false" outlineLevel="0" collapsed="false">
      <c r="A330" s="10"/>
      <c r="B330" s="9"/>
      <c r="C330" s="9"/>
      <c r="D330" s="11"/>
      <c r="E330" s="11"/>
      <c r="F330" s="12"/>
      <c r="G330" s="13" t="str">
        <f aca="false">IF(F330&lt;&gt;"",F330,IF(OR(D330="",E330=""),"",ROUND(MOD(E330-D330,1)*1440,0)))</f>
        <v/>
      </c>
      <c r="H330" s="9"/>
      <c r="I330" s="14" t="str">
        <f aca="false">IF(H330="","",IFERROR(INDEX(Setup!$E$5:$E$34,MATCH(H330,Setup!$D$5:$D$34,0)),"Not in Setup"))</f>
        <v/>
      </c>
      <c r="J330" s="9"/>
    </row>
    <row r="331" customFormat="false" ht="15" hidden="false" customHeight="false" outlineLevel="0" collapsed="false">
      <c r="A331" s="10"/>
      <c r="B331" s="9"/>
      <c r="C331" s="9"/>
      <c r="D331" s="11"/>
      <c r="E331" s="11"/>
      <c r="F331" s="12"/>
      <c r="G331" s="13" t="str">
        <f aca="false">IF(F331&lt;&gt;"",F331,IF(OR(D331="",E331=""),"",ROUND(MOD(E331-D331,1)*1440,0)))</f>
        <v/>
      </c>
      <c r="H331" s="9"/>
      <c r="I331" s="14" t="str">
        <f aca="false">IF(H331="","",IFERROR(INDEX(Setup!$E$5:$E$34,MATCH(H331,Setup!$D$5:$D$34,0)),"Not in Setup"))</f>
        <v/>
      </c>
      <c r="J331" s="9"/>
    </row>
    <row r="332" customFormat="false" ht="15" hidden="false" customHeight="false" outlineLevel="0" collapsed="false">
      <c r="A332" s="10"/>
      <c r="B332" s="9"/>
      <c r="C332" s="9"/>
      <c r="D332" s="11"/>
      <c r="E332" s="11"/>
      <c r="F332" s="12"/>
      <c r="G332" s="13" t="str">
        <f aca="false">IF(F332&lt;&gt;"",F332,IF(OR(D332="",E332=""),"",ROUND(MOD(E332-D332,1)*1440,0)))</f>
        <v/>
      </c>
      <c r="H332" s="9"/>
      <c r="I332" s="14" t="str">
        <f aca="false">IF(H332="","",IFERROR(INDEX(Setup!$E$5:$E$34,MATCH(H332,Setup!$D$5:$D$34,0)),"Not in Setup"))</f>
        <v/>
      </c>
      <c r="J332" s="9"/>
    </row>
    <row r="333" customFormat="false" ht="15" hidden="false" customHeight="false" outlineLevel="0" collapsed="false">
      <c r="A333" s="10"/>
      <c r="B333" s="9"/>
      <c r="C333" s="9"/>
      <c r="D333" s="11"/>
      <c r="E333" s="11"/>
      <c r="F333" s="12"/>
      <c r="G333" s="13" t="str">
        <f aca="false">IF(F333&lt;&gt;"",F333,IF(OR(D333="",E333=""),"",ROUND(MOD(E333-D333,1)*1440,0)))</f>
        <v/>
      </c>
      <c r="H333" s="9"/>
      <c r="I333" s="14" t="str">
        <f aca="false">IF(H333="","",IFERROR(INDEX(Setup!$E$5:$E$34,MATCH(H333,Setup!$D$5:$D$34,0)),"Not in Setup"))</f>
        <v/>
      </c>
      <c r="J333" s="9"/>
    </row>
    <row r="334" customFormat="false" ht="15" hidden="false" customHeight="false" outlineLevel="0" collapsed="false">
      <c r="A334" s="10"/>
      <c r="B334" s="9"/>
      <c r="C334" s="9"/>
      <c r="D334" s="11"/>
      <c r="E334" s="11"/>
      <c r="F334" s="12"/>
      <c r="G334" s="13" t="str">
        <f aca="false">IF(F334&lt;&gt;"",F334,IF(OR(D334="",E334=""),"",ROUND(MOD(E334-D334,1)*1440,0)))</f>
        <v/>
      </c>
      <c r="H334" s="9"/>
      <c r="I334" s="14" t="str">
        <f aca="false">IF(H334="","",IFERROR(INDEX(Setup!$E$5:$E$34,MATCH(H334,Setup!$D$5:$D$34,0)),"Not in Setup"))</f>
        <v/>
      </c>
      <c r="J334" s="9"/>
    </row>
    <row r="335" customFormat="false" ht="15" hidden="false" customHeight="false" outlineLevel="0" collapsed="false">
      <c r="A335" s="10"/>
      <c r="B335" s="9"/>
      <c r="C335" s="9"/>
      <c r="D335" s="11"/>
      <c r="E335" s="11"/>
      <c r="F335" s="12"/>
      <c r="G335" s="13" t="str">
        <f aca="false">IF(F335&lt;&gt;"",F335,IF(OR(D335="",E335=""),"",ROUND(MOD(E335-D335,1)*1440,0)))</f>
        <v/>
      </c>
      <c r="H335" s="9"/>
      <c r="I335" s="14" t="str">
        <f aca="false">IF(H335="","",IFERROR(INDEX(Setup!$E$5:$E$34,MATCH(H335,Setup!$D$5:$D$34,0)),"Not in Setup"))</f>
        <v/>
      </c>
      <c r="J335" s="9"/>
    </row>
    <row r="336" customFormat="false" ht="15" hidden="false" customHeight="false" outlineLevel="0" collapsed="false">
      <c r="A336" s="10"/>
      <c r="B336" s="9"/>
      <c r="C336" s="9"/>
      <c r="D336" s="11"/>
      <c r="E336" s="11"/>
      <c r="F336" s="12"/>
      <c r="G336" s="13" t="str">
        <f aca="false">IF(F336&lt;&gt;"",F336,IF(OR(D336="",E336=""),"",ROUND(MOD(E336-D336,1)*1440,0)))</f>
        <v/>
      </c>
      <c r="H336" s="9"/>
      <c r="I336" s="14" t="str">
        <f aca="false">IF(H336="","",IFERROR(INDEX(Setup!$E$5:$E$34,MATCH(H336,Setup!$D$5:$D$34,0)),"Not in Setup"))</f>
        <v/>
      </c>
      <c r="J336" s="9"/>
    </row>
    <row r="337" customFormat="false" ht="15" hidden="false" customHeight="false" outlineLevel="0" collapsed="false">
      <c r="A337" s="10"/>
      <c r="B337" s="9"/>
      <c r="C337" s="9"/>
      <c r="D337" s="11"/>
      <c r="E337" s="11"/>
      <c r="F337" s="12"/>
      <c r="G337" s="13" t="str">
        <f aca="false">IF(F337&lt;&gt;"",F337,IF(OR(D337="",E337=""),"",ROUND(MOD(E337-D337,1)*1440,0)))</f>
        <v/>
      </c>
      <c r="H337" s="9"/>
      <c r="I337" s="14" t="str">
        <f aca="false">IF(H337="","",IFERROR(INDEX(Setup!$E$5:$E$34,MATCH(H337,Setup!$D$5:$D$34,0)),"Not in Setup"))</f>
        <v/>
      </c>
      <c r="J337" s="9"/>
    </row>
    <row r="338" customFormat="false" ht="15" hidden="false" customHeight="false" outlineLevel="0" collapsed="false">
      <c r="A338" s="10"/>
      <c r="B338" s="9"/>
      <c r="C338" s="9"/>
      <c r="D338" s="11"/>
      <c r="E338" s="11"/>
      <c r="F338" s="12"/>
      <c r="G338" s="13" t="str">
        <f aca="false">IF(F338&lt;&gt;"",F338,IF(OR(D338="",E338=""),"",ROUND(MOD(E338-D338,1)*1440,0)))</f>
        <v/>
      </c>
      <c r="H338" s="9"/>
      <c r="I338" s="14" t="str">
        <f aca="false">IF(H338="","",IFERROR(INDEX(Setup!$E$5:$E$34,MATCH(H338,Setup!$D$5:$D$34,0)),"Not in Setup"))</f>
        <v/>
      </c>
      <c r="J338" s="9"/>
    </row>
    <row r="339" customFormat="false" ht="15" hidden="false" customHeight="false" outlineLevel="0" collapsed="false">
      <c r="A339" s="10"/>
      <c r="B339" s="9"/>
      <c r="C339" s="9"/>
      <c r="D339" s="11"/>
      <c r="E339" s="11"/>
      <c r="F339" s="12"/>
      <c r="G339" s="13" t="str">
        <f aca="false">IF(F339&lt;&gt;"",F339,IF(OR(D339="",E339=""),"",ROUND(MOD(E339-D339,1)*1440,0)))</f>
        <v/>
      </c>
      <c r="H339" s="9"/>
      <c r="I339" s="14" t="str">
        <f aca="false">IF(H339="","",IFERROR(INDEX(Setup!$E$5:$E$34,MATCH(H339,Setup!$D$5:$D$34,0)),"Not in Setup"))</f>
        <v/>
      </c>
      <c r="J339" s="9"/>
    </row>
    <row r="340" customFormat="false" ht="15" hidden="false" customHeight="false" outlineLevel="0" collapsed="false">
      <c r="A340" s="10"/>
      <c r="B340" s="9"/>
      <c r="C340" s="9"/>
      <c r="D340" s="11"/>
      <c r="E340" s="11"/>
      <c r="F340" s="12"/>
      <c r="G340" s="13" t="str">
        <f aca="false">IF(F340&lt;&gt;"",F340,IF(OR(D340="",E340=""),"",ROUND(MOD(E340-D340,1)*1440,0)))</f>
        <v/>
      </c>
      <c r="H340" s="9"/>
      <c r="I340" s="14" t="str">
        <f aca="false">IF(H340="","",IFERROR(INDEX(Setup!$E$5:$E$34,MATCH(H340,Setup!$D$5:$D$34,0)),"Not in Setup"))</f>
        <v/>
      </c>
      <c r="J340" s="9"/>
    </row>
    <row r="341" customFormat="false" ht="15" hidden="false" customHeight="false" outlineLevel="0" collapsed="false">
      <c r="A341" s="10"/>
      <c r="B341" s="9"/>
      <c r="C341" s="9"/>
      <c r="D341" s="11"/>
      <c r="E341" s="11"/>
      <c r="F341" s="12"/>
      <c r="G341" s="13" t="str">
        <f aca="false">IF(F341&lt;&gt;"",F341,IF(OR(D341="",E341=""),"",ROUND(MOD(E341-D341,1)*1440,0)))</f>
        <v/>
      </c>
      <c r="H341" s="9"/>
      <c r="I341" s="14" t="str">
        <f aca="false">IF(H341="","",IFERROR(INDEX(Setup!$E$5:$E$34,MATCH(H341,Setup!$D$5:$D$34,0)),"Not in Setup"))</f>
        <v/>
      </c>
      <c r="J341" s="9"/>
    </row>
    <row r="342" customFormat="false" ht="15" hidden="false" customHeight="false" outlineLevel="0" collapsed="false">
      <c r="A342" s="10"/>
      <c r="B342" s="9"/>
      <c r="C342" s="9"/>
      <c r="D342" s="11"/>
      <c r="E342" s="11"/>
      <c r="F342" s="12"/>
      <c r="G342" s="13" t="str">
        <f aca="false">IF(F342&lt;&gt;"",F342,IF(OR(D342="",E342=""),"",ROUND(MOD(E342-D342,1)*1440,0)))</f>
        <v/>
      </c>
      <c r="H342" s="9"/>
      <c r="I342" s="14" t="str">
        <f aca="false">IF(H342="","",IFERROR(INDEX(Setup!$E$5:$E$34,MATCH(H342,Setup!$D$5:$D$34,0)),"Not in Setup"))</f>
        <v/>
      </c>
      <c r="J342" s="9"/>
    </row>
    <row r="343" customFormat="false" ht="15" hidden="false" customHeight="false" outlineLevel="0" collapsed="false">
      <c r="A343" s="10"/>
      <c r="B343" s="9"/>
      <c r="C343" s="9"/>
      <c r="D343" s="11"/>
      <c r="E343" s="11"/>
      <c r="F343" s="12"/>
      <c r="G343" s="13" t="str">
        <f aca="false">IF(F343&lt;&gt;"",F343,IF(OR(D343="",E343=""),"",ROUND(MOD(E343-D343,1)*1440,0)))</f>
        <v/>
      </c>
      <c r="H343" s="9"/>
      <c r="I343" s="14" t="str">
        <f aca="false">IF(H343="","",IFERROR(INDEX(Setup!$E$5:$E$34,MATCH(H343,Setup!$D$5:$D$34,0)),"Not in Setup"))</f>
        <v/>
      </c>
      <c r="J343" s="9"/>
    </row>
    <row r="344" customFormat="false" ht="15" hidden="false" customHeight="false" outlineLevel="0" collapsed="false">
      <c r="A344" s="10"/>
      <c r="B344" s="9"/>
      <c r="C344" s="9"/>
      <c r="D344" s="11"/>
      <c r="E344" s="11"/>
      <c r="F344" s="12"/>
      <c r="G344" s="13" t="str">
        <f aca="false">IF(F344&lt;&gt;"",F344,IF(OR(D344="",E344=""),"",ROUND(MOD(E344-D344,1)*1440,0)))</f>
        <v/>
      </c>
      <c r="H344" s="9"/>
      <c r="I344" s="14" t="str">
        <f aca="false">IF(H344="","",IFERROR(INDEX(Setup!$E$5:$E$34,MATCH(H344,Setup!$D$5:$D$34,0)),"Not in Setup"))</f>
        <v/>
      </c>
      <c r="J344" s="9"/>
    </row>
    <row r="345" customFormat="false" ht="15" hidden="false" customHeight="false" outlineLevel="0" collapsed="false">
      <c r="A345" s="10"/>
      <c r="B345" s="9"/>
      <c r="C345" s="9"/>
      <c r="D345" s="11"/>
      <c r="E345" s="11"/>
      <c r="F345" s="12"/>
      <c r="G345" s="13" t="str">
        <f aca="false">IF(F345&lt;&gt;"",F345,IF(OR(D345="",E345=""),"",ROUND(MOD(E345-D345,1)*1440,0)))</f>
        <v/>
      </c>
      <c r="H345" s="9"/>
      <c r="I345" s="14" t="str">
        <f aca="false">IF(H345="","",IFERROR(INDEX(Setup!$E$5:$E$34,MATCH(H345,Setup!$D$5:$D$34,0)),"Not in Setup"))</f>
        <v/>
      </c>
      <c r="J345" s="9"/>
    </row>
    <row r="346" customFormat="false" ht="15" hidden="false" customHeight="false" outlineLevel="0" collapsed="false">
      <c r="A346" s="10"/>
      <c r="B346" s="9"/>
      <c r="C346" s="9"/>
      <c r="D346" s="11"/>
      <c r="E346" s="11"/>
      <c r="F346" s="12"/>
      <c r="G346" s="13" t="str">
        <f aca="false">IF(F346&lt;&gt;"",F346,IF(OR(D346="",E346=""),"",ROUND(MOD(E346-D346,1)*1440,0)))</f>
        <v/>
      </c>
      <c r="H346" s="9"/>
      <c r="I346" s="14" t="str">
        <f aca="false">IF(H346="","",IFERROR(INDEX(Setup!$E$5:$E$34,MATCH(H346,Setup!$D$5:$D$34,0)),"Not in Setup"))</f>
        <v/>
      </c>
      <c r="J346" s="9"/>
    </row>
    <row r="347" customFormat="false" ht="15" hidden="false" customHeight="false" outlineLevel="0" collapsed="false">
      <c r="A347" s="10"/>
      <c r="B347" s="9"/>
      <c r="C347" s="9"/>
      <c r="D347" s="11"/>
      <c r="E347" s="11"/>
      <c r="F347" s="12"/>
      <c r="G347" s="13" t="str">
        <f aca="false">IF(F347&lt;&gt;"",F347,IF(OR(D347="",E347=""),"",ROUND(MOD(E347-D347,1)*1440,0)))</f>
        <v/>
      </c>
      <c r="H347" s="9"/>
      <c r="I347" s="14" t="str">
        <f aca="false">IF(H347="","",IFERROR(INDEX(Setup!$E$5:$E$34,MATCH(H347,Setup!$D$5:$D$34,0)),"Not in Setup"))</f>
        <v/>
      </c>
      <c r="J347" s="9"/>
    </row>
    <row r="348" customFormat="false" ht="15" hidden="false" customHeight="false" outlineLevel="0" collapsed="false">
      <c r="A348" s="10"/>
      <c r="B348" s="9"/>
      <c r="C348" s="9"/>
      <c r="D348" s="11"/>
      <c r="E348" s="11"/>
      <c r="F348" s="12"/>
      <c r="G348" s="13" t="str">
        <f aca="false">IF(F348&lt;&gt;"",F348,IF(OR(D348="",E348=""),"",ROUND(MOD(E348-D348,1)*1440,0)))</f>
        <v/>
      </c>
      <c r="H348" s="9"/>
      <c r="I348" s="14" t="str">
        <f aca="false">IF(H348="","",IFERROR(INDEX(Setup!$E$5:$E$34,MATCH(H348,Setup!$D$5:$D$34,0)),"Not in Setup"))</f>
        <v/>
      </c>
      <c r="J348" s="9"/>
    </row>
    <row r="349" customFormat="false" ht="15" hidden="false" customHeight="false" outlineLevel="0" collapsed="false">
      <c r="A349" s="10"/>
      <c r="B349" s="9"/>
      <c r="C349" s="9"/>
      <c r="D349" s="11"/>
      <c r="E349" s="11"/>
      <c r="F349" s="12"/>
      <c r="G349" s="13" t="str">
        <f aca="false">IF(F349&lt;&gt;"",F349,IF(OR(D349="",E349=""),"",ROUND(MOD(E349-D349,1)*1440,0)))</f>
        <v/>
      </c>
      <c r="H349" s="9"/>
      <c r="I349" s="14" t="str">
        <f aca="false">IF(H349="","",IFERROR(INDEX(Setup!$E$5:$E$34,MATCH(H349,Setup!$D$5:$D$34,0)),"Not in Setup"))</f>
        <v/>
      </c>
      <c r="J349" s="9"/>
    </row>
    <row r="350" customFormat="false" ht="15" hidden="false" customHeight="false" outlineLevel="0" collapsed="false">
      <c r="A350" s="10"/>
      <c r="B350" s="9"/>
      <c r="C350" s="9"/>
      <c r="D350" s="11"/>
      <c r="E350" s="11"/>
      <c r="F350" s="12"/>
      <c r="G350" s="13" t="str">
        <f aca="false">IF(F350&lt;&gt;"",F350,IF(OR(D350="",E350=""),"",ROUND(MOD(E350-D350,1)*1440,0)))</f>
        <v/>
      </c>
      <c r="H350" s="9"/>
      <c r="I350" s="14" t="str">
        <f aca="false">IF(H350="","",IFERROR(INDEX(Setup!$E$5:$E$34,MATCH(H350,Setup!$D$5:$D$34,0)),"Not in Setup"))</f>
        <v/>
      </c>
      <c r="J350" s="9"/>
    </row>
    <row r="351" customFormat="false" ht="15" hidden="false" customHeight="false" outlineLevel="0" collapsed="false">
      <c r="A351" s="10"/>
      <c r="B351" s="9"/>
      <c r="C351" s="9"/>
      <c r="D351" s="11"/>
      <c r="E351" s="11"/>
      <c r="F351" s="12"/>
      <c r="G351" s="13" t="str">
        <f aca="false">IF(F351&lt;&gt;"",F351,IF(OR(D351="",E351=""),"",ROUND(MOD(E351-D351,1)*1440,0)))</f>
        <v/>
      </c>
      <c r="H351" s="9"/>
      <c r="I351" s="14" t="str">
        <f aca="false">IF(H351="","",IFERROR(INDEX(Setup!$E$5:$E$34,MATCH(H351,Setup!$D$5:$D$34,0)),"Not in Setup"))</f>
        <v/>
      </c>
      <c r="J351" s="9"/>
    </row>
    <row r="352" customFormat="false" ht="15" hidden="false" customHeight="false" outlineLevel="0" collapsed="false">
      <c r="A352" s="10"/>
      <c r="B352" s="9"/>
      <c r="C352" s="9"/>
      <c r="D352" s="11"/>
      <c r="E352" s="11"/>
      <c r="F352" s="12"/>
      <c r="G352" s="13" t="str">
        <f aca="false">IF(F352&lt;&gt;"",F352,IF(OR(D352="",E352=""),"",ROUND(MOD(E352-D352,1)*1440,0)))</f>
        <v/>
      </c>
      <c r="H352" s="9"/>
      <c r="I352" s="14" t="str">
        <f aca="false">IF(H352="","",IFERROR(INDEX(Setup!$E$5:$E$34,MATCH(H352,Setup!$D$5:$D$34,0)),"Not in Setup"))</f>
        <v/>
      </c>
      <c r="J352" s="9"/>
    </row>
    <row r="353" customFormat="false" ht="15" hidden="false" customHeight="false" outlineLevel="0" collapsed="false">
      <c r="A353" s="10"/>
      <c r="B353" s="9"/>
      <c r="C353" s="9"/>
      <c r="D353" s="11"/>
      <c r="E353" s="11"/>
      <c r="F353" s="12"/>
      <c r="G353" s="13" t="str">
        <f aca="false">IF(F353&lt;&gt;"",F353,IF(OR(D353="",E353=""),"",ROUND(MOD(E353-D353,1)*1440,0)))</f>
        <v/>
      </c>
      <c r="H353" s="9"/>
      <c r="I353" s="14" t="str">
        <f aca="false">IF(H353="","",IFERROR(INDEX(Setup!$E$5:$E$34,MATCH(H353,Setup!$D$5:$D$34,0)),"Not in Setup"))</f>
        <v/>
      </c>
      <c r="J353" s="9"/>
    </row>
    <row r="354" customFormat="false" ht="15" hidden="false" customHeight="false" outlineLevel="0" collapsed="false">
      <c r="A354" s="10"/>
      <c r="B354" s="9"/>
      <c r="C354" s="9"/>
      <c r="D354" s="11"/>
      <c r="E354" s="11"/>
      <c r="F354" s="12"/>
      <c r="G354" s="13" t="str">
        <f aca="false">IF(F354&lt;&gt;"",F354,IF(OR(D354="",E354=""),"",ROUND(MOD(E354-D354,1)*1440,0)))</f>
        <v/>
      </c>
      <c r="H354" s="9"/>
      <c r="I354" s="14" t="str">
        <f aca="false">IF(H354="","",IFERROR(INDEX(Setup!$E$5:$E$34,MATCH(H354,Setup!$D$5:$D$34,0)),"Not in Setup"))</f>
        <v/>
      </c>
      <c r="J354" s="9"/>
    </row>
    <row r="355" customFormat="false" ht="15" hidden="false" customHeight="false" outlineLevel="0" collapsed="false">
      <c r="A355" s="10"/>
      <c r="B355" s="9"/>
      <c r="C355" s="9"/>
      <c r="D355" s="11"/>
      <c r="E355" s="11"/>
      <c r="F355" s="12"/>
      <c r="G355" s="13" t="str">
        <f aca="false">IF(F355&lt;&gt;"",F355,IF(OR(D355="",E355=""),"",ROUND(MOD(E355-D355,1)*1440,0)))</f>
        <v/>
      </c>
      <c r="H355" s="9"/>
      <c r="I355" s="14" t="str">
        <f aca="false">IF(H355="","",IFERROR(INDEX(Setup!$E$5:$E$34,MATCH(H355,Setup!$D$5:$D$34,0)),"Not in Setup"))</f>
        <v/>
      </c>
      <c r="J355" s="9"/>
    </row>
    <row r="356" customFormat="false" ht="15" hidden="false" customHeight="false" outlineLevel="0" collapsed="false">
      <c r="A356" s="10"/>
      <c r="B356" s="9"/>
      <c r="C356" s="9"/>
      <c r="D356" s="11"/>
      <c r="E356" s="11"/>
      <c r="F356" s="12"/>
      <c r="G356" s="13" t="str">
        <f aca="false">IF(F356&lt;&gt;"",F356,IF(OR(D356="",E356=""),"",ROUND(MOD(E356-D356,1)*1440,0)))</f>
        <v/>
      </c>
      <c r="H356" s="9"/>
      <c r="I356" s="14" t="str">
        <f aca="false">IF(H356="","",IFERROR(INDEX(Setup!$E$5:$E$34,MATCH(H356,Setup!$D$5:$D$34,0)),"Not in Setup"))</f>
        <v/>
      </c>
      <c r="J356" s="9"/>
    </row>
    <row r="357" customFormat="false" ht="15" hidden="false" customHeight="false" outlineLevel="0" collapsed="false">
      <c r="A357" s="10"/>
      <c r="B357" s="9"/>
      <c r="C357" s="9"/>
      <c r="D357" s="11"/>
      <c r="E357" s="11"/>
      <c r="F357" s="12"/>
      <c r="G357" s="13" t="str">
        <f aca="false">IF(F357&lt;&gt;"",F357,IF(OR(D357="",E357=""),"",ROUND(MOD(E357-D357,1)*1440,0)))</f>
        <v/>
      </c>
      <c r="H357" s="9"/>
      <c r="I357" s="14" t="str">
        <f aca="false">IF(H357="","",IFERROR(INDEX(Setup!$E$5:$E$34,MATCH(H357,Setup!$D$5:$D$34,0)),"Not in Setup"))</f>
        <v/>
      </c>
      <c r="J357" s="9"/>
    </row>
    <row r="358" customFormat="false" ht="15" hidden="false" customHeight="false" outlineLevel="0" collapsed="false">
      <c r="A358" s="10"/>
      <c r="B358" s="9"/>
      <c r="C358" s="9"/>
      <c r="D358" s="11"/>
      <c r="E358" s="11"/>
      <c r="F358" s="12"/>
      <c r="G358" s="13" t="str">
        <f aca="false">IF(F358&lt;&gt;"",F358,IF(OR(D358="",E358=""),"",ROUND(MOD(E358-D358,1)*1440,0)))</f>
        <v/>
      </c>
      <c r="H358" s="9"/>
      <c r="I358" s="14" t="str">
        <f aca="false">IF(H358="","",IFERROR(INDEX(Setup!$E$5:$E$34,MATCH(H358,Setup!$D$5:$D$34,0)),"Not in Setup"))</f>
        <v/>
      </c>
      <c r="J358" s="9"/>
    </row>
    <row r="359" customFormat="false" ht="15" hidden="false" customHeight="false" outlineLevel="0" collapsed="false">
      <c r="A359" s="10"/>
      <c r="B359" s="9"/>
      <c r="C359" s="9"/>
      <c r="D359" s="11"/>
      <c r="E359" s="11"/>
      <c r="F359" s="12"/>
      <c r="G359" s="13" t="str">
        <f aca="false">IF(F359&lt;&gt;"",F359,IF(OR(D359="",E359=""),"",ROUND(MOD(E359-D359,1)*1440,0)))</f>
        <v/>
      </c>
      <c r="H359" s="9"/>
      <c r="I359" s="14" t="str">
        <f aca="false">IF(H359="","",IFERROR(INDEX(Setup!$E$5:$E$34,MATCH(H359,Setup!$D$5:$D$34,0)),"Not in Setup"))</f>
        <v/>
      </c>
      <c r="J359" s="9"/>
    </row>
    <row r="360" customFormat="false" ht="15" hidden="false" customHeight="false" outlineLevel="0" collapsed="false">
      <c r="A360" s="10"/>
      <c r="B360" s="9"/>
      <c r="C360" s="9"/>
      <c r="D360" s="11"/>
      <c r="E360" s="11"/>
      <c r="F360" s="12"/>
      <c r="G360" s="13" t="str">
        <f aca="false">IF(F360&lt;&gt;"",F360,IF(OR(D360="",E360=""),"",ROUND(MOD(E360-D360,1)*1440,0)))</f>
        <v/>
      </c>
      <c r="H360" s="9"/>
      <c r="I360" s="14" t="str">
        <f aca="false">IF(H360="","",IFERROR(INDEX(Setup!$E$5:$E$34,MATCH(H360,Setup!$D$5:$D$34,0)),"Not in Setup"))</f>
        <v/>
      </c>
      <c r="J360" s="9"/>
    </row>
    <row r="361" customFormat="false" ht="15" hidden="false" customHeight="false" outlineLevel="0" collapsed="false">
      <c r="A361" s="10"/>
      <c r="B361" s="9"/>
      <c r="C361" s="9"/>
      <c r="D361" s="11"/>
      <c r="E361" s="11"/>
      <c r="F361" s="12"/>
      <c r="G361" s="13" t="str">
        <f aca="false">IF(F361&lt;&gt;"",F361,IF(OR(D361="",E361=""),"",ROUND(MOD(E361-D361,1)*1440,0)))</f>
        <v/>
      </c>
      <c r="H361" s="9"/>
      <c r="I361" s="14" t="str">
        <f aca="false">IF(H361="","",IFERROR(INDEX(Setup!$E$5:$E$34,MATCH(H361,Setup!$D$5:$D$34,0)),"Not in Setup"))</f>
        <v/>
      </c>
      <c r="J361" s="9"/>
    </row>
    <row r="362" customFormat="false" ht="15" hidden="false" customHeight="false" outlineLevel="0" collapsed="false">
      <c r="A362" s="10"/>
      <c r="B362" s="9"/>
      <c r="C362" s="9"/>
      <c r="D362" s="11"/>
      <c r="E362" s="11"/>
      <c r="F362" s="12"/>
      <c r="G362" s="13" t="str">
        <f aca="false">IF(F362&lt;&gt;"",F362,IF(OR(D362="",E362=""),"",ROUND(MOD(E362-D362,1)*1440,0)))</f>
        <v/>
      </c>
      <c r="H362" s="9"/>
      <c r="I362" s="14" t="str">
        <f aca="false">IF(H362="","",IFERROR(INDEX(Setup!$E$5:$E$34,MATCH(H362,Setup!$D$5:$D$34,0)),"Not in Setup"))</f>
        <v/>
      </c>
      <c r="J362" s="9"/>
    </row>
    <row r="363" customFormat="false" ht="15" hidden="false" customHeight="false" outlineLevel="0" collapsed="false">
      <c r="A363" s="10"/>
      <c r="B363" s="9"/>
      <c r="C363" s="9"/>
      <c r="D363" s="11"/>
      <c r="E363" s="11"/>
      <c r="F363" s="12"/>
      <c r="G363" s="13" t="str">
        <f aca="false">IF(F363&lt;&gt;"",F363,IF(OR(D363="",E363=""),"",ROUND(MOD(E363-D363,1)*1440,0)))</f>
        <v/>
      </c>
      <c r="H363" s="9"/>
      <c r="I363" s="14" t="str">
        <f aca="false">IF(H363="","",IFERROR(INDEX(Setup!$E$5:$E$34,MATCH(H363,Setup!$D$5:$D$34,0)),"Not in Setup"))</f>
        <v/>
      </c>
      <c r="J363" s="9"/>
    </row>
    <row r="364" customFormat="false" ht="15" hidden="false" customHeight="false" outlineLevel="0" collapsed="false">
      <c r="A364" s="10"/>
      <c r="B364" s="9"/>
      <c r="C364" s="9"/>
      <c r="D364" s="11"/>
      <c r="E364" s="11"/>
      <c r="F364" s="12"/>
      <c r="G364" s="13" t="str">
        <f aca="false">IF(F364&lt;&gt;"",F364,IF(OR(D364="",E364=""),"",ROUND(MOD(E364-D364,1)*1440,0)))</f>
        <v/>
      </c>
      <c r="H364" s="9"/>
      <c r="I364" s="14" t="str">
        <f aca="false">IF(H364="","",IFERROR(INDEX(Setup!$E$5:$E$34,MATCH(H364,Setup!$D$5:$D$34,0)),"Not in Setup"))</f>
        <v/>
      </c>
      <c r="J364" s="9"/>
    </row>
    <row r="365" customFormat="false" ht="15" hidden="false" customHeight="false" outlineLevel="0" collapsed="false">
      <c r="A365" s="10"/>
      <c r="B365" s="9"/>
      <c r="C365" s="9"/>
      <c r="D365" s="11"/>
      <c r="E365" s="11"/>
      <c r="F365" s="12"/>
      <c r="G365" s="13" t="str">
        <f aca="false">IF(F365&lt;&gt;"",F365,IF(OR(D365="",E365=""),"",ROUND(MOD(E365-D365,1)*1440,0)))</f>
        <v/>
      </c>
      <c r="H365" s="9"/>
      <c r="I365" s="14" t="str">
        <f aca="false">IF(H365="","",IFERROR(INDEX(Setup!$E$5:$E$34,MATCH(H365,Setup!$D$5:$D$34,0)),"Not in Setup"))</f>
        <v/>
      </c>
      <c r="J365" s="9"/>
    </row>
    <row r="366" customFormat="false" ht="15" hidden="false" customHeight="false" outlineLevel="0" collapsed="false">
      <c r="A366" s="10"/>
      <c r="B366" s="9"/>
      <c r="C366" s="9"/>
      <c r="D366" s="11"/>
      <c r="E366" s="11"/>
      <c r="F366" s="12"/>
      <c r="G366" s="13" t="str">
        <f aca="false">IF(F366&lt;&gt;"",F366,IF(OR(D366="",E366=""),"",ROUND(MOD(E366-D366,1)*1440,0)))</f>
        <v/>
      </c>
      <c r="H366" s="9"/>
      <c r="I366" s="14" t="str">
        <f aca="false">IF(H366="","",IFERROR(INDEX(Setup!$E$5:$E$34,MATCH(H366,Setup!$D$5:$D$34,0)),"Not in Setup"))</f>
        <v/>
      </c>
      <c r="J366" s="9"/>
    </row>
    <row r="367" customFormat="false" ht="15" hidden="false" customHeight="false" outlineLevel="0" collapsed="false">
      <c r="A367" s="10"/>
      <c r="B367" s="9"/>
      <c r="C367" s="9"/>
      <c r="D367" s="11"/>
      <c r="E367" s="11"/>
      <c r="F367" s="12"/>
      <c r="G367" s="13" t="str">
        <f aca="false">IF(F367&lt;&gt;"",F367,IF(OR(D367="",E367=""),"",ROUND(MOD(E367-D367,1)*1440,0)))</f>
        <v/>
      </c>
      <c r="H367" s="9"/>
      <c r="I367" s="14" t="str">
        <f aca="false">IF(H367="","",IFERROR(INDEX(Setup!$E$5:$E$34,MATCH(H367,Setup!$D$5:$D$34,0)),"Not in Setup"))</f>
        <v/>
      </c>
      <c r="J367" s="9"/>
    </row>
    <row r="368" customFormat="false" ht="15" hidden="false" customHeight="false" outlineLevel="0" collapsed="false">
      <c r="A368" s="10"/>
      <c r="B368" s="9"/>
      <c r="C368" s="9"/>
      <c r="D368" s="11"/>
      <c r="E368" s="11"/>
      <c r="F368" s="12"/>
      <c r="G368" s="13" t="str">
        <f aca="false">IF(F368&lt;&gt;"",F368,IF(OR(D368="",E368=""),"",ROUND(MOD(E368-D368,1)*1440,0)))</f>
        <v/>
      </c>
      <c r="H368" s="9"/>
      <c r="I368" s="14" t="str">
        <f aca="false">IF(H368="","",IFERROR(INDEX(Setup!$E$5:$E$34,MATCH(H368,Setup!$D$5:$D$34,0)),"Not in Setup"))</f>
        <v/>
      </c>
      <c r="J368" s="9"/>
    </row>
    <row r="369" customFormat="false" ht="15" hidden="false" customHeight="false" outlineLevel="0" collapsed="false">
      <c r="A369" s="10"/>
      <c r="B369" s="9"/>
      <c r="C369" s="9"/>
      <c r="D369" s="11"/>
      <c r="E369" s="11"/>
      <c r="F369" s="12"/>
      <c r="G369" s="13" t="str">
        <f aca="false">IF(F369&lt;&gt;"",F369,IF(OR(D369="",E369=""),"",ROUND(MOD(E369-D369,1)*1440,0)))</f>
        <v/>
      </c>
      <c r="H369" s="9"/>
      <c r="I369" s="14" t="str">
        <f aca="false">IF(H369="","",IFERROR(INDEX(Setup!$E$5:$E$34,MATCH(H369,Setup!$D$5:$D$34,0)),"Not in Setup"))</f>
        <v/>
      </c>
      <c r="J369" s="9"/>
    </row>
    <row r="370" customFormat="false" ht="15" hidden="false" customHeight="false" outlineLevel="0" collapsed="false">
      <c r="A370" s="10"/>
      <c r="B370" s="9"/>
      <c r="C370" s="9"/>
      <c r="D370" s="11"/>
      <c r="E370" s="11"/>
      <c r="F370" s="12"/>
      <c r="G370" s="13" t="str">
        <f aca="false">IF(F370&lt;&gt;"",F370,IF(OR(D370="",E370=""),"",ROUND(MOD(E370-D370,1)*1440,0)))</f>
        <v/>
      </c>
      <c r="H370" s="9"/>
      <c r="I370" s="14" t="str">
        <f aca="false">IF(H370="","",IFERROR(INDEX(Setup!$E$5:$E$34,MATCH(H370,Setup!$D$5:$D$34,0)),"Not in Setup"))</f>
        <v/>
      </c>
      <c r="J370" s="9"/>
    </row>
    <row r="371" customFormat="false" ht="15" hidden="false" customHeight="false" outlineLevel="0" collapsed="false">
      <c r="A371" s="10"/>
      <c r="B371" s="9"/>
      <c r="C371" s="9"/>
      <c r="D371" s="11"/>
      <c r="E371" s="11"/>
      <c r="F371" s="12"/>
      <c r="G371" s="13" t="str">
        <f aca="false">IF(F371&lt;&gt;"",F371,IF(OR(D371="",E371=""),"",ROUND(MOD(E371-D371,1)*1440,0)))</f>
        <v/>
      </c>
      <c r="H371" s="9"/>
      <c r="I371" s="14" t="str">
        <f aca="false">IF(H371="","",IFERROR(INDEX(Setup!$E$5:$E$34,MATCH(H371,Setup!$D$5:$D$34,0)),"Not in Setup"))</f>
        <v/>
      </c>
      <c r="J371" s="9"/>
    </row>
    <row r="372" customFormat="false" ht="15" hidden="false" customHeight="false" outlineLevel="0" collapsed="false">
      <c r="A372" s="10"/>
      <c r="B372" s="9"/>
      <c r="C372" s="9"/>
      <c r="D372" s="11"/>
      <c r="E372" s="11"/>
      <c r="F372" s="12"/>
      <c r="G372" s="13" t="str">
        <f aca="false">IF(F372&lt;&gt;"",F372,IF(OR(D372="",E372=""),"",ROUND(MOD(E372-D372,1)*1440,0)))</f>
        <v/>
      </c>
      <c r="H372" s="9"/>
      <c r="I372" s="14" t="str">
        <f aca="false">IF(H372="","",IFERROR(INDEX(Setup!$E$5:$E$34,MATCH(H372,Setup!$D$5:$D$34,0)),"Not in Setup"))</f>
        <v/>
      </c>
      <c r="J372" s="9"/>
    </row>
    <row r="373" customFormat="false" ht="15" hidden="false" customHeight="false" outlineLevel="0" collapsed="false">
      <c r="A373" s="10"/>
      <c r="B373" s="9"/>
      <c r="C373" s="9"/>
      <c r="D373" s="11"/>
      <c r="E373" s="11"/>
      <c r="F373" s="12"/>
      <c r="G373" s="13" t="str">
        <f aca="false">IF(F373&lt;&gt;"",F373,IF(OR(D373="",E373=""),"",ROUND(MOD(E373-D373,1)*1440,0)))</f>
        <v/>
      </c>
      <c r="H373" s="9"/>
      <c r="I373" s="14" t="str">
        <f aca="false">IF(H373="","",IFERROR(INDEX(Setup!$E$5:$E$34,MATCH(H373,Setup!$D$5:$D$34,0)),"Not in Setup"))</f>
        <v/>
      </c>
      <c r="J373" s="9"/>
    </row>
    <row r="374" customFormat="false" ht="15" hidden="false" customHeight="false" outlineLevel="0" collapsed="false">
      <c r="A374" s="10"/>
      <c r="B374" s="9"/>
      <c r="C374" s="9"/>
      <c r="D374" s="11"/>
      <c r="E374" s="11"/>
      <c r="F374" s="12"/>
      <c r="G374" s="13" t="str">
        <f aca="false">IF(F374&lt;&gt;"",F374,IF(OR(D374="",E374=""),"",ROUND(MOD(E374-D374,1)*1440,0)))</f>
        <v/>
      </c>
      <c r="H374" s="9"/>
      <c r="I374" s="14" t="str">
        <f aca="false">IF(H374="","",IFERROR(INDEX(Setup!$E$5:$E$34,MATCH(H374,Setup!$D$5:$D$34,0)),"Not in Setup"))</f>
        <v/>
      </c>
      <c r="J374" s="9"/>
    </row>
    <row r="375" customFormat="false" ht="15" hidden="false" customHeight="false" outlineLevel="0" collapsed="false">
      <c r="A375" s="10"/>
      <c r="B375" s="9"/>
      <c r="C375" s="9"/>
      <c r="D375" s="11"/>
      <c r="E375" s="11"/>
      <c r="F375" s="12"/>
      <c r="G375" s="13" t="str">
        <f aca="false">IF(F375&lt;&gt;"",F375,IF(OR(D375="",E375=""),"",ROUND(MOD(E375-D375,1)*1440,0)))</f>
        <v/>
      </c>
      <c r="H375" s="9"/>
      <c r="I375" s="14" t="str">
        <f aca="false">IF(H375="","",IFERROR(INDEX(Setup!$E$5:$E$34,MATCH(H375,Setup!$D$5:$D$34,0)),"Not in Setup"))</f>
        <v/>
      </c>
      <c r="J375" s="9"/>
    </row>
    <row r="376" customFormat="false" ht="15" hidden="false" customHeight="false" outlineLevel="0" collapsed="false">
      <c r="A376" s="10"/>
      <c r="B376" s="9"/>
      <c r="C376" s="9"/>
      <c r="D376" s="11"/>
      <c r="E376" s="11"/>
      <c r="F376" s="12"/>
      <c r="G376" s="13" t="str">
        <f aca="false">IF(F376&lt;&gt;"",F376,IF(OR(D376="",E376=""),"",ROUND(MOD(E376-D376,1)*1440,0)))</f>
        <v/>
      </c>
      <c r="H376" s="9"/>
      <c r="I376" s="14" t="str">
        <f aca="false">IF(H376="","",IFERROR(INDEX(Setup!$E$5:$E$34,MATCH(H376,Setup!$D$5:$D$34,0)),"Not in Setup"))</f>
        <v/>
      </c>
      <c r="J376" s="9"/>
    </row>
    <row r="377" customFormat="false" ht="15" hidden="false" customHeight="false" outlineLevel="0" collapsed="false">
      <c r="A377" s="10"/>
      <c r="B377" s="9"/>
      <c r="C377" s="9"/>
      <c r="D377" s="11"/>
      <c r="E377" s="11"/>
      <c r="F377" s="12"/>
      <c r="G377" s="13" t="str">
        <f aca="false">IF(F377&lt;&gt;"",F377,IF(OR(D377="",E377=""),"",ROUND(MOD(E377-D377,1)*1440,0)))</f>
        <v/>
      </c>
      <c r="H377" s="9"/>
      <c r="I377" s="14" t="str">
        <f aca="false">IF(H377="","",IFERROR(INDEX(Setup!$E$5:$E$34,MATCH(H377,Setup!$D$5:$D$34,0)),"Not in Setup"))</f>
        <v/>
      </c>
      <c r="J377" s="9"/>
    </row>
    <row r="378" customFormat="false" ht="15" hidden="false" customHeight="false" outlineLevel="0" collapsed="false">
      <c r="A378" s="10"/>
      <c r="B378" s="9"/>
      <c r="C378" s="9"/>
      <c r="D378" s="11"/>
      <c r="E378" s="11"/>
      <c r="F378" s="12"/>
      <c r="G378" s="13" t="str">
        <f aca="false">IF(F378&lt;&gt;"",F378,IF(OR(D378="",E378=""),"",ROUND(MOD(E378-D378,1)*1440,0)))</f>
        <v/>
      </c>
      <c r="H378" s="9"/>
      <c r="I378" s="14" t="str">
        <f aca="false">IF(H378="","",IFERROR(INDEX(Setup!$E$5:$E$34,MATCH(H378,Setup!$D$5:$D$34,0)),"Not in Setup"))</f>
        <v/>
      </c>
      <c r="J378" s="9"/>
    </row>
    <row r="379" customFormat="false" ht="15" hidden="false" customHeight="false" outlineLevel="0" collapsed="false">
      <c r="A379" s="10"/>
      <c r="B379" s="9"/>
      <c r="C379" s="9"/>
      <c r="D379" s="11"/>
      <c r="E379" s="11"/>
      <c r="F379" s="12"/>
      <c r="G379" s="13" t="str">
        <f aca="false">IF(F379&lt;&gt;"",F379,IF(OR(D379="",E379=""),"",ROUND(MOD(E379-D379,1)*1440,0)))</f>
        <v/>
      </c>
      <c r="H379" s="9"/>
      <c r="I379" s="14" t="str">
        <f aca="false">IF(H379="","",IFERROR(INDEX(Setup!$E$5:$E$34,MATCH(H379,Setup!$D$5:$D$34,0)),"Not in Setup"))</f>
        <v/>
      </c>
      <c r="J379" s="9"/>
    </row>
    <row r="380" customFormat="false" ht="15" hidden="false" customHeight="false" outlineLevel="0" collapsed="false">
      <c r="A380" s="10"/>
      <c r="B380" s="9"/>
      <c r="C380" s="9"/>
      <c r="D380" s="11"/>
      <c r="E380" s="11"/>
      <c r="F380" s="12"/>
      <c r="G380" s="13" t="str">
        <f aca="false">IF(F380&lt;&gt;"",F380,IF(OR(D380="",E380=""),"",ROUND(MOD(E380-D380,1)*1440,0)))</f>
        <v/>
      </c>
      <c r="H380" s="9"/>
      <c r="I380" s="14" t="str">
        <f aca="false">IF(H380="","",IFERROR(INDEX(Setup!$E$5:$E$34,MATCH(H380,Setup!$D$5:$D$34,0)),"Not in Setup"))</f>
        <v/>
      </c>
      <c r="J380" s="9"/>
    </row>
    <row r="381" customFormat="false" ht="15" hidden="false" customHeight="false" outlineLevel="0" collapsed="false">
      <c r="A381" s="10"/>
      <c r="B381" s="9"/>
      <c r="C381" s="9"/>
      <c r="D381" s="11"/>
      <c r="E381" s="11"/>
      <c r="F381" s="12"/>
      <c r="G381" s="13" t="str">
        <f aca="false">IF(F381&lt;&gt;"",F381,IF(OR(D381="",E381=""),"",ROUND(MOD(E381-D381,1)*1440,0)))</f>
        <v/>
      </c>
      <c r="H381" s="9"/>
      <c r="I381" s="14" t="str">
        <f aca="false">IF(H381="","",IFERROR(INDEX(Setup!$E$5:$E$34,MATCH(H381,Setup!$D$5:$D$34,0)),"Not in Setup"))</f>
        <v/>
      </c>
      <c r="J381" s="9"/>
    </row>
    <row r="382" customFormat="false" ht="15" hidden="false" customHeight="false" outlineLevel="0" collapsed="false">
      <c r="A382" s="10"/>
      <c r="B382" s="9"/>
      <c r="C382" s="9"/>
      <c r="D382" s="11"/>
      <c r="E382" s="11"/>
      <c r="F382" s="12"/>
      <c r="G382" s="13" t="str">
        <f aca="false">IF(F382&lt;&gt;"",F382,IF(OR(D382="",E382=""),"",ROUND(MOD(E382-D382,1)*1440,0)))</f>
        <v/>
      </c>
      <c r="H382" s="9"/>
      <c r="I382" s="14" t="str">
        <f aca="false">IF(H382="","",IFERROR(INDEX(Setup!$E$5:$E$34,MATCH(H382,Setup!$D$5:$D$34,0)),"Not in Setup"))</f>
        <v/>
      </c>
      <c r="J382" s="9"/>
    </row>
    <row r="383" customFormat="false" ht="15" hidden="false" customHeight="false" outlineLevel="0" collapsed="false">
      <c r="A383" s="10"/>
      <c r="B383" s="9"/>
      <c r="C383" s="9"/>
      <c r="D383" s="11"/>
      <c r="E383" s="11"/>
      <c r="F383" s="12"/>
      <c r="G383" s="13" t="str">
        <f aca="false">IF(F383&lt;&gt;"",F383,IF(OR(D383="",E383=""),"",ROUND(MOD(E383-D383,1)*1440,0)))</f>
        <v/>
      </c>
      <c r="H383" s="9"/>
      <c r="I383" s="14" t="str">
        <f aca="false">IF(H383="","",IFERROR(INDEX(Setup!$E$5:$E$34,MATCH(H383,Setup!$D$5:$D$34,0)),"Not in Setup"))</f>
        <v/>
      </c>
      <c r="J383" s="9"/>
    </row>
    <row r="384" customFormat="false" ht="15" hidden="false" customHeight="false" outlineLevel="0" collapsed="false">
      <c r="A384" s="10"/>
      <c r="B384" s="9"/>
      <c r="C384" s="9"/>
      <c r="D384" s="11"/>
      <c r="E384" s="11"/>
      <c r="F384" s="12"/>
      <c r="G384" s="13" t="str">
        <f aca="false">IF(F384&lt;&gt;"",F384,IF(OR(D384="",E384=""),"",ROUND(MOD(E384-D384,1)*1440,0)))</f>
        <v/>
      </c>
      <c r="H384" s="9"/>
      <c r="I384" s="14" t="str">
        <f aca="false">IF(H384="","",IFERROR(INDEX(Setup!$E$5:$E$34,MATCH(H384,Setup!$D$5:$D$34,0)),"Not in Setup"))</f>
        <v/>
      </c>
      <c r="J384" s="9"/>
    </row>
    <row r="385" customFormat="false" ht="15" hidden="false" customHeight="false" outlineLevel="0" collapsed="false">
      <c r="A385" s="10"/>
      <c r="B385" s="9"/>
      <c r="C385" s="9"/>
      <c r="D385" s="11"/>
      <c r="E385" s="11"/>
      <c r="F385" s="12"/>
      <c r="G385" s="13" t="str">
        <f aca="false">IF(F385&lt;&gt;"",F385,IF(OR(D385="",E385=""),"",ROUND(MOD(E385-D385,1)*1440,0)))</f>
        <v/>
      </c>
      <c r="H385" s="9"/>
      <c r="I385" s="14" t="str">
        <f aca="false">IF(H385="","",IFERROR(INDEX(Setup!$E$5:$E$34,MATCH(H385,Setup!$D$5:$D$34,0)),"Not in Setup"))</f>
        <v/>
      </c>
      <c r="J385" s="9"/>
    </row>
    <row r="386" customFormat="false" ht="15" hidden="false" customHeight="false" outlineLevel="0" collapsed="false">
      <c r="A386" s="10"/>
      <c r="B386" s="9"/>
      <c r="C386" s="9"/>
      <c r="D386" s="11"/>
      <c r="E386" s="11"/>
      <c r="F386" s="12"/>
      <c r="G386" s="13" t="str">
        <f aca="false">IF(F386&lt;&gt;"",F386,IF(OR(D386="",E386=""),"",ROUND(MOD(E386-D386,1)*1440,0)))</f>
        <v/>
      </c>
      <c r="H386" s="9"/>
      <c r="I386" s="14" t="str">
        <f aca="false">IF(H386="","",IFERROR(INDEX(Setup!$E$5:$E$34,MATCH(H386,Setup!$D$5:$D$34,0)),"Not in Setup"))</f>
        <v/>
      </c>
      <c r="J386" s="9"/>
    </row>
    <row r="387" customFormat="false" ht="15" hidden="false" customHeight="false" outlineLevel="0" collapsed="false">
      <c r="A387" s="10"/>
      <c r="B387" s="9"/>
      <c r="C387" s="9"/>
      <c r="D387" s="11"/>
      <c r="E387" s="11"/>
      <c r="F387" s="12"/>
      <c r="G387" s="13" t="str">
        <f aca="false">IF(F387&lt;&gt;"",F387,IF(OR(D387="",E387=""),"",ROUND(MOD(E387-D387,1)*1440,0)))</f>
        <v/>
      </c>
      <c r="H387" s="9"/>
      <c r="I387" s="14" t="str">
        <f aca="false">IF(H387="","",IFERROR(INDEX(Setup!$E$5:$E$34,MATCH(H387,Setup!$D$5:$D$34,0)),"Not in Setup"))</f>
        <v/>
      </c>
      <c r="J387" s="9"/>
    </row>
    <row r="388" customFormat="false" ht="15" hidden="false" customHeight="false" outlineLevel="0" collapsed="false">
      <c r="A388" s="10"/>
      <c r="B388" s="9"/>
      <c r="C388" s="9"/>
      <c r="D388" s="11"/>
      <c r="E388" s="11"/>
      <c r="F388" s="12"/>
      <c r="G388" s="13" t="str">
        <f aca="false">IF(F388&lt;&gt;"",F388,IF(OR(D388="",E388=""),"",ROUND(MOD(E388-D388,1)*1440,0)))</f>
        <v/>
      </c>
      <c r="H388" s="9"/>
      <c r="I388" s="14" t="str">
        <f aca="false">IF(H388="","",IFERROR(INDEX(Setup!$E$5:$E$34,MATCH(H388,Setup!$D$5:$D$34,0)),"Not in Setup"))</f>
        <v/>
      </c>
      <c r="J388" s="9"/>
    </row>
    <row r="389" customFormat="false" ht="15" hidden="false" customHeight="false" outlineLevel="0" collapsed="false">
      <c r="A389" s="10"/>
      <c r="B389" s="9"/>
      <c r="C389" s="9"/>
      <c r="D389" s="11"/>
      <c r="E389" s="11"/>
      <c r="F389" s="12"/>
      <c r="G389" s="13" t="str">
        <f aca="false">IF(F389&lt;&gt;"",F389,IF(OR(D389="",E389=""),"",ROUND(MOD(E389-D389,1)*1440,0)))</f>
        <v/>
      </c>
      <c r="H389" s="9"/>
      <c r="I389" s="14" t="str">
        <f aca="false">IF(H389="","",IFERROR(INDEX(Setup!$E$5:$E$34,MATCH(H389,Setup!$D$5:$D$34,0)),"Not in Setup"))</f>
        <v/>
      </c>
      <c r="J389" s="9"/>
    </row>
    <row r="390" customFormat="false" ht="15" hidden="false" customHeight="false" outlineLevel="0" collapsed="false">
      <c r="A390" s="10"/>
      <c r="B390" s="9"/>
      <c r="C390" s="9"/>
      <c r="D390" s="11"/>
      <c r="E390" s="11"/>
      <c r="F390" s="12"/>
      <c r="G390" s="13" t="str">
        <f aca="false">IF(F390&lt;&gt;"",F390,IF(OR(D390="",E390=""),"",ROUND(MOD(E390-D390,1)*1440,0)))</f>
        <v/>
      </c>
      <c r="H390" s="9"/>
      <c r="I390" s="14" t="str">
        <f aca="false">IF(H390="","",IFERROR(INDEX(Setup!$E$5:$E$34,MATCH(H390,Setup!$D$5:$D$34,0)),"Not in Setup"))</f>
        <v/>
      </c>
      <c r="J390" s="9"/>
    </row>
    <row r="391" customFormat="false" ht="15" hidden="false" customHeight="false" outlineLevel="0" collapsed="false">
      <c r="A391" s="10"/>
      <c r="B391" s="9"/>
      <c r="C391" s="9"/>
      <c r="D391" s="11"/>
      <c r="E391" s="11"/>
      <c r="F391" s="12"/>
      <c r="G391" s="13" t="str">
        <f aca="false">IF(F391&lt;&gt;"",F391,IF(OR(D391="",E391=""),"",ROUND(MOD(E391-D391,1)*1440,0)))</f>
        <v/>
      </c>
      <c r="H391" s="9"/>
      <c r="I391" s="14" t="str">
        <f aca="false">IF(H391="","",IFERROR(INDEX(Setup!$E$5:$E$34,MATCH(H391,Setup!$D$5:$D$34,0)),"Not in Setup"))</f>
        <v/>
      </c>
      <c r="J391" s="9"/>
    </row>
    <row r="392" customFormat="false" ht="15" hidden="false" customHeight="false" outlineLevel="0" collapsed="false">
      <c r="A392" s="10"/>
      <c r="B392" s="9"/>
      <c r="C392" s="9"/>
      <c r="D392" s="11"/>
      <c r="E392" s="11"/>
      <c r="F392" s="12"/>
      <c r="G392" s="13" t="str">
        <f aca="false">IF(F392&lt;&gt;"",F392,IF(OR(D392="",E392=""),"",ROUND(MOD(E392-D392,1)*1440,0)))</f>
        <v/>
      </c>
      <c r="H392" s="9"/>
      <c r="I392" s="14" t="str">
        <f aca="false">IF(H392="","",IFERROR(INDEX(Setup!$E$5:$E$34,MATCH(H392,Setup!$D$5:$D$34,0)),"Not in Setup"))</f>
        <v/>
      </c>
      <c r="J392" s="9"/>
    </row>
    <row r="393" customFormat="false" ht="15" hidden="false" customHeight="false" outlineLevel="0" collapsed="false">
      <c r="A393" s="10"/>
      <c r="B393" s="9"/>
      <c r="C393" s="9"/>
      <c r="D393" s="11"/>
      <c r="E393" s="11"/>
      <c r="F393" s="12"/>
      <c r="G393" s="13" t="str">
        <f aca="false">IF(F393&lt;&gt;"",F393,IF(OR(D393="",E393=""),"",ROUND(MOD(E393-D393,1)*1440,0)))</f>
        <v/>
      </c>
      <c r="H393" s="9"/>
      <c r="I393" s="14" t="str">
        <f aca="false">IF(H393="","",IFERROR(INDEX(Setup!$E$5:$E$34,MATCH(H393,Setup!$D$5:$D$34,0)),"Not in Setup"))</f>
        <v/>
      </c>
      <c r="J393" s="9"/>
    </row>
    <row r="394" customFormat="false" ht="15" hidden="false" customHeight="false" outlineLevel="0" collapsed="false">
      <c r="A394" s="10"/>
      <c r="B394" s="9"/>
      <c r="C394" s="9"/>
      <c r="D394" s="11"/>
      <c r="E394" s="11"/>
      <c r="F394" s="12"/>
      <c r="G394" s="13" t="str">
        <f aca="false">IF(F394&lt;&gt;"",F394,IF(OR(D394="",E394=""),"",ROUND(MOD(E394-D394,1)*1440,0)))</f>
        <v/>
      </c>
      <c r="H394" s="9"/>
      <c r="I394" s="14" t="str">
        <f aca="false">IF(H394="","",IFERROR(INDEX(Setup!$E$5:$E$34,MATCH(H394,Setup!$D$5:$D$34,0)),"Not in Setup"))</f>
        <v/>
      </c>
      <c r="J394" s="9"/>
    </row>
    <row r="395" customFormat="false" ht="15" hidden="false" customHeight="false" outlineLevel="0" collapsed="false">
      <c r="A395" s="10"/>
      <c r="B395" s="9"/>
      <c r="C395" s="9"/>
      <c r="D395" s="11"/>
      <c r="E395" s="11"/>
      <c r="F395" s="12"/>
      <c r="G395" s="13" t="str">
        <f aca="false">IF(F395&lt;&gt;"",F395,IF(OR(D395="",E395=""),"",ROUND(MOD(E395-D395,1)*1440,0)))</f>
        <v/>
      </c>
      <c r="H395" s="9"/>
      <c r="I395" s="14" t="str">
        <f aca="false">IF(H395="","",IFERROR(INDEX(Setup!$E$5:$E$34,MATCH(H395,Setup!$D$5:$D$34,0)),"Not in Setup"))</f>
        <v/>
      </c>
      <c r="J395" s="9"/>
    </row>
    <row r="396" customFormat="false" ht="15" hidden="false" customHeight="false" outlineLevel="0" collapsed="false">
      <c r="A396" s="10"/>
      <c r="B396" s="9"/>
      <c r="C396" s="9"/>
      <c r="D396" s="11"/>
      <c r="E396" s="11"/>
      <c r="F396" s="12"/>
      <c r="G396" s="13" t="str">
        <f aca="false">IF(F396&lt;&gt;"",F396,IF(OR(D396="",E396=""),"",ROUND(MOD(E396-D396,1)*1440,0)))</f>
        <v/>
      </c>
      <c r="H396" s="9"/>
      <c r="I396" s="14" t="str">
        <f aca="false">IF(H396="","",IFERROR(INDEX(Setup!$E$5:$E$34,MATCH(H396,Setup!$D$5:$D$34,0)),"Not in Setup"))</f>
        <v/>
      </c>
      <c r="J396" s="9"/>
    </row>
    <row r="397" customFormat="false" ht="15" hidden="false" customHeight="false" outlineLevel="0" collapsed="false">
      <c r="A397" s="10"/>
      <c r="B397" s="9"/>
      <c r="C397" s="9"/>
      <c r="D397" s="11"/>
      <c r="E397" s="11"/>
      <c r="F397" s="12"/>
      <c r="G397" s="13" t="str">
        <f aca="false">IF(F397&lt;&gt;"",F397,IF(OR(D397="",E397=""),"",ROUND(MOD(E397-D397,1)*1440,0)))</f>
        <v/>
      </c>
      <c r="H397" s="9"/>
      <c r="I397" s="14" t="str">
        <f aca="false">IF(H397="","",IFERROR(INDEX(Setup!$E$5:$E$34,MATCH(H397,Setup!$D$5:$D$34,0)),"Not in Setup"))</f>
        <v/>
      </c>
      <c r="J397" s="9"/>
    </row>
    <row r="398" customFormat="false" ht="15" hidden="false" customHeight="false" outlineLevel="0" collapsed="false">
      <c r="A398" s="10"/>
      <c r="B398" s="9"/>
      <c r="C398" s="9"/>
      <c r="D398" s="11"/>
      <c r="E398" s="11"/>
      <c r="F398" s="12"/>
      <c r="G398" s="13" t="str">
        <f aca="false">IF(F398&lt;&gt;"",F398,IF(OR(D398="",E398=""),"",ROUND(MOD(E398-D398,1)*1440,0)))</f>
        <v/>
      </c>
      <c r="H398" s="9"/>
      <c r="I398" s="14" t="str">
        <f aca="false">IF(H398="","",IFERROR(INDEX(Setup!$E$5:$E$34,MATCH(H398,Setup!$D$5:$D$34,0)),"Not in Setup"))</f>
        <v/>
      </c>
      <c r="J398" s="9"/>
    </row>
    <row r="399" customFormat="false" ht="15" hidden="false" customHeight="false" outlineLevel="0" collapsed="false">
      <c r="A399" s="10"/>
      <c r="B399" s="9"/>
      <c r="C399" s="9"/>
      <c r="D399" s="11"/>
      <c r="E399" s="11"/>
      <c r="F399" s="12"/>
      <c r="G399" s="13" t="str">
        <f aca="false">IF(F399&lt;&gt;"",F399,IF(OR(D399="",E399=""),"",ROUND(MOD(E399-D399,1)*1440,0)))</f>
        <v/>
      </c>
      <c r="H399" s="9"/>
      <c r="I399" s="14" t="str">
        <f aca="false">IF(H399="","",IFERROR(INDEX(Setup!$E$5:$E$34,MATCH(H399,Setup!$D$5:$D$34,0)),"Not in Setup"))</f>
        <v/>
      </c>
      <c r="J399" s="9"/>
    </row>
    <row r="400" customFormat="false" ht="15" hidden="false" customHeight="false" outlineLevel="0" collapsed="false">
      <c r="A400" s="10"/>
      <c r="B400" s="9"/>
      <c r="C400" s="9"/>
      <c r="D400" s="11"/>
      <c r="E400" s="11"/>
      <c r="F400" s="12"/>
      <c r="G400" s="13" t="str">
        <f aca="false">IF(F400&lt;&gt;"",F400,IF(OR(D400="",E400=""),"",ROUND(MOD(E400-D400,1)*1440,0)))</f>
        <v/>
      </c>
      <c r="H400" s="9"/>
      <c r="I400" s="14" t="str">
        <f aca="false">IF(H400="","",IFERROR(INDEX(Setup!$E$5:$E$34,MATCH(H400,Setup!$D$5:$D$34,0)),"Not in Setup"))</f>
        <v/>
      </c>
      <c r="J400" s="9"/>
    </row>
    <row r="401" customFormat="false" ht="15" hidden="false" customHeight="false" outlineLevel="0" collapsed="false">
      <c r="A401" s="10"/>
      <c r="B401" s="9"/>
      <c r="C401" s="9"/>
      <c r="D401" s="11"/>
      <c r="E401" s="11"/>
      <c r="F401" s="12"/>
      <c r="G401" s="13" t="str">
        <f aca="false">IF(F401&lt;&gt;"",F401,IF(OR(D401="",E401=""),"",ROUND(MOD(E401-D401,1)*1440,0)))</f>
        <v/>
      </c>
      <c r="H401" s="9"/>
      <c r="I401" s="14" t="str">
        <f aca="false">IF(H401="","",IFERROR(INDEX(Setup!$E$5:$E$34,MATCH(H401,Setup!$D$5:$D$34,0)),"Not in Setup"))</f>
        <v/>
      </c>
      <c r="J401" s="9"/>
    </row>
    <row r="402" customFormat="false" ht="15" hidden="false" customHeight="false" outlineLevel="0" collapsed="false">
      <c r="A402" s="10"/>
      <c r="B402" s="9"/>
      <c r="C402" s="9"/>
      <c r="D402" s="11"/>
      <c r="E402" s="11"/>
      <c r="F402" s="12"/>
      <c r="G402" s="13" t="str">
        <f aca="false">IF(F402&lt;&gt;"",F402,IF(OR(D402="",E402=""),"",ROUND(MOD(E402-D402,1)*1440,0)))</f>
        <v/>
      </c>
      <c r="H402" s="9"/>
      <c r="I402" s="14" t="str">
        <f aca="false">IF(H402="","",IFERROR(INDEX(Setup!$E$5:$E$34,MATCH(H402,Setup!$D$5:$D$34,0)),"Not in Setup"))</f>
        <v/>
      </c>
      <c r="J402" s="9"/>
    </row>
    <row r="403" customFormat="false" ht="15" hidden="false" customHeight="false" outlineLevel="0" collapsed="false">
      <c r="A403" s="10"/>
      <c r="B403" s="9"/>
      <c r="C403" s="9"/>
      <c r="D403" s="11"/>
      <c r="E403" s="11"/>
      <c r="F403" s="12"/>
      <c r="G403" s="13" t="str">
        <f aca="false">IF(F403&lt;&gt;"",F403,IF(OR(D403="",E403=""),"",ROUND(MOD(E403-D403,1)*1440,0)))</f>
        <v/>
      </c>
      <c r="H403" s="9"/>
      <c r="I403" s="14" t="str">
        <f aca="false">IF(H403="","",IFERROR(INDEX(Setup!$E$5:$E$34,MATCH(H403,Setup!$D$5:$D$34,0)),"Not in Setup"))</f>
        <v/>
      </c>
      <c r="J403" s="9"/>
    </row>
    <row r="404" customFormat="false" ht="15" hidden="false" customHeight="false" outlineLevel="0" collapsed="false">
      <c r="A404" s="10"/>
      <c r="B404" s="9"/>
      <c r="C404" s="9"/>
      <c r="D404" s="11"/>
      <c r="E404" s="11"/>
      <c r="F404" s="12"/>
      <c r="G404" s="13" t="str">
        <f aca="false">IF(F404&lt;&gt;"",F404,IF(OR(D404="",E404=""),"",ROUND(MOD(E404-D404,1)*1440,0)))</f>
        <v/>
      </c>
      <c r="H404" s="9"/>
      <c r="I404" s="14" t="str">
        <f aca="false">IF(H404="","",IFERROR(INDEX(Setup!$E$5:$E$34,MATCH(H404,Setup!$D$5:$D$34,0)),"Not in Setup"))</f>
        <v/>
      </c>
      <c r="J404" s="9"/>
    </row>
    <row r="405" customFormat="false" ht="15" hidden="false" customHeight="false" outlineLevel="0" collapsed="false">
      <c r="A405" s="10"/>
      <c r="B405" s="9"/>
      <c r="C405" s="9"/>
      <c r="D405" s="11"/>
      <c r="E405" s="11"/>
      <c r="F405" s="12"/>
      <c r="G405" s="13" t="str">
        <f aca="false">IF(F405&lt;&gt;"",F405,IF(OR(D405="",E405=""),"",ROUND(MOD(E405-D405,1)*1440,0)))</f>
        <v/>
      </c>
      <c r="H405" s="9"/>
      <c r="I405" s="14" t="str">
        <f aca="false">IF(H405="","",IFERROR(INDEX(Setup!$E$5:$E$34,MATCH(H405,Setup!$D$5:$D$34,0)),"Not in Setup"))</f>
        <v/>
      </c>
      <c r="J405" s="9"/>
    </row>
    <row r="406" customFormat="false" ht="15" hidden="false" customHeight="false" outlineLevel="0" collapsed="false">
      <c r="A406" s="10"/>
      <c r="B406" s="9"/>
      <c r="C406" s="9"/>
      <c r="D406" s="11"/>
      <c r="E406" s="11"/>
      <c r="F406" s="12"/>
      <c r="G406" s="13" t="str">
        <f aca="false">IF(F406&lt;&gt;"",F406,IF(OR(D406="",E406=""),"",ROUND(MOD(E406-D406,1)*1440,0)))</f>
        <v/>
      </c>
      <c r="H406" s="9"/>
      <c r="I406" s="14" t="str">
        <f aca="false">IF(H406="","",IFERROR(INDEX(Setup!$E$5:$E$34,MATCH(H406,Setup!$D$5:$D$34,0)),"Not in Setup"))</f>
        <v/>
      </c>
      <c r="J406" s="9"/>
    </row>
    <row r="407" customFormat="false" ht="15" hidden="false" customHeight="false" outlineLevel="0" collapsed="false">
      <c r="A407" s="10"/>
      <c r="B407" s="9"/>
      <c r="C407" s="9"/>
      <c r="D407" s="11"/>
      <c r="E407" s="11"/>
      <c r="F407" s="12"/>
      <c r="G407" s="13" t="str">
        <f aca="false">IF(F407&lt;&gt;"",F407,IF(OR(D407="",E407=""),"",ROUND(MOD(E407-D407,1)*1440,0)))</f>
        <v/>
      </c>
      <c r="H407" s="9"/>
      <c r="I407" s="14" t="str">
        <f aca="false">IF(H407="","",IFERROR(INDEX(Setup!$E$5:$E$34,MATCH(H407,Setup!$D$5:$D$34,0)),"Not in Setup"))</f>
        <v/>
      </c>
      <c r="J407" s="9"/>
    </row>
    <row r="408" customFormat="false" ht="15" hidden="false" customHeight="false" outlineLevel="0" collapsed="false">
      <c r="A408" s="10"/>
      <c r="B408" s="9"/>
      <c r="C408" s="9"/>
      <c r="D408" s="11"/>
      <c r="E408" s="11"/>
      <c r="F408" s="12"/>
      <c r="G408" s="13" t="str">
        <f aca="false">IF(F408&lt;&gt;"",F408,IF(OR(D408="",E408=""),"",ROUND(MOD(E408-D408,1)*1440,0)))</f>
        <v/>
      </c>
      <c r="H408" s="9"/>
      <c r="I408" s="14" t="str">
        <f aca="false">IF(H408="","",IFERROR(INDEX(Setup!$E$5:$E$34,MATCH(H408,Setup!$D$5:$D$34,0)),"Not in Setup"))</f>
        <v/>
      </c>
      <c r="J408" s="9"/>
    </row>
    <row r="409" customFormat="false" ht="15" hidden="false" customHeight="false" outlineLevel="0" collapsed="false">
      <c r="A409" s="10"/>
      <c r="B409" s="9"/>
      <c r="C409" s="9"/>
      <c r="D409" s="11"/>
      <c r="E409" s="11"/>
      <c r="F409" s="12"/>
      <c r="G409" s="13" t="str">
        <f aca="false">IF(F409&lt;&gt;"",F409,IF(OR(D409="",E409=""),"",ROUND(MOD(E409-D409,1)*1440,0)))</f>
        <v/>
      </c>
      <c r="H409" s="9"/>
      <c r="I409" s="14" t="str">
        <f aca="false">IF(H409="","",IFERROR(INDEX(Setup!$E$5:$E$34,MATCH(H409,Setup!$D$5:$D$34,0)),"Not in Setup"))</f>
        <v/>
      </c>
      <c r="J409" s="9"/>
    </row>
    <row r="410" customFormat="false" ht="15" hidden="false" customHeight="false" outlineLevel="0" collapsed="false">
      <c r="A410" s="10"/>
      <c r="B410" s="9"/>
      <c r="C410" s="9"/>
      <c r="D410" s="11"/>
      <c r="E410" s="11"/>
      <c r="F410" s="12"/>
      <c r="G410" s="13" t="str">
        <f aca="false">IF(F410&lt;&gt;"",F410,IF(OR(D410="",E410=""),"",ROUND(MOD(E410-D410,1)*1440,0)))</f>
        <v/>
      </c>
      <c r="H410" s="9"/>
      <c r="I410" s="14" t="str">
        <f aca="false">IF(H410="","",IFERROR(INDEX(Setup!$E$5:$E$34,MATCH(H410,Setup!$D$5:$D$34,0)),"Not in Setup"))</f>
        <v/>
      </c>
      <c r="J410" s="9"/>
    </row>
    <row r="411" customFormat="false" ht="15" hidden="false" customHeight="false" outlineLevel="0" collapsed="false">
      <c r="A411" s="10"/>
      <c r="B411" s="9"/>
      <c r="C411" s="9"/>
      <c r="D411" s="11"/>
      <c r="E411" s="11"/>
      <c r="F411" s="12"/>
      <c r="G411" s="13" t="str">
        <f aca="false">IF(F411&lt;&gt;"",F411,IF(OR(D411="",E411=""),"",ROUND(MOD(E411-D411,1)*1440,0)))</f>
        <v/>
      </c>
      <c r="H411" s="9"/>
      <c r="I411" s="14" t="str">
        <f aca="false">IF(H411="","",IFERROR(INDEX(Setup!$E$5:$E$34,MATCH(H411,Setup!$D$5:$D$34,0)),"Not in Setup"))</f>
        <v/>
      </c>
      <c r="J411" s="9"/>
    </row>
    <row r="412" customFormat="false" ht="15" hidden="false" customHeight="false" outlineLevel="0" collapsed="false">
      <c r="A412" s="10"/>
      <c r="B412" s="9"/>
      <c r="C412" s="9"/>
      <c r="D412" s="11"/>
      <c r="E412" s="11"/>
      <c r="F412" s="12"/>
      <c r="G412" s="13" t="str">
        <f aca="false">IF(F412&lt;&gt;"",F412,IF(OR(D412="",E412=""),"",ROUND(MOD(E412-D412,1)*1440,0)))</f>
        <v/>
      </c>
      <c r="H412" s="9"/>
      <c r="I412" s="14" t="str">
        <f aca="false">IF(H412="","",IFERROR(INDEX(Setup!$E$5:$E$34,MATCH(H412,Setup!$D$5:$D$34,0)),"Not in Setup"))</f>
        <v/>
      </c>
      <c r="J412" s="9"/>
    </row>
    <row r="413" customFormat="false" ht="15" hidden="false" customHeight="false" outlineLevel="0" collapsed="false">
      <c r="A413" s="10"/>
      <c r="B413" s="9"/>
      <c r="C413" s="9"/>
      <c r="D413" s="11"/>
      <c r="E413" s="11"/>
      <c r="F413" s="12"/>
      <c r="G413" s="13" t="str">
        <f aca="false">IF(F413&lt;&gt;"",F413,IF(OR(D413="",E413=""),"",ROUND(MOD(E413-D413,1)*1440,0)))</f>
        <v/>
      </c>
      <c r="H413" s="9"/>
      <c r="I413" s="14" t="str">
        <f aca="false">IF(H413="","",IFERROR(INDEX(Setup!$E$5:$E$34,MATCH(H413,Setup!$D$5:$D$34,0)),"Not in Setup"))</f>
        <v/>
      </c>
      <c r="J413" s="9"/>
    </row>
    <row r="414" customFormat="false" ht="15" hidden="false" customHeight="false" outlineLevel="0" collapsed="false">
      <c r="A414" s="10"/>
      <c r="B414" s="9"/>
      <c r="C414" s="9"/>
      <c r="D414" s="11"/>
      <c r="E414" s="11"/>
      <c r="F414" s="12"/>
      <c r="G414" s="13" t="str">
        <f aca="false">IF(F414&lt;&gt;"",F414,IF(OR(D414="",E414=""),"",ROUND(MOD(E414-D414,1)*1440,0)))</f>
        <v/>
      </c>
      <c r="H414" s="9"/>
      <c r="I414" s="14" t="str">
        <f aca="false">IF(H414="","",IFERROR(INDEX(Setup!$E$5:$E$34,MATCH(H414,Setup!$D$5:$D$34,0)),"Not in Setup"))</f>
        <v/>
      </c>
      <c r="J414" s="9"/>
    </row>
    <row r="415" customFormat="false" ht="15" hidden="false" customHeight="false" outlineLevel="0" collapsed="false">
      <c r="A415" s="10"/>
      <c r="B415" s="9"/>
      <c r="C415" s="9"/>
      <c r="D415" s="11"/>
      <c r="E415" s="11"/>
      <c r="F415" s="12"/>
      <c r="G415" s="13" t="str">
        <f aca="false">IF(F415&lt;&gt;"",F415,IF(OR(D415="",E415=""),"",ROUND(MOD(E415-D415,1)*1440,0)))</f>
        <v/>
      </c>
      <c r="H415" s="9"/>
      <c r="I415" s="14" t="str">
        <f aca="false">IF(H415="","",IFERROR(INDEX(Setup!$E$5:$E$34,MATCH(H415,Setup!$D$5:$D$34,0)),"Not in Setup"))</f>
        <v/>
      </c>
      <c r="J415" s="9"/>
    </row>
    <row r="416" customFormat="false" ht="15" hidden="false" customHeight="false" outlineLevel="0" collapsed="false">
      <c r="A416" s="10"/>
      <c r="B416" s="9"/>
      <c r="C416" s="9"/>
      <c r="D416" s="11"/>
      <c r="E416" s="11"/>
      <c r="F416" s="12"/>
      <c r="G416" s="13" t="str">
        <f aca="false">IF(F416&lt;&gt;"",F416,IF(OR(D416="",E416=""),"",ROUND(MOD(E416-D416,1)*1440,0)))</f>
        <v/>
      </c>
      <c r="H416" s="9"/>
      <c r="I416" s="14" t="str">
        <f aca="false">IF(H416="","",IFERROR(INDEX(Setup!$E$5:$E$34,MATCH(H416,Setup!$D$5:$D$34,0)),"Not in Setup"))</f>
        <v/>
      </c>
      <c r="J416" s="9"/>
    </row>
    <row r="417" customFormat="false" ht="15" hidden="false" customHeight="false" outlineLevel="0" collapsed="false">
      <c r="A417" s="10"/>
      <c r="B417" s="9"/>
      <c r="C417" s="9"/>
      <c r="D417" s="11"/>
      <c r="E417" s="11"/>
      <c r="F417" s="12"/>
      <c r="G417" s="13" t="str">
        <f aca="false">IF(F417&lt;&gt;"",F417,IF(OR(D417="",E417=""),"",ROUND(MOD(E417-D417,1)*1440,0)))</f>
        <v/>
      </c>
      <c r="H417" s="9"/>
      <c r="I417" s="14" t="str">
        <f aca="false">IF(H417="","",IFERROR(INDEX(Setup!$E$5:$E$34,MATCH(H417,Setup!$D$5:$D$34,0)),"Not in Setup"))</f>
        <v/>
      </c>
      <c r="J417" s="9"/>
    </row>
    <row r="418" customFormat="false" ht="15" hidden="false" customHeight="false" outlineLevel="0" collapsed="false">
      <c r="A418" s="10"/>
      <c r="B418" s="9"/>
      <c r="C418" s="9"/>
      <c r="D418" s="11"/>
      <c r="E418" s="11"/>
      <c r="F418" s="12"/>
      <c r="G418" s="13" t="str">
        <f aca="false">IF(F418&lt;&gt;"",F418,IF(OR(D418="",E418=""),"",ROUND(MOD(E418-D418,1)*1440,0)))</f>
        <v/>
      </c>
      <c r="H418" s="9"/>
      <c r="I418" s="14" t="str">
        <f aca="false">IF(H418="","",IFERROR(INDEX(Setup!$E$5:$E$34,MATCH(H418,Setup!$D$5:$D$34,0)),"Not in Setup"))</f>
        <v/>
      </c>
      <c r="J418" s="9"/>
    </row>
    <row r="419" customFormat="false" ht="15" hidden="false" customHeight="false" outlineLevel="0" collapsed="false">
      <c r="A419" s="10"/>
      <c r="B419" s="9"/>
      <c r="C419" s="9"/>
      <c r="D419" s="11"/>
      <c r="E419" s="11"/>
      <c r="F419" s="12"/>
      <c r="G419" s="13" t="str">
        <f aca="false">IF(F419&lt;&gt;"",F419,IF(OR(D419="",E419=""),"",ROUND(MOD(E419-D419,1)*1440,0)))</f>
        <v/>
      </c>
      <c r="H419" s="9"/>
      <c r="I419" s="14" t="str">
        <f aca="false">IF(H419="","",IFERROR(INDEX(Setup!$E$5:$E$34,MATCH(H419,Setup!$D$5:$D$34,0)),"Not in Setup"))</f>
        <v/>
      </c>
      <c r="J419" s="9"/>
    </row>
    <row r="420" customFormat="false" ht="15" hidden="false" customHeight="false" outlineLevel="0" collapsed="false">
      <c r="A420" s="10"/>
      <c r="B420" s="9"/>
      <c r="C420" s="9"/>
      <c r="D420" s="11"/>
      <c r="E420" s="11"/>
      <c r="F420" s="12"/>
      <c r="G420" s="13" t="str">
        <f aca="false">IF(F420&lt;&gt;"",F420,IF(OR(D420="",E420=""),"",ROUND(MOD(E420-D420,1)*1440,0)))</f>
        <v/>
      </c>
      <c r="H420" s="9"/>
      <c r="I420" s="14" t="str">
        <f aca="false">IF(H420="","",IFERROR(INDEX(Setup!$E$5:$E$34,MATCH(H420,Setup!$D$5:$D$34,0)),"Not in Setup"))</f>
        <v/>
      </c>
      <c r="J420" s="9"/>
    </row>
    <row r="421" customFormat="false" ht="15" hidden="false" customHeight="false" outlineLevel="0" collapsed="false">
      <c r="A421" s="10"/>
      <c r="B421" s="9"/>
      <c r="C421" s="9"/>
      <c r="D421" s="11"/>
      <c r="E421" s="11"/>
      <c r="F421" s="12"/>
      <c r="G421" s="13" t="str">
        <f aca="false">IF(F421&lt;&gt;"",F421,IF(OR(D421="",E421=""),"",ROUND(MOD(E421-D421,1)*1440,0)))</f>
        <v/>
      </c>
      <c r="H421" s="9"/>
      <c r="I421" s="14" t="str">
        <f aca="false">IF(H421="","",IFERROR(INDEX(Setup!$E$5:$E$34,MATCH(H421,Setup!$D$5:$D$34,0)),"Not in Setup"))</f>
        <v/>
      </c>
      <c r="J421" s="9"/>
    </row>
    <row r="422" customFormat="false" ht="15" hidden="false" customHeight="false" outlineLevel="0" collapsed="false">
      <c r="A422" s="10"/>
      <c r="B422" s="9"/>
      <c r="C422" s="9"/>
      <c r="D422" s="11"/>
      <c r="E422" s="11"/>
      <c r="F422" s="12"/>
      <c r="G422" s="13" t="str">
        <f aca="false">IF(F422&lt;&gt;"",F422,IF(OR(D422="",E422=""),"",ROUND(MOD(E422-D422,1)*1440,0)))</f>
        <v/>
      </c>
      <c r="H422" s="9"/>
      <c r="I422" s="14" t="str">
        <f aca="false">IF(H422="","",IFERROR(INDEX(Setup!$E$5:$E$34,MATCH(H422,Setup!$D$5:$D$34,0)),"Not in Setup"))</f>
        <v/>
      </c>
      <c r="J422" s="9"/>
    </row>
    <row r="423" customFormat="false" ht="15" hidden="false" customHeight="false" outlineLevel="0" collapsed="false">
      <c r="A423" s="10"/>
      <c r="B423" s="9"/>
      <c r="C423" s="9"/>
      <c r="D423" s="11"/>
      <c r="E423" s="11"/>
      <c r="F423" s="12"/>
      <c r="G423" s="13" t="str">
        <f aca="false">IF(F423&lt;&gt;"",F423,IF(OR(D423="",E423=""),"",ROUND(MOD(E423-D423,1)*1440,0)))</f>
        <v/>
      </c>
      <c r="H423" s="9"/>
      <c r="I423" s="14" t="str">
        <f aca="false">IF(H423="","",IFERROR(INDEX(Setup!$E$5:$E$34,MATCH(H423,Setup!$D$5:$D$34,0)),"Not in Setup"))</f>
        <v/>
      </c>
      <c r="J423" s="9"/>
    </row>
    <row r="424" customFormat="false" ht="15" hidden="false" customHeight="false" outlineLevel="0" collapsed="false">
      <c r="A424" s="10"/>
      <c r="B424" s="9"/>
      <c r="C424" s="9"/>
      <c r="D424" s="11"/>
      <c r="E424" s="11"/>
      <c r="F424" s="12"/>
      <c r="G424" s="13" t="str">
        <f aca="false">IF(F424&lt;&gt;"",F424,IF(OR(D424="",E424=""),"",ROUND(MOD(E424-D424,1)*1440,0)))</f>
        <v/>
      </c>
      <c r="H424" s="9"/>
      <c r="I424" s="14" t="str">
        <f aca="false">IF(H424="","",IFERROR(INDEX(Setup!$E$5:$E$34,MATCH(H424,Setup!$D$5:$D$34,0)),"Not in Setup"))</f>
        <v/>
      </c>
      <c r="J424" s="9"/>
    </row>
    <row r="425" customFormat="false" ht="15" hidden="false" customHeight="false" outlineLevel="0" collapsed="false">
      <c r="A425" s="10"/>
      <c r="B425" s="9"/>
      <c r="C425" s="9"/>
      <c r="D425" s="11"/>
      <c r="E425" s="11"/>
      <c r="F425" s="12"/>
      <c r="G425" s="13" t="str">
        <f aca="false">IF(F425&lt;&gt;"",F425,IF(OR(D425="",E425=""),"",ROUND(MOD(E425-D425,1)*1440,0)))</f>
        <v/>
      </c>
      <c r="H425" s="9"/>
      <c r="I425" s="14" t="str">
        <f aca="false">IF(H425="","",IFERROR(INDEX(Setup!$E$5:$E$34,MATCH(H425,Setup!$D$5:$D$34,0)),"Not in Setup"))</f>
        <v/>
      </c>
      <c r="J425" s="9"/>
    </row>
    <row r="426" customFormat="false" ht="15" hidden="false" customHeight="false" outlineLevel="0" collapsed="false">
      <c r="A426" s="10"/>
      <c r="B426" s="9"/>
      <c r="C426" s="9"/>
      <c r="D426" s="11"/>
      <c r="E426" s="11"/>
      <c r="F426" s="12"/>
      <c r="G426" s="13" t="str">
        <f aca="false">IF(F426&lt;&gt;"",F426,IF(OR(D426="",E426=""),"",ROUND(MOD(E426-D426,1)*1440,0)))</f>
        <v/>
      </c>
      <c r="H426" s="9"/>
      <c r="I426" s="14" t="str">
        <f aca="false">IF(H426="","",IFERROR(INDEX(Setup!$E$5:$E$34,MATCH(H426,Setup!$D$5:$D$34,0)),"Not in Setup"))</f>
        <v/>
      </c>
      <c r="J426" s="9"/>
    </row>
    <row r="427" customFormat="false" ht="15" hidden="false" customHeight="false" outlineLevel="0" collapsed="false">
      <c r="A427" s="10"/>
      <c r="B427" s="9"/>
      <c r="C427" s="9"/>
      <c r="D427" s="11"/>
      <c r="E427" s="11"/>
      <c r="F427" s="12"/>
      <c r="G427" s="13" t="str">
        <f aca="false">IF(F427&lt;&gt;"",F427,IF(OR(D427="",E427=""),"",ROUND(MOD(E427-D427,1)*1440,0)))</f>
        <v/>
      </c>
      <c r="H427" s="9"/>
      <c r="I427" s="14" t="str">
        <f aca="false">IF(H427="","",IFERROR(INDEX(Setup!$E$5:$E$34,MATCH(H427,Setup!$D$5:$D$34,0)),"Not in Setup"))</f>
        <v/>
      </c>
      <c r="J427" s="9"/>
    </row>
    <row r="428" customFormat="false" ht="15" hidden="false" customHeight="false" outlineLevel="0" collapsed="false">
      <c r="A428" s="10"/>
      <c r="B428" s="9"/>
      <c r="C428" s="9"/>
      <c r="D428" s="11"/>
      <c r="E428" s="11"/>
      <c r="F428" s="12"/>
      <c r="G428" s="13" t="str">
        <f aca="false">IF(F428&lt;&gt;"",F428,IF(OR(D428="",E428=""),"",ROUND(MOD(E428-D428,1)*1440,0)))</f>
        <v/>
      </c>
      <c r="H428" s="9"/>
      <c r="I428" s="14" t="str">
        <f aca="false">IF(H428="","",IFERROR(INDEX(Setup!$E$5:$E$34,MATCH(H428,Setup!$D$5:$D$34,0)),"Not in Setup"))</f>
        <v/>
      </c>
      <c r="J428" s="9"/>
    </row>
    <row r="429" customFormat="false" ht="15" hidden="false" customHeight="false" outlineLevel="0" collapsed="false">
      <c r="A429" s="10"/>
      <c r="B429" s="9"/>
      <c r="C429" s="9"/>
      <c r="D429" s="11"/>
      <c r="E429" s="11"/>
      <c r="F429" s="12"/>
      <c r="G429" s="13" t="str">
        <f aca="false">IF(F429&lt;&gt;"",F429,IF(OR(D429="",E429=""),"",ROUND(MOD(E429-D429,1)*1440,0)))</f>
        <v/>
      </c>
      <c r="H429" s="9"/>
      <c r="I429" s="14" t="str">
        <f aca="false">IF(H429="","",IFERROR(INDEX(Setup!$E$5:$E$34,MATCH(H429,Setup!$D$5:$D$34,0)),"Not in Setup"))</f>
        <v/>
      </c>
      <c r="J429" s="9"/>
    </row>
    <row r="430" customFormat="false" ht="15" hidden="false" customHeight="false" outlineLevel="0" collapsed="false">
      <c r="A430" s="10"/>
      <c r="B430" s="9"/>
      <c r="C430" s="9"/>
      <c r="D430" s="11"/>
      <c r="E430" s="11"/>
      <c r="F430" s="12"/>
      <c r="G430" s="13" t="str">
        <f aca="false">IF(F430&lt;&gt;"",F430,IF(OR(D430="",E430=""),"",ROUND(MOD(E430-D430,1)*1440,0)))</f>
        <v/>
      </c>
      <c r="H430" s="9"/>
      <c r="I430" s="14" t="str">
        <f aca="false">IF(H430="","",IFERROR(INDEX(Setup!$E$5:$E$34,MATCH(H430,Setup!$D$5:$D$34,0)),"Not in Setup"))</f>
        <v/>
      </c>
      <c r="J430" s="9"/>
    </row>
    <row r="431" customFormat="false" ht="15" hidden="false" customHeight="false" outlineLevel="0" collapsed="false">
      <c r="A431" s="10"/>
      <c r="B431" s="9"/>
      <c r="C431" s="9"/>
      <c r="D431" s="11"/>
      <c r="E431" s="11"/>
      <c r="F431" s="12"/>
      <c r="G431" s="13" t="str">
        <f aca="false">IF(F431&lt;&gt;"",F431,IF(OR(D431="",E431=""),"",ROUND(MOD(E431-D431,1)*1440,0)))</f>
        <v/>
      </c>
      <c r="H431" s="9"/>
      <c r="I431" s="14" t="str">
        <f aca="false">IF(H431="","",IFERROR(INDEX(Setup!$E$5:$E$34,MATCH(H431,Setup!$D$5:$D$34,0)),"Not in Setup"))</f>
        <v/>
      </c>
      <c r="J431" s="9"/>
    </row>
    <row r="432" customFormat="false" ht="15" hidden="false" customHeight="false" outlineLevel="0" collapsed="false">
      <c r="A432" s="10"/>
      <c r="B432" s="9"/>
      <c r="C432" s="9"/>
      <c r="D432" s="11"/>
      <c r="E432" s="11"/>
      <c r="F432" s="12"/>
      <c r="G432" s="13" t="str">
        <f aca="false">IF(F432&lt;&gt;"",F432,IF(OR(D432="",E432=""),"",ROUND(MOD(E432-D432,1)*1440,0)))</f>
        <v/>
      </c>
      <c r="H432" s="9"/>
      <c r="I432" s="14" t="str">
        <f aca="false">IF(H432="","",IFERROR(INDEX(Setup!$E$5:$E$34,MATCH(H432,Setup!$D$5:$D$34,0)),"Not in Setup"))</f>
        <v/>
      </c>
      <c r="J432" s="9"/>
    </row>
    <row r="433" customFormat="false" ht="15" hidden="false" customHeight="false" outlineLevel="0" collapsed="false">
      <c r="A433" s="10"/>
      <c r="B433" s="9"/>
      <c r="C433" s="9"/>
      <c r="D433" s="11"/>
      <c r="E433" s="11"/>
      <c r="F433" s="12"/>
      <c r="G433" s="13" t="str">
        <f aca="false">IF(F433&lt;&gt;"",F433,IF(OR(D433="",E433=""),"",ROUND(MOD(E433-D433,1)*1440,0)))</f>
        <v/>
      </c>
      <c r="H433" s="9"/>
      <c r="I433" s="14" t="str">
        <f aca="false">IF(H433="","",IFERROR(INDEX(Setup!$E$5:$E$34,MATCH(H433,Setup!$D$5:$D$34,0)),"Not in Setup"))</f>
        <v/>
      </c>
      <c r="J433" s="9"/>
    </row>
    <row r="434" customFormat="false" ht="15" hidden="false" customHeight="false" outlineLevel="0" collapsed="false">
      <c r="A434" s="10"/>
      <c r="B434" s="9"/>
      <c r="C434" s="9"/>
      <c r="D434" s="11"/>
      <c r="E434" s="11"/>
      <c r="F434" s="12"/>
      <c r="G434" s="13" t="str">
        <f aca="false">IF(F434&lt;&gt;"",F434,IF(OR(D434="",E434=""),"",ROUND(MOD(E434-D434,1)*1440,0)))</f>
        <v/>
      </c>
      <c r="H434" s="9"/>
      <c r="I434" s="14" t="str">
        <f aca="false">IF(H434="","",IFERROR(INDEX(Setup!$E$5:$E$34,MATCH(H434,Setup!$D$5:$D$34,0)),"Not in Setup"))</f>
        <v/>
      </c>
      <c r="J434" s="9"/>
    </row>
    <row r="435" customFormat="false" ht="15" hidden="false" customHeight="false" outlineLevel="0" collapsed="false">
      <c r="A435" s="10"/>
      <c r="B435" s="9"/>
      <c r="C435" s="9"/>
      <c r="D435" s="11"/>
      <c r="E435" s="11"/>
      <c r="F435" s="12"/>
      <c r="G435" s="13" t="str">
        <f aca="false">IF(F435&lt;&gt;"",F435,IF(OR(D435="",E435=""),"",ROUND(MOD(E435-D435,1)*1440,0)))</f>
        <v/>
      </c>
      <c r="H435" s="9"/>
      <c r="I435" s="14" t="str">
        <f aca="false">IF(H435="","",IFERROR(INDEX(Setup!$E$5:$E$34,MATCH(H435,Setup!$D$5:$D$34,0)),"Not in Setup"))</f>
        <v/>
      </c>
      <c r="J435" s="9"/>
    </row>
    <row r="436" customFormat="false" ht="15" hidden="false" customHeight="false" outlineLevel="0" collapsed="false">
      <c r="A436" s="10"/>
      <c r="B436" s="9"/>
      <c r="C436" s="9"/>
      <c r="D436" s="11"/>
      <c r="E436" s="11"/>
      <c r="F436" s="12"/>
      <c r="G436" s="13" t="str">
        <f aca="false">IF(F436&lt;&gt;"",F436,IF(OR(D436="",E436=""),"",ROUND(MOD(E436-D436,1)*1440,0)))</f>
        <v/>
      </c>
      <c r="H436" s="9"/>
      <c r="I436" s="14" t="str">
        <f aca="false">IF(H436="","",IFERROR(INDEX(Setup!$E$5:$E$34,MATCH(H436,Setup!$D$5:$D$34,0)),"Not in Setup"))</f>
        <v/>
      </c>
      <c r="J436" s="9"/>
    </row>
    <row r="437" customFormat="false" ht="15" hidden="false" customHeight="false" outlineLevel="0" collapsed="false">
      <c r="A437" s="10"/>
      <c r="B437" s="9"/>
      <c r="C437" s="9"/>
      <c r="D437" s="11"/>
      <c r="E437" s="11"/>
      <c r="F437" s="12"/>
      <c r="G437" s="13" t="str">
        <f aca="false">IF(F437&lt;&gt;"",F437,IF(OR(D437="",E437=""),"",ROUND(MOD(E437-D437,1)*1440,0)))</f>
        <v/>
      </c>
      <c r="H437" s="9"/>
      <c r="I437" s="14" t="str">
        <f aca="false">IF(H437="","",IFERROR(INDEX(Setup!$E$5:$E$34,MATCH(H437,Setup!$D$5:$D$34,0)),"Not in Setup"))</f>
        <v/>
      </c>
      <c r="J437" s="9"/>
    </row>
    <row r="438" customFormat="false" ht="15" hidden="false" customHeight="false" outlineLevel="0" collapsed="false">
      <c r="A438" s="10"/>
      <c r="B438" s="9"/>
      <c r="C438" s="9"/>
      <c r="D438" s="11"/>
      <c r="E438" s="11"/>
      <c r="F438" s="12"/>
      <c r="G438" s="13" t="str">
        <f aca="false">IF(F438&lt;&gt;"",F438,IF(OR(D438="",E438=""),"",ROUND(MOD(E438-D438,1)*1440,0)))</f>
        <v/>
      </c>
      <c r="H438" s="9"/>
      <c r="I438" s="14" t="str">
        <f aca="false">IF(H438="","",IFERROR(INDEX(Setup!$E$5:$E$34,MATCH(H438,Setup!$D$5:$D$34,0)),"Not in Setup"))</f>
        <v/>
      </c>
      <c r="J438" s="9"/>
    </row>
    <row r="439" customFormat="false" ht="15" hidden="false" customHeight="false" outlineLevel="0" collapsed="false">
      <c r="A439" s="10"/>
      <c r="B439" s="9"/>
      <c r="C439" s="9"/>
      <c r="D439" s="11"/>
      <c r="E439" s="11"/>
      <c r="F439" s="12"/>
      <c r="G439" s="13" t="str">
        <f aca="false">IF(F439&lt;&gt;"",F439,IF(OR(D439="",E439=""),"",ROUND(MOD(E439-D439,1)*1440,0)))</f>
        <v/>
      </c>
      <c r="H439" s="9"/>
      <c r="I439" s="14" t="str">
        <f aca="false">IF(H439="","",IFERROR(INDEX(Setup!$E$5:$E$34,MATCH(H439,Setup!$D$5:$D$34,0)),"Not in Setup"))</f>
        <v/>
      </c>
      <c r="J439" s="9"/>
    </row>
    <row r="440" customFormat="false" ht="15" hidden="false" customHeight="false" outlineLevel="0" collapsed="false">
      <c r="A440" s="10"/>
      <c r="B440" s="9"/>
      <c r="C440" s="9"/>
      <c r="D440" s="11"/>
      <c r="E440" s="11"/>
      <c r="F440" s="12"/>
      <c r="G440" s="13" t="str">
        <f aca="false">IF(F440&lt;&gt;"",F440,IF(OR(D440="",E440=""),"",ROUND(MOD(E440-D440,1)*1440,0)))</f>
        <v/>
      </c>
      <c r="H440" s="9"/>
      <c r="I440" s="14" t="str">
        <f aca="false">IF(H440="","",IFERROR(INDEX(Setup!$E$5:$E$34,MATCH(H440,Setup!$D$5:$D$34,0)),"Not in Setup"))</f>
        <v/>
      </c>
      <c r="J440" s="9"/>
    </row>
    <row r="441" customFormat="false" ht="15" hidden="false" customHeight="false" outlineLevel="0" collapsed="false">
      <c r="A441" s="10"/>
      <c r="B441" s="9"/>
      <c r="C441" s="9"/>
      <c r="D441" s="11"/>
      <c r="E441" s="11"/>
      <c r="F441" s="12"/>
      <c r="G441" s="13" t="str">
        <f aca="false">IF(F441&lt;&gt;"",F441,IF(OR(D441="",E441=""),"",ROUND(MOD(E441-D441,1)*1440,0)))</f>
        <v/>
      </c>
      <c r="H441" s="9"/>
      <c r="I441" s="14" t="str">
        <f aca="false">IF(H441="","",IFERROR(INDEX(Setup!$E$5:$E$34,MATCH(H441,Setup!$D$5:$D$34,0)),"Not in Setup"))</f>
        <v/>
      </c>
      <c r="J441" s="9"/>
    </row>
    <row r="442" customFormat="false" ht="15" hidden="false" customHeight="false" outlineLevel="0" collapsed="false">
      <c r="A442" s="10"/>
      <c r="B442" s="9"/>
      <c r="C442" s="9"/>
      <c r="D442" s="11"/>
      <c r="E442" s="11"/>
      <c r="F442" s="12"/>
      <c r="G442" s="13" t="str">
        <f aca="false">IF(F442&lt;&gt;"",F442,IF(OR(D442="",E442=""),"",ROUND(MOD(E442-D442,1)*1440,0)))</f>
        <v/>
      </c>
      <c r="H442" s="9"/>
      <c r="I442" s="14" t="str">
        <f aca="false">IF(H442="","",IFERROR(INDEX(Setup!$E$5:$E$34,MATCH(H442,Setup!$D$5:$D$34,0)),"Not in Setup"))</f>
        <v/>
      </c>
      <c r="J442" s="9"/>
    </row>
    <row r="443" customFormat="false" ht="15" hidden="false" customHeight="false" outlineLevel="0" collapsed="false">
      <c r="A443" s="10"/>
      <c r="B443" s="9"/>
      <c r="C443" s="9"/>
      <c r="D443" s="11"/>
      <c r="E443" s="11"/>
      <c r="F443" s="12"/>
      <c r="G443" s="13" t="str">
        <f aca="false">IF(F443&lt;&gt;"",F443,IF(OR(D443="",E443=""),"",ROUND(MOD(E443-D443,1)*1440,0)))</f>
        <v/>
      </c>
      <c r="H443" s="9"/>
      <c r="I443" s="14" t="str">
        <f aca="false">IF(H443="","",IFERROR(INDEX(Setup!$E$5:$E$34,MATCH(H443,Setup!$D$5:$D$34,0)),"Not in Setup"))</f>
        <v/>
      </c>
      <c r="J443" s="9"/>
    </row>
    <row r="444" customFormat="false" ht="15" hidden="false" customHeight="false" outlineLevel="0" collapsed="false">
      <c r="A444" s="10"/>
      <c r="B444" s="9"/>
      <c r="C444" s="9"/>
      <c r="D444" s="11"/>
      <c r="E444" s="11"/>
      <c r="F444" s="12"/>
      <c r="G444" s="13" t="str">
        <f aca="false">IF(F444&lt;&gt;"",F444,IF(OR(D444="",E444=""),"",ROUND(MOD(E444-D444,1)*1440,0)))</f>
        <v/>
      </c>
      <c r="H444" s="9"/>
      <c r="I444" s="14" t="str">
        <f aca="false">IF(H444="","",IFERROR(INDEX(Setup!$E$5:$E$34,MATCH(H444,Setup!$D$5:$D$34,0)),"Not in Setup"))</f>
        <v/>
      </c>
      <c r="J444" s="9"/>
    </row>
    <row r="445" customFormat="false" ht="15" hidden="false" customHeight="false" outlineLevel="0" collapsed="false">
      <c r="A445" s="10"/>
      <c r="B445" s="9"/>
      <c r="C445" s="9"/>
      <c r="D445" s="11"/>
      <c r="E445" s="11"/>
      <c r="F445" s="12"/>
      <c r="G445" s="13" t="str">
        <f aca="false">IF(F445&lt;&gt;"",F445,IF(OR(D445="",E445=""),"",ROUND(MOD(E445-D445,1)*1440,0)))</f>
        <v/>
      </c>
      <c r="H445" s="9"/>
      <c r="I445" s="14" t="str">
        <f aca="false">IF(H445="","",IFERROR(INDEX(Setup!$E$5:$E$34,MATCH(H445,Setup!$D$5:$D$34,0)),"Not in Setup"))</f>
        <v/>
      </c>
      <c r="J445" s="9"/>
    </row>
    <row r="446" customFormat="false" ht="15" hidden="false" customHeight="false" outlineLevel="0" collapsed="false">
      <c r="A446" s="10"/>
      <c r="B446" s="9"/>
      <c r="C446" s="9"/>
      <c r="D446" s="11"/>
      <c r="E446" s="11"/>
      <c r="F446" s="12"/>
      <c r="G446" s="13" t="str">
        <f aca="false">IF(F446&lt;&gt;"",F446,IF(OR(D446="",E446=""),"",ROUND(MOD(E446-D446,1)*1440,0)))</f>
        <v/>
      </c>
      <c r="H446" s="9"/>
      <c r="I446" s="14" t="str">
        <f aca="false">IF(H446="","",IFERROR(INDEX(Setup!$E$5:$E$34,MATCH(H446,Setup!$D$5:$D$34,0)),"Not in Setup"))</f>
        <v/>
      </c>
      <c r="J446" s="9"/>
    </row>
    <row r="447" customFormat="false" ht="15" hidden="false" customHeight="false" outlineLevel="0" collapsed="false">
      <c r="A447" s="10"/>
      <c r="B447" s="9"/>
      <c r="C447" s="9"/>
      <c r="D447" s="11"/>
      <c r="E447" s="11"/>
      <c r="F447" s="12"/>
      <c r="G447" s="13" t="str">
        <f aca="false">IF(F447&lt;&gt;"",F447,IF(OR(D447="",E447=""),"",ROUND(MOD(E447-D447,1)*1440,0)))</f>
        <v/>
      </c>
      <c r="H447" s="9"/>
      <c r="I447" s="14" t="str">
        <f aca="false">IF(H447="","",IFERROR(INDEX(Setup!$E$5:$E$34,MATCH(H447,Setup!$D$5:$D$34,0)),"Not in Setup"))</f>
        <v/>
      </c>
      <c r="J447" s="9"/>
    </row>
    <row r="448" customFormat="false" ht="15" hidden="false" customHeight="false" outlineLevel="0" collapsed="false">
      <c r="A448" s="10"/>
      <c r="B448" s="9"/>
      <c r="C448" s="9"/>
      <c r="D448" s="11"/>
      <c r="E448" s="11"/>
      <c r="F448" s="12"/>
      <c r="G448" s="13" t="str">
        <f aca="false">IF(F448&lt;&gt;"",F448,IF(OR(D448="",E448=""),"",ROUND(MOD(E448-D448,1)*1440,0)))</f>
        <v/>
      </c>
      <c r="H448" s="9"/>
      <c r="I448" s="14" t="str">
        <f aca="false">IF(H448="","",IFERROR(INDEX(Setup!$E$5:$E$34,MATCH(H448,Setup!$D$5:$D$34,0)),"Not in Setup"))</f>
        <v/>
      </c>
      <c r="J448" s="9"/>
    </row>
    <row r="449" customFormat="false" ht="15" hidden="false" customHeight="false" outlineLevel="0" collapsed="false">
      <c r="A449" s="10"/>
      <c r="B449" s="9"/>
      <c r="C449" s="9"/>
      <c r="D449" s="11"/>
      <c r="E449" s="11"/>
      <c r="F449" s="12"/>
      <c r="G449" s="13" t="str">
        <f aca="false">IF(F449&lt;&gt;"",F449,IF(OR(D449="",E449=""),"",ROUND(MOD(E449-D449,1)*1440,0)))</f>
        <v/>
      </c>
      <c r="H449" s="9"/>
      <c r="I449" s="14" t="str">
        <f aca="false">IF(H449="","",IFERROR(INDEX(Setup!$E$5:$E$34,MATCH(H449,Setup!$D$5:$D$34,0)),"Not in Setup"))</f>
        <v/>
      </c>
      <c r="J449" s="9"/>
    </row>
    <row r="450" customFormat="false" ht="15" hidden="false" customHeight="false" outlineLevel="0" collapsed="false">
      <c r="A450" s="10"/>
      <c r="B450" s="9"/>
      <c r="C450" s="9"/>
      <c r="D450" s="11"/>
      <c r="E450" s="11"/>
      <c r="F450" s="12"/>
      <c r="G450" s="13" t="str">
        <f aca="false">IF(F450&lt;&gt;"",F450,IF(OR(D450="",E450=""),"",ROUND(MOD(E450-D450,1)*1440,0)))</f>
        <v/>
      </c>
      <c r="H450" s="9"/>
      <c r="I450" s="14" t="str">
        <f aca="false">IF(H450="","",IFERROR(INDEX(Setup!$E$5:$E$34,MATCH(H450,Setup!$D$5:$D$34,0)),"Not in Setup"))</f>
        <v/>
      </c>
      <c r="J450" s="9"/>
    </row>
    <row r="451" customFormat="false" ht="15" hidden="false" customHeight="false" outlineLevel="0" collapsed="false">
      <c r="A451" s="10"/>
      <c r="B451" s="9"/>
      <c r="C451" s="9"/>
      <c r="D451" s="11"/>
      <c r="E451" s="11"/>
      <c r="F451" s="12"/>
      <c r="G451" s="13" t="str">
        <f aca="false">IF(F451&lt;&gt;"",F451,IF(OR(D451="",E451=""),"",ROUND(MOD(E451-D451,1)*1440,0)))</f>
        <v/>
      </c>
      <c r="H451" s="9"/>
      <c r="I451" s="14" t="str">
        <f aca="false">IF(H451="","",IFERROR(INDEX(Setup!$E$5:$E$34,MATCH(H451,Setup!$D$5:$D$34,0)),"Not in Setup"))</f>
        <v/>
      </c>
      <c r="J451" s="9"/>
    </row>
    <row r="452" customFormat="false" ht="15" hidden="false" customHeight="false" outlineLevel="0" collapsed="false">
      <c r="A452" s="10"/>
      <c r="B452" s="9"/>
      <c r="C452" s="9"/>
      <c r="D452" s="11"/>
      <c r="E452" s="11"/>
      <c r="F452" s="12"/>
      <c r="G452" s="13" t="str">
        <f aca="false">IF(F452&lt;&gt;"",F452,IF(OR(D452="",E452=""),"",ROUND(MOD(E452-D452,1)*1440,0)))</f>
        <v/>
      </c>
      <c r="H452" s="9"/>
      <c r="I452" s="14" t="str">
        <f aca="false">IF(H452="","",IFERROR(INDEX(Setup!$E$5:$E$34,MATCH(H452,Setup!$D$5:$D$34,0)),"Not in Setup"))</f>
        <v/>
      </c>
      <c r="J452" s="9"/>
    </row>
    <row r="453" customFormat="false" ht="15" hidden="false" customHeight="false" outlineLevel="0" collapsed="false">
      <c r="A453" s="10"/>
      <c r="B453" s="9"/>
      <c r="C453" s="9"/>
      <c r="D453" s="11"/>
      <c r="E453" s="11"/>
      <c r="F453" s="12"/>
      <c r="G453" s="13" t="str">
        <f aca="false">IF(F453&lt;&gt;"",F453,IF(OR(D453="",E453=""),"",ROUND(MOD(E453-D453,1)*1440,0)))</f>
        <v/>
      </c>
      <c r="H453" s="9"/>
      <c r="I453" s="14" t="str">
        <f aca="false">IF(H453="","",IFERROR(INDEX(Setup!$E$5:$E$34,MATCH(H453,Setup!$D$5:$D$34,0)),"Not in Setup"))</f>
        <v/>
      </c>
      <c r="J453" s="9"/>
    </row>
    <row r="454" customFormat="false" ht="15" hidden="false" customHeight="false" outlineLevel="0" collapsed="false">
      <c r="A454" s="10"/>
      <c r="B454" s="9"/>
      <c r="C454" s="9"/>
      <c r="D454" s="11"/>
      <c r="E454" s="11"/>
      <c r="F454" s="12"/>
      <c r="G454" s="13" t="str">
        <f aca="false">IF(F454&lt;&gt;"",F454,IF(OR(D454="",E454=""),"",ROUND(MOD(E454-D454,1)*1440,0)))</f>
        <v/>
      </c>
      <c r="H454" s="9"/>
      <c r="I454" s="14" t="str">
        <f aca="false">IF(H454="","",IFERROR(INDEX(Setup!$E$5:$E$34,MATCH(H454,Setup!$D$5:$D$34,0)),"Not in Setup"))</f>
        <v/>
      </c>
      <c r="J454" s="9"/>
    </row>
    <row r="455" customFormat="false" ht="15" hidden="false" customHeight="false" outlineLevel="0" collapsed="false">
      <c r="A455" s="10"/>
      <c r="B455" s="9"/>
      <c r="C455" s="9"/>
      <c r="D455" s="11"/>
      <c r="E455" s="11"/>
      <c r="F455" s="12"/>
      <c r="G455" s="13" t="str">
        <f aca="false">IF(F455&lt;&gt;"",F455,IF(OR(D455="",E455=""),"",ROUND(MOD(E455-D455,1)*1440,0)))</f>
        <v/>
      </c>
      <c r="H455" s="9"/>
      <c r="I455" s="14" t="str">
        <f aca="false">IF(H455="","",IFERROR(INDEX(Setup!$E$5:$E$34,MATCH(H455,Setup!$D$5:$D$34,0)),"Not in Setup"))</f>
        <v/>
      </c>
      <c r="J455" s="9"/>
    </row>
    <row r="456" customFormat="false" ht="15" hidden="false" customHeight="false" outlineLevel="0" collapsed="false">
      <c r="A456" s="10"/>
      <c r="B456" s="9"/>
      <c r="C456" s="9"/>
      <c r="D456" s="11"/>
      <c r="E456" s="11"/>
      <c r="F456" s="12"/>
      <c r="G456" s="13" t="str">
        <f aca="false">IF(F456&lt;&gt;"",F456,IF(OR(D456="",E456=""),"",ROUND(MOD(E456-D456,1)*1440,0)))</f>
        <v/>
      </c>
      <c r="H456" s="9"/>
      <c r="I456" s="14" t="str">
        <f aca="false">IF(H456="","",IFERROR(INDEX(Setup!$E$5:$E$34,MATCH(H456,Setup!$D$5:$D$34,0)),"Not in Setup"))</f>
        <v/>
      </c>
      <c r="J456" s="9"/>
    </row>
    <row r="457" customFormat="false" ht="15" hidden="false" customHeight="false" outlineLevel="0" collapsed="false">
      <c r="A457" s="10"/>
      <c r="B457" s="9"/>
      <c r="C457" s="9"/>
      <c r="D457" s="11"/>
      <c r="E457" s="11"/>
      <c r="F457" s="12"/>
      <c r="G457" s="13" t="str">
        <f aca="false">IF(F457&lt;&gt;"",F457,IF(OR(D457="",E457=""),"",ROUND(MOD(E457-D457,1)*1440,0)))</f>
        <v/>
      </c>
      <c r="H457" s="9"/>
      <c r="I457" s="14" t="str">
        <f aca="false">IF(H457="","",IFERROR(INDEX(Setup!$E$5:$E$34,MATCH(H457,Setup!$D$5:$D$34,0)),"Not in Setup"))</f>
        <v/>
      </c>
      <c r="J457" s="9"/>
    </row>
    <row r="458" customFormat="false" ht="15" hidden="false" customHeight="false" outlineLevel="0" collapsed="false">
      <c r="A458" s="10"/>
      <c r="B458" s="9"/>
      <c r="C458" s="9"/>
      <c r="D458" s="11"/>
      <c r="E458" s="11"/>
      <c r="F458" s="12"/>
      <c r="G458" s="13" t="str">
        <f aca="false">IF(F458&lt;&gt;"",F458,IF(OR(D458="",E458=""),"",ROUND(MOD(E458-D458,1)*1440,0)))</f>
        <v/>
      </c>
      <c r="H458" s="9"/>
      <c r="I458" s="14" t="str">
        <f aca="false">IF(H458="","",IFERROR(INDEX(Setup!$E$5:$E$34,MATCH(H458,Setup!$D$5:$D$34,0)),"Not in Setup"))</f>
        <v/>
      </c>
      <c r="J458" s="9"/>
    </row>
    <row r="459" customFormat="false" ht="15" hidden="false" customHeight="false" outlineLevel="0" collapsed="false">
      <c r="A459" s="10"/>
      <c r="B459" s="9"/>
      <c r="C459" s="9"/>
      <c r="D459" s="11"/>
      <c r="E459" s="11"/>
      <c r="F459" s="12"/>
      <c r="G459" s="13" t="str">
        <f aca="false">IF(F459&lt;&gt;"",F459,IF(OR(D459="",E459=""),"",ROUND(MOD(E459-D459,1)*1440,0)))</f>
        <v/>
      </c>
      <c r="H459" s="9"/>
      <c r="I459" s="14" t="str">
        <f aca="false">IF(H459="","",IFERROR(INDEX(Setup!$E$5:$E$34,MATCH(H459,Setup!$D$5:$D$34,0)),"Not in Setup"))</f>
        <v/>
      </c>
      <c r="J459" s="9"/>
    </row>
    <row r="460" customFormat="false" ht="15" hidden="false" customHeight="false" outlineLevel="0" collapsed="false">
      <c r="A460" s="10"/>
      <c r="B460" s="9"/>
      <c r="C460" s="9"/>
      <c r="D460" s="11"/>
      <c r="E460" s="11"/>
      <c r="F460" s="12"/>
      <c r="G460" s="13" t="str">
        <f aca="false">IF(F460&lt;&gt;"",F460,IF(OR(D460="",E460=""),"",ROUND(MOD(E460-D460,1)*1440,0)))</f>
        <v/>
      </c>
      <c r="H460" s="9"/>
      <c r="I460" s="14" t="str">
        <f aca="false">IF(H460="","",IFERROR(INDEX(Setup!$E$5:$E$34,MATCH(H460,Setup!$D$5:$D$34,0)),"Not in Setup"))</f>
        <v/>
      </c>
      <c r="J460" s="9"/>
    </row>
    <row r="461" customFormat="false" ht="15" hidden="false" customHeight="false" outlineLevel="0" collapsed="false">
      <c r="A461" s="10"/>
      <c r="B461" s="9"/>
      <c r="C461" s="9"/>
      <c r="D461" s="11"/>
      <c r="E461" s="11"/>
      <c r="F461" s="12"/>
      <c r="G461" s="13" t="str">
        <f aca="false">IF(F461&lt;&gt;"",F461,IF(OR(D461="",E461=""),"",ROUND(MOD(E461-D461,1)*1440,0)))</f>
        <v/>
      </c>
      <c r="H461" s="9"/>
      <c r="I461" s="14" t="str">
        <f aca="false">IF(H461="","",IFERROR(INDEX(Setup!$E$5:$E$34,MATCH(H461,Setup!$D$5:$D$34,0)),"Not in Setup"))</f>
        <v/>
      </c>
      <c r="J461" s="9"/>
    </row>
    <row r="462" customFormat="false" ht="15" hidden="false" customHeight="false" outlineLevel="0" collapsed="false">
      <c r="A462" s="10"/>
      <c r="B462" s="9"/>
      <c r="C462" s="9"/>
      <c r="D462" s="11"/>
      <c r="E462" s="11"/>
      <c r="F462" s="12"/>
      <c r="G462" s="13" t="str">
        <f aca="false">IF(F462&lt;&gt;"",F462,IF(OR(D462="",E462=""),"",ROUND(MOD(E462-D462,1)*1440,0)))</f>
        <v/>
      </c>
      <c r="H462" s="9"/>
      <c r="I462" s="14" t="str">
        <f aca="false">IF(H462="","",IFERROR(INDEX(Setup!$E$5:$E$34,MATCH(H462,Setup!$D$5:$D$34,0)),"Not in Setup"))</f>
        <v/>
      </c>
      <c r="J462" s="9"/>
    </row>
    <row r="463" customFormat="false" ht="15" hidden="false" customHeight="false" outlineLevel="0" collapsed="false">
      <c r="A463" s="10"/>
      <c r="B463" s="9"/>
      <c r="C463" s="9"/>
      <c r="D463" s="11"/>
      <c r="E463" s="11"/>
      <c r="F463" s="12"/>
      <c r="G463" s="13" t="str">
        <f aca="false">IF(F463&lt;&gt;"",F463,IF(OR(D463="",E463=""),"",ROUND(MOD(E463-D463,1)*1440,0)))</f>
        <v/>
      </c>
      <c r="H463" s="9"/>
      <c r="I463" s="14" t="str">
        <f aca="false">IF(H463="","",IFERROR(INDEX(Setup!$E$5:$E$34,MATCH(H463,Setup!$D$5:$D$34,0)),"Not in Setup"))</f>
        <v/>
      </c>
      <c r="J463" s="9"/>
    </row>
    <row r="464" customFormat="false" ht="15" hidden="false" customHeight="false" outlineLevel="0" collapsed="false">
      <c r="A464" s="10"/>
      <c r="B464" s="9"/>
      <c r="C464" s="9"/>
      <c r="D464" s="11"/>
      <c r="E464" s="11"/>
      <c r="F464" s="12"/>
      <c r="G464" s="13" t="str">
        <f aca="false">IF(F464&lt;&gt;"",F464,IF(OR(D464="",E464=""),"",ROUND(MOD(E464-D464,1)*1440,0)))</f>
        <v/>
      </c>
      <c r="H464" s="9"/>
      <c r="I464" s="14" t="str">
        <f aca="false">IF(H464="","",IFERROR(INDEX(Setup!$E$5:$E$34,MATCH(H464,Setup!$D$5:$D$34,0)),"Not in Setup"))</f>
        <v/>
      </c>
      <c r="J464" s="9"/>
    </row>
    <row r="465" customFormat="false" ht="15" hidden="false" customHeight="false" outlineLevel="0" collapsed="false">
      <c r="A465" s="10"/>
      <c r="B465" s="9"/>
      <c r="C465" s="9"/>
      <c r="D465" s="11"/>
      <c r="E465" s="11"/>
      <c r="F465" s="12"/>
      <c r="G465" s="13" t="str">
        <f aca="false">IF(F465&lt;&gt;"",F465,IF(OR(D465="",E465=""),"",ROUND(MOD(E465-D465,1)*1440,0)))</f>
        <v/>
      </c>
      <c r="H465" s="9"/>
      <c r="I465" s="14" t="str">
        <f aca="false">IF(H465="","",IFERROR(INDEX(Setup!$E$5:$E$34,MATCH(H465,Setup!$D$5:$D$34,0)),"Not in Setup"))</f>
        <v/>
      </c>
      <c r="J465" s="9"/>
    </row>
    <row r="466" customFormat="false" ht="15" hidden="false" customHeight="false" outlineLevel="0" collapsed="false">
      <c r="A466" s="10"/>
      <c r="B466" s="9"/>
      <c r="C466" s="9"/>
      <c r="D466" s="11"/>
      <c r="E466" s="11"/>
      <c r="F466" s="12"/>
      <c r="G466" s="13" t="str">
        <f aca="false">IF(F466&lt;&gt;"",F466,IF(OR(D466="",E466=""),"",ROUND(MOD(E466-D466,1)*1440,0)))</f>
        <v/>
      </c>
      <c r="H466" s="9"/>
      <c r="I466" s="14" t="str">
        <f aca="false">IF(H466="","",IFERROR(INDEX(Setup!$E$5:$E$34,MATCH(H466,Setup!$D$5:$D$34,0)),"Not in Setup"))</f>
        <v/>
      </c>
      <c r="J466" s="9"/>
    </row>
    <row r="467" customFormat="false" ht="15" hidden="false" customHeight="false" outlineLevel="0" collapsed="false">
      <c r="A467" s="10"/>
      <c r="B467" s="9"/>
      <c r="C467" s="9"/>
      <c r="D467" s="11"/>
      <c r="E467" s="11"/>
      <c r="F467" s="12"/>
      <c r="G467" s="13" t="str">
        <f aca="false">IF(F467&lt;&gt;"",F467,IF(OR(D467="",E467=""),"",ROUND(MOD(E467-D467,1)*1440,0)))</f>
        <v/>
      </c>
      <c r="H467" s="9"/>
      <c r="I467" s="14" t="str">
        <f aca="false">IF(H467="","",IFERROR(INDEX(Setup!$E$5:$E$34,MATCH(H467,Setup!$D$5:$D$34,0)),"Not in Setup"))</f>
        <v/>
      </c>
      <c r="J467" s="9"/>
    </row>
    <row r="468" customFormat="false" ht="15" hidden="false" customHeight="false" outlineLevel="0" collapsed="false">
      <c r="A468" s="10"/>
      <c r="B468" s="9"/>
      <c r="C468" s="9"/>
      <c r="D468" s="11"/>
      <c r="E468" s="11"/>
      <c r="F468" s="12"/>
      <c r="G468" s="13" t="str">
        <f aca="false">IF(F468&lt;&gt;"",F468,IF(OR(D468="",E468=""),"",ROUND(MOD(E468-D468,1)*1440,0)))</f>
        <v/>
      </c>
      <c r="H468" s="9"/>
      <c r="I468" s="14" t="str">
        <f aca="false">IF(H468="","",IFERROR(INDEX(Setup!$E$5:$E$34,MATCH(H468,Setup!$D$5:$D$34,0)),"Not in Setup"))</f>
        <v/>
      </c>
      <c r="J468" s="9"/>
    </row>
    <row r="469" customFormat="false" ht="15" hidden="false" customHeight="false" outlineLevel="0" collapsed="false">
      <c r="A469" s="10"/>
      <c r="B469" s="9"/>
      <c r="C469" s="9"/>
      <c r="D469" s="11"/>
      <c r="E469" s="11"/>
      <c r="F469" s="12"/>
      <c r="G469" s="13" t="str">
        <f aca="false">IF(F469&lt;&gt;"",F469,IF(OR(D469="",E469=""),"",ROUND(MOD(E469-D469,1)*1440,0)))</f>
        <v/>
      </c>
      <c r="H469" s="9"/>
      <c r="I469" s="14" t="str">
        <f aca="false">IF(H469="","",IFERROR(INDEX(Setup!$E$5:$E$34,MATCH(H469,Setup!$D$5:$D$34,0)),"Not in Setup"))</f>
        <v/>
      </c>
      <c r="J469" s="9"/>
    </row>
    <row r="470" customFormat="false" ht="15" hidden="false" customHeight="false" outlineLevel="0" collapsed="false">
      <c r="A470" s="10"/>
      <c r="B470" s="9"/>
      <c r="C470" s="9"/>
      <c r="D470" s="11"/>
      <c r="E470" s="11"/>
      <c r="F470" s="12"/>
      <c r="G470" s="13" t="str">
        <f aca="false">IF(F470&lt;&gt;"",F470,IF(OR(D470="",E470=""),"",ROUND(MOD(E470-D470,1)*1440,0)))</f>
        <v/>
      </c>
      <c r="H470" s="9"/>
      <c r="I470" s="14" t="str">
        <f aca="false">IF(H470="","",IFERROR(INDEX(Setup!$E$5:$E$34,MATCH(H470,Setup!$D$5:$D$34,0)),"Not in Setup"))</f>
        <v/>
      </c>
      <c r="J470" s="9"/>
    </row>
    <row r="471" customFormat="false" ht="15" hidden="false" customHeight="false" outlineLevel="0" collapsed="false">
      <c r="A471" s="10"/>
      <c r="B471" s="9"/>
      <c r="C471" s="9"/>
      <c r="D471" s="11"/>
      <c r="E471" s="11"/>
      <c r="F471" s="12"/>
      <c r="G471" s="13" t="str">
        <f aca="false">IF(F471&lt;&gt;"",F471,IF(OR(D471="",E471=""),"",ROUND(MOD(E471-D471,1)*1440,0)))</f>
        <v/>
      </c>
      <c r="H471" s="9"/>
      <c r="I471" s="14" t="str">
        <f aca="false">IF(H471="","",IFERROR(INDEX(Setup!$E$5:$E$34,MATCH(H471,Setup!$D$5:$D$34,0)),"Not in Setup"))</f>
        <v/>
      </c>
      <c r="J471" s="9"/>
    </row>
    <row r="472" customFormat="false" ht="15" hidden="false" customHeight="false" outlineLevel="0" collapsed="false">
      <c r="A472" s="10"/>
      <c r="B472" s="9"/>
      <c r="C472" s="9"/>
      <c r="D472" s="11"/>
      <c r="E472" s="11"/>
      <c r="F472" s="12"/>
      <c r="G472" s="13" t="str">
        <f aca="false">IF(F472&lt;&gt;"",F472,IF(OR(D472="",E472=""),"",ROUND(MOD(E472-D472,1)*1440,0)))</f>
        <v/>
      </c>
      <c r="H472" s="9"/>
      <c r="I472" s="14" t="str">
        <f aca="false">IF(H472="","",IFERROR(INDEX(Setup!$E$5:$E$34,MATCH(H472,Setup!$D$5:$D$34,0)),"Not in Setup"))</f>
        <v/>
      </c>
      <c r="J472" s="9"/>
    </row>
    <row r="473" customFormat="false" ht="15" hidden="false" customHeight="false" outlineLevel="0" collapsed="false">
      <c r="A473" s="10"/>
      <c r="B473" s="9"/>
      <c r="C473" s="9"/>
      <c r="D473" s="11"/>
      <c r="E473" s="11"/>
      <c r="F473" s="12"/>
      <c r="G473" s="13" t="str">
        <f aca="false">IF(F473&lt;&gt;"",F473,IF(OR(D473="",E473=""),"",ROUND(MOD(E473-D473,1)*1440,0)))</f>
        <v/>
      </c>
      <c r="H473" s="9"/>
      <c r="I473" s="14" t="str">
        <f aca="false">IF(H473="","",IFERROR(INDEX(Setup!$E$5:$E$34,MATCH(H473,Setup!$D$5:$D$34,0)),"Not in Setup"))</f>
        <v/>
      </c>
      <c r="J473" s="9"/>
    </row>
    <row r="474" customFormat="false" ht="15" hidden="false" customHeight="false" outlineLevel="0" collapsed="false">
      <c r="A474" s="10"/>
      <c r="B474" s="9"/>
      <c r="C474" s="9"/>
      <c r="D474" s="11"/>
      <c r="E474" s="11"/>
      <c r="F474" s="12"/>
      <c r="G474" s="13" t="str">
        <f aca="false">IF(F474&lt;&gt;"",F474,IF(OR(D474="",E474=""),"",ROUND(MOD(E474-D474,1)*1440,0)))</f>
        <v/>
      </c>
      <c r="H474" s="9"/>
      <c r="I474" s="14" t="str">
        <f aca="false">IF(H474="","",IFERROR(INDEX(Setup!$E$5:$E$34,MATCH(H474,Setup!$D$5:$D$34,0)),"Not in Setup"))</f>
        <v/>
      </c>
      <c r="J474" s="9"/>
    </row>
    <row r="475" customFormat="false" ht="15" hidden="false" customHeight="false" outlineLevel="0" collapsed="false">
      <c r="A475" s="10"/>
      <c r="B475" s="9"/>
      <c r="C475" s="9"/>
      <c r="D475" s="11"/>
      <c r="E475" s="11"/>
      <c r="F475" s="12"/>
      <c r="G475" s="13" t="str">
        <f aca="false">IF(F475&lt;&gt;"",F475,IF(OR(D475="",E475=""),"",ROUND(MOD(E475-D475,1)*1440,0)))</f>
        <v/>
      </c>
      <c r="H475" s="9"/>
      <c r="I475" s="14" t="str">
        <f aca="false">IF(H475="","",IFERROR(INDEX(Setup!$E$5:$E$34,MATCH(H475,Setup!$D$5:$D$34,0)),"Not in Setup"))</f>
        <v/>
      </c>
      <c r="J475" s="9"/>
    </row>
    <row r="476" customFormat="false" ht="15" hidden="false" customHeight="false" outlineLevel="0" collapsed="false">
      <c r="A476" s="10"/>
      <c r="B476" s="9"/>
      <c r="C476" s="9"/>
      <c r="D476" s="11"/>
      <c r="E476" s="11"/>
      <c r="F476" s="12"/>
      <c r="G476" s="13" t="str">
        <f aca="false">IF(F476&lt;&gt;"",F476,IF(OR(D476="",E476=""),"",ROUND(MOD(E476-D476,1)*1440,0)))</f>
        <v/>
      </c>
      <c r="H476" s="9"/>
      <c r="I476" s="14" t="str">
        <f aca="false">IF(H476="","",IFERROR(INDEX(Setup!$E$5:$E$34,MATCH(H476,Setup!$D$5:$D$34,0)),"Not in Setup"))</f>
        <v/>
      </c>
      <c r="J476" s="9"/>
    </row>
    <row r="477" customFormat="false" ht="15" hidden="false" customHeight="false" outlineLevel="0" collapsed="false">
      <c r="A477" s="10"/>
      <c r="B477" s="9"/>
      <c r="C477" s="9"/>
      <c r="D477" s="11"/>
      <c r="E477" s="11"/>
      <c r="F477" s="12"/>
      <c r="G477" s="13" t="str">
        <f aca="false">IF(F477&lt;&gt;"",F477,IF(OR(D477="",E477=""),"",ROUND(MOD(E477-D477,1)*1440,0)))</f>
        <v/>
      </c>
      <c r="H477" s="9"/>
      <c r="I477" s="14" t="str">
        <f aca="false">IF(H477="","",IFERROR(INDEX(Setup!$E$5:$E$34,MATCH(H477,Setup!$D$5:$D$34,0)),"Not in Setup"))</f>
        <v/>
      </c>
      <c r="J477" s="9"/>
    </row>
    <row r="478" customFormat="false" ht="15" hidden="false" customHeight="false" outlineLevel="0" collapsed="false">
      <c r="A478" s="10"/>
      <c r="B478" s="9"/>
      <c r="C478" s="9"/>
      <c r="D478" s="11"/>
      <c r="E478" s="11"/>
      <c r="F478" s="12"/>
      <c r="G478" s="13" t="str">
        <f aca="false">IF(F478&lt;&gt;"",F478,IF(OR(D478="",E478=""),"",ROUND(MOD(E478-D478,1)*1440,0)))</f>
        <v/>
      </c>
      <c r="H478" s="9"/>
      <c r="I478" s="14" t="str">
        <f aca="false">IF(H478="","",IFERROR(INDEX(Setup!$E$5:$E$34,MATCH(H478,Setup!$D$5:$D$34,0)),"Not in Setup"))</f>
        <v/>
      </c>
      <c r="J478" s="9"/>
    </row>
    <row r="479" customFormat="false" ht="15" hidden="false" customHeight="false" outlineLevel="0" collapsed="false">
      <c r="A479" s="10"/>
      <c r="B479" s="9"/>
      <c r="C479" s="9"/>
      <c r="D479" s="11"/>
      <c r="E479" s="11"/>
      <c r="F479" s="12"/>
      <c r="G479" s="13" t="str">
        <f aca="false">IF(F479&lt;&gt;"",F479,IF(OR(D479="",E479=""),"",ROUND(MOD(E479-D479,1)*1440,0)))</f>
        <v/>
      </c>
      <c r="H479" s="9"/>
      <c r="I479" s="14" t="str">
        <f aca="false">IF(H479="","",IFERROR(INDEX(Setup!$E$5:$E$34,MATCH(H479,Setup!$D$5:$D$34,0)),"Not in Setup"))</f>
        <v/>
      </c>
      <c r="J479" s="9"/>
    </row>
    <row r="480" customFormat="false" ht="15" hidden="false" customHeight="false" outlineLevel="0" collapsed="false">
      <c r="A480" s="10"/>
      <c r="B480" s="9"/>
      <c r="C480" s="9"/>
      <c r="D480" s="11"/>
      <c r="E480" s="11"/>
      <c r="F480" s="12"/>
      <c r="G480" s="13" t="str">
        <f aca="false">IF(F480&lt;&gt;"",F480,IF(OR(D480="",E480=""),"",ROUND(MOD(E480-D480,1)*1440,0)))</f>
        <v/>
      </c>
      <c r="H480" s="9"/>
      <c r="I480" s="14" t="str">
        <f aca="false">IF(H480="","",IFERROR(INDEX(Setup!$E$5:$E$34,MATCH(H480,Setup!$D$5:$D$34,0)),"Not in Setup"))</f>
        <v/>
      </c>
      <c r="J480" s="9"/>
    </row>
    <row r="481" customFormat="false" ht="15" hidden="false" customHeight="false" outlineLevel="0" collapsed="false">
      <c r="A481" s="10"/>
      <c r="B481" s="9"/>
      <c r="C481" s="9"/>
      <c r="D481" s="11"/>
      <c r="E481" s="11"/>
      <c r="F481" s="12"/>
      <c r="G481" s="13" t="str">
        <f aca="false">IF(F481&lt;&gt;"",F481,IF(OR(D481="",E481=""),"",ROUND(MOD(E481-D481,1)*1440,0)))</f>
        <v/>
      </c>
      <c r="H481" s="9"/>
      <c r="I481" s="14" t="str">
        <f aca="false">IF(H481="","",IFERROR(INDEX(Setup!$E$5:$E$34,MATCH(H481,Setup!$D$5:$D$34,0)),"Not in Setup"))</f>
        <v/>
      </c>
      <c r="J481" s="9"/>
    </row>
    <row r="482" customFormat="false" ht="15" hidden="false" customHeight="false" outlineLevel="0" collapsed="false">
      <c r="A482" s="10"/>
      <c r="B482" s="9"/>
      <c r="C482" s="9"/>
      <c r="D482" s="11"/>
      <c r="E482" s="11"/>
      <c r="F482" s="12"/>
      <c r="G482" s="13" t="str">
        <f aca="false">IF(F482&lt;&gt;"",F482,IF(OR(D482="",E482=""),"",ROUND(MOD(E482-D482,1)*1440,0)))</f>
        <v/>
      </c>
      <c r="H482" s="9"/>
      <c r="I482" s="14" t="str">
        <f aca="false">IF(H482="","",IFERROR(INDEX(Setup!$E$5:$E$34,MATCH(H482,Setup!$D$5:$D$34,0)),"Not in Setup"))</f>
        <v/>
      </c>
      <c r="J482" s="9"/>
    </row>
    <row r="483" customFormat="false" ht="15" hidden="false" customHeight="false" outlineLevel="0" collapsed="false">
      <c r="A483" s="10"/>
      <c r="B483" s="9"/>
      <c r="C483" s="9"/>
      <c r="D483" s="11"/>
      <c r="E483" s="11"/>
      <c r="F483" s="12"/>
      <c r="G483" s="13" t="str">
        <f aca="false">IF(F483&lt;&gt;"",F483,IF(OR(D483="",E483=""),"",ROUND(MOD(E483-D483,1)*1440,0)))</f>
        <v/>
      </c>
      <c r="H483" s="9"/>
      <c r="I483" s="14" t="str">
        <f aca="false">IF(H483="","",IFERROR(INDEX(Setup!$E$5:$E$34,MATCH(H483,Setup!$D$5:$D$34,0)),"Not in Setup"))</f>
        <v/>
      </c>
      <c r="J483" s="9"/>
    </row>
    <row r="484" customFormat="false" ht="15" hidden="false" customHeight="false" outlineLevel="0" collapsed="false">
      <c r="A484" s="10"/>
      <c r="B484" s="9"/>
      <c r="C484" s="9"/>
      <c r="D484" s="11"/>
      <c r="E484" s="11"/>
      <c r="F484" s="12"/>
      <c r="G484" s="13" t="str">
        <f aca="false">IF(F484&lt;&gt;"",F484,IF(OR(D484="",E484=""),"",ROUND(MOD(E484-D484,1)*1440,0)))</f>
        <v/>
      </c>
      <c r="H484" s="9"/>
      <c r="I484" s="14" t="str">
        <f aca="false">IF(H484="","",IFERROR(INDEX(Setup!$E$5:$E$34,MATCH(H484,Setup!$D$5:$D$34,0)),"Not in Setup"))</f>
        <v/>
      </c>
      <c r="J484" s="9"/>
    </row>
    <row r="485" customFormat="false" ht="15" hidden="false" customHeight="false" outlineLevel="0" collapsed="false">
      <c r="A485" s="10"/>
      <c r="B485" s="9"/>
      <c r="C485" s="9"/>
      <c r="D485" s="11"/>
      <c r="E485" s="11"/>
      <c r="F485" s="12"/>
      <c r="G485" s="13" t="str">
        <f aca="false">IF(F485&lt;&gt;"",F485,IF(OR(D485="",E485=""),"",ROUND(MOD(E485-D485,1)*1440,0)))</f>
        <v/>
      </c>
      <c r="H485" s="9"/>
      <c r="I485" s="14" t="str">
        <f aca="false">IF(H485="","",IFERROR(INDEX(Setup!$E$5:$E$34,MATCH(H485,Setup!$D$5:$D$34,0)),"Not in Setup"))</f>
        <v/>
      </c>
      <c r="J485" s="9"/>
    </row>
    <row r="486" customFormat="false" ht="15" hidden="false" customHeight="false" outlineLevel="0" collapsed="false">
      <c r="A486" s="10"/>
      <c r="B486" s="9"/>
      <c r="C486" s="9"/>
      <c r="D486" s="11"/>
      <c r="E486" s="11"/>
      <c r="F486" s="12"/>
      <c r="G486" s="13" t="str">
        <f aca="false">IF(F486&lt;&gt;"",F486,IF(OR(D486="",E486=""),"",ROUND(MOD(E486-D486,1)*1440,0)))</f>
        <v/>
      </c>
      <c r="H486" s="9"/>
      <c r="I486" s="14" t="str">
        <f aca="false">IF(H486="","",IFERROR(INDEX(Setup!$E$5:$E$34,MATCH(H486,Setup!$D$5:$D$34,0)),"Not in Setup"))</f>
        <v/>
      </c>
      <c r="J486" s="9"/>
    </row>
    <row r="487" customFormat="false" ht="15" hidden="false" customHeight="false" outlineLevel="0" collapsed="false">
      <c r="A487" s="10"/>
      <c r="B487" s="9"/>
      <c r="C487" s="9"/>
      <c r="D487" s="11"/>
      <c r="E487" s="11"/>
      <c r="F487" s="12"/>
      <c r="G487" s="13" t="str">
        <f aca="false">IF(F487&lt;&gt;"",F487,IF(OR(D487="",E487=""),"",ROUND(MOD(E487-D487,1)*1440,0)))</f>
        <v/>
      </c>
      <c r="H487" s="9"/>
      <c r="I487" s="14" t="str">
        <f aca="false">IF(H487="","",IFERROR(INDEX(Setup!$E$5:$E$34,MATCH(H487,Setup!$D$5:$D$34,0)),"Not in Setup"))</f>
        <v/>
      </c>
      <c r="J487" s="9"/>
    </row>
    <row r="488" customFormat="false" ht="15" hidden="false" customHeight="false" outlineLevel="0" collapsed="false">
      <c r="A488" s="10"/>
      <c r="B488" s="9"/>
      <c r="C488" s="9"/>
      <c r="D488" s="11"/>
      <c r="E488" s="11"/>
      <c r="F488" s="12"/>
      <c r="G488" s="13" t="str">
        <f aca="false">IF(F488&lt;&gt;"",F488,IF(OR(D488="",E488=""),"",ROUND(MOD(E488-D488,1)*1440,0)))</f>
        <v/>
      </c>
      <c r="H488" s="9"/>
      <c r="I488" s="14" t="str">
        <f aca="false">IF(H488="","",IFERROR(INDEX(Setup!$E$5:$E$34,MATCH(H488,Setup!$D$5:$D$34,0)),"Not in Setup"))</f>
        <v/>
      </c>
      <c r="J488" s="9"/>
    </row>
    <row r="489" customFormat="false" ht="15" hidden="false" customHeight="false" outlineLevel="0" collapsed="false">
      <c r="A489" s="10"/>
      <c r="B489" s="9"/>
      <c r="C489" s="9"/>
      <c r="D489" s="11"/>
      <c r="E489" s="11"/>
      <c r="F489" s="12"/>
      <c r="G489" s="13" t="str">
        <f aca="false">IF(F489&lt;&gt;"",F489,IF(OR(D489="",E489=""),"",ROUND(MOD(E489-D489,1)*1440,0)))</f>
        <v/>
      </c>
      <c r="H489" s="9"/>
      <c r="I489" s="14" t="str">
        <f aca="false">IF(H489="","",IFERROR(INDEX(Setup!$E$5:$E$34,MATCH(H489,Setup!$D$5:$D$34,0)),"Not in Setup"))</f>
        <v/>
      </c>
      <c r="J489" s="9"/>
    </row>
    <row r="490" customFormat="false" ht="15" hidden="false" customHeight="false" outlineLevel="0" collapsed="false">
      <c r="A490" s="10"/>
      <c r="B490" s="9"/>
      <c r="C490" s="9"/>
      <c r="D490" s="11"/>
      <c r="E490" s="11"/>
      <c r="F490" s="12"/>
      <c r="G490" s="13" t="str">
        <f aca="false">IF(F490&lt;&gt;"",F490,IF(OR(D490="",E490=""),"",ROUND(MOD(E490-D490,1)*1440,0)))</f>
        <v/>
      </c>
      <c r="H490" s="9"/>
      <c r="I490" s="14" t="str">
        <f aca="false">IF(H490="","",IFERROR(INDEX(Setup!$E$5:$E$34,MATCH(H490,Setup!$D$5:$D$34,0)),"Not in Setup"))</f>
        <v/>
      </c>
      <c r="J490" s="9"/>
    </row>
    <row r="491" customFormat="false" ht="15" hidden="false" customHeight="false" outlineLevel="0" collapsed="false">
      <c r="A491" s="10"/>
      <c r="B491" s="9"/>
      <c r="C491" s="9"/>
      <c r="D491" s="11"/>
      <c r="E491" s="11"/>
      <c r="F491" s="12"/>
      <c r="G491" s="13" t="str">
        <f aca="false">IF(F491&lt;&gt;"",F491,IF(OR(D491="",E491=""),"",ROUND(MOD(E491-D491,1)*1440,0)))</f>
        <v/>
      </c>
      <c r="H491" s="9"/>
      <c r="I491" s="14" t="str">
        <f aca="false">IF(H491="","",IFERROR(INDEX(Setup!$E$5:$E$34,MATCH(H491,Setup!$D$5:$D$34,0)),"Not in Setup"))</f>
        <v/>
      </c>
      <c r="J491" s="9"/>
    </row>
    <row r="492" customFormat="false" ht="15" hidden="false" customHeight="false" outlineLevel="0" collapsed="false">
      <c r="A492" s="10"/>
      <c r="B492" s="9"/>
      <c r="C492" s="9"/>
      <c r="D492" s="11"/>
      <c r="E492" s="11"/>
      <c r="F492" s="12"/>
      <c r="G492" s="13" t="str">
        <f aca="false">IF(F492&lt;&gt;"",F492,IF(OR(D492="",E492=""),"",ROUND(MOD(E492-D492,1)*1440,0)))</f>
        <v/>
      </c>
      <c r="H492" s="9"/>
      <c r="I492" s="14" t="str">
        <f aca="false">IF(H492="","",IFERROR(INDEX(Setup!$E$5:$E$34,MATCH(H492,Setup!$D$5:$D$34,0)),"Not in Setup"))</f>
        <v/>
      </c>
      <c r="J492" s="9"/>
    </row>
    <row r="493" customFormat="false" ht="15" hidden="false" customHeight="false" outlineLevel="0" collapsed="false">
      <c r="A493" s="10"/>
      <c r="B493" s="9"/>
      <c r="C493" s="9"/>
      <c r="D493" s="11"/>
      <c r="E493" s="11"/>
      <c r="F493" s="12"/>
      <c r="G493" s="13" t="str">
        <f aca="false">IF(F493&lt;&gt;"",F493,IF(OR(D493="",E493=""),"",ROUND(MOD(E493-D493,1)*1440,0)))</f>
        <v/>
      </c>
      <c r="H493" s="9"/>
      <c r="I493" s="14" t="str">
        <f aca="false">IF(H493="","",IFERROR(INDEX(Setup!$E$5:$E$34,MATCH(H493,Setup!$D$5:$D$34,0)),"Not in Setup"))</f>
        <v/>
      </c>
      <c r="J493" s="9"/>
    </row>
    <row r="494" customFormat="false" ht="15" hidden="false" customHeight="false" outlineLevel="0" collapsed="false">
      <c r="A494" s="10"/>
      <c r="B494" s="9"/>
      <c r="C494" s="9"/>
      <c r="D494" s="11"/>
      <c r="E494" s="11"/>
      <c r="F494" s="12"/>
      <c r="G494" s="13" t="str">
        <f aca="false">IF(F494&lt;&gt;"",F494,IF(OR(D494="",E494=""),"",ROUND(MOD(E494-D494,1)*1440,0)))</f>
        <v/>
      </c>
      <c r="H494" s="9"/>
      <c r="I494" s="14" t="str">
        <f aca="false">IF(H494="","",IFERROR(INDEX(Setup!$E$5:$E$34,MATCH(H494,Setup!$D$5:$D$34,0)),"Not in Setup"))</f>
        <v/>
      </c>
      <c r="J494" s="9"/>
    </row>
    <row r="495" customFormat="false" ht="15" hidden="false" customHeight="false" outlineLevel="0" collapsed="false">
      <c r="A495" s="10"/>
      <c r="B495" s="9"/>
      <c r="C495" s="9"/>
      <c r="D495" s="11"/>
      <c r="E495" s="11"/>
      <c r="F495" s="12"/>
      <c r="G495" s="13" t="str">
        <f aca="false">IF(F495&lt;&gt;"",F495,IF(OR(D495="",E495=""),"",ROUND(MOD(E495-D495,1)*1440,0)))</f>
        <v/>
      </c>
      <c r="H495" s="9"/>
      <c r="I495" s="14" t="str">
        <f aca="false">IF(H495="","",IFERROR(INDEX(Setup!$E$5:$E$34,MATCH(H495,Setup!$D$5:$D$34,0)),"Not in Setup"))</f>
        <v/>
      </c>
      <c r="J495" s="9"/>
    </row>
    <row r="496" customFormat="false" ht="15" hidden="false" customHeight="false" outlineLevel="0" collapsed="false">
      <c r="A496" s="10"/>
      <c r="B496" s="9"/>
      <c r="C496" s="9"/>
      <c r="D496" s="11"/>
      <c r="E496" s="11"/>
      <c r="F496" s="12"/>
      <c r="G496" s="13" t="str">
        <f aca="false">IF(F496&lt;&gt;"",F496,IF(OR(D496="",E496=""),"",ROUND(MOD(E496-D496,1)*1440,0)))</f>
        <v/>
      </c>
      <c r="H496" s="9"/>
      <c r="I496" s="14" t="str">
        <f aca="false">IF(H496="","",IFERROR(INDEX(Setup!$E$5:$E$34,MATCH(H496,Setup!$D$5:$D$34,0)),"Not in Setup"))</f>
        <v/>
      </c>
      <c r="J496" s="9"/>
    </row>
    <row r="497" customFormat="false" ht="15" hidden="false" customHeight="false" outlineLevel="0" collapsed="false">
      <c r="A497" s="10"/>
      <c r="B497" s="9"/>
      <c r="C497" s="9"/>
      <c r="D497" s="11"/>
      <c r="E497" s="11"/>
      <c r="F497" s="12"/>
      <c r="G497" s="13" t="str">
        <f aca="false">IF(F497&lt;&gt;"",F497,IF(OR(D497="",E497=""),"",ROUND(MOD(E497-D497,1)*1440,0)))</f>
        <v/>
      </c>
      <c r="H497" s="9"/>
      <c r="I497" s="14" t="str">
        <f aca="false">IF(H497="","",IFERROR(INDEX(Setup!$E$5:$E$34,MATCH(H497,Setup!$D$5:$D$34,0)),"Not in Setup"))</f>
        <v/>
      </c>
      <c r="J497" s="9"/>
    </row>
    <row r="498" customFormat="false" ht="15" hidden="false" customHeight="false" outlineLevel="0" collapsed="false">
      <c r="A498" s="10"/>
      <c r="B498" s="9"/>
      <c r="C498" s="9"/>
      <c r="D498" s="11"/>
      <c r="E498" s="11"/>
      <c r="F498" s="12"/>
      <c r="G498" s="13" t="str">
        <f aca="false">IF(F498&lt;&gt;"",F498,IF(OR(D498="",E498=""),"",ROUND(MOD(E498-D498,1)*1440,0)))</f>
        <v/>
      </c>
      <c r="H498" s="9"/>
      <c r="I498" s="14" t="str">
        <f aca="false">IF(H498="","",IFERROR(INDEX(Setup!$E$5:$E$34,MATCH(H498,Setup!$D$5:$D$34,0)),"Not in Setup"))</f>
        <v/>
      </c>
      <c r="J498" s="9"/>
    </row>
    <row r="499" customFormat="false" ht="15" hidden="false" customHeight="false" outlineLevel="0" collapsed="false">
      <c r="A499" s="10"/>
      <c r="B499" s="9"/>
      <c r="C499" s="9"/>
      <c r="D499" s="11"/>
      <c r="E499" s="11"/>
      <c r="F499" s="12"/>
      <c r="G499" s="13" t="str">
        <f aca="false">IF(F499&lt;&gt;"",F499,IF(OR(D499="",E499=""),"",ROUND(MOD(E499-D499,1)*1440,0)))</f>
        <v/>
      </c>
      <c r="H499" s="9"/>
      <c r="I499" s="14" t="str">
        <f aca="false">IF(H499="","",IFERROR(INDEX(Setup!$E$5:$E$34,MATCH(H499,Setup!$D$5:$D$34,0)),"Not in Setup"))</f>
        <v/>
      </c>
      <c r="J499" s="9"/>
    </row>
    <row r="500" customFormat="false" ht="15" hidden="false" customHeight="false" outlineLevel="0" collapsed="false">
      <c r="A500" s="10"/>
      <c r="B500" s="9"/>
      <c r="C500" s="9"/>
      <c r="D500" s="11"/>
      <c r="E500" s="11"/>
      <c r="F500" s="12"/>
      <c r="G500" s="13" t="str">
        <f aca="false">IF(F500&lt;&gt;"",F500,IF(OR(D500="",E500=""),"",ROUND(MOD(E500-D500,1)*1440,0)))</f>
        <v/>
      </c>
      <c r="H500" s="9"/>
      <c r="I500" s="14" t="str">
        <f aca="false">IF(H500="","",IFERROR(INDEX(Setup!$E$5:$E$34,MATCH(H500,Setup!$D$5:$D$34,0)),"Not in Setup"))</f>
        <v/>
      </c>
      <c r="J500" s="9"/>
    </row>
    <row r="501" customFormat="false" ht="15" hidden="false" customHeight="false" outlineLevel="0" collapsed="false">
      <c r="A501" s="10"/>
      <c r="B501" s="9"/>
      <c r="C501" s="9"/>
      <c r="D501" s="11"/>
      <c r="E501" s="11"/>
      <c r="F501" s="12"/>
      <c r="G501" s="13" t="str">
        <f aca="false">IF(F501&lt;&gt;"",F501,IF(OR(D501="",E501=""),"",ROUND(MOD(E501-D501,1)*1440,0)))</f>
        <v/>
      </c>
      <c r="H501" s="9"/>
      <c r="I501" s="14" t="str">
        <f aca="false">IF(H501="","",IFERROR(INDEX(Setup!$E$5:$E$34,MATCH(H501,Setup!$D$5:$D$34,0)),"Not in Setup"))</f>
        <v/>
      </c>
      <c r="J501" s="9"/>
    </row>
    <row r="502" customFormat="false" ht="15" hidden="false" customHeight="false" outlineLevel="0" collapsed="false">
      <c r="A502" s="10"/>
      <c r="B502" s="9"/>
      <c r="C502" s="9"/>
      <c r="D502" s="11"/>
      <c r="E502" s="11"/>
      <c r="F502" s="12"/>
      <c r="G502" s="13" t="str">
        <f aca="false">IF(F502&lt;&gt;"",F502,IF(OR(D502="",E502=""),"",ROUND(MOD(E502-D502,1)*1440,0)))</f>
        <v/>
      </c>
      <c r="H502" s="9"/>
      <c r="I502" s="14" t="str">
        <f aca="false">IF(H502="","",IFERROR(INDEX(Setup!$E$5:$E$34,MATCH(H502,Setup!$D$5:$D$34,0)),"Not in Setup"))</f>
        <v/>
      </c>
      <c r="J502" s="9"/>
    </row>
    <row r="503" customFormat="false" ht="15" hidden="false" customHeight="false" outlineLevel="0" collapsed="false">
      <c r="A503" s="10"/>
      <c r="B503" s="9"/>
      <c r="C503" s="9"/>
      <c r="D503" s="11"/>
      <c r="E503" s="11"/>
      <c r="F503" s="12"/>
      <c r="G503" s="13" t="str">
        <f aca="false">IF(F503&lt;&gt;"",F503,IF(OR(D503="",E503=""),"",ROUND(MOD(E503-D503,1)*1440,0)))</f>
        <v/>
      </c>
      <c r="H503" s="9"/>
      <c r="I503" s="14" t="str">
        <f aca="false">IF(H503="","",IFERROR(INDEX(Setup!$E$5:$E$34,MATCH(H503,Setup!$D$5:$D$34,0)),"Not in Setup"))</f>
        <v/>
      </c>
      <c r="J503" s="9"/>
    </row>
    <row r="504" customFormat="false" ht="15" hidden="false" customHeight="false" outlineLevel="0" collapsed="false">
      <c r="A504" s="10"/>
      <c r="B504" s="9"/>
      <c r="C504" s="9"/>
      <c r="D504" s="11"/>
      <c r="E504" s="11"/>
      <c r="F504" s="12"/>
      <c r="G504" s="13" t="str">
        <f aca="false">IF(F504&lt;&gt;"",F504,IF(OR(D504="",E504=""),"",ROUND(MOD(E504-D504,1)*1440,0)))</f>
        <v/>
      </c>
      <c r="H504" s="9"/>
      <c r="I504" s="14" t="str">
        <f aca="false">IF(H504="","",IFERROR(INDEX(Setup!$E$5:$E$34,MATCH(H504,Setup!$D$5:$D$34,0)),"Not in Setup"))</f>
        <v/>
      </c>
      <c r="J504" s="9"/>
    </row>
    <row r="505" customFormat="false" ht="15" hidden="false" customHeight="false" outlineLevel="0" collapsed="false">
      <c r="A505" s="10"/>
      <c r="B505" s="9"/>
      <c r="C505" s="9"/>
      <c r="D505" s="11"/>
      <c r="E505" s="11"/>
      <c r="F505" s="12"/>
      <c r="G505" s="13" t="str">
        <f aca="false">IF(F505&lt;&gt;"",F505,IF(OR(D505="",E505=""),"",ROUND(MOD(E505-D505,1)*1440,0)))</f>
        <v/>
      </c>
      <c r="H505" s="9"/>
      <c r="I505" s="14" t="str">
        <f aca="false">IF(H505="","",IFERROR(INDEX(Setup!$E$5:$E$34,MATCH(H505,Setup!$D$5:$D$34,0)),"Not in Setup"))</f>
        <v/>
      </c>
      <c r="J505" s="9"/>
    </row>
    <row r="506" customFormat="false" ht="15" hidden="false" customHeight="false" outlineLevel="0" collapsed="false">
      <c r="A506" s="10"/>
      <c r="B506" s="9"/>
      <c r="C506" s="9"/>
      <c r="D506" s="11"/>
      <c r="E506" s="11"/>
      <c r="F506" s="12"/>
      <c r="G506" s="13" t="str">
        <f aca="false">IF(F506&lt;&gt;"",F506,IF(OR(D506="",E506=""),"",ROUND(MOD(E506-D506,1)*1440,0)))</f>
        <v/>
      </c>
      <c r="H506" s="9"/>
      <c r="I506" s="14" t="str">
        <f aca="false">IF(H506="","",IFERROR(INDEX(Setup!$E$5:$E$34,MATCH(H506,Setup!$D$5:$D$34,0)),"Not in Setup"))</f>
        <v/>
      </c>
      <c r="J506" s="9"/>
    </row>
    <row r="507" customFormat="false" ht="15" hidden="false" customHeight="false" outlineLevel="0" collapsed="false">
      <c r="A507" s="10"/>
      <c r="B507" s="9"/>
      <c r="C507" s="9"/>
      <c r="D507" s="11"/>
      <c r="E507" s="11"/>
      <c r="F507" s="12"/>
      <c r="G507" s="13" t="str">
        <f aca="false">IF(F507&lt;&gt;"",F507,IF(OR(D507="",E507=""),"",ROUND(MOD(E507-D507,1)*1440,0)))</f>
        <v/>
      </c>
      <c r="H507" s="9"/>
      <c r="I507" s="14" t="str">
        <f aca="false">IF(H507="","",IFERROR(INDEX(Setup!$E$5:$E$34,MATCH(H507,Setup!$D$5:$D$34,0)),"Not in Setup"))</f>
        <v/>
      </c>
      <c r="J507" s="9"/>
    </row>
    <row r="508" customFormat="false" ht="15" hidden="false" customHeight="false" outlineLevel="0" collapsed="false">
      <c r="A508" s="10"/>
      <c r="B508" s="9"/>
      <c r="C508" s="9"/>
      <c r="D508" s="11"/>
      <c r="E508" s="11"/>
      <c r="F508" s="12"/>
      <c r="G508" s="13" t="str">
        <f aca="false">IF(F508&lt;&gt;"",F508,IF(OR(D508="",E508=""),"",ROUND(MOD(E508-D508,1)*1440,0)))</f>
        <v/>
      </c>
      <c r="H508" s="9"/>
      <c r="I508" s="14" t="str">
        <f aca="false">IF(H508="","",IFERROR(INDEX(Setup!$E$5:$E$34,MATCH(H508,Setup!$D$5:$D$34,0)),"Not in Setup"))</f>
        <v/>
      </c>
      <c r="J508" s="9"/>
    </row>
    <row r="509" customFormat="false" ht="15" hidden="false" customHeight="false" outlineLevel="0" collapsed="false">
      <c r="A509" s="10"/>
      <c r="B509" s="9"/>
      <c r="C509" s="9"/>
      <c r="D509" s="11"/>
      <c r="E509" s="11"/>
      <c r="F509" s="12"/>
      <c r="G509" s="13" t="str">
        <f aca="false">IF(F509&lt;&gt;"",F509,IF(OR(D509="",E509=""),"",ROUND(MOD(E509-D509,1)*1440,0)))</f>
        <v/>
      </c>
      <c r="H509" s="9"/>
      <c r="I509" s="14" t="str">
        <f aca="false">IF(H509="","",IFERROR(INDEX(Setup!$E$5:$E$34,MATCH(H509,Setup!$D$5:$D$34,0)),"Not in Setup"))</f>
        <v/>
      </c>
      <c r="J509" s="9"/>
    </row>
    <row r="510" customFormat="false" ht="15" hidden="false" customHeight="false" outlineLevel="0" collapsed="false">
      <c r="A510" s="10"/>
      <c r="B510" s="9"/>
      <c r="C510" s="9"/>
      <c r="D510" s="11"/>
      <c r="E510" s="11"/>
      <c r="F510" s="12"/>
      <c r="G510" s="13" t="str">
        <f aca="false">IF(F510&lt;&gt;"",F510,IF(OR(D510="",E510=""),"",ROUND(MOD(E510-D510,1)*1440,0)))</f>
        <v/>
      </c>
      <c r="H510" s="9"/>
      <c r="I510" s="14" t="str">
        <f aca="false">IF(H510="","",IFERROR(INDEX(Setup!$E$5:$E$34,MATCH(H510,Setup!$D$5:$D$34,0)),"Not in Setup"))</f>
        <v/>
      </c>
      <c r="J510" s="9"/>
    </row>
    <row r="511" customFormat="false" ht="15" hidden="false" customHeight="false" outlineLevel="0" collapsed="false">
      <c r="A511" s="10"/>
      <c r="B511" s="9"/>
      <c r="C511" s="9"/>
      <c r="D511" s="11"/>
      <c r="E511" s="11"/>
      <c r="F511" s="12"/>
      <c r="G511" s="13" t="str">
        <f aca="false">IF(F511&lt;&gt;"",F511,IF(OR(D511="",E511=""),"",ROUND(MOD(E511-D511,1)*1440,0)))</f>
        <v/>
      </c>
      <c r="H511" s="9"/>
      <c r="I511" s="14" t="str">
        <f aca="false">IF(H511="","",IFERROR(INDEX(Setup!$E$5:$E$34,MATCH(H511,Setup!$D$5:$D$34,0)),"Not in Setup"))</f>
        <v/>
      </c>
      <c r="J511" s="9"/>
    </row>
    <row r="512" customFormat="false" ht="15" hidden="false" customHeight="false" outlineLevel="0" collapsed="false">
      <c r="A512" s="10"/>
      <c r="B512" s="9"/>
      <c r="C512" s="9"/>
      <c r="D512" s="11"/>
      <c r="E512" s="11"/>
      <c r="F512" s="12"/>
      <c r="G512" s="13" t="str">
        <f aca="false">IF(F512&lt;&gt;"",F512,IF(OR(D512="",E512=""),"",ROUND(MOD(E512-D512,1)*1440,0)))</f>
        <v/>
      </c>
      <c r="H512" s="9"/>
      <c r="I512" s="14" t="str">
        <f aca="false">IF(H512="","",IFERROR(INDEX(Setup!$E$5:$E$34,MATCH(H512,Setup!$D$5:$D$34,0)),"Not in Setup"))</f>
        <v/>
      </c>
      <c r="J512" s="9"/>
    </row>
    <row r="513" customFormat="false" ht="15" hidden="false" customHeight="false" outlineLevel="0" collapsed="false">
      <c r="A513" s="10"/>
      <c r="B513" s="9"/>
      <c r="C513" s="9"/>
      <c r="D513" s="11"/>
      <c r="E513" s="11"/>
      <c r="F513" s="12"/>
      <c r="G513" s="13" t="str">
        <f aca="false">IF(F513&lt;&gt;"",F513,IF(OR(D513="",E513=""),"",ROUND(MOD(E513-D513,1)*1440,0)))</f>
        <v/>
      </c>
      <c r="H513" s="9"/>
      <c r="I513" s="14" t="str">
        <f aca="false">IF(H513="","",IFERROR(INDEX(Setup!$E$5:$E$34,MATCH(H513,Setup!$D$5:$D$34,0)),"Not in Setup"))</f>
        <v/>
      </c>
      <c r="J513" s="9"/>
    </row>
    <row r="514" customFormat="false" ht="15" hidden="false" customHeight="false" outlineLevel="0" collapsed="false">
      <c r="A514" s="10"/>
      <c r="B514" s="9"/>
      <c r="C514" s="9"/>
      <c r="D514" s="11"/>
      <c r="E514" s="11"/>
      <c r="F514" s="12"/>
      <c r="G514" s="13" t="str">
        <f aca="false">IF(F514&lt;&gt;"",F514,IF(OR(D514="",E514=""),"",ROUND(MOD(E514-D514,1)*1440,0)))</f>
        <v/>
      </c>
      <c r="H514" s="9"/>
      <c r="I514" s="14" t="str">
        <f aca="false">IF(H514="","",IFERROR(INDEX(Setup!$E$5:$E$34,MATCH(H514,Setup!$D$5:$D$34,0)),"Not in Setup"))</f>
        <v/>
      </c>
      <c r="J514" s="9"/>
    </row>
    <row r="515" customFormat="false" ht="15" hidden="false" customHeight="false" outlineLevel="0" collapsed="false">
      <c r="A515" s="10"/>
      <c r="B515" s="9"/>
      <c r="C515" s="9"/>
      <c r="D515" s="11"/>
      <c r="E515" s="11"/>
      <c r="F515" s="12"/>
      <c r="G515" s="13" t="str">
        <f aca="false">IF(F515&lt;&gt;"",F515,IF(OR(D515="",E515=""),"",ROUND(MOD(E515-D515,1)*1440,0)))</f>
        <v/>
      </c>
      <c r="H515" s="9"/>
      <c r="I515" s="14" t="str">
        <f aca="false">IF(H515="","",IFERROR(INDEX(Setup!$E$5:$E$34,MATCH(H515,Setup!$D$5:$D$34,0)),"Not in Setup"))</f>
        <v/>
      </c>
      <c r="J515" s="9"/>
    </row>
    <row r="516" customFormat="false" ht="15" hidden="false" customHeight="false" outlineLevel="0" collapsed="false">
      <c r="A516" s="10"/>
      <c r="B516" s="9"/>
      <c r="C516" s="9"/>
      <c r="D516" s="11"/>
      <c r="E516" s="11"/>
      <c r="F516" s="12"/>
      <c r="G516" s="13" t="str">
        <f aca="false">IF(F516&lt;&gt;"",F516,IF(OR(D516="",E516=""),"",ROUND(MOD(E516-D516,1)*1440,0)))</f>
        <v/>
      </c>
      <c r="H516" s="9"/>
      <c r="I516" s="14" t="str">
        <f aca="false">IF(H516="","",IFERROR(INDEX(Setup!$E$5:$E$34,MATCH(H516,Setup!$D$5:$D$34,0)),"Not in Setup"))</f>
        <v/>
      </c>
      <c r="J516" s="9"/>
    </row>
    <row r="517" customFormat="false" ht="15" hidden="false" customHeight="false" outlineLevel="0" collapsed="false">
      <c r="A517" s="10"/>
      <c r="B517" s="9"/>
      <c r="C517" s="9"/>
      <c r="D517" s="11"/>
      <c r="E517" s="11"/>
      <c r="F517" s="12"/>
      <c r="G517" s="13" t="str">
        <f aca="false">IF(F517&lt;&gt;"",F517,IF(OR(D517="",E517=""),"",ROUND(MOD(E517-D517,1)*1440,0)))</f>
        <v/>
      </c>
      <c r="H517" s="9"/>
      <c r="I517" s="14" t="str">
        <f aca="false">IF(H517="","",IFERROR(INDEX(Setup!$E$5:$E$34,MATCH(H517,Setup!$D$5:$D$34,0)),"Not in Setup"))</f>
        <v/>
      </c>
      <c r="J517" s="9"/>
    </row>
    <row r="518" customFormat="false" ht="15" hidden="false" customHeight="false" outlineLevel="0" collapsed="false">
      <c r="A518" s="10"/>
      <c r="B518" s="9"/>
      <c r="C518" s="9"/>
      <c r="D518" s="11"/>
      <c r="E518" s="11"/>
      <c r="F518" s="12"/>
      <c r="G518" s="13" t="str">
        <f aca="false">IF(F518&lt;&gt;"",F518,IF(OR(D518="",E518=""),"",ROUND(MOD(E518-D518,1)*1440,0)))</f>
        <v/>
      </c>
      <c r="H518" s="9"/>
      <c r="I518" s="14" t="str">
        <f aca="false">IF(H518="","",IFERROR(INDEX(Setup!$E$5:$E$34,MATCH(H518,Setup!$D$5:$D$34,0)),"Not in Setup"))</f>
        <v/>
      </c>
      <c r="J518" s="9"/>
    </row>
    <row r="519" customFormat="false" ht="15" hidden="false" customHeight="false" outlineLevel="0" collapsed="false">
      <c r="A519" s="10"/>
      <c r="B519" s="9"/>
      <c r="C519" s="9"/>
      <c r="D519" s="11"/>
      <c r="E519" s="11"/>
      <c r="F519" s="12"/>
      <c r="G519" s="13" t="str">
        <f aca="false">IF(F519&lt;&gt;"",F519,IF(OR(D519="",E519=""),"",ROUND(MOD(E519-D519,1)*1440,0)))</f>
        <v/>
      </c>
      <c r="H519" s="9"/>
      <c r="I519" s="14" t="str">
        <f aca="false">IF(H519="","",IFERROR(INDEX(Setup!$E$5:$E$34,MATCH(H519,Setup!$D$5:$D$34,0)),"Not in Setup"))</f>
        <v/>
      </c>
      <c r="J519" s="9"/>
    </row>
    <row r="520" customFormat="false" ht="15" hidden="false" customHeight="false" outlineLevel="0" collapsed="false">
      <c r="A520" s="10"/>
      <c r="B520" s="9"/>
      <c r="C520" s="9"/>
      <c r="D520" s="11"/>
      <c r="E520" s="11"/>
      <c r="F520" s="12"/>
      <c r="G520" s="13" t="str">
        <f aca="false">IF(F520&lt;&gt;"",F520,IF(OR(D520="",E520=""),"",ROUND(MOD(E520-D520,1)*1440,0)))</f>
        <v/>
      </c>
      <c r="H520" s="9"/>
      <c r="I520" s="14" t="str">
        <f aca="false">IF(H520="","",IFERROR(INDEX(Setup!$E$5:$E$34,MATCH(H520,Setup!$D$5:$D$34,0)),"Not in Setup"))</f>
        <v/>
      </c>
      <c r="J520" s="9"/>
    </row>
    <row r="521" customFormat="false" ht="15" hidden="false" customHeight="false" outlineLevel="0" collapsed="false">
      <c r="A521" s="10"/>
      <c r="B521" s="9"/>
      <c r="C521" s="9"/>
      <c r="D521" s="11"/>
      <c r="E521" s="11"/>
      <c r="F521" s="12"/>
      <c r="G521" s="13" t="str">
        <f aca="false">IF(F521&lt;&gt;"",F521,IF(OR(D521="",E521=""),"",ROUND(MOD(E521-D521,1)*1440,0)))</f>
        <v/>
      </c>
      <c r="H521" s="9"/>
      <c r="I521" s="14" t="str">
        <f aca="false">IF(H521="","",IFERROR(INDEX(Setup!$E$5:$E$34,MATCH(H521,Setup!$D$5:$D$34,0)),"Not in Setup"))</f>
        <v/>
      </c>
      <c r="J521" s="9"/>
    </row>
    <row r="522" customFormat="false" ht="15" hidden="false" customHeight="false" outlineLevel="0" collapsed="false">
      <c r="A522" s="10"/>
      <c r="B522" s="9"/>
      <c r="C522" s="9"/>
      <c r="D522" s="11"/>
      <c r="E522" s="11"/>
      <c r="F522" s="12"/>
      <c r="G522" s="13" t="str">
        <f aca="false">IF(F522&lt;&gt;"",F522,IF(OR(D522="",E522=""),"",ROUND(MOD(E522-D522,1)*1440,0)))</f>
        <v/>
      </c>
      <c r="H522" s="9"/>
      <c r="I522" s="14" t="str">
        <f aca="false">IF(H522="","",IFERROR(INDEX(Setup!$E$5:$E$34,MATCH(H522,Setup!$D$5:$D$34,0)),"Not in Setup"))</f>
        <v/>
      </c>
      <c r="J522" s="9"/>
    </row>
    <row r="523" customFormat="false" ht="15" hidden="false" customHeight="false" outlineLevel="0" collapsed="false">
      <c r="A523" s="10"/>
      <c r="B523" s="9"/>
      <c r="C523" s="9"/>
      <c r="D523" s="11"/>
      <c r="E523" s="11"/>
      <c r="F523" s="12"/>
      <c r="G523" s="13" t="str">
        <f aca="false">IF(F523&lt;&gt;"",F523,IF(OR(D523="",E523=""),"",ROUND(MOD(E523-D523,1)*1440,0)))</f>
        <v/>
      </c>
      <c r="H523" s="9"/>
      <c r="I523" s="14" t="str">
        <f aca="false">IF(H523="","",IFERROR(INDEX(Setup!$E$5:$E$34,MATCH(H523,Setup!$D$5:$D$34,0)),"Not in Setup"))</f>
        <v/>
      </c>
      <c r="J523" s="9"/>
    </row>
    <row r="524" customFormat="false" ht="15" hidden="false" customHeight="false" outlineLevel="0" collapsed="false">
      <c r="A524" s="10"/>
      <c r="B524" s="9"/>
      <c r="C524" s="9"/>
      <c r="D524" s="11"/>
      <c r="E524" s="11"/>
      <c r="F524" s="12"/>
      <c r="G524" s="13" t="str">
        <f aca="false">IF(F524&lt;&gt;"",F524,IF(OR(D524="",E524=""),"",ROUND(MOD(E524-D524,1)*1440,0)))</f>
        <v/>
      </c>
      <c r="H524" s="9"/>
      <c r="I524" s="14" t="str">
        <f aca="false">IF(H524="","",IFERROR(INDEX(Setup!$E$5:$E$34,MATCH(H524,Setup!$D$5:$D$34,0)),"Not in Setup"))</f>
        <v/>
      </c>
      <c r="J524" s="9"/>
    </row>
    <row r="525" customFormat="false" ht="15" hidden="false" customHeight="false" outlineLevel="0" collapsed="false">
      <c r="A525" s="10"/>
      <c r="B525" s="9"/>
      <c r="C525" s="9"/>
      <c r="D525" s="11"/>
      <c r="E525" s="11"/>
      <c r="F525" s="12"/>
      <c r="G525" s="13" t="str">
        <f aca="false">IF(F525&lt;&gt;"",F525,IF(OR(D525="",E525=""),"",ROUND(MOD(E525-D525,1)*1440,0)))</f>
        <v/>
      </c>
      <c r="H525" s="9"/>
      <c r="I525" s="14" t="str">
        <f aca="false">IF(H525="","",IFERROR(INDEX(Setup!$E$5:$E$34,MATCH(H525,Setup!$D$5:$D$34,0)),"Not in Setup"))</f>
        <v/>
      </c>
      <c r="J525" s="9"/>
    </row>
    <row r="526" customFormat="false" ht="15" hidden="false" customHeight="false" outlineLevel="0" collapsed="false">
      <c r="A526" s="10"/>
      <c r="B526" s="9"/>
      <c r="C526" s="9"/>
      <c r="D526" s="11"/>
      <c r="E526" s="11"/>
      <c r="F526" s="12"/>
      <c r="G526" s="13" t="str">
        <f aca="false">IF(F526&lt;&gt;"",F526,IF(OR(D526="",E526=""),"",ROUND(MOD(E526-D526,1)*1440,0)))</f>
        <v/>
      </c>
      <c r="H526" s="9"/>
      <c r="I526" s="14" t="str">
        <f aca="false">IF(H526="","",IFERROR(INDEX(Setup!$E$5:$E$34,MATCH(H526,Setup!$D$5:$D$34,0)),"Not in Setup"))</f>
        <v/>
      </c>
      <c r="J526" s="9"/>
    </row>
    <row r="527" customFormat="false" ht="15" hidden="false" customHeight="false" outlineLevel="0" collapsed="false">
      <c r="A527" s="10"/>
      <c r="B527" s="9"/>
      <c r="C527" s="9"/>
      <c r="D527" s="11"/>
      <c r="E527" s="11"/>
      <c r="F527" s="12"/>
      <c r="G527" s="13" t="str">
        <f aca="false">IF(F527&lt;&gt;"",F527,IF(OR(D527="",E527=""),"",ROUND(MOD(E527-D527,1)*1440,0)))</f>
        <v/>
      </c>
      <c r="H527" s="9"/>
      <c r="I527" s="14" t="str">
        <f aca="false">IF(H527="","",IFERROR(INDEX(Setup!$E$5:$E$34,MATCH(H527,Setup!$D$5:$D$34,0)),"Not in Setup"))</f>
        <v/>
      </c>
      <c r="J527" s="9"/>
    </row>
    <row r="528" customFormat="false" ht="15" hidden="false" customHeight="false" outlineLevel="0" collapsed="false">
      <c r="A528" s="10"/>
      <c r="B528" s="9"/>
      <c r="C528" s="9"/>
      <c r="D528" s="11"/>
      <c r="E528" s="11"/>
      <c r="F528" s="12"/>
      <c r="G528" s="13" t="str">
        <f aca="false">IF(F528&lt;&gt;"",F528,IF(OR(D528="",E528=""),"",ROUND(MOD(E528-D528,1)*1440,0)))</f>
        <v/>
      </c>
      <c r="H528" s="9"/>
      <c r="I528" s="14" t="str">
        <f aca="false">IF(H528="","",IFERROR(INDEX(Setup!$E$5:$E$34,MATCH(H528,Setup!$D$5:$D$34,0)),"Not in Setup"))</f>
        <v/>
      </c>
      <c r="J528" s="9"/>
    </row>
    <row r="529" customFormat="false" ht="15" hidden="false" customHeight="false" outlineLevel="0" collapsed="false">
      <c r="A529" s="10"/>
      <c r="B529" s="9"/>
      <c r="C529" s="9"/>
      <c r="D529" s="11"/>
      <c r="E529" s="11"/>
      <c r="F529" s="12"/>
      <c r="G529" s="13" t="str">
        <f aca="false">IF(F529&lt;&gt;"",F529,IF(OR(D529="",E529=""),"",ROUND(MOD(E529-D529,1)*1440,0)))</f>
        <v/>
      </c>
      <c r="H529" s="9"/>
      <c r="I529" s="14" t="str">
        <f aca="false">IF(H529="","",IFERROR(INDEX(Setup!$E$5:$E$34,MATCH(H529,Setup!$D$5:$D$34,0)),"Not in Setup"))</f>
        <v/>
      </c>
      <c r="J529" s="9"/>
    </row>
    <row r="530" customFormat="false" ht="15" hidden="false" customHeight="false" outlineLevel="0" collapsed="false">
      <c r="A530" s="10"/>
      <c r="B530" s="9"/>
      <c r="C530" s="9"/>
      <c r="D530" s="11"/>
      <c r="E530" s="11"/>
      <c r="F530" s="12"/>
      <c r="G530" s="13" t="str">
        <f aca="false">IF(F530&lt;&gt;"",F530,IF(OR(D530="",E530=""),"",ROUND(MOD(E530-D530,1)*1440,0)))</f>
        <v/>
      </c>
      <c r="H530" s="9"/>
      <c r="I530" s="14" t="str">
        <f aca="false">IF(H530="","",IFERROR(INDEX(Setup!$E$5:$E$34,MATCH(H530,Setup!$D$5:$D$34,0)),"Not in Setup"))</f>
        <v/>
      </c>
      <c r="J530" s="9"/>
    </row>
    <row r="531" customFormat="false" ht="15" hidden="false" customHeight="false" outlineLevel="0" collapsed="false">
      <c r="A531" s="10"/>
      <c r="B531" s="9"/>
      <c r="C531" s="9"/>
      <c r="D531" s="11"/>
      <c r="E531" s="11"/>
      <c r="F531" s="12"/>
      <c r="G531" s="13" t="str">
        <f aca="false">IF(F531&lt;&gt;"",F531,IF(OR(D531="",E531=""),"",ROUND(MOD(E531-D531,1)*1440,0)))</f>
        <v/>
      </c>
      <c r="H531" s="9"/>
      <c r="I531" s="14" t="str">
        <f aca="false">IF(H531="","",IFERROR(INDEX(Setup!$E$5:$E$34,MATCH(H531,Setup!$D$5:$D$34,0)),"Not in Setup"))</f>
        <v/>
      </c>
      <c r="J531" s="9"/>
    </row>
    <row r="532" customFormat="false" ht="15" hidden="false" customHeight="false" outlineLevel="0" collapsed="false">
      <c r="A532" s="10"/>
      <c r="B532" s="9"/>
      <c r="C532" s="9"/>
      <c r="D532" s="11"/>
      <c r="E532" s="11"/>
      <c r="F532" s="12"/>
      <c r="G532" s="13" t="str">
        <f aca="false">IF(F532&lt;&gt;"",F532,IF(OR(D532="",E532=""),"",ROUND(MOD(E532-D532,1)*1440,0)))</f>
        <v/>
      </c>
      <c r="H532" s="9"/>
      <c r="I532" s="14" t="str">
        <f aca="false">IF(H532="","",IFERROR(INDEX(Setup!$E$5:$E$34,MATCH(H532,Setup!$D$5:$D$34,0)),"Not in Setup"))</f>
        <v/>
      </c>
      <c r="J532" s="9"/>
    </row>
    <row r="533" customFormat="false" ht="15" hidden="false" customHeight="false" outlineLevel="0" collapsed="false">
      <c r="A533" s="10"/>
      <c r="B533" s="9"/>
      <c r="C533" s="9"/>
      <c r="D533" s="11"/>
      <c r="E533" s="11"/>
      <c r="F533" s="12"/>
      <c r="G533" s="13" t="str">
        <f aca="false">IF(F533&lt;&gt;"",F533,IF(OR(D533="",E533=""),"",ROUND(MOD(E533-D533,1)*1440,0)))</f>
        <v/>
      </c>
      <c r="H533" s="9"/>
      <c r="I533" s="14" t="str">
        <f aca="false">IF(H533="","",IFERROR(INDEX(Setup!$E$5:$E$34,MATCH(H533,Setup!$D$5:$D$34,0)),"Not in Setup"))</f>
        <v/>
      </c>
      <c r="J533" s="9"/>
    </row>
    <row r="534" customFormat="false" ht="15" hidden="false" customHeight="false" outlineLevel="0" collapsed="false">
      <c r="A534" s="10"/>
      <c r="B534" s="9"/>
      <c r="C534" s="9"/>
      <c r="D534" s="11"/>
      <c r="E534" s="11"/>
      <c r="F534" s="12"/>
      <c r="G534" s="13" t="str">
        <f aca="false">IF(F534&lt;&gt;"",F534,IF(OR(D534="",E534=""),"",ROUND(MOD(E534-D534,1)*1440,0)))</f>
        <v/>
      </c>
      <c r="H534" s="9"/>
      <c r="I534" s="14" t="str">
        <f aca="false">IF(H534="","",IFERROR(INDEX(Setup!$E$5:$E$34,MATCH(H534,Setup!$D$5:$D$34,0)),"Not in Setup"))</f>
        <v/>
      </c>
      <c r="J534" s="9"/>
    </row>
    <row r="535" customFormat="false" ht="15" hidden="false" customHeight="false" outlineLevel="0" collapsed="false">
      <c r="A535" s="10"/>
      <c r="B535" s="9"/>
      <c r="C535" s="9"/>
      <c r="D535" s="11"/>
      <c r="E535" s="11"/>
      <c r="F535" s="12"/>
      <c r="G535" s="13" t="str">
        <f aca="false">IF(F535&lt;&gt;"",F535,IF(OR(D535="",E535=""),"",ROUND(MOD(E535-D535,1)*1440,0)))</f>
        <v/>
      </c>
      <c r="H535" s="9"/>
      <c r="I535" s="14" t="str">
        <f aca="false">IF(H535="","",IFERROR(INDEX(Setup!$E$5:$E$34,MATCH(H535,Setup!$D$5:$D$34,0)),"Not in Setup"))</f>
        <v/>
      </c>
      <c r="J535" s="9"/>
    </row>
    <row r="536" customFormat="false" ht="15" hidden="false" customHeight="false" outlineLevel="0" collapsed="false">
      <c r="A536" s="10"/>
      <c r="B536" s="9"/>
      <c r="C536" s="9"/>
      <c r="D536" s="11"/>
      <c r="E536" s="11"/>
      <c r="F536" s="12"/>
      <c r="G536" s="13" t="str">
        <f aca="false">IF(F536&lt;&gt;"",F536,IF(OR(D536="",E536=""),"",ROUND(MOD(E536-D536,1)*1440,0)))</f>
        <v/>
      </c>
      <c r="H536" s="9"/>
      <c r="I536" s="14" t="str">
        <f aca="false">IF(H536="","",IFERROR(INDEX(Setup!$E$5:$E$34,MATCH(H536,Setup!$D$5:$D$34,0)),"Not in Setup"))</f>
        <v/>
      </c>
      <c r="J536" s="9"/>
    </row>
    <row r="537" customFormat="false" ht="15" hidden="false" customHeight="false" outlineLevel="0" collapsed="false">
      <c r="A537" s="10"/>
      <c r="B537" s="9"/>
      <c r="C537" s="9"/>
      <c r="D537" s="11"/>
      <c r="E537" s="11"/>
      <c r="F537" s="12"/>
      <c r="G537" s="13" t="str">
        <f aca="false">IF(F537&lt;&gt;"",F537,IF(OR(D537="",E537=""),"",ROUND(MOD(E537-D537,1)*1440,0)))</f>
        <v/>
      </c>
      <c r="H537" s="9"/>
      <c r="I537" s="14" t="str">
        <f aca="false">IF(H537="","",IFERROR(INDEX(Setup!$E$5:$E$34,MATCH(H537,Setup!$D$5:$D$34,0)),"Not in Setup"))</f>
        <v/>
      </c>
      <c r="J537" s="9"/>
    </row>
    <row r="538" customFormat="false" ht="15" hidden="false" customHeight="false" outlineLevel="0" collapsed="false">
      <c r="A538" s="10"/>
      <c r="B538" s="9"/>
      <c r="C538" s="9"/>
      <c r="D538" s="11"/>
      <c r="E538" s="11"/>
      <c r="F538" s="12"/>
      <c r="G538" s="13" t="str">
        <f aca="false">IF(F538&lt;&gt;"",F538,IF(OR(D538="",E538=""),"",ROUND(MOD(E538-D538,1)*1440,0)))</f>
        <v/>
      </c>
      <c r="H538" s="9"/>
      <c r="I538" s="14" t="str">
        <f aca="false">IF(H538="","",IFERROR(INDEX(Setup!$E$5:$E$34,MATCH(H538,Setup!$D$5:$D$34,0)),"Not in Setup"))</f>
        <v/>
      </c>
      <c r="J538" s="9"/>
    </row>
    <row r="539" customFormat="false" ht="15" hidden="false" customHeight="false" outlineLevel="0" collapsed="false">
      <c r="A539" s="10"/>
      <c r="B539" s="9"/>
      <c r="C539" s="9"/>
      <c r="D539" s="11"/>
      <c r="E539" s="11"/>
      <c r="F539" s="12"/>
      <c r="G539" s="13" t="str">
        <f aca="false">IF(F539&lt;&gt;"",F539,IF(OR(D539="",E539=""),"",ROUND(MOD(E539-D539,1)*1440,0)))</f>
        <v/>
      </c>
      <c r="H539" s="9"/>
      <c r="I539" s="14" t="str">
        <f aca="false">IF(H539="","",IFERROR(INDEX(Setup!$E$5:$E$34,MATCH(H539,Setup!$D$5:$D$34,0)),"Not in Setup"))</f>
        <v/>
      </c>
      <c r="J539" s="9"/>
    </row>
    <row r="540" customFormat="false" ht="15" hidden="false" customHeight="false" outlineLevel="0" collapsed="false">
      <c r="A540" s="10"/>
      <c r="B540" s="9"/>
      <c r="C540" s="9"/>
      <c r="D540" s="11"/>
      <c r="E540" s="11"/>
      <c r="F540" s="12"/>
      <c r="G540" s="13" t="str">
        <f aca="false">IF(F540&lt;&gt;"",F540,IF(OR(D540="",E540=""),"",ROUND(MOD(E540-D540,1)*1440,0)))</f>
        <v/>
      </c>
      <c r="H540" s="9"/>
      <c r="I540" s="14" t="str">
        <f aca="false">IF(H540="","",IFERROR(INDEX(Setup!$E$5:$E$34,MATCH(H540,Setup!$D$5:$D$34,0)),"Not in Setup"))</f>
        <v/>
      </c>
      <c r="J540" s="9"/>
    </row>
    <row r="541" customFormat="false" ht="15" hidden="false" customHeight="false" outlineLevel="0" collapsed="false">
      <c r="A541" s="10"/>
      <c r="B541" s="9"/>
      <c r="C541" s="9"/>
      <c r="D541" s="11"/>
      <c r="E541" s="11"/>
      <c r="F541" s="12"/>
      <c r="G541" s="13" t="str">
        <f aca="false">IF(F541&lt;&gt;"",F541,IF(OR(D541="",E541=""),"",ROUND(MOD(E541-D541,1)*1440,0)))</f>
        <v/>
      </c>
      <c r="H541" s="9"/>
      <c r="I541" s="14" t="str">
        <f aca="false">IF(H541="","",IFERROR(INDEX(Setup!$E$5:$E$34,MATCH(H541,Setup!$D$5:$D$34,0)),"Not in Setup"))</f>
        <v/>
      </c>
      <c r="J541" s="9"/>
    </row>
    <row r="542" customFormat="false" ht="15" hidden="false" customHeight="false" outlineLevel="0" collapsed="false">
      <c r="A542" s="10"/>
      <c r="B542" s="9"/>
      <c r="C542" s="9"/>
      <c r="D542" s="11"/>
      <c r="E542" s="11"/>
      <c r="F542" s="12"/>
      <c r="G542" s="13" t="str">
        <f aca="false">IF(F542&lt;&gt;"",F542,IF(OR(D542="",E542=""),"",ROUND(MOD(E542-D542,1)*1440,0)))</f>
        <v/>
      </c>
      <c r="H542" s="9"/>
      <c r="I542" s="14" t="str">
        <f aca="false">IF(H542="","",IFERROR(INDEX(Setup!$E$5:$E$34,MATCH(H542,Setup!$D$5:$D$34,0)),"Not in Setup"))</f>
        <v/>
      </c>
      <c r="J542" s="9"/>
    </row>
    <row r="543" customFormat="false" ht="15" hidden="false" customHeight="false" outlineLevel="0" collapsed="false">
      <c r="A543" s="10"/>
      <c r="B543" s="9"/>
      <c r="C543" s="9"/>
      <c r="D543" s="11"/>
      <c r="E543" s="11"/>
      <c r="F543" s="12"/>
      <c r="G543" s="13" t="str">
        <f aca="false">IF(F543&lt;&gt;"",F543,IF(OR(D543="",E543=""),"",ROUND(MOD(E543-D543,1)*1440,0)))</f>
        <v/>
      </c>
      <c r="H543" s="9"/>
      <c r="I543" s="14" t="str">
        <f aca="false">IF(H543="","",IFERROR(INDEX(Setup!$E$5:$E$34,MATCH(H543,Setup!$D$5:$D$34,0)),"Not in Setup"))</f>
        <v/>
      </c>
      <c r="J543" s="9"/>
    </row>
    <row r="544" customFormat="false" ht="15" hidden="false" customHeight="false" outlineLevel="0" collapsed="false">
      <c r="A544" s="10"/>
      <c r="B544" s="9"/>
      <c r="C544" s="9"/>
      <c r="D544" s="11"/>
      <c r="E544" s="11"/>
      <c r="F544" s="12"/>
      <c r="G544" s="13" t="str">
        <f aca="false">IF(F544&lt;&gt;"",F544,IF(OR(D544="",E544=""),"",ROUND(MOD(E544-D544,1)*1440,0)))</f>
        <v/>
      </c>
      <c r="H544" s="9"/>
      <c r="I544" s="14" t="str">
        <f aca="false">IF(H544="","",IFERROR(INDEX(Setup!$E$5:$E$34,MATCH(H544,Setup!$D$5:$D$34,0)),"Not in Setup"))</f>
        <v/>
      </c>
      <c r="J544" s="9"/>
    </row>
    <row r="545" customFormat="false" ht="15" hidden="false" customHeight="false" outlineLevel="0" collapsed="false">
      <c r="A545" s="10"/>
      <c r="B545" s="9"/>
      <c r="C545" s="9"/>
      <c r="D545" s="11"/>
      <c r="E545" s="11"/>
      <c r="F545" s="12"/>
      <c r="G545" s="13" t="str">
        <f aca="false">IF(F545&lt;&gt;"",F545,IF(OR(D545="",E545=""),"",ROUND(MOD(E545-D545,1)*1440,0)))</f>
        <v/>
      </c>
      <c r="H545" s="9"/>
      <c r="I545" s="14" t="str">
        <f aca="false">IF(H545="","",IFERROR(INDEX(Setup!$E$5:$E$34,MATCH(H545,Setup!$D$5:$D$34,0)),"Not in Setup"))</f>
        <v/>
      </c>
      <c r="J545" s="9"/>
    </row>
    <row r="546" customFormat="false" ht="15" hidden="false" customHeight="false" outlineLevel="0" collapsed="false">
      <c r="A546" s="10"/>
      <c r="B546" s="9"/>
      <c r="C546" s="9"/>
      <c r="D546" s="11"/>
      <c r="E546" s="11"/>
      <c r="F546" s="12"/>
      <c r="G546" s="13" t="str">
        <f aca="false">IF(F546&lt;&gt;"",F546,IF(OR(D546="",E546=""),"",ROUND(MOD(E546-D546,1)*1440,0)))</f>
        <v/>
      </c>
      <c r="H546" s="9"/>
      <c r="I546" s="14" t="str">
        <f aca="false">IF(H546="","",IFERROR(INDEX(Setup!$E$5:$E$34,MATCH(H546,Setup!$D$5:$D$34,0)),"Not in Setup"))</f>
        <v/>
      </c>
      <c r="J546" s="9"/>
    </row>
    <row r="547" customFormat="false" ht="15" hidden="false" customHeight="false" outlineLevel="0" collapsed="false">
      <c r="A547" s="10"/>
      <c r="B547" s="9"/>
      <c r="C547" s="9"/>
      <c r="D547" s="11"/>
      <c r="E547" s="11"/>
      <c r="F547" s="12"/>
      <c r="G547" s="13" t="str">
        <f aca="false">IF(F547&lt;&gt;"",F547,IF(OR(D547="",E547=""),"",ROUND(MOD(E547-D547,1)*1440,0)))</f>
        <v/>
      </c>
      <c r="H547" s="9"/>
      <c r="I547" s="14" t="str">
        <f aca="false">IF(H547="","",IFERROR(INDEX(Setup!$E$5:$E$34,MATCH(H547,Setup!$D$5:$D$34,0)),"Not in Setup"))</f>
        <v/>
      </c>
      <c r="J547" s="9"/>
    </row>
    <row r="548" customFormat="false" ht="15" hidden="false" customHeight="false" outlineLevel="0" collapsed="false">
      <c r="A548" s="10"/>
      <c r="B548" s="9"/>
      <c r="C548" s="9"/>
      <c r="D548" s="11"/>
      <c r="E548" s="11"/>
      <c r="F548" s="12"/>
      <c r="G548" s="13" t="str">
        <f aca="false">IF(F548&lt;&gt;"",F548,IF(OR(D548="",E548=""),"",ROUND(MOD(E548-D548,1)*1440,0)))</f>
        <v/>
      </c>
      <c r="H548" s="9"/>
      <c r="I548" s="14" t="str">
        <f aca="false">IF(H548="","",IFERROR(INDEX(Setup!$E$5:$E$34,MATCH(H548,Setup!$D$5:$D$34,0)),"Not in Setup"))</f>
        <v/>
      </c>
      <c r="J548" s="9"/>
    </row>
    <row r="549" customFormat="false" ht="15" hidden="false" customHeight="false" outlineLevel="0" collapsed="false">
      <c r="A549" s="10"/>
      <c r="B549" s="9"/>
      <c r="C549" s="9"/>
      <c r="D549" s="11"/>
      <c r="E549" s="11"/>
      <c r="F549" s="12"/>
      <c r="G549" s="13" t="str">
        <f aca="false">IF(F549&lt;&gt;"",F549,IF(OR(D549="",E549=""),"",ROUND(MOD(E549-D549,1)*1440,0)))</f>
        <v/>
      </c>
      <c r="H549" s="9"/>
      <c r="I549" s="14" t="str">
        <f aca="false">IF(H549="","",IFERROR(INDEX(Setup!$E$5:$E$34,MATCH(H549,Setup!$D$5:$D$34,0)),"Not in Setup"))</f>
        <v/>
      </c>
      <c r="J549" s="9"/>
    </row>
    <row r="550" customFormat="false" ht="15" hidden="false" customHeight="false" outlineLevel="0" collapsed="false">
      <c r="A550" s="10"/>
      <c r="B550" s="9"/>
      <c r="C550" s="9"/>
      <c r="D550" s="11"/>
      <c r="E550" s="11"/>
      <c r="F550" s="12"/>
      <c r="G550" s="13" t="str">
        <f aca="false">IF(F550&lt;&gt;"",F550,IF(OR(D550="",E550=""),"",ROUND(MOD(E550-D550,1)*1440,0)))</f>
        <v/>
      </c>
      <c r="H550" s="9"/>
      <c r="I550" s="14" t="str">
        <f aca="false">IF(H550="","",IFERROR(INDEX(Setup!$E$5:$E$34,MATCH(H550,Setup!$D$5:$D$34,0)),"Not in Setup"))</f>
        <v/>
      </c>
      <c r="J550" s="9"/>
    </row>
    <row r="551" customFormat="false" ht="15" hidden="false" customHeight="false" outlineLevel="0" collapsed="false">
      <c r="A551" s="10"/>
      <c r="B551" s="9"/>
      <c r="C551" s="9"/>
      <c r="D551" s="11"/>
      <c r="E551" s="11"/>
      <c r="F551" s="12"/>
      <c r="G551" s="13" t="str">
        <f aca="false">IF(F551&lt;&gt;"",F551,IF(OR(D551="",E551=""),"",ROUND(MOD(E551-D551,1)*1440,0)))</f>
        <v/>
      </c>
      <c r="H551" s="9"/>
      <c r="I551" s="14" t="str">
        <f aca="false">IF(H551="","",IFERROR(INDEX(Setup!$E$5:$E$34,MATCH(H551,Setup!$D$5:$D$34,0)),"Not in Setup"))</f>
        <v/>
      </c>
      <c r="J551" s="9"/>
    </row>
    <row r="552" customFormat="false" ht="15" hidden="false" customHeight="false" outlineLevel="0" collapsed="false">
      <c r="A552" s="10"/>
      <c r="B552" s="9"/>
      <c r="C552" s="9"/>
      <c r="D552" s="11"/>
      <c r="E552" s="11"/>
      <c r="F552" s="12"/>
      <c r="G552" s="13" t="str">
        <f aca="false">IF(F552&lt;&gt;"",F552,IF(OR(D552="",E552=""),"",ROUND(MOD(E552-D552,1)*1440,0)))</f>
        <v/>
      </c>
      <c r="H552" s="9"/>
      <c r="I552" s="14" t="str">
        <f aca="false">IF(H552="","",IFERROR(INDEX(Setup!$E$5:$E$34,MATCH(H552,Setup!$D$5:$D$34,0)),"Not in Setup"))</f>
        <v/>
      </c>
      <c r="J552" s="9"/>
    </row>
    <row r="553" customFormat="false" ht="15" hidden="false" customHeight="false" outlineLevel="0" collapsed="false">
      <c r="A553" s="10"/>
      <c r="B553" s="9"/>
      <c r="C553" s="9"/>
      <c r="D553" s="11"/>
      <c r="E553" s="11"/>
      <c r="F553" s="12"/>
      <c r="G553" s="13" t="str">
        <f aca="false">IF(F553&lt;&gt;"",F553,IF(OR(D553="",E553=""),"",ROUND(MOD(E553-D553,1)*1440,0)))</f>
        <v/>
      </c>
      <c r="H553" s="9"/>
      <c r="I553" s="14" t="str">
        <f aca="false">IF(H553="","",IFERROR(INDEX(Setup!$E$5:$E$34,MATCH(H553,Setup!$D$5:$D$34,0)),"Not in Setup"))</f>
        <v/>
      </c>
      <c r="J553" s="9"/>
    </row>
    <row r="554" customFormat="false" ht="15" hidden="false" customHeight="false" outlineLevel="0" collapsed="false">
      <c r="A554" s="10"/>
      <c r="B554" s="9"/>
      <c r="C554" s="9"/>
      <c r="D554" s="11"/>
      <c r="E554" s="11"/>
      <c r="F554" s="12"/>
      <c r="G554" s="13" t="str">
        <f aca="false">IF(F554&lt;&gt;"",F554,IF(OR(D554="",E554=""),"",ROUND(MOD(E554-D554,1)*1440,0)))</f>
        <v/>
      </c>
      <c r="H554" s="9"/>
      <c r="I554" s="14" t="str">
        <f aca="false">IF(H554="","",IFERROR(INDEX(Setup!$E$5:$E$34,MATCH(H554,Setup!$D$5:$D$34,0)),"Not in Setup"))</f>
        <v/>
      </c>
      <c r="J554" s="9"/>
    </row>
    <row r="555" customFormat="false" ht="15" hidden="false" customHeight="false" outlineLevel="0" collapsed="false">
      <c r="A555" s="10"/>
      <c r="B555" s="9"/>
      <c r="C555" s="9"/>
      <c r="D555" s="11"/>
      <c r="E555" s="11"/>
      <c r="F555" s="12"/>
      <c r="G555" s="13" t="str">
        <f aca="false">IF(F555&lt;&gt;"",F555,IF(OR(D555="",E555=""),"",ROUND(MOD(E555-D555,1)*1440,0)))</f>
        <v/>
      </c>
      <c r="H555" s="9"/>
      <c r="I555" s="14" t="str">
        <f aca="false">IF(H555="","",IFERROR(INDEX(Setup!$E$5:$E$34,MATCH(H555,Setup!$D$5:$D$34,0)),"Not in Setup"))</f>
        <v/>
      </c>
      <c r="J555" s="9"/>
    </row>
    <row r="556" customFormat="false" ht="15" hidden="false" customHeight="false" outlineLevel="0" collapsed="false">
      <c r="A556" s="10"/>
      <c r="B556" s="9"/>
      <c r="C556" s="9"/>
      <c r="D556" s="11"/>
      <c r="E556" s="11"/>
      <c r="F556" s="12"/>
      <c r="G556" s="13" t="str">
        <f aca="false">IF(F556&lt;&gt;"",F556,IF(OR(D556="",E556=""),"",ROUND(MOD(E556-D556,1)*1440,0)))</f>
        <v/>
      </c>
      <c r="H556" s="9"/>
      <c r="I556" s="14" t="str">
        <f aca="false">IF(H556="","",IFERROR(INDEX(Setup!$E$5:$E$34,MATCH(H556,Setup!$D$5:$D$34,0)),"Not in Setup"))</f>
        <v/>
      </c>
      <c r="J556" s="9"/>
    </row>
    <row r="557" customFormat="false" ht="15" hidden="false" customHeight="false" outlineLevel="0" collapsed="false">
      <c r="A557" s="10"/>
      <c r="B557" s="9"/>
      <c r="C557" s="9"/>
      <c r="D557" s="11"/>
      <c r="E557" s="11"/>
      <c r="F557" s="12"/>
      <c r="G557" s="13" t="str">
        <f aca="false">IF(F557&lt;&gt;"",F557,IF(OR(D557="",E557=""),"",ROUND(MOD(E557-D557,1)*1440,0)))</f>
        <v/>
      </c>
      <c r="H557" s="9"/>
      <c r="I557" s="14" t="str">
        <f aca="false">IF(H557="","",IFERROR(INDEX(Setup!$E$5:$E$34,MATCH(H557,Setup!$D$5:$D$34,0)),"Not in Setup"))</f>
        <v/>
      </c>
      <c r="J557" s="9"/>
    </row>
    <row r="558" customFormat="false" ht="15" hidden="false" customHeight="false" outlineLevel="0" collapsed="false">
      <c r="A558" s="10"/>
      <c r="B558" s="9"/>
      <c r="C558" s="9"/>
      <c r="D558" s="11"/>
      <c r="E558" s="11"/>
      <c r="F558" s="12"/>
      <c r="G558" s="13" t="str">
        <f aca="false">IF(F558&lt;&gt;"",F558,IF(OR(D558="",E558=""),"",ROUND(MOD(E558-D558,1)*1440,0)))</f>
        <v/>
      </c>
      <c r="H558" s="9"/>
      <c r="I558" s="14" t="str">
        <f aca="false">IF(H558="","",IFERROR(INDEX(Setup!$E$5:$E$34,MATCH(H558,Setup!$D$5:$D$34,0)),"Not in Setup"))</f>
        <v/>
      </c>
      <c r="J558" s="9"/>
    </row>
    <row r="559" customFormat="false" ht="15" hidden="false" customHeight="false" outlineLevel="0" collapsed="false">
      <c r="A559" s="10"/>
      <c r="B559" s="9"/>
      <c r="C559" s="9"/>
      <c r="D559" s="11"/>
      <c r="E559" s="11"/>
      <c r="F559" s="12"/>
      <c r="G559" s="13" t="str">
        <f aca="false">IF(F559&lt;&gt;"",F559,IF(OR(D559="",E559=""),"",ROUND(MOD(E559-D559,1)*1440,0)))</f>
        <v/>
      </c>
      <c r="H559" s="9"/>
      <c r="I559" s="14" t="str">
        <f aca="false">IF(H559="","",IFERROR(INDEX(Setup!$E$5:$E$34,MATCH(H559,Setup!$D$5:$D$34,0)),"Not in Setup"))</f>
        <v/>
      </c>
      <c r="J559" s="9"/>
    </row>
    <row r="560" customFormat="false" ht="15" hidden="false" customHeight="false" outlineLevel="0" collapsed="false">
      <c r="A560" s="10"/>
      <c r="B560" s="9"/>
      <c r="C560" s="9"/>
      <c r="D560" s="11"/>
      <c r="E560" s="11"/>
      <c r="F560" s="12"/>
      <c r="G560" s="13" t="str">
        <f aca="false">IF(F560&lt;&gt;"",F560,IF(OR(D560="",E560=""),"",ROUND(MOD(E560-D560,1)*1440,0)))</f>
        <v/>
      </c>
      <c r="H560" s="9"/>
      <c r="I560" s="14" t="str">
        <f aca="false">IF(H560="","",IFERROR(INDEX(Setup!$E$5:$E$34,MATCH(H560,Setup!$D$5:$D$34,0)),"Not in Setup"))</f>
        <v/>
      </c>
      <c r="J560" s="9"/>
    </row>
    <row r="561" customFormat="false" ht="15" hidden="false" customHeight="false" outlineLevel="0" collapsed="false">
      <c r="A561" s="10"/>
      <c r="B561" s="9"/>
      <c r="C561" s="9"/>
      <c r="D561" s="11"/>
      <c r="E561" s="11"/>
      <c r="F561" s="12"/>
      <c r="G561" s="13" t="str">
        <f aca="false">IF(F561&lt;&gt;"",F561,IF(OR(D561="",E561=""),"",ROUND(MOD(E561-D561,1)*1440,0)))</f>
        <v/>
      </c>
      <c r="H561" s="9"/>
      <c r="I561" s="14" t="str">
        <f aca="false">IF(H561="","",IFERROR(INDEX(Setup!$E$5:$E$34,MATCH(H561,Setup!$D$5:$D$34,0)),"Not in Setup"))</f>
        <v/>
      </c>
      <c r="J561" s="9"/>
    </row>
    <row r="562" customFormat="false" ht="15" hidden="false" customHeight="false" outlineLevel="0" collapsed="false">
      <c r="A562" s="10"/>
      <c r="B562" s="9"/>
      <c r="C562" s="9"/>
      <c r="D562" s="11"/>
      <c r="E562" s="11"/>
      <c r="F562" s="12"/>
      <c r="G562" s="13" t="str">
        <f aca="false">IF(F562&lt;&gt;"",F562,IF(OR(D562="",E562=""),"",ROUND(MOD(E562-D562,1)*1440,0)))</f>
        <v/>
      </c>
      <c r="H562" s="9"/>
      <c r="I562" s="14" t="str">
        <f aca="false">IF(H562="","",IFERROR(INDEX(Setup!$E$5:$E$34,MATCH(H562,Setup!$D$5:$D$34,0)),"Not in Setup"))</f>
        <v/>
      </c>
      <c r="J562" s="9"/>
    </row>
    <row r="563" customFormat="false" ht="15" hidden="false" customHeight="false" outlineLevel="0" collapsed="false">
      <c r="A563" s="10"/>
      <c r="B563" s="9"/>
      <c r="C563" s="9"/>
      <c r="D563" s="11"/>
      <c r="E563" s="11"/>
      <c r="F563" s="12"/>
      <c r="G563" s="13" t="str">
        <f aca="false">IF(F563&lt;&gt;"",F563,IF(OR(D563="",E563=""),"",ROUND(MOD(E563-D563,1)*1440,0)))</f>
        <v/>
      </c>
      <c r="H563" s="9"/>
      <c r="I563" s="14" t="str">
        <f aca="false">IF(H563="","",IFERROR(INDEX(Setup!$E$5:$E$34,MATCH(H563,Setup!$D$5:$D$34,0)),"Not in Setup"))</f>
        <v/>
      </c>
      <c r="J563" s="9"/>
    </row>
    <row r="564" customFormat="false" ht="15" hidden="false" customHeight="false" outlineLevel="0" collapsed="false">
      <c r="A564" s="10"/>
      <c r="B564" s="9"/>
      <c r="C564" s="9"/>
      <c r="D564" s="11"/>
      <c r="E564" s="11"/>
      <c r="F564" s="12"/>
      <c r="G564" s="13" t="str">
        <f aca="false">IF(F564&lt;&gt;"",F564,IF(OR(D564="",E564=""),"",ROUND(MOD(E564-D564,1)*1440,0)))</f>
        <v/>
      </c>
      <c r="H564" s="9"/>
      <c r="I564" s="14" t="str">
        <f aca="false">IF(H564="","",IFERROR(INDEX(Setup!$E$5:$E$34,MATCH(H564,Setup!$D$5:$D$34,0)),"Not in Setup"))</f>
        <v/>
      </c>
      <c r="J564" s="9"/>
    </row>
    <row r="565" customFormat="false" ht="15" hidden="false" customHeight="false" outlineLevel="0" collapsed="false">
      <c r="A565" s="10"/>
      <c r="B565" s="9"/>
      <c r="C565" s="9"/>
      <c r="D565" s="11"/>
      <c r="E565" s="11"/>
      <c r="F565" s="12"/>
      <c r="G565" s="13" t="str">
        <f aca="false">IF(F565&lt;&gt;"",F565,IF(OR(D565="",E565=""),"",ROUND(MOD(E565-D565,1)*1440,0)))</f>
        <v/>
      </c>
      <c r="H565" s="9"/>
      <c r="I565" s="14" t="str">
        <f aca="false">IF(H565="","",IFERROR(INDEX(Setup!$E$5:$E$34,MATCH(H565,Setup!$D$5:$D$34,0)),"Not in Setup"))</f>
        <v/>
      </c>
      <c r="J565" s="9"/>
    </row>
    <row r="566" customFormat="false" ht="15" hidden="false" customHeight="false" outlineLevel="0" collapsed="false">
      <c r="A566" s="10"/>
      <c r="B566" s="9"/>
      <c r="C566" s="9"/>
      <c r="D566" s="11"/>
      <c r="E566" s="11"/>
      <c r="F566" s="12"/>
      <c r="G566" s="13" t="str">
        <f aca="false">IF(F566&lt;&gt;"",F566,IF(OR(D566="",E566=""),"",ROUND(MOD(E566-D566,1)*1440,0)))</f>
        <v/>
      </c>
      <c r="H566" s="9"/>
      <c r="I566" s="14" t="str">
        <f aca="false">IF(H566="","",IFERROR(INDEX(Setup!$E$5:$E$34,MATCH(H566,Setup!$D$5:$D$34,0)),"Not in Setup"))</f>
        <v/>
      </c>
      <c r="J566" s="9"/>
    </row>
    <row r="567" customFormat="false" ht="15" hidden="false" customHeight="false" outlineLevel="0" collapsed="false">
      <c r="A567" s="10"/>
      <c r="B567" s="9"/>
      <c r="C567" s="9"/>
      <c r="D567" s="11"/>
      <c r="E567" s="11"/>
      <c r="F567" s="12"/>
      <c r="G567" s="13" t="str">
        <f aca="false">IF(F567&lt;&gt;"",F567,IF(OR(D567="",E567=""),"",ROUND(MOD(E567-D567,1)*1440,0)))</f>
        <v/>
      </c>
      <c r="H567" s="9"/>
      <c r="I567" s="14" t="str">
        <f aca="false">IF(H567="","",IFERROR(INDEX(Setup!$E$5:$E$34,MATCH(H567,Setup!$D$5:$D$34,0)),"Not in Setup"))</f>
        <v/>
      </c>
      <c r="J567" s="9"/>
    </row>
    <row r="568" customFormat="false" ht="15" hidden="false" customHeight="false" outlineLevel="0" collapsed="false">
      <c r="A568" s="10"/>
      <c r="B568" s="9"/>
      <c r="C568" s="9"/>
      <c r="D568" s="11"/>
      <c r="E568" s="11"/>
      <c r="F568" s="12"/>
      <c r="G568" s="13" t="str">
        <f aca="false">IF(F568&lt;&gt;"",F568,IF(OR(D568="",E568=""),"",ROUND(MOD(E568-D568,1)*1440,0)))</f>
        <v/>
      </c>
      <c r="H568" s="9"/>
      <c r="I568" s="14" t="str">
        <f aca="false">IF(H568="","",IFERROR(INDEX(Setup!$E$5:$E$34,MATCH(H568,Setup!$D$5:$D$34,0)),"Not in Setup"))</f>
        <v/>
      </c>
      <c r="J568" s="9"/>
    </row>
    <row r="569" customFormat="false" ht="15" hidden="false" customHeight="false" outlineLevel="0" collapsed="false">
      <c r="A569" s="10"/>
      <c r="B569" s="9"/>
      <c r="C569" s="9"/>
      <c r="D569" s="11"/>
      <c r="E569" s="11"/>
      <c r="F569" s="12"/>
      <c r="G569" s="13" t="str">
        <f aca="false">IF(F569&lt;&gt;"",F569,IF(OR(D569="",E569=""),"",ROUND(MOD(E569-D569,1)*1440,0)))</f>
        <v/>
      </c>
      <c r="H569" s="9"/>
      <c r="I569" s="14" t="str">
        <f aca="false">IF(H569="","",IFERROR(INDEX(Setup!$E$5:$E$34,MATCH(H569,Setup!$D$5:$D$34,0)),"Not in Setup"))</f>
        <v/>
      </c>
      <c r="J569" s="9"/>
    </row>
    <row r="570" customFormat="false" ht="15" hidden="false" customHeight="false" outlineLevel="0" collapsed="false">
      <c r="A570" s="10"/>
      <c r="B570" s="9"/>
      <c r="C570" s="9"/>
      <c r="D570" s="11"/>
      <c r="E570" s="11"/>
      <c r="F570" s="12"/>
      <c r="G570" s="13" t="str">
        <f aca="false">IF(F570&lt;&gt;"",F570,IF(OR(D570="",E570=""),"",ROUND(MOD(E570-D570,1)*1440,0)))</f>
        <v/>
      </c>
      <c r="H570" s="9"/>
      <c r="I570" s="14" t="str">
        <f aca="false">IF(H570="","",IFERROR(INDEX(Setup!$E$5:$E$34,MATCH(H570,Setup!$D$5:$D$34,0)),"Not in Setup"))</f>
        <v/>
      </c>
      <c r="J570" s="9"/>
    </row>
    <row r="571" customFormat="false" ht="15" hidden="false" customHeight="false" outlineLevel="0" collapsed="false">
      <c r="A571" s="10"/>
      <c r="B571" s="9"/>
      <c r="C571" s="9"/>
      <c r="D571" s="11"/>
      <c r="E571" s="11"/>
      <c r="F571" s="12"/>
      <c r="G571" s="13" t="str">
        <f aca="false">IF(F571&lt;&gt;"",F571,IF(OR(D571="",E571=""),"",ROUND(MOD(E571-D571,1)*1440,0)))</f>
        <v/>
      </c>
      <c r="H571" s="9"/>
      <c r="I571" s="14" t="str">
        <f aca="false">IF(H571="","",IFERROR(INDEX(Setup!$E$5:$E$34,MATCH(H571,Setup!$D$5:$D$34,0)),"Not in Setup"))</f>
        <v/>
      </c>
      <c r="J571" s="9"/>
    </row>
    <row r="572" customFormat="false" ht="15" hidden="false" customHeight="false" outlineLevel="0" collapsed="false">
      <c r="A572" s="10"/>
      <c r="B572" s="9"/>
      <c r="C572" s="9"/>
      <c r="D572" s="11"/>
      <c r="E572" s="11"/>
      <c r="F572" s="12"/>
      <c r="G572" s="13" t="str">
        <f aca="false">IF(F572&lt;&gt;"",F572,IF(OR(D572="",E572=""),"",ROUND(MOD(E572-D572,1)*1440,0)))</f>
        <v/>
      </c>
      <c r="H572" s="9"/>
      <c r="I572" s="14" t="str">
        <f aca="false">IF(H572="","",IFERROR(INDEX(Setup!$E$5:$E$34,MATCH(H572,Setup!$D$5:$D$34,0)),"Not in Setup"))</f>
        <v/>
      </c>
      <c r="J572" s="9"/>
    </row>
    <row r="573" customFormat="false" ht="15" hidden="false" customHeight="false" outlineLevel="0" collapsed="false">
      <c r="A573" s="10"/>
      <c r="B573" s="9"/>
      <c r="C573" s="9"/>
      <c r="D573" s="11"/>
      <c r="E573" s="11"/>
      <c r="F573" s="12"/>
      <c r="G573" s="13" t="str">
        <f aca="false">IF(F573&lt;&gt;"",F573,IF(OR(D573="",E573=""),"",ROUND(MOD(E573-D573,1)*1440,0)))</f>
        <v/>
      </c>
      <c r="H573" s="9"/>
      <c r="I573" s="14" t="str">
        <f aca="false">IF(H573="","",IFERROR(INDEX(Setup!$E$5:$E$34,MATCH(H573,Setup!$D$5:$D$34,0)),"Not in Setup"))</f>
        <v/>
      </c>
      <c r="J573" s="9"/>
    </row>
    <row r="574" customFormat="false" ht="15" hidden="false" customHeight="false" outlineLevel="0" collapsed="false">
      <c r="A574" s="10"/>
      <c r="B574" s="9"/>
      <c r="C574" s="9"/>
      <c r="D574" s="11"/>
      <c r="E574" s="11"/>
      <c r="F574" s="12"/>
      <c r="G574" s="13" t="str">
        <f aca="false">IF(F574&lt;&gt;"",F574,IF(OR(D574="",E574=""),"",ROUND(MOD(E574-D574,1)*1440,0)))</f>
        <v/>
      </c>
      <c r="H574" s="9"/>
      <c r="I574" s="14" t="str">
        <f aca="false">IF(H574="","",IFERROR(INDEX(Setup!$E$5:$E$34,MATCH(H574,Setup!$D$5:$D$34,0)),"Not in Setup"))</f>
        <v/>
      </c>
      <c r="J574" s="9"/>
    </row>
    <row r="575" customFormat="false" ht="15" hidden="false" customHeight="false" outlineLevel="0" collapsed="false">
      <c r="A575" s="10"/>
      <c r="B575" s="9"/>
      <c r="C575" s="9"/>
      <c r="D575" s="11"/>
      <c r="E575" s="11"/>
      <c r="F575" s="12"/>
      <c r="G575" s="13" t="str">
        <f aca="false">IF(F575&lt;&gt;"",F575,IF(OR(D575="",E575=""),"",ROUND(MOD(E575-D575,1)*1440,0)))</f>
        <v/>
      </c>
      <c r="H575" s="9"/>
      <c r="I575" s="14" t="str">
        <f aca="false">IF(H575="","",IFERROR(INDEX(Setup!$E$5:$E$34,MATCH(H575,Setup!$D$5:$D$34,0)),"Not in Setup"))</f>
        <v/>
      </c>
      <c r="J575" s="9"/>
    </row>
    <row r="576" customFormat="false" ht="15" hidden="false" customHeight="false" outlineLevel="0" collapsed="false">
      <c r="A576" s="10"/>
      <c r="B576" s="9"/>
      <c r="C576" s="9"/>
      <c r="D576" s="11"/>
      <c r="E576" s="11"/>
      <c r="F576" s="12"/>
      <c r="G576" s="13" t="str">
        <f aca="false">IF(F576&lt;&gt;"",F576,IF(OR(D576="",E576=""),"",ROUND(MOD(E576-D576,1)*1440,0)))</f>
        <v/>
      </c>
      <c r="H576" s="9"/>
      <c r="I576" s="14" t="str">
        <f aca="false">IF(H576="","",IFERROR(INDEX(Setup!$E$5:$E$34,MATCH(H576,Setup!$D$5:$D$34,0)),"Not in Setup"))</f>
        <v/>
      </c>
      <c r="J576" s="9"/>
    </row>
    <row r="577" customFormat="false" ht="15" hidden="false" customHeight="false" outlineLevel="0" collapsed="false">
      <c r="A577" s="10"/>
      <c r="B577" s="9"/>
      <c r="C577" s="9"/>
      <c r="D577" s="11"/>
      <c r="E577" s="11"/>
      <c r="F577" s="12"/>
      <c r="G577" s="13" t="str">
        <f aca="false">IF(F577&lt;&gt;"",F577,IF(OR(D577="",E577=""),"",ROUND(MOD(E577-D577,1)*1440,0)))</f>
        <v/>
      </c>
      <c r="H577" s="9"/>
      <c r="I577" s="14" t="str">
        <f aca="false">IF(H577="","",IFERROR(INDEX(Setup!$E$5:$E$34,MATCH(H577,Setup!$D$5:$D$34,0)),"Not in Setup"))</f>
        <v/>
      </c>
      <c r="J577" s="9"/>
    </row>
    <row r="578" customFormat="false" ht="15" hidden="false" customHeight="false" outlineLevel="0" collapsed="false">
      <c r="A578" s="10"/>
      <c r="B578" s="9"/>
      <c r="C578" s="9"/>
      <c r="D578" s="11"/>
      <c r="E578" s="11"/>
      <c r="F578" s="12"/>
      <c r="G578" s="13" t="str">
        <f aca="false">IF(F578&lt;&gt;"",F578,IF(OR(D578="",E578=""),"",ROUND(MOD(E578-D578,1)*1440,0)))</f>
        <v/>
      </c>
      <c r="H578" s="9"/>
      <c r="I578" s="14" t="str">
        <f aca="false">IF(H578="","",IFERROR(INDEX(Setup!$E$5:$E$34,MATCH(H578,Setup!$D$5:$D$34,0)),"Not in Setup"))</f>
        <v/>
      </c>
      <c r="J578" s="9"/>
    </row>
    <row r="579" customFormat="false" ht="15" hidden="false" customHeight="false" outlineLevel="0" collapsed="false">
      <c r="A579" s="10"/>
      <c r="B579" s="9"/>
      <c r="C579" s="9"/>
      <c r="D579" s="11"/>
      <c r="E579" s="11"/>
      <c r="F579" s="12"/>
      <c r="G579" s="13" t="str">
        <f aca="false">IF(F579&lt;&gt;"",F579,IF(OR(D579="",E579=""),"",ROUND(MOD(E579-D579,1)*1440,0)))</f>
        <v/>
      </c>
      <c r="H579" s="9"/>
      <c r="I579" s="14" t="str">
        <f aca="false">IF(H579="","",IFERROR(INDEX(Setup!$E$5:$E$34,MATCH(H579,Setup!$D$5:$D$34,0)),"Not in Setup"))</f>
        <v/>
      </c>
      <c r="J579" s="9"/>
    </row>
    <row r="580" customFormat="false" ht="15" hidden="false" customHeight="false" outlineLevel="0" collapsed="false">
      <c r="A580" s="10"/>
      <c r="B580" s="9"/>
      <c r="C580" s="9"/>
      <c r="D580" s="11"/>
      <c r="E580" s="11"/>
      <c r="F580" s="12"/>
      <c r="G580" s="13" t="str">
        <f aca="false">IF(F580&lt;&gt;"",F580,IF(OR(D580="",E580=""),"",ROUND(MOD(E580-D580,1)*1440,0)))</f>
        <v/>
      </c>
      <c r="H580" s="9"/>
      <c r="I580" s="14" t="str">
        <f aca="false">IF(H580="","",IFERROR(INDEX(Setup!$E$5:$E$34,MATCH(H580,Setup!$D$5:$D$34,0)),"Not in Setup"))</f>
        <v/>
      </c>
      <c r="J580" s="9"/>
    </row>
    <row r="581" customFormat="false" ht="15" hidden="false" customHeight="false" outlineLevel="0" collapsed="false">
      <c r="A581" s="10"/>
      <c r="B581" s="9"/>
      <c r="C581" s="9"/>
      <c r="D581" s="11"/>
      <c r="E581" s="11"/>
      <c r="F581" s="12"/>
      <c r="G581" s="13" t="str">
        <f aca="false">IF(F581&lt;&gt;"",F581,IF(OR(D581="",E581=""),"",ROUND(MOD(E581-D581,1)*1440,0)))</f>
        <v/>
      </c>
      <c r="H581" s="9"/>
      <c r="I581" s="14" t="str">
        <f aca="false">IF(H581="","",IFERROR(INDEX(Setup!$E$5:$E$34,MATCH(H581,Setup!$D$5:$D$34,0)),"Not in Setup"))</f>
        <v/>
      </c>
      <c r="J581" s="9"/>
    </row>
    <row r="582" customFormat="false" ht="15" hidden="false" customHeight="false" outlineLevel="0" collapsed="false">
      <c r="A582" s="10"/>
      <c r="B582" s="9"/>
      <c r="C582" s="9"/>
      <c r="D582" s="11"/>
      <c r="E582" s="11"/>
      <c r="F582" s="12"/>
      <c r="G582" s="13" t="str">
        <f aca="false">IF(F582&lt;&gt;"",F582,IF(OR(D582="",E582=""),"",ROUND(MOD(E582-D582,1)*1440,0)))</f>
        <v/>
      </c>
      <c r="H582" s="9"/>
      <c r="I582" s="14" t="str">
        <f aca="false">IF(H582="","",IFERROR(INDEX(Setup!$E$5:$E$34,MATCH(H582,Setup!$D$5:$D$34,0)),"Not in Setup"))</f>
        <v/>
      </c>
      <c r="J582" s="9"/>
    </row>
    <row r="583" customFormat="false" ht="15" hidden="false" customHeight="false" outlineLevel="0" collapsed="false">
      <c r="A583" s="10"/>
      <c r="B583" s="9"/>
      <c r="C583" s="9"/>
      <c r="D583" s="11"/>
      <c r="E583" s="11"/>
      <c r="F583" s="12"/>
      <c r="G583" s="13" t="str">
        <f aca="false">IF(F583&lt;&gt;"",F583,IF(OR(D583="",E583=""),"",ROUND(MOD(E583-D583,1)*1440,0)))</f>
        <v/>
      </c>
      <c r="H583" s="9"/>
      <c r="I583" s="14" t="str">
        <f aca="false">IF(H583="","",IFERROR(INDEX(Setup!$E$5:$E$34,MATCH(H583,Setup!$D$5:$D$34,0)),"Not in Setup"))</f>
        <v/>
      </c>
      <c r="J583" s="9"/>
    </row>
    <row r="584" customFormat="false" ht="15" hidden="false" customHeight="false" outlineLevel="0" collapsed="false">
      <c r="A584" s="10"/>
      <c r="B584" s="9"/>
      <c r="C584" s="9"/>
      <c r="D584" s="11"/>
      <c r="E584" s="11"/>
      <c r="F584" s="12"/>
      <c r="G584" s="13" t="str">
        <f aca="false">IF(F584&lt;&gt;"",F584,IF(OR(D584="",E584=""),"",ROUND(MOD(E584-D584,1)*1440,0)))</f>
        <v/>
      </c>
      <c r="H584" s="9"/>
      <c r="I584" s="14" t="str">
        <f aca="false">IF(H584="","",IFERROR(INDEX(Setup!$E$5:$E$34,MATCH(H584,Setup!$D$5:$D$34,0)),"Not in Setup"))</f>
        <v/>
      </c>
      <c r="J584" s="9"/>
    </row>
    <row r="585" customFormat="false" ht="15" hidden="false" customHeight="false" outlineLevel="0" collapsed="false">
      <c r="A585" s="10"/>
      <c r="B585" s="9"/>
      <c r="C585" s="9"/>
      <c r="D585" s="11"/>
      <c r="E585" s="11"/>
      <c r="F585" s="12"/>
      <c r="G585" s="13" t="str">
        <f aca="false">IF(F585&lt;&gt;"",F585,IF(OR(D585="",E585=""),"",ROUND(MOD(E585-D585,1)*1440,0)))</f>
        <v/>
      </c>
      <c r="H585" s="9"/>
      <c r="I585" s="14" t="str">
        <f aca="false">IF(H585="","",IFERROR(INDEX(Setup!$E$5:$E$34,MATCH(H585,Setup!$D$5:$D$34,0)),"Not in Setup"))</f>
        <v/>
      </c>
      <c r="J585" s="9"/>
    </row>
    <row r="586" customFormat="false" ht="15" hidden="false" customHeight="false" outlineLevel="0" collapsed="false">
      <c r="A586" s="10"/>
      <c r="B586" s="9"/>
      <c r="C586" s="9"/>
      <c r="D586" s="11"/>
      <c r="E586" s="11"/>
      <c r="F586" s="12"/>
      <c r="G586" s="13" t="str">
        <f aca="false">IF(F586&lt;&gt;"",F586,IF(OR(D586="",E586=""),"",ROUND(MOD(E586-D586,1)*1440,0)))</f>
        <v/>
      </c>
      <c r="H586" s="9"/>
      <c r="I586" s="14" t="str">
        <f aca="false">IF(H586="","",IFERROR(INDEX(Setup!$E$5:$E$34,MATCH(H586,Setup!$D$5:$D$34,0)),"Not in Setup"))</f>
        <v/>
      </c>
      <c r="J586" s="9"/>
    </row>
    <row r="587" customFormat="false" ht="15" hidden="false" customHeight="false" outlineLevel="0" collapsed="false">
      <c r="A587" s="10"/>
      <c r="B587" s="9"/>
      <c r="C587" s="9"/>
      <c r="D587" s="11"/>
      <c r="E587" s="11"/>
      <c r="F587" s="12"/>
      <c r="G587" s="13" t="str">
        <f aca="false">IF(F587&lt;&gt;"",F587,IF(OR(D587="",E587=""),"",ROUND(MOD(E587-D587,1)*1440,0)))</f>
        <v/>
      </c>
      <c r="H587" s="9"/>
      <c r="I587" s="14" t="str">
        <f aca="false">IF(H587="","",IFERROR(INDEX(Setup!$E$5:$E$34,MATCH(H587,Setup!$D$5:$D$34,0)),"Not in Setup"))</f>
        <v/>
      </c>
      <c r="J587" s="9"/>
    </row>
    <row r="588" customFormat="false" ht="15" hidden="false" customHeight="false" outlineLevel="0" collapsed="false">
      <c r="A588" s="10"/>
      <c r="B588" s="9"/>
      <c r="C588" s="9"/>
      <c r="D588" s="11"/>
      <c r="E588" s="11"/>
      <c r="F588" s="12"/>
      <c r="G588" s="13" t="str">
        <f aca="false">IF(F588&lt;&gt;"",F588,IF(OR(D588="",E588=""),"",ROUND(MOD(E588-D588,1)*1440,0)))</f>
        <v/>
      </c>
      <c r="H588" s="9"/>
      <c r="I588" s="14" t="str">
        <f aca="false">IF(H588="","",IFERROR(INDEX(Setup!$E$5:$E$34,MATCH(H588,Setup!$D$5:$D$34,0)),"Not in Setup"))</f>
        <v/>
      </c>
      <c r="J588" s="9"/>
    </row>
    <row r="589" customFormat="false" ht="15" hidden="false" customHeight="false" outlineLevel="0" collapsed="false">
      <c r="A589" s="10"/>
      <c r="B589" s="9"/>
      <c r="C589" s="9"/>
      <c r="D589" s="11"/>
      <c r="E589" s="11"/>
      <c r="F589" s="12"/>
      <c r="G589" s="13" t="str">
        <f aca="false">IF(F589&lt;&gt;"",F589,IF(OR(D589="",E589=""),"",ROUND(MOD(E589-D589,1)*1440,0)))</f>
        <v/>
      </c>
      <c r="H589" s="9"/>
      <c r="I589" s="14" t="str">
        <f aca="false">IF(H589="","",IFERROR(INDEX(Setup!$E$5:$E$34,MATCH(H589,Setup!$D$5:$D$34,0)),"Not in Setup"))</f>
        <v/>
      </c>
      <c r="J589" s="9"/>
    </row>
    <row r="590" customFormat="false" ht="15" hidden="false" customHeight="false" outlineLevel="0" collapsed="false">
      <c r="A590" s="10"/>
      <c r="B590" s="9"/>
      <c r="C590" s="9"/>
      <c r="D590" s="11"/>
      <c r="E590" s="11"/>
      <c r="F590" s="12"/>
      <c r="G590" s="13" t="str">
        <f aca="false">IF(F590&lt;&gt;"",F590,IF(OR(D590="",E590=""),"",ROUND(MOD(E590-D590,1)*1440,0)))</f>
        <v/>
      </c>
      <c r="H590" s="9"/>
      <c r="I590" s="14" t="str">
        <f aca="false">IF(H590="","",IFERROR(INDEX(Setup!$E$5:$E$34,MATCH(H590,Setup!$D$5:$D$34,0)),"Not in Setup"))</f>
        <v/>
      </c>
      <c r="J590" s="9"/>
    </row>
    <row r="591" customFormat="false" ht="15" hidden="false" customHeight="false" outlineLevel="0" collapsed="false">
      <c r="A591" s="10"/>
      <c r="B591" s="9"/>
      <c r="C591" s="9"/>
      <c r="D591" s="11"/>
      <c r="E591" s="11"/>
      <c r="F591" s="12"/>
      <c r="G591" s="13" t="str">
        <f aca="false">IF(F591&lt;&gt;"",F591,IF(OR(D591="",E591=""),"",ROUND(MOD(E591-D591,1)*1440,0)))</f>
        <v/>
      </c>
      <c r="H591" s="9"/>
      <c r="I591" s="14" t="str">
        <f aca="false">IF(H591="","",IFERROR(INDEX(Setup!$E$5:$E$34,MATCH(H591,Setup!$D$5:$D$34,0)),"Not in Setup"))</f>
        <v/>
      </c>
      <c r="J591" s="9"/>
    </row>
    <row r="592" customFormat="false" ht="15" hidden="false" customHeight="false" outlineLevel="0" collapsed="false">
      <c r="A592" s="10"/>
      <c r="B592" s="9"/>
      <c r="C592" s="9"/>
      <c r="D592" s="11"/>
      <c r="E592" s="11"/>
      <c r="F592" s="12"/>
      <c r="G592" s="13" t="str">
        <f aca="false">IF(F592&lt;&gt;"",F592,IF(OR(D592="",E592=""),"",ROUND(MOD(E592-D592,1)*1440,0)))</f>
        <v/>
      </c>
      <c r="H592" s="9"/>
      <c r="I592" s="14" t="str">
        <f aca="false">IF(H592="","",IFERROR(INDEX(Setup!$E$5:$E$34,MATCH(H592,Setup!$D$5:$D$34,0)),"Not in Setup"))</f>
        <v/>
      </c>
      <c r="J592" s="9"/>
    </row>
    <row r="593" customFormat="false" ht="15" hidden="false" customHeight="false" outlineLevel="0" collapsed="false">
      <c r="A593" s="10"/>
      <c r="B593" s="9"/>
      <c r="C593" s="9"/>
      <c r="D593" s="11"/>
      <c r="E593" s="11"/>
      <c r="F593" s="12"/>
      <c r="G593" s="13" t="str">
        <f aca="false">IF(F593&lt;&gt;"",F593,IF(OR(D593="",E593=""),"",ROUND(MOD(E593-D593,1)*1440,0)))</f>
        <v/>
      </c>
      <c r="H593" s="9"/>
      <c r="I593" s="14" t="str">
        <f aca="false">IF(H593="","",IFERROR(INDEX(Setup!$E$5:$E$34,MATCH(H593,Setup!$D$5:$D$34,0)),"Not in Setup"))</f>
        <v/>
      </c>
      <c r="J593" s="9"/>
    </row>
    <row r="594" customFormat="false" ht="15" hidden="false" customHeight="false" outlineLevel="0" collapsed="false">
      <c r="A594" s="10"/>
      <c r="B594" s="9"/>
      <c r="C594" s="9"/>
      <c r="D594" s="11"/>
      <c r="E594" s="11"/>
      <c r="F594" s="12"/>
      <c r="G594" s="13" t="str">
        <f aca="false">IF(F594&lt;&gt;"",F594,IF(OR(D594="",E594=""),"",ROUND(MOD(E594-D594,1)*1440,0)))</f>
        <v/>
      </c>
      <c r="H594" s="9"/>
      <c r="I594" s="14" t="str">
        <f aca="false">IF(H594="","",IFERROR(INDEX(Setup!$E$5:$E$34,MATCH(H594,Setup!$D$5:$D$34,0)),"Not in Setup"))</f>
        <v/>
      </c>
      <c r="J594" s="9"/>
    </row>
    <row r="595" customFormat="false" ht="15" hidden="false" customHeight="false" outlineLevel="0" collapsed="false">
      <c r="A595" s="10"/>
      <c r="B595" s="9"/>
      <c r="C595" s="9"/>
      <c r="D595" s="11"/>
      <c r="E595" s="11"/>
      <c r="F595" s="12"/>
      <c r="G595" s="13" t="str">
        <f aca="false">IF(F595&lt;&gt;"",F595,IF(OR(D595="",E595=""),"",ROUND(MOD(E595-D595,1)*1440,0)))</f>
        <v/>
      </c>
      <c r="H595" s="9"/>
      <c r="I595" s="14" t="str">
        <f aca="false">IF(H595="","",IFERROR(INDEX(Setup!$E$5:$E$34,MATCH(H595,Setup!$D$5:$D$34,0)),"Not in Setup"))</f>
        <v/>
      </c>
      <c r="J595" s="9"/>
    </row>
    <row r="596" customFormat="false" ht="15" hidden="false" customHeight="false" outlineLevel="0" collapsed="false">
      <c r="A596" s="10"/>
      <c r="B596" s="9"/>
      <c r="C596" s="9"/>
      <c r="D596" s="11"/>
      <c r="E596" s="11"/>
      <c r="F596" s="12"/>
      <c r="G596" s="13" t="str">
        <f aca="false">IF(F596&lt;&gt;"",F596,IF(OR(D596="",E596=""),"",ROUND(MOD(E596-D596,1)*1440,0)))</f>
        <v/>
      </c>
      <c r="H596" s="9"/>
      <c r="I596" s="14" t="str">
        <f aca="false">IF(H596="","",IFERROR(INDEX(Setup!$E$5:$E$34,MATCH(H596,Setup!$D$5:$D$34,0)),"Not in Setup"))</f>
        <v/>
      </c>
      <c r="J596" s="9"/>
    </row>
    <row r="597" customFormat="false" ht="15" hidden="false" customHeight="false" outlineLevel="0" collapsed="false">
      <c r="A597" s="10"/>
      <c r="B597" s="9"/>
      <c r="C597" s="9"/>
      <c r="D597" s="11"/>
      <c r="E597" s="11"/>
      <c r="F597" s="12"/>
      <c r="G597" s="13" t="str">
        <f aca="false">IF(F597&lt;&gt;"",F597,IF(OR(D597="",E597=""),"",ROUND(MOD(E597-D597,1)*1440,0)))</f>
        <v/>
      </c>
      <c r="H597" s="9"/>
      <c r="I597" s="14" t="str">
        <f aca="false">IF(H597="","",IFERROR(INDEX(Setup!$E$5:$E$34,MATCH(H597,Setup!$D$5:$D$34,0)),"Not in Setup"))</f>
        <v/>
      </c>
      <c r="J597" s="9"/>
    </row>
    <row r="598" customFormat="false" ht="15" hidden="false" customHeight="false" outlineLevel="0" collapsed="false">
      <c r="A598" s="10"/>
      <c r="B598" s="9"/>
      <c r="C598" s="9"/>
      <c r="D598" s="11"/>
      <c r="E598" s="11"/>
      <c r="F598" s="12"/>
      <c r="G598" s="13" t="str">
        <f aca="false">IF(F598&lt;&gt;"",F598,IF(OR(D598="",E598=""),"",ROUND(MOD(E598-D598,1)*1440,0)))</f>
        <v/>
      </c>
      <c r="H598" s="9"/>
      <c r="I598" s="14" t="str">
        <f aca="false">IF(H598="","",IFERROR(INDEX(Setup!$E$5:$E$34,MATCH(H598,Setup!$D$5:$D$34,0)),"Not in Setup"))</f>
        <v/>
      </c>
      <c r="J598" s="9"/>
    </row>
    <row r="599" customFormat="false" ht="15" hidden="false" customHeight="false" outlineLevel="0" collapsed="false">
      <c r="A599" s="10"/>
      <c r="B599" s="9"/>
      <c r="C599" s="9"/>
      <c r="D599" s="11"/>
      <c r="E599" s="11"/>
      <c r="F599" s="12"/>
      <c r="G599" s="13" t="str">
        <f aca="false">IF(F599&lt;&gt;"",F599,IF(OR(D599="",E599=""),"",ROUND(MOD(E599-D599,1)*1440,0)))</f>
        <v/>
      </c>
      <c r="H599" s="9"/>
      <c r="I599" s="14" t="str">
        <f aca="false">IF(H599="","",IFERROR(INDEX(Setup!$E$5:$E$34,MATCH(H599,Setup!$D$5:$D$34,0)),"Not in Setup"))</f>
        <v/>
      </c>
      <c r="J599" s="9"/>
    </row>
    <row r="600" customFormat="false" ht="15" hidden="false" customHeight="false" outlineLevel="0" collapsed="false">
      <c r="A600" s="10"/>
      <c r="B600" s="9"/>
      <c r="C600" s="9"/>
      <c r="D600" s="11"/>
      <c r="E600" s="11"/>
      <c r="F600" s="12"/>
      <c r="G600" s="13" t="str">
        <f aca="false">IF(F600&lt;&gt;"",F600,IF(OR(D600="",E600=""),"",ROUND(MOD(E600-D600,1)*1440,0)))</f>
        <v/>
      </c>
      <c r="H600" s="9"/>
      <c r="I600" s="14" t="str">
        <f aca="false">IF(H600="","",IFERROR(INDEX(Setup!$E$5:$E$34,MATCH(H600,Setup!$D$5:$D$34,0)),"Not in Setup"))</f>
        <v/>
      </c>
      <c r="J600" s="9"/>
    </row>
    <row r="601" customFormat="false" ht="15" hidden="false" customHeight="false" outlineLevel="0" collapsed="false">
      <c r="A601" s="10"/>
      <c r="B601" s="9"/>
      <c r="C601" s="9"/>
      <c r="D601" s="11"/>
      <c r="E601" s="11"/>
      <c r="F601" s="12"/>
      <c r="G601" s="13" t="str">
        <f aca="false">IF(F601&lt;&gt;"",F601,IF(OR(D601="",E601=""),"",ROUND(MOD(E601-D601,1)*1440,0)))</f>
        <v/>
      </c>
      <c r="H601" s="9"/>
      <c r="I601" s="14" t="str">
        <f aca="false">IF(H601="","",IFERROR(INDEX(Setup!$E$5:$E$34,MATCH(H601,Setup!$D$5:$D$34,0)),"Not in Setup"))</f>
        <v/>
      </c>
      <c r="J601" s="9"/>
    </row>
    <row r="602" customFormat="false" ht="15" hidden="false" customHeight="false" outlineLevel="0" collapsed="false">
      <c r="A602" s="10"/>
      <c r="B602" s="9"/>
      <c r="C602" s="9"/>
      <c r="D602" s="11"/>
      <c r="E602" s="11"/>
      <c r="F602" s="12"/>
      <c r="G602" s="13" t="str">
        <f aca="false">IF(F602&lt;&gt;"",F602,IF(OR(D602="",E602=""),"",ROUND(MOD(E602-D602,1)*1440,0)))</f>
        <v/>
      </c>
      <c r="H602" s="9"/>
      <c r="I602" s="14" t="str">
        <f aca="false">IF(H602="","",IFERROR(INDEX(Setup!$E$5:$E$34,MATCH(H602,Setup!$D$5:$D$34,0)),"Not in Setup"))</f>
        <v/>
      </c>
      <c r="J602" s="9"/>
    </row>
    <row r="603" customFormat="false" ht="15" hidden="false" customHeight="false" outlineLevel="0" collapsed="false">
      <c r="A603" s="10"/>
      <c r="B603" s="9"/>
      <c r="C603" s="9"/>
      <c r="D603" s="11"/>
      <c r="E603" s="11"/>
      <c r="F603" s="12"/>
      <c r="G603" s="13" t="str">
        <f aca="false">IF(F603&lt;&gt;"",F603,IF(OR(D603="",E603=""),"",ROUND(MOD(E603-D603,1)*1440,0)))</f>
        <v/>
      </c>
      <c r="H603" s="9"/>
      <c r="I603" s="14" t="str">
        <f aca="false">IF(H603="","",IFERROR(INDEX(Setup!$E$5:$E$34,MATCH(H603,Setup!$D$5:$D$34,0)),"Not in Setup"))</f>
        <v/>
      </c>
      <c r="J603" s="9"/>
    </row>
    <row r="604" customFormat="false" ht="15" hidden="false" customHeight="false" outlineLevel="0" collapsed="false">
      <c r="A604" s="10"/>
      <c r="B604" s="9"/>
      <c r="C604" s="9"/>
      <c r="D604" s="11"/>
      <c r="E604" s="11"/>
      <c r="F604" s="12"/>
      <c r="G604" s="13" t="str">
        <f aca="false">IF(F604&lt;&gt;"",F604,IF(OR(D604="",E604=""),"",ROUND(MOD(E604-D604,1)*1440,0)))</f>
        <v/>
      </c>
      <c r="H604" s="9"/>
      <c r="I604" s="14" t="str">
        <f aca="false">IF(H604="","",IFERROR(INDEX(Setup!$E$5:$E$34,MATCH(H604,Setup!$D$5:$D$34,0)),"Not in Setup"))</f>
        <v/>
      </c>
      <c r="J604" s="9"/>
    </row>
    <row r="605" customFormat="false" ht="15" hidden="false" customHeight="false" outlineLevel="0" collapsed="false">
      <c r="A605" s="10"/>
      <c r="B605" s="9"/>
      <c r="C605" s="9"/>
      <c r="D605" s="11"/>
      <c r="E605" s="11"/>
      <c r="F605" s="12"/>
      <c r="G605" s="13" t="str">
        <f aca="false">IF(F605&lt;&gt;"",F605,IF(OR(D605="",E605=""),"",ROUND(MOD(E605-D605,1)*1440,0)))</f>
        <v/>
      </c>
      <c r="H605" s="9"/>
      <c r="I605" s="14" t="str">
        <f aca="false">IF(H605="","",IFERROR(INDEX(Setup!$E$5:$E$34,MATCH(H605,Setup!$D$5:$D$34,0)),"Not in Setup"))</f>
        <v/>
      </c>
      <c r="J605" s="9"/>
    </row>
    <row r="606" customFormat="false" ht="15" hidden="false" customHeight="false" outlineLevel="0" collapsed="false">
      <c r="A606" s="10"/>
      <c r="B606" s="9"/>
      <c r="C606" s="9"/>
      <c r="D606" s="11"/>
      <c r="E606" s="11"/>
      <c r="F606" s="12"/>
      <c r="G606" s="13" t="str">
        <f aca="false">IF(F606&lt;&gt;"",F606,IF(OR(D606="",E606=""),"",ROUND(MOD(E606-D606,1)*1440,0)))</f>
        <v/>
      </c>
      <c r="H606" s="9"/>
      <c r="I606" s="14" t="str">
        <f aca="false">IF(H606="","",IFERROR(INDEX(Setup!$E$5:$E$34,MATCH(H606,Setup!$D$5:$D$34,0)),"Not in Setup"))</f>
        <v/>
      </c>
      <c r="J606" s="9"/>
    </row>
    <row r="607" customFormat="false" ht="15" hidden="false" customHeight="false" outlineLevel="0" collapsed="false">
      <c r="A607" s="10"/>
      <c r="B607" s="9"/>
      <c r="C607" s="9"/>
      <c r="D607" s="11"/>
      <c r="E607" s="11"/>
      <c r="F607" s="12"/>
      <c r="G607" s="13" t="str">
        <f aca="false">IF(F607&lt;&gt;"",F607,IF(OR(D607="",E607=""),"",ROUND(MOD(E607-D607,1)*1440,0)))</f>
        <v/>
      </c>
      <c r="H607" s="9"/>
      <c r="I607" s="14" t="str">
        <f aca="false">IF(H607="","",IFERROR(INDEX(Setup!$E$5:$E$34,MATCH(H607,Setup!$D$5:$D$34,0)),"Not in Setup"))</f>
        <v/>
      </c>
      <c r="J607" s="9"/>
    </row>
    <row r="608" customFormat="false" ht="15" hidden="false" customHeight="false" outlineLevel="0" collapsed="false">
      <c r="A608" s="10"/>
      <c r="B608" s="9"/>
      <c r="C608" s="9"/>
      <c r="D608" s="11"/>
      <c r="E608" s="11"/>
      <c r="F608" s="12"/>
      <c r="G608" s="13" t="str">
        <f aca="false">IF(F608&lt;&gt;"",F608,IF(OR(D608="",E608=""),"",ROUND(MOD(E608-D608,1)*1440,0)))</f>
        <v/>
      </c>
      <c r="H608" s="9"/>
      <c r="I608" s="14" t="str">
        <f aca="false">IF(H608="","",IFERROR(INDEX(Setup!$E$5:$E$34,MATCH(H608,Setup!$D$5:$D$34,0)),"Not in Setup"))</f>
        <v/>
      </c>
      <c r="J608" s="9"/>
    </row>
    <row r="609" customFormat="false" ht="15" hidden="false" customHeight="false" outlineLevel="0" collapsed="false">
      <c r="A609" s="10"/>
      <c r="B609" s="9"/>
      <c r="C609" s="9"/>
      <c r="D609" s="11"/>
      <c r="E609" s="11"/>
      <c r="F609" s="12"/>
      <c r="G609" s="13" t="str">
        <f aca="false">IF(F609&lt;&gt;"",F609,IF(OR(D609="",E609=""),"",ROUND(MOD(E609-D609,1)*1440,0)))</f>
        <v/>
      </c>
      <c r="H609" s="9"/>
      <c r="I609" s="14" t="str">
        <f aca="false">IF(H609="","",IFERROR(INDEX(Setup!$E$5:$E$34,MATCH(H609,Setup!$D$5:$D$34,0)),"Not in Setup"))</f>
        <v/>
      </c>
      <c r="J609" s="9"/>
    </row>
    <row r="610" customFormat="false" ht="15" hidden="false" customHeight="false" outlineLevel="0" collapsed="false">
      <c r="A610" s="10"/>
      <c r="B610" s="9"/>
      <c r="C610" s="9"/>
      <c r="D610" s="11"/>
      <c r="E610" s="11"/>
      <c r="F610" s="12"/>
      <c r="G610" s="13" t="str">
        <f aca="false">IF(F610&lt;&gt;"",F610,IF(OR(D610="",E610=""),"",ROUND(MOD(E610-D610,1)*1440,0)))</f>
        <v/>
      </c>
      <c r="H610" s="9"/>
      <c r="I610" s="14" t="str">
        <f aca="false">IF(H610="","",IFERROR(INDEX(Setup!$E$5:$E$34,MATCH(H610,Setup!$D$5:$D$34,0)),"Not in Setup"))</f>
        <v/>
      </c>
      <c r="J610" s="9"/>
    </row>
    <row r="611" customFormat="false" ht="15" hidden="false" customHeight="false" outlineLevel="0" collapsed="false">
      <c r="A611" s="10"/>
      <c r="B611" s="9"/>
      <c r="C611" s="9"/>
      <c r="D611" s="11"/>
      <c r="E611" s="11"/>
      <c r="F611" s="12"/>
      <c r="G611" s="13" t="str">
        <f aca="false">IF(F611&lt;&gt;"",F611,IF(OR(D611="",E611=""),"",ROUND(MOD(E611-D611,1)*1440,0)))</f>
        <v/>
      </c>
      <c r="H611" s="9"/>
      <c r="I611" s="14" t="str">
        <f aca="false">IF(H611="","",IFERROR(INDEX(Setup!$E$5:$E$34,MATCH(H611,Setup!$D$5:$D$34,0)),"Not in Setup"))</f>
        <v/>
      </c>
      <c r="J611" s="9"/>
    </row>
    <row r="612" customFormat="false" ht="15" hidden="false" customHeight="false" outlineLevel="0" collapsed="false">
      <c r="A612" s="10"/>
      <c r="B612" s="9"/>
      <c r="C612" s="9"/>
      <c r="D612" s="11"/>
      <c r="E612" s="11"/>
      <c r="F612" s="12"/>
      <c r="G612" s="13" t="str">
        <f aca="false">IF(F612&lt;&gt;"",F612,IF(OR(D612="",E612=""),"",ROUND(MOD(E612-D612,1)*1440,0)))</f>
        <v/>
      </c>
      <c r="H612" s="9"/>
      <c r="I612" s="14" t="str">
        <f aca="false">IF(H612="","",IFERROR(INDEX(Setup!$E$5:$E$34,MATCH(H612,Setup!$D$5:$D$34,0)),"Not in Setup"))</f>
        <v/>
      </c>
      <c r="J612" s="9"/>
    </row>
    <row r="613" customFormat="false" ht="15" hidden="false" customHeight="false" outlineLevel="0" collapsed="false">
      <c r="A613" s="10"/>
      <c r="B613" s="9"/>
      <c r="C613" s="9"/>
      <c r="D613" s="11"/>
      <c r="E613" s="11"/>
      <c r="F613" s="12"/>
      <c r="G613" s="13" t="str">
        <f aca="false">IF(F613&lt;&gt;"",F613,IF(OR(D613="",E613=""),"",ROUND(MOD(E613-D613,1)*1440,0)))</f>
        <v/>
      </c>
      <c r="H613" s="9"/>
      <c r="I613" s="14" t="str">
        <f aca="false">IF(H613="","",IFERROR(INDEX(Setup!$E$5:$E$34,MATCH(H613,Setup!$D$5:$D$34,0)),"Not in Setup"))</f>
        <v/>
      </c>
      <c r="J613" s="9"/>
    </row>
    <row r="614" customFormat="false" ht="15" hidden="false" customHeight="false" outlineLevel="0" collapsed="false">
      <c r="A614" s="10"/>
      <c r="B614" s="9"/>
      <c r="C614" s="9"/>
      <c r="D614" s="11"/>
      <c r="E614" s="11"/>
      <c r="F614" s="12"/>
      <c r="G614" s="13" t="str">
        <f aca="false">IF(F614&lt;&gt;"",F614,IF(OR(D614="",E614=""),"",ROUND(MOD(E614-D614,1)*1440,0)))</f>
        <v/>
      </c>
      <c r="H614" s="9"/>
      <c r="I614" s="14" t="str">
        <f aca="false">IF(H614="","",IFERROR(INDEX(Setup!$E$5:$E$34,MATCH(H614,Setup!$D$5:$D$34,0)),"Not in Setup"))</f>
        <v/>
      </c>
      <c r="J614" s="9"/>
    </row>
    <row r="615" customFormat="false" ht="15" hidden="false" customHeight="false" outlineLevel="0" collapsed="false">
      <c r="A615" s="10"/>
      <c r="B615" s="9"/>
      <c r="C615" s="9"/>
      <c r="D615" s="11"/>
      <c r="E615" s="11"/>
      <c r="F615" s="12"/>
      <c r="G615" s="13" t="str">
        <f aca="false">IF(F615&lt;&gt;"",F615,IF(OR(D615="",E615=""),"",ROUND(MOD(E615-D615,1)*1440,0)))</f>
        <v/>
      </c>
      <c r="H615" s="9"/>
      <c r="I615" s="14" t="str">
        <f aca="false">IF(H615="","",IFERROR(INDEX(Setup!$E$5:$E$34,MATCH(H615,Setup!$D$5:$D$34,0)),"Not in Setup"))</f>
        <v/>
      </c>
      <c r="J615" s="9"/>
    </row>
    <row r="616" customFormat="false" ht="15" hidden="false" customHeight="false" outlineLevel="0" collapsed="false">
      <c r="A616" s="10"/>
      <c r="B616" s="9"/>
      <c r="C616" s="9"/>
      <c r="D616" s="11"/>
      <c r="E616" s="11"/>
      <c r="F616" s="12"/>
      <c r="G616" s="13" t="str">
        <f aca="false">IF(F616&lt;&gt;"",F616,IF(OR(D616="",E616=""),"",ROUND(MOD(E616-D616,1)*1440,0)))</f>
        <v/>
      </c>
      <c r="H616" s="9"/>
      <c r="I616" s="14" t="str">
        <f aca="false">IF(H616="","",IFERROR(INDEX(Setup!$E$5:$E$34,MATCH(H616,Setup!$D$5:$D$34,0)),"Not in Setup"))</f>
        <v/>
      </c>
      <c r="J616" s="9"/>
    </row>
    <row r="617" customFormat="false" ht="15" hidden="false" customHeight="false" outlineLevel="0" collapsed="false">
      <c r="A617" s="10"/>
      <c r="B617" s="9"/>
      <c r="C617" s="9"/>
      <c r="D617" s="11"/>
      <c r="E617" s="11"/>
      <c r="F617" s="12"/>
      <c r="G617" s="13" t="str">
        <f aca="false">IF(F617&lt;&gt;"",F617,IF(OR(D617="",E617=""),"",ROUND(MOD(E617-D617,1)*1440,0)))</f>
        <v/>
      </c>
      <c r="H617" s="9"/>
      <c r="I617" s="14" t="str">
        <f aca="false">IF(H617="","",IFERROR(INDEX(Setup!$E$5:$E$34,MATCH(H617,Setup!$D$5:$D$34,0)),"Not in Setup"))</f>
        <v/>
      </c>
      <c r="J617" s="9"/>
    </row>
    <row r="618" customFormat="false" ht="15" hidden="false" customHeight="false" outlineLevel="0" collapsed="false">
      <c r="A618" s="10"/>
      <c r="B618" s="9"/>
      <c r="C618" s="9"/>
      <c r="D618" s="11"/>
      <c r="E618" s="11"/>
      <c r="F618" s="12"/>
      <c r="G618" s="13" t="str">
        <f aca="false">IF(F618&lt;&gt;"",F618,IF(OR(D618="",E618=""),"",ROUND(MOD(E618-D618,1)*1440,0)))</f>
        <v/>
      </c>
      <c r="H618" s="9"/>
      <c r="I618" s="14" t="str">
        <f aca="false">IF(H618="","",IFERROR(INDEX(Setup!$E$5:$E$34,MATCH(H618,Setup!$D$5:$D$34,0)),"Not in Setup"))</f>
        <v/>
      </c>
      <c r="J618" s="9"/>
    </row>
    <row r="619" customFormat="false" ht="15" hidden="false" customHeight="false" outlineLevel="0" collapsed="false">
      <c r="A619" s="10"/>
      <c r="B619" s="9"/>
      <c r="C619" s="9"/>
      <c r="D619" s="11"/>
      <c r="E619" s="11"/>
      <c r="F619" s="12"/>
      <c r="G619" s="13" t="str">
        <f aca="false">IF(F619&lt;&gt;"",F619,IF(OR(D619="",E619=""),"",ROUND(MOD(E619-D619,1)*1440,0)))</f>
        <v/>
      </c>
      <c r="H619" s="9"/>
      <c r="I619" s="14" t="str">
        <f aca="false">IF(H619="","",IFERROR(INDEX(Setup!$E$5:$E$34,MATCH(H619,Setup!$D$5:$D$34,0)),"Not in Setup"))</f>
        <v/>
      </c>
      <c r="J619" s="9"/>
    </row>
    <row r="620" customFormat="false" ht="15" hidden="false" customHeight="false" outlineLevel="0" collapsed="false">
      <c r="A620" s="10"/>
      <c r="B620" s="9"/>
      <c r="C620" s="9"/>
      <c r="D620" s="11"/>
      <c r="E620" s="11"/>
      <c r="F620" s="12"/>
      <c r="G620" s="13" t="str">
        <f aca="false">IF(F620&lt;&gt;"",F620,IF(OR(D620="",E620=""),"",ROUND(MOD(E620-D620,1)*1440,0)))</f>
        <v/>
      </c>
      <c r="H620" s="9"/>
      <c r="I620" s="14" t="str">
        <f aca="false">IF(H620="","",IFERROR(INDEX(Setup!$E$5:$E$34,MATCH(H620,Setup!$D$5:$D$34,0)),"Not in Setup"))</f>
        <v/>
      </c>
      <c r="J620" s="9"/>
    </row>
    <row r="621" customFormat="false" ht="15" hidden="false" customHeight="false" outlineLevel="0" collapsed="false">
      <c r="A621" s="10"/>
      <c r="B621" s="9"/>
      <c r="C621" s="9"/>
      <c r="D621" s="11"/>
      <c r="E621" s="11"/>
      <c r="F621" s="12"/>
      <c r="G621" s="13" t="str">
        <f aca="false">IF(F621&lt;&gt;"",F621,IF(OR(D621="",E621=""),"",ROUND(MOD(E621-D621,1)*1440,0)))</f>
        <v/>
      </c>
      <c r="H621" s="9"/>
      <c r="I621" s="14" t="str">
        <f aca="false">IF(H621="","",IFERROR(INDEX(Setup!$E$5:$E$34,MATCH(H621,Setup!$D$5:$D$34,0)),"Not in Setup"))</f>
        <v/>
      </c>
      <c r="J621" s="9"/>
    </row>
    <row r="622" customFormat="false" ht="15" hidden="false" customHeight="false" outlineLevel="0" collapsed="false">
      <c r="A622" s="10"/>
      <c r="B622" s="9"/>
      <c r="C622" s="9"/>
      <c r="D622" s="11"/>
      <c r="E622" s="11"/>
      <c r="F622" s="12"/>
      <c r="G622" s="13" t="str">
        <f aca="false">IF(F622&lt;&gt;"",F622,IF(OR(D622="",E622=""),"",ROUND(MOD(E622-D622,1)*1440,0)))</f>
        <v/>
      </c>
      <c r="H622" s="9"/>
      <c r="I622" s="14" t="str">
        <f aca="false">IF(H622="","",IFERROR(INDEX(Setup!$E$5:$E$34,MATCH(H622,Setup!$D$5:$D$34,0)),"Not in Setup"))</f>
        <v/>
      </c>
      <c r="J622" s="9"/>
    </row>
    <row r="623" customFormat="false" ht="15" hidden="false" customHeight="false" outlineLevel="0" collapsed="false">
      <c r="A623" s="10"/>
      <c r="B623" s="9"/>
      <c r="C623" s="9"/>
      <c r="D623" s="11"/>
      <c r="E623" s="11"/>
      <c r="F623" s="12"/>
      <c r="G623" s="13" t="str">
        <f aca="false">IF(F623&lt;&gt;"",F623,IF(OR(D623="",E623=""),"",ROUND(MOD(E623-D623,1)*1440,0)))</f>
        <v/>
      </c>
      <c r="H623" s="9"/>
      <c r="I623" s="14" t="str">
        <f aca="false">IF(H623="","",IFERROR(INDEX(Setup!$E$5:$E$34,MATCH(H623,Setup!$D$5:$D$34,0)),"Not in Setup"))</f>
        <v/>
      </c>
      <c r="J623" s="9"/>
    </row>
    <row r="624" customFormat="false" ht="15" hidden="false" customHeight="false" outlineLevel="0" collapsed="false">
      <c r="A624" s="10"/>
      <c r="B624" s="9"/>
      <c r="C624" s="9"/>
      <c r="D624" s="11"/>
      <c r="E624" s="11"/>
      <c r="F624" s="12"/>
      <c r="G624" s="13" t="str">
        <f aca="false">IF(F624&lt;&gt;"",F624,IF(OR(D624="",E624=""),"",ROUND(MOD(E624-D624,1)*1440,0)))</f>
        <v/>
      </c>
      <c r="H624" s="9"/>
      <c r="I624" s="14" t="str">
        <f aca="false">IF(H624="","",IFERROR(INDEX(Setup!$E$5:$E$34,MATCH(H624,Setup!$D$5:$D$34,0)),"Not in Setup"))</f>
        <v/>
      </c>
      <c r="J624" s="9"/>
    </row>
    <row r="625" customFormat="false" ht="15" hidden="false" customHeight="false" outlineLevel="0" collapsed="false">
      <c r="A625" s="10"/>
      <c r="B625" s="9"/>
      <c r="C625" s="9"/>
      <c r="D625" s="11"/>
      <c r="E625" s="11"/>
      <c r="F625" s="12"/>
      <c r="G625" s="13" t="str">
        <f aca="false">IF(F625&lt;&gt;"",F625,IF(OR(D625="",E625=""),"",ROUND(MOD(E625-D625,1)*1440,0)))</f>
        <v/>
      </c>
      <c r="H625" s="9"/>
      <c r="I625" s="14" t="str">
        <f aca="false">IF(H625="","",IFERROR(INDEX(Setup!$E$5:$E$34,MATCH(H625,Setup!$D$5:$D$34,0)),"Not in Setup"))</f>
        <v/>
      </c>
      <c r="J625" s="9"/>
    </row>
    <row r="626" customFormat="false" ht="15" hidden="false" customHeight="false" outlineLevel="0" collapsed="false">
      <c r="A626" s="10"/>
      <c r="B626" s="9"/>
      <c r="C626" s="9"/>
      <c r="D626" s="11"/>
      <c r="E626" s="11"/>
      <c r="F626" s="12"/>
      <c r="G626" s="13" t="str">
        <f aca="false">IF(F626&lt;&gt;"",F626,IF(OR(D626="",E626=""),"",ROUND(MOD(E626-D626,1)*1440,0)))</f>
        <v/>
      </c>
      <c r="H626" s="9"/>
      <c r="I626" s="14" t="str">
        <f aca="false">IF(H626="","",IFERROR(INDEX(Setup!$E$5:$E$34,MATCH(H626,Setup!$D$5:$D$34,0)),"Not in Setup"))</f>
        <v/>
      </c>
      <c r="J626" s="9"/>
    </row>
    <row r="627" customFormat="false" ht="15" hidden="false" customHeight="false" outlineLevel="0" collapsed="false">
      <c r="A627" s="10"/>
      <c r="B627" s="9"/>
      <c r="C627" s="9"/>
      <c r="D627" s="11"/>
      <c r="E627" s="11"/>
      <c r="F627" s="12"/>
      <c r="G627" s="13" t="str">
        <f aca="false">IF(F627&lt;&gt;"",F627,IF(OR(D627="",E627=""),"",ROUND(MOD(E627-D627,1)*1440,0)))</f>
        <v/>
      </c>
      <c r="H627" s="9"/>
      <c r="I627" s="14" t="str">
        <f aca="false">IF(H627="","",IFERROR(INDEX(Setup!$E$5:$E$34,MATCH(H627,Setup!$D$5:$D$34,0)),"Not in Setup"))</f>
        <v/>
      </c>
      <c r="J627" s="9"/>
    </row>
    <row r="628" customFormat="false" ht="15" hidden="false" customHeight="false" outlineLevel="0" collapsed="false">
      <c r="A628" s="10"/>
      <c r="B628" s="9"/>
      <c r="C628" s="9"/>
      <c r="D628" s="11"/>
      <c r="E628" s="11"/>
      <c r="F628" s="12"/>
      <c r="G628" s="13" t="str">
        <f aca="false">IF(F628&lt;&gt;"",F628,IF(OR(D628="",E628=""),"",ROUND(MOD(E628-D628,1)*1440,0)))</f>
        <v/>
      </c>
      <c r="H628" s="9"/>
      <c r="I628" s="14" t="str">
        <f aca="false">IF(H628="","",IFERROR(INDEX(Setup!$E$5:$E$34,MATCH(H628,Setup!$D$5:$D$34,0)),"Not in Setup"))</f>
        <v/>
      </c>
      <c r="J628" s="9"/>
    </row>
    <row r="629" customFormat="false" ht="15" hidden="false" customHeight="false" outlineLevel="0" collapsed="false">
      <c r="A629" s="10"/>
      <c r="B629" s="9"/>
      <c r="C629" s="9"/>
      <c r="D629" s="11"/>
      <c r="E629" s="11"/>
      <c r="F629" s="12"/>
      <c r="G629" s="13" t="str">
        <f aca="false">IF(F629&lt;&gt;"",F629,IF(OR(D629="",E629=""),"",ROUND(MOD(E629-D629,1)*1440,0)))</f>
        <v/>
      </c>
      <c r="H629" s="9"/>
      <c r="I629" s="14" t="str">
        <f aca="false">IF(H629="","",IFERROR(INDEX(Setup!$E$5:$E$34,MATCH(H629,Setup!$D$5:$D$34,0)),"Not in Setup"))</f>
        <v/>
      </c>
      <c r="J629" s="9"/>
    </row>
    <row r="630" customFormat="false" ht="15" hidden="false" customHeight="false" outlineLevel="0" collapsed="false">
      <c r="A630" s="10"/>
      <c r="B630" s="9"/>
      <c r="C630" s="9"/>
      <c r="D630" s="11"/>
      <c r="E630" s="11"/>
      <c r="F630" s="12"/>
      <c r="G630" s="13" t="str">
        <f aca="false">IF(F630&lt;&gt;"",F630,IF(OR(D630="",E630=""),"",ROUND(MOD(E630-D630,1)*1440,0)))</f>
        <v/>
      </c>
      <c r="H630" s="9"/>
      <c r="I630" s="14" t="str">
        <f aca="false">IF(H630="","",IFERROR(INDEX(Setup!$E$5:$E$34,MATCH(H630,Setup!$D$5:$D$34,0)),"Not in Setup"))</f>
        <v/>
      </c>
      <c r="J630" s="9"/>
    </row>
    <row r="631" customFormat="false" ht="15" hidden="false" customHeight="false" outlineLevel="0" collapsed="false">
      <c r="A631" s="10"/>
      <c r="B631" s="9"/>
      <c r="C631" s="9"/>
      <c r="D631" s="11"/>
      <c r="E631" s="11"/>
      <c r="F631" s="12"/>
      <c r="G631" s="13" t="str">
        <f aca="false">IF(F631&lt;&gt;"",F631,IF(OR(D631="",E631=""),"",ROUND(MOD(E631-D631,1)*1440,0)))</f>
        <v/>
      </c>
      <c r="H631" s="9"/>
      <c r="I631" s="14" t="str">
        <f aca="false">IF(H631="","",IFERROR(INDEX(Setup!$E$5:$E$34,MATCH(H631,Setup!$D$5:$D$34,0)),"Not in Setup"))</f>
        <v/>
      </c>
      <c r="J631" s="9"/>
    </row>
    <row r="632" customFormat="false" ht="15" hidden="false" customHeight="false" outlineLevel="0" collapsed="false">
      <c r="A632" s="10"/>
      <c r="B632" s="9"/>
      <c r="C632" s="9"/>
      <c r="D632" s="11"/>
      <c r="E632" s="11"/>
      <c r="F632" s="12"/>
      <c r="G632" s="13" t="str">
        <f aca="false">IF(F632&lt;&gt;"",F632,IF(OR(D632="",E632=""),"",ROUND(MOD(E632-D632,1)*1440,0)))</f>
        <v/>
      </c>
      <c r="H632" s="9"/>
      <c r="I632" s="14" t="str">
        <f aca="false">IF(H632="","",IFERROR(INDEX(Setup!$E$5:$E$34,MATCH(H632,Setup!$D$5:$D$34,0)),"Not in Setup"))</f>
        <v/>
      </c>
      <c r="J632" s="9"/>
    </row>
    <row r="633" customFormat="false" ht="15" hidden="false" customHeight="false" outlineLevel="0" collapsed="false">
      <c r="A633" s="10"/>
      <c r="B633" s="9"/>
      <c r="C633" s="9"/>
      <c r="D633" s="11"/>
      <c r="E633" s="11"/>
      <c r="F633" s="12"/>
      <c r="G633" s="13" t="str">
        <f aca="false">IF(F633&lt;&gt;"",F633,IF(OR(D633="",E633=""),"",ROUND(MOD(E633-D633,1)*1440,0)))</f>
        <v/>
      </c>
      <c r="H633" s="9"/>
      <c r="I633" s="14" t="str">
        <f aca="false">IF(H633="","",IFERROR(INDEX(Setup!$E$5:$E$34,MATCH(H633,Setup!$D$5:$D$34,0)),"Not in Setup"))</f>
        <v/>
      </c>
      <c r="J633" s="9"/>
    </row>
    <row r="634" customFormat="false" ht="15" hidden="false" customHeight="false" outlineLevel="0" collapsed="false">
      <c r="A634" s="10"/>
      <c r="B634" s="9"/>
      <c r="C634" s="9"/>
      <c r="D634" s="11"/>
      <c r="E634" s="11"/>
      <c r="F634" s="12"/>
      <c r="G634" s="13" t="str">
        <f aca="false">IF(F634&lt;&gt;"",F634,IF(OR(D634="",E634=""),"",ROUND(MOD(E634-D634,1)*1440,0)))</f>
        <v/>
      </c>
      <c r="H634" s="9"/>
      <c r="I634" s="14" t="str">
        <f aca="false">IF(H634="","",IFERROR(INDEX(Setup!$E$5:$E$34,MATCH(H634,Setup!$D$5:$D$34,0)),"Not in Setup"))</f>
        <v/>
      </c>
      <c r="J634" s="9"/>
    </row>
    <row r="635" customFormat="false" ht="15" hidden="false" customHeight="false" outlineLevel="0" collapsed="false">
      <c r="A635" s="10"/>
      <c r="B635" s="9"/>
      <c r="C635" s="9"/>
      <c r="D635" s="11"/>
      <c r="E635" s="11"/>
      <c r="F635" s="12"/>
      <c r="G635" s="13" t="str">
        <f aca="false">IF(F635&lt;&gt;"",F635,IF(OR(D635="",E635=""),"",ROUND(MOD(E635-D635,1)*1440,0)))</f>
        <v/>
      </c>
      <c r="H635" s="9"/>
      <c r="I635" s="14" t="str">
        <f aca="false">IF(H635="","",IFERROR(INDEX(Setup!$E$5:$E$34,MATCH(H635,Setup!$D$5:$D$34,0)),"Not in Setup"))</f>
        <v/>
      </c>
      <c r="J635" s="9"/>
    </row>
    <row r="636" customFormat="false" ht="15" hidden="false" customHeight="false" outlineLevel="0" collapsed="false">
      <c r="A636" s="10"/>
      <c r="B636" s="9"/>
      <c r="C636" s="9"/>
      <c r="D636" s="11"/>
      <c r="E636" s="11"/>
      <c r="F636" s="12"/>
      <c r="G636" s="13" t="str">
        <f aca="false">IF(F636&lt;&gt;"",F636,IF(OR(D636="",E636=""),"",ROUND(MOD(E636-D636,1)*1440,0)))</f>
        <v/>
      </c>
      <c r="H636" s="9"/>
      <c r="I636" s="14" t="str">
        <f aca="false">IF(H636="","",IFERROR(INDEX(Setup!$E$5:$E$34,MATCH(H636,Setup!$D$5:$D$34,0)),"Not in Setup"))</f>
        <v/>
      </c>
      <c r="J636" s="9"/>
    </row>
    <row r="637" customFormat="false" ht="15" hidden="false" customHeight="false" outlineLevel="0" collapsed="false">
      <c r="A637" s="10"/>
      <c r="B637" s="9"/>
      <c r="C637" s="9"/>
      <c r="D637" s="11"/>
      <c r="E637" s="11"/>
      <c r="F637" s="12"/>
      <c r="G637" s="13" t="str">
        <f aca="false">IF(F637&lt;&gt;"",F637,IF(OR(D637="",E637=""),"",ROUND(MOD(E637-D637,1)*1440,0)))</f>
        <v/>
      </c>
      <c r="H637" s="9"/>
      <c r="I637" s="14" t="str">
        <f aca="false">IF(H637="","",IFERROR(INDEX(Setup!$E$5:$E$34,MATCH(H637,Setup!$D$5:$D$34,0)),"Not in Setup"))</f>
        <v/>
      </c>
      <c r="J637" s="9"/>
    </row>
    <row r="638" customFormat="false" ht="15" hidden="false" customHeight="false" outlineLevel="0" collapsed="false">
      <c r="A638" s="10"/>
      <c r="B638" s="9"/>
      <c r="C638" s="9"/>
      <c r="D638" s="11"/>
      <c r="E638" s="11"/>
      <c r="F638" s="12"/>
      <c r="G638" s="13" t="str">
        <f aca="false">IF(F638&lt;&gt;"",F638,IF(OR(D638="",E638=""),"",ROUND(MOD(E638-D638,1)*1440,0)))</f>
        <v/>
      </c>
      <c r="H638" s="9"/>
      <c r="I638" s="14" t="str">
        <f aca="false">IF(H638="","",IFERROR(INDEX(Setup!$E$5:$E$34,MATCH(H638,Setup!$D$5:$D$34,0)),"Not in Setup"))</f>
        <v/>
      </c>
      <c r="J638" s="9"/>
    </row>
    <row r="639" customFormat="false" ht="15" hidden="false" customHeight="false" outlineLevel="0" collapsed="false">
      <c r="A639" s="10"/>
      <c r="B639" s="9"/>
      <c r="C639" s="9"/>
      <c r="D639" s="11"/>
      <c r="E639" s="11"/>
      <c r="F639" s="12"/>
      <c r="G639" s="13" t="str">
        <f aca="false">IF(F639&lt;&gt;"",F639,IF(OR(D639="",E639=""),"",ROUND(MOD(E639-D639,1)*1440,0)))</f>
        <v/>
      </c>
      <c r="H639" s="9"/>
      <c r="I639" s="14" t="str">
        <f aca="false">IF(H639="","",IFERROR(INDEX(Setup!$E$5:$E$34,MATCH(H639,Setup!$D$5:$D$34,0)),"Not in Setup"))</f>
        <v/>
      </c>
      <c r="J639" s="9"/>
    </row>
    <row r="640" customFormat="false" ht="15" hidden="false" customHeight="false" outlineLevel="0" collapsed="false">
      <c r="A640" s="10"/>
      <c r="B640" s="9"/>
      <c r="C640" s="9"/>
      <c r="D640" s="11"/>
      <c r="E640" s="11"/>
      <c r="F640" s="12"/>
      <c r="G640" s="13" t="str">
        <f aca="false">IF(F640&lt;&gt;"",F640,IF(OR(D640="",E640=""),"",ROUND(MOD(E640-D640,1)*1440,0)))</f>
        <v/>
      </c>
      <c r="H640" s="9"/>
      <c r="I640" s="14" t="str">
        <f aca="false">IF(H640="","",IFERROR(INDEX(Setup!$E$5:$E$34,MATCH(H640,Setup!$D$5:$D$34,0)),"Not in Setup"))</f>
        <v/>
      </c>
      <c r="J640" s="9"/>
    </row>
    <row r="641" customFormat="false" ht="15" hidden="false" customHeight="false" outlineLevel="0" collapsed="false">
      <c r="A641" s="10"/>
      <c r="B641" s="9"/>
      <c r="C641" s="9"/>
      <c r="D641" s="11"/>
      <c r="E641" s="11"/>
      <c r="F641" s="12"/>
      <c r="G641" s="13" t="str">
        <f aca="false">IF(F641&lt;&gt;"",F641,IF(OR(D641="",E641=""),"",ROUND(MOD(E641-D641,1)*1440,0)))</f>
        <v/>
      </c>
      <c r="H641" s="9"/>
      <c r="I641" s="14" t="str">
        <f aca="false">IF(H641="","",IFERROR(INDEX(Setup!$E$5:$E$34,MATCH(H641,Setup!$D$5:$D$34,0)),"Not in Setup"))</f>
        <v/>
      </c>
      <c r="J641" s="9"/>
    </row>
    <row r="642" customFormat="false" ht="15" hidden="false" customHeight="false" outlineLevel="0" collapsed="false">
      <c r="A642" s="10"/>
      <c r="B642" s="9"/>
      <c r="C642" s="9"/>
      <c r="D642" s="11"/>
      <c r="E642" s="11"/>
      <c r="F642" s="12"/>
      <c r="G642" s="13" t="str">
        <f aca="false">IF(F642&lt;&gt;"",F642,IF(OR(D642="",E642=""),"",ROUND(MOD(E642-D642,1)*1440,0)))</f>
        <v/>
      </c>
      <c r="H642" s="9"/>
      <c r="I642" s="14" t="str">
        <f aca="false">IF(H642="","",IFERROR(INDEX(Setup!$E$5:$E$34,MATCH(H642,Setup!$D$5:$D$34,0)),"Not in Setup"))</f>
        <v/>
      </c>
      <c r="J642" s="9"/>
    </row>
    <row r="643" customFormat="false" ht="15" hidden="false" customHeight="false" outlineLevel="0" collapsed="false">
      <c r="A643" s="10"/>
      <c r="B643" s="9"/>
      <c r="C643" s="9"/>
      <c r="D643" s="11"/>
      <c r="E643" s="11"/>
      <c r="F643" s="12"/>
      <c r="G643" s="13" t="str">
        <f aca="false">IF(F643&lt;&gt;"",F643,IF(OR(D643="",E643=""),"",ROUND(MOD(E643-D643,1)*1440,0)))</f>
        <v/>
      </c>
      <c r="H643" s="9"/>
      <c r="I643" s="14" t="str">
        <f aca="false">IF(H643="","",IFERROR(INDEX(Setup!$E$5:$E$34,MATCH(H643,Setup!$D$5:$D$34,0)),"Not in Setup"))</f>
        <v/>
      </c>
      <c r="J643" s="9"/>
    </row>
    <row r="644" customFormat="false" ht="15" hidden="false" customHeight="false" outlineLevel="0" collapsed="false">
      <c r="A644" s="10"/>
      <c r="B644" s="9"/>
      <c r="C644" s="9"/>
      <c r="D644" s="11"/>
      <c r="E644" s="11"/>
      <c r="F644" s="12"/>
      <c r="G644" s="13" t="str">
        <f aca="false">IF(F644&lt;&gt;"",F644,IF(OR(D644="",E644=""),"",ROUND(MOD(E644-D644,1)*1440,0)))</f>
        <v/>
      </c>
      <c r="H644" s="9"/>
      <c r="I644" s="14" t="str">
        <f aca="false">IF(H644="","",IFERROR(INDEX(Setup!$E$5:$E$34,MATCH(H644,Setup!$D$5:$D$34,0)),"Not in Setup"))</f>
        <v/>
      </c>
      <c r="J644" s="9"/>
    </row>
    <row r="645" customFormat="false" ht="15" hidden="false" customHeight="false" outlineLevel="0" collapsed="false">
      <c r="A645" s="10"/>
      <c r="B645" s="9"/>
      <c r="C645" s="9"/>
      <c r="D645" s="11"/>
      <c r="E645" s="11"/>
      <c r="F645" s="12"/>
      <c r="G645" s="13" t="str">
        <f aca="false">IF(F645&lt;&gt;"",F645,IF(OR(D645="",E645=""),"",ROUND(MOD(E645-D645,1)*1440,0)))</f>
        <v/>
      </c>
      <c r="H645" s="9"/>
      <c r="I645" s="14" t="str">
        <f aca="false">IF(H645="","",IFERROR(INDEX(Setup!$E$5:$E$34,MATCH(H645,Setup!$D$5:$D$34,0)),"Not in Setup"))</f>
        <v/>
      </c>
      <c r="J645" s="9"/>
    </row>
    <row r="646" customFormat="false" ht="15" hidden="false" customHeight="false" outlineLevel="0" collapsed="false">
      <c r="A646" s="10"/>
      <c r="B646" s="9"/>
      <c r="C646" s="9"/>
      <c r="D646" s="11"/>
      <c r="E646" s="11"/>
      <c r="F646" s="12"/>
      <c r="G646" s="13" t="str">
        <f aca="false">IF(F646&lt;&gt;"",F646,IF(OR(D646="",E646=""),"",ROUND(MOD(E646-D646,1)*1440,0)))</f>
        <v/>
      </c>
      <c r="H646" s="9"/>
      <c r="I646" s="14" t="str">
        <f aca="false">IF(H646="","",IFERROR(INDEX(Setup!$E$5:$E$34,MATCH(H646,Setup!$D$5:$D$34,0)),"Not in Setup"))</f>
        <v/>
      </c>
      <c r="J646" s="9"/>
    </row>
    <row r="647" customFormat="false" ht="15" hidden="false" customHeight="false" outlineLevel="0" collapsed="false">
      <c r="A647" s="10"/>
      <c r="B647" s="9"/>
      <c r="C647" s="9"/>
      <c r="D647" s="11"/>
      <c r="E647" s="11"/>
      <c r="F647" s="12"/>
      <c r="G647" s="13" t="str">
        <f aca="false">IF(F647&lt;&gt;"",F647,IF(OR(D647="",E647=""),"",ROUND(MOD(E647-D647,1)*1440,0)))</f>
        <v/>
      </c>
      <c r="H647" s="9"/>
      <c r="I647" s="14" t="str">
        <f aca="false">IF(H647="","",IFERROR(INDEX(Setup!$E$5:$E$34,MATCH(H647,Setup!$D$5:$D$34,0)),"Not in Setup"))</f>
        <v/>
      </c>
      <c r="J647" s="9"/>
    </row>
    <row r="648" customFormat="false" ht="15" hidden="false" customHeight="false" outlineLevel="0" collapsed="false">
      <c r="A648" s="10"/>
      <c r="B648" s="9"/>
      <c r="C648" s="9"/>
      <c r="D648" s="11"/>
      <c r="E648" s="11"/>
      <c r="F648" s="12"/>
      <c r="G648" s="13" t="str">
        <f aca="false">IF(F648&lt;&gt;"",F648,IF(OR(D648="",E648=""),"",ROUND(MOD(E648-D648,1)*1440,0)))</f>
        <v/>
      </c>
      <c r="H648" s="9"/>
      <c r="I648" s="14" t="str">
        <f aca="false">IF(H648="","",IFERROR(INDEX(Setup!$E$5:$E$34,MATCH(H648,Setup!$D$5:$D$34,0)),"Not in Setup"))</f>
        <v/>
      </c>
      <c r="J648" s="9"/>
    </row>
    <row r="649" customFormat="false" ht="15" hidden="false" customHeight="false" outlineLevel="0" collapsed="false">
      <c r="A649" s="10"/>
      <c r="B649" s="9"/>
      <c r="C649" s="9"/>
      <c r="D649" s="11"/>
      <c r="E649" s="11"/>
      <c r="F649" s="12"/>
      <c r="G649" s="13" t="str">
        <f aca="false">IF(F649&lt;&gt;"",F649,IF(OR(D649="",E649=""),"",ROUND(MOD(E649-D649,1)*1440,0)))</f>
        <v/>
      </c>
      <c r="H649" s="9"/>
      <c r="I649" s="14" t="str">
        <f aca="false">IF(H649="","",IFERROR(INDEX(Setup!$E$5:$E$34,MATCH(H649,Setup!$D$5:$D$34,0)),"Not in Setup"))</f>
        <v/>
      </c>
      <c r="J649" s="9"/>
    </row>
    <row r="650" customFormat="false" ht="15" hidden="false" customHeight="false" outlineLevel="0" collapsed="false">
      <c r="A650" s="10"/>
      <c r="B650" s="9"/>
      <c r="C650" s="9"/>
      <c r="D650" s="11"/>
      <c r="E650" s="11"/>
      <c r="F650" s="12"/>
      <c r="G650" s="13" t="str">
        <f aca="false">IF(F650&lt;&gt;"",F650,IF(OR(D650="",E650=""),"",ROUND(MOD(E650-D650,1)*1440,0)))</f>
        <v/>
      </c>
      <c r="H650" s="9"/>
      <c r="I650" s="14" t="str">
        <f aca="false">IF(H650="","",IFERROR(INDEX(Setup!$E$5:$E$34,MATCH(H650,Setup!$D$5:$D$34,0)),"Not in Setup"))</f>
        <v/>
      </c>
      <c r="J650" s="9"/>
    </row>
    <row r="651" customFormat="false" ht="15" hidden="false" customHeight="false" outlineLevel="0" collapsed="false">
      <c r="A651" s="10"/>
      <c r="B651" s="9"/>
      <c r="C651" s="9"/>
      <c r="D651" s="11"/>
      <c r="E651" s="11"/>
      <c r="F651" s="12"/>
      <c r="G651" s="13" t="str">
        <f aca="false">IF(F651&lt;&gt;"",F651,IF(OR(D651="",E651=""),"",ROUND(MOD(E651-D651,1)*1440,0)))</f>
        <v/>
      </c>
      <c r="H651" s="9"/>
      <c r="I651" s="14" t="str">
        <f aca="false">IF(H651="","",IFERROR(INDEX(Setup!$E$5:$E$34,MATCH(H651,Setup!$D$5:$D$34,0)),"Not in Setup"))</f>
        <v/>
      </c>
      <c r="J651" s="9"/>
    </row>
    <row r="652" customFormat="false" ht="15" hidden="false" customHeight="false" outlineLevel="0" collapsed="false">
      <c r="A652" s="10"/>
      <c r="B652" s="9"/>
      <c r="C652" s="9"/>
      <c r="D652" s="11"/>
      <c r="E652" s="11"/>
      <c r="F652" s="12"/>
      <c r="G652" s="13" t="str">
        <f aca="false">IF(F652&lt;&gt;"",F652,IF(OR(D652="",E652=""),"",ROUND(MOD(E652-D652,1)*1440,0)))</f>
        <v/>
      </c>
      <c r="H652" s="9"/>
      <c r="I652" s="14" t="str">
        <f aca="false">IF(H652="","",IFERROR(INDEX(Setup!$E$5:$E$34,MATCH(H652,Setup!$D$5:$D$34,0)),"Not in Setup"))</f>
        <v/>
      </c>
      <c r="J652" s="9"/>
    </row>
    <row r="653" customFormat="false" ht="15" hidden="false" customHeight="false" outlineLevel="0" collapsed="false">
      <c r="A653" s="10"/>
      <c r="B653" s="9"/>
      <c r="C653" s="9"/>
      <c r="D653" s="11"/>
      <c r="E653" s="11"/>
      <c r="F653" s="12"/>
      <c r="G653" s="13" t="str">
        <f aca="false">IF(F653&lt;&gt;"",F653,IF(OR(D653="",E653=""),"",ROUND(MOD(E653-D653,1)*1440,0)))</f>
        <v/>
      </c>
      <c r="H653" s="9"/>
      <c r="I653" s="14" t="str">
        <f aca="false">IF(H653="","",IFERROR(INDEX(Setup!$E$5:$E$34,MATCH(H653,Setup!$D$5:$D$34,0)),"Not in Setup"))</f>
        <v/>
      </c>
      <c r="J653" s="9"/>
    </row>
    <row r="654" customFormat="false" ht="15" hidden="false" customHeight="false" outlineLevel="0" collapsed="false">
      <c r="A654" s="10"/>
      <c r="B654" s="9"/>
      <c r="C654" s="9"/>
      <c r="D654" s="11"/>
      <c r="E654" s="11"/>
      <c r="F654" s="12"/>
      <c r="G654" s="13" t="str">
        <f aca="false">IF(F654&lt;&gt;"",F654,IF(OR(D654="",E654=""),"",ROUND(MOD(E654-D654,1)*1440,0)))</f>
        <v/>
      </c>
      <c r="H654" s="9"/>
      <c r="I654" s="14" t="str">
        <f aca="false">IF(H654="","",IFERROR(INDEX(Setup!$E$5:$E$34,MATCH(H654,Setup!$D$5:$D$34,0)),"Not in Setup"))</f>
        <v/>
      </c>
      <c r="J654" s="9"/>
    </row>
    <row r="655" customFormat="false" ht="15" hidden="false" customHeight="false" outlineLevel="0" collapsed="false">
      <c r="A655" s="10"/>
      <c r="B655" s="9"/>
      <c r="C655" s="9"/>
      <c r="D655" s="11"/>
      <c r="E655" s="11"/>
      <c r="F655" s="12"/>
      <c r="G655" s="13" t="str">
        <f aca="false">IF(F655&lt;&gt;"",F655,IF(OR(D655="",E655=""),"",ROUND(MOD(E655-D655,1)*1440,0)))</f>
        <v/>
      </c>
      <c r="H655" s="9"/>
      <c r="I655" s="14" t="str">
        <f aca="false">IF(H655="","",IFERROR(INDEX(Setup!$E$5:$E$34,MATCH(H655,Setup!$D$5:$D$34,0)),"Not in Setup"))</f>
        <v/>
      </c>
      <c r="J655" s="9"/>
    </row>
    <row r="656" customFormat="false" ht="15" hidden="false" customHeight="false" outlineLevel="0" collapsed="false">
      <c r="A656" s="10"/>
      <c r="B656" s="9"/>
      <c r="C656" s="9"/>
      <c r="D656" s="11"/>
      <c r="E656" s="11"/>
      <c r="F656" s="12"/>
      <c r="G656" s="13" t="str">
        <f aca="false">IF(F656&lt;&gt;"",F656,IF(OR(D656="",E656=""),"",ROUND(MOD(E656-D656,1)*1440,0)))</f>
        <v/>
      </c>
      <c r="H656" s="9"/>
      <c r="I656" s="14" t="str">
        <f aca="false">IF(H656="","",IFERROR(INDEX(Setup!$E$5:$E$34,MATCH(H656,Setup!$D$5:$D$34,0)),"Not in Setup"))</f>
        <v/>
      </c>
      <c r="J656" s="9"/>
    </row>
    <row r="657" customFormat="false" ht="15" hidden="false" customHeight="false" outlineLevel="0" collapsed="false">
      <c r="A657" s="10"/>
      <c r="B657" s="9"/>
      <c r="C657" s="9"/>
      <c r="D657" s="11"/>
      <c r="E657" s="11"/>
      <c r="F657" s="12"/>
      <c r="G657" s="13" t="str">
        <f aca="false">IF(F657&lt;&gt;"",F657,IF(OR(D657="",E657=""),"",ROUND(MOD(E657-D657,1)*1440,0)))</f>
        <v/>
      </c>
      <c r="H657" s="9"/>
      <c r="I657" s="14" t="str">
        <f aca="false">IF(H657="","",IFERROR(INDEX(Setup!$E$5:$E$34,MATCH(H657,Setup!$D$5:$D$34,0)),"Not in Setup"))</f>
        <v/>
      </c>
      <c r="J657" s="9"/>
    </row>
    <row r="658" customFormat="false" ht="15" hidden="false" customHeight="false" outlineLevel="0" collapsed="false">
      <c r="A658" s="10"/>
      <c r="B658" s="9"/>
      <c r="C658" s="9"/>
      <c r="D658" s="11"/>
      <c r="E658" s="11"/>
      <c r="F658" s="12"/>
      <c r="G658" s="13" t="str">
        <f aca="false">IF(F658&lt;&gt;"",F658,IF(OR(D658="",E658=""),"",ROUND(MOD(E658-D658,1)*1440,0)))</f>
        <v/>
      </c>
      <c r="H658" s="9"/>
      <c r="I658" s="14" t="str">
        <f aca="false">IF(H658="","",IFERROR(INDEX(Setup!$E$5:$E$34,MATCH(H658,Setup!$D$5:$D$34,0)),"Not in Setup"))</f>
        <v/>
      </c>
      <c r="J658" s="9"/>
    </row>
    <row r="659" customFormat="false" ht="15" hidden="false" customHeight="false" outlineLevel="0" collapsed="false">
      <c r="A659" s="10"/>
      <c r="B659" s="9"/>
      <c r="C659" s="9"/>
      <c r="D659" s="11"/>
      <c r="E659" s="11"/>
      <c r="F659" s="12"/>
      <c r="G659" s="13" t="str">
        <f aca="false">IF(F659&lt;&gt;"",F659,IF(OR(D659="",E659=""),"",ROUND(MOD(E659-D659,1)*1440,0)))</f>
        <v/>
      </c>
      <c r="H659" s="9"/>
      <c r="I659" s="14" t="str">
        <f aca="false">IF(H659="","",IFERROR(INDEX(Setup!$E$5:$E$34,MATCH(H659,Setup!$D$5:$D$34,0)),"Not in Setup"))</f>
        <v/>
      </c>
      <c r="J659" s="9"/>
    </row>
    <row r="660" customFormat="false" ht="15" hidden="false" customHeight="false" outlineLevel="0" collapsed="false">
      <c r="A660" s="10"/>
      <c r="B660" s="9"/>
      <c r="C660" s="9"/>
      <c r="D660" s="11"/>
      <c r="E660" s="11"/>
      <c r="F660" s="12"/>
      <c r="G660" s="13" t="str">
        <f aca="false">IF(F660&lt;&gt;"",F660,IF(OR(D660="",E660=""),"",ROUND(MOD(E660-D660,1)*1440,0)))</f>
        <v/>
      </c>
      <c r="H660" s="9"/>
      <c r="I660" s="14" t="str">
        <f aca="false">IF(H660="","",IFERROR(INDEX(Setup!$E$5:$E$34,MATCH(H660,Setup!$D$5:$D$34,0)),"Not in Setup"))</f>
        <v/>
      </c>
      <c r="J660" s="9"/>
    </row>
    <row r="661" customFormat="false" ht="15" hidden="false" customHeight="false" outlineLevel="0" collapsed="false">
      <c r="A661" s="10"/>
      <c r="B661" s="9"/>
      <c r="C661" s="9"/>
      <c r="D661" s="11"/>
      <c r="E661" s="11"/>
      <c r="F661" s="12"/>
      <c r="G661" s="13" t="str">
        <f aca="false">IF(F661&lt;&gt;"",F661,IF(OR(D661="",E661=""),"",ROUND(MOD(E661-D661,1)*1440,0)))</f>
        <v/>
      </c>
      <c r="H661" s="9"/>
      <c r="I661" s="14" t="str">
        <f aca="false">IF(H661="","",IFERROR(INDEX(Setup!$E$5:$E$34,MATCH(H661,Setup!$D$5:$D$34,0)),"Not in Setup"))</f>
        <v/>
      </c>
      <c r="J661" s="9"/>
    </row>
    <row r="662" customFormat="false" ht="15" hidden="false" customHeight="false" outlineLevel="0" collapsed="false">
      <c r="A662" s="10"/>
      <c r="B662" s="9"/>
      <c r="C662" s="9"/>
      <c r="D662" s="11"/>
      <c r="E662" s="11"/>
      <c r="F662" s="12"/>
      <c r="G662" s="13" t="str">
        <f aca="false">IF(F662&lt;&gt;"",F662,IF(OR(D662="",E662=""),"",ROUND(MOD(E662-D662,1)*1440,0)))</f>
        <v/>
      </c>
      <c r="H662" s="9"/>
      <c r="I662" s="14" t="str">
        <f aca="false">IF(H662="","",IFERROR(INDEX(Setup!$E$5:$E$34,MATCH(H662,Setup!$D$5:$D$34,0)),"Not in Setup"))</f>
        <v/>
      </c>
      <c r="J662" s="9"/>
    </row>
    <row r="663" customFormat="false" ht="15" hidden="false" customHeight="false" outlineLevel="0" collapsed="false">
      <c r="A663" s="10"/>
      <c r="B663" s="9"/>
      <c r="C663" s="9"/>
      <c r="D663" s="11"/>
      <c r="E663" s="11"/>
      <c r="F663" s="12"/>
      <c r="G663" s="13" t="str">
        <f aca="false">IF(F663&lt;&gt;"",F663,IF(OR(D663="",E663=""),"",ROUND(MOD(E663-D663,1)*1440,0)))</f>
        <v/>
      </c>
      <c r="H663" s="9"/>
      <c r="I663" s="14" t="str">
        <f aca="false">IF(H663="","",IFERROR(INDEX(Setup!$E$5:$E$34,MATCH(H663,Setup!$D$5:$D$34,0)),"Not in Setup"))</f>
        <v/>
      </c>
      <c r="J663" s="9"/>
    </row>
    <row r="664" customFormat="false" ht="15" hidden="false" customHeight="false" outlineLevel="0" collapsed="false">
      <c r="A664" s="10"/>
      <c r="B664" s="9"/>
      <c r="C664" s="9"/>
      <c r="D664" s="11"/>
      <c r="E664" s="11"/>
      <c r="F664" s="12"/>
      <c r="G664" s="13" t="str">
        <f aca="false">IF(F664&lt;&gt;"",F664,IF(OR(D664="",E664=""),"",ROUND(MOD(E664-D664,1)*1440,0)))</f>
        <v/>
      </c>
      <c r="H664" s="9"/>
      <c r="I664" s="14" t="str">
        <f aca="false">IF(H664="","",IFERROR(INDEX(Setup!$E$5:$E$34,MATCH(H664,Setup!$D$5:$D$34,0)),"Not in Setup"))</f>
        <v/>
      </c>
      <c r="J664" s="9"/>
    </row>
    <row r="665" customFormat="false" ht="15" hidden="false" customHeight="false" outlineLevel="0" collapsed="false">
      <c r="A665" s="10"/>
      <c r="B665" s="9"/>
      <c r="C665" s="9"/>
      <c r="D665" s="11"/>
      <c r="E665" s="11"/>
      <c r="F665" s="12"/>
      <c r="G665" s="13" t="str">
        <f aca="false">IF(F665&lt;&gt;"",F665,IF(OR(D665="",E665=""),"",ROUND(MOD(E665-D665,1)*1440,0)))</f>
        <v/>
      </c>
      <c r="H665" s="9"/>
      <c r="I665" s="14" t="str">
        <f aca="false">IF(H665="","",IFERROR(INDEX(Setup!$E$5:$E$34,MATCH(H665,Setup!$D$5:$D$34,0)),"Not in Setup"))</f>
        <v/>
      </c>
      <c r="J665" s="9"/>
    </row>
    <row r="666" customFormat="false" ht="15" hidden="false" customHeight="false" outlineLevel="0" collapsed="false">
      <c r="A666" s="10"/>
      <c r="B666" s="9"/>
      <c r="C666" s="9"/>
      <c r="D666" s="11"/>
      <c r="E666" s="11"/>
      <c r="F666" s="12"/>
      <c r="G666" s="13" t="str">
        <f aca="false">IF(F666&lt;&gt;"",F666,IF(OR(D666="",E666=""),"",ROUND(MOD(E666-D666,1)*1440,0)))</f>
        <v/>
      </c>
      <c r="H666" s="9"/>
      <c r="I666" s="14" t="str">
        <f aca="false">IF(H666="","",IFERROR(INDEX(Setup!$E$5:$E$34,MATCH(H666,Setup!$D$5:$D$34,0)),"Not in Setup"))</f>
        <v/>
      </c>
      <c r="J666" s="9"/>
    </row>
    <row r="667" customFormat="false" ht="15" hidden="false" customHeight="false" outlineLevel="0" collapsed="false">
      <c r="A667" s="10"/>
      <c r="B667" s="9"/>
      <c r="C667" s="9"/>
      <c r="D667" s="11"/>
      <c r="E667" s="11"/>
      <c r="F667" s="12"/>
      <c r="G667" s="13" t="str">
        <f aca="false">IF(F667&lt;&gt;"",F667,IF(OR(D667="",E667=""),"",ROUND(MOD(E667-D667,1)*1440,0)))</f>
        <v/>
      </c>
      <c r="H667" s="9"/>
      <c r="I667" s="14" t="str">
        <f aca="false">IF(H667="","",IFERROR(INDEX(Setup!$E$5:$E$34,MATCH(H667,Setup!$D$5:$D$34,0)),"Not in Setup"))</f>
        <v/>
      </c>
      <c r="J667" s="9"/>
    </row>
    <row r="668" customFormat="false" ht="15" hidden="false" customHeight="false" outlineLevel="0" collapsed="false">
      <c r="A668" s="10"/>
      <c r="B668" s="9"/>
      <c r="C668" s="9"/>
      <c r="D668" s="11"/>
      <c r="E668" s="11"/>
      <c r="F668" s="12"/>
      <c r="G668" s="13" t="str">
        <f aca="false">IF(F668&lt;&gt;"",F668,IF(OR(D668="",E668=""),"",ROUND(MOD(E668-D668,1)*1440,0)))</f>
        <v/>
      </c>
      <c r="H668" s="9"/>
      <c r="I668" s="14" t="str">
        <f aca="false">IF(H668="","",IFERROR(INDEX(Setup!$E$5:$E$34,MATCH(H668,Setup!$D$5:$D$34,0)),"Not in Setup"))</f>
        <v/>
      </c>
      <c r="J668" s="9"/>
    </row>
    <row r="669" customFormat="false" ht="15" hidden="false" customHeight="false" outlineLevel="0" collapsed="false">
      <c r="A669" s="10"/>
      <c r="B669" s="9"/>
      <c r="C669" s="9"/>
      <c r="D669" s="11"/>
      <c r="E669" s="11"/>
      <c r="F669" s="12"/>
      <c r="G669" s="13" t="str">
        <f aca="false">IF(F669&lt;&gt;"",F669,IF(OR(D669="",E669=""),"",ROUND(MOD(E669-D669,1)*1440,0)))</f>
        <v/>
      </c>
      <c r="H669" s="9"/>
      <c r="I669" s="14" t="str">
        <f aca="false">IF(H669="","",IFERROR(INDEX(Setup!$E$5:$E$34,MATCH(H669,Setup!$D$5:$D$34,0)),"Not in Setup"))</f>
        <v/>
      </c>
      <c r="J669" s="9"/>
    </row>
    <row r="670" customFormat="false" ht="15" hidden="false" customHeight="false" outlineLevel="0" collapsed="false">
      <c r="A670" s="10"/>
      <c r="B670" s="9"/>
      <c r="C670" s="9"/>
      <c r="D670" s="11"/>
      <c r="E670" s="11"/>
      <c r="F670" s="12"/>
      <c r="G670" s="13" t="str">
        <f aca="false">IF(F670&lt;&gt;"",F670,IF(OR(D670="",E670=""),"",ROUND(MOD(E670-D670,1)*1440,0)))</f>
        <v/>
      </c>
      <c r="H670" s="9"/>
      <c r="I670" s="14" t="str">
        <f aca="false">IF(H670="","",IFERROR(INDEX(Setup!$E$5:$E$34,MATCH(H670,Setup!$D$5:$D$34,0)),"Not in Setup"))</f>
        <v/>
      </c>
      <c r="J670" s="9"/>
    </row>
    <row r="671" customFormat="false" ht="15" hidden="false" customHeight="false" outlineLevel="0" collapsed="false">
      <c r="A671" s="10"/>
      <c r="B671" s="9"/>
      <c r="C671" s="9"/>
      <c r="D671" s="11"/>
      <c r="E671" s="11"/>
      <c r="F671" s="12"/>
      <c r="G671" s="13" t="str">
        <f aca="false">IF(F671&lt;&gt;"",F671,IF(OR(D671="",E671=""),"",ROUND(MOD(E671-D671,1)*1440,0)))</f>
        <v/>
      </c>
      <c r="H671" s="9"/>
      <c r="I671" s="14" t="str">
        <f aca="false">IF(H671="","",IFERROR(INDEX(Setup!$E$5:$E$34,MATCH(H671,Setup!$D$5:$D$34,0)),"Not in Setup"))</f>
        <v/>
      </c>
      <c r="J671" s="9"/>
    </row>
    <row r="672" customFormat="false" ht="15" hidden="false" customHeight="false" outlineLevel="0" collapsed="false">
      <c r="A672" s="10"/>
      <c r="B672" s="9"/>
      <c r="C672" s="9"/>
      <c r="D672" s="11"/>
      <c r="E672" s="11"/>
      <c r="F672" s="12"/>
      <c r="G672" s="13" t="str">
        <f aca="false">IF(F672&lt;&gt;"",F672,IF(OR(D672="",E672=""),"",ROUND(MOD(E672-D672,1)*1440,0)))</f>
        <v/>
      </c>
      <c r="H672" s="9"/>
      <c r="I672" s="14" t="str">
        <f aca="false">IF(H672="","",IFERROR(INDEX(Setup!$E$5:$E$34,MATCH(H672,Setup!$D$5:$D$34,0)),"Not in Setup"))</f>
        <v/>
      </c>
      <c r="J672" s="9"/>
    </row>
    <row r="673" customFormat="false" ht="15" hidden="false" customHeight="false" outlineLevel="0" collapsed="false">
      <c r="A673" s="10"/>
      <c r="B673" s="9"/>
      <c r="C673" s="9"/>
      <c r="D673" s="11"/>
      <c r="E673" s="11"/>
      <c r="F673" s="12"/>
      <c r="G673" s="13" t="str">
        <f aca="false">IF(F673&lt;&gt;"",F673,IF(OR(D673="",E673=""),"",ROUND(MOD(E673-D673,1)*1440,0)))</f>
        <v/>
      </c>
      <c r="H673" s="9"/>
      <c r="I673" s="14" t="str">
        <f aca="false">IF(H673="","",IFERROR(INDEX(Setup!$E$5:$E$34,MATCH(H673,Setup!$D$5:$D$34,0)),"Not in Setup"))</f>
        <v/>
      </c>
      <c r="J673" s="9"/>
    </row>
    <row r="674" customFormat="false" ht="15" hidden="false" customHeight="false" outlineLevel="0" collapsed="false">
      <c r="A674" s="10"/>
      <c r="B674" s="9"/>
      <c r="C674" s="9"/>
      <c r="D674" s="11"/>
      <c r="E674" s="11"/>
      <c r="F674" s="12"/>
      <c r="G674" s="13" t="str">
        <f aca="false">IF(F674&lt;&gt;"",F674,IF(OR(D674="",E674=""),"",ROUND(MOD(E674-D674,1)*1440,0)))</f>
        <v/>
      </c>
      <c r="H674" s="9"/>
      <c r="I674" s="14" t="str">
        <f aca="false">IF(H674="","",IFERROR(INDEX(Setup!$E$5:$E$34,MATCH(H674,Setup!$D$5:$D$34,0)),"Not in Setup"))</f>
        <v/>
      </c>
      <c r="J674" s="9"/>
    </row>
    <row r="675" customFormat="false" ht="15" hidden="false" customHeight="false" outlineLevel="0" collapsed="false">
      <c r="A675" s="10"/>
      <c r="B675" s="9"/>
      <c r="C675" s="9"/>
      <c r="D675" s="11"/>
      <c r="E675" s="11"/>
      <c r="F675" s="12"/>
      <c r="G675" s="13" t="str">
        <f aca="false">IF(F675&lt;&gt;"",F675,IF(OR(D675="",E675=""),"",ROUND(MOD(E675-D675,1)*1440,0)))</f>
        <v/>
      </c>
      <c r="H675" s="9"/>
      <c r="I675" s="14" t="str">
        <f aca="false">IF(H675="","",IFERROR(INDEX(Setup!$E$5:$E$34,MATCH(H675,Setup!$D$5:$D$34,0)),"Not in Setup"))</f>
        <v/>
      </c>
      <c r="J675" s="9"/>
    </row>
    <row r="676" customFormat="false" ht="15" hidden="false" customHeight="false" outlineLevel="0" collapsed="false">
      <c r="A676" s="10"/>
      <c r="B676" s="9"/>
      <c r="C676" s="9"/>
      <c r="D676" s="11"/>
      <c r="E676" s="11"/>
      <c r="F676" s="12"/>
      <c r="G676" s="13" t="str">
        <f aca="false">IF(F676&lt;&gt;"",F676,IF(OR(D676="",E676=""),"",ROUND(MOD(E676-D676,1)*1440,0)))</f>
        <v/>
      </c>
      <c r="H676" s="9"/>
      <c r="I676" s="14" t="str">
        <f aca="false">IF(H676="","",IFERROR(INDEX(Setup!$E$5:$E$34,MATCH(H676,Setup!$D$5:$D$34,0)),"Not in Setup"))</f>
        <v/>
      </c>
      <c r="J676" s="9"/>
    </row>
    <row r="677" customFormat="false" ht="15" hidden="false" customHeight="false" outlineLevel="0" collapsed="false">
      <c r="A677" s="10"/>
      <c r="B677" s="9"/>
      <c r="C677" s="9"/>
      <c r="D677" s="11"/>
      <c r="E677" s="11"/>
      <c r="F677" s="12"/>
      <c r="G677" s="13" t="str">
        <f aca="false">IF(F677&lt;&gt;"",F677,IF(OR(D677="",E677=""),"",ROUND(MOD(E677-D677,1)*1440,0)))</f>
        <v/>
      </c>
      <c r="H677" s="9"/>
      <c r="I677" s="14" t="str">
        <f aca="false">IF(H677="","",IFERROR(INDEX(Setup!$E$5:$E$34,MATCH(H677,Setup!$D$5:$D$34,0)),"Not in Setup"))</f>
        <v/>
      </c>
      <c r="J677" s="9"/>
    </row>
    <row r="678" customFormat="false" ht="15" hidden="false" customHeight="false" outlineLevel="0" collapsed="false">
      <c r="A678" s="10"/>
      <c r="B678" s="9"/>
      <c r="C678" s="9"/>
      <c r="D678" s="11"/>
      <c r="E678" s="11"/>
      <c r="F678" s="12"/>
      <c r="G678" s="13" t="str">
        <f aca="false">IF(F678&lt;&gt;"",F678,IF(OR(D678="",E678=""),"",ROUND(MOD(E678-D678,1)*1440,0)))</f>
        <v/>
      </c>
      <c r="H678" s="9"/>
      <c r="I678" s="14" t="str">
        <f aca="false">IF(H678="","",IFERROR(INDEX(Setup!$E$5:$E$34,MATCH(H678,Setup!$D$5:$D$34,0)),"Not in Setup"))</f>
        <v/>
      </c>
      <c r="J678" s="9"/>
    </row>
    <row r="679" customFormat="false" ht="15" hidden="false" customHeight="false" outlineLevel="0" collapsed="false">
      <c r="A679" s="10"/>
      <c r="B679" s="9"/>
      <c r="C679" s="9"/>
      <c r="D679" s="11"/>
      <c r="E679" s="11"/>
      <c r="F679" s="12"/>
      <c r="G679" s="13" t="str">
        <f aca="false">IF(F679&lt;&gt;"",F679,IF(OR(D679="",E679=""),"",ROUND(MOD(E679-D679,1)*1440,0)))</f>
        <v/>
      </c>
      <c r="H679" s="9"/>
      <c r="I679" s="14" t="str">
        <f aca="false">IF(H679="","",IFERROR(INDEX(Setup!$E$5:$E$34,MATCH(H679,Setup!$D$5:$D$34,0)),"Not in Setup"))</f>
        <v/>
      </c>
      <c r="J679" s="9"/>
    </row>
    <row r="680" customFormat="false" ht="15" hidden="false" customHeight="false" outlineLevel="0" collapsed="false">
      <c r="A680" s="10"/>
      <c r="B680" s="9"/>
      <c r="C680" s="9"/>
      <c r="D680" s="11"/>
      <c r="E680" s="11"/>
      <c r="F680" s="12"/>
      <c r="G680" s="13" t="str">
        <f aca="false">IF(F680&lt;&gt;"",F680,IF(OR(D680="",E680=""),"",ROUND(MOD(E680-D680,1)*1440,0)))</f>
        <v/>
      </c>
      <c r="H680" s="9"/>
      <c r="I680" s="14" t="str">
        <f aca="false">IF(H680="","",IFERROR(INDEX(Setup!$E$5:$E$34,MATCH(H680,Setup!$D$5:$D$34,0)),"Not in Setup"))</f>
        <v/>
      </c>
      <c r="J680" s="9"/>
    </row>
    <row r="681" customFormat="false" ht="15" hidden="false" customHeight="false" outlineLevel="0" collapsed="false">
      <c r="A681" s="10"/>
      <c r="B681" s="9"/>
      <c r="C681" s="9"/>
      <c r="D681" s="11"/>
      <c r="E681" s="11"/>
      <c r="F681" s="12"/>
      <c r="G681" s="13" t="str">
        <f aca="false">IF(F681&lt;&gt;"",F681,IF(OR(D681="",E681=""),"",ROUND(MOD(E681-D681,1)*1440,0)))</f>
        <v/>
      </c>
      <c r="H681" s="9"/>
      <c r="I681" s="14" t="str">
        <f aca="false">IF(H681="","",IFERROR(INDEX(Setup!$E$5:$E$34,MATCH(H681,Setup!$D$5:$D$34,0)),"Not in Setup"))</f>
        <v/>
      </c>
      <c r="J681" s="9"/>
    </row>
    <row r="682" customFormat="false" ht="15" hidden="false" customHeight="false" outlineLevel="0" collapsed="false">
      <c r="A682" s="10"/>
      <c r="B682" s="9"/>
      <c r="C682" s="9"/>
      <c r="D682" s="11"/>
      <c r="E682" s="11"/>
      <c r="F682" s="12"/>
      <c r="G682" s="13" t="str">
        <f aca="false">IF(F682&lt;&gt;"",F682,IF(OR(D682="",E682=""),"",ROUND(MOD(E682-D682,1)*1440,0)))</f>
        <v/>
      </c>
      <c r="H682" s="9"/>
      <c r="I682" s="14" t="str">
        <f aca="false">IF(H682="","",IFERROR(INDEX(Setup!$E$5:$E$34,MATCH(H682,Setup!$D$5:$D$34,0)),"Not in Setup"))</f>
        <v/>
      </c>
      <c r="J682" s="9"/>
    </row>
    <row r="683" customFormat="false" ht="15" hidden="false" customHeight="false" outlineLevel="0" collapsed="false">
      <c r="A683" s="10"/>
      <c r="B683" s="9"/>
      <c r="C683" s="9"/>
      <c r="D683" s="11"/>
      <c r="E683" s="11"/>
      <c r="F683" s="12"/>
      <c r="G683" s="13" t="str">
        <f aca="false">IF(F683&lt;&gt;"",F683,IF(OR(D683="",E683=""),"",ROUND(MOD(E683-D683,1)*1440,0)))</f>
        <v/>
      </c>
      <c r="H683" s="9"/>
      <c r="I683" s="14" t="str">
        <f aca="false">IF(H683="","",IFERROR(INDEX(Setup!$E$5:$E$34,MATCH(H683,Setup!$D$5:$D$34,0)),"Not in Setup"))</f>
        <v/>
      </c>
      <c r="J683" s="9"/>
    </row>
    <row r="684" customFormat="false" ht="15" hidden="false" customHeight="false" outlineLevel="0" collapsed="false">
      <c r="A684" s="10"/>
      <c r="B684" s="9"/>
      <c r="C684" s="9"/>
      <c r="D684" s="11"/>
      <c r="E684" s="11"/>
      <c r="F684" s="12"/>
      <c r="G684" s="13" t="str">
        <f aca="false">IF(F684&lt;&gt;"",F684,IF(OR(D684="",E684=""),"",ROUND(MOD(E684-D684,1)*1440,0)))</f>
        <v/>
      </c>
      <c r="H684" s="9"/>
      <c r="I684" s="14" t="str">
        <f aca="false">IF(H684="","",IFERROR(INDEX(Setup!$E$5:$E$34,MATCH(H684,Setup!$D$5:$D$34,0)),"Not in Setup"))</f>
        <v/>
      </c>
      <c r="J684" s="9"/>
    </row>
    <row r="685" customFormat="false" ht="15" hidden="false" customHeight="false" outlineLevel="0" collapsed="false">
      <c r="A685" s="10"/>
      <c r="B685" s="9"/>
      <c r="C685" s="9"/>
      <c r="D685" s="11"/>
      <c r="E685" s="11"/>
      <c r="F685" s="12"/>
      <c r="G685" s="13" t="str">
        <f aca="false">IF(F685&lt;&gt;"",F685,IF(OR(D685="",E685=""),"",ROUND(MOD(E685-D685,1)*1440,0)))</f>
        <v/>
      </c>
      <c r="H685" s="9"/>
      <c r="I685" s="14" t="str">
        <f aca="false">IF(H685="","",IFERROR(INDEX(Setup!$E$5:$E$34,MATCH(H685,Setup!$D$5:$D$34,0)),"Not in Setup"))</f>
        <v/>
      </c>
      <c r="J685" s="9"/>
    </row>
    <row r="686" customFormat="false" ht="15" hidden="false" customHeight="false" outlineLevel="0" collapsed="false">
      <c r="A686" s="10"/>
      <c r="B686" s="9"/>
      <c r="C686" s="9"/>
      <c r="D686" s="11"/>
      <c r="E686" s="11"/>
      <c r="F686" s="12"/>
      <c r="G686" s="13" t="str">
        <f aca="false">IF(F686&lt;&gt;"",F686,IF(OR(D686="",E686=""),"",ROUND(MOD(E686-D686,1)*1440,0)))</f>
        <v/>
      </c>
      <c r="H686" s="9"/>
      <c r="I686" s="14" t="str">
        <f aca="false">IF(H686="","",IFERROR(INDEX(Setup!$E$5:$E$34,MATCH(H686,Setup!$D$5:$D$34,0)),"Not in Setup"))</f>
        <v/>
      </c>
      <c r="J686" s="9"/>
    </row>
    <row r="687" customFormat="false" ht="15" hidden="false" customHeight="false" outlineLevel="0" collapsed="false">
      <c r="A687" s="10"/>
      <c r="B687" s="9"/>
      <c r="C687" s="9"/>
      <c r="D687" s="11"/>
      <c r="E687" s="11"/>
      <c r="F687" s="12"/>
      <c r="G687" s="13" t="str">
        <f aca="false">IF(F687&lt;&gt;"",F687,IF(OR(D687="",E687=""),"",ROUND(MOD(E687-D687,1)*1440,0)))</f>
        <v/>
      </c>
      <c r="H687" s="9"/>
      <c r="I687" s="14" t="str">
        <f aca="false">IF(H687="","",IFERROR(INDEX(Setup!$E$5:$E$34,MATCH(H687,Setup!$D$5:$D$34,0)),"Not in Setup"))</f>
        <v/>
      </c>
      <c r="J687" s="9"/>
    </row>
    <row r="688" customFormat="false" ht="15" hidden="false" customHeight="false" outlineLevel="0" collapsed="false">
      <c r="A688" s="10"/>
      <c r="B688" s="9"/>
      <c r="C688" s="9"/>
      <c r="D688" s="11"/>
      <c r="E688" s="11"/>
      <c r="F688" s="12"/>
      <c r="G688" s="13" t="str">
        <f aca="false">IF(F688&lt;&gt;"",F688,IF(OR(D688="",E688=""),"",ROUND(MOD(E688-D688,1)*1440,0)))</f>
        <v/>
      </c>
      <c r="H688" s="9"/>
      <c r="I688" s="14" t="str">
        <f aca="false">IF(H688="","",IFERROR(INDEX(Setup!$E$5:$E$34,MATCH(H688,Setup!$D$5:$D$34,0)),"Not in Setup"))</f>
        <v/>
      </c>
      <c r="J688" s="9"/>
    </row>
    <row r="689" customFormat="false" ht="15" hidden="false" customHeight="false" outlineLevel="0" collapsed="false">
      <c r="A689" s="10"/>
      <c r="B689" s="9"/>
      <c r="C689" s="9"/>
      <c r="D689" s="11"/>
      <c r="E689" s="11"/>
      <c r="F689" s="12"/>
      <c r="G689" s="13" t="str">
        <f aca="false">IF(F689&lt;&gt;"",F689,IF(OR(D689="",E689=""),"",ROUND(MOD(E689-D689,1)*1440,0)))</f>
        <v/>
      </c>
      <c r="H689" s="9"/>
      <c r="I689" s="14" t="str">
        <f aca="false">IF(H689="","",IFERROR(INDEX(Setup!$E$5:$E$34,MATCH(H689,Setup!$D$5:$D$34,0)),"Not in Setup"))</f>
        <v/>
      </c>
      <c r="J689" s="9"/>
    </row>
    <row r="690" customFormat="false" ht="15" hidden="false" customHeight="false" outlineLevel="0" collapsed="false">
      <c r="A690" s="10"/>
      <c r="B690" s="9"/>
      <c r="C690" s="9"/>
      <c r="D690" s="11"/>
      <c r="E690" s="11"/>
      <c r="F690" s="12"/>
      <c r="G690" s="13" t="str">
        <f aca="false">IF(F690&lt;&gt;"",F690,IF(OR(D690="",E690=""),"",ROUND(MOD(E690-D690,1)*1440,0)))</f>
        <v/>
      </c>
      <c r="H690" s="9"/>
      <c r="I690" s="14" t="str">
        <f aca="false">IF(H690="","",IFERROR(INDEX(Setup!$E$5:$E$34,MATCH(H690,Setup!$D$5:$D$34,0)),"Not in Setup"))</f>
        <v/>
      </c>
      <c r="J690" s="9"/>
    </row>
    <row r="691" customFormat="false" ht="15" hidden="false" customHeight="false" outlineLevel="0" collapsed="false">
      <c r="A691" s="10"/>
      <c r="B691" s="9"/>
      <c r="C691" s="9"/>
      <c r="D691" s="11"/>
      <c r="E691" s="11"/>
      <c r="F691" s="12"/>
      <c r="G691" s="13" t="str">
        <f aca="false">IF(F691&lt;&gt;"",F691,IF(OR(D691="",E691=""),"",ROUND(MOD(E691-D691,1)*1440,0)))</f>
        <v/>
      </c>
      <c r="H691" s="9"/>
      <c r="I691" s="14" t="str">
        <f aca="false">IF(H691="","",IFERROR(INDEX(Setup!$E$5:$E$34,MATCH(H691,Setup!$D$5:$D$34,0)),"Not in Setup"))</f>
        <v/>
      </c>
      <c r="J691" s="9"/>
    </row>
    <row r="692" customFormat="false" ht="15" hidden="false" customHeight="false" outlineLevel="0" collapsed="false">
      <c r="A692" s="10"/>
      <c r="B692" s="9"/>
      <c r="C692" s="9"/>
      <c r="D692" s="11"/>
      <c r="E692" s="11"/>
      <c r="F692" s="12"/>
      <c r="G692" s="13" t="str">
        <f aca="false">IF(F692&lt;&gt;"",F692,IF(OR(D692="",E692=""),"",ROUND(MOD(E692-D692,1)*1440,0)))</f>
        <v/>
      </c>
      <c r="H692" s="9"/>
      <c r="I692" s="14" t="str">
        <f aca="false">IF(H692="","",IFERROR(INDEX(Setup!$E$5:$E$34,MATCH(H692,Setup!$D$5:$D$34,0)),"Not in Setup"))</f>
        <v/>
      </c>
      <c r="J692" s="9"/>
    </row>
    <row r="693" customFormat="false" ht="15" hidden="false" customHeight="false" outlineLevel="0" collapsed="false">
      <c r="A693" s="10"/>
      <c r="B693" s="9"/>
      <c r="C693" s="9"/>
      <c r="D693" s="11"/>
      <c r="E693" s="11"/>
      <c r="F693" s="12"/>
      <c r="G693" s="13" t="str">
        <f aca="false">IF(F693&lt;&gt;"",F693,IF(OR(D693="",E693=""),"",ROUND(MOD(E693-D693,1)*1440,0)))</f>
        <v/>
      </c>
      <c r="H693" s="9"/>
      <c r="I693" s="14" t="str">
        <f aca="false">IF(H693="","",IFERROR(INDEX(Setup!$E$5:$E$34,MATCH(H693,Setup!$D$5:$D$34,0)),"Not in Setup"))</f>
        <v/>
      </c>
      <c r="J693" s="9"/>
    </row>
    <row r="694" customFormat="false" ht="15" hidden="false" customHeight="false" outlineLevel="0" collapsed="false">
      <c r="A694" s="10"/>
      <c r="B694" s="9"/>
      <c r="C694" s="9"/>
      <c r="D694" s="11"/>
      <c r="E694" s="11"/>
      <c r="F694" s="12"/>
      <c r="G694" s="13" t="str">
        <f aca="false">IF(F694&lt;&gt;"",F694,IF(OR(D694="",E694=""),"",ROUND(MOD(E694-D694,1)*1440,0)))</f>
        <v/>
      </c>
      <c r="H694" s="9"/>
      <c r="I694" s="14" t="str">
        <f aca="false">IF(H694="","",IFERROR(INDEX(Setup!$E$5:$E$34,MATCH(H694,Setup!$D$5:$D$34,0)),"Not in Setup"))</f>
        <v/>
      </c>
      <c r="J694" s="9"/>
    </row>
    <row r="695" customFormat="false" ht="15" hidden="false" customHeight="false" outlineLevel="0" collapsed="false">
      <c r="A695" s="10"/>
      <c r="B695" s="9"/>
      <c r="C695" s="9"/>
      <c r="D695" s="11"/>
      <c r="E695" s="11"/>
      <c r="F695" s="12"/>
      <c r="G695" s="13" t="str">
        <f aca="false">IF(F695&lt;&gt;"",F695,IF(OR(D695="",E695=""),"",ROUND(MOD(E695-D695,1)*1440,0)))</f>
        <v/>
      </c>
      <c r="H695" s="9"/>
      <c r="I695" s="14" t="str">
        <f aca="false">IF(H695="","",IFERROR(INDEX(Setup!$E$5:$E$34,MATCH(H695,Setup!$D$5:$D$34,0)),"Not in Setup"))</f>
        <v/>
      </c>
      <c r="J695" s="9"/>
    </row>
    <row r="696" customFormat="false" ht="15" hidden="false" customHeight="false" outlineLevel="0" collapsed="false">
      <c r="A696" s="10"/>
      <c r="B696" s="9"/>
      <c r="C696" s="9"/>
      <c r="D696" s="11"/>
      <c r="E696" s="11"/>
      <c r="F696" s="12"/>
      <c r="G696" s="13" t="str">
        <f aca="false">IF(F696&lt;&gt;"",F696,IF(OR(D696="",E696=""),"",ROUND(MOD(E696-D696,1)*1440,0)))</f>
        <v/>
      </c>
      <c r="H696" s="9"/>
      <c r="I696" s="14" t="str">
        <f aca="false">IF(H696="","",IFERROR(INDEX(Setup!$E$5:$E$34,MATCH(H696,Setup!$D$5:$D$34,0)),"Not in Setup"))</f>
        <v/>
      </c>
      <c r="J696" s="9"/>
    </row>
    <row r="697" customFormat="false" ht="15" hidden="false" customHeight="false" outlineLevel="0" collapsed="false">
      <c r="A697" s="10"/>
      <c r="B697" s="9"/>
      <c r="C697" s="9"/>
      <c r="D697" s="11"/>
      <c r="E697" s="11"/>
      <c r="F697" s="12"/>
      <c r="G697" s="13" t="str">
        <f aca="false">IF(F697&lt;&gt;"",F697,IF(OR(D697="",E697=""),"",ROUND(MOD(E697-D697,1)*1440,0)))</f>
        <v/>
      </c>
      <c r="H697" s="9"/>
      <c r="I697" s="14" t="str">
        <f aca="false">IF(H697="","",IFERROR(INDEX(Setup!$E$5:$E$34,MATCH(H697,Setup!$D$5:$D$34,0)),"Not in Setup"))</f>
        <v/>
      </c>
      <c r="J697" s="9"/>
    </row>
    <row r="698" customFormat="false" ht="15" hidden="false" customHeight="false" outlineLevel="0" collapsed="false">
      <c r="A698" s="10"/>
      <c r="B698" s="9"/>
      <c r="C698" s="9"/>
      <c r="D698" s="11"/>
      <c r="E698" s="11"/>
      <c r="F698" s="12"/>
      <c r="G698" s="13" t="str">
        <f aca="false">IF(F698&lt;&gt;"",F698,IF(OR(D698="",E698=""),"",ROUND(MOD(E698-D698,1)*1440,0)))</f>
        <v/>
      </c>
      <c r="H698" s="9"/>
      <c r="I698" s="14" t="str">
        <f aca="false">IF(H698="","",IFERROR(INDEX(Setup!$E$5:$E$34,MATCH(H698,Setup!$D$5:$D$34,0)),"Not in Setup"))</f>
        <v/>
      </c>
      <c r="J698" s="9"/>
    </row>
    <row r="699" customFormat="false" ht="15" hidden="false" customHeight="false" outlineLevel="0" collapsed="false">
      <c r="A699" s="10"/>
      <c r="B699" s="9"/>
      <c r="C699" s="9"/>
      <c r="D699" s="11"/>
      <c r="E699" s="11"/>
      <c r="F699" s="12"/>
      <c r="G699" s="13" t="str">
        <f aca="false">IF(F699&lt;&gt;"",F699,IF(OR(D699="",E699=""),"",ROUND(MOD(E699-D699,1)*1440,0)))</f>
        <v/>
      </c>
      <c r="H699" s="9"/>
      <c r="I699" s="14" t="str">
        <f aca="false">IF(H699="","",IFERROR(INDEX(Setup!$E$5:$E$34,MATCH(H699,Setup!$D$5:$D$34,0)),"Not in Setup"))</f>
        <v/>
      </c>
      <c r="J699" s="9"/>
    </row>
    <row r="700" customFormat="false" ht="15" hidden="false" customHeight="false" outlineLevel="0" collapsed="false">
      <c r="A700" s="10"/>
      <c r="B700" s="9"/>
      <c r="C700" s="9"/>
      <c r="D700" s="11"/>
      <c r="E700" s="11"/>
      <c r="F700" s="12"/>
      <c r="G700" s="13" t="str">
        <f aca="false">IF(F700&lt;&gt;"",F700,IF(OR(D700="",E700=""),"",ROUND(MOD(E700-D700,1)*1440,0)))</f>
        <v/>
      </c>
      <c r="H700" s="9"/>
      <c r="I700" s="14" t="str">
        <f aca="false">IF(H700="","",IFERROR(INDEX(Setup!$E$5:$E$34,MATCH(H700,Setup!$D$5:$D$34,0)),"Not in Setup"))</f>
        <v/>
      </c>
      <c r="J700" s="9"/>
    </row>
    <row r="701" customFormat="false" ht="15" hidden="false" customHeight="false" outlineLevel="0" collapsed="false">
      <c r="A701" s="10"/>
      <c r="B701" s="9"/>
      <c r="C701" s="9"/>
      <c r="D701" s="11"/>
      <c r="E701" s="11"/>
      <c r="F701" s="12"/>
      <c r="G701" s="13" t="str">
        <f aca="false">IF(F701&lt;&gt;"",F701,IF(OR(D701="",E701=""),"",ROUND(MOD(E701-D701,1)*1440,0)))</f>
        <v/>
      </c>
      <c r="H701" s="9"/>
      <c r="I701" s="14" t="str">
        <f aca="false">IF(H701="","",IFERROR(INDEX(Setup!$E$5:$E$34,MATCH(H701,Setup!$D$5:$D$34,0)),"Not in Setup"))</f>
        <v/>
      </c>
      <c r="J701" s="9"/>
    </row>
    <row r="702" customFormat="false" ht="15" hidden="false" customHeight="false" outlineLevel="0" collapsed="false">
      <c r="A702" s="10"/>
      <c r="B702" s="9"/>
      <c r="C702" s="9"/>
      <c r="D702" s="11"/>
      <c r="E702" s="11"/>
      <c r="F702" s="12"/>
      <c r="G702" s="13" t="str">
        <f aca="false">IF(F702&lt;&gt;"",F702,IF(OR(D702="",E702=""),"",ROUND(MOD(E702-D702,1)*1440,0)))</f>
        <v/>
      </c>
      <c r="H702" s="9"/>
      <c r="I702" s="14" t="str">
        <f aca="false">IF(H702="","",IFERROR(INDEX(Setup!$E$5:$E$34,MATCH(H702,Setup!$D$5:$D$34,0)),"Not in Setup"))</f>
        <v/>
      </c>
      <c r="J702" s="9"/>
    </row>
    <row r="703" customFormat="false" ht="15" hidden="false" customHeight="false" outlineLevel="0" collapsed="false">
      <c r="A703" s="10"/>
      <c r="B703" s="9"/>
      <c r="C703" s="9"/>
      <c r="D703" s="11"/>
      <c r="E703" s="11"/>
      <c r="F703" s="12"/>
      <c r="G703" s="13" t="str">
        <f aca="false">IF(F703&lt;&gt;"",F703,IF(OR(D703="",E703=""),"",ROUND(MOD(E703-D703,1)*1440,0)))</f>
        <v/>
      </c>
      <c r="H703" s="9"/>
      <c r="I703" s="14" t="str">
        <f aca="false">IF(H703="","",IFERROR(INDEX(Setup!$E$5:$E$34,MATCH(H703,Setup!$D$5:$D$34,0)),"Not in Setup"))</f>
        <v/>
      </c>
      <c r="J703" s="9"/>
    </row>
    <row r="704" customFormat="false" ht="15" hidden="false" customHeight="false" outlineLevel="0" collapsed="false">
      <c r="A704" s="10"/>
      <c r="B704" s="9"/>
      <c r="C704" s="9"/>
      <c r="D704" s="11"/>
      <c r="E704" s="11"/>
      <c r="F704" s="12"/>
      <c r="G704" s="13" t="str">
        <f aca="false">IF(F704&lt;&gt;"",F704,IF(OR(D704="",E704=""),"",ROUND(MOD(E704-D704,1)*1440,0)))</f>
        <v/>
      </c>
      <c r="H704" s="9"/>
      <c r="I704" s="14" t="str">
        <f aca="false">IF(H704="","",IFERROR(INDEX(Setup!$E$5:$E$34,MATCH(H704,Setup!$D$5:$D$34,0)),"Not in Setup"))</f>
        <v/>
      </c>
      <c r="J704" s="9"/>
    </row>
    <row r="705" customFormat="false" ht="15" hidden="false" customHeight="false" outlineLevel="0" collapsed="false">
      <c r="A705" s="10"/>
      <c r="B705" s="9"/>
      <c r="C705" s="9"/>
      <c r="D705" s="11"/>
      <c r="E705" s="11"/>
      <c r="F705" s="12"/>
      <c r="G705" s="13" t="str">
        <f aca="false">IF(F705&lt;&gt;"",F705,IF(OR(D705="",E705=""),"",ROUND(MOD(E705-D705,1)*1440,0)))</f>
        <v/>
      </c>
      <c r="H705" s="9"/>
      <c r="I705" s="14" t="str">
        <f aca="false">IF(H705="","",IFERROR(INDEX(Setup!$E$5:$E$34,MATCH(H705,Setup!$D$5:$D$34,0)),"Not in Setup"))</f>
        <v/>
      </c>
      <c r="J705" s="9"/>
    </row>
    <row r="706" customFormat="false" ht="15" hidden="false" customHeight="false" outlineLevel="0" collapsed="false">
      <c r="A706" s="10"/>
      <c r="B706" s="9"/>
      <c r="C706" s="9"/>
      <c r="D706" s="11"/>
      <c r="E706" s="11"/>
      <c r="F706" s="12"/>
      <c r="G706" s="13" t="str">
        <f aca="false">IF(F706&lt;&gt;"",F706,IF(OR(D706="",E706=""),"",ROUND(MOD(E706-D706,1)*1440,0)))</f>
        <v/>
      </c>
      <c r="H706" s="9"/>
      <c r="I706" s="14" t="str">
        <f aca="false">IF(H706="","",IFERROR(INDEX(Setup!$E$5:$E$34,MATCH(H706,Setup!$D$5:$D$34,0)),"Not in Setup"))</f>
        <v/>
      </c>
      <c r="J706" s="9"/>
    </row>
    <row r="707" customFormat="false" ht="15" hidden="false" customHeight="false" outlineLevel="0" collapsed="false">
      <c r="A707" s="10"/>
      <c r="B707" s="9"/>
      <c r="C707" s="9"/>
      <c r="D707" s="11"/>
      <c r="E707" s="11"/>
      <c r="F707" s="12"/>
      <c r="G707" s="13" t="str">
        <f aca="false">IF(F707&lt;&gt;"",F707,IF(OR(D707="",E707=""),"",ROUND(MOD(E707-D707,1)*1440,0)))</f>
        <v/>
      </c>
      <c r="H707" s="9"/>
      <c r="I707" s="14" t="str">
        <f aca="false">IF(H707="","",IFERROR(INDEX(Setup!$E$5:$E$34,MATCH(H707,Setup!$D$5:$D$34,0)),"Not in Setup"))</f>
        <v/>
      </c>
      <c r="J707" s="9"/>
    </row>
    <row r="708" customFormat="false" ht="15" hidden="false" customHeight="false" outlineLevel="0" collapsed="false">
      <c r="A708" s="10"/>
      <c r="B708" s="9"/>
      <c r="C708" s="9"/>
      <c r="D708" s="11"/>
      <c r="E708" s="11"/>
      <c r="F708" s="12"/>
      <c r="G708" s="13" t="str">
        <f aca="false">IF(F708&lt;&gt;"",F708,IF(OR(D708="",E708=""),"",ROUND(MOD(E708-D708,1)*1440,0)))</f>
        <v/>
      </c>
      <c r="H708" s="9"/>
      <c r="I708" s="14" t="str">
        <f aca="false">IF(H708="","",IFERROR(INDEX(Setup!$E$5:$E$34,MATCH(H708,Setup!$D$5:$D$34,0)),"Not in Setup"))</f>
        <v/>
      </c>
      <c r="J708" s="9"/>
    </row>
    <row r="709" customFormat="false" ht="15" hidden="false" customHeight="false" outlineLevel="0" collapsed="false">
      <c r="A709" s="10"/>
      <c r="B709" s="9"/>
      <c r="C709" s="9"/>
      <c r="D709" s="11"/>
      <c r="E709" s="11"/>
      <c r="F709" s="12"/>
      <c r="G709" s="13" t="str">
        <f aca="false">IF(F709&lt;&gt;"",F709,IF(OR(D709="",E709=""),"",ROUND(MOD(E709-D709,1)*1440,0)))</f>
        <v/>
      </c>
      <c r="H709" s="9"/>
      <c r="I709" s="14" t="str">
        <f aca="false">IF(H709="","",IFERROR(INDEX(Setup!$E$5:$E$34,MATCH(H709,Setup!$D$5:$D$34,0)),"Not in Setup"))</f>
        <v/>
      </c>
      <c r="J709" s="9"/>
    </row>
    <row r="710" customFormat="false" ht="15" hidden="false" customHeight="false" outlineLevel="0" collapsed="false">
      <c r="A710" s="10"/>
      <c r="B710" s="9"/>
      <c r="C710" s="9"/>
      <c r="D710" s="11"/>
      <c r="E710" s="11"/>
      <c r="F710" s="12"/>
      <c r="G710" s="13" t="str">
        <f aca="false">IF(F710&lt;&gt;"",F710,IF(OR(D710="",E710=""),"",ROUND(MOD(E710-D710,1)*1440,0)))</f>
        <v/>
      </c>
      <c r="H710" s="9"/>
      <c r="I710" s="14" t="str">
        <f aca="false">IF(H710="","",IFERROR(INDEX(Setup!$E$5:$E$34,MATCH(H710,Setup!$D$5:$D$34,0)),"Not in Setup"))</f>
        <v/>
      </c>
      <c r="J710" s="9"/>
    </row>
    <row r="711" customFormat="false" ht="15" hidden="false" customHeight="false" outlineLevel="0" collapsed="false">
      <c r="A711" s="10"/>
      <c r="B711" s="9"/>
      <c r="C711" s="9"/>
      <c r="D711" s="11"/>
      <c r="E711" s="11"/>
      <c r="F711" s="12"/>
      <c r="G711" s="13" t="str">
        <f aca="false">IF(F711&lt;&gt;"",F711,IF(OR(D711="",E711=""),"",ROUND(MOD(E711-D711,1)*1440,0)))</f>
        <v/>
      </c>
      <c r="H711" s="9"/>
      <c r="I711" s="14" t="str">
        <f aca="false">IF(H711="","",IFERROR(INDEX(Setup!$E$5:$E$34,MATCH(H711,Setup!$D$5:$D$34,0)),"Not in Setup"))</f>
        <v/>
      </c>
      <c r="J711" s="9"/>
    </row>
    <row r="712" customFormat="false" ht="15" hidden="false" customHeight="false" outlineLevel="0" collapsed="false">
      <c r="A712" s="10"/>
      <c r="B712" s="9"/>
      <c r="C712" s="9"/>
      <c r="D712" s="11"/>
      <c r="E712" s="11"/>
      <c r="F712" s="12"/>
      <c r="G712" s="13" t="str">
        <f aca="false">IF(F712&lt;&gt;"",F712,IF(OR(D712="",E712=""),"",ROUND(MOD(E712-D712,1)*1440,0)))</f>
        <v/>
      </c>
      <c r="H712" s="9"/>
      <c r="I712" s="14" t="str">
        <f aca="false">IF(H712="","",IFERROR(INDEX(Setup!$E$5:$E$34,MATCH(H712,Setup!$D$5:$D$34,0)),"Not in Setup"))</f>
        <v/>
      </c>
      <c r="J712" s="9"/>
    </row>
    <row r="713" customFormat="false" ht="15" hidden="false" customHeight="false" outlineLevel="0" collapsed="false">
      <c r="A713" s="10"/>
      <c r="B713" s="9"/>
      <c r="C713" s="9"/>
      <c r="D713" s="11"/>
      <c r="E713" s="11"/>
      <c r="F713" s="12"/>
      <c r="G713" s="13" t="str">
        <f aca="false">IF(F713&lt;&gt;"",F713,IF(OR(D713="",E713=""),"",ROUND(MOD(E713-D713,1)*1440,0)))</f>
        <v/>
      </c>
      <c r="H713" s="9"/>
      <c r="I713" s="14" t="str">
        <f aca="false">IF(H713="","",IFERROR(INDEX(Setup!$E$5:$E$34,MATCH(H713,Setup!$D$5:$D$34,0)),"Not in Setup"))</f>
        <v/>
      </c>
      <c r="J713" s="9"/>
    </row>
    <row r="714" customFormat="false" ht="15" hidden="false" customHeight="false" outlineLevel="0" collapsed="false">
      <c r="A714" s="10"/>
      <c r="B714" s="9"/>
      <c r="C714" s="9"/>
      <c r="D714" s="11"/>
      <c r="E714" s="11"/>
      <c r="F714" s="12"/>
      <c r="G714" s="13" t="str">
        <f aca="false">IF(F714&lt;&gt;"",F714,IF(OR(D714="",E714=""),"",ROUND(MOD(E714-D714,1)*1440,0)))</f>
        <v/>
      </c>
      <c r="H714" s="9"/>
      <c r="I714" s="14" t="str">
        <f aca="false">IF(H714="","",IFERROR(INDEX(Setup!$E$5:$E$34,MATCH(H714,Setup!$D$5:$D$34,0)),"Not in Setup"))</f>
        <v/>
      </c>
      <c r="J714" s="9"/>
    </row>
    <row r="715" customFormat="false" ht="15" hidden="false" customHeight="false" outlineLevel="0" collapsed="false">
      <c r="A715" s="10"/>
      <c r="B715" s="9"/>
      <c r="C715" s="9"/>
      <c r="D715" s="11"/>
      <c r="E715" s="11"/>
      <c r="F715" s="12"/>
      <c r="G715" s="13" t="str">
        <f aca="false">IF(F715&lt;&gt;"",F715,IF(OR(D715="",E715=""),"",ROUND(MOD(E715-D715,1)*1440,0)))</f>
        <v/>
      </c>
      <c r="H715" s="9"/>
      <c r="I715" s="14" t="str">
        <f aca="false">IF(H715="","",IFERROR(INDEX(Setup!$E$5:$E$34,MATCH(H715,Setup!$D$5:$D$34,0)),"Not in Setup"))</f>
        <v/>
      </c>
      <c r="J715" s="9"/>
    </row>
    <row r="716" customFormat="false" ht="15" hidden="false" customHeight="false" outlineLevel="0" collapsed="false">
      <c r="A716" s="10"/>
      <c r="B716" s="9"/>
      <c r="C716" s="9"/>
      <c r="D716" s="11"/>
      <c r="E716" s="11"/>
      <c r="F716" s="12"/>
      <c r="G716" s="13" t="str">
        <f aca="false">IF(F716&lt;&gt;"",F716,IF(OR(D716="",E716=""),"",ROUND(MOD(E716-D716,1)*1440,0)))</f>
        <v/>
      </c>
      <c r="H716" s="9"/>
      <c r="I716" s="14" t="str">
        <f aca="false">IF(H716="","",IFERROR(INDEX(Setup!$E$5:$E$34,MATCH(H716,Setup!$D$5:$D$34,0)),"Not in Setup"))</f>
        <v/>
      </c>
      <c r="J716" s="9"/>
    </row>
    <row r="717" customFormat="false" ht="15" hidden="false" customHeight="false" outlineLevel="0" collapsed="false">
      <c r="A717" s="10"/>
      <c r="B717" s="9"/>
      <c r="C717" s="9"/>
      <c r="D717" s="11"/>
      <c r="E717" s="11"/>
      <c r="F717" s="12"/>
      <c r="G717" s="13" t="str">
        <f aca="false">IF(F717&lt;&gt;"",F717,IF(OR(D717="",E717=""),"",ROUND(MOD(E717-D717,1)*1440,0)))</f>
        <v/>
      </c>
      <c r="H717" s="9"/>
      <c r="I717" s="14" t="str">
        <f aca="false">IF(H717="","",IFERROR(INDEX(Setup!$E$5:$E$34,MATCH(H717,Setup!$D$5:$D$34,0)),"Not in Setup"))</f>
        <v/>
      </c>
      <c r="J717" s="9"/>
    </row>
    <row r="718" customFormat="false" ht="15" hidden="false" customHeight="false" outlineLevel="0" collapsed="false">
      <c r="A718" s="10"/>
      <c r="B718" s="9"/>
      <c r="C718" s="9"/>
      <c r="D718" s="11"/>
      <c r="E718" s="11"/>
      <c r="F718" s="12"/>
      <c r="G718" s="13" t="str">
        <f aca="false">IF(F718&lt;&gt;"",F718,IF(OR(D718="",E718=""),"",ROUND(MOD(E718-D718,1)*1440,0)))</f>
        <v/>
      </c>
      <c r="H718" s="9"/>
      <c r="I718" s="14" t="str">
        <f aca="false">IF(H718="","",IFERROR(INDEX(Setup!$E$5:$E$34,MATCH(H718,Setup!$D$5:$D$34,0)),"Not in Setup"))</f>
        <v/>
      </c>
      <c r="J718" s="9"/>
    </row>
    <row r="719" customFormat="false" ht="15" hidden="false" customHeight="false" outlineLevel="0" collapsed="false">
      <c r="A719" s="10"/>
      <c r="B719" s="9"/>
      <c r="C719" s="9"/>
      <c r="D719" s="11"/>
      <c r="E719" s="11"/>
      <c r="F719" s="12"/>
      <c r="G719" s="13" t="str">
        <f aca="false">IF(F719&lt;&gt;"",F719,IF(OR(D719="",E719=""),"",ROUND(MOD(E719-D719,1)*1440,0)))</f>
        <v/>
      </c>
      <c r="H719" s="9"/>
      <c r="I719" s="14" t="str">
        <f aca="false">IF(H719="","",IFERROR(INDEX(Setup!$E$5:$E$34,MATCH(H719,Setup!$D$5:$D$34,0)),"Not in Setup"))</f>
        <v/>
      </c>
      <c r="J719" s="9"/>
    </row>
    <row r="720" customFormat="false" ht="15" hidden="false" customHeight="false" outlineLevel="0" collapsed="false">
      <c r="A720" s="10"/>
      <c r="B720" s="9"/>
      <c r="C720" s="9"/>
      <c r="D720" s="11"/>
      <c r="E720" s="11"/>
      <c r="F720" s="12"/>
      <c r="G720" s="13" t="str">
        <f aca="false">IF(F720&lt;&gt;"",F720,IF(OR(D720="",E720=""),"",ROUND(MOD(E720-D720,1)*1440,0)))</f>
        <v/>
      </c>
      <c r="H720" s="9"/>
      <c r="I720" s="14" t="str">
        <f aca="false">IF(H720="","",IFERROR(INDEX(Setup!$E$5:$E$34,MATCH(H720,Setup!$D$5:$D$34,0)),"Not in Setup"))</f>
        <v/>
      </c>
      <c r="J720" s="9"/>
    </row>
    <row r="721" customFormat="false" ht="15" hidden="false" customHeight="false" outlineLevel="0" collapsed="false">
      <c r="A721" s="10"/>
      <c r="B721" s="9"/>
      <c r="C721" s="9"/>
      <c r="D721" s="11"/>
      <c r="E721" s="11"/>
      <c r="F721" s="12"/>
      <c r="G721" s="13" t="str">
        <f aca="false">IF(F721&lt;&gt;"",F721,IF(OR(D721="",E721=""),"",ROUND(MOD(E721-D721,1)*1440,0)))</f>
        <v/>
      </c>
      <c r="H721" s="9"/>
      <c r="I721" s="14" t="str">
        <f aca="false">IF(H721="","",IFERROR(INDEX(Setup!$E$5:$E$34,MATCH(H721,Setup!$D$5:$D$34,0)),"Not in Setup"))</f>
        <v/>
      </c>
      <c r="J721" s="9"/>
    </row>
    <row r="722" customFormat="false" ht="15" hidden="false" customHeight="false" outlineLevel="0" collapsed="false">
      <c r="A722" s="10"/>
      <c r="B722" s="9"/>
      <c r="C722" s="9"/>
      <c r="D722" s="11"/>
      <c r="E722" s="11"/>
      <c r="F722" s="12"/>
      <c r="G722" s="13" t="str">
        <f aca="false">IF(F722&lt;&gt;"",F722,IF(OR(D722="",E722=""),"",ROUND(MOD(E722-D722,1)*1440,0)))</f>
        <v/>
      </c>
      <c r="H722" s="9"/>
      <c r="I722" s="14" t="str">
        <f aca="false">IF(H722="","",IFERROR(INDEX(Setup!$E$5:$E$34,MATCH(H722,Setup!$D$5:$D$34,0)),"Not in Setup"))</f>
        <v/>
      </c>
      <c r="J722" s="9"/>
    </row>
    <row r="723" customFormat="false" ht="15" hidden="false" customHeight="false" outlineLevel="0" collapsed="false">
      <c r="A723" s="10"/>
      <c r="B723" s="9"/>
      <c r="C723" s="9"/>
      <c r="D723" s="11"/>
      <c r="E723" s="11"/>
      <c r="F723" s="12"/>
      <c r="G723" s="13" t="str">
        <f aca="false">IF(F723&lt;&gt;"",F723,IF(OR(D723="",E723=""),"",ROUND(MOD(E723-D723,1)*1440,0)))</f>
        <v/>
      </c>
      <c r="H723" s="9"/>
      <c r="I723" s="14" t="str">
        <f aca="false">IF(H723="","",IFERROR(INDEX(Setup!$E$5:$E$34,MATCH(H723,Setup!$D$5:$D$34,0)),"Not in Setup"))</f>
        <v/>
      </c>
      <c r="J723" s="9"/>
    </row>
    <row r="724" customFormat="false" ht="15" hidden="false" customHeight="false" outlineLevel="0" collapsed="false">
      <c r="A724" s="10"/>
      <c r="B724" s="9"/>
      <c r="C724" s="9"/>
      <c r="D724" s="11"/>
      <c r="E724" s="11"/>
      <c r="F724" s="12"/>
      <c r="G724" s="13" t="str">
        <f aca="false">IF(F724&lt;&gt;"",F724,IF(OR(D724="",E724=""),"",ROUND(MOD(E724-D724,1)*1440,0)))</f>
        <v/>
      </c>
      <c r="H724" s="9"/>
      <c r="I724" s="14" t="str">
        <f aca="false">IF(H724="","",IFERROR(INDEX(Setup!$E$5:$E$34,MATCH(H724,Setup!$D$5:$D$34,0)),"Not in Setup"))</f>
        <v/>
      </c>
      <c r="J724" s="9"/>
    </row>
    <row r="725" customFormat="false" ht="15" hidden="false" customHeight="false" outlineLevel="0" collapsed="false">
      <c r="A725" s="10"/>
      <c r="B725" s="9"/>
      <c r="C725" s="9"/>
      <c r="D725" s="11"/>
      <c r="E725" s="11"/>
      <c r="F725" s="12"/>
      <c r="G725" s="13" t="str">
        <f aca="false">IF(F725&lt;&gt;"",F725,IF(OR(D725="",E725=""),"",ROUND(MOD(E725-D725,1)*1440,0)))</f>
        <v/>
      </c>
      <c r="H725" s="9"/>
      <c r="I725" s="14" t="str">
        <f aca="false">IF(H725="","",IFERROR(INDEX(Setup!$E$5:$E$34,MATCH(H725,Setup!$D$5:$D$34,0)),"Not in Setup"))</f>
        <v/>
      </c>
      <c r="J725" s="9"/>
    </row>
    <row r="726" customFormat="false" ht="15" hidden="false" customHeight="false" outlineLevel="0" collapsed="false">
      <c r="A726" s="10"/>
      <c r="B726" s="9"/>
      <c r="C726" s="9"/>
      <c r="D726" s="11"/>
      <c r="E726" s="11"/>
      <c r="F726" s="12"/>
      <c r="G726" s="13" t="str">
        <f aca="false">IF(F726&lt;&gt;"",F726,IF(OR(D726="",E726=""),"",ROUND(MOD(E726-D726,1)*1440,0)))</f>
        <v/>
      </c>
      <c r="H726" s="9"/>
      <c r="I726" s="14" t="str">
        <f aca="false">IF(H726="","",IFERROR(INDEX(Setup!$E$5:$E$34,MATCH(H726,Setup!$D$5:$D$34,0)),"Not in Setup"))</f>
        <v/>
      </c>
      <c r="J726" s="9"/>
    </row>
    <row r="727" customFormat="false" ht="15" hidden="false" customHeight="false" outlineLevel="0" collapsed="false">
      <c r="A727" s="10"/>
      <c r="B727" s="9"/>
      <c r="C727" s="9"/>
      <c r="D727" s="11"/>
      <c r="E727" s="11"/>
      <c r="F727" s="12"/>
      <c r="G727" s="13" t="str">
        <f aca="false">IF(F727&lt;&gt;"",F727,IF(OR(D727="",E727=""),"",ROUND(MOD(E727-D727,1)*1440,0)))</f>
        <v/>
      </c>
      <c r="H727" s="9"/>
      <c r="I727" s="14" t="str">
        <f aca="false">IF(H727="","",IFERROR(INDEX(Setup!$E$5:$E$34,MATCH(H727,Setup!$D$5:$D$34,0)),"Not in Setup"))</f>
        <v/>
      </c>
      <c r="J727" s="9"/>
    </row>
    <row r="728" customFormat="false" ht="15" hidden="false" customHeight="false" outlineLevel="0" collapsed="false">
      <c r="A728" s="10"/>
      <c r="B728" s="9"/>
      <c r="C728" s="9"/>
      <c r="D728" s="11"/>
      <c r="E728" s="11"/>
      <c r="F728" s="12"/>
      <c r="G728" s="13" t="str">
        <f aca="false">IF(F728&lt;&gt;"",F728,IF(OR(D728="",E728=""),"",ROUND(MOD(E728-D728,1)*1440,0)))</f>
        <v/>
      </c>
      <c r="H728" s="9"/>
      <c r="I728" s="14" t="str">
        <f aca="false">IF(H728="","",IFERROR(INDEX(Setup!$E$5:$E$34,MATCH(H728,Setup!$D$5:$D$34,0)),"Not in Setup"))</f>
        <v/>
      </c>
      <c r="J728" s="9"/>
    </row>
    <row r="729" customFormat="false" ht="15" hidden="false" customHeight="false" outlineLevel="0" collapsed="false">
      <c r="A729" s="10"/>
      <c r="B729" s="9"/>
      <c r="C729" s="9"/>
      <c r="D729" s="11"/>
      <c r="E729" s="11"/>
      <c r="F729" s="12"/>
      <c r="G729" s="13" t="str">
        <f aca="false">IF(F729&lt;&gt;"",F729,IF(OR(D729="",E729=""),"",ROUND(MOD(E729-D729,1)*1440,0)))</f>
        <v/>
      </c>
      <c r="H729" s="9"/>
      <c r="I729" s="14" t="str">
        <f aca="false">IF(H729="","",IFERROR(INDEX(Setup!$E$5:$E$34,MATCH(H729,Setup!$D$5:$D$34,0)),"Not in Setup"))</f>
        <v/>
      </c>
      <c r="J729" s="9"/>
    </row>
    <row r="730" customFormat="false" ht="15" hidden="false" customHeight="false" outlineLevel="0" collapsed="false">
      <c r="A730" s="10"/>
      <c r="B730" s="9"/>
      <c r="C730" s="9"/>
      <c r="D730" s="11"/>
      <c r="E730" s="11"/>
      <c r="F730" s="12"/>
      <c r="G730" s="13" t="str">
        <f aca="false">IF(F730&lt;&gt;"",F730,IF(OR(D730="",E730=""),"",ROUND(MOD(E730-D730,1)*1440,0)))</f>
        <v/>
      </c>
      <c r="H730" s="9"/>
      <c r="I730" s="14" t="str">
        <f aca="false">IF(H730="","",IFERROR(INDEX(Setup!$E$5:$E$34,MATCH(H730,Setup!$D$5:$D$34,0)),"Not in Setup"))</f>
        <v/>
      </c>
      <c r="J730" s="9"/>
    </row>
    <row r="731" customFormat="false" ht="15" hidden="false" customHeight="false" outlineLevel="0" collapsed="false">
      <c r="A731" s="10"/>
      <c r="B731" s="9"/>
      <c r="C731" s="9"/>
      <c r="D731" s="11"/>
      <c r="E731" s="11"/>
      <c r="F731" s="12"/>
      <c r="G731" s="13" t="str">
        <f aca="false">IF(F731&lt;&gt;"",F731,IF(OR(D731="",E731=""),"",ROUND(MOD(E731-D731,1)*1440,0)))</f>
        <v/>
      </c>
      <c r="H731" s="9"/>
      <c r="I731" s="14" t="str">
        <f aca="false">IF(H731="","",IFERROR(INDEX(Setup!$E$5:$E$34,MATCH(H731,Setup!$D$5:$D$34,0)),"Not in Setup"))</f>
        <v/>
      </c>
      <c r="J731" s="9"/>
    </row>
    <row r="732" customFormat="false" ht="15" hidden="false" customHeight="false" outlineLevel="0" collapsed="false">
      <c r="A732" s="10"/>
      <c r="B732" s="9"/>
      <c r="C732" s="9"/>
      <c r="D732" s="11"/>
      <c r="E732" s="11"/>
      <c r="F732" s="12"/>
      <c r="G732" s="13" t="str">
        <f aca="false">IF(F732&lt;&gt;"",F732,IF(OR(D732="",E732=""),"",ROUND(MOD(E732-D732,1)*1440,0)))</f>
        <v/>
      </c>
      <c r="H732" s="9"/>
      <c r="I732" s="14" t="str">
        <f aca="false">IF(H732="","",IFERROR(INDEX(Setup!$E$5:$E$34,MATCH(H732,Setup!$D$5:$D$34,0)),"Not in Setup"))</f>
        <v/>
      </c>
      <c r="J732" s="9"/>
    </row>
    <row r="733" customFormat="false" ht="15" hidden="false" customHeight="false" outlineLevel="0" collapsed="false">
      <c r="A733" s="10"/>
      <c r="B733" s="9"/>
      <c r="C733" s="9"/>
      <c r="D733" s="11"/>
      <c r="E733" s="11"/>
      <c r="F733" s="12"/>
      <c r="G733" s="13" t="str">
        <f aca="false">IF(F733&lt;&gt;"",F733,IF(OR(D733="",E733=""),"",ROUND(MOD(E733-D733,1)*1440,0)))</f>
        <v/>
      </c>
      <c r="H733" s="9"/>
      <c r="I733" s="14" t="str">
        <f aca="false">IF(H733="","",IFERROR(INDEX(Setup!$E$5:$E$34,MATCH(H733,Setup!$D$5:$D$34,0)),"Not in Setup"))</f>
        <v/>
      </c>
      <c r="J733" s="9"/>
    </row>
    <row r="734" customFormat="false" ht="15" hidden="false" customHeight="false" outlineLevel="0" collapsed="false">
      <c r="A734" s="10"/>
      <c r="B734" s="9"/>
      <c r="C734" s="9"/>
      <c r="D734" s="11"/>
      <c r="E734" s="11"/>
      <c r="F734" s="12"/>
      <c r="G734" s="13" t="str">
        <f aca="false">IF(F734&lt;&gt;"",F734,IF(OR(D734="",E734=""),"",ROUND(MOD(E734-D734,1)*1440,0)))</f>
        <v/>
      </c>
      <c r="H734" s="9"/>
      <c r="I734" s="14" t="str">
        <f aca="false">IF(H734="","",IFERROR(INDEX(Setup!$E$5:$E$34,MATCH(H734,Setup!$D$5:$D$34,0)),"Not in Setup"))</f>
        <v/>
      </c>
      <c r="J734" s="9"/>
    </row>
    <row r="735" customFormat="false" ht="15" hidden="false" customHeight="false" outlineLevel="0" collapsed="false">
      <c r="A735" s="10"/>
      <c r="B735" s="9"/>
      <c r="C735" s="9"/>
      <c r="D735" s="11"/>
      <c r="E735" s="11"/>
      <c r="F735" s="12"/>
      <c r="G735" s="13" t="str">
        <f aca="false">IF(F735&lt;&gt;"",F735,IF(OR(D735="",E735=""),"",ROUND(MOD(E735-D735,1)*1440,0)))</f>
        <v/>
      </c>
      <c r="H735" s="9"/>
      <c r="I735" s="14" t="str">
        <f aca="false">IF(H735="","",IFERROR(INDEX(Setup!$E$5:$E$34,MATCH(H735,Setup!$D$5:$D$34,0)),"Not in Setup"))</f>
        <v/>
      </c>
      <c r="J735" s="9"/>
    </row>
    <row r="736" customFormat="false" ht="15" hidden="false" customHeight="false" outlineLevel="0" collapsed="false">
      <c r="A736" s="10"/>
      <c r="B736" s="9"/>
      <c r="C736" s="9"/>
      <c r="D736" s="11"/>
      <c r="E736" s="11"/>
      <c r="F736" s="12"/>
      <c r="G736" s="13" t="str">
        <f aca="false">IF(F736&lt;&gt;"",F736,IF(OR(D736="",E736=""),"",ROUND(MOD(E736-D736,1)*1440,0)))</f>
        <v/>
      </c>
      <c r="H736" s="9"/>
      <c r="I736" s="14" t="str">
        <f aca="false">IF(H736="","",IFERROR(INDEX(Setup!$E$5:$E$34,MATCH(H736,Setup!$D$5:$D$34,0)),"Not in Setup"))</f>
        <v/>
      </c>
      <c r="J736" s="9"/>
    </row>
    <row r="737" customFormat="false" ht="15" hidden="false" customHeight="false" outlineLevel="0" collapsed="false">
      <c r="A737" s="10"/>
      <c r="B737" s="9"/>
      <c r="C737" s="9"/>
      <c r="D737" s="11"/>
      <c r="E737" s="11"/>
      <c r="F737" s="12"/>
      <c r="G737" s="13" t="str">
        <f aca="false">IF(F737&lt;&gt;"",F737,IF(OR(D737="",E737=""),"",ROUND(MOD(E737-D737,1)*1440,0)))</f>
        <v/>
      </c>
      <c r="H737" s="9"/>
      <c r="I737" s="14" t="str">
        <f aca="false">IF(H737="","",IFERROR(INDEX(Setup!$E$5:$E$34,MATCH(H737,Setup!$D$5:$D$34,0)),"Not in Setup"))</f>
        <v/>
      </c>
      <c r="J737" s="9"/>
    </row>
    <row r="738" customFormat="false" ht="15" hidden="false" customHeight="false" outlineLevel="0" collapsed="false">
      <c r="A738" s="10"/>
      <c r="B738" s="9"/>
      <c r="C738" s="9"/>
      <c r="D738" s="11"/>
      <c r="E738" s="11"/>
      <c r="F738" s="12"/>
      <c r="G738" s="13" t="str">
        <f aca="false">IF(F738&lt;&gt;"",F738,IF(OR(D738="",E738=""),"",ROUND(MOD(E738-D738,1)*1440,0)))</f>
        <v/>
      </c>
      <c r="H738" s="9"/>
      <c r="I738" s="14" t="str">
        <f aca="false">IF(H738="","",IFERROR(INDEX(Setup!$E$5:$E$34,MATCH(H738,Setup!$D$5:$D$34,0)),"Not in Setup"))</f>
        <v/>
      </c>
      <c r="J738" s="9"/>
    </row>
    <row r="739" customFormat="false" ht="15" hidden="false" customHeight="false" outlineLevel="0" collapsed="false">
      <c r="A739" s="10"/>
      <c r="B739" s="9"/>
      <c r="C739" s="9"/>
      <c r="D739" s="11"/>
      <c r="E739" s="11"/>
      <c r="F739" s="12"/>
      <c r="G739" s="13" t="str">
        <f aca="false">IF(F739&lt;&gt;"",F739,IF(OR(D739="",E739=""),"",ROUND(MOD(E739-D739,1)*1440,0)))</f>
        <v/>
      </c>
      <c r="H739" s="9"/>
      <c r="I739" s="14" t="str">
        <f aca="false">IF(H739="","",IFERROR(INDEX(Setup!$E$5:$E$34,MATCH(H739,Setup!$D$5:$D$34,0)),"Not in Setup"))</f>
        <v/>
      </c>
      <c r="J739" s="9"/>
    </row>
    <row r="740" customFormat="false" ht="15" hidden="false" customHeight="false" outlineLevel="0" collapsed="false">
      <c r="A740" s="10"/>
      <c r="B740" s="9"/>
      <c r="C740" s="9"/>
      <c r="D740" s="11"/>
      <c r="E740" s="11"/>
      <c r="F740" s="12"/>
      <c r="G740" s="13" t="str">
        <f aca="false">IF(F740&lt;&gt;"",F740,IF(OR(D740="",E740=""),"",ROUND(MOD(E740-D740,1)*1440,0)))</f>
        <v/>
      </c>
      <c r="H740" s="9"/>
      <c r="I740" s="14" t="str">
        <f aca="false">IF(H740="","",IFERROR(INDEX(Setup!$E$5:$E$34,MATCH(H740,Setup!$D$5:$D$34,0)),"Not in Setup"))</f>
        <v/>
      </c>
      <c r="J740" s="9"/>
    </row>
    <row r="741" customFormat="false" ht="15" hidden="false" customHeight="false" outlineLevel="0" collapsed="false">
      <c r="A741" s="10"/>
      <c r="B741" s="9"/>
      <c r="C741" s="9"/>
      <c r="D741" s="11"/>
      <c r="E741" s="11"/>
      <c r="F741" s="12"/>
      <c r="G741" s="13" t="str">
        <f aca="false">IF(F741&lt;&gt;"",F741,IF(OR(D741="",E741=""),"",ROUND(MOD(E741-D741,1)*1440,0)))</f>
        <v/>
      </c>
      <c r="H741" s="9"/>
      <c r="I741" s="14" t="str">
        <f aca="false">IF(H741="","",IFERROR(INDEX(Setup!$E$5:$E$34,MATCH(H741,Setup!$D$5:$D$34,0)),"Not in Setup"))</f>
        <v/>
      </c>
      <c r="J741" s="9"/>
    </row>
    <row r="742" customFormat="false" ht="15" hidden="false" customHeight="false" outlineLevel="0" collapsed="false">
      <c r="A742" s="10"/>
      <c r="B742" s="9"/>
      <c r="C742" s="9"/>
      <c r="D742" s="11"/>
      <c r="E742" s="11"/>
      <c r="F742" s="12"/>
      <c r="G742" s="13" t="str">
        <f aca="false">IF(F742&lt;&gt;"",F742,IF(OR(D742="",E742=""),"",ROUND(MOD(E742-D742,1)*1440,0)))</f>
        <v/>
      </c>
      <c r="H742" s="9"/>
      <c r="I742" s="14" t="str">
        <f aca="false">IF(H742="","",IFERROR(INDEX(Setup!$E$5:$E$34,MATCH(H742,Setup!$D$5:$D$34,0)),"Not in Setup"))</f>
        <v/>
      </c>
      <c r="J742" s="9"/>
    </row>
    <row r="743" customFormat="false" ht="15" hidden="false" customHeight="false" outlineLevel="0" collapsed="false">
      <c r="A743" s="10"/>
      <c r="B743" s="9"/>
      <c r="C743" s="9"/>
      <c r="D743" s="11"/>
      <c r="E743" s="11"/>
      <c r="F743" s="12"/>
      <c r="G743" s="13" t="str">
        <f aca="false">IF(F743&lt;&gt;"",F743,IF(OR(D743="",E743=""),"",ROUND(MOD(E743-D743,1)*1440,0)))</f>
        <v/>
      </c>
      <c r="H743" s="9"/>
      <c r="I743" s="14" t="str">
        <f aca="false">IF(H743="","",IFERROR(INDEX(Setup!$E$5:$E$34,MATCH(H743,Setup!$D$5:$D$34,0)),"Not in Setup"))</f>
        <v/>
      </c>
      <c r="J743" s="9"/>
    </row>
    <row r="744" customFormat="false" ht="15" hidden="false" customHeight="false" outlineLevel="0" collapsed="false">
      <c r="A744" s="10"/>
      <c r="B744" s="9"/>
      <c r="C744" s="9"/>
      <c r="D744" s="11"/>
      <c r="E744" s="11"/>
      <c r="F744" s="12"/>
      <c r="G744" s="13" t="str">
        <f aca="false">IF(F744&lt;&gt;"",F744,IF(OR(D744="",E744=""),"",ROUND(MOD(E744-D744,1)*1440,0)))</f>
        <v/>
      </c>
      <c r="H744" s="9"/>
      <c r="I744" s="14" t="str">
        <f aca="false">IF(H744="","",IFERROR(INDEX(Setup!$E$5:$E$34,MATCH(H744,Setup!$D$5:$D$34,0)),"Not in Setup"))</f>
        <v/>
      </c>
      <c r="J744" s="9"/>
    </row>
    <row r="745" customFormat="false" ht="15" hidden="false" customHeight="false" outlineLevel="0" collapsed="false">
      <c r="A745" s="10"/>
      <c r="B745" s="9"/>
      <c r="C745" s="9"/>
      <c r="D745" s="11"/>
      <c r="E745" s="11"/>
      <c r="F745" s="12"/>
      <c r="G745" s="13" t="str">
        <f aca="false">IF(F745&lt;&gt;"",F745,IF(OR(D745="",E745=""),"",ROUND(MOD(E745-D745,1)*1440,0)))</f>
        <v/>
      </c>
      <c r="H745" s="9"/>
      <c r="I745" s="14" t="str">
        <f aca="false">IF(H745="","",IFERROR(INDEX(Setup!$E$5:$E$34,MATCH(H745,Setup!$D$5:$D$34,0)),"Not in Setup"))</f>
        <v/>
      </c>
      <c r="J745" s="9"/>
    </row>
    <row r="746" customFormat="false" ht="15" hidden="false" customHeight="false" outlineLevel="0" collapsed="false">
      <c r="A746" s="10"/>
      <c r="B746" s="9"/>
      <c r="C746" s="9"/>
      <c r="D746" s="11"/>
      <c r="E746" s="11"/>
      <c r="F746" s="12"/>
      <c r="G746" s="13" t="str">
        <f aca="false">IF(F746&lt;&gt;"",F746,IF(OR(D746="",E746=""),"",ROUND(MOD(E746-D746,1)*1440,0)))</f>
        <v/>
      </c>
      <c r="H746" s="9"/>
      <c r="I746" s="14" t="str">
        <f aca="false">IF(H746="","",IFERROR(INDEX(Setup!$E$5:$E$34,MATCH(H746,Setup!$D$5:$D$34,0)),"Not in Setup"))</f>
        <v/>
      </c>
      <c r="J746" s="9"/>
    </row>
    <row r="747" customFormat="false" ht="15" hidden="false" customHeight="false" outlineLevel="0" collapsed="false">
      <c r="A747" s="10"/>
      <c r="B747" s="9"/>
      <c r="C747" s="9"/>
      <c r="D747" s="11"/>
      <c r="E747" s="11"/>
      <c r="F747" s="12"/>
      <c r="G747" s="13" t="str">
        <f aca="false">IF(F747&lt;&gt;"",F747,IF(OR(D747="",E747=""),"",ROUND(MOD(E747-D747,1)*1440,0)))</f>
        <v/>
      </c>
      <c r="H747" s="9"/>
      <c r="I747" s="14" t="str">
        <f aca="false">IF(H747="","",IFERROR(INDEX(Setup!$E$5:$E$34,MATCH(H747,Setup!$D$5:$D$34,0)),"Not in Setup"))</f>
        <v/>
      </c>
      <c r="J747" s="9"/>
    </row>
    <row r="748" customFormat="false" ht="15" hidden="false" customHeight="false" outlineLevel="0" collapsed="false">
      <c r="A748" s="10"/>
      <c r="B748" s="9"/>
      <c r="C748" s="9"/>
      <c r="D748" s="11"/>
      <c r="E748" s="11"/>
      <c r="F748" s="12"/>
      <c r="G748" s="13" t="str">
        <f aca="false">IF(F748&lt;&gt;"",F748,IF(OR(D748="",E748=""),"",ROUND(MOD(E748-D748,1)*1440,0)))</f>
        <v/>
      </c>
      <c r="H748" s="9"/>
      <c r="I748" s="14" t="str">
        <f aca="false">IF(H748="","",IFERROR(INDEX(Setup!$E$5:$E$34,MATCH(H748,Setup!$D$5:$D$34,0)),"Not in Setup"))</f>
        <v/>
      </c>
      <c r="J748" s="9"/>
    </row>
    <row r="749" customFormat="false" ht="15" hidden="false" customHeight="false" outlineLevel="0" collapsed="false">
      <c r="A749" s="10"/>
      <c r="B749" s="9"/>
      <c r="C749" s="9"/>
      <c r="D749" s="11"/>
      <c r="E749" s="11"/>
      <c r="F749" s="12"/>
      <c r="G749" s="13" t="str">
        <f aca="false">IF(F749&lt;&gt;"",F749,IF(OR(D749="",E749=""),"",ROUND(MOD(E749-D749,1)*1440,0)))</f>
        <v/>
      </c>
      <c r="H749" s="9"/>
      <c r="I749" s="14" t="str">
        <f aca="false">IF(H749="","",IFERROR(INDEX(Setup!$E$5:$E$34,MATCH(H749,Setup!$D$5:$D$34,0)),"Not in Setup"))</f>
        <v/>
      </c>
      <c r="J749" s="9"/>
    </row>
    <row r="750" customFormat="false" ht="15" hidden="false" customHeight="false" outlineLevel="0" collapsed="false">
      <c r="A750" s="10"/>
      <c r="B750" s="9"/>
      <c r="C750" s="9"/>
      <c r="D750" s="11"/>
      <c r="E750" s="11"/>
      <c r="F750" s="12"/>
      <c r="G750" s="13" t="str">
        <f aca="false">IF(F750&lt;&gt;"",F750,IF(OR(D750="",E750=""),"",ROUND(MOD(E750-D750,1)*1440,0)))</f>
        <v/>
      </c>
      <c r="H750" s="9"/>
      <c r="I750" s="14" t="str">
        <f aca="false">IF(H750="","",IFERROR(INDEX(Setup!$E$5:$E$34,MATCH(H750,Setup!$D$5:$D$34,0)),"Not in Setup"))</f>
        <v/>
      </c>
      <c r="J750" s="9"/>
    </row>
    <row r="751" customFormat="false" ht="15" hidden="false" customHeight="false" outlineLevel="0" collapsed="false">
      <c r="A751" s="10"/>
      <c r="B751" s="9"/>
      <c r="C751" s="9"/>
      <c r="D751" s="11"/>
      <c r="E751" s="11"/>
      <c r="F751" s="12"/>
      <c r="G751" s="13" t="str">
        <f aca="false">IF(F751&lt;&gt;"",F751,IF(OR(D751="",E751=""),"",ROUND(MOD(E751-D751,1)*1440,0)))</f>
        <v/>
      </c>
      <c r="H751" s="9"/>
      <c r="I751" s="14" t="str">
        <f aca="false">IF(H751="","",IFERROR(INDEX(Setup!$E$5:$E$34,MATCH(H751,Setup!$D$5:$D$34,0)),"Not in Setup"))</f>
        <v/>
      </c>
      <c r="J751" s="9"/>
    </row>
    <row r="752" customFormat="false" ht="15" hidden="false" customHeight="false" outlineLevel="0" collapsed="false">
      <c r="A752" s="10"/>
      <c r="B752" s="9"/>
      <c r="C752" s="9"/>
      <c r="D752" s="11"/>
      <c r="E752" s="11"/>
      <c r="F752" s="12"/>
      <c r="G752" s="13" t="str">
        <f aca="false">IF(F752&lt;&gt;"",F752,IF(OR(D752="",E752=""),"",ROUND(MOD(E752-D752,1)*1440,0)))</f>
        <v/>
      </c>
      <c r="H752" s="9"/>
      <c r="I752" s="14" t="str">
        <f aca="false">IF(H752="","",IFERROR(INDEX(Setup!$E$5:$E$34,MATCH(H752,Setup!$D$5:$D$34,0)),"Not in Setup"))</f>
        <v/>
      </c>
      <c r="J752" s="9"/>
    </row>
    <row r="753" customFormat="false" ht="15" hidden="false" customHeight="false" outlineLevel="0" collapsed="false">
      <c r="A753" s="10"/>
      <c r="B753" s="9"/>
      <c r="C753" s="9"/>
      <c r="D753" s="11"/>
      <c r="E753" s="11"/>
      <c r="F753" s="12"/>
      <c r="G753" s="13" t="str">
        <f aca="false">IF(F753&lt;&gt;"",F753,IF(OR(D753="",E753=""),"",ROUND(MOD(E753-D753,1)*1440,0)))</f>
        <v/>
      </c>
      <c r="H753" s="9"/>
      <c r="I753" s="14" t="str">
        <f aca="false">IF(H753="","",IFERROR(INDEX(Setup!$E$5:$E$34,MATCH(H753,Setup!$D$5:$D$34,0)),"Not in Setup"))</f>
        <v/>
      </c>
      <c r="J753" s="9"/>
    </row>
    <row r="754" customFormat="false" ht="15" hidden="false" customHeight="false" outlineLevel="0" collapsed="false">
      <c r="A754" s="10"/>
      <c r="B754" s="9"/>
      <c r="C754" s="9"/>
      <c r="D754" s="11"/>
      <c r="E754" s="11"/>
      <c r="F754" s="12"/>
      <c r="G754" s="13" t="str">
        <f aca="false">IF(F754&lt;&gt;"",F754,IF(OR(D754="",E754=""),"",ROUND(MOD(E754-D754,1)*1440,0)))</f>
        <v/>
      </c>
      <c r="H754" s="9"/>
      <c r="I754" s="14" t="str">
        <f aca="false">IF(H754="","",IFERROR(INDEX(Setup!$E$5:$E$34,MATCH(H754,Setup!$D$5:$D$34,0)),"Not in Setup"))</f>
        <v/>
      </c>
      <c r="J754" s="9"/>
    </row>
    <row r="755" customFormat="false" ht="15" hidden="false" customHeight="false" outlineLevel="0" collapsed="false">
      <c r="A755" s="10"/>
      <c r="B755" s="9"/>
      <c r="C755" s="9"/>
      <c r="D755" s="11"/>
      <c r="E755" s="11"/>
      <c r="F755" s="12"/>
      <c r="G755" s="13" t="str">
        <f aca="false">IF(F755&lt;&gt;"",F755,IF(OR(D755="",E755=""),"",ROUND(MOD(E755-D755,1)*1440,0)))</f>
        <v/>
      </c>
      <c r="H755" s="9"/>
      <c r="I755" s="14" t="str">
        <f aca="false">IF(H755="","",IFERROR(INDEX(Setup!$E$5:$E$34,MATCH(H755,Setup!$D$5:$D$34,0)),"Not in Setup"))</f>
        <v/>
      </c>
      <c r="J755" s="9"/>
    </row>
    <row r="756" customFormat="false" ht="15" hidden="false" customHeight="false" outlineLevel="0" collapsed="false">
      <c r="A756" s="10"/>
      <c r="B756" s="9"/>
      <c r="C756" s="9"/>
      <c r="D756" s="11"/>
      <c r="E756" s="11"/>
      <c r="F756" s="12"/>
      <c r="G756" s="13" t="str">
        <f aca="false">IF(F756&lt;&gt;"",F756,IF(OR(D756="",E756=""),"",ROUND(MOD(E756-D756,1)*1440,0)))</f>
        <v/>
      </c>
      <c r="H756" s="9"/>
      <c r="I756" s="14" t="str">
        <f aca="false">IF(H756="","",IFERROR(INDEX(Setup!$E$5:$E$34,MATCH(H756,Setup!$D$5:$D$34,0)),"Not in Setup"))</f>
        <v/>
      </c>
      <c r="J756" s="9"/>
    </row>
    <row r="757" customFormat="false" ht="15" hidden="false" customHeight="false" outlineLevel="0" collapsed="false">
      <c r="A757" s="10"/>
      <c r="B757" s="9"/>
      <c r="C757" s="9"/>
      <c r="D757" s="11"/>
      <c r="E757" s="11"/>
      <c r="F757" s="12"/>
      <c r="G757" s="13" t="str">
        <f aca="false">IF(F757&lt;&gt;"",F757,IF(OR(D757="",E757=""),"",ROUND(MOD(E757-D757,1)*1440,0)))</f>
        <v/>
      </c>
      <c r="H757" s="9"/>
      <c r="I757" s="14" t="str">
        <f aca="false">IF(H757="","",IFERROR(INDEX(Setup!$E$5:$E$34,MATCH(H757,Setup!$D$5:$D$34,0)),"Not in Setup"))</f>
        <v/>
      </c>
      <c r="J757" s="9"/>
    </row>
    <row r="758" customFormat="false" ht="15" hidden="false" customHeight="false" outlineLevel="0" collapsed="false">
      <c r="A758" s="10"/>
      <c r="B758" s="9"/>
      <c r="C758" s="9"/>
      <c r="D758" s="11"/>
      <c r="E758" s="11"/>
      <c r="F758" s="12"/>
      <c r="G758" s="13" t="str">
        <f aca="false">IF(F758&lt;&gt;"",F758,IF(OR(D758="",E758=""),"",ROUND(MOD(E758-D758,1)*1440,0)))</f>
        <v/>
      </c>
      <c r="H758" s="9"/>
      <c r="I758" s="14" t="str">
        <f aca="false">IF(H758="","",IFERROR(INDEX(Setup!$E$5:$E$34,MATCH(H758,Setup!$D$5:$D$34,0)),"Not in Setup"))</f>
        <v/>
      </c>
      <c r="J758" s="9"/>
    </row>
    <row r="759" customFormat="false" ht="15" hidden="false" customHeight="false" outlineLevel="0" collapsed="false">
      <c r="A759" s="10"/>
      <c r="B759" s="9"/>
      <c r="C759" s="9"/>
      <c r="D759" s="11"/>
      <c r="E759" s="11"/>
      <c r="F759" s="12"/>
      <c r="G759" s="13" t="str">
        <f aca="false">IF(F759&lt;&gt;"",F759,IF(OR(D759="",E759=""),"",ROUND(MOD(E759-D759,1)*1440,0)))</f>
        <v/>
      </c>
      <c r="H759" s="9"/>
      <c r="I759" s="14" t="str">
        <f aca="false">IF(H759="","",IFERROR(INDEX(Setup!$E$5:$E$34,MATCH(H759,Setup!$D$5:$D$34,0)),"Not in Setup"))</f>
        <v/>
      </c>
      <c r="J759" s="9"/>
    </row>
    <row r="760" customFormat="false" ht="15" hidden="false" customHeight="false" outlineLevel="0" collapsed="false">
      <c r="A760" s="10"/>
      <c r="B760" s="9"/>
      <c r="C760" s="9"/>
      <c r="D760" s="11"/>
      <c r="E760" s="11"/>
      <c r="F760" s="12"/>
      <c r="G760" s="13" t="str">
        <f aca="false">IF(F760&lt;&gt;"",F760,IF(OR(D760="",E760=""),"",ROUND(MOD(E760-D760,1)*1440,0)))</f>
        <v/>
      </c>
      <c r="H760" s="9"/>
      <c r="I760" s="14" t="str">
        <f aca="false">IF(H760="","",IFERROR(INDEX(Setup!$E$5:$E$34,MATCH(H760,Setup!$D$5:$D$34,0)),"Not in Setup"))</f>
        <v/>
      </c>
      <c r="J760" s="9"/>
    </row>
    <row r="761" customFormat="false" ht="15" hidden="false" customHeight="false" outlineLevel="0" collapsed="false">
      <c r="A761" s="10"/>
      <c r="B761" s="9"/>
      <c r="C761" s="9"/>
      <c r="D761" s="11"/>
      <c r="E761" s="11"/>
      <c r="F761" s="12"/>
      <c r="G761" s="13" t="str">
        <f aca="false">IF(F761&lt;&gt;"",F761,IF(OR(D761="",E761=""),"",ROUND(MOD(E761-D761,1)*1440,0)))</f>
        <v/>
      </c>
      <c r="H761" s="9"/>
      <c r="I761" s="14" t="str">
        <f aca="false">IF(H761="","",IFERROR(INDEX(Setup!$E$5:$E$34,MATCH(H761,Setup!$D$5:$D$34,0)),"Not in Setup"))</f>
        <v/>
      </c>
      <c r="J761" s="9"/>
    </row>
    <row r="762" customFormat="false" ht="15" hidden="false" customHeight="false" outlineLevel="0" collapsed="false">
      <c r="A762" s="10"/>
      <c r="B762" s="9"/>
      <c r="C762" s="9"/>
      <c r="D762" s="11"/>
      <c r="E762" s="11"/>
      <c r="F762" s="12"/>
      <c r="G762" s="13" t="str">
        <f aca="false">IF(F762&lt;&gt;"",F762,IF(OR(D762="",E762=""),"",ROUND(MOD(E762-D762,1)*1440,0)))</f>
        <v/>
      </c>
      <c r="H762" s="9"/>
      <c r="I762" s="14" t="str">
        <f aca="false">IF(H762="","",IFERROR(INDEX(Setup!$E$5:$E$34,MATCH(H762,Setup!$D$5:$D$34,0)),"Not in Setup"))</f>
        <v/>
      </c>
      <c r="J762" s="9"/>
    </row>
    <row r="763" customFormat="false" ht="15" hidden="false" customHeight="false" outlineLevel="0" collapsed="false">
      <c r="A763" s="10"/>
      <c r="B763" s="9"/>
      <c r="C763" s="9"/>
      <c r="D763" s="11"/>
      <c r="E763" s="11"/>
      <c r="F763" s="12"/>
      <c r="G763" s="13" t="str">
        <f aca="false">IF(F763&lt;&gt;"",F763,IF(OR(D763="",E763=""),"",ROUND(MOD(E763-D763,1)*1440,0)))</f>
        <v/>
      </c>
      <c r="H763" s="9"/>
      <c r="I763" s="14" t="str">
        <f aca="false">IF(H763="","",IFERROR(INDEX(Setup!$E$5:$E$34,MATCH(H763,Setup!$D$5:$D$34,0)),"Not in Setup"))</f>
        <v/>
      </c>
      <c r="J763" s="9"/>
    </row>
    <row r="764" customFormat="false" ht="15" hidden="false" customHeight="false" outlineLevel="0" collapsed="false">
      <c r="A764" s="10"/>
      <c r="B764" s="9"/>
      <c r="C764" s="9"/>
      <c r="D764" s="11"/>
      <c r="E764" s="11"/>
      <c r="F764" s="12"/>
      <c r="G764" s="13" t="str">
        <f aca="false">IF(F764&lt;&gt;"",F764,IF(OR(D764="",E764=""),"",ROUND(MOD(E764-D764,1)*1440,0)))</f>
        <v/>
      </c>
      <c r="H764" s="9"/>
      <c r="I764" s="14" t="str">
        <f aca="false">IF(H764="","",IFERROR(INDEX(Setup!$E$5:$E$34,MATCH(H764,Setup!$D$5:$D$34,0)),"Not in Setup"))</f>
        <v/>
      </c>
      <c r="J764" s="9"/>
    </row>
    <row r="765" customFormat="false" ht="15" hidden="false" customHeight="false" outlineLevel="0" collapsed="false">
      <c r="A765" s="10"/>
      <c r="B765" s="9"/>
      <c r="C765" s="9"/>
      <c r="D765" s="11"/>
      <c r="E765" s="11"/>
      <c r="F765" s="12"/>
      <c r="G765" s="13" t="str">
        <f aca="false">IF(F765&lt;&gt;"",F765,IF(OR(D765="",E765=""),"",ROUND(MOD(E765-D765,1)*1440,0)))</f>
        <v/>
      </c>
      <c r="H765" s="9"/>
      <c r="I765" s="14" t="str">
        <f aca="false">IF(H765="","",IFERROR(INDEX(Setup!$E$5:$E$34,MATCH(H765,Setup!$D$5:$D$34,0)),"Not in Setup"))</f>
        <v/>
      </c>
      <c r="J765" s="9"/>
    </row>
    <row r="766" customFormat="false" ht="15" hidden="false" customHeight="false" outlineLevel="0" collapsed="false">
      <c r="A766" s="10"/>
      <c r="B766" s="9"/>
      <c r="C766" s="9"/>
      <c r="D766" s="11"/>
      <c r="E766" s="11"/>
      <c r="F766" s="12"/>
      <c r="G766" s="13" t="str">
        <f aca="false">IF(F766&lt;&gt;"",F766,IF(OR(D766="",E766=""),"",ROUND(MOD(E766-D766,1)*1440,0)))</f>
        <v/>
      </c>
      <c r="H766" s="9"/>
      <c r="I766" s="14" t="str">
        <f aca="false">IF(H766="","",IFERROR(INDEX(Setup!$E$5:$E$34,MATCH(H766,Setup!$D$5:$D$34,0)),"Not in Setup"))</f>
        <v/>
      </c>
      <c r="J766" s="9"/>
    </row>
    <row r="767" customFormat="false" ht="15" hidden="false" customHeight="false" outlineLevel="0" collapsed="false">
      <c r="A767" s="10"/>
      <c r="B767" s="9"/>
      <c r="C767" s="9"/>
      <c r="D767" s="11"/>
      <c r="E767" s="11"/>
      <c r="F767" s="12"/>
      <c r="G767" s="13" t="str">
        <f aca="false">IF(F767&lt;&gt;"",F767,IF(OR(D767="",E767=""),"",ROUND(MOD(E767-D767,1)*1440,0)))</f>
        <v/>
      </c>
      <c r="H767" s="9"/>
      <c r="I767" s="14" t="str">
        <f aca="false">IF(H767="","",IFERROR(INDEX(Setup!$E$5:$E$34,MATCH(H767,Setup!$D$5:$D$34,0)),"Not in Setup"))</f>
        <v/>
      </c>
      <c r="J767" s="9"/>
    </row>
    <row r="768" customFormat="false" ht="15" hidden="false" customHeight="false" outlineLevel="0" collapsed="false">
      <c r="A768" s="10"/>
      <c r="B768" s="9"/>
      <c r="C768" s="9"/>
      <c r="D768" s="11"/>
      <c r="E768" s="11"/>
      <c r="F768" s="12"/>
      <c r="G768" s="13" t="str">
        <f aca="false">IF(F768&lt;&gt;"",F768,IF(OR(D768="",E768=""),"",ROUND(MOD(E768-D768,1)*1440,0)))</f>
        <v/>
      </c>
      <c r="H768" s="9"/>
      <c r="I768" s="14" t="str">
        <f aca="false">IF(H768="","",IFERROR(INDEX(Setup!$E$5:$E$34,MATCH(H768,Setup!$D$5:$D$34,0)),"Not in Setup"))</f>
        <v/>
      </c>
      <c r="J768" s="9"/>
    </row>
    <row r="769" customFormat="false" ht="15" hidden="false" customHeight="false" outlineLevel="0" collapsed="false">
      <c r="A769" s="10"/>
      <c r="B769" s="9"/>
      <c r="C769" s="9"/>
      <c r="D769" s="11"/>
      <c r="E769" s="11"/>
      <c r="F769" s="12"/>
      <c r="G769" s="13" t="str">
        <f aca="false">IF(F769&lt;&gt;"",F769,IF(OR(D769="",E769=""),"",ROUND(MOD(E769-D769,1)*1440,0)))</f>
        <v/>
      </c>
      <c r="H769" s="9"/>
      <c r="I769" s="14" t="str">
        <f aca="false">IF(H769="","",IFERROR(INDEX(Setup!$E$5:$E$34,MATCH(H769,Setup!$D$5:$D$34,0)),"Not in Setup"))</f>
        <v/>
      </c>
      <c r="J769" s="9"/>
    </row>
    <row r="770" customFormat="false" ht="15" hidden="false" customHeight="false" outlineLevel="0" collapsed="false">
      <c r="A770" s="10"/>
      <c r="B770" s="9"/>
      <c r="C770" s="9"/>
      <c r="D770" s="11"/>
      <c r="E770" s="11"/>
      <c r="F770" s="12"/>
      <c r="G770" s="13" t="str">
        <f aca="false">IF(F770&lt;&gt;"",F770,IF(OR(D770="",E770=""),"",ROUND(MOD(E770-D770,1)*1440,0)))</f>
        <v/>
      </c>
      <c r="H770" s="9"/>
      <c r="I770" s="14" t="str">
        <f aca="false">IF(H770="","",IFERROR(INDEX(Setup!$E$5:$E$34,MATCH(H770,Setup!$D$5:$D$34,0)),"Not in Setup"))</f>
        <v/>
      </c>
      <c r="J770" s="9"/>
    </row>
    <row r="771" customFormat="false" ht="15" hidden="false" customHeight="false" outlineLevel="0" collapsed="false">
      <c r="A771" s="10"/>
      <c r="B771" s="9"/>
      <c r="C771" s="9"/>
      <c r="D771" s="11"/>
      <c r="E771" s="11"/>
      <c r="F771" s="12"/>
      <c r="G771" s="13" t="str">
        <f aca="false">IF(F771&lt;&gt;"",F771,IF(OR(D771="",E771=""),"",ROUND(MOD(E771-D771,1)*1440,0)))</f>
        <v/>
      </c>
      <c r="H771" s="9"/>
      <c r="I771" s="14" t="str">
        <f aca="false">IF(H771="","",IFERROR(INDEX(Setup!$E$5:$E$34,MATCH(H771,Setup!$D$5:$D$34,0)),"Not in Setup"))</f>
        <v/>
      </c>
      <c r="J771" s="9"/>
    </row>
    <row r="772" customFormat="false" ht="15" hidden="false" customHeight="false" outlineLevel="0" collapsed="false">
      <c r="A772" s="10"/>
      <c r="B772" s="9"/>
      <c r="C772" s="9"/>
      <c r="D772" s="11"/>
      <c r="E772" s="11"/>
      <c r="F772" s="12"/>
      <c r="G772" s="13" t="str">
        <f aca="false">IF(F772&lt;&gt;"",F772,IF(OR(D772="",E772=""),"",ROUND(MOD(E772-D772,1)*1440,0)))</f>
        <v/>
      </c>
      <c r="H772" s="9"/>
      <c r="I772" s="14" t="str">
        <f aca="false">IF(H772="","",IFERROR(INDEX(Setup!$E$5:$E$34,MATCH(H772,Setup!$D$5:$D$34,0)),"Not in Setup"))</f>
        <v/>
      </c>
      <c r="J772" s="9"/>
    </row>
    <row r="773" customFormat="false" ht="15" hidden="false" customHeight="false" outlineLevel="0" collapsed="false">
      <c r="A773" s="10"/>
      <c r="B773" s="9"/>
      <c r="C773" s="9"/>
      <c r="D773" s="11"/>
      <c r="E773" s="11"/>
      <c r="F773" s="12"/>
      <c r="G773" s="13" t="str">
        <f aca="false">IF(F773&lt;&gt;"",F773,IF(OR(D773="",E773=""),"",ROUND(MOD(E773-D773,1)*1440,0)))</f>
        <v/>
      </c>
      <c r="H773" s="9"/>
      <c r="I773" s="14" t="str">
        <f aca="false">IF(H773="","",IFERROR(INDEX(Setup!$E$5:$E$34,MATCH(H773,Setup!$D$5:$D$34,0)),"Not in Setup"))</f>
        <v/>
      </c>
      <c r="J773" s="9"/>
    </row>
    <row r="774" customFormat="false" ht="15" hidden="false" customHeight="false" outlineLevel="0" collapsed="false">
      <c r="A774" s="10"/>
      <c r="B774" s="9"/>
      <c r="C774" s="9"/>
      <c r="D774" s="11"/>
      <c r="E774" s="11"/>
      <c r="F774" s="12"/>
      <c r="G774" s="13" t="str">
        <f aca="false">IF(F774&lt;&gt;"",F774,IF(OR(D774="",E774=""),"",ROUND(MOD(E774-D774,1)*1440,0)))</f>
        <v/>
      </c>
      <c r="H774" s="9"/>
      <c r="I774" s="14" t="str">
        <f aca="false">IF(H774="","",IFERROR(INDEX(Setup!$E$5:$E$34,MATCH(H774,Setup!$D$5:$D$34,0)),"Not in Setup"))</f>
        <v/>
      </c>
      <c r="J774" s="9"/>
    </row>
    <row r="775" customFormat="false" ht="15" hidden="false" customHeight="false" outlineLevel="0" collapsed="false">
      <c r="A775" s="10"/>
      <c r="B775" s="9"/>
      <c r="C775" s="9"/>
      <c r="D775" s="11"/>
      <c r="E775" s="11"/>
      <c r="F775" s="12"/>
      <c r="G775" s="13" t="str">
        <f aca="false">IF(F775&lt;&gt;"",F775,IF(OR(D775="",E775=""),"",ROUND(MOD(E775-D775,1)*1440,0)))</f>
        <v/>
      </c>
      <c r="H775" s="9"/>
      <c r="I775" s="14" t="str">
        <f aca="false">IF(H775="","",IFERROR(INDEX(Setup!$E$5:$E$34,MATCH(H775,Setup!$D$5:$D$34,0)),"Not in Setup"))</f>
        <v/>
      </c>
      <c r="J775" s="9"/>
    </row>
    <row r="776" customFormat="false" ht="15" hidden="false" customHeight="false" outlineLevel="0" collapsed="false">
      <c r="A776" s="10"/>
      <c r="B776" s="9"/>
      <c r="C776" s="9"/>
      <c r="D776" s="11"/>
      <c r="E776" s="11"/>
      <c r="F776" s="12"/>
      <c r="G776" s="13" t="str">
        <f aca="false">IF(F776&lt;&gt;"",F776,IF(OR(D776="",E776=""),"",ROUND(MOD(E776-D776,1)*1440,0)))</f>
        <v/>
      </c>
      <c r="H776" s="9"/>
      <c r="I776" s="14" t="str">
        <f aca="false">IF(H776="","",IFERROR(INDEX(Setup!$E$5:$E$34,MATCH(H776,Setup!$D$5:$D$34,0)),"Not in Setup"))</f>
        <v/>
      </c>
      <c r="J776" s="9"/>
    </row>
    <row r="777" customFormat="false" ht="15" hidden="false" customHeight="false" outlineLevel="0" collapsed="false">
      <c r="A777" s="10"/>
      <c r="B777" s="9"/>
      <c r="C777" s="9"/>
      <c r="D777" s="11"/>
      <c r="E777" s="11"/>
      <c r="F777" s="12"/>
      <c r="G777" s="13" t="str">
        <f aca="false">IF(F777&lt;&gt;"",F777,IF(OR(D777="",E777=""),"",ROUND(MOD(E777-D777,1)*1440,0)))</f>
        <v/>
      </c>
      <c r="H777" s="9"/>
      <c r="I777" s="14" t="str">
        <f aca="false">IF(H777="","",IFERROR(INDEX(Setup!$E$5:$E$34,MATCH(H777,Setup!$D$5:$D$34,0)),"Not in Setup"))</f>
        <v/>
      </c>
      <c r="J777" s="9"/>
    </row>
    <row r="778" customFormat="false" ht="15" hidden="false" customHeight="false" outlineLevel="0" collapsed="false">
      <c r="A778" s="10"/>
      <c r="B778" s="9"/>
      <c r="C778" s="9"/>
      <c r="D778" s="11"/>
      <c r="E778" s="11"/>
      <c r="F778" s="12"/>
      <c r="G778" s="13" t="str">
        <f aca="false">IF(F778&lt;&gt;"",F778,IF(OR(D778="",E778=""),"",ROUND(MOD(E778-D778,1)*1440,0)))</f>
        <v/>
      </c>
      <c r="H778" s="9"/>
      <c r="I778" s="14" t="str">
        <f aca="false">IF(H778="","",IFERROR(INDEX(Setup!$E$5:$E$34,MATCH(H778,Setup!$D$5:$D$34,0)),"Not in Setup"))</f>
        <v/>
      </c>
      <c r="J778" s="9"/>
    </row>
    <row r="779" customFormat="false" ht="15" hidden="false" customHeight="false" outlineLevel="0" collapsed="false">
      <c r="A779" s="10"/>
      <c r="B779" s="9"/>
      <c r="C779" s="9"/>
      <c r="D779" s="11"/>
      <c r="E779" s="11"/>
      <c r="F779" s="12"/>
      <c r="G779" s="13" t="str">
        <f aca="false">IF(F779&lt;&gt;"",F779,IF(OR(D779="",E779=""),"",ROUND(MOD(E779-D779,1)*1440,0)))</f>
        <v/>
      </c>
      <c r="H779" s="9"/>
      <c r="I779" s="14" t="str">
        <f aca="false">IF(H779="","",IFERROR(INDEX(Setup!$E$5:$E$34,MATCH(H779,Setup!$D$5:$D$34,0)),"Not in Setup"))</f>
        <v/>
      </c>
      <c r="J779" s="9"/>
    </row>
    <row r="780" customFormat="false" ht="15" hidden="false" customHeight="false" outlineLevel="0" collapsed="false">
      <c r="A780" s="10"/>
      <c r="B780" s="9"/>
      <c r="C780" s="9"/>
      <c r="D780" s="11"/>
      <c r="E780" s="11"/>
      <c r="F780" s="12"/>
      <c r="G780" s="13" t="str">
        <f aca="false">IF(F780&lt;&gt;"",F780,IF(OR(D780="",E780=""),"",ROUND(MOD(E780-D780,1)*1440,0)))</f>
        <v/>
      </c>
      <c r="H780" s="9"/>
      <c r="I780" s="14" t="str">
        <f aca="false">IF(H780="","",IFERROR(INDEX(Setup!$E$5:$E$34,MATCH(H780,Setup!$D$5:$D$34,0)),"Not in Setup"))</f>
        <v/>
      </c>
      <c r="J780" s="9"/>
    </row>
    <row r="781" customFormat="false" ht="15" hidden="false" customHeight="false" outlineLevel="0" collapsed="false">
      <c r="A781" s="10"/>
      <c r="B781" s="9"/>
      <c r="C781" s="9"/>
      <c r="D781" s="11"/>
      <c r="E781" s="11"/>
      <c r="F781" s="12"/>
      <c r="G781" s="13" t="str">
        <f aca="false">IF(F781&lt;&gt;"",F781,IF(OR(D781="",E781=""),"",ROUND(MOD(E781-D781,1)*1440,0)))</f>
        <v/>
      </c>
      <c r="H781" s="9"/>
      <c r="I781" s="14" t="str">
        <f aca="false">IF(H781="","",IFERROR(INDEX(Setup!$E$5:$E$34,MATCH(H781,Setup!$D$5:$D$34,0)),"Not in Setup"))</f>
        <v/>
      </c>
      <c r="J781" s="9"/>
    </row>
    <row r="782" customFormat="false" ht="15" hidden="false" customHeight="false" outlineLevel="0" collapsed="false">
      <c r="A782" s="10"/>
      <c r="B782" s="9"/>
      <c r="C782" s="9"/>
      <c r="D782" s="11"/>
      <c r="E782" s="11"/>
      <c r="F782" s="12"/>
      <c r="G782" s="13" t="str">
        <f aca="false">IF(F782&lt;&gt;"",F782,IF(OR(D782="",E782=""),"",ROUND(MOD(E782-D782,1)*1440,0)))</f>
        <v/>
      </c>
      <c r="H782" s="9"/>
      <c r="I782" s="14" t="str">
        <f aca="false">IF(H782="","",IFERROR(INDEX(Setup!$E$5:$E$34,MATCH(H782,Setup!$D$5:$D$34,0)),"Not in Setup"))</f>
        <v/>
      </c>
      <c r="J782" s="9"/>
    </row>
    <row r="783" customFormat="false" ht="15" hidden="false" customHeight="false" outlineLevel="0" collapsed="false">
      <c r="A783" s="10"/>
      <c r="B783" s="9"/>
      <c r="C783" s="9"/>
      <c r="D783" s="11"/>
      <c r="E783" s="11"/>
      <c r="F783" s="12"/>
      <c r="G783" s="13" t="str">
        <f aca="false">IF(F783&lt;&gt;"",F783,IF(OR(D783="",E783=""),"",ROUND(MOD(E783-D783,1)*1440,0)))</f>
        <v/>
      </c>
      <c r="H783" s="9"/>
      <c r="I783" s="14" t="str">
        <f aca="false">IF(H783="","",IFERROR(INDEX(Setup!$E$5:$E$34,MATCH(H783,Setup!$D$5:$D$34,0)),"Not in Setup"))</f>
        <v/>
      </c>
      <c r="J783" s="9"/>
    </row>
    <row r="784" customFormat="false" ht="15" hidden="false" customHeight="false" outlineLevel="0" collapsed="false">
      <c r="A784" s="10"/>
      <c r="B784" s="9"/>
      <c r="C784" s="9"/>
      <c r="D784" s="11"/>
      <c r="E784" s="11"/>
      <c r="F784" s="12"/>
      <c r="G784" s="13" t="str">
        <f aca="false">IF(F784&lt;&gt;"",F784,IF(OR(D784="",E784=""),"",ROUND(MOD(E784-D784,1)*1440,0)))</f>
        <v/>
      </c>
      <c r="H784" s="9"/>
      <c r="I784" s="14" t="str">
        <f aca="false">IF(H784="","",IFERROR(INDEX(Setup!$E$5:$E$34,MATCH(H784,Setup!$D$5:$D$34,0)),"Not in Setup"))</f>
        <v/>
      </c>
      <c r="J784" s="9"/>
    </row>
    <row r="785" customFormat="false" ht="15" hidden="false" customHeight="false" outlineLevel="0" collapsed="false">
      <c r="A785" s="10"/>
      <c r="B785" s="9"/>
      <c r="C785" s="9"/>
      <c r="D785" s="11"/>
      <c r="E785" s="11"/>
      <c r="F785" s="12"/>
      <c r="G785" s="13" t="str">
        <f aca="false">IF(F785&lt;&gt;"",F785,IF(OR(D785="",E785=""),"",ROUND(MOD(E785-D785,1)*1440,0)))</f>
        <v/>
      </c>
      <c r="H785" s="9"/>
      <c r="I785" s="14" t="str">
        <f aca="false">IF(H785="","",IFERROR(INDEX(Setup!$E$5:$E$34,MATCH(H785,Setup!$D$5:$D$34,0)),"Not in Setup"))</f>
        <v/>
      </c>
      <c r="J785" s="9"/>
    </row>
    <row r="786" customFormat="false" ht="15" hidden="false" customHeight="false" outlineLevel="0" collapsed="false">
      <c r="A786" s="10"/>
      <c r="B786" s="9"/>
      <c r="C786" s="9"/>
      <c r="D786" s="11"/>
      <c r="E786" s="11"/>
      <c r="F786" s="12"/>
      <c r="G786" s="13" t="str">
        <f aca="false">IF(F786&lt;&gt;"",F786,IF(OR(D786="",E786=""),"",ROUND(MOD(E786-D786,1)*1440,0)))</f>
        <v/>
      </c>
      <c r="H786" s="9"/>
      <c r="I786" s="14" t="str">
        <f aca="false">IF(H786="","",IFERROR(INDEX(Setup!$E$5:$E$34,MATCH(H786,Setup!$D$5:$D$34,0)),"Not in Setup"))</f>
        <v/>
      </c>
      <c r="J786" s="9"/>
    </row>
    <row r="787" customFormat="false" ht="15" hidden="false" customHeight="false" outlineLevel="0" collapsed="false">
      <c r="A787" s="10"/>
      <c r="B787" s="9"/>
      <c r="C787" s="9"/>
      <c r="D787" s="11"/>
      <c r="E787" s="11"/>
      <c r="F787" s="12"/>
      <c r="G787" s="13" t="str">
        <f aca="false">IF(F787&lt;&gt;"",F787,IF(OR(D787="",E787=""),"",ROUND(MOD(E787-D787,1)*1440,0)))</f>
        <v/>
      </c>
      <c r="H787" s="9"/>
      <c r="I787" s="14" t="str">
        <f aca="false">IF(H787="","",IFERROR(INDEX(Setup!$E$5:$E$34,MATCH(H787,Setup!$D$5:$D$34,0)),"Not in Setup"))</f>
        <v/>
      </c>
      <c r="J787" s="9"/>
    </row>
    <row r="788" customFormat="false" ht="15" hidden="false" customHeight="false" outlineLevel="0" collapsed="false">
      <c r="A788" s="10"/>
      <c r="B788" s="9"/>
      <c r="C788" s="9"/>
      <c r="D788" s="11"/>
      <c r="E788" s="11"/>
      <c r="F788" s="12"/>
      <c r="G788" s="13" t="str">
        <f aca="false">IF(F788&lt;&gt;"",F788,IF(OR(D788="",E788=""),"",ROUND(MOD(E788-D788,1)*1440,0)))</f>
        <v/>
      </c>
      <c r="H788" s="9"/>
      <c r="I788" s="14" t="str">
        <f aca="false">IF(H788="","",IFERROR(INDEX(Setup!$E$5:$E$34,MATCH(H788,Setup!$D$5:$D$34,0)),"Not in Setup"))</f>
        <v/>
      </c>
      <c r="J788" s="9"/>
    </row>
    <row r="789" customFormat="false" ht="15" hidden="false" customHeight="false" outlineLevel="0" collapsed="false">
      <c r="A789" s="10"/>
      <c r="B789" s="9"/>
      <c r="C789" s="9"/>
      <c r="D789" s="11"/>
      <c r="E789" s="11"/>
      <c r="F789" s="12"/>
      <c r="G789" s="13" t="str">
        <f aca="false">IF(F789&lt;&gt;"",F789,IF(OR(D789="",E789=""),"",ROUND(MOD(E789-D789,1)*1440,0)))</f>
        <v/>
      </c>
      <c r="H789" s="9"/>
      <c r="I789" s="14" t="str">
        <f aca="false">IF(H789="","",IFERROR(INDEX(Setup!$E$5:$E$34,MATCH(H789,Setup!$D$5:$D$34,0)),"Not in Setup"))</f>
        <v/>
      </c>
      <c r="J789" s="9"/>
    </row>
    <row r="790" customFormat="false" ht="15" hidden="false" customHeight="false" outlineLevel="0" collapsed="false">
      <c r="A790" s="10"/>
      <c r="B790" s="9"/>
      <c r="C790" s="9"/>
      <c r="D790" s="11"/>
      <c r="E790" s="11"/>
      <c r="F790" s="12"/>
      <c r="G790" s="13" t="str">
        <f aca="false">IF(F790&lt;&gt;"",F790,IF(OR(D790="",E790=""),"",ROUND(MOD(E790-D790,1)*1440,0)))</f>
        <v/>
      </c>
      <c r="H790" s="9"/>
      <c r="I790" s="14" t="str">
        <f aca="false">IF(H790="","",IFERROR(INDEX(Setup!$E$5:$E$34,MATCH(H790,Setup!$D$5:$D$34,0)),"Not in Setup"))</f>
        <v/>
      </c>
      <c r="J790" s="9"/>
    </row>
    <row r="791" customFormat="false" ht="15" hidden="false" customHeight="false" outlineLevel="0" collapsed="false">
      <c r="A791" s="10"/>
      <c r="B791" s="9"/>
      <c r="C791" s="9"/>
      <c r="D791" s="11"/>
      <c r="E791" s="11"/>
      <c r="F791" s="12"/>
      <c r="G791" s="13" t="str">
        <f aca="false">IF(F791&lt;&gt;"",F791,IF(OR(D791="",E791=""),"",ROUND(MOD(E791-D791,1)*1440,0)))</f>
        <v/>
      </c>
      <c r="H791" s="9"/>
      <c r="I791" s="14" t="str">
        <f aca="false">IF(H791="","",IFERROR(INDEX(Setup!$E$5:$E$34,MATCH(H791,Setup!$D$5:$D$34,0)),"Not in Setup"))</f>
        <v/>
      </c>
      <c r="J791" s="9"/>
    </row>
    <row r="792" customFormat="false" ht="15" hidden="false" customHeight="false" outlineLevel="0" collapsed="false">
      <c r="A792" s="10"/>
      <c r="B792" s="9"/>
      <c r="C792" s="9"/>
      <c r="D792" s="11"/>
      <c r="E792" s="11"/>
      <c r="F792" s="12"/>
      <c r="G792" s="13" t="str">
        <f aca="false">IF(F792&lt;&gt;"",F792,IF(OR(D792="",E792=""),"",ROUND(MOD(E792-D792,1)*1440,0)))</f>
        <v/>
      </c>
      <c r="H792" s="9"/>
      <c r="I792" s="14" t="str">
        <f aca="false">IF(H792="","",IFERROR(INDEX(Setup!$E$5:$E$34,MATCH(H792,Setup!$D$5:$D$34,0)),"Not in Setup"))</f>
        <v/>
      </c>
      <c r="J792" s="9"/>
    </row>
    <row r="793" customFormat="false" ht="15" hidden="false" customHeight="false" outlineLevel="0" collapsed="false">
      <c r="A793" s="10"/>
      <c r="B793" s="9"/>
      <c r="C793" s="9"/>
      <c r="D793" s="11"/>
      <c r="E793" s="11"/>
      <c r="F793" s="12"/>
      <c r="G793" s="13" t="str">
        <f aca="false">IF(F793&lt;&gt;"",F793,IF(OR(D793="",E793=""),"",ROUND(MOD(E793-D793,1)*1440,0)))</f>
        <v/>
      </c>
      <c r="H793" s="9"/>
      <c r="I793" s="14" t="str">
        <f aca="false">IF(H793="","",IFERROR(INDEX(Setup!$E$5:$E$34,MATCH(H793,Setup!$D$5:$D$34,0)),"Not in Setup"))</f>
        <v/>
      </c>
      <c r="J793" s="9"/>
    </row>
    <row r="794" customFormat="false" ht="15" hidden="false" customHeight="false" outlineLevel="0" collapsed="false">
      <c r="A794" s="10"/>
      <c r="B794" s="9"/>
      <c r="C794" s="9"/>
      <c r="D794" s="11"/>
      <c r="E794" s="11"/>
      <c r="F794" s="12"/>
      <c r="G794" s="13" t="str">
        <f aca="false">IF(F794&lt;&gt;"",F794,IF(OR(D794="",E794=""),"",ROUND(MOD(E794-D794,1)*1440,0)))</f>
        <v/>
      </c>
      <c r="H794" s="9"/>
      <c r="I794" s="14" t="str">
        <f aca="false">IF(H794="","",IFERROR(INDEX(Setup!$E$5:$E$34,MATCH(H794,Setup!$D$5:$D$34,0)),"Not in Setup"))</f>
        <v/>
      </c>
      <c r="J794" s="9"/>
    </row>
    <row r="795" customFormat="false" ht="15" hidden="false" customHeight="false" outlineLevel="0" collapsed="false">
      <c r="A795" s="10"/>
      <c r="B795" s="9"/>
      <c r="C795" s="9"/>
      <c r="D795" s="11"/>
      <c r="E795" s="11"/>
      <c r="F795" s="12"/>
      <c r="G795" s="13" t="str">
        <f aca="false">IF(F795&lt;&gt;"",F795,IF(OR(D795="",E795=""),"",ROUND(MOD(E795-D795,1)*1440,0)))</f>
        <v/>
      </c>
      <c r="H795" s="9"/>
      <c r="I795" s="14" t="str">
        <f aca="false">IF(H795="","",IFERROR(INDEX(Setup!$E$5:$E$34,MATCH(H795,Setup!$D$5:$D$34,0)),"Not in Setup"))</f>
        <v/>
      </c>
      <c r="J795" s="9"/>
    </row>
    <row r="796" customFormat="false" ht="15" hidden="false" customHeight="false" outlineLevel="0" collapsed="false">
      <c r="A796" s="10"/>
      <c r="B796" s="9"/>
      <c r="C796" s="9"/>
      <c r="D796" s="11"/>
      <c r="E796" s="11"/>
      <c r="F796" s="12"/>
      <c r="G796" s="13" t="str">
        <f aca="false">IF(F796&lt;&gt;"",F796,IF(OR(D796="",E796=""),"",ROUND(MOD(E796-D796,1)*1440,0)))</f>
        <v/>
      </c>
      <c r="H796" s="9"/>
      <c r="I796" s="14" t="str">
        <f aca="false">IF(H796="","",IFERROR(INDEX(Setup!$E$5:$E$34,MATCH(H796,Setup!$D$5:$D$34,0)),"Not in Setup"))</f>
        <v/>
      </c>
      <c r="J796" s="9"/>
    </row>
    <row r="797" customFormat="false" ht="15" hidden="false" customHeight="false" outlineLevel="0" collapsed="false">
      <c r="A797" s="10"/>
      <c r="B797" s="9"/>
      <c r="C797" s="9"/>
      <c r="D797" s="11"/>
      <c r="E797" s="11"/>
      <c r="F797" s="12"/>
      <c r="G797" s="13" t="str">
        <f aca="false">IF(F797&lt;&gt;"",F797,IF(OR(D797="",E797=""),"",ROUND(MOD(E797-D797,1)*1440,0)))</f>
        <v/>
      </c>
      <c r="H797" s="9"/>
      <c r="I797" s="14" t="str">
        <f aca="false">IF(H797="","",IFERROR(INDEX(Setup!$E$5:$E$34,MATCH(H797,Setup!$D$5:$D$34,0)),"Not in Setup"))</f>
        <v/>
      </c>
      <c r="J797" s="9"/>
    </row>
    <row r="798" customFormat="false" ht="15" hidden="false" customHeight="false" outlineLevel="0" collapsed="false">
      <c r="A798" s="10"/>
      <c r="B798" s="9"/>
      <c r="C798" s="9"/>
      <c r="D798" s="11"/>
      <c r="E798" s="11"/>
      <c r="F798" s="12"/>
      <c r="G798" s="13" t="str">
        <f aca="false">IF(F798&lt;&gt;"",F798,IF(OR(D798="",E798=""),"",ROUND(MOD(E798-D798,1)*1440,0)))</f>
        <v/>
      </c>
      <c r="H798" s="9"/>
      <c r="I798" s="14" t="str">
        <f aca="false">IF(H798="","",IFERROR(INDEX(Setup!$E$5:$E$34,MATCH(H798,Setup!$D$5:$D$34,0)),"Not in Setup"))</f>
        <v/>
      </c>
      <c r="J798" s="9"/>
    </row>
    <row r="799" customFormat="false" ht="15" hidden="false" customHeight="false" outlineLevel="0" collapsed="false">
      <c r="A799" s="10"/>
      <c r="B799" s="9"/>
      <c r="C799" s="9"/>
      <c r="D799" s="11"/>
      <c r="E799" s="11"/>
      <c r="F799" s="12"/>
      <c r="G799" s="13" t="str">
        <f aca="false">IF(F799&lt;&gt;"",F799,IF(OR(D799="",E799=""),"",ROUND(MOD(E799-D799,1)*1440,0)))</f>
        <v/>
      </c>
      <c r="H799" s="9"/>
      <c r="I799" s="14" t="str">
        <f aca="false">IF(H799="","",IFERROR(INDEX(Setup!$E$5:$E$34,MATCH(H799,Setup!$D$5:$D$34,0)),"Not in Setup"))</f>
        <v/>
      </c>
      <c r="J799" s="9"/>
    </row>
    <row r="800" customFormat="false" ht="15" hidden="false" customHeight="false" outlineLevel="0" collapsed="false">
      <c r="A800" s="10"/>
      <c r="B800" s="9"/>
      <c r="C800" s="9"/>
      <c r="D800" s="11"/>
      <c r="E800" s="11"/>
      <c r="F800" s="12"/>
      <c r="G800" s="13" t="str">
        <f aca="false">IF(F800&lt;&gt;"",F800,IF(OR(D800="",E800=""),"",ROUND(MOD(E800-D800,1)*1440,0)))</f>
        <v/>
      </c>
      <c r="H800" s="9"/>
      <c r="I800" s="14" t="str">
        <f aca="false">IF(H800="","",IFERROR(INDEX(Setup!$E$5:$E$34,MATCH(H800,Setup!$D$5:$D$34,0)),"Not in Setup"))</f>
        <v/>
      </c>
      <c r="J800" s="9"/>
    </row>
    <row r="801" customFormat="false" ht="15" hidden="false" customHeight="false" outlineLevel="0" collapsed="false">
      <c r="A801" s="10"/>
      <c r="B801" s="9"/>
      <c r="C801" s="9"/>
      <c r="D801" s="11"/>
      <c r="E801" s="11"/>
      <c r="F801" s="12"/>
      <c r="G801" s="13" t="str">
        <f aca="false">IF(F801&lt;&gt;"",F801,IF(OR(D801="",E801=""),"",ROUND(MOD(E801-D801,1)*1440,0)))</f>
        <v/>
      </c>
      <c r="H801" s="9"/>
      <c r="I801" s="14" t="str">
        <f aca="false">IF(H801="","",IFERROR(INDEX(Setup!$E$5:$E$34,MATCH(H801,Setup!$D$5:$D$34,0)),"Not in Setup"))</f>
        <v/>
      </c>
      <c r="J801" s="9"/>
    </row>
    <row r="802" customFormat="false" ht="15" hidden="false" customHeight="false" outlineLevel="0" collapsed="false">
      <c r="A802" s="10"/>
      <c r="B802" s="9"/>
      <c r="C802" s="9"/>
      <c r="D802" s="11"/>
      <c r="E802" s="11"/>
      <c r="F802" s="12"/>
      <c r="G802" s="13" t="str">
        <f aca="false">IF(F802&lt;&gt;"",F802,IF(OR(D802="",E802=""),"",ROUND(MOD(E802-D802,1)*1440,0)))</f>
        <v/>
      </c>
      <c r="H802" s="9"/>
      <c r="I802" s="14" t="str">
        <f aca="false">IF(H802="","",IFERROR(INDEX(Setup!$E$5:$E$34,MATCH(H802,Setup!$D$5:$D$34,0)),"Not in Setup"))</f>
        <v/>
      </c>
      <c r="J802" s="9"/>
    </row>
    <row r="803" customFormat="false" ht="15" hidden="false" customHeight="false" outlineLevel="0" collapsed="false">
      <c r="A803" s="10"/>
      <c r="B803" s="9"/>
      <c r="C803" s="9"/>
      <c r="D803" s="11"/>
      <c r="E803" s="11"/>
      <c r="F803" s="12"/>
      <c r="G803" s="13" t="str">
        <f aca="false">IF(F803&lt;&gt;"",F803,IF(OR(D803="",E803=""),"",ROUND(MOD(E803-D803,1)*1440,0)))</f>
        <v/>
      </c>
      <c r="H803" s="9"/>
      <c r="I803" s="14" t="str">
        <f aca="false">IF(H803="","",IFERROR(INDEX(Setup!$E$5:$E$34,MATCH(H803,Setup!$D$5:$D$34,0)),"Not in Setup"))</f>
        <v/>
      </c>
      <c r="J803" s="9"/>
    </row>
    <row r="804" customFormat="false" ht="15" hidden="false" customHeight="false" outlineLevel="0" collapsed="false">
      <c r="A804" s="10"/>
      <c r="B804" s="9"/>
      <c r="C804" s="9"/>
      <c r="D804" s="11"/>
      <c r="E804" s="11"/>
      <c r="F804" s="12"/>
      <c r="G804" s="13" t="str">
        <f aca="false">IF(F804&lt;&gt;"",F804,IF(OR(D804="",E804=""),"",ROUND(MOD(E804-D804,1)*1440,0)))</f>
        <v/>
      </c>
      <c r="H804" s="9"/>
      <c r="I804" s="14" t="str">
        <f aca="false">IF(H804="","",IFERROR(INDEX(Setup!$E$5:$E$34,MATCH(H804,Setup!$D$5:$D$34,0)),"Not in Setup"))</f>
        <v/>
      </c>
      <c r="J804" s="9"/>
    </row>
    <row r="805" customFormat="false" ht="15" hidden="false" customHeight="false" outlineLevel="0" collapsed="false">
      <c r="A805" s="10"/>
      <c r="B805" s="9"/>
      <c r="C805" s="9"/>
      <c r="D805" s="11"/>
      <c r="E805" s="11"/>
      <c r="F805" s="12"/>
      <c r="G805" s="13" t="str">
        <f aca="false">IF(F805&lt;&gt;"",F805,IF(OR(D805="",E805=""),"",ROUND(MOD(E805-D805,1)*1440,0)))</f>
        <v/>
      </c>
      <c r="H805" s="9"/>
      <c r="I805" s="14" t="str">
        <f aca="false">IF(H805="","",IFERROR(INDEX(Setup!$E$5:$E$34,MATCH(H805,Setup!$D$5:$D$34,0)),"Not in Setup"))</f>
        <v/>
      </c>
      <c r="J805" s="9"/>
    </row>
    <row r="806" customFormat="false" ht="15" hidden="false" customHeight="false" outlineLevel="0" collapsed="false">
      <c r="A806" s="10"/>
      <c r="B806" s="9"/>
      <c r="C806" s="9"/>
      <c r="D806" s="11"/>
      <c r="E806" s="11"/>
      <c r="F806" s="12"/>
      <c r="G806" s="13" t="str">
        <f aca="false">IF(F806&lt;&gt;"",F806,IF(OR(D806="",E806=""),"",ROUND(MOD(E806-D806,1)*1440,0)))</f>
        <v/>
      </c>
      <c r="H806" s="9"/>
      <c r="I806" s="14" t="str">
        <f aca="false">IF(H806="","",IFERROR(INDEX(Setup!$E$5:$E$34,MATCH(H806,Setup!$D$5:$D$34,0)),"Not in Setup"))</f>
        <v/>
      </c>
      <c r="J806" s="9"/>
    </row>
    <row r="807" customFormat="false" ht="15" hidden="false" customHeight="false" outlineLevel="0" collapsed="false">
      <c r="A807" s="10"/>
      <c r="B807" s="9"/>
      <c r="C807" s="9"/>
      <c r="D807" s="11"/>
      <c r="E807" s="11"/>
      <c r="F807" s="12"/>
      <c r="G807" s="13" t="str">
        <f aca="false">IF(F807&lt;&gt;"",F807,IF(OR(D807="",E807=""),"",ROUND(MOD(E807-D807,1)*1440,0)))</f>
        <v/>
      </c>
      <c r="H807" s="9"/>
      <c r="I807" s="14" t="str">
        <f aca="false">IF(H807="","",IFERROR(INDEX(Setup!$E$5:$E$34,MATCH(H807,Setup!$D$5:$D$34,0)),"Not in Setup"))</f>
        <v/>
      </c>
      <c r="J807" s="9"/>
    </row>
    <row r="808" customFormat="false" ht="15" hidden="false" customHeight="false" outlineLevel="0" collapsed="false">
      <c r="A808" s="10"/>
      <c r="B808" s="9"/>
      <c r="C808" s="9"/>
      <c r="D808" s="11"/>
      <c r="E808" s="11"/>
      <c r="F808" s="12"/>
      <c r="G808" s="13" t="str">
        <f aca="false">IF(F808&lt;&gt;"",F808,IF(OR(D808="",E808=""),"",ROUND(MOD(E808-D808,1)*1440,0)))</f>
        <v/>
      </c>
      <c r="H808" s="9"/>
      <c r="I808" s="14" t="str">
        <f aca="false">IF(H808="","",IFERROR(INDEX(Setup!$E$5:$E$34,MATCH(H808,Setup!$D$5:$D$34,0)),"Not in Setup"))</f>
        <v/>
      </c>
      <c r="J808" s="9"/>
    </row>
    <row r="809" customFormat="false" ht="15" hidden="false" customHeight="false" outlineLevel="0" collapsed="false">
      <c r="A809" s="10"/>
      <c r="B809" s="9"/>
      <c r="C809" s="9"/>
      <c r="D809" s="11"/>
      <c r="E809" s="11"/>
      <c r="F809" s="12"/>
      <c r="G809" s="13" t="str">
        <f aca="false">IF(F809&lt;&gt;"",F809,IF(OR(D809="",E809=""),"",ROUND(MOD(E809-D809,1)*1440,0)))</f>
        <v/>
      </c>
      <c r="H809" s="9"/>
      <c r="I809" s="14" t="str">
        <f aca="false">IF(H809="","",IFERROR(INDEX(Setup!$E$5:$E$34,MATCH(H809,Setup!$D$5:$D$34,0)),"Not in Setup"))</f>
        <v/>
      </c>
      <c r="J809" s="9"/>
    </row>
    <row r="810" customFormat="false" ht="15" hidden="false" customHeight="false" outlineLevel="0" collapsed="false">
      <c r="A810" s="10"/>
      <c r="B810" s="9"/>
      <c r="C810" s="9"/>
      <c r="D810" s="11"/>
      <c r="E810" s="11"/>
      <c r="F810" s="12"/>
      <c r="G810" s="13" t="str">
        <f aca="false">IF(F810&lt;&gt;"",F810,IF(OR(D810="",E810=""),"",ROUND(MOD(E810-D810,1)*1440,0)))</f>
        <v/>
      </c>
      <c r="H810" s="9"/>
      <c r="I810" s="14" t="str">
        <f aca="false">IF(H810="","",IFERROR(INDEX(Setup!$E$5:$E$34,MATCH(H810,Setup!$D$5:$D$34,0)),"Not in Setup"))</f>
        <v/>
      </c>
      <c r="J810" s="9"/>
    </row>
    <row r="811" customFormat="false" ht="15" hidden="false" customHeight="false" outlineLevel="0" collapsed="false">
      <c r="A811" s="10"/>
      <c r="B811" s="9"/>
      <c r="C811" s="9"/>
      <c r="D811" s="11"/>
      <c r="E811" s="11"/>
      <c r="F811" s="12"/>
      <c r="G811" s="13" t="str">
        <f aca="false">IF(F811&lt;&gt;"",F811,IF(OR(D811="",E811=""),"",ROUND(MOD(E811-D811,1)*1440,0)))</f>
        <v/>
      </c>
      <c r="H811" s="9"/>
      <c r="I811" s="14" t="str">
        <f aca="false">IF(H811="","",IFERROR(INDEX(Setup!$E$5:$E$34,MATCH(H811,Setup!$D$5:$D$34,0)),"Not in Setup"))</f>
        <v/>
      </c>
      <c r="J811" s="9"/>
    </row>
    <row r="812" customFormat="false" ht="15" hidden="false" customHeight="false" outlineLevel="0" collapsed="false">
      <c r="A812" s="10"/>
      <c r="B812" s="9"/>
      <c r="C812" s="9"/>
      <c r="D812" s="11"/>
      <c r="E812" s="11"/>
      <c r="F812" s="12"/>
      <c r="G812" s="13" t="str">
        <f aca="false">IF(F812&lt;&gt;"",F812,IF(OR(D812="",E812=""),"",ROUND(MOD(E812-D812,1)*1440,0)))</f>
        <v/>
      </c>
      <c r="H812" s="9"/>
      <c r="I812" s="14" t="str">
        <f aca="false">IF(H812="","",IFERROR(INDEX(Setup!$E$5:$E$34,MATCH(H812,Setup!$D$5:$D$34,0)),"Not in Setup"))</f>
        <v/>
      </c>
      <c r="J812" s="9"/>
    </row>
    <row r="813" customFormat="false" ht="15" hidden="false" customHeight="false" outlineLevel="0" collapsed="false">
      <c r="A813" s="10"/>
      <c r="B813" s="9"/>
      <c r="C813" s="9"/>
      <c r="D813" s="11"/>
      <c r="E813" s="11"/>
      <c r="F813" s="12"/>
      <c r="G813" s="13" t="str">
        <f aca="false">IF(F813&lt;&gt;"",F813,IF(OR(D813="",E813=""),"",ROUND(MOD(E813-D813,1)*1440,0)))</f>
        <v/>
      </c>
      <c r="H813" s="9"/>
      <c r="I813" s="14" t="str">
        <f aca="false">IF(H813="","",IFERROR(INDEX(Setup!$E$5:$E$34,MATCH(H813,Setup!$D$5:$D$34,0)),"Not in Setup"))</f>
        <v/>
      </c>
      <c r="J813" s="9"/>
    </row>
    <row r="814" customFormat="false" ht="15" hidden="false" customHeight="false" outlineLevel="0" collapsed="false">
      <c r="A814" s="10"/>
      <c r="B814" s="9"/>
      <c r="C814" s="9"/>
      <c r="D814" s="11"/>
      <c r="E814" s="11"/>
      <c r="F814" s="12"/>
      <c r="G814" s="13" t="str">
        <f aca="false">IF(F814&lt;&gt;"",F814,IF(OR(D814="",E814=""),"",ROUND(MOD(E814-D814,1)*1440,0)))</f>
        <v/>
      </c>
      <c r="H814" s="9"/>
      <c r="I814" s="14" t="str">
        <f aca="false">IF(H814="","",IFERROR(INDEX(Setup!$E$5:$E$34,MATCH(H814,Setup!$D$5:$D$34,0)),"Not in Setup"))</f>
        <v/>
      </c>
      <c r="J814" s="9"/>
    </row>
    <row r="815" customFormat="false" ht="15" hidden="false" customHeight="false" outlineLevel="0" collapsed="false">
      <c r="A815" s="10"/>
      <c r="B815" s="9"/>
      <c r="C815" s="9"/>
      <c r="D815" s="11"/>
      <c r="E815" s="11"/>
      <c r="F815" s="12"/>
      <c r="G815" s="13" t="str">
        <f aca="false">IF(F815&lt;&gt;"",F815,IF(OR(D815="",E815=""),"",ROUND(MOD(E815-D815,1)*1440,0)))</f>
        <v/>
      </c>
      <c r="H815" s="9"/>
      <c r="I815" s="14" t="str">
        <f aca="false">IF(H815="","",IFERROR(INDEX(Setup!$E$5:$E$34,MATCH(H815,Setup!$D$5:$D$34,0)),"Not in Setup"))</f>
        <v/>
      </c>
      <c r="J815" s="9"/>
    </row>
    <row r="816" customFormat="false" ht="15" hidden="false" customHeight="false" outlineLevel="0" collapsed="false">
      <c r="A816" s="10"/>
      <c r="B816" s="9"/>
      <c r="C816" s="9"/>
      <c r="D816" s="11"/>
      <c r="E816" s="11"/>
      <c r="F816" s="12"/>
      <c r="G816" s="13" t="str">
        <f aca="false">IF(F816&lt;&gt;"",F816,IF(OR(D816="",E816=""),"",ROUND(MOD(E816-D816,1)*1440,0)))</f>
        <v/>
      </c>
      <c r="H816" s="9"/>
      <c r="I816" s="14" t="str">
        <f aca="false">IF(H816="","",IFERROR(INDEX(Setup!$E$5:$E$34,MATCH(H816,Setup!$D$5:$D$34,0)),"Not in Setup"))</f>
        <v/>
      </c>
      <c r="J816" s="9"/>
    </row>
    <row r="817" customFormat="false" ht="15" hidden="false" customHeight="false" outlineLevel="0" collapsed="false">
      <c r="A817" s="10"/>
      <c r="B817" s="9"/>
      <c r="C817" s="9"/>
      <c r="D817" s="11"/>
      <c r="E817" s="11"/>
      <c r="F817" s="12"/>
      <c r="G817" s="13" t="str">
        <f aca="false">IF(F817&lt;&gt;"",F817,IF(OR(D817="",E817=""),"",ROUND(MOD(E817-D817,1)*1440,0)))</f>
        <v/>
      </c>
      <c r="H817" s="9"/>
      <c r="I817" s="14" t="str">
        <f aca="false">IF(H817="","",IFERROR(INDEX(Setup!$E$5:$E$34,MATCH(H817,Setup!$D$5:$D$34,0)),"Not in Setup"))</f>
        <v/>
      </c>
      <c r="J817" s="9"/>
    </row>
    <row r="818" customFormat="false" ht="15" hidden="false" customHeight="false" outlineLevel="0" collapsed="false">
      <c r="A818" s="10"/>
      <c r="B818" s="9"/>
      <c r="C818" s="9"/>
      <c r="D818" s="11"/>
      <c r="E818" s="11"/>
      <c r="F818" s="12"/>
      <c r="G818" s="13" t="str">
        <f aca="false">IF(F818&lt;&gt;"",F818,IF(OR(D818="",E818=""),"",ROUND(MOD(E818-D818,1)*1440,0)))</f>
        <v/>
      </c>
      <c r="H818" s="9"/>
      <c r="I818" s="14" t="str">
        <f aca="false">IF(H818="","",IFERROR(INDEX(Setup!$E$5:$E$34,MATCH(H818,Setup!$D$5:$D$34,0)),"Not in Setup"))</f>
        <v/>
      </c>
      <c r="J818" s="9"/>
    </row>
    <row r="819" customFormat="false" ht="15" hidden="false" customHeight="false" outlineLevel="0" collapsed="false">
      <c r="A819" s="10"/>
      <c r="B819" s="9"/>
      <c r="C819" s="9"/>
      <c r="D819" s="11"/>
      <c r="E819" s="11"/>
      <c r="F819" s="12"/>
      <c r="G819" s="13" t="str">
        <f aca="false">IF(F819&lt;&gt;"",F819,IF(OR(D819="",E819=""),"",ROUND(MOD(E819-D819,1)*1440,0)))</f>
        <v/>
      </c>
      <c r="H819" s="9"/>
      <c r="I819" s="14" t="str">
        <f aca="false">IF(H819="","",IFERROR(INDEX(Setup!$E$5:$E$34,MATCH(H819,Setup!$D$5:$D$34,0)),"Not in Setup"))</f>
        <v/>
      </c>
      <c r="J819" s="9"/>
    </row>
    <row r="820" customFormat="false" ht="15" hidden="false" customHeight="false" outlineLevel="0" collapsed="false">
      <c r="A820" s="10"/>
      <c r="B820" s="9"/>
      <c r="C820" s="9"/>
      <c r="D820" s="11"/>
      <c r="E820" s="11"/>
      <c r="F820" s="12"/>
      <c r="G820" s="13" t="str">
        <f aca="false">IF(F820&lt;&gt;"",F820,IF(OR(D820="",E820=""),"",ROUND(MOD(E820-D820,1)*1440,0)))</f>
        <v/>
      </c>
      <c r="H820" s="9"/>
      <c r="I820" s="14" t="str">
        <f aca="false">IF(H820="","",IFERROR(INDEX(Setup!$E$5:$E$34,MATCH(H820,Setup!$D$5:$D$34,0)),"Not in Setup"))</f>
        <v/>
      </c>
      <c r="J820" s="9"/>
    </row>
    <row r="821" customFormat="false" ht="15" hidden="false" customHeight="false" outlineLevel="0" collapsed="false">
      <c r="A821" s="10"/>
      <c r="B821" s="9"/>
      <c r="C821" s="9"/>
      <c r="D821" s="11"/>
      <c r="E821" s="11"/>
      <c r="F821" s="12"/>
      <c r="G821" s="13" t="str">
        <f aca="false">IF(F821&lt;&gt;"",F821,IF(OR(D821="",E821=""),"",ROUND(MOD(E821-D821,1)*1440,0)))</f>
        <v/>
      </c>
      <c r="H821" s="9"/>
      <c r="I821" s="14" t="str">
        <f aca="false">IF(H821="","",IFERROR(INDEX(Setup!$E$5:$E$34,MATCH(H821,Setup!$D$5:$D$34,0)),"Not in Setup"))</f>
        <v/>
      </c>
      <c r="J821" s="9"/>
    </row>
    <row r="822" customFormat="false" ht="15" hidden="false" customHeight="false" outlineLevel="0" collapsed="false">
      <c r="A822" s="10"/>
      <c r="B822" s="9"/>
      <c r="C822" s="9"/>
      <c r="D822" s="11"/>
      <c r="E822" s="11"/>
      <c r="F822" s="12"/>
      <c r="G822" s="13" t="str">
        <f aca="false">IF(F822&lt;&gt;"",F822,IF(OR(D822="",E822=""),"",ROUND(MOD(E822-D822,1)*1440,0)))</f>
        <v/>
      </c>
      <c r="H822" s="9"/>
      <c r="I822" s="14" t="str">
        <f aca="false">IF(H822="","",IFERROR(INDEX(Setup!$E$5:$E$34,MATCH(H822,Setup!$D$5:$D$34,0)),"Not in Setup"))</f>
        <v/>
      </c>
      <c r="J822" s="9"/>
    </row>
    <row r="823" customFormat="false" ht="15" hidden="false" customHeight="false" outlineLevel="0" collapsed="false">
      <c r="A823" s="10"/>
      <c r="B823" s="9"/>
      <c r="C823" s="9"/>
      <c r="D823" s="11"/>
      <c r="E823" s="11"/>
      <c r="F823" s="12"/>
      <c r="G823" s="13" t="str">
        <f aca="false">IF(F823&lt;&gt;"",F823,IF(OR(D823="",E823=""),"",ROUND(MOD(E823-D823,1)*1440,0)))</f>
        <v/>
      </c>
      <c r="H823" s="9"/>
      <c r="I823" s="14" t="str">
        <f aca="false">IF(H823="","",IFERROR(INDEX(Setup!$E$5:$E$34,MATCH(H823,Setup!$D$5:$D$34,0)),"Not in Setup"))</f>
        <v/>
      </c>
      <c r="J823" s="9"/>
    </row>
    <row r="824" customFormat="false" ht="15" hidden="false" customHeight="false" outlineLevel="0" collapsed="false">
      <c r="A824" s="10"/>
      <c r="B824" s="9"/>
      <c r="C824" s="9"/>
      <c r="D824" s="11"/>
      <c r="E824" s="11"/>
      <c r="F824" s="12"/>
      <c r="G824" s="13" t="str">
        <f aca="false">IF(F824&lt;&gt;"",F824,IF(OR(D824="",E824=""),"",ROUND(MOD(E824-D824,1)*1440,0)))</f>
        <v/>
      </c>
      <c r="H824" s="9"/>
      <c r="I824" s="14" t="str">
        <f aca="false">IF(H824="","",IFERROR(INDEX(Setup!$E$5:$E$34,MATCH(H824,Setup!$D$5:$D$34,0)),"Not in Setup"))</f>
        <v/>
      </c>
      <c r="J824" s="9"/>
    </row>
    <row r="825" customFormat="false" ht="15" hidden="false" customHeight="false" outlineLevel="0" collapsed="false">
      <c r="A825" s="10"/>
      <c r="B825" s="9"/>
      <c r="C825" s="9"/>
      <c r="D825" s="11"/>
      <c r="E825" s="11"/>
      <c r="F825" s="12"/>
      <c r="G825" s="13" t="str">
        <f aca="false">IF(F825&lt;&gt;"",F825,IF(OR(D825="",E825=""),"",ROUND(MOD(E825-D825,1)*1440,0)))</f>
        <v/>
      </c>
      <c r="H825" s="9"/>
      <c r="I825" s="14" t="str">
        <f aca="false">IF(H825="","",IFERROR(INDEX(Setup!$E$5:$E$34,MATCH(H825,Setup!$D$5:$D$34,0)),"Not in Setup"))</f>
        <v/>
      </c>
      <c r="J825" s="9"/>
    </row>
    <row r="826" customFormat="false" ht="15" hidden="false" customHeight="false" outlineLevel="0" collapsed="false">
      <c r="A826" s="10"/>
      <c r="B826" s="9"/>
      <c r="C826" s="9"/>
      <c r="D826" s="11"/>
      <c r="E826" s="11"/>
      <c r="F826" s="12"/>
      <c r="G826" s="13" t="str">
        <f aca="false">IF(F826&lt;&gt;"",F826,IF(OR(D826="",E826=""),"",ROUND(MOD(E826-D826,1)*1440,0)))</f>
        <v/>
      </c>
      <c r="H826" s="9"/>
      <c r="I826" s="14" t="str">
        <f aca="false">IF(H826="","",IFERROR(INDEX(Setup!$E$5:$E$34,MATCH(H826,Setup!$D$5:$D$34,0)),"Not in Setup"))</f>
        <v/>
      </c>
      <c r="J826" s="9"/>
    </row>
    <row r="827" customFormat="false" ht="15" hidden="false" customHeight="false" outlineLevel="0" collapsed="false">
      <c r="A827" s="10"/>
      <c r="B827" s="9"/>
      <c r="C827" s="9"/>
      <c r="D827" s="11"/>
      <c r="E827" s="11"/>
      <c r="F827" s="12"/>
      <c r="G827" s="13" t="str">
        <f aca="false">IF(F827&lt;&gt;"",F827,IF(OR(D827="",E827=""),"",ROUND(MOD(E827-D827,1)*1440,0)))</f>
        <v/>
      </c>
      <c r="H827" s="9"/>
      <c r="I827" s="14" t="str">
        <f aca="false">IF(H827="","",IFERROR(INDEX(Setup!$E$5:$E$34,MATCH(H827,Setup!$D$5:$D$34,0)),"Not in Setup"))</f>
        <v/>
      </c>
      <c r="J827" s="9"/>
    </row>
    <row r="828" customFormat="false" ht="15" hidden="false" customHeight="false" outlineLevel="0" collapsed="false">
      <c r="A828" s="10"/>
      <c r="B828" s="9"/>
      <c r="C828" s="9"/>
      <c r="D828" s="11"/>
      <c r="E828" s="11"/>
      <c r="F828" s="12"/>
      <c r="G828" s="13" t="str">
        <f aca="false">IF(F828&lt;&gt;"",F828,IF(OR(D828="",E828=""),"",ROUND(MOD(E828-D828,1)*1440,0)))</f>
        <v/>
      </c>
      <c r="H828" s="9"/>
      <c r="I828" s="14" t="str">
        <f aca="false">IF(H828="","",IFERROR(INDEX(Setup!$E$5:$E$34,MATCH(H828,Setup!$D$5:$D$34,0)),"Not in Setup"))</f>
        <v/>
      </c>
      <c r="J828" s="9"/>
    </row>
    <row r="829" customFormat="false" ht="15" hidden="false" customHeight="false" outlineLevel="0" collapsed="false">
      <c r="A829" s="10"/>
      <c r="B829" s="9"/>
      <c r="C829" s="9"/>
      <c r="D829" s="11"/>
      <c r="E829" s="11"/>
      <c r="F829" s="12"/>
      <c r="G829" s="13" t="str">
        <f aca="false">IF(F829&lt;&gt;"",F829,IF(OR(D829="",E829=""),"",ROUND(MOD(E829-D829,1)*1440,0)))</f>
        <v/>
      </c>
      <c r="H829" s="9"/>
      <c r="I829" s="14" t="str">
        <f aca="false">IF(H829="","",IFERROR(INDEX(Setup!$E$5:$E$34,MATCH(H829,Setup!$D$5:$D$34,0)),"Not in Setup"))</f>
        <v/>
      </c>
      <c r="J829" s="9"/>
    </row>
    <row r="830" customFormat="false" ht="15" hidden="false" customHeight="false" outlineLevel="0" collapsed="false">
      <c r="A830" s="10"/>
      <c r="B830" s="9"/>
      <c r="C830" s="9"/>
      <c r="D830" s="11"/>
      <c r="E830" s="11"/>
      <c r="F830" s="12"/>
      <c r="G830" s="13" t="str">
        <f aca="false">IF(F830&lt;&gt;"",F830,IF(OR(D830="",E830=""),"",ROUND(MOD(E830-D830,1)*1440,0)))</f>
        <v/>
      </c>
      <c r="H830" s="9"/>
      <c r="I830" s="14" t="str">
        <f aca="false">IF(H830="","",IFERROR(INDEX(Setup!$E$5:$E$34,MATCH(H830,Setup!$D$5:$D$34,0)),"Not in Setup"))</f>
        <v/>
      </c>
      <c r="J830" s="9"/>
    </row>
    <row r="831" customFormat="false" ht="15" hidden="false" customHeight="false" outlineLevel="0" collapsed="false">
      <c r="A831" s="10"/>
      <c r="B831" s="9"/>
      <c r="C831" s="9"/>
      <c r="D831" s="11"/>
      <c r="E831" s="11"/>
      <c r="F831" s="12"/>
      <c r="G831" s="13" t="str">
        <f aca="false">IF(F831&lt;&gt;"",F831,IF(OR(D831="",E831=""),"",ROUND(MOD(E831-D831,1)*1440,0)))</f>
        <v/>
      </c>
      <c r="H831" s="9"/>
      <c r="I831" s="14" t="str">
        <f aca="false">IF(H831="","",IFERROR(INDEX(Setup!$E$5:$E$34,MATCH(H831,Setup!$D$5:$D$34,0)),"Not in Setup"))</f>
        <v/>
      </c>
      <c r="J831" s="9"/>
    </row>
    <row r="832" customFormat="false" ht="15" hidden="false" customHeight="false" outlineLevel="0" collapsed="false">
      <c r="A832" s="10"/>
      <c r="B832" s="9"/>
      <c r="C832" s="9"/>
      <c r="D832" s="11"/>
      <c r="E832" s="11"/>
      <c r="F832" s="12"/>
      <c r="G832" s="13" t="str">
        <f aca="false">IF(F832&lt;&gt;"",F832,IF(OR(D832="",E832=""),"",ROUND(MOD(E832-D832,1)*1440,0)))</f>
        <v/>
      </c>
      <c r="H832" s="9"/>
      <c r="I832" s="14" t="str">
        <f aca="false">IF(H832="","",IFERROR(INDEX(Setup!$E$5:$E$34,MATCH(H832,Setup!$D$5:$D$34,0)),"Not in Setup"))</f>
        <v/>
      </c>
      <c r="J832" s="9"/>
    </row>
    <row r="833" customFormat="false" ht="15" hidden="false" customHeight="false" outlineLevel="0" collapsed="false">
      <c r="A833" s="10"/>
      <c r="B833" s="9"/>
      <c r="C833" s="9"/>
      <c r="D833" s="11"/>
      <c r="E833" s="11"/>
      <c r="F833" s="12"/>
      <c r="G833" s="13" t="str">
        <f aca="false">IF(F833&lt;&gt;"",F833,IF(OR(D833="",E833=""),"",ROUND(MOD(E833-D833,1)*1440,0)))</f>
        <v/>
      </c>
      <c r="H833" s="9"/>
      <c r="I833" s="14" t="str">
        <f aca="false">IF(H833="","",IFERROR(INDEX(Setup!$E$5:$E$34,MATCH(H833,Setup!$D$5:$D$34,0)),"Not in Setup"))</f>
        <v/>
      </c>
      <c r="J833" s="9"/>
    </row>
    <row r="834" customFormat="false" ht="15" hidden="false" customHeight="false" outlineLevel="0" collapsed="false">
      <c r="A834" s="10"/>
      <c r="B834" s="9"/>
      <c r="C834" s="9"/>
      <c r="D834" s="11"/>
      <c r="E834" s="11"/>
      <c r="F834" s="12"/>
      <c r="G834" s="13" t="str">
        <f aca="false">IF(F834&lt;&gt;"",F834,IF(OR(D834="",E834=""),"",ROUND(MOD(E834-D834,1)*1440,0)))</f>
        <v/>
      </c>
      <c r="H834" s="9"/>
      <c r="I834" s="14" t="str">
        <f aca="false">IF(H834="","",IFERROR(INDEX(Setup!$E$5:$E$34,MATCH(H834,Setup!$D$5:$D$34,0)),"Not in Setup"))</f>
        <v/>
      </c>
      <c r="J834" s="9"/>
    </row>
    <row r="835" customFormat="false" ht="15" hidden="false" customHeight="false" outlineLevel="0" collapsed="false">
      <c r="A835" s="10"/>
      <c r="B835" s="9"/>
      <c r="C835" s="9"/>
      <c r="D835" s="11"/>
      <c r="E835" s="11"/>
      <c r="F835" s="12"/>
      <c r="G835" s="13" t="str">
        <f aca="false">IF(F835&lt;&gt;"",F835,IF(OR(D835="",E835=""),"",ROUND(MOD(E835-D835,1)*1440,0)))</f>
        <v/>
      </c>
      <c r="H835" s="9"/>
      <c r="I835" s="14" t="str">
        <f aca="false">IF(H835="","",IFERROR(INDEX(Setup!$E$5:$E$34,MATCH(H835,Setup!$D$5:$D$34,0)),"Not in Setup"))</f>
        <v/>
      </c>
      <c r="J835" s="9"/>
    </row>
    <row r="836" customFormat="false" ht="15" hidden="false" customHeight="false" outlineLevel="0" collapsed="false">
      <c r="A836" s="10"/>
      <c r="B836" s="9"/>
      <c r="C836" s="9"/>
      <c r="D836" s="11"/>
      <c r="E836" s="11"/>
      <c r="F836" s="12"/>
      <c r="G836" s="13" t="str">
        <f aca="false">IF(F836&lt;&gt;"",F836,IF(OR(D836="",E836=""),"",ROUND(MOD(E836-D836,1)*1440,0)))</f>
        <v/>
      </c>
      <c r="H836" s="9"/>
      <c r="I836" s="14" t="str">
        <f aca="false">IF(H836="","",IFERROR(INDEX(Setup!$E$5:$E$34,MATCH(H836,Setup!$D$5:$D$34,0)),"Not in Setup"))</f>
        <v/>
      </c>
      <c r="J836" s="9"/>
    </row>
    <row r="837" customFormat="false" ht="15" hidden="false" customHeight="false" outlineLevel="0" collapsed="false">
      <c r="A837" s="10"/>
      <c r="B837" s="9"/>
      <c r="C837" s="9"/>
      <c r="D837" s="11"/>
      <c r="E837" s="11"/>
      <c r="F837" s="12"/>
      <c r="G837" s="13" t="str">
        <f aca="false">IF(F837&lt;&gt;"",F837,IF(OR(D837="",E837=""),"",ROUND(MOD(E837-D837,1)*1440,0)))</f>
        <v/>
      </c>
      <c r="H837" s="9"/>
      <c r="I837" s="14" t="str">
        <f aca="false">IF(H837="","",IFERROR(INDEX(Setup!$E$5:$E$34,MATCH(H837,Setup!$D$5:$D$34,0)),"Not in Setup"))</f>
        <v/>
      </c>
      <c r="J837" s="9"/>
    </row>
    <row r="838" customFormat="false" ht="15" hidden="false" customHeight="false" outlineLevel="0" collapsed="false">
      <c r="A838" s="10"/>
      <c r="B838" s="9"/>
      <c r="C838" s="9"/>
      <c r="D838" s="11"/>
      <c r="E838" s="11"/>
      <c r="F838" s="12"/>
      <c r="G838" s="13" t="str">
        <f aca="false">IF(F838&lt;&gt;"",F838,IF(OR(D838="",E838=""),"",ROUND(MOD(E838-D838,1)*1440,0)))</f>
        <v/>
      </c>
      <c r="H838" s="9"/>
      <c r="I838" s="14" t="str">
        <f aca="false">IF(H838="","",IFERROR(INDEX(Setup!$E$5:$E$34,MATCH(H838,Setup!$D$5:$D$34,0)),"Not in Setup"))</f>
        <v/>
      </c>
      <c r="J838" s="9"/>
    </row>
    <row r="839" customFormat="false" ht="15" hidden="false" customHeight="false" outlineLevel="0" collapsed="false">
      <c r="A839" s="10"/>
      <c r="B839" s="9"/>
      <c r="C839" s="9"/>
      <c r="D839" s="11"/>
      <c r="E839" s="11"/>
      <c r="F839" s="12"/>
      <c r="G839" s="13" t="str">
        <f aca="false">IF(F839&lt;&gt;"",F839,IF(OR(D839="",E839=""),"",ROUND(MOD(E839-D839,1)*1440,0)))</f>
        <v/>
      </c>
      <c r="H839" s="9"/>
      <c r="I839" s="14" t="str">
        <f aca="false">IF(H839="","",IFERROR(INDEX(Setup!$E$5:$E$34,MATCH(H839,Setup!$D$5:$D$34,0)),"Not in Setup"))</f>
        <v/>
      </c>
      <c r="J839" s="9"/>
    </row>
    <row r="840" customFormat="false" ht="15" hidden="false" customHeight="false" outlineLevel="0" collapsed="false">
      <c r="A840" s="10"/>
      <c r="B840" s="9"/>
      <c r="C840" s="9"/>
      <c r="D840" s="11"/>
      <c r="E840" s="11"/>
      <c r="F840" s="12"/>
      <c r="G840" s="13" t="str">
        <f aca="false">IF(F840&lt;&gt;"",F840,IF(OR(D840="",E840=""),"",ROUND(MOD(E840-D840,1)*1440,0)))</f>
        <v/>
      </c>
      <c r="H840" s="9"/>
      <c r="I840" s="14" t="str">
        <f aca="false">IF(H840="","",IFERROR(INDEX(Setup!$E$5:$E$34,MATCH(H840,Setup!$D$5:$D$34,0)),"Not in Setup"))</f>
        <v/>
      </c>
      <c r="J840" s="9"/>
    </row>
    <row r="841" customFormat="false" ht="15" hidden="false" customHeight="false" outlineLevel="0" collapsed="false">
      <c r="A841" s="10"/>
      <c r="B841" s="9"/>
      <c r="C841" s="9"/>
      <c r="D841" s="11"/>
      <c r="E841" s="11"/>
      <c r="F841" s="12"/>
      <c r="G841" s="13" t="str">
        <f aca="false">IF(F841&lt;&gt;"",F841,IF(OR(D841="",E841=""),"",ROUND(MOD(E841-D841,1)*1440,0)))</f>
        <v/>
      </c>
      <c r="H841" s="9"/>
      <c r="I841" s="14" t="str">
        <f aca="false">IF(H841="","",IFERROR(INDEX(Setup!$E$5:$E$34,MATCH(H841,Setup!$D$5:$D$34,0)),"Not in Setup"))</f>
        <v/>
      </c>
      <c r="J841" s="9"/>
    </row>
    <row r="842" customFormat="false" ht="15" hidden="false" customHeight="false" outlineLevel="0" collapsed="false">
      <c r="A842" s="10"/>
      <c r="B842" s="9"/>
      <c r="C842" s="9"/>
      <c r="D842" s="11"/>
      <c r="E842" s="11"/>
      <c r="F842" s="12"/>
      <c r="G842" s="13" t="str">
        <f aca="false">IF(F842&lt;&gt;"",F842,IF(OR(D842="",E842=""),"",ROUND(MOD(E842-D842,1)*1440,0)))</f>
        <v/>
      </c>
      <c r="H842" s="9"/>
      <c r="I842" s="14" t="str">
        <f aca="false">IF(H842="","",IFERROR(INDEX(Setup!$E$5:$E$34,MATCH(H842,Setup!$D$5:$D$34,0)),"Not in Setup"))</f>
        <v/>
      </c>
      <c r="J842" s="9"/>
    </row>
    <row r="843" customFormat="false" ht="15" hidden="false" customHeight="false" outlineLevel="0" collapsed="false">
      <c r="A843" s="10"/>
      <c r="B843" s="9"/>
      <c r="C843" s="9"/>
      <c r="D843" s="11"/>
      <c r="E843" s="11"/>
      <c r="F843" s="12"/>
      <c r="G843" s="13" t="str">
        <f aca="false">IF(F843&lt;&gt;"",F843,IF(OR(D843="",E843=""),"",ROUND(MOD(E843-D843,1)*1440,0)))</f>
        <v/>
      </c>
      <c r="H843" s="9"/>
      <c r="I843" s="14" t="str">
        <f aca="false">IF(H843="","",IFERROR(INDEX(Setup!$E$5:$E$34,MATCH(H843,Setup!$D$5:$D$34,0)),"Not in Setup"))</f>
        <v/>
      </c>
      <c r="J843" s="9"/>
    </row>
    <row r="844" customFormat="false" ht="15" hidden="false" customHeight="false" outlineLevel="0" collapsed="false">
      <c r="A844" s="10"/>
      <c r="B844" s="9"/>
      <c r="C844" s="9"/>
      <c r="D844" s="11"/>
      <c r="E844" s="11"/>
      <c r="F844" s="12"/>
      <c r="G844" s="13" t="str">
        <f aca="false">IF(F844&lt;&gt;"",F844,IF(OR(D844="",E844=""),"",ROUND(MOD(E844-D844,1)*1440,0)))</f>
        <v/>
      </c>
      <c r="H844" s="9"/>
      <c r="I844" s="14" t="str">
        <f aca="false">IF(H844="","",IFERROR(INDEX(Setup!$E$5:$E$34,MATCH(H844,Setup!$D$5:$D$34,0)),"Not in Setup"))</f>
        <v/>
      </c>
      <c r="J844" s="9"/>
    </row>
    <row r="845" customFormat="false" ht="15" hidden="false" customHeight="false" outlineLevel="0" collapsed="false">
      <c r="A845" s="10"/>
      <c r="B845" s="9"/>
      <c r="C845" s="9"/>
      <c r="D845" s="11"/>
      <c r="E845" s="11"/>
      <c r="F845" s="12"/>
      <c r="G845" s="13" t="str">
        <f aca="false">IF(F845&lt;&gt;"",F845,IF(OR(D845="",E845=""),"",ROUND(MOD(E845-D845,1)*1440,0)))</f>
        <v/>
      </c>
      <c r="H845" s="9"/>
      <c r="I845" s="14" t="str">
        <f aca="false">IF(H845="","",IFERROR(INDEX(Setup!$E$5:$E$34,MATCH(H845,Setup!$D$5:$D$34,0)),"Not in Setup"))</f>
        <v/>
      </c>
      <c r="J845" s="9"/>
    </row>
    <row r="846" customFormat="false" ht="15" hidden="false" customHeight="false" outlineLevel="0" collapsed="false">
      <c r="A846" s="10"/>
      <c r="B846" s="9"/>
      <c r="C846" s="9"/>
      <c r="D846" s="11"/>
      <c r="E846" s="11"/>
      <c r="F846" s="12"/>
      <c r="G846" s="13" t="str">
        <f aca="false">IF(F846&lt;&gt;"",F846,IF(OR(D846="",E846=""),"",ROUND(MOD(E846-D846,1)*1440,0)))</f>
        <v/>
      </c>
      <c r="H846" s="9"/>
      <c r="I846" s="14" t="str">
        <f aca="false">IF(H846="","",IFERROR(INDEX(Setup!$E$5:$E$34,MATCH(H846,Setup!$D$5:$D$34,0)),"Not in Setup"))</f>
        <v/>
      </c>
      <c r="J846" s="9"/>
    </row>
    <row r="847" customFormat="false" ht="15" hidden="false" customHeight="false" outlineLevel="0" collapsed="false">
      <c r="A847" s="10"/>
      <c r="B847" s="9"/>
      <c r="C847" s="9"/>
      <c r="D847" s="11"/>
      <c r="E847" s="11"/>
      <c r="F847" s="12"/>
      <c r="G847" s="13" t="str">
        <f aca="false">IF(F847&lt;&gt;"",F847,IF(OR(D847="",E847=""),"",ROUND(MOD(E847-D847,1)*1440,0)))</f>
        <v/>
      </c>
      <c r="H847" s="9"/>
      <c r="I847" s="14" t="str">
        <f aca="false">IF(H847="","",IFERROR(INDEX(Setup!$E$5:$E$34,MATCH(H847,Setup!$D$5:$D$34,0)),"Not in Setup"))</f>
        <v/>
      </c>
      <c r="J847" s="9"/>
    </row>
    <row r="848" customFormat="false" ht="15" hidden="false" customHeight="false" outlineLevel="0" collapsed="false">
      <c r="A848" s="10"/>
      <c r="B848" s="9"/>
      <c r="C848" s="9"/>
      <c r="D848" s="11"/>
      <c r="E848" s="11"/>
      <c r="F848" s="12"/>
      <c r="G848" s="13" t="str">
        <f aca="false">IF(F848&lt;&gt;"",F848,IF(OR(D848="",E848=""),"",ROUND(MOD(E848-D848,1)*1440,0)))</f>
        <v/>
      </c>
      <c r="H848" s="9"/>
      <c r="I848" s="14" t="str">
        <f aca="false">IF(H848="","",IFERROR(INDEX(Setup!$E$5:$E$34,MATCH(H848,Setup!$D$5:$D$34,0)),"Not in Setup"))</f>
        <v/>
      </c>
      <c r="J848" s="9"/>
    </row>
    <row r="849" customFormat="false" ht="15" hidden="false" customHeight="false" outlineLevel="0" collapsed="false">
      <c r="A849" s="10"/>
      <c r="B849" s="9"/>
      <c r="C849" s="9"/>
      <c r="D849" s="11"/>
      <c r="E849" s="11"/>
      <c r="F849" s="12"/>
      <c r="G849" s="13" t="str">
        <f aca="false">IF(F849&lt;&gt;"",F849,IF(OR(D849="",E849=""),"",ROUND(MOD(E849-D849,1)*1440,0)))</f>
        <v/>
      </c>
      <c r="H849" s="9"/>
      <c r="I849" s="14" t="str">
        <f aca="false">IF(H849="","",IFERROR(INDEX(Setup!$E$5:$E$34,MATCH(H849,Setup!$D$5:$D$34,0)),"Not in Setup"))</f>
        <v/>
      </c>
      <c r="J849" s="9"/>
    </row>
    <row r="850" customFormat="false" ht="15" hidden="false" customHeight="false" outlineLevel="0" collapsed="false">
      <c r="A850" s="10"/>
      <c r="B850" s="9"/>
      <c r="C850" s="9"/>
      <c r="D850" s="11"/>
      <c r="E850" s="11"/>
      <c r="F850" s="12"/>
      <c r="G850" s="13" t="str">
        <f aca="false">IF(F850&lt;&gt;"",F850,IF(OR(D850="",E850=""),"",ROUND(MOD(E850-D850,1)*1440,0)))</f>
        <v/>
      </c>
      <c r="H850" s="9"/>
      <c r="I850" s="14" t="str">
        <f aca="false">IF(H850="","",IFERROR(INDEX(Setup!$E$5:$E$34,MATCH(H850,Setup!$D$5:$D$34,0)),"Not in Setup"))</f>
        <v/>
      </c>
      <c r="J850" s="9"/>
    </row>
    <row r="851" customFormat="false" ht="15" hidden="false" customHeight="false" outlineLevel="0" collapsed="false">
      <c r="A851" s="10"/>
      <c r="B851" s="9"/>
      <c r="C851" s="9"/>
      <c r="D851" s="11"/>
      <c r="E851" s="11"/>
      <c r="F851" s="12"/>
      <c r="G851" s="13" t="str">
        <f aca="false">IF(F851&lt;&gt;"",F851,IF(OR(D851="",E851=""),"",ROUND(MOD(E851-D851,1)*1440,0)))</f>
        <v/>
      </c>
      <c r="H851" s="9"/>
      <c r="I851" s="14" t="str">
        <f aca="false">IF(H851="","",IFERROR(INDEX(Setup!$E$5:$E$34,MATCH(H851,Setup!$D$5:$D$34,0)),"Not in Setup"))</f>
        <v/>
      </c>
      <c r="J851" s="9"/>
    </row>
    <row r="852" customFormat="false" ht="15" hidden="false" customHeight="false" outlineLevel="0" collapsed="false">
      <c r="A852" s="10"/>
      <c r="B852" s="9"/>
      <c r="C852" s="9"/>
      <c r="D852" s="11"/>
      <c r="E852" s="11"/>
      <c r="F852" s="12"/>
      <c r="G852" s="13" t="str">
        <f aca="false">IF(F852&lt;&gt;"",F852,IF(OR(D852="",E852=""),"",ROUND(MOD(E852-D852,1)*1440,0)))</f>
        <v/>
      </c>
      <c r="H852" s="9"/>
      <c r="I852" s="14" t="str">
        <f aca="false">IF(H852="","",IFERROR(INDEX(Setup!$E$5:$E$34,MATCH(H852,Setup!$D$5:$D$34,0)),"Not in Setup"))</f>
        <v/>
      </c>
      <c r="J852" s="9"/>
    </row>
    <row r="853" customFormat="false" ht="15" hidden="false" customHeight="false" outlineLevel="0" collapsed="false">
      <c r="A853" s="10"/>
      <c r="B853" s="9"/>
      <c r="C853" s="9"/>
      <c r="D853" s="11"/>
      <c r="E853" s="11"/>
      <c r="F853" s="12"/>
      <c r="G853" s="13" t="str">
        <f aca="false">IF(F853&lt;&gt;"",F853,IF(OR(D853="",E853=""),"",ROUND(MOD(E853-D853,1)*1440,0)))</f>
        <v/>
      </c>
      <c r="H853" s="9"/>
      <c r="I853" s="14" t="str">
        <f aca="false">IF(H853="","",IFERROR(INDEX(Setup!$E$5:$E$34,MATCH(H853,Setup!$D$5:$D$34,0)),"Not in Setup"))</f>
        <v/>
      </c>
      <c r="J853" s="9"/>
    </row>
    <row r="854" customFormat="false" ht="15" hidden="false" customHeight="false" outlineLevel="0" collapsed="false">
      <c r="A854" s="10"/>
      <c r="B854" s="9"/>
      <c r="C854" s="9"/>
      <c r="D854" s="11"/>
      <c r="E854" s="11"/>
      <c r="F854" s="12"/>
      <c r="G854" s="13" t="str">
        <f aca="false">IF(F854&lt;&gt;"",F854,IF(OR(D854="",E854=""),"",ROUND(MOD(E854-D854,1)*1440,0)))</f>
        <v/>
      </c>
      <c r="H854" s="9"/>
      <c r="I854" s="14" t="str">
        <f aca="false">IF(H854="","",IFERROR(INDEX(Setup!$E$5:$E$34,MATCH(H854,Setup!$D$5:$D$34,0)),"Not in Setup"))</f>
        <v/>
      </c>
      <c r="J854" s="9"/>
    </row>
    <row r="855" customFormat="false" ht="15" hidden="false" customHeight="false" outlineLevel="0" collapsed="false">
      <c r="A855" s="10"/>
      <c r="B855" s="9"/>
      <c r="C855" s="9"/>
      <c r="D855" s="11"/>
      <c r="E855" s="11"/>
      <c r="F855" s="12"/>
      <c r="G855" s="13" t="str">
        <f aca="false">IF(F855&lt;&gt;"",F855,IF(OR(D855="",E855=""),"",ROUND(MOD(E855-D855,1)*1440,0)))</f>
        <v/>
      </c>
      <c r="H855" s="9"/>
      <c r="I855" s="14" t="str">
        <f aca="false">IF(H855="","",IFERROR(INDEX(Setup!$E$5:$E$34,MATCH(H855,Setup!$D$5:$D$34,0)),"Not in Setup"))</f>
        <v/>
      </c>
      <c r="J855" s="9"/>
    </row>
    <row r="856" customFormat="false" ht="15" hidden="false" customHeight="false" outlineLevel="0" collapsed="false">
      <c r="A856" s="10"/>
      <c r="B856" s="9"/>
      <c r="C856" s="9"/>
      <c r="D856" s="11"/>
      <c r="E856" s="11"/>
      <c r="F856" s="12"/>
      <c r="G856" s="13" t="str">
        <f aca="false">IF(F856&lt;&gt;"",F856,IF(OR(D856="",E856=""),"",ROUND(MOD(E856-D856,1)*1440,0)))</f>
        <v/>
      </c>
      <c r="H856" s="9"/>
      <c r="I856" s="14" t="str">
        <f aca="false">IF(H856="","",IFERROR(INDEX(Setup!$E$5:$E$34,MATCH(H856,Setup!$D$5:$D$34,0)),"Not in Setup"))</f>
        <v/>
      </c>
      <c r="J856" s="9"/>
    </row>
    <row r="857" customFormat="false" ht="15" hidden="false" customHeight="false" outlineLevel="0" collapsed="false">
      <c r="A857" s="10"/>
      <c r="B857" s="9"/>
      <c r="C857" s="9"/>
      <c r="D857" s="11"/>
      <c r="E857" s="11"/>
      <c r="F857" s="12"/>
      <c r="G857" s="13" t="str">
        <f aca="false">IF(F857&lt;&gt;"",F857,IF(OR(D857="",E857=""),"",ROUND(MOD(E857-D857,1)*1440,0)))</f>
        <v/>
      </c>
      <c r="H857" s="9"/>
      <c r="I857" s="14" t="str">
        <f aca="false">IF(H857="","",IFERROR(INDEX(Setup!$E$5:$E$34,MATCH(H857,Setup!$D$5:$D$34,0)),"Not in Setup"))</f>
        <v/>
      </c>
      <c r="J857" s="9"/>
    </row>
    <row r="858" customFormat="false" ht="15" hidden="false" customHeight="false" outlineLevel="0" collapsed="false">
      <c r="A858" s="10"/>
      <c r="B858" s="9"/>
      <c r="C858" s="9"/>
      <c r="D858" s="11"/>
      <c r="E858" s="11"/>
      <c r="F858" s="12"/>
      <c r="G858" s="13" t="str">
        <f aca="false">IF(F858&lt;&gt;"",F858,IF(OR(D858="",E858=""),"",ROUND(MOD(E858-D858,1)*1440,0)))</f>
        <v/>
      </c>
      <c r="H858" s="9"/>
      <c r="I858" s="14" t="str">
        <f aca="false">IF(H858="","",IFERROR(INDEX(Setup!$E$5:$E$34,MATCH(H858,Setup!$D$5:$D$34,0)),"Not in Setup"))</f>
        <v/>
      </c>
      <c r="J858" s="9"/>
    </row>
    <row r="859" customFormat="false" ht="15" hidden="false" customHeight="false" outlineLevel="0" collapsed="false">
      <c r="A859" s="10"/>
      <c r="B859" s="9"/>
      <c r="C859" s="9"/>
      <c r="D859" s="11"/>
      <c r="E859" s="11"/>
      <c r="F859" s="12"/>
      <c r="G859" s="13" t="str">
        <f aca="false">IF(F859&lt;&gt;"",F859,IF(OR(D859="",E859=""),"",ROUND(MOD(E859-D859,1)*1440,0)))</f>
        <v/>
      </c>
      <c r="H859" s="9"/>
      <c r="I859" s="14" t="str">
        <f aca="false">IF(H859="","",IFERROR(INDEX(Setup!$E$5:$E$34,MATCH(H859,Setup!$D$5:$D$34,0)),"Not in Setup"))</f>
        <v/>
      </c>
      <c r="J859" s="9"/>
    </row>
    <row r="860" customFormat="false" ht="15" hidden="false" customHeight="false" outlineLevel="0" collapsed="false">
      <c r="A860" s="10"/>
      <c r="B860" s="9"/>
      <c r="C860" s="9"/>
      <c r="D860" s="11"/>
      <c r="E860" s="11"/>
      <c r="F860" s="12"/>
      <c r="G860" s="13" t="str">
        <f aca="false">IF(F860&lt;&gt;"",F860,IF(OR(D860="",E860=""),"",ROUND(MOD(E860-D860,1)*1440,0)))</f>
        <v/>
      </c>
      <c r="H860" s="9"/>
      <c r="I860" s="14" t="str">
        <f aca="false">IF(H860="","",IFERROR(INDEX(Setup!$E$5:$E$34,MATCH(H860,Setup!$D$5:$D$34,0)),"Not in Setup"))</f>
        <v/>
      </c>
      <c r="J860" s="9"/>
    </row>
    <row r="861" customFormat="false" ht="15" hidden="false" customHeight="false" outlineLevel="0" collapsed="false">
      <c r="A861" s="10"/>
      <c r="B861" s="9"/>
      <c r="C861" s="9"/>
      <c r="D861" s="11"/>
      <c r="E861" s="11"/>
      <c r="F861" s="12"/>
      <c r="G861" s="13" t="str">
        <f aca="false">IF(F861&lt;&gt;"",F861,IF(OR(D861="",E861=""),"",ROUND(MOD(E861-D861,1)*1440,0)))</f>
        <v/>
      </c>
      <c r="H861" s="9"/>
      <c r="I861" s="14" t="str">
        <f aca="false">IF(H861="","",IFERROR(INDEX(Setup!$E$5:$E$34,MATCH(H861,Setup!$D$5:$D$34,0)),"Not in Setup"))</f>
        <v/>
      </c>
      <c r="J861" s="9"/>
    </row>
    <row r="862" customFormat="false" ht="15" hidden="false" customHeight="false" outlineLevel="0" collapsed="false">
      <c r="A862" s="10"/>
      <c r="B862" s="9"/>
      <c r="C862" s="9"/>
      <c r="D862" s="11"/>
      <c r="E862" s="11"/>
      <c r="F862" s="12"/>
      <c r="G862" s="13" t="str">
        <f aca="false">IF(F862&lt;&gt;"",F862,IF(OR(D862="",E862=""),"",ROUND(MOD(E862-D862,1)*1440,0)))</f>
        <v/>
      </c>
      <c r="H862" s="9"/>
      <c r="I862" s="14" t="str">
        <f aca="false">IF(H862="","",IFERROR(INDEX(Setup!$E$5:$E$34,MATCH(H862,Setup!$D$5:$D$34,0)),"Not in Setup"))</f>
        <v/>
      </c>
      <c r="J862" s="9"/>
    </row>
    <row r="863" customFormat="false" ht="15" hidden="false" customHeight="false" outlineLevel="0" collapsed="false">
      <c r="A863" s="10"/>
      <c r="B863" s="9"/>
      <c r="C863" s="9"/>
      <c r="D863" s="11"/>
      <c r="E863" s="11"/>
      <c r="F863" s="12"/>
      <c r="G863" s="13" t="str">
        <f aca="false">IF(F863&lt;&gt;"",F863,IF(OR(D863="",E863=""),"",ROUND(MOD(E863-D863,1)*1440,0)))</f>
        <v/>
      </c>
      <c r="H863" s="9"/>
      <c r="I863" s="14" t="str">
        <f aca="false">IF(H863="","",IFERROR(INDEX(Setup!$E$5:$E$34,MATCH(H863,Setup!$D$5:$D$34,0)),"Not in Setup"))</f>
        <v/>
      </c>
      <c r="J863" s="9"/>
    </row>
    <row r="864" customFormat="false" ht="15" hidden="false" customHeight="false" outlineLevel="0" collapsed="false">
      <c r="A864" s="10"/>
      <c r="B864" s="9"/>
      <c r="C864" s="9"/>
      <c r="D864" s="11"/>
      <c r="E864" s="11"/>
      <c r="F864" s="12"/>
      <c r="G864" s="13" t="str">
        <f aca="false">IF(F864&lt;&gt;"",F864,IF(OR(D864="",E864=""),"",ROUND(MOD(E864-D864,1)*1440,0)))</f>
        <v/>
      </c>
      <c r="H864" s="9"/>
      <c r="I864" s="14" t="str">
        <f aca="false">IF(H864="","",IFERROR(INDEX(Setup!$E$5:$E$34,MATCH(H864,Setup!$D$5:$D$34,0)),"Not in Setup"))</f>
        <v/>
      </c>
      <c r="J864" s="9"/>
    </row>
    <row r="865" customFormat="false" ht="15" hidden="false" customHeight="false" outlineLevel="0" collapsed="false">
      <c r="A865" s="10"/>
      <c r="B865" s="9"/>
      <c r="C865" s="9"/>
      <c r="D865" s="11"/>
      <c r="E865" s="11"/>
      <c r="F865" s="12"/>
      <c r="G865" s="13" t="str">
        <f aca="false">IF(F865&lt;&gt;"",F865,IF(OR(D865="",E865=""),"",ROUND(MOD(E865-D865,1)*1440,0)))</f>
        <v/>
      </c>
      <c r="H865" s="9"/>
      <c r="I865" s="14" t="str">
        <f aca="false">IF(H865="","",IFERROR(INDEX(Setup!$E$5:$E$34,MATCH(H865,Setup!$D$5:$D$34,0)),"Not in Setup"))</f>
        <v/>
      </c>
      <c r="J865" s="9"/>
    </row>
    <row r="866" customFormat="false" ht="15" hidden="false" customHeight="false" outlineLevel="0" collapsed="false">
      <c r="A866" s="10"/>
      <c r="B866" s="9"/>
      <c r="C866" s="9"/>
      <c r="D866" s="11"/>
      <c r="E866" s="11"/>
      <c r="F866" s="12"/>
      <c r="G866" s="13" t="str">
        <f aca="false">IF(F866&lt;&gt;"",F866,IF(OR(D866="",E866=""),"",ROUND(MOD(E866-D866,1)*1440,0)))</f>
        <v/>
      </c>
      <c r="H866" s="9"/>
      <c r="I866" s="14" t="str">
        <f aca="false">IF(H866="","",IFERROR(INDEX(Setup!$E$5:$E$34,MATCH(H866,Setup!$D$5:$D$34,0)),"Not in Setup"))</f>
        <v/>
      </c>
      <c r="J866" s="9"/>
    </row>
    <row r="867" customFormat="false" ht="15" hidden="false" customHeight="false" outlineLevel="0" collapsed="false">
      <c r="A867" s="10"/>
      <c r="B867" s="9"/>
      <c r="C867" s="9"/>
      <c r="D867" s="11"/>
      <c r="E867" s="11"/>
      <c r="F867" s="12"/>
      <c r="G867" s="13" t="str">
        <f aca="false">IF(F867&lt;&gt;"",F867,IF(OR(D867="",E867=""),"",ROUND(MOD(E867-D867,1)*1440,0)))</f>
        <v/>
      </c>
      <c r="H867" s="9"/>
      <c r="I867" s="14" t="str">
        <f aca="false">IF(H867="","",IFERROR(INDEX(Setup!$E$5:$E$34,MATCH(H867,Setup!$D$5:$D$34,0)),"Not in Setup"))</f>
        <v/>
      </c>
      <c r="J867" s="9"/>
    </row>
    <row r="868" customFormat="false" ht="15" hidden="false" customHeight="false" outlineLevel="0" collapsed="false">
      <c r="A868" s="10"/>
      <c r="B868" s="9"/>
      <c r="C868" s="9"/>
      <c r="D868" s="11"/>
      <c r="E868" s="11"/>
      <c r="F868" s="12"/>
      <c r="G868" s="13" t="str">
        <f aca="false">IF(F868&lt;&gt;"",F868,IF(OR(D868="",E868=""),"",ROUND(MOD(E868-D868,1)*1440,0)))</f>
        <v/>
      </c>
      <c r="H868" s="9"/>
      <c r="I868" s="14" t="str">
        <f aca="false">IF(H868="","",IFERROR(INDEX(Setup!$E$5:$E$34,MATCH(H868,Setup!$D$5:$D$34,0)),"Not in Setup"))</f>
        <v/>
      </c>
      <c r="J868" s="9"/>
    </row>
    <row r="869" customFormat="false" ht="15" hidden="false" customHeight="false" outlineLevel="0" collapsed="false">
      <c r="A869" s="10"/>
      <c r="B869" s="9"/>
      <c r="C869" s="9"/>
      <c r="D869" s="11"/>
      <c r="E869" s="11"/>
      <c r="F869" s="12"/>
      <c r="G869" s="13" t="str">
        <f aca="false">IF(F869&lt;&gt;"",F869,IF(OR(D869="",E869=""),"",ROUND(MOD(E869-D869,1)*1440,0)))</f>
        <v/>
      </c>
      <c r="H869" s="9"/>
      <c r="I869" s="14" t="str">
        <f aca="false">IF(H869="","",IFERROR(INDEX(Setup!$E$5:$E$34,MATCH(H869,Setup!$D$5:$D$34,0)),"Not in Setup"))</f>
        <v/>
      </c>
      <c r="J869" s="9"/>
    </row>
    <row r="870" customFormat="false" ht="15" hidden="false" customHeight="false" outlineLevel="0" collapsed="false">
      <c r="A870" s="10"/>
      <c r="B870" s="9"/>
      <c r="C870" s="9"/>
      <c r="D870" s="11"/>
      <c r="E870" s="11"/>
      <c r="F870" s="12"/>
      <c r="G870" s="13" t="str">
        <f aca="false">IF(F870&lt;&gt;"",F870,IF(OR(D870="",E870=""),"",ROUND(MOD(E870-D870,1)*1440,0)))</f>
        <v/>
      </c>
      <c r="H870" s="9"/>
      <c r="I870" s="14" t="str">
        <f aca="false">IF(H870="","",IFERROR(INDEX(Setup!$E$5:$E$34,MATCH(H870,Setup!$D$5:$D$34,0)),"Not in Setup"))</f>
        <v/>
      </c>
      <c r="J870" s="9"/>
    </row>
    <row r="871" customFormat="false" ht="15" hidden="false" customHeight="false" outlineLevel="0" collapsed="false">
      <c r="A871" s="10"/>
      <c r="B871" s="9"/>
      <c r="C871" s="9"/>
      <c r="D871" s="11"/>
      <c r="E871" s="11"/>
      <c r="F871" s="12"/>
      <c r="G871" s="13" t="str">
        <f aca="false">IF(F871&lt;&gt;"",F871,IF(OR(D871="",E871=""),"",ROUND(MOD(E871-D871,1)*1440,0)))</f>
        <v/>
      </c>
      <c r="H871" s="9"/>
      <c r="I871" s="14" t="str">
        <f aca="false">IF(H871="","",IFERROR(INDEX(Setup!$E$5:$E$34,MATCH(H871,Setup!$D$5:$D$34,0)),"Not in Setup"))</f>
        <v/>
      </c>
      <c r="J871" s="9"/>
    </row>
    <row r="872" customFormat="false" ht="15" hidden="false" customHeight="false" outlineLevel="0" collapsed="false">
      <c r="A872" s="10"/>
      <c r="B872" s="9"/>
      <c r="C872" s="9"/>
      <c r="D872" s="11"/>
      <c r="E872" s="11"/>
      <c r="F872" s="12"/>
      <c r="G872" s="13" t="str">
        <f aca="false">IF(F872&lt;&gt;"",F872,IF(OR(D872="",E872=""),"",ROUND(MOD(E872-D872,1)*1440,0)))</f>
        <v/>
      </c>
      <c r="H872" s="9"/>
      <c r="I872" s="14" t="str">
        <f aca="false">IF(H872="","",IFERROR(INDEX(Setup!$E$5:$E$34,MATCH(H872,Setup!$D$5:$D$34,0)),"Not in Setup"))</f>
        <v/>
      </c>
      <c r="J872" s="9"/>
    </row>
    <row r="873" customFormat="false" ht="15" hidden="false" customHeight="false" outlineLevel="0" collapsed="false">
      <c r="A873" s="10"/>
      <c r="B873" s="9"/>
      <c r="C873" s="9"/>
      <c r="D873" s="11"/>
      <c r="E873" s="11"/>
      <c r="F873" s="12"/>
      <c r="G873" s="13" t="str">
        <f aca="false">IF(F873&lt;&gt;"",F873,IF(OR(D873="",E873=""),"",ROUND(MOD(E873-D873,1)*1440,0)))</f>
        <v/>
      </c>
      <c r="H873" s="9"/>
      <c r="I873" s="14" t="str">
        <f aca="false">IF(H873="","",IFERROR(INDEX(Setup!$E$5:$E$34,MATCH(H873,Setup!$D$5:$D$34,0)),"Not in Setup"))</f>
        <v/>
      </c>
      <c r="J873" s="9"/>
    </row>
    <row r="874" customFormat="false" ht="15" hidden="false" customHeight="false" outlineLevel="0" collapsed="false">
      <c r="A874" s="10"/>
      <c r="B874" s="9"/>
      <c r="C874" s="9"/>
      <c r="D874" s="11"/>
      <c r="E874" s="11"/>
      <c r="F874" s="12"/>
      <c r="G874" s="13" t="str">
        <f aca="false">IF(F874&lt;&gt;"",F874,IF(OR(D874="",E874=""),"",ROUND(MOD(E874-D874,1)*1440,0)))</f>
        <v/>
      </c>
      <c r="H874" s="9"/>
      <c r="I874" s="14" t="str">
        <f aca="false">IF(H874="","",IFERROR(INDEX(Setup!$E$5:$E$34,MATCH(H874,Setup!$D$5:$D$34,0)),"Not in Setup"))</f>
        <v/>
      </c>
      <c r="J874" s="9"/>
    </row>
    <row r="875" customFormat="false" ht="15" hidden="false" customHeight="false" outlineLevel="0" collapsed="false">
      <c r="A875" s="10"/>
      <c r="B875" s="9"/>
      <c r="C875" s="9"/>
      <c r="D875" s="11"/>
      <c r="E875" s="11"/>
      <c r="F875" s="12"/>
      <c r="G875" s="13" t="str">
        <f aca="false">IF(F875&lt;&gt;"",F875,IF(OR(D875="",E875=""),"",ROUND(MOD(E875-D875,1)*1440,0)))</f>
        <v/>
      </c>
      <c r="H875" s="9"/>
      <c r="I875" s="14" t="str">
        <f aca="false">IF(H875="","",IFERROR(INDEX(Setup!$E$5:$E$34,MATCH(H875,Setup!$D$5:$D$34,0)),"Not in Setup"))</f>
        <v/>
      </c>
      <c r="J875" s="9"/>
    </row>
    <row r="876" customFormat="false" ht="15" hidden="false" customHeight="false" outlineLevel="0" collapsed="false">
      <c r="A876" s="10"/>
      <c r="B876" s="9"/>
      <c r="C876" s="9"/>
      <c r="D876" s="11"/>
      <c r="E876" s="11"/>
      <c r="F876" s="12"/>
      <c r="G876" s="13" t="str">
        <f aca="false">IF(F876&lt;&gt;"",F876,IF(OR(D876="",E876=""),"",ROUND(MOD(E876-D876,1)*1440,0)))</f>
        <v/>
      </c>
      <c r="H876" s="9"/>
      <c r="I876" s="14" t="str">
        <f aca="false">IF(H876="","",IFERROR(INDEX(Setup!$E$5:$E$34,MATCH(H876,Setup!$D$5:$D$34,0)),"Not in Setup"))</f>
        <v/>
      </c>
      <c r="J876" s="9"/>
    </row>
    <row r="877" customFormat="false" ht="15" hidden="false" customHeight="false" outlineLevel="0" collapsed="false">
      <c r="A877" s="10"/>
      <c r="B877" s="9"/>
      <c r="C877" s="9"/>
      <c r="D877" s="11"/>
      <c r="E877" s="11"/>
      <c r="F877" s="12"/>
      <c r="G877" s="13" t="str">
        <f aca="false">IF(F877&lt;&gt;"",F877,IF(OR(D877="",E877=""),"",ROUND(MOD(E877-D877,1)*1440,0)))</f>
        <v/>
      </c>
      <c r="H877" s="9"/>
      <c r="I877" s="14" t="str">
        <f aca="false">IF(H877="","",IFERROR(INDEX(Setup!$E$5:$E$34,MATCH(H877,Setup!$D$5:$D$34,0)),"Not in Setup"))</f>
        <v/>
      </c>
      <c r="J877" s="9"/>
    </row>
    <row r="878" customFormat="false" ht="15" hidden="false" customHeight="false" outlineLevel="0" collapsed="false">
      <c r="A878" s="10"/>
      <c r="B878" s="9"/>
      <c r="C878" s="9"/>
      <c r="D878" s="11"/>
      <c r="E878" s="11"/>
      <c r="F878" s="12"/>
      <c r="G878" s="13" t="str">
        <f aca="false">IF(F878&lt;&gt;"",F878,IF(OR(D878="",E878=""),"",ROUND(MOD(E878-D878,1)*1440,0)))</f>
        <v/>
      </c>
      <c r="H878" s="9"/>
      <c r="I878" s="14" t="str">
        <f aca="false">IF(H878="","",IFERROR(INDEX(Setup!$E$5:$E$34,MATCH(H878,Setup!$D$5:$D$34,0)),"Not in Setup"))</f>
        <v/>
      </c>
      <c r="J878" s="9"/>
    </row>
    <row r="879" customFormat="false" ht="15" hidden="false" customHeight="false" outlineLevel="0" collapsed="false">
      <c r="A879" s="10"/>
      <c r="B879" s="9"/>
      <c r="C879" s="9"/>
      <c r="D879" s="11"/>
      <c r="E879" s="11"/>
      <c r="F879" s="12"/>
      <c r="G879" s="13" t="str">
        <f aca="false">IF(F879&lt;&gt;"",F879,IF(OR(D879="",E879=""),"",ROUND(MOD(E879-D879,1)*1440,0)))</f>
        <v/>
      </c>
      <c r="H879" s="9"/>
      <c r="I879" s="14" t="str">
        <f aca="false">IF(H879="","",IFERROR(INDEX(Setup!$E$5:$E$34,MATCH(H879,Setup!$D$5:$D$34,0)),"Not in Setup"))</f>
        <v/>
      </c>
      <c r="J879" s="9"/>
    </row>
    <row r="880" customFormat="false" ht="15" hidden="false" customHeight="false" outlineLevel="0" collapsed="false">
      <c r="A880" s="10"/>
      <c r="B880" s="9"/>
      <c r="C880" s="9"/>
      <c r="D880" s="11"/>
      <c r="E880" s="11"/>
      <c r="F880" s="12"/>
      <c r="G880" s="13" t="str">
        <f aca="false">IF(F880&lt;&gt;"",F880,IF(OR(D880="",E880=""),"",ROUND(MOD(E880-D880,1)*1440,0)))</f>
        <v/>
      </c>
      <c r="H880" s="9"/>
      <c r="I880" s="14" t="str">
        <f aca="false">IF(H880="","",IFERROR(INDEX(Setup!$E$5:$E$34,MATCH(H880,Setup!$D$5:$D$34,0)),"Not in Setup"))</f>
        <v/>
      </c>
      <c r="J880" s="9"/>
    </row>
    <row r="881" customFormat="false" ht="15" hidden="false" customHeight="false" outlineLevel="0" collapsed="false">
      <c r="A881" s="10"/>
      <c r="B881" s="9"/>
      <c r="C881" s="9"/>
      <c r="D881" s="11"/>
      <c r="E881" s="11"/>
      <c r="F881" s="12"/>
      <c r="G881" s="13" t="str">
        <f aca="false">IF(F881&lt;&gt;"",F881,IF(OR(D881="",E881=""),"",ROUND(MOD(E881-D881,1)*1440,0)))</f>
        <v/>
      </c>
      <c r="H881" s="9"/>
      <c r="I881" s="14" t="str">
        <f aca="false">IF(H881="","",IFERROR(INDEX(Setup!$E$5:$E$34,MATCH(H881,Setup!$D$5:$D$34,0)),"Not in Setup"))</f>
        <v/>
      </c>
      <c r="J881" s="9"/>
    </row>
    <row r="882" customFormat="false" ht="15" hidden="false" customHeight="false" outlineLevel="0" collapsed="false">
      <c r="A882" s="10"/>
      <c r="B882" s="9"/>
      <c r="C882" s="9"/>
      <c r="D882" s="11"/>
      <c r="E882" s="11"/>
      <c r="F882" s="12"/>
      <c r="G882" s="13" t="str">
        <f aca="false">IF(F882&lt;&gt;"",F882,IF(OR(D882="",E882=""),"",ROUND(MOD(E882-D882,1)*1440,0)))</f>
        <v/>
      </c>
      <c r="H882" s="9"/>
      <c r="I882" s="14" t="str">
        <f aca="false">IF(H882="","",IFERROR(INDEX(Setup!$E$5:$E$34,MATCH(H882,Setup!$D$5:$D$34,0)),"Not in Setup"))</f>
        <v/>
      </c>
      <c r="J882" s="9"/>
    </row>
    <row r="883" customFormat="false" ht="15" hidden="false" customHeight="false" outlineLevel="0" collapsed="false">
      <c r="A883" s="10"/>
      <c r="B883" s="9"/>
      <c r="C883" s="9"/>
      <c r="D883" s="11"/>
      <c r="E883" s="11"/>
      <c r="F883" s="12"/>
      <c r="G883" s="13" t="str">
        <f aca="false">IF(F883&lt;&gt;"",F883,IF(OR(D883="",E883=""),"",ROUND(MOD(E883-D883,1)*1440,0)))</f>
        <v/>
      </c>
      <c r="H883" s="9"/>
      <c r="I883" s="14" t="str">
        <f aca="false">IF(H883="","",IFERROR(INDEX(Setup!$E$5:$E$34,MATCH(H883,Setup!$D$5:$D$34,0)),"Not in Setup"))</f>
        <v/>
      </c>
      <c r="J883" s="9"/>
    </row>
    <row r="884" customFormat="false" ht="15" hidden="false" customHeight="false" outlineLevel="0" collapsed="false">
      <c r="A884" s="10"/>
      <c r="B884" s="9"/>
      <c r="C884" s="9"/>
      <c r="D884" s="11"/>
      <c r="E884" s="11"/>
      <c r="F884" s="12"/>
      <c r="G884" s="13" t="str">
        <f aca="false">IF(F884&lt;&gt;"",F884,IF(OR(D884="",E884=""),"",ROUND(MOD(E884-D884,1)*1440,0)))</f>
        <v/>
      </c>
      <c r="H884" s="9"/>
      <c r="I884" s="14" t="str">
        <f aca="false">IF(H884="","",IFERROR(INDEX(Setup!$E$5:$E$34,MATCH(H884,Setup!$D$5:$D$34,0)),"Not in Setup"))</f>
        <v/>
      </c>
      <c r="J884" s="9"/>
    </row>
    <row r="885" customFormat="false" ht="15" hidden="false" customHeight="false" outlineLevel="0" collapsed="false">
      <c r="A885" s="10"/>
      <c r="B885" s="9"/>
      <c r="C885" s="9"/>
      <c r="D885" s="11"/>
      <c r="E885" s="11"/>
      <c r="F885" s="12"/>
      <c r="G885" s="13" t="str">
        <f aca="false">IF(F885&lt;&gt;"",F885,IF(OR(D885="",E885=""),"",ROUND(MOD(E885-D885,1)*1440,0)))</f>
        <v/>
      </c>
      <c r="H885" s="9"/>
      <c r="I885" s="14" t="str">
        <f aca="false">IF(H885="","",IFERROR(INDEX(Setup!$E$5:$E$34,MATCH(H885,Setup!$D$5:$D$34,0)),"Not in Setup"))</f>
        <v/>
      </c>
      <c r="J885" s="9"/>
    </row>
    <row r="886" customFormat="false" ht="15" hidden="false" customHeight="false" outlineLevel="0" collapsed="false">
      <c r="A886" s="10"/>
      <c r="B886" s="9"/>
      <c r="C886" s="9"/>
      <c r="D886" s="11"/>
      <c r="E886" s="11"/>
      <c r="F886" s="12"/>
      <c r="G886" s="13" t="str">
        <f aca="false">IF(F886&lt;&gt;"",F886,IF(OR(D886="",E886=""),"",ROUND(MOD(E886-D886,1)*1440,0)))</f>
        <v/>
      </c>
      <c r="H886" s="9"/>
      <c r="I886" s="14" t="str">
        <f aca="false">IF(H886="","",IFERROR(INDEX(Setup!$E$5:$E$34,MATCH(H886,Setup!$D$5:$D$34,0)),"Not in Setup"))</f>
        <v/>
      </c>
      <c r="J886" s="9"/>
    </row>
    <row r="887" customFormat="false" ht="15" hidden="false" customHeight="false" outlineLevel="0" collapsed="false">
      <c r="A887" s="10"/>
      <c r="B887" s="9"/>
      <c r="C887" s="9"/>
      <c r="D887" s="11"/>
      <c r="E887" s="11"/>
      <c r="F887" s="12"/>
      <c r="G887" s="13" t="str">
        <f aca="false">IF(F887&lt;&gt;"",F887,IF(OR(D887="",E887=""),"",ROUND(MOD(E887-D887,1)*1440,0)))</f>
        <v/>
      </c>
      <c r="H887" s="9"/>
      <c r="I887" s="14" t="str">
        <f aca="false">IF(H887="","",IFERROR(INDEX(Setup!$E$5:$E$34,MATCH(H887,Setup!$D$5:$D$34,0)),"Not in Setup"))</f>
        <v/>
      </c>
      <c r="J887" s="9"/>
    </row>
    <row r="888" customFormat="false" ht="15" hidden="false" customHeight="false" outlineLevel="0" collapsed="false">
      <c r="A888" s="10"/>
      <c r="B888" s="9"/>
      <c r="C888" s="9"/>
      <c r="D888" s="11"/>
      <c r="E888" s="11"/>
      <c r="F888" s="12"/>
      <c r="G888" s="13" t="str">
        <f aca="false">IF(F888&lt;&gt;"",F888,IF(OR(D888="",E888=""),"",ROUND(MOD(E888-D888,1)*1440,0)))</f>
        <v/>
      </c>
      <c r="H888" s="9"/>
      <c r="I888" s="14" t="str">
        <f aca="false">IF(H888="","",IFERROR(INDEX(Setup!$E$5:$E$34,MATCH(H888,Setup!$D$5:$D$34,0)),"Not in Setup"))</f>
        <v/>
      </c>
      <c r="J888" s="9"/>
    </row>
    <row r="889" customFormat="false" ht="15" hidden="false" customHeight="false" outlineLevel="0" collapsed="false">
      <c r="A889" s="10"/>
      <c r="B889" s="9"/>
      <c r="C889" s="9"/>
      <c r="D889" s="11"/>
      <c r="E889" s="11"/>
      <c r="F889" s="12"/>
      <c r="G889" s="13" t="str">
        <f aca="false">IF(F889&lt;&gt;"",F889,IF(OR(D889="",E889=""),"",ROUND(MOD(E889-D889,1)*1440,0)))</f>
        <v/>
      </c>
      <c r="H889" s="9"/>
      <c r="I889" s="14" t="str">
        <f aca="false">IF(H889="","",IFERROR(INDEX(Setup!$E$5:$E$34,MATCH(H889,Setup!$D$5:$D$34,0)),"Not in Setup"))</f>
        <v/>
      </c>
      <c r="J889" s="9"/>
    </row>
    <row r="890" customFormat="false" ht="15" hidden="false" customHeight="false" outlineLevel="0" collapsed="false">
      <c r="A890" s="10"/>
      <c r="B890" s="9"/>
      <c r="C890" s="9"/>
      <c r="D890" s="11"/>
      <c r="E890" s="11"/>
      <c r="F890" s="12"/>
      <c r="G890" s="13" t="str">
        <f aca="false">IF(F890&lt;&gt;"",F890,IF(OR(D890="",E890=""),"",ROUND(MOD(E890-D890,1)*1440,0)))</f>
        <v/>
      </c>
      <c r="H890" s="9"/>
      <c r="I890" s="14" t="str">
        <f aca="false">IF(H890="","",IFERROR(INDEX(Setup!$E$5:$E$34,MATCH(H890,Setup!$D$5:$D$34,0)),"Not in Setup"))</f>
        <v/>
      </c>
      <c r="J890" s="9"/>
    </row>
    <row r="891" customFormat="false" ht="15" hidden="false" customHeight="false" outlineLevel="0" collapsed="false">
      <c r="A891" s="10"/>
      <c r="B891" s="9"/>
      <c r="C891" s="9"/>
      <c r="D891" s="11"/>
      <c r="E891" s="11"/>
      <c r="F891" s="12"/>
      <c r="G891" s="13" t="str">
        <f aca="false">IF(F891&lt;&gt;"",F891,IF(OR(D891="",E891=""),"",ROUND(MOD(E891-D891,1)*1440,0)))</f>
        <v/>
      </c>
      <c r="H891" s="9"/>
      <c r="I891" s="14" t="str">
        <f aca="false">IF(H891="","",IFERROR(INDEX(Setup!$E$5:$E$34,MATCH(H891,Setup!$D$5:$D$34,0)),"Not in Setup"))</f>
        <v/>
      </c>
      <c r="J891" s="9"/>
    </row>
    <row r="892" customFormat="false" ht="15" hidden="false" customHeight="false" outlineLevel="0" collapsed="false">
      <c r="A892" s="10"/>
      <c r="B892" s="9"/>
      <c r="C892" s="9"/>
      <c r="D892" s="11"/>
      <c r="E892" s="11"/>
      <c r="F892" s="12"/>
      <c r="G892" s="13" t="str">
        <f aca="false">IF(F892&lt;&gt;"",F892,IF(OR(D892="",E892=""),"",ROUND(MOD(E892-D892,1)*1440,0)))</f>
        <v/>
      </c>
      <c r="H892" s="9"/>
      <c r="I892" s="14" t="str">
        <f aca="false">IF(H892="","",IFERROR(INDEX(Setup!$E$5:$E$34,MATCH(H892,Setup!$D$5:$D$34,0)),"Not in Setup"))</f>
        <v/>
      </c>
      <c r="J892" s="9"/>
    </row>
    <row r="893" customFormat="false" ht="15" hidden="false" customHeight="false" outlineLevel="0" collapsed="false">
      <c r="A893" s="10"/>
      <c r="B893" s="9"/>
      <c r="C893" s="9"/>
      <c r="D893" s="11"/>
      <c r="E893" s="11"/>
      <c r="F893" s="12"/>
      <c r="G893" s="13" t="str">
        <f aca="false">IF(F893&lt;&gt;"",F893,IF(OR(D893="",E893=""),"",ROUND(MOD(E893-D893,1)*1440,0)))</f>
        <v/>
      </c>
      <c r="H893" s="9"/>
      <c r="I893" s="14" t="str">
        <f aca="false">IF(H893="","",IFERROR(INDEX(Setup!$E$5:$E$34,MATCH(H893,Setup!$D$5:$D$34,0)),"Not in Setup"))</f>
        <v/>
      </c>
      <c r="J893" s="9"/>
    </row>
    <row r="894" customFormat="false" ht="15" hidden="false" customHeight="false" outlineLevel="0" collapsed="false">
      <c r="A894" s="10"/>
      <c r="B894" s="9"/>
      <c r="C894" s="9"/>
      <c r="D894" s="11"/>
      <c r="E894" s="11"/>
      <c r="F894" s="12"/>
      <c r="G894" s="13" t="str">
        <f aca="false">IF(F894&lt;&gt;"",F894,IF(OR(D894="",E894=""),"",ROUND(MOD(E894-D894,1)*1440,0)))</f>
        <v/>
      </c>
      <c r="H894" s="9"/>
      <c r="I894" s="14" t="str">
        <f aca="false">IF(H894="","",IFERROR(INDEX(Setup!$E$5:$E$34,MATCH(H894,Setup!$D$5:$D$34,0)),"Not in Setup"))</f>
        <v/>
      </c>
      <c r="J894" s="9"/>
    </row>
    <row r="895" customFormat="false" ht="15" hidden="false" customHeight="false" outlineLevel="0" collapsed="false">
      <c r="A895" s="10"/>
      <c r="B895" s="9"/>
      <c r="C895" s="9"/>
      <c r="D895" s="11"/>
      <c r="E895" s="11"/>
      <c r="F895" s="12"/>
      <c r="G895" s="13" t="str">
        <f aca="false">IF(F895&lt;&gt;"",F895,IF(OR(D895="",E895=""),"",ROUND(MOD(E895-D895,1)*1440,0)))</f>
        <v/>
      </c>
      <c r="H895" s="9"/>
      <c r="I895" s="14" t="str">
        <f aca="false">IF(H895="","",IFERROR(INDEX(Setup!$E$5:$E$34,MATCH(H895,Setup!$D$5:$D$34,0)),"Not in Setup"))</f>
        <v/>
      </c>
      <c r="J895" s="9"/>
    </row>
    <row r="896" customFormat="false" ht="15" hidden="false" customHeight="false" outlineLevel="0" collapsed="false">
      <c r="A896" s="10"/>
      <c r="B896" s="9"/>
      <c r="C896" s="9"/>
      <c r="D896" s="11"/>
      <c r="E896" s="11"/>
      <c r="F896" s="12"/>
      <c r="G896" s="13" t="str">
        <f aca="false">IF(F896&lt;&gt;"",F896,IF(OR(D896="",E896=""),"",ROUND(MOD(E896-D896,1)*1440,0)))</f>
        <v/>
      </c>
      <c r="H896" s="9"/>
      <c r="I896" s="14" t="str">
        <f aca="false">IF(H896="","",IFERROR(INDEX(Setup!$E$5:$E$34,MATCH(H896,Setup!$D$5:$D$34,0)),"Not in Setup"))</f>
        <v/>
      </c>
      <c r="J896" s="9"/>
    </row>
    <row r="897" customFormat="false" ht="15" hidden="false" customHeight="false" outlineLevel="0" collapsed="false">
      <c r="A897" s="10"/>
      <c r="B897" s="9"/>
      <c r="C897" s="9"/>
      <c r="D897" s="11"/>
      <c r="E897" s="11"/>
      <c r="F897" s="12"/>
      <c r="G897" s="13" t="str">
        <f aca="false">IF(F897&lt;&gt;"",F897,IF(OR(D897="",E897=""),"",ROUND(MOD(E897-D897,1)*1440,0)))</f>
        <v/>
      </c>
      <c r="H897" s="9"/>
      <c r="I897" s="14" t="str">
        <f aca="false">IF(H897="","",IFERROR(INDEX(Setup!$E$5:$E$34,MATCH(H897,Setup!$D$5:$D$34,0)),"Not in Setup"))</f>
        <v/>
      </c>
      <c r="J897" s="9"/>
    </row>
    <row r="898" customFormat="false" ht="15" hidden="false" customHeight="false" outlineLevel="0" collapsed="false">
      <c r="A898" s="10"/>
      <c r="B898" s="9"/>
      <c r="C898" s="9"/>
      <c r="D898" s="11"/>
      <c r="E898" s="11"/>
      <c r="F898" s="12"/>
      <c r="G898" s="13" t="str">
        <f aca="false">IF(F898&lt;&gt;"",F898,IF(OR(D898="",E898=""),"",ROUND(MOD(E898-D898,1)*1440,0)))</f>
        <v/>
      </c>
      <c r="H898" s="9"/>
      <c r="I898" s="14" t="str">
        <f aca="false">IF(H898="","",IFERROR(INDEX(Setup!$E$5:$E$34,MATCH(H898,Setup!$D$5:$D$34,0)),"Not in Setup"))</f>
        <v/>
      </c>
      <c r="J898" s="9"/>
    </row>
    <row r="899" customFormat="false" ht="15" hidden="false" customHeight="false" outlineLevel="0" collapsed="false">
      <c r="A899" s="10"/>
      <c r="B899" s="9"/>
      <c r="C899" s="9"/>
      <c r="D899" s="11"/>
      <c r="E899" s="11"/>
      <c r="F899" s="12"/>
      <c r="G899" s="13" t="str">
        <f aca="false">IF(F899&lt;&gt;"",F899,IF(OR(D899="",E899=""),"",ROUND(MOD(E899-D899,1)*1440,0)))</f>
        <v/>
      </c>
      <c r="H899" s="9"/>
      <c r="I899" s="14" t="str">
        <f aca="false">IF(H899="","",IFERROR(INDEX(Setup!$E$5:$E$34,MATCH(H899,Setup!$D$5:$D$34,0)),"Not in Setup"))</f>
        <v/>
      </c>
      <c r="J899" s="9"/>
    </row>
    <row r="900" customFormat="false" ht="15" hidden="false" customHeight="false" outlineLevel="0" collapsed="false">
      <c r="A900" s="10"/>
      <c r="B900" s="9"/>
      <c r="C900" s="9"/>
      <c r="D900" s="11"/>
      <c r="E900" s="11"/>
      <c r="F900" s="12"/>
      <c r="G900" s="13" t="str">
        <f aca="false">IF(F900&lt;&gt;"",F900,IF(OR(D900="",E900=""),"",ROUND(MOD(E900-D900,1)*1440,0)))</f>
        <v/>
      </c>
      <c r="H900" s="9"/>
      <c r="I900" s="14" t="str">
        <f aca="false">IF(H900="","",IFERROR(INDEX(Setup!$E$5:$E$34,MATCH(H900,Setup!$D$5:$D$34,0)),"Not in Setup"))</f>
        <v/>
      </c>
      <c r="J900" s="9"/>
    </row>
    <row r="901" customFormat="false" ht="15" hidden="false" customHeight="false" outlineLevel="0" collapsed="false">
      <c r="A901" s="10"/>
      <c r="B901" s="9"/>
      <c r="C901" s="9"/>
      <c r="D901" s="11"/>
      <c r="E901" s="11"/>
      <c r="F901" s="12"/>
      <c r="G901" s="13" t="str">
        <f aca="false">IF(F901&lt;&gt;"",F901,IF(OR(D901="",E901=""),"",ROUND(MOD(E901-D901,1)*1440,0)))</f>
        <v/>
      </c>
      <c r="H901" s="9"/>
      <c r="I901" s="14" t="str">
        <f aca="false">IF(H901="","",IFERROR(INDEX(Setup!$E$5:$E$34,MATCH(H901,Setup!$D$5:$D$34,0)),"Not in Setup"))</f>
        <v/>
      </c>
      <c r="J901" s="9"/>
    </row>
    <row r="902" customFormat="false" ht="15" hidden="false" customHeight="false" outlineLevel="0" collapsed="false">
      <c r="A902" s="10"/>
      <c r="B902" s="9"/>
      <c r="C902" s="9"/>
      <c r="D902" s="11"/>
      <c r="E902" s="11"/>
      <c r="F902" s="12"/>
      <c r="G902" s="13" t="str">
        <f aca="false">IF(F902&lt;&gt;"",F902,IF(OR(D902="",E902=""),"",ROUND(MOD(E902-D902,1)*1440,0)))</f>
        <v/>
      </c>
      <c r="H902" s="9"/>
      <c r="I902" s="14" t="str">
        <f aca="false">IF(H902="","",IFERROR(INDEX(Setup!$E$5:$E$34,MATCH(H902,Setup!$D$5:$D$34,0)),"Not in Setup"))</f>
        <v/>
      </c>
      <c r="J902" s="9"/>
    </row>
    <row r="903" customFormat="false" ht="15" hidden="false" customHeight="false" outlineLevel="0" collapsed="false">
      <c r="A903" s="10"/>
      <c r="B903" s="9"/>
      <c r="C903" s="9"/>
      <c r="D903" s="11"/>
      <c r="E903" s="11"/>
      <c r="F903" s="12"/>
      <c r="G903" s="13" t="str">
        <f aca="false">IF(F903&lt;&gt;"",F903,IF(OR(D903="",E903=""),"",ROUND(MOD(E903-D903,1)*1440,0)))</f>
        <v/>
      </c>
      <c r="H903" s="9"/>
      <c r="I903" s="14" t="str">
        <f aca="false">IF(H903="","",IFERROR(INDEX(Setup!$E$5:$E$34,MATCH(H903,Setup!$D$5:$D$34,0)),"Not in Setup"))</f>
        <v/>
      </c>
      <c r="J903" s="9"/>
    </row>
    <row r="904" customFormat="false" ht="15" hidden="false" customHeight="false" outlineLevel="0" collapsed="false">
      <c r="A904" s="10"/>
      <c r="B904" s="9"/>
      <c r="C904" s="9"/>
      <c r="D904" s="11"/>
      <c r="E904" s="11"/>
      <c r="F904" s="12"/>
      <c r="G904" s="13" t="str">
        <f aca="false">IF(F904&lt;&gt;"",F904,IF(OR(D904="",E904=""),"",ROUND(MOD(E904-D904,1)*1440,0)))</f>
        <v/>
      </c>
      <c r="H904" s="9"/>
      <c r="I904" s="14" t="str">
        <f aca="false">IF(H904="","",IFERROR(INDEX(Setup!$E$5:$E$34,MATCH(H904,Setup!$D$5:$D$34,0)),"Not in Setup"))</f>
        <v/>
      </c>
      <c r="J904" s="9"/>
    </row>
    <row r="905" customFormat="false" ht="15" hidden="false" customHeight="false" outlineLevel="0" collapsed="false">
      <c r="A905" s="10"/>
      <c r="B905" s="9"/>
      <c r="C905" s="9"/>
      <c r="D905" s="11"/>
      <c r="E905" s="11"/>
      <c r="F905" s="12"/>
      <c r="G905" s="13" t="str">
        <f aca="false">IF(F905&lt;&gt;"",F905,IF(OR(D905="",E905=""),"",ROUND(MOD(E905-D905,1)*1440,0)))</f>
        <v/>
      </c>
      <c r="H905" s="9"/>
      <c r="I905" s="14" t="str">
        <f aca="false">IF(H905="","",IFERROR(INDEX(Setup!$E$5:$E$34,MATCH(H905,Setup!$D$5:$D$34,0)),"Not in Setup"))</f>
        <v/>
      </c>
      <c r="J905" s="9"/>
    </row>
    <row r="906" customFormat="false" ht="15" hidden="false" customHeight="false" outlineLevel="0" collapsed="false">
      <c r="A906" s="10"/>
      <c r="B906" s="9"/>
      <c r="C906" s="9"/>
      <c r="D906" s="11"/>
      <c r="E906" s="11"/>
      <c r="F906" s="12"/>
      <c r="G906" s="13" t="str">
        <f aca="false">IF(F906&lt;&gt;"",F906,IF(OR(D906="",E906=""),"",ROUND(MOD(E906-D906,1)*1440,0)))</f>
        <v/>
      </c>
      <c r="H906" s="9"/>
      <c r="I906" s="14" t="str">
        <f aca="false">IF(H906="","",IFERROR(INDEX(Setup!$E$5:$E$34,MATCH(H906,Setup!$D$5:$D$34,0)),"Not in Setup"))</f>
        <v/>
      </c>
      <c r="J906" s="9"/>
    </row>
    <row r="907" customFormat="false" ht="15" hidden="false" customHeight="false" outlineLevel="0" collapsed="false">
      <c r="A907" s="10"/>
      <c r="B907" s="9"/>
      <c r="C907" s="9"/>
      <c r="D907" s="11"/>
      <c r="E907" s="11"/>
      <c r="F907" s="12"/>
      <c r="G907" s="13" t="str">
        <f aca="false">IF(F907&lt;&gt;"",F907,IF(OR(D907="",E907=""),"",ROUND(MOD(E907-D907,1)*1440,0)))</f>
        <v/>
      </c>
      <c r="H907" s="9"/>
      <c r="I907" s="14" t="str">
        <f aca="false">IF(H907="","",IFERROR(INDEX(Setup!$E$5:$E$34,MATCH(H907,Setup!$D$5:$D$34,0)),"Not in Setup"))</f>
        <v/>
      </c>
      <c r="J907" s="9"/>
    </row>
    <row r="908" customFormat="false" ht="15" hidden="false" customHeight="false" outlineLevel="0" collapsed="false">
      <c r="A908" s="10"/>
      <c r="B908" s="9"/>
      <c r="C908" s="9"/>
      <c r="D908" s="11"/>
      <c r="E908" s="11"/>
      <c r="F908" s="12"/>
      <c r="G908" s="13" t="str">
        <f aca="false">IF(F908&lt;&gt;"",F908,IF(OR(D908="",E908=""),"",ROUND(MOD(E908-D908,1)*1440,0)))</f>
        <v/>
      </c>
      <c r="H908" s="9"/>
      <c r="I908" s="14" t="str">
        <f aca="false">IF(H908="","",IFERROR(INDEX(Setup!$E$5:$E$34,MATCH(H908,Setup!$D$5:$D$34,0)),"Not in Setup"))</f>
        <v/>
      </c>
      <c r="J908" s="9"/>
    </row>
    <row r="909" customFormat="false" ht="15" hidden="false" customHeight="false" outlineLevel="0" collapsed="false">
      <c r="A909" s="10"/>
      <c r="B909" s="9"/>
      <c r="C909" s="9"/>
      <c r="D909" s="11"/>
      <c r="E909" s="11"/>
      <c r="F909" s="12"/>
      <c r="G909" s="13" t="str">
        <f aca="false">IF(F909&lt;&gt;"",F909,IF(OR(D909="",E909=""),"",ROUND(MOD(E909-D909,1)*1440,0)))</f>
        <v/>
      </c>
      <c r="H909" s="9"/>
      <c r="I909" s="14" t="str">
        <f aca="false">IF(H909="","",IFERROR(INDEX(Setup!$E$5:$E$34,MATCH(H909,Setup!$D$5:$D$34,0)),"Not in Setup"))</f>
        <v/>
      </c>
      <c r="J909" s="9"/>
    </row>
    <row r="910" customFormat="false" ht="15" hidden="false" customHeight="false" outlineLevel="0" collapsed="false">
      <c r="A910" s="10"/>
      <c r="B910" s="9"/>
      <c r="C910" s="9"/>
      <c r="D910" s="11"/>
      <c r="E910" s="11"/>
      <c r="F910" s="12"/>
      <c r="G910" s="13" t="str">
        <f aca="false">IF(F910&lt;&gt;"",F910,IF(OR(D910="",E910=""),"",ROUND(MOD(E910-D910,1)*1440,0)))</f>
        <v/>
      </c>
      <c r="H910" s="9"/>
      <c r="I910" s="14" t="str">
        <f aca="false">IF(H910="","",IFERROR(INDEX(Setup!$E$5:$E$34,MATCH(H910,Setup!$D$5:$D$34,0)),"Not in Setup"))</f>
        <v/>
      </c>
      <c r="J910" s="9"/>
    </row>
    <row r="911" customFormat="false" ht="15" hidden="false" customHeight="false" outlineLevel="0" collapsed="false">
      <c r="A911" s="10"/>
      <c r="B911" s="9"/>
      <c r="C911" s="9"/>
      <c r="D911" s="11"/>
      <c r="E911" s="11"/>
      <c r="F911" s="12"/>
      <c r="G911" s="13" t="str">
        <f aca="false">IF(F911&lt;&gt;"",F911,IF(OR(D911="",E911=""),"",ROUND(MOD(E911-D911,1)*1440,0)))</f>
        <v/>
      </c>
      <c r="H911" s="9"/>
      <c r="I911" s="14" t="str">
        <f aca="false">IF(H911="","",IFERROR(INDEX(Setup!$E$5:$E$34,MATCH(H911,Setup!$D$5:$D$34,0)),"Not in Setup"))</f>
        <v/>
      </c>
      <c r="J911" s="9"/>
    </row>
    <row r="912" customFormat="false" ht="15" hidden="false" customHeight="false" outlineLevel="0" collapsed="false">
      <c r="A912" s="10"/>
      <c r="B912" s="9"/>
      <c r="C912" s="9"/>
      <c r="D912" s="11"/>
      <c r="E912" s="11"/>
      <c r="F912" s="12"/>
      <c r="G912" s="13" t="str">
        <f aca="false">IF(F912&lt;&gt;"",F912,IF(OR(D912="",E912=""),"",ROUND(MOD(E912-D912,1)*1440,0)))</f>
        <v/>
      </c>
      <c r="H912" s="9"/>
      <c r="I912" s="14" t="str">
        <f aca="false">IF(H912="","",IFERROR(INDEX(Setup!$E$5:$E$34,MATCH(H912,Setup!$D$5:$D$34,0)),"Not in Setup"))</f>
        <v/>
      </c>
      <c r="J912" s="9"/>
    </row>
    <row r="913" customFormat="false" ht="15" hidden="false" customHeight="false" outlineLevel="0" collapsed="false">
      <c r="A913" s="10"/>
      <c r="B913" s="9"/>
      <c r="C913" s="9"/>
      <c r="D913" s="11"/>
      <c r="E913" s="11"/>
      <c r="F913" s="12"/>
      <c r="G913" s="13" t="str">
        <f aca="false">IF(F913&lt;&gt;"",F913,IF(OR(D913="",E913=""),"",ROUND(MOD(E913-D913,1)*1440,0)))</f>
        <v/>
      </c>
      <c r="H913" s="9"/>
      <c r="I913" s="14" t="str">
        <f aca="false">IF(H913="","",IFERROR(INDEX(Setup!$E$5:$E$34,MATCH(H913,Setup!$D$5:$D$34,0)),"Not in Setup"))</f>
        <v/>
      </c>
      <c r="J913" s="9"/>
    </row>
    <row r="914" customFormat="false" ht="15" hidden="false" customHeight="false" outlineLevel="0" collapsed="false">
      <c r="A914" s="10"/>
      <c r="B914" s="9"/>
      <c r="C914" s="9"/>
      <c r="D914" s="11"/>
      <c r="E914" s="11"/>
      <c r="F914" s="12"/>
      <c r="G914" s="13" t="str">
        <f aca="false">IF(F914&lt;&gt;"",F914,IF(OR(D914="",E914=""),"",ROUND(MOD(E914-D914,1)*1440,0)))</f>
        <v/>
      </c>
      <c r="H914" s="9"/>
      <c r="I914" s="14" t="str">
        <f aca="false">IF(H914="","",IFERROR(INDEX(Setup!$E$5:$E$34,MATCH(H914,Setup!$D$5:$D$34,0)),"Not in Setup"))</f>
        <v/>
      </c>
      <c r="J914" s="9"/>
    </row>
    <row r="915" customFormat="false" ht="15" hidden="false" customHeight="false" outlineLevel="0" collapsed="false">
      <c r="A915" s="10"/>
      <c r="B915" s="9"/>
      <c r="C915" s="9"/>
      <c r="D915" s="11"/>
      <c r="E915" s="11"/>
      <c r="F915" s="12"/>
      <c r="G915" s="13" t="str">
        <f aca="false">IF(F915&lt;&gt;"",F915,IF(OR(D915="",E915=""),"",ROUND(MOD(E915-D915,1)*1440,0)))</f>
        <v/>
      </c>
      <c r="H915" s="9"/>
      <c r="I915" s="14" t="str">
        <f aca="false">IF(H915="","",IFERROR(INDEX(Setup!$E$5:$E$34,MATCH(H915,Setup!$D$5:$D$34,0)),"Not in Setup"))</f>
        <v/>
      </c>
      <c r="J915" s="9"/>
    </row>
    <row r="916" customFormat="false" ht="15" hidden="false" customHeight="false" outlineLevel="0" collapsed="false">
      <c r="A916" s="10"/>
      <c r="B916" s="9"/>
      <c r="C916" s="9"/>
      <c r="D916" s="11"/>
      <c r="E916" s="11"/>
      <c r="F916" s="12"/>
      <c r="G916" s="13" t="str">
        <f aca="false">IF(F916&lt;&gt;"",F916,IF(OR(D916="",E916=""),"",ROUND(MOD(E916-D916,1)*1440,0)))</f>
        <v/>
      </c>
      <c r="H916" s="9"/>
      <c r="I916" s="14" t="str">
        <f aca="false">IF(H916="","",IFERROR(INDEX(Setup!$E$5:$E$34,MATCH(H916,Setup!$D$5:$D$34,0)),"Not in Setup"))</f>
        <v/>
      </c>
      <c r="J916" s="9"/>
    </row>
    <row r="917" customFormat="false" ht="15" hidden="false" customHeight="false" outlineLevel="0" collapsed="false">
      <c r="A917" s="10"/>
      <c r="B917" s="9"/>
      <c r="C917" s="9"/>
      <c r="D917" s="11"/>
      <c r="E917" s="11"/>
      <c r="F917" s="12"/>
      <c r="G917" s="13" t="str">
        <f aca="false">IF(F917&lt;&gt;"",F917,IF(OR(D917="",E917=""),"",ROUND(MOD(E917-D917,1)*1440,0)))</f>
        <v/>
      </c>
      <c r="H917" s="9"/>
      <c r="I917" s="14" t="str">
        <f aca="false">IF(H917="","",IFERROR(INDEX(Setup!$E$5:$E$34,MATCH(H917,Setup!$D$5:$D$34,0)),"Not in Setup"))</f>
        <v/>
      </c>
      <c r="J917" s="9"/>
    </row>
    <row r="918" customFormat="false" ht="15" hidden="false" customHeight="false" outlineLevel="0" collapsed="false">
      <c r="A918" s="10"/>
      <c r="B918" s="9"/>
      <c r="C918" s="9"/>
      <c r="D918" s="11"/>
      <c r="E918" s="11"/>
      <c r="F918" s="12"/>
      <c r="G918" s="13" t="str">
        <f aca="false">IF(F918&lt;&gt;"",F918,IF(OR(D918="",E918=""),"",ROUND(MOD(E918-D918,1)*1440,0)))</f>
        <v/>
      </c>
      <c r="H918" s="9"/>
      <c r="I918" s="14" t="str">
        <f aca="false">IF(H918="","",IFERROR(INDEX(Setup!$E$5:$E$34,MATCH(H918,Setup!$D$5:$D$34,0)),"Not in Setup"))</f>
        <v/>
      </c>
      <c r="J918" s="9"/>
    </row>
    <row r="919" customFormat="false" ht="15" hidden="false" customHeight="false" outlineLevel="0" collapsed="false">
      <c r="A919" s="10"/>
      <c r="B919" s="9"/>
      <c r="C919" s="9"/>
      <c r="D919" s="11"/>
      <c r="E919" s="11"/>
      <c r="F919" s="12"/>
      <c r="G919" s="13" t="str">
        <f aca="false">IF(F919&lt;&gt;"",F919,IF(OR(D919="",E919=""),"",ROUND(MOD(E919-D919,1)*1440,0)))</f>
        <v/>
      </c>
      <c r="H919" s="9"/>
      <c r="I919" s="14" t="str">
        <f aca="false">IF(H919="","",IFERROR(INDEX(Setup!$E$5:$E$34,MATCH(H919,Setup!$D$5:$D$34,0)),"Not in Setup"))</f>
        <v/>
      </c>
      <c r="J919" s="9"/>
    </row>
    <row r="920" customFormat="false" ht="15" hidden="false" customHeight="false" outlineLevel="0" collapsed="false">
      <c r="A920" s="10"/>
      <c r="B920" s="9"/>
      <c r="C920" s="9"/>
      <c r="D920" s="11"/>
      <c r="E920" s="11"/>
      <c r="F920" s="12"/>
      <c r="G920" s="13" t="str">
        <f aca="false">IF(F920&lt;&gt;"",F920,IF(OR(D920="",E920=""),"",ROUND(MOD(E920-D920,1)*1440,0)))</f>
        <v/>
      </c>
      <c r="H920" s="9"/>
      <c r="I920" s="14" t="str">
        <f aca="false">IF(H920="","",IFERROR(INDEX(Setup!$E$5:$E$34,MATCH(H920,Setup!$D$5:$D$34,0)),"Not in Setup"))</f>
        <v/>
      </c>
      <c r="J920" s="9"/>
    </row>
    <row r="921" customFormat="false" ht="15" hidden="false" customHeight="false" outlineLevel="0" collapsed="false">
      <c r="A921" s="10"/>
      <c r="B921" s="9"/>
      <c r="C921" s="9"/>
      <c r="D921" s="11"/>
      <c r="E921" s="11"/>
      <c r="F921" s="12"/>
      <c r="G921" s="13" t="str">
        <f aca="false">IF(F921&lt;&gt;"",F921,IF(OR(D921="",E921=""),"",ROUND(MOD(E921-D921,1)*1440,0)))</f>
        <v/>
      </c>
      <c r="H921" s="9"/>
      <c r="I921" s="14" t="str">
        <f aca="false">IF(H921="","",IFERROR(INDEX(Setup!$E$5:$E$34,MATCH(H921,Setup!$D$5:$D$34,0)),"Not in Setup"))</f>
        <v/>
      </c>
      <c r="J921" s="9"/>
    </row>
    <row r="922" customFormat="false" ht="15" hidden="false" customHeight="false" outlineLevel="0" collapsed="false">
      <c r="A922" s="10"/>
      <c r="B922" s="9"/>
      <c r="C922" s="9"/>
      <c r="D922" s="11"/>
      <c r="E922" s="11"/>
      <c r="F922" s="12"/>
      <c r="G922" s="13" t="str">
        <f aca="false">IF(F922&lt;&gt;"",F922,IF(OR(D922="",E922=""),"",ROUND(MOD(E922-D922,1)*1440,0)))</f>
        <v/>
      </c>
      <c r="H922" s="9"/>
      <c r="I922" s="14" t="str">
        <f aca="false">IF(H922="","",IFERROR(INDEX(Setup!$E$5:$E$34,MATCH(H922,Setup!$D$5:$D$34,0)),"Not in Setup"))</f>
        <v/>
      </c>
      <c r="J922" s="9"/>
    </row>
    <row r="923" customFormat="false" ht="15" hidden="false" customHeight="false" outlineLevel="0" collapsed="false">
      <c r="A923" s="10"/>
      <c r="B923" s="9"/>
      <c r="C923" s="9"/>
      <c r="D923" s="11"/>
      <c r="E923" s="11"/>
      <c r="F923" s="12"/>
      <c r="G923" s="13" t="str">
        <f aca="false">IF(F923&lt;&gt;"",F923,IF(OR(D923="",E923=""),"",ROUND(MOD(E923-D923,1)*1440,0)))</f>
        <v/>
      </c>
      <c r="H923" s="9"/>
      <c r="I923" s="14" t="str">
        <f aca="false">IF(H923="","",IFERROR(INDEX(Setup!$E$5:$E$34,MATCH(H923,Setup!$D$5:$D$34,0)),"Not in Setup"))</f>
        <v/>
      </c>
      <c r="J923" s="9"/>
    </row>
    <row r="924" customFormat="false" ht="15" hidden="false" customHeight="false" outlineLevel="0" collapsed="false">
      <c r="A924" s="10"/>
      <c r="B924" s="9"/>
      <c r="C924" s="9"/>
      <c r="D924" s="11"/>
      <c r="E924" s="11"/>
      <c r="F924" s="12"/>
      <c r="G924" s="13" t="str">
        <f aca="false">IF(F924&lt;&gt;"",F924,IF(OR(D924="",E924=""),"",ROUND(MOD(E924-D924,1)*1440,0)))</f>
        <v/>
      </c>
      <c r="H924" s="9"/>
      <c r="I924" s="14" t="str">
        <f aca="false">IF(H924="","",IFERROR(INDEX(Setup!$E$5:$E$34,MATCH(H924,Setup!$D$5:$D$34,0)),"Not in Setup"))</f>
        <v/>
      </c>
      <c r="J924" s="9"/>
    </row>
    <row r="925" customFormat="false" ht="15" hidden="false" customHeight="false" outlineLevel="0" collapsed="false">
      <c r="A925" s="10"/>
      <c r="B925" s="9"/>
      <c r="C925" s="9"/>
      <c r="D925" s="11"/>
      <c r="E925" s="11"/>
      <c r="F925" s="12"/>
      <c r="G925" s="13" t="str">
        <f aca="false">IF(F925&lt;&gt;"",F925,IF(OR(D925="",E925=""),"",ROUND(MOD(E925-D925,1)*1440,0)))</f>
        <v/>
      </c>
      <c r="H925" s="9"/>
      <c r="I925" s="14" t="str">
        <f aca="false">IF(H925="","",IFERROR(INDEX(Setup!$E$5:$E$34,MATCH(H925,Setup!$D$5:$D$34,0)),"Not in Setup"))</f>
        <v/>
      </c>
      <c r="J925" s="9"/>
    </row>
    <row r="926" customFormat="false" ht="15" hidden="false" customHeight="false" outlineLevel="0" collapsed="false">
      <c r="A926" s="10"/>
      <c r="B926" s="9"/>
      <c r="C926" s="9"/>
      <c r="D926" s="11"/>
      <c r="E926" s="11"/>
      <c r="F926" s="12"/>
      <c r="G926" s="13" t="str">
        <f aca="false">IF(F926&lt;&gt;"",F926,IF(OR(D926="",E926=""),"",ROUND(MOD(E926-D926,1)*1440,0)))</f>
        <v/>
      </c>
      <c r="H926" s="9"/>
      <c r="I926" s="14" t="str">
        <f aca="false">IF(H926="","",IFERROR(INDEX(Setup!$E$5:$E$34,MATCH(H926,Setup!$D$5:$D$34,0)),"Not in Setup"))</f>
        <v/>
      </c>
      <c r="J926" s="9"/>
    </row>
    <row r="927" customFormat="false" ht="15" hidden="false" customHeight="false" outlineLevel="0" collapsed="false">
      <c r="A927" s="10"/>
      <c r="B927" s="9"/>
      <c r="C927" s="9"/>
      <c r="D927" s="11"/>
      <c r="E927" s="11"/>
      <c r="F927" s="12"/>
      <c r="G927" s="13" t="str">
        <f aca="false">IF(F927&lt;&gt;"",F927,IF(OR(D927="",E927=""),"",ROUND(MOD(E927-D927,1)*1440,0)))</f>
        <v/>
      </c>
      <c r="H927" s="9"/>
      <c r="I927" s="14" t="str">
        <f aca="false">IF(H927="","",IFERROR(INDEX(Setup!$E$5:$E$34,MATCH(H927,Setup!$D$5:$D$34,0)),"Not in Setup"))</f>
        <v/>
      </c>
      <c r="J927" s="9"/>
    </row>
    <row r="928" customFormat="false" ht="15" hidden="false" customHeight="false" outlineLevel="0" collapsed="false">
      <c r="A928" s="10"/>
      <c r="B928" s="9"/>
      <c r="C928" s="9"/>
      <c r="D928" s="11"/>
      <c r="E928" s="11"/>
      <c r="F928" s="12"/>
      <c r="G928" s="13" t="str">
        <f aca="false">IF(F928&lt;&gt;"",F928,IF(OR(D928="",E928=""),"",ROUND(MOD(E928-D928,1)*1440,0)))</f>
        <v/>
      </c>
      <c r="H928" s="9"/>
      <c r="I928" s="14" t="str">
        <f aca="false">IF(H928="","",IFERROR(INDEX(Setup!$E$5:$E$34,MATCH(H928,Setup!$D$5:$D$34,0)),"Not in Setup"))</f>
        <v/>
      </c>
      <c r="J928" s="9"/>
    </row>
    <row r="929" customFormat="false" ht="15" hidden="false" customHeight="false" outlineLevel="0" collapsed="false">
      <c r="A929" s="10"/>
      <c r="B929" s="9"/>
      <c r="C929" s="9"/>
      <c r="D929" s="11"/>
      <c r="E929" s="11"/>
      <c r="F929" s="12"/>
      <c r="G929" s="13" t="str">
        <f aca="false">IF(F929&lt;&gt;"",F929,IF(OR(D929="",E929=""),"",ROUND(MOD(E929-D929,1)*1440,0)))</f>
        <v/>
      </c>
      <c r="H929" s="9"/>
      <c r="I929" s="14" t="str">
        <f aca="false">IF(H929="","",IFERROR(INDEX(Setup!$E$5:$E$34,MATCH(H929,Setup!$D$5:$D$34,0)),"Not in Setup"))</f>
        <v/>
      </c>
      <c r="J929" s="9"/>
    </row>
    <row r="930" customFormat="false" ht="15" hidden="false" customHeight="false" outlineLevel="0" collapsed="false">
      <c r="A930" s="10"/>
      <c r="B930" s="9"/>
      <c r="C930" s="9"/>
      <c r="D930" s="11"/>
      <c r="E930" s="11"/>
      <c r="F930" s="12"/>
      <c r="G930" s="13" t="str">
        <f aca="false">IF(F930&lt;&gt;"",F930,IF(OR(D930="",E930=""),"",ROUND(MOD(E930-D930,1)*1440,0)))</f>
        <v/>
      </c>
      <c r="H930" s="9"/>
      <c r="I930" s="14" t="str">
        <f aca="false">IF(H930="","",IFERROR(INDEX(Setup!$E$5:$E$34,MATCH(H930,Setup!$D$5:$D$34,0)),"Not in Setup"))</f>
        <v/>
      </c>
      <c r="J930" s="9"/>
    </row>
    <row r="931" customFormat="false" ht="15" hidden="false" customHeight="false" outlineLevel="0" collapsed="false">
      <c r="A931" s="10"/>
      <c r="B931" s="9"/>
      <c r="C931" s="9"/>
      <c r="D931" s="11"/>
      <c r="E931" s="11"/>
      <c r="F931" s="12"/>
      <c r="G931" s="13" t="str">
        <f aca="false">IF(F931&lt;&gt;"",F931,IF(OR(D931="",E931=""),"",ROUND(MOD(E931-D931,1)*1440,0)))</f>
        <v/>
      </c>
      <c r="H931" s="9"/>
      <c r="I931" s="14" t="str">
        <f aca="false">IF(H931="","",IFERROR(INDEX(Setup!$E$5:$E$34,MATCH(H931,Setup!$D$5:$D$34,0)),"Not in Setup"))</f>
        <v/>
      </c>
      <c r="J931" s="9"/>
    </row>
    <row r="932" customFormat="false" ht="15" hidden="false" customHeight="false" outlineLevel="0" collapsed="false">
      <c r="A932" s="10"/>
      <c r="B932" s="9"/>
      <c r="C932" s="9"/>
      <c r="D932" s="11"/>
      <c r="E932" s="11"/>
      <c r="F932" s="12"/>
      <c r="G932" s="13" t="str">
        <f aca="false">IF(F932&lt;&gt;"",F932,IF(OR(D932="",E932=""),"",ROUND(MOD(E932-D932,1)*1440,0)))</f>
        <v/>
      </c>
      <c r="H932" s="9"/>
      <c r="I932" s="14" t="str">
        <f aca="false">IF(H932="","",IFERROR(INDEX(Setup!$E$5:$E$34,MATCH(H932,Setup!$D$5:$D$34,0)),"Not in Setup"))</f>
        <v/>
      </c>
      <c r="J932" s="9"/>
    </row>
    <row r="933" customFormat="false" ht="15" hidden="false" customHeight="false" outlineLevel="0" collapsed="false">
      <c r="A933" s="10"/>
      <c r="B933" s="9"/>
      <c r="C933" s="9"/>
      <c r="D933" s="11"/>
      <c r="E933" s="11"/>
      <c r="F933" s="12"/>
      <c r="G933" s="13" t="str">
        <f aca="false">IF(F933&lt;&gt;"",F933,IF(OR(D933="",E933=""),"",ROUND(MOD(E933-D933,1)*1440,0)))</f>
        <v/>
      </c>
      <c r="H933" s="9"/>
      <c r="I933" s="14" t="str">
        <f aca="false">IF(H933="","",IFERROR(INDEX(Setup!$E$5:$E$34,MATCH(H933,Setup!$D$5:$D$34,0)),"Not in Setup"))</f>
        <v/>
      </c>
      <c r="J933" s="9"/>
    </row>
    <row r="934" customFormat="false" ht="15" hidden="false" customHeight="false" outlineLevel="0" collapsed="false">
      <c r="A934" s="10"/>
      <c r="B934" s="9"/>
      <c r="C934" s="9"/>
      <c r="D934" s="11"/>
      <c r="E934" s="11"/>
      <c r="F934" s="12"/>
      <c r="G934" s="13" t="str">
        <f aca="false">IF(F934&lt;&gt;"",F934,IF(OR(D934="",E934=""),"",ROUND(MOD(E934-D934,1)*1440,0)))</f>
        <v/>
      </c>
      <c r="H934" s="9"/>
      <c r="I934" s="14" t="str">
        <f aca="false">IF(H934="","",IFERROR(INDEX(Setup!$E$5:$E$34,MATCH(H934,Setup!$D$5:$D$34,0)),"Not in Setup"))</f>
        <v/>
      </c>
      <c r="J934" s="9"/>
    </row>
    <row r="935" customFormat="false" ht="15" hidden="false" customHeight="false" outlineLevel="0" collapsed="false">
      <c r="A935" s="10"/>
      <c r="B935" s="9"/>
      <c r="C935" s="9"/>
      <c r="D935" s="11"/>
      <c r="E935" s="11"/>
      <c r="F935" s="12"/>
      <c r="G935" s="13" t="str">
        <f aca="false">IF(F935&lt;&gt;"",F935,IF(OR(D935="",E935=""),"",ROUND(MOD(E935-D935,1)*1440,0)))</f>
        <v/>
      </c>
      <c r="H935" s="9"/>
      <c r="I935" s="14" t="str">
        <f aca="false">IF(H935="","",IFERROR(INDEX(Setup!$E$5:$E$34,MATCH(H935,Setup!$D$5:$D$34,0)),"Not in Setup"))</f>
        <v/>
      </c>
      <c r="J935" s="9"/>
    </row>
    <row r="936" customFormat="false" ht="15" hidden="false" customHeight="false" outlineLevel="0" collapsed="false">
      <c r="A936" s="10"/>
      <c r="B936" s="9"/>
      <c r="C936" s="9"/>
      <c r="D936" s="11"/>
      <c r="E936" s="11"/>
      <c r="F936" s="12"/>
      <c r="G936" s="13" t="str">
        <f aca="false">IF(F936&lt;&gt;"",F936,IF(OR(D936="",E936=""),"",ROUND(MOD(E936-D936,1)*1440,0)))</f>
        <v/>
      </c>
      <c r="H936" s="9"/>
      <c r="I936" s="14" t="str">
        <f aca="false">IF(H936="","",IFERROR(INDEX(Setup!$E$5:$E$34,MATCH(H936,Setup!$D$5:$D$34,0)),"Not in Setup"))</f>
        <v/>
      </c>
      <c r="J936" s="9"/>
    </row>
    <row r="937" customFormat="false" ht="15" hidden="false" customHeight="false" outlineLevel="0" collapsed="false">
      <c r="A937" s="10"/>
      <c r="B937" s="9"/>
      <c r="C937" s="9"/>
      <c r="D937" s="11"/>
      <c r="E937" s="11"/>
      <c r="F937" s="12"/>
      <c r="G937" s="13" t="str">
        <f aca="false">IF(F937&lt;&gt;"",F937,IF(OR(D937="",E937=""),"",ROUND(MOD(E937-D937,1)*1440,0)))</f>
        <v/>
      </c>
      <c r="H937" s="9"/>
      <c r="I937" s="14" t="str">
        <f aca="false">IF(H937="","",IFERROR(INDEX(Setup!$E$5:$E$34,MATCH(H937,Setup!$D$5:$D$34,0)),"Not in Setup"))</f>
        <v/>
      </c>
      <c r="J937" s="9"/>
    </row>
    <row r="938" customFormat="false" ht="15" hidden="false" customHeight="false" outlineLevel="0" collapsed="false">
      <c r="A938" s="10"/>
      <c r="B938" s="9"/>
      <c r="C938" s="9"/>
      <c r="D938" s="11"/>
      <c r="E938" s="11"/>
      <c r="F938" s="12"/>
      <c r="G938" s="13" t="str">
        <f aca="false">IF(F938&lt;&gt;"",F938,IF(OR(D938="",E938=""),"",ROUND(MOD(E938-D938,1)*1440,0)))</f>
        <v/>
      </c>
      <c r="H938" s="9"/>
      <c r="I938" s="14" t="str">
        <f aca="false">IF(H938="","",IFERROR(INDEX(Setup!$E$5:$E$34,MATCH(H938,Setup!$D$5:$D$34,0)),"Not in Setup"))</f>
        <v/>
      </c>
      <c r="J938" s="9"/>
    </row>
    <row r="939" customFormat="false" ht="15" hidden="false" customHeight="false" outlineLevel="0" collapsed="false">
      <c r="A939" s="10"/>
      <c r="B939" s="9"/>
      <c r="C939" s="9"/>
      <c r="D939" s="11"/>
      <c r="E939" s="11"/>
      <c r="F939" s="12"/>
      <c r="G939" s="13" t="str">
        <f aca="false">IF(F939&lt;&gt;"",F939,IF(OR(D939="",E939=""),"",ROUND(MOD(E939-D939,1)*1440,0)))</f>
        <v/>
      </c>
      <c r="H939" s="9"/>
      <c r="I939" s="14" t="str">
        <f aca="false">IF(H939="","",IFERROR(INDEX(Setup!$E$5:$E$34,MATCH(H939,Setup!$D$5:$D$34,0)),"Not in Setup"))</f>
        <v/>
      </c>
      <c r="J939" s="9"/>
    </row>
    <row r="940" customFormat="false" ht="15" hidden="false" customHeight="false" outlineLevel="0" collapsed="false">
      <c r="A940" s="10"/>
      <c r="B940" s="9"/>
      <c r="C940" s="9"/>
      <c r="D940" s="11"/>
      <c r="E940" s="11"/>
      <c r="F940" s="12"/>
      <c r="G940" s="13" t="str">
        <f aca="false">IF(F940&lt;&gt;"",F940,IF(OR(D940="",E940=""),"",ROUND(MOD(E940-D940,1)*1440,0)))</f>
        <v/>
      </c>
      <c r="H940" s="9"/>
      <c r="I940" s="14" t="str">
        <f aca="false">IF(H940="","",IFERROR(INDEX(Setup!$E$5:$E$34,MATCH(H940,Setup!$D$5:$D$34,0)),"Not in Setup"))</f>
        <v/>
      </c>
      <c r="J940" s="9"/>
    </row>
    <row r="941" customFormat="false" ht="15" hidden="false" customHeight="false" outlineLevel="0" collapsed="false">
      <c r="A941" s="10"/>
      <c r="B941" s="9"/>
      <c r="C941" s="9"/>
      <c r="D941" s="11"/>
      <c r="E941" s="11"/>
      <c r="F941" s="12"/>
      <c r="G941" s="13" t="str">
        <f aca="false">IF(F941&lt;&gt;"",F941,IF(OR(D941="",E941=""),"",ROUND(MOD(E941-D941,1)*1440,0)))</f>
        <v/>
      </c>
      <c r="H941" s="9"/>
      <c r="I941" s="14" t="str">
        <f aca="false">IF(H941="","",IFERROR(INDEX(Setup!$E$5:$E$34,MATCH(H941,Setup!$D$5:$D$34,0)),"Not in Setup"))</f>
        <v/>
      </c>
      <c r="J941" s="9"/>
    </row>
    <row r="942" customFormat="false" ht="15" hidden="false" customHeight="false" outlineLevel="0" collapsed="false">
      <c r="A942" s="10"/>
      <c r="B942" s="9"/>
      <c r="C942" s="9"/>
      <c r="D942" s="11"/>
      <c r="E942" s="11"/>
      <c r="F942" s="12"/>
      <c r="G942" s="13" t="str">
        <f aca="false">IF(F942&lt;&gt;"",F942,IF(OR(D942="",E942=""),"",ROUND(MOD(E942-D942,1)*1440,0)))</f>
        <v/>
      </c>
      <c r="H942" s="9"/>
      <c r="I942" s="14" t="str">
        <f aca="false">IF(H942="","",IFERROR(INDEX(Setup!$E$5:$E$34,MATCH(H942,Setup!$D$5:$D$34,0)),"Not in Setup"))</f>
        <v/>
      </c>
      <c r="J942" s="9"/>
    </row>
    <row r="943" customFormat="false" ht="15" hidden="false" customHeight="false" outlineLevel="0" collapsed="false">
      <c r="A943" s="10"/>
      <c r="B943" s="9"/>
      <c r="C943" s="9"/>
      <c r="D943" s="11"/>
      <c r="E943" s="11"/>
      <c r="F943" s="12"/>
      <c r="G943" s="13" t="str">
        <f aca="false">IF(F943&lt;&gt;"",F943,IF(OR(D943="",E943=""),"",ROUND(MOD(E943-D943,1)*1440,0)))</f>
        <v/>
      </c>
      <c r="H943" s="9"/>
      <c r="I943" s="14" t="str">
        <f aca="false">IF(H943="","",IFERROR(INDEX(Setup!$E$5:$E$34,MATCH(H943,Setup!$D$5:$D$34,0)),"Not in Setup"))</f>
        <v/>
      </c>
      <c r="J943" s="9"/>
    </row>
    <row r="944" customFormat="false" ht="15" hidden="false" customHeight="false" outlineLevel="0" collapsed="false">
      <c r="A944" s="10"/>
      <c r="B944" s="9"/>
      <c r="C944" s="9"/>
      <c r="D944" s="11"/>
      <c r="E944" s="11"/>
      <c r="F944" s="12"/>
      <c r="G944" s="13" t="str">
        <f aca="false">IF(F944&lt;&gt;"",F944,IF(OR(D944="",E944=""),"",ROUND(MOD(E944-D944,1)*1440,0)))</f>
        <v/>
      </c>
      <c r="H944" s="9"/>
      <c r="I944" s="14" t="str">
        <f aca="false">IF(H944="","",IFERROR(INDEX(Setup!$E$5:$E$34,MATCH(H944,Setup!$D$5:$D$34,0)),"Not in Setup"))</f>
        <v/>
      </c>
      <c r="J944" s="9"/>
    </row>
    <row r="945" customFormat="false" ht="15" hidden="false" customHeight="false" outlineLevel="0" collapsed="false">
      <c r="A945" s="10"/>
      <c r="B945" s="9"/>
      <c r="C945" s="9"/>
      <c r="D945" s="11"/>
      <c r="E945" s="11"/>
      <c r="F945" s="12"/>
      <c r="G945" s="13" t="str">
        <f aca="false">IF(F945&lt;&gt;"",F945,IF(OR(D945="",E945=""),"",ROUND(MOD(E945-D945,1)*1440,0)))</f>
        <v/>
      </c>
      <c r="H945" s="9"/>
      <c r="I945" s="14" t="str">
        <f aca="false">IF(H945="","",IFERROR(INDEX(Setup!$E$5:$E$34,MATCH(H945,Setup!$D$5:$D$34,0)),"Not in Setup"))</f>
        <v/>
      </c>
      <c r="J945" s="9"/>
    </row>
    <row r="946" customFormat="false" ht="15" hidden="false" customHeight="false" outlineLevel="0" collapsed="false">
      <c r="A946" s="10"/>
      <c r="B946" s="9"/>
      <c r="C946" s="9"/>
      <c r="D946" s="11"/>
      <c r="E946" s="11"/>
      <c r="F946" s="12"/>
      <c r="G946" s="13" t="str">
        <f aca="false">IF(F946&lt;&gt;"",F946,IF(OR(D946="",E946=""),"",ROUND(MOD(E946-D946,1)*1440,0)))</f>
        <v/>
      </c>
      <c r="H946" s="9"/>
      <c r="I946" s="14" t="str">
        <f aca="false">IF(H946="","",IFERROR(INDEX(Setup!$E$5:$E$34,MATCH(H946,Setup!$D$5:$D$34,0)),"Not in Setup"))</f>
        <v/>
      </c>
      <c r="J946" s="9"/>
    </row>
    <row r="947" customFormat="false" ht="15" hidden="false" customHeight="false" outlineLevel="0" collapsed="false">
      <c r="A947" s="10"/>
      <c r="B947" s="9"/>
      <c r="C947" s="9"/>
      <c r="D947" s="11"/>
      <c r="E947" s="11"/>
      <c r="F947" s="12"/>
      <c r="G947" s="13" t="str">
        <f aca="false">IF(F947&lt;&gt;"",F947,IF(OR(D947="",E947=""),"",ROUND(MOD(E947-D947,1)*1440,0)))</f>
        <v/>
      </c>
      <c r="H947" s="9"/>
      <c r="I947" s="14" t="str">
        <f aca="false">IF(H947="","",IFERROR(INDEX(Setup!$E$5:$E$34,MATCH(H947,Setup!$D$5:$D$34,0)),"Not in Setup"))</f>
        <v/>
      </c>
      <c r="J947" s="9"/>
    </row>
    <row r="948" customFormat="false" ht="15" hidden="false" customHeight="false" outlineLevel="0" collapsed="false">
      <c r="A948" s="10"/>
      <c r="B948" s="9"/>
      <c r="C948" s="9"/>
      <c r="D948" s="11"/>
      <c r="E948" s="11"/>
      <c r="F948" s="12"/>
      <c r="G948" s="13" t="str">
        <f aca="false">IF(F948&lt;&gt;"",F948,IF(OR(D948="",E948=""),"",ROUND(MOD(E948-D948,1)*1440,0)))</f>
        <v/>
      </c>
      <c r="H948" s="9"/>
      <c r="I948" s="14" t="str">
        <f aca="false">IF(H948="","",IFERROR(INDEX(Setup!$E$5:$E$34,MATCH(H948,Setup!$D$5:$D$34,0)),"Not in Setup"))</f>
        <v/>
      </c>
      <c r="J948" s="9"/>
    </row>
    <row r="949" customFormat="false" ht="15" hidden="false" customHeight="false" outlineLevel="0" collapsed="false">
      <c r="A949" s="10"/>
      <c r="B949" s="9"/>
      <c r="C949" s="9"/>
      <c r="D949" s="11"/>
      <c r="E949" s="11"/>
      <c r="F949" s="12"/>
      <c r="G949" s="13" t="str">
        <f aca="false">IF(F949&lt;&gt;"",F949,IF(OR(D949="",E949=""),"",ROUND(MOD(E949-D949,1)*1440,0)))</f>
        <v/>
      </c>
      <c r="H949" s="9"/>
      <c r="I949" s="14" t="str">
        <f aca="false">IF(H949="","",IFERROR(INDEX(Setup!$E$5:$E$34,MATCH(H949,Setup!$D$5:$D$34,0)),"Not in Setup"))</f>
        <v/>
      </c>
      <c r="J949" s="9"/>
    </row>
    <row r="950" customFormat="false" ht="15" hidden="false" customHeight="false" outlineLevel="0" collapsed="false">
      <c r="A950" s="10"/>
      <c r="B950" s="9"/>
      <c r="C950" s="9"/>
      <c r="D950" s="11"/>
      <c r="E950" s="11"/>
      <c r="F950" s="12"/>
      <c r="G950" s="13" t="str">
        <f aca="false">IF(F950&lt;&gt;"",F950,IF(OR(D950="",E950=""),"",ROUND(MOD(E950-D950,1)*1440,0)))</f>
        <v/>
      </c>
      <c r="H950" s="9"/>
      <c r="I950" s="14" t="str">
        <f aca="false">IF(H950="","",IFERROR(INDEX(Setup!$E$5:$E$34,MATCH(H950,Setup!$D$5:$D$34,0)),"Not in Setup"))</f>
        <v/>
      </c>
      <c r="J950" s="9"/>
    </row>
    <row r="951" customFormat="false" ht="15" hidden="false" customHeight="false" outlineLevel="0" collapsed="false">
      <c r="A951" s="10"/>
      <c r="B951" s="9"/>
      <c r="C951" s="9"/>
      <c r="D951" s="11"/>
      <c r="E951" s="11"/>
      <c r="F951" s="12"/>
      <c r="G951" s="13" t="str">
        <f aca="false">IF(F951&lt;&gt;"",F951,IF(OR(D951="",E951=""),"",ROUND(MOD(E951-D951,1)*1440,0)))</f>
        <v/>
      </c>
      <c r="H951" s="9"/>
      <c r="I951" s="14" t="str">
        <f aca="false">IF(H951="","",IFERROR(INDEX(Setup!$E$5:$E$34,MATCH(H951,Setup!$D$5:$D$34,0)),"Not in Setup"))</f>
        <v/>
      </c>
      <c r="J951" s="9"/>
    </row>
    <row r="952" customFormat="false" ht="15" hidden="false" customHeight="false" outlineLevel="0" collapsed="false">
      <c r="A952" s="10"/>
      <c r="B952" s="9"/>
      <c r="C952" s="9"/>
      <c r="D952" s="11"/>
      <c r="E952" s="11"/>
      <c r="F952" s="12"/>
      <c r="G952" s="13" t="str">
        <f aca="false">IF(F952&lt;&gt;"",F952,IF(OR(D952="",E952=""),"",ROUND(MOD(E952-D952,1)*1440,0)))</f>
        <v/>
      </c>
      <c r="H952" s="9"/>
      <c r="I952" s="14" t="str">
        <f aca="false">IF(H952="","",IFERROR(INDEX(Setup!$E$5:$E$34,MATCH(H952,Setup!$D$5:$D$34,0)),"Not in Setup"))</f>
        <v/>
      </c>
      <c r="J952" s="9"/>
    </row>
    <row r="953" customFormat="false" ht="15" hidden="false" customHeight="false" outlineLevel="0" collapsed="false">
      <c r="A953" s="10"/>
      <c r="B953" s="9"/>
      <c r="C953" s="9"/>
      <c r="D953" s="11"/>
      <c r="E953" s="11"/>
      <c r="F953" s="12"/>
      <c r="G953" s="13" t="str">
        <f aca="false">IF(F953&lt;&gt;"",F953,IF(OR(D953="",E953=""),"",ROUND(MOD(E953-D953,1)*1440,0)))</f>
        <v/>
      </c>
      <c r="H953" s="9"/>
      <c r="I953" s="14" t="str">
        <f aca="false">IF(H953="","",IFERROR(INDEX(Setup!$E$5:$E$34,MATCH(H953,Setup!$D$5:$D$34,0)),"Not in Setup"))</f>
        <v/>
      </c>
      <c r="J953" s="9"/>
    </row>
    <row r="954" customFormat="false" ht="15" hidden="false" customHeight="false" outlineLevel="0" collapsed="false">
      <c r="A954" s="10"/>
      <c r="B954" s="9"/>
      <c r="C954" s="9"/>
      <c r="D954" s="11"/>
      <c r="E954" s="11"/>
      <c r="F954" s="12"/>
      <c r="G954" s="13" t="str">
        <f aca="false">IF(F954&lt;&gt;"",F954,IF(OR(D954="",E954=""),"",ROUND(MOD(E954-D954,1)*1440,0)))</f>
        <v/>
      </c>
      <c r="H954" s="9"/>
      <c r="I954" s="14" t="str">
        <f aca="false">IF(H954="","",IFERROR(INDEX(Setup!$E$5:$E$34,MATCH(H954,Setup!$D$5:$D$34,0)),"Not in Setup"))</f>
        <v/>
      </c>
      <c r="J954" s="9"/>
    </row>
    <row r="955" customFormat="false" ht="15" hidden="false" customHeight="false" outlineLevel="0" collapsed="false">
      <c r="A955" s="10"/>
      <c r="B955" s="9"/>
      <c r="C955" s="9"/>
      <c r="D955" s="11"/>
      <c r="E955" s="11"/>
      <c r="F955" s="12"/>
      <c r="G955" s="13" t="str">
        <f aca="false">IF(F955&lt;&gt;"",F955,IF(OR(D955="",E955=""),"",ROUND(MOD(E955-D955,1)*1440,0)))</f>
        <v/>
      </c>
      <c r="H955" s="9"/>
      <c r="I955" s="14" t="str">
        <f aca="false">IF(H955="","",IFERROR(INDEX(Setup!$E$5:$E$34,MATCH(H955,Setup!$D$5:$D$34,0)),"Not in Setup"))</f>
        <v/>
      </c>
      <c r="J955" s="9"/>
    </row>
    <row r="956" customFormat="false" ht="15" hidden="false" customHeight="false" outlineLevel="0" collapsed="false">
      <c r="A956" s="10"/>
      <c r="B956" s="9"/>
      <c r="C956" s="9"/>
      <c r="D956" s="11"/>
      <c r="E956" s="11"/>
      <c r="F956" s="12"/>
      <c r="G956" s="13" t="str">
        <f aca="false">IF(F956&lt;&gt;"",F956,IF(OR(D956="",E956=""),"",ROUND(MOD(E956-D956,1)*1440,0)))</f>
        <v/>
      </c>
      <c r="H956" s="9"/>
      <c r="I956" s="14" t="str">
        <f aca="false">IF(H956="","",IFERROR(INDEX(Setup!$E$5:$E$34,MATCH(H956,Setup!$D$5:$D$34,0)),"Not in Setup"))</f>
        <v/>
      </c>
      <c r="J956" s="9"/>
    </row>
    <row r="957" customFormat="false" ht="15" hidden="false" customHeight="false" outlineLevel="0" collapsed="false">
      <c r="A957" s="10"/>
      <c r="B957" s="9"/>
      <c r="C957" s="9"/>
      <c r="D957" s="11"/>
      <c r="E957" s="11"/>
      <c r="F957" s="12"/>
      <c r="G957" s="13" t="str">
        <f aca="false">IF(F957&lt;&gt;"",F957,IF(OR(D957="",E957=""),"",ROUND(MOD(E957-D957,1)*1440,0)))</f>
        <v/>
      </c>
      <c r="H957" s="9"/>
      <c r="I957" s="14" t="str">
        <f aca="false">IF(H957="","",IFERROR(INDEX(Setup!$E$5:$E$34,MATCH(H957,Setup!$D$5:$D$34,0)),"Not in Setup"))</f>
        <v/>
      </c>
      <c r="J957" s="9"/>
    </row>
    <row r="958" customFormat="false" ht="15" hidden="false" customHeight="false" outlineLevel="0" collapsed="false">
      <c r="A958" s="10"/>
      <c r="B958" s="9"/>
      <c r="C958" s="9"/>
      <c r="D958" s="11"/>
      <c r="E958" s="11"/>
      <c r="F958" s="12"/>
      <c r="G958" s="13" t="str">
        <f aca="false">IF(F958&lt;&gt;"",F958,IF(OR(D958="",E958=""),"",ROUND(MOD(E958-D958,1)*1440,0)))</f>
        <v/>
      </c>
      <c r="H958" s="9"/>
      <c r="I958" s="14" t="str">
        <f aca="false">IF(H958="","",IFERROR(INDEX(Setup!$E$5:$E$34,MATCH(H958,Setup!$D$5:$D$34,0)),"Not in Setup"))</f>
        <v/>
      </c>
      <c r="J958" s="9"/>
    </row>
    <row r="959" customFormat="false" ht="15" hidden="false" customHeight="false" outlineLevel="0" collapsed="false">
      <c r="A959" s="10"/>
      <c r="B959" s="9"/>
      <c r="C959" s="9"/>
      <c r="D959" s="11"/>
      <c r="E959" s="11"/>
      <c r="F959" s="12"/>
      <c r="G959" s="13" t="str">
        <f aca="false">IF(F959&lt;&gt;"",F959,IF(OR(D959="",E959=""),"",ROUND(MOD(E959-D959,1)*1440,0)))</f>
        <v/>
      </c>
      <c r="H959" s="9"/>
      <c r="I959" s="14" t="str">
        <f aca="false">IF(H959="","",IFERROR(INDEX(Setup!$E$5:$E$34,MATCH(H959,Setup!$D$5:$D$34,0)),"Not in Setup"))</f>
        <v/>
      </c>
      <c r="J959" s="9"/>
    </row>
    <row r="960" customFormat="false" ht="15" hidden="false" customHeight="false" outlineLevel="0" collapsed="false">
      <c r="A960" s="10"/>
      <c r="B960" s="9"/>
      <c r="C960" s="9"/>
      <c r="D960" s="11"/>
      <c r="E960" s="11"/>
      <c r="F960" s="12"/>
      <c r="G960" s="13" t="str">
        <f aca="false">IF(F960&lt;&gt;"",F960,IF(OR(D960="",E960=""),"",ROUND(MOD(E960-D960,1)*1440,0)))</f>
        <v/>
      </c>
      <c r="H960" s="9"/>
      <c r="I960" s="14" t="str">
        <f aca="false">IF(H960="","",IFERROR(INDEX(Setup!$E$5:$E$34,MATCH(H960,Setup!$D$5:$D$34,0)),"Not in Setup"))</f>
        <v/>
      </c>
      <c r="J960" s="9"/>
    </row>
    <row r="961" customFormat="false" ht="15" hidden="false" customHeight="false" outlineLevel="0" collapsed="false">
      <c r="A961" s="10"/>
      <c r="B961" s="9"/>
      <c r="C961" s="9"/>
      <c r="D961" s="11"/>
      <c r="E961" s="11"/>
      <c r="F961" s="12"/>
      <c r="G961" s="13" t="str">
        <f aca="false">IF(F961&lt;&gt;"",F961,IF(OR(D961="",E961=""),"",ROUND(MOD(E961-D961,1)*1440,0)))</f>
        <v/>
      </c>
      <c r="H961" s="9"/>
      <c r="I961" s="14" t="str">
        <f aca="false">IF(H961="","",IFERROR(INDEX(Setup!$E$5:$E$34,MATCH(H961,Setup!$D$5:$D$34,0)),"Not in Setup"))</f>
        <v/>
      </c>
      <c r="J961" s="9"/>
    </row>
    <row r="962" customFormat="false" ht="15" hidden="false" customHeight="false" outlineLevel="0" collapsed="false">
      <c r="A962" s="10"/>
      <c r="B962" s="9"/>
      <c r="C962" s="9"/>
      <c r="D962" s="11"/>
      <c r="E962" s="11"/>
      <c r="F962" s="12"/>
      <c r="G962" s="13" t="str">
        <f aca="false">IF(F962&lt;&gt;"",F962,IF(OR(D962="",E962=""),"",ROUND(MOD(E962-D962,1)*1440,0)))</f>
        <v/>
      </c>
      <c r="H962" s="9"/>
      <c r="I962" s="14" t="str">
        <f aca="false">IF(H962="","",IFERROR(INDEX(Setup!$E$5:$E$34,MATCH(H962,Setup!$D$5:$D$34,0)),"Not in Setup"))</f>
        <v/>
      </c>
      <c r="J962" s="9"/>
    </row>
    <row r="963" customFormat="false" ht="15" hidden="false" customHeight="false" outlineLevel="0" collapsed="false">
      <c r="A963" s="10"/>
      <c r="B963" s="9"/>
      <c r="C963" s="9"/>
      <c r="D963" s="11"/>
      <c r="E963" s="11"/>
      <c r="F963" s="12"/>
      <c r="G963" s="13" t="str">
        <f aca="false">IF(F963&lt;&gt;"",F963,IF(OR(D963="",E963=""),"",ROUND(MOD(E963-D963,1)*1440,0)))</f>
        <v/>
      </c>
      <c r="H963" s="9"/>
      <c r="I963" s="14" t="str">
        <f aca="false">IF(H963="","",IFERROR(INDEX(Setup!$E$5:$E$34,MATCH(H963,Setup!$D$5:$D$34,0)),"Not in Setup"))</f>
        <v/>
      </c>
      <c r="J963" s="9"/>
    </row>
    <row r="964" customFormat="false" ht="15" hidden="false" customHeight="false" outlineLevel="0" collapsed="false">
      <c r="A964" s="10"/>
      <c r="B964" s="9"/>
      <c r="C964" s="9"/>
      <c r="D964" s="11"/>
      <c r="E964" s="11"/>
      <c r="F964" s="12"/>
      <c r="G964" s="13" t="str">
        <f aca="false">IF(F964&lt;&gt;"",F964,IF(OR(D964="",E964=""),"",ROUND(MOD(E964-D964,1)*1440,0)))</f>
        <v/>
      </c>
      <c r="H964" s="9"/>
      <c r="I964" s="14" t="str">
        <f aca="false">IF(H964="","",IFERROR(INDEX(Setup!$E$5:$E$34,MATCH(H964,Setup!$D$5:$D$34,0)),"Not in Setup"))</f>
        <v/>
      </c>
      <c r="J964" s="9"/>
    </row>
    <row r="965" customFormat="false" ht="15" hidden="false" customHeight="false" outlineLevel="0" collapsed="false">
      <c r="A965" s="10"/>
      <c r="B965" s="9"/>
      <c r="C965" s="9"/>
      <c r="D965" s="11"/>
      <c r="E965" s="11"/>
      <c r="F965" s="12"/>
      <c r="G965" s="13" t="str">
        <f aca="false">IF(F965&lt;&gt;"",F965,IF(OR(D965="",E965=""),"",ROUND(MOD(E965-D965,1)*1440,0)))</f>
        <v/>
      </c>
      <c r="H965" s="9"/>
      <c r="I965" s="14" t="str">
        <f aca="false">IF(H965="","",IFERROR(INDEX(Setup!$E$5:$E$34,MATCH(H965,Setup!$D$5:$D$34,0)),"Not in Setup"))</f>
        <v/>
      </c>
      <c r="J965" s="9"/>
    </row>
    <row r="966" customFormat="false" ht="15" hidden="false" customHeight="false" outlineLevel="0" collapsed="false">
      <c r="A966" s="10"/>
      <c r="B966" s="9"/>
      <c r="C966" s="9"/>
      <c r="D966" s="11"/>
      <c r="E966" s="11"/>
      <c r="F966" s="12"/>
      <c r="G966" s="13" t="str">
        <f aca="false">IF(F966&lt;&gt;"",F966,IF(OR(D966="",E966=""),"",ROUND(MOD(E966-D966,1)*1440,0)))</f>
        <v/>
      </c>
      <c r="H966" s="9"/>
      <c r="I966" s="14" t="str">
        <f aca="false">IF(H966="","",IFERROR(INDEX(Setup!$E$5:$E$34,MATCH(H966,Setup!$D$5:$D$34,0)),"Not in Setup"))</f>
        <v/>
      </c>
      <c r="J966" s="9"/>
    </row>
    <row r="967" customFormat="false" ht="15" hidden="false" customHeight="false" outlineLevel="0" collapsed="false">
      <c r="A967" s="10"/>
      <c r="B967" s="9"/>
      <c r="C967" s="9"/>
      <c r="D967" s="11"/>
      <c r="E967" s="11"/>
      <c r="F967" s="12"/>
      <c r="G967" s="13" t="str">
        <f aca="false">IF(F967&lt;&gt;"",F967,IF(OR(D967="",E967=""),"",ROUND(MOD(E967-D967,1)*1440,0)))</f>
        <v/>
      </c>
      <c r="H967" s="9"/>
      <c r="I967" s="14" t="str">
        <f aca="false">IF(H967="","",IFERROR(INDEX(Setup!$E$5:$E$34,MATCH(H967,Setup!$D$5:$D$34,0)),"Not in Setup"))</f>
        <v/>
      </c>
      <c r="J967" s="9"/>
    </row>
    <row r="968" customFormat="false" ht="15" hidden="false" customHeight="false" outlineLevel="0" collapsed="false">
      <c r="A968" s="10"/>
      <c r="B968" s="9"/>
      <c r="C968" s="9"/>
      <c r="D968" s="11"/>
      <c r="E968" s="11"/>
      <c r="F968" s="12"/>
      <c r="G968" s="13" t="str">
        <f aca="false">IF(F968&lt;&gt;"",F968,IF(OR(D968="",E968=""),"",ROUND(MOD(E968-D968,1)*1440,0)))</f>
        <v/>
      </c>
      <c r="H968" s="9"/>
      <c r="I968" s="14" t="str">
        <f aca="false">IF(H968="","",IFERROR(INDEX(Setup!$E$5:$E$34,MATCH(H968,Setup!$D$5:$D$34,0)),"Not in Setup"))</f>
        <v/>
      </c>
      <c r="J968" s="9"/>
    </row>
    <row r="969" customFormat="false" ht="15" hidden="false" customHeight="false" outlineLevel="0" collapsed="false">
      <c r="A969" s="10"/>
      <c r="B969" s="9"/>
      <c r="C969" s="9"/>
      <c r="D969" s="11"/>
      <c r="E969" s="11"/>
      <c r="F969" s="12"/>
      <c r="G969" s="13" t="str">
        <f aca="false">IF(F969&lt;&gt;"",F969,IF(OR(D969="",E969=""),"",ROUND(MOD(E969-D969,1)*1440,0)))</f>
        <v/>
      </c>
      <c r="H969" s="9"/>
      <c r="I969" s="14" t="str">
        <f aca="false">IF(H969="","",IFERROR(INDEX(Setup!$E$5:$E$34,MATCH(H969,Setup!$D$5:$D$34,0)),"Not in Setup"))</f>
        <v/>
      </c>
      <c r="J969" s="9"/>
    </row>
    <row r="970" customFormat="false" ht="15" hidden="false" customHeight="false" outlineLevel="0" collapsed="false">
      <c r="A970" s="10"/>
      <c r="B970" s="9"/>
      <c r="C970" s="9"/>
      <c r="D970" s="11"/>
      <c r="E970" s="11"/>
      <c r="F970" s="12"/>
      <c r="G970" s="13" t="str">
        <f aca="false">IF(F970&lt;&gt;"",F970,IF(OR(D970="",E970=""),"",ROUND(MOD(E970-D970,1)*1440,0)))</f>
        <v/>
      </c>
      <c r="H970" s="9"/>
      <c r="I970" s="14" t="str">
        <f aca="false">IF(H970="","",IFERROR(INDEX(Setup!$E$5:$E$34,MATCH(H970,Setup!$D$5:$D$34,0)),"Not in Setup"))</f>
        <v/>
      </c>
      <c r="J970" s="9"/>
    </row>
    <row r="971" customFormat="false" ht="15" hidden="false" customHeight="false" outlineLevel="0" collapsed="false">
      <c r="A971" s="10"/>
      <c r="B971" s="9"/>
      <c r="C971" s="9"/>
      <c r="D971" s="11"/>
      <c r="E971" s="11"/>
      <c r="F971" s="12"/>
      <c r="G971" s="13" t="str">
        <f aca="false">IF(F971&lt;&gt;"",F971,IF(OR(D971="",E971=""),"",ROUND(MOD(E971-D971,1)*1440,0)))</f>
        <v/>
      </c>
      <c r="H971" s="9"/>
      <c r="I971" s="14" t="str">
        <f aca="false">IF(H971="","",IFERROR(INDEX(Setup!$E$5:$E$34,MATCH(H971,Setup!$D$5:$D$34,0)),"Not in Setup"))</f>
        <v/>
      </c>
      <c r="J971" s="9"/>
    </row>
    <row r="972" customFormat="false" ht="15" hidden="false" customHeight="false" outlineLevel="0" collapsed="false">
      <c r="A972" s="10"/>
      <c r="B972" s="9"/>
      <c r="C972" s="9"/>
      <c r="D972" s="11"/>
      <c r="E972" s="11"/>
      <c r="F972" s="12"/>
      <c r="G972" s="13" t="str">
        <f aca="false">IF(F972&lt;&gt;"",F972,IF(OR(D972="",E972=""),"",ROUND(MOD(E972-D972,1)*1440,0)))</f>
        <v/>
      </c>
      <c r="H972" s="9"/>
      <c r="I972" s="14" t="str">
        <f aca="false">IF(H972="","",IFERROR(INDEX(Setup!$E$5:$E$34,MATCH(H972,Setup!$D$5:$D$34,0)),"Not in Setup"))</f>
        <v/>
      </c>
      <c r="J972" s="9"/>
    </row>
    <row r="973" customFormat="false" ht="15" hidden="false" customHeight="false" outlineLevel="0" collapsed="false">
      <c r="A973" s="10"/>
      <c r="B973" s="9"/>
      <c r="C973" s="9"/>
      <c r="D973" s="11"/>
      <c r="E973" s="11"/>
      <c r="F973" s="12"/>
      <c r="G973" s="13" t="str">
        <f aca="false">IF(F973&lt;&gt;"",F973,IF(OR(D973="",E973=""),"",ROUND(MOD(E973-D973,1)*1440,0)))</f>
        <v/>
      </c>
      <c r="H973" s="9"/>
      <c r="I973" s="14" t="str">
        <f aca="false">IF(H973="","",IFERROR(INDEX(Setup!$E$5:$E$34,MATCH(H973,Setup!$D$5:$D$34,0)),"Not in Setup"))</f>
        <v/>
      </c>
      <c r="J973" s="9"/>
    </row>
    <row r="974" customFormat="false" ht="15" hidden="false" customHeight="false" outlineLevel="0" collapsed="false">
      <c r="A974" s="10"/>
      <c r="B974" s="9"/>
      <c r="C974" s="9"/>
      <c r="D974" s="11"/>
      <c r="E974" s="11"/>
      <c r="F974" s="12"/>
      <c r="G974" s="13" t="str">
        <f aca="false">IF(F974&lt;&gt;"",F974,IF(OR(D974="",E974=""),"",ROUND(MOD(E974-D974,1)*1440,0)))</f>
        <v/>
      </c>
      <c r="H974" s="9"/>
      <c r="I974" s="14" t="str">
        <f aca="false">IF(H974="","",IFERROR(INDEX(Setup!$E$5:$E$34,MATCH(H974,Setup!$D$5:$D$34,0)),"Not in Setup"))</f>
        <v/>
      </c>
      <c r="J974" s="9"/>
    </row>
    <row r="975" customFormat="false" ht="15" hidden="false" customHeight="false" outlineLevel="0" collapsed="false">
      <c r="A975" s="10"/>
      <c r="B975" s="9"/>
      <c r="C975" s="9"/>
      <c r="D975" s="11"/>
      <c r="E975" s="11"/>
      <c r="F975" s="12"/>
      <c r="G975" s="13" t="str">
        <f aca="false">IF(F975&lt;&gt;"",F975,IF(OR(D975="",E975=""),"",ROUND(MOD(E975-D975,1)*1440,0)))</f>
        <v/>
      </c>
      <c r="H975" s="9"/>
      <c r="I975" s="14" t="str">
        <f aca="false">IF(H975="","",IFERROR(INDEX(Setup!$E$5:$E$34,MATCH(H975,Setup!$D$5:$D$34,0)),"Not in Setup"))</f>
        <v/>
      </c>
      <c r="J975" s="9"/>
    </row>
    <row r="976" customFormat="false" ht="15" hidden="false" customHeight="false" outlineLevel="0" collapsed="false">
      <c r="A976" s="10"/>
      <c r="B976" s="9"/>
      <c r="C976" s="9"/>
      <c r="D976" s="11"/>
      <c r="E976" s="11"/>
      <c r="F976" s="12"/>
      <c r="G976" s="13" t="str">
        <f aca="false">IF(F976&lt;&gt;"",F976,IF(OR(D976="",E976=""),"",ROUND(MOD(E976-D976,1)*1440,0)))</f>
        <v/>
      </c>
      <c r="H976" s="9"/>
      <c r="I976" s="14" t="str">
        <f aca="false">IF(H976="","",IFERROR(INDEX(Setup!$E$5:$E$34,MATCH(H976,Setup!$D$5:$D$34,0)),"Not in Setup"))</f>
        <v/>
      </c>
      <c r="J976" s="9"/>
    </row>
    <row r="977" customFormat="false" ht="15" hidden="false" customHeight="false" outlineLevel="0" collapsed="false">
      <c r="A977" s="10"/>
      <c r="B977" s="9"/>
      <c r="C977" s="9"/>
      <c r="D977" s="11"/>
      <c r="E977" s="11"/>
      <c r="F977" s="12"/>
      <c r="G977" s="13" t="str">
        <f aca="false">IF(F977&lt;&gt;"",F977,IF(OR(D977="",E977=""),"",ROUND(MOD(E977-D977,1)*1440,0)))</f>
        <v/>
      </c>
      <c r="H977" s="9"/>
      <c r="I977" s="14" t="str">
        <f aca="false">IF(H977="","",IFERROR(INDEX(Setup!$E$5:$E$34,MATCH(H977,Setup!$D$5:$D$34,0)),"Not in Setup"))</f>
        <v/>
      </c>
      <c r="J977" s="9"/>
    </row>
    <row r="978" customFormat="false" ht="15" hidden="false" customHeight="false" outlineLevel="0" collapsed="false">
      <c r="A978" s="10"/>
      <c r="B978" s="9"/>
      <c r="C978" s="9"/>
      <c r="D978" s="11"/>
      <c r="E978" s="11"/>
      <c r="F978" s="12"/>
      <c r="G978" s="13" t="str">
        <f aca="false">IF(F978&lt;&gt;"",F978,IF(OR(D978="",E978=""),"",ROUND(MOD(E978-D978,1)*1440,0)))</f>
        <v/>
      </c>
      <c r="H978" s="9"/>
      <c r="I978" s="14" t="str">
        <f aca="false">IF(H978="","",IFERROR(INDEX(Setup!$E$5:$E$34,MATCH(H978,Setup!$D$5:$D$34,0)),"Not in Setup"))</f>
        <v/>
      </c>
      <c r="J978" s="9"/>
    </row>
    <row r="979" customFormat="false" ht="15" hidden="false" customHeight="false" outlineLevel="0" collapsed="false">
      <c r="A979" s="10"/>
      <c r="B979" s="9"/>
      <c r="C979" s="9"/>
      <c r="D979" s="11"/>
      <c r="E979" s="11"/>
      <c r="F979" s="12"/>
      <c r="G979" s="13" t="str">
        <f aca="false">IF(F979&lt;&gt;"",F979,IF(OR(D979="",E979=""),"",ROUND(MOD(E979-D979,1)*1440,0)))</f>
        <v/>
      </c>
      <c r="H979" s="9"/>
      <c r="I979" s="14" t="str">
        <f aca="false">IF(H979="","",IFERROR(INDEX(Setup!$E$5:$E$34,MATCH(H979,Setup!$D$5:$D$34,0)),"Not in Setup"))</f>
        <v/>
      </c>
      <c r="J979" s="9"/>
    </row>
    <row r="980" customFormat="false" ht="15" hidden="false" customHeight="false" outlineLevel="0" collapsed="false">
      <c r="A980" s="10"/>
      <c r="B980" s="9"/>
      <c r="C980" s="9"/>
      <c r="D980" s="11"/>
      <c r="E980" s="11"/>
      <c r="F980" s="12"/>
      <c r="G980" s="13" t="str">
        <f aca="false">IF(F980&lt;&gt;"",F980,IF(OR(D980="",E980=""),"",ROUND(MOD(E980-D980,1)*1440,0)))</f>
        <v/>
      </c>
      <c r="H980" s="9"/>
      <c r="I980" s="14" t="str">
        <f aca="false">IF(H980="","",IFERROR(INDEX(Setup!$E$5:$E$34,MATCH(H980,Setup!$D$5:$D$34,0)),"Not in Setup"))</f>
        <v/>
      </c>
      <c r="J980" s="9"/>
    </row>
    <row r="981" customFormat="false" ht="15" hidden="false" customHeight="false" outlineLevel="0" collapsed="false">
      <c r="A981" s="10"/>
      <c r="B981" s="9"/>
      <c r="C981" s="9"/>
      <c r="D981" s="11"/>
      <c r="E981" s="11"/>
      <c r="F981" s="12"/>
      <c r="G981" s="13" t="str">
        <f aca="false">IF(F981&lt;&gt;"",F981,IF(OR(D981="",E981=""),"",ROUND(MOD(E981-D981,1)*1440,0)))</f>
        <v/>
      </c>
      <c r="H981" s="9"/>
      <c r="I981" s="14" t="str">
        <f aca="false">IF(H981="","",IFERROR(INDEX(Setup!$E$5:$E$34,MATCH(H981,Setup!$D$5:$D$34,0)),"Not in Setup"))</f>
        <v/>
      </c>
      <c r="J981" s="9"/>
    </row>
    <row r="982" customFormat="false" ht="15" hidden="false" customHeight="false" outlineLevel="0" collapsed="false">
      <c r="A982" s="10"/>
      <c r="B982" s="9"/>
      <c r="C982" s="9"/>
      <c r="D982" s="11"/>
      <c r="E982" s="11"/>
      <c r="F982" s="12"/>
      <c r="G982" s="13" t="str">
        <f aca="false">IF(F982&lt;&gt;"",F982,IF(OR(D982="",E982=""),"",ROUND(MOD(E982-D982,1)*1440,0)))</f>
        <v/>
      </c>
      <c r="H982" s="9"/>
      <c r="I982" s="14" t="str">
        <f aca="false">IF(H982="","",IFERROR(INDEX(Setup!$E$5:$E$34,MATCH(H982,Setup!$D$5:$D$34,0)),"Not in Setup"))</f>
        <v/>
      </c>
      <c r="J982" s="9"/>
    </row>
    <row r="983" customFormat="false" ht="15" hidden="false" customHeight="false" outlineLevel="0" collapsed="false">
      <c r="A983" s="10"/>
      <c r="B983" s="9"/>
      <c r="C983" s="9"/>
      <c r="D983" s="11"/>
      <c r="E983" s="11"/>
      <c r="F983" s="12"/>
      <c r="G983" s="13" t="str">
        <f aca="false">IF(F983&lt;&gt;"",F983,IF(OR(D983="",E983=""),"",ROUND(MOD(E983-D983,1)*1440,0)))</f>
        <v/>
      </c>
      <c r="H983" s="9"/>
      <c r="I983" s="14" t="str">
        <f aca="false">IF(H983="","",IFERROR(INDEX(Setup!$E$5:$E$34,MATCH(H983,Setup!$D$5:$D$34,0)),"Not in Setup"))</f>
        <v/>
      </c>
      <c r="J983" s="9"/>
    </row>
    <row r="984" customFormat="false" ht="15" hidden="false" customHeight="false" outlineLevel="0" collapsed="false">
      <c r="A984" s="10"/>
      <c r="B984" s="9"/>
      <c r="C984" s="9"/>
      <c r="D984" s="11"/>
      <c r="E984" s="11"/>
      <c r="F984" s="12"/>
      <c r="G984" s="13" t="str">
        <f aca="false">IF(F984&lt;&gt;"",F984,IF(OR(D984="",E984=""),"",ROUND(MOD(E984-D984,1)*1440,0)))</f>
        <v/>
      </c>
      <c r="H984" s="9"/>
      <c r="I984" s="14" t="str">
        <f aca="false">IF(H984="","",IFERROR(INDEX(Setup!$E$5:$E$34,MATCH(H984,Setup!$D$5:$D$34,0)),"Not in Setup"))</f>
        <v/>
      </c>
      <c r="J984" s="9"/>
    </row>
    <row r="985" customFormat="false" ht="15" hidden="false" customHeight="false" outlineLevel="0" collapsed="false">
      <c r="A985" s="10"/>
      <c r="B985" s="9"/>
      <c r="C985" s="9"/>
      <c r="D985" s="11"/>
      <c r="E985" s="11"/>
      <c r="F985" s="12"/>
      <c r="G985" s="13" t="str">
        <f aca="false">IF(F985&lt;&gt;"",F985,IF(OR(D985="",E985=""),"",ROUND(MOD(E985-D985,1)*1440,0)))</f>
        <v/>
      </c>
      <c r="H985" s="9"/>
      <c r="I985" s="14" t="str">
        <f aca="false">IF(H985="","",IFERROR(INDEX(Setup!$E$5:$E$34,MATCH(H985,Setup!$D$5:$D$34,0)),"Not in Setup"))</f>
        <v/>
      </c>
      <c r="J985" s="9"/>
    </row>
    <row r="986" customFormat="false" ht="15" hidden="false" customHeight="false" outlineLevel="0" collapsed="false">
      <c r="A986" s="10"/>
      <c r="B986" s="9"/>
      <c r="C986" s="9"/>
      <c r="D986" s="11"/>
      <c r="E986" s="11"/>
      <c r="F986" s="12"/>
      <c r="G986" s="13" t="str">
        <f aca="false">IF(F986&lt;&gt;"",F986,IF(OR(D986="",E986=""),"",ROUND(MOD(E986-D986,1)*1440,0)))</f>
        <v/>
      </c>
      <c r="H986" s="9"/>
      <c r="I986" s="14" t="str">
        <f aca="false">IF(H986="","",IFERROR(INDEX(Setup!$E$5:$E$34,MATCH(H986,Setup!$D$5:$D$34,0)),"Not in Setup"))</f>
        <v/>
      </c>
      <c r="J986" s="9"/>
    </row>
    <row r="987" customFormat="false" ht="15" hidden="false" customHeight="false" outlineLevel="0" collapsed="false">
      <c r="A987" s="10"/>
      <c r="B987" s="9"/>
      <c r="C987" s="9"/>
      <c r="D987" s="11"/>
      <c r="E987" s="11"/>
      <c r="F987" s="12"/>
      <c r="G987" s="13" t="str">
        <f aca="false">IF(F987&lt;&gt;"",F987,IF(OR(D987="",E987=""),"",ROUND(MOD(E987-D987,1)*1440,0)))</f>
        <v/>
      </c>
      <c r="H987" s="9"/>
      <c r="I987" s="14" t="str">
        <f aca="false">IF(H987="","",IFERROR(INDEX(Setup!$E$5:$E$34,MATCH(H987,Setup!$D$5:$D$34,0)),"Not in Setup"))</f>
        <v/>
      </c>
      <c r="J987" s="9"/>
    </row>
    <row r="988" customFormat="false" ht="15" hidden="false" customHeight="false" outlineLevel="0" collapsed="false">
      <c r="A988" s="10"/>
      <c r="B988" s="9"/>
      <c r="C988" s="9"/>
      <c r="D988" s="11"/>
      <c r="E988" s="11"/>
      <c r="F988" s="12"/>
      <c r="G988" s="13" t="str">
        <f aca="false">IF(F988&lt;&gt;"",F988,IF(OR(D988="",E988=""),"",ROUND(MOD(E988-D988,1)*1440,0)))</f>
        <v/>
      </c>
      <c r="H988" s="9"/>
      <c r="I988" s="14" t="str">
        <f aca="false">IF(H988="","",IFERROR(INDEX(Setup!$E$5:$E$34,MATCH(H988,Setup!$D$5:$D$34,0)),"Not in Setup"))</f>
        <v/>
      </c>
      <c r="J988" s="9"/>
    </row>
    <row r="989" customFormat="false" ht="15" hidden="false" customHeight="false" outlineLevel="0" collapsed="false">
      <c r="A989" s="10"/>
      <c r="B989" s="9"/>
      <c r="C989" s="9"/>
      <c r="D989" s="11"/>
      <c r="E989" s="11"/>
      <c r="F989" s="12"/>
      <c r="G989" s="13" t="str">
        <f aca="false">IF(F989&lt;&gt;"",F989,IF(OR(D989="",E989=""),"",ROUND(MOD(E989-D989,1)*1440,0)))</f>
        <v/>
      </c>
      <c r="H989" s="9"/>
      <c r="I989" s="14" t="str">
        <f aca="false">IF(H989="","",IFERROR(INDEX(Setup!$E$5:$E$34,MATCH(H989,Setup!$D$5:$D$34,0)),"Not in Setup"))</f>
        <v/>
      </c>
      <c r="J989" s="9"/>
    </row>
    <row r="990" customFormat="false" ht="15" hidden="false" customHeight="false" outlineLevel="0" collapsed="false">
      <c r="A990" s="10"/>
      <c r="B990" s="9"/>
      <c r="C990" s="9"/>
      <c r="D990" s="11"/>
      <c r="E990" s="11"/>
      <c r="F990" s="12"/>
      <c r="G990" s="13" t="str">
        <f aca="false">IF(F990&lt;&gt;"",F990,IF(OR(D990="",E990=""),"",ROUND(MOD(E990-D990,1)*1440,0)))</f>
        <v/>
      </c>
      <c r="H990" s="9"/>
      <c r="I990" s="14" t="str">
        <f aca="false">IF(H990="","",IFERROR(INDEX(Setup!$E$5:$E$34,MATCH(H990,Setup!$D$5:$D$34,0)),"Not in Setup"))</f>
        <v/>
      </c>
      <c r="J990" s="9"/>
    </row>
    <row r="991" customFormat="false" ht="15" hidden="false" customHeight="false" outlineLevel="0" collapsed="false">
      <c r="A991" s="10"/>
      <c r="B991" s="9"/>
      <c r="C991" s="9"/>
      <c r="D991" s="11"/>
      <c r="E991" s="11"/>
      <c r="F991" s="12"/>
      <c r="G991" s="13" t="str">
        <f aca="false">IF(F991&lt;&gt;"",F991,IF(OR(D991="",E991=""),"",ROUND(MOD(E991-D991,1)*1440,0)))</f>
        <v/>
      </c>
      <c r="H991" s="9"/>
      <c r="I991" s="14" t="str">
        <f aca="false">IF(H991="","",IFERROR(INDEX(Setup!$E$5:$E$34,MATCH(H991,Setup!$D$5:$D$34,0)),"Not in Setup"))</f>
        <v/>
      </c>
      <c r="J991" s="9"/>
    </row>
    <row r="992" customFormat="false" ht="15" hidden="false" customHeight="false" outlineLevel="0" collapsed="false">
      <c r="A992" s="10"/>
      <c r="B992" s="9"/>
      <c r="C992" s="9"/>
      <c r="D992" s="11"/>
      <c r="E992" s="11"/>
      <c r="F992" s="12"/>
      <c r="G992" s="13" t="str">
        <f aca="false">IF(F992&lt;&gt;"",F992,IF(OR(D992="",E992=""),"",ROUND(MOD(E992-D992,1)*1440,0)))</f>
        <v/>
      </c>
      <c r="H992" s="9"/>
      <c r="I992" s="14" t="str">
        <f aca="false">IF(H992="","",IFERROR(INDEX(Setup!$E$5:$E$34,MATCH(H992,Setup!$D$5:$D$34,0)),"Not in Setup"))</f>
        <v/>
      </c>
      <c r="J992" s="9"/>
    </row>
    <row r="993" customFormat="false" ht="15" hidden="false" customHeight="false" outlineLevel="0" collapsed="false">
      <c r="A993" s="10"/>
      <c r="B993" s="9"/>
      <c r="C993" s="9"/>
      <c r="D993" s="11"/>
      <c r="E993" s="11"/>
      <c r="F993" s="12"/>
      <c r="G993" s="13" t="str">
        <f aca="false">IF(F993&lt;&gt;"",F993,IF(OR(D993="",E993=""),"",ROUND(MOD(E993-D993,1)*1440,0)))</f>
        <v/>
      </c>
      <c r="H993" s="9"/>
      <c r="I993" s="14" t="str">
        <f aca="false">IF(H993="","",IFERROR(INDEX(Setup!$E$5:$E$34,MATCH(H993,Setup!$D$5:$D$34,0)),"Not in Setup"))</f>
        <v/>
      </c>
      <c r="J993" s="9"/>
    </row>
    <row r="994" customFormat="false" ht="15" hidden="false" customHeight="false" outlineLevel="0" collapsed="false">
      <c r="A994" s="10"/>
      <c r="B994" s="9"/>
      <c r="C994" s="9"/>
      <c r="D994" s="11"/>
      <c r="E994" s="11"/>
      <c r="F994" s="12"/>
      <c r="G994" s="13" t="str">
        <f aca="false">IF(F994&lt;&gt;"",F994,IF(OR(D994="",E994=""),"",ROUND(MOD(E994-D994,1)*1440,0)))</f>
        <v/>
      </c>
      <c r="H994" s="9"/>
      <c r="I994" s="14" t="str">
        <f aca="false">IF(H994="","",IFERROR(INDEX(Setup!$E$5:$E$34,MATCH(H994,Setup!$D$5:$D$34,0)),"Not in Setup"))</f>
        <v/>
      </c>
      <c r="J994" s="9"/>
    </row>
    <row r="995" customFormat="false" ht="15" hidden="false" customHeight="false" outlineLevel="0" collapsed="false">
      <c r="A995" s="10"/>
      <c r="B995" s="9"/>
      <c r="C995" s="9"/>
      <c r="D995" s="11"/>
      <c r="E995" s="11"/>
      <c r="F995" s="12"/>
      <c r="G995" s="13" t="str">
        <f aca="false">IF(F995&lt;&gt;"",F995,IF(OR(D995="",E995=""),"",ROUND(MOD(E995-D995,1)*1440,0)))</f>
        <v/>
      </c>
      <c r="H995" s="9"/>
      <c r="I995" s="14" t="str">
        <f aca="false">IF(H995="","",IFERROR(INDEX(Setup!$E$5:$E$34,MATCH(H995,Setup!$D$5:$D$34,0)),"Not in Setup"))</f>
        <v/>
      </c>
      <c r="J995" s="9"/>
    </row>
    <row r="996" customFormat="false" ht="15" hidden="false" customHeight="false" outlineLevel="0" collapsed="false">
      <c r="A996" s="10"/>
      <c r="B996" s="9"/>
      <c r="C996" s="9"/>
      <c r="D996" s="11"/>
      <c r="E996" s="11"/>
      <c r="F996" s="12"/>
      <c r="G996" s="13" t="str">
        <f aca="false">IF(F996&lt;&gt;"",F996,IF(OR(D996="",E996=""),"",ROUND(MOD(E996-D996,1)*1440,0)))</f>
        <v/>
      </c>
      <c r="H996" s="9"/>
      <c r="I996" s="14" t="str">
        <f aca="false">IF(H996="","",IFERROR(INDEX(Setup!$E$5:$E$34,MATCH(H996,Setup!$D$5:$D$34,0)),"Not in Setup"))</f>
        <v/>
      </c>
      <c r="J996" s="9"/>
    </row>
    <row r="997" customFormat="false" ht="15" hidden="false" customHeight="false" outlineLevel="0" collapsed="false">
      <c r="A997" s="10"/>
      <c r="B997" s="9"/>
      <c r="C997" s="9"/>
      <c r="D997" s="11"/>
      <c r="E997" s="11"/>
      <c r="F997" s="12"/>
      <c r="G997" s="13" t="str">
        <f aca="false">IF(F997&lt;&gt;"",F997,IF(OR(D997="",E997=""),"",ROUND(MOD(E997-D997,1)*1440,0)))</f>
        <v/>
      </c>
      <c r="H997" s="9"/>
      <c r="I997" s="14" t="str">
        <f aca="false">IF(H997="","",IFERROR(INDEX(Setup!$E$5:$E$34,MATCH(H997,Setup!$D$5:$D$34,0)),"Not in Setup"))</f>
        <v/>
      </c>
      <c r="J997" s="9"/>
    </row>
    <row r="998" customFormat="false" ht="15" hidden="false" customHeight="false" outlineLevel="0" collapsed="false">
      <c r="A998" s="10"/>
      <c r="B998" s="9"/>
      <c r="C998" s="9"/>
      <c r="D998" s="11"/>
      <c r="E998" s="11"/>
      <c r="F998" s="12"/>
      <c r="G998" s="13" t="str">
        <f aca="false">IF(F998&lt;&gt;"",F998,IF(OR(D998="",E998=""),"",ROUND(MOD(E998-D998,1)*1440,0)))</f>
        <v/>
      </c>
      <c r="H998" s="9"/>
      <c r="I998" s="14" t="str">
        <f aca="false">IF(H998="","",IFERROR(INDEX(Setup!$E$5:$E$34,MATCH(H998,Setup!$D$5:$D$34,0)),"Not in Setup"))</f>
        <v/>
      </c>
      <c r="J998" s="9"/>
    </row>
    <row r="999" customFormat="false" ht="15" hidden="false" customHeight="false" outlineLevel="0" collapsed="false">
      <c r="A999" s="10"/>
      <c r="B999" s="9"/>
      <c r="C999" s="9"/>
      <c r="D999" s="11"/>
      <c r="E999" s="11"/>
      <c r="F999" s="12"/>
      <c r="G999" s="13" t="str">
        <f aca="false">IF(F999&lt;&gt;"",F999,IF(OR(D999="",E999=""),"",ROUND(MOD(E999-D999,1)*1440,0)))</f>
        <v/>
      </c>
      <c r="H999" s="9"/>
      <c r="I999" s="14" t="str">
        <f aca="false">IF(H999="","",IFERROR(INDEX(Setup!$E$5:$E$34,MATCH(H999,Setup!$D$5:$D$34,0)),"Not in Setup"))</f>
        <v/>
      </c>
      <c r="J999" s="9"/>
    </row>
    <row r="1000" customFormat="false" ht="15" hidden="false" customHeight="false" outlineLevel="0" collapsed="false">
      <c r="A1000" s="10"/>
      <c r="B1000" s="9"/>
      <c r="C1000" s="9"/>
      <c r="D1000" s="11"/>
      <c r="E1000" s="11"/>
      <c r="F1000" s="12"/>
      <c r="G1000" s="13" t="str">
        <f aca="false">IF(F1000&lt;&gt;"",F1000,IF(OR(D1000="",E1000=""),"",ROUND(MOD(E1000-D1000,1)*1440,0)))</f>
        <v/>
      </c>
      <c r="H1000" s="9"/>
      <c r="I1000" s="14" t="str">
        <f aca="false">IF(H1000="","",IFERROR(INDEX(Setup!$E$5:$E$34,MATCH(H1000,Setup!$D$5:$D$34,0)),"Not in Setup"))</f>
        <v/>
      </c>
      <c r="J1000" s="9"/>
    </row>
    <row r="1001" customFormat="false" ht="15" hidden="false" customHeight="false" outlineLevel="0" collapsed="false">
      <c r="A1001" s="10"/>
      <c r="B1001" s="9"/>
      <c r="C1001" s="9"/>
      <c r="D1001" s="11"/>
      <c r="E1001" s="11"/>
      <c r="F1001" s="12"/>
      <c r="G1001" s="13" t="str">
        <f aca="false">IF(F1001&lt;&gt;"",F1001,IF(OR(D1001="",E1001=""),"",ROUND(MOD(E1001-D1001,1)*1440,0)))</f>
        <v/>
      </c>
      <c r="H1001" s="9"/>
      <c r="I1001" s="14" t="str">
        <f aca="false">IF(H1001="","",IFERROR(INDEX(Setup!$E$5:$E$34,MATCH(H1001,Setup!$D$5:$D$34,0)),"Not in Setup"))</f>
        <v/>
      </c>
      <c r="J1001" s="9"/>
    </row>
    <row r="1002" customFormat="false" ht="15" hidden="false" customHeight="false" outlineLevel="0" collapsed="false">
      <c r="A1002" s="10"/>
      <c r="B1002" s="9"/>
      <c r="C1002" s="9"/>
      <c r="D1002" s="11"/>
      <c r="E1002" s="11"/>
      <c r="F1002" s="12"/>
      <c r="G1002" s="13" t="str">
        <f aca="false">IF(F1002&lt;&gt;"",F1002,IF(OR(D1002="",E1002=""),"",ROUND(MOD(E1002-D1002,1)*1440,0)))</f>
        <v/>
      </c>
      <c r="H1002" s="9"/>
      <c r="I1002" s="14" t="str">
        <f aca="false">IF(H1002="","",IFERROR(INDEX(Setup!$E$5:$E$34,MATCH(H1002,Setup!$D$5:$D$34,0)),"Not in Setup"))</f>
        <v/>
      </c>
      <c r="J1002" s="9"/>
    </row>
    <row r="1003" customFormat="false" ht="15" hidden="false" customHeight="false" outlineLevel="0" collapsed="false">
      <c r="A1003" s="10"/>
      <c r="B1003" s="9"/>
      <c r="C1003" s="9"/>
      <c r="D1003" s="11"/>
      <c r="E1003" s="11"/>
      <c r="F1003" s="12"/>
      <c r="G1003" s="13" t="str">
        <f aca="false">IF(F1003&lt;&gt;"",F1003,IF(OR(D1003="",E1003=""),"",ROUND(MOD(E1003-D1003,1)*1440,0)))</f>
        <v/>
      </c>
      <c r="H1003" s="9"/>
      <c r="I1003" s="14" t="str">
        <f aca="false">IF(H1003="","",IFERROR(INDEX(Setup!$E$5:$E$34,MATCH(H1003,Setup!$D$5:$D$34,0)),"Not in Setup"))</f>
        <v/>
      </c>
      <c r="J1003" s="9"/>
    </row>
    <row r="1004" customFormat="false" ht="15" hidden="false" customHeight="false" outlineLevel="0" collapsed="false">
      <c r="A1004" s="10"/>
      <c r="B1004" s="9"/>
      <c r="C1004" s="9"/>
      <c r="D1004" s="11"/>
      <c r="E1004" s="11"/>
      <c r="F1004" s="12"/>
      <c r="G1004" s="13" t="str">
        <f aca="false">IF(F1004&lt;&gt;"",F1004,IF(OR(D1004="",E1004=""),"",ROUND(MOD(E1004-D1004,1)*1440,0)))</f>
        <v/>
      </c>
      <c r="H1004" s="9"/>
      <c r="I1004" s="14" t="str">
        <f aca="false">IF(H1004="","",IFERROR(INDEX(Setup!$E$5:$E$34,MATCH(H1004,Setup!$D$5:$D$34,0)),"Not in Setup"))</f>
        <v/>
      </c>
      <c r="J1004" s="9"/>
    </row>
  </sheetData>
  <dataValidations count="2">
    <dataValidation allowBlank="true" error="Pick a machine listed on the Setup sheet." errorStyle="stop" operator="between" showDropDown="false" showErrorMessage="false" showInputMessage="false" sqref="C5:C1004" type="list">
      <formula1>Setup!$A$5:$A$34</formula1>
      <formula2>0</formula2>
    </dataValidation>
    <dataValidation allowBlank="true" error="Pick a reason listed on the Setup sheet." errorStyle="stop" operator="between" showDropDown="false" showErrorMessage="false" showInputMessage="false" sqref="H5:H1004" type="list">
      <formula1>Setup!$D$5:$D$34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8" style="0" width="3"/>
    <col collapsed="false" customWidth="true" hidden="true" outlineLevel="0" max="9" min="9" style="0" width="30"/>
    <col collapsed="false" customWidth="true" hidden="true" outlineLevel="0" max="10" min="10" style="0" width="11"/>
    <col collapsed="false" customWidth="true" hidden="true" outlineLevel="0" max="11" min="11" style="0" width="9"/>
    <col collapsed="false" customWidth="true" hidden="true" outlineLevel="0" max="12" min="12" style="0" width="14"/>
  </cols>
  <sheetData>
    <row r="1" customFormat="false" ht="19.7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3" customFormat="false" ht="15" hidden="false" customHeight="false" outlineLevel="0" collapsed="false">
      <c r="A3" s="15" t="s">
        <v>62</v>
      </c>
      <c r="B3" s="10"/>
      <c r="D3" s="16" t="n">
        <f aca="false">IF(B3="",DATE(1900,1,1),B3)</f>
        <v>2</v>
      </c>
    </row>
    <row r="4" customFormat="false" ht="15" hidden="false" customHeight="false" outlineLevel="0" collapsed="false">
      <c r="A4" s="15" t="s">
        <v>63</v>
      </c>
      <c r="B4" s="10"/>
      <c r="D4" s="16" t="n">
        <f aca="false">IF(B4="",DATE(2999,12,31),B4)</f>
        <v>401768</v>
      </c>
    </row>
    <row r="5" customFormat="false" ht="15" hidden="false" customHeight="false" outlineLevel="0" collapsed="false">
      <c r="A5" s="15" t="s">
        <v>64</v>
      </c>
      <c r="B5" s="9"/>
      <c r="D5" s="17" t="str">
        <f aca="false">IF(B5="","*",B5)</f>
        <v>*</v>
      </c>
    </row>
    <row r="6" customFormat="false" ht="15" hidden="false" customHeight="false" outlineLevel="0" collapsed="false">
      <c r="A6" s="15" t="s">
        <v>65</v>
      </c>
      <c r="B6" s="18" t="n">
        <f aca="false">SUM($J$9:$J$38)</f>
        <v>255</v>
      </c>
    </row>
    <row r="8" customFormat="false" ht="31.5" hidden="false" customHeight="true" outlineLevel="0" collapsed="false">
      <c r="A8" s="7" t="s">
        <v>66</v>
      </c>
      <c r="B8" s="7" t="s">
        <v>51</v>
      </c>
      <c r="C8" s="7" t="s">
        <v>67</v>
      </c>
      <c r="D8" s="7" t="s">
        <v>68</v>
      </c>
      <c r="E8" s="7" t="s">
        <v>69</v>
      </c>
      <c r="F8" s="7" t="s">
        <v>70</v>
      </c>
      <c r="I8" s="19" t="s">
        <v>71</v>
      </c>
      <c r="J8" s="19" t="s">
        <v>72</v>
      </c>
      <c r="K8" s="19" t="s">
        <v>73</v>
      </c>
      <c r="L8" s="19" t="s">
        <v>74</v>
      </c>
    </row>
    <row r="9" customFormat="false" ht="15" hidden="false" customHeight="false" outlineLevel="0" collapsed="false">
      <c r="A9" s="20" t="n">
        <v>1</v>
      </c>
      <c r="B9" s="14" t="str">
        <f aca="false">IF(INDEX($J$9:$J$38,MATCH(LARGE($L$9:$L$38,A9),$L$9:$L$38,0))&lt;=0,"",INDEX($I$9:$I$38,MATCH(LARGE($L$9:$L$38,A9),$L$9:$L$38,0)))</f>
        <v>Mechanical breakdown</v>
      </c>
      <c r="C9" s="21" t="n">
        <f aca="false">IF(B9="","",INDEX($J$9:$J$38,MATCH(LARGE($L$9:$L$38,A9),$L$9:$L$38,0)))</f>
        <v>100</v>
      </c>
      <c r="D9" s="13" t="n">
        <f aca="false">IF(B9="","",INDEX($K$9:$K$38,MATCH(LARGE($L$9:$L$38,A9),$L$9:$L$38,0)))</f>
        <v>2</v>
      </c>
      <c r="E9" s="22" t="n">
        <f aca="false">IF(OR(B9="",$B$6=0),"",C9/$B$6)</f>
        <v>0.392156862745098</v>
      </c>
      <c r="F9" s="22" t="n">
        <f aca="false">IF(OR(B9="",$B$6=0),"",SUM($C$9:C9)/$B$6)</f>
        <v>0.392156862745098</v>
      </c>
      <c r="I9" s="23" t="str">
        <f aca="false">IF(Setup!D5="","",Setup!D5)</f>
        <v>Mechanical breakdown</v>
      </c>
      <c r="J9" s="23" t="n">
        <f aca="false">IF(I9="",0,SUMIFS('Downtime Log'!$G$5:$G$1004,'Downtime Log'!$H$5:$H$1004,I9,'Downtime Log'!$A$5:$A$1004,"&gt;="&amp;$D$3,'Downtime Log'!$A$5:$A$1004,"&lt;="&amp;$D$4,'Downtime Log'!$C$5:$C$1004,$D$5))</f>
        <v>100</v>
      </c>
      <c r="K9" s="23" t="n">
        <f aca="false">IF(I9="",0,COUNTIFS('Downtime Log'!$H$5:$H$1004,I9,'Downtime Log'!$A$5:$A$1004,"&gt;="&amp;$D$3,'Downtime Log'!$A$5:$A$1004,"&lt;="&amp;$D$4,'Downtime Log'!$C$5:$C$1004,$D$5))</f>
        <v>2</v>
      </c>
      <c r="L9" s="23" t="n">
        <f aca="false">IF(I9="",-1,J9+(34-1)/1000000)</f>
        <v>100.000033</v>
      </c>
    </row>
    <row r="10" customFormat="false" ht="15" hidden="false" customHeight="false" outlineLevel="0" collapsed="false">
      <c r="A10" s="20" t="n">
        <v>2</v>
      </c>
      <c r="B10" s="14" t="str">
        <f aca="false">IF(INDEX($J$9:$J$38,MATCH(LARGE($L$9:$L$38,A10),$L$9:$L$38,0))&lt;=0,"",INDEX($I$9:$I$38,MATCH(LARGE($L$9:$L$38,A10),$L$9:$L$38,0)))</f>
        <v>Changeover / setup</v>
      </c>
      <c r="C10" s="21" t="n">
        <f aca="false">IF(B10="","",INDEX($J$9:$J$38,MATCH(LARGE($L$9:$L$38,A10),$L$9:$L$38,0)))</f>
        <v>65</v>
      </c>
      <c r="D10" s="13" t="n">
        <f aca="false">IF(B10="","",INDEX($K$9:$K$38,MATCH(LARGE($L$9:$L$38,A10),$L$9:$L$38,0)))</f>
        <v>2</v>
      </c>
      <c r="E10" s="22" t="n">
        <f aca="false">IF(OR(B10="",$B$6=0),"",C10/$B$6)</f>
        <v>0.254901960784314</v>
      </c>
      <c r="F10" s="22" t="n">
        <f aca="false">IF(OR(B10="",$B$6=0),"",SUM($C$9:C10)/$B$6)</f>
        <v>0.647058823529412</v>
      </c>
      <c r="I10" s="23" t="str">
        <f aca="false">IF(Setup!D6="","",Setup!D6)</f>
        <v>Electrical / controls fault</v>
      </c>
      <c r="J10" s="23" t="n">
        <f aca="false">IF(I10="",0,SUMIFS('Downtime Log'!$G$5:$G$1004,'Downtime Log'!$H$5:$H$1004,I10,'Downtime Log'!$A$5:$A$1004,"&gt;="&amp;$D$3,'Downtime Log'!$A$5:$A$1004,"&lt;="&amp;$D$4,'Downtime Log'!$C$5:$C$1004,$D$5))</f>
        <v>0</v>
      </c>
      <c r="K10" s="23" t="n">
        <f aca="false">IF(I10="",0,COUNTIFS('Downtime Log'!$H$5:$H$1004,I10,'Downtime Log'!$A$5:$A$1004,"&gt;="&amp;$D$3,'Downtime Log'!$A$5:$A$1004,"&lt;="&amp;$D$4,'Downtime Log'!$C$5:$C$1004,$D$5))</f>
        <v>0</v>
      </c>
      <c r="L10" s="23" t="n">
        <f aca="false">IF(I10="",-1,J10+(34-2)/1000000)</f>
        <v>3.2E-005</v>
      </c>
    </row>
    <row r="11" customFormat="false" ht="15" hidden="false" customHeight="false" outlineLevel="0" collapsed="false">
      <c r="A11" s="20" t="n">
        <v>3</v>
      </c>
      <c r="B11" s="14" t="str">
        <f aca="false">IF(INDEX($J$9:$J$38,MATCH(LARGE($L$9:$L$38,A11),$L$9:$L$38,0))&lt;=0,"",INDEX($I$9:$I$38,MATCH(LARGE($L$9:$L$38,A11),$L$9:$L$38,0)))</f>
        <v>Tooling failure</v>
      </c>
      <c r="C11" s="21" t="n">
        <f aca="false">IF(B11="","",INDEX($J$9:$J$38,MATCH(LARGE($L$9:$L$38,A11),$L$9:$L$38,0)))</f>
        <v>60</v>
      </c>
      <c r="D11" s="13" t="n">
        <f aca="false">IF(B11="","",INDEX($K$9:$K$38,MATCH(LARGE($L$9:$L$38,A11),$L$9:$L$38,0)))</f>
        <v>1</v>
      </c>
      <c r="E11" s="22" t="n">
        <f aca="false">IF(OR(B11="",$B$6=0),"",C11/$B$6)</f>
        <v>0.235294117647059</v>
      </c>
      <c r="F11" s="22" t="n">
        <f aca="false">IF(OR(B11="",$B$6=0),"",SUM($C$9:C11)/$B$6)</f>
        <v>0.882352941176471</v>
      </c>
      <c r="I11" s="23" t="str">
        <f aca="false">IF(Setup!D7="","",Setup!D7)</f>
        <v>Tooling failure</v>
      </c>
      <c r="J11" s="23" t="n">
        <f aca="false">IF(I11="",0,SUMIFS('Downtime Log'!$G$5:$G$1004,'Downtime Log'!$H$5:$H$1004,I11,'Downtime Log'!$A$5:$A$1004,"&gt;="&amp;$D$3,'Downtime Log'!$A$5:$A$1004,"&lt;="&amp;$D$4,'Downtime Log'!$C$5:$C$1004,$D$5))</f>
        <v>60</v>
      </c>
      <c r="K11" s="23" t="n">
        <f aca="false">IF(I11="",0,COUNTIFS('Downtime Log'!$H$5:$H$1004,I11,'Downtime Log'!$A$5:$A$1004,"&gt;="&amp;$D$3,'Downtime Log'!$A$5:$A$1004,"&lt;="&amp;$D$4,'Downtime Log'!$C$5:$C$1004,$D$5))</f>
        <v>1</v>
      </c>
      <c r="L11" s="23" t="n">
        <f aca="false">IF(I11="",-1,J11+(34-3)/1000000)</f>
        <v>60.000031</v>
      </c>
    </row>
    <row r="12" customFormat="false" ht="15" hidden="false" customHeight="false" outlineLevel="0" collapsed="false">
      <c r="A12" s="20" t="n">
        <v>4</v>
      </c>
      <c r="B12" s="14" t="str">
        <f aca="false">IF(INDEX($J$9:$J$38,MATCH(LARGE($L$9:$L$38,A12),$L$9:$L$38,0))&lt;=0,"",INDEX($I$9:$I$38,MATCH(LARGE($L$9:$L$38,A12),$L$9:$L$38,0)))</f>
        <v>Waiting for material</v>
      </c>
      <c r="C12" s="21" t="n">
        <f aca="false">IF(B12="","",INDEX($J$9:$J$38,MATCH(LARGE($L$9:$L$38,A12),$L$9:$L$38,0)))</f>
        <v>15</v>
      </c>
      <c r="D12" s="13" t="n">
        <f aca="false">IF(B12="","",INDEX($K$9:$K$38,MATCH(LARGE($L$9:$L$38,A12),$L$9:$L$38,0)))</f>
        <v>1</v>
      </c>
      <c r="E12" s="22" t="n">
        <f aca="false">IF(OR(B12="",$B$6=0),"",C12/$B$6)</f>
        <v>0.0588235294117647</v>
      </c>
      <c r="F12" s="22" t="n">
        <f aca="false">IF(OR(B12="",$B$6=0),"",SUM($C$9:C12)/$B$6)</f>
        <v>0.941176470588235</v>
      </c>
      <c r="I12" s="23" t="str">
        <f aca="false">IF(Setup!D8="","",Setup!D8)</f>
        <v>Changeover / setup</v>
      </c>
      <c r="J12" s="23" t="n">
        <f aca="false">IF(I12="",0,SUMIFS('Downtime Log'!$G$5:$G$1004,'Downtime Log'!$H$5:$H$1004,I12,'Downtime Log'!$A$5:$A$1004,"&gt;="&amp;$D$3,'Downtime Log'!$A$5:$A$1004,"&lt;="&amp;$D$4,'Downtime Log'!$C$5:$C$1004,$D$5))</f>
        <v>65</v>
      </c>
      <c r="K12" s="23" t="n">
        <f aca="false">IF(I12="",0,COUNTIFS('Downtime Log'!$H$5:$H$1004,I12,'Downtime Log'!$A$5:$A$1004,"&gt;="&amp;$D$3,'Downtime Log'!$A$5:$A$1004,"&lt;="&amp;$D$4,'Downtime Log'!$C$5:$C$1004,$D$5))</f>
        <v>2</v>
      </c>
      <c r="L12" s="23" t="n">
        <f aca="false">IF(I12="",-1,J12+(34-4)/1000000)</f>
        <v>65.00003</v>
      </c>
    </row>
    <row r="13" customFormat="false" ht="15" hidden="false" customHeight="false" outlineLevel="0" collapsed="false">
      <c r="A13" s="20" t="n">
        <v>5</v>
      </c>
      <c r="B13" s="14" t="str">
        <f aca="false">IF(INDEX($J$9:$J$38,MATCH(LARGE($L$9:$L$38,A13),$L$9:$L$38,0))&lt;=0,"",INDEX($I$9:$I$38,MATCH(LARGE($L$9:$L$38,A13),$L$9:$L$38,0)))</f>
        <v>Quality hold / inspection</v>
      </c>
      <c r="C13" s="21" t="n">
        <f aca="false">IF(B13="","",INDEX($J$9:$J$38,MATCH(LARGE($L$9:$L$38,A13),$L$9:$L$38,0)))</f>
        <v>15</v>
      </c>
      <c r="D13" s="13" t="n">
        <f aca="false">IF(B13="","",INDEX($K$9:$K$38,MATCH(LARGE($L$9:$L$38,A13),$L$9:$L$38,0)))</f>
        <v>1</v>
      </c>
      <c r="E13" s="22" t="n">
        <f aca="false">IF(OR(B13="",$B$6=0),"",C13/$B$6)</f>
        <v>0.0588235294117647</v>
      </c>
      <c r="F13" s="22" t="n">
        <f aca="false">IF(OR(B13="",$B$6=0),"",SUM($C$9:C13)/$B$6)</f>
        <v>1</v>
      </c>
      <c r="I13" s="23" t="str">
        <f aca="false">IF(Setup!D9="","",Setup!D9)</f>
        <v>Adjustment / tuning</v>
      </c>
      <c r="J13" s="23" t="n">
        <f aca="false">IF(I13="",0,SUMIFS('Downtime Log'!$G$5:$G$1004,'Downtime Log'!$H$5:$H$1004,I13,'Downtime Log'!$A$5:$A$1004,"&gt;="&amp;$D$3,'Downtime Log'!$A$5:$A$1004,"&lt;="&amp;$D$4,'Downtime Log'!$C$5:$C$1004,$D$5))</f>
        <v>0</v>
      </c>
      <c r="K13" s="23" t="n">
        <f aca="false">IF(I13="",0,COUNTIFS('Downtime Log'!$H$5:$H$1004,I13,'Downtime Log'!$A$5:$A$1004,"&gt;="&amp;$D$3,'Downtime Log'!$A$5:$A$1004,"&lt;="&amp;$D$4,'Downtime Log'!$C$5:$C$1004,$D$5))</f>
        <v>0</v>
      </c>
      <c r="L13" s="23" t="n">
        <f aca="false">IF(I13="",-1,J13+(34-5)/1000000)</f>
        <v>2.9E-005</v>
      </c>
    </row>
    <row r="14" customFormat="false" ht="15" hidden="false" customHeight="false" outlineLevel="0" collapsed="false">
      <c r="A14" s="20" t="n">
        <v>6</v>
      </c>
      <c r="B14" s="14" t="str">
        <f aca="false">IF(INDEX($J$9:$J$38,MATCH(LARGE($L$9:$L$38,A14),$L$9:$L$38,0))&lt;=0,"",INDEX($I$9:$I$38,MATCH(LARGE($L$9:$L$38,A14),$L$9:$L$38,0)))</f>
        <v/>
      </c>
      <c r="C14" s="21" t="str">
        <f aca="false">IF(B14="","",INDEX($J$9:$J$38,MATCH(LARGE($L$9:$L$38,A14),$L$9:$L$38,0)))</f>
        <v/>
      </c>
      <c r="D14" s="13" t="str">
        <f aca="false">IF(B14="","",INDEX($K$9:$K$38,MATCH(LARGE($L$9:$L$38,A14),$L$9:$L$38,0)))</f>
        <v/>
      </c>
      <c r="E14" s="22" t="str">
        <f aca="false">IF(OR(B14="",$B$6=0),"",C14/$B$6)</f>
        <v/>
      </c>
      <c r="F14" s="22" t="str">
        <f aca="false">IF(OR(B14="",$B$6=0),"",SUM($C$9:C14)/$B$6)</f>
        <v/>
      </c>
      <c r="I14" s="23" t="str">
        <f aca="false">IF(Setup!D10="","",Setup!D10)</f>
        <v>Waiting for material</v>
      </c>
      <c r="J14" s="23" t="n">
        <f aca="false">IF(I14="",0,SUMIFS('Downtime Log'!$G$5:$G$1004,'Downtime Log'!$H$5:$H$1004,I14,'Downtime Log'!$A$5:$A$1004,"&gt;="&amp;$D$3,'Downtime Log'!$A$5:$A$1004,"&lt;="&amp;$D$4,'Downtime Log'!$C$5:$C$1004,$D$5))</f>
        <v>15</v>
      </c>
      <c r="K14" s="23" t="n">
        <f aca="false">IF(I14="",0,COUNTIFS('Downtime Log'!$H$5:$H$1004,I14,'Downtime Log'!$A$5:$A$1004,"&gt;="&amp;$D$3,'Downtime Log'!$A$5:$A$1004,"&lt;="&amp;$D$4,'Downtime Log'!$C$5:$C$1004,$D$5))</f>
        <v>1</v>
      </c>
      <c r="L14" s="23" t="n">
        <f aca="false">IF(I14="",-1,J14+(34-6)/1000000)</f>
        <v>15.000028</v>
      </c>
    </row>
    <row r="15" customFormat="false" ht="15" hidden="false" customHeight="false" outlineLevel="0" collapsed="false">
      <c r="A15" s="20" t="n">
        <v>7</v>
      </c>
      <c r="B15" s="14" t="str">
        <f aca="false">IF(INDEX($J$9:$J$38,MATCH(LARGE($L$9:$L$38,A15),$L$9:$L$38,0))&lt;=0,"",INDEX($I$9:$I$38,MATCH(LARGE($L$9:$L$38,A15),$L$9:$L$38,0)))</f>
        <v/>
      </c>
      <c r="C15" s="21" t="str">
        <f aca="false">IF(B15="","",INDEX($J$9:$J$38,MATCH(LARGE($L$9:$L$38,A15),$L$9:$L$38,0)))</f>
        <v/>
      </c>
      <c r="D15" s="13" t="str">
        <f aca="false">IF(B15="","",INDEX($K$9:$K$38,MATCH(LARGE($L$9:$L$38,A15),$L$9:$L$38,0)))</f>
        <v/>
      </c>
      <c r="E15" s="22" t="str">
        <f aca="false">IF(OR(B15="",$B$6=0),"",C15/$B$6)</f>
        <v/>
      </c>
      <c r="F15" s="22" t="str">
        <f aca="false">IF(OR(B15="",$B$6=0),"",SUM($C$9:C15)/$B$6)</f>
        <v/>
      </c>
      <c r="I15" s="23" t="str">
        <f aca="false">IF(Setup!D11="","",Setup!D11)</f>
        <v>Waiting for upstream process</v>
      </c>
      <c r="J15" s="23" t="n">
        <f aca="false">IF(I15="",0,SUMIFS('Downtime Log'!$G$5:$G$1004,'Downtime Log'!$H$5:$H$1004,I15,'Downtime Log'!$A$5:$A$1004,"&gt;="&amp;$D$3,'Downtime Log'!$A$5:$A$1004,"&lt;="&amp;$D$4,'Downtime Log'!$C$5:$C$1004,$D$5))</f>
        <v>0</v>
      </c>
      <c r="K15" s="23" t="n">
        <f aca="false">IF(I15="",0,COUNTIFS('Downtime Log'!$H$5:$H$1004,I15,'Downtime Log'!$A$5:$A$1004,"&gt;="&amp;$D$3,'Downtime Log'!$A$5:$A$1004,"&lt;="&amp;$D$4,'Downtime Log'!$C$5:$C$1004,$D$5))</f>
        <v>0</v>
      </c>
      <c r="L15" s="23" t="n">
        <f aca="false">IF(I15="",-1,J15+(34-7)/1000000)</f>
        <v>2.7E-005</v>
      </c>
    </row>
    <row r="16" customFormat="false" ht="15" hidden="false" customHeight="false" outlineLevel="0" collapsed="false">
      <c r="A16" s="20" t="n">
        <v>8</v>
      </c>
      <c r="B16" s="14" t="str">
        <f aca="false">IF(INDEX($J$9:$J$38,MATCH(LARGE($L$9:$L$38,A16),$L$9:$L$38,0))&lt;=0,"",INDEX($I$9:$I$38,MATCH(LARGE($L$9:$L$38,A16),$L$9:$L$38,0)))</f>
        <v/>
      </c>
      <c r="C16" s="21" t="str">
        <f aca="false">IF(B16="","",INDEX($J$9:$J$38,MATCH(LARGE($L$9:$L$38,A16),$L$9:$L$38,0)))</f>
        <v/>
      </c>
      <c r="D16" s="13" t="str">
        <f aca="false">IF(B16="","",INDEX($K$9:$K$38,MATCH(LARGE($L$9:$L$38,A16),$L$9:$L$38,0)))</f>
        <v/>
      </c>
      <c r="E16" s="22" t="str">
        <f aca="false">IF(OR(B16="",$B$6=0),"",C16/$B$6)</f>
        <v/>
      </c>
      <c r="F16" s="22" t="str">
        <f aca="false">IF(OR(B16="",$B$6=0),"",SUM($C$9:C16)/$B$6)</f>
        <v/>
      </c>
      <c r="I16" s="23" t="str">
        <f aca="false">IF(Setup!D12="","",Setup!D12)</f>
        <v>Quality hold / inspection</v>
      </c>
      <c r="J16" s="23" t="n">
        <f aca="false">IF(I16="",0,SUMIFS('Downtime Log'!$G$5:$G$1004,'Downtime Log'!$H$5:$H$1004,I16,'Downtime Log'!$A$5:$A$1004,"&gt;="&amp;$D$3,'Downtime Log'!$A$5:$A$1004,"&lt;="&amp;$D$4,'Downtime Log'!$C$5:$C$1004,$D$5))</f>
        <v>15</v>
      </c>
      <c r="K16" s="23" t="n">
        <f aca="false">IF(I16="",0,COUNTIFS('Downtime Log'!$H$5:$H$1004,I16,'Downtime Log'!$A$5:$A$1004,"&gt;="&amp;$D$3,'Downtime Log'!$A$5:$A$1004,"&lt;="&amp;$D$4,'Downtime Log'!$C$5:$C$1004,$D$5))</f>
        <v>1</v>
      </c>
      <c r="L16" s="23" t="n">
        <f aca="false">IF(I16="",-1,J16+(34-8)/1000000)</f>
        <v>15.000026</v>
      </c>
    </row>
    <row r="17" customFormat="false" ht="15" hidden="false" customHeight="false" outlineLevel="0" collapsed="false">
      <c r="A17" s="20" t="n">
        <v>9</v>
      </c>
      <c r="B17" s="14" t="str">
        <f aca="false">IF(INDEX($J$9:$J$38,MATCH(LARGE($L$9:$L$38,A17),$L$9:$L$38,0))&lt;=0,"",INDEX($I$9:$I$38,MATCH(LARGE($L$9:$L$38,A17),$L$9:$L$38,0)))</f>
        <v/>
      </c>
      <c r="C17" s="21" t="str">
        <f aca="false">IF(B17="","",INDEX($J$9:$J$38,MATCH(LARGE($L$9:$L$38,A17),$L$9:$L$38,0)))</f>
        <v/>
      </c>
      <c r="D17" s="13" t="str">
        <f aca="false">IF(B17="","",INDEX($K$9:$K$38,MATCH(LARGE($L$9:$L$38,A17),$L$9:$L$38,0)))</f>
        <v/>
      </c>
      <c r="E17" s="22" t="str">
        <f aca="false">IF(OR(B17="",$B$6=0),"",C17/$B$6)</f>
        <v/>
      </c>
      <c r="F17" s="22" t="str">
        <f aca="false">IF(OR(B17="",$B$6=0),"",SUM($C$9:C17)/$B$6)</f>
        <v/>
      </c>
      <c r="I17" s="23" t="str">
        <f aca="false">IF(Setup!D13="","",Setup!D13)</f>
        <v>No operator available</v>
      </c>
      <c r="J17" s="23" t="n">
        <f aca="false">IF(I17="",0,SUMIFS('Downtime Log'!$G$5:$G$1004,'Downtime Log'!$H$5:$H$1004,I17,'Downtime Log'!$A$5:$A$1004,"&gt;="&amp;$D$3,'Downtime Log'!$A$5:$A$1004,"&lt;="&amp;$D$4,'Downtime Log'!$C$5:$C$1004,$D$5))</f>
        <v>0</v>
      </c>
      <c r="K17" s="23" t="n">
        <f aca="false">IF(I17="",0,COUNTIFS('Downtime Log'!$H$5:$H$1004,I17,'Downtime Log'!$A$5:$A$1004,"&gt;="&amp;$D$3,'Downtime Log'!$A$5:$A$1004,"&lt;="&amp;$D$4,'Downtime Log'!$C$5:$C$1004,$D$5))</f>
        <v>0</v>
      </c>
      <c r="L17" s="23" t="n">
        <f aca="false">IF(I17="",-1,J17+(34-9)/1000000)</f>
        <v>2.5E-005</v>
      </c>
    </row>
    <row r="18" customFormat="false" ht="15" hidden="false" customHeight="false" outlineLevel="0" collapsed="false">
      <c r="A18" s="20" t="n">
        <v>10</v>
      </c>
      <c r="B18" s="14" t="str">
        <f aca="false">IF(INDEX($J$9:$J$38,MATCH(LARGE($L$9:$L$38,A18),$L$9:$L$38,0))&lt;=0,"",INDEX($I$9:$I$38,MATCH(LARGE($L$9:$L$38,A18),$L$9:$L$38,0)))</f>
        <v/>
      </c>
      <c r="C18" s="21" t="str">
        <f aca="false">IF(B18="","",INDEX($J$9:$J$38,MATCH(LARGE($L$9:$L$38,A18),$L$9:$L$38,0)))</f>
        <v/>
      </c>
      <c r="D18" s="13" t="str">
        <f aca="false">IF(B18="","",INDEX($K$9:$K$38,MATCH(LARGE($L$9:$L$38,A18),$L$9:$L$38,0)))</f>
        <v/>
      </c>
      <c r="E18" s="22" t="str">
        <f aca="false">IF(OR(B18="",$B$6=0),"",C18/$B$6)</f>
        <v/>
      </c>
      <c r="F18" s="22" t="str">
        <f aca="false">IF(OR(B18="",$B$6=0),"",SUM($C$9:C18)/$B$6)</f>
        <v/>
      </c>
      <c r="I18" s="23" t="str">
        <f aca="false">IF(Setup!D14="","",Setup!D14)</f>
        <v>Planned maintenance</v>
      </c>
      <c r="J18" s="23" t="n">
        <f aca="false">IF(I18="",0,SUMIFS('Downtime Log'!$G$5:$G$1004,'Downtime Log'!$H$5:$H$1004,I18,'Downtime Log'!$A$5:$A$1004,"&gt;="&amp;$D$3,'Downtime Log'!$A$5:$A$1004,"&lt;="&amp;$D$4,'Downtime Log'!$C$5:$C$1004,$D$5))</f>
        <v>0</v>
      </c>
      <c r="K18" s="23" t="n">
        <f aca="false">IF(I18="",0,COUNTIFS('Downtime Log'!$H$5:$H$1004,I18,'Downtime Log'!$A$5:$A$1004,"&gt;="&amp;$D$3,'Downtime Log'!$A$5:$A$1004,"&lt;="&amp;$D$4,'Downtime Log'!$C$5:$C$1004,$D$5))</f>
        <v>0</v>
      </c>
      <c r="L18" s="23" t="n">
        <f aca="false">IF(I18="",-1,J18+(34-10)/1000000)</f>
        <v>2.4E-005</v>
      </c>
    </row>
    <row r="19" customFormat="false" ht="15" hidden="false" customHeight="false" outlineLevel="0" collapsed="false">
      <c r="A19" s="20" t="n">
        <v>11</v>
      </c>
      <c r="B19" s="14" t="str">
        <f aca="false">IF(INDEX($J$9:$J$38,MATCH(LARGE($L$9:$L$38,A19),$L$9:$L$38,0))&lt;=0,"",INDEX($I$9:$I$38,MATCH(LARGE($L$9:$L$38,A19),$L$9:$L$38,0)))</f>
        <v/>
      </c>
      <c r="C19" s="21" t="str">
        <f aca="false">IF(B19="","",INDEX($J$9:$J$38,MATCH(LARGE($L$9:$L$38,A19),$L$9:$L$38,0)))</f>
        <v/>
      </c>
      <c r="D19" s="13" t="str">
        <f aca="false">IF(B19="","",INDEX($K$9:$K$38,MATCH(LARGE($L$9:$L$38,A19),$L$9:$L$38,0)))</f>
        <v/>
      </c>
      <c r="E19" s="22" t="str">
        <f aca="false">IF(OR(B19="",$B$6=0),"",C19/$B$6)</f>
        <v/>
      </c>
      <c r="F19" s="22" t="str">
        <f aca="false">IF(OR(B19="",$B$6=0),"",SUM($C$9:C19)/$B$6)</f>
        <v/>
      </c>
      <c r="I19" s="23" t="str">
        <f aca="false">IF(Setup!D15="","",Setup!D15)</f>
        <v>Meeting / training</v>
      </c>
      <c r="J19" s="23" t="n">
        <f aca="false">IF(I19="",0,SUMIFS('Downtime Log'!$G$5:$G$1004,'Downtime Log'!$H$5:$H$1004,I19,'Downtime Log'!$A$5:$A$1004,"&gt;="&amp;$D$3,'Downtime Log'!$A$5:$A$1004,"&lt;="&amp;$D$4,'Downtime Log'!$C$5:$C$1004,$D$5))</f>
        <v>0</v>
      </c>
      <c r="K19" s="23" t="n">
        <f aca="false">IF(I19="",0,COUNTIFS('Downtime Log'!$H$5:$H$1004,I19,'Downtime Log'!$A$5:$A$1004,"&gt;="&amp;$D$3,'Downtime Log'!$A$5:$A$1004,"&lt;="&amp;$D$4,'Downtime Log'!$C$5:$C$1004,$D$5))</f>
        <v>0</v>
      </c>
      <c r="L19" s="23" t="n">
        <f aca="false">IF(I19="",-1,J19+(34-11)/1000000)</f>
        <v>2.3E-005</v>
      </c>
    </row>
    <row r="20" customFormat="false" ht="15" hidden="false" customHeight="false" outlineLevel="0" collapsed="false">
      <c r="A20" s="20" t="n">
        <v>12</v>
      </c>
      <c r="B20" s="14" t="str">
        <f aca="false">IF(INDEX($J$9:$J$38,MATCH(LARGE($L$9:$L$38,A20),$L$9:$L$38,0))&lt;=0,"",INDEX($I$9:$I$38,MATCH(LARGE($L$9:$L$38,A20),$L$9:$L$38,0)))</f>
        <v/>
      </c>
      <c r="C20" s="21" t="str">
        <f aca="false">IF(B20="","",INDEX($J$9:$J$38,MATCH(LARGE($L$9:$L$38,A20),$L$9:$L$38,0)))</f>
        <v/>
      </c>
      <c r="D20" s="13" t="str">
        <f aca="false">IF(B20="","",INDEX($K$9:$K$38,MATCH(LARGE($L$9:$L$38,A20),$L$9:$L$38,0)))</f>
        <v/>
      </c>
      <c r="E20" s="22" t="str">
        <f aca="false">IF(OR(B20="",$B$6=0),"",C20/$B$6)</f>
        <v/>
      </c>
      <c r="F20" s="22" t="str">
        <f aca="false">IF(OR(B20="",$B$6=0),"",SUM($C$9:C20)/$B$6)</f>
        <v/>
      </c>
      <c r="I20" s="23" t="str">
        <f aca="false">IF(Setup!D16="","",Setup!D16)</f>
        <v>Other (describe in notes)</v>
      </c>
      <c r="J20" s="23" t="n">
        <f aca="false">IF(I20="",0,SUMIFS('Downtime Log'!$G$5:$G$1004,'Downtime Log'!$H$5:$H$1004,I20,'Downtime Log'!$A$5:$A$1004,"&gt;="&amp;$D$3,'Downtime Log'!$A$5:$A$1004,"&lt;="&amp;$D$4,'Downtime Log'!$C$5:$C$1004,$D$5))</f>
        <v>0</v>
      </c>
      <c r="K20" s="23" t="n">
        <f aca="false">IF(I20="",0,COUNTIFS('Downtime Log'!$H$5:$H$1004,I20,'Downtime Log'!$A$5:$A$1004,"&gt;="&amp;$D$3,'Downtime Log'!$A$5:$A$1004,"&lt;="&amp;$D$4,'Downtime Log'!$C$5:$C$1004,$D$5))</f>
        <v>0</v>
      </c>
      <c r="L20" s="23" t="n">
        <f aca="false">IF(I20="",-1,J20+(34-12)/1000000)</f>
        <v>2.2E-005</v>
      </c>
    </row>
    <row r="21" customFormat="false" ht="15" hidden="false" customHeight="false" outlineLevel="0" collapsed="false">
      <c r="A21" s="20" t="n">
        <v>13</v>
      </c>
      <c r="B21" s="14" t="str">
        <f aca="false">IF(INDEX($J$9:$J$38,MATCH(LARGE($L$9:$L$38,A21),$L$9:$L$38,0))&lt;=0,"",INDEX($I$9:$I$38,MATCH(LARGE($L$9:$L$38,A21),$L$9:$L$38,0)))</f>
        <v/>
      </c>
      <c r="C21" s="21" t="str">
        <f aca="false">IF(B21="","",INDEX($J$9:$J$38,MATCH(LARGE($L$9:$L$38,A21),$L$9:$L$38,0)))</f>
        <v/>
      </c>
      <c r="D21" s="13" t="str">
        <f aca="false">IF(B21="","",INDEX($K$9:$K$38,MATCH(LARGE($L$9:$L$38,A21),$L$9:$L$38,0)))</f>
        <v/>
      </c>
      <c r="E21" s="22" t="str">
        <f aca="false">IF(OR(B21="",$B$6=0),"",C21/$B$6)</f>
        <v/>
      </c>
      <c r="F21" s="22" t="str">
        <f aca="false">IF(OR(B21="",$B$6=0),"",SUM($C$9:C21)/$B$6)</f>
        <v/>
      </c>
      <c r="I21" s="23" t="str">
        <f aca="false">IF(Setup!D17="","",Setup!D17)</f>
        <v/>
      </c>
      <c r="J21" s="23" t="n">
        <f aca="false">IF(I21="",0,SUMIFS('Downtime Log'!$G$5:$G$1004,'Downtime Log'!$H$5:$H$1004,I21,'Downtime Log'!$A$5:$A$1004,"&gt;="&amp;$D$3,'Downtime Log'!$A$5:$A$1004,"&lt;="&amp;$D$4,'Downtime Log'!$C$5:$C$1004,$D$5))</f>
        <v>0</v>
      </c>
      <c r="K21" s="23" t="n">
        <f aca="false">IF(I21="",0,COUNTIFS('Downtime Log'!$H$5:$H$1004,I21,'Downtime Log'!$A$5:$A$1004,"&gt;="&amp;$D$3,'Downtime Log'!$A$5:$A$1004,"&lt;="&amp;$D$4,'Downtime Log'!$C$5:$C$1004,$D$5))</f>
        <v>0</v>
      </c>
      <c r="L21" s="23" t="n">
        <f aca="false">IF(I21="",-1,J21+(34-13)/1000000)</f>
        <v>-1</v>
      </c>
    </row>
    <row r="22" customFormat="false" ht="15" hidden="false" customHeight="false" outlineLevel="0" collapsed="false">
      <c r="A22" s="20" t="n">
        <v>14</v>
      </c>
      <c r="B22" s="14" t="str">
        <f aca="false">IF(INDEX($J$9:$J$38,MATCH(LARGE($L$9:$L$38,A22),$L$9:$L$38,0))&lt;=0,"",INDEX($I$9:$I$38,MATCH(LARGE($L$9:$L$38,A22),$L$9:$L$38,0)))</f>
        <v/>
      </c>
      <c r="C22" s="21" t="str">
        <f aca="false">IF(B22="","",INDEX($J$9:$J$38,MATCH(LARGE($L$9:$L$38,A22),$L$9:$L$38,0)))</f>
        <v/>
      </c>
      <c r="D22" s="13" t="str">
        <f aca="false">IF(B22="","",INDEX($K$9:$K$38,MATCH(LARGE($L$9:$L$38,A22),$L$9:$L$38,0)))</f>
        <v/>
      </c>
      <c r="E22" s="22" t="str">
        <f aca="false">IF(OR(B22="",$B$6=0),"",C22/$B$6)</f>
        <v/>
      </c>
      <c r="F22" s="22" t="str">
        <f aca="false">IF(OR(B22="",$B$6=0),"",SUM($C$9:C22)/$B$6)</f>
        <v/>
      </c>
      <c r="I22" s="23" t="str">
        <f aca="false">IF(Setup!D18="","",Setup!D18)</f>
        <v/>
      </c>
      <c r="J22" s="23" t="n">
        <f aca="false">IF(I22="",0,SUMIFS('Downtime Log'!$G$5:$G$1004,'Downtime Log'!$H$5:$H$1004,I22,'Downtime Log'!$A$5:$A$1004,"&gt;="&amp;$D$3,'Downtime Log'!$A$5:$A$1004,"&lt;="&amp;$D$4,'Downtime Log'!$C$5:$C$1004,$D$5))</f>
        <v>0</v>
      </c>
      <c r="K22" s="23" t="n">
        <f aca="false">IF(I22="",0,COUNTIFS('Downtime Log'!$H$5:$H$1004,I22,'Downtime Log'!$A$5:$A$1004,"&gt;="&amp;$D$3,'Downtime Log'!$A$5:$A$1004,"&lt;="&amp;$D$4,'Downtime Log'!$C$5:$C$1004,$D$5))</f>
        <v>0</v>
      </c>
      <c r="L22" s="23" t="n">
        <f aca="false">IF(I22="",-1,J22+(34-14)/1000000)</f>
        <v>-1</v>
      </c>
    </row>
    <row r="23" customFormat="false" ht="15" hidden="false" customHeight="false" outlineLevel="0" collapsed="false">
      <c r="A23" s="20" t="n">
        <v>15</v>
      </c>
      <c r="B23" s="14" t="str">
        <f aca="false">IF(INDEX($J$9:$J$38,MATCH(LARGE($L$9:$L$38,A23),$L$9:$L$38,0))&lt;=0,"",INDEX($I$9:$I$38,MATCH(LARGE($L$9:$L$38,A23),$L$9:$L$38,0)))</f>
        <v/>
      </c>
      <c r="C23" s="21" t="str">
        <f aca="false">IF(B23="","",INDEX($J$9:$J$38,MATCH(LARGE($L$9:$L$38,A23),$L$9:$L$38,0)))</f>
        <v/>
      </c>
      <c r="D23" s="13" t="str">
        <f aca="false">IF(B23="","",INDEX($K$9:$K$38,MATCH(LARGE($L$9:$L$38,A23),$L$9:$L$38,0)))</f>
        <v/>
      </c>
      <c r="E23" s="22" t="str">
        <f aca="false">IF(OR(B23="",$B$6=0),"",C23/$B$6)</f>
        <v/>
      </c>
      <c r="F23" s="22" t="str">
        <f aca="false">IF(OR(B23="",$B$6=0),"",SUM($C$9:C23)/$B$6)</f>
        <v/>
      </c>
      <c r="I23" s="23" t="str">
        <f aca="false">IF(Setup!D19="","",Setup!D19)</f>
        <v/>
      </c>
      <c r="J23" s="23" t="n">
        <f aca="false">IF(I23="",0,SUMIFS('Downtime Log'!$G$5:$G$1004,'Downtime Log'!$H$5:$H$1004,I23,'Downtime Log'!$A$5:$A$1004,"&gt;="&amp;$D$3,'Downtime Log'!$A$5:$A$1004,"&lt;="&amp;$D$4,'Downtime Log'!$C$5:$C$1004,$D$5))</f>
        <v>0</v>
      </c>
      <c r="K23" s="23" t="n">
        <f aca="false">IF(I23="",0,COUNTIFS('Downtime Log'!$H$5:$H$1004,I23,'Downtime Log'!$A$5:$A$1004,"&gt;="&amp;$D$3,'Downtime Log'!$A$5:$A$1004,"&lt;="&amp;$D$4,'Downtime Log'!$C$5:$C$1004,$D$5))</f>
        <v>0</v>
      </c>
      <c r="L23" s="23" t="n">
        <f aca="false">IF(I23="",-1,J23+(34-15)/1000000)</f>
        <v>-1</v>
      </c>
    </row>
    <row r="24" customFormat="false" ht="15" hidden="false" customHeight="false" outlineLevel="0" collapsed="false">
      <c r="A24" s="20" t="n">
        <v>16</v>
      </c>
      <c r="B24" s="14" t="str">
        <f aca="false">IF(INDEX($J$9:$J$38,MATCH(LARGE($L$9:$L$38,A24),$L$9:$L$38,0))&lt;=0,"",INDEX($I$9:$I$38,MATCH(LARGE($L$9:$L$38,A24),$L$9:$L$38,0)))</f>
        <v/>
      </c>
      <c r="C24" s="21" t="str">
        <f aca="false">IF(B24="","",INDEX($J$9:$J$38,MATCH(LARGE($L$9:$L$38,A24),$L$9:$L$38,0)))</f>
        <v/>
      </c>
      <c r="D24" s="13" t="str">
        <f aca="false">IF(B24="","",INDEX($K$9:$K$38,MATCH(LARGE($L$9:$L$38,A24),$L$9:$L$38,0)))</f>
        <v/>
      </c>
      <c r="E24" s="22" t="str">
        <f aca="false">IF(OR(B24="",$B$6=0),"",C24/$B$6)</f>
        <v/>
      </c>
      <c r="F24" s="22" t="str">
        <f aca="false">IF(OR(B24="",$B$6=0),"",SUM($C$9:C24)/$B$6)</f>
        <v/>
      </c>
      <c r="I24" s="23" t="str">
        <f aca="false">IF(Setup!D20="","",Setup!D20)</f>
        <v/>
      </c>
      <c r="J24" s="23" t="n">
        <f aca="false">IF(I24="",0,SUMIFS('Downtime Log'!$G$5:$G$1004,'Downtime Log'!$H$5:$H$1004,I24,'Downtime Log'!$A$5:$A$1004,"&gt;="&amp;$D$3,'Downtime Log'!$A$5:$A$1004,"&lt;="&amp;$D$4,'Downtime Log'!$C$5:$C$1004,$D$5))</f>
        <v>0</v>
      </c>
      <c r="K24" s="23" t="n">
        <f aca="false">IF(I24="",0,COUNTIFS('Downtime Log'!$H$5:$H$1004,I24,'Downtime Log'!$A$5:$A$1004,"&gt;="&amp;$D$3,'Downtime Log'!$A$5:$A$1004,"&lt;="&amp;$D$4,'Downtime Log'!$C$5:$C$1004,$D$5))</f>
        <v>0</v>
      </c>
      <c r="L24" s="23" t="n">
        <f aca="false">IF(I24="",-1,J24+(34-16)/1000000)</f>
        <v>-1</v>
      </c>
    </row>
    <row r="25" customFormat="false" ht="15" hidden="false" customHeight="false" outlineLevel="0" collapsed="false">
      <c r="A25" s="20" t="n">
        <v>17</v>
      </c>
      <c r="B25" s="14" t="str">
        <f aca="false">IF(INDEX($J$9:$J$38,MATCH(LARGE($L$9:$L$38,A25),$L$9:$L$38,0))&lt;=0,"",INDEX($I$9:$I$38,MATCH(LARGE($L$9:$L$38,A25),$L$9:$L$38,0)))</f>
        <v/>
      </c>
      <c r="C25" s="21" t="str">
        <f aca="false">IF(B25="","",INDEX($J$9:$J$38,MATCH(LARGE($L$9:$L$38,A25),$L$9:$L$38,0)))</f>
        <v/>
      </c>
      <c r="D25" s="13" t="str">
        <f aca="false">IF(B25="","",INDEX($K$9:$K$38,MATCH(LARGE($L$9:$L$38,A25),$L$9:$L$38,0)))</f>
        <v/>
      </c>
      <c r="E25" s="22" t="str">
        <f aca="false">IF(OR(B25="",$B$6=0),"",C25/$B$6)</f>
        <v/>
      </c>
      <c r="F25" s="22" t="str">
        <f aca="false">IF(OR(B25="",$B$6=0),"",SUM($C$9:C25)/$B$6)</f>
        <v/>
      </c>
      <c r="I25" s="23" t="str">
        <f aca="false">IF(Setup!D21="","",Setup!D21)</f>
        <v/>
      </c>
      <c r="J25" s="23" t="n">
        <f aca="false">IF(I25="",0,SUMIFS('Downtime Log'!$G$5:$G$1004,'Downtime Log'!$H$5:$H$1004,I25,'Downtime Log'!$A$5:$A$1004,"&gt;="&amp;$D$3,'Downtime Log'!$A$5:$A$1004,"&lt;="&amp;$D$4,'Downtime Log'!$C$5:$C$1004,$D$5))</f>
        <v>0</v>
      </c>
      <c r="K25" s="23" t="n">
        <f aca="false">IF(I25="",0,COUNTIFS('Downtime Log'!$H$5:$H$1004,I25,'Downtime Log'!$A$5:$A$1004,"&gt;="&amp;$D$3,'Downtime Log'!$A$5:$A$1004,"&lt;="&amp;$D$4,'Downtime Log'!$C$5:$C$1004,$D$5))</f>
        <v>0</v>
      </c>
      <c r="L25" s="23" t="n">
        <f aca="false">IF(I25="",-1,J25+(34-17)/1000000)</f>
        <v>-1</v>
      </c>
    </row>
    <row r="26" customFormat="false" ht="15" hidden="false" customHeight="false" outlineLevel="0" collapsed="false">
      <c r="A26" s="20" t="n">
        <v>18</v>
      </c>
      <c r="B26" s="14" t="str">
        <f aca="false">IF(INDEX($J$9:$J$38,MATCH(LARGE($L$9:$L$38,A26),$L$9:$L$38,0))&lt;=0,"",INDEX($I$9:$I$38,MATCH(LARGE($L$9:$L$38,A26),$L$9:$L$38,0)))</f>
        <v/>
      </c>
      <c r="C26" s="21" t="str">
        <f aca="false">IF(B26="","",INDEX($J$9:$J$38,MATCH(LARGE($L$9:$L$38,A26),$L$9:$L$38,0)))</f>
        <v/>
      </c>
      <c r="D26" s="13" t="str">
        <f aca="false">IF(B26="","",INDEX($K$9:$K$38,MATCH(LARGE($L$9:$L$38,A26),$L$9:$L$38,0)))</f>
        <v/>
      </c>
      <c r="E26" s="22" t="str">
        <f aca="false">IF(OR(B26="",$B$6=0),"",C26/$B$6)</f>
        <v/>
      </c>
      <c r="F26" s="22" t="str">
        <f aca="false">IF(OR(B26="",$B$6=0),"",SUM($C$9:C26)/$B$6)</f>
        <v/>
      </c>
      <c r="I26" s="23" t="str">
        <f aca="false">IF(Setup!D22="","",Setup!D22)</f>
        <v/>
      </c>
      <c r="J26" s="23" t="n">
        <f aca="false">IF(I26="",0,SUMIFS('Downtime Log'!$G$5:$G$1004,'Downtime Log'!$H$5:$H$1004,I26,'Downtime Log'!$A$5:$A$1004,"&gt;="&amp;$D$3,'Downtime Log'!$A$5:$A$1004,"&lt;="&amp;$D$4,'Downtime Log'!$C$5:$C$1004,$D$5))</f>
        <v>0</v>
      </c>
      <c r="K26" s="23" t="n">
        <f aca="false">IF(I26="",0,COUNTIFS('Downtime Log'!$H$5:$H$1004,I26,'Downtime Log'!$A$5:$A$1004,"&gt;="&amp;$D$3,'Downtime Log'!$A$5:$A$1004,"&lt;="&amp;$D$4,'Downtime Log'!$C$5:$C$1004,$D$5))</f>
        <v>0</v>
      </c>
      <c r="L26" s="23" t="n">
        <f aca="false">IF(I26="",-1,J26+(34-18)/1000000)</f>
        <v>-1</v>
      </c>
    </row>
    <row r="27" customFormat="false" ht="15" hidden="false" customHeight="false" outlineLevel="0" collapsed="false">
      <c r="A27" s="20" t="n">
        <v>19</v>
      </c>
      <c r="B27" s="14" t="str">
        <f aca="false">IF(INDEX($J$9:$J$38,MATCH(LARGE($L$9:$L$38,A27),$L$9:$L$38,0))&lt;=0,"",INDEX($I$9:$I$38,MATCH(LARGE($L$9:$L$38,A27),$L$9:$L$38,0)))</f>
        <v/>
      </c>
      <c r="C27" s="21" t="str">
        <f aca="false">IF(B27="","",INDEX($J$9:$J$38,MATCH(LARGE($L$9:$L$38,A27),$L$9:$L$38,0)))</f>
        <v/>
      </c>
      <c r="D27" s="13" t="str">
        <f aca="false">IF(B27="","",INDEX($K$9:$K$38,MATCH(LARGE($L$9:$L$38,A27),$L$9:$L$38,0)))</f>
        <v/>
      </c>
      <c r="E27" s="22" t="str">
        <f aca="false">IF(OR(B27="",$B$6=0),"",C27/$B$6)</f>
        <v/>
      </c>
      <c r="F27" s="22" t="str">
        <f aca="false">IF(OR(B27="",$B$6=0),"",SUM($C$9:C27)/$B$6)</f>
        <v/>
      </c>
      <c r="I27" s="23" t="str">
        <f aca="false">IF(Setup!D23="","",Setup!D23)</f>
        <v/>
      </c>
      <c r="J27" s="23" t="n">
        <f aca="false">IF(I27="",0,SUMIFS('Downtime Log'!$G$5:$G$1004,'Downtime Log'!$H$5:$H$1004,I27,'Downtime Log'!$A$5:$A$1004,"&gt;="&amp;$D$3,'Downtime Log'!$A$5:$A$1004,"&lt;="&amp;$D$4,'Downtime Log'!$C$5:$C$1004,$D$5))</f>
        <v>0</v>
      </c>
      <c r="K27" s="23" t="n">
        <f aca="false">IF(I27="",0,COUNTIFS('Downtime Log'!$H$5:$H$1004,I27,'Downtime Log'!$A$5:$A$1004,"&gt;="&amp;$D$3,'Downtime Log'!$A$5:$A$1004,"&lt;="&amp;$D$4,'Downtime Log'!$C$5:$C$1004,$D$5))</f>
        <v>0</v>
      </c>
      <c r="L27" s="23" t="n">
        <f aca="false">IF(I27="",-1,J27+(34-19)/1000000)</f>
        <v>-1</v>
      </c>
    </row>
    <row r="28" customFormat="false" ht="15" hidden="false" customHeight="false" outlineLevel="0" collapsed="false">
      <c r="A28" s="20" t="n">
        <v>20</v>
      </c>
      <c r="B28" s="14" t="str">
        <f aca="false">IF(INDEX($J$9:$J$38,MATCH(LARGE($L$9:$L$38,A28),$L$9:$L$38,0))&lt;=0,"",INDEX($I$9:$I$38,MATCH(LARGE($L$9:$L$38,A28),$L$9:$L$38,0)))</f>
        <v/>
      </c>
      <c r="C28" s="21" t="str">
        <f aca="false">IF(B28="","",INDEX($J$9:$J$38,MATCH(LARGE($L$9:$L$38,A28),$L$9:$L$38,0)))</f>
        <v/>
      </c>
      <c r="D28" s="13" t="str">
        <f aca="false">IF(B28="","",INDEX($K$9:$K$38,MATCH(LARGE($L$9:$L$38,A28),$L$9:$L$38,0)))</f>
        <v/>
      </c>
      <c r="E28" s="22" t="str">
        <f aca="false">IF(OR(B28="",$B$6=0),"",C28/$B$6)</f>
        <v/>
      </c>
      <c r="F28" s="22" t="str">
        <f aca="false">IF(OR(B28="",$B$6=0),"",SUM($C$9:C28)/$B$6)</f>
        <v/>
      </c>
      <c r="I28" s="23" t="str">
        <f aca="false">IF(Setup!D24="","",Setup!D24)</f>
        <v/>
      </c>
      <c r="J28" s="23" t="n">
        <f aca="false">IF(I28="",0,SUMIFS('Downtime Log'!$G$5:$G$1004,'Downtime Log'!$H$5:$H$1004,I28,'Downtime Log'!$A$5:$A$1004,"&gt;="&amp;$D$3,'Downtime Log'!$A$5:$A$1004,"&lt;="&amp;$D$4,'Downtime Log'!$C$5:$C$1004,$D$5))</f>
        <v>0</v>
      </c>
      <c r="K28" s="23" t="n">
        <f aca="false">IF(I28="",0,COUNTIFS('Downtime Log'!$H$5:$H$1004,I28,'Downtime Log'!$A$5:$A$1004,"&gt;="&amp;$D$3,'Downtime Log'!$A$5:$A$1004,"&lt;="&amp;$D$4,'Downtime Log'!$C$5:$C$1004,$D$5))</f>
        <v>0</v>
      </c>
      <c r="L28" s="23" t="n">
        <f aca="false">IF(I28="",-1,J28+(34-20)/1000000)</f>
        <v>-1</v>
      </c>
    </row>
    <row r="29" customFormat="false" ht="15" hidden="false" customHeight="false" outlineLevel="0" collapsed="false">
      <c r="A29" s="20" t="n">
        <v>21</v>
      </c>
      <c r="B29" s="14" t="str">
        <f aca="false">IF(INDEX($J$9:$J$38,MATCH(LARGE($L$9:$L$38,A29),$L$9:$L$38,0))&lt;=0,"",INDEX($I$9:$I$38,MATCH(LARGE($L$9:$L$38,A29),$L$9:$L$38,0)))</f>
        <v/>
      </c>
      <c r="C29" s="21" t="str">
        <f aca="false">IF(B29="","",INDEX($J$9:$J$38,MATCH(LARGE($L$9:$L$38,A29),$L$9:$L$38,0)))</f>
        <v/>
      </c>
      <c r="D29" s="13" t="str">
        <f aca="false">IF(B29="","",INDEX($K$9:$K$38,MATCH(LARGE($L$9:$L$38,A29),$L$9:$L$38,0)))</f>
        <v/>
      </c>
      <c r="E29" s="22" t="str">
        <f aca="false">IF(OR(B29="",$B$6=0),"",C29/$B$6)</f>
        <v/>
      </c>
      <c r="F29" s="22" t="str">
        <f aca="false">IF(OR(B29="",$B$6=0),"",SUM($C$9:C29)/$B$6)</f>
        <v/>
      </c>
      <c r="I29" s="23" t="str">
        <f aca="false">IF(Setup!D25="","",Setup!D25)</f>
        <v/>
      </c>
      <c r="J29" s="23" t="n">
        <f aca="false">IF(I29="",0,SUMIFS('Downtime Log'!$G$5:$G$1004,'Downtime Log'!$H$5:$H$1004,I29,'Downtime Log'!$A$5:$A$1004,"&gt;="&amp;$D$3,'Downtime Log'!$A$5:$A$1004,"&lt;="&amp;$D$4,'Downtime Log'!$C$5:$C$1004,$D$5))</f>
        <v>0</v>
      </c>
      <c r="K29" s="23" t="n">
        <f aca="false">IF(I29="",0,COUNTIFS('Downtime Log'!$H$5:$H$1004,I29,'Downtime Log'!$A$5:$A$1004,"&gt;="&amp;$D$3,'Downtime Log'!$A$5:$A$1004,"&lt;="&amp;$D$4,'Downtime Log'!$C$5:$C$1004,$D$5))</f>
        <v>0</v>
      </c>
      <c r="L29" s="23" t="n">
        <f aca="false">IF(I29="",-1,J29+(34-21)/1000000)</f>
        <v>-1</v>
      </c>
    </row>
    <row r="30" customFormat="false" ht="15" hidden="false" customHeight="false" outlineLevel="0" collapsed="false">
      <c r="A30" s="20" t="n">
        <v>22</v>
      </c>
      <c r="B30" s="14" t="str">
        <f aca="false">IF(INDEX($J$9:$J$38,MATCH(LARGE($L$9:$L$38,A30),$L$9:$L$38,0))&lt;=0,"",INDEX($I$9:$I$38,MATCH(LARGE($L$9:$L$38,A30),$L$9:$L$38,0)))</f>
        <v/>
      </c>
      <c r="C30" s="21" t="str">
        <f aca="false">IF(B30="","",INDEX($J$9:$J$38,MATCH(LARGE($L$9:$L$38,A30),$L$9:$L$38,0)))</f>
        <v/>
      </c>
      <c r="D30" s="13" t="str">
        <f aca="false">IF(B30="","",INDEX($K$9:$K$38,MATCH(LARGE($L$9:$L$38,A30),$L$9:$L$38,0)))</f>
        <v/>
      </c>
      <c r="E30" s="22" t="str">
        <f aca="false">IF(OR(B30="",$B$6=0),"",C30/$B$6)</f>
        <v/>
      </c>
      <c r="F30" s="22" t="str">
        <f aca="false">IF(OR(B30="",$B$6=0),"",SUM($C$9:C30)/$B$6)</f>
        <v/>
      </c>
      <c r="I30" s="23" t="str">
        <f aca="false">IF(Setup!D26="","",Setup!D26)</f>
        <v/>
      </c>
      <c r="J30" s="23" t="n">
        <f aca="false">IF(I30="",0,SUMIFS('Downtime Log'!$G$5:$G$1004,'Downtime Log'!$H$5:$H$1004,I30,'Downtime Log'!$A$5:$A$1004,"&gt;="&amp;$D$3,'Downtime Log'!$A$5:$A$1004,"&lt;="&amp;$D$4,'Downtime Log'!$C$5:$C$1004,$D$5))</f>
        <v>0</v>
      </c>
      <c r="K30" s="23" t="n">
        <f aca="false">IF(I30="",0,COUNTIFS('Downtime Log'!$H$5:$H$1004,I30,'Downtime Log'!$A$5:$A$1004,"&gt;="&amp;$D$3,'Downtime Log'!$A$5:$A$1004,"&lt;="&amp;$D$4,'Downtime Log'!$C$5:$C$1004,$D$5))</f>
        <v>0</v>
      </c>
      <c r="L30" s="23" t="n">
        <f aca="false">IF(I30="",-1,J30+(34-22)/1000000)</f>
        <v>-1</v>
      </c>
    </row>
    <row r="31" customFormat="false" ht="15" hidden="false" customHeight="false" outlineLevel="0" collapsed="false">
      <c r="A31" s="20" t="n">
        <v>23</v>
      </c>
      <c r="B31" s="14" t="str">
        <f aca="false">IF(INDEX($J$9:$J$38,MATCH(LARGE($L$9:$L$38,A31),$L$9:$L$38,0))&lt;=0,"",INDEX($I$9:$I$38,MATCH(LARGE($L$9:$L$38,A31),$L$9:$L$38,0)))</f>
        <v/>
      </c>
      <c r="C31" s="21" t="str">
        <f aca="false">IF(B31="","",INDEX($J$9:$J$38,MATCH(LARGE($L$9:$L$38,A31),$L$9:$L$38,0)))</f>
        <v/>
      </c>
      <c r="D31" s="13" t="str">
        <f aca="false">IF(B31="","",INDEX($K$9:$K$38,MATCH(LARGE($L$9:$L$38,A31),$L$9:$L$38,0)))</f>
        <v/>
      </c>
      <c r="E31" s="22" t="str">
        <f aca="false">IF(OR(B31="",$B$6=0),"",C31/$B$6)</f>
        <v/>
      </c>
      <c r="F31" s="22" t="str">
        <f aca="false">IF(OR(B31="",$B$6=0),"",SUM($C$9:C31)/$B$6)</f>
        <v/>
      </c>
      <c r="I31" s="23" t="str">
        <f aca="false">IF(Setup!D27="","",Setup!D27)</f>
        <v/>
      </c>
      <c r="J31" s="23" t="n">
        <f aca="false">IF(I31="",0,SUMIFS('Downtime Log'!$G$5:$G$1004,'Downtime Log'!$H$5:$H$1004,I31,'Downtime Log'!$A$5:$A$1004,"&gt;="&amp;$D$3,'Downtime Log'!$A$5:$A$1004,"&lt;="&amp;$D$4,'Downtime Log'!$C$5:$C$1004,$D$5))</f>
        <v>0</v>
      </c>
      <c r="K31" s="23" t="n">
        <f aca="false">IF(I31="",0,COUNTIFS('Downtime Log'!$H$5:$H$1004,I31,'Downtime Log'!$A$5:$A$1004,"&gt;="&amp;$D$3,'Downtime Log'!$A$5:$A$1004,"&lt;="&amp;$D$4,'Downtime Log'!$C$5:$C$1004,$D$5))</f>
        <v>0</v>
      </c>
      <c r="L31" s="23" t="n">
        <f aca="false">IF(I31="",-1,J31+(34-23)/1000000)</f>
        <v>-1</v>
      </c>
    </row>
    <row r="32" customFormat="false" ht="15" hidden="false" customHeight="false" outlineLevel="0" collapsed="false">
      <c r="A32" s="20" t="n">
        <v>24</v>
      </c>
      <c r="B32" s="14" t="str">
        <f aca="false">IF(INDEX($J$9:$J$38,MATCH(LARGE($L$9:$L$38,A32),$L$9:$L$38,0))&lt;=0,"",INDEX($I$9:$I$38,MATCH(LARGE($L$9:$L$38,A32),$L$9:$L$38,0)))</f>
        <v/>
      </c>
      <c r="C32" s="21" t="str">
        <f aca="false">IF(B32="","",INDEX($J$9:$J$38,MATCH(LARGE($L$9:$L$38,A32),$L$9:$L$38,0)))</f>
        <v/>
      </c>
      <c r="D32" s="13" t="str">
        <f aca="false">IF(B32="","",INDEX($K$9:$K$38,MATCH(LARGE($L$9:$L$38,A32),$L$9:$L$38,0)))</f>
        <v/>
      </c>
      <c r="E32" s="22" t="str">
        <f aca="false">IF(OR(B32="",$B$6=0),"",C32/$B$6)</f>
        <v/>
      </c>
      <c r="F32" s="22" t="str">
        <f aca="false">IF(OR(B32="",$B$6=0),"",SUM($C$9:C32)/$B$6)</f>
        <v/>
      </c>
      <c r="I32" s="23" t="str">
        <f aca="false">IF(Setup!D28="","",Setup!D28)</f>
        <v/>
      </c>
      <c r="J32" s="23" t="n">
        <f aca="false">IF(I32="",0,SUMIFS('Downtime Log'!$G$5:$G$1004,'Downtime Log'!$H$5:$H$1004,I32,'Downtime Log'!$A$5:$A$1004,"&gt;="&amp;$D$3,'Downtime Log'!$A$5:$A$1004,"&lt;="&amp;$D$4,'Downtime Log'!$C$5:$C$1004,$D$5))</f>
        <v>0</v>
      </c>
      <c r="K32" s="23" t="n">
        <f aca="false">IF(I32="",0,COUNTIFS('Downtime Log'!$H$5:$H$1004,I32,'Downtime Log'!$A$5:$A$1004,"&gt;="&amp;$D$3,'Downtime Log'!$A$5:$A$1004,"&lt;="&amp;$D$4,'Downtime Log'!$C$5:$C$1004,$D$5))</f>
        <v>0</v>
      </c>
      <c r="L32" s="23" t="n">
        <f aca="false">IF(I32="",-1,J32+(34-24)/1000000)</f>
        <v>-1</v>
      </c>
    </row>
    <row r="33" customFormat="false" ht="15" hidden="false" customHeight="false" outlineLevel="0" collapsed="false">
      <c r="A33" s="20" t="n">
        <v>25</v>
      </c>
      <c r="B33" s="14" t="str">
        <f aca="false">IF(INDEX($J$9:$J$38,MATCH(LARGE($L$9:$L$38,A33),$L$9:$L$38,0))&lt;=0,"",INDEX($I$9:$I$38,MATCH(LARGE($L$9:$L$38,A33),$L$9:$L$38,0)))</f>
        <v/>
      </c>
      <c r="C33" s="21" t="str">
        <f aca="false">IF(B33="","",INDEX($J$9:$J$38,MATCH(LARGE($L$9:$L$38,A33),$L$9:$L$38,0)))</f>
        <v/>
      </c>
      <c r="D33" s="13" t="str">
        <f aca="false">IF(B33="","",INDEX($K$9:$K$38,MATCH(LARGE($L$9:$L$38,A33),$L$9:$L$38,0)))</f>
        <v/>
      </c>
      <c r="E33" s="22" t="str">
        <f aca="false">IF(OR(B33="",$B$6=0),"",C33/$B$6)</f>
        <v/>
      </c>
      <c r="F33" s="22" t="str">
        <f aca="false">IF(OR(B33="",$B$6=0),"",SUM($C$9:C33)/$B$6)</f>
        <v/>
      </c>
      <c r="I33" s="23" t="str">
        <f aca="false">IF(Setup!D29="","",Setup!D29)</f>
        <v/>
      </c>
      <c r="J33" s="23" t="n">
        <f aca="false">IF(I33="",0,SUMIFS('Downtime Log'!$G$5:$G$1004,'Downtime Log'!$H$5:$H$1004,I33,'Downtime Log'!$A$5:$A$1004,"&gt;="&amp;$D$3,'Downtime Log'!$A$5:$A$1004,"&lt;="&amp;$D$4,'Downtime Log'!$C$5:$C$1004,$D$5))</f>
        <v>0</v>
      </c>
      <c r="K33" s="23" t="n">
        <f aca="false">IF(I33="",0,COUNTIFS('Downtime Log'!$H$5:$H$1004,I33,'Downtime Log'!$A$5:$A$1004,"&gt;="&amp;$D$3,'Downtime Log'!$A$5:$A$1004,"&lt;="&amp;$D$4,'Downtime Log'!$C$5:$C$1004,$D$5))</f>
        <v>0</v>
      </c>
      <c r="L33" s="23" t="n">
        <f aca="false">IF(I33="",-1,J33+(34-25)/1000000)</f>
        <v>-1</v>
      </c>
    </row>
    <row r="34" customFormat="false" ht="15" hidden="false" customHeight="false" outlineLevel="0" collapsed="false">
      <c r="A34" s="20" t="n">
        <v>26</v>
      </c>
      <c r="B34" s="14" t="str">
        <f aca="false">IF(INDEX($J$9:$J$38,MATCH(LARGE($L$9:$L$38,A34),$L$9:$L$38,0))&lt;=0,"",INDEX($I$9:$I$38,MATCH(LARGE($L$9:$L$38,A34),$L$9:$L$38,0)))</f>
        <v/>
      </c>
      <c r="C34" s="21" t="str">
        <f aca="false">IF(B34="","",INDEX($J$9:$J$38,MATCH(LARGE($L$9:$L$38,A34),$L$9:$L$38,0)))</f>
        <v/>
      </c>
      <c r="D34" s="13" t="str">
        <f aca="false">IF(B34="","",INDEX($K$9:$K$38,MATCH(LARGE($L$9:$L$38,A34),$L$9:$L$38,0)))</f>
        <v/>
      </c>
      <c r="E34" s="22" t="str">
        <f aca="false">IF(OR(B34="",$B$6=0),"",C34/$B$6)</f>
        <v/>
      </c>
      <c r="F34" s="22" t="str">
        <f aca="false">IF(OR(B34="",$B$6=0),"",SUM($C$9:C34)/$B$6)</f>
        <v/>
      </c>
      <c r="I34" s="23" t="str">
        <f aca="false">IF(Setup!D30="","",Setup!D30)</f>
        <v/>
      </c>
      <c r="J34" s="23" t="n">
        <f aca="false">IF(I34="",0,SUMIFS('Downtime Log'!$G$5:$G$1004,'Downtime Log'!$H$5:$H$1004,I34,'Downtime Log'!$A$5:$A$1004,"&gt;="&amp;$D$3,'Downtime Log'!$A$5:$A$1004,"&lt;="&amp;$D$4,'Downtime Log'!$C$5:$C$1004,$D$5))</f>
        <v>0</v>
      </c>
      <c r="K34" s="23" t="n">
        <f aca="false">IF(I34="",0,COUNTIFS('Downtime Log'!$H$5:$H$1004,I34,'Downtime Log'!$A$5:$A$1004,"&gt;="&amp;$D$3,'Downtime Log'!$A$5:$A$1004,"&lt;="&amp;$D$4,'Downtime Log'!$C$5:$C$1004,$D$5))</f>
        <v>0</v>
      </c>
      <c r="L34" s="23" t="n">
        <f aca="false">IF(I34="",-1,J34+(34-26)/1000000)</f>
        <v>-1</v>
      </c>
    </row>
    <row r="35" customFormat="false" ht="15" hidden="false" customHeight="false" outlineLevel="0" collapsed="false">
      <c r="A35" s="20" t="n">
        <v>27</v>
      </c>
      <c r="B35" s="14" t="str">
        <f aca="false">IF(INDEX($J$9:$J$38,MATCH(LARGE($L$9:$L$38,A35),$L$9:$L$38,0))&lt;=0,"",INDEX($I$9:$I$38,MATCH(LARGE($L$9:$L$38,A35),$L$9:$L$38,0)))</f>
        <v/>
      </c>
      <c r="C35" s="21" t="str">
        <f aca="false">IF(B35="","",INDEX($J$9:$J$38,MATCH(LARGE($L$9:$L$38,A35),$L$9:$L$38,0)))</f>
        <v/>
      </c>
      <c r="D35" s="13" t="str">
        <f aca="false">IF(B35="","",INDEX($K$9:$K$38,MATCH(LARGE($L$9:$L$38,A35),$L$9:$L$38,0)))</f>
        <v/>
      </c>
      <c r="E35" s="22" t="str">
        <f aca="false">IF(OR(B35="",$B$6=0),"",C35/$B$6)</f>
        <v/>
      </c>
      <c r="F35" s="22" t="str">
        <f aca="false">IF(OR(B35="",$B$6=0),"",SUM($C$9:C35)/$B$6)</f>
        <v/>
      </c>
      <c r="I35" s="23" t="str">
        <f aca="false">IF(Setup!D31="","",Setup!D31)</f>
        <v/>
      </c>
      <c r="J35" s="23" t="n">
        <f aca="false">IF(I35="",0,SUMIFS('Downtime Log'!$G$5:$G$1004,'Downtime Log'!$H$5:$H$1004,I35,'Downtime Log'!$A$5:$A$1004,"&gt;="&amp;$D$3,'Downtime Log'!$A$5:$A$1004,"&lt;="&amp;$D$4,'Downtime Log'!$C$5:$C$1004,$D$5))</f>
        <v>0</v>
      </c>
      <c r="K35" s="23" t="n">
        <f aca="false">IF(I35="",0,COUNTIFS('Downtime Log'!$H$5:$H$1004,I35,'Downtime Log'!$A$5:$A$1004,"&gt;="&amp;$D$3,'Downtime Log'!$A$5:$A$1004,"&lt;="&amp;$D$4,'Downtime Log'!$C$5:$C$1004,$D$5))</f>
        <v>0</v>
      </c>
      <c r="L35" s="23" t="n">
        <f aca="false">IF(I35="",-1,J35+(34-27)/1000000)</f>
        <v>-1</v>
      </c>
    </row>
    <row r="36" customFormat="false" ht="15" hidden="false" customHeight="false" outlineLevel="0" collapsed="false">
      <c r="A36" s="20" t="n">
        <v>28</v>
      </c>
      <c r="B36" s="14" t="str">
        <f aca="false">IF(INDEX($J$9:$J$38,MATCH(LARGE($L$9:$L$38,A36),$L$9:$L$38,0))&lt;=0,"",INDEX($I$9:$I$38,MATCH(LARGE($L$9:$L$38,A36),$L$9:$L$38,0)))</f>
        <v/>
      </c>
      <c r="C36" s="21" t="str">
        <f aca="false">IF(B36="","",INDEX($J$9:$J$38,MATCH(LARGE($L$9:$L$38,A36),$L$9:$L$38,0)))</f>
        <v/>
      </c>
      <c r="D36" s="13" t="str">
        <f aca="false">IF(B36="","",INDEX($K$9:$K$38,MATCH(LARGE($L$9:$L$38,A36),$L$9:$L$38,0)))</f>
        <v/>
      </c>
      <c r="E36" s="22" t="str">
        <f aca="false">IF(OR(B36="",$B$6=0),"",C36/$B$6)</f>
        <v/>
      </c>
      <c r="F36" s="22" t="str">
        <f aca="false">IF(OR(B36="",$B$6=0),"",SUM($C$9:C36)/$B$6)</f>
        <v/>
      </c>
      <c r="I36" s="23" t="str">
        <f aca="false">IF(Setup!D32="","",Setup!D32)</f>
        <v/>
      </c>
      <c r="J36" s="23" t="n">
        <f aca="false">IF(I36="",0,SUMIFS('Downtime Log'!$G$5:$G$1004,'Downtime Log'!$H$5:$H$1004,I36,'Downtime Log'!$A$5:$A$1004,"&gt;="&amp;$D$3,'Downtime Log'!$A$5:$A$1004,"&lt;="&amp;$D$4,'Downtime Log'!$C$5:$C$1004,$D$5))</f>
        <v>0</v>
      </c>
      <c r="K36" s="23" t="n">
        <f aca="false">IF(I36="",0,COUNTIFS('Downtime Log'!$H$5:$H$1004,I36,'Downtime Log'!$A$5:$A$1004,"&gt;="&amp;$D$3,'Downtime Log'!$A$5:$A$1004,"&lt;="&amp;$D$4,'Downtime Log'!$C$5:$C$1004,$D$5))</f>
        <v>0</v>
      </c>
      <c r="L36" s="23" t="n">
        <f aca="false">IF(I36="",-1,J36+(34-28)/1000000)</f>
        <v>-1</v>
      </c>
    </row>
    <row r="37" customFormat="false" ht="15" hidden="false" customHeight="false" outlineLevel="0" collapsed="false">
      <c r="A37" s="20" t="n">
        <v>29</v>
      </c>
      <c r="B37" s="14" t="str">
        <f aca="false">IF(INDEX($J$9:$J$38,MATCH(LARGE($L$9:$L$38,A37),$L$9:$L$38,0))&lt;=0,"",INDEX($I$9:$I$38,MATCH(LARGE($L$9:$L$38,A37),$L$9:$L$38,0)))</f>
        <v/>
      </c>
      <c r="C37" s="21" t="str">
        <f aca="false">IF(B37="","",INDEX($J$9:$J$38,MATCH(LARGE($L$9:$L$38,A37),$L$9:$L$38,0)))</f>
        <v/>
      </c>
      <c r="D37" s="13" t="str">
        <f aca="false">IF(B37="","",INDEX($K$9:$K$38,MATCH(LARGE($L$9:$L$38,A37),$L$9:$L$38,0)))</f>
        <v/>
      </c>
      <c r="E37" s="22" t="str">
        <f aca="false">IF(OR(B37="",$B$6=0),"",C37/$B$6)</f>
        <v/>
      </c>
      <c r="F37" s="22" t="str">
        <f aca="false">IF(OR(B37="",$B$6=0),"",SUM($C$9:C37)/$B$6)</f>
        <v/>
      </c>
      <c r="I37" s="23" t="str">
        <f aca="false">IF(Setup!D33="","",Setup!D33)</f>
        <v/>
      </c>
      <c r="J37" s="23" t="n">
        <f aca="false">IF(I37="",0,SUMIFS('Downtime Log'!$G$5:$G$1004,'Downtime Log'!$H$5:$H$1004,I37,'Downtime Log'!$A$5:$A$1004,"&gt;="&amp;$D$3,'Downtime Log'!$A$5:$A$1004,"&lt;="&amp;$D$4,'Downtime Log'!$C$5:$C$1004,$D$5))</f>
        <v>0</v>
      </c>
      <c r="K37" s="23" t="n">
        <f aca="false">IF(I37="",0,COUNTIFS('Downtime Log'!$H$5:$H$1004,I37,'Downtime Log'!$A$5:$A$1004,"&gt;="&amp;$D$3,'Downtime Log'!$A$5:$A$1004,"&lt;="&amp;$D$4,'Downtime Log'!$C$5:$C$1004,$D$5))</f>
        <v>0</v>
      </c>
      <c r="L37" s="23" t="n">
        <f aca="false">IF(I37="",-1,J37+(34-29)/1000000)</f>
        <v>-1</v>
      </c>
    </row>
    <row r="38" customFormat="false" ht="15" hidden="false" customHeight="false" outlineLevel="0" collapsed="false">
      <c r="A38" s="20" t="n">
        <v>30</v>
      </c>
      <c r="B38" s="14" t="str">
        <f aca="false">IF(INDEX($J$9:$J$38,MATCH(LARGE($L$9:$L$38,A38),$L$9:$L$38,0))&lt;=0,"",INDEX($I$9:$I$38,MATCH(LARGE($L$9:$L$38,A38),$L$9:$L$38,0)))</f>
        <v/>
      </c>
      <c r="C38" s="21" t="str">
        <f aca="false">IF(B38="","",INDEX($J$9:$J$38,MATCH(LARGE($L$9:$L$38,A38),$L$9:$L$38,0)))</f>
        <v/>
      </c>
      <c r="D38" s="13" t="str">
        <f aca="false">IF(B38="","",INDEX($K$9:$K$38,MATCH(LARGE($L$9:$L$38,A38),$L$9:$L$38,0)))</f>
        <v/>
      </c>
      <c r="E38" s="22" t="str">
        <f aca="false">IF(OR(B38="",$B$6=0),"",C38/$B$6)</f>
        <v/>
      </c>
      <c r="F38" s="22" t="str">
        <f aca="false">IF(OR(B38="",$B$6=0),"",SUM($C$9:C38)/$B$6)</f>
        <v/>
      </c>
      <c r="I38" s="23" t="str">
        <f aca="false">IF(Setup!D34="","",Setup!D34)</f>
        <v/>
      </c>
      <c r="J38" s="23" t="n">
        <f aca="false">IF(I38="",0,SUMIFS('Downtime Log'!$G$5:$G$1004,'Downtime Log'!$H$5:$H$1004,I38,'Downtime Log'!$A$5:$A$1004,"&gt;="&amp;$D$3,'Downtime Log'!$A$5:$A$1004,"&lt;="&amp;$D$4,'Downtime Log'!$C$5:$C$1004,$D$5))</f>
        <v>0</v>
      </c>
      <c r="K38" s="23" t="n">
        <f aca="false">IF(I38="",0,COUNTIFS('Downtime Log'!$H$5:$H$1004,I38,'Downtime Log'!$A$5:$A$1004,"&gt;="&amp;$D$3,'Downtime Log'!$A$5:$A$1004,"&lt;="&amp;$D$4,'Downtime Log'!$C$5:$C$1004,$D$5))</f>
        <v>0</v>
      </c>
      <c r="L38" s="23" t="n">
        <f aca="false">IF(I38="",-1,J38+(34-30)/1000000)</f>
        <v>-1</v>
      </c>
    </row>
  </sheetData>
  <dataValidations count="1">
    <dataValidation allowBlank="true" errorStyle="stop" operator="between" showDropDown="false" showErrorMessage="false" showInputMessage="false" sqref="B5" type="list">
      <formula1>Setup!$A$5:$A$34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31.5" hidden="false" customHeight="true" outlineLevel="0" collapsed="false">
      <c r="A4" s="7" t="s">
        <v>18</v>
      </c>
      <c r="B4" s="7" t="s">
        <v>77</v>
      </c>
      <c r="C4" s="7" t="s">
        <v>68</v>
      </c>
      <c r="D4" s="7" t="s">
        <v>78</v>
      </c>
      <c r="E4" s="7" t="s">
        <v>79</v>
      </c>
    </row>
    <row r="5" customFormat="false" ht="15" hidden="false" customHeight="false" outlineLevel="0" collapsed="false">
      <c r="A5" s="14" t="str">
        <f aca="false">IF(Setup!A5="","",Setup!A5)</f>
        <v>Press 01</v>
      </c>
      <c r="B5" s="21" t="n">
        <f aca="false">IF($A5="","",SUMIFS('Downtime Log'!$G$5:$G$1004,'Downtime Log'!$C$5:$C$1004,$A5,'Downtime Log'!$A$5:$A$1004,"&gt;="&amp;Pareto!$D$3,'Downtime Log'!$A$5:$A$1004,"&lt;="&amp;Pareto!$D$4))</f>
        <v>105</v>
      </c>
      <c r="C5" s="13" t="n">
        <f aca="false">IF($A5="","",COUNTIFS('Downtime Log'!$C$5:$C$1004,$A5,'Downtime Log'!$A$5:$A$1004,"&gt;="&amp;Pareto!$D$3,'Downtime Log'!$A$5:$A$1004,"&lt;="&amp;Pareto!$D$4,'Downtime Log'!$G$5:$G$1004,"&gt;0"))</f>
        <v>3</v>
      </c>
      <c r="D5" s="24" t="n">
        <f aca="false">IF(OR($A5="",C5=0),"",B5/C5)</f>
        <v>35</v>
      </c>
      <c r="E5" s="22" t="n">
        <f aca="false">IF(OR($A5="",SUM($B$5:$B$34)=0),"",B5/SUM($B$5:$B$34))</f>
        <v>0.411764705882353</v>
      </c>
    </row>
    <row r="6" customFormat="false" ht="15" hidden="false" customHeight="false" outlineLevel="0" collapsed="false">
      <c r="A6" s="14" t="str">
        <f aca="false">IF(Setup!A6="","",Setup!A6)</f>
        <v>CNC Lathe 02</v>
      </c>
      <c r="B6" s="21" t="n">
        <f aca="false">IF($A6="","",SUMIFS('Downtime Log'!$G$5:$G$1004,'Downtime Log'!$C$5:$C$1004,$A6,'Downtime Log'!$A$5:$A$1004,"&gt;="&amp;Pareto!$D$3,'Downtime Log'!$A$5:$A$1004,"&lt;="&amp;Pareto!$D$4))</f>
        <v>75</v>
      </c>
      <c r="C6" s="13" t="n">
        <f aca="false">IF($A6="","",COUNTIFS('Downtime Log'!$C$5:$C$1004,$A6,'Downtime Log'!$A$5:$A$1004,"&gt;="&amp;Pareto!$D$3,'Downtime Log'!$A$5:$A$1004,"&lt;="&amp;Pareto!$D$4,'Downtime Log'!$G$5:$G$1004,"&gt;0"))</f>
        <v>2</v>
      </c>
      <c r="D6" s="24" t="n">
        <f aca="false">IF(OR($A6="",C6=0),"",B6/C6)</f>
        <v>37.5</v>
      </c>
      <c r="E6" s="22" t="n">
        <f aca="false">IF(OR($A6="",SUM($B$5:$B$34)=0),"",B6/SUM($B$5:$B$34))</f>
        <v>0.294117647058824</v>
      </c>
    </row>
    <row r="7" customFormat="false" ht="15" hidden="false" customHeight="false" outlineLevel="0" collapsed="false">
      <c r="A7" s="14" t="str">
        <f aca="false">IF(Setup!A7="","",Setup!A7)</f>
        <v>Packaging Line A</v>
      </c>
      <c r="B7" s="21" t="n">
        <f aca="false">IF($A7="","",SUMIFS('Downtime Log'!$G$5:$G$1004,'Downtime Log'!$C$5:$C$1004,$A7,'Downtime Log'!$A$5:$A$1004,"&gt;="&amp;Pareto!$D$3,'Downtime Log'!$A$5:$A$1004,"&lt;="&amp;Pareto!$D$4))</f>
        <v>75</v>
      </c>
      <c r="C7" s="13" t="n">
        <f aca="false">IF($A7="","",COUNTIFS('Downtime Log'!$C$5:$C$1004,$A7,'Downtime Log'!$A$5:$A$1004,"&gt;="&amp;Pareto!$D$3,'Downtime Log'!$A$5:$A$1004,"&lt;="&amp;Pareto!$D$4,'Downtime Log'!$G$5:$G$1004,"&gt;0"))</f>
        <v>2</v>
      </c>
      <c r="D7" s="24" t="n">
        <f aca="false">IF(OR($A7="",C7=0),"",B7/C7)</f>
        <v>37.5</v>
      </c>
      <c r="E7" s="22" t="n">
        <f aca="false">IF(OR($A7="",SUM($B$5:$B$34)=0),"",B7/SUM($B$5:$B$34))</f>
        <v>0.294117647058824</v>
      </c>
    </row>
    <row r="8" customFormat="false" ht="15" hidden="false" customHeight="false" outlineLevel="0" collapsed="false">
      <c r="A8" s="14" t="str">
        <f aca="false">IF(Setup!A8="","",Setup!A8)</f>
        <v/>
      </c>
      <c r="B8" s="21" t="str">
        <f aca="false">IF($A8="","",SUMIFS('Downtime Log'!$G$5:$G$1004,'Downtime Log'!$C$5:$C$1004,$A8,'Downtime Log'!$A$5:$A$1004,"&gt;="&amp;Pareto!$D$3,'Downtime Log'!$A$5:$A$1004,"&lt;="&amp;Pareto!$D$4))</f>
        <v/>
      </c>
      <c r="C8" s="13" t="str">
        <f aca="false">IF($A8="","",COUNTIFS('Downtime Log'!$C$5:$C$1004,$A8,'Downtime Log'!$A$5:$A$1004,"&gt;="&amp;Pareto!$D$3,'Downtime Log'!$A$5:$A$1004,"&lt;="&amp;Pareto!$D$4,'Downtime Log'!$G$5:$G$1004,"&gt;0"))</f>
        <v/>
      </c>
      <c r="D8" s="24" t="str">
        <f aca="false">IF(OR($A8="",C8=0),"",B8/C8)</f>
        <v/>
      </c>
      <c r="E8" s="22" t="str">
        <f aca="false">IF(OR($A8="",SUM($B$5:$B$34)=0),"",B8/SUM($B$5:$B$34))</f>
        <v/>
      </c>
    </row>
    <row r="9" customFormat="false" ht="15" hidden="false" customHeight="false" outlineLevel="0" collapsed="false">
      <c r="A9" s="14" t="str">
        <f aca="false">IF(Setup!A9="","",Setup!A9)</f>
        <v/>
      </c>
      <c r="B9" s="21" t="str">
        <f aca="false">IF($A9="","",SUMIFS('Downtime Log'!$G$5:$G$1004,'Downtime Log'!$C$5:$C$1004,$A9,'Downtime Log'!$A$5:$A$1004,"&gt;="&amp;Pareto!$D$3,'Downtime Log'!$A$5:$A$1004,"&lt;="&amp;Pareto!$D$4))</f>
        <v/>
      </c>
      <c r="C9" s="13" t="str">
        <f aca="false">IF($A9="","",COUNTIFS('Downtime Log'!$C$5:$C$1004,$A9,'Downtime Log'!$A$5:$A$1004,"&gt;="&amp;Pareto!$D$3,'Downtime Log'!$A$5:$A$1004,"&lt;="&amp;Pareto!$D$4,'Downtime Log'!$G$5:$G$1004,"&gt;0"))</f>
        <v/>
      </c>
      <c r="D9" s="24" t="str">
        <f aca="false">IF(OR($A9="",C9=0),"",B9/C9)</f>
        <v/>
      </c>
      <c r="E9" s="22" t="str">
        <f aca="false">IF(OR($A9="",SUM($B$5:$B$34)=0),"",B9/SUM($B$5:$B$34))</f>
        <v/>
      </c>
    </row>
    <row r="10" customFormat="false" ht="15" hidden="false" customHeight="false" outlineLevel="0" collapsed="false">
      <c r="A10" s="14" t="str">
        <f aca="false">IF(Setup!A10="","",Setup!A10)</f>
        <v/>
      </c>
      <c r="B10" s="21" t="str">
        <f aca="false">IF($A10="","",SUMIFS('Downtime Log'!$G$5:$G$1004,'Downtime Log'!$C$5:$C$1004,$A10,'Downtime Log'!$A$5:$A$1004,"&gt;="&amp;Pareto!$D$3,'Downtime Log'!$A$5:$A$1004,"&lt;="&amp;Pareto!$D$4))</f>
        <v/>
      </c>
      <c r="C10" s="13" t="str">
        <f aca="false">IF($A10="","",COUNTIFS('Downtime Log'!$C$5:$C$1004,$A10,'Downtime Log'!$A$5:$A$1004,"&gt;="&amp;Pareto!$D$3,'Downtime Log'!$A$5:$A$1004,"&lt;="&amp;Pareto!$D$4,'Downtime Log'!$G$5:$G$1004,"&gt;0"))</f>
        <v/>
      </c>
      <c r="D10" s="24" t="str">
        <f aca="false">IF(OR($A10="",C10=0),"",B10/C10)</f>
        <v/>
      </c>
      <c r="E10" s="22" t="str">
        <f aca="false">IF(OR($A10="",SUM($B$5:$B$34)=0),"",B10/SUM($B$5:$B$34))</f>
        <v/>
      </c>
    </row>
    <row r="11" customFormat="false" ht="15" hidden="false" customHeight="false" outlineLevel="0" collapsed="false">
      <c r="A11" s="14" t="str">
        <f aca="false">IF(Setup!A11="","",Setup!A11)</f>
        <v/>
      </c>
      <c r="B11" s="21" t="str">
        <f aca="false">IF($A11="","",SUMIFS('Downtime Log'!$G$5:$G$1004,'Downtime Log'!$C$5:$C$1004,$A11,'Downtime Log'!$A$5:$A$1004,"&gt;="&amp;Pareto!$D$3,'Downtime Log'!$A$5:$A$1004,"&lt;="&amp;Pareto!$D$4))</f>
        <v/>
      </c>
      <c r="C11" s="13" t="str">
        <f aca="false">IF($A11="","",COUNTIFS('Downtime Log'!$C$5:$C$1004,$A11,'Downtime Log'!$A$5:$A$1004,"&gt;="&amp;Pareto!$D$3,'Downtime Log'!$A$5:$A$1004,"&lt;="&amp;Pareto!$D$4,'Downtime Log'!$G$5:$G$1004,"&gt;0"))</f>
        <v/>
      </c>
      <c r="D11" s="24" t="str">
        <f aca="false">IF(OR($A11="",C11=0),"",B11/C11)</f>
        <v/>
      </c>
      <c r="E11" s="22" t="str">
        <f aca="false">IF(OR($A11="",SUM($B$5:$B$34)=0),"",B11/SUM($B$5:$B$34))</f>
        <v/>
      </c>
    </row>
    <row r="12" customFormat="false" ht="15" hidden="false" customHeight="false" outlineLevel="0" collapsed="false">
      <c r="A12" s="14" t="str">
        <f aca="false">IF(Setup!A12="","",Setup!A12)</f>
        <v/>
      </c>
      <c r="B12" s="21" t="str">
        <f aca="false">IF($A12="","",SUMIFS('Downtime Log'!$G$5:$G$1004,'Downtime Log'!$C$5:$C$1004,$A12,'Downtime Log'!$A$5:$A$1004,"&gt;="&amp;Pareto!$D$3,'Downtime Log'!$A$5:$A$1004,"&lt;="&amp;Pareto!$D$4))</f>
        <v/>
      </c>
      <c r="C12" s="13" t="str">
        <f aca="false">IF($A12="","",COUNTIFS('Downtime Log'!$C$5:$C$1004,$A12,'Downtime Log'!$A$5:$A$1004,"&gt;="&amp;Pareto!$D$3,'Downtime Log'!$A$5:$A$1004,"&lt;="&amp;Pareto!$D$4,'Downtime Log'!$G$5:$G$1004,"&gt;0"))</f>
        <v/>
      </c>
      <c r="D12" s="24" t="str">
        <f aca="false">IF(OR($A12="",C12=0),"",B12/C12)</f>
        <v/>
      </c>
      <c r="E12" s="22" t="str">
        <f aca="false">IF(OR($A12="",SUM($B$5:$B$34)=0),"",B12/SUM($B$5:$B$34))</f>
        <v/>
      </c>
    </row>
    <row r="13" customFormat="false" ht="15" hidden="false" customHeight="false" outlineLevel="0" collapsed="false">
      <c r="A13" s="14" t="str">
        <f aca="false">IF(Setup!A13="","",Setup!A13)</f>
        <v/>
      </c>
      <c r="B13" s="21" t="str">
        <f aca="false">IF($A13="","",SUMIFS('Downtime Log'!$G$5:$G$1004,'Downtime Log'!$C$5:$C$1004,$A13,'Downtime Log'!$A$5:$A$1004,"&gt;="&amp;Pareto!$D$3,'Downtime Log'!$A$5:$A$1004,"&lt;="&amp;Pareto!$D$4))</f>
        <v/>
      </c>
      <c r="C13" s="13" t="str">
        <f aca="false">IF($A13="","",COUNTIFS('Downtime Log'!$C$5:$C$1004,$A13,'Downtime Log'!$A$5:$A$1004,"&gt;="&amp;Pareto!$D$3,'Downtime Log'!$A$5:$A$1004,"&lt;="&amp;Pareto!$D$4,'Downtime Log'!$G$5:$G$1004,"&gt;0"))</f>
        <v/>
      </c>
      <c r="D13" s="24" t="str">
        <f aca="false">IF(OR($A13="",C13=0),"",B13/C13)</f>
        <v/>
      </c>
      <c r="E13" s="22" t="str">
        <f aca="false">IF(OR($A13="",SUM($B$5:$B$34)=0),"",B13/SUM($B$5:$B$34))</f>
        <v/>
      </c>
    </row>
    <row r="14" customFormat="false" ht="15" hidden="false" customHeight="false" outlineLevel="0" collapsed="false">
      <c r="A14" s="14" t="str">
        <f aca="false">IF(Setup!A14="","",Setup!A14)</f>
        <v/>
      </c>
      <c r="B14" s="21" t="str">
        <f aca="false">IF($A14="","",SUMIFS('Downtime Log'!$G$5:$G$1004,'Downtime Log'!$C$5:$C$1004,$A14,'Downtime Log'!$A$5:$A$1004,"&gt;="&amp;Pareto!$D$3,'Downtime Log'!$A$5:$A$1004,"&lt;="&amp;Pareto!$D$4))</f>
        <v/>
      </c>
      <c r="C14" s="13" t="str">
        <f aca="false">IF($A14="","",COUNTIFS('Downtime Log'!$C$5:$C$1004,$A14,'Downtime Log'!$A$5:$A$1004,"&gt;="&amp;Pareto!$D$3,'Downtime Log'!$A$5:$A$1004,"&lt;="&amp;Pareto!$D$4,'Downtime Log'!$G$5:$G$1004,"&gt;0"))</f>
        <v/>
      </c>
      <c r="D14" s="24" t="str">
        <f aca="false">IF(OR($A14="",C14=0),"",B14/C14)</f>
        <v/>
      </c>
      <c r="E14" s="22" t="str">
        <f aca="false">IF(OR($A14="",SUM($B$5:$B$34)=0),"",B14/SUM($B$5:$B$34))</f>
        <v/>
      </c>
    </row>
    <row r="15" customFormat="false" ht="15" hidden="false" customHeight="false" outlineLevel="0" collapsed="false">
      <c r="A15" s="14" t="str">
        <f aca="false">IF(Setup!A15="","",Setup!A15)</f>
        <v/>
      </c>
      <c r="B15" s="21" t="str">
        <f aca="false">IF($A15="","",SUMIFS('Downtime Log'!$G$5:$G$1004,'Downtime Log'!$C$5:$C$1004,$A15,'Downtime Log'!$A$5:$A$1004,"&gt;="&amp;Pareto!$D$3,'Downtime Log'!$A$5:$A$1004,"&lt;="&amp;Pareto!$D$4))</f>
        <v/>
      </c>
      <c r="C15" s="13" t="str">
        <f aca="false">IF($A15="","",COUNTIFS('Downtime Log'!$C$5:$C$1004,$A15,'Downtime Log'!$A$5:$A$1004,"&gt;="&amp;Pareto!$D$3,'Downtime Log'!$A$5:$A$1004,"&lt;="&amp;Pareto!$D$4,'Downtime Log'!$G$5:$G$1004,"&gt;0"))</f>
        <v/>
      </c>
      <c r="D15" s="24" t="str">
        <f aca="false">IF(OR($A15="",C15=0),"",B15/C15)</f>
        <v/>
      </c>
      <c r="E15" s="22" t="str">
        <f aca="false">IF(OR($A15="",SUM($B$5:$B$34)=0),"",B15/SUM($B$5:$B$34))</f>
        <v/>
      </c>
    </row>
    <row r="16" customFormat="false" ht="15" hidden="false" customHeight="false" outlineLevel="0" collapsed="false">
      <c r="A16" s="14" t="str">
        <f aca="false">IF(Setup!A16="","",Setup!A16)</f>
        <v/>
      </c>
      <c r="B16" s="21" t="str">
        <f aca="false">IF($A16="","",SUMIFS('Downtime Log'!$G$5:$G$1004,'Downtime Log'!$C$5:$C$1004,$A16,'Downtime Log'!$A$5:$A$1004,"&gt;="&amp;Pareto!$D$3,'Downtime Log'!$A$5:$A$1004,"&lt;="&amp;Pareto!$D$4))</f>
        <v/>
      </c>
      <c r="C16" s="13" t="str">
        <f aca="false">IF($A16="","",COUNTIFS('Downtime Log'!$C$5:$C$1004,$A16,'Downtime Log'!$A$5:$A$1004,"&gt;="&amp;Pareto!$D$3,'Downtime Log'!$A$5:$A$1004,"&lt;="&amp;Pareto!$D$4,'Downtime Log'!$G$5:$G$1004,"&gt;0"))</f>
        <v/>
      </c>
      <c r="D16" s="24" t="str">
        <f aca="false">IF(OR($A16="",C16=0),"",B16/C16)</f>
        <v/>
      </c>
      <c r="E16" s="22" t="str">
        <f aca="false">IF(OR($A16="",SUM($B$5:$B$34)=0),"",B16/SUM($B$5:$B$34))</f>
        <v/>
      </c>
    </row>
    <row r="17" customFormat="false" ht="15" hidden="false" customHeight="false" outlineLevel="0" collapsed="false">
      <c r="A17" s="14" t="str">
        <f aca="false">IF(Setup!A17="","",Setup!A17)</f>
        <v/>
      </c>
      <c r="B17" s="21" t="str">
        <f aca="false">IF($A17="","",SUMIFS('Downtime Log'!$G$5:$G$1004,'Downtime Log'!$C$5:$C$1004,$A17,'Downtime Log'!$A$5:$A$1004,"&gt;="&amp;Pareto!$D$3,'Downtime Log'!$A$5:$A$1004,"&lt;="&amp;Pareto!$D$4))</f>
        <v/>
      </c>
      <c r="C17" s="13" t="str">
        <f aca="false">IF($A17="","",COUNTIFS('Downtime Log'!$C$5:$C$1004,$A17,'Downtime Log'!$A$5:$A$1004,"&gt;="&amp;Pareto!$D$3,'Downtime Log'!$A$5:$A$1004,"&lt;="&amp;Pareto!$D$4,'Downtime Log'!$G$5:$G$1004,"&gt;0"))</f>
        <v/>
      </c>
      <c r="D17" s="24" t="str">
        <f aca="false">IF(OR($A17="",C17=0),"",B17/C17)</f>
        <v/>
      </c>
      <c r="E17" s="22" t="str">
        <f aca="false">IF(OR($A17="",SUM($B$5:$B$34)=0),"",B17/SUM($B$5:$B$34))</f>
        <v/>
      </c>
    </row>
    <row r="18" customFormat="false" ht="15" hidden="false" customHeight="false" outlineLevel="0" collapsed="false">
      <c r="A18" s="14" t="str">
        <f aca="false">IF(Setup!A18="","",Setup!A18)</f>
        <v/>
      </c>
      <c r="B18" s="21" t="str">
        <f aca="false">IF($A18="","",SUMIFS('Downtime Log'!$G$5:$G$1004,'Downtime Log'!$C$5:$C$1004,$A18,'Downtime Log'!$A$5:$A$1004,"&gt;="&amp;Pareto!$D$3,'Downtime Log'!$A$5:$A$1004,"&lt;="&amp;Pareto!$D$4))</f>
        <v/>
      </c>
      <c r="C18" s="13" t="str">
        <f aca="false">IF($A18="","",COUNTIFS('Downtime Log'!$C$5:$C$1004,$A18,'Downtime Log'!$A$5:$A$1004,"&gt;="&amp;Pareto!$D$3,'Downtime Log'!$A$5:$A$1004,"&lt;="&amp;Pareto!$D$4,'Downtime Log'!$G$5:$G$1004,"&gt;0"))</f>
        <v/>
      </c>
      <c r="D18" s="24" t="str">
        <f aca="false">IF(OR($A18="",C18=0),"",B18/C18)</f>
        <v/>
      </c>
      <c r="E18" s="22" t="str">
        <f aca="false">IF(OR($A18="",SUM($B$5:$B$34)=0),"",B18/SUM($B$5:$B$34))</f>
        <v/>
      </c>
    </row>
    <row r="19" customFormat="false" ht="15" hidden="false" customHeight="false" outlineLevel="0" collapsed="false">
      <c r="A19" s="14" t="str">
        <f aca="false">IF(Setup!A19="","",Setup!A19)</f>
        <v/>
      </c>
      <c r="B19" s="21" t="str">
        <f aca="false">IF($A19="","",SUMIFS('Downtime Log'!$G$5:$G$1004,'Downtime Log'!$C$5:$C$1004,$A19,'Downtime Log'!$A$5:$A$1004,"&gt;="&amp;Pareto!$D$3,'Downtime Log'!$A$5:$A$1004,"&lt;="&amp;Pareto!$D$4))</f>
        <v/>
      </c>
      <c r="C19" s="13" t="str">
        <f aca="false">IF($A19="","",COUNTIFS('Downtime Log'!$C$5:$C$1004,$A19,'Downtime Log'!$A$5:$A$1004,"&gt;="&amp;Pareto!$D$3,'Downtime Log'!$A$5:$A$1004,"&lt;="&amp;Pareto!$D$4,'Downtime Log'!$G$5:$G$1004,"&gt;0"))</f>
        <v/>
      </c>
      <c r="D19" s="24" t="str">
        <f aca="false">IF(OR($A19="",C19=0),"",B19/C19)</f>
        <v/>
      </c>
      <c r="E19" s="22" t="str">
        <f aca="false">IF(OR($A19="",SUM($B$5:$B$34)=0),"",B19/SUM($B$5:$B$34))</f>
        <v/>
      </c>
    </row>
    <row r="20" customFormat="false" ht="15" hidden="false" customHeight="false" outlineLevel="0" collapsed="false">
      <c r="A20" s="14" t="str">
        <f aca="false">IF(Setup!A20="","",Setup!A20)</f>
        <v/>
      </c>
      <c r="B20" s="21" t="str">
        <f aca="false">IF($A20="","",SUMIFS('Downtime Log'!$G$5:$G$1004,'Downtime Log'!$C$5:$C$1004,$A20,'Downtime Log'!$A$5:$A$1004,"&gt;="&amp;Pareto!$D$3,'Downtime Log'!$A$5:$A$1004,"&lt;="&amp;Pareto!$D$4))</f>
        <v/>
      </c>
      <c r="C20" s="13" t="str">
        <f aca="false">IF($A20="","",COUNTIFS('Downtime Log'!$C$5:$C$1004,$A20,'Downtime Log'!$A$5:$A$1004,"&gt;="&amp;Pareto!$D$3,'Downtime Log'!$A$5:$A$1004,"&lt;="&amp;Pareto!$D$4,'Downtime Log'!$G$5:$G$1004,"&gt;0"))</f>
        <v/>
      </c>
      <c r="D20" s="24" t="str">
        <f aca="false">IF(OR($A20="",C20=0),"",B20/C20)</f>
        <v/>
      </c>
      <c r="E20" s="22" t="str">
        <f aca="false">IF(OR($A20="",SUM($B$5:$B$34)=0),"",B20/SUM($B$5:$B$34))</f>
        <v/>
      </c>
    </row>
    <row r="21" customFormat="false" ht="15" hidden="false" customHeight="false" outlineLevel="0" collapsed="false">
      <c r="A21" s="14" t="str">
        <f aca="false">IF(Setup!A21="","",Setup!A21)</f>
        <v/>
      </c>
      <c r="B21" s="21" t="str">
        <f aca="false">IF($A21="","",SUMIFS('Downtime Log'!$G$5:$G$1004,'Downtime Log'!$C$5:$C$1004,$A21,'Downtime Log'!$A$5:$A$1004,"&gt;="&amp;Pareto!$D$3,'Downtime Log'!$A$5:$A$1004,"&lt;="&amp;Pareto!$D$4))</f>
        <v/>
      </c>
      <c r="C21" s="13" t="str">
        <f aca="false">IF($A21="","",COUNTIFS('Downtime Log'!$C$5:$C$1004,$A21,'Downtime Log'!$A$5:$A$1004,"&gt;="&amp;Pareto!$D$3,'Downtime Log'!$A$5:$A$1004,"&lt;="&amp;Pareto!$D$4,'Downtime Log'!$G$5:$G$1004,"&gt;0"))</f>
        <v/>
      </c>
      <c r="D21" s="24" t="str">
        <f aca="false">IF(OR($A21="",C21=0),"",B21/C21)</f>
        <v/>
      </c>
      <c r="E21" s="22" t="str">
        <f aca="false">IF(OR($A21="",SUM($B$5:$B$34)=0),"",B21/SUM($B$5:$B$34))</f>
        <v/>
      </c>
    </row>
    <row r="22" customFormat="false" ht="15" hidden="false" customHeight="false" outlineLevel="0" collapsed="false">
      <c r="A22" s="14" t="str">
        <f aca="false">IF(Setup!A22="","",Setup!A22)</f>
        <v/>
      </c>
      <c r="B22" s="21" t="str">
        <f aca="false">IF($A22="","",SUMIFS('Downtime Log'!$G$5:$G$1004,'Downtime Log'!$C$5:$C$1004,$A22,'Downtime Log'!$A$5:$A$1004,"&gt;="&amp;Pareto!$D$3,'Downtime Log'!$A$5:$A$1004,"&lt;="&amp;Pareto!$D$4))</f>
        <v/>
      </c>
      <c r="C22" s="13" t="str">
        <f aca="false">IF($A22="","",COUNTIFS('Downtime Log'!$C$5:$C$1004,$A22,'Downtime Log'!$A$5:$A$1004,"&gt;="&amp;Pareto!$D$3,'Downtime Log'!$A$5:$A$1004,"&lt;="&amp;Pareto!$D$4,'Downtime Log'!$G$5:$G$1004,"&gt;0"))</f>
        <v/>
      </c>
      <c r="D22" s="24" t="str">
        <f aca="false">IF(OR($A22="",C22=0),"",B22/C22)</f>
        <v/>
      </c>
      <c r="E22" s="22" t="str">
        <f aca="false">IF(OR($A22="",SUM($B$5:$B$34)=0),"",B22/SUM($B$5:$B$34))</f>
        <v/>
      </c>
    </row>
    <row r="23" customFormat="false" ht="15" hidden="false" customHeight="false" outlineLevel="0" collapsed="false">
      <c r="A23" s="14" t="str">
        <f aca="false">IF(Setup!A23="","",Setup!A23)</f>
        <v/>
      </c>
      <c r="B23" s="21" t="str">
        <f aca="false">IF($A23="","",SUMIFS('Downtime Log'!$G$5:$G$1004,'Downtime Log'!$C$5:$C$1004,$A23,'Downtime Log'!$A$5:$A$1004,"&gt;="&amp;Pareto!$D$3,'Downtime Log'!$A$5:$A$1004,"&lt;="&amp;Pareto!$D$4))</f>
        <v/>
      </c>
      <c r="C23" s="13" t="str">
        <f aca="false">IF($A23="","",COUNTIFS('Downtime Log'!$C$5:$C$1004,$A23,'Downtime Log'!$A$5:$A$1004,"&gt;="&amp;Pareto!$D$3,'Downtime Log'!$A$5:$A$1004,"&lt;="&amp;Pareto!$D$4,'Downtime Log'!$G$5:$G$1004,"&gt;0"))</f>
        <v/>
      </c>
      <c r="D23" s="24" t="str">
        <f aca="false">IF(OR($A23="",C23=0),"",B23/C23)</f>
        <v/>
      </c>
      <c r="E23" s="22" t="str">
        <f aca="false">IF(OR($A23="",SUM($B$5:$B$34)=0),"",B23/SUM($B$5:$B$34))</f>
        <v/>
      </c>
    </row>
    <row r="24" customFormat="false" ht="15" hidden="false" customHeight="false" outlineLevel="0" collapsed="false">
      <c r="A24" s="14" t="str">
        <f aca="false">IF(Setup!A24="","",Setup!A24)</f>
        <v/>
      </c>
      <c r="B24" s="21" t="str">
        <f aca="false">IF($A24="","",SUMIFS('Downtime Log'!$G$5:$G$1004,'Downtime Log'!$C$5:$C$1004,$A24,'Downtime Log'!$A$5:$A$1004,"&gt;="&amp;Pareto!$D$3,'Downtime Log'!$A$5:$A$1004,"&lt;="&amp;Pareto!$D$4))</f>
        <v/>
      </c>
      <c r="C24" s="13" t="str">
        <f aca="false">IF($A24="","",COUNTIFS('Downtime Log'!$C$5:$C$1004,$A24,'Downtime Log'!$A$5:$A$1004,"&gt;="&amp;Pareto!$D$3,'Downtime Log'!$A$5:$A$1004,"&lt;="&amp;Pareto!$D$4,'Downtime Log'!$G$5:$G$1004,"&gt;0"))</f>
        <v/>
      </c>
      <c r="D24" s="24" t="str">
        <f aca="false">IF(OR($A24="",C24=0),"",B24/C24)</f>
        <v/>
      </c>
      <c r="E24" s="22" t="str">
        <f aca="false">IF(OR($A24="",SUM($B$5:$B$34)=0),"",B24/SUM($B$5:$B$34))</f>
        <v/>
      </c>
    </row>
    <row r="25" customFormat="false" ht="15" hidden="false" customHeight="false" outlineLevel="0" collapsed="false">
      <c r="A25" s="14" t="str">
        <f aca="false">IF(Setup!A25="","",Setup!A25)</f>
        <v/>
      </c>
      <c r="B25" s="21" t="str">
        <f aca="false">IF($A25="","",SUMIFS('Downtime Log'!$G$5:$G$1004,'Downtime Log'!$C$5:$C$1004,$A25,'Downtime Log'!$A$5:$A$1004,"&gt;="&amp;Pareto!$D$3,'Downtime Log'!$A$5:$A$1004,"&lt;="&amp;Pareto!$D$4))</f>
        <v/>
      </c>
      <c r="C25" s="13" t="str">
        <f aca="false">IF($A25="","",COUNTIFS('Downtime Log'!$C$5:$C$1004,$A25,'Downtime Log'!$A$5:$A$1004,"&gt;="&amp;Pareto!$D$3,'Downtime Log'!$A$5:$A$1004,"&lt;="&amp;Pareto!$D$4,'Downtime Log'!$G$5:$G$1004,"&gt;0"))</f>
        <v/>
      </c>
      <c r="D25" s="24" t="str">
        <f aca="false">IF(OR($A25="",C25=0),"",B25/C25)</f>
        <v/>
      </c>
      <c r="E25" s="22" t="str">
        <f aca="false">IF(OR($A25="",SUM($B$5:$B$34)=0),"",B25/SUM($B$5:$B$34))</f>
        <v/>
      </c>
    </row>
    <row r="26" customFormat="false" ht="15" hidden="false" customHeight="false" outlineLevel="0" collapsed="false">
      <c r="A26" s="14" t="str">
        <f aca="false">IF(Setup!A26="","",Setup!A26)</f>
        <v/>
      </c>
      <c r="B26" s="21" t="str">
        <f aca="false">IF($A26="","",SUMIFS('Downtime Log'!$G$5:$G$1004,'Downtime Log'!$C$5:$C$1004,$A26,'Downtime Log'!$A$5:$A$1004,"&gt;="&amp;Pareto!$D$3,'Downtime Log'!$A$5:$A$1004,"&lt;="&amp;Pareto!$D$4))</f>
        <v/>
      </c>
      <c r="C26" s="13" t="str">
        <f aca="false">IF($A26="","",COUNTIFS('Downtime Log'!$C$5:$C$1004,$A26,'Downtime Log'!$A$5:$A$1004,"&gt;="&amp;Pareto!$D$3,'Downtime Log'!$A$5:$A$1004,"&lt;="&amp;Pareto!$D$4,'Downtime Log'!$G$5:$G$1004,"&gt;0"))</f>
        <v/>
      </c>
      <c r="D26" s="24" t="str">
        <f aca="false">IF(OR($A26="",C26=0),"",B26/C26)</f>
        <v/>
      </c>
      <c r="E26" s="22" t="str">
        <f aca="false">IF(OR($A26="",SUM($B$5:$B$34)=0),"",B26/SUM($B$5:$B$34))</f>
        <v/>
      </c>
    </row>
    <row r="27" customFormat="false" ht="15" hidden="false" customHeight="false" outlineLevel="0" collapsed="false">
      <c r="A27" s="14" t="str">
        <f aca="false">IF(Setup!A27="","",Setup!A27)</f>
        <v/>
      </c>
      <c r="B27" s="21" t="str">
        <f aca="false">IF($A27="","",SUMIFS('Downtime Log'!$G$5:$G$1004,'Downtime Log'!$C$5:$C$1004,$A27,'Downtime Log'!$A$5:$A$1004,"&gt;="&amp;Pareto!$D$3,'Downtime Log'!$A$5:$A$1004,"&lt;="&amp;Pareto!$D$4))</f>
        <v/>
      </c>
      <c r="C27" s="13" t="str">
        <f aca="false">IF($A27="","",COUNTIFS('Downtime Log'!$C$5:$C$1004,$A27,'Downtime Log'!$A$5:$A$1004,"&gt;="&amp;Pareto!$D$3,'Downtime Log'!$A$5:$A$1004,"&lt;="&amp;Pareto!$D$4,'Downtime Log'!$G$5:$G$1004,"&gt;0"))</f>
        <v/>
      </c>
      <c r="D27" s="24" t="str">
        <f aca="false">IF(OR($A27="",C27=0),"",B27/C27)</f>
        <v/>
      </c>
      <c r="E27" s="22" t="str">
        <f aca="false">IF(OR($A27="",SUM($B$5:$B$34)=0),"",B27/SUM($B$5:$B$34))</f>
        <v/>
      </c>
    </row>
    <row r="28" customFormat="false" ht="15" hidden="false" customHeight="false" outlineLevel="0" collapsed="false">
      <c r="A28" s="14" t="str">
        <f aca="false">IF(Setup!A28="","",Setup!A28)</f>
        <v/>
      </c>
      <c r="B28" s="21" t="str">
        <f aca="false">IF($A28="","",SUMIFS('Downtime Log'!$G$5:$G$1004,'Downtime Log'!$C$5:$C$1004,$A28,'Downtime Log'!$A$5:$A$1004,"&gt;="&amp;Pareto!$D$3,'Downtime Log'!$A$5:$A$1004,"&lt;="&amp;Pareto!$D$4))</f>
        <v/>
      </c>
      <c r="C28" s="13" t="str">
        <f aca="false">IF($A28="","",COUNTIFS('Downtime Log'!$C$5:$C$1004,$A28,'Downtime Log'!$A$5:$A$1004,"&gt;="&amp;Pareto!$D$3,'Downtime Log'!$A$5:$A$1004,"&lt;="&amp;Pareto!$D$4,'Downtime Log'!$G$5:$G$1004,"&gt;0"))</f>
        <v/>
      </c>
      <c r="D28" s="24" t="str">
        <f aca="false">IF(OR($A28="",C28=0),"",B28/C28)</f>
        <v/>
      </c>
      <c r="E28" s="22" t="str">
        <f aca="false">IF(OR($A28="",SUM($B$5:$B$34)=0),"",B28/SUM($B$5:$B$34))</f>
        <v/>
      </c>
    </row>
    <row r="29" customFormat="false" ht="15" hidden="false" customHeight="false" outlineLevel="0" collapsed="false">
      <c r="A29" s="14" t="str">
        <f aca="false">IF(Setup!A29="","",Setup!A29)</f>
        <v/>
      </c>
      <c r="B29" s="21" t="str">
        <f aca="false">IF($A29="","",SUMIFS('Downtime Log'!$G$5:$G$1004,'Downtime Log'!$C$5:$C$1004,$A29,'Downtime Log'!$A$5:$A$1004,"&gt;="&amp;Pareto!$D$3,'Downtime Log'!$A$5:$A$1004,"&lt;="&amp;Pareto!$D$4))</f>
        <v/>
      </c>
      <c r="C29" s="13" t="str">
        <f aca="false">IF($A29="","",COUNTIFS('Downtime Log'!$C$5:$C$1004,$A29,'Downtime Log'!$A$5:$A$1004,"&gt;="&amp;Pareto!$D$3,'Downtime Log'!$A$5:$A$1004,"&lt;="&amp;Pareto!$D$4,'Downtime Log'!$G$5:$G$1004,"&gt;0"))</f>
        <v/>
      </c>
      <c r="D29" s="24" t="str">
        <f aca="false">IF(OR($A29="",C29=0),"",B29/C29)</f>
        <v/>
      </c>
      <c r="E29" s="22" t="str">
        <f aca="false">IF(OR($A29="",SUM($B$5:$B$34)=0),"",B29/SUM($B$5:$B$34))</f>
        <v/>
      </c>
    </row>
    <row r="30" customFormat="false" ht="15" hidden="false" customHeight="false" outlineLevel="0" collapsed="false">
      <c r="A30" s="14" t="str">
        <f aca="false">IF(Setup!A30="","",Setup!A30)</f>
        <v/>
      </c>
      <c r="B30" s="21" t="str">
        <f aca="false">IF($A30="","",SUMIFS('Downtime Log'!$G$5:$G$1004,'Downtime Log'!$C$5:$C$1004,$A30,'Downtime Log'!$A$5:$A$1004,"&gt;="&amp;Pareto!$D$3,'Downtime Log'!$A$5:$A$1004,"&lt;="&amp;Pareto!$D$4))</f>
        <v/>
      </c>
      <c r="C30" s="13" t="str">
        <f aca="false">IF($A30="","",COUNTIFS('Downtime Log'!$C$5:$C$1004,$A30,'Downtime Log'!$A$5:$A$1004,"&gt;="&amp;Pareto!$D$3,'Downtime Log'!$A$5:$A$1004,"&lt;="&amp;Pareto!$D$4,'Downtime Log'!$G$5:$G$1004,"&gt;0"))</f>
        <v/>
      </c>
      <c r="D30" s="24" t="str">
        <f aca="false">IF(OR($A30="",C30=0),"",B30/C30)</f>
        <v/>
      </c>
      <c r="E30" s="22" t="str">
        <f aca="false">IF(OR($A30="",SUM($B$5:$B$34)=0),"",B30/SUM($B$5:$B$34))</f>
        <v/>
      </c>
    </row>
    <row r="31" customFormat="false" ht="15" hidden="false" customHeight="false" outlineLevel="0" collapsed="false">
      <c r="A31" s="14" t="str">
        <f aca="false">IF(Setup!A31="","",Setup!A31)</f>
        <v/>
      </c>
      <c r="B31" s="21" t="str">
        <f aca="false">IF($A31="","",SUMIFS('Downtime Log'!$G$5:$G$1004,'Downtime Log'!$C$5:$C$1004,$A31,'Downtime Log'!$A$5:$A$1004,"&gt;="&amp;Pareto!$D$3,'Downtime Log'!$A$5:$A$1004,"&lt;="&amp;Pareto!$D$4))</f>
        <v/>
      </c>
      <c r="C31" s="13" t="str">
        <f aca="false">IF($A31="","",COUNTIFS('Downtime Log'!$C$5:$C$1004,$A31,'Downtime Log'!$A$5:$A$1004,"&gt;="&amp;Pareto!$D$3,'Downtime Log'!$A$5:$A$1004,"&lt;="&amp;Pareto!$D$4,'Downtime Log'!$G$5:$G$1004,"&gt;0"))</f>
        <v/>
      </c>
      <c r="D31" s="24" t="str">
        <f aca="false">IF(OR($A31="",C31=0),"",B31/C31)</f>
        <v/>
      </c>
      <c r="E31" s="22" t="str">
        <f aca="false">IF(OR($A31="",SUM($B$5:$B$34)=0),"",B31/SUM($B$5:$B$34))</f>
        <v/>
      </c>
    </row>
    <row r="32" customFormat="false" ht="15" hidden="false" customHeight="false" outlineLevel="0" collapsed="false">
      <c r="A32" s="14" t="str">
        <f aca="false">IF(Setup!A32="","",Setup!A32)</f>
        <v/>
      </c>
      <c r="B32" s="21" t="str">
        <f aca="false">IF($A32="","",SUMIFS('Downtime Log'!$G$5:$G$1004,'Downtime Log'!$C$5:$C$1004,$A32,'Downtime Log'!$A$5:$A$1004,"&gt;="&amp;Pareto!$D$3,'Downtime Log'!$A$5:$A$1004,"&lt;="&amp;Pareto!$D$4))</f>
        <v/>
      </c>
      <c r="C32" s="13" t="str">
        <f aca="false">IF($A32="","",COUNTIFS('Downtime Log'!$C$5:$C$1004,$A32,'Downtime Log'!$A$5:$A$1004,"&gt;="&amp;Pareto!$D$3,'Downtime Log'!$A$5:$A$1004,"&lt;="&amp;Pareto!$D$4,'Downtime Log'!$G$5:$G$1004,"&gt;0"))</f>
        <v/>
      </c>
      <c r="D32" s="24" t="str">
        <f aca="false">IF(OR($A32="",C32=0),"",B32/C32)</f>
        <v/>
      </c>
      <c r="E32" s="22" t="str">
        <f aca="false">IF(OR($A32="",SUM($B$5:$B$34)=0),"",B32/SUM($B$5:$B$34))</f>
        <v/>
      </c>
    </row>
    <row r="33" customFormat="false" ht="15" hidden="false" customHeight="false" outlineLevel="0" collapsed="false">
      <c r="A33" s="14" t="str">
        <f aca="false">IF(Setup!A33="","",Setup!A33)</f>
        <v/>
      </c>
      <c r="B33" s="21" t="str">
        <f aca="false">IF($A33="","",SUMIFS('Downtime Log'!$G$5:$G$1004,'Downtime Log'!$C$5:$C$1004,$A33,'Downtime Log'!$A$5:$A$1004,"&gt;="&amp;Pareto!$D$3,'Downtime Log'!$A$5:$A$1004,"&lt;="&amp;Pareto!$D$4))</f>
        <v/>
      </c>
      <c r="C33" s="13" t="str">
        <f aca="false">IF($A33="","",COUNTIFS('Downtime Log'!$C$5:$C$1004,$A33,'Downtime Log'!$A$5:$A$1004,"&gt;="&amp;Pareto!$D$3,'Downtime Log'!$A$5:$A$1004,"&lt;="&amp;Pareto!$D$4,'Downtime Log'!$G$5:$G$1004,"&gt;0"))</f>
        <v/>
      </c>
      <c r="D33" s="24" t="str">
        <f aca="false">IF(OR($A33="",C33=0),"",B33/C33)</f>
        <v/>
      </c>
      <c r="E33" s="22" t="str">
        <f aca="false">IF(OR($A33="",SUM($B$5:$B$34)=0),"",B33/SUM($B$5:$B$34))</f>
        <v/>
      </c>
    </row>
    <row r="34" customFormat="false" ht="15" hidden="false" customHeight="false" outlineLevel="0" collapsed="false">
      <c r="A34" s="14" t="str">
        <f aca="false">IF(Setup!A34="","",Setup!A34)</f>
        <v/>
      </c>
      <c r="B34" s="21" t="str">
        <f aca="false">IF($A34="","",SUMIFS('Downtime Log'!$G$5:$G$1004,'Downtime Log'!$C$5:$C$1004,$A34,'Downtime Log'!$A$5:$A$1004,"&gt;="&amp;Pareto!$D$3,'Downtime Log'!$A$5:$A$1004,"&lt;="&amp;Pareto!$D$4))</f>
        <v/>
      </c>
      <c r="C34" s="13" t="str">
        <f aca="false">IF($A34="","",COUNTIFS('Downtime Log'!$C$5:$C$1004,$A34,'Downtime Log'!$A$5:$A$1004,"&gt;="&amp;Pareto!$D$3,'Downtime Log'!$A$5:$A$1004,"&lt;="&amp;Pareto!$D$4,'Downtime Log'!$G$5:$G$1004,"&gt;0"))</f>
        <v/>
      </c>
      <c r="D34" s="24" t="str">
        <f aca="false">IF(OR($A34="",C34=0),"",B34/C34)</f>
        <v/>
      </c>
      <c r="E34" s="22" t="str">
        <f aca="false">IF(OR($A34="",SUM($B$5:$B$34)=0),"",B34/SUM($B$5:$B$34))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2026-10-10T19:09:04Z</dcterms:created>
  <dc:creator>openpyxl</dc:creator>
  <dc:description/>
  <dc:language>en-US</dc:language>
  <cp:lastModifiedBy/>
  <dcterms:modified xsi:type="dcterms:W3CDTF">2026-10-10T14:09:08Z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