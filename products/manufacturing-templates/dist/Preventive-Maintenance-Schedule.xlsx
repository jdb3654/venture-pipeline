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PM Plan" sheetId="2" state="visible" r:id="rId4"/>
    <sheet name="Completion 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<sst xmlns="http://schemas.openxmlformats.org/spreadsheetml/2006/main" count="66" uniqueCount="53">
  <si>
    <t xml:space="preserve">Preventive Maintenance Schedule</t>
  </si>
  <si>
    <t xml:space="preserve">Version 1.0</t>
  </si>
  <si>
    <t xml:space="preserve">What this does</t>
  </si>
  <si>
    <t xml:space="preserve">List every recurring maintenance task with how often it's due. Log completions as they happen, and the plan shows each task's next due date and whether it is overdue, due soon or OK.</t>
  </si>
  <si>
    <t xml:space="preserve">Colour key</t>
  </si>
  <si>
    <t xml:space="preserve">Yellow cells are for you to fill in.</t>
  </si>
  <si>
    <t xml:space="preserve">Grey cells are calculated. Don't type over them.</t>
  </si>
  <si>
    <t xml:space="preserve">Steps</t>
  </si>
  <si>
    <t xml:space="preserve">1. PM Plan: one row per asset + task, with the frequency in days (7 = every week, 30 = about monthly, 90 = about quarterly, 365 = about yearly). Due dates count fixed days from the last completion. If you know when a task was last done before you started using this workbook, enter it under 'Last done before log'.</t>
  </si>
  <si>
    <t xml:space="preserve">2. Completion Log: each time a task is done, add a row with the date, the asset and the task, picked from the drop-downs so they match the plan exactly. The 'Matches plan?' column warns you if they don't.</t>
  </si>
  <si>
    <t xml:space="preserve">3. The plan updates automatically: last completed date, next due date, days left and status.</t>
  </si>
  <si>
    <t xml:space="preserve">4. Change the 'Due soon' window at the top of the PM Plan (default 7 days).</t>
  </si>
  <si>
    <t xml:space="preserve">5. A task with no completion and no earlier date shows as due today, every day, until you log it or enter a last-done date.</t>
  </si>
  <si>
    <t xml:space="preserve">Status 'Check frequency', 'Duplicate row' or 'Fill in asset and task' means that row needs fixing; the Needs fixing count is at the top.</t>
  </si>
  <si>
    <t xml:space="preserve">6. The rows marked EXAMPLE show the expected format. Before you start, select their yellow cells and press Delete. Don't delete whole rows.</t>
  </si>
  <si>
    <t xml:space="preserve">Tip</t>
  </si>
  <si>
    <t xml:space="preserve">Sort or filter the PM Plan by Status to get this week's work list. Excel: Data &gt; Filter.</t>
  </si>
  <si>
    <t xml:space="preserve">PM Plan</t>
  </si>
  <si>
    <t xml:space="preserve">Overdue</t>
  </si>
  <si>
    <t xml:space="preserve">One row per asset and task.</t>
  </si>
  <si>
    <t xml:space="preserve">Due soon window (days)</t>
  </si>
  <si>
    <t xml:space="preserve">Due soon</t>
  </si>
  <si>
    <t xml:space="preserve">OK</t>
  </si>
  <si>
    <t xml:space="preserve">Asset</t>
  </si>
  <si>
    <t xml:space="preserve">Task</t>
  </si>
  <si>
    <t xml:space="preserve">Frequency
(days)</t>
  </si>
  <si>
    <t xml:space="preserve">Assigned to</t>
  </si>
  <si>
    <t xml:space="preserve">Last done
before log</t>
  </si>
  <si>
    <t xml:space="preserve">Last completed</t>
  </si>
  <si>
    <t xml:space="preserve">Next due</t>
  </si>
  <si>
    <t xml:space="preserve">Days until due</t>
  </si>
  <si>
    <t xml:space="preserve">Status</t>
  </si>
  <si>
    <t xml:space="preserve">Notes</t>
  </si>
  <si>
    <t xml:space="preserve">Needs fixing</t>
  </si>
  <si>
    <t xml:space="preserve">Air compressor 1</t>
  </si>
  <si>
    <t xml:space="preserve">Change oil filter</t>
  </si>
  <si>
    <t xml:space="preserve">Maintenance</t>
  </si>
  <si>
    <t xml:space="preserve">EXAMPLE</t>
  </si>
  <si>
    <t xml:space="preserve">Press 01</t>
  </si>
  <si>
    <t xml:space="preserve">Lubricate slides and gibs</t>
  </si>
  <si>
    <t xml:space="preserve">Operator</t>
  </si>
  <si>
    <t xml:space="preserve">Forklift 2</t>
  </si>
  <si>
    <t xml:space="preserve">Inspect forks, chains and hydraulics</t>
  </si>
  <si>
    <t xml:space="preserve">CNC Lathe 02</t>
  </si>
  <si>
    <t xml:space="preserve">Clean chip conveyor and coolant filter</t>
  </si>
  <si>
    <t xml:space="preserve">Dust collector</t>
  </si>
  <si>
    <t xml:space="preserve">Replace filter cartridges</t>
  </si>
  <si>
    <t xml:space="preserve">Completion Log</t>
  </si>
  <si>
    <t xml:space="preserve">Add a row each time a task is completed. Pick asset and task from the drop-downs.</t>
  </si>
  <si>
    <t xml:space="preserve">Date done</t>
  </si>
  <si>
    <t xml:space="preserve">Done by</t>
  </si>
  <si>
    <t xml:space="preserve">Matches plan?</t>
  </si>
  <si>
    <t xml:space="preserve">J. Smith</t>
  </si>
</sst>
</file>

<file path=xl/styles.xml><?xml version="1.0" encoding="utf-8"?>
<styleSheet xmlns="http://schemas.openxmlformats.org/spreadsheetml/2006/main">
  <numFmts count="3">
    <numFmt numFmtId="164" formatCode="General"/>
    <numFmt numFmtId="165" formatCode="yyyy\-mm\-dd"/>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95959"/>
      <name val="Arial"/>
      <family val="0"/>
      <charset val="1"/>
    </font>
    <font>
      <b val="true"/>
      <sz val="12"/>
      <color rgb="FF1F3A5F"/>
      <name val="Arial"/>
      <family val="0"/>
      <charset val="1"/>
    </font>
    <font>
      <sz val="10"/>
      <color rgb="FF000000"/>
      <name val="Arial"/>
      <family val="0"/>
      <charset val="1"/>
    </font>
    <font>
      <b val="true"/>
      <sz val="10"/>
      <color rgb="FF000000"/>
      <name val="Arial"/>
      <family val="0"/>
      <charset val="1"/>
    </font>
    <font>
      <b val="true"/>
      <sz val="10"/>
      <color rgb="FFFFFFFF"/>
      <name val="Arial"/>
      <family val="0"/>
      <charset val="1"/>
    </font>
  </fonts>
  <fills count="9">
    <fill>
      <patternFill patternType="none"/>
    </fill>
    <fill>
      <patternFill patternType="gray125"/>
    </fill>
    <fill>
      <patternFill patternType="solid">
        <fgColor rgb="FFFFF2CC"/>
        <bgColor rgb="FFF2F2F2"/>
      </patternFill>
    </fill>
    <fill>
      <patternFill patternType="solid">
        <fgColor rgb="FFF2F2F2"/>
        <bgColor rgb="FFFFFFFF"/>
      </patternFill>
    </fill>
    <fill>
      <patternFill patternType="solid">
        <fgColor rgb="FFF8CBAD"/>
        <bgColor rgb="FFFFE699"/>
      </patternFill>
    </fill>
    <fill>
      <patternFill patternType="solid">
        <fgColor rgb="FFFFE699"/>
        <bgColor rgb="FFFFF2CC"/>
      </patternFill>
    </fill>
    <fill>
      <patternFill patternType="solid">
        <fgColor rgb="FFC6EFCE"/>
        <bgColor rgb="FFD9D9D9"/>
      </patternFill>
    </fill>
    <fill>
      <patternFill patternType="solid">
        <fgColor rgb="FF1F3A5F"/>
        <bgColor rgb="FF333333"/>
      </patternFill>
    </fill>
    <fill>
      <patternFill patternType="solid">
        <fgColor rgb="FFD9D9D9"/>
        <bgColor rgb="FFC6EFCE"/>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right"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8CBAD"/>
        </patternFill>
      </fill>
    </dxf>
    <dxf>
      <fill>
        <patternFill>
          <bgColor rgb="FFFFE699"/>
        </patternFill>
      </fill>
    </dxf>
    <dxf>
      <fill>
        <patternFill>
          <bgColor rgb="FFC6EFCE"/>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6" customFormat="false" ht="23.85" hidden="false" customHeight="false" outlineLevel="0" collapsed="false">
      <c r="B6" s="4" t="s">
        <v>3</v>
      </c>
    </row>
    <row r="7" customFormat="false" ht="15" hidden="false" customHeight="false" outlineLevel="0" collapsed="false">
      <c r="B7" s="3" t="s">
        <v>4</v>
      </c>
    </row>
    <row r="9" customFormat="false" ht="15" hidden="false" customHeight="false" outlineLevel="0" collapsed="false">
      <c r="B9" s="5" t="s">
        <v>5</v>
      </c>
    </row>
    <row r="10" customFormat="false" ht="15" hidden="false" customHeight="false" outlineLevel="0" collapsed="false">
      <c r="B10" s="6" t="s">
        <v>6</v>
      </c>
    </row>
    <row r="11" customFormat="false" ht="15" hidden="false" customHeight="false" outlineLevel="0" collapsed="false">
      <c r="B11" s="3" t="s">
        <v>7</v>
      </c>
    </row>
    <row r="13" customFormat="false" ht="35.05" hidden="false" customHeight="false" outlineLevel="0" collapsed="false">
      <c r="B13" s="4" t="s">
        <v>8</v>
      </c>
    </row>
    <row r="14" customFormat="false" ht="23.85" hidden="false" customHeight="false" outlineLevel="0" collapsed="false">
      <c r="B14" s="4" t="s">
        <v>9</v>
      </c>
    </row>
    <row r="15" customFormat="false" ht="15" hidden="false" customHeight="false" outlineLevel="0" collapsed="false">
      <c r="B15" s="4" t="s">
        <v>10</v>
      </c>
    </row>
    <row r="16" customFormat="false" ht="15" hidden="false" customHeight="false" outlineLevel="0" collapsed="false">
      <c r="B16" s="4" t="s">
        <v>11</v>
      </c>
    </row>
    <row r="17" customFormat="false" ht="15" hidden="false" customHeight="false" outlineLevel="0" collapsed="false">
      <c r="B17" s="4" t="s">
        <v>12</v>
      </c>
    </row>
    <row r="18" customFormat="false" ht="23.85" hidden="false" customHeight="false" outlineLevel="0" collapsed="false">
      <c r="B18" s="4" t="s">
        <v>13</v>
      </c>
    </row>
    <row r="19" customFormat="false" ht="23.85" hidden="false" customHeight="false" outlineLevel="0" collapsed="false">
      <c r="B19" s="4" t="s">
        <v>14</v>
      </c>
    </row>
    <row r="20" customFormat="false" ht="15" hidden="false" customHeight="false" outlineLevel="0" collapsed="false">
      <c r="B20" s="3" t="s">
        <v>15</v>
      </c>
    </row>
    <row r="22" customFormat="false" ht="15" hidden="false" customHeight="false" outlineLevel="0" collapsed="false">
      <c r="B22"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11"/>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9" min="7" style="0" width="12"/>
    <col collapsed="false" customWidth="true" hidden="false" outlineLevel="0" max="10" min="10" style="0" width="30"/>
  </cols>
  <sheetData>
    <row r="1" customFormat="false" ht="19.7" hidden="false" customHeight="false" outlineLevel="0" collapsed="false">
      <c r="A1" s="1" t="s">
        <v>17</v>
      </c>
      <c r="K1" s="7" t="s">
        <v>18</v>
      </c>
      <c r="L1" s="7" t="n">
        <f aca="false">COUNTIF($I$5:$I$304,"OVERDUE")</f>
        <v>1</v>
      </c>
    </row>
    <row r="2" customFormat="false" ht="15" hidden="false" customHeight="false" outlineLevel="0" collapsed="false">
      <c r="A2" s="2" t="s">
        <v>19</v>
      </c>
      <c r="G2" s="8" t="s">
        <v>20</v>
      </c>
      <c r="H2" s="8"/>
      <c r="I2" s="9" t="n">
        <v>7</v>
      </c>
      <c r="K2" s="10" t="s">
        <v>21</v>
      </c>
      <c r="L2" s="10" t="n">
        <f aca="false">COUNTIF($I$5:$I$304,"Due soon")</f>
        <v>2</v>
      </c>
    </row>
    <row r="3" customFormat="false" ht="15" hidden="false" customHeight="false" outlineLevel="0" collapsed="false">
      <c r="K3" s="11" t="s">
        <v>22</v>
      </c>
      <c r="L3" s="11" t="n">
        <f aca="false">COUNTIF($I$5:$I$304,"OK")</f>
        <v>2</v>
      </c>
    </row>
    <row r="4" customFormat="false" ht="31.5" hidden="false" customHeight="true" outlineLevel="0" collapsed="false">
      <c r="A4" s="12" t="s">
        <v>23</v>
      </c>
      <c r="B4" s="12" t="s">
        <v>24</v>
      </c>
      <c r="C4" s="12" t="s">
        <v>25</v>
      </c>
      <c r="D4" s="12" t="s">
        <v>26</v>
      </c>
      <c r="E4" s="12" t="s">
        <v>27</v>
      </c>
      <c r="F4" s="12" t="s">
        <v>28</v>
      </c>
      <c r="G4" s="12" t="s">
        <v>29</v>
      </c>
      <c r="H4" s="12" t="s">
        <v>30</v>
      </c>
      <c r="I4" s="12" t="s">
        <v>31</v>
      </c>
      <c r="J4" s="12" t="s">
        <v>32</v>
      </c>
      <c r="K4" s="13" t="s">
        <v>33</v>
      </c>
      <c r="L4" s="13" t="n">
        <f aca="false">COUNTIF($I$5:$I$304,"Check frequency")+COUNTIF($I$5:$I$304,"Duplicate row")+COUNTIF($I$5:$I$304,"Fill in asset and task")</f>
        <v>0</v>
      </c>
    </row>
    <row r="5" customFormat="false" ht="15" hidden="false" customHeight="false" outlineLevel="0" collapsed="false">
      <c r="A5" s="9" t="s">
        <v>34</v>
      </c>
      <c r="B5" s="9" t="s">
        <v>35</v>
      </c>
      <c r="C5" s="9" t="n">
        <v>90</v>
      </c>
      <c r="D5" s="9" t="s">
        <v>36</v>
      </c>
      <c r="E5" s="14" t="n">
        <f aca="true">TODAY()-100</f>
        <v>46206</v>
      </c>
      <c r="F5" s="15" t="n">
        <f aca="false">IF(OR(A5="",B5=""),"",IF(MAX(N(E5),SUMPRODUCT(MAX(('Completion Log'!$B$5:$B$2004=A5)*('Completion Log'!$C$5:$C$2004=B5)*'Completion Log'!$A$5:$A$2004)))=0,"",MAX(N(E5),SUMPRODUCT(MAX(('Completion Log'!$B$5:$B$2004=A5)*('Completion Log'!$C$5:$C$2004=B5)*'Completion Log'!$A$5:$A$2004)))))</f>
        <v>46206</v>
      </c>
      <c r="G5" s="15" t="n">
        <f aca="true">IF(OR(A5="",B5="",OR(NOT(ISNUMBER(C5)),N(C5)&lt;=0)),"",IF(F5="",TODAY(),F5+C5))</f>
        <v>46296</v>
      </c>
      <c r="H5" s="16" t="n">
        <f aca="true">IF(G5="","",G5-TODAY())</f>
        <v>-10</v>
      </c>
      <c r="I5" s="17" t="str">
        <f aca="false">IF(AND(A5="",B5=""),"",IF(OR(A5="",B5=""),"Fill in asset and task",IF(OR(NOT(ISNUMBER(C5)),N(C5)&lt;=0),"Check frequency",IF(SUMPRODUCT(($A$5:$A$304=A5)*($B$5:$B$304=B5))&gt;1,"Duplicate row",IF(H5&lt;0,"OVERDUE",IF(H5&lt;=$I$2,"Due soon","OK"))))))</f>
        <v>OVERDUE</v>
      </c>
      <c r="J5" s="9" t="s">
        <v>37</v>
      </c>
    </row>
    <row r="6" customFormat="false" ht="15" hidden="false" customHeight="false" outlineLevel="0" collapsed="false">
      <c r="A6" s="9" t="s">
        <v>38</v>
      </c>
      <c r="B6" s="9" t="s">
        <v>39</v>
      </c>
      <c r="C6" s="9" t="n">
        <v>7</v>
      </c>
      <c r="D6" s="9" t="s">
        <v>40</v>
      </c>
      <c r="E6" s="14" t="n">
        <f aca="true">TODAY()-3</f>
        <v>46303</v>
      </c>
      <c r="F6" s="15" t="n">
        <f aca="false">IF(OR(A6="",B6=""),"",IF(MAX(N(E6),SUMPRODUCT(MAX(('Completion Log'!$B$5:$B$2004=A6)*('Completion Log'!$C$5:$C$2004=B6)*'Completion Log'!$A$5:$A$2004)))=0,"",MAX(N(E6),SUMPRODUCT(MAX(('Completion Log'!$B$5:$B$2004=A6)*('Completion Log'!$C$5:$C$2004=B6)*'Completion Log'!$A$5:$A$2004)))))</f>
        <v>46303</v>
      </c>
      <c r="G6" s="15" t="n">
        <f aca="true">IF(OR(A6="",B6="",OR(NOT(ISNUMBER(C6)),N(C6)&lt;=0)),"",IF(F6="",TODAY(),F6+C6))</f>
        <v>46310</v>
      </c>
      <c r="H6" s="16" t="n">
        <f aca="true">IF(G6="","",G6-TODAY())</f>
        <v>4</v>
      </c>
      <c r="I6" s="17" t="str">
        <f aca="false">IF(AND(A6="",B6=""),"",IF(OR(A6="",B6=""),"Fill in asset and task",IF(OR(NOT(ISNUMBER(C6)),N(C6)&lt;=0),"Check frequency",IF(SUMPRODUCT(($A$5:$A$304=A6)*($B$5:$B$304=B6))&gt;1,"Duplicate row",IF(H6&lt;0,"OVERDUE",IF(H6&lt;=$I$2,"Due soon","OK"))))))</f>
        <v>Due soon</v>
      </c>
      <c r="J6" s="9" t="s">
        <v>37</v>
      </c>
    </row>
    <row r="7" customFormat="false" ht="15" hidden="false" customHeight="false" outlineLevel="0" collapsed="false">
      <c r="A7" s="9" t="s">
        <v>41</v>
      </c>
      <c r="B7" s="9" t="s">
        <v>42</v>
      </c>
      <c r="C7" s="9" t="n">
        <v>30</v>
      </c>
      <c r="D7" s="9" t="s">
        <v>36</v>
      </c>
      <c r="E7" s="14" t="n">
        <f aca="true">TODAY()-27</f>
        <v>46279</v>
      </c>
      <c r="F7" s="15" t="n">
        <f aca="false">IF(OR(A7="",B7=""),"",IF(MAX(N(E7),SUMPRODUCT(MAX(('Completion Log'!$B$5:$B$2004=A7)*('Completion Log'!$C$5:$C$2004=B7)*'Completion Log'!$A$5:$A$2004)))=0,"",MAX(N(E7),SUMPRODUCT(MAX(('Completion Log'!$B$5:$B$2004=A7)*('Completion Log'!$C$5:$C$2004=B7)*'Completion Log'!$A$5:$A$2004)))))</f>
        <v>46279</v>
      </c>
      <c r="G7" s="15" t="n">
        <f aca="true">IF(OR(A7="",B7="",OR(NOT(ISNUMBER(C7)),N(C7)&lt;=0)),"",IF(F7="",TODAY(),F7+C7))</f>
        <v>46309</v>
      </c>
      <c r="H7" s="16" t="n">
        <f aca="true">IF(G7="","",G7-TODAY())</f>
        <v>3</v>
      </c>
      <c r="I7" s="17" t="str">
        <f aca="false">IF(AND(A7="",B7=""),"",IF(OR(A7="",B7=""),"Fill in asset and task",IF(OR(NOT(ISNUMBER(C7)),N(C7)&lt;=0),"Check frequency",IF(SUMPRODUCT(($A$5:$A$304=A7)*($B$5:$B$304=B7))&gt;1,"Duplicate row",IF(H7&lt;0,"OVERDUE",IF(H7&lt;=$I$2,"Due soon","OK"))))))</f>
        <v>Due soon</v>
      </c>
      <c r="J7" s="9" t="s">
        <v>37</v>
      </c>
    </row>
    <row r="8" customFormat="false" ht="15" hidden="false" customHeight="false" outlineLevel="0" collapsed="false">
      <c r="A8" s="9" t="s">
        <v>43</v>
      </c>
      <c r="B8" s="9" t="s">
        <v>44</v>
      </c>
      <c r="C8" s="9" t="n">
        <v>14</v>
      </c>
      <c r="D8" s="9" t="s">
        <v>40</v>
      </c>
      <c r="E8" s="14"/>
      <c r="F8" s="15" t="n">
        <f aca="false">IF(OR(A8="",B8=""),"",IF(MAX(N(E8),SUMPRODUCT(MAX(('Completion Log'!$B$5:$B$2004=A8)*('Completion Log'!$C$5:$C$2004=B8)*'Completion Log'!$A$5:$A$2004)))=0,"",MAX(N(E8),SUMPRODUCT(MAX(('Completion Log'!$B$5:$B$2004=A8)*('Completion Log'!$C$5:$C$2004=B8)*'Completion Log'!$A$5:$A$2004)))))</f>
        <v>46304</v>
      </c>
      <c r="G8" s="15" t="n">
        <f aca="true">IF(OR(A8="",B8="",OR(NOT(ISNUMBER(C8)),N(C8)&lt;=0)),"",IF(F8="",TODAY(),F8+C8))</f>
        <v>46318</v>
      </c>
      <c r="H8" s="16" t="n">
        <f aca="true">IF(G8="","",G8-TODAY())</f>
        <v>12</v>
      </c>
      <c r="I8" s="17" t="str">
        <f aca="false">IF(AND(A8="",B8=""),"",IF(OR(A8="",B8=""),"Fill in asset and task",IF(OR(NOT(ISNUMBER(C8)),N(C8)&lt;=0),"Check frequency",IF(SUMPRODUCT(($A$5:$A$304=A8)*($B$5:$B$304=B8))&gt;1,"Duplicate row",IF(H8&lt;0,"OVERDUE",IF(H8&lt;=$I$2,"Due soon","OK"))))))</f>
        <v>OK</v>
      </c>
      <c r="J8" s="9" t="s">
        <v>37</v>
      </c>
    </row>
    <row r="9" customFormat="false" ht="15" hidden="false" customHeight="false" outlineLevel="0" collapsed="false">
      <c r="A9" s="9" t="s">
        <v>45</v>
      </c>
      <c r="B9" s="9" t="s">
        <v>46</v>
      </c>
      <c r="C9" s="9" t="n">
        <v>180</v>
      </c>
      <c r="D9" s="9" t="s">
        <v>36</v>
      </c>
      <c r="E9" s="14" t="n">
        <f aca="true">TODAY()-20</f>
        <v>46286</v>
      </c>
      <c r="F9" s="15" t="n">
        <f aca="false">IF(OR(A9="",B9=""),"",IF(MAX(N(E9),SUMPRODUCT(MAX(('Completion Log'!$B$5:$B$2004=A9)*('Completion Log'!$C$5:$C$2004=B9)*'Completion Log'!$A$5:$A$2004)))=0,"",MAX(N(E9),SUMPRODUCT(MAX(('Completion Log'!$B$5:$B$2004=A9)*('Completion Log'!$C$5:$C$2004=B9)*'Completion Log'!$A$5:$A$2004)))))</f>
        <v>46286</v>
      </c>
      <c r="G9" s="15" t="n">
        <f aca="true">IF(OR(A9="",B9="",OR(NOT(ISNUMBER(C9)),N(C9)&lt;=0)),"",IF(F9="",TODAY(),F9+C9))</f>
        <v>46466</v>
      </c>
      <c r="H9" s="16" t="n">
        <f aca="true">IF(G9="","",G9-TODAY())</f>
        <v>160</v>
      </c>
      <c r="I9" s="17" t="str">
        <f aca="false">IF(AND(A9="",B9=""),"",IF(OR(A9="",B9=""),"Fill in asset and task",IF(OR(NOT(ISNUMBER(C9)),N(C9)&lt;=0),"Check frequency",IF(SUMPRODUCT(($A$5:$A$304=A9)*($B$5:$B$304=B9))&gt;1,"Duplicate row",IF(H9&lt;0,"OVERDUE",IF(H9&lt;=$I$2,"Due soon","OK"))))))</f>
        <v>OK</v>
      </c>
      <c r="J9" s="9" t="s">
        <v>37</v>
      </c>
    </row>
    <row r="10" customFormat="false" ht="15" hidden="false" customHeight="false" outlineLevel="0" collapsed="false">
      <c r="A10" s="9"/>
      <c r="B10" s="9"/>
      <c r="C10" s="9"/>
      <c r="D10" s="9"/>
      <c r="E10" s="14"/>
      <c r="F10" s="15" t="str">
        <f aca="false">IF(OR(A10="",B10=""),"",IF(MAX(N(E10),SUMPRODUCT(MAX(('Completion Log'!$B$5:$B$2004=A10)*('Completion Log'!$C$5:$C$2004=B10)*'Completion Log'!$A$5:$A$2004)))=0,"",MAX(N(E10),SUMPRODUCT(MAX(('Completion Log'!$B$5:$B$2004=A10)*('Completion Log'!$C$5:$C$2004=B10)*'Completion Log'!$A$5:$A$2004)))))</f>
        <v/>
      </c>
      <c r="G10" s="15" t="str">
        <f aca="true">IF(OR(A10="",B10="",OR(NOT(ISNUMBER(C10)),N(C10)&lt;=0)),"",IF(F10="",TODAY(),F10+C10))</f>
        <v/>
      </c>
      <c r="H10" s="16" t="str">
        <f aca="true">IF(G10="","",G10-TODAY())</f>
        <v/>
      </c>
      <c r="I10" s="17" t="str">
        <f aca="false">IF(AND(A10="",B10=""),"",IF(OR(A10="",B10=""),"Fill in asset and task",IF(OR(NOT(ISNUMBER(C10)),N(C10)&lt;=0),"Check frequency",IF(SUMPRODUCT(($A$5:$A$304=A10)*($B$5:$B$304=B10))&gt;1,"Duplicate row",IF(H10&lt;0,"OVERDUE",IF(H10&lt;=$I$2,"Due soon","OK"))))))</f>
        <v/>
      </c>
      <c r="J10" s="9"/>
    </row>
    <row r="11" customFormat="false" ht="15" hidden="false" customHeight="false" outlineLevel="0" collapsed="false">
      <c r="A11" s="9"/>
      <c r="B11" s="9"/>
      <c r="C11" s="9"/>
      <c r="D11" s="9"/>
      <c r="E11" s="14"/>
      <c r="F11" s="15" t="str">
        <f aca="false">IF(OR(A11="",B11=""),"",IF(MAX(N(E11),SUMPRODUCT(MAX(('Completion Log'!$B$5:$B$2004=A11)*('Completion Log'!$C$5:$C$2004=B11)*'Completion Log'!$A$5:$A$2004)))=0,"",MAX(N(E11),SUMPRODUCT(MAX(('Completion Log'!$B$5:$B$2004=A11)*('Completion Log'!$C$5:$C$2004=B11)*'Completion Log'!$A$5:$A$2004)))))</f>
        <v/>
      </c>
      <c r="G11" s="15" t="str">
        <f aca="true">IF(OR(A11="",B11="",OR(NOT(ISNUMBER(C11)),N(C11)&lt;=0)),"",IF(F11="",TODAY(),F11+C11))</f>
        <v/>
      </c>
      <c r="H11" s="16" t="str">
        <f aca="true">IF(G11="","",G11-TODAY())</f>
        <v/>
      </c>
      <c r="I11" s="17" t="str">
        <f aca="false">IF(AND(A11="",B11=""),"",IF(OR(A11="",B11=""),"Fill in asset and task",IF(OR(NOT(ISNUMBER(C11)),N(C11)&lt;=0),"Check frequency",IF(SUMPRODUCT(($A$5:$A$304=A11)*($B$5:$B$304=B11))&gt;1,"Duplicate row",IF(H11&lt;0,"OVERDUE",IF(H11&lt;=$I$2,"Due soon","OK"))))))</f>
        <v/>
      </c>
      <c r="J11" s="9"/>
    </row>
    <row r="12" customFormat="false" ht="15" hidden="false" customHeight="false" outlineLevel="0" collapsed="false">
      <c r="A12" s="9"/>
      <c r="B12" s="9"/>
      <c r="C12" s="9"/>
      <c r="D12" s="9"/>
      <c r="E12" s="14"/>
      <c r="F12" s="15" t="str">
        <f aca="false">IF(OR(A12="",B12=""),"",IF(MAX(N(E12),SUMPRODUCT(MAX(('Completion Log'!$B$5:$B$2004=A12)*('Completion Log'!$C$5:$C$2004=B12)*'Completion Log'!$A$5:$A$2004)))=0,"",MAX(N(E12),SUMPRODUCT(MAX(('Completion Log'!$B$5:$B$2004=A12)*('Completion Log'!$C$5:$C$2004=B12)*'Completion Log'!$A$5:$A$2004)))))</f>
        <v/>
      </c>
      <c r="G12" s="15" t="str">
        <f aca="true">IF(OR(A12="",B12="",OR(NOT(ISNUMBER(C12)),N(C12)&lt;=0)),"",IF(F12="",TODAY(),F12+C12))</f>
        <v/>
      </c>
      <c r="H12" s="16" t="str">
        <f aca="true">IF(G12="","",G12-TODAY())</f>
        <v/>
      </c>
      <c r="I12" s="17" t="str">
        <f aca="false">IF(AND(A12="",B12=""),"",IF(OR(A12="",B12=""),"Fill in asset and task",IF(OR(NOT(ISNUMBER(C12)),N(C12)&lt;=0),"Check frequency",IF(SUMPRODUCT(($A$5:$A$304=A12)*($B$5:$B$304=B12))&gt;1,"Duplicate row",IF(H12&lt;0,"OVERDUE",IF(H12&lt;=$I$2,"Due soon","OK"))))))</f>
        <v/>
      </c>
      <c r="J12" s="9"/>
    </row>
    <row r="13" customFormat="false" ht="15" hidden="false" customHeight="false" outlineLevel="0" collapsed="false">
      <c r="A13" s="9"/>
      <c r="B13" s="9"/>
      <c r="C13" s="9"/>
      <c r="D13" s="9"/>
      <c r="E13" s="14"/>
      <c r="F13" s="15" t="str">
        <f aca="false">IF(OR(A13="",B13=""),"",IF(MAX(N(E13),SUMPRODUCT(MAX(('Completion Log'!$B$5:$B$2004=A13)*('Completion Log'!$C$5:$C$2004=B13)*'Completion Log'!$A$5:$A$2004)))=0,"",MAX(N(E13),SUMPRODUCT(MAX(('Completion Log'!$B$5:$B$2004=A13)*('Completion Log'!$C$5:$C$2004=B13)*'Completion Log'!$A$5:$A$2004)))))</f>
        <v/>
      </c>
      <c r="G13" s="15" t="str">
        <f aca="true">IF(OR(A13="",B13="",OR(NOT(ISNUMBER(C13)),N(C13)&lt;=0)),"",IF(F13="",TODAY(),F13+C13))</f>
        <v/>
      </c>
      <c r="H13" s="16" t="str">
        <f aca="true">IF(G13="","",G13-TODAY())</f>
        <v/>
      </c>
      <c r="I13" s="17" t="str">
        <f aca="false">IF(AND(A13="",B13=""),"",IF(OR(A13="",B13=""),"Fill in asset and task",IF(OR(NOT(ISNUMBER(C13)),N(C13)&lt;=0),"Check frequency",IF(SUMPRODUCT(($A$5:$A$304=A13)*($B$5:$B$304=B13))&gt;1,"Duplicate row",IF(H13&lt;0,"OVERDUE",IF(H13&lt;=$I$2,"Due soon","OK"))))))</f>
        <v/>
      </c>
      <c r="J13" s="9"/>
    </row>
    <row r="14" customFormat="false" ht="15" hidden="false" customHeight="false" outlineLevel="0" collapsed="false">
      <c r="A14" s="9"/>
      <c r="B14" s="9"/>
      <c r="C14" s="9"/>
      <c r="D14" s="9"/>
      <c r="E14" s="14"/>
      <c r="F14" s="15" t="str">
        <f aca="false">IF(OR(A14="",B14=""),"",IF(MAX(N(E14),SUMPRODUCT(MAX(('Completion Log'!$B$5:$B$2004=A14)*('Completion Log'!$C$5:$C$2004=B14)*'Completion Log'!$A$5:$A$2004)))=0,"",MAX(N(E14),SUMPRODUCT(MAX(('Completion Log'!$B$5:$B$2004=A14)*('Completion Log'!$C$5:$C$2004=B14)*'Completion Log'!$A$5:$A$2004)))))</f>
        <v/>
      </c>
      <c r="G14" s="15" t="str">
        <f aca="true">IF(OR(A14="",B14="",OR(NOT(ISNUMBER(C14)),N(C14)&lt;=0)),"",IF(F14="",TODAY(),F14+C14))</f>
        <v/>
      </c>
      <c r="H14" s="16" t="str">
        <f aca="true">IF(G14="","",G14-TODAY())</f>
        <v/>
      </c>
      <c r="I14" s="17" t="str">
        <f aca="false">IF(AND(A14="",B14=""),"",IF(OR(A14="",B14=""),"Fill in asset and task",IF(OR(NOT(ISNUMBER(C14)),N(C14)&lt;=0),"Check frequency",IF(SUMPRODUCT(($A$5:$A$304=A14)*($B$5:$B$304=B14))&gt;1,"Duplicate row",IF(H14&lt;0,"OVERDUE",IF(H14&lt;=$I$2,"Due soon","OK"))))))</f>
        <v/>
      </c>
      <c r="J14" s="9"/>
    </row>
    <row r="15" customFormat="false" ht="15" hidden="false" customHeight="false" outlineLevel="0" collapsed="false">
      <c r="A15" s="9"/>
      <c r="B15" s="9"/>
      <c r="C15" s="9"/>
      <c r="D15" s="9"/>
      <c r="E15" s="14"/>
      <c r="F15" s="15" t="str">
        <f aca="false">IF(OR(A15="",B15=""),"",IF(MAX(N(E15),SUMPRODUCT(MAX(('Completion Log'!$B$5:$B$2004=A15)*('Completion Log'!$C$5:$C$2004=B15)*'Completion Log'!$A$5:$A$2004)))=0,"",MAX(N(E15),SUMPRODUCT(MAX(('Completion Log'!$B$5:$B$2004=A15)*('Completion Log'!$C$5:$C$2004=B15)*'Completion Log'!$A$5:$A$2004)))))</f>
        <v/>
      </c>
      <c r="G15" s="15" t="str">
        <f aca="true">IF(OR(A15="",B15="",OR(NOT(ISNUMBER(C15)),N(C15)&lt;=0)),"",IF(F15="",TODAY(),F15+C15))</f>
        <v/>
      </c>
      <c r="H15" s="16" t="str">
        <f aca="true">IF(G15="","",G15-TODAY())</f>
        <v/>
      </c>
      <c r="I15" s="17" t="str">
        <f aca="false">IF(AND(A15="",B15=""),"",IF(OR(A15="",B15=""),"Fill in asset and task",IF(OR(NOT(ISNUMBER(C15)),N(C15)&lt;=0),"Check frequency",IF(SUMPRODUCT(($A$5:$A$304=A15)*($B$5:$B$304=B15))&gt;1,"Duplicate row",IF(H15&lt;0,"OVERDUE",IF(H15&lt;=$I$2,"Due soon","OK"))))))</f>
        <v/>
      </c>
      <c r="J15" s="9"/>
    </row>
    <row r="16" customFormat="false" ht="15" hidden="false" customHeight="false" outlineLevel="0" collapsed="false">
      <c r="A16" s="9"/>
      <c r="B16" s="9"/>
      <c r="C16" s="9"/>
      <c r="D16" s="9"/>
      <c r="E16" s="14"/>
      <c r="F16" s="15" t="str">
        <f aca="false">IF(OR(A16="",B16=""),"",IF(MAX(N(E16),SUMPRODUCT(MAX(('Completion Log'!$B$5:$B$2004=A16)*('Completion Log'!$C$5:$C$2004=B16)*'Completion Log'!$A$5:$A$2004)))=0,"",MAX(N(E16),SUMPRODUCT(MAX(('Completion Log'!$B$5:$B$2004=A16)*('Completion Log'!$C$5:$C$2004=B16)*'Completion Log'!$A$5:$A$2004)))))</f>
        <v/>
      </c>
      <c r="G16" s="15" t="str">
        <f aca="true">IF(OR(A16="",B16="",OR(NOT(ISNUMBER(C16)),N(C16)&lt;=0)),"",IF(F16="",TODAY(),F16+C16))</f>
        <v/>
      </c>
      <c r="H16" s="16" t="str">
        <f aca="true">IF(G16="","",G16-TODAY())</f>
        <v/>
      </c>
      <c r="I16" s="17" t="str">
        <f aca="false">IF(AND(A16="",B16=""),"",IF(OR(A16="",B16=""),"Fill in asset and task",IF(OR(NOT(ISNUMBER(C16)),N(C16)&lt;=0),"Check frequency",IF(SUMPRODUCT(($A$5:$A$304=A16)*($B$5:$B$304=B16))&gt;1,"Duplicate row",IF(H16&lt;0,"OVERDUE",IF(H16&lt;=$I$2,"Due soon","OK"))))))</f>
        <v/>
      </c>
      <c r="J16" s="9"/>
    </row>
    <row r="17" customFormat="false" ht="15" hidden="false" customHeight="false" outlineLevel="0" collapsed="false">
      <c r="A17" s="9"/>
      <c r="B17" s="9"/>
      <c r="C17" s="9"/>
      <c r="D17" s="9"/>
      <c r="E17" s="14"/>
      <c r="F17" s="15" t="str">
        <f aca="false">IF(OR(A17="",B17=""),"",IF(MAX(N(E17),SUMPRODUCT(MAX(('Completion Log'!$B$5:$B$2004=A17)*('Completion Log'!$C$5:$C$2004=B17)*'Completion Log'!$A$5:$A$2004)))=0,"",MAX(N(E17),SUMPRODUCT(MAX(('Completion Log'!$B$5:$B$2004=A17)*('Completion Log'!$C$5:$C$2004=B17)*'Completion Log'!$A$5:$A$2004)))))</f>
        <v/>
      </c>
      <c r="G17" s="15" t="str">
        <f aca="true">IF(OR(A17="",B17="",OR(NOT(ISNUMBER(C17)),N(C17)&lt;=0)),"",IF(F17="",TODAY(),F17+C17))</f>
        <v/>
      </c>
      <c r="H17" s="16" t="str">
        <f aca="true">IF(G17="","",G17-TODAY())</f>
        <v/>
      </c>
      <c r="I17" s="17" t="str">
        <f aca="false">IF(AND(A17="",B17=""),"",IF(OR(A17="",B17=""),"Fill in asset and task",IF(OR(NOT(ISNUMBER(C17)),N(C17)&lt;=0),"Check frequency",IF(SUMPRODUCT(($A$5:$A$304=A17)*($B$5:$B$304=B17))&gt;1,"Duplicate row",IF(H17&lt;0,"OVERDUE",IF(H17&lt;=$I$2,"Due soon","OK"))))))</f>
        <v/>
      </c>
      <c r="J17" s="9"/>
    </row>
    <row r="18" customFormat="false" ht="15" hidden="false" customHeight="false" outlineLevel="0" collapsed="false">
      <c r="A18" s="9"/>
      <c r="B18" s="9"/>
      <c r="C18" s="9"/>
      <c r="D18" s="9"/>
      <c r="E18" s="14"/>
      <c r="F18" s="15" t="str">
        <f aca="false">IF(OR(A18="",B18=""),"",IF(MAX(N(E18),SUMPRODUCT(MAX(('Completion Log'!$B$5:$B$2004=A18)*('Completion Log'!$C$5:$C$2004=B18)*'Completion Log'!$A$5:$A$2004)))=0,"",MAX(N(E18),SUMPRODUCT(MAX(('Completion Log'!$B$5:$B$2004=A18)*('Completion Log'!$C$5:$C$2004=B18)*'Completion Log'!$A$5:$A$2004)))))</f>
        <v/>
      </c>
      <c r="G18" s="15" t="str">
        <f aca="true">IF(OR(A18="",B18="",OR(NOT(ISNUMBER(C18)),N(C18)&lt;=0)),"",IF(F18="",TODAY(),F18+C18))</f>
        <v/>
      </c>
      <c r="H18" s="16" t="str">
        <f aca="true">IF(G18="","",G18-TODAY())</f>
        <v/>
      </c>
      <c r="I18" s="17" t="str">
        <f aca="false">IF(AND(A18="",B18=""),"",IF(OR(A18="",B18=""),"Fill in asset and task",IF(OR(NOT(ISNUMBER(C18)),N(C18)&lt;=0),"Check frequency",IF(SUMPRODUCT(($A$5:$A$304=A18)*($B$5:$B$304=B18))&gt;1,"Duplicate row",IF(H18&lt;0,"OVERDUE",IF(H18&lt;=$I$2,"Due soon","OK"))))))</f>
        <v/>
      </c>
      <c r="J18" s="9"/>
    </row>
    <row r="19" customFormat="false" ht="15" hidden="false" customHeight="false" outlineLevel="0" collapsed="false">
      <c r="A19" s="9"/>
      <c r="B19" s="9"/>
      <c r="C19" s="9"/>
      <c r="D19" s="9"/>
      <c r="E19" s="14"/>
      <c r="F19" s="15" t="str">
        <f aca="false">IF(OR(A19="",B19=""),"",IF(MAX(N(E19),SUMPRODUCT(MAX(('Completion Log'!$B$5:$B$2004=A19)*('Completion Log'!$C$5:$C$2004=B19)*'Completion Log'!$A$5:$A$2004)))=0,"",MAX(N(E19),SUMPRODUCT(MAX(('Completion Log'!$B$5:$B$2004=A19)*('Completion Log'!$C$5:$C$2004=B19)*'Completion Log'!$A$5:$A$2004)))))</f>
        <v/>
      </c>
      <c r="G19" s="15" t="str">
        <f aca="true">IF(OR(A19="",B19="",OR(NOT(ISNUMBER(C19)),N(C19)&lt;=0)),"",IF(F19="",TODAY(),F19+C19))</f>
        <v/>
      </c>
      <c r="H19" s="16" t="str">
        <f aca="true">IF(G19="","",G19-TODAY())</f>
        <v/>
      </c>
      <c r="I19" s="17" t="str">
        <f aca="false">IF(AND(A19="",B19=""),"",IF(OR(A19="",B19=""),"Fill in asset and task",IF(OR(NOT(ISNUMBER(C19)),N(C19)&lt;=0),"Check frequency",IF(SUMPRODUCT(($A$5:$A$304=A19)*($B$5:$B$304=B19))&gt;1,"Duplicate row",IF(H19&lt;0,"OVERDUE",IF(H19&lt;=$I$2,"Due soon","OK"))))))</f>
        <v/>
      </c>
      <c r="J19" s="9"/>
    </row>
    <row r="20" customFormat="false" ht="15" hidden="false" customHeight="false" outlineLevel="0" collapsed="false">
      <c r="A20" s="9"/>
      <c r="B20" s="9"/>
      <c r="C20" s="9"/>
      <c r="D20" s="9"/>
      <c r="E20" s="14"/>
      <c r="F20" s="15" t="str">
        <f aca="false">IF(OR(A20="",B20=""),"",IF(MAX(N(E20),SUMPRODUCT(MAX(('Completion Log'!$B$5:$B$2004=A20)*('Completion Log'!$C$5:$C$2004=B20)*'Completion Log'!$A$5:$A$2004)))=0,"",MAX(N(E20),SUMPRODUCT(MAX(('Completion Log'!$B$5:$B$2004=A20)*('Completion Log'!$C$5:$C$2004=B20)*'Completion Log'!$A$5:$A$2004)))))</f>
        <v/>
      </c>
      <c r="G20" s="15" t="str">
        <f aca="true">IF(OR(A20="",B20="",OR(NOT(ISNUMBER(C20)),N(C20)&lt;=0)),"",IF(F20="",TODAY(),F20+C20))</f>
        <v/>
      </c>
      <c r="H20" s="16" t="str">
        <f aca="true">IF(G20="","",G20-TODAY())</f>
        <v/>
      </c>
      <c r="I20" s="17" t="str">
        <f aca="false">IF(AND(A20="",B20=""),"",IF(OR(A20="",B20=""),"Fill in asset and task",IF(OR(NOT(ISNUMBER(C20)),N(C20)&lt;=0),"Check frequency",IF(SUMPRODUCT(($A$5:$A$304=A20)*($B$5:$B$304=B20))&gt;1,"Duplicate row",IF(H20&lt;0,"OVERDUE",IF(H20&lt;=$I$2,"Due soon","OK"))))))</f>
        <v/>
      </c>
      <c r="J20" s="9"/>
    </row>
    <row r="21" customFormat="false" ht="15" hidden="false" customHeight="false" outlineLevel="0" collapsed="false">
      <c r="A21" s="9"/>
      <c r="B21" s="9"/>
      <c r="C21" s="9"/>
      <c r="D21" s="9"/>
      <c r="E21" s="14"/>
      <c r="F21" s="15" t="str">
        <f aca="false">IF(OR(A21="",B21=""),"",IF(MAX(N(E21),SUMPRODUCT(MAX(('Completion Log'!$B$5:$B$2004=A21)*('Completion Log'!$C$5:$C$2004=B21)*'Completion Log'!$A$5:$A$2004)))=0,"",MAX(N(E21),SUMPRODUCT(MAX(('Completion Log'!$B$5:$B$2004=A21)*('Completion Log'!$C$5:$C$2004=B21)*'Completion Log'!$A$5:$A$2004)))))</f>
        <v/>
      </c>
      <c r="G21" s="15" t="str">
        <f aca="true">IF(OR(A21="",B21="",OR(NOT(ISNUMBER(C21)),N(C21)&lt;=0)),"",IF(F21="",TODAY(),F21+C21))</f>
        <v/>
      </c>
      <c r="H21" s="16" t="str">
        <f aca="true">IF(G21="","",G21-TODAY())</f>
        <v/>
      </c>
      <c r="I21" s="17" t="str">
        <f aca="false">IF(AND(A21="",B21=""),"",IF(OR(A21="",B21=""),"Fill in asset and task",IF(OR(NOT(ISNUMBER(C21)),N(C21)&lt;=0),"Check frequency",IF(SUMPRODUCT(($A$5:$A$304=A21)*($B$5:$B$304=B21))&gt;1,"Duplicate row",IF(H21&lt;0,"OVERDUE",IF(H21&lt;=$I$2,"Due soon","OK"))))))</f>
        <v/>
      </c>
      <c r="J21" s="9"/>
    </row>
    <row r="22" customFormat="false" ht="15" hidden="false" customHeight="false" outlineLevel="0" collapsed="false">
      <c r="A22" s="9"/>
      <c r="B22" s="9"/>
      <c r="C22" s="9"/>
      <c r="D22" s="9"/>
      <c r="E22" s="14"/>
      <c r="F22" s="15" t="str">
        <f aca="false">IF(OR(A22="",B22=""),"",IF(MAX(N(E22),SUMPRODUCT(MAX(('Completion Log'!$B$5:$B$2004=A22)*('Completion Log'!$C$5:$C$2004=B22)*'Completion Log'!$A$5:$A$2004)))=0,"",MAX(N(E22),SUMPRODUCT(MAX(('Completion Log'!$B$5:$B$2004=A22)*('Completion Log'!$C$5:$C$2004=B22)*'Completion Log'!$A$5:$A$2004)))))</f>
        <v/>
      </c>
      <c r="G22" s="15" t="str">
        <f aca="true">IF(OR(A22="",B22="",OR(NOT(ISNUMBER(C22)),N(C22)&lt;=0)),"",IF(F22="",TODAY(),F22+C22))</f>
        <v/>
      </c>
      <c r="H22" s="16" t="str">
        <f aca="true">IF(G22="","",G22-TODAY())</f>
        <v/>
      </c>
      <c r="I22" s="17" t="str">
        <f aca="false">IF(AND(A22="",B22=""),"",IF(OR(A22="",B22=""),"Fill in asset and task",IF(OR(NOT(ISNUMBER(C22)),N(C22)&lt;=0),"Check frequency",IF(SUMPRODUCT(($A$5:$A$304=A22)*($B$5:$B$304=B22))&gt;1,"Duplicate row",IF(H22&lt;0,"OVERDUE",IF(H22&lt;=$I$2,"Due soon","OK"))))))</f>
        <v/>
      </c>
      <c r="J22" s="9"/>
    </row>
    <row r="23" customFormat="false" ht="15" hidden="false" customHeight="false" outlineLevel="0" collapsed="false">
      <c r="A23" s="9"/>
      <c r="B23" s="9"/>
      <c r="C23" s="9"/>
      <c r="D23" s="9"/>
      <c r="E23" s="14"/>
      <c r="F23" s="15" t="str">
        <f aca="false">IF(OR(A23="",B23=""),"",IF(MAX(N(E23),SUMPRODUCT(MAX(('Completion Log'!$B$5:$B$2004=A23)*('Completion Log'!$C$5:$C$2004=B23)*'Completion Log'!$A$5:$A$2004)))=0,"",MAX(N(E23),SUMPRODUCT(MAX(('Completion Log'!$B$5:$B$2004=A23)*('Completion Log'!$C$5:$C$2004=B23)*'Completion Log'!$A$5:$A$2004)))))</f>
        <v/>
      </c>
      <c r="G23" s="15" t="str">
        <f aca="true">IF(OR(A23="",B23="",OR(NOT(ISNUMBER(C23)),N(C23)&lt;=0)),"",IF(F23="",TODAY(),F23+C23))</f>
        <v/>
      </c>
      <c r="H23" s="16" t="str">
        <f aca="true">IF(G23="","",G23-TODAY())</f>
        <v/>
      </c>
      <c r="I23" s="17" t="str">
        <f aca="false">IF(AND(A23="",B23=""),"",IF(OR(A23="",B23=""),"Fill in asset and task",IF(OR(NOT(ISNUMBER(C23)),N(C23)&lt;=0),"Check frequency",IF(SUMPRODUCT(($A$5:$A$304=A23)*($B$5:$B$304=B23))&gt;1,"Duplicate row",IF(H23&lt;0,"OVERDUE",IF(H23&lt;=$I$2,"Due soon","OK"))))))</f>
        <v/>
      </c>
      <c r="J23" s="9"/>
    </row>
    <row r="24" customFormat="false" ht="15" hidden="false" customHeight="false" outlineLevel="0" collapsed="false">
      <c r="A24" s="9"/>
      <c r="B24" s="9"/>
      <c r="C24" s="9"/>
      <c r="D24" s="9"/>
      <c r="E24" s="14"/>
      <c r="F24" s="15" t="str">
        <f aca="false">IF(OR(A24="",B24=""),"",IF(MAX(N(E24),SUMPRODUCT(MAX(('Completion Log'!$B$5:$B$2004=A24)*('Completion Log'!$C$5:$C$2004=B24)*'Completion Log'!$A$5:$A$2004)))=0,"",MAX(N(E24),SUMPRODUCT(MAX(('Completion Log'!$B$5:$B$2004=A24)*('Completion Log'!$C$5:$C$2004=B24)*'Completion Log'!$A$5:$A$2004)))))</f>
        <v/>
      </c>
      <c r="G24" s="15" t="str">
        <f aca="true">IF(OR(A24="",B24="",OR(NOT(ISNUMBER(C24)),N(C24)&lt;=0)),"",IF(F24="",TODAY(),F24+C24))</f>
        <v/>
      </c>
      <c r="H24" s="16" t="str">
        <f aca="true">IF(G24="","",G24-TODAY())</f>
        <v/>
      </c>
      <c r="I24" s="17" t="str">
        <f aca="false">IF(AND(A24="",B24=""),"",IF(OR(A24="",B24=""),"Fill in asset and task",IF(OR(NOT(ISNUMBER(C24)),N(C24)&lt;=0),"Check frequency",IF(SUMPRODUCT(($A$5:$A$304=A24)*($B$5:$B$304=B24))&gt;1,"Duplicate row",IF(H24&lt;0,"OVERDUE",IF(H24&lt;=$I$2,"Due soon","OK"))))))</f>
        <v/>
      </c>
      <c r="J24" s="9"/>
    </row>
    <row r="25" customFormat="false" ht="15" hidden="false" customHeight="false" outlineLevel="0" collapsed="false">
      <c r="A25" s="9"/>
      <c r="B25" s="9"/>
      <c r="C25" s="9"/>
      <c r="D25" s="9"/>
      <c r="E25" s="14"/>
      <c r="F25" s="15" t="str">
        <f aca="false">IF(OR(A25="",B25=""),"",IF(MAX(N(E25),SUMPRODUCT(MAX(('Completion Log'!$B$5:$B$2004=A25)*('Completion Log'!$C$5:$C$2004=B25)*'Completion Log'!$A$5:$A$2004)))=0,"",MAX(N(E25),SUMPRODUCT(MAX(('Completion Log'!$B$5:$B$2004=A25)*('Completion Log'!$C$5:$C$2004=B25)*'Completion Log'!$A$5:$A$2004)))))</f>
        <v/>
      </c>
      <c r="G25" s="15" t="str">
        <f aca="true">IF(OR(A25="",B25="",OR(NOT(ISNUMBER(C25)),N(C25)&lt;=0)),"",IF(F25="",TODAY(),F25+C25))</f>
        <v/>
      </c>
      <c r="H25" s="16" t="str">
        <f aca="true">IF(G25="","",G25-TODAY())</f>
        <v/>
      </c>
      <c r="I25" s="17" t="str">
        <f aca="false">IF(AND(A25="",B25=""),"",IF(OR(A25="",B25=""),"Fill in asset and task",IF(OR(NOT(ISNUMBER(C25)),N(C25)&lt;=0),"Check frequency",IF(SUMPRODUCT(($A$5:$A$304=A25)*($B$5:$B$304=B25))&gt;1,"Duplicate row",IF(H25&lt;0,"OVERDUE",IF(H25&lt;=$I$2,"Due soon","OK"))))))</f>
        <v/>
      </c>
      <c r="J25" s="9"/>
    </row>
    <row r="26" customFormat="false" ht="15" hidden="false" customHeight="false" outlineLevel="0" collapsed="false">
      <c r="A26" s="9"/>
      <c r="B26" s="9"/>
      <c r="C26" s="9"/>
      <c r="D26" s="9"/>
      <c r="E26" s="14"/>
      <c r="F26" s="15" t="str">
        <f aca="false">IF(OR(A26="",B26=""),"",IF(MAX(N(E26),SUMPRODUCT(MAX(('Completion Log'!$B$5:$B$2004=A26)*('Completion Log'!$C$5:$C$2004=B26)*'Completion Log'!$A$5:$A$2004)))=0,"",MAX(N(E26),SUMPRODUCT(MAX(('Completion Log'!$B$5:$B$2004=A26)*('Completion Log'!$C$5:$C$2004=B26)*'Completion Log'!$A$5:$A$2004)))))</f>
        <v/>
      </c>
      <c r="G26" s="15" t="str">
        <f aca="true">IF(OR(A26="",B26="",OR(NOT(ISNUMBER(C26)),N(C26)&lt;=0)),"",IF(F26="",TODAY(),F26+C26))</f>
        <v/>
      </c>
      <c r="H26" s="16" t="str">
        <f aca="true">IF(G26="","",G26-TODAY())</f>
        <v/>
      </c>
      <c r="I26" s="17" t="str">
        <f aca="false">IF(AND(A26="",B26=""),"",IF(OR(A26="",B26=""),"Fill in asset and task",IF(OR(NOT(ISNUMBER(C26)),N(C26)&lt;=0),"Check frequency",IF(SUMPRODUCT(($A$5:$A$304=A26)*($B$5:$B$304=B26))&gt;1,"Duplicate row",IF(H26&lt;0,"OVERDUE",IF(H26&lt;=$I$2,"Due soon","OK"))))))</f>
        <v/>
      </c>
      <c r="J26" s="9"/>
    </row>
    <row r="27" customFormat="false" ht="15" hidden="false" customHeight="false" outlineLevel="0" collapsed="false">
      <c r="A27" s="9"/>
      <c r="B27" s="9"/>
      <c r="C27" s="9"/>
      <c r="D27" s="9"/>
      <c r="E27" s="14"/>
      <c r="F27" s="15" t="str">
        <f aca="false">IF(OR(A27="",B27=""),"",IF(MAX(N(E27),SUMPRODUCT(MAX(('Completion Log'!$B$5:$B$2004=A27)*('Completion Log'!$C$5:$C$2004=B27)*'Completion Log'!$A$5:$A$2004)))=0,"",MAX(N(E27),SUMPRODUCT(MAX(('Completion Log'!$B$5:$B$2004=A27)*('Completion Log'!$C$5:$C$2004=B27)*'Completion Log'!$A$5:$A$2004)))))</f>
        <v/>
      </c>
      <c r="G27" s="15" t="str">
        <f aca="true">IF(OR(A27="",B27="",OR(NOT(ISNUMBER(C27)),N(C27)&lt;=0)),"",IF(F27="",TODAY(),F27+C27))</f>
        <v/>
      </c>
      <c r="H27" s="16" t="str">
        <f aca="true">IF(G27="","",G27-TODAY())</f>
        <v/>
      </c>
      <c r="I27" s="17" t="str">
        <f aca="false">IF(AND(A27="",B27=""),"",IF(OR(A27="",B27=""),"Fill in asset and task",IF(OR(NOT(ISNUMBER(C27)),N(C27)&lt;=0),"Check frequency",IF(SUMPRODUCT(($A$5:$A$304=A27)*($B$5:$B$304=B27))&gt;1,"Duplicate row",IF(H27&lt;0,"OVERDUE",IF(H27&lt;=$I$2,"Due soon","OK"))))))</f>
        <v/>
      </c>
      <c r="J27" s="9"/>
    </row>
    <row r="28" customFormat="false" ht="15" hidden="false" customHeight="false" outlineLevel="0" collapsed="false">
      <c r="A28" s="9"/>
      <c r="B28" s="9"/>
      <c r="C28" s="9"/>
      <c r="D28" s="9"/>
      <c r="E28" s="14"/>
      <c r="F28" s="15" t="str">
        <f aca="false">IF(OR(A28="",B28=""),"",IF(MAX(N(E28),SUMPRODUCT(MAX(('Completion Log'!$B$5:$B$2004=A28)*('Completion Log'!$C$5:$C$2004=B28)*'Completion Log'!$A$5:$A$2004)))=0,"",MAX(N(E28),SUMPRODUCT(MAX(('Completion Log'!$B$5:$B$2004=A28)*('Completion Log'!$C$5:$C$2004=B28)*'Completion Log'!$A$5:$A$2004)))))</f>
        <v/>
      </c>
      <c r="G28" s="15" t="str">
        <f aca="true">IF(OR(A28="",B28="",OR(NOT(ISNUMBER(C28)),N(C28)&lt;=0)),"",IF(F28="",TODAY(),F28+C28))</f>
        <v/>
      </c>
      <c r="H28" s="16" t="str">
        <f aca="true">IF(G28="","",G28-TODAY())</f>
        <v/>
      </c>
      <c r="I28" s="17" t="str">
        <f aca="false">IF(AND(A28="",B28=""),"",IF(OR(A28="",B28=""),"Fill in asset and task",IF(OR(NOT(ISNUMBER(C28)),N(C28)&lt;=0),"Check frequency",IF(SUMPRODUCT(($A$5:$A$304=A28)*($B$5:$B$304=B28))&gt;1,"Duplicate row",IF(H28&lt;0,"OVERDUE",IF(H28&lt;=$I$2,"Due soon","OK"))))))</f>
        <v/>
      </c>
      <c r="J28" s="9"/>
    </row>
    <row r="29" customFormat="false" ht="15" hidden="false" customHeight="false" outlineLevel="0" collapsed="false">
      <c r="A29" s="9"/>
      <c r="B29" s="9"/>
      <c r="C29" s="9"/>
      <c r="D29" s="9"/>
      <c r="E29" s="14"/>
      <c r="F29" s="15" t="str">
        <f aca="false">IF(OR(A29="",B29=""),"",IF(MAX(N(E29),SUMPRODUCT(MAX(('Completion Log'!$B$5:$B$2004=A29)*('Completion Log'!$C$5:$C$2004=B29)*'Completion Log'!$A$5:$A$2004)))=0,"",MAX(N(E29),SUMPRODUCT(MAX(('Completion Log'!$B$5:$B$2004=A29)*('Completion Log'!$C$5:$C$2004=B29)*'Completion Log'!$A$5:$A$2004)))))</f>
        <v/>
      </c>
      <c r="G29" s="15" t="str">
        <f aca="true">IF(OR(A29="",B29="",OR(NOT(ISNUMBER(C29)),N(C29)&lt;=0)),"",IF(F29="",TODAY(),F29+C29))</f>
        <v/>
      </c>
      <c r="H29" s="16" t="str">
        <f aca="true">IF(G29="","",G29-TODAY())</f>
        <v/>
      </c>
      <c r="I29" s="17" t="str">
        <f aca="false">IF(AND(A29="",B29=""),"",IF(OR(A29="",B29=""),"Fill in asset and task",IF(OR(NOT(ISNUMBER(C29)),N(C29)&lt;=0),"Check frequency",IF(SUMPRODUCT(($A$5:$A$304=A29)*($B$5:$B$304=B29))&gt;1,"Duplicate row",IF(H29&lt;0,"OVERDUE",IF(H29&lt;=$I$2,"Due soon","OK"))))))</f>
        <v/>
      </c>
      <c r="J29" s="9"/>
    </row>
    <row r="30" customFormat="false" ht="15" hidden="false" customHeight="false" outlineLevel="0" collapsed="false">
      <c r="A30" s="9"/>
      <c r="B30" s="9"/>
      <c r="C30" s="9"/>
      <c r="D30" s="9"/>
      <c r="E30" s="14"/>
      <c r="F30" s="15" t="str">
        <f aca="false">IF(OR(A30="",B30=""),"",IF(MAX(N(E30),SUMPRODUCT(MAX(('Completion Log'!$B$5:$B$2004=A30)*('Completion Log'!$C$5:$C$2004=B30)*'Completion Log'!$A$5:$A$2004)))=0,"",MAX(N(E30),SUMPRODUCT(MAX(('Completion Log'!$B$5:$B$2004=A30)*('Completion Log'!$C$5:$C$2004=B30)*'Completion Log'!$A$5:$A$2004)))))</f>
        <v/>
      </c>
      <c r="G30" s="15" t="str">
        <f aca="true">IF(OR(A30="",B30="",OR(NOT(ISNUMBER(C30)),N(C30)&lt;=0)),"",IF(F30="",TODAY(),F30+C30))</f>
        <v/>
      </c>
      <c r="H30" s="16" t="str">
        <f aca="true">IF(G30="","",G30-TODAY())</f>
        <v/>
      </c>
      <c r="I30" s="17" t="str">
        <f aca="false">IF(AND(A30="",B30=""),"",IF(OR(A30="",B30=""),"Fill in asset and task",IF(OR(NOT(ISNUMBER(C30)),N(C30)&lt;=0),"Check frequency",IF(SUMPRODUCT(($A$5:$A$304=A30)*($B$5:$B$304=B30))&gt;1,"Duplicate row",IF(H30&lt;0,"OVERDUE",IF(H30&lt;=$I$2,"Due soon","OK"))))))</f>
        <v/>
      </c>
      <c r="J30" s="9"/>
    </row>
    <row r="31" customFormat="false" ht="15" hidden="false" customHeight="false" outlineLevel="0" collapsed="false">
      <c r="A31" s="9"/>
      <c r="B31" s="9"/>
      <c r="C31" s="9"/>
      <c r="D31" s="9"/>
      <c r="E31" s="14"/>
      <c r="F31" s="15" t="str">
        <f aca="false">IF(OR(A31="",B31=""),"",IF(MAX(N(E31),SUMPRODUCT(MAX(('Completion Log'!$B$5:$B$2004=A31)*('Completion Log'!$C$5:$C$2004=B31)*'Completion Log'!$A$5:$A$2004)))=0,"",MAX(N(E31),SUMPRODUCT(MAX(('Completion Log'!$B$5:$B$2004=A31)*('Completion Log'!$C$5:$C$2004=B31)*'Completion Log'!$A$5:$A$2004)))))</f>
        <v/>
      </c>
      <c r="G31" s="15" t="str">
        <f aca="true">IF(OR(A31="",B31="",OR(NOT(ISNUMBER(C31)),N(C31)&lt;=0)),"",IF(F31="",TODAY(),F31+C31))</f>
        <v/>
      </c>
      <c r="H31" s="16" t="str">
        <f aca="true">IF(G31="","",G31-TODAY())</f>
        <v/>
      </c>
      <c r="I31" s="17" t="str">
        <f aca="false">IF(AND(A31="",B31=""),"",IF(OR(A31="",B31=""),"Fill in asset and task",IF(OR(NOT(ISNUMBER(C31)),N(C31)&lt;=0),"Check frequency",IF(SUMPRODUCT(($A$5:$A$304=A31)*($B$5:$B$304=B31))&gt;1,"Duplicate row",IF(H31&lt;0,"OVERDUE",IF(H31&lt;=$I$2,"Due soon","OK"))))))</f>
        <v/>
      </c>
      <c r="J31" s="9"/>
    </row>
    <row r="32" customFormat="false" ht="15" hidden="false" customHeight="false" outlineLevel="0" collapsed="false">
      <c r="A32" s="9"/>
      <c r="B32" s="9"/>
      <c r="C32" s="9"/>
      <c r="D32" s="9"/>
      <c r="E32" s="14"/>
      <c r="F32" s="15" t="str">
        <f aca="false">IF(OR(A32="",B32=""),"",IF(MAX(N(E32),SUMPRODUCT(MAX(('Completion Log'!$B$5:$B$2004=A32)*('Completion Log'!$C$5:$C$2004=B32)*'Completion Log'!$A$5:$A$2004)))=0,"",MAX(N(E32),SUMPRODUCT(MAX(('Completion Log'!$B$5:$B$2004=A32)*('Completion Log'!$C$5:$C$2004=B32)*'Completion Log'!$A$5:$A$2004)))))</f>
        <v/>
      </c>
      <c r="G32" s="15" t="str">
        <f aca="true">IF(OR(A32="",B32="",OR(NOT(ISNUMBER(C32)),N(C32)&lt;=0)),"",IF(F32="",TODAY(),F32+C32))</f>
        <v/>
      </c>
      <c r="H32" s="16" t="str">
        <f aca="true">IF(G32="","",G32-TODAY())</f>
        <v/>
      </c>
      <c r="I32" s="17" t="str">
        <f aca="false">IF(AND(A32="",B32=""),"",IF(OR(A32="",B32=""),"Fill in asset and task",IF(OR(NOT(ISNUMBER(C32)),N(C32)&lt;=0),"Check frequency",IF(SUMPRODUCT(($A$5:$A$304=A32)*($B$5:$B$304=B32))&gt;1,"Duplicate row",IF(H32&lt;0,"OVERDUE",IF(H32&lt;=$I$2,"Due soon","OK"))))))</f>
        <v/>
      </c>
      <c r="J32" s="9"/>
    </row>
    <row r="33" customFormat="false" ht="15" hidden="false" customHeight="false" outlineLevel="0" collapsed="false">
      <c r="A33" s="9"/>
      <c r="B33" s="9"/>
      <c r="C33" s="9"/>
      <c r="D33" s="9"/>
      <c r="E33" s="14"/>
      <c r="F33" s="15" t="str">
        <f aca="false">IF(OR(A33="",B33=""),"",IF(MAX(N(E33),SUMPRODUCT(MAX(('Completion Log'!$B$5:$B$2004=A33)*('Completion Log'!$C$5:$C$2004=B33)*'Completion Log'!$A$5:$A$2004)))=0,"",MAX(N(E33),SUMPRODUCT(MAX(('Completion Log'!$B$5:$B$2004=A33)*('Completion Log'!$C$5:$C$2004=B33)*'Completion Log'!$A$5:$A$2004)))))</f>
        <v/>
      </c>
      <c r="G33" s="15" t="str">
        <f aca="true">IF(OR(A33="",B33="",OR(NOT(ISNUMBER(C33)),N(C33)&lt;=0)),"",IF(F33="",TODAY(),F33+C33))</f>
        <v/>
      </c>
      <c r="H33" s="16" t="str">
        <f aca="true">IF(G33="","",G33-TODAY())</f>
        <v/>
      </c>
      <c r="I33" s="17" t="str">
        <f aca="false">IF(AND(A33="",B33=""),"",IF(OR(A33="",B33=""),"Fill in asset and task",IF(OR(NOT(ISNUMBER(C33)),N(C33)&lt;=0),"Check frequency",IF(SUMPRODUCT(($A$5:$A$304=A33)*($B$5:$B$304=B33))&gt;1,"Duplicate row",IF(H33&lt;0,"OVERDUE",IF(H33&lt;=$I$2,"Due soon","OK"))))))</f>
        <v/>
      </c>
      <c r="J33" s="9"/>
    </row>
    <row r="34" customFormat="false" ht="15" hidden="false" customHeight="false" outlineLevel="0" collapsed="false">
      <c r="A34" s="9"/>
      <c r="B34" s="9"/>
      <c r="C34" s="9"/>
      <c r="D34" s="9"/>
      <c r="E34" s="14"/>
      <c r="F34" s="15" t="str">
        <f aca="false">IF(OR(A34="",B34=""),"",IF(MAX(N(E34),SUMPRODUCT(MAX(('Completion Log'!$B$5:$B$2004=A34)*('Completion Log'!$C$5:$C$2004=B34)*'Completion Log'!$A$5:$A$2004)))=0,"",MAX(N(E34),SUMPRODUCT(MAX(('Completion Log'!$B$5:$B$2004=A34)*('Completion Log'!$C$5:$C$2004=B34)*'Completion Log'!$A$5:$A$2004)))))</f>
        <v/>
      </c>
      <c r="G34" s="15" t="str">
        <f aca="true">IF(OR(A34="",B34="",OR(NOT(ISNUMBER(C34)),N(C34)&lt;=0)),"",IF(F34="",TODAY(),F34+C34))</f>
        <v/>
      </c>
      <c r="H34" s="16" t="str">
        <f aca="true">IF(G34="","",G34-TODAY())</f>
        <v/>
      </c>
      <c r="I34" s="17" t="str">
        <f aca="false">IF(AND(A34="",B34=""),"",IF(OR(A34="",B34=""),"Fill in asset and task",IF(OR(NOT(ISNUMBER(C34)),N(C34)&lt;=0),"Check frequency",IF(SUMPRODUCT(($A$5:$A$304=A34)*($B$5:$B$304=B34))&gt;1,"Duplicate row",IF(H34&lt;0,"OVERDUE",IF(H34&lt;=$I$2,"Due soon","OK"))))))</f>
        <v/>
      </c>
      <c r="J34" s="9"/>
    </row>
    <row r="35" customFormat="false" ht="15" hidden="false" customHeight="false" outlineLevel="0" collapsed="false">
      <c r="A35" s="9"/>
      <c r="B35" s="9"/>
      <c r="C35" s="9"/>
      <c r="D35" s="9"/>
      <c r="E35" s="14"/>
      <c r="F35" s="15" t="str">
        <f aca="false">IF(OR(A35="",B35=""),"",IF(MAX(N(E35),SUMPRODUCT(MAX(('Completion Log'!$B$5:$B$2004=A35)*('Completion Log'!$C$5:$C$2004=B35)*'Completion Log'!$A$5:$A$2004)))=0,"",MAX(N(E35),SUMPRODUCT(MAX(('Completion Log'!$B$5:$B$2004=A35)*('Completion Log'!$C$5:$C$2004=B35)*'Completion Log'!$A$5:$A$2004)))))</f>
        <v/>
      </c>
      <c r="G35" s="15" t="str">
        <f aca="true">IF(OR(A35="",B35="",OR(NOT(ISNUMBER(C35)),N(C35)&lt;=0)),"",IF(F35="",TODAY(),F35+C35))</f>
        <v/>
      </c>
      <c r="H35" s="16" t="str">
        <f aca="true">IF(G35="","",G35-TODAY())</f>
        <v/>
      </c>
      <c r="I35" s="17" t="str">
        <f aca="false">IF(AND(A35="",B35=""),"",IF(OR(A35="",B35=""),"Fill in asset and task",IF(OR(NOT(ISNUMBER(C35)),N(C35)&lt;=0),"Check frequency",IF(SUMPRODUCT(($A$5:$A$304=A35)*($B$5:$B$304=B35))&gt;1,"Duplicate row",IF(H35&lt;0,"OVERDUE",IF(H35&lt;=$I$2,"Due soon","OK"))))))</f>
        <v/>
      </c>
      <c r="J35" s="9"/>
    </row>
    <row r="36" customFormat="false" ht="15" hidden="false" customHeight="false" outlineLevel="0" collapsed="false">
      <c r="A36" s="9"/>
      <c r="B36" s="9"/>
      <c r="C36" s="9"/>
      <c r="D36" s="9"/>
      <c r="E36" s="14"/>
      <c r="F36" s="15" t="str">
        <f aca="false">IF(OR(A36="",B36=""),"",IF(MAX(N(E36),SUMPRODUCT(MAX(('Completion Log'!$B$5:$B$2004=A36)*('Completion Log'!$C$5:$C$2004=B36)*'Completion Log'!$A$5:$A$2004)))=0,"",MAX(N(E36),SUMPRODUCT(MAX(('Completion Log'!$B$5:$B$2004=A36)*('Completion Log'!$C$5:$C$2004=B36)*'Completion Log'!$A$5:$A$2004)))))</f>
        <v/>
      </c>
      <c r="G36" s="15" t="str">
        <f aca="true">IF(OR(A36="",B36="",OR(NOT(ISNUMBER(C36)),N(C36)&lt;=0)),"",IF(F36="",TODAY(),F36+C36))</f>
        <v/>
      </c>
      <c r="H36" s="16" t="str">
        <f aca="true">IF(G36="","",G36-TODAY())</f>
        <v/>
      </c>
      <c r="I36" s="17" t="str">
        <f aca="false">IF(AND(A36="",B36=""),"",IF(OR(A36="",B36=""),"Fill in asset and task",IF(OR(NOT(ISNUMBER(C36)),N(C36)&lt;=0),"Check frequency",IF(SUMPRODUCT(($A$5:$A$304=A36)*($B$5:$B$304=B36))&gt;1,"Duplicate row",IF(H36&lt;0,"OVERDUE",IF(H36&lt;=$I$2,"Due soon","OK"))))))</f>
        <v/>
      </c>
      <c r="J36" s="9"/>
    </row>
    <row r="37" customFormat="false" ht="15" hidden="false" customHeight="false" outlineLevel="0" collapsed="false">
      <c r="A37" s="9"/>
      <c r="B37" s="9"/>
      <c r="C37" s="9"/>
      <c r="D37" s="9"/>
      <c r="E37" s="14"/>
      <c r="F37" s="15" t="str">
        <f aca="false">IF(OR(A37="",B37=""),"",IF(MAX(N(E37),SUMPRODUCT(MAX(('Completion Log'!$B$5:$B$2004=A37)*('Completion Log'!$C$5:$C$2004=B37)*'Completion Log'!$A$5:$A$2004)))=0,"",MAX(N(E37),SUMPRODUCT(MAX(('Completion Log'!$B$5:$B$2004=A37)*('Completion Log'!$C$5:$C$2004=B37)*'Completion Log'!$A$5:$A$2004)))))</f>
        <v/>
      </c>
      <c r="G37" s="15" t="str">
        <f aca="true">IF(OR(A37="",B37="",OR(NOT(ISNUMBER(C37)),N(C37)&lt;=0)),"",IF(F37="",TODAY(),F37+C37))</f>
        <v/>
      </c>
      <c r="H37" s="16" t="str">
        <f aca="true">IF(G37="","",G37-TODAY())</f>
        <v/>
      </c>
      <c r="I37" s="17" t="str">
        <f aca="false">IF(AND(A37="",B37=""),"",IF(OR(A37="",B37=""),"Fill in asset and task",IF(OR(NOT(ISNUMBER(C37)),N(C37)&lt;=0),"Check frequency",IF(SUMPRODUCT(($A$5:$A$304=A37)*($B$5:$B$304=B37))&gt;1,"Duplicate row",IF(H37&lt;0,"OVERDUE",IF(H37&lt;=$I$2,"Due soon","OK"))))))</f>
        <v/>
      </c>
      <c r="J37" s="9"/>
    </row>
    <row r="38" customFormat="false" ht="15" hidden="false" customHeight="false" outlineLevel="0" collapsed="false">
      <c r="A38" s="9"/>
      <c r="B38" s="9"/>
      <c r="C38" s="9"/>
      <c r="D38" s="9"/>
      <c r="E38" s="14"/>
      <c r="F38" s="15" t="str">
        <f aca="false">IF(OR(A38="",B38=""),"",IF(MAX(N(E38),SUMPRODUCT(MAX(('Completion Log'!$B$5:$B$2004=A38)*('Completion Log'!$C$5:$C$2004=B38)*'Completion Log'!$A$5:$A$2004)))=0,"",MAX(N(E38),SUMPRODUCT(MAX(('Completion Log'!$B$5:$B$2004=A38)*('Completion Log'!$C$5:$C$2004=B38)*'Completion Log'!$A$5:$A$2004)))))</f>
        <v/>
      </c>
      <c r="G38" s="15" t="str">
        <f aca="true">IF(OR(A38="",B38="",OR(NOT(ISNUMBER(C38)),N(C38)&lt;=0)),"",IF(F38="",TODAY(),F38+C38))</f>
        <v/>
      </c>
      <c r="H38" s="16" t="str">
        <f aca="true">IF(G38="","",G38-TODAY())</f>
        <v/>
      </c>
      <c r="I38" s="17" t="str">
        <f aca="false">IF(AND(A38="",B38=""),"",IF(OR(A38="",B38=""),"Fill in asset and task",IF(OR(NOT(ISNUMBER(C38)),N(C38)&lt;=0),"Check frequency",IF(SUMPRODUCT(($A$5:$A$304=A38)*($B$5:$B$304=B38))&gt;1,"Duplicate row",IF(H38&lt;0,"OVERDUE",IF(H38&lt;=$I$2,"Due soon","OK"))))))</f>
        <v/>
      </c>
      <c r="J38" s="9"/>
    </row>
    <row r="39" customFormat="false" ht="15" hidden="false" customHeight="false" outlineLevel="0" collapsed="false">
      <c r="A39" s="9"/>
      <c r="B39" s="9"/>
      <c r="C39" s="9"/>
      <c r="D39" s="9"/>
      <c r="E39" s="14"/>
      <c r="F39" s="15" t="str">
        <f aca="false">IF(OR(A39="",B39=""),"",IF(MAX(N(E39),SUMPRODUCT(MAX(('Completion Log'!$B$5:$B$2004=A39)*('Completion Log'!$C$5:$C$2004=B39)*'Completion Log'!$A$5:$A$2004)))=0,"",MAX(N(E39),SUMPRODUCT(MAX(('Completion Log'!$B$5:$B$2004=A39)*('Completion Log'!$C$5:$C$2004=B39)*'Completion Log'!$A$5:$A$2004)))))</f>
        <v/>
      </c>
      <c r="G39" s="15" t="str">
        <f aca="true">IF(OR(A39="",B39="",OR(NOT(ISNUMBER(C39)),N(C39)&lt;=0)),"",IF(F39="",TODAY(),F39+C39))</f>
        <v/>
      </c>
      <c r="H39" s="16" t="str">
        <f aca="true">IF(G39="","",G39-TODAY())</f>
        <v/>
      </c>
      <c r="I39" s="17" t="str">
        <f aca="false">IF(AND(A39="",B39=""),"",IF(OR(A39="",B39=""),"Fill in asset and task",IF(OR(NOT(ISNUMBER(C39)),N(C39)&lt;=0),"Check frequency",IF(SUMPRODUCT(($A$5:$A$304=A39)*($B$5:$B$304=B39))&gt;1,"Duplicate row",IF(H39&lt;0,"OVERDUE",IF(H39&lt;=$I$2,"Due soon","OK"))))))</f>
        <v/>
      </c>
      <c r="J39" s="9"/>
    </row>
    <row r="40" customFormat="false" ht="15" hidden="false" customHeight="false" outlineLevel="0" collapsed="false">
      <c r="A40" s="9"/>
      <c r="B40" s="9"/>
      <c r="C40" s="9"/>
      <c r="D40" s="9"/>
      <c r="E40" s="14"/>
      <c r="F40" s="15" t="str">
        <f aca="false">IF(OR(A40="",B40=""),"",IF(MAX(N(E40),SUMPRODUCT(MAX(('Completion Log'!$B$5:$B$2004=A40)*('Completion Log'!$C$5:$C$2004=B40)*'Completion Log'!$A$5:$A$2004)))=0,"",MAX(N(E40),SUMPRODUCT(MAX(('Completion Log'!$B$5:$B$2004=A40)*('Completion Log'!$C$5:$C$2004=B40)*'Completion Log'!$A$5:$A$2004)))))</f>
        <v/>
      </c>
      <c r="G40" s="15" t="str">
        <f aca="true">IF(OR(A40="",B40="",OR(NOT(ISNUMBER(C40)),N(C40)&lt;=0)),"",IF(F40="",TODAY(),F40+C40))</f>
        <v/>
      </c>
      <c r="H40" s="16" t="str">
        <f aca="true">IF(G40="","",G40-TODAY())</f>
        <v/>
      </c>
      <c r="I40" s="17" t="str">
        <f aca="false">IF(AND(A40="",B40=""),"",IF(OR(A40="",B40=""),"Fill in asset and task",IF(OR(NOT(ISNUMBER(C40)),N(C40)&lt;=0),"Check frequency",IF(SUMPRODUCT(($A$5:$A$304=A40)*($B$5:$B$304=B40))&gt;1,"Duplicate row",IF(H40&lt;0,"OVERDUE",IF(H40&lt;=$I$2,"Due soon","OK"))))))</f>
        <v/>
      </c>
      <c r="J40" s="9"/>
    </row>
    <row r="41" customFormat="false" ht="15" hidden="false" customHeight="false" outlineLevel="0" collapsed="false">
      <c r="A41" s="9"/>
      <c r="B41" s="9"/>
      <c r="C41" s="9"/>
      <c r="D41" s="9"/>
      <c r="E41" s="14"/>
      <c r="F41" s="15" t="str">
        <f aca="false">IF(OR(A41="",B41=""),"",IF(MAX(N(E41),SUMPRODUCT(MAX(('Completion Log'!$B$5:$B$2004=A41)*('Completion Log'!$C$5:$C$2004=B41)*'Completion Log'!$A$5:$A$2004)))=0,"",MAX(N(E41),SUMPRODUCT(MAX(('Completion Log'!$B$5:$B$2004=A41)*('Completion Log'!$C$5:$C$2004=B41)*'Completion Log'!$A$5:$A$2004)))))</f>
        <v/>
      </c>
      <c r="G41" s="15" t="str">
        <f aca="true">IF(OR(A41="",B41="",OR(NOT(ISNUMBER(C41)),N(C41)&lt;=0)),"",IF(F41="",TODAY(),F41+C41))</f>
        <v/>
      </c>
      <c r="H41" s="16" t="str">
        <f aca="true">IF(G41="","",G41-TODAY())</f>
        <v/>
      </c>
      <c r="I41" s="17" t="str">
        <f aca="false">IF(AND(A41="",B41=""),"",IF(OR(A41="",B41=""),"Fill in asset and task",IF(OR(NOT(ISNUMBER(C41)),N(C41)&lt;=0),"Check frequency",IF(SUMPRODUCT(($A$5:$A$304=A41)*($B$5:$B$304=B41))&gt;1,"Duplicate row",IF(H41&lt;0,"OVERDUE",IF(H41&lt;=$I$2,"Due soon","OK"))))))</f>
        <v/>
      </c>
      <c r="J41" s="9"/>
    </row>
    <row r="42" customFormat="false" ht="15" hidden="false" customHeight="false" outlineLevel="0" collapsed="false">
      <c r="A42" s="9"/>
      <c r="B42" s="9"/>
      <c r="C42" s="9"/>
      <c r="D42" s="9"/>
      <c r="E42" s="14"/>
      <c r="F42" s="15" t="str">
        <f aca="false">IF(OR(A42="",B42=""),"",IF(MAX(N(E42),SUMPRODUCT(MAX(('Completion Log'!$B$5:$B$2004=A42)*('Completion Log'!$C$5:$C$2004=B42)*'Completion Log'!$A$5:$A$2004)))=0,"",MAX(N(E42),SUMPRODUCT(MAX(('Completion Log'!$B$5:$B$2004=A42)*('Completion Log'!$C$5:$C$2004=B42)*'Completion Log'!$A$5:$A$2004)))))</f>
        <v/>
      </c>
      <c r="G42" s="15" t="str">
        <f aca="true">IF(OR(A42="",B42="",OR(NOT(ISNUMBER(C42)),N(C42)&lt;=0)),"",IF(F42="",TODAY(),F42+C42))</f>
        <v/>
      </c>
      <c r="H42" s="16" t="str">
        <f aca="true">IF(G42="","",G42-TODAY())</f>
        <v/>
      </c>
      <c r="I42" s="17" t="str">
        <f aca="false">IF(AND(A42="",B42=""),"",IF(OR(A42="",B42=""),"Fill in asset and task",IF(OR(NOT(ISNUMBER(C42)),N(C42)&lt;=0),"Check frequency",IF(SUMPRODUCT(($A$5:$A$304=A42)*($B$5:$B$304=B42))&gt;1,"Duplicate row",IF(H42&lt;0,"OVERDUE",IF(H42&lt;=$I$2,"Due soon","OK"))))))</f>
        <v/>
      </c>
      <c r="J42" s="9"/>
    </row>
    <row r="43" customFormat="false" ht="15" hidden="false" customHeight="false" outlineLevel="0" collapsed="false">
      <c r="A43" s="9"/>
      <c r="B43" s="9"/>
      <c r="C43" s="9"/>
      <c r="D43" s="9"/>
      <c r="E43" s="14"/>
      <c r="F43" s="15" t="str">
        <f aca="false">IF(OR(A43="",B43=""),"",IF(MAX(N(E43),SUMPRODUCT(MAX(('Completion Log'!$B$5:$B$2004=A43)*('Completion Log'!$C$5:$C$2004=B43)*'Completion Log'!$A$5:$A$2004)))=0,"",MAX(N(E43),SUMPRODUCT(MAX(('Completion Log'!$B$5:$B$2004=A43)*('Completion Log'!$C$5:$C$2004=B43)*'Completion Log'!$A$5:$A$2004)))))</f>
        <v/>
      </c>
      <c r="G43" s="15" t="str">
        <f aca="true">IF(OR(A43="",B43="",OR(NOT(ISNUMBER(C43)),N(C43)&lt;=0)),"",IF(F43="",TODAY(),F43+C43))</f>
        <v/>
      </c>
      <c r="H43" s="16" t="str">
        <f aca="true">IF(G43="","",G43-TODAY())</f>
        <v/>
      </c>
      <c r="I43" s="17" t="str">
        <f aca="false">IF(AND(A43="",B43=""),"",IF(OR(A43="",B43=""),"Fill in asset and task",IF(OR(NOT(ISNUMBER(C43)),N(C43)&lt;=0),"Check frequency",IF(SUMPRODUCT(($A$5:$A$304=A43)*($B$5:$B$304=B43))&gt;1,"Duplicate row",IF(H43&lt;0,"OVERDUE",IF(H43&lt;=$I$2,"Due soon","OK"))))))</f>
        <v/>
      </c>
      <c r="J43" s="9"/>
    </row>
    <row r="44" customFormat="false" ht="15" hidden="false" customHeight="false" outlineLevel="0" collapsed="false">
      <c r="A44" s="9"/>
      <c r="B44" s="9"/>
      <c r="C44" s="9"/>
      <c r="D44" s="9"/>
      <c r="E44" s="14"/>
      <c r="F44" s="15" t="str">
        <f aca="false">IF(OR(A44="",B44=""),"",IF(MAX(N(E44),SUMPRODUCT(MAX(('Completion Log'!$B$5:$B$2004=A44)*('Completion Log'!$C$5:$C$2004=B44)*'Completion Log'!$A$5:$A$2004)))=0,"",MAX(N(E44),SUMPRODUCT(MAX(('Completion Log'!$B$5:$B$2004=A44)*('Completion Log'!$C$5:$C$2004=B44)*'Completion Log'!$A$5:$A$2004)))))</f>
        <v/>
      </c>
      <c r="G44" s="15" t="str">
        <f aca="true">IF(OR(A44="",B44="",OR(NOT(ISNUMBER(C44)),N(C44)&lt;=0)),"",IF(F44="",TODAY(),F44+C44))</f>
        <v/>
      </c>
      <c r="H44" s="16" t="str">
        <f aca="true">IF(G44="","",G44-TODAY())</f>
        <v/>
      </c>
      <c r="I44" s="17" t="str">
        <f aca="false">IF(AND(A44="",B44=""),"",IF(OR(A44="",B44=""),"Fill in asset and task",IF(OR(NOT(ISNUMBER(C44)),N(C44)&lt;=0),"Check frequency",IF(SUMPRODUCT(($A$5:$A$304=A44)*($B$5:$B$304=B44))&gt;1,"Duplicate row",IF(H44&lt;0,"OVERDUE",IF(H44&lt;=$I$2,"Due soon","OK"))))))</f>
        <v/>
      </c>
      <c r="J44" s="9"/>
    </row>
    <row r="45" customFormat="false" ht="15" hidden="false" customHeight="false" outlineLevel="0" collapsed="false">
      <c r="A45" s="9"/>
      <c r="B45" s="9"/>
      <c r="C45" s="9"/>
      <c r="D45" s="9"/>
      <c r="E45" s="14"/>
      <c r="F45" s="15" t="str">
        <f aca="false">IF(OR(A45="",B45=""),"",IF(MAX(N(E45),SUMPRODUCT(MAX(('Completion Log'!$B$5:$B$2004=A45)*('Completion Log'!$C$5:$C$2004=B45)*'Completion Log'!$A$5:$A$2004)))=0,"",MAX(N(E45),SUMPRODUCT(MAX(('Completion Log'!$B$5:$B$2004=A45)*('Completion Log'!$C$5:$C$2004=B45)*'Completion Log'!$A$5:$A$2004)))))</f>
        <v/>
      </c>
      <c r="G45" s="15" t="str">
        <f aca="true">IF(OR(A45="",B45="",OR(NOT(ISNUMBER(C45)),N(C45)&lt;=0)),"",IF(F45="",TODAY(),F45+C45))</f>
        <v/>
      </c>
      <c r="H45" s="16" t="str">
        <f aca="true">IF(G45="","",G45-TODAY())</f>
        <v/>
      </c>
      <c r="I45" s="17" t="str">
        <f aca="false">IF(AND(A45="",B45=""),"",IF(OR(A45="",B45=""),"Fill in asset and task",IF(OR(NOT(ISNUMBER(C45)),N(C45)&lt;=0),"Check frequency",IF(SUMPRODUCT(($A$5:$A$304=A45)*($B$5:$B$304=B45))&gt;1,"Duplicate row",IF(H45&lt;0,"OVERDUE",IF(H45&lt;=$I$2,"Due soon","OK"))))))</f>
        <v/>
      </c>
      <c r="J45" s="9"/>
    </row>
    <row r="46" customFormat="false" ht="15" hidden="false" customHeight="false" outlineLevel="0" collapsed="false">
      <c r="A46" s="9"/>
      <c r="B46" s="9"/>
      <c r="C46" s="9"/>
      <c r="D46" s="9"/>
      <c r="E46" s="14"/>
      <c r="F46" s="15" t="str">
        <f aca="false">IF(OR(A46="",B46=""),"",IF(MAX(N(E46),SUMPRODUCT(MAX(('Completion Log'!$B$5:$B$2004=A46)*('Completion Log'!$C$5:$C$2004=B46)*'Completion Log'!$A$5:$A$2004)))=0,"",MAX(N(E46),SUMPRODUCT(MAX(('Completion Log'!$B$5:$B$2004=A46)*('Completion Log'!$C$5:$C$2004=B46)*'Completion Log'!$A$5:$A$2004)))))</f>
        <v/>
      </c>
      <c r="G46" s="15" t="str">
        <f aca="true">IF(OR(A46="",B46="",OR(NOT(ISNUMBER(C46)),N(C46)&lt;=0)),"",IF(F46="",TODAY(),F46+C46))</f>
        <v/>
      </c>
      <c r="H46" s="16" t="str">
        <f aca="true">IF(G46="","",G46-TODAY())</f>
        <v/>
      </c>
      <c r="I46" s="17" t="str">
        <f aca="false">IF(AND(A46="",B46=""),"",IF(OR(A46="",B46=""),"Fill in asset and task",IF(OR(NOT(ISNUMBER(C46)),N(C46)&lt;=0),"Check frequency",IF(SUMPRODUCT(($A$5:$A$304=A46)*($B$5:$B$304=B46))&gt;1,"Duplicate row",IF(H46&lt;0,"OVERDUE",IF(H46&lt;=$I$2,"Due soon","OK"))))))</f>
        <v/>
      </c>
      <c r="J46" s="9"/>
    </row>
    <row r="47" customFormat="false" ht="15" hidden="false" customHeight="false" outlineLevel="0" collapsed="false">
      <c r="A47" s="9"/>
      <c r="B47" s="9"/>
      <c r="C47" s="9"/>
      <c r="D47" s="9"/>
      <c r="E47" s="14"/>
      <c r="F47" s="15" t="str">
        <f aca="false">IF(OR(A47="",B47=""),"",IF(MAX(N(E47),SUMPRODUCT(MAX(('Completion Log'!$B$5:$B$2004=A47)*('Completion Log'!$C$5:$C$2004=B47)*'Completion Log'!$A$5:$A$2004)))=0,"",MAX(N(E47),SUMPRODUCT(MAX(('Completion Log'!$B$5:$B$2004=A47)*('Completion Log'!$C$5:$C$2004=B47)*'Completion Log'!$A$5:$A$2004)))))</f>
        <v/>
      </c>
      <c r="G47" s="15" t="str">
        <f aca="true">IF(OR(A47="",B47="",OR(NOT(ISNUMBER(C47)),N(C47)&lt;=0)),"",IF(F47="",TODAY(),F47+C47))</f>
        <v/>
      </c>
      <c r="H47" s="16" t="str">
        <f aca="true">IF(G47="","",G47-TODAY())</f>
        <v/>
      </c>
      <c r="I47" s="17" t="str">
        <f aca="false">IF(AND(A47="",B47=""),"",IF(OR(A47="",B47=""),"Fill in asset and task",IF(OR(NOT(ISNUMBER(C47)),N(C47)&lt;=0),"Check frequency",IF(SUMPRODUCT(($A$5:$A$304=A47)*($B$5:$B$304=B47))&gt;1,"Duplicate row",IF(H47&lt;0,"OVERDUE",IF(H47&lt;=$I$2,"Due soon","OK"))))))</f>
        <v/>
      </c>
      <c r="J47" s="9"/>
    </row>
    <row r="48" customFormat="false" ht="15" hidden="false" customHeight="false" outlineLevel="0" collapsed="false">
      <c r="A48" s="9"/>
      <c r="B48" s="9"/>
      <c r="C48" s="9"/>
      <c r="D48" s="9"/>
      <c r="E48" s="14"/>
      <c r="F48" s="15" t="str">
        <f aca="false">IF(OR(A48="",B48=""),"",IF(MAX(N(E48),SUMPRODUCT(MAX(('Completion Log'!$B$5:$B$2004=A48)*('Completion Log'!$C$5:$C$2004=B48)*'Completion Log'!$A$5:$A$2004)))=0,"",MAX(N(E48),SUMPRODUCT(MAX(('Completion Log'!$B$5:$B$2004=A48)*('Completion Log'!$C$5:$C$2004=B48)*'Completion Log'!$A$5:$A$2004)))))</f>
        <v/>
      </c>
      <c r="G48" s="15" t="str">
        <f aca="true">IF(OR(A48="",B48="",OR(NOT(ISNUMBER(C48)),N(C48)&lt;=0)),"",IF(F48="",TODAY(),F48+C48))</f>
        <v/>
      </c>
      <c r="H48" s="16" t="str">
        <f aca="true">IF(G48="","",G48-TODAY())</f>
        <v/>
      </c>
      <c r="I48" s="17" t="str">
        <f aca="false">IF(AND(A48="",B48=""),"",IF(OR(A48="",B48=""),"Fill in asset and task",IF(OR(NOT(ISNUMBER(C48)),N(C48)&lt;=0),"Check frequency",IF(SUMPRODUCT(($A$5:$A$304=A48)*($B$5:$B$304=B48))&gt;1,"Duplicate row",IF(H48&lt;0,"OVERDUE",IF(H48&lt;=$I$2,"Due soon","OK"))))))</f>
        <v/>
      </c>
      <c r="J48" s="9"/>
    </row>
    <row r="49" customFormat="false" ht="15" hidden="false" customHeight="false" outlineLevel="0" collapsed="false">
      <c r="A49" s="9"/>
      <c r="B49" s="9"/>
      <c r="C49" s="9"/>
      <c r="D49" s="9"/>
      <c r="E49" s="14"/>
      <c r="F49" s="15" t="str">
        <f aca="false">IF(OR(A49="",B49=""),"",IF(MAX(N(E49),SUMPRODUCT(MAX(('Completion Log'!$B$5:$B$2004=A49)*('Completion Log'!$C$5:$C$2004=B49)*'Completion Log'!$A$5:$A$2004)))=0,"",MAX(N(E49),SUMPRODUCT(MAX(('Completion Log'!$B$5:$B$2004=A49)*('Completion Log'!$C$5:$C$2004=B49)*'Completion Log'!$A$5:$A$2004)))))</f>
        <v/>
      </c>
      <c r="G49" s="15" t="str">
        <f aca="true">IF(OR(A49="",B49="",OR(NOT(ISNUMBER(C49)),N(C49)&lt;=0)),"",IF(F49="",TODAY(),F49+C49))</f>
        <v/>
      </c>
      <c r="H49" s="16" t="str">
        <f aca="true">IF(G49="","",G49-TODAY())</f>
        <v/>
      </c>
      <c r="I49" s="17" t="str">
        <f aca="false">IF(AND(A49="",B49=""),"",IF(OR(A49="",B49=""),"Fill in asset and task",IF(OR(NOT(ISNUMBER(C49)),N(C49)&lt;=0),"Check frequency",IF(SUMPRODUCT(($A$5:$A$304=A49)*($B$5:$B$304=B49))&gt;1,"Duplicate row",IF(H49&lt;0,"OVERDUE",IF(H49&lt;=$I$2,"Due soon","OK"))))))</f>
        <v/>
      </c>
      <c r="J49" s="9"/>
    </row>
    <row r="50" customFormat="false" ht="15" hidden="false" customHeight="false" outlineLevel="0" collapsed="false">
      <c r="A50" s="9"/>
      <c r="B50" s="9"/>
      <c r="C50" s="9"/>
      <c r="D50" s="9"/>
      <c r="E50" s="14"/>
      <c r="F50" s="15" t="str">
        <f aca="false">IF(OR(A50="",B50=""),"",IF(MAX(N(E50),SUMPRODUCT(MAX(('Completion Log'!$B$5:$B$2004=A50)*('Completion Log'!$C$5:$C$2004=B50)*'Completion Log'!$A$5:$A$2004)))=0,"",MAX(N(E50),SUMPRODUCT(MAX(('Completion Log'!$B$5:$B$2004=A50)*('Completion Log'!$C$5:$C$2004=B50)*'Completion Log'!$A$5:$A$2004)))))</f>
        <v/>
      </c>
      <c r="G50" s="15" t="str">
        <f aca="true">IF(OR(A50="",B50="",OR(NOT(ISNUMBER(C50)),N(C50)&lt;=0)),"",IF(F50="",TODAY(),F50+C50))</f>
        <v/>
      </c>
      <c r="H50" s="16" t="str">
        <f aca="true">IF(G50="","",G50-TODAY())</f>
        <v/>
      </c>
      <c r="I50" s="17" t="str">
        <f aca="false">IF(AND(A50="",B50=""),"",IF(OR(A50="",B50=""),"Fill in asset and task",IF(OR(NOT(ISNUMBER(C50)),N(C50)&lt;=0),"Check frequency",IF(SUMPRODUCT(($A$5:$A$304=A50)*($B$5:$B$304=B50))&gt;1,"Duplicate row",IF(H50&lt;0,"OVERDUE",IF(H50&lt;=$I$2,"Due soon","OK"))))))</f>
        <v/>
      </c>
      <c r="J50" s="9"/>
    </row>
    <row r="51" customFormat="false" ht="15" hidden="false" customHeight="false" outlineLevel="0" collapsed="false">
      <c r="A51" s="9"/>
      <c r="B51" s="9"/>
      <c r="C51" s="9"/>
      <c r="D51" s="9"/>
      <c r="E51" s="14"/>
      <c r="F51" s="15" t="str">
        <f aca="false">IF(OR(A51="",B51=""),"",IF(MAX(N(E51),SUMPRODUCT(MAX(('Completion Log'!$B$5:$B$2004=A51)*('Completion Log'!$C$5:$C$2004=B51)*'Completion Log'!$A$5:$A$2004)))=0,"",MAX(N(E51),SUMPRODUCT(MAX(('Completion Log'!$B$5:$B$2004=A51)*('Completion Log'!$C$5:$C$2004=B51)*'Completion Log'!$A$5:$A$2004)))))</f>
        <v/>
      </c>
      <c r="G51" s="15" t="str">
        <f aca="true">IF(OR(A51="",B51="",OR(NOT(ISNUMBER(C51)),N(C51)&lt;=0)),"",IF(F51="",TODAY(),F51+C51))</f>
        <v/>
      </c>
      <c r="H51" s="16" t="str">
        <f aca="true">IF(G51="","",G51-TODAY())</f>
        <v/>
      </c>
      <c r="I51" s="17" t="str">
        <f aca="false">IF(AND(A51="",B51=""),"",IF(OR(A51="",B51=""),"Fill in asset and task",IF(OR(NOT(ISNUMBER(C51)),N(C51)&lt;=0),"Check frequency",IF(SUMPRODUCT(($A$5:$A$304=A51)*($B$5:$B$304=B51))&gt;1,"Duplicate row",IF(H51&lt;0,"OVERDUE",IF(H51&lt;=$I$2,"Due soon","OK"))))))</f>
        <v/>
      </c>
      <c r="J51" s="9"/>
    </row>
    <row r="52" customFormat="false" ht="15" hidden="false" customHeight="false" outlineLevel="0" collapsed="false">
      <c r="A52" s="9"/>
      <c r="B52" s="9"/>
      <c r="C52" s="9"/>
      <c r="D52" s="9"/>
      <c r="E52" s="14"/>
      <c r="F52" s="15" t="str">
        <f aca="false">IF(OR(A52="",B52=""),"",IF(MAX(N(E52),SUMPRODUCT(MAX(('Completion Log'!$B$5:$B$2004=A52)*('Completion Log'!$C$5:$C$2004=B52)*'Completion Log'!$A$5:$A$2004)))=0,"",MAX(N(E52),SUMPRODUCT(MAX(('Completion Log'!$B$5:$B$2004=A52)*('Completion Log'!$C$5:$C$2004=B52)*'Completion Log'!$A$5:$A$2004)))))</f>
        <v/>
      </c>
      <c r="G52" s="15" t="str">
        <f aca="true">IF(OR(A52="",B52="",OR(NOT(ISNUMBER(C52)),N(C52)&lt;=0)),"",IF(F52="",TODAY(),F52+C52))</f>
        <v/>
      </c>
      <c r="H52" s="16" t="str">
        <f aca="true">IF(G52="","",G52-TODAY())</f>
        <v/>
      </c>
      <c r="I52" s="17" t="str">
        <f aca="false">IF(AND(A52="",B52=""),"",IF(OR(A52="",B52=""),"Fill in asset and task",IF(OR(NOT(ISNUMBER(C52)),N(C52)&lt;=0),"Check frequency",IF(SUMPRODUCT(($A$5:$A$304=A52)*($B$5:$B$304=B52))&gt;1,"Duplicate row",IF(H52&lt;0,"OVERDUE",IF(H52&lt;=$I$2,"Due soon","OK"))))))</f>
        <v/>
      </c>
      <c r="J52" s="9"/>
    </row>
    <row r="53" customFormat="false" ht="15" hidden="false" customHeight="false" outlineLevel="0" collapsed="false">
      <c r="A53" s="9"/>
      <c r="B53" s="9"/>
      <c r="C53" s="9"/>
      <c r="D53" s="9"/>
      <c r="E53" s="14"/>
      <c r="F53" s="15" t="str">
        <f aca="false">IF(OR(A53="",B53=""),"",IF(MAX(N(E53),SUMPRODUCT(MAX(('Completion Log'!$B$5:$B$2004=A53)*('Completion Log'!$C$5:$C$2004=B53)*'Completion Log'!$A$5:$A$2004)))=0,"",MAX(N(E53),SUMPRODUCT(MAX(('Completion Log'!$B$5:$B$2004=A53)*('Completion Log'!$C$5:$C$2004=B53)*'Completion Log'!$A$5:$A$2004)))))</f>
        <v/>
      </c>
      <c r="G53" s="15" t="str">
        <f aca="true">IF(OR(A53="",B53="",OR(NOT(ISNUMBER(C53)),N(C53)&lt;=0)),"",IF(F53="",TODAY(),F53+C53))</f>
        <v/>
      </c>
      <c r="H53" s="16" t="str">
        <f aca="true">IF(G53="","",G53-TODAY())</f>
        <v/>
      </c>
      <c r="I53" s="17" t="str">
        <f aca="false">IF(AND(A53="",B53=""),"",IF(OR(A53="",B53=""),"Fill in asset and task",IF(OR(NOT(ISNUMBER(C53)),N(C53)&lt;=0),"Check frequency",IF(SUMPRODUCT(($A$5:$A$304=A53)*($B$5:$B$304=B53))&gt;1,"Duplicate row",IF(H53&lt;0,"OVERDUE",IF(H53&lt;=$I$2,"Due soon","OK"))))))</f>
        <v/>
      </c>
      <c r="J53" s="9"/>
    </row>
    <row r="54" customFormat="false" ht="15" hidden="false" customHeight="false" outlineLevel="0" collapsed="false">
      <c r="A54" s="9"/>
      <c r="B54" s="9"/>
      <c r="C54" s="9"/>
      <c r="D54" s="9"/>
      <c r="E54" s="14"/>
      <c r="F54" s="15" t="str">
        <f aca="false">IF(OR(A54="",B54=""),"",IF(MAX(N(E54),SUMPRODUCT(MAX(('Completion Log'!$B$5:$B$2004=A54)*('Completion Log'!$C$5:$C$2004=B54)*'Completion Log'!$A$5:$A$2004)))=0,"",MAX(N(E54),SUMPRODUCT(MAX(('Completion Log'!$B$5:$B$2004=A54)*('Completion Log'!$C$5:$C$2004=B54)*'Completion Log'!$A$5:$A$2004)))))</f>
        <v/>
      </c>
      <c r="G54" s="15" t="str">
        <f aca="true">IF(OR(A54="",B54="",OR(NOT(ISNUMBER(C54)),N(C54)&lt;=0)),"",IF(F54="",TODAY(),F54+C54))</f>
        <v/>
      </c>
      <c r="H54" s="16" t="str">
        <f aca="true">IF(G54="","",G54-TODAY())</f>
        <v/>
      </c>
      <c r="I54" s="17" t="str">
        <f aca="false">IF(AND(A54="",B54=""),"",IF(OR(A54="",B54=""),"Fill in asset and task",IF(OR(NOT(ISNUMBER(C54)),N(C54)&lt;=0),"Check frequency",IF(SUMPRODUCT(($A$5:$A$304=A54)*($B$5:$B$304=B54))&gt;1,"Duplicate row",IF(H54&lt;0,"OVERDUE",IF(H54&lt;=$I$2,"Due soon","OK"))))))</f>
        <v/>
      </c>
      <c r="J54" s="9"/>
    </row>
    <row r="55" customFormat="false" ht="15" hidden="false" customHeight="false" outlineLevel="0" collapsed="false">
      <c r="A55" s="9"/>
      <c r="B55" s="9"/>
      <c r="C55" s="9"/>
      <c r="D55" s="9"/>
      <c r="E55" s="14"/>
      <c r="F55" s="15" t="str">
        <f aca="false">IF(OR(A55="",B55=""),"",IF(MAX(N(E55),SUMPRODUCT(MAX(('Completion Log'!$B$5:$B$2004=A55)*('Completion Log'!$C$5:$C$2004=B55)*'Completion Log'!$A$5:$A$2004)))=0,"",MAX(N(E55),SUMPRODUCT(MAX(('Completion Log'!$B$5:$B$2004=A55)*('Completion Log'!$C$5:$C$2004=B55)*'Completion Log'!$A$5:$A$2004)))))</f>
        <v/>
      </c>
      <c r="G55" s="15" t="str">
        <f aca="true">IF(OR(A55="",B55="",OR(NOT(ISNUMBER(C55)),N(C55)&lt;=0)),"",IF(F55="",TODAY(),F55+C55))</f>
        <v/>
      </c>
      <c r="H55" s="16" t="str">
        <f aca="true">IF(G55="","",G55-TODAY())</f>
        <v/>
      </c>
      <c r="I55" s="17" t="str">
        <f aca="false">IF(AND(A55="",B55=""),"",IF(OR(A55="",B55=""),"Fill in asset and task",IF(OR(NOT(ISNUMBER(C55)),N(C55)&lt;=0),"Check frequency",IF(SUMPRODUCT(($A$5:$A$304=A55)*($B$5:$B$304=B55))&gt;1,"Duplicate row",IF(H55&lt;0,"OVERDUE",IF(H55&lt;=$I$2,"Due soon","OK"))))))</f>
        <v/>
      </c>
      <c r="J55" s="9"/>
    </row>
    <row r="56" customFormat="false" ht="15" hidden="false" customHeight="false" outlineLevel="0" collapsed="false">
      <c r="A56" s="9"/>
      <c r="B56" s="9"/>
      <c r="C56" s="9"/>
      <c r="D56" s="9"/>
      <c r="E56" s="14"/>
      <c r="F56" s="15" t="str">
        <f aca="false">IF(OR(A56="",B56=""),"",IF(MAX(N(E56),SUMPRODUCT(MAX(('Completion Log'!$B$5:$B$2004=A56)*('Completion Log'!$C$5:$C$2004=B56)*'Completion Log'!$A$5:$A$2004)))=0,"",MAX(N(E56),SUMPRODUCT(MAX(('Completion Log'!$B$5:$B$2004=A56)*('Completion Log'!$C$5:$C$2004=B56)*'Completion Log'!$A$5:$A$2004)))))</f>
        <v/>
      </c>
      <c r="G56" s="15" t="str">
        <f aca="true">IF(OR(A56="",B56="",OR(NOT(ISNUMBER(C56)),N(C56)&lt;=0)),"",IF(F56="",TODAY(),F56+C56))</f>
        <v/>
      </c>
      <c r="H56" s="16" t="str">
        <f aca="true">IF(G56="","",G56-TODAY())</f>
        <v/>
      </c>
      <c r="I56" s="17" t="str">
        <f aca="false">IF(AND(A56="",B56=""),"",IF(OR(A56="",B56=""),"Fill in asset and task",IF(OR(NOT(ISNUMBER(C56)),N(C56)&lt;=0),"Check frequency",IF(SUMPRODUCT(($A$5:$A$304=A56)*($B$5:$B$304=B56))&gt;1,"Duplicate row",IF(H56&lt;0,"OVERDUE",IF(H56&lt;=$I$2,"Due soon","OK"))))))</f>
        <v/>
      </c>
      <c r="J56" s="9"/>
    </row>
    <row r="57" customFormat="false" ht="15" hidden="false" customHeight="false" outlineLevel="0" collapsed="false">
      <c r="A57" s="9"/>
      <c r="B57" s="9"/>
      <c r="C57" s="9"/>
      <c r="D57" s="9"/>
      <c r="E57" s="14"/>
      <c r="F57" s="15" t="str">
        <f aca="false">IF(OR(A57="",B57=""),"",IF(MAX(N(E57),SUMPRODUCT(MAX(('Completion Log'!$B$5:$B$2004=A57)*('Completion Log'!$C$5:$C$2004=B57)*'Completion Log'!$A$5:$A$2004)))=0,"",MAX(N(E57),SUMPRODUCT(MAX(('Completion Log'!$B$5:$B$2004=A57)*('Completion Log'!$C$5:$C$2004=B57)*'Completion Log'!$A$5:$A$2004)))))</f>
        <v/>
      </c>
      <c r="G57" s="15" t="str">
        <f aca="true">IF(OR(A57="",B57="",OR(NOT(ISNUMBER(C57)),N(C57)&lt;=0)),"",IF(F57="",TODAY(),F57+C57))</f>
        <v/>
      </c>
      <c r="H57" s="16" t="str">
        <f aca="true">IF(G57="","",G57-TODAY())</f>
        <v/>
      </c>
      <c r="I57" s="17" t="str">
        <f aca="false">IF(AND(A57="",B57=""),"",IF(OR(A57="",B57=""),"Fill in asset and task",IF(OR(NOT(ISNUMBER(C57)),N(C57)&lt;=0),"Check frequency",IF(SUMPRODUCT(($A$5:$A$304=A57)*($B$5:$B$304=B57))&gt;1,"Duplicate row",IF(H57&lt;0,"OVERDUE",IF(H57&lt;=$I$2,"Due soon","OK"))))))</f>
        <v/>
      </c>
      <c r="J57" s="9"/>
    </row>
    <row r="58" customFormat="false" ht="15" hidden="false" customHeight="false" outlineLevel="0" collapsed="false">
      <c r="A58" s="9"/>
      <c r="B58" s="9"/>
      <c r="C58" s="9"/>
      <c r="D58" s="9"/>
      <c r="E58" s="14"/>
      <c r="F58" s="15" t="str">
        <f aca="false">IF(OR(A58="",B58=""),"",IF(MAX(N(E58),SUMPRODUCT(MAX(('Completion Log'!$B$5:$B$2004=A58)*('Completion Log'!$C$5:$C$2004=B58)*'Completion Log'!$A$5:$A$2004)))=0,"",MAX(N(E58),SUMPRODUCT(MAX(('Completion Log'!$B$5:$B$2004=A58)*('Completion Log'!$C$5:$C$2004=B58)*'Completion Log'!$A$5:$A$2004)))))</f>
        <v/>
      </c>
      <c r="G58" s="15" t="str">
        <f aca="true">IF(OR(A58="",B58="",OR(NOT(ISNUMBER(C58)),N(C58)&lt;=0)),"",IF(F58="",TODAY(),F58+C58))</f>
        <v/>
      </c>
      <c r="H58" s="16" t="str">
        <f aca="true">IF(G58="","",G58-TODAY())</f>
        <v/>
      </c>
      <c r="I58" s="17" t="str">
        <f aca="false">IF(AND(A58="",B58=""),"",IF(OR(A58="",B58=""),"Fill in asset and task",IF(OR(NOT(ISNUMBER(C58)),N(C58)&lt;=0),"Check frequency",IF(SUMPRODUCT(($A$5:$A$304=A58)*($B$5:$B$304=B58))&gt;1,"Duplicate row",IF(H58&lt;0,"OVERDUE",IF(H58&lt;=$I$2,"Due soon","OK"))))))</f>
        <v/>
      </c>
      <c r="J58" s="9"/>
    </row>
    <row r="59" customFormat="false" ht="15" hidden="false" customHeight="false" outlineLevel="0" collapsed="false">
      <c r="A59" s="9"/>
      <c r="B59" s="9"/>
      <c r="C59" s="9"/>
      <c r="D59" s="9"/>
      <c r="E59" s="14"/>
      <c r="F59" s="15" t="str">
        <f aca="false">IF(OR(A59="",B59=""),"",IF(MAX(N(E59),SUMPRODUCT(MAX(('Completion Log'!$B$5:$B$2004=A59)*('Completion Log'!$C$5:$C$2004=B59)*'Completion Log'!$A$5:$A$2004)))=0,"",MAX(N(E59),SUMPRODUCT(MAX(('Completion Log'!$B$5:$B$2004=A59)*('Completion Log'!$C$5:$C$2004=B59)*'Completion Log'!$A$5:$A$2004)))))</f>
        <v/>
      </c>
      <c r="G59" s="15" t="str">
        <f aca="true">IF(OR(A59="",B59="",OR(NOT(ISNUMBER(C59)),N(C59)&lt;=0)),"",IF(F59="",TODAY(),F59+C59))</f>
        <v/>
      </c>
      <c r="H59" s="16" t="str">
        <f aca="true">IF(G59="","",G59-TODAY())</f>
        <v/>
      </c>
      <c r="I59" s="17" t="str">
        <f aca="false">IF(AND(A59="",B59=""),"",IF(OR(A59="",B59=""),"Fill in asset and task",IF(OR(NOT(ISNUMBER(C59)),N(C59)&lt;=0),"Check frequency",IF(SUMPRODUCT(($A$5:$A$304=A59)*($B$5:$B$304=B59))&gt;1,"Duplicate row",IF(H59&lt;0,"OVERDUE",IF(H59&lt;=$I$2,"Due soon","OK"))))))</f>
        <v/>
      </c>
      <c r="J59" s="9"/>
    </row>
    <row r="60" customFormat="false" ht="15" hidden="false" customHeight="false" outlineLevel="0" collapsed="false">
      <c r="A60" s="9"/>
      <c r="B60" s="9"/>
      <c r="C60" s="9"/>
      <c r="D60" s="9"/>
      <c r="E60" s="14"/>
      <c r="F60" s="15" t="str">
        <f aca="false">IF(OR(A60="",B60=""),"",IF(MAX(N(E60),SUMPRODUCT(MAX(('Completion Log'!$B$5:$B$2004=A60)*('Completion Log'!$C$5:$C$2004=B60)*'Completion Log'!$A$5:$A$2004)))=0,"",MAX(N(E60),SUMPRODUCT(MAX(('Completion Log'!$B$5:$B$2004=A60)*('Completion Log'!$C$5:$C$2004=B60)*'Completion Log'!$A$5:$A$2004)))))</f>
        <v/>
      </c>
      <c r="G60" s="15" t="str">
        <f aca="true">IF(OR(A60="",B60="",OR(NOT(ISNUMBER(C60)),N(C60)&lt;=0)),"",IF(F60="",TODAY(),F60+C60))</f>
        <v/>
      </c>
      <c r="H60" s="16" t="str">
        <f aca="true">IF(G60="","",G60-TODAY())</f>
        <v/>
      </c>
      <c r="I60" s="17" t="str">
        <f aca="false">IF(AND(A60="",B60=""),"",IF(OR(A60="",B60=""),"Fill in asset and task",IF(OR(NOT(ISNUMBER(C60)),N(C60)&lt;=0),"Check frequency",IF(SUMPRODUCT(($A$5:$A$304=A60)*($B$5:$B$304=B60))&gt;1,"Duplicate row",IF(H60&lt;0,"OVERDUE",IF(H60&lt;=$I$2,"Due soon","OK"))))))</f>
        <v/>
      </c>
      <c r="J60" s="9"/>
    </row>
    <row r="61" customFormat="false" ht="15" hidden="false" customHeight="false" outlineLevel="0" collapsed="false">
      <c r="A61" s="9"/>
      <c r="B61" s="9"/>
      <c r="C61" s="9"/>
      <c r="D61" s="9"/>
      <c r="E61" s="14"/>
      <c r="F61" s="15" t="str">
        <f aca="false">IF(OR(A61="",B61=""),"",IF(MAX(N(E61),SUMPRODUCT(MAX(('Completion Log'!$B$5:$B$2004=A61)*('Completion Log'!$C$5:$C$2004=B61)*'Completion Log'!$A$5:$A$2004)))=0,"",MAX(N(E61),SUMPRODUCT(MAX(('Completion Log'!$B$5:$B$2004=A61)*('Completion Log'!$C$5:$C$2004=B61)*'Completion Log'!$A$5:$A$2004)))))</f>
        <v/>
      </c>
      <c r="G61" s="15" t="str">
        <f aca="true">IF(OR(A61="",B61="",OR(NOT(ISNUMBER(C61)),N(C61)&lt;=0)),"",IF(F61="",TODAY(),F61+C61))</f>
        <v/>
      </c>
      <c r="H61" s="16" t="str">
        <f aca="true">IF(G61="","",G61-TODAY())</f>
        <v/>
      </c>
      <c r="I61" s="17" t="str">
        <f aca="false">IF(AND(A61="",B61=""),"",IF(OR(A61="",B61=""),"Fill in asset and task",IF(OR(NOT(ISNUMBER(C61)),N(C61)&lt;=0),"Check frequency",IF(SUMPRODUCT(($A$5:$A$304=A61)*($B$5:$B$304=B61))&gt;1,"Duplicate row",IF(H61&lt;0,"OVERDUE",IF(H61&lt;=$I$2,"Due soon","OK"))))))</f>
        <v/>
      </c>
      <c r="J61" s="9"/>
    </row>
    <row r="62" customFormat="false" ht="15" hidden="false" customHeight="false" outlineLevel="0" collapsed="false">
      <c r="A62" s="9"/>
      <c r="B62" s="9"/>
      <c r="C62" s="9"/>
      <c r="D62" s="9"/>
      <c r="E62" s="14"/>
      <c r="F62" s="15" t="str">
        <f aca="false">IF(OR(A62="",B62=""),"",IF(MAX(N(E62),SUMPRODUCT(MAX(('Completion Log'!$B$5:$B$2004=A62)*('Completion Log'!$C$5:$C$2004=B62)*'Completion Log'!$A$5:$A$2004)))=0,"",MAX(N(E62),SUMPRODUCT(MAX(('Completion Log'!$B$5:$B$2004=A62)*('Completion Log'!$C$5:$C$2004=B62)*'Completion Log'!$A$5:$A$2004)))))</f>
        <v/>
      </c>
      <c r="G62" s="15" t="str">
        <f aca="true">IF(OR(A62="",B62="",OR(NOT(ISNUMBER(C62)),N(C62)&lt;=0)),"",IF(F62="",TODAY(),F62+C62))</f>
        <v/>
      </c>
      <c r="H62" s="16" t="str">
        <f aca="true">IF(G62="","",G62-TODAY())</f>
        <v/>
      </c>
      <c r="I62" s="17" t="str">
        <f aca="false">IF(AND(A62="",B62=""),"",IF(OR(A62="",B62=""),"Fill in asset and task",IF(OR(NOT(ISNUMBER(C62)),N(C62)&lt;=0),"Check frequency",IF(SUMPRODUCT(($A$5:$A$304=A62)*($B$5:$B$304=B62))&gt;1,"Duplicate row",IF(H62&lt;0,"OVERDUE",IF(H62&lt;=$I$2,"Due soon","OK"))))))</f>
        <v/>
      </c>
      <c r="J62" s="9"/>
    </row>
    <row r="63" customFormat="false" ht="15" hidden="false" customHeight="false" outlineLevel="0" collapsed="false">
      <c r="A63" s="9"/>
      <c r="B63" s="9"/>
      <c r="C63" s="9"/>
      <c r="D63" s="9"/>
      <c r="E63" s="14"/>
      <c r="F63" s="15" t="str">
        <f aca="false">IF(OR(A63="",B63=""),"",IF(MAX(N(E63),SUMPRODUCT(MAX(('Completion Log'!$B$5:$B$2004=A63)*('Completion Log'!$C$5:$C$2004=B63)*'Completion Log'!$A$5:$A$2004)))=0,"",MAX(N(E63),SUMPRODUCT(MAX(('Completion Log'!$B$5:$B$2004=A63)*('Completion Log'!$C$5:$C$2004=B63)*'Completion Log'!$A$5:$A$2004)))))</f>
        <v/>
      </c>
      <c r="G63" s="15" t="str">
        <f aca="true">IF(OR(A63="",B63="",OR(NOT(ISNUMBER(C63)),N(C63)&lt;=0)),"",IF(F63="",TODAY(),F63+C63))</f>
        <v/>
      </c>
      <c r="H63" s="16" t="str">
        <f aca="true">IF(G63="","",G63-TODAY())</f>
        <v/>
      </c>
      <c r="I63" s="17" t="str">
        <f aca="false">IF(AND(A63="",B63=""),"",IF(OR(A63="",B63=""),"Fill in asset and task",IF(OR(NOT(ISNUMBER(C63)),N(C63)&lt;=0),"Check frequency",IF(SUMPRODUCT(($A$5:$A$304=A63)*($B$5:$B$304=B63))&gt;1,"Duplicate row",IF(H63&lt;0,"OVERDUE",IF(H63&lt;=$I$2,"Due soon","OK"))))))</f>
        <v/>
      </c>
      <c r="J63" s="9"/>
    </row>
    <row r="64" customFormat="false" ht="15" hidden="false" customHeight="false" outlineLevel="0" collapsed="false">
      <c r="A64" s="9"/>
      <c r="B64" s="9"/>
      <c r="C64" s="9"/>
      <c r="D64" s="9"/>
      <c r="E64" s="14"/>
      <c r="F64" s="15" t="str">
        <f aca="false">IF(OR(A64="",B64=""),"",IF(MAX(N(E64),SUMPRODUCT(MAX(('Completion Log'!$B$5:$B$2004=A64)*('Completion Log'!$C$5:$C$2004=B64)*'Completion Log'!$A$5:$A$2004)))=0,"",MAX(N(E64),SUMPRODUCT(MAX(('Completion Log'!$B$5:$B$2004=A64)*('Completion Log'!$C$5:$C$2004=B64)*'Completion Log'!$A$5:$A$2004)))))</f>
        <v/>
      </c>
      <c r="G64" s="15" t="str">
        <f aca="true">IF(OR(A64="",B64="",OR(NOT(ISNUMBER(C64)),N(C64)&lt;=0)),"",IF(F64="",TODAY(),F64+C64))</f>
        <v/>
      </c>
      <c r="H64" s="16" t="str">
        <f aca="true">IF(G64="","",G64-TODAY())</f>
        <v/>
      </c>
      <c r="I64" s="17" t="str">
        <f aca="false">IF(AND(A64="",B64=""),"",IF(OR(A64="",B64=""),"Fill in asset and task",IF(OR(NOT(ISNUMBER(C64)),N(C64)&lt;=0),"Check frequency",IF(SUMPRODUCT(($A$5:$A$304=A64)*($B$5:$B$304=B64))&gt;1,"Duplicate row",IF(H64&lt;0,"OVERDUE",IF(H64&lt;=$I$2,"Due soon","OK"))))))</f>
        <v/>
      </c>
      <c r="J64" s="9"/>
    </row>
    <row r="65" customFormat="false" ht="15" hidden="false" customHeight="false" outlineLevel="0" collapsed="false">
      <c r="A65" s="9"/>
      <c r="B65" s="9"/>
      <c r="C65" s="9"/>
      <c r="D65" s="9"/>
      <c r="E65" s="14"/>
      <c r="F65" s="15" t="str">
        <f aca="false">IF(OR(A65="",B65=""),"",IF(MAX(N(E65),SUMPRODUCT(MAX(('Completion Log'!$B$5:$B$2004=A65)*('Completion Log'!$C$5:$C$2004=B65)*'Completion Log'!$A$5:$A$2004)))=0,"",MAX(N(E65),SUMPRODUCT(MAX(('Completion Log'!$B$5:$B$2004=A65)*('Completion Log'!$C$5:$C$2004=B65)*'Completion Log'!$A$5:$A$2004)))))</f>
        <v/>
      </c>
      <c r="G65" s="15" t="str">
        <f aca="true">IF(OR(A65="",B65="",OR(NOT(ISNUMBER(C65)),N(C65)&lt;=0)),"",IF(F65="",TODAY(),F65+C65))</f>
        <v/>
      </c>
      <c r="H65" s="16" t="str">
        <f aca="true">IF(G65="","",G65-TODAY())</f>
        <v/>
      </c>
      <c r="I65" s="17" t="str">
        <f aca="false">IF(AND(A65="",B65=""),"",IF(OR(A65="",B65=""),"Fill in asset and task",IF(OR(NOT(ISNUMBER(C65)),N(C65)&lt;=0),"Check frequency",IF(SUMPRODUCT(($A$5:$A$304=A65)*($B$5:$B$304=B65))&gt;1,"Duplicate row",IF(H65&lt;0,"OVERDUE",IF(H65&lt;=$I$2,"Due soon","OK"))))))</f>
        <v/>
      </c>
      <c r="J65" s="9"/>
    </row>
    <row r="66" customFormat="false" ht="15" hidden="false" customHeight="false" outlineLevel="0" collapsed="false">
      <c r="A66" s="9"/>
      <c r="B66" s="9"/>
      <c r="C66" s="9"/>
      <c r="D66" s="9"/>
      <c r="E66" s="14"/>
      <c r="F66" s="15" t="str">
        <f aca="false">IF(OR(A66="",B66=""),"",IF(MAX(N(E66),SUMPRODUCT(MAX(('Completion Log'!$B$5:$B$2004=A66)*('Completion Log'!$C$5:$C$2004=B66)*'Completion Log'!$A$5:$A$2004)))=0,"",MAX(N(E66),SUMPRODUCT(MAX(('Completion Log'!$B$5:$B$2004=A66)*('Completion Log'!$C$5:$C$2004=B66)*'Completion Log'!$A$5:$A$2004)))))</f>
        <v/>
      </c>
      <c r="G66" s="15" t="str">
        <f aca="true">IF(OR(A66="",B66="",OR(NOT(ISNUMBER(C66)),N(C66)&lt;=0)),"",IF(F66="",TODAY(),F66+C66))</f>
        <v/>
      </c>
      <c r="H66" s="16" t="str">
        <f aca="true">IF(G66="","",G66-TODAY())</f>
        <v/>
      </c>
      <c r="I66" s="17" t="str">
        <f aca="false">IF(AND(A66="",B66=""),"",IF(OR(A66="",B66=""),"Fill in asset and task",IF(OR(NOT(ISNUMBER(C66)),N(C66)&lt;=0),"Check frequency",IF(SUMPRODUCT(($A$5:$A$304=A66)*($B$5:$B$304=B66))&gt;1,"Duplicate row",IF(H66&lt;0,"OVERDUE",IF(H66&lt;=$I$2,"Due soon","OK"))))))</f>
        <v/>
      </c>
      <c r="J66" s="9"/>
    </row>
    <row r="67" customFormat="false" ht="15" hidden="false" customHeight="false" outlineLevel="0" collapsed="false">
      <c r="A67" s="9"/>
      <c r="B67" s="9"/>
      <c r="C67" s="9"/>
      <c r="D67" s="9"/>
      <c r="E67" s="14"/>
      <c r="F67" s="15" t="str">
        <f aca="false">IF(OR(A67="",B67=""),"",IF(MAX(N(E67),SUMPRODUCT(MAX(('Completion Log'!$B$5:$B$2004=A67)*('Completion Log'!$C$5:$C$2004=B67)*'Completion Log'!$A$5:$A$2004)))=0,"",MAX(N(E67),SUMPRODUCT(MAX(('Completion Log'!$B$5:$B$2004=A67)*('Completion Log'!$C$5:$C$2004=B67)*'Completion Log'!$A$5:$A$2004)))))</f>
        <v/>
      </c>
      <c r="G67" s="15" t="str">
        <f aca="true">IF(OR(A67="",B67="",OR(NOT(ISNUMBER(C67)),N(C67)&lt;=0)),"",IF(F67="",TODAY(),F67+C67))</f>
        <v/>
      </c>
      <c r="H67" s="16" t="str">
        <f aca="true">IF(G67="","",G67-TODAY())</f>
        <v/>
      </c>
      <c r="I67" s="17" t="str">
        <f aca="false">IF(AND(A67="",B67=""),"",IF(OR(A67="",B67=""),"Fill in asset and task",IF(OR(NOT(ISNUMBER(C67)),N(C67)&lt;=0),"Check frequency",IF(SUMPRODUCT(($A$5:$A$304=A67)*($B$5:$B$304=B67))&gt;1,"Duplicate row",IF(H67&lt;0,"OVERDUE",IF(H67&lt;=$I$2,"Due soon","OK"))))))</f>
        <v/>
      </c>
      <c r="J67" s="9"/>
    </row>
    <row r="68" customFormat="false" ht="15" hidden="false" customHeight="false" outlineLevel="0" collapsed="false">
      <c r="A68" s="9"/>
      <c r="B68" s="9"/>
      <c r="C68" s="9"/>
      <c r="D68" s="9"/>
      <c r="E68" s="14"/>
      <c r="F68" s="15" t="str">
        <f aca="false">IF(OR(A68="",B68=""),"",IF(MAX(N(E68),SUMPRODUCT(MAX(('Completion Log'!$B$5:$B$2004=A68)*('Completion Log'!$C$5:$C$2004=B68)*'Completion Log'!$A$5:$A$2004)))=0,"",MAX(N(E68),SUMPRODUCT(MAX(('Completion Log'!$B$5:$B$2004=A68)*('Completion Log'!$C$5:$C$2004=B68)*'Completion Log'!$A$5:$A$2004)))))</f>
        <v/>
      </c>
      <c r="G68" s="15" t="str">
        <f aca="true">IF(OR(A68="",B68="",OR(NOT(ISNUMBER(C68)),N(C68)&lt;=0)),"",IF(F68="",TODAY(),F68+C68))</f>
        <v/>
      </c>
      <c r="H68" s="16" t="str">
        <f aca="true">IF(G68="","",G68-TODAY())</f>
        <v/>
      </c>
      <c r="I68" s="17" t="str">
        <f aca="false">IF(AND(A68="",B68=""),"",IF(OR(A68="",B68=""),"Fill in asset and task",IF(OR(NOT(ISNUMBER(C68)),N(C68)&lt;=0),"Check frequency",IF(SUMPRODUCT(($A$5:$A$304=A68)*($B$5:$B$304=B68))&gt;1,"Duplicate row",IF(H68&lt;0,"OVERDUE",IF(H68&lt;=$I$2,"Due soon","OK"))))))</f>
        <v/>
      </c>
      <c r="J68" s="9"/>
    </row>
    <row r="69" customFormat="false" ht="15" hidden="false" customHeight="false" outlineLevel="0" collapsed="false">
      <c r="A69" s="9"/>
      <c r="B69" s="9"/>
      <c r="C69" s="9"/>
      <c r="D69" s="9"/>
      <c r="E69" s="14"/>
      <c r="F69" s="15" t="str">
        <f aca="false">IF(OR(A69="",B69=""),"",IF(MAX(N(E69),SUMPRODUCT(MAX(('Completion Log'!$B$5:$B$2004=A69)*('Completion Log'!$C$5:$C$2004=B69)*'Completion Log'!$A$5:$A$2004)))=0,"",MAX(N(E69),SUMPRODUCT(MAX(('Completion Log'!$B$5:$B$2004=A69)*('Completion Log'!$C$5:$C$2004=B69)*'Completion Log'!$A$5:$A$2004)))))</f>
        <v/>
      </c>
      <c r="G69" s="15" t="str">
        <f aca="true">IF(OR(A69="",B69="",OR(NOT(ISNUMBER(C69)),N(C69)&lt;=0)),"",IF(F69="",TODAY(),F69+C69))</f>
        <v/>
      </c>
      <c r="H69" s="16" t="str">
        <f aca="true">IF(G69="","",G69-TODAY())</f>
        <v/>
      </c>
      <c r="I69" s="17" t="str">
        <f aca="false">IF(AND(A69="",B69=""),"",IF(OR(A69="",B69=""),"Fill in asset and task",IF(OR(NOT(ISNUMBER(C69)),N(C69)&lt;=0),"Check frequency",IF(SUMPRODUCT(($A$5:$A$304=A69)*($B$5:$B$304=B69))&gt;1,"Duplicate row",IF(H69&lt;0,"OVERDUE",IF(H69&lt;=$I$2,"Due soon","OK"))))))</f>
        <v/>
      </c>
      <c r="J69" s="9"/>
    </row>
    <row r="70" customFormat="false" ht="15" hidden="false" customHeight="false" outlineLevel="0" collapsed="false">
      <c r="A70" s="9"/>
      <c r="B70" s="9"/>
      <c r="C70" s="9"/>
      <c r="D70" s="9"/>
      <c r="E70" s="14"/>
      <c r="F70" s="15" t="str">
        <f aca="false">IF(OR(A70="",B70=""),"",IF(MAX(N(E70),SUMPRODUCT(MAX(('Completion Log'!$B$5:$B$2004=A70)*('Completion Log'!$C$5:$C$2004=B70)*'Completion Log'!$A$5:$A$2004)))=0,"",MAX(N(E70),SUMPRODUCT(MAX(('Completion Log'!$B$5:$B$2004=A70)*('Completion Log'!$C$5:$C$2004=B70)*'Completion Log'!$A$5:$A$2004)))))</f>
        <v/>
      </c>
      <c r="G70" s="15" t="str">
        <f aca="true">IF(OR(A70="",B70="",OR(NOT(ISNUMBER(C70)),N(C70)&lt;=0)),"",IF(F70="",TODAY(),F70+C70))</f>
        <v/>
      </c>
      <c r="H70" s="16" t="str">
        <f aca="true">IF(G70="","",G70-TODAY())</f>
        <v/>
      </c>
      <c r="I70" s="17" t="str">
        <f aca="false">IF(AND(A70="",B70=""),"",IF(OR(A70="",B70=""),"Fill in asset and task",IF(OR(NOT(ISNUMBER(C70)),N(C70)&lt;=0),"Check frequency",IF(SUMPRODUCT(($A$5:$A$304=A70)*($B$5:$B$304=B70))&gt;1,"Duplicate row",IF(H70&lt;0,"OVERDUE",IF(H70&lt;=$I$2,"Due soon","OK"))))))</f>
        <v/>
      </c>
      <c r="J70" s="9"/>
    </row>
    <row r="71" customFormat="false" ht="15" hidden="false" customHeight="false" outlineLevel="0" collapsed="false">
      <c r="A71" s="9"/>
      <c r="B71" s="9"/>
      <c r="C71" s="9"/>
      <c r="D71" s="9"/>
      <c r="E71" s="14"/>
      <c r="F71" s="15" t="str">
        <f aca="false">IF(OR(A71="",B71=""),"",IF(MAX(N(E71),SUMPRODUCT(MAX(('Completion Log'!$B$5:$B$2004=A71)*('Completion Log'!$C$5:$C$2004=B71)*'Completion Log'!$A$5:$A$2004)))=0,"",MAX(N(E71),SUMPRODUCT(MAX(('Completion Log'!$B$5:$B$2004=A71)*('Completion Log'!$C$5:$C$2004=B71)*'Completion Log'!$A$5:$A$2004)))))</f>
        <v/>
      </c>
      <c r="G71" s="15" t="str">
        <f aca="true">IF(OR(A71="",B71="",OR(NOT(ISNUMBER(C71)),N(C71)&lt;=0)),"",IF(F71="",TODAY(),F71+C71))</f>
        <v/>
      </c>
      <c r="H71" s="16" t="str">
        <f aca="true">IF(G71="","",G71-TODAY())</f>
        <v/>
      </c>
      <c r="I71" s="17" t="str">
        <f aca="false">IF(AND(A71="",B71=""),"",IF(OR(A71="",B71=""),"Fill in asset and task",IF(OR(NOT(ISNUMBER(C71)),N(C71)&lt;=0),"Check frequency",IF(SUMPRODUCT(($A$5:$A$304=A71)*($B$5:$B$304=B71))&gt;1,"Duplicate row",IF(H71&lt;0,"OVERDUE",IF(H71&lt;=$I$2,"Due soon","OK"))))))</f>
        <v/>
      </c>
      <c r="J71" s="9"/>
    </row>
    <row r="72" customFormat="false" ht="15" hidden="false" customHeight="false" outlineLevel="0" collapsed="false">
      <c r="A72" s="9"/>
      <c r="B72" s="9"/>
      <c r="C72" s="9"/>
      <c r="D72" s="9"/>
      <c r="E72" s="14"/>
      <c r="F72" s="15" t="str">
        <f aca="false">IF(OR(A72="",B72=""),"",IF(MAX(N(E72),SUMPRODUCT(MAX(('Completion Log'!$B$5:$B$2004=A72)*('Completion Log'!$C$5:$C$2004=B72)*'Completion Log'!$A$5:$A$2004)))=0,"",MAX(N(E72),SUMPRODUCT(MAX(('Completion Log'!$B$5:$B$2004=A72)*('Completion Log'!$C$5:$C$2004=B72)*'Completion Log'!$A$5:$A$2004)))))</f>
        <v/>
      </c>
      <c r="G72" s="15" t="str">
        <f aca="true">IF(OR(A72="",B72="",OR(NOT(ISNUMBER(C72)),N(C72)&lt;=0)),"",IF(F72="",TODAY(),F72+C72))</f>
        <v/>
      </c>
      <c r="H72" s="16" t="str">
        <f aca="true">IF(G72="","",G72-TODAY())</f>
        <v/>
      </c>
      <c r="I72" s="17" t="str">
        <f aca="false">IF(AND(A72="",B72=""),"",IF(OR(A72="",B72=""),"Fill in asset and task",IF(OR(NOT(ISNUMBER(C72)),N(C72)&lt;=0),"Check frequency",IF(SUMPRODUCT(($A$5:$A$304=A72)*($B$5:$B$304=B72))&gt;1,"Duplicate row",IF(H72&lt;0,"OVERDUE",IF(H72&lt;=$I$2,"Due soon","OK"))))))</f>
        <v/>
      </c>
      <c r="J72" s="9"/>
    </row>
    <row r="73" customFormat="false" ht="15" hidden="false" customHeight="false" outlineLevel="0" collapsed="false">
      <c r="A73" s="9"/>
      <c r="B73" s="9"/>
      <c r="C73" s="9"/>
      <c r="D73" s="9"/>
      <c r="E73" s="14"/>
      <c r="F73" s="15" t="str">
        <f aca="false">IF(OR(A73="",B73=""),"",IF(MAX(N(E73),SUMPRODUCT(MAX(('Completion Log'!$B$5:$B$2004=A73)*('Completion Log'!$C$5:$C$2004=B73)*'Completion Log'!$A$5:$A$2004)))=0,"",MAX(N(E73),SUMPRODUCT(MAX(('Completion Log'!$B$5:$B$2004=A73)*('Completion Log'!$C$5:$C$2004=B73)*'Completion Log'!$A$5:$A$2004)))))</f>
        <v/>
      </c>
      <c r="G73" s="15" t="str">
        <f aca="true">IF(OR(A73="",B73="",OR(NOT(ISNUMBER(C73)),N(C73)&lt;=0)),"",IF(F73="",TODAY(),F73+C73))</f>
        <v/>
      </c>
      <c r="H73" s="16" t="str">
        <f aca="true">IF(G73="","",G73-TODAY())</f>
        <v/>
      </c>
      <c r="I73" s="17" t="str">
        <f aca="false">IF(AND(A73="",B73=""),"",IF(OR(A73="",B73=""),"Fill in asset and task",IF(OR(NOT(ISNUMBER(C73)),N(C73)&lt;=0),"Check frequency",IF(SUMPRODUCT(($A$5:$A$304=A73)*($B$5:$B$304=B73))&gt;1,"Duplicate row",IF(H73&lt;0,"OVERDUE",IF(H73&lt;=$I$2,"Due soon","OK"))))))</f>
        <v/>
      </c>
      <c r="J73" s="9"/>
    </row>
    <row r="74" customFormat="false" ht="15" hidden="false" customHeight="false" outlineLevel="0" collapsed="false">
      <c r="A74" s="9"/>
      <c r="B74" s="9"/>
      <c r="C74" s="9"/>
      <c r="D74" s="9"/>
      <c r="E74" s="14"/>
      <c r="F74" s="15" t="str">
        <f aca="false">IF(OR(A74="",B74=""),"",IF(MAX(N(E74),SUMPRODUCT(MAX(('Completion Log'!$B$5:$B$2004=A74)*('Completion Log'!$C$5:$C$2004=B74)*'Completion Log'!$A$5:$A$2004)))=0,"",MAX(N(E74),SUMPRODUCT(MAX(('Completion Log'!$B$5:$B$2004=A74)*('Completion Log'!$C$5:$C$2004=B74)*'Completion Log'!$A$5:$A$2004)))))</f>
        <v/>
      </c>
      <c r="G74" s="15" t="str">
        <f aca="true">IF(OR(A74="",B74="",OR(NOT(ISNUMBER(C74)),N(C74)&lt;=0)),"",IF(F74="",TODAY(),F74+C74))</f>
        <v/>
      </c>
      <c r="H74" s="16" t="str">
        <f aca="true">IF(G74="","",G74-TODAY())</f>
        <v/>
      </c>
      <c r="I74" s="17" t="str">
        <f aca="false">IF(AND(A74="",B74=""),"",IF(OR(A74="",B74=""),"Fill in asset and task",IF(OR(NOT(ISNUMBER(C74)),N(C74)&lt;=0),"Check frequency",IF(SUMPRODUCT(($A$5:$A$304=A74)*($B$5:$B$304=B74))&gt;1,"Duplicate row",IF(H74&lt;0,"OVERDUE",IF(H74&lt;=$I$2,"Due soon","OK"))))))</f>
        <v/>
      </c>
      <c r="J74" s="9"/>
    </row>
    <row r="75" customFormat="false" ht="15" hidden="false" customHeight="false" outlineLevel="0" collapsed="false">
      <c r="A75" s="9"/>
      <c r="B75" s="9"/>
      <c r="C75" s="9"/>
      <c r="D75" s="9"/>
      <c r="E75" s="14"/>
      <c r="F75" s="15" t="str">
        <f aca="false">IF(OR(A75="",B75=""),"",IF(MAX(N(E75),SUMPRODUCT(MAX(('Completion Log'!$B$5:$B$2004=A75)*('Completion Log'!$C$5:$C$2004=B75)*'Completion Log'!$A$5:$A$2004)))=0,"",MAX(N(E75),SUMPRODUCT(MAX(('Completion Log'!$B$5:$B$2004=A75)*('Completion Log'!$C$5:$C$2004=B75)*'Completion Log'!$A$5:$A$2004)))))</f>
        <v/>
      </c>
      <c r="G75" s="15" t="str">
        <f aca="true">IF(OR(A75="",B75="",OR(NOT(ISNUMBER(C75)),N(C75)&lt;=0)),"",IF(F75="",TODAY(),F75+C75))</f>
        <v/>
      </c>
      <c r="H75" s="16" t="str">
        <f aca="true">IF(G75="","",G75-TODAY())</f>
        <v/>
      </c>
      <c r="I75" s="17" t="str">
        <f aca="false">IF(AND(A75="",B75=""),"",IF(OR(A75="",B75=""),"Fill in asset and task",IF(OR(NOT(ISNUMBER(C75)),N(C75)&lt;=0),"Check frequency",IF(SUMPRODUCT(($A$5:$A$304=A75)*($B$5:$B$304=B75))&gt;1,"Duplicate row",IF(H75&lt;0,"OVERDUE",IF(H75&lt;=$I$2,"Due soon","OK"))))))</f>
        <v/>
      </c>
      <c r="J75" s="9"/>
    </row>
    <row r="76" customFormat="false" ht="15" hidden="false" customHeight="false" outlineLevel="0" collapsed="false">
      <c r="A76" s="9"/>
      <c r="B76" s="9"/>
      <c r="C76" s="9"/>
      <c r="D76" s="9"/>
      <c r="E76" s="14"/>
      <c r="F76" s="15" t="str">
        <f aca="false">IF(OR(A76="",B76=""),"",IF(MAX(N(E76),SUMPRODUCT(MAX(('Completion Log'!$B$5:$B$2004=A76)*('Completion Log'!$C$5:$C$2004=B76)*'Completion Log'!$A$5:$A$2004)))=0,"",MAX(N(E76),SUMPRODUCT(MAX(('Completion Log'!$B$5:$B$2004=A76)*('Completion Log'!$C$5:$C$2004=B76)*'Completion Log'!$A$5:$A$2004)))))</f>
        <v/>
      </c>
      <c r="G76" s="15" t="str">
        <f aca="true">IF(OR(A76="",B76="",OR(NOT(ISNUMBER(C76)),N(C76)&lt;=0)),"",IF(F76="",TODAY(),F76+C76))</f>
        <v/>
      </c>
      <c r="H76" s="16" t="str">
        <f aca="true">IF(G76="","",G76-TODAY())</f>
        <v/>
      </c>
      <c r="I76" s="17" t="str">
        <f aca="false">IF(AND(A76="",B76=""),"",IF(OR(A76="",B76=""),"Fill in asset and task",IF(OR(NOT(ISNUMBER(C76)),N(C76)&lt;=0),"Check frequency",IF(SUMPRODUCT(($A$5:$A$304=A76)*($B$5:$B$304=B76))&gt;1,"Duplicate row",IF(H76&lt;0,"OVERDUE",IF(H76&lt;=$I$2,"Due soon","OK"))))))</f>
        <v/>
      </c>
      <c r="J76" s="9"/>
    </row>
    <row r="77" customFormat="false" ht="15" hidden="false" customHeight="false" outlineLevel="0" collapsed="false">
      <c r="A77" s="9"/>
      <c r="B77" s="9"/>
      <c r="C77" s="9"/>
      <c r="D77" s="9"/>
      <c r="E77" s="14"/>
      <c r="F77" s="15" t="str">
        <f aca="false">IF(OR(A77="",B77=""),"",IF(MAX(N(E77),SUMPRODUCT(MAX(('Completion Log'!$B$5:$B$2004=A77)*('Completion Log'!$C$5:$C$2004=B77)*'Completion Log'!$A$5:$A$2004)))=0,"",MAX(N(E77),SUMPRODUCT(MAX(('Completion Log'!$B$5:$B$2004=A77)*('Completion Log'!$C$5:$C$2004=B77)*'Completion Log'!$A$5:$A$2004)))))</f>
        <v/>
      </c>
      <c r="G77" s="15" t="str">
        <f aca="true">IF(OR(A77="",B77="",OR(NOT(ISNUMBER(C77)),N(C77)&lt;=0)),"",IF(F77="",TODAY(),F77+C77))</f>
        <v/>
      </c>
      <c r="H77" s="16" t="str">
        <f aca="true">IF(G77="","",G77-TODAY())</f>
        <v/>
      </c>
      <c r="I77" s="17" t="str">
        <f aca="false">IF(AND(A77="",B77=""),"",IF(OR(A77="",B77=""),"Fill in asset and task",IF(OR(NOT(ISNUMBER(C77)),N(C77)&lt;=0),"Check frequency",IF(SUMPRODUCT(($A$5:$A$304=A77)*($B$5:$B$304=B77))&gt;1,"Duplicate row",IF(H77&lt;0,"OVERDUE",IF(H77&lt;=$I$2,"Due soon","OK"))))))</f>
        <v/>
      </c>
      <c r="J77" s="9"/>
    </row>
    <row r="78" customFormat="false" ht="15" hidden="false" customHeight="false" outlineLevel="0" collapsed="false">
      <c r="A78" s="9"/>
      <c r="B78" s="9"/>
      <c r="C78" s="9"/>
      <c r="D78" s="9"/>
      <c r="E78" s="14"/>
      <c r="F78" s="15" t="str">
        <f aca="false">IF(OR(A78="",B78=""),"",IF(MAX(N(E78),SUMPRODUCT(MAX(('Completion Log'!$B$5:$B$2004=A78)*('Completion Log'!$C$5:$C$2004=B78)*'Completion Log'!$A$5:$A$2004)))=0,"",MAX(N(E78),SUMPRODUCT(MAX(('Completion Log'!$B$5:$B$2004=A78)*('Completion Log'!$C$5:$C$2004=B78)*'Completion Log'!$A$5:$A$2004)))))</f>
        <v/>
      </c>
      <c r="G78" s="15" t="str">
        <f aca="true">IF(OR(A78="",B78="",OR(NOT(ISNUMBER(C78)),N(C78)&lt;=0)),"",IF(F78="",TODAY(),F78+C78))</f>
        <v/>
      </c>
      <c r="H78" s="16" t="str">
        <f aca="true">IF(G78="","",G78-TODAY())</f>
        <v/>
      </c>
      <c r="I78" s="17" t="str">
        <f aca="false">IF(AND(A78="",B78=""),"",IF(OR(A78="",B78=""),"Fill in asset and task",IF(OR(NOT(ISNUMBER(C78)),N(C78)&lt;=0),"Check frequency",IF(SUMPRODUCT(($A$5:$A$304=A78)*($B$5:$B$304=B78))&gt;1,"Duplicate row",IF(H78&lt;0,"OVERDUE",IF(H78&lt;=$I$2,"Due soon","OK"))))))</f>
        <v/>
      </c>
      <c r="J78" s="9"/>
    </row>
    <row r="79" customFormat="false" ht="15" hidden="false" customHeight="false" outlineLevel="0" collapsed="false">
      <c r="A79" s="9"/>
      <c r="B79" s="9"/>
      <c r="C79" s="9"/>
      <c r="D79" s="9"/>
      <c r="E79" s="14"/>
      <c r="F79" s="15" t="str">
        <f aca="false">IF(OR(A79="",B79=""),"",IF(MAX(N(E79),SUMPRODUCT(MAX(('Completion Log'!$B$5:$B$2004=A79)*('Completion Log'!$C$5:$C$2004=B79)*'Completion Log'!$A$5:$A$2004)))=0,"",MAX(N(E79),SUMPRODUCT(MAX(('Completion Log'!$B$5:$B$2004=A79)*('Completion Log'!$C$5:$C$2004=B79)*'Completion Log'!$A$5:$A$2004)))))</f>
        <v/>
      </c>
      <c r="G79" s="15" t="str">
        <f aca="true">IF(OR(A79="",B79="",OR(NOT(ISNUMBER(C79)),N(C79)&lt;=0)),"",IF(F79="",TODAY(),F79+C79))</f>
        <v/>
      </c>
      <c r="H79" s="16" t="str">
        <f aca="true">IF(G79="","",G79-TODAY())</f>
        <v/>
      </c>
      <c r="I79" s="17" t="str">
        <f aca="false">IF(AND(A79="",B79=""),"",IF(OR(A79="",B79=""),"Fill in asset and task",IF(OR(NOT(ISNUMBER(C79)),N(C79)&lt;=0),"Check frequency",IF(SUMPRODUCT(($A$5:$A$304=A79)*($B$5:$B$304=B79))&gt;1,"Duplicate row",IF(H79&lt;0,"OVERDUE",IF(H79&lt;=$I$2,"Due soon","OK"))))))</f>
        <v/>
      </c>
      <c r="J79" s="9"/>
    </row>
    <row r="80" customFormat="false" ht="15" hidden="false" customHeight="false" outlineLevel="0" collapsed="false">
      <c r="A80" s="9"/>
      <c r="B80" s="9"/>
      <c r="C80" s="9"/>
      <c r="D80" s="9"/>
      <c r="E80" s="14"/>
      <c r="F80" s="15" t="str">
        <f aca="false">IF(OR(A80="",B80=""),"",IF(MAX(N(E80),SUMPRODUCT(MAX(('Completion Log'!$B$5:$B$2004=A80)*('Completion Log'!$C$5:$C$2004=B80)*'Completion Log'!$A$5:$A$2004)))=0,"",MAX(N(E80),SUMPRODUCT(MAX(('Completion Log'!$B$5:$B$2004=A80)*('Completion Log'!$C$5:$C$2004=B80)*'Completion Log'!$A$5:$A$2004)))))</f>
        <v/>
      </c>
      <c r="G80" s="15" t="str">
        <f aca="true">IF(OR(A80="",B80="",OR(NOT(ISNUMBER(C80)),N(C80)&lt;=0)),"",IF(F80="",TODAY(),F80+C80))</f>
        <v/>
      </c>
      <c r="H80" s="16" t="str">
        <f aca="true">IF(G80="","",G80-TODAY())</f>
        <v/>
      </c>
      <c r="I80" s="17" t="str">
        <f aca="false">IF(AND(A80="",B80=""),"",IF(OR(A80="",B80=""),"Fill in asset and task",IF(OR(NOT(ISNUMBER(C80)),N(C80)&lt;=0),"Check frequency",IF(SUMPRODUCT(($A$5:$A$304=A80)*($B$5:$B$304=B80))&gt;1,"Duplicate row",IF(H80&lt;0,"OVERDUE",IF(H80&lt;=$I$2,"Due soon","OK"))))))</f>
        <v/>
      </c>
      <c r="J80" s="9"/>
    </row>
    <row r="81" customFormat="false" ht="15" hidden="false" customHeight="false" outlineLevel="0" collapsed="false">
      <c r="A81" s="9"/>
      <c r="B81" s="9"/>
      <c r="C81" s="9"/>
      <c r="D81" s="9"/>
      <c r="E81" s="14"/>
      <c r="F81" s="15" t="str">
        <f aca="false">IF(OR(A81="",B81=""),"",IF(MAX(N(E81),SUMPRODUCT(MAX(('Completion Log'!$B$5:$B$2004=A81)*('Completion Log'!$C$5:$C$2004=B81)*'Completion Log'!$A$5:$A$2004)))=0,"",MAX(N(E81),SUMPRODUCT(MAX(('Completion Log'!$B$5:$B$2004=A81)*('Completion Log'!$C$5:$C$2004=B81)*'Completion Log'!$A$5:$A$2004)))))</f>
        <v/>
      </c>
      <c r="G81" s="15" t="str">
        <f aca="true">IF(OR(A81="",B81="",OR(NOT(ISNUMBER(C81)),N(C81)&lt;=0)),"",IF(F81="",TODAY(),F81+C81))</f>
        <v/>
      </c>
      <c r="H81" s="16" t="str">
        <f aca="true">IF(G81="","",G81-TODAY())</f>
        <v/>
      </c>
      <c r="I81" s="17" t="str">
        <f aca="false">IF(AND(A81="",B81=""),"",IF(OR(A81="",B81=""),"Fill in asset and task",IF(OR(NOT(ISNUMBER(C81)),N(C81)&lt;=0),"Check frequency",IF(SUMPRODUCT(($A$5:$A$304=A81)*($B$5:$B$304=B81))&gt;1,"Duplicate row",IF(H81&lt;0,"OVERDUE",IF(H81&lt;=$I$2,"Due soon","OK"))))))</f>
        <v/>
      </c>
      <c r="J81" s="9"/>
    </row>
    <row r="82" customFormat="false" ht="15" hidden="false" customHeight="false" outlineLevel="0" collapsed="false">
      <c r="A82" s="9"/>
      <c r="B82" s="9"/>
      <c r="C82" s="9"/>
      <c r="D82" s="9"/>
      <c r="E82" s="14"/>
      <c r="F82" s="15" t="str">
        <f aca="false">IF(OR(A82="",B82=""),"",IF(MAX(N(E82),SUMPRODUCT(MAX(('Completion Log'!$B$5:$B$2004=A82)*('Completion Log'!$C$5:$C$2004=B82)*'Completion Log'!$A$5:$A$2004)))=0,"",MAX(N(E82),SUMPRODUCT(MAX(('Completion Log'!$B$5:$B$2004=A82)*('Completion Log'!$C$5:$C$2004=B82)*'Completion Log'!$A$5:$A$2004)))))</f>
        <v/>
      </c>
      <c r="G82" s="15" t="str">
        <f aca="true">IF(OR(A82="",B82="",OR(NOT(ISNUMBER(C82)),N(C82)&lt;=0)),"",IF(F82="",TODAY(),F82+C82))</f>
        <v/>
      </c>
      <c r="H82" s="16" t="str">
        <f aca="true">IF(G82="","",G82-TODAY())</f>
        <v/>
      </c>
      <c r="I82" s="17" t="str">
        <f aca="false">IF(AND(A82="",B82=""),"",IF(OR(A82="",B82=""),"Fill in asset and task",IF(OR(NOT(ISNUMBER(C82)),N(C82)&lt;=0),"Check frequency",IF(SUMPRODUCT(($A$5:$A$304=A82)*($B$5:$B$304=B82))&gt;1,"Duplicate row",IF(H82&lt;0,"OVERDUE",IF(H82&lt;=$I$2,"Due soon","OK"))))))</f>
        <v/>
      </c>
      <c r="J82" s="9"/>
    </row>
    <row r="83" customFormat="false" ht="15" hidden="false" customHeight="false" outlineLevel="0" collapsed="false">
      <c r="A83" s="9"/>
      <c r="B83" s="9"/>
      <c r="C83" s="9"/>
      <c r="D83" s="9"/>
      <c r="E83" s="14"/>
      <c r="F83" s="15" t="str">
        <f aca="false">IF(OR(A83="",B83=""),"",IF(MAX(N(E83),SUMPRODUCT(MAX(('Completion Log'!$B$5:$B$2004=A83)*('Completion Log'!$C$5:$C$2004=B83)*'Completion Log'!$A$5:$A$2004)))=0,"",MAX(N(E83),SUMPRODUCT(MAX(('Completion Log'!$B$5:$B$2004=A83)*('Completion Log'!$C$5:$C$2004=B83)*'Completion Log'!$A$5:$A$2004)))))</f>
        <v/>
      </c>
      <c r="G83" s="15" t="str">
        <f aca="true">IF(OR(A83="",B83="",OR(NOT(ISNUMBER(C83)),N(C83)&lt;=0)),"",IF(F83="",TODAY(),F83+C83))</f>
        <v/>
      </c>
      <c r="H83" s="16" t="str">
        <f aca="true">IF(G83="","",G83-TODAY())</f>
        <v/>
      </c>
      <c r="I83" s="17" t="str">
        <f aca="false">IF(AND(A83="",B83=""),"",IF(OR(A83="",B83=""),"Fill in asset and task",IF(OR(NOT(ISNUMBER(C83)),N(C83)&lt;=0),"Check frequency",IF(SUMPRODUCT(($A$5:$A$304=A83)*($B$5:$B$304=B83))&gt;1,"Duplicate row",IF(H83&lt;0,"OVERDUE",IF(H83&lt;=$I$2,"Due soon","OK"))))))</f>
        <v/>
      </c>
      <c r="J83" s="9"/>
    </row>
    <row r="84" customFormat="false" ht="15" hidden="false" customHeight="false" outlineLevel="0" collapsed="false">
      <c r="A84" s="9"/>
      <c r="B84" s="9"/>
      <c r="C84" s="9"/>
      <c r="D84" s="9"/>
      <c r="E84" s="14"/>
      <c r="F84" s="15" t="str">
        <f aca="false">IF(OR(A84="",B84=""),"",IF(MAX(N(E84),SUMPRODUCT(MAX(('Completion Log'!$B$5:$B$2004=A84)*('Completion Log'!$C$5:$C$2004=B84)*'Completion Log'!$A$5:$A$2004)))=0,"",MAX(N(E84),SUMPRODUCT(MAX(('Completion Log'!$B$5:$B$2004=A84)*('Completion Log'!$C$5:$C$2004=B84)*'Completion Log'!$A$5:$A$2004)))))</f>
        <v/>
      </c>
      <c r="G84" s="15" t="str">
        <f aca="true">IF(OR(A84="",B84="",OR(NOT(ISNUMBER(C84)),N(C84)&lt;=0)),"",IF(F84="",TODAY(),F84+C84))</f>
        <v/>
      </c>
      <c r="H84" s="16" t="str">
        <f aca="true">IF(G84="","",G84-TODAY())</f>
        <v/>
      </c>
      <c r="I84" s="17" t="str">
        <f aca="false">IF(AND(A84="",B84=""),"",IF(OR(A84="",B84=""),"Fill in asset and task",IF(OR(NOT(ISNUMBER(C84)),N(C84)&lt;=0),"Check frequency",IF(SUMPRODUCT(($A$5:$A$304=A84)*($B$5:$B$304=B84))&gt;1,"Duplicate row",IF(H84&lt;0,"OVERDUE",IF(H84&lt;=$I$2,"Due soon","OK"))))))</f>
        <v/>
      </c>
      <c r="J84" s="9"/>
    </row>
    <row r="85" customFormat="false" ht="15" hidden="false" customHeight="false" outlineLevel="0" collapsed="false">
      <c r="A85" s="9"/>
      <c r="B85" s="9"/>
      <c r="C85" s="9"/>
      <c r="D85" s="9"/>
      <c r="E85" s="14"/>
      <c r="F85" s="15" t="str">
        <f aca="false">IF(OR(A85="",B85=""),"",IF(MAX(N(E85),SUMPRODUCT(MAX(('Completion Log'!$B$5:$B$2004=A85)*('Completion Log'!$C$5:$C$2004=B85)*'Completion Log'!$A$5:$A$2004)))=0,"",MAX(N(E85),SUMPRODUCT(MAX(('Completion Log'!$B$5:$B$2004=A85)*('Completion Log'!$C$5:$C$2004=B85)*'Completion Log'!$A$5:$A$2004)))))</f>
        <v/>
      </c>
      <c r="G85" s="15" t="str">
        <f aca="true">IF(OR(A85="",B85="",OR(NOT(ISNUMBER(C85)),N(C85)&lt;=0)),"",IF(F85="",TODAY(),F85+C85))</f>
        <v/>
      </c>
      <c r="H85" s="16" t="str">
        <f aca="true">IF(G85="","",G85-TODAY())</f>
        <v/>
      </c>
      <c r="I85" s="17" t="str">
        <f aca="false">IF(AND(A85="",B85=""),"",IF(OR(A85="",B85=""),"Fill in asset and task",IF(OR(NOT(ISNUMBER(C85)),N(C85)&lt;=0),"Check frequency",IF(SUMPRODUCT(($A$5:$A$304=A85)*($B$5:$B$304=B85))&gt;1,"Duplicate row",IF(H85&lt;0,"OVERDUE",IF(H85&lt;=$I$2,"Due soon","OK"))))))</f>
        <v/>
      </c>
      <c r="J85" s="9"/>
    </row>
    <row r="86" customFormat="false" ht="15" hidden="false" customHeight="false" outlineLevel="0" collapsed="false">
      <c r="A86" s="9"/>
      <c r="B86" s="9"/>
      <c r="C86" s="9"/>
      <c r="D86" s="9"/>
      <c r="E86" s="14"/>
      <c r="F86" s="15" t="str">
        <f aca="false">IF(OR(A86="",B86=""),"",IF(MAX(N(E86),SUMPRODUCT(MAX(('Completion Log'!$B$5:$B$2004=A86)*('Completion Log'!$C$5:$C$2004=B86)*'Completion Log'!$A$5:$A$2004)))=0,"",MAX(N(E86),SUMPRODUCT(MAX(('Completion Log'!$B$5:$B$2004=A86)*('Completion Log'!$C$5:$C$2004=B86)*'Completion Log'!$A$5:$A$2004)))))</f>
        <v/>
      </c>
      <c r="G86" s="15" t="str">
        <f aca="true">IF(OR(A86="",B86="",OR(NOT(ISNUMBER(C86)),N(C86)&lt;=0)),"",IF(F86="",TODAY(),F86+C86))</f>
        <v/>
      </c>
      <c r="H86" s="16" t="str">
        <f aca="true">IF(G86="","",G86-TODAY())</f>
        <v/>
      </c>
      <c r="I86" s="17" t="str">
        <f aca="false">IF(AND(A86="",B86=""),"",IF(OR(A86="",B86=""),"Fill in asset and task",IF(OR(NOT(ISNUMBER(C86)),N(C86)&lt;=0),"Check frequency",IF(SUMPRODUCT(($A$5:$A$304=A86)*($B$5:$B$304=B86))&gt;1,"Duplicate row",IF(H86&lt;0,"OVERDUE",IF(H86&lt;=$I$2,"Due soon","OK"))))))</f>
        <v/>
      </c>
      <c r="J86" s="9"/>
    </row>
    <row r="87" customFormat="false" ht="15" hidden="false" customHeight="false" outlineLevel="0" collapsed="false">
      <c r="A87" s="9"/>
      <c r="B87" s="9"/>
      <c r="C87" s="9"/>
      <c r="D87" s="9"/>
      <c r="E87" s="14"/>
      <c r="F87" s="15" t="str">
        <f aca="false">IF(OR(A87="",B87=""),"",IF(MAX(N(E87),SUMPRODUCT(MAX(('Completion Log'!$B$5:$B$2004=A87)*('Completion Log'!$C$5:$C$2004=B87)*'Completion Log'!$A$5:$A$2004)))=0,"",MAX(N(E87),SUMPRODUCT(MAX(('Completion Log'!$B$5:$B$2004=A87)*('Completion Log'!$C$5:$C$2004=B87)*'Completion Log'!$A$5:$A$2004)))))</f>
        <v/>
      </c>
      <c r="G87" s="15" t="str">
        <f aca="true">IF(OR(A87="",B87="",OR(NOT(ISNUMBER(C87)),N(C87)&lt;=0)),"",IF(F87="",TODAY(),F87+C87))</f>
        <v/>
      </c>
      <c r="H87" s="16" t="str">
        <f aca="true">IF(G87="","",G87-TODAY())</f>
        <v/>
      </c>
      <c r="I87" s="17" t="str">
        <f aca="false">IF(AND(A87="",B87=""),"",IF(OR(A87="",B87=""),"Fill in asset and task",IF(OR(NOT(ISNUMBER(C87)),N(C87)&lt;=0),"Check frequency",IF(SUMPRODUCT(($A$5:$A$304=A87)*($B$5:$B$304=B87))&gt;1,"Duplicate row",IF(H87&lt;0,"OVERDUE",IF(H87&lt;=$I$2,"Due soon","OK"))))))</f>
        <v/>
      </c>
      <c r="J87" s="9"/>
    </row>
    <row r="88" customFormat="false" ht="15" hidden="false" customHeight="false" outlineLevel="0" collapsed="false">
      <c r="A88" s="9"/>
      <c r="B88" s="9"/>
      <c r="C88" s="9"/>
      <c r="D88" s="9"/>
      <c r="E88" s="14"/>
      <c r="F88" s="15" t="str">
        <f aca="false">IF(OR(A88="",B88=""),"",IF(MAX(N(E88),SUMPRODUCT(MAX(('Completion Log'!$B$5:$B$2004=A88)*('Completion Log'!$C$5:$C$2004=B88)*'Completion Log'!$A$5:$A$2004)))=0,"",MAX(N(E88),SUMPRODUCT(MAX(('Completion Log'!$B$5:$B$2004=A88)*('Completion Log'!$C$5:$C$2004=B88)*'Completion Log'!$A$5:$A$2004)))))</f>
        <v/>
      </c>
      <c r="G88" s="15" t="str">
        <f aca="true">IF(OR(A88="",B88="",OR(NOT(ISNUMBER(C88)),N(C88)&lt;=0)),"",IF(F88="",TODAY(),F88+C88))</f>
        <v/>
      </c>
      <c r="H88" s="16" t="str">
        <f aca="true">IF(G88="","",G88-TODAY())</f>
        <v/>
      </c>
      <c r="I88" s="17" t="str">
        <f aca="false">IF(AND(A88="",B88=""),"",IF(OR(A88="",B88=""),"Fill in asset and task",IF(OR(NOT(ISNUMBER(C88)),N(C88)&lt;=0),"Check frequency",IF(SUMPRODUCT(($A$5:$A$304=A88)*($B$5:$B$304=B88))&gt;1,"Duplicate row",IF(H88&lt;0,"OVERDUE",IF(H88&lt;=$I$2,"Due soon","OK"))))))</f>
        <v/>
      </c>
      <c r="J88" s="9"/>
    </row>
    <row r="89" customFormat="false" ht="15" hidden="false" customHeight="false" outlineLevel="0" collapsed="false">
      <c r="A89" s="9"/>
      <c r="B89" s="9"/>
      <c r="C89" s="9"/>
      <c r="D89" s="9"/>
      <c r="E89" s="14"/>
      <c r="F89" s="15" t="str">
        <f aca="false">IF(OR(A89="",B89=""),"",IF(MAX(N(E89),SUMPRODUCT(MAX(('Completion Log'!$B$5:$B$2004=A89)*('Completion Log'!$C$5:$C$2004=B89)*'Completion Log'!$A$5:$A$2004)))=0,"",MAX(N(E89),SUMPRODUCT(MAX(('Completion Log'!$B$5:$B$2004=A89)*('Completion Log'!$C$5:$C$2004=B89)*'Completion Log'!$A$5:$A$2004)))))</f>
        <v/>
      </c>
      <c r="G89" s="15" t="str">
        <f aca="true">IF(OR(A89="",B89="",OR(NOT(ISNUMBER(C89)),N(C89)&lt;=0)),"",IF(F89="",TODAY(),F89+C89))</f>
        <v/>
      </c>
      <c r="H89" s="16" t="str">
        <f aca="true">IF(G89="","",G89-TODAY())</f>
        <v/>
      </c>
      <c r="I89" s="17" t="str">
        <f aca="false">IF(AND(A89="",B89=""),"",IF(OR(A89="",B89=""),"Fill in asset and task",IF(OR(NOT(ISNUMBER(C89)),N(C89)&lt;=0),"Check frequency",IF(SUMPRODUCT(($A$5:$A$304=A89)*($B$5:$B$304=B89))&gt;1,"Duplicate row",IF(H89&lt;0,"OVERDUE",IF(H89&lt;=$I$2,"Due soon","OK"))))))</f>
        <v/>
      </c>
      <c r="J89" s="9"/>
    </row>
    <row r="90" customFormat="false" ht="15" hidden="false" customHeight="false" outlineLevel="0" collapsed="false">
      <c r="A90" s="9"/>
      <c r="B90" s="9"/>
      <c r="C90" s="9"/>
      <c r="D90" s="9"/>
      <c r="E90" s="14"/>
      <c r="F90" s="15" t="str">
        <f aca="false">IF(OR(A90="",B90=""),"",IF(MAX(N(E90),SUMPRODUCT(MAX(('Completion Log'!$B$5:$B$2004=A90)*('Completion Log'!$C$5:$C$2004=B90)*'Completion Log'!$A$5:$A$2004)))=0,"",MAX(N(E90),SUMPRODUCT(MAX(('Completion Log'!$B$5:$B$2004=A90)*('Completion Log'!$C$5:$C$2004=B90)*'Completion Log'!$A$5:$A$2004)))))</f>
        <v/>
      </c>
      <c r="G90" s="15" t="str">
        <f aca="true">IF(OR(A90="",B90="",OR(NOT(ISNUMBER(C90)),N(C90)&lt;=0)),"",IF(F90="",TODAY(),F90+C90))</f>
        <v/>
      </c>
      <c r="H90" s="16" t="str">
        <f aca="true">IF(G90="","",G90-TODAY())</f>
        <v/>
      </c>
      <c r="I90" s="17" t="str">
        <f aca="false">IF(AND(A90="",B90=""),"",IF(OR(A90="",B90=""),"Fill in asset and task",IF(OR(NOT(ISNUMBER(C90)),N(C90)&lt;=0),"Check frequency",IF(SUMPRODUCT(($A$5:$A$304=A90)*($B$5:$B$304=B90))&gt;1,"Duplicate row",IF(H90&lt;0,"OVERDUE",IF(H90&lt;=$I$2,"Due soon","OK"))))))</f>
        <v/>
      </c>
      <c r="J90" s="9"/>
    </row>
    <row r="91" customFormat="false" ht="15" hidden="false" customHeight="false" outlineLevel="0" collapsed="false">
      <c r="A91" s="9"/>
      <c r="B91" s="9"/>
      <c r="C91" s="9"/>
      <c r="D91" s="9"/>
      <c r="E91" s="14"/>
      <c r="F91" s="15" t="str">
        <f aca="false">IF(OR(A91="",B91=""),"",IF(MAX(N(E91),SUMPRODUCT(MAX(('Completion Log'!$B$5:$B$2004=A91)*('Completion Log'!$C$5:$C$2004=B91)*'Completion Log'!$A$5:$A$2004)))=0,"",MAX(N(E91),SUMPRODUCT(MAX(('Completion Log'!$B$5:$B$2004=A91)*('Completion Log'!$C$5:$C$2004=B91)*'Completion Log'!$A$5:$A$2004)))))</f>
        <v/>
      </c>
      <c r="G91" s="15" t="str">
        <f aca="true">IF(OR(A91="",B91="",OR(NOT(ISNUMBER(C91)),N(C91)&lt;=0)),"",IF(F91="",TODAY(),F91+C91))</f>
        <v/>
      </c>
      <c r="H91" s="16" t="str">
        <f aca="true">IF(G91="","",G91-TODAY())</f>
        <v/>
      </c>
      <c r="I91" s="17" t="str">
        <f aca="false">IF(AND(A91="",B91=""),"",IF(OR(A91="",B91=""),"Fill in asset and task",IF(OR(NOT(ISNUMBER(C91)),N(C91)&lt;=0),"Check frequency",IF(SUMPRODUCT(($A$5:$A$304=A91)*($B$5:$B$304=B91))&gt;1,"Duplicate row",IF(H91&lt;0,"OVERDUE",IF(H91&lt;=$I$2,"Due soon","OK"))))))</f>
        <v/>
      </c>
      <c r="J91" s="9"/>
    </row>
    <row r="92" customFormat="false" ht="15" hidden="false" customHeight="false" outlineLevel="0" collapsed="false">
      <c r="A92" s="9"/>
      <c r="B92" s="9"/>
      <c r="C92" s="9"/>
      <c r="D92" s="9"/>
      <c r="E92" s="14"/>
      <c r="F92" s="15" t="str">
        <f aca="false">IF(OR(A92="",B92=""),"",IF(MAX(N(E92),SUMPRODUCT(MAX(('Completion Log'!$B$5:$B$2004=A92)*('Completion Log'!$C$5:$C$2004=B92)*'Completion Log'!$A$5:$A$2004)))=0,"",MAX(N(E92),SUMPRODUCT(MAX(('Completion Log'!$B$5:$B$2004=A92)*('Completion Log'!$C$5:$C$2004=B92)*'Completion Log'!$A$5:$A$2004)))))</f>
        <v/>
      </c>
      <c r="G92" s="15" t="str">
        <f aca="true">IF(OR(A92="",B92="",OR(NOT(ISNUMBER(C92)),N(C92)&lt;=0)),"",IF(F92="",TODAY(),F92+C92))</f>
        <v/>
      </c>
      <c r="H92" s="16" t="str">
        <f aca="true">IF(G92="","",G92-TODAY())</f>
        <v/>
      </c>
      <c r="I92" s="17" t="str">
        <f aca="false">IF(AND(A92="",B92=""),"",IF(OR(A92="",B92=""),"Fill in asset and task",IF(OR(NOT(ISNUMBER(C92)),N(C92)&lt;=0),"Check frequency",IF(SUMPRODUCT(($A$5:$A$304=A92)*($B$5:$B$304=B92))&gt;1,"Duplicate row",IF(H92&lt;0,"OVERDUE",IF(H92&lt;=$I$2,"Due soon","OK"))))))</f>
        <v/>
      </c>
      <c r="J92" s="9"/>
    </row>
    <row r="93" customFormat="false" ht="15" hidden="false" customHeight="false" outlineLevel="0" collapsed="false">
      <c r="A93" s="9"/>
      <c r="B93" s="9"/>
      <c r="C93" s="9"/>
      <c r="D93" s="9"/>
      <c r="E93" s="14"/>
      <c r="F93" s="15" t="str">
        <f aca="false">IF(OR(A93="",B93=""),"",IF(MAX(N(E93),SUMPRODUCT(MAX(('Completion Log'!$B$5:$B$2004=A93)*('Completion Log'!$C$5:$C$2004=B93)*'Completion Log'!$A$5:$A$2004)))=0,"",MAX(N(E93),SUMPRODUCT(MAX(('Completion Log'!$B$5:$B$2004=A93)*('Completion Log'!$C$5:$C$2004=B93)*'Completion Log'!$A$5:$A$2004)))))</f>
        <v/>
      </c>
      <c r="G93" s="15" t="str">
        <f aca="true">IF(OR(A93="",B93="",OR(NOT(ISNUMBER(C93)),N(C93)&lt;=0)),"",IF(F93="",TODAY(),F93+C93))</f>
        <v/>
      </c>
      <c r="H93" s="16" t="str">
        <f aca="true">IF(G93="","",G93-TODAY())</f>
        <v/>
      </c>
      <c r="I93" s="17" t="str">
        <f aca="false">IF(AND(A93="",B93=""),"",IF(OR(A93="",B93=""),"Fill in asset and task",IF(OR(NOT(ISNUMBER(C93)),N(C93)&lt;=0),"Check frequency",IF(SUMPRODUCT(($A$5:$A$304=A93)*($B$5:$B$304=B93))&gt;1,"Duplicate row",IF(H93&lt;0,"OVERDUE",IF(H93&lt;=$I$2,"Due soon","OK"))))))</f>
        <v/>
      </c>
      <c r="J93" s="9"/>
    </row>
    <row r="94" customFormat="false" ht="15" hidden="false" customHeight="false" outlineLevel="0" collapsed="false">
      <c r="A94" s="9"/>
      <c r="B94" s="9"/>
      <c r="C94" s="9"/>
      <c r="D94" s="9"/>
      <c r="E94" s="14"/>
      <c r="F94" s="15" t="str">
        <f aca="false">IF(OR(A94="",B94=""),"",IF(MAX(N(E94),SUMPRODUCT(MAX(('Completion Log'!$B$5:$B$2004=A94)*('Completion Log'!$C$5:$C$2004=B94)*'Completion Log'!$A$5:$A$2004)))=0,"",MAX(N(E94),SUMPRODUCT(MAX(('Completion Log'!$B$5:$B$2004=A94)*('Completion Log'!$C$5:$C$2004=B94)*'Completion Log'!$A$5:$A$2004)))))</f>
        <v/>
      </c>
      <c r="G94" s="15" t="str">
        <f aca="true">IF(OR(A94="",B94="",OR(NOT(ISNUMBER(C94)),N(C94)&lt;=0)),"",IF(F94="",TODAY(),F94+C94))</f>
        <v/>
      </c>
      <c r="H94" s="16" t="str">
        <f aca="true">IF(G94="","",G94-TODAY())</f>
        <v/>
      </c>
      <c r="I94" s="17" t="str">
        <f aca="false">IF(AND(A94="",B94=""),"",IF(OR(A94="",B94=""),"Fill in asset and task",IF(OR(NOT(ISNUMBER(C94)),N(C94)&lt;=0),"Check frequency",IF(SUMPRODUCT(($A$5:$A$304=A94)*($B$5:$B$304=B94))&gt;1,"Duplicate row",IF(H94&lt;0,"OVERDUE",IF(H94&lt;=$I$2,"Due soon","OK"))))))</f>
        <v/>
      </c>
      <c r="J94" s="9"/>
    </row>
    <row r="95" customFormat="false" ht="15" hidden="false" customHeight="false" outlineLevel="0" collapsed="false">
      <c r="A95" s="9"/>
      <c r="B95" s="9"/>
      <c r="C95" s="9"/>
      <c r="D95" s="9"/>
      <c r="E95" s="14"/>
      <c r="F95" s="15" t="str">
        <f aca="false">IF(OR(A95="",B95=""),"",IF(MAX(N(E95),SUMPRODUCT(MAX(('Completion Log'!$B$5:$B$2004=A95)*('Completion Log'!$C$5:$C$2004=B95)*'Completion Log'!$A$5:$A$2004)))=0,"",MAX(N(E95),SUMPRODUCT(MAX(('Completion Log'!$B$5:$B$2004=A95)*('Completion Log'!$C$5:$C$2004=B95)*'Completion Log'!$A$5:$A$2004)))))</f>
        <v/>
      </c>
      <c r="G95" s="15" t="str">
        <f aca="true">IF(OR(A95="",B95="",OR(NOT(ISNUMBER(C95)),N(C95)&lt;=0)),"",IF(F95="",TODAY(),F95+C95))</f>
        <v/>
      </c>
      <c r="H95" s="16" t="str">
        <f aca="true">IF(G95="","",G95-TODAY())</f>
        <v/>
      </c>
      <c r="I95" s="17" t="str">
        <f aca="false">IF(AND(A95="",B95=""),"",IF(OR(A95="",B95=""),"Fill in asset and task",IF(OR(NOT(ISNUMBER(C95)),N(C95)&lt;=0),"Check frequency",IF(SUMPRODUCT(($A$5:$A$304=A95)*($B$5:$B$304=B95))&gt;1,"Duplicate row",IF(H95&lt;0,"OVERDUE",IF(H95&lt;=$I$2,"Due soon","OK"))))))</f>
        <v/>
      </c>
      <c r="J95" s="9"/>
    </row>
    <row r="96" customFormat="false" ht="15" hidden="false" customHeight="false" outlineLevel="0" collapsed="false">
      <c r="A96" s="9"/>
      <c r="B96" s="9"/>
      <c r="C96" s="9"/>
      <c r="D96" s="9"/>
      <c r="E96" s="14"/>
      <c r="F96" s="15" t="str">
        <f aca="false">IF(OR(A96="",B96=""),"",IF(MAX(N(E96),SUMPRODUCT(MAX(('Completion Log'!$B$5:$B$2004=A96)*('Completion Log'!$C$5:$C$2004=B96)*'Completion Log'!$A$5:$A$2004)))=0,"",MAX(N(E96),SUMPRODUCT(MAX(('Completion Log'!$B$5:$B$2004=A96)*('Completion Log'!$C$5:$C$2004=B96)*'Completion Log'!$A$5:$A$2004)))))</f>
        <v/>
      </c>
      <c r="G96" s="15" t="str">
        <f aca="true">IF(OR(A96="",B96="",OR(NOT(ISNUMBER(C96)),N(C96)&lt;=0)),"",IF(F96="",TODAY(),F96+C96))</f>
        <v/>
      </c>
      <c r="H96" s="16" t="str">
        <f aca="true">IF(G96="","",G96-TODAY())</f>
        <v/>
      </c>
      <c r="I96" s="17" t="str">
        <f aca="false">IF(AND(A96="",B96=""),"",IF(OR(A96="",B96=""),"Fill in asset and task",IF(OR(NOT(ISNUMBER(C96)),N(C96)&lt;=0),"Check frequency",IF(SUMPRODUCT(($A$5:$A$304=A96)*($B$5:$B$304=B96))&gt;1,"Duplicate row",IF(H96&lt;0,"OVERDUE",IF(H96&lt;=$I$2,"Due soon","OK"))))))</f>
        <v/>
      </c>
      <c r="J96" s="9"/>
    </row>
    <row r="97" customFormat="false" ht="15" hidden="false" customHeight="false" outlineLevel="0" collapsed="false">
      <c r="A97" s="9"/>
      <c r="B97" s="9"/>
      <c r="C97" s="9"/>
      <c r="D97" s="9"/>
      <c r="E97" s="14"/>
      <c r="F97" s="15" t="str">
        <f aca="false">IF(OR(A97="",B97=""),"",IF(MAX(N(E97),SUMPRODUCT(MAX(('Completion Log'!$B$5:$B$2004=A97)*('Completion Log'!$C$5:$C$2004=B97)*'Completion Log'!$A$5:$A$2004)))=0,"",MAX(N(E97),SUMPRODUCT(MAX(('Completion Log'!$B$5:$B$2004=A97)*('Completion Log'!$C$5:$C$2004=B97)*'Completion Log'!$A$5:$A$2004)))))</f>
        <v/>
      </c>
      <c r="G97" s="15" t="str">
        <f aca="true">IF(OR(A97="",B97="",OR(NOT(ISNUMBER(C97)),N(C97)&lt;=0)),"",IF(F97="",TODAY(),F97+C97))</f>
        <v/>
      </c>
      <c r="H97" s="16" t="str">
        <f aca="true">IF(G97="","",G97-TODAY())</f>
        <v/>
      </c>
      <c r="I97" s="17" t="str">
        <f aca="false">IF(AND(A97="",B97=""),"",IF(OR(A97="",B97=""),"Fill in asset and task",IF(OR(NOT(ISNUMBER(C97)),N(C97)&lt;=0),"Check frequency",IF(SUMPRODUCT(($A$5:$A$304=A97)*($B$5:$B$304=B97))&gt;1,"Duplicate row",IF(H97&lt;0,"OVERDUE",IF(H97&lt;=$I$2,"Due soon","OK"))))))</f>
        <v/>
      </c>
      <c r="J97" s="9"/>
    </row>
    <row r="98" customFormat="false" ht="15" hidden="false" customHeight="false" outlineLevel="0" collapsed="false">
      <c r="A98" s="9"/>
      <c r="B98" s="9"/>
      <c r="C98" s="9"/>
      <c r="D98" s="9"/>
      <c r="E98" s="14"/>
      <c r="F98" s="15" t="str">
        <f aca="false">IF(OR(A98="",B98=""),"",IF(MAX(N(E98),SUMPRODUCT(MAX(('Completion Log'!$B$5:$B$2004=A98)*('Completion Log'!$C$5:$C$2004=B98)*'Completion Log'!$A$5:$A$2004)))=0,"",MAX(N(E98),SUMPRODUCT(MAX(('Completion Log'!$B$5:$B$2004=A98)*('Completion Log'!$C$5:$C$2004=B98)*'Completion Log'!$A$5:$A$2004)))))</f>
        <v/>
      </c>
      <c r="G98" s="15" t="str">
        <f aca="true">IF(OR(A98="",B98="",OR(NOT(ISNUMBER(C98)),N(C98)&lt;=0)),"",IF(F98="",TODAY(),F98+C98))</f>
        <v/>
      </c>
      <c r="H98" s="16" t="str">
        <f aca="true">IF(G98="","",G98-TODAY())</f>
        <v/>
      </c>
      <c r="I98" s="17" t="str">
        <f aca="false">IF(AND(A98="",B98=""),"",IF(OR(A98="",B98=""),"Fill in asset and task",IF(OR(NOT(ISNUMBER(C98)),N(C98)&lt;=0),"Check frequency",IF(SUMPRODUCT(($A$5:$A$304=A98)*($B$5:$B$304=B98))&gt;1,"Duplicate row",IF(H98&lt;0,"OVERDUE",IF(H98&lt;=$I$2,"Due soon","OK"))))))</f>
        <v/>
      </c>
      <c r="J98" s="9"/>
    </row>
    <row r="99" customFormat="false" ht="15" hidden="false" customHeight="false" outlineLevel="0" collapsed="false">
      <c r="A99" s="9"/>
      <c r="B99" s="9"/>
      <c r="C99" s="9"/>
      <c r="D99" s="9"/>
      <c r="E99" s="14"/>
      <c r="F99" s="15" t="str">
        <f aca="false">IF(OR(A99="",B99=""),"",IF(MAX(N(E99),SUMPRODUCT(MAX(('Completion Log'!$B$5:$B$2004=A99)*('Completion Log'!$C$5:$C$2004=B99)*'Completion Log'!$A$5:$A$2004)))=0,"",MAX(N(E99),SUMPRODUCT(MAX(('Completion Log'!$B$5:$B$2004=A99)*('Completion Log'!$C$5:$C$2004=B99)*'Completion Log'!$A$5:$A$2004)))))</f>
        <v/>
      </c>
      <c r="G99" s="15" t="str">
        <f aca="true">IF(OR(A99="",B99="",OR(NOT(ISNUMBER(C99)),N(C99)&lt;=0)),"",IF(F99="",TODAY(),F99+C99))</f>
        <v/>
      </c>
      <c r="H99" s="16" t="str">
        <f aca="true">IF(G99="","",G99-TODAY())</f>
        <v/>
      </c>
      <c r="I99" s="17" t="str">
        <f aca="false">IF(AND(A99="",B99=""),"",IF(OR(A99="",B99=""),"Fill in asset and task",IF(OR(NOT(ISNUMBER(C99)),N(C99)&lt;=0),"Check frequency",IF(SUMPRODUCT(($A$5:$A$304=A99)*($B$5:$B$304=B99))&gt;1,"Duplicate row",IF(H99&lt;0,"OVERDUE",IF(H99&lt;=$I$2,"Due soon","OK"))))))</f>
        <v/>
      </c>
      <c r="J99" s="9"/>
    </row>
    <row r="100" customFormat="false" ht="15" hidden="false" customHeight="false" outlineLevel="0" collapsed="false">
      <c r="A100" s="9"/>
      <c r="B100" s="9"/>
      <c r="C100" s="9"/>
      <c r="D100" s="9"/>
      <c r="E100" s="14"/>
      <c r="F100" s="15" t="str">
        <f aca="false">IF(OR(A100="",B100=""),"",IF(MAX(N(E100),SUMPRODUCT(MAX(('Completion Log'!$B$5:$B$2004=A100)*('Completion Log'!$C$5:$C$2004=B100)*'Completion Log'!$A$5:$A$2004)))=0,"",MAX(N(E100),SUMPRODUCT(MAX(('Completion Log'!$B$5:$B$2004=A100)*('Completion Log'!$C$5:$C$2004=B100)*'Completion Log'!$A$5:$A$2004)))))</f>
        <v/>
      </c>
      <c r="G100" s="15" t="str">
        <f aca="true">IF(OR(A100="",B100="",OR(NOT(ISNUMBER(C100)),N(C100)&lt;=0)),"",IF(F100="",TODAY(),F100+C100))</f>
        <v/>
      </c>
      <c r="H100" s="16" t="str">
        <f aca="true">IF(G100="","",G100-TODAY())</f>
        <v/>
      </c>
      <c r="I100" s="17" t="str">
        <f aca="false">IF(AND(A100="",B100=""),"",IF(OR(A100="",B100=""),"Fill in asset and task",IF(OR(NOT(ISNUMBER(C100)),N(C100)&lt;=0),"Check frequency",IF(SUMPRODUCT(($A$5:$A$304=A100)*($B$5:$B$304=B100))&gt;1,"Duplicate row",IF(H100&lt;0,"OVERDUE",IF(H100&lt;=$I$2,"Due soon","OK"))))))</f>
        <v/>
      </c>
      <c r="J100" s="9"/>
    </row>
    <row r="101" customFormat="false" ht="15" hidden="false" customHeight="false" outlineLevel="0" collapsed="false">
      <c r="A101" s="9"/>
      <c r="B101" s="9"/>
      <c r="C101" s="9"/>
      <c r="D101" s="9"/>
      <c r="E101" s="14"/>
      <c r="F101" s="15" t="str">
        <f aca="false">IF(OR(A101="",B101=""),"",IF(MAX(N(E101),SUMPRODUCT(MAX(('Completion Log'!$B$5:$B$2004=A101)*('Completion Log'!$C$5:$C$2004=B101)*'Completion Log'!$A$5:$A$2004)))=0,"",MAX(N(E101),SUMPRODUCT(MAX(('Completion Log'!$B$5:$B$2004=A101)*('Completion Log'!$C$5:$C$2004=B101)*'Completion Log'!$A$5:$A$2004)))))</f>
        <v/>
      </c>
      <c r="G101" s="15" t="str">
        <f aca="true">IF(OR(A101="",B101="",OR(NOT(ISNUMBER(C101)),N(C101)&lt;=0)),"",IF(F101="",TODAY(),F101+C101))</f>
        <v/>
      </c>
      <c r="H101" s="16" t="str">
        <f aca="true">IF(G101="","",G101-TODAY())</f>
        <v/>
      </c>
      <c r="I101" s="17" t="str">
        <f aca="false">IF(AND(A101="",B101=""),"",IF(OR(A101="",B101=""),"Fill in asset and task",IF(OR(NOT(ISNUMBER(C101)),N(C101)&lt;=0),"Check frequency",IF(SUMPRODUCT(($A$5:$A$304=A101)*($B$5:$B$304=B101))&gt;1,"Duplicate row",IF(H101&lt;0,"OVERDUE",IF(H101&lt;=$I$2,"Due soon","OK"))))))</f>
        <v/>
      </c>
      <c r="J101" s="9"/>
    </row>
    <row r="102" customFormat="false" ht="15" hidden="false" customHeight="false" outlineLevel="0" collapsed="false">
      <c r="A102" s="9"/>
      <c r="B102" s="9"/>
      <c r="C102" s="9"/>
      <c r="D102" s="9"/>
      <c r="E102" s="14"/>
      <c r="F102" s="15" t="str">
        <f aca="false">IF(OR(A102="",B102=""),"",IF(MAX(N(E102),SUMPRODUCT(MAX(('Completion Log'!$B$5:$B$2004=A102)*('Completion Log'!$C$5:$C$2004=B102)*'Completion Log'!$A$5:$A$2004)))=0,"",MAX(N(E102),SUMPRODUCT(MAX(('Completion Log'!$B$5:$B$2004=A102)*('Completion Log'!$C$5:$C$2004=B102)*'Completion Log'!$A$5:$A$2004)))))</f>
        <v/>
      </c>
      <c r="G102" s="15" t="str">
        <f aca="true">IF(OR(A102="",B102="",OR(NOT(ISNUMBER(C102)),N(C102)&lt;=0)),"",IF(F102="",TODAY(),F102+C102))</f>
        <v/>
      </c>
      <c r="H102" s="16" t="str">
        <f aca="true">IF(G102="","",G102-TODAY())</f>
        <v/>
      </c>
      <c r="I102" s="17" t="str">
        <f aca="false">IF(AND(A102="",B102=""),"",IF(OR(A102="",B102=""),"Fill in asset and task",IF(OR(NOT(ISNUMBER(C102)),N(C102)&lt;=0),"Check frequency",IF(SUMPRODUCT(($A$5:$A$304=A102)*($B$5:$B$304=B102))&gt;1,"Duplicate row",IF(H102&lt;0,"OVERDUE",IF(H102&lt;=$I$2,"Due soon","OK"))))))</f>
        <v/>
      </c>
      <c r="J102" s="9"/>
    </row>
    <row r="103" customFormat="false" ht="15" hidden="false" customHeight="false" outlineLevel="0" collapsed="false">
      <c r="A103" s="9"/>
      <c r="B103" s="9"/>
      <c r="C103" s="9"/>
      <c r="D103" s="9"/>
      <c r="E103" s="14"/>
      <c r="F103" s="15" t="str">
        <f aca="false">IF(OR(A103="",B103=""),"",IF(MAX(N(E103),SUMPRODUCT(MAX(('Completion Log'!$B$5:$B$2004=A103)*('Completion Log'!$C$5:$C$2004=B103)*'Completion Log'!$A$5:$A$2004)))=0,"",MAX(N(E103),SUMPRODUCT(MAX(('Completion Log'!$B$5:$B$2004=A103)*('Completion Log'!$C$5:$C$2004=B103)*'Completion Log'!$A$5:$A$2004)))))</f>
        <v/>
      </c>
      <c r="G103" s="15" t="str">
        <f aca="true">IF(OR(A103="",B103="",OR(NOT(ISNUMBER(C103)),N(C103)&lt;=0)),"",IF(F103="",TODAY(),F103+C103))</f>
        <v/>
      </c>
      <c r="H103" s="16" t="str">
        <f aca="true">IF(G103="","",G103-TODAY())</f>
        <v/>
      </c>
      <c r="I103" s="17" t="str">
        <f aca="false">IF(AND(A103="",B103=""),"",IF(OR(A103="",B103=""),"Fill in asset and task",IF(OR(NOT(ISNUMBER(C103)),N(C103)&lt;=0),"Check frequency",IF(SUMPRODUCT(($A$5:$A$304=A103)*($B$5:$B$304=B103))&gt;1,"Duplicate row",IF(H103&lt;0,"OVERDUE",IF(H103&lt;=$I$2,"Due soon","OK"))))))</f>
        <v/>
      </c>
      <c r="J103" s="9"/>
    </row>
    <row r="104" customFormat="false" ht="15" hidden="false" customHeight="false" outlineLevel="0" collapsed="false">
      <c r="A104" s="9"/>
      <c r="B104" s="9"/>
      <c r="C104" s="9"/>
      <c r="D104" s="9"/>
      <c r="E104" s="14"/>
      <c r="F104" s="15" t="str">
        <f aca="false">IF(OR(A104="",B104=""),"",IF(MAX(N(E104),SUMPRODUCT(MAX(('Completion Log'!$B$5:$B$2004=A104)*('Completion Log'!$C$5:$C$2004=B104)*'Completion Log'!$A$5:$A$2004)))=0,"",MAX(N(E104),SUMPRODUCT(MAX(('Completion Log'!$B$5:$B$2004=A104)*('Completion Log'!$C$5:$C$2004=B104)*'Completion Log'!$A$5:$A$2004)))))</f>
        <v/>
      </c>
      <c r="G104" s="15" t="str">
        <f aca="true">IF(OR(A104="",B104="",OR(NOT(ISNUMBER(C104)),N(C104)&lt;=0)),"",IF(F104="",TODAY(),F104+C104))</f>
        <v/>
      </c>
      <c r="H104" s="16" t="str">
        <f aca="true">IF(G104="","",G104-TODAY())</f>
        <v/>
      </c>
      <c r="I104" s="17" t="str">
        <f aca="false">IF(AND(A104="",B104=""),"",IF(OR(A104="",B104=""),"Fill in asset and task",IF(OR(NOT(ISNUMBER(C104)),N(C104)&lt;=0),"Check frequency",IF(SUMPRODUCT(($A$5:$A$304=A104)*($B$5:$B$304=B104))&gt;1,"Duplicate row",IF(H104&lt;0,"OVERDUE",IF(H104&lt;=$I$2,"Due soon","OK"))))))</f>
        <v/>
      </c>
      <c r="J104" s="9"/>
    </row>
    <row r="105" customFormat="false" ht="15" hidden="false" customHeight="false" outlineLevel="0" collapsed="false">
      <c r="A105" s="9"/>
      <c r="B105" s="9"/>
      <c r="C105" s="9"/>
      <c r="D105" s="9"/>
      <c r="E105" s="14"/>
      <c r="F105" s="15" t="str">
        <f aca="false">IF(OR(A105="",B105=""),"",IF(MAX(N(E105),SUMPRODUCT(MAX(('Completion Log'!$B$5:$B$2004=A105)*('Completion Log'!$C$5:$C$2004=B105)*'Completion Log'!$A$5:$A$2004)))=0,"",MAX(N(E105),SUMPRODUCT(MAX(('Completion Log'!$B$5:$B$2004=A105)*('Completion Log'!$C$5:$C$2004=B105)*'Completion Log'!$A$5:$A$2004)))))</f>
        <v/>
      </c>
      <c r="G105" s="15" t="str">
        <f aca="true">IF(OR(A105="",B105="",OR(NOT(ISNUMBER(C105)),N(C105)&lt;=0)),"",IF(F105="",TODAY(),F105+C105))</f>
        <v/>
      </c>
      <c r="H105" s="16" t="str">
        <f aca="true">IF(G105="","",G105-TODAY())</f>
        <v/>
      </c>
      <c r="I105" s="17" t="str">
        <f aca="false">IF(AND(A105="",B105=""),"",IF(OR(A105="",B105=""),"Fill in asset and task",IF(OR(NOT(ISNUMBER(C105)),N(C105)&lt;=0),"Check frequency",IF(SUMPRODUCT(($A$5:$A$304=A105)*($B$5:$B$304=B105))&gt;1,"Duplicate row",IF(H105&lt;0,"OVERDUE",IF(H105&lt;=$I$2,"Due soon","OK"))))))</f>
        <v/>
      </c>
      <c r="J105" s="9"/>
    </row>
    <row r="106" customFormat="false" ht="15" hidden="false" customHeight="false" outlineLevel="0" collapsed="false">
      <c r="A106" s="9"/>
      <c r="B106" s="9"/>
      <c r="C106" s="9"/>
      <c r="D106" s="9"/>
      <c r="E106" s="14"/>
      <c r="F106" s="15" t="str">
        <f aca="false">IF(OR(A106="",B106=""),"",IF(MAX(N(E106),SUMPRODUCT(MAX(('Completion Log'!$B$5:$B$2004=A106)*('Completion Log'!$C$5:$C$2004=B106)*'Completion Log'!$A$5:$A$2004)))=0,"",MAX(N(E106),SUMPRODUCT(MAX(('Completion Log'!$B$5:$B$2004=A106)*('Completion Log'!$C$5:$C$2004=B106)*'Completion Log'!$A$5:$A$2004)))))</f>
        <v/>
      </c>
      <c r="G106" s="15" t="str">
        <f aca="true">IF(OR(A106="",B106="",OR(NOT(ISNUMBER(C106)),N(C106)&lt;=0)),"",IF(F106="",TODAY(),F106+C106))</f>
        <v/>
      </c>
      <c r="H106" s="16" t="str">
        <f aca="true">IF(G106="","",G106-TODAY())</f>
        <v/>
      </c>
      <c r="I106" s="17" t="str">
        <f aca="false">IF(AND(A106="",B106=""),"",IF(OR(A106="",B106=""),"Fill in asset and task",IF(OR(NOT(ISNUMBER(C106)),N(C106)&lt;=0),"Check frequency",IF(SUMPRODUCT(($A$5:$A$304=A106)*($B$5:$B$304=B106))&gt;1,"Duplicate row",IF(H106&lt;0,"OVERDUE",IF(H106&lt;=$I$2,"Due soon","OK"))))))</f>
        <v/>
      </c>
      <c r="J106" s="9"/>
    </row>
    <row r="107" customFormat="false" ht="15" hidden="false" customHeight="false" outlineLevel="0" collapsed="false">
      <c r="A107" s="9"/>
      <c r="B107" s="9"/>
      <c r="C107" s="9"/>
      <c r="D107" s="9"/>
      <c r="E107" s="14"/>
      <c r="F107" s="15" t="str">
        <f aca="false">IF(OR(A107="",B107=""),"",IF(MAX(N(E107),SUMPRODUCT(MAX(('Completion Log'!$B$5:$B$2004=A107)*('Completion Log'!$C$5:$C$2004=B107)*'Completion Log'!$A$5:$A$2004)))=0,"",MAX(N(E107),SUMPRODUCT(MAX(('Completion Log'!$B$5:$B$2004=A107)*('Completion Log'!$C$5:$C$2004=B107)*'Completion Log'!$A$5:$A$2004)))))</f>
        <v/>
      </c>
      <c r="G107" s="15" t="str">
        <f aca="true">IF(OR(A107="",B107="",OR(NOT(ISNUMBER(C107)),N(C107)&lt;=0)),"",IF(F107="",TODAY(),F107+C107))</f>
        <v/>
      </c>
      <c r="H107" s="16" t="str">
        <f aca="true">IF(G107="","",G107-TODAY())</f>
        <v/>
      </c>
      <c r="I107" s="17" t="str">
        <f aca="false">IF(AND(A107="",B107=""),"",IF(OR(A107="",B107=""),"Fill in asset and task",IF(OR(NOT(ISNUMBER(C107)),N(C107)&lt;=0),"Check frequency",IF(SUMPRODUCT(($A$5:$A$304=A107)*($B$5:$B$304=B107))&gt;1,"Duplicate row",IF(H107&lt;0,"OVERDUE",IF(H107&lt;=$I$2,"Due soon","OK"))))))</f>
        <v/>
      </c>
      <c r="J107" s="9"/>
    </row>
    <row r="108" customFormat="false" ht="15" hidden="false" customHeight="false" outlineLevel="0" collapsed="false">
      <c r="A108" s="9"/>
      <c r="B108" s="9"/>
      <c r="C108" s="9"/>
      <c r="D108" s="9"/>
      <c r="E108" s="14"/>
      <c r="F108" s="15" t="str">
        <f aca="false">IF(OR(A108="",B108=""),"",IF(MAX(N(E108),SUMPRODUCT(MAX(('Completion Log'!$B$5:$B$2004=A108)*('Completion Log'!$C$5:$C$2004=B108)*'Completion Log'!$A$5:$A$2004)))=0,"",MAX(N(E108),SUMPRODUCT(MAX(('Completion Log'!$B$5:$B$2004=A108)*('Completion Log'!$C$5:$C$2004=B108)*'Completion Log'!$A$5:$A$2004)))))</f>
        <v/>
      </c>
      <c r="G108" s="15" t="str">
        <f aca="true">IF(OR(A108="",B108="",OR(NOT(ISNUMBER(C108)),N(C108)&lt;=0)),"",IF(F108="",TODAY(),F108+C108))</f>
        <v/>
      </c>
      <c r="H108" s="16" t="str">
        <f aca="true">IF(G108="","",G108-TODAY())</f>
        <v/>
      </c>
      <c r="I108" s="17" t="str">
        <f aca="false">IF(AND(A108="",B108=""),"",IF(OR(A108="",B108=""),"Fill in asset and task",IF(OR(NOT(ISNUMBER(C108)),N(C108)&lt;=0),"Check frequency",IF(SUMPRODUCT(($A$5:$A$304=A108)*($B$5:$B$304=B108))&gt;1,"Duplicate row",IF(H108&lt;0,"OVERDUE",IF(H108&lt;=$I$2,"Due soon","OK"))))))</f>
        <v/>
      </c>
      <c r="J108" s="9"/>
    </row>
    <row r="109" customFormat="false" ht="15" hidden="false" customHeight="false" outlineLevel="0" collapsed="false">
      <c r="A109" s="9"/>
      <c r="B109" s="9"/>
      <c r="C109" s="9"/>
      <c r="D109" s="9"/>
      <c r="E109" s="14"/>
      <c r="F109" s="15" t="str">
        <f aca="false">IF(OR(A109="",B109=""),"",IF(MAX(N(E109),SUMPRODUCT(MAX(('Completion Log'!$B$5:$B$2004=A109)*('Completion Log'!$C$5:$C$2004=B109)*'Completion Log'!$A$5:$A$2004)))=0,"",MAX(N(E109),SUMPRODUCT(MAX(('Completion Log'!$B$5:$B$2004=A109)*('Completion Log'!$C$5:$C$2004=B109)*'Completion Log'!$A$5:$A$2004)))))</f>
        <v/>
      </c>
      <c r="G109" s="15" t="str">
        <f aca="true">IF(OR(A109="",B109="",OR(NOT(ISNUMBER(C109)),N(C109)&lt;=0)),"",IF(F109="",TODAY(),F109+C109))</f>
        <v/>
      </c>
      <c r="H109" s="16" t="str">
        <f aca="true">IF(G109="","",G109-TODAY())</f>
        <v/>
      </c>
      <c r="I109" s="17" t="str">
        <f aca="false">IF(AND(A109="",B109=""),"",IF(OR(A109="",B109=""),"Fill in asset and task",IF(OR(NOT(ISNUMBER(C109)),N(C109)&lt;=0),"Check frequency",IF(SUMPRODUCT(($A$5:$A$304=A109)*($B$5:$B$304=B109))&gt;1,"Duplicate row",IF(H109&lt;0,"OVERDUE",IF(H109&lt;=$I$2,"Due soon","OK"))))))</f>
        <v/>
      </c>
      <c r="J109" s="9"/>
    </row>
    <row r="110" customFormat="false" ht="15" hidden="false" customHeight="false" outlineLevel="0" collapsed="false">
      <c r="A110" s="9"/>
      <c r="B110" s="9"/>
      <c r="C110" s="9"/>
      <c r="D110" s="9"/>
      <c r="E110" s="14"/>
      <c r="F110" s="15" t="str">
        <f aca="false">IF(OR(A110="",B110=""),"",IF(MAX(N(E110),SUMPRODUCT(MAX(('Completion Log'!$B$5:$B$2004=A110)*('Completion Log'!$C$5:$C$2004=B110)*'Completion Log'!$A$5:$A$2004)))=0,"",MAX(N(E110),SUMPRODUCT(MAX(('Completion Log'!$B$5:$B$2004=A110)*('Completion Log'!$C$5:$C$2004=B110)*'Completion Log'!$A$5:$A$2004)))))</f>
        <v/>
      </c>
      <c r="G110" s="15" t="str">
        <f aca="true">IF(OR(A110="",B110="",OR(NOT(ISNUMBER(C110)),N(C110)&lt;=0)),"",IF(F110="",TODAY(),F110+C110))</f>
        <v/>
      </c>
      <c r="H110" s="16" t="str">
        <f aca="true">IF(G110="","",G110-TODAY())</f>
        <v/>
      </c>
      <c r="I110" s="17" t="str">
        <f aca="false">IF(AND(A110="",B110=""),"",IF(OR(A110="",B110=""),"Fill in asset and task",IF(OR(NOT(ISNUMBER(C110)),N(C110)&lt;=0),"Check frequency",IF(SUMPRODUCT(($A$5:$A$304=A110)*($B$5:$B$304=B110))&gt;1,"Duplicate row",IF(H110&lt;0,"OVERDUE",IF(H110&lt;=$I$2,"Due soon","OK"))))))</f>
        <v/>
      </c>
      <c r="J110" s="9"/>
    </row>
    <row r="111" customFormat="false" ht="15" hidden="false" customHeight="false" outlineLevel="0" collapsed="false">
      <c r="A111" s="9"/>
      <c r="B111" s="9"/>
      <c r="C111" s="9"/>
      <c r="D111" s="9"/>
      <c r="E111" s="14"/>
      <c r="F111" s="15" t="str">
        <f aca="false">IF(OR(A111="",B111=""),"",IF(MAX(N(E111),SUMPRODUCT(MAX(('Completion Log'!$B$5:$B$2004=A111)*('Completion Log'!$C$5:$C$2004=B111)*'Completion Log'!$A$5:$A$2004)))=0,"",MAX(N(E111),SUMPRODUCT(MAX(('Completion Log'!$B$5:$B$2004=A111)*('Completion Log'!$C$5:$C$2004=B111)*'Completion Log'!$A$5:$A$2004)))))</f>
        <v/>
      </c>
      <c r="G111" s="15" t="str">
        <f aca="true">IF(OR(A111="",B111="",OR(NOT(ISNUMBER(C111)),N(C111)&lt;=0)),"",IF(F111="",TODAY(),F111+C111))</f>
        <v/>
      </c>
      <c r="H111" s="16" t="str">
        <f aca="true">IF(G111="","",G111-TODAY())</f>
        <v/>
      </c>
      <c r="I111" s="17" t="str">
        <f aca="false">IF(AND(A111="",B111=""),"",IF(OR(A111="",B111=""),"Fill in asset and task",IF(OR(NOT(ISNUMBER(C111)),N(C111)&lt;=0),"Check frequency",IF(SUMPRODUCT(($A$5:$A$304=A111)*($B$5:$B$304=B111))&gt;1,"Duplicate row",IF(H111&lt;0,"OVERDUE",IF(H111&lt;=$I$2,"Due soon","OK"))))))</f>
        <v/>
      </c>
      <c r="J111" s="9"/>
    </row>
    <row r="112" customFormat="false" ht="15" hidden="false" customHeight="false" outlineLevel="0" collapsed="false">
      <c r="A112" s="9"/>
      <c r="B112" s="9"/>
      <c r="C112" s="9"/>
      <c r="D112" s="9"/>
      <c r="E112" s="14"/>
      <c r="F112" s="15" t="str">
        <f aca="false">IF(OR(A112="",B112=""),"",IF(MAX(N(E112),SUMPRODUCT(MAX(('Completion Log'!$B$5:$B$2004=A112)*('Completion Log'!$C$5:$C$2004=B112)*'Completion Log'!$A$5:$A$2004)))=0,"",MAX(N(E112),SUMPRODUCT(MAX(('Completion Log'!$B$5:$B$2004=A112)*('Completion Log'!$C$5:$C$2004=B112)*'Completion Log'!$A$5:$A$2004)))))</f>
        <v/>
      </c>
      <c r="G112" s="15" t="str">
        <f aca="true">IF(OR(A112="",B112="",OR(NOT(ISNUMBER(C112)),N(C112)&lt;=0)),"",IF(F112="",TODAY(),F112+C112))</f>
        <v/>
      </c>
      <c r="H112" s="16" t="str">
        <f aca="true">IF(G112="","",G112-TODAY())</f>
        <v/>
      </c>
      <c r="I112" s="17" t="str">
        <f aca="false">IF(AND(A112="",B112=""),"",IF(OR(A112="",B112=""),"Fill in asset and task",IF(OR(NOT(ISNUMBER(C112)),N(C112)&lt;=0),"Check frequency",IF(SUMPRODUCT(($A$5:$A$304=A112)*($B$5:$B$304=B112))&gt;1,"Duplicate row",IF(H112&lt;0,"OVERDUE",IF(H112&lt;=$I$2,"Due soon","OK"))))))</f>
        <v/>
      </c>
      <c r="J112" s="9"/>
    </row>
    <row r="113" customFormat="false" ht="15" hidden="false" customHeight="false" outlineLevel="0" collapsed="false">
      <c r="A113" s="9"/>
      <c r="B113" s="9"/>
      <c r="C113" s="9"/>
      <c r="D113" s="9"/>
      <c r="E113" s="14"/>
      <c r="F113" s="15" t="str">
        <f aca="false">IF(OR(A113="",B113=""),"",IF(MAX(N(E113),SUMPRODUCT(MAX(('Completion Log'!$B$5:$B$2004=A113)*('Completion Log'!$C$5:$C$2004=B113)*'Completion Log'!$A$5:$A$2004)))=0,"",MAX(N(E113),SUMPRODUCT(MAX(('Completion Log'!$B$5:$B$2004=A113)*('Completion Log'!$C$5:$C$2004=B113)*'Completion Log'!$A$5:$A$2004)))))</f>
        <v/>
      </c>
      <c r="G113" s="15" t="str">
        <f aca="true">IF(OR(A113="",B113="",OR(NOT(ISNUMBER(C113)),N(C113)&lt;=0)),"",IF(F113="",TODAY(),F113+C113))</f>
        <v/>
      </c>
      <c r="H113" s="16" t="str">
        <f aca="true">IF(G113="","",G113-TODAY())</f>
        <v/>
      </c>
      <c r="I113" s="17" t="str">
        <f aca="false">IF(AND(A113="",B113=""),"",IF(OR(A113="",B113=""),"Fill in asset and task",IF(OR(NOT(ISNUMBER(C113)),N(C113)&lt;=0),"Check frequency",IF(SUMPRODUCT(($A$5:$A$304=A113)*($B$5:$B$304=B113))&gt;1,"Duplicate row",IF(H113&lt;0,"OVERDUE",IF(H113&lt;=$I$2,"Due soon","OK"))))))</f>
        <v/>
      </c>
      <c r="J113" s="9"/>
    </row>
    <row r="114" customFormat="false" ht="15" hidden="false" customHeight="false" outlineLevel="0" collapsed="false">
      <c r="A114" s="9"/>
      <c r="B114" s="9"/>
      <c r="C114" s="9"/>
      <c r="D114" s="9"/>
      <c r="E114" s="14"/>
      <c r="F114" s="15" t="str">
        <f aca="false">IF(OR(A114="",B114=""),"",IF(MAX(N(E114),SUMPRODUCT(MAX(('Completion Log'!$B$5:$B$2004=A114)*('Completion Log'!$C$5:$C$2004=B114)*'Completion Log'!$A$5:$A$2004)))=0,"",MAX(N(E114),SUMPRODUCT(MAX(('Completion Log'!$B$5:$B$2004=A114)*('Completion Log'!$C$5:$C$2004=B114)*'Completion Log'!$A$5:$A$2004)))))</f>
        <v/>
      </c>
      <c r="G114" s="15" t="str">
        <f aca="true">IF(OR(A114="",B114="",OR(NOT(ISNUMBER(C114)),N(C114)&lt;=0)),"",IF(F114="",TODAY(),F114+C114))</f>
        <v/>
      </c>
      <c r="H114" s="16" t="str">
        <f aca="true">IF(G114="","",G114-TODAY())</f>
        <v/>
      </c>
      <c r="I114" s="17" t="str">
        <f aca="false">IF(AND(A114="",B114=""),"",IF(OR(A114="",B114=""),"Fill in asset and task",IF(OR(NOT(ISNUMBER(C114)),N(C114)&lt;=0),"Check frequency",IF(SUMPRODUCT(($A$5:$A$304=A114)*($B$5:$B$304=B114))&gt;1,"Duplicate row",IF(H114&lt;0,"OVERDUE",IF(H114&lt;=$I$2,"Due soon","OK"))))))</f>
        <v/>
      </c>
      <c r="J114" s="9"/>
    </row>
    <row r="115" customFormat="false" ht="15" hidden="false" customHeight="false" outlineLevel="0" collapsed="false">
      <c r="A115" s="9"/>
      <c r="B115" s="9"/>
      <c r="C115" s="9"/>
      <c r="D115" s="9"/>
      <c r="E115" s="14"/>
      <c r="F115" s="15" t="str">
        <f aca="false">IF(OR(A115="",B115=""),"",IF(MAX(N(E115),SUMPRODUCT(MAX(('Completion Log'!$B$5:$B$2004=A115)*('Completion Log'!$C$5:$C$2004=B115)*'Completion Log'!$A$5:$A$2004)))=0,"",MAX(N(E115),SUMPRODUCT(MAX(('Completion Log'!$B$5:$B$2004=A115)*('Completion Log'!$C$5:$C$2004=B115)*'Completion Log'!$A$5:$A$2004)))))</f>
        <v/>
      </c>
      <c r="G115" s="15" t="str">
        <f aca="true">IF(OR(A115="",B115="",OR(NOT(ISNUMBER(C115)),N(C115)&lt;=0)),"",IF(F115="",TODAY(),F115+C115))</f>
        <v/>
      </c>
      <c r="H115" s="16" t="str">
        <f aca="true">IF(G115="","",G115-TODAY())</f>
        <v/>
      </c>
      <c r="I115" s="17" t="str">
        <f aca="false">IF(AND(A115="",B115=""),"",IF(OR(A115="",B115=""),"Fill in asset and task",IF(OR(NOT(ISNUMBER(C115)),N(C115)&lt;=0),"Check frequency",IF(SUMPRODUCT(($A$5:$A$304=A115)*($B$5:$B$304=B115))&gt;1,"Duplicate row",IF(H115&lt;0,"OVERDUE",IF(H115&lt;=$I$2,"Due soon","OK"))))))</f>
        <v/>
      </c>
      <c r="J115" s="9"/>
    </row>
    <row r="116" customFormat="false" ht="15" hidden="false" customHeight="false" outlineLevel="0" collapsed="false">
      <c r="A116" s="9"/>
      <c r="B116" s="9"/>
      <c r="C116" s="9"/>
      <c r="D116" s="9"/>
      <c r="E116" s="14"/>
      <c r="F116" s="15" t="str">
        <f aca="false">IF(OR(A116="",B116=""),"",IF(MAX(N(E116),SUMPRODUCT(MAX(('Completion Log'!$B$5:$B$2004=A116)*('Completion Log'!$C$5:$C$2004=B116)*'Completion Log'!$A$5:$A$2004)))=0,"",MAX(N(E116),SUMPRODUCT(MAX(('Completion Log'!$B$5:$B$2004=A116)*('Completion Log'!$C$5:$C$2004=B116)*'Completion Log'!$A$5:$A$2004)))))</f>
        <v/>
      </c>
      <c r="G116" s="15" t="str">
        <f aca="true">IF(OR(A116="",B116="",OR(NOT(ISNUMBER(C116)),N(C116)&lt;=0)),"",IF(F116="",TODAY(),F116+C116))</f>
        <v/>
      </c>
      <c r="H116" s="16" t="str">
        <f aca="true">IF(G116="","",G116-TODAY())</f>
        <v/>
      </c>
      <c r="I116" s="17" t="str">
        <f aca="false">IF(AND(A116="",B116=""),"",IF(OR(A116="",B116=""),"Fill in asset and task",IF(OR(NOT(ISNUMBER(C116)),N(C116)&lt;=0),"Check frequency",IF(SUMPRODUCT(($A$5:$A$304=A116)*($B$5:$B$304=B116))&gt;1,"Duplicate row",IF(H116&lt;0,"OVERDUE",IF(H116&lt;=$I$2,"Due soon","OK"))))))</f>
        <v/>
      </c>
      <c r="J116" s="9"/>
    </row>
    <row r="117" customFormat="false" ht="15" hidden="false" customHeight="false" outlineLevel="0" collapsed="false">
      <c r="A117" s="9"/>
      <c r="B117" s="9"/>
      <c r="C117" s="9"/>
      <c r="D117" s="9"/>
      <c r="E117" s="14"/>
      <c r="F117" s="15" t="str">
        <f aca="false">IF(OR(A117="",B117=""),"",IF(MAX(N(E117),SUMPRODUCT(MAX(('Completion Log'!$B$5:$B$2004=A117)*('Completion Log'!$C$5:$C$2004=B117)*'Completion Log'!$A$5:$A$2004)))=0,"",MAX(N(E117),SUMPRODUCT(MAX(('Completion Log'!$B$5:$B$2004=A117)*('Completion Log'!$C$5:$C$2004=B117)*'Completion Log'!$A$5:$A$2004)))))</f>
        <v/>
      </c>
      <c r="G117" s="15" t="str">
        <f aca="true">IF(OR(A117="",B117="",OR(NOT(ISNUMBER(C117)),N(C117)&lt;=0)),"",IF(F117="",TODAY(),F117+C117))</f>
        <v/>
      </c>
      <c r="H117" s="16" t="str">
        <f aca="true">IF(G117="","",G117-TODAY())</f>
        <v/>
      </c>
      <c r="I117" s="17" t="str">
        <f aca="false">IF(AND(A117="",B117=""),"",IF(OR(A117="",B117=""),"Fill in asset and task",IF(OR(NOT(ISNUMBER(C117)),N(C117)&lt;=0),"Check frequency",IF(SUMPRODUCT(($A$5:$A$304=A117)*($B$5:$B$304=B117))&gt;1,"Duplicate row",IF(H117&lt;0,"OVERDUE",IF(H117&lt;=$I$2,"Due soon","OK"))))))</f>
        <v/>
      </c>
      <c r="J117" s="9"/>
    </row>
    <row r="118" customFormat="false" ht="15" hidden="false" customHeight="false" outlineLevel="0" collapsed="false">
      <c r="A118" s="9"/>
      <c r="B118" s="9"/>
      <c r="C118" s="9"/>
      <c r="D118" s="9"/>
      <c r="E118" s="14"/>
      <c r="F118" s="15" t="str">
        <f aca="false">IF(OR(A118="",B118=""),"",IF(MAX(N(E118),SUMPRODUCT(MAX(('Completion Log'!$B$5:$B$2004=A118)*('Completion Log'!$C$5:$C$2004=B118)*'Completion Log'!$A$5:$A$2004)))=0,"",MAX(N(E118),SUMPRODUCT(MAX(('Completion Log'!$B$5:$B$2004=A118)*('Completion Log'!$C$5:$C$2004=B118)*'Completion Log'!$A$5:$A$2004)))))</f>
        <v/>
      </c>
      <c r="G118" s="15" t="str">
        <f aca="true">IF(OR(A118="",B118="",OR(NOT(ISNUMBER(C118)),N(C118)&lt;=0)),"",IF(F118="",TODAY(),F118+C118))</f>
        <v/>
      </c>
      <c r="H118" s="16" t="str">
        <f aca="true">IF(G118="","",G118-TODAY())</f>
        <v/>
      </c>
      <c r="I118" s="17" t="str">
        <f aca="false">IF(AND(A118="",B118=""),"",IF(OR(A118="",B118=""),"Fill in asset and task",IF(OR(NOT(ISNUMBER(C118)),N(C118)&lt;=0),"Check frequency",IF(SUMPRODUCT(($A$5:$A$304=A118)*($B$5:$B$304=B118))&gt;1,"Duplicate row",IF(H118&lt;0,"OVERDUE",IF(H118&lt;=$I$2,"Due soon","OK"))))))</f>
        <v/>
      </c>
      <c r="J118" s="9"/>
    </row>
    <row r="119" customFormat="false" ht="15" hidden="false" customHeight="false" outlineLevel="0" collapsed="false">
      <c r="A119" s="9"/>
      <c r="B119" s="9"/>
      <c r="C119" s="9"/>
      <c r="D119" s="9"/>
      <c r="E119" s="14"/>
      <c r="F119" s="15" t="str">
        <f aca="false">IF(OR(A119="",B119=""),"",IF(MAX(N(E119),SUMPRODUCT(MAX(('Completion Log'!$B$5:$B$2004=A119)*('Completion Log'!$C$5:$C$2004=B119)*'Completion Log'!$A$5:$A$2004)))=0,"",MAX(N(E119),SUMPRODUCT(MAX(('Completion Log'!$B$5:$B$2004=A119)*('Completion Log'!$C$5:$C$2004=B119)*'Completion Log'!$A$5:$A$2004)))))</f>
        <v/>
      </c>
      <c r="G119" s="15" t="str">
        <f aca="true">IF(OR(A119="",B119="",OR(NOT(ISNUMBER(C119)),N(C119)&lt;=0)),"",IF(F119="",TODAY(),F119+C119))</f>
        <v/>
      </c>
      <c r="H119" s="16" t="str">
        <f aca="true">IF(G119="","",G119-TODAY())</f>
        <v/>
      </c>
      <c r="I119" s="17" t="str">
        <f aca="false">IF(AND(A119="",B119=""),"",IF(OR(A119="",B119=""),"Fill in asset and task",IF(OR(NOT(ISNUMBER(C119)),N(C119)&lt;=0),"Check frequency",IF(SUMPRODUCT(($A$5:$A$304=A119)*($B$5:$B$304=B119))&gt;1,"Duplicate row",IF(H119&lt;0,"OVERDUE",IF(H119&lt;=$I$2,"Due soon","OK"))))))</f>
        <v/>
      </c>
      <c r="J119" s="9"/>
    </row>
    <row r="120" customFormat="false" ht="15" hidden="false" customHeight="false" outlineLevel="0" collapsed="false">
      <c r="A120" s="9"/>
      <c r="B120" s="9"/>
      <c r="C120" s="9"/>
      <c r="D120" s="9"/>
      <c r="E120" s="14"/>
      <c r="F120" s="15" t="str">
        <f aca="false">IF(OR(A120="",B120=""),"",IF(MAX(N(E120),SUMPRODUCT(MAX(('Completion Log'!$B$5:$B$2004=A120)*('Completion Log'!$C$5:$C$2004=B120)*'Completion Log'!$A$5:$A$2004)))=0,"",MAX(N(E120),SUMPRODUCT(MAX(('Completion Log'!$B$5:$B$2004=A120)*('Completion Log'!$C$5:$C$2004=B120)*'Completion Log'!$A$5:$A$2004)))))</f>
        <v/>
      </c>
      <c r="G120" s="15" t="str">
        <f aca="true">IF(OR(A120="",B120="",OR(NOT(ISNUMBER(C120)),N(C120)&lt;=0)),"",IF(F120="",TODAY(),F120+C120))</f>
        <v/>
      </c>
      <c r="H120" s="16" t="str">
        <f aca="true">IF(G120="","",G120-TODAY())</f>
        <v/>
      </c>
      <c r="I120" s="17" t="str">
        <f aca="false">IF(AND(A120="",B120=""),"",IF(OR(A120="",B120=""),"Fill in asset and task",IF(OR(NOT(ISNUMBER(C120)),N(C120)&lt;=0),"Check frequency",IF(SUMPRODUCT(($A$5:$A$304=A120)*($B$5:$B$304=B120))&gt;1,"Duplicate row",IF(H120&lt;0,"OVERDUE",IF(H120&lt;=$I$2,"Due soon","OK"))))))</f>
        <v/>
      </c>
      <c r="J120" s="9"/>
    </row>
    <row r="121" customFormat="false" ht="15" hidden="false" customHeight="false" outlineLevel="0" collapsed="false">
      <c r="A121" s="9"/>
      <c r="B121" s="9"/>
      <c r="C121" s="9"/>
      <c r="D121" s="9"/>
      <c r="E121" s="14"/>
      <c r="F121" s="15" t="str">
        <f aca="false">IF(OR(A121="",B121=""),"",IF(MAX(N(E121),SUMPRODUCT(MAX(('Completion Log'!$B$5:$B$2004=A121)*('Completion Log'!$C$5:$C$2004=B121)*'Completion Log'!$A$5:$A$2004)))=0,"",MAX(N(E121),SUMPRODUCT(MAX(('Completion Log'!$B$5:$B$2004=A121)*('Completion Log'!$C$5:$C$2004=B121)*'Completion Log'!$A$5:$A$2004)))))</f>
        <v/>
      </c>
      <c r="G121" s="15" t="str">
        <f aca="true">IF(OR(A121="",B121="",OR(NOT(ISNUMBER(C121)),N(C121)&lt;=0)),"",IF(F121="",TODAY(),F121+C121))</f>
        <v/>
      </c>
      <c r="H121" s="16" t="str">
        <f aca="true">IF(G121="","",G121-TODAY())</f>
        <v/>
      </c>
      <c r="I121" s="17" t="str">
        <f aca="false">IF(AND(A121="",B121=""),"",IF(OR(A121="",B121=""),"Fill in asset and task",IF(OR(NOT(ISNUMBER(C121)),N(C121)&lt;=0),"Check frequency",IF(SUMPRODUCT(($A$5:$A$304=A121)*($B$5:$B$304=B121))&gt;1,"Duplicate row",IF(H121&lt;0,"OVERDUE",IF(H121&lt;=$I$2,"Due soon","OK"))))))</f>
        <v/>
      </c>
      <c r="J121" s="9"/>
    </row>
    <row r="122" customFormat="false" ht="15" hidden="false" customHeight="false" outlineLevel="0" collapsed="false">
      <c r="A122" s="9"/>
      <c r="B122" s="9"/>
      <c r="C122" s="9"/>
      <c r="D122" s="9"/>
      <c r="E122" s="14"/>
      <c r="F122" s="15" t="str">
        <f aca="false">IF(OR(A122="",B122=""),"",IF(MAX(N(E122),SUMPRODUCT(MAX(('Completion Log'!$B$5:$B$2004=A122)*('Completion Log'!$C$5:$C$2004=B122)*'Completion Log'!$A$5:$A$2004)))=0,"",MAX(N(E122),SUMPRODUCT(MAX(('Completion Log'!$B$5:$B$2004=A122)*('Completion Log'!$C$5:$C$2004=B122)*'Completion Log'!$A$5:$A$2004)))))</f>
        <v/>
      </c>
      <c r="G122" s="15" t="str">
        <f aca="true">IF(OR(A122="",B122="",OR(NOT(ISNUMBER(C122)),N(C122)&lt;=0)),"",IF(F122="",TODAY(),F122+C122))</f>
        <v/>
      </c>
      <c r="H122" s="16" t="str">
        <f aca="true">IF(G122="","",G122-TODAY())</f>
        <v/>
      </c>
      <c r="I122" s="17" t="str">
        <f aca="false">IF(AND(A122="",B122=""),"",IF(OR(A122="",B122=""),"Fill in asset and task",IF(OR(NOT(ISNUMBER(C122)),N(C122)&lt;=0),"Check frequency",IF(SUMPRODUCT(($A$5:$A$304=A122)*($B$5:$B$304=B122))&gt;1,"Duplicate row",IF(H122&lt;0,"OVERDUE",IF(H122&lt;=$I$2,"Due soon","OK"))))))</f>
        <v/>
      </c>
      <c r="J122" s="9"/>
    </row>
    <row r="123" customFormat="false" ht="15" hidden="false" customHeight="false" outlineLevel="0" collapsed="false">
      <c r="A123" s="9"/>
      <c r="B123" s="9"/>
      <c r="C123" s="9"/>
      <c r="D123" s="9"/>
      <c r="E123" s="14"/>
      <c r="F123" s="15" t="str">
        <f aca="false">IF(OR(A123="",B123=""),"",IF(MAX(N(E123),SUMPRODUCT(MAX(('Completion Log'!$B$5:$B$2004=A123)*('Completion Log'!$C$5:$C$2004=B123)*'Completion Log'!$A$5:$A$2004)))=0,"",MAX(N(E123),SUMPRODUCT(MAX(('Completion Log'!$B$5:$B$2004=A123)*('Completion Log'!$C$5:$C$2004=B123)*'Completion Log'!$A$5:$A$2004)))))</f>
        <v/>
      </c>
      <c r="G123" s="15" t="str">
        <f aca="true">IF(OR(A123="",B123="",OR(NOT(ISNUMBER(C123)),N(C123)&lt;=0)),"",IF(F123="",TODAY(),F123+C123))</f>
        <v/>
      </c>
      <c r="H123" s="16" t="str">
        <f aca="true">IF(G123="","",G123-TODAY())</f>
        <v/>
      </c>
      <c r="I123" s="17" t="str">
        <f aca="false">IF(AND(A123="",B123=""),"",IF(OR(A123="",B123=""),"Fill in asset and task",IF(OR(NOT(ISNUMBER(C123)),N(C123)&lt;=0),"Check frequency",IF(SUMPRODUCT(($A$5:$A$304=A123)*($B$5:$B$304=B123))&gt;1,"Duplicate row",IF(H123&lt;0,"OVERDUE",IF(H123&lt;=$I$2,"Due soon","OK"))))))</f>
        <v/>
      </c>
      <c r="J123" s="9"/>
    </row>
    <row r="124" customFormat="false" ht="15" hidden="false" customHeight="false" outlineLevel="0" collapsed="false">
      <c r="A124" s="9"/>
      <c r="B124" s="9"/>
      <c r="C124" s="9"/>
      <c r="D124" s="9"/>
      <c r="E124" s="14"/>
      <c r="F124" s="15" t="str">
        <f aca="false">IF(OR(A124="",B124=""),"",IF(MAX(N(E124),SUMPRODUCT(MAX(('Completion Log'!$B$5:$B$2004=A124)*('Completion Log'!$C$5:$C$2004=B124)*'Completion Log'!$A$5:$A$2004)))=0,"",MAX(N(E124),SUMPRODUCT(MAX(('Completion Log'!$B$5:$B$2004=A124)*('Completion Log'!$C$5:$C$2004=B124)*'Completion Log'!$A$5:$A$2004)))))</f>
        <v/>
      </c>
      <c r="G124" s="15" t="str">
        <f aca="true">IF(OR(A124="",B124="",OR(NOT(ISNUMBER(C124)),N(C124)&lt;=0)),"",IF(F124="",TODAY(),F124+C124))</f>
        <v/>
      </c>
      <c r="H124" s="16" t="str">
        <f aca="true">IF(G124="","",G124-TODAY())</f>
        <v/>
      </c>
      <c r="I124" s="17" t="str">
        <f aca="false">IF(AND(A124="",B124=""),"",IF(OR(A124="",B124=""),"Fill in asset and task",IF(OR(NOT(ISNUMBER(C124)),N(C124)&lt;=0),"Check frequency",IF(SUMPRODUCT(($A$5:$A$304=A124)*($B$5:$B$304=B124))&gt;1,"Duplicate row",IF(H124&lt;0,"OVERDUE",IF(H124&lt;=$I$2,"Due soon","OK"))))))</f>
        <v/>
      </c>
      <c r="J124" s="9"/>
    </row>
    <row r="125" customFormat="false" ht="15" hidden="false" customHeight="false" outlineLevel="0" collapsed="false">
      <c r="A125" s="9"/>
      <c r="B125" s="9"/>
      <c r="C125" s="9"/>
      <c r="D125" s="9"/>
      <c r="E125" s="14"/>
      <c r="F125" s="15" t="str">
        <f aca="false">IF(OR(A125="",B125=""),"",IF(MAX(N(E125),SUMPRODUCT(MAX(('Completion Log'!$B$5:$B$2004=A125)*('Completion Log'!$C$5:$C$2004=B125)*'Completion Log'!$A$5:$A$2004)))=0,"",MAX(N(E125),SUMPRODUCT(MAX(('Completion Log'!$B$5:$B$2004=A125)*('Completion Log'!$C$5:$C$2004=B125)*'Completion Log'!$A$5:$A$2004)))))</f>
        <v/>
      </c>
      <c r="G125" s="15" t="str">
        <f aca="true">IF(OR(A125="",B125="",OR(NOT(ISNUMBER(C125)),N(C125)&lt;=0)),"",IF(F125="",TODAY(),F125+C125))</f>
        <v/>
      </c>
      <c r="H125" s="16" t="str">
        <f aca="true">IF(G125="","",G125-TODAY())</f>
        <v/>
      </c>
      <c r="I125" s="17" t="str">
        <f aca="false">IF(AND(A125="",B125=""),"",IF(OR(A125="",B125=""),"Fill in asset and task",IF(OR(NOT(ISNUMBER(C125)),N(C125)&lt;=0),"Check frequency",IF(SUMPRODUCT(($A$5:$A$304=A125)*($B$5:$B$304=B125))&gt;1,"Duplicate row",IF(H125&lt;0,"OVERDUE",IF(H125&lt;=$I$2,"Due soon","OK"))))))</f>
        <v/>
      </c>
      <c r="J125" s="9"/>
    </row>
    <row r="126" customFormat="false" ht="15" hidden="false" customHeight="false" outlineLevel="0" collapsed="false">
      <c r="A126" s="9"/>
      <c r="B126" s="9"/>
      <c r="C126" s="9"/>
      <c r="D126" s="9"/>
      <c r="E126" s="14"/>
      <c r="F126" s="15" t="str">
        <f aca="false">IF(OR(A126="",B126=""),"",IF(MAX(N(E126),SUMPRODUCT(MAX(('Completion Log'!$B$5:$B$2004=A126)*('Completion Log'!$C$5:$C$2004=B126)*'Completion Log'!$A$5:$A$2004)))=0,"",MAX(N(E126),SUMPRODUCT(MAX(('Completion Log'!$B$5:$B$2004=A126)*('Completion Log'!$C$5:$C$2004=B126)*'Completion Log'!$A$5:$A$2004)))))</f>
        <v/>
      </c>
      <c r="G126" s="15" t="str">
        <f aca="true">IF(OR(A126="",B126="",OR(NOT(ISNUMBER(C126)),N(C126)&lt;=0)),"",IF(F126="",TODAY(),F126+C126))</f>
        <v/>
      </c>
      <c r="H126" s="16" t="str">
        <f aca="true">IF(G126="","",G126-TODAY())</f>
        <v/>
      </c>
      <c r="I126" s="17" t="str">
        <f aca="false">IF(AND(A126="",B126=""),"",IF(OR(A126="",B126=""),"Fill in asset and task",IF(OR(NOT(ISNUMBER(C126)),N(C126)&lt;=0),"Check frequency",IF(SUMPRODUCT(($A$5:$A$304=A126)*($B$5:$B$304=B126))&gt;1,"Duplicate row",IF(H126&lt;0,"OVERDUE",IF(H126&lt;=$I$2,"Due soon","OK"))))))</f>
        <v/>
      </c>
      <c r="J126" s="9"/>
    </row>
    <row r="127" customFormat="false" ht="15" hidden="false" customHeight="false" outlineLevel="0" collapsed="false">
      <c r="A127" s="9"/>
      <c r="B127" s="9"/>
      <c r="C127" s="9"/>
      <c r="D127" s="9"/>
      <c r="E127" s="14"/>
      <c r="F127" s="15" t="str">
        <f aca="false">IF(OR(A127="",B127=""),"",IF(MAX(N(E127),SUMPRODUCT(MAX(('Completion Log'!$B$5:$B$2004=A127)*('Completion Log'!$C$5:$C$2004=B127)*'Completion Log'!$A$5:$A$2004)))=0,"",MAX(N(E127),SUMPRODUCT(MAX(('Completion Log'!$B$5:$B$2004=A127)*('Completion Log'!$C$5:$C$2004=B127)*'Completion Log'!$A$5:$A$2004)))))</f>
        <v/>
      </c>
      <c r="G127" s="15" t="str">
        <f aca="true">IF(OR(A127="",B127="",OR(NOT(ISNUMBER(C127)),N(C127)&lt;=0)),"",IF(F127="",TODAY(),F127+C127))</f>
        <v/>
      </c>
      <c r="H127" s="16" t="str">
        <f aca="true">IF(G127="","",G127-TODAY())</f>
        <v/>
      </c>
      <c r="I127" s="17" t="str">
        <f aca="false">IF(AND(A127="",B127=""),"",IF(OR(A127="",B127=""),"Fill in asset and task",IF(OR(NOT(ISNUMBER(C127)),N(C127)&lt;=0),"Check frequency",IF(SUMPRODUCT(($A$5:$A$304=A127)*($B$5:$B$304=B127))&gt;1,"Duplicate row",IF(H127&lt;0,"OVERDUE",IF(H127&lt;=$I$2,"Due soon","OK"))))))</f>
        <v/>
      </c>
      <c r="J127" s="9"/>
    </row>
    <row r="128" customFormat="false" ht="15" hidden="false" customHeight="false" outlineLevel="0" collapsed="false">
      <c r="A128" s="9"/>
      <c r="B128" s="9"/>
      <c r="C128" s="9"/>
      <c r="D128" s="9"/>
      <c r="E128" s="14"/>
      <c r="F128" s="15" t="str">
        <f aca="false">IF(OR(A128="",B128=""),"",IF(MAX(N(E128),SUMPRODUCT(MAX(('Completion Log'!$B$5:$B$2004=A128)*('Completion Log'!$C$5:$C$2004=B128)*'Completion Log'!$A$5:$A$2004)))=0,"",MAX(N(E128),SUMPRODUCT(MAX(('Completion Log'!$B$5:$B$2004=A128)*('Completion Log'!$C$5:$C$2004=B128)*'Completion Log'!$A$5:$A$2004)))))</f>
        <v/>
      </c>
      <c r="G128" s="15" t="str">
        <f aca="true">IF(OR(A128="",B128="",OR(NOT(ISNUMBER(C128)),N(C128)&lt;=0)),"",IF(F128="",TODAY(),F128+C128))</f>
        <v/>
      </c>
      <c r="H128" s="16" t="str">
        <f aca="true">IF(G128="","",G128-TODAY())</f>
        <v/>
      </c>
      <c r="I128" s="17" t="str">
        <f aca="false">IF(AND(A128="",B128=""),"",IF(OR(A128="",B128=""),"Fill in asset and task",IF(OR(NOT(ISNUMBER(C128)),N(C128)&lt;=0),"Check frequency",IF(SUMPRODUCT(($A$5:$A$304=A128)*($B$5:$B$304=B128))&gt;1,"Duplicate row",IF(H128&lt;0,"OVERDUE",IF(H128&lt;=$I$2,"Due soon","OK"))))))</f>
        <v/>
      </c>
      <c r="J128" s="9"/>
    </row>
    <row r="129" customFormat="false" ht="15" hidden="false" customHeight="false" outlineLevel="0" collapsed="false">
      <c r="A129" s="9"/>
      <c r="B129" s="9"/>
      <c r="C129" s="9"/>
      <c r="D129" s="9"/>
      <c r="E129" s="14"/>
      <c r="F129" s="15" t="str">
        <f aca="false">IF(OR(A129="",B129=""),"",IF(MAX(N(E129),SUMPRODUCT(MAX(('Completion Log'!$B$5:$B$2004=A129)*('Completion Log'!$C$5:$C$2004=B129)*'Completion Log'!$A$5:$A$2004)))=0,"",MAX(N(E129),SUMPRODUCT(MAX(('Completion Log'!$B$5:$B$2004=A129)*('Completion Log'!$C$5:$C$2004=B129)*'Completion Log'!$A$5:$A$2004)))))</f>
        <v/>
      </c>
      <c r="G129" s="15" t="str">
        <f aca="true">IF(OR(A129="",B129="",OR(NOT(ISNUMBER(C129)),N(C129)&lt;=0)),"",IF(F129="",TODAY(),F129+C129))</f>
        <v/>
      </c>
      <c r="H129" s="16" t="str">
        <f aca="true">IF(G129="","",G129-TODAY())</f>
        <v/>
      </c>
      <c r="I129" s="17" t="str">
        <f aca="false">IF(AND(A129="",B129=""),"",IF(OR(A129="",B129=""),"Fill in asset and task",IF(OR(NOT(ISNUMBER(C129)),N(C129)&lt;=0),"Check frequency",IF(SUMPRODUCT(($A$5:$A$304=A129)*($B$5:$B$304=B129))&gt;1,"Duplicate row",IF(H129&lt;0,"OVERDUE",IF(H129&lt;=$I$2,"Due soon","OK"))))))</f>
        <v/>
      </c>
      <c r="J129" s="9"/>
    </row>
    <row r="130" customFormat="false" ht="15" hidden="false" customHeight="false" outlineLevel="0" collapsed="false">
      <c r="A130" s="9"/>
      <c r="B130" s="9"/>
      <c r="C130" s="9"/>
      <c r="D130" s="9"/>
      <c r="E130" s="14"/>
      <c r="F130" s="15" t="str">
        <f aca="false">IF(OR(A130="",B130=""),"",IF(MAX(N(E130),SUMPRODUCT(MAX(('Completion Log'!$B$5:$B$2004=A130)*('Completion Log'!$C$5:$C$2004=B130)*'Completion Log'!$A$5:$A$2004)))=0,"",MAX(N(E130),SUMPRODUCT(MAX(('Completion Log'!$B$5:$B$2004=A130)*('Completion Log'!$C$5:$C$2004=B130)*'Completion Log'!$A$5:$A$2004)))))</f>
        <v/>
      </c>
      <c r="G130" s="15" t="str">
        <f aca="true">IF(OR(A130="",B130="",OR(NOT(ISNUMBER(C130)),N(C130)&lt;=0)),"",IF(F130="",TODAY(),F130+C130))</f>
        <v/>
      </c>
      <c r="H130" s="16" t="str">
        <f aca="true">IF(G130="","",G130-TODAY())</f>
        <v/>
      </c>
      <c r="I130" s="17" t="str">
        <f aca="false">IF(AND(A130="",B130=""),"",IF(OR(A130="",B130=""),"Fill in asset and task",IF(OR(NOT(ISNUMBER(C130)),N(C130)&lt;=0),"Check frequency",IF(SUMPRODUCT(($A$5:$A$304=A130)*($B$5:$B$304=B130))&gt;1,"Duplicate row",IF(H130&lt;0,"OVERDUE",IF(H130&lt;=$I$2,"Due soon","OK"))))))</f>
        <v/>
      </c>
      <c r="J130" s="9"/>
    </row>
    <row r="131" customFormat="false" ht="15" hidden="false" customHeight="false" outlineLevel="0" collapsed="false">
      <c r="A131" s="9"/>
      <c r="B131" s="9"/>
      <c r="C131" s="9"/>
      <c r="D131" s="9"/>
      <c r="E131" s="14"/>
      <c r="F131" s="15" t="str">
        <f aca="false">IF(OR(A131="",B131=""),"",IF(MAX(N(E131),SUMPRODUCT(MAX(('Completion Log'!$B$5:$B$2004=A131)*('Completion Log'!$C$5:$C$2004=B131)*'Completion Log'!$A$5:$A$2004)))=0,"",MAX(N(E131),SUMPRODUCT(MAX(('Completion Log'!$B$5:$B$2004=A131)*('Completion Log'!$C$5:$C$2004=B131)*'Completion Log'!$A$5:$A$2004)))))</f>
        <v/>
      </c>
      <c r="G131" s="15" t="str">
        <f aca="true">IF(OR(A131="",B131="",OR(NOT(ISNUMBER(C131)),N(C131)&lt;=0)),"",IF(F131="",TODAY(),F131+C131))</f>
        <v/>
      </c>
      <c r="H131" s="16" t="str">
        <f aca="true">IF(G131="","",G131-TODAY())</f>
        <v/>
      </c>
      <c r="I131" s="17" t="str">
        <f aca="false">IF(AND(A131="",B131=""),"",IF(OR(A131="",B131=""),"Fill in asset and task",IF(OR(NOT(ISNUMBER(C131)),N(C131)&lt;=0),"Check frequency",IF(SUMPRODUCT(($A$5:$A$304=A131)*($B$5:$B$304=B131))&gt;1,"Duplicate row",IF(H131&lt;0,"OVERDUE",IF(H131&lt;=$I$2,"Due soon","OK"))))))</f>
        <v/>
      </c>
      <c r="J131" s="9"/>
    </row>
    <row r="132" customFormat="false" ht="15" hidden="false" customHeight="false" outlineLevel="0" collapsed="false">
      <c r="A132" s="9"/>
      <c r="B132" s="9"/>
      <c r="C132" s="9"/>
      <c r="D132" s="9"/>
      <c r="E132" s="14"/>
      <c r="F132" s="15" t="str">
        <f aca="false">IF(OR(A132="",B132=""),"",IF(MAX(N(E132),SUMPRODUCT(MAX(('Completion Log'!$B$5:$B$2004=A132)*('Completion Log'!$C$5:$C$2004=B132)*'Completion Log'!$A$5:$A$2004)))=0,"",MAX(N(E132),SUMPRODUCT(MAX(('Completion Log'!$B$5:$B$2004=A132)*('Completion Log'!$C$5:$C$2004=B132)*'Completion Log'!$A$5:$A$2004)))))</f>
        <v/>
      </c>
      <c r="G132" s="15" t="str">
        <f aca="true">IF(OR(A132="",B132="",OR(NOT(ISNUMBER(C132)),N(C132)&lt;=0)),"",IF(F132="",TODAY(),F132+C132))</f>
        <v/>
      </c>
      <c r="H132" s="16" t="str">
        <f aca="true">IF(G132="","",G132-TODAY())</f>
        <v/>
      </c>
      <c r="I132" s="17" t="str">
        <f aca="false">IF(AND(A132="",B132=""),"",IF(OR(A132="",B132=""),"Fill in asset and task",IF(OR(NOT(ISNUMBER(C132)),N(C132)&lt;=0),"Check frequency",IF(SUMPRODUCT(($A$5:$A$304=A132)*($B$5:$B$304=B132))&gt;1,"Duplicate row",IF(H132&lt;0,"OVERDUE",IF(H132&lt;=$I$2,"Due soon","OK"))))))</f>
        <v/>
      </c>
      <c r="J132" s="9"/>
    </row>
    <row r="133" customFormat="false" ht="15" hidden="false" customHeight="false" outlineLevel="0" collapsed="false">
      <c r="A133" s="9"/>
      <c r="B133" s="9"/>
      <c r="C133" s="9"/>
      <c r="D133" s="9"/>
      <c r="E133" s="14"/>
      <c r="F133" s="15" t="str">
        <f aca="false">IF(OR(A133="",B133=""),"",IF(MAX(N(E133),SUMPRODUCT(MAX(('Completion Log'!$B$5:$B$2004=A133)*('Completion Log'!$C$5:$C$2004=B133)*'Completion Log'!$A$5:$A$2004)))=0,"",MAX(N(E133),SUMPRODUCT(MAX(('Completion Log'!$B$5:$B$2004=A133)*('Completion Log'!$C$5:$C$2004=B133)*'Completion Log'!$A$5:$A$2004)))))</f>
        <v/>
      </c>
      <c r="G133" s="15" t="str">
        <f aca="true">IF(OR(A133="",B133="",OR(NOT(ISNUMBER(C133)),N(C133)&lt;=0)),"",IF(F133="",TODAY(),F133+C133))</f>
        <v/>
      </c>
      <c r="H133" s="16" t="str">
        <f aca="true">IF(G133="","",G133-TODAY())</f>
        <v/>
      </c>
      <c r="I133" s="17" t="str">
        <f aca="false">IF(AND(A133="",B133=""),"",IF(OR(A133="",B133=""),"Fill in asset and task",IF(OR(NOT(ISNUMBER(C133)),N(C133)&lt;=0),"Check frequency",IF(SUMPRODUCT(($A$5:$A$304=A133)*($B$5:$B$304=B133))&gt;1,"Duplicate row",IF(H133&lt;0,"OVERDUE",IF(H133&lt;=$I$2,"Due soon","OK"))))))</f>
        <v/>
      </c>
      <c r="J133" s="9"/>
    </row>
    <row r="134" customFormat="false" ht="15" hidden="false" customHeight="false" outlineLevel="0" collapsed="false">
      <c r="A134" s="9"/>
      <c r="B134" s="9"/>
      <c r="C134" s="9"/>
      <c r="D134" s="9"/>
      <c r="E134" s="14"/>
      <c r="F134" s="15" t="str">
        <f aca="false">IF(OR(A134="",B134=""),"",IF(MAX(N(E134),SUMPRODUCT(MAX(('Completion Log'!$B$5:$B$2004=A134)*('Completion Log'!$C$5:$C$2004=B134)*'Completion Log'!$A$5:$A$2004)))=0,"",MAX(N(E134),SUMPRODUCT(MAX(('Completion Log'!$B$5:$B$2004=A134)*('Completion Log'!$C$5:$C$2004=B134)*'Completion Log'!$A$5:$A$2004)))))</f>
        <v/>
      </c>
      <c r="G134" s="15" t="str">
        <f aca="true">IF(OR(A134="",B134="",OR(NOT(ISNUMBER(C134)),N(C134)&lt;=0)),"",IF(F134="",TODAY(),F134+C134))</f>
        <v/>
      </c>
      <c r="H134" s="16" t="str">
        <f aca="true">IF(G134="","",G134-TODAY())</f>
        <v/>
      </c>
      <c r="I134" s="17" t="str">
        <f aca="false">IF(AND(A134="",B134=""),"",IF(OR(A134="",B134=""),"Fill in asset and task",IF(OR(NOT(ISNUMBER(C134)),N(C134)&lt;=0),"Check frequency",IF(SUMPRODUCT(($A$5:$A$304=A134)*($B$5:$B$304=B134))&gt;1,"Duplicate row",IF(H134&lt;0,"OVERDUE",IF(H134&lt;=$I$2,"Due soon","OK"))))))</f>
        <v/>
      </c>
      <c r="J134" s="9"/>
    </row>
    <row r="135" customFormat="false" ht="15" hidden="false" customHeight="false" outlineLevel="0" collapsed="false">
      <c r="A135" s="9"/>
      <c r="B135" s="9"/>
      <c r="C135" s="9"/>
      <c r="D135" s="9"/>
      <c r="E135" s="14"/>
      <c r="F135" s="15" t="str">
        <f aca="false">IF(OR(A135="",B135=""),"",IF(MAX(N(E135),SUMPRODUCT(MAX(('Completion Log'!$B$5:$B$2004=A135)*('Completion Log'!$C$5:$C$2004=B135)*'Completion Log'!$A$5:$A$2004)))=0,"",MAX(N(E135),SUMPRODUCT(MAX(('Completion Log'!$B$5:$B$2004=A135)*('Completion Log'!$C$5:$C$2004=B135)*'Completion Log'!$A$5:$A$2004)))))</f>
        <v/>
      </c>
      <c r="G135" s="15" t="str">
        <f aca="true">IF(OR(A135="",B135="",OR(NOT(ISNUMBER(C135)),N(C135)&lt;=0)),"",IF(F135="",TODAY(),F135+C135))</f>
        <v/>
      </c>
      <c r="H135" s="16" t="str">
        <f aca="true">IF(G135="","",G135-TODAY())</f>
        <v/>
      </c>
      <c r="I135" s="17" t="str">
        <f aca="false">IF(AND(A135="",B135=""),"",IF(OR(A135="",B135=""),"Fill in asset and task",IF(OR(NOT(ISNUMBER(C135)),N(C135)&lt;=0),"Check frequency",IF(SUMPRODUCT(($A$5:$A$304=A135)*($B$5:$B$304=B135))&gt;1,"Duplicate row",IF(H135&lt;0,"OVERDUE",IF(H135&lt;=$I$2,"Due soon","OK"))))))</f>
        <v/>
      </c>
      <c r="J135" s="9"/>
    </row>
    <row r="136" customFormat="false" ht="15" hidden="false" customHeight="false" outlineLevel="0" collapsed="false">
      <c r="A136" s="9"/>
      <c r="B136" s="9"/>
      <c r="C136" s="9"/>
      <c r="D136" s="9"/>
      <c r="E136" s="14"/>
      <c r="F136" s="15" t="str">
        <f aca="false">IF(OR(A136="",B136=""),"",IF(MAX(N(E136),SUMPRODUCT(MAX(('Completion Log'!$B$5:$B$2004=A136)*('Completion Log'!$C$5:$C$2004=B136)*'Completion Log'!$A$5:$A$2004)))=0,"",MAX(N(E136),SUMPRODUCT(MAX(('Completion Log'!$B$5:$B$2004=A136)*('Completion Log'!$C$5:$C$2004=B136)*'Completion Log'!$A$5:$A$2004)))))</f>
        <v/>
      </c>
      <c r="G136" s="15" t="str">
        <f aca="true">IF(OR(A136="",B136="",OR(NOT(ISNUMBER(C136)),N(C136)&lt;=0)),"",IF(F136="",TODAY(),F136+C136))</f>
        <v/>
      </c>
      <c r="H136" s="16" t="str">
        <f aca="true">IF(G136="","",G136-TODAY())</f>
        <v/>
      </c>
      <c r="I136" s="17" t="str">
        <f aca="false">IF(AND(A136="",B136=""),"",IF(OR(A136="",B136=""),"Fill in asset and task",IF(OR(NOT(ISNUMBER(C136)),N(C136)&lt;=0),"Check frequency",IF(SUMPRODUCT(($A$5:$A$304=A136)*($B$5:$B$304=B136))&gt;1,"Duplicate row",IF(H136&lt;0,"OVERDUE",IF(H136&lt;=$I$2,"Due soon","OK"))))))</f>
        <v/>
      </c>
      <c r="J136" s="9"/>
    </row>
    <row r="137" customFormat="false" ht="15" hidden="false" customHeight="false" outlineLevel="0" collapsed="false">
      <c r="A137" s="9"/>
      <c r="B137" s="9"/>
      <c r="C137" s="9"/>
      <c r="D137" s="9"/>
      <c r="E137" s="14"/>
      <c r="F137" s="15" t="str">
        <f aca="false">IF(OR(A137="",B137=""),"",IF(MAX(N(E137),SUMPRODUCT(MAX(('Completion Log'!$B$5:$B$2004=A137)*('Completion Log'!$C$5:$C$2004=B137)*'Completion Log'!$A$5:$A$2004)))=0,"",MAX(N(E137),SUMPRODUCT(MAX(('Completion Log'!$B$5:$B$2004=A137)*('Completion Log'!$C$5:$C$2004=B137)*'Completion Log'!$A$5:$A$2004)))))</f>
        <v/>
      </c>
      <c r="G137" s="15" t="str">
        <f aca="true">IF(OR(A137="",B137="",OR(NOT(ISNUMBER(C137)),N(C137)&lt;=0)),"",IF(F137="",TODAY(),F137+C137))</f>
        <v/>
      </c>
      <c r="H137" s="16" t="str">
        <f aca="true">IF(G137="","",G137-TODAY())</f>
        <v/>
      </c>
      <c r="I137" s="17" t="str">
        <f aca="false">IF(AND(A137="",B137=""),"",IF(OR(A137="",B137=""),"Fill in asset and task",IF(OR(NOT(ISNUMBER(C137)),N(C137)&lt;=0),"Check frequency",IF(SUMPRODUCT(($A$5:$A$304=A137)*($B$5:$B$304=B137))&gt;1,"Duplicate row",IF(H137&lt;0,"OVERDUE",IF(H137&lt;=$I$2,"Due soon","OK"))))))</f>
        <v/>
      </c>
      <c r="J137" s="9"/>
    </row>
    <row r="138" customFormat="false" ht="15" hidden="false" customHeight="false" outlineLevel="0" collapsed="false">
      <c r="A138" s="9"/>
      <c r="B138" s="9"/>
      <c r="C138" s="9"/>
      <c r="D138" s="9"/>
      <c r="E138" s="14"/>
      <c r="F138" s="15" t="str">
        <f aca="false">IF(OR(A138="",B138=""),"",IF(MAX(N(E138),SUMPRODUCT(MAX(('Completion Log'!$B$5:$B$2004=A138)*('Completion Log'!$C$5:$C$2004=B138)*'Completion Log'!$A$5:$A$2004)))=0,"",MAX(N(E138),SUMPRODUCT(MAX(('Completion Log'!$B$5:$B$2004=A138)*('Completion Log'!$C$5:$C$2004=B138)*'Completion Log'!$A$5:$A$2004)))))</f>
        <v/>
      </c>
      <c r="G138" s="15" t="str">
        <f aca="true">IF(OR(A138="",B138="",OR(NOT(ISNUMBER(C138)),N(C138)&lt;=0)),"",IF(F138="",TODAY(),F138+C138))</f>
        <v/>
      </c>
      <c r="H138" s="16" t="str">
        <f aca="true">IF(G138="","",G138-TODAY())</f>
        <v/>
      </c>
      <c r="I138" s="17" t="str">
        <f aca="false">IF(AND(A138="",B138=""),"",IF(OR(A138="",B138=""),"Fill in asset and task",IF(OR(NOT(ISNUMBER(C138)),N(C138)&lt;=0),"Check frequency",IF(SUMPRODUCT(($A$5:$A$304=A138)*($B$5:$B$304=B138))&gt;1,"Duplicate row",IF(H138&lt;0,"OVERDUE",IF(H138&lt;=$I$2,"Due soon","OK"))))))</f>
        <v/>
      </c>
      <c r="J138" s="9"/>
    </row>
    <row r="139" customFormat="false" ht="15" hidden="false" customHeight="false" outlineLevel="0" collapsed="false">
      <c r="A139" s="9"/>
      <c r="B139" s="9"/>
      <c r="C139" s="9"/>
      <c r="D139" s="9"/>
      <c r="E139" s="14"/>
      <c r="F139" s="15" t="str">
        <f aca="false">IF(OR(A139="",B139=""),"",IF(MAX(N(E139),SUMPRODUCT(MAX(('Completion Log'!$B$5:$B$2004=A139)*('Completion Log'!$C$5:$C$2004=B139)*'Completion Log'!$A$5:$A$2004)))=0,"",MAX(N(E139),SUMPRODUCT(MAX(('Completion Log'!$B$5:$B$2004=A139)*('Completion Log'!$C$5:$C$2004=B139)*'Completion Log'!$A$5:$A$2004)))))</f>
        <v/>
      </c>
      <c r="G139" s="15" t="str">
        <f aca="true">IF(OR(A139="",B139="",OR(NOT(ISNUMBER(C139)),N(C139)&lt;=0)),"",IF(F139="",TODAY(),F139+C139))</f>
        <v/>
      </c>
      <c r="H139" s="16" t="str">
        <f aca="true">IF(G139="","",G139-TODAY())</f>
        <v/>
      </c>
      <c r="I139" s="17" t="str">
        <f aca="false">IF(AND(A139="",B139=""),"",IF(OR(A139="",B139=""),"Fill in asset and task",IF(OR(NOT(ISNUMBER(C139)),N(C139)&lt;=0),"Check frequency",IF(SUMPRODUCT(($A$5:$A$304=A139)*($B$5:$B$304=B139))&gt;1,"Duplicate row",IF(H139&lt;0,"OVERDUE",IF(H139&lt;=$I$2,"Due soon","OK"))))))</f>
        <v/>
      </c>
      <c r="J139" s="9"/>
    </row>
    <row r="140" customFormat="false" ht="15" hidden="false" customHeight="false" outlineLevel="0" collapsed="false">
      <c r="A140" s="9"/>
      <c r="B140" s="9"/>
      <c r="C140" s="9"/>
      <c r="D140" s="9"/>
      <c r="E140" s="14"/>
      <c r="F140" s="15" t="str">
        <f aca="false">IF(OR(A140="",B140=""),"",IF(MAX(N(E140),SUMPRODUCT(MAX(('Completion Log'!$B$5:$B$2004=A140)*('Completion Log'!$C$5:$C$2004=B140)*'Completion Log'!$A$5:$A$2004)))=0,"",MAX(N(E140),SUMPRODUCT(MAX(('Completion Log'!$B$5:$B$2004=A140)*('Completion Log'!$C$5:$C$2004=B140)*'Completion Log'!$A$5:$A$2004)))))</f>
        <v/>
      </c>
      <c r="G140" s="15" t="str">
        <f aca="true">IF(OR(A140="",B140="",OR(NOT(ISNUMBER(C140)),N(C140)&lt;=0)),"",IF(F140="",TODAY(),F140+C140))</f>
        <v/>
      </c>
      <c r="H140" s="16" t="str">
        <f aca="true">IF(G140="","",G140-TODAY())</f>
        <v/>
      </c>
      <c r="I140" s="17" t="str">
        <f aca="false">IF(AND(A140="",B140=""),"",IF(OR(A140="",B140=""),"Fill in asset and task",IF(OR(NOT(ISNUMBER(C140)),N(C140)&lt;=0),"Check frequency",IF(SUMPRODUCT(($A$5:$A$304=A140)*($B$5:$B$304=B140))&gt;1,"Duplicate row",IF(H140&lt;0,"OVERDUE",IF(H140&lt;=$I$2,"Due soon","OK"))))))</f>
        <v/>
      </c>
      <c r="J140" s="9"/>
    </row>
    <row r="141" customFormat="false" ht="15" hidden="false" customHeight="false" outlineLevel="0" collapsed="false">
      <c r="A141" s="9"/>
      <c r="B141" s="9"/>
      <c r="C141" s="9"/>
      <c r="D141" s="9"/>
      <c r="E141" s="14"/>
      <c r="F141" s="15" t="str">
        <f aca="false">IF(OR(A141="",B141=""),"",IF(MAX(N(E141),SUMPRODUCT(MAX(('Completion Log'!$B$5:$B$2004=A141)*('Completion Log'!$C$5:$C$2004=B141)*'Completion Log'!$A$5:$A$2004)))=0,"",MAX(N(E141),SUMPRODUCT(MAX(('Completion Log'!$B$5:$B$2004=A141)*('Completion Log'!$C$5:$C$2004=B141)*'Completion Log'!$A$5:$A$2004)))))</f>
        <v/>
      </c>
      <c r="G141" s="15" t="str">
        <f aca="true">IF(OR(A141="",B141="",OR(NOT(ISNUMBER(C141)),N(C141)&lt;=0)),"",IF(F141="",TODAY(),F141+C141))</f>
        <v/>
      </c>
      <c r="H141" s="16" t="str">
        <f aca="true">IF(G141="","",G141-TODAY())</f>
        <v/>
      </c>
      <c r="I141" s="17" t="str">
        <f aca="false">IF(AND(A141="",B141=""),"",IF(OR(A141="",B141=""),"Fill in asset and task",IF(OR(NOT(ISNUMBER(C141)),N(C141)&lt;=0),"Check frequency",IF(SUMPRODUCT(($A$5:$A$304=A141)*($B$5:$B$304=B141))&gt;1,"Duplicate row",IF(H141&lt;0,"OVERDUE",IF(H141&lt;=$I$2,"Due soon","OK"))))))</f>
        <v/>
      </c>
      <c r="J141" s="9"/>
    </row>
    <row r="142" customFormat="false" ht="15" hidden="false" customHeight="false" outlineLevel="0" collapsed="false">
      <c r="A142" s="9"/>
      <c r="B142" s="9"/>
      <c r="C142" s="9"/>
      <c r="D142" s="9"/>
      <c r="E142" s="14"/>
      <c r="F142" s="15" t="str">
        <f aca="false">IF(OR(A142="",B142=""),"",IF(MAX(N(E142),SUMPRODUCT(MAX(('Completion Log'!$B$5:$B$2004=A142)*('Completion Log'!$C$5:$C$2004=B142)*'Completion Log'!$A$5:$A$2004)))=0,"",MAX(N(E142),SUMPRODUCT(MAX(('Completion Log'!$B$5:$B$2004=A142)*('Completion Log'!$C$5:$C$2004=B142)*'Completion Log'!$A$5:$A$2004)))))</f>
        <v/>
      </c>
      <c r="G142" s="15" t="str">
        <f aca="true">IF(OR(A142="",B142="",OR(NOT(ISNUMBER(C142)),N(C142)&lt;=0)),"",IF(F142="",TODAY(),F142+C142))</f>
        <v/>
      </c>
      <c r="H142" s="16" t="str">
        <f aca="true">IF(G142="","",G142-TODAY())</f>
        <v/>
      </c>
      <c r="I142" s="17" t="str">
        <f aca="false">IF(AND(A142="",B142=""),"",IF(OR(A142="",B142=""),"Fill in asset and task",IF(OR(NOT(ISNUMBER(C142)),N(C142)&lt;=0),"Check frequency",IF(SUMPRODUCT(($A$5:$A$304=A142)*($B$5:$B$304=B142))&gt;1,"Duplicate row",IF(H142&lt;0,"OVERDUE",IF(H142&lt;=$I$2,"Due soon","OK"))))))</f>
        <v/>
      </c>
      <c r="J142" s="9"/>
    </row>
    <row r="143" customFormat="false" ht="15" hidden="false" customHeight="false" outlineLevel="0" collapsed="false">
      <c r="A143" s="9"/>
      <c r="B143" s="9"/>
      <c r="C143" s="9"/>
      <c r="D143" s="9"/>
      <c r="E143" s="14"/>
      <c r="F143" s="15" t="str">
        <f aca="false">IF(OR(A143="",B143=""),"",IF(MAX(N(E143),SUMPRODUCT(MAX(('Completion Log'!$B$5:$B$2004=A143)*('Completion Log'!$C$5:$C$2004=B143)*'Completion Log'!$A$5:$A$2004)))=0,"",MAX(N(E143),SUMPRODUCT(MAX(('Completion Log'!$B$5:$B$2004=A143)*('Completion Log'!$C$5:$C$2004=B143)*'Completion Log'!$A$5:$A$2004)))))</f>
        <v/>
      </c>
      <c r="G143" s="15" t="str">
        <f aca="true">IF(OR(A143="",B143="",OR(NOT(ISNUMBER(C143)),N(C143)&lt;=0)),"",IF(F143="",TODAY(),F143+C143))</f>
        <v/>
      </c>
      <c r="H143" s="16" t="str">
        <f aca="true">IF(G143="","",G143-TODAY())</f>
        <v/>
      </c>
      <c r="I143" s="17" t="str">
        <f aca="false">IF(AND(A143="",B143=""),"",IF(OR(A143="",B143=""),"Fill in asset and task",IF(OR(NOT(ISNUMBER(C143)),N(C143)&lt;=0),"Check frequency",IF(SUMPRODUCT(($A$5:$A$304=A143)*($B$5:$B$304=B143))&gt;1,"Duplicate row",IF(H143&lt;0,"OVERDUE",IF(H143&lt;=$I$2,"Due soon","OK"))))))</f>
        <v/>
      </c>
      <c r="J143" s="9"/>
    </row>
    <row r="144" customFormat="false" ht="15" hidden="false" customHeight="false" outlineLevel="0" collapsed="false">
      <c r="A144" s="9"/>
      <c r="B144" s="9"/>
      <c r="C144" s="9"/>
      <c r="D144" s="9"/>
      <c r="E144" s="14"/>
      <c r="F144" s="15" t="str">
        <f aca="false">IF(OR(A144="",B144=""),"",IF(MAX(N(E144),SUMPRODUCT(MAX(('Completion Log'!$B$5:$B$2004=A144)*('Completion Log'!$C$5:$C$2004=B144)*'Completion Log'!$A$5:$A$2004)))=0,"",MAX(N(E144),SUMPRODUCT(MAX(('Completion Log'!$B$5:$B$2004=A144)*('Completion Log'!$C$5:$C$2004=B144)*'Completion Log'!$A$5:$A$2004)))))</f>
        <v/>
      </c>
      <c r="G144" s="15" t="str">
        <f aca="true">IF(OR(A144="",B144="",OR(NOT(ISNUMBER(C144)),N(C144)&lt;=0)),"",IF(F144="",TODAY(),F144+C144))</f>
        <v/>
      </c>
      <c r="H144" s="16" t="str">
        <f aca="true">IF(G144="","",G144-TODAY())</f>
        <v/>
      </c>
      <c r="I144" s="17" t="str">
        <f aca="false">IF(AND(A144="",B144=""),"",IF(OR(A144="",B144=""),"Fill in asset and task",IF(OR(NOT(ISNUMBER(C144)),N(C144)&lt;=0),"Check frequency",IF(SUMPRODUCT(($A$5:$A$304=A144)*($B$5:$B$304=B144))&gt;1,"Duplicate row",IF(H144&lt;0,"OVERDUE",IF(H144&lt;=$I$2,"Due soon","OK"))))))</f>
        <v/>
      </c>
      <c r="J144" s="9"/>
    </row>
    <row r="145" customFormat="false" ht="15" hidden="false" customHeight="false" outlineLevel="0" collapsed="false">
      <c r="A145" s="9"/>
      <c r="B145" s="9"/>
      <c r="C145" s="9"/>
      <c r="D145" s="9"/>
      <c r="E145" s="14"/>
      <c r="F145" s="15" t="str">
        <f aca="false">IF(OR(A145="",B145=""),"",IF(MAX(N(E145),SUMPRODUCT(MAX(('Completion Log'!$B$5:$B$2004=A145)*('Completion Log'!$C$5:$C$2004=B145)*'Completion Log'!$A$5:$A$2004)))=0,"",MAX(N(E145),SUMPRODUCT(MAX(('Completion Log'!$B$5:$B$2004=A145)*('Completion Log'!$C$5:$C$2004=B145)*'Completion Log'!$A$5:$A$2004)))))</f>
        <v/>
      </c>
      <c r="G145" s="15" t="str">
        <f aca="true">IF(OR(A145="",B145="",OR(NOT(ISNUMBER(C145)),N(C145)&lt;=0)),"",IF(F145="",TODAY(),F145+C145))</f>
        <v/>
      </c>
      <c r="H145" s="16" t="str">
        <f aca="true">IF(G145="","",G145-TODAY())</f>
        <v/>
      </c>
      <c r="I145" s="17" t="str">
        <f aca="false">IF(AND(A145="",B145=""),"",IF(OR(A145="",B145=""),"Fill in asset and task",IF(OR(NOT(ISNUMBER(C145)),N(C145)&lt;=0),"Check frequency",IF(SUMPRODUCT(($A$5:$A$304=A145)*($B$5:$B$304=B145))&gt;1,"Duplicate row",IF(H145&lt;0,"OVERDUE",IF(H145&lt;=$I$2,"Due soon","OK"))))))</f>
        <v/>
      </c>
      <c r="J145" s="9"/>
    </row>
    <row r="146" customFormat="false" ht="15" hidden="false" customHeight="false" outlineLevel="0" collapsed="false">
      <c r="A146" s="9"/>
      <c r="B146" s="9"/>
      <c r="C146" s="9"/>
      <c r="D146" s="9"/>
      <c r="E146" s="14"/>
      <c r="F146" s="15" t="str">
        <f aca="false">IF(OR(A146="",B146=""),"",IF(MAX(N(E146),SUMPRODUCT(MAX(('Completion Log'!$B$5:$B$2004=A146)*('Completion Log'!$C$5:$C$2004=B146)*'Completion Log'!$A$5:$A$2004)))=0,"",MAX(N(E146),SUMPRODUCT(MAX(('Completion Log'!$B$5:$B$2004=A146)*('Completion Log'!$C$5:$C$2004=B146)*'Completion Log'!$A$5:$A$2004)))))</f>
        <v/>
      </c>
      <c r="G146" s="15" t="str">
        <f aca="true">IF(OR(A146="",B146="",OR(NOT(ISNUMBER(C146)),N(C146)&lt;=0)),"",IF(F146="",TODAY(),F146+C146))</f>
        <v/>
      </c>
      <c r="H146" s="16" t="str">
        <f aca="true">IF(G146="","",G146-TODAY())</f>
        <v/>
      </c>
      <c r="I146" s="17" t="str">
        <f aca="false">IF(AND(A146="",B146=""),"",IF(OR(A146="",B146=""),"Fill in asset and task",IF(OR(NOT(ISNUMBER(C146)),N(C146)&lt;=0),"Check frequency",IF(SUMPRODUCT(($A$5:$A$304=A146)*($B$5:$B$304=B146))&gt;1,"Duplicate row",IF(H146&lt;0,"OVERDUE",IF(H146&lt;=$I$2,"Due soon","OK"))))))</f>
        <v/>
      </c>
      <c r="J146" s="9"/>
    </row>
    <row r="147" customFormat="false" ht="15" hidden="false" customHeight="false" outlineLevel="0" collapsed="false">
      <c r="A147" s="9"/>
      <c r="B147" s="9"/>
      <c r="C147" s="9"/>
      <c r="D147" s="9"/>
      <c r="E147" s="14"/>
      <c r="F147" s="15" t="str">
        <f aca="false">IF(OR(A147="",B147=""),"",IF(MAX(N(E147),SUMPRODUCT(MAX(('Completion Log'!$B$5:$B$2004=A147)*('Completion Log'!$C$5:$C$2004=B147)*'Completion Log'!$A$5:$A$2004)))=0,"",MAX(N(E147),SUMPRODUCT(MAX(('Completion Log'!$B$5:$B$2004=A147)*('Completion Log'!$C$5:$C$2004=B147)*'Completion Log'!$A$5:$A$2004)))))</f>
        <v/>
      </c>
      <c r="G147" s="15" t="str">
        <f aca="true">IF(OR(A147="",B147="",OR(NOT(ISNUMBER(C147)),N(C147)&lt;=0)),"",IF(F147="",TODAY(),F147+C147))</f>
        <v/>
      </c>
      <c r="H147" s="16" t="str">
        <f aca="true">IF(G147="","",G147-TODAY())</f>
        <v/>
      </c>
      <c r="I147" s="17" t="str">
        <f aca="false">IF(AND(A147="",B147=""),"",IF(OR(A147="",B147=""),"Fill in asset and task",IF(OR(NOT(ISNUMBER(C147)),N(C147)&lt;=0),"Check frequency",IF(SUMPRODUCT(($A$5:$A$304=A147)*($B$5:$B$304=B147))&gt;1,"Duplicate row",IF(H147&lt;0,"OVERDUE",IF(H147&lt;=$I$2,"Due soon","OK"))))))</f>
        <v/>
      </c>
      <c r="J147" s="9"/>
    </row>
    <row r="148" customFormat="false" ht="15" hidden="false" customHeight="false" outlineLevel="0" collapsed="false">
      <c r="A148" s="9"/>
      <c r="B148" s="9"/>
      <c r="C148" s="9"/>
      <c r="D148" s="9"/>
      <c r="E148" s="14"/>
      <c r="F148" s="15" t="str">
        <f aca="false">IF(OR(A148="",B148=""),"",IF(MAX(N(E148),SUMPRODUCT(MAX(('Completion Log'!$B$5:$B$2004=A148)*('Completion Log'!$C$5:$C$2004=B148)*'Completion Log'!$A$5:$A$2004)))=0,"",MAX(N(E148),SUMPRODUCT(MAX(('Completion Log'!$B$5:$B$2004=A148)*('Completion Log'!$C$5:$C$2004=B148)*'Completion Log'!$A$5:$A$2004)))))</f>
        <v/>
      </c>
      <c r="G148" s="15" t="str">
        <f aca="true">IF(OR(A148="",B148="",OR(NOT(ISNUMBER(C148)),N(C148)&lt;=0)),"",IF(F148="",TODAY(),F148+C148))</f>
        <v/>
      </c>
      <c r="H148" s="16" t="str">
        <f aca="true">IF(G148="","",G148-TODAY())</f>
        <v/>
      </c>
      <c r="I148" s="17" t="str">
        <f aca="false">IF(AND(A148="",B148=""),"",IF(OR(A148="",B148=""),"Fill in asset and task",IF(OR(NOT(ISNUMBER(C148)),N(C148)&lt;=0),"Check frequency",IF(SUMPRODUCT(($A$5:$A$304=A148)*($B$5:$B$304=B148))&gt;1,"Duplicate row",IF(H148&lt;0,"OVERDUE",IF(H148&lt;=$I$2,"Due soon","OK"))))))</f>
        <v/>
      </c>
      <c r="J148" s="9"/>
    </row>
    <row r="149" customFormat="false" ht="15" hidden="false" customHeight="false" outlineLevel="0" collapsed="false">
      <c r="A149" s="9"/>
      <c r="B149" s="9"/>
      <c r="C149" s="9"/>
      <c r="D149" s="9"/>
      <c r="E149" s="14"/>
      <c r="F149" s="15" t="str">
        <f aca="false">IF(OR(A149="",B149=""),"",IF(MAX(N(E149),SUMPRODUCT(MAX(('Completion Log'!$B$5:$B$2004=A149)*('Completion Log'!$C$5:$C$2004=B149)*'Completion Log'!$A$5:$A$2004)))=0,"",MAX(N(E149),SUMPRODUCT(MAX(('Completion Log'!$B$5:$B$2004=A149)*('Completion Log'!$C$5:$C$2004=B149)*'Completion Log'!$A$5:$A$2004)))))</f>
        <v/>
      </c>
      <c r="G149" s="15" t="str">
        <f aca="true">IF(OR(A149="",B149="",OR(NOT(ISNUMBER(C149)),N(C149)&lt;=0)),"",IF(F149="",TODAY(),F149+C149))</f>
        <v/>
      </c>
      <c r="H149" s="16" t="str">
        <f aca="true">IF(G149="","",G149-TODAY())</f>
        <v/>
      </c>
      <c r="I149" s="17" t="str">
        <f aca="false">IF(AND(A149="",B149=""),"",IF(OR(A149="",B149=""),"Fill in asset and task",IF(OR(NOT(ISNUMBER(C149)),N(C149)&lt;=0),"Check frequency",IF(SUMPRODUCT(($A$5:$A$304=A149)*($B$5:$B$304=B149))&gt;1,"Duplicate row",IF(H149&lt;0,"OVERDUE",IF(H149&lt;=$I$2,"Due soon","OK"))))))</f>
        <v/>
      </c>
      <c r="J149" s="9"/>
    </row>
    <row r="150" customFormat="false" ht="15" hidden="false" customHeight="false" outlineLevel="0" collapsed="false">
      <c r="A150" s="9"/>
      <c r="B150" s="9"/>
      <c r="C150" s="9"/>
      <c r="D150" s="9"/>
      <c r="E150" s="14"/>
      <c r="F150" s="15" t="str">
        <f aca="false">IF(OR(A150="",B150=""),"",IF(MAX(N(E150),SUMPRODUCT(MAX(('Completion Log'!$B$5:$B$2004=A150)*('Completion Log'!$C$5:$C$2004=B150)*'Completion Log'!$A$5:$A$2004)))=0,"",MAX(N(E150),SUMPRODUCT(MAX(('Completion Log'!$B$5:$B$2004=A150)*('Completion Log'!$C$5:$C$2004=B150)*'Completion Log'!$A$5:$A$2004)))))</f>
        <v/>
      </c>
      <c r="G150" s="15" t="str">
        <f aca="true">IF(OR(A150="",B150="",OR(NOT(ISNUMBER(C150)),N(C150)&lt;=0)),"",IF(F150="",TODAY(),F150+C150))</f>
        <v/>
      </c>
      <c r="H150" s="16" t="str">
        <f aca="true">IF(G150="","",G150-TODAY())</f>
        <v/>
      </c>
      <c r="I150" s="17" t="str">
        <f aca="false">IF(AND(A150="",B150=""),"",IF(OR(A150="",B150=""),"Fill in asset and task",IF(OR(NOT(ISNUMBER(C150)),N(C150)&lt;=0),"Check frequency",IF(SUMPRODUCT(($A$5:$A$304=A150)*($B$5:$B$304=B150))&gt;1,"Duplicate row",IF(H150&lt;0,"OVERDUE",IF(H150&lt;=$I$2,"Due soon","OK"))))))</f>
        <v/>
      </c>
      <c r="J150" s="9"/>
    </row>
    <row r="151" customFormat="false" ht="15" hidden="false" customHeight="false" outlineLevel="0" collapsed="false">
      <c r="A151" s="9"/>
      <c r="B151" s="9"/>
      <c r="C151" s="9"/>
      <c r="D151" s="9"/>
      <c r="E151" s="14"/>
      <c r="F151" s="15" t="str">
        <f aca="false">IF(OR(A151="",B151=""),"",IF(MAX(N(E151),SUMPRODUCT(MAX(('Completion Log'!$B$5:$B$2004=A151)*('Completion Log'!$C$5:$C$2004=B151)*'Completion Log'!$A$5:$A$2004)))=0,"",MAX(N(E151),SUMPRODUCT(MAX(('Completion Log'!$B$5:$B$2004=A151)*('Completion Log'!$C$5:$C$2004=B151)*'Completion Log'!$A$5:$A$2004)))))</f>
        <v/>
      </c>
      <c r="G151" s="15" t="str">
        <f aca="true">IF(OR(A151="",B151="",OR(NOT(ISNUMBER(C151)),N(C151)&lt;=0)),"",IF(F151="",TODAY(),F151+C151))</f>
        <v/>
      </c>
      <c r="H151" s="16" t="str">
        <f aca="true">IF(G151="","",G151-TODAY())</f>
        <v/>
      </c>
      <c r="I151" s="17" t="str">
        <f aca="false">IF(AND(A151="",B151=""),"",IF(OR(A151="",B151=""),"Fill in asset and task",IF(OR(NOT(ISNUMBER(C151)),N(C151)&lt;=0),"Check frequency",IF(SUMPRODUCT(($A$5:$A$304=A151)*($B$5:$B$304=B151))&gt;1,"Duplicate row",IF(H151&lt;0,"OVERDUE",IF(H151&lt;=$I$2,"Due soon","OK"))))))</f>
        <v/>
      </c>
      <c r="J151" s="9"/>
    </row>
    <row r="152" customFormat="false" ht="15" hidden="false" customHeight="false" outlineLevel="0" collapsed="false">
      <c r="A152" s="9"/>
      <c r="B152" s="9"/>
      <c r="C152" s="9"/>
      <c r="D152" s="9"/>
      <c r="E152" s="14"/>
      <c r="F152" s="15" t="str">
        <f aca="false">IF(OR(A152="",B152=""),"",IF(MAX(N(E152),SUMPRODUCT(MAX(('Completion Log'!$B$5:$B$2004=A152)*('Completion Log'!$C$5:$C$2004=B152)*'Completion Log'!$A$5:$A$2004)))=0,"",MAX(N(E152),SUMPRODUCT(MAX(('Completion Log'!$B$5:$B$2004=A152)*('Completion Log'!$C$5:$C$2004=B152)*'Completion Log'!$A$5:$A$2004)))))</f>
        <v/>
      </c>
      <c r="G152" s="15" t="str">
        <f aca="true">IF(OR(A152="",B152="",OR(NOT(ISNUMBER(C152)),N(C152)&lt;=0)),"",IF(F152="",TODAY(),F152+C152))</f>
        <v/>
      </c>
      <c r="H152" s="16" t="str">
        <f aca="true">IF(G152="","",G152-TODAY())</f>
        <v/>
      </c>
      <c r="I152" s="17" t="str">
        <f aca="false">IF(AND(A152="",B152=""),"",IF(OR(A152="",B152=""),"Fill in asset and task",IF(OR(NOT(ISNUMBER(C152)),N(C152)&lt;=0),"Check frequency",IF(SUMPRODUCT(($A$5:$A$304=A152)*($B$5:$B$304=B152))&gt;1,"Duplicate row",IF(H152&lt;0,"OVERDUE",IF(H152&lt;=$I$2,"Due soon","OK"))))))</f>
        <v/>
      </c>
      <c r="J152" s="9"/>
    </row>
    <row r="153" customFormat="false" ht="15" hidden="false" customHeight="false" outlineLevel="0" collapsed="false">
      <c r="A153" s="9"/>
      <c r="B153" s="9"/>
      <c r="C153" s="9"/>
      <c r="D153" s="9"/>
      <c r="E153" s="14"/>
      <c r="F153" s="15" t="str">
        <f aca="false">IF(OR(A153="",B153=""),"",IF(MAX(N(E153),SUMPRODUCT(MAX(('Completion Log'!$B$5:$B$2004=A153)*('Completion Log'!$C$5:$C$2004=B153)*'Completion Log'!$A$5:$A$2004)))=0,"",MAX(N(E153),SUMPRODUCT(MAX(('Completion Log'!$B$5:$B$2004=A153)*('Completion Log'!$C$5:$C$2004=B153)*'Completion Log'!$A$5:$A$2004)))))</f>
        <v/>
      </c>
      <c r="G153" s="15" t="str">
        <f aca="true">IF(OR(A153="",B153="",OR(NOT(ISNUMBER(C153)),N(C153)&lt;=0)),"",IF(F153="",TODAY(),F153+C153))</f>
        <v/>
      </c>
      <c r="H153" s="16" t="str">
        <f aca="true">IF(G153="","",G153-TODAY())</f>
        <v/>
      </c>
      <c r="I153" s="17" t="str">
        <f aca="false">IF(AND(A153="",B153=""),"",IF(OR(A153="",B153=""),"Fill in asset and task",IF(OR(NOT(ISNUMBER(C153)),N(C153)&lt;=0),"Check frequency",IF(SUMPRODUCT(($A$5:$A$304=A153)*($B$5:$B$304=B153))&gt;1,"Duplicate row",IF(H153&lt;0,"OVERDUE",IF(H153&lt;=$I$2,"Due soon","OK"))))))</f>
        <v/>
      </c>
      <c r="J153" s="9"/>
    </row>
    <row r="154" customFormat="false" ht="15" hidden="false" customHeight="false" outlineLevel="0" collapsed="false">
      <c r="A154" s="9"/>
      <c r="B154" s="9"/>
      <c r="C154" s="9"/>
      <c r="D154" s="9"/>
      <c r="E154" s="14"/>
      <c r="F154" s="15" t="str">
        <f aca="false">IF(OR(A154="",B154=""),"",IF(MAX(N(E154),SUMPRODUCT(MAX(('Completion Log'!$B$5:$B$2004=A154)*('Completion Log'!$C$5:$C$2004=B154)*'Completion Log'!$A$5:$A$2004)))=0,"",MAX(N(E154),SUMPRODUCT(MAX(('Completion Log'!$B$5:$B$2004=A154)*('Completion Log'!$C$5:$C$2004=B154)*'Completion Log'!$A$5:$A$2004)))))</f>
        <v/>
      </c>
      <c r="G154" s="15" t="str">
        <f aca="true">IF(OR(A154="",B154="",OR(NOT(ISNUMBER(C154)),N(C154)&lt;=0)),"",IF(F154="",TODAY(),F154+C154))</f>
        <v/>
      </c>
      <c r="H154" s="16" t="str">
        <f aca="true">IF(G154="","",G154-TODAY())</f>
        <v/>
      </c>
      <c r="I154" s="17" t="str">
        <f aca="false">IF(AND(A154="",B154=""),"",IF(OR(A154="",B154=""),"Fill in asset and task",IF(OR(NOT(ISNUMBER(C154)),N(C154)&lt;=0),"Check frequency",IF(SUMPRODUCT(($A$5:$A$304=A154)*($B$5:$B$304=B154))&gt;1,"Duplicate row",IF(H154&lt;0,"OVERDUE",IF(H154&lt;=$I$2,"Due soon","OK"))))))</f>
        <v/>
      </c>
      <c r="J154" s="9"/>
    </row>
    <row r="155" customFormat="false" ht="15" hidden="false" customHeight="false" outlineLevel="0" collapsed="false">
      <c r="A155" s="9"/>
      <c r="B155" s="9"/>
      <c r="C155" s="9"/>
      <c r="D155" s="9"/>
      <c r="E155" s="14"/>
      <c r="F155" s="15" t="str">
        <f aca="false">IF(OR(A155="",B155=""),"",IF(MAX(N(E155),SUMPRODUCT(MAX(('Completion Log'!$B$5:$B$2004=A155)*('Completion Log'!$C$5:$C$2004=B155)*'Completion Log'!$A$5:$A$2004)))=0,"",MAX(N(E155),SUMPRODUCT(MAX(('Completion Log'!$B$5:$B$2004=A155)*('Completion Log'!$C$5:$C$2004=B155)*'Completion Log'!$A$5:$A$2004)))))</f>
        <v/>
      </c>
      <c r="G155" s="15" t="str">
        <f aca="true">IF(OR(A155="",B155="",OR(NOT(ISNUMBER(C155)),N(C155)&lt;=0)),"",IF(F155="",TODAY(),F155+C155))</f>
        <v/>
      </c>
      <c r="H155" s="16" t="str">
        <f aca="true">IF(G155="","",G155-TODAY())</f>
        <v/>
      </c>
      <c r="I155" s="17" t="str">
        <f aca="false">IF(AND(A155="",B155=""),"",IF(OR(A155="",B155=""),"Fill in asset and task",IF(OR(NOT(ISNUMBER(C155)),N(C155)&lt;=0),"Check frequency",IF(SUMPRODUCT(($A$5:$A$304=A155)*($B$5:$B$304=B155))&gt;1,"Duplicate row",IF(H155&lt;0,"OVERDUE",IF(H155&lt;=$I$2,"Due soon","OK"))))))</f>
        <v/>
      </c>
      <c r="J155" s="9"/>
    </row>
    <row r="156" customFormat="false" ht="15" hidden="false" customHeight="false" outlineLevel="0" collapsed="false">
      <c r="A156" s="9"/>
      <c r="B156" s="9"/>
      <c r="C156" s="9"/>
      <c r="D156" s="9"/>
      <c r="E156" s="14"/>
      <c r="F156" s="15" t="str">
        <f aca="false">IF(OR(A156="",B156=""),"",IF(MAX(N(E156),SUMPRODUCT(MAX(('Completion Log'!$B$5:$B$2004=A156)*('Completion Log'!$C$5:$C$2004=B156)*'Completion Log'!$A$5:$A$2004)))=0,"",MAX(N(E156),SUMPRODUCT(MAX(('Completion Log'!$B$5:$B$2004=A156)*('Completion Log'!$C$5:$C$2004=B156)*'Completion Log'!$A$5:$A$2004)))))</f>
        <v/>
      </c>
      <c r="G156" s="15" t="str">
        <f aca="true">IF(OR(A156="",B156="",OR(NOT(ISNUMBER(C156)),N(C156)&lt;=0)),"",IF(F156="",TODAY(),F156+C156))</f>
        <v/>
      </c>
      <c r="H156" s="16" t="str">
        <f aca="true">IF(G156="","",G156-TODAY())</f>
        <v/>
      </c>
      <c r="I156" s="17" t="str">
        <f aca="false">IF(AND(A156="",B156=""),"",IF(OR(A156="",B156=""),"Fill in asset and task",IF(OR(NOT(ISNUMBER(C156)),N(C156)&lt;=0),"Check frequency",IF(SUMPRODUCT(($A$5:$A$304=A156)*($B$5:$B$304=B156))&gt;1,"Duplicate row",IF(H156&lt;0,"OVERDUE",IF(H156&lt;=$I$2,"Due soon","OK"))))))</f>
        <v/>
      </c>
      <c r="J156" s="9"/>
    </row>
    <row r="157" customFormat="false" ht="15" hidden="false" customHeight="false" outlineLevel="0" collapsed="false">
      <c r="A157" s="9"/>
      <c r="B157" s="9"/>
      <c r="C157" s="9"/>
      <c r="D157" s="9"/>
      <c r="E157" s="14"/>
      <c r="F157" s="15" t="str">
        <f aca="false">IF(OR(A157="",B157=""),"",IF(MAX(N(E157),SUMPRODUCT(MAX(('Completion Log'!$B$5:$B$2004=A157)*('Completion Log'!$C$5:$C$2004=B157)*'Completion Log'!$A$5:$A$2004)))=0,"",MAX(N(E157),SUMPRODUCT(MAX(('Completion Log'!$B$5:$B$2004=A157)*('Completion Log'!$C$5:$C$2004=B157)*'Completion Log'!$A$5:$A$2004)))))</f>
        <v/>
      </c>
      <c r="G157" s="15" t="str">
        <f aca="true">IF(OR(A157="",B157="",OR(NOT(ISNUMBER(C157)),N(C157)&lt;=0)),"",IF(F157="",TODAY(),F157+C157))</f>
        <v/>
      </c>
      <c r="H157" s="16" t="str">
        <f aca="true">IF(G157="","",G157-TODAY())</f>
        <v/>
      </c>
      <c r="I157" s="17" t="str">
        <f aca="false">IF(AND(A157="",B157=""),"",IF(OR(A157="",B157=""),"Fill in asset and task",IF(OR(NOT(ISNUMBER(C157)),N(C157)&lt;=0),"Check frequency",IF(SUMPRODUCT(($A$5:$A$304=A157)*($B$5:$B$304=B157))&gt;1,"Duplicate row",IF(H157&lt;0,"OVERDUE",IF(H157&lt;=$I$2,"Due soon","OK"))))))</f>
        <v/>
      </c>
      <c r="J157" s="9"/>
    </row>
    <row r="158" customFormat="false" ht="15" hidden="false" customHeight="false" outlineLevel="0" collapsed="false">
      <c r="A158" s="9"/>
      <c r="B158" s="9"/>
      <c r="C158" s="9"/>
      <c r="D158" s="9"/>
      <c r="E158" s="14"/>
      <c r="F158" s="15" t="str">
        <f aca="false">IF(OR(A158="",B158=""),"",IF(MAX(N(E158),SUMPRODUCT(MAX(('Completion Log'!$B$5:$B$2004=A158)*('Completion Log'!$C$5:$C$2004=B158)*'Completion Log'!$A$5:$A$2004)))=0,"",MAX(N(E158),SUMPRODUCT(MAX(('Completion Log'!$B$5:$B$2004=A158)*('Completion Log'!$C$5:$C$2004=B158)*'Completion Log'!$A$5:$A$2004)))))</f>
        <v/>
      </c>
      <c r="G158" s="15" t="str">
        <f aca="true">IF(OR(A158="",B158="",OR(NOT(ISNUMBER(C158)),N(C158)&lt;=0)),"",IF(F158="",TODAY(),F158+C158))</f>
        <v/>
      </c>
      <c r="H158" s="16" t="str">
        <f aca="true">IF(G158="","",G158-TODAY())</f>
        <v/>
      </c>
      <c r="I158" s="17" t="str">
        <f aca="false">IF(AND(A158="",B158=""),"",IF(OR(A158="",B158=""),"Fill in asset and task",IF(OR(NOT(ISNUMBER(C158)),N(C158)&lt;=0),"Check frequency",IF(SUMPRODUCT(($A$5:$A$304=A158)*($B$5:$B$304=B158))&gt;1,"Duplicate row",IF(H158&lt;0,"OVERDUE",IF(H158&lt;=$I$2,"Due soon","OK"))))))</f>
        <v/>
      </c>
      <c r="J158" s="9"/>
    </row>
    <row r="159" customFormat="false" ht="15" hidden="false" customHeight="false" outlineLevel="0" collapsed="false">
      <c r="A159" s="9"/>
      <c r="B159" s="9"/>
      <c r="C159" s="9"/>
      <c r="D159" s="9"/>
      <c r="E159" s="14"/>
      <c r="F159" s="15" t="str">
        <f aca="false">IF(OR(A159="",B159=""),"",IF(MAX(N(E159),SUMPRODUCT(MAX(('Completion Log'!$B$5:$B$2004=A159)*('Completion Log'!$C$5:$C$2004=B159)*'Completion Log'!$A$5:$A$2004)))=0,"",MAX(N(E159),SUMPRODUCT(MAX(('Completion Log'!$B$5:$B$2004=A159)*('Completion Log'!$C$5:$C$2004=B159)*'Completion Log'!$A$5:$A$2004)))))</f>
        <v/>
      </c>
      <c r="G159" s="15" t="str">
        <f aca="true">IF(OR(A159="",B159="",OR(NOT(ISNUMBER(C159)),N(C159)&lt;=0)),"",IF(F159="",TODAY(),F159+C159))</f>
        <v/>
      </c>
      <c r="H159" s="16" t="str">
        <f aca="true">IF(G159="","",G159-TODAY())</f>
        <v/>
      </c>
      <c r="I159" s="17" t="str">
        <f aca="false">IF(AND(A159="",B159=""),"",IF(OR(A159="",B159=""),"Fill in asset and task",IF(OR(NOT(ISNUMBER(C159)),N(C159)&lt;=0),"Check frequency",IF(SUMPRODUCT(($A$5:$A$304=A159)*($B$5:$B$304=B159))&gt;1,"Duplicate row",IF(H159&lt;0,"OVERDUE",IF(H159&lt;=$I$2,"Due soon","OK"))))))</f>
        <v/>
      </c>
      <c r="J159" s="9"/>
    </row>
    <row r="160" customFormat="false" ht="15" hidden="false" customHeight="false" outlineLevel="0" collapsed="false">
      <c r="A160" s="9"/>
      <c r="B160" s="9"/>
      <c r="C160" s="9"/>
      <c r="D160" s="9"/>
      <c r="E160" s="14"/>
      <c r="F160" s="15" t="str">
        <f aca="false">IF(OR(A160="",B160=""),"",IF(MAX(N(E160),SUMPRODUCT(MAX(('Completion Log'!$B$5:$B$2004=A160)*('Completion Log'!$C$5:$C$2004=B160)*'Completion Log'!$A$5:$A$2004)))=0,"",MAX(N(E160),SUMPRODUCT(MAX(('Completion Log'!$B$5:$B$2004=A160)*('Completion Log'!$C$5:$C$2004=B160)*'Completion Log'!$A$5:$A$2004)))))</f>
        <v/>
      </c>
      <c r="G160" s="15" t="str">
        <f aca="true">IF(OR(A160="",B160="",OR(NOT(ISNUMBER(C160)),N(C160)&lt;=0)),"",IF(F160="",TODAY(),F160+C160))</f>
        <v/>
      </c>
      <c r="H160" s="16" t="str">
        <f aca="true">IF(G160="","",G160-TODAY())</f>
        <v/>
      </c>
      <c r="I160" s="17" t="str">
        <f aca="false">IF(AND(A160="",B160=""),"",IF(OR(A160="",B160=""),"Fill in asset and task",IF(OR(NOT(ISNUMBER(C160)),N(C160)&lt;=0),"Check frequency",IF(SUMPRODUCT(($A$5:$A$304=A160)*($B$5:$B$304=B160))&gt;1,"Duplicate row",IF(H160&lt;0,"OVERDUE",IF(H160&lt;=$I$2,"Due soon","OK"))))))</f>
        <v/>
      </c>
      <c r="J160" s="9"/>
    </row>
    <row r="161" customFormat="false" ht="15" hidden="false" customHeight="false" outlineLevel="0" collapsed="false">
      <c r="A161" s="9"/>
      <c r="B161" s="9"/>
      <c r="C161" s="9"/>
      <c r="D161" s="9"/>
      <c r="E161" s="14"/>
      <c r="F161" s="15" t="str">
        <f aca="false">IF(OR(A161="",B161=""),"",IF(MAX(N(E161),SUMPRODUCT(MAX(('Completion Log'!$B$5:$B$2004=A161)*('Completion Log'!$C$5:$C$2004=B161)*'Completion Log'!$A$5:$A$2004)))=0,"",MAX(N(E161),SUMPRODUCT(MAX(('Completion Log'!$B$5:$B$2004=A161)*('Completion Log'!$C$5:$C$2004=B161)*'Completion Log'!$A$5:$A$2004)))))</f>
        <v/>
      </c>
      <c r="G161" s="15" t="str">
        <f aca="true">IF(OR(A161="",B161="",OR(NOT(ISNUMBER(C161)),N(C161)&lt;=0)),"",IF(F161="",TODAY(),F161+C161))</f>
        <v/>
      </c>
      <c r="H161" s="16" t="str">
        <f aca="true">IF(G161="","",G161-TODAY())</f>
        <v/>
      </c>
      <c r="I161" s="17" t="str">
        <f aca="false">IF(AND(A161="",B161=""),"",IF(OR(A161="",B161=""),"Fill in asset and task",IF(OR(NOT(ISNUMBER(C161)),N(C161)&lt;=0),"Check frequency",IF(SUMPRODUCT(($A$5:$A$304=A161)*($B$5:$B$304=B161))&gt;1,"Duplicate row",IF(H161&lt;0,"OVERDUE",IF(H161&lt;=$I$2,"Due soon","OK"))))))</f>
        <v/>
      </c>
      <c r="J161" s="9"/>
    </row>
    <row r="162" customFormat="false" ht="15" hidden="false" customHeight="false" outlineLevel="0" collapsed="false">
      <c r="A162" s="9"/>
      <c r="B162" s="9"/>
      <c r="C162" s="9"/>
      <c r="D162" s="9"/>
      <c r="E162" s="14"/>
      <c r="F162" s="15" t="str">
        <f aca="false">IF(OR(A162="",B162=""),"",IF(MAX(N(E162),SUMPRODUCT(MAX(('Completion Log'!$B$5:$B$2004=A162)*('Completion Log'!$C$5:$C$2004=B162)*'Completion Log'!$A$5:$A$2004)))=0,"",MAX(N(E162),SUMPRODUCT(MAX(('Completion Log'!$B$5:$B$2004=A162)*('Completion Log'!$C$5:$C$2004=B162)*'Completion Log'!$A$5:$A$2004)))))</f>
        <v/>
      </c>
      <c r="G162" s="15" t="str">
        <f aca="true">IF(OR(A162="",B162="",OR(NOT(ISNUMBER(C162)),N(C162)&lt;=0)),"",IF(F162="",TODAY(),F162+C162))</f>
        <v/>
      </c>
      <c r="H162" s="16" t="str">
        <f aca="true">IF(G162="","",G162-TODAY())</f>
        <v/>
      </c>
      <c r="I162" s="17" t="str">
        <f aca="false">IF(AND(A162="",B162=""),"",IF(OR(A162="",B162=""),"Fill in asset and task",IF(OR(NOT(ISNUMBER(C162)),N(C162)&lt;=0),"Check frequency",IF(SUMPRODUCT(($A$5:$A$304=A162)*($B$5:$B$304=B162))&gt;1,"Duplicate row",IF(H162&lt;0,"OVERDUE",IF(H162&lt;=$I$2,"Due soon","OK"))))))</f>
        <v/>
      </c>
      <c r="J162" s="9"/>
    </row>
    <row r="163" customFormat="false" ht="15" hidden="false" customHeight="false" outlineLevel="0" collapsed="false">
      <c r="A163" s="9"/>
      <c r="B163" s="9"/>
      <c r="C163" s="9"/>
      <c r="D163" s="9"/>
      <c r="E163" s="14"/>
      <c r="F163" s="15" t="str">
        <f aca="false">IF(OR(A163="",B163=""),"",IF(MAX(N(E163),SUMPRODUCT(MAX(('Completion Log'!$B$5:$B$2004=A163)*('Completion Log'!$C$5:$C$2004=B163)*'Completion Log'!$A$5:$A$2004)))=0,"",MAX(N(E163),SUMPRODUCT(MAX(('Completion Log'!$B$5:$B$2004=A163)*('Completion Log'!$C$5:$C$2004=B163)*'Completion Log'!$A$5:$A$2004)))))</f>
        <v/>
      </c>
      <c r="G163" s="15" t="str">
        <f aca="true">IF(OR(A163="",B163="",OR(NOT(ISNUMBER(C163)),N(C163)&lt;=0)),"",IF(F163="",TODAY(),F163+C163))</f>
        <v/>
      </c>
      <c r="H163" s="16" t="str">
        <f aca="true">IF(G163="","",G163-TODAY())</f>
        <v/>
      </c>
      <c r="I163" s="17" t="str">
        <f aca="false">IF(AND(A163="",B163=""),"",IF(OR(A163="",B163=""),"Fill in asset and task",IF(OR(NOT(ISNUMBER(C163)),N(C163)&lt;=0),"Check frequency",IF(SUMPRODUCT(($A$5:$A$304=A163)*($B$5:$B$304=B163))&gt;1,"Duplicate row",IF(H163&lt;0,"OVERDUE",IF(H163&lt;=$I$2,"Due soon","OK"))))))</f>
        <v/>
      </c>
      <c r="J163" s="9"/>
    </row>
    <row r="164" customFormat="false" ht="15" hidden="false" customHeight="false" outlineLevel="0" collapsed="false">
      <c r="A164" s="9"/>
      <c r="B164" s="9"/>
      <c r="C164" s="9"/>
      <c r="D164" s="9"/>
      <c r="E164" s="14"/>
      <c r="F164" s="15" t="str">
        <f aca="false">IF(OR(A164="",B164=""),"",IF(MAX(N(E164),SUMPRODUCT(MAX(('Completion Log'!$B$5:$B$2004=A164)*('Completion Log'!$C$5:$C$2004=B164)*'Completion Log'!$A$5:$A$2004)))=0,"",MAX(N(E164),SUMPRODUCT(MAX(('Completion Log'!$B$5:$B$2004=A164)*('Completion Log'!$C$5:$C$2004=B164)*'Completion Log'!$A$5:$A$2004)))))</f>
        <v/>
      </c>
      <c r="G164" s="15" t="str">
        <f aca="true">IF(OR(A164="",B164="",OR(NOT(ISNUMBER(C164)),N(C164)&lt;=0)),"",IF(F164="",TODAY(),F164+C164))</f>
        <v/>
      </c>
      <c r="H164" s="16" t="str">
        <f aca="true">IF(G164="","",G164-TODAY())</f>
        <v/>
      </c>
      <c r="I164" s="17" t="str">
        <f aca="false">IF(AND(A164="",B164=""),"",IF(OR(A164="",B164=""),"Fill in asset and task",IF(OR(NOT(ISNUMBER(C164)),N(C164)&lt;=0),"Check frequency",IF(SUMPRODUCT(($A$5:$A$304=A164)*($B$5:$B$304=B164))&gt;1,"Duplicate row",IF(H164&lt;0,"OVERDUE",IF(H164&lt;=$I$2,"Due soon","OK"))))))</f>
        <v/>
      </c>
      <c r="J164" s="9"/>
    </row>
    <row r="165" customFormat="false" ht="15" hidden="false" customHeight="false" outlineLevel="0" collapsed="false">
      <c r="A165" s="9"/>
      <c r="B165" s="9"/>
      <c r="C165" s="9"/>
      <c r="D165" s="9"/>
      <c r="E165" s="14"/>
      <c r="F165" s="15" t="str">
        <f aca="false">IF(OR(A165="",B165=""),"",IF(MAX(N(E165),SUMPRODUCT(MAX(('Completion Log'!$B$5:$B$2004=A165)*('Completion Log'!$C$5:$C$2004=B165)*'Completion Log'!$A$5:$A$2004)))=0,"",MAX(N(E165),SUMPRODUCT(MAX(('Completion Log'!$B$5:$B$2004=A165)*('Completion Log'!$C$5:$C$2004=B165)*'Completion Log'!$A$5:$A$2004)))))</f>
        <v/>
      </c>
      <c r="G165" s="15" t="str">
        <f aca="true">IF(OR(A165="",B165="",OR(NOT(ISNUMBER(C165)),N(C165)&lt;=0)),"",IF(F165="",TODAY(),F165+C165))</f>
        <v/>
      </c>
      <c r="H165" s="16" t="str">
        <f aca="true">IF(G165="","",G165-TODAY())</f>
        <v/>
      </c>
      <c r="I165" s="17" t="str">
        <f aca="false">IF(AND(A165="",B165=""),"",IF(OR(A165="",B165=""),"Fill in asset and task",IF(OR(NOT(ISNUMBER(C165)),N(C165)&lt;=0),"Check frequency",IF(SUMPRODUCT(($A$5:$A$304=A165)*($B$5:$B$304=B165))&gt;1,"Duplicate row",IF(H165&lt;0,"OVERDUE",IF(H165&lt;=$I$2,"Due soon","OK"))))))</f>
        <v/>
      </c>
      <c r="J165" s="9"/>
    </row>
    <row r="166" customFormat="false" ht="15" hidden="false" customHeight="false" outlineLevel="0" collapsed="false">
      <c r="A166" s="9"/>
      <c r="B166" s="9"/>
      <c r="C166" s="9"/>
      <c r="D166" s="9"/>
      <c r="E166" s="14"/>
      <c r="F166" s="15" t="str">
        <f aca="false">IF(OR(A166="",B166=""),"",IF(MAX(N(E166),SUMPRODUCT(MAX(('Completion Log'!$B$5:$B$2004=A166)*('Completion Log'!$C$5:$C$2004=B166)*'Completion Log'!$A$5:$A$2004)))=0,"",MAX(N(E166),SUMPRODUCT(MAX(('Completion Log'!$B$5:$B$2004=A166)*('Completion Log'!$C$5:$C$2004=B166)*'Completion Log'!$A$5:$A$2004)))))</f>
        <v/>
      </c>
      <c r="G166" s="15" t="str">
        <f aca="true">IF(OR(A166="",B166="",OR(NOT(ISNUMBER(C166)),N(C166)&lt;=0)),"",IF(F166="",TODAY(),F166+C166))</f>
        <v/>
      </c>
      <c r="H166" s="16" t="str">
        <f aca="true">IF(G166="","",G166-TODAY())</f>
        <v/>
      </c>
      <c r="I166" s="17" t="str">
        <f aca="false">IF(AND(A166="",B166=""),"",IF(OR(A166="",B166=""),"Fill in asset and task",IF(OR(NOT(ISNUMBER(C166)),N(C166)&lt;=0),"Check frequency",IF(SUMPRODUCT(($A$5:$A$304=A166)*($B$5:$B$304=B166))&gt;1,"Duplicate row",IF(H166&lt;0,"OVERDUE",IF(H166&lt;=$I$2,"Due soon","OK"))))))</f>
        <v/>
      </c>
      <c r="J166" s="9"/>
    </row>
    <row r="167" customFormat="false" ht="15" hidden="false" customHeight="false" outlineLevel="0" collapsed="false">
      <c r="A167" s="9"/>
      <c r="B167" s="9"/>
      <c r="C167" s="9"/>
      <c r="D167" s="9"/>
      <c r="E167" s="14"/>
      <c r="F167" s="15" t="str">
        <f aca="false">IF(OR(A167="",B167=""),"",IF(MAX(N(E167),SUMPRODUCT(MAX(('Completion Log'!$B$5:$B$2004=A167)*('Completion Log'!$C$5:$C$2004=B167)*'Completion Log'!$A$5:$A$2004)))=0,"",MAX(N(E167),SUMPRODUCT(MAX(('Completion Log'!$B$5:$B$2004=A167)*('Completion Log'!$C$5:$C$2004=B167)*'Completion Log'!$A$5:$A$2004)))))</f>
        <v/>
      </c>
      <c r="G167" s="15" t="str">
        <f aca="true">IF(OR(A167="",B167="",OR(NOT(ISNUMBER(C167)),N(C167)&lt;=0)),"",IF(F167="",TODAY(),F167+C167))</f>
        <v/>
      </c>
      <c r="H167" s="16" t="str">
        <f aca="true">IF(G167="","",G167-TODAY())</f>
        <v/>
      </c>
      <c r="I167" s="17" t="str">
        <f aca="false">IF(AND(A167="",B167=""),"",IF(OR(A167="",B167=""),"Fill in asset and task",IF(OR(NOT(ISNUMBER(C167)),N(C167)&lt;=0),"Check frequency",IF(SUMPRODUCT(($A$5:$A$304=A167)*($B$5:$B$304=B167))&gt;1,"Duplicate row",IF(H167&lt;0,"OVERDUE",IF(H167&lt;=$I$2,"Due soon","OK"))))))</f>
        <v/>
      </c>
      <c r="J167" s="9"/>
    </row>
    <row r="168" customFormat="false" ht="15" hidden="false" customHeight="false" outlineLevel="0" collapsed="false">
      <c r="A168" s="9"/>
      <c r="B168" s="9"/>
      <c r="C168" s="9"/>
      <c r="D168" s="9"/>
      <c r="E168" s="14"/>
      <c r="F168" s="15" t="str">
        <f aca="false">IF(OR(A168="",B168=""),"",IF(MAX(N(E168),SUMPRODUCT(MAX(('Completion Log'!$B$5:$B$2004=A168)*('Completion Log'!$C$5:$C$2004=B168)*'Completion Log'!$A$5:$A$2004)))=0,"",MAX(N(E168),SUMPRODUCT(MAX(('Completion Log'!$B$5:$B$2004=A168)*('Completion Log'!$C$5:$C$2004=B168)*'Completion Log'!$A$5:$A$2004)))))</f>
        <v/>
      </c>
      <c r="G168" s="15" t="str">
        <f aca="true">IF(OR(A168="",B168="",OR(NOT(ISNUMBER(C168)),N(C168)&lt;=0)),"",IF(F168="",TODAY(),F168+C168))</f>
        <v/>
      </c>
      <c r="H168" s="16" t="str">
        <f aca="true">IF(G168="","",G168-TODAY())</f>
        <v/>
      </c>
      <c r="I168" s="17" t="str">
        <f aca="false">IF(AND(A168="",B168=""),"",IF(OR(A168="",B168=""),"Fill in asset and task",IF(OR(NOT(ISNUMBER(C168)),N(C168)&lt;=0),"Check frequency",IF(SUMPRODUCT(($A$5:$A$304=A168)*($B$5:$B$304=B168))&gt;1,"Duplicate row",IF(H168&lt;0,"OVERDUE",IF(H168&lt;=$I$2,"Due soon","OK"))))))</f>
        <v/>
      </c>
      <c r="J168" s="9"/>
    </row>
    <row r="169" customFormat="false" ht="15" hidden="false" customHeight="false" outlineLevel="0" collapsed="false">
      <c r="A169" s="9"/>
      <c r="B169" s="9"/>
      <c r="C169" s="9"/>
      <c r="D169" s="9"/>
      <c r="E169" s="14"/>
      <c r="F169" s="15" t="str">
        <f aca="false">IF(OR(A169="",B169=""),"",IF(MAX(N(E169),SUMPRODUCT(MAX(('Completion Log'!$B$5:$B$2004=A169)*('Completion Log'!$C$5:$C$2004=B169)*'Completion Log'!$A$5:$A$2004)))=0,"",MAX(N(E169),SUMPRODUCT(MAX(('Completion Log'!$B$5:$B$2004=A169)*('Completion Log'!$C$5:$C$2004=B169)*'Completion Log'!$A$5:$A$2004)))))</f>
        <v/>
      </c>
      <c r="G169" s="15" t="str">
        <f aca="true">IF(OR(A169="",B169="",OR(NOT(ISNUMBER(C169)),N(C169)&lt;=0)),"",IF(F169="",TODAY(),F169+C169))</f>
        <v/>
      </c>
      <c r="H169" s="16" t="str">
        <f aca="true">IF(G169="","",G169-TODAY())</f>
        <v/>
      </c>
      <c r="I169" s="17" t="str">
        <f aca="false">IF(AND(A169="",B169=""),"",IF(OR(A169="",B169=""),"Fill in asset and task",IF(OR(NOT(ISNUMBER(C169)),N(C169)&lt;=0),"Check frequency",IF(SUMPRODUCT(($A$5:$A$304=A169)*($B$5:$B$304=B169))&gt;1,"Duplicate row",IF(H169&lt;0,"OVERDUE",IF(H169&lt;=$I$2,"Due soon","OK"))))))</f>
        <v/>
      </c>
      <c r="J169" s="9"/>
    </row>
    <row r="170" customFormat="false" ht="15" hidden="false" customHeight="false" outlineLevel="0" collapsed="false">
      <c r="A170" s="9"/>
      <c r="B170" s="9"/>
      <c r="C170" s="9"/>
      <c r="D170" s="9"/>
      <c r="E170" s="14"/>
      <c r="F170" s="15" t="str">
        <f aca="false">IF(OR(A170="",B170=""),"",IF(MAX(N(E170),SUMPRODUCT(MAX(('Completion Log'!$B$5:$B$2004=A170)*('Completion Log'!$C$5:$C$2004=B170)*'Completion Log'!$A$5:$A$2004)))=0,"",MAX(N(E170),SUMPRODUCT(MAX(('Completion Log'!$B$5:$B$2004=A170)*('Completion Log'!$C$5:$C$2004=B170)*'Completion Log'!$A$5:$A$2004)))))</f>
        <v/>
      </c>
      <c r="G170" s="15" t="str">
        <f aca="true">IF(OR(A170="",B170="",OR(NOT(ISNUMBER(C170)),N(C170)&lt;=0)),"",IF(F170="",TODAY(),F170+C170))</f>
        <v/>
      </c>
      <c r="H170" s="16" t="str">
        <f aca="true">IF(G170="","",G170-TODAY())</f>
        <v/>
      </c>
      <c r="I170" s="17" t="str">
        <f aca="false">IF(AND(A170="",B170=""),"",IF(OR(A170="",B170=""),"Fill in asset and task",IF(OR(NOT(ISNUMBER(C170)),N(C170)&lt;=0),"Check frequency",IF(SUMPRODUCT(($A$5:$A$304=A170)*($B$5:$B$304=B170))&gt;1,"Duplicate row",IF(H170&lt;0,"OVERDUE",IF(H170&lt;=$I$2,"Due soon","OK"))))))</f>
        <v/>
      </c>
      <c r="J170" s="9"/>
    </row>
    <row r="171" customFormat="false" ht="15" hidden="false" customHeight="false" outlineLevel="0" collapsed="false">
      <c r="A171" s="9"/>
      <c r="B171" s="9"/>
      <c r="C171" s="9"/>
      <c r="D171" s="9"/>
      <c r="E171" s="14"/>
      <c r="F171" s="15" t="str">
        <f aca="false">IF(OR(A171="",B171=""),"",IF(MAX(N(E171),SUMPRODUCT(MAX(('Completion Log'!$B$5:$B$2004=A171)*('Completion Log'!$C$5:$C$2004=B171)*'Completion Log'!$A$5:$A$2004)))=0,"",MAX(N(E171),SUMPRODUCT(MAX(('Completion Log'!$B$5:$B$2004=A171)*('Completion Log'!$C$5:$C$2004=B171)*'Completion Log'!$A$5:$A$2004)))))</f>
        <v/>
      </c>
      <c r="G171" s="15" t="str">
        <f aca="true">IF(OR(A171="",B171="",OR(NOT(ISNUMBER(C171)),N(C171)&lt;=0)),"",IF(F171="",TODAY(),F171+C171))</f>
        <v/>
      </c>
      <c r="H171" s="16" t="str">
        <f aca="true">IF(G171="","",G171-TODAY())</f>
        <v/>
      </c>
      <c r="I171" s="17" t="str">
        <f aca="false">IF(AND(A171="",B171=""),"",IF(OR(A171="",B171=""),"Fill in asset and task",IF(OR(NOT(ISNUMBER(C171)),N(C171)&lt;=0),"Check frequency",IF(SUMPRODUCT(($A$5:$A$304=A171)*($B$5:$B$304=B171))&gt;1,"Duplicate row",IF(H171&lt;0,"OVERDUE",IF(H171&lt;=$I$2,"Due soon","OK"))))))</f>
        <v/>
      </c>
      <c r="J171" s="9"/>
    </row>
    <row r="172" customFormat="false" ht="15" hidden="false" customHeight="false" outlineLevel="0" collapsed="false">
      <c r="A172" s="9"/>
      <c r="B172" s="9"/>
      <c r="C172" s="9"/>
      <c r="D172" s="9"/>
      <c r="E172" s="14"/>
      <c r="F172" s="15" t="str">
        <f aca="false">IF(OR(A172="",B172=""),"",IF(MAX(N(E172),SUMPRODUCT(MAX(('Completion Log'!$B$5:$B$2004=A172)*('Completion Log'!$C$5:$C$2004=B172)*'Completion Log'!$A$5:$A$2004)))=0,"",MAX(N(E172),SUMPRODUCT(MAX(('Completion Log'!$B$5:$B$2004=A172)*('Completion Log'!$C$5:$C$2004=B172)*'Completion Log'!$A$5:$A$2004)))))</f>
        <v/>
      </c>
      <c r="G172" s="15" t="str">
        <f aca="true">IF(OR(A172="",B172="",OR(NOT(ISNUMBER(C172)),N(C172)&lt;=0)),"",IF(F172="",TODAY(),F172+C172))</f>
        <v/>
      </c>
      <c r="H172" s="16" t="str">
        <f aca="true">IF(G172="","",G172-TODAY())</f>
        <v/>
      </c>
      <c r="I172" s="17" t="str">
        <f aca="false">IF(AND(A172="",B172=""),"",IF(OR(A172="",B172=""),"Fill in asset and task",IF(OR(NOT(ISNUMBER(C172)),N(C172)&lt;=0),"Check frequency",IF(SUMPRODUCT(($A$5:$A$304=A172)*($B$5:$B$304=B172))&gt;1,"Duplicate row",IF(H172&lt;0,"OVERDUE",IF(H172&lt;=$I$2,"Due soon","OK"))))))</f>
        <v/>
      </c>
      <c r="J172" s="9"/>
    </row>
    <row r="173" customFormat="false" ht="15" hidden="false" customHeight="false" outlineLevel="0" collapsed="false">
      <c r="A173" s="9"/>
      <c r="B173" s="9"/>
      <c r="C173" s="9"/>
      <c r="D173" s="9"/>
      <c r="E173" s="14"/>
      <c r="F173" s="15" t="str">
        <f aca="false">IF(OR(A173="",B173=""),"",IF(MAX(N(E173),SUMPRODUCT(MAX(('Completion Log'!$B$5:$B$2004=A173)*('Completion Log'!$C$5:$C$2004=B173)*'Completion Log'!$A$5:$A$2004)))=0,"",MAX(N(E173),SUMPRODUCT(MAX(('Completion Log'!$B$5:$B$2004=A173)*('Completion Log'!$C$5:$C$2004=B173)*'Completion Log'!$A$5:$A$2004)))))</f>
        <v/>
      </c>
      <c r="G173" s="15" t="str">
        <f aca="true">IF(OR(A173="",B173="",OR(NOT(ISNUMBER(C173)),N(C173)&lt;=0)),"",IF(F173="",TODAY(),F173+C173))</f>
        <v/>
      </c>
      <c r="H173" s="16" t="str">
        <f aca="true">IF(G173="","",G173-TODAY())</f>
        <v/>
      </c>
      <c r="I173" s="17" t="str">
        <f aca="false">IF(AND(A173="",B173=""),"",IF(OR(A173="",B173=""),"Fill in asset and task",IF(OR(NOT(ISNUMBER(C173)),N(C173)&lt;=0),"Check frequency",IF(SUMPRODUCT(($A$5:$A$304=A173)*($B$5:$B$304=B173))&gt;1,"Duplicate row",IF(H173&lt;0,"OVERDUE",IF(H173&lt;=$I$2,"Due soon","OK"))))))</f>
        <v/>
      </c>
      <c r="J173" s="9"/>
    </row>
    <row r="174" customFormat="false" ht="15" hidden="false" customHeight="false" outlineLevel="0" collapsed="false">
      <c r="A174" s="9"/>
      <c r="B174" s="9"/>
      <c r="C174" s="9"/>
      <c r="D174" s="9"/>
      <c r="E174" s="14"/>
      <c r="F174" s="15" t="str">
        <f aca="false">IF(OR(A174="",B174=""),"",IF(MAX(N(E174),SUMPRODUCT(MAX(('Completion Log'!$B$5:$B$2004=A174)*('Completion Log'!$C$5:$C$2004=B174)*'Completion Log'!$A$5:$A$2004)))=0,"",MAX(N(E174),SUMPRODUCT(MAX(('Completion Log'!$B$5:$B$2004=A174)*('Completion Log'!$C$5:$C$2004=B174)*'Completion Log'!$A$5:$A$2004)))))</f>
        <v/>
      </c>
      <c r="G174" s="15" t="str">
        <f aca="true">IF(OR(A174="",B174="",OR(NOT(ISNUMBER(C174)),N(C174)&lt;=0)),"",IF(F174="",TODAY(),F174+C174))</f>
        <v/>
      </c>
      <c r="H174" s="16" t="str">
        <f aca="true">IF(G174="","",G174-TODAY())</f>
        <v/>
      </c>
      <c r="I174" s="17" t="str">
        <f aca="false">IF(AND(A174="",B174=""),"",IF(OR(A174="",B174=""),"Fill in asset and task",IF(OR(NOT(ISNUMBER(C174)),N(C174)&lt;=0),"Check frequency",IF(SUMPRODUCT(($A$5:$A$304=A174)*($B$5:$B$304=B174))&gt;1,"Duplicate row",IF(H174&lt;0,"OVERDUE",IF(H174&lt;=$I$2,"Due soon","OK"))))))</f>
        <v/>
      </c>
      <c r="J174" s="9"/>
    </row>
    <row r="175" customFormat="false" ht="15" hidden="false" customHeight="false" outlineLevel="0" collapsed="false">
      <c r="A175" s="9"/>
      <c r="B175" s="9"/>
      <c r="C175" s="9"/>
      <c r="D175" s="9"/>
      <c r="E175" s="14"/>
      <c r="F175" s="15" t="str">
        <f aca="false">IF(OR(A175="",B175=""),"",IF(MAX(N(E175),SUMPRODUCT(MAX(('Completion Log'!$B$5:$B$2004=A175)*('Completion Log'!$C$5:$C$2004=B175)*'Completion Log'!$A$5:$A$2004)))=0,"",MAX(N(E175),SUMPRODUCT(MAX(('Completion Log'!$B$5:$B$2004=A175)*('Completion Log'!$C$5:$C$2004=B175)*'Completion Log'!$A$5:$A$2004)))))</f>
        <v/>
      </c>
      <c r="G175" s="15" t="str">
        <f aca="true">IF(OR(A175="",B175="",OR(NOT(ISNUMBER(C175)),N(C175)&lt;=0)),"",IF(F175="",TODAY(),F175+C175))</f>
        <v/>
      </c>
      <c r="H175" s="16" t="str">
        <f aca="true">IF(G175="","",G175-TODAY())</f>
        <v/>
      </c>
      <c r="I175" s="17" t="str">
        <f aca="false">IF(AND(A175="",B175=""),"",IF(OR(A175="",B175=""),"Fill in asset and task",IF(OR(NOT(ISNUMBER(C175)),N(C175)&lt;=0),"Check frequency",IF(SUMPRODUCT(($A$5:$A$304=A175)*($B$5:$B$304=B175))&gt;1,"Duplicate row",IF(H175&lt;0,"OVERDUE",IF(H175&lt;=$I$2,"Due soon","OK"))))))</f>
        <v/>
      </c>
      <c r="J175" s="9"/>
    </row>
    <row r="176" customFormat="false" ht="15" hidden="false" customHeight="false" outlineLevel="0" collapsed="false">
      <c r="A176" s="9"/>
      <c r="B176" s="9"/>
      <c r="C176" s="9"/>
      <c r="D176" s="9"/>
      <c r="E176" s="14"/>
      <c r="F176" s="15" t="str">
        <f aca="false">IF(OR(A176="",B176=""),"",IF(MAX(N(E176),SUMPRODUCT(MAX(('Completion Log'!$B$5:$B$2004=A176)*('Completion Log'!$C$5:$C$2004=B176)*'Completion Log'!$A$5:$A$2004)))=0,"",MAX(N(E176),SUMPRODUCT(MAX(('Completion Log'!$B$5:$B$2004=A176)*('Completion Log'!$C$5:$C$2004=B176)*'Completion Log'!$A$5:$A$2004)))))</f>
        <v/>
      </c>
      <c r="G176" s="15" t="str">
        <f aca="true">IF(OR(A176="",B176="",OR(NOT(ISNUMBER(C176)),N(C176)&lt;=0)),"",IF(F176="",TODAY(),F176+C176))</f>
        <v/>
      </c>
      <c r="H176" s="16" t="str">
        <f aca="true">IF(G176="","",G176-TODAY())</f>
        <v/>
      </c>
      <c r="I176" s="17" t="str">
        <f aca="false">IF(AND(A176="",B176=""),"",IF(OR(A176="",B176=""),"Fill in asset and task",IF(OR(NOT(ISNUMBER(C176)),N(C176)&lt;=0),"Check frequency",IF(SUMPRODUCT(($A$5:$A$304=A176)*($B$5:$B$304=B176))&gt;1,"Duplicate row",IF(H176&lt;0,"OVERDUE",IF(H176&lt;=$I$2,"Due soon","OK"))))))</f>
        <v/>
      </c>
      <c r="J176" s="9"/>
    </row>
    <row r="177" customFormat="false" ht="15" hidden="false" customHeight="false" outlineLevel="0" collapsed="false">
      <c r="A177" s="9"/>
      <c r="B177" s="9"/>
      <c r="C177" s="9"/>
      <c r="D177" s="9"/>
      <c r="E177" s="14"/>
      <c r="F177" s="15" t="str">
        <f aca="false">IF(OR(A177="",B177=""),"",IF(MAX(N(E177),SUMPRODUCT(MAX(('Completion Log'!$B$5:$B$2004=A177)*('Completion Log'!$C$5:$C$2004=B177)*'Completion Log'!$A$5:$A$2004)))=0,"",MAX(N(E177),SUMPRODUCT(MAX(('Completion Log'!$B$5:$B$2004=A177)*('Completion Log'!$C$5:$C$2004=B177)*'Completion Log'!$A$5:$A$2004)))))</f>
        <v/>
      </c>
      <c r="G177" s="15" t="str">
        <f aca="true">IF(OR(A177="",B177="",OR(NOT(ISNUMBER(C177)),N(C177)&lt;=0)),"",IF(F177="",TODAY(),F177+C177))</f>
        <v/>
      </c>
      <c r="H177" s="16" t="str">
        <f aca="true">IF(G177="","",G177-TODAY())</f>
        <v/>
      </c>
      <c r="I177" s="17" t="str">
        <f aca="false">IF(AND(A177="",B177=""),"",IF(OR(A177="",B177=""),"Fill in asset and task",IF(OR(NOT(ISNUMBER(C177)),N(C177)&lt;=0),"Check frequency",IF(SUMPRODUCT(($A$5:$A$304=A177)*($B$5:$B$304=B177))&gt;1,"Duplicate row",IF(H177&lt;0,"OVERDUE",IF(H177&lt;=$I$2,"Due soon","OK"))))))</f>
        <v/>
      </c>
      <c r="J177" s="9"/>
    </row>
    <row r="178" customFormat="false" ht="15" hidden="false" customHeight="false" outlineLevel="0" collapsed="false">
      <c r="A178" s="9"/>
      <c r="B178" s="9"/>
      <c r="C178" s="9"/>
      <c r="D178" s="9"/>
      <c r="E178" s="14"/>
      <c r="F178" s="15" t="str">
        <f aca="false">IF(OR(A178="",B178=""),"",IF(MAX(N(E178),SUMPRODUCT(MAX(('Completion Log'!$B$5:$B$2004=A178)*('Completion Log'!$C$5:$C$2004=B178)*'Completion Log'!$A$5:$A$2004)))=0,"",MAX(N(E178),SUMPRODUCT(MAX(('Completion Log'!$B$5:$B$2004=A178)*('Completion Log'!$C$5:$C$2004=B178)*'Completion Log'!$A$5:$A$2004)))))</f>
        <v/>
      </c>
      <c r="G178" s="15" t="str">
        <f aca="true">IF(OR(A178="",B178="",OR(NOT(ISNUMBER(C178)),N(C178)&lt;=0)),"",IF(F178="",TODAY(),F178+C178))</f>
        <v/>
      </c>
      <c r="H178" s="16" t="str">
        <f aca="true">IF(G178="","",G178-TODAY())</f>
        <v/>
      </c>
      <c r="I178" s="17" t="str">
        <f aca="false">IF(AND(A178="",B178=""),"",IF(OR(A178="",B178=""),"Fill in asset and task",IF(OR(NOT(ISNUMBER(C178)),N(C178)&lt;=0),"Check frequency",IF(SUMPRODUCT(($A$5:$A$304=A178)*($B$5:$B$304=B178))&gt;1,"Duplicate row",IF(H178&lt;0,"OVERDUE",IF(H178&lt;=$I$2,"Due soon","OK"))))))</f>
        <v/>
      </c>
      <c r="J178" s="9"/>
    </row>
    <row r="179" customFormat="false" ht="15" hidden="false" customHeight="false" outlineLevel="0" collapsed="false">
      <c r="A179" s="9"/>
      <c r="B179" s="9"/>
      <c r="C179" s="9"/>
      <c r="D179" s="9"/>
      <c r="E179" s="14"/>
      <c r="F179" s="15" t="str">
        <f aca="false">IF(OR(A179="",B179=""),"",IF(MAX(N(E179),SUMPRODUCT(MAX(('Completion Log'!$B$5:$B$2004=A179)*('Completion Log'!$C$5:$C$2004=B179)*'Completion Log'!$A$5:$A$2004)))=0,"",MAX(N(E179),SUMPRODUCT(MAX(('Completion Log'!$B$5:$B$2004=A179)*('Completion Log'!$C$5:$C$2004=B179)*'Completion Log'!$A$5:$A$2004)))))</f>
        <v/>
      </c>
      <c r="G179" s="15" t="str">
        <f aca="true">IF(OR(A179="",B179="",OR(NOT(ISNUMBER(C179)),N(C179)&lt;=0)),"",IF(F179="",TODAY(),F179+C179))</f>
        <v/>
      </c>
      <c r="H179" s="16" t="str">
        <f aca="true">IF(G179="","",G179-TODAY())</f>
        <v/>
      </c>
      <c r="I179" s="17" t="str">
        <f aca="false">IF(AND(A179="",B179=""),"",IF(OR(A179="",B179=""),"Fill in asset and task",IF(OR(NOT(ISNUMBER(C179)),N(C179)&lt;=0),"Check frequency",IF(SUMPRODUCT(($A$5:$A$304=A179)*($B$5:$B$304=B179))&gt;1,"Duplicate row",IF(H179&lt;0,"OVERDUE",IF(H179&lt;=$I$2,"Due soon","OK"))))))</f>
        <v/>
      </c>
      <c r="J179" s="9"/>
    </row>
    <row r="180" customFormat="false" ht="15" hidden="false" customHeight="false" outlineLevel="0" collapsed="false">
      <c r="A180" s="9"/>
      <c r="B180" s="9"/>
      <c r="C180" s="9"/>
      <c r="D180" s="9"/>
      <c r="E180" s="14"/>
      <c r="F180" s="15" t="str">
        <f aca="false">IF(OR(A180="",B180=""),"",IF(MAX(N(E180),SUMPRODUCT(MAX(('Completion Log'!$B$5:$B$2004=A180)*('Completion Log'!$C$5:$C$2004=B180)*'Completion Log'!$A$5:$A$2004)))=0,"",MAX(N(E180),SUMPRODUCT(MAX(('Completion Log'!$B$5:$B$2004=A180)*('Completion Log'!$C$5:$C$2004=B180)*'Completion Log'!$A$5:$A$2004)))))</f>
        <v/>
      </c>
      <c r="G180" s="15" t="str">
        <f aca="true">IF(OR(A180="",B180="",OR(NOT(ISNUMBER(C180)),N(C180)&lt;=0)),"",IF(F180="",TODAY(),F180+C180))</f>
        <v/>
      </c>
      <c r="H180" s="16" t="str">
        <f aca="true">IF(G180="","",G180-TODAY())</f>
        <v/>
      </c>
      <c r="I180" s="17" t="str">
        <f aca="false">IF(AND(A180="",B180=""),"",IF(OR(A180="",B180=""),"Fill in asset and task",IF(OR(NOT(ISNUMBER(C180)),N(C180)&lt;=0),"Check frequency",IF(SUMPRODUCT(($A$5:$A$304=A180)*($B$5:$B$304=B180))&gt;1,"Duplicate row",IF(H180&lt;0,"OVERDUE",IF(H180&lt;=$I$2,"Due soon","OK"))))))</f>
        <v/>
      </c>
      <c r="J180" s="9"/>
    </row>
    <row r="181" customFormat="false" ht="15" hidden="false" customHeight="false" outlineLevel="0" collapsed="false">
      <c r="A181" s="9"/>
      <c r="B181" s="9"/>
      <c r="C181" s="9"/>
      <c r="D181" s="9"/>
      <c r="E181" s="14"/>
      <c r="F181" s="15" t="str">
        <f aca="false">IF(OR(A181="",B181=""),"",IF(MAX(N(E181),SUMPRODUCT(MAX(('Completion Log'!$B$5:$B$2004=A181)*('Completion Log'!$C$5:$C$2004=B181)*'Completion Log'!$A$5:$A$2004)))=0,"",MAX(N(E181),SUMPRODUCT(MAX(('Completion Log'!$B$5:$B$2004=A181)*('Completion Log'!$C$5:$C$2004=B181)*'Completion Log'!$A$5:$A$2004)))))</f>
        <v/>
      </c>
      <c r="G181" s="15" t="str">
        <f aca="true">IF(OR(A181="",B181="",OR(NOT(ISNUMBER(C181)),N(C181)&lt;=0)),"",IF(F181="",TODAY(),F181+C181))</f>
        <v/>
      </c>
      <c r="H181" s="16" t="str">
        <f aca="true">IF(G181="","",G181-TODAY())</f>
        <v/>
      </c>
      <c r="I181" s="17" t="str">
        <f aca="false">IF(AND(A181="",B181=""),"",IF(OR(A181="",B181=""),"Fill in asset and task",IF(OR(NOT(ISNUMBER(C181)),N(C181)&lt;=0),"Check frequency",IF(SUMPRODUCT(($A$5:$A$304=A181)*($B$5:$B$304=B181))&gt;1,"Duplicate row",IF(H181&lt;0,"OVERDUE",IF(H181&lt;=$I$2,"Due soon","OK"))))))</f>
        <v/>
      </c>
      <c r="J181" s="9"/>
    </row>
    <row r="182" customFormat="false" ht="15" hidden="false" customHeight="false" outlineLevel="0" collapsed="false">
      <c r="A182" s="9"/>
      <c r="B182" s="9"/>
      <c r="C182" s="9"/>
      <c r="D182" s="9"/>
      <c r="E182" s="14"/>
      <c r="F182" s="15" t="str">
        <f aca="false">IF(OR(A182="",B182=""),"",IF(MAX(N(E182),SUMPRODUCT(MAX(('Completion Log'!$B$5:$B$2004=A182)*('Completion Log'!$C$5:$C$2004=B182)*'Completion Log'!$A$5:$A$2004)))=0,"",MAX(N(E182),SUMPRODUCT(MAX(('Completion Log'!$B$5:$B$2004=A182)*('Completion Log'!$C$5:$C$2004=B182)*'Completion Log'!$A$5:$A$2004)))))</f>
        <v/>
      </c>
      <c r="G182" s="15" t="str">
        <f aca="true">IF(OR(A182="",B182="",OR(NOT(ISNUMBER(C182)),N(C182)&lt;=0)),"",IF(F182="",TODAY(),F182+C182))</f>
        <v/>
      </c>
      <c r="H182" s="16" t="str">
        <f aca="true">IF(G182="","",G182-TODAY())</f>
        <v/>
      </c>
      <c r="I182" s="17" t="str">
        <f aca="false">IF(AND(A182="",B182=""),"",IF(OR(A182="",B182=""),"Fill in asset and task",IF(OR(NOT(ISNUMBER(C182)),N(C182)&lt;=0),"Check frequency",IF(SUMPRODUCT(($A$5:$A$304=A182)*($B$5:$B$304=B182))&gt;1,"Duplicate row",IF(H182&lt;0,"OVERDUE",IF(H182&lt;=$I$2,"Due soon","OK"))))))</f>
        <v/>
      </c>
      <c r="J182" s="9"/>
    </row>
    <row r="183" customFormat="false" ht="15" hidden="false" customHeight="false" outlineLevel="0" collapsed="false">
      <c r="A183" s="9"/>
      <c r="B183" s="9"/>
      <c r="C183" s="9"/>
      <c r="D183" s="9"/>
      <c r="E183" s="14"/>
      <c r="F183" s="15" t="str">
        <f aca="false">IF(OR(A183="",B183=""),"",IF(MAX(N(E183),SUMPRODUCT(MAX(('Completion Log'!$B$5:$B$2004=A183)*('Completion Log'!$C$5:$C$2004=B183)*'Completion Log'!$A$5:$A$2004)))=0,"",MAX(N(E183),SUMPRODUCT(MAX(('Completion Log'!$B$5:$B$2004=A183)*('Completion Log'!$C$5:$C$2004=B183)*'Completion Log'!$A$5:$A$2004)))))</f>
        <v/>
      </c>
      <c r="G183" s="15" t="str">
        <f aca="true">IF(OR(A183="",B183="",OR(NOT(ISNUMBER(C183)),N(C183)&lt;=0)),"",IF(F183="",TODAY(),F183+C183))</f>
        <v/>
      </c>
      <c r="H183" s="16" t="str">
        <f aca="true">IF(G183="","",G183-TODAY())</f>
        <v/>
      </c>
      <c r="I183" s="17" t="str">
        <f aca="false">IF(AND(A183="",B183=""),"",IF(OR(A183="",B183=""),"Fill in asset and task",IF(OR(NOT(ISNUMBER(C183)),N(C183)&lt;=0),"Check frequency",IF(SUMPRODUCT(($A$5:$A$304=A183)*($B$5:$B$304=B183))&gt;1,"Duplicate row",IF(H183&lt;0,"OVERDUE",IF(H183&lt;=$I$2,"Due soon","OK"))))))</f>
        <v/>
      </c>
      <c r="J183" s="9"/>
    </row>
    <row r="184" customFormat="false" ht="15" hidden="false" customHeight="false" outlineLevel="0" collapsed="false">
      <c r="A184" s="9"/>
      <c r="B184" s="9"/>
      <c r="C184" s="9"/>
      <c r="D184" s="9"/>
      <c r="E184" s="14"/>
      <c r="F184" s="15" t="str">
        <f aca="false">IF(OR(A184="",B184=""),"",IF(MAX(N(E184),SUMPRODUCT(MAX(('Completion Log'!$B$5:$B$2004=A184)*('Completion Log'!$C$5:$C$2004=B184)*'Completion Log'!$A$5:$A$2004)))=0,"",MAX(N(E184),SUMPRODUCT(MAX(('Completion Log'!$B$5:$B$2004=A184)*('Completion Log'!$C$5:$C$2004=B184)*'Completion Log'!$A$5:$A$2004)))))</f>
        <v/>
      </c>
      <c r="G184" s="15" t="str">
        <f aca="true">IF(OR(A184="",B184="",OR(NOT(ISNUMBER(C184)),N(C184)&lt;=0)),"",IF(F184="",TODAY(),F184+C184))</f>
        <v/>
      </c>
      <c r="H184" s="16" t="str">
        <f aca="true">IF(G184="","",G184-TODAY())</f>
        <v/>
      </c>
      <c r="I184" s="17" t="str">
        <f aca="false">IF(AND(A184="",B184=""),"",IF(OR(A184="",B184=""),"Fill in asset and task",IF(OR(NOT(ISNUMBER(C184)),N(C184)&lt;=0),"Check frequency",IF(SUMPRODUCT(($A$5:$A$304=A184)*($B$5:$B$304=B184))&gt;1,"Duplicate row",IF(H184&lt;0,"OVERDUE",IF(H184&lt;=$I$2,"Due soon","OK"))))))</f>
        <v/>
      </c>
      <c r="J184" s="9"/>
    </row>
    <row r="185" customFormat="false" ht="15" hidden="false" customHeight="false" outlineLevel="0" collapsed="false">
      <c r="A185" s="9"/>
      <c r="B185" s="9"/>
      <c r="C185" s="9"/>
      <c r="D185" s="9"/>
      <c r="E185" s="14"/>
      <c r="F185" s="15" t="str">
        <f aca="false">IF(OR(A185="",B185=""),"",IF(MAX(N(E185),SUMPRODUCT(MAX(('Completion Log'!$B$5:$B$2004=A185)*('Completion Log'!$C$5:$C$2004=B185)*'Completion Log'!$A$5:$A$2004)))=0,"",MAX(N(E185),SUMPRODUCT(MAX(('Completion Log'!$B$5:$B$2004=A185)*('Completion Log'!$C$5:$C$2004=B185)*'Completion Log'!$A$5:$A$2004)))))</f>
        <v/>
      </c>
      <c r="G185" s="15" t="str">
        <f aca="true">IF(OR(A185="",B185="",OR(NOT(ISNUMBER(C185)),N(C185)&lt;=0)),"",IF(F185="",TODAY(),F185+C185))</f>
        <v/>
      </c>
      <c r="H185" s="16" t="str">
        <f aca="true">IF(G185="","",G185-TODAY())</f>
        <v/>
      </c>
      <c r="I185" s="17" t="str">
        <f aca="false">IF(AND(A185="",B185=""),"",IF(OR(A185="",B185=""),"Fill in asset and task",IF(OR(NOT(ISNUMBER(C185)),N(C185)&lt;=0),"Check frequency",IF(SUMPRODUCT(($A$5:$A$304=A185)*($B$5:$B$304=B185))&gt;1,"Duplicate row",IF(H185&lt;0,"OVERDUE",IF(H185&lt;=$I$2,"Due soon","OK"))))))</f>
        <v/>
      </c>
      <c r="J185" s="9"/>
    </row>
    <row r="186" customFormat="false" ht="15" hidden="false" customHeight="false" outlineLevel="0" collapsed="false">
      <c r="A186" s="9"/>
      <c r="B186" s="9"/>
      <c r="C186" s="9"/>
      <c r="D186" s="9"/>
      <c r="E186" s="14"/>
      <c r="F186" s="15" t="str">
        <f aca="false">IF(OR(A186="",B186=""),"",IF(MAX(N(E186),SUMPRODUCT(MAX(('Completion Log'!$B$5:$B$2004=A186)*('Completion Log'!$C$5:$C$2004=B186)*'Completion Log'!$A$5:$A$2004)))=0,"",MAX(N(E186),SUMPRODUCT(MAX(('Completion Log'!$B$5:$B$2004=A186)*('Completion Log'!$C$5:$C$2004=B186)*'Completion Log'!$A$5:$A$2004)))))</f>
        <v/>
      </c>
      <c r="G186" s="15" t="str">
        <f aca="true">IF(OR(A186="",B186="",OR(NOT(ISNUMBER(C186)),N(C186)&lt;=0)),"",IF(F186="",TODAY(),F186+C186))</f>
        <v/>
      </c>
      <c r="H186" s="16" t="str">
        <f aca="true">IF(G186="","",G186-TODAY())</f>
        <v/>
      </c>
      <c r="I186" s="17" t="str">
        <f aca="false">IF(AND(A186="",B186=""),"",IF(OR(A186="",B186=""),"Fill in asset and task",IF(OR(NOT(ISNUMBER(C186)),N(C186)&lt;=0),"Check frequency",IF(SUMPRODUCT(($A$5:$A$304=A186)*($B$5:$B$304=B186))&gt;1,"Duplicate row",IF(H186&lt;0,"OVERDUE",IF(H186&lt;=$I$2,"Due soon","OK"))))))</f>
        <v/>
      </c>
      <c r="J186" s="9"/>
    </row>
    <row r="187" customFormat="false" ht="15" hidden="false" customHeight="false" outlineLevel="0" collapsed="false">
      <c r="A187" s="9"/>
      <c r="B187" s="9"/>
      <c r="C187" s="9"/>
      <c r="D187" s="9"/>
      <c r="E187" s="14"/>
      <c r="F187" s="15" t="str">
        <f aca="false">IF(OR(A187="",B187=""),"",IF(MAX(N(E187),SUMPRODUCT(MAX(('Completion Log'!$B$5:$B$2004=A187)*('Completion Log'!$C$5:$C$2004=B187)*'Completion Log'!$A$5:$A$2004)))=0,"",MAX(N(E187),SUMPRODUCT(MAX(('Completion Log'!$B$5:$B$2004=A187)*('Completion Log'!$C$5:$C$2004=B187)*'Completion Log'!$A$5:$A$2004)))))</f>
        <v/>
      </c>
      <c r="G187" s="15" t="str">
        <f aca="true">IF(OR(A187="",B187="",OR(NOT(ISNUMBER(C187)),N(C187)&lt;=0)),"",IF(F187="",TODAY(),F187+C187))</f>
        <v/>
      </c>
      <c r="H187" s="16" t="str">
        <f aca="true">IF(G187="","",G187-TODAY())</f>
        <v/>
      </c>
      <c r="I187" s="17" t="str">
        <f aca="false">IF(AND(A187="",B187=""),"",IF(OR(A187="",B187=""),"Fill in asset and task",IF(OR(NOT(ISNUMBER(C187)),N(C187)&lt;=0),"Check frequency",IF(SUMPRODUCT(($A$5:$A$304=A187)*($B$5:$B$304=B187))&gt;1,"Duplicate row",IF(H187&lt;0,"OVERDUE",IF(H187&lt;=$I$2,"Due soon","OK"))))))</f>
        <v/>
      </c>
      <c r="J187" s="9"/>
    </row>
    <row r="188" customFormat="false" ht="15" hidden="false" customHeight="false" outlineLevel="0" collapsed="false">
      <c r="A188" s="9"/>
      <c r="B188" s="9"/>
      <c r="C188" s="9"/>
      <c r="D188" s="9"/>
      <c r="E188" s="14"/>
      <c r="F188" s="15" t="str">
        <f aca="false">IF(OR(A188="",B188=""),"",IF(MAX(N(E188),SUMPRODUCT(MAX(('Completion Log'!$B$5:$B$2004=A188)*('Completion Log'!$C$5:$C$2004=B188)*'Completion Log'!$A$5:$A$2004)))=0,"",MAX(N(E188),SUMPRODUCT(MAX(('Completion Log'!$B$5:$B$2004=A188)*('Completion Log'!$C$5:$C$2004=B188)*'Completion Log'!$A$5:$A$2004)))))</f>
        <v/>
      </c>
      <c r="G188" s="15" t="str">
        <f aca="true">IF(OR(A188="",B188="",OR(NOT(ISNUMBER(C188)),N(C188)&lt;=0)),"",IF(F188="",TODAY(),F188+C188))</f>
        <v/>
      </c>
      <c r="H188" s="16" t="str">
        <f aca="true">IF(G188="","",G188-TODAY())</f>
        <v/>
      </c>
      <c r="I188" s="17" t="str">
        <f aca="false">IF(AND(A188="",B188=""),"",IF(OR(A188="",B188=""),"Fill in asset and task",IF(OR(NOT(ISNUMBER(C188)),N(C188)&lt;=0),"Check frequency",IF(SUMPRODUCT(($A$5:$A$304=A188)*($B$5:$B$304=B188))&gt;1,"Duplicate row",IF(H188&lt;0,"OVERDUE",IF(H188&lt;=$I$2,"Due soon","OK"))))))</f>
        <v/>
      </c>
      <c r="J188" s="9"/>
    </row>
    <row r="189" customFormat="false" ht="15" hidden="false" customHeight="false" outlineLevel="0" collapsed="false">
      <c r="A189" s="9"/>
      <c r="B189" s="9"/>
      <c r="C189" s="9"/>
      <c r="D189" s="9"/>
      <c r="E189" s="14"/>
      <c r="F189" s="15" t="str">
        <f aca="false">IF(OR(A189="",B189=""),"",IF(MAX(N(E189),SUMPRODUCT(MAX(('Completion Log'!$B$5:$B$2004=A189)*('Completion Log'!$C$5:$C$2004=B189)*'Completion Log'!$A$5:$A$2004)))=0,"",MAX(N(E189),SUMPRODUCT(MAX(('Completion Log'!$B$5:$B$2004=A189)*('Completion Log'!$C$5:$C$2004=B189)*'Completion Log'!$A$5:$A$2004)))))</f>
        <v/>
      </c>
      <c r="G189" s="15" t="str">
        <f aca="true">IF(OR(A189="",B189="",OR(NOT(ISNUMBER(C189)),N(C189)&lt;=0)),"",IF(F189="",TODAY(),F189+C189))</f>
        <v/>
      </c>
      <c r="H189" s="16" t="str">
        <f aca="true">IF(G189="","",G189-TODAY())</f>
        <v/>
      </c>
      <c r="I189" s="17" t="str">
        <f aca="false">IF(AND(A189="",B189=""),"",IF(OR(A189="",B189=""),"Fill in asset and task",IF(OR(NOT(ISNUMBER(C189)),N(C189)&lt;=0),"Check frequency",IF(SUMPRODUCT(($A$5:$A$304=A189)*($B$5:$B$304=B189))&gt;1,"Duplicate row",IF(H189&lt;0,"OVERDUE",IF(H189&lt;=$I$2,"Due soon","OK"))))))</f>
        <v/>
      </c>
      <c r="J189" s="9"/>
    </row>
    <row r="190" customFormat="false" ht="15" hidden="false" customHeight="false" outlineLevel="0" collapsed="false">
      <c r="A190" s="9"/>
      <c r="B190" s="9"/>
      <c r="C190" s="9"/>
      <c r="D190" s="9"/>
      <c r="E190" s="14"/>
      <c r="F190" s="15" t="str">
        <f aca="false">IF(OR(A190="",B190=""),"",IF(MAX(N(E190),SUMPRODUCT(MAX(('Completion Log'!$B$5:$B$2004=A190)*('Completion Log'!$C$5:$C$2004=B190)*'Completion Log'!$A$5:$A$2004)))=0,"",MAX(N(E190),SUMPRODUCT(MAX(('Completion Log'!$B$5:$B$2004=A190)*('Completion Log'!$C$5:$C$2004=B190)*'Completion Log'!$A$5:$A$2004)))))</f>
        <v/>
      </c>
      <c r="G190" s="15" t="str">
        <f aca="true">IF(OR(A190="",B190="",OR(NOT(ISNUMBER(C190)),N(C190)&lt;=0)),"",IF(F190="",TODAY(),F190+C190))</f>
        <v/>
      </c>
      <c r="H190" s="16" t="str">
        <f aca="true">IF(G190="","",G190-TODAY())</f>
        <v/>
      </c>
      <c r="I190" s="17" t="str">
        <f aca="false">IF(AND(A190="",B190=""),"",IF(OR(A190="",B190=""),"Fill in asset and task",IF(OR(NOT(ISNUMBER(C190)),N(C190)&lt;=0),"Check frequency",IF(SUMPRODUCT(($A$5:$A$304=A190)*($B$5:$B$304=B190))&gt;1,"Duplicate row",IF(H190&lt;0,"OVERDUE",IF(H190&lt;=$I$2,"Due soon","OK"))))))</f>
        <v/>
      </c>
      <c r="J190" s="9"/>
    </row>
    <row r="191" customFormat="false" ht="15" hidden="false" customHeight="false" outlineLevel="0" collapsed="false">
      <c r="A191" s="9"/>
      <c r="B191" s="9"/>
      <c r="C191" s="9"/>
      <c r="D191" s="9"/>
      <c r="E191" s="14"/>
      <c r="F191" s="15" t="str">
        <f aca="false">IF(OR(A191="",B191=""),"",IF(MAX(N(E191),SUMPRODUCT(MAX(('Completion Log'!$B$5:$B$2004=A191)*('Completion Log'!$C$5:$C$2004=B191)*'Completion Log'!$A$5:$A$2004)))=0,"",MAX(N(E191),SUMPRODUCT(MAX(('Completion Log'!$B$5:$B$2004=A191)*('Completion Log'!$C$5:$C$2004=B191)*'Completion Log'!$A$5:$A$2004)))))</f>
        <v/>
      </c>
      <c r="G191" s="15" t="str">
        <f aca="true">IF(OR(A191="",B191="",OR(NOT(ISNUMBER(C191)),N(C191)&lt;=0)),"",IF(F191="",TODAY(),F191+C191))</f>
        <v/>
      </c>
      <c r="H191" s="16" t="str">
        <f aca="true">IF(G191="","",G191-TODAY())</f>
        <v/>
      </c>
      <c r="I191" s="17" t="str">
        <f aca="false">IF(AND(A191="",B191=""),"",IF(OR(A191="",B191=""),"Fill in asset and task",IF(OR(NOT(ISNUMBER(C191)),N(C191)&lt;=0),"Check frequency",IF(SUMPRODUCT(($A$5:$A$304=A191)*($B$5:$B$304=B191))&gt;1,"Duplicate row",IF(H191&lt;0,"OVERDUE",IF(H191&lt;=$I$2,"Due soon","OK"))))))</f>
        <v/>
      </c>
      <c r="J191" s="9"/>
    </row>
    <row r="192" customFormat="false" ht="15" hidden="false" customHeight="false" outlineLevel="0" collapsed="false">
      <c r="A192" s="9"/>
      <c r="B192" s="9"/>
      <c r="C192" s="9"/>
      <c r="D192" s="9"/>
      <c r="E192" s="14"/>
      <c r="F192" s="15" t="str">
        <f aca="false">IF(OR(A192="",B192=""),"",IF(MAX(N(E192),SUMPRODUCT(MAX(('Completion Log'!$B$5:$B$2004=A192)*('Completion Log'!$C$5:$C$2004=B192)*'Completion Log'!$A$5:$A$2004)))=0,"",MAX(N(E192),SUMPRODUCT(MAX(('Completion Log'!$B$5:$B$2004=A192)*('Completion Log'!$C$5:$C$2004=B192)*'Completion Log'!$A$5:$A$2004)))))</f>
        <v/>
      </c>
      <c r="G192" s="15" t="str">
        <f aca="true">IF(OR(A192="",B192="",OR(NOT(ISNUMBER(C192)),N(C192)&lt;=0)),"",IF(F192="",TODAY(),F192+C192))</f>
        <v/>
      </c>
      <c r="H192" s="16" t="str">
        <f aca="true">IF(G192="","",G192-TODAY())</f>
        <v/>
      </c>
      <c r="I192" s="17" t="str">
        <f aca="false">IF(AND(A192="",B192=""),"",IF(OR(A192="",B192=""),"Fill in asset and task",IF(OR(NOT(ISNUMBER(C192)),N(C192)&lt;=0),"Check frequency",IF(SUMPRODUCT(($A$5:$A$304=A192)*($B$5:$B$304=B192))&gt;1,"Duplicate row",IF(H192&lt;0,"OVERDUE",IF(H192&lt;=$I$2,"Due soon","OK"))))))</f>
        <v/>
      </c>
      <c r="J192" s="9"/>
    </row>
    <row r="193" customFormat="false" ht="15" hidden="false" customHeight="false" outlineLevel="0" collapsed="false">
      <c r="A193" s="9"/>
      <c r="B193" s="9"/>
      <c r="C193" s="9"/>
      <c r="D193" s="9"/>
      <c r="E193" s="14"/>
      <c r="F193" s="15" t="str">
        <f aca="false">IF(OR(A193="",B193=""),"",IF(MAX(N(E193),SUMPRODUCT(MAX(('Completion Log'!$B$5:$B$2004=A193)*('Completion Log'!$C$5:$C$2004=B193)*'Completion Log'!$A$5:$A$2004)))=0,"",MAX(N(E193),SUMPRODUCT(MAX(('Completion Log'!$B$5:$B$2004=A193)*('Completion Log'!$C$5:$C$2004=B193)*'Completion Log'!$A$5:$A$2004)))))</f>
        <v/>
      </c>
      <c r="G193" s="15" t="str">
        <f aca="true">IF(OR(A193="",B193="",OR(NOT(ISNUMBER(C193)),N(C193)&lt;=0)),"",IF(F193="",TODAY(),F193+C193))</f>
        <v/>
      </c>
      <c r="H193" s="16" t="str">
        <f aca="true">IF(G193="","",G193-TODAY())</f>
        <v/>
      </c>
      <c r="I193" s="17" t="str">
        <f aca="false">IF(AND(A193="",B193=""),"",IF(OR(A193="",B193=""),"Fill in asset and task",IF(OR(NOT(ISNUMBER(C193)),N(C193)&lt;=0),"Check frequency",IF(SUMPRODUCT(($A$5:$A$304=A193)*($B$5:$B$304=B193))&gt;1,"Duplicate row",IF(H193&lt;0,"OVERDUE",IF(H193&lt;=$I$2,"Due soon","OK"))))))</f>
        <v/>
      </c>
      <c r="J193" s="9"/>
    </row>
    <row r="194" customFormat="false" ht="15" hidden="false" customHeight="false" outlineLevel="0" collapsed="false">
      <c r="A194" s="9"/>
      <c r="B194" s="9"/>
      <c r="C194" s="9"/>
      <c r="D194" s="9"/>
      <c r="E194" s="14"/>
      <c r="F194" s="15" t="str">
        <f aca="false">IF(OR(A194="",B194=""),"",IF(MAX(N(E194),SUMPRODUCT(MAX(('Completion Log'!$B$5:$B$2004=A194)*('Completion Log'!$C$5:$C$2004=B194)*'Completion Log'!$A$5:$A$2004)))=0,"",MAX(N(E194),SUMPRODUCT(MAX(('Completion Log'!$B$5:$B$2004=A194)*('Completion Log'!$C$5:$C$2004=B194)*'Completion Log'!$A$5:$A$2004)))))</f>
        <v/>
      </c>
      <c r="G194" s="15" t="str">
        <f aca="true">IF(OR(A194="",B194="",OR(NOT(ISNUMBER(C194)),N(C194)&lt;=0)),"",IF(F194="",TODAY(),F194+C194))</f>
        <v/>
      </c>
      <c r="H194" s="16" t="str">
        <f aca="true">IF(G194="","",G194-TODAY())</f>
        <v/>
      </c>
      <c r="I194" s="17" t="str">
        <f aca="false">IF(AND(A194="",B194=""),"",IF(OR(A194="",B194=""),"Fill in asset and task",IF(OR(NOT(ISNUMBER(C194)),N(C194)&lt;=0),"Check frequency",IF(SUMPRODUCT(($A$5:$A$304=A194)*($B$5:$B$304=B194))&gt;1,"Duplicate row",IF(H194&lt;0,"OVERDUE",IF(H194&lt;=$I$2,"Due soon","OK"))))))</f>
        <v/>
      </c>
      <c r="J194" s="9"/>
    </row>
    <row r="195" customFormat="false" ht="15" hidden="false" customHeight="false" outlineLevel="0" collapsed="false">
      <c r="A195" s="9"/>
      <c r="B195" s="9"/>
      <c r="C195" s="9"/>
      <c r="D195" s="9"/>
      <c r="E195" s="14"/>
      <c r="F195" s="15" t="str">
        <f aca="false">IF(OR(A195="",B195=""),"",IF(MAX(N(E195),SUMPRODUCT(MAX(('Completion Log'!$B$5:$B$2004=A195)*('Completion Log'!$C$5:$C$2004=B195)*'Completion Log'!$A$5:$A$2004)))=0,"",MAX(N(E195),SUMPRODUCT(MAX(('Completion Log'!$B$5:$B$2004=A195)*('Completion Log'!$C$5:$C$2004=B195)*'Completion Log'!$A$5:$A$2004)))))</f>
        <v/>
      </c>
      <c r="G195" s="15" t="str">
        <f aca="true">IF(OR(A195="",B195="",OR(NOT(ISNUMBER(C195)),N(C195)&lt;=0)),"",IF(F195="",TODAY(),F195+C195))</f>
        <v/>
      </c>
      <c r="H195" s="16" t="str">
        <f aca="true">IF(G195="","",G195-TODAY())</f>
        <v/>
      </c>
      <c r="I195" s="17" t="str">
        <f aca="false">IF(AND(A195="",B195=""),"",IF(OR(A195="",B195=""),"Fill in asset and task",IF(OR(NOT(ISNUMBER(C195)),N(C195)&lt;=0),"Check frequency",IF(SUMPRODUCT(($A$5:$A$304=A195)*($B$5:$B$304=B195))&gt;1,"Duplicate row",IF(H195&lt;0,"OVERDUE",IF(H195&lt;=$I$2,"Due soon","OK"))))))</f>
        <v/>
      </c>
      <c r="J195" s="9"/>
    </row>
    <row r="196" customFormat="false" ht="15" hidden="false" customHeight="false" outlineLevel="0" collapsed="false">
      <c r="A196" s="9"/>
      <c r="B196" s="9"/>
      <c r="C196" s="9"/>
      <c r="D196" s="9"/>
      <c r="E196" s="14"/>
      <c r="F196" s="15" t="str">
        <f aca="false">IF(OR(A196="",B196=""),"",IF(MAX(N(E196),SUMPRODUCT(MAX(('Completion Log'!$B$5:$B$2004=A196)*('Completion Log'!$C$5:$C$2004=B196)*'Completion Log'!$A$5:$A$2004)))=0,"",MAX(N(E196),SUMPRODUCT(MAX(('Completion Log'!$B$5:$B$2004=A196)*('Completion Log'!$C$5:$C$2004=B196)*'Completion Log'!$A$5:$A$2004)))))</f>
        <v/>
      </c>
      <c r="G196" s="15" t="str">
        <f aca="true">IF(OR(A196="",B196="",OR(NOT(ISNUMBER(C196)),N(C196)&lt;=0)),"",IF(F196="",TODAY(),F196+C196))</f>
        <v/>
      </c>
      <c r="H196" s="16" t="str">
        <f aca="true">IF(G196="","",G196-TODAY())</f>
        <v/>
      </c>
      <c r="I196" s="17" t="str">
        <f aca="false">IF(AND(A196="",B196=""),"",IF(OR(A196="",B196=""),"Fill in asset and task",IF(OR(NOT(ISNUMBER(C196)),N(C196)&lt;=0),"Check frequency",IF(SUMPRODUCT(($A$5:$A$304=A196)*($B$5:$B$304=B196))&gt;1,"Duplicate row",IF(H196&lt;0,"OVERDUE",IF(H196&lt;=$I$2,"Due soon","OK"))))))</f>
        <v/>
      </c>
      <c r="J196" s="9"/>
    </row>
    <row r="197" customFormat="false" ht="15" hidden="false" customHeight="false" outlineLevel="0" collapsed="false">
      <c r="A197" s="9"/>
      <c r="B197" s="9"/>
      <c r="C197" s="9"/>
      <c r="D197" s="9"/>
      <c r="E197" s="14"/>
      <c r="F197" s="15" t="str">
        <f aca="false">IF(OR(A197="",B197=""),"",IF(MAX(N(E197),SUMPRODUCT(MAX(('Completion Log'!$B$5:$B$2004=A197)*('Completion Log'!$C$5:$C$2004=B197)*'Completion Log'!$A$5:$A$2004)))=0,"",MAX(N(E197),SUMPRODUCT(MAX(('Completion Log'!$B$5:$B$2004=A197)*('Completion Log'!$C$5:$C$2004=B197)*'Completion Log'!$A$5:$A$2004)))))</f>
        <v/>
      </c>
      <c r="G197" s="15" t="str">
        <f aca="true">IF(OR(A197="",B197="",OR(NOT(ISNUMBER(C197)),N(C197)&lt;=0)),"",IF(F197="",TODAY(),F197+C197))</f>
        <v/>
      </c>
      <c r="H197" s="16" t="str">
        <f aca="true">IF(G197="","",G197-TODAY())</f>
        <v/>
      </c>
      <c r="I197" s="17" t="str">
        <f aca="false">IF(AND(A197="",B197=""),"",IF(OR(A197="",B197=""),"Fill in asset and task",IF(OR(NOT(ISNUMBER(C197)),N(C197)&lt;=0),"Check frequency",IF(SUMPRODUCT(($A$5:$A$304=A197)*($B$5:$B$304=B197))&gt;1,"Duplicate row",IF(H197&lt;0,"OVERDUE",IF(H197&lt;=$I$2,"Due soon","OK"))))))</f>
        <v/>
      </c>
      <c r="J197" s="9"/>
    </row>
    <row r="198" customFormat="false" ht="15" hidden="false" customHeight="false" outlineLevel="0" collapsed="false">
      <c r="A198" s="9"/>
      <c r="B198" s="9"/>
      <c r="C198" s="9"/>
      <c r="D198" s="9"/>
      <c r="E198" s="14"/>
      <c r="F198" s="15" t="str">
        <f aca="false">IF(OR(A198="",B198=""),"",IF(MAX(N(E198),SUMPRODUCT(MAX(('Completion Log'!$B$5:$B$2004=A198)*('Completion Log'!$C$5:$C$2004=B198)*'Completion Log'!$A$5:$A$2004)))=0,"",MAX(N(E198),SUMPRODUCT(MAX(('Completion Log'!$B$5:$B$2004=A198)*('Completion Log'!$C$5:$C$2004=B198)*'Completion Log'!$A$5:$A$2004)))))</f>
        <v/>
      </c>
      <c r="G198" s="15" t="str">
        <f aca="true">IF(OR(A198="",B198="",OR(NOT(ISNUMBER(C198)),N(C198)&lt;=0)),"",IF(F198="",TODAY(),F198+C198))</f>
        <v/>
      </c>
      <c r="H198" s="16" t="str">
        <f aca="true">IF(G198="","",G198-TODAY())</f>
        <v/>
      </c>
      <c r="I198" s="17" t="str">
        <f aca="false">IF(AND(A198="",B198=""),"",IF(OR(A198="",B198=""),"Fill in asset and task",IF(OR(NOT(ISNUMBER(C198)),N(C198)&lt;=0),"Check frequency",IF(SUMPRODUCT(($A$5:$A$304=A198)*($B$5:$B$304=B198))&gt;1,"Duplicate row",IF(H198&lt;0,"OVERDUE",IF(H198&lt;=$I$2,"Due soon","OK"))))))</f>
        <v/>
      </c>
      <c r="J198" s="9"/>
    </row>
    <row r="199" customFormat="false" ht="15" hidden="false" customHeight="false" outlineLevel="0" collapsed="false">
      <c r="A199" s="9"/>
      <c r="B199" s="9"/>
      <c r="C199" s="9"/>
      <c r="D199" s="9"/>
      <c r="E199" s="14"/>
      <c r="F199" s="15" t="str">
        <f aca="false">IF(OR(A199="",B199=""),"",IF(MAX(N(E199),SUMPRODUCT(MAX(('Completion Log'!$B$5:$B$2004=A199)*('Completion Log'!$C$5:$C$2004=B199)*'Completion Log'!$A$5:$A$2004)))=0,"",MAX(N(E199),SUMPRODUCT(MAX(('Completion Log'!$B$5:$B$2004=A199)*('Completion Log'!$C$5:$C$2004=B199)*'Completion Log'!$A$5:$A$2004)))))</f>
        <v/>
      </c>
      <c r="G199" s="15" t="str">
        <f aca="true">IF(OR(A199="",B199="",OR(NOT(ISNUMBER(C199)),N(C199)&lt;=0)),"",IF(F199="",TODAY(),F199+C199))</f>
        <v/>
      </c>
      <c r="H199" s="16" t="str">
        <f aca="true">IF(G199="","",G199-TODAY())</f>
        <v/>
      </c>
      <c r="I199" s="17" t="str">
        <f aca="false">IF(AND(A199="",B199=""),"",IF(OR(A199="",B199=""),"Fill in asset and task",IF(OR(NOT(ISNUMBER(C199)),N(C199)&lt;=0),"Check frequency",IF(SUMPRODUCT(($A$5:$A$304=A199)*($B$5:$B$304=B199))&gt;1,"Duplicate row",IF(H199&lt;0,"OVERDUE",IF(H199&lt;=$I$2,"Due soon","OK"))))))</f>
        <v/>
      </c>
      <c r="J199" s="9"/>
    </row>
    <row r="200" customFormat="false" ht="15" hidden="false" customHeight="false" outlineLevel="0" collapsed="false">
      <c r="A200" s="9"/>
      <c r="B200" s="9"/>
      <c r="C200" s="9"/>
      <c r="D200" s="9"/>
      <c r="E200" s="14"/>
      <c r="F200" s="15" t="str">
        <f aca="false">IF(OR(A200="",B200=""),"",IF(MAX(N(E200),SUMPRODUCT(MAX(('Completion Log'!$B$5:$B$2004=A200)*('Completion Log'!$C$5:$C$2004=B200)*'Completion Log'!$A$5:$A$2004)))=0,"",MAX(N(E200),SUMPRODUCT(MAX(('Completion Log'!$B$5:$B$2004=A200)*('Completion Log'!$C$5:$C$2004=B200)*'Completion Log'!$A$5:$A$2004)))))</f>
        <v/>
      </c>
      <c r="G200" s="15" t="str">
        <f aca="true">IF(OR(A200="",B200="",OR(NOT(ISNUMBER(C200)),N(C200)&lt;=0)),"",IF(F200="",TODAY(),F200+C200))</f>
        <v/>
      </c>
      <c r="H200" s="16" t="str">
        <f aca="true">IF(G200="","",G200-TODAY())</f>
        <v/>
      </c>
      <c r="I200" s="17" t="str">
        <f aca="false">IF(AND(A200="",B200=""),"",IF(OR(A200="",B200=""),"Fill in asset and task",IF(OR(NOT(ISNUMBER(C200)),N(C200)&lt;=0),"Check frequency",IF(SUMPRODUCT(($A$5:$A$304=A200)*($B$5:$B$304=B200))&gt;1,"Duplicate row",IF(H200&lt;0,"OVERDUE",IF(H200&lt;=$I$2,"Due soon","OK"))))))</f>
        <v/>
      </c>
      <c r="J200" s="9"/>
    </row>
    <row r="201" customFormat="false" ht="15" hidden="false" customHeight="false" outlineLevel="0" collapsed="false">
      <c r="A201" s="9"/>
      <c r="B201" s="9"/>
      <c r="C201" s="9"/>
      <c r="D201" s="9"/>
      <c r="E201" s="14"/>
      <c r="F201" s="15" t="str">
        <f aca="false">IF(OR(A201="",B201=""),"",IF(MAX(N(E201),SUMPRODUCT(MAX(('Completion Log'!$B$5:$B$2004=A201)*('Completion Log'!$C$5:$C$2004=B201)*'Completion Log'!$A$5:$A$2004)))=0,"",MAX(N(E201),SUMPRODUCT(MAX(('Completion Log'!$B$5:$B$2004=A201)*('Completion Log'!$C$5:$C$2004=B201)*'Completion Log'!$A$5:$A$2004)))))</f>
        <v/>
      </c>
      <c r="G201" s="15" t="str">
        <f aca="true">IF(OR(A201="",B201="",OR(NOT(ISNUMBER(C201)),N(C201)&lt;=0)),"",IF(F201="",TODAY(),F201+C201))</f>
        <v/>
      </c>
      <c r="H201" s="16" t="str">
        <f aca="true">IF(G201="","",G201-TODAY())</f>
        <v/>
      </c>
      <c r="I201" s="17" t="str">
        <f aca="false">IF(AND(A201="",B201=""),"",IF(OR(A201="",B201=""),"Fill in asset and task",IF(OR(NOT(ISNUMBER(C201)),N(C201)&lt;=0),"Check frequency",IF(SUMPRODUCT(($A$5:$A$304=A201)*($B$5:$B$304=B201))&gt;1,"Duplicate row",IF(H201&lt;0,"OVERDUE",IF(H201&lt;=$I$2,"Due soon","OK"))))))</f>
        <v/>
      </c>
      <c r="J201" s="9"/>
    </row>
    <row r="202" customFormat="false" ht="15" hidden="false" customHeight="false" outlineLevel="0" collapsed="false">
      <c r="A202" s="9"/>
      <c r="B202" s="9"/>
      <c r="C202" s="9"/>
      <c r="D202" s="9"/>
      <c r="E202" s="14"/>
      <c r="F202" s="15" t="str">
        <f aca="false">IF(OR(A202="",B202=""),"",IF(MAX(N(E202),SUMPRODUCT(MAX(('Completion Log'!$B$5:$B$2004=A202)*('Completion Log'!$C$5:$C$2004=B202)*'Completion Log'!$A$5:$A$2004)))=0,"",MAX(N(E202),SUMPRODUCT(MAX(('Completion Log'!$B$5:$B$2004=A202)*('Completion Log'!$C$5:$C$2004=B202)*'Completion Log'!$A$5:$A$2004)))))</f>
        <v/>
      </c>
      <c r="G202" s="15" t="str">
        <f aca="true">IF(OR(A202="",B202="",OR(NOT(ISNUMBER(C202)),N(C202)&lt;=0)),"",IF(F202="",TODAY(),F202+C202))</f>
        <v/>
      </c>
      <c r="H202" s="16" t="str">
        <f aca="true">IF(G202="","",G202-TODAY())</f>
        <v/>
      </c>
      <c r="I202" s="17" t="str">
        <f aca="false">IF(AND(A202="",B202=""),"",IF(OR(A202="",B202=""),"Fill in asset and task",IF(OR(NOT(ISNUMBER(C202)),N(C202)&lt;=0),"Check frequency",IF(SUMPRODUCT(($A$5:$A$304=A202)*($B$5:$B$304=B202))&gt;1,"Duplicate row",IF(H202&lt;0,"OVERDUE",IF(H202&lt;=$I$2,"Due soon","OK"))))))</f>
        <v/>
      </c>
      <c r="J202" s="9"/>
    </row>
    <row r="203" customFormat="false" ht="15" hidden="false" customHeight="false" outlineLevel="0" collapsed="false">
      <c r="A203" s="9"/>
      <c r="B203" s="9"/>
      <c r="C203" s="9"/>
      <c r="D203" s="9"/>
      <c r="E203" s="14"/>
      <c r="F203" s="15" t="str">
        <f aca="false">IF(OR(A203="",B203=""),"",IF(MAX(N(E203),SUMPRODUCT(MAX(('Completion Log'!$B$5:$B$2004=A203)*('Completion Log'!$C$5:$C$2004=B203)*'Completion Log'!$A$5:$A$2004)))=0,"",MAX(N(E203),SUMPRODUCT(MAX(('Completion Log'!$B$5:$B$2004=A203)*('Completion Log'!$C$5:$C$2004=B203)*'Completion Log'!$A$5:$A$2004)))))</f>
        <v/>
      </c>
      <c r="G203" s="15" t="str">
        <f aca="true">IF(OR(A203="",B203="",OR(NOT(ISNUMBER(C203)),N(C203)&lt;=0)),"",IF(F203="",TODAY(),F203+C203))</f>
        <v/>
      </c>
      <c r="H203" s="16" t="str">
        <f aca="true">IF(G203="","",G203-TODAY())</f>
        <v/>
      </c>
      <c r="I203" s="17" t="str">
        <f aca="false">IF(AND(A203="",B203=""),"",IF(OR(A203="",B203=""),"Fill in asset and task",IF(OR(NOT(ISNUMBER(C203)),N(C203)&lt;=0),"Check frequency",IF(SUMPRODUCT(($A$5:$A$304=A203)*($B$5:$B$304=B203))&gt;1,"Duplicate row",IF(H203&lt;0,"OVERDUE",IF(H203&lt;=$I$2,"Due soon","OK"))))))</f>
        <v/>
      </c>
      <c r="J203" s="9"/>
    </row>
    <row r="204" customFormat="false" ht="15" hidden="false" customHeight="false" outlineLevel="0" collapsed="false">
      <c r="A204" s="9"/>
      <c r="B204" s="9"/>
      <c r="C204" s="9"/>
      <c r="D204" s="9"/>
      <c r="E204" s="14"/>
      <c r="F204" s="15" t="str">
        <f aca="false">IF(OR(A204="",B204=""),"",IF(MAX(N(E204),SUMPRODUCT(MAX(('Completion Log'!$B$5:$B$2004=A204)*('Completion Log'!$C$5:$C$2004=B204)*'Completion Log'!$A$5:$A$2004)))=0,"",MAX(N(E204),SUMPRODUCT(MAX(('Completion Log'!$B$5:$B$2004=A204)*('Completion Log'!$C$5:$C$2004=B204)*'Completion Log'!$A$5:$A$2004)))))</f>
        <v/>
      </c>
      <c r="G204" s="15" t="str">
        <f aca="true">IF(OR(A204="",B204="",OR(NOT(ISNUMBER(C204)),N(C204)&lt;=0)),"",IF(F204="",TODAY(),F204+C204))</f>
        <v/>
      </c>
      <c r="H204" s="16" t="str">
        <f aca="true">IF(G204="","",G204-TODAY())</f>
        <v/>
      </c>
      <c r="I204" s="17" t="str">
        <f aca="false">IF(AND(A204="",B204=""),"",IF(OR(A204="",B204=""),"Fill in asset and task",IF(OR(NOT(ISNUMBER(C204)),N(C204)&lt;=0),"Check frequency",IF(SUMPRODUCT(($A$5:$A$304=A204)*($B$5:$B$304=B204))&gt;1,"Duplicate row",IF(H204&lt;0,"OVERDUE",IF(H204&lt;=$I$2,"Due soon","OK"))))))</f>
        <v/>
      </c>
      <c r="J204" s="9"/>
    </row>
    <row r="205" customFormat="false" ht="15" hidden="false" customHeight="false" outlineLevel="0" collapsed="false">
      <c r="A205" s="9"/>
      <c r="B205" s="9"/>
      <c r="C205" s="9"/>
      <c r="D205" s="9"/>
      <c r="E205" s="14"/>
      <c r="F205" s="15" t="str">
        <f aca="false">IF(OR(A205="",B205=""),"",IF(MAX(N(E205),SUMPRODUCT(MAX(('Completion Log'!$B$5:$B$2004=A205)*('Completion Log'!$C$5:$C$2004=B205)*'Completion Log'!$A$5:$A$2004)))=0,"",MAX(N(E205),SUMPRODUCT(MAX(('Completion Log'!$B$5:$B$2004=A205)*('Completion Log'!$C$5:$C$2004=B205)*'Completion Log'!$A$5:$A$2004)))))</f>
        <v/>
      </c>
      <c r="G205" s="15" t="str">
        <f aca="true">IF(OR(A205="",B205="",OR(NOT(ISNUMBER(C205)),N(C205)&lt;=0)),"",IF(F205="",TODAY(),F205+C205))</f>
        <v/>
      </c>
      <c r="H205" s="16" t="str">
        <f aca="true">IF(G205="","",G205-TODAY())</f>
        <v/>
      </c>
      <c r="I205" s="17" t="str">
        <f aca="false">IF(AND(A205="",B205=""),"",IF(OR(A205="",B205=""),"Fill in asset and task",IF(OR(NOT(ISNUMBER(C205)),N(C205)&lt;=0),"Check frequency",IF(SUMPRODUCT(($A$5:$A$304=A205)*($B$5:$B$304=B205))&gt;1,"Duplicate row",IF(H205&lt;0,"OVERDUE",IF(H205&lt;=$I$2,"Due soon","OK"))))))</f>
        <v/>
      </c>
      <c r="J205" s="9"/>
    </row>
    <row r="206" customFormat="false" ht="15" hidden="false" customHeight="false" outlineLevel="0" collapsed="false">
      <c r="A206" s="9"/>
      <c r="B206" s="9"/>
      <c r="C206" s="9"/>
      <c r="D206" s="9"/>
      <c r="E206" s="14"/>
      <c r="F206" s="15" t="str">
        <f aca="false">IF(OR(A206="",B206=""),"",IF(MAX(N(E206),SUMPRODUCT(MAX(('Completion Log'!$B$5:$B$2004=A206)*('Completion Log'!$C$5:$C$2004=B206)*'Completion Log'!$A$5:$A$2004)))=0,"",MAX(N(E206),SUMPRODUCT(MAX(('Completion Log'!$B$5:$B$2004=A206)*('Completion Log'!$C$5:$C$2004=B206)*'Completion Log'!$A$5:$A$2004)))))</f>
        <v/>
      </c>
      <c r="G206" s="15" t="str">
        <f aca="true">IF(OR(A206="",B206="",OR(NOT(ISNUMBER(C206)),N(C206)&lt;=0)),"",IF(F206="",TODAY(),F206+C206))</f>
        <v/>
      </c>
      <c r="H206" s="16" t="str">
        <f aca="true">IF(G206="","",G206-TODAY())</f>
        <v/>
      </c>
      <c r="I206" s="17" t="str">
        <f aca="false">IF(AND(A206="",B206=""),"",IF(OR(A206="",B206=""),"Fill in asset and task",IF(OR(NOT(ISNUMBER(C206)),N(C206)&lt;=0),"Check frequency",IF(SUMPRODUCT(($A$5:$A$304=A206)*($B$5:$B$304=B206))&gt;1,"Duplicate row",IF(H206&lt;0,"OVERDUE",IF(H206&lt;=$I$2,"Due soon","OK"))))))</f>
        <v/>
      </c>
      <c r="J206" s="9"/>
    </row>
    <row r="207" customFormat="false" ht="15" hidden="false" customHeight="false" outlineLevel="0" collapsed="false">
      <c r="A207" s="9"/>
      <c r="B207" s="9"/>
      <c r="C207" s="9"/>
      <c r="D207" s="9"/>
      <c r="E207" s="14"/>
      <c r="F207" s="15" t="str">
        <f aca="false">IF(OR(A207="",B207=""),"",IF(MAX(N(E207),SUMPRODUCT(MAX(('Completion Log'!$B$5:$B$2004=A207)*('Completion Log'!$C$5:$C$2004=B207)*'Completion Log'!$A$5:$A$2004)))=0,"",MAX(N(E207),SUMPRODUCT(MAX(('Completion Log'!$B$5:$B$2004=A207)*('Completion Log'!$C$5:$C$2004=B207)*'Completion Log'!$A$5:$A$2004)))))</f>
        <v/>
      </c>
      <c r="G207" s="15" t="str">
        <f aca="true">IF(OR(A207="",B207="",OR(NOT(ISNUMBER(C207)),N(C207)&lt;=0)),"",IF(F207="",TODAY(),F207+C207))</f>
        <v/>
      </c>
      <c r="H207" s="16" t="str">
        <f aca="true">IF(G207="","",G207-TODAY())</f>
        <v/>
      </c>
      <c r="I207" s="17" t="str">
        <f aca="false">IF(AND(A207="",B207=""),"",IF(OR(A207="",B207=""),"Fill in asset and task",IF(OR(NOT(ISNUMBER(C207)),N(C207)&lt;=0),"Check frequency",IF(SUMPRODUCT(($A$5:$A$304=A207)*($B$5:$B$304=B207))&gt;1,"Duplicate row",IF(H207&lt;0,"OVERDUE",IF(H207&lt;=$I$2,"Due soon","OK"))))))</f>
        <v/>
      </c>
      <c r="J207" s="9"/>
    </row>
    <row r="208" customFormat="false" ht="15" hidden="false" customHeight="false" outlineLevel="0" collapsed="false">
      <c r="A208" s="9"/>
      <c r="B208" s="9"/>
      <c r="C208" s="9"/>
      <c r="D208" s="9"/>
      <c r="E208" s="14"/>
      <c r="F208" s="15" t="str">
        <f aca="false">IF(OR(A208="",B208=""),"",IF(MAX(N(E208),SUMPRODUCT(MAX(('Completion Log'!$B$5:$B$2004=A208)*('Completion Log'!$C$5:$C$2004=B208)*'Completion Log'!$A$5:$A$2004)))=0,"",MAX(N(E208),SUMPRODUCT(MAX(('Completion Log'!$B$5:$B$2004=A208)*('Completion Log'!$C$5:$C$2004=B208)*'Completion Log'!$A$5:$A$2004)))))</f>
        <v/>
      </c>
      <c r="G208" s="15" t="str">
        <f aca="true">IF(OR(A208="",B208="",OR(NOT(ISNUMBER(C208)),N(C208)&lt;=0)),"",IF(F208="",TODAY(),F208+C208))</f>
        <v/>
      </c>
      <c r="H208" s="16" t="str">
        <f aca="true">IF(G208="","",G208-TODAY())</f>
        <v/>
      </c>
      <c r="I208" s="17" t="str">
        <f aca="false">IF(AND(A208="",B208=""),"",IF(OR(A208="",B208=""),"Fill in asset and task",IF(OR(NOT(ISNUMBER(C208)),N(C208)&lt;=0),"Check frequency",IF(SUMPRODUCT(($A$5:$A$304=A208)*($B$5:$B$304=B208))&gt;1,"Duplicate row",IF(H208&lt;0,"OVERDUE",IF(H208&lt;=$I$2,"Due soon","OK"))))))</f>
        <v/>
      </c>
      <c r="J208" s="9"/>
    </row>
    <row r="209" customFormat="false" ht="15" hidden="false" customHeight="false" outlineLevel="0" collapsed="false">
      <c r="A209" s="9"/>
      <c r="B209" s="9"/>
      <c r="C209" s="9"/>
      <c r="D209" s="9"/>
      <c r="E209" s="14"/>
      <c r="F209" s="15" t="str">
        <f aca="false">IF(OR(A209="",B209=""),"",IF(MAX(N(E209),SUMPRODUCT(MAX(('Completion Log'!$B$5:$B$2004=A209)*('Completion Log'!$C$5:$C$2004=B209)*'Completion Log'!$A$5:$A$2004)))=0,"",MAX(N(E209),SUMPRODUCT(MAX(('Completion Log'!$B$5:$B$2004=A209)*('Completion Log'!$C$5:$C$2004=B209)*'Completion Log'!$A$5:$A$2004)))))</f>
        <v/>
      </c>
      <c r="G209" s="15" t="str">
        <f aca="true">IF(OR(A209="",B209="",OR(NOT(ISNUMBER(C209)),N(C209)&lt;=0)),"",IF(F209="",TODAY(),F209+C209))</f>
        <v/>
      </c>
      <c r="H209" s="16" t="str">
        <f aca="true">IF(G209="","",G209-TODAY())</f>
        <v/>
      </c>
      <c r="I209" s="17" t="str">
        <f aca="false">IF(AND(A209="",B209=""),"",IF(OR(A209="",B209=""),"Fill in asset and task",IF(OR(NOT(ISNUMBER(C209)),N(C209)&lt;=0),"Check frequency",IF(SUMPRODUCT(($A$5:$A$304=A209)*($B$5:$B$304=B209))&gt;1,"Duplicate row",IF(H209&lt;0,"OVERDUE",IF(H209&lt;=$I$2,"Due soon","OK"))))))</f>
        <v/>
      </c>
      <c r="J209" s="9"/>
    </row>
    <row r="210" customFormat="false" ht="15" hidden="false" customHeight="false" outlineLevel="0" collapsed="false">
      <c r="A210" s="9"/>
      <c r="B210" s="9"/>
      <c r="C210" s="9"/>
      <c r="D210" s="9"/>
      <c r="E210" s="14"/>
      <c r="F210" s="15" t="str">
        <f aca="false">IF(OR(A210="",B210=""),"",IF(MAX(N(E210),SUMPRODUCT(MAX(('Completion Log'!$B$5:$B$2004=A210)*('Completion Log'!$C$5:$C$2004=B210)*'Completion Log'!$A$5:$A$2004)))=0,"",MAX(N(E210),SUMPRODUCT(MAX(('Completion Log'!$B$5:$B$2004=A210)*('Completion Log'!$C$5:$C$2004=B210)*'Completion Log'!$A$5:$A$2004)))))</f>
        <v/>
      </c>
      <c r="G210" s="15" t="str">
        <f aca="true">IF(OR(A210="",B210="",OR(NOT(ISNUMBER(C210)),N(C210)&lt;=0)),"",IF(F210="",TODAY(),F210+C210))</f>
        <v/>
      </c>
      <c r="H210" s="16" t="str">
        <f aca="true">IF(G210="","",G210-TODAY())</f>
        <v/>
      </c>
      <c r="I210" s="17" t="str">
        <f aca="false">IF(AND(A210="",B210=""),"",IF(OR(A210="",B210=""),"Fill in asset and task",IF(OR(NOT(ISNUMBER(C210)),N(C210)&lt;=0),"Check frequency",IF(SUMPRODUCT(($A$5:$A$304=A210)*($B$5:$B$304=B210))&gt;1,"Duplicate row",IF(H210&lt;0,"OVERDUE",IF(H210&lt;=$I$2,"Due soon","OK"))))))</f>
        <v/>
      </c>
      <c r="J210" s="9"/>
    </row>
    <row r="211" customFormat="false" ht="15" hidden="false" customHeight="false" outlineLevel="0" collapsed="false">
      <c r="A211" s="9"/>
      <c r="B211" s="9"/>
      <c r="C211" s="9"/>
      <c r="D211" s="9"/>
      <c r="E211" s="14"/>
      <c r="F211" s="15" t="str">
        <f aca="false">IF(OR(A211="",B211=""),"",IF(MAX(N(E211),SUMPRODUCT(MAX(('Completion Log'!$B$5:$B$2004=A211)*('Completion Log'!$C$5:$C$2004=B211)*'Completion Log'!$A$5:$A$2004)))=0,"",MAX(N(E211),SUMPRODUCT(MAX(('Completion Log'!$B$5:$B$2004=A211)*('Completion Log'!$C$5:$C$2004=B211)*'Completion Log'!$A$5:$A$2004)))))</f>
        <v/>
      </c>
      <c r="G211" s="15" t="str">
        <f aca="true">IF(OR(A211="",B211="",OR(NOT(ISNUMBER(C211)),N(C211)&lt;=0)),"",IF(F211="",TODAY(),F211+C211))</f>
        <v/>
      </c>
      <c r="H211" s="16" t="str">
        <f aca="true">IF(G211="","",G211-TODAY())</f>
        <v/>
      </c>
      <c r="I211" s="17" t="str">
        <f aca="false">IF(AND(A211="",B211=""),"",IF(OR(A211="",B211=""),"Fill in asset and task",IF(OR(NOT(ISNUMBER(C211)),N(C211)&lt;=0),"Check frequency",IF(SUMPRODUCT(($A$5:$A$304=A211)*($B$5:$B$304=B211))&gt;1,"Duplicate row",IF(H211&lt;0,"OVERDUE",IF(H211&lt;=$I$2,"Due soon","OK"))))))</f>
        <v/>
      </c>
      <c r="J211" s="9"/>
    </row>
    <row r="212" customFormat="false" ht="15" hidden="false" customHeight="false" outlineLevel="0" collapsed="false">
      <c r="A212" s="9"/>
      <c r="B212" s="9"/>
      <c r="C212" s="9"/>
      <c r="D212" s="9"/>
      <c r="E212" s="14"/>
      <c r="F212" s="15" t="str">
        <f aca="false">IF(OR(A212="",B212=""),"",IF(MAX(N(E212),SUMPRODUCT(MAX(('Completion Log'!$B$5:$B$2004=A212)*('Completion Log'!$C$5:$C$2004=B212)*'Completion Log'!$A$5:$A$2004)))=0,"",MAX(N(E212),SUMPRODUCT(MAX(('Completion Log'!$B$5:$B$2004=A212)*('Completion Log'!$C$5:$C$2004=B212)*'Completion Log'!$A$5:$A$2004)))))</f>
        <v/>
      </c>
      <c r="G212" s="15" t="str">
        <f aca="true">IF(OR(A212="",B212="",OR(NOT(ISNUMBER(C212)),N(C212)&lt;=0)),"",IF(F212="",TODAY(),F212+C212))</f>
        <v/>
      </c>
      <c r="H212" s="16" t="str">
        <f aca="true">IF(G212="","",G212-TODAY())</f>
        <v/>
      </c>
      <c r="I212" s="17" t="str">
        <f aca="false">IF(AND(A212="",B212=""),"",IF(OR(A212="",B212=""),"Fill in asset and task",IF(OR(NOT(ISNUMBER(C212)),N(C212)&lt;=0),"Check frequency",IF(SUMPRODUCT(($A$5:$A$304=A212)*($B$5:$B$304=B212))&gt;1,"Duplicate row",IF(H212&lt;0,"OVERDUE",IF(H212&lt;=$I$2,"Due soon","OK"))))))</f>
        <v/>
      </c>
      <c r="J212" s="9"/>
    </row>
    <row r="213" customFormat="false" ht="15" hidden="false" customHeight="false" outlineLevel="0" collapsed="false">
      <c r="A213" s="9"/>
      <c r="B213" s="9"/>
      <c r="C213" s="9"/>
      <c r="D213" s="9"/>
      <c r="E213" s="14"/>
      <c r="F213" s="15" t="str">
        <f aca="false">IF(OR(A213="",B213=""),"",IF(MAX(N(E213),SUMPRODUCT(MAX(('Completion Log'!$B$5:$B$2004=A213)*('Completion Log'!$C$5:$C$2004=B213)*'Completion Log'!$A$5:$A$2004)))=0,"",MAX(N(E213),SUMPRODUCT(MAX(('Completion Log'!$B$5:$B$2004=A213)*('Completion Log'!$C$5:$C$2004=B213)*'Completion Log'!$A$5:$A$2004)))))</f>
        <v/>
      </c>
      <c r="G213" s="15" t="str">
        <f aca="true">IF(OR(A213="",B213="",OR(NOT(ISNUMBER(C213)),N(C213)&lt;=0)),"",IF(F213="",TODAY(),F213+C213))</f>
        <v/>
      </c>
      <c r="H213" s="16" t="str">
        <f aca="true">IF(G213="","",G213-TODAY())</f>
        <v/>
      </c>
      <c r="I213" s="17" t="str">
        <f aca="false">IF(AND(A213="",B213=""),"",IF(OR(A213="",B213=""),"Fill in asset and task",IF(OR(NOT(ISNUMBER(C213)),N(C213)&lt;=0),"Check frequency",IF(SUMPRODUCT(($A$5:$A$304=A213)*($B$5:$B$304=B213))&gt;1,"Duplicate row",IF(H213&lt;0,"OVERDUE",IF(H213&lt;=$I$2,"Due soon","OK"))))))</f>
        <v/>
      </c>
      <c r="J213" s="9"/>
    </row>
    <row r="214" customFormat="false" ht="15" hidden="false" customHeight="false" outlineLevel="0" collapsed="false">
      <c r="A214" s="9"/>
      <c r="B214" s="9"/>
      <c r="C214" s="9"/>
      <c r="D214" s="9"/>
      <c r="E214" s="14"/>
      <c r="F214" s="15" t="str">
        <f aca="false">IF(OR(A214="",B214=""),"",IF(MAX(N(E214),SUMPRODUCT(MAX(('Completion Log'!$B$5:$B$2004=A214)*('Completion Log'!$C$5:$C$2004=B214)*'Completion Log'!$A$5:$A$2004)))=0,"",MAX(N(E214),SUMPRODUCT(MAX(('Completion Log'!$B$5:$B$2004=A214)*('Completion Log'!$C$5:$C$2004=B214)*'Completion Log'!$A$5:$A$2004)))))</f>
        <v/>
      </c>
      <c r="G214" s="15" t="str">
        <f aca="true">IF(OR(A214="",B214="",OR(NOT(ISNUMBER(C214)),N(C214)&lt;=0)),"",IF(F214="",TODAY(),F214+C214))</f>
        <v/>
      </c>
      <c r="H214" s="16" t="str">
        <f aca="true">IF(G214="","",G214-TODAY())</f>
        <v/>
      </c>
      <c r="I214" s="17" t="str">
        <f aca="false">IF(AND(A214="",B214=""),"",IF(OR(A214="",B214=""),"Fill in asset and task",IF(OR(NOT(ISNUMBER(C214)),N(C214)&lt;=0),"Check frequency",IF(SUMPRODUCT(($A$5:$A$304=A214)*($B$5:$B$304=B214))&gt;1,"Duplicate row",IF(H214&lt;0,"OVERDUE",IF(H214&lt;=$I$2,"Due soon","OK"))))))</f>
        <v/>
      </c>
      <c r="J214" s="9"/>
    </row>
    <row r="215" customFormat="false" ht="15" hidden="false" customHeight="false" outlineLevel="0" collapsed="false">
      <c r="A215" s="9"/>
      <c r="B215" s="9"/>
      <c r="C215" s="9"/>
      <c r="D215" s="9"/>
      <c r="E215" s="14"/>
      <c r="F215" s="15" t="str">
        <f aca="false">IF(OR(A215="",B215=""),"",IF(MAX(N(E215),SUMPRODUCT(MAX(('Completion Log'!$B$5:$B$2004=A215)*('Completion Log'!$C$5:$C$2004=B215)*'Completion Log'!$A$5:$A$2004)))=0,"",MAX(N(E215),SUMPRODUCT(MAX(('Completion Log'!$B$5:$B$2004=A215)*('Completion Log'!$C$5:$C$2004=B215)*'Completion Log'!$A$5:$A$2004)))))</f>
        <v/>
      </c>
      <c r="G215" s="15" t="str">
        <f aca="true">IF(OR(A215="",B215="",OR(NOT(ISNUMBER(C215)),N(C215)&lt;=0)),"",IF(F215="",TODAY(),F215+C215))</f>
        <v/>
      </c>
      <c r="H215" s="16" t="str">
        <f aca="true">IF(G215="","",G215-TODAY())</f>
        <v/>
      </c>
      <c r="I215" s="17" t="str">
        <f aca="false">IF(AND(A215="",B215=""),"",IF(OR(A215="",B215=""),"Fill in asset and task",IF(OR(NOT(ISNUMBER(C215)),N(C215)&lt;=0),"Check frequency",IF(SUMPRODUCT(($A$5:$A$304=A215)*($B$5:$B$304=B215))&gt;1,"Duplicate row",IF(H215&lt;0,"OVERDUE",IF(H215&lt;=$I$2,"Due soon","OK"))))))</f>
        <v/>
      </c>
      <c r="J215" s="9"/>
    </row>
    <row r="216" customFormat="false" ht="15" hidden="false" customHeight="false" outlineLevel="0" collapsed="false">
      <c r="A216" s="9"/>
      <c r="B216" s="9"/>
      <c r="C216" s="9"/>
      <c r="D216" s="9"/>
      <c r="E216" s="14"/>
      <c r="F216" s="15" t="str">
        <f aca="false">IF(OR(A216="",B216=""),"",IF(MAX(N(E216),SUMPRODUCT(MAX(('Completion Log'!$B$5:$B$2004=A216)*('Completion Log'!$C$5:$C$2004=B216)*'Completion Log'!$A$5:$A$2004)))=0,"",MAX(N(E216),SUMPRODUCT(MAX(('Completion Log'!$B$5:$B$2004=A216)*('Completion Log'!$C$5:$C$2004=B216)*'Completion Log'!$A$5:$A$2004)))))</f>
        <v/>
      </c>
      <c r="G216" s="15" t="str">
        <f aca="true">IF(OR(A216="",B216="",OR(NOT(ISNUMBER(C216)),N(C216)&lt;=0)),"",IF(F216="",TODAY(),F216+C216))</f>
        <v/>
      </c>
      <c r="H216" s="16" t="str">
        <f aca="true">IF(G216="","",G216-TODAY())</f>
        <v/>
      </c>
      <c r="I216" s="17" t="str">
        <f aca="false">IF(AND(A216="",B216=""),"",IF(OR(A216="",B216=""),"Fill in asset and task",IF(OR(NOT(ISNUMBER(C216)),N(C216)&lt;=0),"Check frequency",IF(SUMPRODUCT(($A$5:$A$304=A216)*($B$5:$B$304=B216))&gt;1,"Duplicate row",IF(H216&lt;0,"OVERDUE",IF(H216&lt;=$I$2,"Due soon","OK"))))))</f>
        <v/>
      </c>
      <c r="J216" s="9"/>
    </row>
    <row r="217" customFormat="false" ht="15" hidden="false" customHeight="false" outlineLevel="0" collapsed="false">
      <c r="A217" s="9"/>
      <c r="B217" s="9"/>
      <c r="C217" s="9"/>
      <c r="D217" s="9"/>
      <c r="E217" s="14"/>
      <c r="F217" s="15" t="str">
        <f aca="false">IF(OR(A217="",B217=""),"",IF(MAX(N(E217),SUMPRODUCT(MAX(('Completion Log'!$B$5:$B$2004=A217)*('Completion Log'!$C$5:$C$2004=B217)*'Completion Log'!$A$5:$A$2004)))=0,"",MAX(N(E217),SUMPRODUCT(MAX(('Completion Log'!$B$5:$B$2004=A217)*('Completion Log'!$C$5:$C$2004=B217)*'Completion Log'!$A$5:$A$2004)))))</f>
        <v/>
      </c>
      <c r="G217" s="15" t="str">
        <f aca="true">IF(OR(A217="",B217="",OR(NOT(ISNUMBER(C217)),N(C217)&lt;=0)),"",IF(F217="",TODAY(),F217+C217))</f>
        <v/>
      </c>
      <c r="H217" s="16" t="str">
        <f aca="true">IF(G217="","",G217-TODAY())</f>
        <v/>
      </c>
      <c r="I217" s="17" t="str">
        <f aca="false">IF(AND(A217="",B217=""),"",IF(OR(A217="",B217=""),"Fill in asset and task",IF(OR(NOT(ISNUMBER(C217)),N(C217)&lt;=0),"Check frequency",IF(SUMPRODUCT(($A$5:$A$304=A217)*($B$5:$B$304=B217))&gt;1,"Duplicate row",IF(H217&lt;0,"OVERDUE",IF(H217&lt;=$I$2,"Due soon","OK"))))))</f>
        <v/>
      </c>
      <c r="J217" s="9"/>
    </row>
    <row r="218" customFormat="false" ht="15" hidden="false" customHeight="false" outlineLevel="0" collapsed="false">
      <c r="A218" s="9"/>
      <c r="B218" s="9"/>
      <c r="C218" s="9"/>
      <c r="D218" s="9"/>
      <c r="E218" s="14"/>
      <c r="F218" s="15" t="str">
        <f aca="false">IF(OR(A218="",B218=""),"",IF(MAX(N(E218),SUMPRODUCT(MAX(('Completion Log'!$B$5:$B$2004=A218)*('Completion Log'!$C$5:$C$2004=B218)*'Completion Log'!$A$5:$A$2004)))=0,"",MAX(N(E218),SUMPRODUCT(MAX(('Completion Log'!$B$5:$B$2004=A218)*('Completion Log'!$C$5:$C$2004=B218)*'Completion Log'!$A$5:$A$2004)))))</f>
        <v/>
      </c>
      <c r="G218" s="15" t="str">
        <f aca="true">IF(OR(A218="",B218="",OR(NOT(ISNUMBER(C218)),N(C218)&lt;=0)),"",IF(F218="",TODAY(),F218+C218))</f>
        <v/>
      </c>
      <c r="H218" s="16" t="str">
        <f aca="true">IF(G218="","",G218-TODAY())</f>
        <v/>
      </c>
      <c r="I218" s="17" t="str">
        <f aca="false">IF(AND(A218="",B218=""),"",IF(OR(A218="",B218=""),"Fill in asset and task",IF(OR(NOT(ISNUMBER(C218)),N(C218)&lt;=0),"Check frequency",IF(SUMPRODUCT(($A$5:$A$304=A218)*($B$5:$B$304=B218))&gt;1,"Duplicate row",IF(H218&lt;0,"OVERDUE",IF(H218&lt;=$I$2,"Due soon","OK"))))))</f>
        <v/>
      </c>
      <c r="J218" s="9"/>
    </row>
    <row r="219" customFormat="false" ht="15" hidden="false" customHeight="false" outlineLevel="0" collapsed="false">
      <c r="A219" s="9"/>
      <c r="B219" s="9"/>
      <c r="C219" s="9"/>
      <c r="D219" s="9"/>
      <c r="E219" s="14"/>
      <c r="F219" s="15" t="str">
        <f aca="false">IF(OR(A219="",B219=""),"",IF(MAX(N(E219),SUMPRODUCT(MAX(('Completion Log'!$B$5:$B$2004=A219)*('Completion Log'!$C$5:$C$2004=B219)*'Completion Log'!$A$5:$A$2004)))=0,"",MAX(N(E219),SUMPRODUCT(MAX(('Completion Log'!$B$5:$B$2004=A219)*('Completion Log'!$C$5:$C$2004=B219)*'Completion Log'!$A$5:$A$2004)))))</f>
        <v/>
      </c>
      <c r="G219" s="15" t="str">
        <f aca="true">IF(OR(A219="",B219="",OR(NOT(ISNUMBER(C219)),N(C219)&lt;=0)),"",IF(F219="",TODAY(),F219+C219))</f>
        <v/>
      </c>
      <c r="H219" s="16" t="str">
        <f aca="true">IF(G219="","",G219-TODAY())</f>
        <v/>
      </c>
      <c r="I219" s="17" t="str">
        <f aca="false">IF(AND(A219="",B219=""),"",IF(OR(A219="",B219=""),"Fill in asset and task",IF(OR(NOT(ISNUMBER(C219)),N(C219)&lt;=0),"Check frequency",IF(SUMPRODUCT(($A$5:$A$304=A219)*($B$5:$B$304=B219))&gt;1,"Duplicate row",IF(H219&lt;0,"OVERDUE",IF(H219&lt;=$I$2,"Due soon","OK"))))))</f>
        <v/>
      </c>
      <c r="J219" s="9"/>
    </row>
    <row r="220" customFormat="false" ht="15" hidden="false" customHeight="false" outlineLevel="0" collapsed="false">
      <c r="A220" s="9"/>
      <c r="B220" s="9"/>
      <c r="C220" s="9"/>
      <c r="D220" s="9"/>
      <c r="E220" s="14"/>
      <c r="F220" s="15" t="str">
        <f aca="false">IF(OR(A220="",B220=""),"",IF(MAX(N(E220),SUMPRODUCT(MAX(('Completion Log'!$B$5:$B$2004=A220)*('Completion Log'!$C$5:$C$2004=B220)*'Completion Log'!$A$5:$A$2004)))=0,"",MAX(N(E220),SUMPRODUCT(MAX(('Completion Log'!$B$5:$B$2004=A220)*('Completion Log'!$C$5:$C$2004=B220)*'Completion Log'!$A$5:$A$2004)))))</f>
        <v/>
      </c>
      <c r="G220" s="15" t="str">
        <f aca="true">IF(OR(A220="",B220="",OR(NOT(ISNUMBER(C220)),N(C220)&lt;=0)),"",IF(F220="",TODAY(),F220+C220))</f>
        <v/>
      </c>
      <c r="H220" s="16" t="str">
        <f aca="true">IF(G220="","",G220-TODAY())</f>
        <v/>
      </c>
      <c r="I220" s="17" t="str">
        <f aca="false">IF(AND(A220="",B220=""),"",IF(OR(A220="",B220=""),"Fill in asset and task",IF(OR(NOT(ISNUMBER(C220)),N(C220)&lt;=0),"Check frequency",IF(SUMPRODUCT(($A$5:$A$304=A220)*($B$5:$B$304=B220))&gt;1,"Duplicate row",IF(H220&lt;0,"OVERDUE",IF(H220&lt;=$I$2,"Due soon","OK"))))))</f>
        <v/>
      </c>
      <c r="J220" s="9"/>
    </row>
    <row r="221" customFormat="false" ht="15" hidden="false" customHeight="false" outlineLevel="0" collapsed="false">
      <c r="A221" s="9"/>
      <c r="B221" s="9"/>
      <c r="C221" s="9"/>
      <c r="D221" s="9"/>
      <c r="E221" s="14"/>
      <c r="F221" s="15" t="str">
        <f aca="false">IF(OR(A221="",B221=""),"",IF(MAX(N(E221),SUMPRODUCT(MAX(('Completion Log'!$B$5:$B$2004=A221)*('Completion Log'!$C$5:$C$2004=B221)*'Completion Log'!$A$5:$A$2004)))=0,"",MAX(N(E221),SUMPRODUCT(MAX(('Completion Log'!$B$5:$B$2004=A221)*('Completion Log'!$C$5:$C$2004=B221)*'Completion Log'!$A$5:$A$2004)))))</f>
        <v/>
      </c>
      <c r="G221" s="15" t="str">
        <f aca="true">IF(OR(A221="",B221="",OR(NOT(ISNUMBER(C221)),N(C221)&lt;=0)),"",IF(F221="",TODAY(),F221+C221))</f>
        <v/>
      </c>
      <c r="H221" s="16" t="str">
        <f aca="true">IF(G221="","",G221-TODAY())</f>
        <v/>
      </c>
      <c r="I221" s="17" t="str">
        <f aca="false">IF(AND(A221="",B221=""),"",IF(OR(A221="",B221=""),"Fill in asset and task",IF(OR(NOT(ISNUMBER(C221)),N(C221)&lt;=0),"Check frequency",IF(SUMPRODUCT(($A$5:$A$304=A221)*($B$5:$B$304=B221))&gt;1,"Duplicate row",IF(H221&lt;0,"OVERDUE",IF(H221&lt;=$I$2,"Due soon","OK"))))))</f>
        <v/>
      </c>
      <c r="J221" s="9"/>
    </row>
    <row r="222" customFormat="false" ht="15" hidden="false" customHeight="false" outlineLevel="0" collapsed="false">
      <c r="A222" s="9"/>
      <c r="B222" s="9"/>
      <c r="C222" s="9"/>
      <c r="D222" s="9"/>
      <c r="E222" s="14"/>
      <c r="F222" s="15" t="str">
        <f aca="false">IF(OR(A222="",B222=""),"",IF(MAX(N(E222),SUMPRODUCT(MAX(('Completion Log'!$B$5:$B$2004=A222)*('Completion Log'!$C$5:$C$2004=B222)*'Completion Log'!$A$5:$A$2004)))=0,"",MAX(N(E222),SUMPRODUCT(MAX(('Completion Log'!$B$5:$B$2004=A222)*('Completion Log'!$C$5:$C$2004=B222)*'Completion Log'!$A$5:$A$2004)))))</f>
        <v/>
      </c>
      <c r="G222" s="15" t="str">
        <f aca="true">IF(OR(A222="",B222="",OR(NOT(ISNUMBER(C222)),N(C222)&lt;=0)),"",IF(F222="",TODAY(),F222+C222))</f>
        <v/>
      </c>
      <c r="H222" s="16" t="str">
        <f aca="true">IF(G222="","",G222-TODAY())</f>
        <v/>
      </c>
      <c r="I222" s="17" t="str">
        <f aca="false">IF(AND(A222="",B222=""),"",IF(OR(A222="",B222=""),"Fill in asset and task",IF(OR(NOT(ISNUMBER(C222)),N(C222)&lt;=0),"Check frequency",IF(SUMPRODUCT(($A$5:$A$304=A222)*($B$5:$B$304=B222))&gt;1,"Duplicate row",IF(H222&lt;0,"OVERDUE",IF(H222&lt;=$I$2,"Due soon","OK"))))))</f>
        <v/>
      </c>
      <c r="J222" s="9"/>
    </row>
    <row r="223" customFormat="false" ht="15" hidden="false" customHeight="false" outlineLevel="0" collapsed="false">
      <c r="A223" s="9"/>
      <c r="B223" s="9"/>
      <c r="C223" s="9"/>
      <c r="D223" s="9"/>
      <c r="E223" s="14"/>
      <c r="F223" s="15" t="str">
        <f aca="false">IF(OR(A223="",B223=""),"",IF(MAX(N(E223),SUMPRODUCT(MAX(('Completion Log'!$B$5:$B$2004=A223)*('Completion Log'!$C$5:$C$2004=B223)*'Completion Log'!$A$5:$A$2004)))=0,"",MAX(N(E223),SUMPRODUCT(MAX(('Completion Log'!$B$5:$B$2004=A223)*('Completion Log'!$C$5:$C$2004=B223)*'Completion Log'!$A$5:$A$2004)))))</f>
        <v/>
      </c>
      <c r="G223" s="15" t="str">
        <f aca="true">IF(OR(A223="",B223="",OR(NOT(ISNUMBER(C223)),N(C223)&lt;=0)),"",IF(F223="",TODAY(),F223+C223))</f>
        <v/>
      </c>
      <c r="H223" s="16" t="str">
        <f aca="true">IF(G223="","",G223-TODAY())</f>
        <v/>
      </c>
      <c r="I223" s="17" t="str">
        <f aca="false">IF(AND(A223="",B223=""),"",IF(OR(A223="",B223=""),"Fill in asset and task",IF(OR(NOT(ISNUMBER(C223)),N(C223)&lt;=0),"Check frequency",IF(SUMPRODUCT(($A$5:$A$304=A223)*($B$5:$B$304=B223))&gt;1,"Duplicate row",IF(H223&lt;0,"OVERDUE",IF(H223&lt;=$I$2,"Due soon","OK"))))))</f>
        <v/>
      </c>
      <c r="J223" s="9"/>
    </row>
    <row r="224" customFormat="false" ht="15" hidden="false" customHeight="false" outlineLevel="0" collapsed="false">
      <c r="A224" s="9"/>
      <c r="B224" s="9"/>
      <c r="C224" s="9"/>
      <c r="D224" s="9"/>
      <c r="E224" s="14"/>
      <c r="F224" s="15" t="str">
        <f aca="false">IF(OR(A224="",B224=""),"",IF(MAX(N(E224),SUMPRODUCT(MAX(('Completion Log'!$B$5:$B$2004=A224)*('Completion Log'!$C$5:$C$2004=B224)*'Completion Log'!$A$5:$A$2004)))=0,"",MAX(N(E224),SUMPRODUCT(MAX(('Completion Log'!$B$5:$B$2004=A224)*('Completion Log'!$C$5:$C$2004=B224)*'Completion Log'!$A$5:$A$2004)))))</f>
        <v/>
      </c>
      <c r="G224" s="15" t="str">
        <f aca="true">IF(OR(A224="",B224="",OR(NOT(ISNUMBER(C224)),N(C224)&lt;=0)),"",IF(F224="",TODAY(),F224+C224))</f>
        <v/>
      </c>
      <c r="H224" s="16" t="str">
        <f aca="true">IF(G224="","",G224-TODAY())</f>
        <v/>
      </c>
      <c r="I224" s="17" t="str">
        <f aca="false">IF(AND(A224="",B224=""),"",IF(OR(A224="",B224=""),"Fill in asset and task",IF(OR(NOT(ISNUMBER(C224)),N(C224)&lt;=0),"Check frequency",IF(SUMPRODUCT(($A$5:$A$304=A224)*($B$5:$B$304=B224))&gt;1,"Duplicate row",IF(H224&lt;0,"OVERDUE",IF(H224&lt;=$I$2,"Due soon","OK"))))))</f>
        <v/>
      </c>
      <c r="J224" s="9"/>
    </row>
    <row r="225" customFormat="false" ht="15" hidden="false" customHeight="false" outlineLevel="0" collapsed="false">
      <c r="A225" s="9"/>
      <c r="B225" s="9"/>
      <c r="C225" s="9"/>
      <c r="D225" s="9"/>
      <c r="E225" s="14"/>
      <c r="F225" s="15" t="str">
        <f aca="false">IF(OR(A225="",B225=""),"",IF(MAX(N(E225),SUMPRODUCT(MAX(('Completion Log'!$B$5:$B$2004=A225)*('Completion Log'!$C$5:$C$2004=B225)*'Completion Log'!$A$5:$A$2004)))=0,"",MAX(N(E225),SUMPRODUCT(MAX(('Completion Log'!$B$5:$B$2004=A225)*('Completion Log'!$C$5:$C$2004=B225)*'Completion Log'!$A$5:$A$2004)))))</f>
        <v/>
      </c>
      <c r="G225" s="15" t="str">
        <f aca="true">IF(OR(A225="",B225="",OR(NOT(ISNUMBER(C225)),N(C225)&lt;=0)),"",IF(F225="",TODAY(),F225+C225))</f>
        <v/>
      </c>
      <c r="H225" s="16" t="str">
        <f aca="true">IF(G225="","",G225-TODAY())</f>
        <v/>
      </c>
      <c r="I225" s="17" t="str">
        <f aca="false">IF(AND(A225="",B225=""),"",IF(OR(A225="",B225=""),"Fill in asset and task",IF(OR(NOT(ISNUMBER(C225)),N(C225)&lt;=0),"Check frequency",IF(SUMPRODUCT(($A$5:$A$304=A225)*($B$5:$B$304=B225))&gt;1,"Duplicate row",IF(H225&lt;0,"OVERDUE",IF(H225&lt;=$I$2,"Due soon","OK"))))))</f>
        <v/>
      </c>
      <c r="J225" s="9"/>
    </row>
    <row r="226" customFormat="false" ht="15" hidden="false" customHeight="false" outlineLevel="0" collapsed="false">
      <c r="A226" s="9"/>
      <c r="B226" s="9"/>
      <c r="C226" s="9"/>
      <c r="D226" s="9"/>
      <c r="E226" s="14"/>
      <c r="F226" s="15" t="str">
        <f aca="false">IF(OR(A226="",B226=""),"",IF(MAX(N(E226),SUMPRODUCT(MAX(('Completion Log'!$B$5:$B$2004=A226)*('Completion Log'!$C$5:$C$2004=B226)*'Completion Log'!$A$5:$A$2004)))=0,"",MAX(N(E226),SUMPRODUCT(MAX(('Completion Log'!$B$5:$B$2004=A226)*('Completion Log'!$C$5:$C$2004=B226)*'Completion Log'!$A$5:$A$2004)))))</f>
        <v/>
      </c>
      <c r="G226" s="15" t="str">
        <f aca="true">IF(OR(A226="",B226="",OR(NOT(ISNUMBER(C226)),N(C226)&lt;=0)),"",IF(F226="",TODAY(),F226+C226))</f>
        <v/>
      </c>
      <c r="H226" s="16" t="str">
        <f aca="true">IF(G226="","",G226-TODAY())</f>
        <v/>
      </c>
      <c r="I226" s="17" t="str">
        <f aca="false">IF(AND(A226="",B226=""),"",IF(OR(A226="",B226=""),"Fill in asset and task",IF(OR(NOT(ISNUMBER(C226)),N(C226)&lt;=0),"Check frequency",IF(SUMPRODUCT(($A$5:$A$304=A226)*($B$5:$B$304=B226))&gt;1,"Duplicate row",IF(H226&lt;0,"OVERDUE",IF(H226&lt;=$I$2,"Due soon","OK"))))))</f>
        <v/>
      </c>
      <c r="J226" s="9"/>
    </row>
    <row r="227" customFormat="false" ht="15" hidden="false" customHeight="false" outlineLevel="0" collapsed="false">
      <c r="A227" s="9"/>
      <c r="B227" s="9"/>
      <c r="C227" s="9"/>
      <c r="D227" s="9"/>
      <c r="E227" s="14"/>
      <c r="F227" s="15" t="str">
        <f aca="false">IF(OR(A227="",B227=""),"",IF(MAX(N(E227),SUMPRODUCT(MAX(('Completion Log'!$B$5:$B$2004=A227)*('Completion Log'!$C$5:$C$2004=B227)*'Completion Log'!$A$5:$A$2004)))=0,"",MAX(N(E227),SUMPRODUCT(MAX(('Completion Log'!$B$5:$B$2004=A227)*('Completion Log'!$C$5:$C$2004=B227)*'Completion Log'!$A$5:$A$2004)))))</f>
        <v/>
      </c>
      <c r="G227" s="15" t="str">
        <f aca="true">IF(OR(A227="",B227="",OR(NOT(ISNUMBER(C227)),N(C227)&lt;=0)),"",IF(F227="",TODAY(),F227+C227))</f>
        <v/>
      </c>
      <c r="H227" s="16" t="str">
        <f aca="true">IF(G227="","",G227-TODAY())</f>
        <v/>
      </c>
      <c r="I227" s="17" t="str">
        <f aca="false">IF(AND(A227="",B227=""),"",IF(OR(A227="",B227=""),"Fill in asset and task",IF(OR(NOT(ISNUMBER(C227)),N(C227)&lt;=0),"Check frequency",IF(SUMPRODUCT(($A$5:$A$304=A227)*($B$5:$B$304=B227))&gt;1,"Duplicate row",IF(H227&lt;0,"OVERDUE",IF(H227&lt;=$I$2,"Due soon","OK"))))))</f>
        <v/>
      </c>
      <c r="J227" s="9"/>
    </row>
    <row r="228" customFormat="false" ht="15" hidden="false" customHeight="false" outlineLevel="0" collapsed="false">
      <c r="A228" s="9"/>
      <c r="B228" s="9"/>
      <c r="C228" s="9"/>
      <c r="D228" s="9"/>
      <c r="E228" s="14"/>
      <c r="F228" s="15" t="str">
        <f aca="false">IF(OR(A228="",B228=""),"",IF(MAX(N(E228),SUMPRODUCT(MAX(('Completion Log'!$B$5:$B$2004=A228)*('Completion Log'!$C$5:$C$2004=B228)*'Completion Log'!$A$5:$A$2004)))=0,"",MAX(N(E228),SUMPRODUCT(MAX(('Completion Log'!$B$5:$B$2004=A228)*('Completion Log'!$C$5:$C$2004=B228)*'Completion Log'!$A$5:$A$2004)))))</f>
        <v/>
      </c>
      <c r="G228" s="15" t="str">
        <f aca="true">IF(OR(A228="",B228="",OR(NOT(ISNUMBER(C228)),N(C228)&lt;=0)),"",IF(F228="",TODAY(),F228+C228))</f>
        <v/>
      </c>
      <c r="H228" s="16" t="str">
        <f aca="true">IF(G228="","",G228-TODAY())</f>
        <v/>
      </c>
      <c r="I228" s="17" t="str">
        <f aca="false">IF(AND(A228="",B228=""),"",IF(OR(A228="",B228=""),"Fill in asset and task",IF(OR(NOT(ISNUMBER(C228)),N(C228)&lt;=0),"Check frequency",IF(SUMPRODUCT(($A$5:$A$304=A228)*($B$5:$B$304=B228))&gt;1,"Duplicate row",IF(H228&lt;0,"OVERDUE",IF(H228&lt;=$I$2,"Due soon","OK"))))))</f>
        <v/>
      </c>
      <c r="J228" s="9"/>
    </row>
    <row r="229" customFormat="false" ht="15" hidden="false" customHeight="false" outlineLevel="0" collapsed="false">
      <c r="A229" s="9"/>
      <c r="B229" s="9"/>
      <c r="C229" s="9"/>
      <c r="D229" s="9"/>
      <c r="E229" s="14"/>
      <c r="F229" s="15" t="str">
        <f aca="false">IF(OR(A229="",B229=""),"",IF(MAX(N(E229),SUMPRODUCT(MAX(('Completion Log'!$B$5:$B$2004=A229)*('Completion Log'!$C$5:$C$2004=B229)*'Completion Log'!$A$5:$A$2004)))=0,"",MAX(N(E229),SUMPRODUCT(MAX(('Completion Log'!$B$5:$B$2004=A229)*('Completion Log'!$C$5:$C$2004=B229)*'Completion Log'!$A$5:$A$2004)))))</f>
        <v/>
      </c>
      <c r="G229" s="15" t="str">
        <f aca="true">IF(OR(A229="",B229="",OR(NOT(ISNUMBER(C229)),N(C229)&lt;=0)),"",IF(F229="",TODAY(),F229+C229))</f>
        <v/>
      </c>
      <c r="H229" s="16" t="str">
        <f aca="true">IF(G229="","",G229-TODAY())</f>
        <v/>
      </c>
      <c r="I229" s="17" t="str">
        <f aca="false">IF(AND(A229="",B229=""),"",IF(OR(A229="",B229=""),"Fill in asset and task",IF(OR(NOT(ISNUMBER(C229)),N(C229)&lt;=0),"Check frequency",IF(SUMPRODUCT(($A$5:$A$304=A229)*($B$5:$B$304=B229))&gt;1,"Duplicate row",IF(H229&lt;0,"OVERDUE",IF(H229&lt;=$I$2,"Due soon","OK"))))))</f>
        <v/>
      </c>
      <c r="J229" s="9"/>
    </row>
    <row r="230" customFormat="false" ht="15" hidden="false" customHeight="false" outlineLevel="0" collapsed="false">
      <c r="A230" s="9"/>
      <c r="B230" s="9"/>
      <c r="C230" s="9"/>
      <c r="D230" s="9"/>
      <c r="E230" s="14"/>
      <c r="F230" s="15" t="str">
        <f aca="false">IF(OR(A230="",B230=""),"",IF(MAX(N(E230),SUMPRODUCT(MAX(('Completion Log'!$B$5:$B$2004=A230)*('Completion Log'!$C$5:$C$2004=B230)*'Completion Log'!$A$5:$A$2004)))=0,"",MAX(N(E230),SUMPRODUCT(MAX(('Completion Log'!$B$5:$B$2004=A230)*('Completion Log'!$C$5:$C$2004=B230)*'Completion Log'!$A$5:$A$2004)))))</f>
        <v/>
      </c>
      <c r="G230" s="15" t="str">
        <f aca="true">IF(OR(A230="",B230="",OR(NOT(ISNUMBER(C230)),N(C230)&lt;=0)),"",IF(F230="",TODAY(),F230+C230))</f>
        <v/>
      </c>
      <c r="H230" s="16" t="str">
        <f aca="true">IF(G230="","",G230-TODAY())</f>
        <v/>
      </c>
      <c r="I230" s="17" t="str">
        <f aca="false">IF(AND(A230="",B230=""),"",IF(OR(A230="",B230=""),"Fill in asset and task",IF(OR(NOT(ISNUMBER(C230)),N(C230)&lt;=0),"Check frequency",IF(SUMPRODUCT(($A$5:$A$304=A230)*($B$5:$B$304=B230))&gt;1,"Duplicate row",IF(H230&lt;0,"OVERDUE",IF(H230&lt;=$I$2,"Due soon","OK"))))))</f>
        <v/>
      </c>
      <c r="J230" s="9"/>
    </row>
    <row r="231" customFormat="false" ht="15" hidden="false" customHeight="false" outlineLevel="0" collapsed="false">
      <c r="A231" s="9"/>
      <c r="B231" s="9"/>
      <c r="C231" s="9"/>
      <c r="D231" s="9"/>
      <c r="E231" s="14"/>
      <c r="F231" s="15" t="str">
        <f aca="false">IF(OR(A231="",B231=""),"",IF(MAX(N(E231),SUMPRODUCT(MAX(('Completion Log'!$B$5:$B$2004=A231)*('Completion Log'!$C$5:$C$2004=B231)*'Completion Log'!$A$5:$A$2004)))=0,"",MAX(N(E231),SUMPRODUCT(MAX(('Completion Log'!$B$5:$B$2004=A231)*('Completion Log'!$C$5:$C$2004=B231)*'Completion Log'!$A$5:$A$2004)))))</f>
        <v/>
      </c>
      <c r="G231" s="15" t="str">
        <f aca="true">IF(OR(A231="",B231="",OR(NOT(ISNUMBER(C231)),N(C231)&lt;=0)),"",IF(F231="",TODAY(),F231+C231))</f>
        <v/>
      </c>
      <c r="H231" s="16" t="str">
        <f aca="true">IF(G231="","",G231-TODAY())</f>
        <v/>
      </c>
      <c r="I231" s="17" t="str">
        <f aca="false">IF(AND(A231="",B231=""),"",IF(OR(A231="",B231=""),"Fill in asset and task",IF(OR(NOT(ISNUMBER(C231)),N(C231)&lt;=0),"Check frequency",IF(SUMPRODUCT(($A$5:$A$304=A231)*($B$5:$B$304=B231))&gt;1,"Duplicate row",IF(H231&lt;0,"OVERDUE",IF(H231&lt;=$I$2,"Due soon","OK"))))))</f>
        <v/>
      </c>
      <c r="J231" s="9"/>
    </row>
    <row r="232" customFormat="false" ht="15" hidden="false" customHeight="false" outlineLevel="0" collapsed="false">
      <c r="A232" s="9"/>
      <c r="B232" s="9"/>
      <c r="C232" s="9"/>
      <c r="D232" s="9"/>
      <c r="E232" s="14"/>
      <c r="F232" s="15" t="str">
        <f aca="false">IF(OR(A232="",B232=""),"",IF(MAX(N(E232),SUMPRODUCT(MAX(('Completion Log'!$B$5:$B$2004=A232)*('Completion Log'!$C$5:$C$2004=B232)*'Completion Log'!$A$5:$A$2004)))=0,"",MAX(N(E232),SUMPRODUCT(MAX(('Completion Log'!$B$5:$B$2004=A232)*('Completion Log'!$C$5:$C$2004=B232)*'Completion Log'!$A$5:$A$2004)))))</f>
        <v/>
      </c>
      <c r="G232" s="15" t="str">
        <f aca="true">IF(OR(A232="",B232="",OR(NOT(ISNUMBER(C232)),N(C232)&lt;=0)),"",IF(F232="",TODAY(),F232+C232))</f>
        <v/>
      </c>
      <c r="H232" s="16" t="str">
        <f aca="true">IF(G232="","",G232-TODAY())</f>
        <v/>
      </c>
      <c r="I232" s="17" t="str">
        <f aca="false">IF(AND(A232="",B232=""),"",IF(OR(A232="",B232=""),"Fill in asset and task",IF(OR(NOT(ISNUMBER(C232)),N(C232)&lt;=0),"Check frequency",IF(SUMPRODUCT(($A$5:$A$304=A232)*($B$5:$B$304=B232))&gt;1,"Duplicate row",IF(H232&lt;0,"OVERDUE",IF(H232&lt;=$I$2,"Due soon","OK"))))))</f>
        <v/>
      </c>
      <c r="J232" s="9"/>
    </row>
    <row r="233" customFormat="false" ht="15" hidden="false" customHeight="false" outlineLevel="0" collapsed="false">
      <c r="A233" s="9"/>
      <c r="B233" s="9"/>
      <c r="C233" s="9"/>
      <c r="D233" s="9"/>
      <c r="E233" s="14"/>
      <c r="F233" s="15" t="str">
        <f aca="false">IF(OR(A233="",B233=""),"",IF(MAX(N(E233),SUMPRODUCT(MAX(('Completion Log'!$B$5:$B$2004=A233)*('Completion Log'!$C$5:$C$2004=B233)*'Completion Log'!$A$5:$A$2004)))=0,"",MAX(N(E233),SUMPRODUCT(MAX(('Completion Log'!$B$5:$B$2004=A233)*('Completion Log'!$C$5:$C$2004=B233)*'Completion Log'!$A$5:$A$2004)))))</f>
        <v/>
      </c>
      <c r="G233" s="15" t="str">
        <f aca="true">IF(OR(A233="",B233="",OR(NOT(ISNUMBER(C233)),N(C233)&lt;=0)),"",IF(F233="",TODAY(),F233+C233))</f>
        <v/>
      </c>
      <c r="H233" s="16" t="str">
        <f aca="true">IF(G233="","",G233-TODAY())</f>
        <v/>
      </c>
      <c r="I233" s="17" t="str">
        <f aca="false">IF(AND(A233="",B233=""),"",IF(OR(A233="",B233=""),"Fill in asset and task",IF(OR(NOT(ISNUMBER(C233)),N(C233)&lt;=0),"Check frequency",IF(SUMPRODUCT(($A$5:$A$304=A233)*($B$5:$B$304=B233))&gt;1,"Duplicate row",IF(H233&lt;0,"OVERDUE",IF(H233&lt;=$I$2,"Due soon","OK"))))))</f>
        <v/>
      </c>
      <c r="J233" s="9"/>
    </row>
    <row r="234" customFormat="false" ht="15" hidden="false" customHeight="false" outlineLevel="0" collapsed="false">
      <c r="A234" s="9"/>
      <c r="B234" s="9"/>
      <c r="C234" s="9"/>
      <c r="D234" s="9"/>
      <c r="E234" s="14"/>
      <c r="F234" s="15" t="str">
        <f aca="false">IF(OR(A234="",B234=""),"",IF(MAX(N(E234),SUMPRODUCT(MAX(('Completion Log'!$B$5:$B$2004=A234)*('Completion Log'!$C$5:$C$2004=B234)*'Completion Log'!$A$5:$A$2004)))=0,"",MAX(N(E234),SUMPRODUCT(MAX(('Completion Log'!$B$5:$B$2004=A234)*('Completion Log'!$C$5:$C$2004=B234)*'Completion Log'!$A$5:$A$2004)))))</f>
        <v/>
      </c>
      <c r="G234" s="15" t="str">
        <f aca="true">IF(OR(A234="",B234="",OR(NOT(ISNUMBER(C234)),N(C234)&lt;=0)),"",IF(F234="",TODAY(),F234+C234))</f>
        <v/>
      </c>
      <c r="H234" s="16" t="str">
        <f aca="true">IF(G234="","",G234-TODAY())</f>
        <v/>
      </c>
      <c r="I234" s="17" t="str">
        <f aca="false">IF(AND(A234="",B234=""),"",IF(OR(A234="",B234=""),"Fill in asset and task",IF(OR(NOT(ISNUMBER(C234)),N(C234)&lt;=0),"Check frequency",IF(SUMPRODUCT(($A$5:$A$304=A234)*($B$5:$B$304=B234))&gt;1,"Duplicate row",IF(H234&lt;0,"OVERDUE",IF(H234&lt;=$I$2,"Due soon","OK"))))))</f>
        <v/>
      </c>
      <c r="J234" s="9"/>
    </row>
    <row r="235" customFormat="false" ht="15" hidden="false" customHeight="false" outlineLevel="0" collapsed="false">
      <c r="A235" s="9"/>
      <c r="B235" s="9"/>
      <c r="C235" s="9"/>
      <c r="D235" s="9"/>
      <c r="E235" s="14"/>
      <c r="F235" s="15" t="str">
        <f aca="false">IF(OR(A235="",B235=""),"",IF(MAX(N(E235),SUMPRODUCT(MAX(('Completion Log'!$B$5:$B$2004=A235)*('Completion Log'!$C$5:$C$2004=B235)*'Completion Log'!$A$5:$A$2004)))=0,"",MAX(N(E235),SUMPRODUCT(MAX(('Completion Log'!$B$5:$B$2004=A235)*('Completion Log'!$C$5:$C$2004=B235)*'Completion Log'!$A$5:$A$2004)))))</f>
        <v/>
      </c>
      <c r="G235" s="15" t="str">
        <f aca="true">IF(OR(A235="",B235="",OR(NOT(ISNUMBER(C235)),N(C235)&lt;=0)),"",IF(F235="",TODAY(),F235+C235))</f>
        <v/>
      </c>
      <c r="H235" s="16" t="str">
        <f aca="true">IF(G235="","",G235-TODAY())</f>
        <v/>
      </c>
      <c r="I235" s="17" t="str">
        <f aca="false">IF(AND(A235="",B235=""),"",IF(OR(A235="",B235=""),"Fill in asset and task",IF(OR(NOT(ISNUMBER(C235)),N(C235)&lt;=0),"Check frequency",IF(SUMPRODUCT(($A$5:$A$304=A235)*($B$5:$B$304=B235))&gt;1,"Duplicate row",IF(H235&lt;0,"OVERDUE",IF(H235&lt;=$I$2,"Due soon","OK"))))))</f>
        <v/>
      </c>
      <c r="J235" s="9"/>
    </row>
    <row r="236" customFormat="false" ht="15" hidden="false" customHeight="false" outlineLevel="0" collapsed="false">
      <c r="A236" s="9"/>
      <c r="B236" s="9"/>
      <c r="C236" s="9"/>
      <c r="D236" s="9"/>
      <c r="E236" s="14"/>
      <c r="F236" s="15" t="str">
        <f aca="false">IF(OR(A236="",B236=""),"",IF(MAX(N(E236),SUMPRODUCT(MAX(('Completion Log'!$B$5:$B$2004=A236)*('Completion Log'!$C$5:$C$2004=B236)*'Completion Log'!$A$5:$A$2004)))=0,"",MAX(N(E236),SUMPRODUCT(MAX(('Completion Log'!$B$5:$B$2004=A236)*('Completion Log'!$C$5:$C$2004=B236)*'Completion Log'!$A$5:$A$2004)))))</f>
        <v/>
      </c>
      <c r="G236" s="15" t="str">
        <f aca="true">IF(OR(A236="",B236="",OR(NOT(ISNUMBER(C236)),N(C236)&lt;=0)),"",IF(F236="",TODAY(),F236+C236))</f>
        <v/>
      </c>
      <c r="H236" s="16" t="str">
        <f aca="true">IF(G236="","",G236-TODAY())</f>
        <v/>
      </c>
      <c r="I236" s="17" t="str">
        <f aca="false">IF(AND(A236="",B236=""),"",IF(OR(A236="",B236=""),"Fill in asset and task",IF(OR(NOT(ISNUMBER(C236)),N(C236)&lt;=0),"Check frequency",IF(SUMPRODUCT(($A$5:$A$304=A236)*($B$5:$B$304=B236))&gt;1,"Duplicate row",IF(H236&lt;0,"OVERDUE",IF(H236&lt;=$I$2,"Due soon","OK"))))))</f>
        <v/>
      </c>
      <c r="J236" s="9"/>
    </row>
    <row r="237" customFormat="false" ht="15" hidden="false" customHeight="false" outlineLevel="0" collapsed="false">
      <c r="A237" s="9"/>
      <c r="B237" s="9"/>
      <c r="C237" s="9"/>
      <c r="D237" s="9"/>
      <c r="E237" s="14"/>
      <c r="F237" s="15" t="str">
        <f aca="false">IF(OR(A237="",B237=""),"",IF(MAX(N(E237),SUMPRODUCT(MAX(('Completion Log'!$B$5:$B$2004=A237)*('Completion Log'!$C$5:$C$2004=B237)*'Completion Log'!$A$5:$A$2004)))=0,"",MAX(N(E237),SUMPRODUCT(MAX(('Completion Log'!$B$5:$B$2004=A237)*('Completion Log'!$C$5:$C$2004=B237)*'Completion Log'!$A$5:$A$2004)))))</f>
        <v/>
      </c>
      <c r="G237" s="15" t="str">
        <f aca="true">IF(OR(A237="",B237="",OR(NOT(ISNUMBER(C237)),N(C237)&lt;=0)),"",IF(F237="",TODAY(),F237+C237))</f>
        <v/>
      </c>
      <c r="H237" s="16" t="str">
        <f aca="true">IF(G237="","",G237-TODAY())</f>
        <v/>
      </c>
      <c r="I237" s="17" t="str">
        <f aca="false">IF(AND(A237="",B237=""),"",IF(OR(A237="",B237=""),"Fill in asset and task",IF(OR(NOT(ISNUMBER(C237)),N(C237)&lt;=0),"Check frequency",IF(SUMPRODUCT(($A$5:$A$304=A237)*($B$5:$B$304=B237))&gt;1,"Duplicate row",IF(H237&lt;0,"OVERDUE",IF(H237&lt;=$I$2,"Due soon","OK"))))))</f>
        <v/>
      </c>
      <c r="J237" s="9"/>
    </row>
    <row r="238" customFormat="false" ht="15" hidden="false" customHeight="false" outlineLevel="0" collapsed="false">
      <c r="A238" s="9"/>
      <c r="B238" s="9"/>
      <c r="C238" s="9"/>
      <c r="D238" s="9"/>
      <c r="E238" s="14"/>
      <c r="F238" s="15" t="str">
        <f aca="false">IF(OR(A238="",B238=""),"",IF(MAX(N(E238),SUMPRODUCT(MAX(('Completion Log'!$B$5:$B$2004=A238)*('Completion Log'!$C$5:$C$2004=B238)*'Completion Log'!$A$5:$A$2004)))=0,"",MAX(N(E238),SUMPRODUCT(MAX(('Completion Log'!$B$5:$B$2004=A238)*('Completion Log'!$C$5:$C$2004=B238)*'Completion Log'!$A$5:$A$2004)))))</f>
        <v/>
      </c>
      <c r="G238" s="15" t="str">
        <f aca="true">IF(OR(A238="",B238="",OR(NOT(ISNUMBER(C238)),N(C238)&lt;=0)),"",IF(F238="",TODAY(),F238+C238))</f>
        <v/>
      </c>
      <c r="H238" s="16" t="str">
        <f aca="true">IF(G238="","",G238-TODAY())</f>
        <v/>
      </c>
      <c r="I238" s="17" t="str">
        <f aca="false">IF(AND(A238="",B238=""),"",IF(OR(A238="",B238=""),"Fill in asset and task",IF(OR(NOT(ISNUMBER(C238)),N(C238)&lt;=0),"Check frequency",IF(SUMPRODUCT(($A$5:$A$304=A238)*($B$5:$B$304=B238))&gt;1,"Duplicate row",IF(H238&lt;0,"OVERDUE",IF(H238&lt;=$I$2,"Due soon","OK"))))))</f>
        <v/>
      </c>
      <c r="J238" s="9"/>
    </row>
    <row r="239" customFormat="false" ht="15" hidden="false" customHeight="false" outlineLevel="0" collapsed="false">
      <c r="A239" s="9"/>
      <c r="B239" s="9"/>
      <c r="C239" s="9"/>
      <c r="D239" s="9"/>
      <c r="E239" s="14"/>
      <c r="F239" s="15" t="str">
        <f aca="false">IF(OR(A239="",B239=""),"",IF(MAX(N(E239),SUMPRODUCT(MAX(('Completion Log'!$B$5:$B$2004=A239)*('Completion Log'!$C$5:$C$2004=B239)*'Completion Log'!$A$5:$A$2004)))=0,"",MAX(N(E239),SUMPRODUCT(MAX(('Completion Log'!$B$5:$B$2004=A239)*('Completion Log'!$C$5:$C$2004=B239)*'Completion Log'!$A$5:$A$2004)))))</f>
        <v/>
      </c>
      <c r="G239" s="15" t="str">
        <f aca="true">IF(OR(A239="",B239="",OR(NOT(ISNUMBER(C239)),N(C239)&lt;=0)),"",IF(F239="",TODAY(),F239+C239))</f>
        <v/>
      </c>
      <c r="H239" s="16" t="str">
        <f aca="true">IF(G239="","",G239-TODAY())</f>
        <v/>
      </c>
      <c r="I239" s="17" t="str">
        <f aca="false">IF(AND(A239="",B239=""),"",IF(OR(A239="",B239=""),"Fill in asset and task",IF(OR(NOT(ISNUMBER(C239)),N(C239)&lt;=0),"Check frequency",IF(SUMPRODUCT(($A$5:$A$304=A239)*($B$5:$B$304=B239))&gt;1,"Duplicate row",IF(H239&lt;0,"OVERDUE",IF(H239&lt;=$I$2,"Due soon","OK"))))))</f>
        <v/>
      </c>
      <c r="J239" s="9"/>
    </row>
    <row r="240" customFormat="false" ht="15" hidden="false" customHeight="false" outlineLevel="0" collapsed="false">
      <c r="A240" s="9"/>
      <c r="B240" s="9"/>
      <c r="C240" s="9"/>
      <c r="D240" s="9"/>
      <c r="E240" s="14"/>
      <c r="F240" s="15" t="str">
        <f aca="false">IF(OR(A240="",B240=""),"",IF(MAX(N(E240),SUMPRODUCT(MAX(('Completion Log'!$B$5:$B$2004=A240)*('Completion Log'!$C$5:$C$2004=B240)*'Completion Log'!$A$5:$A$2004)))=0,"",MAX(N(E240),SUMPRODUCT(MAX(('Completion Log'!$B$5:$B$2004=A240)*('Completion Log'!$C$5:$C$2004=B240)*'Completion Log'!$A$5:$A$2004)))))</f>
        <v/>
      </c>
      <c r="G240" s="15" t="str">
        <f aca="true">IF(OR(A240="",B240="",OR(NOT(ISNUMBER(C240)),N(C240)&lt;=0)),"",IF(F240="",TODAY(),F240+C240))</f>
        <v/>
      </c>
      <c r="H240" s="16" t="str">
        <f aca="true">IF(G240="","",G240-TODAY())</f>
        <v/>
      </c>
      <c r="I240" s="17" t="str">
        <f aca="false">IF(AND(A240="",B240=""),"",IF(OR(A240="",B240=""),"Fill in asset and task",IF(OR(NOT(ISNUMBER(C240)),N(C240)&lt;=0),"Check frequency",IF(SUMPRODUCT(($A$5:$A$304=A240)*($B$5:$B$304=B240))&gt;1,"Duplicate row",IF(H240&lt;0,"OVERDUE",IF(H240&lt;=$I$2,"Due soon","OK"))))))</f>
        <v/>
      </c>
      <c r="J240" s="9"/>
    </row>
    <row r="241" customFormat="false" ht="15" hidden="false" customHeight="false" outlineLevel="0" collapsed="false">
      <c r="A241" s="9"/>
      <c r="B241" s="9"/>
      <c r="C241" s="9"/>
      <c r="D241" s="9"/>
      <c r="E241" s="14"/>
      <c r="F241" s="15" t="str">
        <f aca="false">IF(OR(A241="",B241=""),"",IF(MAX(N(E241),SUMPRODUCT(MAX(('Completion Log'!$B$5:$B$2004=A241)*('Completion Log'!$C$5:$C$2004=B241)*'Completion Log'!$A$5:$A$2004)))=0,"",MAX(N(E241),SUMPRODUCT(MAX(('Completion Log'!$B$5:$B$2004=A241)*('Completion Log'!$C$5:$C$2004=B241)*'Completion Log'!$A$5:$A$2004)))))</f>
        <v/>
      </c>
      <c r="G241" s="15" t="str">
        <f aca="true">IF(OR(A241="",B241="",OR(NOT(ISNUMBER(C241)),N(C241)&lt;=0)),"",IF(F241="",TODAY(),F241+C241))</f>
        <v/>
      </c>
      <c r="H241" s="16" t="str">
        <f aca="true">IF(G241="","",G241-TODAY())</f>
        <v/>
      </c>
      <c r="I241" s="17" t="str">
        <f aca="false">IF(AND(A241="",B241=""),"",IF(OR(A241="",B241=""),"Fill in asset and task",IF(OR(NOT(ISNUMBER(C241)),N(C241)&lt;=0),"Check frequency",IF(SUMPRODUCT(($A$5:$A$304=A241)*($B$5:$B$304=B241))&gt;1,"Duplicate row",IF(H241&lt;0,"OVERDUE",IF(H241&lt;=$I$2,"Due soon","OK"))))))</f>
        <v/>
      </c>
      <c r="J241" s="9"/>
    </row>
    <row r="242" customFormat="false" ht="15" hidden="false" customHeight="false" outlineLevel="0" collapsed="false">
      <c r="A242" s="9"/>
      <c r="B242" s="9"/>
      <c r="C242" s="9"/>
      <c r="D242" s="9"/>
      <c r="E242" s="14"/>
      <c r="F242" s="15" t="str">
        <f aca="false">IF(OR(A242="",B242=""),"",IF(MAX(N(E242),SUMPRODUCT(MAX(('Completion Log'!$B$5:$B$2004=A242)*('Completion Log'!$C$5:$C$2004=B242)*'Completion Log'!$A$5:$A$2004)))=0,"",MAX(N(E242),SUMPRODUCT(MAX(('Completion Log'!$B$5:$B$2004=A242)*('Completion Log'!$C$5:$C$2004=B242)*'Completion Log'!$A$5:$A$2004)))))</f>
        <v/>
      </c>
      <c r="G242" s="15" t="str">
        <f aca="true">IF(OR(A242="",B242="",OR(NOT(ISNUMBER(C242)),N(C242)&lt;=0)),"",IF(F242="",TODAY(),F242+C242))</f>
        <v/>
      </c>
      <c r="H242" s="16" t="str">
        <f aca="true">IF(G242="","",G242-TODAY())</f>
        <v/>
      </c>
      <c r="I242" s="17" t="str">
        <f aca="false">IF(AND(A242="",B242=""),"",IF(OR(A242="",B242=""),"Fill in asset and task",IF(OR(NOT(ISNUMBER(C242)),N(C242)&lt;=0),"Check frequency",IF(SUMPRODUCT(($A$5:$A$304=A242)*($B$5:$B$304=B242))&gt;1,"Duplicate row",IF(H242&lt;0,"OVERDUE",IF(H242&lt;=$I$2,"Due soon","OK"))))))</f>
        <v/>
      </c>
      <c r="J242" s="9"/>
    </row>
    <row r="243" customFormat="false" ht="15" hidden="false" customHeight="false" outlineLevel="0" collapsed="false">
      <c r="A243" s="9"/>
      <c r="B243" s="9"/>
      <c r="C243" s="9"/>
      <c r="D243" s="9"/>
      <c r="E243" s="14"/>
      <c r="F243" s="15" t="str">
        <f aca="false">IF(OR(A243="",B243=""),"",IF(MAX(N(E243),SUMPRODUCT(MAX(('Completion Log'!$B$5:$B$2004=A243)*('Completion Log'!$C$5:$C$2004=B243)*'Completion Log'!$A$5:$A$2004)))=0,"",MAX(N(E243),SUMPRODUCT(MAX(('Completion Log'!$B$5:$B$2004=A243)*('Completion Log'!$C$5:$C$2004=B243)*'Completion Log'!$A$5:$A$2004)))))</f>
        <v/>
      </c>
      <c r="G243" s="15" t="str">
        <f aca="true">IF(OR(A243="",B243="",OR(NOT(ISNUMBER(C243)),N(C243)&lt;=0)),"",IF(F243="",TODAY(),F243+C243))</f>
        <v/>
      </c>
      <c r="H243" s="16" t="str">
        <f aca="true">IF(G243="","",G243-TODAY())</f>
        <v/>
      </c>
      <c r="I243" s="17" t="str">
        <f aca="false">IF(AND(A243="",B243=""),"",IF(OR(A243="",B243=""),"Fill in asset and task",IF(OR(NOT(ISNUMBER(C243)),N(C243)&lt;=0),"Check frequency",IF(SUMPRODUCT(($A$5:$A$304=A243)*($B$5:$B$304=B243))&gt;1,"Duplicate row",IF(H243&lt;0,"OVERDUE",IF(H243&lt;=$I$2,"Due soon","OK"))))))</f>
        <v/>
      </c>
      <c r="J243" s="9"/>
    </row>
    <row r="244" customFormat="false" ht="15" hidden="false" customHeight="false" outlineLevel="0" collapsed="false">
      <c r="A244" s="9"/>
      <c r="B244" s="9"/>
      <c r="C244" s="9"/>
      <c r="D244" s="9"/>
      <c r="E244" s="14"/>
      <c r="F244" s="15" t="str">
        <f aca="false">IF(OR(A244="",B244=""),"",IF(MAX(N(E244),SUMPRODUCT(MAX(('Completion Log'!$B$5:$B$2004=A244)*('Completion Log'!$C$5:$C$2004=B244)*'Completion Log'!$A$5:$A$2004)))=0,"",MAX(N(E244),SUMPRODUCT(MAX(('Completion Log'!$B$5:$B$2004=A244)*('Completion Log'!$C$5:$C$2004=B244)*'Completion Log'!$A$5:$A$2004)))))</f>
        <v/>
      </c>
      <c r="G244" s="15" t="str">
        <f aca="true">IF(OR(A244="",B244="",OR(NOT(ISNUMBER(C244)),N(C244)&lt;=0)),"",IF(F244="",TODAY(),F244+C244))</f>
        <v/>
      </c>
      <c r="H244" s="16" t="str">
        <f aca="true">IF(G244="","",G244-TODAY())</f>
        <v/>
      </c>
      <c r="I244" s="17" t="str">
        <f aca="false">IF(AND(A244="",B244=""),"",IF(OR(A244="",B244=""),"Fill in asset and task",IF(OR(NOT(ISNUMBER(C244)),N(C244)&lt;=0),"Check frequency",IF(SUMPRODUCT(($A$5:$A$304=A244)*($B$5:$B$304=B244))&gt;1,"Duplicate row",IF(H244&lt;0,"OVERDUE",IF(H244&lt;=$I$2,"Due soon","OK"))))))</f>
        <v/>
      </c>
      <c r="J244" s="9"/>
    </row>
    <row r="245" customFormat="false" ht="15" hidden="false" customHeight="false" outlineLevel="0" collapsed="false">
      <c r="A245" s="9"/>
      <c r="B245" s="9"/>
      <c r="C245" s="9"/>
      <c r="D245" s="9"/>
      <c r="E245" s="14"/>
      <c r="F245" s="15" t="str">
        <f aca="false">IF(OR(A245="",B245=""),"",IF(MAX(N(E245),SUMPRODUCT(MAX(('Completion Log'!$B$5:$B$2004=A245)*('Completion Log'!$C$5:$C$2004=B245)*'Completion Log'!$A$5:$A$2004)))=0,"",MAX(N(E245),SUMPRODUCT(MAX(('Completion Log'!$B$5:$B$2004=A245)*('Completion Log'!$C$5:$C$2004=B245)*'Completion Log'!$A$5:$A$2004)))))</f>
        <v/>
      </c>
      <c r="G245" s="15" t="str">
        <f aca="true">IF(OR(A245="",B245="",OR(NOT(ISNUMBER(C245)),N(C245)&lt;=0)),"",IF(F245="",TODAY(),F245+C245))</f>
        <v/>
      </c>
      <c r="H245" s="16" t="str">
        <f aca="true">IF(G245="","",G245-TODAY())</f>
        <v/>
      </c>
      <c r="I245" s="17" t="str">
        <f aca="false">IF(AND(A245="",B245=""),"",IF(OR(A245="",B245=""),"Fill in asset and task",IF(OR(NOT(ISNUMBER(C245)),N(C245)&lt;=0),"Check frequency",IF(SUMPRODUCT(($A$5:$A$304=A245)*($B$5:$B$304=B245))&gt;1,"Duplicate row",IF(H245&lt;0,"OVERDUE",IF(H245&lt;=$I$2,"Due soon","OK"))))))</f>
        <v/>
      </c>
      <c r="J245" s="9"/>
    </row>
    <row r="246" customFormat="false" ht="15" hidden="false" customHeight="false" outlineLevel="0" collapsed="false">
      <c r="A246" s="9"/>
      <c r="B246" s="9"/>
      <c r="C246" s="9"/>
      <c r="D246" s="9"/>
      <c r="E246" s="14"/>
      <c r="F246" s="15" t="str">
        <f aca="false">IF(OR(A246="",B246=""),"",IF(MAX(N(E246),SUMPRODUCT(MAX(('Completion Log'!$B$5:$B$2004=A246)*('Completion Log'!$C$5:$C$2004=B246)*'Completion Log'!$A$5:$A$2004)))=0,"",MAX(N(E246),SUMPRODUCT(MAX(('Completion Log'!$B$5:$B$2004=A246)*('Completion Log'!$C$5:$C$2004=B246)*'Completion Log'!$A$5:$A$2004)))))</f>
        <v/>
      </c>
      <c r="G246" s="15" t="str">
        <f aca="true">IF(OR(A246="",B246="",OR(NOT(ISNUMBER(C246)),N(C246)&lt;=0)),"",IF(F246="",TODAY(),F246+C246))</f>
        <v/>
      </c>
      <c r="H246" s="16" t="str">
        <f aca="true">IF(G246="","",G246-TODAY())</f>
        <v/>
      </c>
      <c r="I246" s="17" t="str">
        <f aca="false">IF(AND(A246="",B246=""),"",IF(OR(A246="",B246=""),"Fill in asset and task",IF(OR(NOT(ISNUMBER(C246)),N(C246)&lt;=0),"Check frequency",IF(SUMPRODUCT(($A$5:$A$304=A246)*($B$5:$B$304=B246))&gt;1,"Duplicate row",IF(H246&lt;0,"OVERDUE",IF(H246&lt;=$I$2,"Due soon","OK"))))))</f>
        <v/>
      </c>
      <c r="J246" s="9"/>
    </row>
    <row r="247" customFormat="false" ht="15" hidden="false" customHeight="false" outlineLevel="0" collapsed="false">
      <c r="A247" s="9"/>
      <c r="B247" s="9"/>
      <c r="C247" s="9"/>
      <c r="D247" s="9"/>
      <c r="E247" s="14"/>
      <c r="F247" s="15" t="str">
        <f aca="false">IF(OR(A247="",B247=""),"",IF(MAX(N(E247),SUMPRODUCT(MAX(('Completion Log'!$B$5:$B$2004=A247)*('Completion Log'!$C$5:$C$2004=B247)*'Completion Log'!$A$5:$A$2004)))=0,"",MAX(N(E247),SUMPRODUCT(MAX(('Completion Log'!$B$5:$B$2004=A247)*('Completion Log'!$C$5:$C$2004=B247)*'Completion Log'!$A$5:$A$2004)))))</f>
        <v/>
      </c>
      <c r="G247" s="15" t="str">
        <f aca="true">IF(OR(A247="",B247="",OR(NOT(ISNUMBER(C247)),N(C247)&lt;=0)),"",IF(F247="",TODAY(),F247+C247))</f>
        <v/>
      </c>
      <c r="H247" s="16" t="str">
        <f aca="true">IF(G247="","",G247-TODAY())</f>
        <v/>
      </c>
      <c r="I247" s="17" t="str">
        <f aca="false">IF(AND(A247="",B247=""),"",IF(OR(A247="",B247=""),"Fill in asset and task",IF(OR(NOT(ISNUMBER(C247)),N(C247)&lt;=0),"Check frequency",IF(SUMPRODUCT(($A$5:$A$304=A247)*($B$5:$B$304=B247))&gt;1,"Duplicate row",IF(H247&lt;0,"OVERDUE",IF(H247&lt;=$I$2,"Due soon","OK"))))))</f>
        <v/>
      </c>
      <c r="J247" s="9"/>
    </row>
    <row r="248" customFormat="false" ht="15" hidden="false" customHeight="false" outlineLevel="0" collapsed="false">
      <c r="A248" s="9"/>
      <c r="B248" s="9"/>
      <c r="C248" s="9"/>
      <c r="D248" s="9"/>
      <c r="E248" s="14"/>
      <c r="F248" s="15" t="str">
        <f aca="false">IF(OR(A248="",B248=""),"",IF(MAX(N(E248),SUMPRODUCT(MAX(('Completion Log'!$B$5:$B$2004=A248)*('Completion Log'!$C$5:$C$2004=B248)*'Completion Log'!$A$5:$A$2004)))=0,"",MAX(N(E248),SUMPRODUCT(MAX(('Completion Log'!$B$5:$B$2004=A248)*('Completion Log'!$C$5:$C$2004=B248)*'Completion Log'!$A$5:$A$2004)))))</f>
        <v/>
      </c>
      <c r="G248" s="15" t="str">
        <f aca="true">IF(OR(A248="",B248="",OR(NOT(ISNUMBER(C248)),N(C248)&lt;=0)),"",IF(F248="",TODAY(),F248+C248))</f>
        <v/>
      </c>
      <c r="H248" s="16" t="str">
        <f aca="true">IF(G248="","",G248-TODAY())</f>
        <v/>
      </c>
      <c r="I248" s="17" t="str">
        <f aca="false">IF(AND(A248="",B248=""),"",IF(OR(A248="",B248=""),"Fill in asset and task",IF(OR(NOT(ISNUMBER(C248)),N(C248)&lt;=0),"Check frequency",IF(SUMPRODUCT(($A$5:$A$304=A248)*($B$5:$B$304=B248))&gt;1,"Duplicate row",IF(H248&lt;0,"OVERDUE",IF(H248&lt;=$I$2,"Due soon","OK"))))))</f>
        <v/>
      </c>
      <c r="J248" s="9"/>
    </row>
    <row r="249" customFormat="false" ht="15" hidden="false" customHeight="false" outlineLevel="0" collapsed="false">
      <c r="A249" s="9"/>
      <c r="B249" s="9"/>
      <c r="C249" s="9"/>
      <c r="D249" s="9"/>
      <c r="E249" s="14"/>
      <c r="F249" s="15" t="str">
        <f aca="false">IF(OR(A249="",B249=""),"",IF(MAX(N(E249),SUMPRODUCT(MAX(('Completion Log'!$B$5:$B$2004=A249)*('Completion Log'!$C$5:$C$2004=B249)*'Completion Log'!$A$5:$A$2004)))=0,"",MAX(N(E249),SUMPRODUCT(MAX(('Completion Log'!$B$5:$B$2004=A249)*('Completion Log'!$C$5:$C$2004=B249)*'Completion Log'!$A$5:$A$2004)))))</f>
        <v/>
      </c>
      <c r="G249" s="15" t="str">
        <f aca="true">IF(OR(A249="",B249="",OR(NOT(ISNUMBER(C249)),N(C249)&lt;=0)),"",IF(F249="",TODAY(),F249+C249))</f>
        <v/>
      </c>
      <c r="H249" s="16" t="str">
        <f aca="true">IF(G249="","",G249-TODAY())</f>
        <v/>
      </c>
      <c r="I249" s="17" t="str">
        <f aca="false">IF(AND(A249="",B249=""),"",IF(OR(A249="",B249=""),"Fill in asset and task",IF(OR(NOT(ISNUMBER(C249)),N(C249)&lt;=0),"Check frequency",IF(SUMPRODUCT(($A$5:$A$304=A249)*($B$5:$B$304=B249))&gt;1,"Duplicate row",IF(H249&lt;0,"OVERDUE",IF(H249&lt;=$I$2,"Due soon","OK"))))))</f>
        <v/>
      </c>
      <c r="J249" s="9"/>
    </row>
    <row r="250" customFormat="false" ht="15" hidden="false" customHeight="false" outlineLevel="0" collapsed="false">
      <c r="A250" s="9"/>
      <c r="B250" s="9"/>
      <c r="C250" s="9"/>
      <c r="D250" s="9"/>
      <c r="E250" s="14"/>
      <c r="F250" s="15" t="str">
        <f aca="false">IF(OR(A250="",B250=""),"",IF(MAX(N(E250),SUMPRODUCT(MAX(('Completion Log'!$B$5:$B$2004=A250)*('Completion Log'!$C$5:$C$2004=B250)*'Completion Log'!$A$5:$A$2004)))=0,"",MAX(N(E250),SUMPRODUCT(MAX(('Completion Log'!$B$5:$B$2004=A250)*('Completion Log'!$C$5:$C$2004=B250)*'Completion Log'!$A$5:$A$2004)))))</f>
        <v/>
      </c>
      <c r="G250" s="15" t="str">
        <f aca="true">IF(OR(A250="",B250="",OR(NOT(ISNUMBER(C250)),N(C250)&lt;=0)),"",IF(F250="",TODAY(),F250+C250))</f>
        <v/>
      </c>
      <c r="H250" s="16" t="str">
        <f aca="true">IF(G250="","",G250-TODAY())</f>
        <v/>
      </c>
      <c r="I250" s="17" t="str">
        <f aca="false">IF(AND(A250="",B250=""),"",IF(OR(A250="",B250=""),"Fill in asset and task",IF(OR(NOT(ISNUMBER(C250)),N(C250)&lt;=0),"Check frequency",IF(SUMPRODUCT(($A$5:$A$304=A250)*($B$5:$B$304=B250))&gt;1,"Duplicate row",IF(H250&lt;0,"OVERDUE",IF(H250&lt;=$I$2,"Due soon","OK"))))))</f>
        <v/>
      </c>
      <c r="J250" s="9"/>
    </row>
    <row r="251" customFormat="false" ht="15" hidden="false" customHeight="false" outlineLevel="0" collapsed="false">
      <c r="A251" s="9"/>
      <c r="B251" s="9"/>
      <c r="C251" s="9"/>
      <c r="D251" s="9"/>
      <c r="E251" s="14"/>
      <c r="F251" s="15" t="str">
        <f aca="false">IF(OR(A251="",B251=""),"",IF(MAX(N(E251),SUMPRODUCT(MAX(('Completion Log'!$B$5:$B$2004=A251)*('Completion Log'!$C$5:$C$2004=B251)*'Completion Log'!$A$5:$A$2004)))=0,"",MAX(N(E251),SUMPRODUCT(MAX(('Completion Log'!$B$5:$B$2004=A251)*('Completion Log'!$C$5:$C$2004=B251)*'Completion Log'!$A$5:$A$2004)))))</f>
        <v/>
      </c>
      <c r="G251" s="15" t="str">
        <f aca="true">IF(OR(A251="",B251="",OR(NOT(ISNUMBER(C251)),N(C251)&lt;=0)),"",IF(F251="",TODAY(),F251+C251))</f>
        <v/>
      </c>
      <c r="H251" s="16" t="str">
        <f aca="true">IF(G251="","",G251-TODAY())</f>
        <v/>
      </c>
      <c r="I251" s="17" t="str">
        <f aca="false">IF(AND(A251="",B251=""),"",IF(OR(A251="",B251=""),"Fill in asset and task",IF(OR(NOT(ISNUMBER(C251)),N(C251)&lt;=0),"Check frequency",IF(SUMPRODUCT(($A$5:$A$304=A251)*($B$5:$B$304=B251))&gt;1,"Duplicate row",IF(H251&lt;0,"OVERDUE",IF(H251&lt;=$I$2,"Due soon","OK"))))))</f>
        <v/>
      </c>
      <c r="J251" s="9"/>
    </row>
    <row r="252" customFormat="false" ht="15" hidden="false" customHeight="false" outlineLevel="0" collapsed="false">
      <c r="A252" s="9"/>
      <c r="B252" s="9"/>
      <c r="C252" s="9"/>
      <c r="D252" s="9"/>
      <c r="E252" s="14"/>
      <c r="F252" s="15" t="str">
        <f aca="false">IF(OR(A252="",B252=""),"",IF(MAX(N(E252),SUMPRODUCT(MAX(('Completion Log'!$B$5:$B$2004=A252)*('Completion Log'!$C$5:$C$2004=B252)*'Completion Log'!$A$5:$A$2004)))=0,"",MAX(N(E252),SUMPRODUCT(MAX(('Completion Log'!$B$5:$B$2004=A252)*('Completion Log'!$C$5:$C$2004=B252)*'Completion Log'!$A$5:$A$2004)))))</f>
        <v/>
      </c>
      <c r="G252" s="15" t="str">
        <f aca="true">IF(OR(A252="",B252="",OR(NOT(ISNUMBER(C252)),N(C252)&lt;=0)),"",IF(F252="",TODAY(),F252+C252))</f>
        <v/>
      </c>
      <c r="H252" s="16" t="str">
        <f aca="true">IF(G252="","",G252-TODAY())</f>
        <v/>
      </c>
      <c r="I252" s="17" t="str">
        <f aca="false">IF(AND(A252="",B252=""),"",IF(OR(A252="",B252=""),"Fill in asset and task",IF(OR(NOT(ISNUMBER(C252)),N(C252)&lt;=0),"Check frequency",IF(SUMPRODUCT(($A$5:$A$304=A252)*($B$5:$B$304=B252))&gt;1,"Duplicate row",IF(H252&lt;0,"OVERDUE",IF(H252&lt;=$I$2,"Due soon","OK"))))))</f>
        <v/>
      </c>
      <c r="J252" s="9"/>
    </row>
    <row r="253" customFormat="false" ht="15" hidden="false" customHeight="false" outlineLevel="0" collapsed="false">
      <c r="A253" s="9"/>
      <c r="B253" s="9"/>
      <c r="C253" s="9"/>
      <c r="D253" s="9"/>
      <c r="E253" s="14"/>
      <c r="F253" s="15" t="str">
        <f aca="false">IF(OR(A253="",B253=""),"",IF(MAX(N(E253),SUMPRODUCT(MAX(('Completion Log'!$B$5:$B$2004=A253)*('Completion Log'!$C$5:$C$2004=B253)*'Completion Log'!$A$5:$A$2004)))=0,"",MAX(N(E253),SUMPRODUCT(MAX(('Completion Log'!$B$5:$B$2004=A253)*('Completion Log'!$C$5:$C$2004=B253)*'Completion Log'!$A$5:$A$2004)))))</f>
        <v/>
      </c>
      <c r="G253" s="15" t="str">
        <f aca="true">IF(OR(A253="",B253="",OR(NOT(ISNUMBER(C253)),N(C253)&lt;=0)),"",IF(F253="",TODAY(),F253+C253))</f>
        <v/>
      </c>
      <c r="H253" s="16" t="str">
        <f aca="true">IF(G253="","",G253-TODAY())</f>
        <v/>
      </c>
      <c r="I253" s="17" t="str">
        <f aca="false">IF(AND(A253="",B253=""),"",IF(OR(A253="",B253=""),"Fill in asset and task",IF(OR(NOT(ISNUMBER(C253)),N(C253)&lt;=0),"Check frequency",IF(SUMPRODUCT(($A$5:$A$304=A253)*($B$5:$B$304=B253))&gt;1,"Duplicate row",IF(H253&lt;0,"OVERDUE",IF(H253&lt;=$I$2,"Due soon","OK"))))))</f>
        <v/>
      </c>
      <c r="J253" s="9"/>
    </row>
    <row r="254" customFormat="false" ht="15" hidden="false" customHeight="false" outlineLevel="0" collapsed="false">
      <c r="A254" s="9"/>
      <c r="B254" s="9"/>
      <c r="C254" s="9"/>
      <c r="D254" s="9"/>
      <c r="E254" s="14"/>
      <c r="F254" s="15" t="str">
        <f aca="false">IF(OR(A254="",B254=""),"",IF(MAX(N(E254),SUMPRODUCT(MAX(('Completion Log'!$B$5:$B$2004=A254)*('Completion Log'!$C$5:$C$2004=B254)*'Completion Log'!$A$5:$A$2004)))=0,"",MAX(N(E254),SUMPRODUCT(MAX(('Completion Log'!$B$5:$B$2004=A254)*('Completion Log'!$C$5:$C$2004=B254)*'Completion Log'!$A$5:$A$2004)))))</f>
        <v/>
      </c>
      <c r="G254" s="15" t="str">
        <f aca="true">IF(OR(A254="",B254="",OR(NOT(ISNUMBER(C254)),N(C254)&lt;=0)),"",IF(F254="",TODAY(),F254+C254))</f>
        <v/>
      </c>
      <c r="H254" s="16" t="str">
        <f aca="true">IF(G254="","",G254-TODAY())</f>
        <v/>
      </c>
      <c r="I254" s="17" t="str">
        <f aca="false">IF(AND(A254="",B254=""),"",IF(OR(A254="",B254=""),"Fill in asset and task",IF(OR(NOT(ISNUMBER(C254)),N(C254)&lt;=0),"Check frequency",IF(SUMPRODUCT(($A$5:$A$304=A254)*($B$5:$B$304=B254))&gt;1,"Duplicate row",IF(H254&lt;0,"OVERDUE",IF(H254&lt;=$I$2,"Due soon","OK"))))))</f>
        <v/>
      </c>
      <c r="J254" s="9"/>
    </row>
    <row r="255" customFormat="false" ht="15" hidden="false" customHeight="false" outlineLevel="0" collapsed="false">
      <c r="A255" s="9"/>
      <c r="B255" s="9"/>
      <c r="C255" s="9"/>
      <c r="D255" s="9"/>
      <c r="E255" s="14"/>
      <c r="F255" s="15" t="str">
        <f aca="false">IF(OR(A255="",B255=""),"",IF(MAX(N(E255),SUMPRODUCT(MAX(('Completion Log'!$B$5:$B$2004=A255)*('Completion Log'!$C$5:$C$2004=B255)*'Completion Log'!$A$5:$A$2004)))=0,"",MAX(N(E255),SUMPRODUCT(MAX(('Completion Log'!$B$5:$B$2004=A255)*('Completion Log'!$C$5:$C$2004=B255)*'Completion Log'!$A$5:$A$2004)))))</f>
        <v/>
      </c>
      <c r="G255" s="15" t="str">
        <f aca="true">IF(OR(A255="",B255="",OR(NOT(ISNUMBER(C255)),N(C255)&lt;=0)),"",IF(F255="",TODAY(),F255+C255))</f>
        <v/>
      </c>
      <c r="H255" s="16" t="str">
        <f aca="true">IF(G255="","",G255-TODAY())</f>
        <v/>
      </c>
      <c r="I255" s="17" t="str">
        <f aca="false">IF(AND(A255="",B255=""),"",IF(OR(A255="",B255=""),"Fill in asset and task",IF(OR(NOT(ISNUMBER(C255)),N(C255)&lt;=0),"Check frequency",IF(SUMPRODUCT(($A$5:$A$304=A255)*($B$5:$B$304=B255))&gt;1,"Duplicate row",IF(H255&lt;0,"OVERDUE",IF(H255&lt;=$I$2,"Due soon","OK"))))))</f>
        <v/>
      </c>
      <c r="J255" s="9"/>
    </row>
    <row r="256" customFormat="false" ht="15" hidden="false" customHeight="false" outlineLevel="0" collapsed="false">
      <c r="A256" s="9"/>
      <c r="B256" s="9"/>
      <c r="C256" s="9"/>
      <c r="D256" s="9"/>
      <c r="E256" s="14"/>
      <c r="F256" s="15" t="str">
        <f aca="false">IF(OR(A256="",B256=""),"",IF(MAX(N(E256),SUMPRODUCT(MAX(('Completion Log'!$B$5:$B$2004=A256)*('Completion Log'!$C$5:$C$2004=B256)*'Completion Log'!$A$5:$A$2004)))=0,"",MAX(N(E256),SUMPRODUCT(MAX(('Completion Log'!$B$5:$B$2004=A256)*('Completion Log'!$C$5:$C$2004=B256)*'Completion Log'!$A$5:$A$2004)))))</f>
        <v/>
      </c>
      <c r="G256" s="15" t="str">
        <f aca="true">IF(OR(A256="",B256="",OR(NOT(ISNUMBER(C256)),N(C256)&lt;=0)),"",IF(F256="",TODAY(),F256+C256))</f>
        <v/>
      </c>
      <c r="H256" s="16" t="str">
        <f aca="true">IF(G256="","",G256-TODAY())</f>
        <v/>
      </c>
      <c r="I256" s="17" t="str">
        <f aca="false">IF(AND(A256="",B256=""),"",IF(OR(A256="",B256=""),"Fill in asset and task",IF(OR(NOT(ISNUMBER(C256)),N(C256)&lt;=0),"Check frequency",IF(SUMPRODUCT(($A$5:$A$304=A256)*($B$5:$B$304=B256))&gt;1,"Duplicate row",IF(H256&lt;0,"OVERDUE",IF(H256&lt;=$I$2,"Due soon","OK"))))))</f>
        <v/>
      </c>
      <c r="J256" s="9"/>
    </row>
    <row r="257" customFormat="false" ht="15" hidden="false" customHeight="false" outlineLevel="0" collapsed="false">
      <c r="A257" s="9"/>
      <c r="B257" s="9"/>
      <c r="C257" s="9"/>
      <c r="D257" s="9"/>
      <c r="E257" s="14"/>
      <c r="F257" s="15" t="str">
        <f aca="false">IF(OR(A257="",B257=""),"",IF(MAX(N(E257),SUMPRODUCT(MAX(('Completion Log'!$B$5:$B$2004=A257)*('Completion Log'!$C$5:$C$2004=B257)*'Completion Log'!$A$5:$A$2004)))=0,"",MAX(N(E257),SUMPRODUCT(MAX(('Completion Log'!$B$5:$B$2004=A257)*('Completion Log'!$C$5:$C$2004=B257)*'Completion Log'!$A$5:$A$2004)))))</f>
        <v/>
      </c>
      <c r="G257" s="15" t="str">
        <f aca="true">IF(OR(A257="",B257="",OR(NOT(ISNUMBER(C257)),N(C257)&lt;=0)),"",IF(F257="",TODAY(),F257+C257))</f>
        <v/>
      </c>
      <c r="H257" s="16" t="str">
        <f aca="true">IF(G257="","",G257-TODAY())</f>
        <v/>
      </c>
      <c r="I257" s="17" t="str">
        <f aca="false">IF(AND(A257="",B257=""),"",IF(OR(A257="",B257=""),"Fill in asset and task",IF(OR(NOT(ISNUMBER(C257)),N(C257)&lt;=0),"Check frequency",IF(SUMPRODUCT(($A$5:$A$304=A257)*($B$5:$B$304=B257))&gt;1,"Duplicate row",IF(H257&lt;0,"OVERDUE",IF(H257&lt;=$I$2,"Due soon","OK"))))))</f>
        <v/>
      </c>
      <c r="J257" s="9"/>
    </row>
    <row r="258" customFormat="false" ht="15" hidden="false" customHeight="false" outlineLevel="0" collapsed="false">
      <c r="A258" s="9"/>
      <c r="B258" s="9"/>
      <c r="C258" s="9"/>
      <c r="D258" s="9"/>
      <c r="E258" s="14"/>
      <c r="F258" s="15" t="str">
        <f aca="false">IF(OR(A258="",B258=""),"",IF(MAX(N(E258),SUMPRODUCT(MAX(('Completion Log'!$B$5:$B$2004=A258)*('Completion Log'!$C$5:$C$2004=B258)*'Completion Log'!$A$5:$A$2004)))=0,"",MAX(N(E258),SUMPRODUCT(MAX(('Completion Log'!$B$5:$B$2004=A258)*('Completion Log'!$C$5:$C$2004=B258)*'Completion Log'!$A$5:$A$2004)))))</f>
        <v/>
      </c>
      <c r="G258" s="15" t="str">
        <f aca="true">IF(OR(A258="",B258="",OR(NOT(ISNUMBER(C258)),N(C258)&lt;=0)),"",IF(F258="",TODAY(),F258+C258))</f>
        <v/>
      </c>
      <c r="H258" s="16" t="str">
        <f aca="true">IF(G258="","",G258-TODAY())</f>
        <v/>
      </c>
      <c r="I258" s="17" t="str">
        <f aca="false">IF(AND(A258="",B258=""),"",IF(OR(A258="",B258=""),"Fill in asset and task",IF(OR(NOT(ISNUMBER(C258)),N(C258)&lt;=0),"Check frequency",IF(SUMPRODUCT(($A$5:$A$304=A258)*($B$5:$B$304=B258))&gt;1,"Duplicate row",IF(H258&lt;0,"OVERDUE",IF(H258&lt;=$I$2,"Due soon","OK"))))))</f>
        <v/>
      </c>
      <c r="J258" s="9"/>
    </row>
    <row r="259" customFormat="false" ht="15" hidden="false" customHeight="false" outlineLevel="0" collapsed="false">
      <c r="A259" s="9"/>
      <c r="B259" s="9"/>
      <c r="C259" s="9"/>
      <c r="D259" s="9"/>
      <c r="E259" s="14"/>
      <c r="F259" s="15" t="str">
        <f aca="false">IF(OR(A259="",B259=""),"",IF(MAX(N(E259),SUMPRODUCT(MAX(('Completion Log'!$B$5:$B$2004=A259)*('Completion Log'!$C$5:$C$2004=B259)*'Completion Log'!$A$5:$A$2004)))=0,"",MAX(N(E259),SUMPRODUCT(MAX(('Completion Log'!$B$5:$B$2004=A259)*('Completion Log'!$C$5:$C$2004=B259)*'Completion Log'!$A$5:$A$2004)))))</f>
        <v/>
      </c>
      <c r="G259" s="15" t="str">
        <f aca="true">IF(OR(A259="",B259="",OR(NOT(ISNUMBER(C259)),N(C259)&lt;=0)),"",IF(F259="",TODAY(),F259+C259))</f>
        <v/>
      </c>
      <c r="H259" s="16" t="str">
        <f aca="true">IF(G259="","",G259-TODAY())</f>
        <v/>
      </c>
      <c r="I259" s="17" t="str">
        <f aca="false">IF(AND(A259="",B259=""),"",IF(OR(A259="",B259=""),"Fill in asset and task",IF(OR(NOT(ISNUMBER(C259)),N(C259)&lt;=0),"Check frequency",IF(SUMPRODUCT(($A$5:$A$304=A259)*($B$5:$B$304=B259))&gt;1,"Duplicate row",IF(H259&lt;0,"OVERDUE",IF(H259&lt;=$I$2,"Due soon","OK"))))))</f>
        <v/>
      </c>
      <c r="J259" s="9"/>
    </row>
    <row r="260" customFormat="false" ht="15" hidden="false" customHeight="false" outlineLevel="0" collapsed="false">
      <c r="A260" s="9"/>
      <c r="B260" s="9"/>
      <c r="C260" s="9"/>
      <c r="D260" s="9"/>
      <c r="E260" s="14"/>
      <c r="F260" s="15" t="str">
        <f aca="false">IF(OR(A260="",B260=""),"",IF(MAX(N(E260),SUMPRODUCT(MAX(('Completion Log'!$B$5:$B$2004=A260)*('Completion Log'!$C$5:$C$2004=B260)*'Completion Log'!$A$5:$A$2004)))=0,"",MAX(N(E260),SUMPRODUCT(MAX(('Completion Log'!$B$5:$B$2004=A260)*('Completion Log'!$C$5:$C$2004=B260)*'Completion Log'!$A$5:$A$2004)))))</f>
        <v/>
      </c>
      <c r="G260" s="15" t="str">
        <f aca="true">IF(OR(A260="",B260="",OR(NOT(ISNUMBER(C260)),N(C260)&lt;=0)),"",IF(F260="",TODAY(),F260+C260))</f>
        <v/>
      </c>
      <c r="H260" s="16" t="str">
        <f aca="true">IF(G260="","",G260-TODAY())</f>
        <v/>
      </c>
      <c r="I260" s="17" t="str">
        <f aca="false">IF(AND(A260="",B260=""),"",IF(OR(A260="",B260=""),"Fill in asset and task",IF(OR(NOT(ISNUMBER(C260)),N(C260)&lt;=0),"Check frequency",IF(SUMPRODUCT(($A$5:$A$304=A260)*($B$5:$B$304=B260))&gt;1,"Duplicate row",IF(H260&lt;0,"OVERDUE",IF(H260&lt;=$I$2,"Due soon","OK"))))))</f>
        <v/>
      </c>
      <c r="J260" s="9"/>
    </row>
    <row r="261" customFormat="false" ht="15" hidden="false" customHeight="false" outlineLevel="0" collapsed="false">
      <c r="A261" s="9"/>
      <c r="B261" s="9"/>
      <c r="C261" s="9"/>
      <c r="D261" s="9"/>
      <c r="E261" s="14"/>
      <c r="F261" s="15" t="str">
        <f aca="false">IF(OR(A261="",B261=""),"",IF(MAX(N(E261),SUMPRODUCT(MAX(('Completion Log'!$B$5:$B$2004=A261)*('Completion Log'!$C$5:$C$2004=B261)*'Completion Log'!$A$5:$A$2004)))=0,"",MAX(N(E261),SUMPRODUCT(MAX(('Completion Log'!$B$5:$B$2004=A261)*('Completion Log'!$C$5:$C$2004=B261)*'Completion Log'!$A$5:$A$2004)))))</f>
        <v/>
      </c>
      <c r="G261" s="15" t="str">
        <f aca="true">IF(OR(A261="",B261="",OR(NOT(ISNUMBER(C261)),N(C261)&lt;=0)),"",IF(F261="",TODAY(),F261+C261))</f>
        <v/>
      </c>
      <c r="H261" s="16" t="str">
        <f aca="true">IF(G261="","",G261-TODAY())</f>
        <v/>
      </c>
      <c r="I261" s="17" t="str">
        <f aca="false">IF(AND(A261="",B261=""),"",IF(OR(A261="",B261=""),"Fill in asset and task",IF(OR(NOT(ISNUMBER(C261)),N(C261)&lt;=0),"Check frequency",IF(SUMPRODUCT(($A$5:$A$304=A261)*($B$5:$B$304=B261))&gt;1,"Duplicate row",IF(H261&lt;0,"OVERDUE",IF(H261&lt;=$I$2,"Due soon","OK"))))))</f>
        <v/>
      </c>
      <c r="J261" s="9"/>
    </row>
    <row r="262" customFormat="false" ht="15" hidden="false" customHeight="false" outlineLevel="0" collapsed="false">
      <c r="A262" s="9"/>
      <c r="B262" s="9"/>
      <c r="C262" s="9"/>
      <c r="D262" s="9"/>
      <c r="E262" s="14"/>
      <c r="F262" s="15" t="str">
        <f aca="false">IF(OR(A262="",B262=""),"",IF(MAX(N(E262),SUMPRODUCT(MAX(('Completion Log'!$B$5:$B$2004=A262)*('Completion Log'!$C$5:$C$2004=B262)*'Completion Log'!$A$5:$A$2004)))=0,"",MAX(N(E262),SUMPRODUCT(MAX(('Completion Log'!$B$5:$B$2004=A262)*('Completion Log'!$C$5:$C$2004=B262)*'Completion Log'!$A$5:$A$2004)))))</f>
        <v/>
      </c>
      <c r="G262" s="15" t="str">
        <f aca="true">IF(OR(A262="",B262="",OR(NOT(ISNUMBER(C262)),N(C262)&lt;=0)),"",IF(F262="",TODAY(),F262+C262))</f>
        <v/>
      </c>
      <c r="H262" s="16" t="str">
        <f aca="true">IF(G262="","",G262-TODAY())</f>
        <v/>
      </c>
      <c r="I262" s="17" t="str">
        <f aca="false">IF(AND(A262="",B262=""),"",IF(OR(A262="",B262=""),"Fill in asset and task",IF(OR(NOT(ISNUMBER(C262)),N(C262)&lt;=0),"Check frequency",IF(SUMPRODUCT(($A$5:$A$304=A262)*($B$5:$B$304=B262))&gt;1,"Duplicate row",IF(H262&lt;0,"OVERDUE",IF(H262&lt;=$I$2,"Due soon","OK"))))))</f>
        <v/>
      </c>
      <c r="J262" s="9"/>
    </row>
    <row r="263" customFormat="false" ht="15" hidden="false" customHeight="false" outlineLevel="0" collapsed="false">
      <c r="A263" s="9"/>
      <c r="B263" s="9"/>
      <c r="C263" s="9"/>
      <c r="D263" s="9"/>
      <c r="E263" s="14"/>
      <c r="F263" s="15" t="str">
        <f aca="false">IF(OR(A263="",B263=""),"",IF(MAX(N(E263),SUMPRODUCT(MAX(('Completion Log'!$B$5:$B$2004=A263)*('Completion Log'!$C$5:$C$2004=B263)*'Completion Log'!$A$5:$A$2004)))=0,"",MAX(N(E263),SUMPRODUCT(MAX(('Completion Log'!$B$5:$B$2004=A263)*('Completion Log'!$C$5:$C$2004=B263)*'Completion Log'!$A$5:$A$2004)))))</f>
        <v/>
      </c>
      <c r="G263" s="15" t="str">
        <f aca="true">IF(OR(A263="",B263="",OR(NOT(ISNUMBER(C263)),N(C263)&lt;=0)),"",IF(F263="",TODAY(),F263+C263))</f>
        <v/>
      </c>
      <c r="H263" s="16" t="str">
        <f aca="true">IF(G263="","",G263-TODAY())</f>
        <v/>
      </c>
      <c r="I263" s="17" t="str">
        <f aca="false">IF(AND(A263="",B263=""),"",IF(OR(A263="",B263=""),"Fill in asset and task",IF(OR(NOT(ISNUMBER(C263)),N(C263)&lt;=0),"Check frequency",IF(SUMPRODUCT(($A$5:$A$304=A263)*($B$5:$B$304=B263))&gt;1,"Duplicate row",IF(H263&lt;0,"OVERDUE",IF(H263&lt;=$I$2,"Due soon","OK"))))))</f>
        <v/>
      </c>
      <c r="J263" s="9"/>
    </row>
    <row r="264" customFormat="false" ht="15" hidden="false" customHeight="false" outlineLevel="0" collapsed="false">
      <c r="A264" s="9"/>
      <c r="B264" s="9"/>
      <c r="C264" s="9"/>
      <c r="D264" s="9"/>
      <c r="E264" s="14"/>
      <c r="F264" s="15" t="str">
        <f aca="false">IF(OR(A264="",B264=""),"",IF(MAX(N(E264),SUMPRODUCT(MAX(('Completion Log'!$B$5:$B$2004=A264)*('Completion Log'!$C$5:$C$2004=B264)*'Completion Log'!$A$5:$A$2004)))=0,"",MAX(N(E264),SUMPRODUCT(MAX(('Completion Log'!$B$5:$B$2004=A264)*('Completion Log'!$C$5:$C$2004=B264)*'Completion Log'!$A$5:$A$2004)))))</f>
        <v/>
      </c>
      <c r="G264" s="15" t="str">
        <f aca="true">IF(OR(A264="",B264="",OR(NOT(ISNUMBER(C264)),N(C264)&lt;=0)),"",IF(F264="",TODAY(),F264+C264))</f>
        <v/>
      </c>
      <c r="H264" s="16" t="str">
        <f aca="true">IF(G264="","",G264-TODAY())</f>
        <v/>
      </c>
      <c r="I264" s="17" t="str">
        <f aca="false">IF(AND(A264="",B264=""),"",IF(OR(A264="",B264=""),"Fill in asset and task",IF(OR(NOT(ISNUMBER(C264)),N(C264)&lt;=0),"Check frequency",IF(SUMPRODUCT(($A$5:$A$304=A264)*($B$5:$B$304=B264))&gt;1,"Duplicate row",IF(H264&lt;0,"OVERDUE",IF(H264&lt;=$I$2,"Due soon","OK"))))))</f>
        <v/>
      </c>
      <c r="J264" s="9"/>
    </row>
    <row r="265" customFormat="false" ht="15" hidden="false" customHeight="false" outlineLevel="0" collapsed="false">
      <c r="A265" s="9"/>
      <c r="B265" s="9"/>
      <c r="C265" s="9"/>
      <c r="D265" s="9"/>
      <c r="E265" s="14"/>
      <c r="F265" s="15" t="str">
        <f aca="false">IF(OR(A265="",B265=""),"",IF(MAX(N(E265),SUMPRODUCT(MAX(('Completion Log'!$B$5:$B$2004=A265)*('Completion Log'!$C$5:$C$2004=B265)*'Completion Log'!$A$5:$A$2004)))=0,"",MAX(N(E265),SUMPRODUCT(MAX(('Completion Log'!$B$5:$B$2004=A265)*('Completion Log'!$C$5:$C$2004=B265)*'Completion Log'!$A$5:$A$2004)))))</f>
        <v/>
      </c>
      <c r="G265" s="15" t="str">
        <f aca="true">IF(OR(A265="",B265="",OR(NOT(ISNUMBER(C265)),N(C265)&lt;=0)),"",IF(F265="",TODAY(),F265+C265))</f>
        <v/>
      </c>
      <c r="H265" s="16" t="str">
        <f aca="true">IF(G265="","",G265-TODAY())</f>
        <v/>
      </c>
      <c r="I265" s="17" t="str">
        <f aca="false">IF(AND(A265="",B265=""),"",IF(OR(A265="",B265=""),"Fill in asset and task",IF(OR(NOT(ISNUMBER(C265)),N(C265)&lt;=0),"Check frequency",IF(SUMPRODUCT(($A$5:$A$304=A265)*($B$5:$B$304=B265))&gt;1,"Duplicate row",IF(H265&lt;0,"OVERDUE",IF(H265&lt;=$I$2,"Due soon","OK"))))))</f>
        <v/>
      </c>
      <c r="J265" s="9"/>
    </row>
    <row r="266" customFormat="false" ht="15" hidden="false" customHeight="false" outlineLevel="0" collapsed="false">
      <c r="A266" s="9"/>
      <c r="B266" s="9"/>
      <c r="C266" s="9"/>
      <c r="D266" s="9"/>
      <c r="E266" s="14"/>
      <c r="F266" s="15" t="str">
        <f aca="false">IF(OR(A266="",B266=""),"",IF(MAX(N(E266),SUMPRODUCT(MAX(('Completion Log'!$B$5:$B$2004=A266)*('Completion Log'!$C$5:$C$2004=B266)*'Completion Log'!$A$5:$A$2004)))=0,"",MAX(N(E266),SUMPRODUCT(MAX(('Completion Log'!$B$5:$B$2004=A266)*('Completion Log'!$C$5:$C$2004=B266)*'Completion Log'!$A$5:$A$2004)))))</f>
        <v/>
      </c>
      <c r="G266" s="15" t="str">
        <f aca="true">IF(OR(A266="",B266="",OR(NOT(ISNUMBER(C266)),N(C266)&lt;=0)),"",IF(F266="",TODAY(),F266+C266))</f>
        <v/>
      </c>
      <c r="H266" s="16" t="str">
        <f aca="true">IF(G266="","",G266-TODAY())</f>
        <v/>
      </c>
      <c r="I266" s="17" t="str">
        <f aca="false">IF(AND(A266="",B266=""),"",IF(OR(A266="",B266=""),"Fill in asset and task",IF(OR(NOT(ISNUMBER(C266)),N(C266)&lt;=0),"Check frequency",IF(SUMPRODUCT(($A$5:$A$304=A266)*($B$5:$B$304=B266))&gt;1,"Duplicate row",IF(H266&lt;0,"OVERDUE",IF(H266&lt;=$I$2,"Due soon","OK"))))))</f>
        <v/>
      </c>
      <c r="J266" s="9"/>
    </row>
    <row r="267" customFormat="false" ht="15" hidden="false" customHeight="false" outlineLevel="0" collapsed="false">
      <c r="A267" s="9"/>
      <c r="B267" s="9"/>
      <c r="C267" s="9"/>
      <c r="D267" s="9"/>
      <c r="E267" s="14"/>
      <c r="F267" s="15" t="str">
        <f aca="false">IF(OR(A267="",B267=""),"",IF(MAX(N(E267),SUMPRODUCT(MAX(('Completion Log'!$B$5:$B$2004=A267)*('Completion Log'!$C$5:$C$2004=B267)*'Completion Log'!$A$5:$A$2004)))=0,"",MAX(N(E267),SUMPRODUCT(MAX(('Completion Log'!$B$5:$B$2004=A267)*('Completion Log'!$C$5:$C$2004=B267)*'Completion Log'!$A$5:$A$2004)))))</f>
        <v/>
      </c>
      <c r="G267" s="15" t="str">
        <f aca="true">IF(OR(A267="",B267="",OR(NOT(ISNUMBER(C267)),N(C267)&lt;=0)),"",IF(F267="",TODAY(),F267+C267))</f>
        <v/>
      </c>
      <c r="H267" s="16" t="str">
        <f aca="true">IF(G267="","",G267-TODAY())</f>
        <v/>
      </c>
      <c r="I267" s="17" t="str">
        <f aca="false">IF(AND(A267="",B267=""),"",IF(OR(A267="",B267=""),"Fill in asset and task",IF(OR(NOT(ISNUMBER(C267)),N(C267)&lt;=0),"Check frequency",IF(SUMPRODUCT(($A$5:$A$304=A267)*($B$5:$B$304=B267))&gt;1,"Duplicate row",IF(H267&lt;0,"OVERDUE",IF(H267&lt;=$I$2,"Due soon","OK"))))))</f>
        <v/>
      </c>
      <c r="J267" s="9"/>
    </row>
    <row r="268" customFormat="false" ht="15" hidden="false" customHeight="false" outlineLevel="0" collapsed="false">
      <c r="A268" s="9"/>
      <c r="B268" s="9"/>
      <c r="C268" s="9"/>
      <c r="D268" s="9"/>
      <c r="E268" s="14"/>
      <c r="F268" s="15" t="str">
        <f aca="false">IF(OR(A268="",B268=""),"",IF(MAX(N(E268),SUMPRODUCT(MAX(('Completion Log'!$B$5:$B$2004=A268)*('Completion Log'!$C$5:$C$2004=B268)*'Completion Log'!$A$5:$A$2004)))=0,"",MAX(N(E268),SUMPRODUCT(MAX(('Completion Log'!$B$5:$B$2004=A268)*('Completion Log'!$C$5:$C$2004=B268)*'Completion Log'!$A$5:$A$2004)))))</f>
        <v/>
      </c>
      <c r="G268" s="15" t="str">
        <f aca="true">IF(OR(A268="",B268="",OR(NOT(ISNUMBER(C268)),N(C268)&lt;=0)),"",IF(F268="",TODAY(),F268+C268))</f>
        <v/>
      </c>
      <c r="H268" s="16" t="str">
        <f aca="true">IF(G268="","",G268-TODAY())</f>
        <v/>
      </c>
      <c r="I268" s="17" t="str">
        <f aca="false">IF(AND(A268="",B268=""),"",IF(OR(A268="",B268=""),"Fill in asset and task",IF(OR(NOT(ISNUMBER(C268)),N(C268)&lt;=0),"Check frequency",IF(SUMPRODUCT(($A$5:$A$304=A268)*($B$5:$B$304=B268))&gt;1,"Duplicate row",IF(H268&lt;0,"OVERDUE",IF(H268&lt;=$I$2,"Due soon","OK"))))))</f>
        <v/>
      </c>
      <c r="J268" s="9"/>
    </row>
    <row r="269" customFormat="false" ht="15" hidden="false" customHeight="false" outlineLevel="0" collapsed="false">
      <c r="A269" s="9"/>
      <c r="B269" s="9"/>
      <c r="C269" s="9"/>
      <c r="D269" s="9"/>
      <c r="E269" s="14"/>
      <c r="F269" s="15" t="str">
        <f aca="false">IF(OR(A269="",B269=""),"",IF(MAX(N(E269),SUMPRODUCT(MAX(('Completion Log'!$B$5:$B$2004=A269)*('Completion Log'!$C$5:$C$2004=B269)*'Completion Log'!$A$5:$A$2004)))=0,"",MAX(N(E269),SUMPRODUCT(MAX(('Completion Log'!$B$5:$B$2004=A269)*('Completion Log'!$C$5:$C$2004=B269)*'Completion Log'!$A$5:$A$2004)))))</f>
        <v/>
      </c>
      <c r="G269" s="15" t="str">
        <f aca="true">IF(OR(A269="",B269="",OR(NOT(ISNUMBER(C269)),N(C269)&lt;=0)),"",IF(F269="",TODAY(),F269+C269))</f>
        <v/>
      </c>
      <c r="H269" s="16" t="str">
        <f aca="true">IF(G269="","",G269-TODAY())</f>
        <v/>
      </c>
      <c r="I269" s="17" t="str">
        <f aca="false">IF(AND(A269="",B269=""),"",IF(OR(A269="",B269=""),"Fill in asset and task",IF(OR(NOT(ISNUMBER(C269)),N(C269)&lt;=0),"Check frequency",IF(SUMPRODUCT(($A$5:$A$304=A269)*($B$5:$B$304=B269))&gt;1,"Duplicate row",IF(H269&lt;0,"OVERDUE",IF(H269&lt;=$I$2,"Due soon","OK"))))))</f>
        <v/>
      </c>
      <c r="J269" s="9"/>
    </row>
    <row r="270" customFormat="false" ht="15" hidden="false" customHeight="false" outlineLevel="0" collapsed="false">
      <c r="A270" s="9"/>
      <c r="B270" s="9"/>
      <c r="C270" s="9"/>
      <c r="D270" s="9"/>
      <c r="E270" s="14"/>
      <c r="F270" s="15" t="str">
        <f aca="false">IF(OR(A270="",B270=""),"",IF(MAX(N(E270),SUMPRODUCT(MAX(('Completion Log'!$B$5:$B$2004=A270)*('Completion Log'!$C$5:$C$2004=B270)*'Completion Log'!$A$5:$A$2004)))=0,"",MAX(N(E270),SUMPRODUCT(MAX(('Completion Log'!$B$5:$B$2004=A270)*('Completion Log'!$C$5:$C$2004=B270)*'Completion Log'!$A$5:$A$2004)))))</f>
        <v/>
      </c>
      <c r="G270" s="15" t="str">
        <f aca="true">IF(OR(A270="",B270="",OR(NOT(ISNUMBER(C270)),N(C270)&lt;=0)),"",IF(F270="",TODAY(),F270+C270))</f>
        <v/>
      </c>
      <c r="H270" s="16" t="str">
        <f aca="true">IF(G270="","",G270-TODAY())</f>
        <v/>
      </c>
      <c r="I270" s="17" t="str">
        <f aca="false">IF(AND(A270="",B270=""),"",IF(OR(A270="",B270=""),"Fill in asset and task",IF(OR(NOT(ISNUMBER(C270)),N(C270)&lt;=0),"Check frequency",IF(SUMPRODUCT(($A$5:$A$304=A270)*($B$5:$B$304=B270))&gt;1,"Duplicate row",IF(H270&lt;0,"OVERDUE",IF(H270&lt;=$I$2,"Due soon","OK"))))))</f>
        <v/>
      </c>
      <c r="J270" s="9"/>
    </row>
    <row r="271" customFormat="false" ht="15" hidden="false" customHeight="false" outlineLevel="0" collapsed="false">
      <c r="A271" s="9"/>
      <c r="B271" s="9"/>
      <c r="C271" s="9"/>
      <c r="D271" s="9"/>
      <c r="E271" s="14"/>
      <c r="F271" s="15" t="str">
        <f aca="false">IF(OR(A271="",B271=""),"",IF(MAX(N(E271),SUMPRODUCT(MAX(('Completion Log'!$B$5:$B$2004=A271)*('Completion Log'!$C$5:$C$2004=B271)*'Completion Log'!$A$5:$A$2004)))=0,"",MAX(N(E271),SUMPRODUCT(MAX(('Completion Log'!$B$5:$B$2004=A271)*('Completion Log'!$C$5:$C$2004=B271)*'Completion Log'!$A$5:$A$2004)))))</f>
        <v/>
      </c>
      <c r="G271" s="15" t="str">
        <f aca="true">IF(OR(A271="",B271="",OR(NOT(ISNUMBER(C271)),N(C271)&lt;=0)),"",IF(F271="",TODAY(),F271+C271))</f>
        <v/>
      </c>
      <c r="H271" s="16" t="str">
        <f aca="true">IF(G271="","",G271-TODAY())</f>
        <v/>
      </c>
      <c r="I271" s="17" t="str">
        <f aca="false">IF(AND(A271="",B271=""),"",IF(OR(A271="",B271=""),"Fill in asset and task",IF(OR(NOT(ISNUMBER(C271)),N(C271)&lt;=0),"Check frequency",IF(SUMPRODUCT(($A$5:$A$304=A271)*($B$5:$B$304=B271))&gt;1,"Duplicate row",IF(H271&lt;0,"OVERDUE",IF(H271&lt;=$I$2,"Due soon","OK"))))))</f>
        <v/>
      </c>
      <c r="J271" s="9"/>
    </row>
    <row r="272" customFormat="false" ht="15" hidden="false" customHeight="false" outlineLevel="0" collapsed="false">
      <c r="A272" s="9"/>
      <c r="B272" s="9"/>
      <c r="C272" s="9"/>
      <c r="D272" s="9"/>
      <c r="E272" s="14"/>
      <c r="F272" s="15" t="str">
        <f aca="false">IF(OR(A272="",B272=""),"",IF(MAX(N(E272),SUMPRODUCT(MAX(('Completion Log'!$B$5:$B$2004=A272)*('Completion Log'!$C$5:$C$2004=B272)*'Completion Log'!$A$5:$A$2004)))=0,"",MAX(N(E272),SUMPRODUCT(MAX(('Completion Log'!$B$5:$B$2004=A272)*('Completion Log'!$C$5:$C$2004=B272)*'Completion Log'!$A$5:$A$2004)))))</f>
        <v/>
      </c>
      <c r="G272" s="15" t="str">
        <f aca="true">IF(OR(A272="",B272="",OR(NOT(ISNUMBER(C272)),N(C272)&lt;=0)),"",IF(F272="",TODAY(),F272+C272))</f>
        <v/>
      </c>
      <c r="H272" s="16" t="str">
        <f aca="true">IF(G272="","",G272-TODAY())</f>
        <v/>
      </c>
      <c r="I272" s="17" t="str">
        <f aca="false">IF(AND(A272="",B272=""),"",IF(OR(A272="",B272=""),"Fill in asset and task",IF(OR(NOT(ISNUMBER(C272)),N(C272)&lt;=0),"Check frequency",IF(SUMPRODUCT(($A$5:$A$304=A272)*($B$5:$B$304=B272))&gt;1,"Duplicate row",IF(H272&lt;0,"OVERDUE",IF(H272&lt;=$I$2,"Due soon","OK"))))))</f>
        <v/>
      </c>
      <c r="J272" s="9"/>
    </row>
    <row r="273" customFormat="false" ht="15" hidden="false" customHeight="false" outlineLevel="0" collapsed="false">
      <c r="A273" s="9"/>
      <c r="B273" s="9"/>
      <c r="C273" s="9"/>
      <c r="D273" s="9"/>
      <c r="E273" s="14"/>
      <c r="F273" s="15" t="str">
        <f aca="false">IF(OR(A273="",B273=""),"",IF(MAX(N(E273),SUMPRODUCT(MAX(('Completion Log'!$B$5:$B$2004=A273)*('Completion Log'!$C$5:$C$2004=B273)*'Completion Log'!$A$5:$A$2004)))=0,"",MAX(N(E273),SUMPRODUCT(MAX(('Completion Log'!$B$5:$B$2004=A273)*('Completion Log'!$C$5:$C$2004=B273)*'Completion Log'!$A$5:$A$2004)))))</f>
        <v/>
      </c>
      <c r="G273" s="15" t="str">
        <f aca="true">IF(OR(A273="",B273="",OR(NOT(ISNUMBER(C273)),N(C273)&lt;=0)),"",IF(F273="",TODAY(),F273+C273))</f>
        <v/>
      </c>
      <c r="H273" s="16" t="str">
        <f aca="true">IF(G273="","",G273-TODAY())</f>
        <v/>
      </c>
      <c r="I273" s="17" t="str">
        <f aca="false">IF(AND(A273="",B273=""),"",IF(OR(A273="",B273=""),"Fill in asset and task",IF(OR(NOT(ISNUMBER(C273)),N(C273)&lt;=0),"Check frequency",IF(SUMPRODUCT(($A$5:$A$304=A273)*($B$5:$B$304=B273))&gt;1,"Duplicate row",IF(H273&lt;0,"OVERDUE",IF(H273&lt;=$I$2,"Due soon","OK"))))))</f>
        <v/>
      </c>
      <c r="J273" s="9"/>
    </row>
    <row r="274" customFormat="false" ht="15" hidden="false" customHeight="false" outlineLevel="0" collapsed="false">
      <c r="A274" s="9"/>
      <c r="B274" s="9"/>
      <c r="C274" s="9"/>
      <c r="D274" s="9"/>
      <c r="E274" s="14"/>
      <c r="F274" s="15" t="str">
        <f aca="false">IF(OR(A274="",B274=""),"",IF(MAX(N(E274),SUMPRODUCT(MAX(('Completion Log'!$B$5:$B$2004=A274)*('Completion Log'!$C$5:$C$2004=B274)*'Completion Log'!$A$5:$A$2004)))=0,"",MAX(N(E274),SUMPRODUCT(MAX(('Completion Log'!$B$5:$B$2004=A274)*('Completion Log'!$C$5:$C$2004=B274)*'Completion Log'!$A$5:$A$2004)))))</f>
        <v/>
      </c>
      <c r="G274" s="15" t="str">
        <f aca="true">IF(OR(A274="",B274="",OR(NOT(ISNUMBER(C274)),N(C274)&lt;=0)),"",IF(F274="",TODAY(),F274+C274))</f>
        <v/>
      </c>
      <c r="H274" s="16" t="str">
        <f aca="true">IF(G274="","",G274-TODAY())</f>
        <v/>
      </c>
      <c r="I274" s="17" t="str">
        <f aca="false">IF(AND(A274="",B274=""),"",IF(OR(A274="",B274=""),"Fill in asset and task",IF(OR(NOT(ISNUMBER(C274)),N(C274)&lt;=0),"Check frequency",IF(SUMPRODUCT(($A$5:$A$304=A274)*($B$5:$B$304=B274))&gt;1,"Duplicate row",IF(H274&lt;0,"OVERDUE",IF(H274&lt;=$I$2,"Due soon","OK"))))))</f>
        <v/>
      </c>
      <c r="J274" s="9"/>
    </row>
    <row r="275" customFormat="false" ht="15" hidden="false" customHeight="false" outlineLevel="0" collapsed="false">
      <c r="A275" s="9"/>
      <c r="B275" s="9"/>
      <c r="C275" s="9"/>
      <c r="D275" s="9"/>
      <c r="E275" s="14"/>
      <c r="F275" s="15" t="str">
        <f aca="false">IF(OR(A275="",B275=""),"",IF(MAX(N(E275),SUMPRODUCT(MAX(('Completion Log'!$B$5:$B$2004=A275)*('Completion Log'!$C$5:$C$2004=B275)*'Completion Log'!$A$5:$A$2004)))=0,"",MAX(N(E275),SUMPRODUCT(MAX(('Completion Log'!$B$5:$B$2004=A275)*('Completion Log'!$C$5:$C$2004=B275)*'Completion Log'!$A$5:$A$2004)))))</f>
        <v/>
      </c>
      <c r="G275" s="15" t="str">
        <f aca="true">IF(OR(A275="",B275="",OR(NOT(ISNUMBER(C275)),N(C275)&lt;=0)),"",IF(F275="",TODAY(),F275+C275))</f>
        <v/>
      </c>
      <c r="H275" s="16" t="str">
        <f aca="true">IF(G275="","",G275-TODAY())</f>
        <v/>
      </c>
      <c r="I275" s="17" t="str">
        <f aca="false">IF(AND(A275="",B275=""),"",IF(OR(A275="",B275=""),"Fill in asset and task",IF(OR(NOT(ISNUMBER(C275)),N(C275)&lt;=0),"Check frequency",IF(SUMPRODUCT(($A$5:$A$304=A275)*($B$5:$B$304=B275))&gt;1,"Duplicate row",IF(H275&lt;0,"OVERDUE",IF(H275&lt;=$I$2,"Due soon","OK"))))))</f>
        <v/>
      </c>
      <c r="J275" s="9"/>
    </row>
    <row r="276" customFormat="false" ht="15" hidden="false" customHeight="false" outlineLevel="0" collapsed="false">
      <c r="A276" s="9"/>
      <c r="B276" s="9"/>
      <c r="C276" s="9"/>
      <c r="D276" s="9"/>
      <c r="E276" s="14"/>
      <c r="F276" s="15" t="str">
        <f aca="false">IF(OR(A276="",B276=""),"",IF(MAX(N(E276),SUMPRODUCT(MAX(('Completion Log'!$B$5:$B$2004=A276)*('Completion Log'!$C$5:$C$2004=B276)*'Completion Log'!$A$5:$A$2004)))=0,"",MAX(N(E276),SUMPRODUCT(MAX(('Completion Log'!$B$5:$B$2004=A276)*('Completion Log'!$C$5:$C$2004=B276)*'Completion Log'!$A$5:$A$2004)))))</f>
        <v/>
      </c>
      <c r="G276" s="15" t="str">
        <f aca="true">IF(OR(A276="",B276="",OR(NOT(ISNUMBER(C276)),N(C276)&lt;=0)),"",IF(F276="",TODAY(),F276+C276))</f>
        <v/>
      </c>
      <c r="H276" s="16" t="str">
        <f aca="true">IF(G276="","",G276-TODAY())</f>
        <v/>
      </c>
      <c r="I276" s="17" t="str">
        <f aca="false">IF(AND(A276="",B276=""),"",IF(OR(A276="",B276=""),"Fill in asset and task",IF(OR(NOT(ISNUMBER(C276)),N(C276)&lt;=0),"Check frequency",IF(SUMPRODUCT(($A$5:$A$304=A276)*($B$5:$B$304=B276))&gt;1,"Duplicate row",IF(H276&lt;0,"OVERDUE",IF(H276&lt;=$I$2,"Due soon","OK"))))))</f>
        <v/>
      </c>
      <c r="J276" s="9"/>
    </row>
    <row r="277" customFormat="false" ht="15" hidden="false" customHeight="false" outlineLevel="0" collapsed="false">
      <c r="A277" s="9"/>
      <c r="B277" s="9"/>
      <c r="C277" s="9"/>
      <c r="D277" s="9"/>
      <c r="E277" s="14"/>
      <c r="F277" s="15" t="str">
        <f aca="false">IF(OR(A277="",B277=""),"",IF(MAX(N(E277),SUMPRODUCT(MAX(('Completion Log'!$B$5:$B$2004=A277)*('Completion Log'!$C$5:$C$2004=B277)*'Completion Log'!$A$5:$A$2004)))=0,"",MAX(N(E277),SUMPRODUCT(MAX(('Completion Log'!$B$5:$B$2004=A277)*('Completion Log'!$C$5:$C$2004=B277)*'Completion Log'!$A$5:$A$2004)))))</f>
        <v/>
      </c>
      <c r="G277" s="15" t="str">
        <f aca="true">IF(OR(A277="",B277="",OR(NOT(ISNUMBER(C277)),N(C277)&lt;=0)),"",IF(F277="",TODAY(),F277+C277))</f>
        <v/>
      </c>
      <c r="H277" s="16" t="str">
        <f aca="true">IF(G277="","",G277-TODAY())</f>
        <v/>
      </c>
      <c r="I277" s="17" t="str">
        <f aca="false">IF(AND(A277="",B277=""),"",IF(OR(A277="",B277=""),"Fill in asset and task",IF(OR(NOT(ISNUMBER(C277)),N(C277)&lt;=0),"Check frequency",IF(SUMPRODUCT(($A$5:$A$304=A277)*($B$5:$B$304=B277))&gt;1,"Duplicate row",IF(H277&lt;0,"OVERDUE",IF(H277&lt;=$I$2,"Due soon","OK"))))))</f>
        <v/>
      </c>
      <c r="J277" s="9"/>
    </row>
    <row r="278" customFormat="false" ht="15" hidden="false" customHeight="false" outlineLevel="0" collapsed="false">
      <c r="A278" s="9"/>
      <c r="B278" s="9"/>
      <c r="C278" s="9"/>
      <c r="D278" s="9"/>
      <c r="E278" s="14"/>
      <c r="F278" s="15" t="str">
        <f aca="false">IF(OR(A278="",B278=""),"",IF(MAX(N(E278),SUMPRODUCT(MAX(('Completion Log'!$B$5:$B$2004=A278)*('Completion Log'!$C$5:$C$2004=B278)*'Completion Log'!$A$5:$A$2004)))=0,"",MAX(N(E278),SUMPRODUCT(MAX(('Completion Log'!$B$5:$B$2004=A278)*('Completion Log'!$C$5:$C$2004=B278)*'Completion Log'!$A$5:$A$2004)))))</f>
        <v/>
      </c>
      <c r="G278" s="15" t="str">
        <f aca="true">IF(OR(A278="",B278="",OR(NOT(ISNUMBER(C278)),N(C278)&lt;=0)),"",IF(F278="",TODAY(),F278+C278))</f>
        <v/>
      </c>
      <c r="H278" s="16" t="str">
        <f aca="true">IF(G278="","",G278-TODAY())</f>
        <v/>
      </c>
      <c r="I278" s="17" t="str">
        <f aca="false">IF(AND(A278="",B278=""),"",IF(OR(A278="",B278=""),"Fill in asset and task",IF(OR(NOT(ISNUMBER(C278)),N(C278)&lt;=0),"Check frequency",IF(SUMPRODUCT(($A$5:$A$304=A278)*($B$5:$B$304=B278))&gt;1,"Duplicate row",IF(H278&lt;0,"OVERDUE",IF(H278&lt;=$I$2,"Due soon","OK"))))))</f>
        <v/>
      </c>
      <c r="J278" s="9"/>
    </row>
    <row r="279" customFormat="false" ht="15" hidden="false" customHeight="false" outlineLevel="0" collapsed="false">
      <c r="A279" s="9"/>
      <c r="B279" s="9"/>
      <c r="C279" s="9"/>
      <c r="D279" s="9"/>
      <c r="E279" s="14"/>
      <c r="F279" s="15" t="str">
        <f aca="false">IF(OR(A279="",B279=""),"",IF(MAX(N(E279),SUMPRODUCT(MAX(('Completion Log'!$B$5:$B$2004=A279)*('Completion Log'!$C$5:$C$2004=B279)*'Completion Log'!$A$5:$A$2004)))=0,"",MAX(N(E279),SUMPRODUCT(MAX(('Completion Log'!$B$5:$B$2004=A279)*('Completion Log'!$C$5:$C$2004=B279)*'Completion Log'!$A$5:$A$2004)))))</f>
        <v/>
      </c>
      <c r="G279" s="15" t="str">
        <f aca="true">IF(OR(A279="",B279="",OR(NOT(ISNUMBER(C279)),N(C279)&lt;=0)),"",IF(F279="",TODAY(),F279+C279))</f>
        <v/>
      </c>
      <c r="H279" s="16" t="str">
        <f aca="true">IF(G279="","",G279-TODAY())</f>
        <v/>
      </c>
      <c r="I279" s="17" t="str">
        <f aca="false">IF(AND(A279="",B279=""),"",IF(OR(A279="",B279=""),"Fill in asset and task",IF(OR(NOT(ISNUMBER(C279)),N(C279)&lt;=0),"Check frequency",IF(SUMPRODUCT(($A$5:$A$304=A279)*($B$5:$B$304=B279))&gt;1,"Duplicate row",IF(H279&lt;0,"OVERDUE",IF(H279&lt;=$I$2,"Due soon","OK"))))))</f>
        <v/>
      </c>
      <c r="J279" s="9"/>
    </row>
    <row r="280" customFormat="false" ht="15" hidden="false" customHeight="false" outlineLevel="0" collapsed="false">
      <c r="A280" s="9"/>
      <c r="B280" s="9"/>
      <c r="C280" s="9"/>
      <c r="D280" s="9"/>
      <c r="E280" s="14"/>
      <c r="F280" s="15" t="str">
        <f aca="false">IF(OR(A280="",B280=""),"",IF(MAX(N(E280),SUMPRODUCT(MAX(('Completion Log'!$B$5:$B$2004=A280)*('Completion Log'!$C$5:$C$2004=B280)*'Completion Log'!$A$5:$A$2004)))=0,"",MAX(N(E280),SUMPRODUCT(MAX(('Completion Log'!$B$5:$B$2004=A280)*('Completion Log'!$C$5:$C$2004=B280)*'Completion Log'!$A$5:$A$2004)))))</f>
        <v/>
      </c>
      <c r="G280" s="15" t="str">
        <f aca="true">IF(OR(A280="",B280="",OR(NOT(ISNUMBER(C280)),N(C280)&lt;=0)),"",IF(F280="",TODAY(),F280+C280))</f>
        <v/>
      </c>
      <c r="H280" s="16" t="str">
        <f aca="true">IF(G280="","",G280-TODAY())</f>
        <v/>
      </c>
      <c r="I280" s="17" t="str">
        <f aca="false">IF(AND(A280="",B280=""),"",IF(OR(A280="",B280=""),"Fill in asset and task",IF(OR(NOT(ISNUMBER(C280)),N(C280)&lt;=0),"Check frequency",IF(SUMPRODUCT(($A$5:$A$304=A280)*($B$5:$B$304=B280))&gt;1,"Duplicate row",IF(H280&lt;0,"OVERDUE",IF(H280&lt;=$I$2,"Due soon","OK"))))))</f>
        <v/>
      </c>
      <c r="J280" s="9"/>
    </row>
    <row r="281" customFormat="false" ht="15" hidden="false" customHeight="false" outlineLevel="0" collapsed="false">
      <c r="A281" s="9"/>
      <c r="B281" s="9"/>
      <c r="C281" s="9"/>
      <c r="D281" s="9"/>
      <c r="E281" s="14"/>
      <c r="F281" s="15" t="str">
        <f aca="false">IF(OR(A281="",B281=""),"",IF(MAX(N(E281),SUMPRODUCT(MAX(('Completion Log'!$B$5:$B$2004=A281)*('Completion Log'!$C$5:$C$2004=B281)*'Completion Log'!$A$5:$A$2004)))=0,"",MAX(N(E281),SUMPRODUCT(MAX(('Completion Log'!$B$5:$B$2004=A281)*('Completion Log'!$C$5:$C$2004=B281)*'Completion Log'!$A$5:$A$2004)))))</f>
        <v/>
      </c>
      <c r="G281" s="15" t="str">
        <f aca="true">IF(OR(A281="",B281="",OR(NOT(ISNUMBER(C281)),N(C281)&lt;=0)),"",IF(F281="",TODAY(),F281+C281))</f>
        <v/>
      </c>
      <c r="H281" s="16" t="str">
        <f aca="true">IF(G281="","",G281-TODAY())</f>
        <v/>
      </c>
      <c r="I281" s="17" t="str">
        <f aca="false">IF(AND(A281="",B281=""),"",IF(OR(A281="",B281=""),"Fill in asset and task",IF(OR(NOT(ISNUMBER(C281)),N(C281)&lt;=0),"Check frequency",IF(SUMPRODUCT(($A$5:$A$304=A281)*($B$5:$B$304=B281))&gt;1,"Duplicate row",IF(H281&lt;0,"OVERDUE",IF(H281&lt;=$I$2,"Due soon","OK"))))))</f>
        <v/>
      </c>
      <c r="J281" s="9"/>
    </row>
    <row r="282" customFormat="false" ht="15" hidden="false" customHeight="false" outlineLevel="0" collapsed="false">
      <c r="A282" s="9"/>
      <c r="B282" s="9"/>
      <c r="C282" s="9"/>
      <c r="D282" s="9"/>
      <c r="E282" s="14"/>
      <c r="F282" s="15" t="str">
        <f aca="false">IF(OR(A282="",B282=""),"",IF(MAX(N(E282),SUMPRODUCT(MAX(('Completion Log'!$B$5:$B$2004=A282)*('Completion Log'!$C$5:$C$2004=B282)*'Completion Log'!$A$5:$A$2004)))=0,"",MAX(N(E282),SUMPRODUCT(MAX(('Completion Log'!$B$5:$B$2004=A282)*('Completion Log'!$C$5:$C$2004=B282)*'Completion Log'!$A$5:$A$2004)))))</f>
        <v/>
      </c>
      <c r="G282" s="15" t="str">
        <f aca="true">IF(OR(A282="",B282="",OR(NOT(ISNUMBER(C282)),N(C282)&lt;=0)),"",IF(F282="",TODAY(),F282+C282))</f>
        <v/>
      </c>
      <c r="H282" s="16" t="str">
        <f aca="true">IF(G282="","",G282-TODAY())</f>
        <v/>
      </c>
      <c r="I282" s="17" t="str">
        <f aca="false">IF(AND(A282="",B282=""),"",IF(OR(A282="",B282=""),"Fill in asset and task",IF(OR(NOT(ISNUMBER(C282)),N(C282)&lt;=0),"Check frequency",IF(SUMPRODUCT(($A$5:$A$304=A282)*($B$5:$B$304=B282))&gt;1,"Duplicate row",IF(H282&lt;0,"OVERDUE",IF(H282&lt;=$I$2,"Due soon","OK"))))))</f>
        <v/>
      </c>
      <c r="J282" s="9"/>
    </row>
    <row r="283" customFormat="false" ht="15" hidden="false" customHeight="false" outlineLevel="0" collapsed="false">
      <c r="A283" s="9"/>
      <c r="B283" s="9"/>
      <c r="C283" s="9"/>
      <c r="D283" s="9"/>
      <c r="E283" s="14"/>
      <c r="F283" s="15" t="str">
        <f aca="false">IF(OR(A283="",B283=""),"",IF(MAX(N(E283),SUMPRODUCT(MAX(('Completion Log'!$B$5:$B$2004=A283)*('Completion Log'!$C$5:$C$2004=B283)*'Completion Log'!$A$5:$A$2004)))=0,"",MAX(N(E283),SUMPRODUCT(MAX(('Completion Log'!$B$5:$B$2004=A283)*('Completion Log'!$C$5:$C$2004=B283)*'Completion Log'!$A$5:$A$2004)))))</f>
        <v/>
      </c>
      <c r="G283" s="15" t="str">
        <f aca="true">IF(OR(A283="",B283="",OR(NOT(ISNUMBER(C283)),N(C283)&lt;=0)),"",IF(F283="",TODAY(),F283+C283))</f>
        <v/>
      </c>
      <c r="H283" s="16" t="str">
        <f aca="true">IF(G283="","",G283-TODAY())</f>
        <v/>
      </c>
      <c r="I283" s="17" t="str">
        <f aca="false">IF(AND(A283="",B283=""),"",IF(OR(A283="",B283=""),"Fill in asset and task",IF(OR(NOT(ISNUMBER(C283)),N(C283)&lt;=0),"Check frequency",IF(SUMPRODUCT(($A$5:$A$304=A283)*($B$5:$B$304=B283))&gt;1,"Duplicate row",IF(H283&lt;0,"OVERDUE",IF(H283&lt;=$I$2,"Due soon","OK"))))))</f>
        <v/>
      </c>
      <c r="J283" s="9"/>
    </row>
    <row r="284" customFormat="false" ht="15" hidden="false" customHeight="false" outlineLevel="0" collapsed="false">
      <c r="A284" s="9"/>
      <c r="B284" s="9"/>
      <c r="C284" s="9"/>
      <c r="D284" s="9"/>
      <c r="E284" s="14"/>
      <c r="F284" s="15" t="str">
        <f aca="false">IF(OR(A284="",B284=""),"",IF(MAX(N(E284),SUMPRODUCT(MAX(('Completion Log'!$B$5:$B$2004=A284)*('Completion Log'!$C$5:$C$2004=B284)*'Completion Log'!$A$5:$A$2004)))=0,"",MAX(N(E284),SUMPRODUCT(MAX(('Completion Log'!$B$5:$B$2004=A284)*('Completion Log'!$C$5:$C$2004=B284)*'Completion Log'!$A$5:$A$2004)))))</f>
        <v/>
      </c>
      <c r="G284" s="15" t="str">
        <f aca="true">IF(OR(A284="",B284="",OR(NOT(ISNUMBER(C284)),N(C284)&lt;=0)),"",IF(F284="",TODAY(),F284+C284))</f>
        <v/>
      </c>
      <c r="H284" s="16" t="str">
        <f aca="true">IF(G284="","",G284-TODAY())</f>
        <v/>
      </c>
      <c r="I284" s="17" t="str">
        <f aca="false">IF(AND(A284="",B284=""),"",IF(OR(A284="",B284=""),"Fill in asset and task",IF(OR(NOT(ISNUMBER(C284)),N(C284)&lt;=0),"Check frequency",IF(SUMPRODUCT(($A$5:$A$304=A284)*($B$5:$B$304=B284))&gt;1,"Duplicate row",IF(H284&lt;0,"OVERDUE",IF(H284&lt;=$I$2,"Due soon","OK"))))))</f>
        <v/>
      </c>
      <c r="J284" s="9"/>
    </row>
    <row r="285" customFormat="false" ht="15" hidden="false" customHeight="false" outlineLevel="0" collapsed="false">
      <c r="A285" s="9"/>
      <c r="B285" s="9"/>
      <c r="C285" s="9"/>
      <c r="D285" s="9"/>
      <c r="E285" s="14"/>
      <c r="F285" s="15" t="str">
        <f aca="false">IF(OR(A285="",B285=""),"",IF(MAX(N(E285),SUMPRODUCT(MAX(('Completion Log'!$B$5:$B$2004=A285)*('Completion Log'!$C$5:$C$2004=B285)*'Completion Log'!$A$5:$A$2004)))=0,"",MAX(N(E285),SUMPRODUCT(MAX(('Completion Log'!$B$5:$B$2004=A285)*('Completion Log'!$C$5:$C$2004=B285)*'Completion Log'!$A$5:$A$2004)))))</f>
        <v/>
      </c>
      <c r="G285" s="15" t="str">
        <f aca="true">IF(OR(A285="",B285="",OR(NOT(ISNUMBER(C285)),N(C285)&lt;=0)),"",IF(F285="",TODAY(),F285+C285))</f>
        <v/>
      </c>
      <c r="H285" s="16" t="str">
        <f aca="true">IF(G285="","",G285-TODAY())</f>
        <v/>
      </c>
      <c r="I285" s="17" t="str">
        <f aca="false">IF(AND(A285="",B285=""),"",IF(OR(A285="",B285=""),"Fill in asset and task",IF(OR(NOT(ISNUMBER(C285)),N(C285)&lt;=0),"Check frequency",IF(SUMPRODUCT(($A$5:$A$304=A285)*($B$5:$B$304=B285))&gt;1,"Duplicate row",IF(H285&lt;0,"OVERDUE",IF(H285&lt;=$I$2,"Due soon","OK"))))))</f>
        <v/>
      </c>
      <c r="J285" s="9"/>
    </row>
    <row r="286" customFormat="false" ht="15" hidden="false" customHeight="false" outlineLevel="0" collapsed="false">
      <c r="A286" s="9"/>
      <c r="B286" s="9"/>
      <c r="C286" s="9"/>
      <c r="D286" s="9"/>
      <c r="E286" s="14"/>
      <c r="F286" s="15" t="str">
        <f aca="false">IF(OR(A286="",B286=""),"",IF(MAX(N(E286),SUMPRODUCT(MAX(('Completion Log'!$B$5:$B$2004=A286)*('Completion Log'!$C$5:$C$2004=B286)*'Completion Log'!$A$5:$A$2004)))=0,"",MAX(N(E286),SUMPRODUCT(MAX(('Completion Log'!$B$5:$B$2004=A286)*('Completion Log'!$C$5:$C$2004=B286)*'Completion Log'!$A$5:$A$2004)))))</f>
        <v/>
      </c>
      <c r="G286" s="15" t="str">
        <f aca="true">IF(OR(A286="",B286="",OR(NOT(ISNUMBER(C286)),N(C286)&lt;=0)),"",IF(F286="",TODAY(),F286+C286))</f>
        <v/>
      </c>
      <c r="H286" s="16" t="str">
        <f aca="true">IF(G286="","",G286-TODAY())</f>
        <v/>
      </c>
      <c r="I286" s="17" t="str">
        <f aca="false">IF(AND(A286="",B286=""),"",IF(OR(A286="",B286=""),"Fill in asset and task",IF(OR(NOT(ISNUMBER(C286)),N(C286)&lt;=0),"Check frequency",IF(SUMPRODUCT(($A$5:$A$304=A286)*($B$5:$B$304=B286))&gt;1,"Duplicate row",IF(H286&lt;0,"OVERDUE",IF(H286&lt;=$I$2,"Due soon","OK"))))))</f>
        <v/>
      </c>
      <c r="J286" s="9"/>
    </row>
    <row r="287" customFormat="false" ht="15" hidden="false" customHeight="false" outlineLevel="0" collapsed="false">
      <c r="A287" s="9"/>
      <c r="B287" s="9"/>
      <c r="C287" s="9"/>
      <c r="D287" s="9"/>
      <c r="E287" s="14"/>
      <c r="F287" s="15" t="str">
        <f aca="false">IF(OR(A287="",B287=""),"",IF(MAX(N(E287),SUMPRODUCT(MAX(('Completion Log'!$B$5:$B$2004=A287)*('Completion Log'!$C$5:$C$2004=B287)*'Completion Log'!$A$5:$A$2004)))=0,"",MAX(N(E287),SUMPRODUCT(MAX(('Completion Log'!$B$5:$B$2004=A287)*('Completion Log'!$C$5:$C$2004=B287)*'Completion Log'!$A$5:$A$2004)))))</f>
        <v/>
      </c>
      <c r="G287" s="15" t="str">
        <f aca="true">IF(OR(A287="",B287="",OR(NOT(ISNUMBER(C287)),N(C287)&lt;=0)),"",IF(F287="",TODAY(),F287+C287))</f>
        <v/>
      </c>
      <c r="H287" s="16" t="str">
        <f aca="true">IF(G287="","",G287-TODAY())</f>
        <v/>
      </c>
      <c r="I287" s="17" t="str">
        <f aca="false">IF(AND(A287="",B287=""),"",IF(OR(A287="",B287=""),"Fill in asset and task",IF(OR(NOT(ISNUMBER(C287)),N(C287)&lt;=0),"Check frequency",IF(SUMPRODUCT(($A$5:$A$304=A287)*($B$5:$B$304=B287))&gt;1,"Duplicate row",IF(H287&lt;0,"OVERDUE",IF(H287&lt;=$I$2,"Due soon","OK"))))))</f>
        <v/>
      </c>
      <c r="J287" s="9"/>
    </row>
    <row r="288" customFormat="false" ht="15" hidden="false" customHeight="false" outlineLevel="0" collapsed="false">
      <c r="A288" s="9"/>
      <c r="B288" s="9"/>
      <c r="C288" s="9"/>
      <c r="D288" s="9"/>
      <c r="E288" s="14"/>
      <c r="F288" s="15" t="str">
        <f aca="false">IF(OR(A288="",B288=""),"",IF(MAX(N(E288),SUMPRODUCT(MAX(('Completion Log'!$B$5:$B$2004=A288)*('Completion Log'!$C$5:$C$2004=B288)*'Completion Log'!$A$5:$A$2004)))=0,"",MAX(N(E288),SUMPRODUCT(MAX(('Completion Log'!$B$5:$B$2004=A288)*('Completion Log'!$C$5:$C$2004=B288)*'Completion Log'!$A$5:$A$2004)))))</f>
        <v/>
      </c>
      <c r="G288" s="15" t="str">
        <f aca="true">IF(OR(A288="",B288="",OR(NOT(ISNUMBER(C288)),N(C288)&lt;=0)),"",IF(F288="",TODAY(),F288+C288))</f>
        <v/>
      </c>
      <c r="H288" s="16" t="str">
        <f aca="true">IF(G288="","",G288-TODAY())</f>
        <v/>
      </c>
      <c r="I288" s="17" t="str">
        <f aca="false">IF(AND(A288="",B288=""),"",IF(OR(A288="",B288=""),"Fill in asset and task",IF(OR(NOT(ISNUMBER(C288)),N(C288)&lt;=0),"Check frequency",IF(SUMPRODUCT(($A$5:$A$304=A288)*($B$5:$B$304=B288))&gt;1,"Duplicate row",IF(H288&lt;0,"OVERDUE",IF(H288&lt;=$I$2,"Due soon","OK"))))))</f>
        <v/>
      </c>
      <c r="J288" s="9"/>
    </row>
    <row r="289" customFormat="false" ht="15" hidden="false" customHeight="false" outlineLevel="0" collapsed="false">
      <c r="A289" s="9"/>
      <c r="B289" s="9"/>
      <c r="C289" s="9"/>
      <c r="D289" s="9"/>
      <c r="E289" s="14"/>
      <c r="F289" s="15" t="str">
        <f aca="false">IF(OR(A289="",B289=""),"",IF(MAX(N(E289),SUMPRODUCT(MAX(('Completion Log'!$B$5:$B$2004=A289)*('Completion Log'!$C$5:$C$2004=B289)*'Completion Log'!$A$5:$A$2004)))=0,"",MAX(N(E289),SUMPRODUCT(MAX(('Completion Log'!$B$5:$B$2004=A289)*('Completion Log'!$C$5:$C$2004=B289)*'Completion Log'!$A$5:$A$2004)))))</f>
        <v/>
      </c>
      <c r="G289" s="15" t="str">
        <f aca="true">IF(OR(A289="",B289="",OR(NOT(ISNUMBER(C289)),N(C289)&lt;=0)),"",IF(F289="",TODAY(),F289+C289))</f>
        <v/>
      </c>
      <c r="H289" s="16" t="str">
        <f aca="true">IF(G289="","",G289-TODAY())</f>
        <v/>
      </c>
      <c r="I289" s="17" t="str">
        <f aca="false">IF(AND(A289="",B289=""),"",IF(OR(A289="",B289=""),"Fill in asset and task",IF(OR(NOT(ISNUMBER(C289)),N(C289)&lt;=0),"Check frequency",IF(SUMPRODUCT(($A$5:$A$304=A289)*($B$5:$B$304=B289))&gt;1,"Duplicate row",IF(H289&lt;0,"OVERDUE",IF(H289&lt;=$I$2,"Due soon","OK"))))))</f>
        <v/>
      </c>
      <c r="J289" s="9"/>
    </row>
    <row r="290" customFormat="false" ht="15" hidden="false" customHeight="false" outlineLevel="0" collapsed="false">
      <c r="A290" s="9"/>
      <c r="B290" s="9"/>
      <c r="C290" s="9"/>
      <c r="D290" s="9"/>
      <c r="E290" s="14"/>
      <c r="F290" s="15" t="str">
        <f aca="false">IF(OR(A290="",B290=""),"",IF(MAX(N(E290),SUMPRODUCT(MAX(('Completion Log'!$B$5:$B$2004=A290)*('Completion Log'!$C$5:$C$2004=B290)*'Completion Log'!$A$5:$A$2004)))=0,"",MAX(N(E290),SUMPRODUCT(MAX(('Completion Log'!$B$5:$B$2004=A290)*('Completion Log'!$C$5:$C$2004=B290)*'Completion Log'!$A$5:$A$2004)))))</f>
        <v/>
      </c>
      <c r="G290" s="15" t="str">
        <f aca="true">IF(OR(A290="",B290="",OR(NOT(ISNUMBER(C290)),N(C290)&lt;=0)),"",IF(F290="",TODAY(),F290+C290))</f>
        <v/>
      </c>
      <c r="H290" s="16" t="str">
        <f aca="true">IF(G290="","",G290-TODAY())</f>
        <v/>
      </c>
      <c r="I290" s="17" t="str">
        <f aca="false">IF(AND(A290="",B290=""),"",IF(OR(A290="",B290=""),"Fill in asset and task",IF(OR(NOT(ISNUMBER(C290)),N(C290)&lt;=0),"Check frequency",IF(SUMPRODUCT(($A$5:$A$304=A290)*($B$5:$B$304=B290))&gt;1,"Duplicate row",IF(H290&lt;0,"OVERDUE",IF(H290&lt;=$I$2,"Due soon","OK"))))))</f>
        <v/>
      </c>
      <c r="J290" s="9"/>
    </row>
    <row r="291" customFormat="false" ht="15" hidden="false" customHeight="false" outlineLevel="0" collapsed="false">
      <c r="A291" s="9"/>
      <c r="B291" s="9"/>
      <c r="C291" s="9"/>
      <c r="D291" s="9"/>
      <c r="E291" s="14"/>
      <c r="F291" s="15" t="str">
        <f aca="false">IF(OR(A291="",B291=""),"",IF(MAX(N(E291),SUMPRODUCT(MAX(('Completion Log'!$B$5:$B$2004=A291)*('Completion Log'!$C$5:$C$2004=B291)*'Completion Log'!$A$5:$A$2004)))=0,"",MAX(N(E291),SUMPRODUCT(MAX(('Completion Log'!$B$5:$B$2004=A291)*('Completion Log'!$C$5:$C$2004=B291)*'Completion Log'!$A$5:$A$2004)))))</f>
        <v/>
      </c>
      <c r="G291" s="15" t="str">
        <f aca="true">IF(OR(A291="",B291="",OR(NOT(ISNUMBER(C291)),N(C291)&lt;=0)),"",IF(F291="",TODAY(),F291+C291))</f>
        <v/>
      </c>
      <c r="H291" s="16" t="str">
        <f aca="true">IF(G291="","",G291-TODAY())</f>
        <v/>
      </c>
      <c r="I291" s="17" t="str">
        <f aca="false">IF(AND(A291="",B291=""),"",IF(OR(A291="",B291=""),"Fill in asset and task",IF(OR(NOT(ISNUMBER(C291)),N(C291)&lt;=0),"Check frequency",IF(SUMPRODUCT(($A$5:$A$304=A291)*($B$5:$B$304=B291))&gt;1,"Duplicate row",IF(H291&lt;0,"OVERDUE",IF(H291&lt;=$I$2,"Due soon","OK"))))))</f>
        <v/>
      </c>
      <c r="J291" s="9"/>
    </row>
    <row r="292" customFormat="false" ht="15" hidden="false" customHeight="false" outlineLevel="0" collapsed="false">
      <c r="A292" s="9"/>
      <c r="B292" s="9"/>
      <c r="C292" s="9"/>
      <c r="D292" s="9"/>
      <c r="E292" s="14"/>
      <c r="F292" s="15" t="str">
        <f aca="false">IF(OR(A292="",B292=""),"",IF(MAX(N(E292),SUMPRODUCT(MAX(('Completion Log'!$B$5:$B$2004=A292)*('Completion Log'!$C$5:$C$2004=B292)*'Completion Log'!$A$5:$A$2004)))=0,"",MAX(N(E292),SUMPRODUCT(MAX(('Completion Log'!$B$5:$B$2004=A292)*('Completion Log'!$C$5:$C$2004=B292)*'Completion Log'!$A$5:$A$2004)))))</f>
        <v/>
      </c>
      <c r="G292" s="15" t="str">
        <f aca="true">IF(OR(A292="",B292="",OR(NOT(ISNUMBER(C292)),N(C292)&lt;=0)),"",IF(F292="",TODAY(),F292+C292))</f>
        <v/>
      </c>
      <c r="H292" s="16" t="str">
        <f aca="true">IF(G292="","",G292-TODAY())</f>
        <v/>
      </c>
      <c r="I292" s="17" t="str">
        <f aca="false">IF(AND(A292="",B292=""),"",IF(OR(A292="",B292=""),"Fill in asset and task",IF(OR(NOT(ISNUMBER(C292)),N(C292)&lt;=0),"Check frequency",IF(SUMPRODUCT(($A$5:$A$304=A292)*($B$5:$B$304=B292))&gt;1,"Duplicate row",IF(H292&lt;0,"OVERDUE",IF(H292&lt;=$I$2,"Due soon","OK"))))))</f>
        <v/>
      </c>
      <c r="J292" s="9"/>
    </row>
    <row r="293" customFormat="false" ht="15" hidden="false" customHeight="false" outlineLevel="0" collapsed="false">
      <c r="A293" s="9"/>
      <c r="B293" s="9"/>
      <c r="C293" s="9"/>
      <c r="D293" s="9"/>
      <c r="E293" s="14"/>
      <c r="F293" s="15" t="str">
        <f aca="false">IF(OR(A293="",B293=""),"",IF(MAX(N(E293),SUMPRODUCT(MAX(('Completion Log'!$B$5:$B$2004=A293)*('Completion Log'!$C$5:$C$2004=B293)*'Completion Log'!$A$5:$A$2004)))=0,"",MAX(N(E293),SUMPRODUCT(MAX(('Completion Log'!$B$5:$B$2004=A293)*('Completion Log'!$C$5:$C$2004=B293)*'Completion Log'!$A$5:$A$2004)))))</f>
        <v/>
      </c>
      <c r="G293" s="15" t="str">
        <f aca="true">IF(OR(A293="",B293="",OR(NOT(ISNUMBER(C293)),N(C293)&lt;=0)),"",IF(F293="",TODAY(),F293+C293))</f>
        <v/>
      </c>
      <c r="H293" s="16" t="str">
        <f aca="true">IF(G293="","",G293-TODAY())</f>
        <v/>
      </c>
      <c r="I293" s="17" t="str">
        <f aca="false">IF(AND(A293="",B293=""),"",IF(OR(A293="",B293=""),"Fill in asset and task",IF(OR(NOT(ISNUMBER(C293)),N(C293)&lt;=0),"Check frequency",IF(SUMPRODUCT(($A$5:$A$304=A293)*($B$5:$B$304=B293))&gt;1,"Duplicate row",IF(H293&lt;0,"OVERDUE",IF(H293&lt;=$I$2,"Due soon","OK"))))))</f>
        <v/>
      </c>
      <c r="J293" s="9"/>
    </row>
    <row r="294" customFormat="false" ht="15" hidden="false" customHeight="false" outlineLevel="0" collapsed="false">
      <c r="A294" s="9"/>
      <c r="B294" s="9"/>
      <c r="C294" s="9"/>
      <c r="D294" s="9"/>
      <c r="E294" s="14"/>
      <c r="F294" s="15" t="str">
        <f aca="false">IF(OR(A294="",B294=""),"",IF(MAX(N(E294),SUMPRODUCT(MAX(('Completion Log'!$B$5:$B$2004=A294)*('Completion Log'!$C$5:$C$2004=B294)*'Completion Log'!$A$5:$A$2004)))=0,"",MAX(N(E294),SUMPRODUCT(MAX(('Completion Log'!$B$5:$B$2004=A294)*('Completion Log'!$C$5:$C$2004=B294)*'Completion Log'!$A$5:$A$2004)))))</f>
        <v/>
      </c>
      <c r="G294" s="15" t="str">
        <f aca="true">IF(OR(A294="",B294="",OR(NOT(ISNUMBER(C294)),N(C294)&lt;=0)),"",IF(F294="",TODAY(),F294+C294))</f>
        <v/>
      </c>
      <c r="H294" s="16" t="str">
        <f aca="true">IF(G294="","",G294-TODAY())</f>
        <v/>
      </c>
      <c r="I294" s="17" t="str">
        <f aca="false">IF(AND(A294="",B294=""),"",IF(OR(A294="",B294=""),"Fill in asset and task",IF(OR(NOT(ISNUMBER(C294)),N(C294)&lt;=0),"Check frequency",IF(SUMPRODUCT(($A$5:$A$304=A294)*($B$5:$B$304=B294))&gt;1,"Duplicate row",IF(H294&lt;0,"OVERDUE",IF(H294&lt;=$I$2,"Due soon","OK"))))))</f>
        <v/>
      </c>
      <c r="J294" s="9"/>
    </row>
    <row r="295" customFormat="false" ht="15" hidden="false" customHeight="false" outlineLevel="0" collapsed="false">
      <c r="A295" s="9"/>
      <c r="B295" s="9"/>
      <c r="C295" s="9"/>
      <c r="D295" s="9"/>
      <c r="E295" s="14"/>
      <c r="F295" s="15" t="str">
        <f aca="false">IF(OR(A295="",B295=""),"",IF(MAX(N(E295),SUMPRODUCT(MAX(('Completion Log'!$B$5:$B$2004=A295)*('Completion Log'!$C$5:$C$2004=B295)*'Completion Log'!$A$5:$A$2004)))=0,"",MAX(N(E295),SUMPRODUCT(MAX(('Completion Log'!$B$5:$B$2004=A295)*('Completion Log'!$C$5:$C$2004=B295)*'Completion Log'!$A$5:$A$2004)))))</f>
        <v/>
      </c>
      <c r="G295" s="15" t="str">
        <f aca="true">IF(OR(A295="",B295="",OR(NOT(ISNUMBER(C295)),N(C295)&lt;=0)),"",IF(F295="",TODAY(),F295+C295))</f>
        <v/>
      </c>
      <c r="H295" s="16" t="str">
        <f aca="true">IF(G295="","",G295-TODAY())</f>
        <v/>
      </c>
      <c r="I295" s="17" t="str">
        <f aca="false">IF(AND(A295="",B295=""),"",IF(OR(A295="",B295=""),"Fill in asset and task",IF(OR(NOT(ISNUMBER(C295)),N(C295)&lt;=0),"Check frequency",IF(SUMPRODUCT(($A$5:$A$304=A295)*($B$5:$B$304=B295))&gt;1,"Duplicate row",IF(H295&lt;0,"OVERDUE",IF(H295&lt;=$I$2,"Due soon","OK"))))))</f>
        <v/>
      </c>
      <c r="J295" s="9"/>
    </row>
    <row r="296" customFormat="false" ht="15" hidden="false" customHeight="false" outlineLevel="0" collapsed="false">
      <c r="A296" s="9"/>
      <c r="B296" s="9"/>
      <c r="C296" s="9"/>
      <c r="D296" s="9"/>
      <c r="E296" s="14"/>
      <c r="F296" s="15" t="str">
        <f aca="false">IF(OR(A296="",B296=""),"",IF(MAX(N(E296),SUMPRODUCT(MAX(('Completion Log'!$B$5:$B$2004=A296)*('Completion Log'!$C$5:$C$2004=B296)*'Completion Log'!$A$5:$A$2004)))=0,"",MAX(N(E296),SUMPRODUCT(MAX(('Completion Log'!$B$5:$B$2004=A296)*('Completion Log'!$C$5:$C$2004=B296)*'Completion Log'!$A$5:$A$2004)))))</f>
        <v/>
      </c>
      <c r="G296" s="15" t="str">
        <f aca="true">IF(OR(A296="",B296="",OR(NOT(ISNUMBER(C296)),N(C296)&lt;=0)),"",IF(F296="",TODAY(),F296+C296))</f>
        <v/>
      </c>
      <c r="H296" s="16" t="str">
        <f aca="true">IF(G296="","",G296-TODAY())</f>
        <v/>
      </c>
      <c r="I296" s="17" t="str">
        <f aca="false">IF(AND(A296="",B296=""),"",IF(OR(A296="",B296=""),"Fill in asset and task",IF(OR(NOT(ISNUMBER(C296)),N(C296)&lt;=0),"Check frequency",IF(SUMPRODUCT(($A$5:$A$304=A296)*($B$5:$B$304=B296))&gt;1,"Duplicate row",IF(H296&lt;0,"OVERDUE",IF(H296&lt;=$I$2,"Due soon","OK"))))))</f>
        <v/>
      </c>
      <c r="J296" s="9"/>
    </row>
    <row r="297" customFormat="false" ht="15" hidden="false" customHeight="false" outlineLevel="0" collapsed="false">
      <c r="A297" s="9"/>
      <c r="B297" s="9"/>
      <c r="C297" s="9"/>
      <c r="D297" s="9"/>
      <c r="E297" s="14"/>
      <c r="F297" s="15" t="str">
        <f aca="false">IF(OR(A297="",B297=""),"",IF(MAX(N(E297),SUMPRODUCT(MAX(('Completion Log'!$B$5:$B$2004=A297)*('Completion Log'!$C$5:$C$2004=B297)*'Completion Log'!$A$5:$A$2004)))=0,"",MAX(N(E297),SUMPRODUCT(MAX(('Completion Log'!$B$5:$B$2004=A297)*('Completion Log'!$C$5:$C$2004=B297)*'Completion Log'!$A$5:$A$2004)))))</f>
        <v/>
      </c>
      <c r="G297" s="15" t="str">
        <f aca="true">IF(OR(A297="",B297="",OR(NOT(ISNUMBER(C297)),N(C297)&lt;=0)),"",IF(F297="",TODAY(),F297+C297))</f>
        <v/>
      </c>
      <c r="H297" s="16" t="str">
        <f aca="true">IF(G297="","",G297-TODAY())</f>
        <v/>
      </c>
      <c r="I297" s="17" t="str">
        <f aca="false">IF(AND(A297="",B297=""),"",IF(OR(A297="",B297=""),"Fill in asset and task",IF(OR(NOT(ISNUMBER(C297)),N(C297)&lt;=0),"Check frequency",IF(SUMPRODUCT(($A$5:$A$304=A297)*($B$5:$B$304=B297))&gt;1,"Duplicate row",IF(H297&lt;0,"OVERDUE",IF(H297&lt;=$I$2,"Due soon","OK"))))))</f>
        <v/>
      </c>
      <c r="J297" s="9"/>
    </row>
    <row r="298" customFormat="false" ht="15" hidden="false" customHeight="false" outlineLevel="0" collapsed="false">
      <c r="A298" s="9"/>
      <c r="B298" s="9"/>
      <c r="C298" s="9"/>
      <c r="D298" s="9"/>
      <c r="E298" s="14"/>
      <c r="F298" s="15" t="str">
        <f aca="false">IF(OR(A298="",B298=""),"",IF(MAX(N(E298),SUMPRODUCT(MAX(('Completion Log'!$B$5:$B$2004=A298)*('Completion Log'!$C$5:$C$2004=B298)*'Completion Log'!$A$5:$A$2004)))=0,"",MAX(N(E298),SUMPRODUCT(MAX(('Completion Log'!$B$5:$B$2004=A298)*('Completion Log'!$C$5:$C$2004=B298)*'Completion Log'!$A$5:$A$2004)))))</f>
        <v/>
      </c>
      <c r="G298" s="15" t="str">
        <f aca="true">IF(OR(A298="",B298="",OR(NOT(ISNUMBER(C298)),N(C298)&lt;=0)),"",IF(F298="",TODAY(),F298+C298))</f>
        <v/>
      </c>
      <c r="H298" s="16" t="str">
        <f aca="true">IF(G298="","",G298-TODAY())</f>
        <v/>
      </c>
      <c r="I298" s="17" t="str">
        <f aca="false">IF(AND(A298="",B298=""),"",IF(OR(A298="",B298=""),"Fill in asset and task",IF(OR(NOT(ISNUMBER(C298)),N(C298)&lt;=0),"Check frequency",IF(SUMPRODUCT(($A$5:$A$304=A298)*($B$5:$B$304=B298))&gt;1,"Duplicate row",IF(H298&lt;0,"OVERDUE",IF(H298&lt;=$I$2,"Due soon","OK"))))))</f>
        <v/>
      </c>
      <c r="J298" s="9"/>
    </row>
    <row r="299" customFormat="false" ht="15" hidden="false" customHeight="false" outlineLevel="0" collapsed="false">
      <c r="A299" s="9"/>
      <c r="B299" s="9"/>
      <c r="C299" s="9"/>
      <c r="D299" s="9"/>
      <c r="E299" s="14"/>
      <c r="F299" s="15" t="str">
        <f aca="false">IF(OR(A299="",B299=""),"",IF(MAX(N(E299),SUMPRODUCT(MAX(('Completion Log'!$B$5:$B$2004=A299)*('Completion Log'!$C$5:$C$2004=B299)*'Completion Log'!$A$5:$A$2004)))=0,"",MAX(N(E299),SUMPRODUCT(MAX(('Completion Log'!$B$5:$B$2004=A299)*('Completion Log'!$C$5:$C$2004=B299)*'Completion Log'!$A$5:$A$2004)))))</f>
        <v/>
      </c>
      <c r="G299" s="15" t="str">
        <f aca="true">IF(OR(A299="",B299="",OR(NOT(ISNUMBER(C299)),N(C299)&lt;=0)),"",IF(F299="",TODAY(),F299+C299))</f>
        <v/>
      </c>
      <c r="H299" s="16" t="str">
        <f aca="true">IF(G299="","",G299-TODAY())</f>
        <v/>
      </c>
      <c r="I299" s="17" t="str">
        <f aca="false">IF(AND(A299="",B299=""),"",IF(OR(A299="",B299=""),"Fill in asset and task",IF(OR(NOT(ISNUMBER(C299)),N(C299)&lt;=0),"Check frequency",IF(SUMPRODUCT(($A$5:$A$304=A299)*($B$5:$B$304=B299))&gt;1,"Duplicate row",IF(H299&lt;0,"OVERDUE",IF(H299&lt;=$I$2,"Due soon","OK"))))))</f>
        <v/>
      </c>
      <c r="J299" s="9"/>
    </row>
    <row r="300" customFormat="false" ht="15" hidden="false" customHeight="false" outlineLevel="0" collapsed="false">
      <c r="A300" s="9"/>
      <c r="B300" s="9"/>
      <c r="C300" s="9"/>
      <c r="D300" s="9"/>
      <c r="E300" s="14"/>
      <c r="F300" s="15" t="str">
        <f aca="false">IF(OR(A300="",B300=""),"",IF(MAX(N(E300),SUMPRODUCT(MAX(('Completion Log'!$B$5:$B$2004=A300)*('Completion Log'!$C$5:$C$2004=B300)*'Completion Log'!$A$5:$A$2004)))=0,"",MAX(N(E300),SUMPRODUCT(MAX(('Completion Log'!$B$5:$B$2004=A300)*('Completion Log'!$C$5:$C$2004=B300)*'Completion Log'!$A$5:$A$2004)))))</f>
        <v/>
      </c>
      <c r="G300" s="15" t="str">
        <f aca="true">IF(OR(A300="",B300="",OR(NOT(ISNUMBER(C300)),N(C300)&lt;=0)),"",IF(F300="",TODAY(),F300+C300))</f>
        <v/>
      </c>
      <c r="H300" s="16" t="str">
        <f aca="true">IF(G300="","",G300-TODAY())</f>
        <v/>
      </c>
      <c r="I300" s="17" t="str">
        <f aca="false">IF(AND(A300="",B300=""),"",IF(OR(A300="",B300=""),"Fill in asset and task",IF(OR(NOT(ISNUMBER(C300)),N(C300)&lt;=0),"Check frequency",IF(SUMPRODUCT(($A$5:$A$304=A300)*($B$5:$B$304=B300))&gt;1,"Duplicate row",IF(H300&lt;0,"OVERDUE",IF(H300&lt;=$I$2,"Due soon","OK"))))))</f>
        <v/>
      </c>
      <c r="J300" s="9"/>
    </row>
    <row r="301" customFormat="false" ht="15" hidden="false" customHeight="false" outlineLevel="0" collapsed="false">
      <c r="A301" s="9"/>
      <c r="B301" s="9"/>
      <c r="C301" s="9"/>
      <c r="D301" s="9"/>
      <c r="E301" s="14"/>
      <c r="F301" s="15" t="str">
        <f aca="false">IF(OR(A301="",B301=""),"",IF(MAX(N(E301),SUMPRODUCT(MAX(('Completion Log'!$B$5:$B$2004=A301)*('Completion Log'!$C$5:$C$2004=B301)*'Completion Log'!$A$5:$A$2004)))=0,"",MAX(N(E301),SUMPRODUCT(MAX(('Completion Log'!$B$5:$B$2004=A301)*('Completion Log'!$C$5:$C$2004=B301)*'Completion Log'!$A$5:$A$2004)))))</f>
        <v/>
      </c>
      <c r="G301" s="15" t="str">
        <f aca="true">IF(OR(A301="",B301="",OR(NOT(ISNUMBER(C301)),N(C301)&lt;=0)),"",IF(F301="",TODAY(),F301+C301))</f>
        <v/>
      </c>
      <c r="H301" s="16" t="str">
        <f aca="true">IF(G301="","",G301-TODAY())</f>
        <v/>
      </c>
      <c r="I301" s="17" t="str">
        <f aca="false">IF(AND(A301="",B301=""),"",IF(OR(A301="",B301=""),"Fill in asset and task",IF(OR(NOT(ISNUMBER(C301)),N(C301)&lt;=0),"Check frequency",IF(SUMPRODUCT(($A$5:$A$304=A301)*($B$5:$B$304=B301))&gt;1,"Duplicate row",IF(H301&lt;0,"OVERDUE",IF(H301&lt;=$I$2,"Due soon","OK"))))))</f>
        <v/>
      </c>
      <c r="J301" s="9"/>
    </row>
    <row r="302" customFormat="false" ht="15" hidden="false" customHeight="false" outlineLevel="0" collapsed="false">
      <c r="A302" s="9"/>
      <c r="B302" s="9"/>
      <c r="C302" s="9"/>
      <c r="D302" s="9"/>
      <c r="E302" s="14"/>
      <c r="F302" s="15" t="str">
        <f aca="false">IF(OR(A302="",B302=""),"",IF(MAX(N(E302),SUMPRODUCT(MAX(('Completion Log'!$B$5:$B$2004=A302)*('Completion Log'!$C$5:$C$2004=B302)*'Completion Log'!$A$5:$A$2004)))=0,"",MAX(N(E302),SUMPRODUCT(MAX(('Completion Log'!$B$5:$B$2004=A302)*('Completion Log'!$C$5:$C$2004=B302)*'Completion Log'!$A$5:$A$2004)))))</f>
        <v/>
      </c>
      <c r="G302" s="15" t="str">
        <f aca="true">IF(OR(A302="",B302="",OR(NOT(ISNUMBER(C302)),N(C302)&lt;=0)),"",IF(F302="",TODAY(),F302+C302))</f>
        <v/>
      </c>
      <c r="H302" s="16" t="str">
        <f aca="true">IF(G302="","",G302-TODAY())</f>
        <v/>
      </c>
      <c r="I302" s="17" t="str">
        <f aca="false">IF(AND(A302="",B302=""),"",IF(OR(A302="",B302=""),"Fill in asset and task",IF(OR(NOT(ISNUMBER(C302)),N(C302)&lt;=0),"Check frequency",IF(SUMPRODUCT(($A$5:$A$304=A302)*($B$5:$B$304=B302))&gt;1,"Duplicate row",IF(H302&lt;0,"OVERDUE",IF(H302&lt;=$I$2,"Due soon","OK"))))))</f>
        <v/>
      </c>
      <c r="J302" s="9"/>
    </row>
    <row r="303" customFormat="false" ht="15" hidden="false" customHeight="false" outlineLevel="0" collapsed="false">
      <c r="A303" s="9"/>
      <c r="B303" s="9"/>
      <c r="C303" s="9"/>
      <c r="D303" s="9"/>
      <c r="E303" s="14"/>
      <c r="F303" s="15" t="str">
        <f aca="false">IF(OR(A303="",B303=""),"",IF(MAX(N(E303),SUMPRODUCT(MAX(('Completion Log'!$B$5:$B$2004=A303)*('Completion Log'!$C$5:$C$2004=B303)*'Completion Log'!$A$5:$A$2004)))=0,"",MAX(N(E303),SUMPRODUCT(MAX(('Completion Log'!$B$5:$B$2004=A303)*('Completion Log'!$C$5:$C$2004=B303)*'Completion Log'!$A$5:$A$2004)))))</f>
        <v/>
      </c>
      <c r="G303" s="15" t="str">
        <f aca="true">IF(OR(A303="",B303="",OR(NOT(ISNUMBER(C303)),N(C303)&lt;=0)),"",IF(F303="",TODAY(),F303+C303))</f>
        <v/>
      </c>
      <c r="H303" s="16" t="str">
        <f aca="true">IF(G303="","",G303-TODAY())</f>
        <v/>
      </c>
      <c r="I303" s="17" t="str">
        <f aca="false">IF(AND(A303="",B303=""),"",IF(OR(A303="",B303=""),"Fill in asset and task",IF(OR(NOT(ISNUMBER(C303)),N(C303)&lt;=0),"Check frequency",IF(SUMPRODUCT(($A$5:$A$304=A303)*($B$5:$B$304=B303))&gt;1,"Duplicate row",IF(H303&lt;0,"OVERDUE",IF(H303&lt;=$I$2,"Due soon","OK"))))))</f>
        <v/>
      </c>
      <c r="J303" s="9"/>
    </row>
    <row r="304" customFormat="false" ht="15" hidden="false" customHeight="false" outlineLevel="0" collapsed="false">
      <c r="A304" s="9"/>
      <c r="B304" s="9"/>
      <c r="C304" s="9"/>
      <c r="D304" s="9"/>
      <c r="E304" s="14"/>
      <c r="F304" s="15" t="str">
        <f aca="false">IF(OR(A304="",B304=""),"",IF(MAX(N(E304),SUMPRODUCT(MAX(('Completion Log'!$B$5:$B$2004=A304)*('Completion Log'!$C$5:$C$2004=B304)*'Completion Log'!$A$5:$A$2004)))=0,"",MAX(N(E304),SUMPRODUCT(MAX(('Completion Log'!$B$5:$B$2004=A304)*('Completion Log'!$C$5:$C$2004=B304)*'Completion Log'!$A$5:$A$2004)))))</f>
        <v/>
      </c>
      <c r="G304" s="15" t="str">
        <f aca="true">IF(OR(A304="",B304="",OR(NOT(ISNUMBER(C304)),N(C304)&lt;=0)),"",IF(F304="",TODAY(),F304+C304))</f>
        <v/>
      </c>
      <c r="H304" s="16" t="str">
        <f aca="true">IF(G304="","",G304-TODAY())</f>
        <v/>
      </c>
      <c r="I304" s="17" t="str">
        <f aca="false">IF(AND(A304="",B304=""),"",IF(OR(A304="",B304=""),"Fill in asset and task",IF(OR(NOT(ISNUMBER(C304)),N(C304)&lt;=0),"Check frequency",IF(SUMPRODUCT(($A$5:$A$304=A304)*($B$5:$B$304=B304))&gt;1,"Duplicate row",IF(H304&lt;0,"OVERDUE",IF(H304&lt;=$I$2,"Due soon","OK"))))))</f>
        <v/>
      </c>
      <c r="J304" s="9"/>
    </row>
  </sheetData>
  <mergeCells count="1">
    <mergeCell ref="G2:H2"/>
  </mergeCells>
  <conditionalFormatting sqref="I5:I304">
    <cfRule type="expression" priority="2" aboveAverage="0" equalAverage="0" bottom="0" percent="0" rank="0" text="" dxfId="0">
      <formula>I5="OVERDUE"</formula>
    </cfRule>
    <cfRule type="expression" priority="3" aboveAverage="0" equalAverage="0" bottom="0" percent="0" rank="0" text="" dxfId="1">
      <formula>I5="Due soon"</formula>
    </cfRule>
    <cfRule type="expression" priority="4" aboveAverage="0" equalAverage="0" bottom="0" percent="0" rank="0" text="" dxfId="2">
      <formula>I5="OK"</formula>
    </cfRule>
    <cfRule type="expression" priority="5" aboveAverage="0" equalAverage="0" bottom="0" percent="0" rank="0" text="" dxfId="3">
      <formula>OR(I5="Check frequency",I5="Duplicate row",I5="Fill in asset and task")</formula>
    </cfRule>
  </conditionalFormatting>
  <dataValidations count="1">
    <dataValidation allowBlank="true" error="Enter the frequency as a whole number of days, 1 or more." errorStyle="stop" operator="greaterThan" showDropDown="false" showErrorMessage="false" showInputMessage="false" sqref="C5:C304"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4"/>
    <col collapsed="false" customWidth="true" hidden="false" outlineLevel="0" max="4" min="4" style="0" width="16"/>
    <col collapsed="false" customWidth="true" hidden="false" outlineLevel="0" max="5" min="5" style="0" width="34"/>
    <col collapsed="false" customWidth="true" hidden="false" outlineLevel="0" max="6" min="6" style="0" width="26"/>
  </cols>
  <sheetData>
    <row r="1" customFormat="false" ht="19.7" hidden="false" customHeight="false" outlineLevel="0" collapsed="false">
      <c r="A1" s="1" t="s">
        <v>47</v>
      </c>
    </row>
    <row r="2" customFormat="false" ht="15" hidden="false" customHeight="false" outlineLevel="0" collapsed="false">
      <c r="A2" s="2" t="s">
        <v>48</v>
      </c>
    </row>
    <row r="4" customFormat="false" ht="31.5" hidden="false" customHeight="true" outlineLevel="0" collapsed="false">
      <c r="A4" s="12" t="s">
        <v>49</v>
      </c>
      <c r="B4" s="12" t="s">
        <v>23</v>
      </c>
      <c r="C4" s="12" t="s">
        <v>24</v>
      </c>
      <c r="D4" s="12" t="s">
        <v>50</v>
      </c>
      <c r="E4" s="12" t="s">
        <v>32</v>
      </c>
      <c r="F4" s="12" t="s">
        <v>51</v>
      </c>
    </row>
    <row r="5" customFormat="false" ht="15" hidden="false" customHeight="false" outlineLevel="0" collapsed="false">
      <c r="A5" s="14" t="n">
        <f aca="true">TODAY()-2</f>
        <v>46304</v>
      </c>
      <c r="B5" s="9" t="s">
        <v>43</v>
      </c>
      <c r="C5" s="9" t="s">
        <v>44</v>
      </c>
      <c r="D5" s="9" t="s">
        <v>52</v>
      </c>
      <c r="E5" s="9" t="s">
        <v>37</v>
      </c>
      <c r="F5" s="17" t="str">
        <f aca="false">IF(AND(A5="",B5="",C5=""),"",IF(NOT(ISNUMBER(A5)),"Enter the date done",IF(OR(B5="",C5=""),"Fill in asset and task",IF(SUMPRODUCT(('PM Plan'!$A$5:$A$304=B5)*('PM Plan'!$B$5:$B$304=C5))=0,"No matching asset + task in plan","OK"))))</f>
        <v>OK</v>
      </c>
    </row>
    <row r="6" customFormat="false" ht="15" hidden="false" customHeight="false" outlineLevel="0" collapsed="false">
      <c r="A6" s="14"/>
      <c r="B6" s="9"/>
      <c r="C6" s="9"/>
      <c r="D6" s="9"/>
      <c r="E6" s="9"/>
      <c r="F6" s="17" t="str">
        <f aca="false">IF(AND(A6="",B6="",C6=""),"",IF(NOT(ISNUMBER(A6)),"Enter the date done",IF(OR(B6="",C6=""),"Fill in asset and task",IF(SUMPRODUCT(('PM Plan'!$A$5:$A$304=B6)*('PM Plan'!$B$5:$B$304=C6))=0,"No matching asset + task in plan","OK"))))</f>
        <v/>
      </c>
    </row>
    <row r="7" customFormat="false" ht="15" hidden="false" customHeight="false" outlineLevel="0" collapsed="false">
      <c r="A7" s="14"/>
      <c r="B7" s="9"/>
      <c r="C7" s="9"/>
      <c r="D7" s="9"/>
      <c r="E7" s="9"/>
      <c r="F7" s="17" t="str">
        <f aca="false">IF(AND(A7="",B7="",C7=""),"",IF(NOT(ISNUMBER(A7)),"Enter the date done",IF(OR(B7="",C7=""),"Fill in asset and task",IF(SUMPRODUCT(('PM Plan'!$A$5:$A$304=B7)*('PM Plan'!$B$5:$B$304=C7))=0,"No matching asset + task in plan","OK"))))</f>
        <v/>
      </c>
    </row>
    <row r="8" customFormat="false" ht="15" hidden="false" customHeight="false" outlineLevel="0" collapsed="false">
      <c r="A8" s="14"/>
      <c r="B8" s="9"/>
      <c r="C8" s="9"/>
      <c r="D8" s="9"/>
      <c r="E8" s="9"/>
      <c r="F8" s="17" t="str">
        <f aca="false">IF(AND(A8="",B8="",C8=""),"",IF(NOT(ISNUMBER(A8)),"Enter the date done",IF(OR(B8="",C8=""),"Fill in asset and task",IF(SUMPRODUCT(('PM Plan'!$A$5:$A$304=B8)*('PM Plan'!$B$5:$B$304=C8))=0,"No matching asset + task in plan","OK"))))</f>
        <v/>
      </c>
    </row>
    <row r="9" customFormat="false" ht="15" hidden="false" customHeight="false" outlineLevel="0" collapsed="false">
      <c r="A9" s="14"/>
      <c r="B9" s="9"/>
      <c r="C9" s="9"/>
      <c r="D9" s="9"/>
      <c r="E9" s="9"/>
      <c r="F9" s="17" t="str">
        <f aca="false">IF(AND(A9="",B9="",C9=""),"",IF(NOT(ISNUMBER(A9)),"Enter the date done",IF(OR(B9="",C9=""),"Fill in asset and task",IF(SUMPRODUCT(('PM Plan'!$A$5:$A$304=B9)*('PM Plan'!$B$5:$B$304=C9))=0,"No matching asset + task in plan","OK"))))</f>
        <v/>
      </c>
    </row>
    <row r="10" customFormat="false" ht="15" hidden="false" customHeight="false" outlineLevel="0" collapsed="false">
      <c r="A10" s="14"/>
      <c r="B10" s="9"/>
      <c r="C10" s="9"/>
      <c r="D10" s="9"/>
      <c r="E10" s="9"/>
      <c r="F10" s="17" t="str">
        <f aca="false">IF(AND(A10="",B10="",C10=""),"",IF(NOT(ISNUMBER(A10)),"Enter the date done",IF(OR(B10="",C10=""),"Fill in asset and task",IF(SUMPRODUCT(('PM Plan'!$A$5:$A$304=B10)*('PM Plan'!$B$5:$B$304=C10))=0,"No matching asset + task in plan","OK"))))</f>
        <v/>
      </c>
    </row>
    <row r="11" customFormat="false" ht="15" hidden="false" customHeight="false" outlineLevel="0" collapsed="false">
      <c r="A11" s="14"/>
      <c r="B11" s="9"/>
      <c r="C11" s="9"/>
      <c r="D11" s="9"/>
      <c r="E11" s="9"/>
      <c r="F11" s="17" t="str">
        <f aca="false">IF(AND(A11="",B11="",C11=""),"",IF(NOT(ISNUMBER(A11)),"Enter the date done",IF(OR(B11="",C11=""),"Fill in asset and task",IF(SUMPRODUCT(('PM Plan'!$A$5:$A$304=B11)*('PM Plan'!$B$5:$B$304=C11))=0,"No matching asset + task in plan","OK"))))</f>
        <v/>
      </c>
    </row>
    <row r="12" customFormat="false" ht="15" hidden="false" customHeight="false" outlineLevel="0" collapsed="false">
      <c r="A12" s="14"/>
      <c r="B12" s="9"/>
      <c r="C12" s="9"/>
      <c r="D12" s="9"/>
      <c r="E12" s="9"/>
      <c r="F12" s="17" t="str">
        <f aca="false">IF(AND(A12="",B12="",C12=""),"",IF(NOT(ISNUMBER(A12)),"Enter the date done",IF(OR(B12="",C12=""),"Fill in asset and task",IF(SUMPRODUCT(('PM Plan'!$A$5:$A$304=B12)*('PM Plan'!$B$5:$B$304=C12))=0,"No matching asset + task in plan","OK"))))</f>
        <v/>
      </c>
    </row>
    <row r="13" customFormat="false" ht="15" hidden="false" customHeight="false" outlineLevel="0" collapsed="false">
      <c r="A13" s="14"/>
      <c r="B13" s="9"/>
      <c r="C13" s="9"/>
      <c r="D13" s="9"/>
      <c r="E13" s="9"/>
      <c r="F13" s="17" t="str">
        <f aca="false">IF(AND(A13="",B13="",C13=""),"",IF(NOT(ISNUMBER(A13)),"Enter the date done",IF(OR(B13="",C13=""),"Fill in asset and task",IF(SUMPRODUCT(('PM Plan'!$A$5:$A$304=B13)*('PM Plan'!$B$5:$B$304=C13))=0,"No matching asset + task in plan","OK"))))</f>
        <v/>
      </c>
    </row>
    <row r="14" customFormat="false" ht="15" hidden="false" customHeight="false" outlineLevel="0" collapsed="false">
      <c r="A14" s="14"/>
      <c r="B14" s="9"/>
      <c r="C14" s="9"/>
      <c r="D14" s="9"/>
      <c r="E14" s="9"/>
      <c r="F14" s="17" t="str">
        <f aca="false">IF(AND(A14="",B14="",C14=""),"",IF(NOT(ISNUMBER(A14)),"Enter the date done",IF(OR(B14="",C14=""),"Fill in asset and task",IF(SUMPRODUCT(('PM Plan'!$A$5:$A$304=B14)*('PM Plan'!$B$5:$B$304=C14))=0,"No matching asset + task in plan","OK"))))</f>
        <v/>
      </c>
    </row>
    <row r="15" customFormat="false" ht="15" hidden="false" customHeight="false" outlineLevel="0" collapsed="false">
      <c r="A15" s="14"/>
      <c r="B15" s="9"/>
      <c r="C15" s="9"/>
      <c r="D15" s="9"/>
      <c r="E15" s="9"/>
      <c r="F15" s="17" t="str">
        <f aca="false">IF(AND(A15="",B15="",C15=""),"",IF(NOT(ISNUMBER(A15)),"Enter the date done",IF(OR(B15="",C15=""),"Fill in asset and task",IF(SUMPRODUCT(('PM Plan'!$A$5:$A$304=B15)*('PM Plan'!$B$5:$B$304=C15))=0,"No matching asset + task in plan","OK"))))</f>
        <v/>
      </c>
    </row>
    <row r="16" customFormat="false" ht="15" hidden="false" customHeight="false" outlineLevel="0" collapsed="false">
      <c r="A16" s="14"/>
      <c r="B16" s="9"/>
      <c r="C16" s="9"/>
      <c r="D16" s="9"/>
      <c r="E16" s="9"/>
      <c r="F16" s="17" t="str">
        <f aca="false">IF(AND(A16="",B16="",C16=""),"",IF(NOT(ISNUMBER(A16)),"Enter the date done",IF(OR(B16="",C16=""),"Fill in asset and task",IF(SUMPRODUCT(('PM Plan'!$A$5:$A$304=B16)*('PM Plan'!$B$5:$B$304=C16))=0,"No matching asset + task in plan","OK"))))</f>
        <v/>
      </c>
    </row>
    <row r="17" customFormat="false" ht="15" hidden="false" customHeight="false" outlineLevel="0" collapsed="false">
      <c r="A17" s="14"/>
      <c r="B17" s="9"/>
      <c r="C17" s="9"/>
      <c r="D17" s="9"/>
      <c r="E17" s="9"/>
      <c r="F17" s="17" t="str">
        <f aca="false">IF(AND(A17="",B17="",C17=""),"",IF(NOT(ISNUMBER(A17)),"Enter the date done",IF(OR(B17="",C17=""),"Fill in asset and task",IF(SUMPRODUCT(('PM Plan'!$A$5:$A$304=B17)*('PM Plan'!$B$5:$B$304=C17))=0,"No matching asset + task in plan","OK"))))</f>
        <v/>
      </c>
    </row>
    <row r="18" customFormat="false" ht="15" hidden="false" customHeight="false" outlineLevel="0" collapsed="false">
      <c r="A18" s="14"/>
      <c r="B18" s="9"/>
      <c r="C18" s="9"/>
      <c r="D18" s="9"/>
      <c r="E18" s="9"/>
      <c r="F18" s="17" t="str">
        <f aca="false">IF(AND(A18="",B18="",C18=""),"",IF(NOT(ISNUMBER(A18)),"Enter the date done",IF(OR(B18="",C18=""),"Fill in asset and task",IF(SUMPRODUCT(('PM Plan'!$A$5:$A$304=B18)*('PM Plan'!$B$5:$B$304=C18))=0,"No matching asset + task in plan","OK"))))</f>
        <v/>
      </c>
    </row>
    <row r="19" customFormat="false" ht="15" hidden="false" customHeight="false" outlineLevel="0" collapsed="false">
      <c r="A19" s="14"/>
      <c r="B19" s="9"/>
      <c r="C19" s="9"/>
      <c r="D19" s="9"/>
      <c r="E19" s="9"/>
      <c r="F19" s="17" t="str">
        <f aca="false">IF(AND(A19="",B19="",C19=""),"",IF(NOT(ISNUMBER(A19)),"Enter the date done",IF(OR(B19="",C19=""),"Fill in asset and task",IF(SUMPRODUCT(('PM Plan'!$A$5:$A$304=B19)*('PM Plan'!$B$5:$B$304=C19))=0,"No matching asset + task in plan","OK"))))</f>
        <v/>
      </c>
    </row>
    <row r="20" customFormat="false" ht="15" hidden="false" customHeight="false" outlineLevel="0" collapsed="false">
      <c r="A20" s="14"/>
      <c r="B20" s="9"/>
      <c r="C20" s="9"/>
      <c r="D20" s="9"/>
      <c r="E20" s="9"/>
      <c r="F20" s="17" t="str">
        <f aca="false">IF(AND(A20="",B20="",C20=""),"",IF(NOT(ISNUMBER(A20)),"Enter the date done",IF(OR(B20="",C20=""),"Fill in asset and task",IF(SUMPRODUCT(('PM Plan'!$A$5:$A$304=B20)*('PM Plan'!$B$5:$B$304=C20))=0,"No matching asset + task in plan","OK"))))</f>
        <v/>
      </c>
    </row>
    <row r="21" customFormat="false" ht="15" hidden="false" customHeight="false" outlineLevel="0" collapsed="false">
      <c r="A21" s="14"/>
      <c r="B21" s="9"/>
      <c r="C21" s="9"/>
      <c r="D21" s="9"/>
      <c r="E21" s="9"/>
      <c r="F21" s="17" t="str">
        <f aca="false">IF(AND(A21="",B21="",C21=""),"",IF(NOT(ISNUMBER(A21)),"Enter the date done",IF(OR(B21="",C21=""),"Fill in asset and task",IF(SUMPRODUCT(('PM Plan'!$A$5:$A$304=B21)*('PM Plan'!$B$5:$B$304=C21))=0,"No matching asset + task in plan","OK"))))</f>
        <v/>
      </c>
    </row>
    <row r="22" customFormat="false" ht="15" hidden="false" customHeight="false" outlineLevel="0" collapsed="false">
      <c r="A22" s="14"/>
      <c r="B22" s="9"/>
      <c r="C22" s="9"/>
      <c r="D22" s="9"/>
      <c r="E22" s="9"/>
      <c r="F22" s="17" t="str">
        <f aca="false">IF(AND(A22="",B22="",C22=""),"",IF(NOT(ISNUMBER(A22)),"Enter the date done",IF(OR(B22="",C22=""),"Fill in asset and task",IF(SUMPRODUCT(('PM Plan'!$A$5:$A$304=B22)*('PM Plan'!$B$5:$B$304=C22))=0,"No matching asset + task in plan","OK"))))</f>
        <v/>
      </c>
    </row>
    <row r="23" customFormat="false" ht="15" hidden="false" customHeight="false" outlineLevel="0" collapsed="false">
      <c r="A23" s="14"/>
      <c r="B23" s="9"/>
      <c r="C23" s="9"/>
      <c r="D23" s="9"/>
      <c r="E23" s="9"/>
      <c r="F23" s="17" t="str">
        <f aca="false">IF(AND(A23="",B23="",C23=""),"",IF(NOT(ISNUMBER(A23)),"Enter the date done",IF(OR(B23="",C23=""),"Fill in asset and task",IF(SUMPRODUCT(('PM Plan'!$A$5:$A$304=B23)*('PM Plan'!$B$5:$B$304=C23))=0,"No matching asset + task in plan","OK"))))</f>
        <v/>
      </c>
    </row>
    <row r="24" customFormat="false" ht="15" hidden="false" customHeight="false" outlineLevel="0" collapsed="false">
      <c r="A24" s="14"/>
      <c r="B24" s="9"/>
      <c r="C24" s="9"/>
      <c r="D24" s="9"/>
      <c r="E24" s="9"/>
      <c r="F24" s="17" t="str">
        <f aca="false">IF(AND(A24="",B24="",C24=""),"",IF(NOT(ISNUMBER(A24)),"Enter the date done",IF(OR(B24="",C24=""),"Fill in asset and task",IF(SUMPRODUCT(('PM Plan'!$A$5:$A$304=B24)*('PM Plan'!$B$5:$B$304=C24))=0,"No matching asset + task in plan","OK"))))</f>
        <v/>
      </c>
    </row>
    <row r="25" customFormat="false" ht="15" hidden="false" customHeight="false" outlineLevel="0" collapsed="false">
      <c r="A25" s="14"/>
      <c r="B25" s="9"/>
      <c r="C25" s="9"/>
      <c r="D25" s="9"/>
      <c r="E25" s="9"/>
      <c r="F25" s="17" t="str">
        <f aca="false">IF(AND(A25="",B25="",C25=""),"",IF(NOT(ISNUMBER(A25)),"Enter the date done",IF(OR(B25="",C25=""),"Fill in asset and task",IF(SUMPRODUCT(('PM Plan'!$A$5:$A$304=B25)*('PM Plan'!$B$5:$B$304=C25))=0,"No matching asset + task in plan","OK"))))</f>
        <v/>
      </c>
    </row>
    <row r="26" customFormat="false" ht="15" hidden="false" customHeight="false" outlineLevel="0" collapsed="false">
      <c r="A26" s="14"/>
      <c r="B26" s="9"/>
      <c r="C26" s="9"/>
      <c r="D26" s="9"/>
      <c r="E26" s="9"/>
      <c r="F26" s="17" t="str">
        <f aca="false">IF(AND(A26="",B26="",C26=""),"",IF(NOT(ISNUMBER(A26)),"Enter the date done",IF(OR(B26="",C26=""),"Fill in asset and task",IF(SUMPRODUCT(('PM Plan'!$A$5:$A$304=B26)*('PM Plan'!$B$5:$B$304=C26))=0,"No matching asset + task in plan","OK"))))</f>
        <v/>
      </c>
    </row>
    <row r="27" customFormat="false" ht="15" hidden="false" customHeight="false" outlineLevel="0" collapsed="false">
      <c r="A27" s="14"/>
      <c r="B27" s="9"/>
      <c r="C27" s="9"/>
      <c r="D27" s="9"/>
      <c r="E27" s="9"/>
      <c r="F27" s="17" t="str">
        <f aca="false">IF(AND(A27="",B27="",C27=""),"",IF(NOT(ISNUMBER(A27)),"Enter the date done",IF(OR(B27="",C27=""),"Fill in asset and task",IF(SUMPRODUCT(('PM Plan'!$A$5:$A$304=B27)*('PM Plan'!$B$5:$B$304=C27))=0,"No matching asset + task in plan","OK"))))</f>
        <v/>
      </c>
    </row>
    <row r="28" customFormat="false" ht="15" hidden="false" customHeight="false" outlineLevel="0" collapsed="false">
      <c r="A28" s="14"/>
      <c r="B28" s="9"/>
      <c r="C28" s="9"/>
      <c r="D28" s="9"/>
      <c r="E28" s="9"/>
      <c r="F28" s="17" t="str">
        <f aca="false">IF(AND(A28="",B28="",C28=""),"",IF(NOT(ISNUMBER(A28)),"Enter the date done",IF(OR(B28="",C28=""),"Fill in asset and task",IF(SUMPRODUCT(('PM Plan'!$A$5:$A$304=B28)*('PM Plan'!$B$5:$B$304=C28))=0,"No matching asset + task in plan","OK"))))</f>
        <v/>
      </c>
    </row>
    <row r="29" customFormat="false" ht="15" hidden="false" customHeight="false" outlineLevel="0" collapsed="false">
      <c r="A29" s="14"/>
      <c r="B29" s="9"/>
      <c r="C29" s="9"/>
      <c r="D29" s="9"/>
      <c r="E29" s="9"/>
      <c r="F29" s="17" t="str">
        <f aca="false">IF(AND(A29="",B29="",C29=""),"",IF(NOT(ISNUMBER(A29)),"Enter the date done",IF(OR(B29="",C29=""),"Fill in asset and task",IF(SUMPRODUCT(('PM Plan'!$A$5:$A$304=B29)*('PM Plan'!$B$5:$B$304=C29))=0,"No matching asset + task in plan","OK"))))</f>
        <v/>
      </c>
    </row>
    <row r="30" customFormat="false" ht="15" hidden="false" customHeight="false" outlineLevel="0" collapsed="false">
      <c r="A30" s="14"/>
      <c r="B30" s="9"/>
      <c r="C30" s="9"/>
      <c r="D30" s="9"/>
      <c r="E30" s="9"/>
      <c r="F30" s="17" t="str">
        <f aca="false">IF(AND(A30="",B30="",C30=""),"",IF(NOT(ISNUMBER(A30)),"Enter the date done",IF(OR(B30="",C30=""),"Fill in asset and task",IF(SUMPRODUCT(('PM Plan'!$A$5:$A$304=B30)*('PM Plan'!$B$5:$B$304=C30))=0,"No matching asset + task in plan","OK"))))</f>
        <v/>
      </c>
    </row>
    <row r="31" customFormat="false" ht="15" hidden="false" customHeight="false" outlineLevel="0" collapsed="false">
      <c r="A31" s="14"/>
      <c r="B31" s="9"/>
      <c r="C31" s="9"/>
      <c r="D31" s="9"/>
      <c r="E31" s="9"/>
      <c r="F31" s="17" t="str">
        <f aca="false">IF(AND(A31="",B31="",C31=""),"",IF(NOT(ISNUMBER(A31)),"Enter the date done",IF(OR(B31="",C31=""),"Fill in asset and task",IF(SUMPRODUCT(('PM Plan'!$A$5:$A$304=B31)*('PM Plan'!$B$5:$B$304=C31))=0,"No matching asset + task in plan","OK"))))</f>
        <v/>
      </c>
    </row>
    <row r="32" customFormat="false" ht="15" hidden="false" customHeight="false" outlineLevel="0" collapsed="false">
      <c r="A32" s="14"/>
      <c r="B32" s="9"/>
      <c r="C32" s="9"/>
      <c r="D32" s="9"/>
      <c r="E32" s="9"/>
      <c r="F32" s="17" t="str">
        <f aca="false">IF(AND(A32="",B32="",C32=""),"",IF(NOT(ISNUMBER(A32)),"Enter the date done",IF(OR(B32="",C32=""),"Fill in asset and task",IF(SUMPRODUCT(('PM Plan'!$A$5:$A$304=B32)*('PM Plan'!$B$5:$B$304=C32))=0,"No matching asset + task in plan","OK"))))</f>
        <v/>
      </c>
    </row>
    <row r="33" customFormat="false" ht="15" hidden="false" customHeight="false" outlineLevel="0" collapsed="false">
      <c r="A33" s="14"/>
      <c r="B33" s="9"/>
      <c r="C33" s="9"/>
      <c r="D33" s="9"/>
      <c r="E33" s="9"/>
      <c r="F33" s="17" t="str">
        <f aca="false">IF(AND(A33="",B33="",C33=""),"",IF(NOT(ISNUMBER(A33)),"Enter the date done",IF(OR(B33="",C33=""),"Fill in asset and task",IF(SUMPRODUCT(('PM Plan'!$A$5:$A$304=B33)*('PM Plan'!$B$5:$B$304=C33))=0,"No matching asset + task in plan","OK"))))</f>
        <v/>
      </c>
    </row>
    <row r="34" customFormat="false" ht="15" hidden="false" customHeight="false" outlineLevel="0" collapsed="false">
      <c r="A34" s="14"/>
      <c r="B34" s="9"/>
      <c r="C34" s="9"/>
      <c r="D34" s="9"/>
      <c r="E34" s="9"/>
      <c r="F34" s="17" t="str">
        <f aca="false">IF(AND(A34="",B34="",C34=""),"",IF(NOT(ISNUMBER(A34)),"Enter the date done",IF(OR(B34="",C34=""),"Fill in asset and task",IF(SUMPRODUCT(('PM Plan'!$A$5:$A$304=B34)*('PM Plan'!$B$5:$B$304=C34))=0,"No matching asset + task in plan","OK"))))</f>
        <v/>
      </c>
    </row>
    <row r="35" customFormat="false" ht="15" hidden="false" customHeight="false" outlineLevel="0" collapsed="false">
      <c r="A35" s="14"/>
      <c r="B35" s="9"/>
      <c r="C35" s="9"/>
      <c r="D35" s="9"/>
      <c r="E35" s="9"/>
      <c r="F35" s="17" t="str">
        <f aca="false">IF(AND(A35="",B35="",C35=""),"",IF(NOT(ISNUMBER(A35)),"Enter the date done",IF(OR(B35="",C35=""),"Fill in asset and task",IF(SUMPRODUCT(('PM Plan'!$A$5:$A$304=B35)*('PM Plan'!$B$5:$B$304=C35))=0,"No matching asset + task in plan","OK"))))</f>
        <v/>
      </c>
    </row>
    <row r="36" customFormat="false" ht="15" hidden="false" customHeight="false" outlineLevel="0" collapsed="false">
      <c r="A36" s="14"/>
      <c r="B36" s="9"/>
      <c r="C36" s="9"/>
      <c r="D36" s="9"/>
      <c r="E36" s="9"/>
      <c r="F36" s="17" t="str">
        <f aca="false">IF(AND(A36="",B36="",C36=""),"",IF(NOT(ISNUMBER(A36)),"Enter the date done",IF(OR(B36="",C36=""),"Fill in asset and task",IF(SUMPRODUCT(('PM Plan'!$A$5:$A$304=B36)*('PM Plan'!$B$5:$B$304=C36))=0,"No matching asset + task in plan","OK"))))</f>
        <v/>
      </c>
    </row>
    <row r="37" customFormat="false" ht="15" hidden="false" customHeight="false" outlineLevel="0" collapsed="false">
      <c r="A37" s="14"/>
      <c r="B37" s="9"/>
      <c r="C37" s="9"/>
      <c r="D37" s="9"/>
      <c r="E37" s="9"/>
      <c r="F37" s="17" t="str">
        <f aca="false">IF(AND(A37="",B37="",C37=""),"",IF(NOT(ISNUMBER(A37)),"Enter the date done",IF(OR(B37="",C37=""),"Fill in asset and task",IF(SUMPRODUCT(('PM Plan'!$A$5:$A$304=B37)*('PM Plan'!$B$5:$B$304=C37))=0,"No matching asset + task in plan","OK"))))</f>
        <v/>
      </c>
    </row>
    <row r="38" customFormat="false" ht="15" hidden="false" customHeight="false" outlineLevel="0" collapsed="false">
      <c r="A38" s="14"/>
      <c r="B38" s="9"/>
      <c r="C38" s="9"/>
      <c r="D38" s="9"/>
      <c r="E38" s="9"/>
      <c r="F38" s="17" t="str">
        <f aca="false">IF(AND(A38="",B38="",C38=""),"",IF(NOT(ISNUMBER(A38)),"Enter the date done",IF(OR(B38="",C38=""),"Fill in asset and task",IF(SUMPRODUCT(('PM Plan'!$A$5:$A$304=B38)*('PM Plan'!$B$5:$B$304=C38))=0,"No matching asset + task in plan","OK"))))</f>
        <v/>
      </c>
    </row>
    <row r="39" customFormat="false" ht="15" hidden="false" customHeight="false" outlineLevel="0" collapsed="false">
      <c r="A39" s="14"/>
      <c r="B39" s="9"/>
      <c r="C39" s="9"/>
      <c r="D39" s="9"/>
      <c r="E39" s="9"/>
      <c r="F39" s="17" t="str">
        <f aca="false">IF(AND(A39="",B39="",C39=""),"",IF(NOT(ISNUMBER(A39)),"Enter the date done",IF(OR(B39="",C39=""),"Fill in asset and task",IF(SUMPRODUCT(('PM Plan'!$A$5:$A$304=B39)*('PM Plan'!$B$5:$B$304=C39))=0,"No matching asset + task in plan","OK"))))</f>
        <v/>
      </c>
    </row>
    <row r="40" customFormat="false" ht="15" hidden="false" customHeight="false" outlineLevel="0" collapsed="false">
      <c r="A40" s="14"/>
      <c r="B40" s="9"/>
      <c r="C40" s="9"/>
      <c r="D40" s="9"/>
      <c r="E40" s="9"/>
      <c r="F40" s="17" t="str">
        <f aca="false">IF(AND(A40="",B40="",C40=""),"",IF(NOT(ISNUMBER(A40)),"Enter the date done",IF(OR(B40="",C40=""),"Fill in asset and task",IF(SUMPRODUCT(('PM Plan'!$A$5:$A$304=B40)*('PM Plan'!$B$5:$B$304=C40))=0,"No matching asset + task in plan","OK"))))</f>
        <v/>
      </c>
    </row>
    <row r="41" customFormat="false" ht="15" hidden="false" customHeight="false" outlineLevel="0" collapsed="false">
      <c r="A41" s="14"/>
      <c r="B41" s="9"/>
      <c r="C41" s="9"/>
      <c r="D41" s="9"/>
      <c r="E41" s="9"/>
      <c r="F41" s="17" t="str">
        <f aca="false">IF(AND(A41="",B41="",C41=""),"",IF(NOT(ISNUMBER(A41)),"Enter the date done",IF(OR(B41="",C41=""),"Fill in asset and task",IF(SUMPRODUCT(('PM Plan'!$A$5:$A$304=B41)*('PM Plan'!$B$5:$B$304=C41))=0,"No matching asset + task in plan","OK"))))</f>
        <v/>
      </c>
    </row>
    <row r="42" customFormat="false" ht="15" hidden="false" customHeight="false" outlineLevel="0" collapsed="false">
      <c r="A42" s="14"/>
      <c r="B42" s="9"/>
      <c r="C42" s="9"/>
      <c r="D42" s="9"/>
      <c r="E42" s="9"/>
      <c r="F42" s="17" t="str">
        <f aca="false">IF(AND(A42="",B42="",C42=""),"",IF(NOT(ISNUMBER(A42)),"Enter the date done",IF(OR(B42="",C42=""),"Fill in asset and task",IF(SUMPRODUCT(('PM Plan'!$A$5:$A$304=B42)*('PM Plan'!$B$5:$B$304=C42))=0,"No matching asset + task in plan","OK"))))</f>
        <v/>
      </c>
    </row>
    <row r="43" customFormat="false" ht="15" hidden="false" customHeight="false" outlineLevel="0" collapsed="false">
      <c r="A43" s="14"/>
      <c r="B43" s="9"/>
      <c r="C43" s="9"/>
      <c r="D43" s="9"/>
      <c r="E43" s="9"/>
      <c r="F43" s="17" t="str">
        <f aca="false">IF(AND(A43="",B43="",C43=""),"",IF(NOT(ISNUMBER(A43)),"Enter the date done",IF(OR(B43="",C43=""),"Fill in asset and task",IF(SUMPRODUCT(('PM Plan'!$A$5:$A$304=B43)*('PM Plan'!$B$5:$B$304=C43))=0,"No matching asset + task in plan","OK"))))</f>
        <v/>
      </c>
    </row>
    <row r="44" customFormat="false" ht="15" hidden="false" customHeight="false" outlineLevel="0" collapsed="false">
      <c r="A44" s="14"/>
      <c r="B44" s="9"/>
      <c r="C44" s="9"/>
      <c r="D44" s="9"/>
      <c r="E44" s="9"/>
      <c r="F44" s="17" t="str">
        <f aca="false">IF(AND(A44="",B44="",C44=""),"",IF(NOT(ISNUMBER(A44)),"Enter the date done",IF(OR(B44="",C44=""),"Fill in asset and task",IF(SUMPRODUCT(('PM Plan'!$A$5:$A$304=B44)*('PM Plan'!$B$5:$B$304=C44))=0,"No matching asset + task in plan","OK"))))</f>
        <v/>
      </c>
    </row>
    <row r="45" customFormat="false" ht="15" hidden="false" customHeight="false" outlineLevel="0" collapsed="false">
      <c r="A45" s="14"/>
      <c r="B45" s="9"/>
      <c r="C45" s="9"/>
      <c r="D45" s="9"/>
      <c r="E45" s="9"/>
      <c r="F45" s="17" t="str">
        <f aca="false">IF(AND(A45="",B45="",C45=""),"",IF(NOT(ISNUMBER(A45)),"Enter the date done",IF(OR(B45="",C45=""),"Fill in asset and task",IF(SUMPRODUCT(('PM Plan'!$A$5:$A$304=B45)*('PM Plan'!$B$5:$B$304=C45))=0,"No matching asset + task in plan","OK"))))</f>
        <v/>
      </c>
    </row>
    <row r="46" customFormat="false" ht="15" hidden="false" customHeight="false" outlineLevel="0" collapsed="false">
      <c r="A46" s="14"/>
      <c r="B46" s="9"/>
      <c r="C46" s="9"/>
      <c r="D46" s="9"/>
      <c r="E46" s="9"/>
      <c r="F46" s="17" t="str">
        <f aca="false">IF(AND(A46="",B46="",C46=""),"",IF(NOT(ISNUMBER(A46)),"Enter the date done",IF(OR(B46="",C46=""),"Fill in asset and task",IF(SUMPRODUCT(('PM Plan'!$A$5:$A$304=B46)*('PM Plan'!$B$5:$B$304=C46))=0,"No matching asset + task in plan","OK"))))</f>
        <v/>
      </c>
    </row>
    <row r="47" customFormat="false" ht="15" hidden="false" customHeight="false" outlineLevel="0" collapsed="false">
      <c r="A47" s="14"/>
      <c r="B47" s="9"/>
      <c r="C47" s="9"/>
      <c r="D47" s="9"/>
      <c r="E47" s="9"/>
      <c r="F47" s="17" t="str">
        <f aca="false">IF(AND(A47="",B47="",C47=""),"",IF(NOT(ISNUMBER(A47)),"Enter the date done",IF(OR(B47="",C47=""),"Fill in asset and task",IF(SUMPRODUCT(('PM Plan'!$A$5:$A$304=B47)*('PM Plan'!$B$5:$B$304=C47))=0,"No matching asset + task in plan","OK"))))</f>
        <v/>
      </c>
    </row>
    <row r="48" customFormat="false" ht="15" hidden="false" customHeight="false" outlineLevel="0" collapsed="false">
      <c r="A48" s="14"/>
      <c r="B48" s="9"/>
      <c r="C48" s="9"/>
      <c r="D48" s="9"/>
      <c r="E48" s="9"/>
      <c r="F48" s="17" t="str">
        <f aca="false">IF(AND(A48="",B48="",C48=""),"",IF(NOT(ISNUMBER(A48)),"Enter the date done",IF(OR(B48="",C48=""),"Fill in asset and task",IF(SUMPRODUCT(('PM Plan'!$A$5:$A$304=B48)*('PM Plan'!$B$5:$B$304=C48))=0,"No matching asset + task in plan","OK"))))</f>
        <v/>
      </c>
    </row>
    <row r="49" customFormat="false" ht="15" hidden="false" customHeight="false" outlineLevel="0" collapsed="false">
      <c r="A49" s="14"/>
      <c r="B49" s="9"/>
      <c r="C49" s="9"/>
      <c r="D49" s="9"/>
      <c r="E49" s="9"/>
      <c r="F49" s="17" t="str">
        <f aca="false">IF(AND(A49="",B49="",C49=""),"",IF(NOT(ISNUMBER(A49)),"Enter the date done",IF(OR(B49="",C49=""),"Fill in asset and task",IF(SUMPRODUCT(('PM Plan'!$A$5:$A$304=B49)*('PM Plan'!$B$5:$B$304=C49))=0,"No matching asset + task in plan","OK"))))</f>
        <v/>
      </c>
    </row>
    <row r="50" customFormat="false" ht="15" hidden="false" customHeight="false" outlineLevel="0" collapsed="false">
      <c r="A50" s="14"/>
      <c r="B50" s="9"/>
      <c r="C50" s="9"/>
      <c r="D50" s="9"/>
      <c r="E50" s="9"/>
      <c r="F50" s="17" t="str">
        <f aca="false">IF(AND(A50="",B50="",C50=""),"",IF(NOT(ISNUMBER(A50)),"Enter the date done",IF(OR(B50="",C50=""),"Fill in asset and task",IF(SUMPRODUCT(('PM Plan'!$A$5:$A$304=B50)*('PM Plan'!$B$5:$B$304=C50))=0,"No matching asset + task in plan","OK"))))</f>
        <v/>
      </c>
    </row>
    <row r="51" customFormat="false" ht="15" hidden="false" customHeight="false" outlineLevel="0" collapsed="false">
      <c r="A51" s="14"/>
      <c r="B51" s="9"/>
      <c r="C51" s="9"/>
      <c r="D51" s="9"/>
      <c r="E51" s="9"/>
      <c r="F51" s="17" t="str">
        <f aca="false">IF(AND(A51="",B51="",C51=""),"",IF(NOT(ISNUMBER(A51)),"Enter the date done",IF(OR(B51="",C51=""),"Fill in asset and task",IF(SUMPRODUCT(('PM Plan'!$A$5:$A$304=B51)*('PM Plan'!$B$5:$B$304=C51))=0,"No matching asset + task in plan","OK"))))</f>
        <v/>
      </c>
    </row>
    <row r="52" customFormat="false" ht="15" hidden="false" customHeight="false" outlineLevel="0" collapsed="false">
      <c r="A52" s="14"/>
      <c r="B52" s="9"/>
      <c r="C52" s="9"/>
      <c r="D52" s="9"/>
      <c r="E52" s="9"/>
      <c r="F52" s="17" t="str">
        <f aca="false">IF(AND(A52="",B52="",C52=""),"",IF(NOT(ISNUMBER(A52)),"Enter the date done",IF(OR(B52="",C52=""),"Fill in asset and task",IF(SUMPRODUCT(('PM Plan'!$A$5:$A$304=B52)*('PM Plan'!$B$5:$B$304=C52))=0,"No matching asset + task in plan","OK"))))</f>
        <v/>
      </c>
    </row>
    <row r="53" customFormat="false" ht="15" hidden="false" customHeight="false" outlineLevel="0" collapsed="false">
      <c r="A53" s="14"/>
      <c r="B53" s="9"/>
      <c r="C53" s="9"/>
      <c r="D53" s="9"/>
      <c r="E53" s="9"/>
      <c r="F53" s="17" t="str">
        <f aca="false">IF(AND(A53="",B53="",C53=""),"",IF(NOT(ISNUMBER(A53)),"Enter the date done",IF(OR(B53="",C53=""),"Fill in asset and task",IF(SUMPRODUCT(('PM Plan'!$A$5:$A$304=B53)*('PM Plan'!$B$5:$B$304=C53))=0,"No matching asset + task in plan","OK"))))</f>
        <v/>
      </c>
    </row>
    <row r="54" customFormat="false" ht="15" hidden="false" customHeight="false" outlineLevel="0" collapsed="false">
      <c r="A54" s="14"/>
      <c r="B54" s="9"/>
      <c r="C54" s="9"/>
      <c r="D54" s="9"/>
      <c r="E54" s="9"/>
      <c r="F54" s="17" t="str">
        <f aca="false">IF(AND(A54="",B54="",C54=""),"",IF(NOT(ISNUMBER(A54)),"Enter the date done",IF(OR(B54="",C54=""),"Fill in asset and task",IF(SUMPRODUCT(('PM Plan'!$A$5:$A$304=B54)*('PM Plan'!$B$5:$B$304=C54))=0,"No matching asset + task in plan","OK"))))</f>
        <v/>
      </c>
    </row>
    <row r="55" customFormat="false" ht="15" hidden="false" customHeight="false" outlineLevel="0" collapsed="false">
      <c r="A55" s="14"/>
      <c r="B55" s="9"/>
      <c r="C55" s="9"/>
      <c r="D55" s="9"/>
      <c r="E55" s="9"/>
      <c r="F55" s="17" t="str">
        <f aca="false">IF(AND(A55="",B55="",C55=""),"",IF(NOT(ISNUMBER(A55)),"Enter the date done",IF(OR(B55="",C55=""),"Fill in asset and task",IF(SUMPRODUCT(('PM Plan'!$A$5:$A$304=B55)*('PM Plan'!$B$5:$B$304=C55))=0,"No matching asset + task in plan","OK"))))</f>
        <v/>
      </c>
    </row>
    <row r="56" customFormat="false" ht="15" hidden="false" customHeight="false" outlineLevel="0" collapsed="false">
      <c r="A56" s="14"/>
      <c r="B56" s="9"/>
      <c r="C56" s="9"/>
      <c r="D56" s="9"/>
      <c r="E56" s="9"/>
      <c r="F56" s="17" t="str">
        <f aca="false">IF(AND(A56="",B56="",C56=""),"",IF(NOT(ISNUMBER(A56)),"Enter the date done",IF(OR(B56="",C56=""),"Fill in asset and task",IF(SUMPRODUCT(('PM Plan'!$A$5:$A$304=B56)*('PM Plan'!$B$5:$B$304=C56))=0,"No matching asset + task in plan","OK"))))</f>
        <v/>
      </c>
    </row>
    <row r="57" customFormat="false" ht="15" hidden="false" customHeight="false" outlineLevel="0" collapsed="false">
      <c r="A57" s="14"/>
      <c r="B57" s="9"/>
      <c r="C57" s="9"/>
      <c r="D57" s="9"/>
      <c r="E57" s="9"/>
      <c r="F57" s="17" t="str">
        <f aca="false">IF(AND(A57="",B57="",C57=""),"",IF(NOT(ISNUMBER(A57)),"Enter the date done",IF(OR(B57="",C57=""),"Fill in asset and task",IF(SUMPRODUCT(('PM Plan'!$A$5:$A$304=B57)*('PM Plan'!$B$5:$B$304=C57))=0,"No matching asset + task in plan","OK"))))</f>
        <v/>
      </c>
    </row>
    <row r="58" customFormat="false" ht="15" hidden="false" customHeight="false" outlineLevel="0" collapsed="false">
      <c r="A58" s="14"/>
      <c r="B58" s="9"/>
      <c r="C58" s="9"/>
      <c r="D58" s="9"/>
      <c r="E58" s="9"/>
      <c r="F58" s="17" t="str">
        <f aca="false">IF(AND(A58="",B58="",C58=""),"",IF(NOT(ISNUMBER(A58)),"Enter the date done",IF(OR(B58="",C58=""),"Fill in asset and task",IF(SUMPRODUCT(('PM Plan'!$A$5:$A$304=B58)*('PM Plan'!$B$5:$B$304=C58))=0,"No matching asset + task in plan","OK"))))</f>
        <v/>
      </c>
    </row>
    <row r="59" customFormat="false" ht="15" hidden="false" customHeight="false" outlineLevel="0" collapsed="false">
      <c r="A59" s="14"/>
      <c r="B59" s="9"/>
      <c r="C59" s="9"/>
      <c r="D59" s="9"/>
      <c r="E59" s="9"/>
      <c r="F59" s="17" t="str">
        <f aca="false">IF(AND(A59="",B59="",C59=""),"",IF(NOT(ISNUMBER(A59)),"Enter the date done",IF(OR(B59="",C59=""),"Fill in asset and task",IF(SUMPRODUCT(('PM Plan'!$A$5:$A$304=B59)*('PM Plan'!$B$5:$B$304=C59))=0,"No matching asset + task in plan","OK"))))</f>
        <v/>
      </c>
    </row>
    <row r="60" customFormat="false" ht="15" hidden="false" customHeight="false" outlineLevel="0" collapsed="false">
      <c r="A60" s="14"/>
      <c r="B60" s="9"/>
      <c r="C60" s="9"/>
      <c r="D60" s="9"/>
      <c r="E60" s="9"/>
      <c r="F60" s="17" t="str">
        <f aca="false">IF(AND(A60="",B60="",C60=""),"",IF(NOT(ISNUMBER(A60)),"Enter the date done",IF(OR(B60="",C60=""),"Fill in asset and task",IF(SUMPRODUCT(('PM Plan'!$A$5:$A$304=B60)*('PM Plan'!$B$5:$B$304=C60))=0,"No matching asset + task in plan","OK"))))</f>
        <v/>
      </c>
    </row>
    <row r="61" customFormat="false" ht="15" hidden="false" customHeight="false" outlineLevel="0" collapsed="false">
      <c r="A61" s="14"/>
      <c r="B61" s="9"/>
      <c r="C61" s="9"/>
      <c r="D61" s="9"/>
      <c r="E61" s="9"/>
      <c r="F61" s="17" t="str">
        <f aca="false">IF(AND(A61="",B61="",C61=""),"",IF(NOT(ISNUMBER(A61)),"Enter the date done",IF(OR(B61="",C61=""),"Fill in asset and task",IF(SUMPRODUCT(('PM Plan'!$A$5:$A$304=B61)*('PM Plan'!$B$5:$B$304=C61))=0,"No matching asset + task in plan","OK"))))</f>
        <v/>
      </c>
    </row>
    <row r="62" customFormat="false" ht="15" hidden="false" customHeight="false" outlineLevel="0" collapsed="false">
      <c r="A62" s="14"/>
      <c r="B62" s="9"/>
      <c r="C62" s="9"/>
      <c r="D62" s="9"/>
      <c r="E62" s="9"/>
      <c r="F62" s="17" t="str">
        <f aca="false">IF(AND(A62="",B62="",C62=""),"",IF(NOT(ISNUMBER(A62)),"Enter the date done",IF(OR(B62="",C62=""),"Fill in asset and task",IF(SUMPRODUCT(('PM Plan'!$A$5:$A$304=B62)*('PM Plan'!$B$5:$B$304=C62))=0,"No matching asset + task in plan","OK"))))</f>
        <v/>
      </c>
    </row>
    <row r="63" customFormat="false" ht="15" hidden="false" customHeight="false" outlineLevel="0" collapsed="false">
      <c r="A63" s="14"/>
      <c r="B63" s="9"/>
      <c r="C63" s="9"/>
      <c r="D63" s="9"/>
      <c r="E63" s="9"/>
      <c r="F63" s="17" t="str">
        <f aca="false">IF(AND(A63="",B63="",C63=""),"",IF(NOT(ISNUMBER(A63)),"Enter the date done",IF(OR(B63="",C63=""),"Fill in asset and task",IF(SUMPRODUCT(('PM Plan'!$A$5:$A$304=B63)*('PM Plan'!$B$5:$B$304=C63))=0,"No matching asset + task in plan","OK"))))</f>
        <v/>
      </c>
    </row>
    <row r="64" customFormat="false" ht="15" hidden="false" customHeight="false" outlineLevel="0" collapsed="false">
      <c r="A64" s="14"/>
      <c r="B64" s="9"/>
      <c r="C64" s="9"/>
      <c r="D64" s="9"/>
      <c r="E64" s="9"/>
      <c r="F64" s="17" t="str">
        <f aca="false">IF(AND(A64="",B64="",C64=""),"",IF(NOT(ISNUMBER(A64)),"Enter the date done",IF(OR(B64="",C64=""),"Fill in asset and task",IF(SUMPRODUCT(('PM Plan'!$A$5:$A$304=B64)*('PM Plan'!$B$5:$B$304=C64))=0,"No matching asset + task in plan","OK"))))</f>
        <v/>
      </c>
    </row>
    <row r="65" customFormat="false" ht="15" hidden="false" customHeight="false" outlineLevel="0" collapsed="false">
      <c r="A65" s="14"/>
      <c r="B65" s="9"/>
      <c r="C65" s="9"/>
      <c r="D65" s="9"/>
      <c r="E65" s="9"/>
      <c r="F65" s="17" t="str">
        <f aca="false">IF(AND(A65="",B65="",C65=""),"",IF(NOT(ISNUMBER(A65)),"Enter the date done",IF(OR(B65="",C65=""),"Fill in asset and task",IF(SUMPRODUCT(('PM Plan'!$A$5:$A$304=B65)*('PM Plan'!$B$5:$B$304=C65))=0,"No matching asset + task in plan","OK"))))</f>
        <v/>
      </c>
    </row>
    <row r="66" customFormat="false" ht="15" hidden="false" customHeight="false" outlineLevel="0" collapsed="false">
      <c r="A66" s="14"/>
      <c r="B66" s="9"/>
      <c r="C66" s="9"/>
      <c r="D66" s="9"/>
      <c r="E66" s="9"/>
      <c r="F66" s="17" t="str">
        <f aca="false">IF(AND(A66="",B66="",C66=""),"",IF(NOT(ISNUMBER(A66)),"Enter the date done",IF(OR(B66="",C66=""),"Fill in asset and task",IF(SUMPRODUCT(('PM Plan'!$A$5:$A$304=B66)*('PM Plan'!$B$5:$B$304=C66))=0,"No matching asset + task in plan","OK"))))</f>
        <v/>
      </c>
    </row>
    <row r="67" customFormat="false" ht="15" hidden="false" customHeight="false" outlineLevel="0" collapsed="false">
      <c r="A67" s="14"/>
      <c r="B67" s="9"/>
      <c r="C67" s="9"/>
      <c r="D67" s="9"/>
      <c r="E67" s="9"/>
      <c r="F67" s="17" t="str">
        <f aca="false">IF(AND(A67="",B67="",C67=""),"",IF(NOT(ISNUMBER(A67)),"Enter the date done",IF(OR(B67="",C67=""),"Fill in asset and task",IF(SUMPRODUCT(('PM Plan'!$A$5:$A$304=B67)*('PM Plan'!$B$5:$B$304=C67))=0,"No matching asset + task in plan","OK"))))</f>
        <v/>
      </c>
    </row>
    <row r="68" customFormat="false" ht="15" hidden="false" customHeight="false" outlineLevel="0" collapsed="false">
      <c r="A68" s="14"/>
      <c r="B68" s="9"/>
      <c r="C68" s="9"/>
      <c r="D68" s="9"/>
      <c r="E68" s="9"/>
      <c r="F68" s="17" t="str">
        <f aca="false">IF(AND(A68="",B68="",C68=""),"",IF(NOT(ISNUMBER(A68)),"Enter the date done",IF(OR(B68="",C68=""),"Fill in asset and task",IF(SUMPRODUCT(('PM Plan'!$A$5:$A$304=B68)*('PM Plan'!$B$5:$B$304=C68))=0,"No matching asset + task in plan","OK"))))</f>
        <v/>
      </c>
    </row>
    <row r="69" customFormat="false" ht="15" hidden="false" customHeight="false" outlineLevel="0" collapsed="false">
      <c r="A69" s="14"/>
      <c r="B69" s="9"/>
      <c r="C69" s="9"/>
      <c r="D69" s="9"/>
      <c r="E69" s="9"/>
      <c r="F69" s="17" t="str">
        <f aca="false">IF(AND(A69="",B69="",C69=""),"",IF(NOT(ISNUMBER(A69)),"Enter the date done",IF(OR(B69="",C69=""),"Fill in asset and task",IF(SUMPRODUCT(('PM Plan'!$A$5:$A$304=B69)*('PM Plan'!$B$5:$B$304=C69))=0,"No matching asset + task in plan","OK"))))</f>
        <v/>
      </c>
    </row>
    <row r="70" customFormat="false" ht="15" hidden="false" customHeight="false" outlineLevel="0" collapsed="false">
      <c r="A70" s="14"/>
      <c r="B70" s="9"/>
      <c r="C70" s="9"/>
      <c r="D70" s="9"/>
      <c r="E70" s="9"/>
      <c r="F70" s="17" t="str">
        <f aca="false">IF(AND(A70="",B70="",C70=""),"",IF(NOT(ISNUMBER(A70)),"Enter the date done",IF(OR(B70="",C70=""),"Fill in asset and task",IF(SUMPRODUCT(('PM Plan'!$A$5:$A$304=B70)*('PM Plan'!$B$5:$B$304=C70))=0,"No matching asset + task in plan","OK"))))</f>
        <v/>
      </c>
    </row>
    <row r="71" customFormat="false" ht="15" hidden="false" customHeight="false" outlineLevel="0" collapsed="false">
      <c r="A71" s="14"/>
      <c r="B71" s="9"/>
      <c r="C71" s="9"/>
      <c r="D71" s="9"/>
      <c r="E71" s="9"/>
      <c r="F71" s="17" t="str">
        <f aca="false">IF(AND(A71="",B71="",C71=""),"",IF(NOT(ISNUMBER(A71)),"Enter the date done",IF(OR(B71="",C71=""),"Fill in asset and task",IF(SUMPRODUCT(('PM Plan'!$A$5:$A$304=B71)*('PM Plan'!$B$5:$B$304=C71))=0,"No matching asset + task in plan","OK"))))</f>
        <v/>
      </c>
    </row>
    <row r="72" customFormat="false" ht="15" hidden="false" customHeight="false" outlineLevel="0" collapsed="false">
      <c r="A72" s="14"/>
      <c r="B72" s="9"/>
      <c r="C72" s="9"/>
      <c r="D72" s="9"/>
      <c r="E72" s="9"/>
      <c r="F72" s="17" t="str">
        <f aca="false">IF(AND(A72="",B72="",C72=""),"",IF(NOT(ISNUMBER(A72)),"Enter the date done",IF(OR(B72="",C72=""),"Fill in asset and task",IF(SUMPRODUCT(('PM Plan'!$A$5:$A$304=B72)*('PM Plan'!$B$5:$B$304=C72))=0,"No matching asset + task in plan","OK"))))</f>
        <v/>
      </c>
    </row>
    <row r="73" customFormat="false" ht="15" hidden="false" customHeight="false" outlineLevel="0" collapsed="false">
      <c r="A73" s="14"/>
      <c r="B73" s="9"/>
      <c r="C73" s="9"/>
      <c r="D73" s="9"/>
      <c r="E73" s="9"/>
      <c r="F73" s="17" t="str">
        <f aca="false">IF(AND(A73="",B73="",C73=""),"",IF(NOT(ISNUMBER(A73)),"Enter the date done",IF(OR(B73="",C73=""),"Fill in asset and task",IF(SUMPRODUCT(('PM Plan'!$A$5:$A$304=B73)*('PM Plan'!$B$5:$B$304=C73))=0,"No matching asset + task in plan","OK"))))</f>
        <v/>
      </c>
    </row>
    <row r="74" customFormat="false" ht="15" hidden="false" customHeight="false" outlineLevel="0" collapsed="false">
      <c r="A74" s="14"/>
      <c r="B74" s="9"/>
      <c r="C74" s="9"/>
      <c r="D74" s="9"/>
      <c r="E74" s="9"/>
      <c r="F74" s="17" t="str">
        <f aca="false">IF(AND(A74="",B74="",C74=""),"",IF(NOT(ISNUMBER(A74)),"Enter the date done",IF(OR(B74="",C74=""),"Fill in asset and task",IF(SUMPRODUCT(('PM Plan'!$A$5:$A$304=B74)*('PM Plan'!$B$5:$B$304=C74))=0,"No matching asset + task in plan","OK"))))</f>
        <v/>
      </c>
    </row>
    <row r="75" customFormat="false" ht="15" hidden="false" customHeight="false" outlineLevel="0" collapsed="false">
      <c r="A75" s="14"/>
      <c r="B75" s="9"/>
      <c r="C75" s="9"/>
      <c r="D75" s="9"/>
      <c r="E75" s="9"/>
      <c r="F75" s="17" t="str">
        <f aca="false">IF(AND(A75="",B75="",C75=""),"",IF(NOT(ISNUMBER(A75)),"Enter the date done",IF(OR(B75="",C75=""),"Fill in asset and task",IF(SUMPRODUCT(('PM Plan'!$A$5:$A$304=B75)*('PM Plan'!$B$5:$B$304=C75))=0,"No matching asset + task in plan","OK"))))</f>
        <v/>
      </c>
    </row>
    <row r="76" customFormat="false" ht="15" hidden="false" customHeight="false" outlineLevel="0" collapsed="false">
      <c r="A76" s="14"/>
      <c r="B76" s="9"/>
      <c r="C76" s="9"/>
      <c r="D76" s="9"/>
      <c r="E76" s="9"/>
      <c r="F76" s="17" t="str">
        <f aca="false">IF(AND(A76="",B76="",C76=""),"",IF(NOT(ISNUMBER(A76)),"Enter the date done",IF(OR(B76="",C76=""),"Fill in asset and task",IF(SUMPRODUCT(('PM Plan'!$A$5:$A$304=B76)*('PM Plan'!$B$5:$B$304=C76))=0,"No matching asset + task in plan","OK"))))</f>
        <v/>
      </c>
    </row>
    <row r="77" customFormat="false" ht="15" hidden="false" customHeight="false" outlineLevel="0" collapsed="false">
      <c r="A77" s="14"/>
      <c r="B77" s="9"/>
      <c r="C77" s="9"/>
      <c r="D77" s="9"/>
      <c r="E77" s="9"/>
      <c r="F77" s="17" t="str">
        <f aca="false">IF(AND(A77="",B77="",C77=""),"",IF(NOT(ISNUMBER(A77)),"Enter the date done",IF(OR(B77="",C77=""),"Fill in asset and task",IF(SUMPRODUCT(('PM Plan'!$A$5:$A$304=B77)*('PM Plan'!$B$5:$B$304=C77))=0,"No matching asset + task in plan","OK"))))</f>
        <v/>
      </c>
    </row>
    <row r="78" customFormat="false" ht="15" hidden="false" customHeight="false" outlineLevel="0" collapsed="false">
      <c r="A78" s="14"/>
      <c r="B78" s="9"/>
      <c r="C78" s="9"/>
      <c r="D78" s="9"/>
      <c r="E78" s="9"/>
      <c r="F78" s="17" t="str">
        <f aca="false">IF(AND(A78="",B78="",C78=""),"",IF(NOT(ISNUMBER(A78)),"Enter the date done",IF(OR(B78="",C78=""),"Fill in asset and task",IF(SUMPRODUCT(('PM Plan'!$A$5:$A$304=B78)*('PM Plan'!$B$5:$B$304=C78))=0,"No matching asset + task in plan","OK"))))</f>
        <v/>
      </c>
    </row>
    <row r="79" customFormat="false" ht="15" hidden="false" customHeight="false" outlineLevel="0" collapsed="false">
      <c r="A79" s="14"/>
      <c r="B79" s="9"/>
      <c r="C79" s="9"/>
      <c r="D79" s="9"/>
      <c r="E79" s="9"/>
      <c r="F79" s="17" t="str">
        <f aca="false">IF(AND(A79="",B79="",C79=""),"",IF(NOT(ISNUMBER(A79)),"Enter the date done",IF(OR(B79="",C79=""),"Fill in asset and task",IF(SUMPRODUCT(('PM Plan'!$A$5:$A$304=B79)*('PM Plan'!$B$5:$B$304=C79))=0,"No matching asset + task in plan","OK"))))</f>
        <v/>
      </c>
    </row>
    <row r="80" customFormat="false" ht="15" hidden="false" customHeight="false" outlineLevel="0" collapsed="false">
      <c r="A80" s="14"/>
      <c r="B80" s="9"/>
      <c r="C80" s="9"/>
      <c r="D80" s="9"/>
      <c r="E80" s="9"/>
      <c r="F80" s="17" t="str">
        <f aca="false">IF(AND(A80="",B80="",C80=""),"",IF(NOT(ISNUMBER(A80)),"Enter the date done",IF(OR(B80="",C80=""),"Fill in asset and task",IF(SUMPRODUCT(('PM Plan'!$A$5:$A$304=B80)*('PM Plan'!$B$5:$B$304=C80))=0,"No matching asset + task in plan","OK"))))</f>
        <v/>
      </c>
    </row>
    <row r="81" customFormat="false" ht="15" hidden="false" customHeight="false" outlineLevel="0" collapsed="false">
      <c r="A81" s="14"/>
      <c r="B81" s="9"/>
      <c r="C81" s="9"/>
      <c r="D81" s="9"/>
      <c r="E81" s="9"/>
      <c r="F81" s="17" t="str">
        <f aca="false">IF(AND(A81="",B81="",C81=""),"",IF(NOT(ISNUMBER(A81)),"Enter the date done",IF(OR(B81="",C81=""),"Fill in asset and task",IF(SUMPRODUCT(('PM Plan'!$A$5:$A$304=B81)*('PM Plan'!$B$5:$B$304=C81))=0,"No matching asset + task in plan","OK"))))</f>
        <v/>
      </c>
    </row>
    <row r="82" customFormat="false" ht="15" hidden="false" customHeight="false" outlineLevel="0" collapsed="false">
      <c r="A82" s="14"/>
      <c r="B82" s="9"/>
      <c r="C82" s="9"/>
      <c r="D82" s="9"/>
      <c r="E82" s="9"/>
      <c r="F82" s="17" t="str">
        <f aca="false">IF(AND(A82="",B82="",C82=""),"",IF(NOT(ISNUMBER(A82)),"Enter the date done",IF(OR(B82="",C82=""),"Fill in asset and task",IF(SUMPRODUCT(('PM Plan'!$A$5:$A$304=B82)*('PM Plan'!$B$5:$B$304=C82))=0,"No matching asset + task in plan","OK"))))</f>
        <v/>
      </c>
    </row>
    <row r="83" customFormat="false" ht="15" hidden="false" customHeight="false" outlineLevel="0" collapsed="false">
      <c r="A83" s="14"/>
      <c r="B83" s="9"/>
      <c r="C83" s="9"/>
      <c r="D83" s="9"/>
      <c r="E83" s="9"/>
      <c r="F83" s="17" t="str">
        <f aca="false">IF(AND(A83="",B83="",C83=""),"",IF(NOT(ISNUMBER(A83)),"Enter the date done",IF(OR(B83="",C83=""),"Fill in asset and task",IF(SUMPRODUCT(('PM Plan'!$A$5:$A$304=B83)*('PM Plan'!$B$5:$B$304=C83))=0,"No matching asset + task in plan","OK"))))</f>
        <v/>
      </c>
    </row>
    <row r="84" customFormat="false" ht="15" hidden="false" customHeight="false" outlineLevel="0" collapsed="false">
      <c r="A84" s="14"/>
      <c r="B84" s="9"/>
      <c r="C84" s="9"/>
      <c r="D84" s="9"/>
      <c r="E84" s="9"/>
      <c r="F84" s="17" t="str">
        <f aca="false">IF(AND(A84="",B84="",C84=""),"",IF(NOT(ISNUMBER(A84)),"Enter the date done",IF(OR(B84="",C84=""),"Fill in asset and task",IF(SUMPRODUCT(('PM Plan'!$A$5:$A$304=B84)*('PM Plan'!$B$5:$B$304=C84))=0,"No matching asset + task in plan","OK"))))</f>
        <v/>
      </c>
    </row>
    <row r="85" customFormat="false" ht="15" hidden="false" customHeight="false" outlineLevel="0" collapsed="false">
      <c r="A85" s="14"/>
      <c r="B85" s="9"/>
      <c r="C85" s="9"/>
      <c r="D85" s="9"/>
      <c r="E85" s="9"/>
      <c r="F85" s="17" t="str">
        <f aca="false">IF(AND(A85="",B85="",C85=""),"",IF(NOT(ISNUMBER(A85)),"Enter the date done",IF(OR(B85="",C85=""),"Fill in asset and task",IF(SUMPRODUCT(('PM Plan'!$A$5:$A$304=B85)*('PM Plan'!$B$5:$B$304=C85))=0,"No matching asset + task in plan","OK"))))</f>
        <v/>
      </c>
    </row>
    <row r="86" customFormat="false" ht="15" hidden="false" customHeight="false" outlineLevel="0" collapsed="false">
      <c r="A86" s="14"/>
      <c r="B86" s="9"/>
      <c r="C86" s="9"/>
      <c r="D86" s="9"/>
      <c r="E86" s="9"/>
      <c r="F86" s="17" t="str">
        <f aca="false">IF(AND(A86="",B86="",C86=""),"",IF(NOT(ISNUMBER(A86)),"Enter the date done",IF(OR(B86="",C86=""),"Fill in asset and task",IF(SUMPRODUCT(('PM Plan'!$A$5:$A$304=B86)*('PM Plan'!$B$5:$B$304=C86))=0,"No matching asset + task in plan","OK"))))</f>
        <v/>
      </c>
    </row>
    <row r="87" customFormat="false" ht="15" hidden="false" customHeight="false" outlineLevel="0" collapsed="false">
      <c r="A87" s="14"/>
      <c r="B87" s="9"/>
      <c r="C87" s="9"/>
      <c r="D87" s="9"/>
      <c r="E87" s="9"/>
      <c r="F87" s="17" t="str">
        <f aca="false">IF(AND(A87="",B87="",C87=""),"",IF(NOT(ISNUMBER(A87)),"Enter the date done",IF(OR(B87="",C87=""),"Fill in asset and task",IF(SUMPRODUCT(('PM Plan'!$A$5:$A$304=B87)*('PM Plan'!$B$5:$B$304=C87))=0,"No matching asset + task in plan","OK"))))</f>
        <v/>
      </c>
    </row>
    <row r="88" customFormat="false" ht="15" hidden="false" customHeight="false" outlineLevel="0" collapsed="false">
      <c r="A88" s="14"/>
      <c r="B88" s="9"/>
      <c r="C88" s="9"/>
      <c r="D88" s="9"/>
      <c r="E88" s="9"/>
      <c r="F88" s="17" t="str">
        <f aca="false">IF(AND(A88="",B88="",C88=""),"",IF(NOT(ISNUMBER(A88)),"Enter the date done",IF(OR(B88="",C88=""),"Fill in asset and task",IF(SUMPRODUCT(('PM Plan'!$A$5:$A$304=B88)*('PM Plan'!$B$5:$B$304=C88))=0,"No matching asset + task in plan","OK"))))</f>
        <v/>
      </c>
    </row>
    <row r="89" customFormat="false" ht="15" hidden="false" customHeight="false" outlineLevel="0" collapsed="false">
      <c r="A89" s="14"/>
      <c r="B89" s="9"/>
      <c r="C89" s="9"/>
      <c r="D89" s="9"/>
      <c r="E89" s="9"/>
      <c r="F89" s="17" t="str">
        <f aca="false">IF(AND(A89="",B89="",C89=""),"",IF(NOT(ISNUMBER(A89)),"Enter the date done",IF(OR(B89="",C89=""),"Fill in asset and task",IF(SUMPRODUCT(('PM Plan'!$A$5:$A$304=B89)*('PM Plan'!$B$5:$B$304=C89))=0,"No matching asset + task in plan","OK"))))</f>
        <v/>
      </c>
    </row>
    <row r="90" customFormat="false" ht="15" hidden="false" customHeight="false" outlineLevel="0" collapsed="false">
      <c r="A90" s="14"/>
      <c r="B90" s="9"/>
      <c r="C90" s="9"/>
      <c r="D90" s="9"/>
      <c r="E90" s="9"/>
      <c r="F90" s="17" t="str">
        <f aca="false">IF(AND(A90="",B90="",C90=""),"",IF(NOT(ISNUMBER(A90)),"Enter the date done",IF(OR(B90="",C90=""),"Fill in asset and task",IF(SUMPRODUCT(('PM Plan'!$A$5:$A$304=B90)*('PM Plan'!$B$5:$B$304=C90))=0,"No matching asset + task in plan","OK"))))</f>
        <v/>
      </c>
    </row>
    <row r="91" customFormat="false" ht="15" hidden="false" customHeight="false" outlineLevel="0" collapsed="false">
      <c r="A91" s="14"/>
      <c r="B91" s="9"/>
      <c r="C91" s="9"/>
      <c r="D91" s="9"/>
      <c r="E91" s="9"/>
      <c r="F91" s="17" t="str">
        <f aca="false">IF(AND(A91="",B91="",C91=""),"",IF(NOT(ISNUMBER(A91)),"Enter the date done",IF(OR(B91="",C91=""),"Fill in asset and task",IF(SUMPRODUCT(('PM Plan'!$A$5:$A$304=B91)*('PM Plan'!$B$5:$B$304=C91))=0,"No matching asset + task in plan","OK"))))</f>
        <v/>
      </c>
    </row>
    <row r="92" customFormat="false" ht="15" hidden="false" customHeight="false" outlineLevel="0" collapsed="false">
      <c r="A92" s="14"/>
      <c r="B92" s="9"/>
      <c r="C92" s="9"/>
      <c r="D92" s="9"/>
      <c r="E92" s="9"/>
      <c r="F92" s="17" t="str">
        <f aca="false">IF(AND(A92="",B92="",C92=""),"",IF(NOT(ISNUMBER(A92)),"Enter the date done",IF(OR(B92="",C92=""),"Fill in asset and task",IF(SUMPRODUCT(('PM Plan'!$A$5:$A$304=B92)*('PM Plan'!$B$5:$B$304=C92))=0,"No matching asset + task in plan","OK"))))</f>
        <v/>
      </c>
    </row>
    <row r="93" customFormat="false" ht="15" hidden="false" customHeight="false" outlineLevel="0" collapsed="false">
      <c r="A93" s="14"/>
      <c r="B93" s="9"/>
      <c r="C93" s="9"/>
      <c r="D93" s="9"/>
      <c r="E93" s="9"/>
      <c r="F93" s="17" t="str">
        <f aca="false">IF(AND(A93="",B93="",C93=""),"",IF(NOT(ISNUMBER(A93)),"Enter the date done",IF(OR(B93="",C93=""),"Fill in asset and task",IF(SUMPRODUCT(('PM Plan'!$A$5:$A$304=B93)*('PM Plan'!$B$5:$B$304=C93))=0,"No matching asset + task in plan","OK"))))</f>
        <v/>
      </c>
    </row>
    <row r="94" customFormat="false" ht="15" hidden="false" customHeight="false" outlineLevel="0" collapsed="false">
      <c r="A94" s="14"/>
      <c r="B94" s="9"/>
      <c r="C94" s="9"/>
      <c r="D94" s="9"/>
      <c r="E94" s="9"/>
      <c r="F94" s="17" t="str">
        <f aca="false">IF(AND(A94="",B94="",C94=""),"",IF(NOT(ISNUMBER(A94)),"Enter the date done",IF(OR(B94="",C94=""),"Fill in asset and task",IF(SUMPRODUCT(('PM Plan'!$A$5:$A$304=B94)*('PM Plan'!$B$5:$B$304=C94))=0,"No matching asset + task in plan","OK"))))</f>
        <v/>
      </c>
    </row>
    <row r="95" customFormat="false" ht="15" hidden="false" customHeight="false" outlineLevel="0" collapsed="false">
      <c r="A95" s="14"/>
      <c r="B95" s="9"/>
      <c r="C95" s="9"/>
      <c r="D95" s="9"/>
      <c r="E95" s="9"/>
      <c r="F95" s="17" t="str">
        <f aca="false">IF(AND(A95="",B95="",C95=""),"",IF(NOT(ISNUMBER(A95)),"Enter the date done",IF(OR(B95="",C95=""),"Fill in asset and task",IF(SUMPRODUCT(('PM Plan'!$A$5:$A$304=B95)*('PM Plan'!$B$5:$B$304=C95))=0,"No matching asset + task in plan","OK"))))</f>
        <v/>
      </c>
    </row>
    <row r="96" customFormat="false" ht="15" hidden="false" customHeight="false" outlineLevel="0" collapsed="false">
      <c r="A96" s="14"/>
      <c r="B96" s="9"/>
      <c r="C96" s="9"/>
      <c r="D96" s="9"/>
      <c r="E96" s="9"/>
      <c r="F96" s="17" t="str">
        <f aca="false">IF(AND(A96="",B96="",C96=""),"",IF(NOT(ISNUMBER(A96)),"Enter the date done",IF(OR(B96="",C96=""),"Fill in asset and task",IF(SUMPRODUCT(('PM Plan'!$A$5:$A$304=B96)*('PM Plan'!$B$5:$B$304=C96))=0,"No matching asset + task in plan","OK"))))</f>
        <v/>
      </c>
    </row>
    <row r="97" customFormat="false" ht="15" hidden="false" customHeight="false" outlineLevel="0" collapsed="false">
      <c r="A97" s="14"/>
      <c r="B97" s="9"/>
      <c r="C97" s="9"/>
      <c r="D97" s="9"/>
      <c r="E97" s="9"/>
      <c r="F97" s="17" t="str">
        <f aca="false">IF(AND(A97="",B97="",C97=""),"",IF(NOT(ISNUMBER(A97)),"Enter the date done",IF(OR(B97="",C97=""),"Fill in asset and task",IF(SUMPRODUCT(('PM Plan'!$A$5:$A$304=B97)*('PM Plan'!$B$5:$B$304=C97))=0,"No matching asset + task in plan","OK"))))</f>
        <v/>
      </c>
    </row>
    <row r="98" customFormat="false" ht="15" hidden="false" customHeight="false" outlineLevel="0" collapsed="false">
      <c r="A98" s="14"/>
      <c r="B98" s="9"/>
      <c r="C98" s="9"/>
      <c r="D98" s="9"/>
      <c r="E98" s="9"/>
      <c r="F98" s="17" t="str">
        <f aca="false">IF(AND(A98="",B98="",C98=""),"",IF(NOT(ISNUMBER(A98)),"Enter the date done",IF(OR(B98="",C98=""),"Fill in asset and task",IF(SUMPRODUCT(('PM Plan'!$A$5:$A$304=B98)*('PM Plan'!$B$5:$B$304=C98))=0,"No matching asset + task in plan","OK"))))</f>
        <v/>
      </c>
    </row>
    <row r="99" customFormat="false" ht="15" hidden="false" customHeight="false" outlineLevel="0" collapsed="false">
      <c r="A99" s="14"/>
      <c r="B99" s="9"/>
      <c r="C99" s="9"/>
      <c r="D99" s="9"/>
      <c r="E99" s="9"/>
      <c r="F99" s="17" t="str">
        <f aca="false">IF(AND(A99="",B99="",C99=""),"",IF(NOT(ISNUMBER(A99)),"Enter the date done",IF(OR(B99="",C99=""),"Fill in asset and task",IF(SUMPRODUCT(('PM Plan'!$A$5:$A$304=B99)*('PM Plan'!$B$5:$B$304=C99))=0,"No matching asset + task in plan","OK"))))</f>
        <v/>
      </c>
    </row>
    <row r="100" customFormat="false" ht="15" hidden="false" customHeight="false" outlineLevel="0" collapsed="false">
      <c r="A100" s="14"/>
      <c r="B100" s="9"/>
      <c r="C100" s="9"/>
      <c r="D100" s="9"/>
      <c r="E100" s="9"/>
      <c r="F100" s="17" t="str">
        <f aca="false">IF(AND(A100="",B100="",C100=""),"",IF(NOT(ISNUMBER(A100)),"Enter the date done",IF(OR(B100="",C100=""),"Fill in asset and task",IF(SUMPRODUCT(('PM Plan'!$A$5:$A$304=B100)*('PM Plan'!$B$5:$B$304=C100))=0,"No matching asset + task in plan","OK"))))</f>
        <v/>
      </c>
    </row>
    <row r="101" customFormat="false" ht="15" hidden="false" customHeight="false" outlineLevel="0" collapsed="false">
      <c r="A101" s="14"/>
      <c r="B101" s="9"/>
      <c r="C101" s="9"/>
      <c r="D101" s="9"/>
      <c r="E101" s="9"/>
      <c r="F101" s="17" t="str">
        <f aca="false">IF(AND(A101="",B101="",C101=""),"",IF(NOT(ISNUMBER(A101)),"Enter the date done",IF(OR(B101="",C101=""),"Fill in asset and task",IF(SUMPRODUCT(('PM Plan'!$A$5:$A$304=B101)*('PM Plan'!$B$5:$B$304=C101))=0,"No matching asset + task in plan","OK"))))</f>
        <v/>
      </c>
    </row>
    <row r="102" customFormat="false" ht="15" hidden="false" customHeight="false" outlineLevel="0" collapsed="false">
      <c r="A102" s="14"/>
      <c r="B102" s="9"/>
      <c r="C102" s="9"/>
      <c r="D102" s="9"/>
      <c r="E102" s="9"/>
      <c r="F102" s="17" t="str">
        <f aca="false">IF(AND(A102="",B102="",C102=""),"",IF(NOT(ISNUMBER(A102)),"Enter the date done",IF(OR(B102="",C102=""),"Fill in asset and task",IF(SUMPRODUCT(('PM Plan'!$A$5:$A$304=B102)*('PM Plan'!$B$5:$B$304=C102))=0,"No matching asset + task in plan","OK"))))</f>
        <v/>
      </c>
    </row>
    <row r="103" customFormat="false" ht="15" hidden="false" customHeight="false" outlineLevel="0" collapsed="false">
      <c r="A103" s="14"/>
      <c r="B103" s="9"/>
      <c r="C103" s="9"/>
      <c r="D103" s="9"/>
      <c r="E103" s="9"/>
      <c r="F103" s="17" t="str">
        <f aca="false">IF(AND(A103="",B103="",C103=""),"",IF(NOT(ISNUMBER(A103)),"Enter the date done",IF(OR(B103="",C103=""),"Fill in asset and task",IF(SUMPRODUCT(('PM Plan'!$A$5:$A$304=B103)*('PM Plan'!$B$5:$B$304=C103))=0,"No matching asset + task in plan","OK"))))</f>
        <v/>
      </c>
    </row>
    <row r="104" customFormat="false" ht="15" hidden="false" customHeight="false" outlineLevel="0" collapsed="false">
      <c r="A104" s="14"/>
      <c r="B104" s="9"/>
      <c r="C104" s="9"/>
      <c r="D104" s="9"/>
      <c r="E104" s="9"/>
      <c r="F104" s="17" t="str">
        <f aca="false">IF(AND(A104="",B104="",C104=""),"",IF(NOT(ISNUMBER(A104)),"Enter the date done",IF(OR(B104="",C104=""),"Fill in asset and task",IF(SUMPRODUCT(('PM Plan'!$A$5:$A$304=B104)*('PM Plan'!$B$5:$B$304=C104))=0,"No matching asset + task in plan","OK"))))</f>
        <v/>
      </c>
    </row>
    <row r="105" customFormat="false" ht="15" hidden="false" customHeight="false" outlineLevel="0" collapsed="false">
      <c r="A105" s="14"/>
      <c r="B105" s="9"/>
      <c r="C105" s="9"/>
      <c r="D105" s="9"/>
      <c r="E105" s="9"/>
      <c r="F105" s="17" t="str">
        <f aca="false">IF(AND(A105="",B105="",C105=""),"",IF(NOT(ISNUMBER(A105)),"Enter the date done",IF(OR(B105="",C105=""),"Fill in asset and task",IF(SUMPRODUCT(('PM Plan'!$A$5:$A$304=B105)*('PM Plan'!$B$5:$B$304=C105))=0,"No matching asset + task in plan","OK"))))</f>
        <v/>
      </c>
    </row>
    <row r="106" customFormat="false" ht="15" hidden="false" customHeight="false" outlineLevel="0" collapsed="false">
      <c r="A106" s="14"/>
      <c r="B106" s="9"/>
      <c r="C106" s="9"/>
      <c r="D106" s="9"/>
      <c r="E106" s="9"/>
      <c r="F106" s="17" t="str">
        <f aca="false">IF(AND(A106="",B106="",C106=""),"",IF(NOT(ISNUMBER(A106)),"Enter the date done",IF(OR(B106="",C106=""),"Fill in asset and task",IF(SUMPRODUCT(('PM Plan'!$A$5:$A$304=B106)*('PM Plan'!$B$5:$B$304=C106))=0,"No matching asset + task in plan","OK"))))</f>
        <v/>
      </c>
    </row>
    <row r="107" customFormat="false" ht="15" hidden="false" customHeight="false" outlineLevel="0" collapsed="false">
      <c r="A107" s="14"/>
      <c r="B107" s="9"/>
      <c r="C107" s="9"/>
      <c r="D107" s="9"/>
      <c r="E107" s="9"/>
      <c r="F107" s="17" t="str">
        <f aca="false">IF(AND(A107="",B107="",C107=""),"",IF(NOT(ISNUMBER(A107)),"Enter the date done",IF(OR(B107="",C107=""),"Fill in asset and task",IF(SUMPRODUCT(('PM Plan'!$A$5:$A$304=B107)*('PM Plan'!$B$5:$B$304=C107))=0,"No matching asset + task in plan","OK"))))</f>
        <v/>
      </c>
    </row>
    <row r="108" customFormat="false" ht="15" hidden="false" customHeight="false" outlineLevel="0" collapsed="false">
      <c r="A108" s="14"/>
      <c r="B108" s="9"/>
      <c r="C108" s="9"/>
      <c r="D108" s="9"/>
      <c r="E108" s="9"/>
      <c r="F108" s="17" t="str">
        <f aca="false">IF(AND(A108="",B108="",C108=""),"",IF(NOT(ISNUMBER(A108)),"Enter the date done",IF(OR(B108="",C108=""),"Fill in asset and task",IF(SUMPRODUCT(('PM Plan'!$A$5:$A$304=B108)*('PM Plan'!$B$5:$B$304=C108))=0,"No matching asset + task in plan","OK"))))</f>
        <v/>
      </c>
    </row>
    <row r="109" customFormat="false" ht="15" hidden="false" customHeight="false" outlineLevel="0" collapsed="false">
      <c r="A109" s="14"/>
      <c r="B109" s="9"/>
      <c r="C109" s="9"/>
      <c r="D109" s="9"/>
      <c r="E109" s="9"/>
      <c r="F109" s="17" t="str">
        <f aca="false">IF(AND(A109="",B109="",C109=""),"",IF(NOT(ISNUMBER(A109)),"Enter the date done",IF(OR(B109="",C109=""),"Fill in asset and task",IF(SUMPRODUCT(('PM Plan'!$A$5:$A$304=B109)*('PM Plan'!$B$5:$B$304=C109))=0,"No matching asset + task in plan","OK"))))</f>
        <v/>
      </c>
    </row>
    <row r="110" customFormat="false" ht="15" hidden="false" customHeight="false" outlineLevel="0" collapsed="false">
      <c r="A110" s="14"/>
      <c r="B110" s="9"/>
      <c r="C110" s="9"/>
      <c r="D110" s="9"/>
      <c r="E110" s="9"/>
      <c r="F110" s="17" t="str">
        <f aca="false">IF(AND(A110="",B110="",C110=""),"",IF(NOT(ISNUMBER(A110)),"Enter the date done",IF(OR(B110="",C110=""),"Fill in asset and task",IF(SUMPRODUCT(('PM Plan'!$A$5:$A$304=B110)*('PM Plan'!$B$5:$B$304=C110))=0,"No matching asset + task in plan","OK"))))</f>
        <v/>
      </c>
    </row>
    <row r="111" customFormat="false" ht="15" hidden="false" customHeight="false" outlineLevel="0" collapsed="false">
      <c r="A111" s="14"/>
      <c r="B111" s="9"/>
      <c r="C111" s="9"/>
      <c r="D111" s="9"/>
      <c r="E111" s="9"/>
      <c r="F111" s="17" t="str">
        <f aca="false">IF(AND(A111="",B111="",C111=""),"",IF(NOT(ISNUMBER(A111)),"Enter the date done",IF(OR(B111="",C111=""),"Fill in asset and task",IF(SUMPRODUCT(('PM Plan'!$A$5:$A$304=B111)*('PM Plan'!$B$5:$B$304=C111))=0,"No matching asset + task in plan","OK"))))</f>
        <v/>
      </c>
    </row>
    <row r="112" customFormat="false" ht="15" hidden="false" customHeight="false" outlineLevel="0" collapsed="false">
      <c r="A112" s="14"/>
      <c r="B112" s="9"/>
      <c r="C112" s="9"/>
      <c r="D112" s="9"/>
      <c r="E112" s="9"/>
      <c r="F112" s="17" t="str">
        <f aca="false">IF(AND(A112="",B112="",C112=""),"",IF(NOT(ISNUMBER(A112)),"Enter the date done",IF(OR(B112="",C112=""),"Fill in asset and task",IF(SUMPRODUCT(('PM Plan'!$A$5:$A$304=B112)*('PM Plan'!$B$5:$B$304=C112))=0,"No matching asset + task in plan","OK"))))</f>
        <v/>
      </c>
    </row>
    <row r="113" customFormat="false" ht="15" hidden="false" customHeight="false" outlineLevel="0" collapsed="false">
      <c r="A113" s="14"/>
      <c r="B113" s="9"/>
      <c r="C113" s="9"/>
      <c r="D113" s="9"/>
      <c r="E113" s="9"/>
      <c r="F113" s="17" t="str">
        <f aca="false">IF(AND(A113="",B113="",C113=""),"",IF(NOT(ISNUMBER(A113)),"Enter the date done",IF(OR(B113="",C113=""),"Fill in asset and task",IF(SUMPRODUCT(('PM Plan'!$A$5:$A$304=B113)*('PM Plan'!$B$5:$B$304=C113))=0,"No matching asset + task in plan","OK"))))</f>
        <v/>
      </c>
    </row>
    <row r="114" customFormat="false" ht="15" hidden="false" customHeight="false" outlineLevel="0" collapsed="false">
      <c r="A114" s="14"/>
      <c r="B114" s="9"/>
      <c r="C114" s="9"/>
      <c r="D114" s="9"/>
      <c r="E114" s="9"/>
      <c r="F114" s="17" t="str">
        <f aca="false">IF(AND(A114="",B114="",C114=""),"",IF(NOT(ISNUMBER(A114)),"Enter the date done",IF(OR(B114="",C114=""),"Fill in asset and task",IF(SUMPRODUCT(('PM Plan'!$A$5:$A$304=B114)*('PM Plan'!$B$5:$B$304=C114))=0,"No matching asset + task in plan","OK"))))</f>
        <v/>
      </c>
    </row>
    <row r="115" customFormat="false" ht="15" hidden="false" customHeight="false" outlineLevel="0" collapsed="false">
      <c r="A115" s="14"/>
      <c r="B115" s="9"/>
      <c r="C115" s="9"/>
      <c r="D115" s="9"/>
      <c r="E115" s="9"/>
      <c r="F115" s="17" t="str">
        <f aca="false">IF(AND(A115="",B115="",C115=""),"",IF(NOT(ISNUMBER(A115)),"Enter the date done",IF(OR(B115="",C115=""),"Fill in asset and task",IF(SUMPRODUCT(('PM Plan'!$A$5:$A$304=B115)*('PM Plan'!$B$5:$B$304=C115))=0,"No matching asset + task in plan","OK"))))</f>
        <v/>
      </c>
    </row>
    <row r="116" customFormat="false" ht="15" hidden="false" customHeight="false" outlineLevel="0" collapsed="false">
      <c r="A116" s="14"/>
      <c r="B116" s="9"/>
      <c r="C116" s="9"/>
      <c r="D116" s="9"/>
      <c r="E116" s="9"/>
      <c r="F116" s="17" t="str">
        <f aca="false">IF(AND(A116="",B116="",C116=""),"",IF(NOT(ISNUMBER(A116)),"Enter the date done",IF(OR(B116="",C116=""),"Fill in asset and task",IF(SUMPRODUCT(('PM Plan'!$A$5:$A$304=B116)*('PM Plan'!$B$5:$B$304=C116))=0,"No matching asset + task in plan","OK"))))</f>
        <v/>
      </c>
    </row>
    <row r="117" customFormat="false" ht="15" hidden="false" customHeight="false" outlineLevel="0" collapsed="false">
      <c r="A117" s="14"/>
      <c r="B117" s="9"/>
      <c r="C117" s="9"/>
      <c r="D117" s="9"/>
      <c r="E117" s="9"/>
      <c r="F117" s="17" t="str">
        <f aca="false">IF(AND(A117="",B117="",C117=""),"",IF(NOT(ISNUMBER(A117)),"Enter the date done",IF(OR(B117="",C117=""),"Fill in asset and task",IF(SUMPRODUCT(('PM Plan'!$A$5:$A$304=B117)*('PM Plan'!$B$5:$B$304=C117))=0,"No matching asset + task in plan","OK"))))</f>
        <v/>
      </c>
    </row>
    <row r="118" customFormat="false" ht="15" hidden="false" customHeight="false" outlineLevel="0" collapsed="false">
      <c r="A118" s="14"/>
      <c r="B118" s="9"/>
      <c r="C118" s="9"/>
      <c r="D118" s="9"/>
      <c r="E118" s="9"/>
      <c r="F118" s="17" t="str">
        <f aca="false">IF(AND(A118="",B118="",C118=""),"",IF(NOT(ISNUMBER(A118)),"Enter the date done",IF(OR(B118="",C118=""),"Fill in asset and task",IF(SUMPRODUCT(('PM Plan'!$A$5:$A$304=B118)*('PM Plan'!$B$5:$B$304=C118))=0,"No matching asset + task in plan","OK"))))</f>
        <v/>
      </c>
    </row>
    <row r="119" customFormat="false" ht="15" hidden="false" customHeight="false" outlineLevel="0" collapsed="false">
      <c r="A119" s="14"/>
      <c r="B119" s="9"/>
      <c r="C119" s="9"/>
      <c r="D119" s="9"/>
      <c r="E119" s="9"/>
      <c r="F119" s="17" t="str">
        <f aca="false">IF(AND(A119="",B119="",C119=""),"",IF(NOT(ISNUMBER(A119)),"Enter the date done",IF(OR(B119="",C119=""),"Fill in asset and task",IF(SUMPRODUCT(('PM Plan'!$A$5:$A$304=B119)*('PM Plan'!$B$5:$B$304=C119))=0,"No matching asset + task in plan","OK"))))</f>
        <v/>
      </c>
    </row>
    <row r="120" customFormat="false" ht="15" hidden="false" customHeight="false" outlineLevel="0" collapsed="false">
      <c r="A120" s="14"/>
      <c r="B120" s="9"/>
      <c r="C120" s="9"/>
      <c r="D120" s="9"/>
      <c r="E120" s="9"/>
      <c r="F120" s="17" t="str">
        <f aca="false">IF(AND(A120="",B120="",C120=""),"",IF(NOT(ISNUMBER(A120)),"Enter the date done",IF(OR(B120="",C120=""),"Fill in asset and task",IF(SUMPRODUCT(('PM Plan'!$A$5:$A$304=B120)*('PM Plan'!$B$5:$B$304=C120))=0,"No matching asset + task in plan","OK"))))</f>
        <v/>
      </c>
    </row>
    <row r="121" customFormat="false" ht="15" hidden="false" customHeight="false" outlineLevel="0" collapsed="false">
      <c r="A121" s="14"/>
      <c r="B121" s="9"/>
      <c r="C121" s="9"/>
      <c r="D121" s="9"/>
      <c r="E121" s="9"/>
      <c r="F121" s="17" t="str">
        <f aca="false">IF(AND(A121="",B121="",C121=""),"",IF(NOT(ISNUMBER(A121)),"Enter the date done",IF(OR(B121="",C121=""),"Fill in asset and task",IF(SUMPRODUCT(('PM Plan'!$A$5:$A$304=B121)*('PM Plan'!$B$5:$B$304=C121))=0,"No matching asset + task in plan","OK"))))</f>
        <v/>
      </c>
    </row>
    <row r="122" customFormat="false" ht="15" hidden="false" customHeight="false" outlineLevel="0" collapsed="false">
      <c r="A122" s="14"/>
      <c r="B122" s="9"/>
      <c r="C122" s="9"/>
      <c r="D122" s="9"/>
      <c r="E122" s="9"/>
      <c r="F122" s="17" t="str">
        <f aca="false">IF(AND(A122="",B122="",C122=""),"",IF(NOT(ISNUMBER(A122)),"Enter the date done",IF(OR(B122="",C122=""),"Fill in asset and task",IF(SUMPRODUCT(('PM Plan'!$A$5:$A$304=B122)*('PM Plan'!$B$5:$B$304=C122))=0,"No matching asset + task in plan","OK"))))</f>
        <v/>
      </c>
    </row>
    <row r="123" customFormat="false" ht="15" hidden="false" customHeight="false" outlineLevel="0" collapsed="false">
      <c r="A123" s="14"/>
      <c r="B123" s="9"/>
      <c r="C123" s="9"/>
      <c r="D123" s="9"/>
      <c r="E123" s="9"/>
      <c r="F123" s="17" t="str">
        <f aca="false">IF(AND(A123="",B123="",C123=""),"",IF(NOT(ISNUMBER(A123)),"Enter the date done",IF(OR(B123="",C123=""),"Fill in asset and task",IF(SUMPRODUCT(('PM Plan'!$A$5:$A$304=B123)*('PM Plan'!$B$5:$B$304=C123))=0,"No matching asset + task in plan","OK"))))</f>
        <v/>
      </c>
    </row>
    <row r="124" customFormat="false" ht="15" hidden="false" customHeight="false" outlineLevel="0" collapsed="false">
      <c r="A124" s="14"/>
      <c r="B124" s="9"/>
      <c r="C124" s="9"/>
      <c r="D124" s="9"/>
      <c r="E124" s="9"/>
      <c r="F124" s="17" t="str">
        <f aca="false">IF(AND(A124="",B124="",C124=""),"",IF(NOT(ISNUMBER(A124)),"Enter the date done",IF(OR(B124="",C124=""),"Fill in asset and task",IF(SUMPRODUCT(('PM Plan'!$A$5:$A$304=B124)*('PM Plan'!$B$5:$B$304=C124))=0,"No matching asset + task in plan","OK"))))</f>
        <v/>
      </c>
    </row>
    <row r="125" customFormat="false" ht="15" hidden="false" customHeight="false" outlineLevel="0" collapsed="false">
      <c r="A125" s="14"/>
      <c r="B125" s="9"/>
      <c r="C125" s="9"/>
      <c r="D125" s="9"/>
      <c r="E125" s="9"/>
      <c r="F125" s="17" t="str">
        <f aca="false">IF(AND(A125="",B125="",C125=""),"",IF(NOT(ISNUMBER(A125)),"Enter the date done",IF(OR(B125="",C125=""),"Fill in asset and task",IF(SUMPRODUCT(('PM Plan'!$A$5:$A$304=B125)*('PM Plan'!$B$5:$B$304=C125))=0,"No matching asset + task in plan","OK"))))</f>
        <v/>
      </c>
    </row>
    <row r="126" customFormat="false" ht="15" hidden="false" customHeight="false" outlineLevel="0" collapsed="false">
      <c r="A126" s="14"/>
      <c r="B126" s="9"/>
      <c r="C126" s="9"/>
      <c r="D126" s="9"/>
      <c r="E126" s="9"/>
      <c r="F126" s="17" t="str">
        <f aca="false">IF(AND(A126="",B126="",C126=""),"",IF(NOT(ISNUMBER(A126)),"Enter the date done",IF(OR(B126="",C126=""),"Fill in asset and task",IF(SUMPRODUCT(('PM Plan'!$A$5:$A$304=B126)*('PM Plan'!$B$5:$B$304=C126))=0,"No matching asset + task in plan","OK"))))</f>
        <v/>
      </c>
    </row>
    <row r="127" customFormat="false" ht="15" hidden="false" customHeight="false" outlineLevel="0" collapsed="false">
      <c r="A127" s="14"/>
      <c r="B127" s="9"/>
      <c r="C127" s="9"/>
      <c r="D127" s="9"/>
      <c r="E127" s="9"/>
      <c r="F127" s="17" t="str">
        <f aca="false">IF(AND(A127="",B127="",C127=""),"",IF(NOT(ISNUMBER(A127)),"Enter the date done",IF(OR(B127="",C127=""),"Fill in asset and task",IF(SUMPRODUCT(('PM Plan'!$A$5:$A$304=B127)*('PM Plan'!$B$5:$B$304=C127))=0,"No matching asset + task in plan","OK"))))</f>
        <v/>
      </c>
    </row>
    <row r="128" customFormat="false" ht="15" hidden="false" customHeight="false" outlineLevel="0" collapsed="false">
      <c r="A128" s="14"/>
      <c r="B128" s="9"/>
      <c r="C128" s="9"/>
      <c r="D128" s="9"/>
      <c r="E128" s="9"/>
      <c r="F128" s="17" t="str">
        <f aca="false">IF(AND(A128="",B128="",C128=""),"",IF(NOT(ISNUMBER(A128)),"Enter the date done",IF(OR(B128="",C128=""),"Fill in asset and task",IF(SUMPRODUCT(('PM Plan'!$A$5:$A$304=B128)*('PM Plan'!$B$5:$B$304=C128))=0,"No matching asset + task in plan","OK"))))</f>
        <v/>
      </c>
    </row>
    <row r="129" customFormat="false" ht="15" hidden="false" customHeight="false" outlineLevel="0" collapsed="false">
      <c r="A129" s="14"/>
      <c r="B129" s="9"/>
      <c r="C129" s="9"/>
      <c r="D129" s="9"/>
      <c r="E129" s="9"/>
      <c r="F129" s="17" t="str">
        <f aca="false">IF(AND(A129="",B129="",C129=""),"",IF(NOT(ISNUMBER(A129)),"Enter the date done",IF(OR(B129="",C129=""),"Fill in asset and task",IF(SUMPRODUCT(('PM Plan'!$A$5:$A$304=B129)*('PM Plan'!$B$5:$B$304=C129))=0,"No matching asset + task in plan","OK"))))</f>
        <v/>
      </c>
    </row>
    <row r="130" customFormat="false" ht="15" hidden="false" customHeight="false" outlineLevel="0" collapsed="false">
      <c r="A130" s="14"/>
      <c r="B130" s="9"/>
      <c r="C130" s="9"/>
      <c r="D130" s="9"/>
      <c r="E130" s="9"/>
      <c r="F130" s="17" t="str">
        <f aca="false">IF(AND(A130="",B130="",C130=""),"",IF(NOT(ISNUMBER(A130)),"Enter the date done",IF(OR(B130="",C130=""),"Fill in asset and task",IF(SUMPRODUCT(('PM Plan'!$A$5:$A$304=B130)*('PM Plan'!$B$5:$B$304=C130))=0,"No matching asset + task in plan","OK"))))</f>
        <v/>
      </c>
    </row>
    <row r="131" customFormat="false" ht="15" hidden="false" customHeight="false" outlineLevel="0" collapsed="false">
      <c r="A131" s="14"/>
      <c r="B131" s="9"/>
      <c r="C131" s="9"/>
      <c r="D131" s="9"/>
      <c r="E131" s="9"/>
      <c r="F131" s="17" t="str">
        <f aca="false">IF(AND(A131="",B131="",C131=""),"",IF(NOT(ISNUMBER(A131)),"Enter the date done",IF(OR(B131="",C131=""),"Fill in asset and task",IF(SUMPRODUCT(('PM Plan'!$A$5:$A$304=B131)*('PM Plan'!$B$5:$B$304=C131))=0,"No matching asset + task in plan","OK"))))</f>
        <v/>
      </c>
    </row>
    <row r="132" customFormat="false" ht="15" hidden="false" customHeight="false" outlineLevel="0" collapsed="false">
      <c r="A132" s="14"/>
      <c r="B132" s="9"/>
      <c r="C132" s="9"/>
      <c r="D132" s="9"/>
      <c r="E132" s="9"/>
      <c r="F132" s="17" t="str">
        <f aca="false">IF(AND(A132="",B132="",C132=""),"",IF(NOT(ISNUMBER(A132)),"Enter the date done",IF(OR(B132="",C132=""),"Fill in asset and task",IF(SUMPRODUCT(('PM Plan'!$A$5:$A$304=B132)*('PM Plan'!$B$5:$B$304=C132))=0,"No matching asset + task in plan","OK"))))</f>
        <v/>
      </c>
    </row>
    <row r="133" customFormat="false" ht="15" hidden="false" customHeight="false" outlineLevel="0" collapsed="false">
      <c r="A133" s="14"/>
      <c r="B133" s="9"/>
      <c r="C133" s="9"/>
      <c r="D133" s="9"/>
      <c r="E133" s="9"/>
      <c r="F133" s="17" t="str">
        <f aca="false">IF(AND(A133="",B133="",C133=""),"",IF(NOT(ISNUMBER(A133)),"Enter the date done",IF(OR(B133="",C133=""),"Fill in asset and task",IF(SUMPRODUCT(('PM Plan'!$A$5:$A$304=B133)*('PM Plan'!$B$5:$B$304=C133))=0,"No matching asset + task in plan","OK"))))</f>
        <v/>
      </c>
    </row>
    <row r="134" customFormat="false" ht="15" hidden="false" customHeight="false" outlineLevel="0" collapsed="false">
      <c r="A134" s="14"/>
      <c r="B134" s="9"/>
      <c r="C134" s="9"/>
      <c r="D134" s="9"/>
      <c r="E134" s="9"/>
      <c r="F134" s="17" t="str">
        <f aca="false">IF(AND(A134="",B134="",C134=""),"",IF(NOT(ISNUMBER(A134)),"Enter the date done",IF(OR(B134="",C134=""),"Fill in asset and task",IF(SUMPRODUCT(('PM Plan'!$A$5:$A$304=B134)*('PM Plan'!$B$5:$B$304=C134))=0,"No matching asset + task in plan","OK"))))</f>
        <v/>
      </c>
    </row>
    <row r="135" customFormat="false" ht="15" hidden="false" customHeight="false" outlineLevel="0" collapsed="false">
      <c r="A135" s="14"/>
      <c r="B135" s="9"/>
      <c r="C135" s="9"/>
      <c r="D135" s="9"/>
      <c r="E135" s="9"/>
      <c r="F135" s="17" t="str">
        <f aca="false">IF(AND(A135="",B135="",C135=""),"",IF(NOT(ISNUMBER(A135)),"Enter the date done",IF(OR(B135="",C135=""),"Fill in asset and task",IF(SUMPRODUCT(('PM Plan'!$A$5:$A$304=B135)*('PM Plan'!$B$5:$B$304=C135))=0,"No matching asset + task in plan","OK"))))</f>
        <v/>
      </c>
    </row>
    <row r="136" customFormat="false" ht="15" hidden="false" customHeight="false" outlineLevel="0" collapsed="false">
      <c r="A136" s="14"/>
      <c r="B136" s="9"/>
      <c r="C136" s="9"/>
      <c r="D136" s="9"/>
      <c r="E136" s="9"/>
      <c r="F136" s="17" t="str">
        <f aca="false">IF(AND(A136="",B136="",C136=""),"",IF(NOT(ISNUMBER(A136)),"Enter the date done",IF(OR(B136="",C136=""),"Fill in asset and task",IF(SUMPRODUCT(('PM Plan'!$A$5:$A$304=B136)*('PM Plan'!$B$5:$B$304=C136))=0,"No matching asset + task in plan","OK"))))</f>
        <v/>
      </c>
    </row>
    <row r="137" customFormat="false" ht="15" hidden="false" customHeight="false" outlineLevel="0" collapsed="false">
      <c r="A137" s="14"/>
      <c r="B137" s="9"/>
      <c r="C137" s="9"/>
      <c r="D137" s="9"/>
      <c r="E137" s="9"/>
      <c r="F137" s="17" t="str">
        <f aca="false">IF(AND(A137="",B137="",C137=""),"",IF(NOT(ISNUMBER(A137)),"Enter the date done",IF(OR(B137="",C137=""),"Fill in asset and task",IF(SUMPRODUCT(('PM Plan'!$A$5:$A$304=B137)*('PM Plan'!$B$5:$B$304=C137))=0,"No matching asset + task in plan","OK"))))</f>
        <v/>
      </c>
    </row>
    <row r="138" customFormat="false" ht="15" hidden="false" customHeight="false" outlineLevel="0" collapsed="false">
      <c r="A138" s="14"/>
      <c r="B138" s="9"/>
      <c r="C138" s="9"/>
      <c r="D138" s="9"/>
      <c r="E138" s="9"/>
      <c r="F138" s="17" t="str">
        <f aca="false">IF(AND(A138="",B138="",C138=""),"",IF(NOT(ISNUMBER(A138)),"Enter the date done",IF(OR(B138="",C138=""),"Fill in asset and task",IF(SUMPRODUCT(('PM Plan'!$A$5:$A$304=B138)*('PM Plan'!$B$5:$B$304=C138))=0,"No matching asset + task in plan","OK"))))</f>
        <v/>
      </c>
    </row>
    <row r="139" customFormat="false" ht="15" hidden="false" customHeight="false" outlineLevel="0" collapsed="false">
      <c r="A139" s="14"/>
      <c r="B139" s="9"/>
      <c r="C139" s="9"/>
      <c r="D139" s="9"/>
      <c r="E139" s="9"/>
      <c r="F139" s="17" t="str">
        <f aca="false">IF(AND(A139="",B139="",C139=""),"",IF(NOT(ISNUMBER(A139)),"Enter the date done",IF(OR(B139="",C139=""),"Fill in asset and task",IF(SUMPRODUCT(('PM Plan'!$A$5:$A$304=B139)*('PM Plan'!$B$5:$B$304=C139))=0,"No matching asset + task in plan","OK"))))</f>
        <v/>
      </c>
    </row>
    <row r="140" customFormat="false" ht="15" hidden="false" customHeight="false" outlineLevel="0" collapsed="false">
      <c r="A140" s="14"/>
      <c r="B140" s="9"/>
      <c r="C140" s="9"/>
      <c r="D140" s="9"/>
      <c r="E140" s="9"/>
      <c r="F140" s="17" t="str">
        <f aca="false">IF(AND(A140="",B140="",C140=""),"",IF(NOT(ISNUMBER(A140)),"Enter the date done",IF(OR(B140="",C140=""),"Fill in asset and task",IF(SUMPRODUCT(('PM Plan'!$A$5:$A$304=B140)*('PM Plan'!$B$5:$B$304=C140))=0,"No matching asset + task in plan","OK"))))</f>
        <v/>
      </c>
    </row>
    <row r="141" customFormat="false" ht="15" hidden="false" customHeight="false" outlineLevel="0" collapsed="false">
      <c r="A141" s="14"/>
      <c r="B141" s="9"/>
      <c r="C141" s="9"/>
      <c r="D141" s="9"/>
      <c r="E141" s="9"/>
      <c r="F141" s="17" t="str">
        <f aca="false">IF(AND(A141="",B141="",C141=""),"",IF(NOT(ISNUMBER(A141)),"Enter the date done",IF(OR(B141="",C141=""),"Fill in asset and task",IF(SUMPRODUCT(('PM Plan'!$A$5:$A$304=B141)*('PM Plan'!$B$5:$B$304=C141))=0,"No matching asset + task in plan","OK"))))</f>
        <v/>
      </c>
    </row>
    <row r="142" customFormat="false" ht="15" hidden="false" customHeight="false" outlineLevel="0" collapsed="false">
      <c r="A142" s="14"/>
      <c r="B142" s="9"/>
      <c r="C142" s="9"/>
      <c r="D142" s="9"/>
      <c r="E142" s="9"/>
      <c r="F142" s="17" t="str">
        <f aca="false">IF(AND(A142="",B142="",C142=""),"",IF(NOT(ISNUMBER(A142)),"Enter the date done",IF(OR(B142="",C142=""),"Fill in asset and task",IF(SUMPRODUCT(('PM Plan'!$A$5:$A$304=B142)*('PM Plan'!$B$5:$B$304=C142))=0,"No matching asset + task in plan","OK"))))</f>
        <v/>
      </c>
    </row>
    <row r="143" customFormat="false" ht="15" hidden="false" customHeight="false" outlineLevel="0" collapsed="false">
      <c r="A143" s="14"/>
      <c r="B143" s="9"/>
      <c r="C143" s="9"/>
      <c r="D143" s="9"/>
      <c r="E143" s="9"/>
      <c r="F143" s="17" t="str">
        <f aca="false">IF(AND(A143="",B143="",C143=""),"",IF(NOT(ISNUMBER(A143)),"Enter the date done",IF(OR(B143="",C143=""),"Fill in asset and task",IF(SUMPRODUCT(('PM Plan'!$A$5:$A$304=B143)*('PM Plan'!$B$5:$B$304=C143))=0,"No matching asset + task in plan","OK"))))</f>
        <v/>
      </c>
    </row>
    <row r="144" customFormat="false" ht="15" hidden="false" customHeight="false" outlineLevel="0" collapsed="false">
      <c r="A144" s="14"/>
      <c r="B144" s="9"/>
      <c r="C144" s="9"/>
      <c r="D144" s="9"/>
      <c r="E144" s="9"/>
      <c r="F144" s="17" t="str">
        <f aca="false">IF(AND(A144="",B144="",C144=""),"",IF(NOT(ISNUMBER(A144)),"Enter the date done",IF(OR(B144="",C144=""),"Fill in asset and task",IF(SUMPRODUCT(('PM Plan'!$A$5:$A$304=B144)*('PM Plan'!$B$5:$B$304=C144))=0,"No matching asset + task in plan","OK"))))</f>
        <v/>
      </c>
    </row>
    <row r="145" customFormat="false" ht="15" hidden="false" customHeight="false" outlineLevel="0" collapsed="false">
      <c r="A145" s="14"/>
      <c r="B145" s="9"/>
      <c r="C145" s="9"/>
      <c r="D145" s="9"/>
      <c r="E145" s="9"/>
      <c r="F145" s="17" t="str">
        <f aca="false">IF(AND(A145="",B145="",C145=""),"",IF(NOT(ISNUMBER(A145)),"Enter the date done",IF(OR(B145="",C145=""),"Fill in asset and task",IF(SUMPRODUCT(('PM Plan'!$A$5:$A$304=B145)*('PM Plan'!$B$5:$B$304=C145))=0,"No matching asset + task in plan","OK"))))</f>
        <v/>
      </c>
    </row>
    <row r="146" customFormat="false" ht="15" hidden="false" customHeight="false" outlineLevel="0" collapsed="false">
      <c r="A146" s="14"/>
      <c r="B146" s="9"/>
      <c r="C146" s="9"/>
      <c r="D146" s="9"/>
      <c r="E146" s="9"/>
      <c r="F146" s="17" t="str">
        <f aca="false">IF(AND(A146="",B146="",C146=""),"",IF(NOT(ISNUMBER(A146)),"Enter the date done",IF(OR(B146="",C146=""),"Fill in asset and task",IF(SUMPRODUCT(('PM Plan'!$A$5:$A$304=B146)*('PM Plan'!$B$5:$B$304=C146))=0,"No matching asset + task in plan","OK"))))</f>
        <v/>
      </c>
    </row>
    <row r="147" customFormat="false" ht="15" hidden="false" customHeight="false" outlineLevel="0" collapsed="false">
      <c r="A147" s="14"/>
      <c r="B147" s="9"/>
      <c r="C147" s="9"/>
      <c r="D147" s="9"/>
      <c r="E147" s="9"/>
      <c r="F147" s="17" t="str">
        <f aca="false">IF(AND(A147="",B147="",C147=""),"",IF(NOT(ISNUMBER(A147)),"Enter the date done",IF(OR(B147="",C147=""),"Fill in asset and task",IF(SUMPRODUCT(('PM Plan'!$A$5:$A$304=B147)*('PM Plan'!$B$5:$B$304=C147))=0,"No matching asset + task in plan","OK"))))</f>
        <v/>
      </c>
    </row>
    <row r="148" customFormat="false" ht="15" hidden="false" customHeight="false" outlineLevel="0" collapsed="false">
      <c r="A148" s="14"/>
      <c r="B148" s="9"/>
      <c r="C148" s="9"/>
      <c r="D148" s="9"/>
      <c r="E148" s="9"/>
      <c r="F148" s="17" t="str">
        <f aca="false">IF(AND(A148="",B148="",C148=""),"",IF(NOT(ISNUMBER(A148)),"Enter the date done",IF(OR(B148="",C148=""),"Fill in asset and task",IF(SUMPRODUCT(('PM Plan'!$A$5:$A$304=B148)*('PM Plan'!$B$5:$B$304=C148))=0,"No matching asset + task in plan","OK"))))</f>
        <v/>
      </c>
    </row>
    <row r="149" customFormat="false" ht="15" hidden="false" customHeight="false" outlineLevel="0" collapsed="false">
      <c r="A149" s="14"/>
      <c r="B149" s="9"/>
      <c r="C149" s="9"/>
      <c r="D149" s="9"/>
      <c r="E149" s="9"/>
      <c r="F149" s="17" t="str">
        <f aca="false">IF(AND(A149="",B149="",C149=""),"",IF(NOT(ISNUMBER(A149)),"Enter the date done",IF(OR(B149="",C149=""),"Fill in asset and task",IF(SUMPRODUCT(('PM Plan'!$A$5:$A$304=B149)*('PM Plan'!$B$5:$B$304=C149))=0,"No matching asset + task in plan","OK"))))</f>
        <v/>
      </c>
    </row>
    <row r="150" customFormat="false" ht="15" hidden="false" customHeight="false" outlineLevel="0" collapsed="false">
      <c r="A150" s="14"/>
      <c r="B150" s="9"/>
      <c r="C150" s="9"/>
      <c r="D150" s="9"/>
      <c r="E150" s="9"/>
      <c r="F150" s="17" t="str">
        <f aca="false">IF(AND(A150="",B150="",C150=""),"",IF(NOT(ISNUMBER(A150)),"Enter the date done",IF(OR(B150="",C150=""),"Fill in asset and task",IF(SUMPRODUCT(('PM Plan'!$A$5:$A$304=B150)*('PM Plan'!$B$5:$B$304=C150))=0,"No matching asset + task in plan","OK"))))</f>
        <v/>
      </c>
    </row>
    <row r="151" customFormat="false" ht="15" hidden="false" customHeight="false" outlineLevel="0" collapsed="false">
      <c r="A151" s="14"/>
      <c r="B151" s="9"/>
      <c r="C151" s="9"/>
      <c r="D151" s="9"/>
      <c r="E151" s="9"/>
      <c r="F151" s="17" t="str">
        <f aca="false">IF(AND(A151="",B151="",C151=""),"",IF(NOT(ISNUMBER(A151)),"Enter the date done",IF(OR(B151="",C151=""),"Fill in asset and task",IF(SUMPRODUCT(('PM Plan'!$A$5:$A$304=B151)*('PM Plan'!$B$5:$B$304=C151))=0,"No matching asset + task in plan","OK"))))</f>
        <v/>
      </c>
    </row>
    <row r="152" customFormat="false" ht="15" hidden="false" customHeight="false" outlineLevel="0" collapsed="false">
      <c r="A152" s="14"/>
      <c r="B152" s="9"/>
      <c r="C152" s="9"/>
      <c r="D152" s="9"/>
      <c r="E152" s="9"/>
      <c r="F152" s="17" t="str">
        <f aca="false">IF(AND(A152="",B152="",C152=""),"",IF(NOT(ISNUMBER(A152)),"Enter the date done",IF(OR(B152="",C152=""),"Fill in asset and task",IF(SUMPRODUCT(('PM Plan'!$A$5:$A$304=B152)*('PM Plan'!$B$5:$B$304=C152))=0,"No matching asset + task in plan","OK"))))</f>
        <v/>
      </c>
    </row>
    <row r="153" customFormat="false" ht="15" hidden="false" customHeight="false" outlineLevel="0" collapsed="false">
      <c r="A153" s="14"/>
      <c r="B153" s="9"/>
      <c r="C153" s="9"/>
      <c r="D153" s="9"/>
      <c r="E153" s="9"/>
      <c r="F153" s="17" t="str">
        <f aca="false">IF(AND(A153="",B153="",C153=""),"",IF(NOT(ISNUMBER(A153)),"Enter the date done",IF(OR(B153="",C153=""),"Fill in asset and task",IF(SUMPRODUCT(('PM Plan'!$A$5:$A$304=B153)*('PM Plan'!$B$5:$B$304=C153))=0,"No matching asset + task in plan","OK"))))</f>
        <v/>
      </c>
    </row>
    <row r="154" customFormat="false" ht="15" hidden="false" customHeight="false" outlineLevel="0" collapsed="false">
      <c r="A154" s="14"/>
      <c r="B154" s="9"/>
      <c r="C154" s="9"/>
      <c r="D154" s="9"/>
      <c r="E154" s="9"/>
      <c r="F154" s="17" t="str">
        <f aca="false">IF(AND(A154="",B154="",C154=""),"",IF(NOT(ISNUMBER(A154)),"Enter the date done",IF(OR(B154="",C154=""),"Fill in asset and task",IF(SUMPRODUCT(('PM Plan'!$A$5:$A$304=B154)*('PM Plan'!$B$5:$B$304=C154))=0,"No matching asset + task in plan","OK"))))</f>
        <v/>
      </c>
    </row>
    <row r="155" customFormat="false" ht="15" hidden="false" customHeight="false" outlineLevel="0" collapsed="false">
      <c r="A155" s="14"/>
      <c r="B155" s="9"/>
      <c r="C155" s="9"/>
      <c r="D155" s="9"/>
      <c r="E155" s="9"/>
      <c r="F155" s="17" t="str">
        <f aca="false">IF(AND(A155="",B155="",C155=""),"",IF(NOT(ISNUMBER(A155)),"Enter the date done",IF(OR(B155="",C155=""),"Fill in asset and task",IF(SUMPRODUCT(('PM Plan'!$A$5:$A$304=B155)*('PM Plan'!$B$5:$B$304=C155))=0,"No matching asset + task in plan","OK"))))</f>
        <v/>
      </c>
    </row>
    <row r="156" customFormat="false" ht="15" hidden="false" customHeight="false" outlineLevel="0" collapsed="false">
      <c r="A156" s="14"/>
      <c r="B156" s="9"/>
      <c r="C156" s="9"/>
      <c r="D156" s="9"/>
      <c r="E156" s="9"/>
      <c r="F156" s="17" t="str">
        <f aca="false">IF(AND(A156="",B156="",C156=""),"",IF(NOT(ISNUMBER(A156)),"Enter the date done",IF(OR(B156="",C156=""),"Fill in asset and task",IF(SUMPRODUCT(('PM Plan'!$A$5:$A$304=B156)*('PM Plan'!$B$5:$B$304=C156))=0,"No matching asset + task in plan","OK"))))</f>
        <v/>
      </c>
    </row>
    <row r="157" customFormat="false" ht="15" hidden="false" customHeight="false" outlineLevel="0" collapsed="false">
      <c r="A157" s="14"/>
      <c r="B157" s="9"/>
      <c r="C157" s="9"/>
      <c r="D157" s="9"/>
      <c r="E157" s="9"/>
      <c r="F157" s="17" t="str">
        <f aca="false">IF(AND(A157="",B157="",C157=""),"",IF(NOT(ISNUMBER(A157)),"Enter the date done",IF(OR(B157="",C157=""),"Fill in asset and task",IF(SUMPRODUCT(('PM Plan'!$A$5:$A$304=B157)*('PM Plan'!$B$5:$B$304=C157))=0,"No matching asset + task in plan","OK"))))</f>
        <v/>
      </c>
    </row>
    <row r="158" customFormat="false" ht="15" hidden="false" customHeight="false" outlineLevel="0" collapsed="false">
      <c r="A158" s="14"/>
      <c r="B158" s="9"/>
      <c r="C158" s="9"/>
      <c r="D158" s="9"/>
      <c r="E158" s="9"/>
      <c r="F158" s="17" t="str">
        <f aca="false">IF(AND(A158="",B158="",C158=""),"",IF(NOT(ISNUMBER(A158)),"Enter the date done",IF(OR(B158="",C158=""),"Fill in asset and task",IF(SUMPRODUCT(('PM Plan'!$A$5:$A$304=B158)*('PM Plan'!$B$5:$B$304=C158))=0,"No matching asset + task in plan","OK"))))</f>
        <v/>
      </c>
    </row>
    <row r="159" customFormat="false" ht="15" hidden="false" customHeight="false" outlineLevel="0" collapsed="false">
      <c r="A159" s="14"/>
      <c r="B159" s="9"/>
      <c r="C159" s="9"/>
      <c r="D159" s="9"/>
      <c r="E159" s="9"/>
      <c r="F159" s="17" t="str">
        <f aca="false">IF(AND(A159="",B159="",C159=""),"",IF(NOT(ISNUMBER(A159)),"Enter the date done",IF(OR(B159="",C159=""),"Fill in asset and task",IF(SUMPRODUCT(('PM Plan'!$A$5:$A$304=B159)*('PM Plan'!$B$5:$B$304=C159))=0,"No matching asset + task in plan","OK"))))</f>
        <v/>
      </c>
    </row>
    <row r="160" customFormat="false" ht="15" hidden="false" customHeight="false" outlineLevel="0" collapsed="false">
      <c r="A160" s="14"/>
      <c r="B160" s="9"/>
      <c r="C160" s="9"/>
      <c r="D160" s="9"/>
      <c r="E160" s="9"/>
      <c r="F160" s="17" t="str">
        <f aca="false">IF(AND(A160="",B160="",C160=""),"",IF(NOT(ISNUMBER(A160)),"Enter the date done",IF(OR(B160="",C160=""),"Fill in asset and task",IF(SUMPRODUCT(('PM Plan'!$A$5:$A$304=B160)*('PM Plan'!$B$5:$B$304=C160))=0,"No matching asset + task in plan","OK"))))</f>
        <v/>
      </c>
    </row>
    <row r="161" customFormat="false" ht="15" hidden="false" customHeight="false" outlineLevel="0" collapsed="false">
      <c r="A161" s="14"/>
      <c r="B161" s="9"/>
      <c r="C161" s="9"/>
      <c r="D161" s="9"/>
      <c r="E161" s="9"/>
      <c r="F161" s="17" t="str">
        <f aca="false">IF(AND(A161="",B161="",C161=""),"",IF(NOT(ISNUMBER(A161)),"Enter the date done",IF(OR(B161="",C161=""),"Fill in asset and task",IF(SUMPRODUCT(('PM Plan'!$A$5:$A$304=B161)*('PM Plan'!$B$5:$B$304=C161))=0,"No matching asset + task in plan","OK"))))</f>
        <v/>
      </c>
    </row>
    <row r="162" customFormat="false" ht="15" hidden="false" customHeight="false" outlineLevel="0" collapsed="false">
      <c r="A162" s="14"/>
      <c r="B162" s="9"/>
      <c r="C162" s="9"/>
      <c r="D162" s="9"/>
      <c r="E162" s="9"/>
      <c r="F162" s="17" t="str">
        <f aca="false">IF(AND(A162="",B162="",C162=""),"",IF(NOT(ISNUMBER(A162)),"Enter the date done",IF(OR(B162="",C162=""),"Fill in asset and task",IF(SUMPRODUCT(('PM Plan'!$A$5:$A$304=B162)*('PM Plan'!$B$5:$B$304=C162))=0,"No matching asset + task in plan","OK"))))</f>
        <v/>
      </c>
    </row>
    <row r="163" customFormat="false" ht="15" hidden="false" customHeight="false" outlineLevel="0" collapsed="false">
      <c r="A163" s="14"/>
      <c r="B163" s="9"/>
      <c r="C163" s="9"/>
      <c r="D163" s="9"/>
      <c r="E163" s="9"/>
      <c r="F163" s="17" t="str">
        <f aca="false">IF(AND(A163="",B163="",C163=""),"",IF(NOT(ISNUMBER(A163)),"Enter the date done",IF(OR(B163="",C163=""),"Fill in asset and task",IF(SUMPRODUCT(('PM Plan'!$A$5:$A$304=B163)*('PM Plan'!$B$5:$B$304=C163))=0,"No matching asset + task in plan","OK"))))</f>
        <v/>
      </c>
    </row>
    <row r="164" customFormat="false" ht="15" hidden="false" customHeight="false" outlineLevel="0" collapsed="false">
      <c r="A164" s="14"/>
      <c r="B164" s="9"/>
      <c r="C164" s="9"/>
      <c r="D164" s="9"/>
      <c r="E164" s="9"/>
      <c r="F164" s="17" t="str">
        <f aca="false">IF(AND(A164="",B164="",C164=""),"",IF(NOT(ISNUMBER(A164)),"Enter the date done",IF(OR(B164="",C164=""),"Fill in asset and task",IF(SUMPRODUCT(('PM Plan'!$A$5:$A$304=B164)*('PM Plan'!$B$5:$B$304=C164))=0,"No matching asset + task in plan","OK"))))</f>
        <v/>
      </c>
    </row>
    <row r="165" customFormat="false" ht="15" hidden="false" customHeight="false" outlineLevel="0" collapsed="false">
      <c r="A165" s="14"/>
      <c r="B165" s="9"/>
      <c r="C165" s="9"/>
      <c r="D165" s="9"/>
      <c r="E165" s="9"/>
      <c r="F165" s="17" t="str">
        <f aca="false">IF(AND(A165="",B165="",C165=""),"",IF(NOT(ISNUMBER(A165)),"Enter the date done",IF(OR(B165="",C165=""),"Fill in asset and task",IF(SUMPRODUCT(('PM Plan'!$A$5:$A$304=B165)*('PM Plan'!$B$5:$B$304=C165))=0,"No matching asset + task in plan","OK"))))</f>
        <v/>
      </c>
    </row>
    <row r="166" customFormat="false" ht="15" hidden="false" customHeight="false" outlineLevel="0" collapsed="false">
      <c r="A166" s="14"/>
      <c r="B166" s="9"/>
      <c r="C166" s="9"/>
      <c r="D166" s="9"/>
      <c r="E166" s="9"/>
      <c r="F166" s="17" t="str">
        <f aca="false">IF(AND(A166="",B166="",C166=""),"",IF(NOT(ISNUMBER(A166)),"Enter the date done",IF(OR(B166="",C166=""),"Fill in asset and task",IF(SUMPRODUCT(('PM Plan'!$A$5:$A$304=B166)*('PM Plan'!$B$5:$B$304=C166))=0,"No matching asset + task in plan","OK"))))</f>
        <v/>
      </c>
    </row>
    <row r="167" customFormat="false" ht="15" hidden="false" customHeight="false" outlineLevel="0" collapsed="false">
      <c r="A167" s="14"/>
      <c r="B167" s="9"/>
      <c r="C167" s="9"/>
      <c r="D167" s="9"/>
      <c r="E167" s="9"/>
      <c r="F167" s="17" t="str">
        <f aca="false">IF(AND(A167="",B167="",C167=""),"",IF(NOT(ISNUMBER(A167)),"Enter the date done",IF(OR(B167="",C167=""),"Fill in asset and task",IF(SUMPRODUCT(('PM Plan'!$A$5:$A$304=B167)*('PM Plan'!$B$5:$B$304=C167))=0,"No matching asset + task in plan","OK"))))</f>
        <v/>
      </c>
    </row>
    <row r="168" customFormat="false" ht="15" hidden="false" customHeight="false" outlineLevel="0" collapsed="false">
      <c r="A168" s="14"/>
      <c r="B168" s="9"/>
      <c r="C168" s="9"/>
      <c r="D168" s="9"/>
      <c r="E168" s="9"/>
      <c r="F168" s="17" t="str">
        <f aca="false">IF(AND(A168="",B168="",C168=""),"",IF(NOT(ISNUMBER(A168)),"Enter the date done",IF(OR(B168="",C168=""),"Fill in asset and task",IF(SUMPRODUCT(('PM Plan'!$A$5:$A$304=B168)*('PM Plan'!$B$5:$B$304=C168))=0,"No matching asset + task in plan","OK"))))</f>
        <v/>
      </c>
    </row>
    <row r="169" customFormat="false" ht="15" hidden="false" customHeight="false" outlineLevel="0" collapsed="false">
      <c r="A169" s="14"/>
      <c r="B169" s="9"/>
      <c r="C169" s="9"/>
      <c r="D169" s="9"/>
      <c r="E169" s="9"/>
      <c r="F169" s="17" t="str">
        <f aca="false">IF(AND(A169="",B169="",C169=""),"",IF(NOT(ISNUMBER(A169)),"Enter the date done",IF(OR(B169="",C169=""),"Fill in asset and task",IF(SUMPRODUCT(('PM Plan'!$A$5:$A$304=B169)*('PM Plan'!$B$5:$B$304=C169))=0,"No matching asset + task in plan","OK"))))</f>
        <v/>
      </c>
    </row>
    <row r="170" customFormat="false" ht="15" hidden="false" customHeight="false" outlineLevel="0" collapsed="false">
      <c r="A170" s="14"/>
      <c r="B170" s="9"/>
      <c r="C170" s="9"/>
      <c r="D170" s="9"/>
      <c r="E170" s="9"/>
      <c r="F170" s="17" t="str">
        <f aca="false">IF(AND(A170="",B170="",C170=""),"",IF(NOT(ISNUMBER(A170)),"Enter the date done",IF(OR(B170="",C170=""),"Fill in asset and task",IF(SUMPRODUCT(('PM Plan'!$A$5:$A$304=B170)*('PM Plan'!$B$5:$B$304=C170))=0,"No matching asset + task in plan","OK"))))</f>
        <v/>
      </c>
    </row>
    <row r="171" customFormat="false" ht="15" hidden="false" customHeight="false" outlineLevel="0" collapsed="false">
      <c r="A171" s="14"/>
      <c r="B171" s="9"/>
      <c r="C171" s="9"/>
      <c r="D171" s="9"/>
      <c r="E171" s="9"/>
      <c r="F171" s="17" t="str">
        <f aca="false">IF(AND(A171="",B171="",C171=""),"",IF(NOT(ISNUMBER(A171)),"Enter the date done",IF(OR(B171="",C171=""),"Fill in asset and task",IF(SUMPRODUCT(('PM Plan'!$A$5:$A$304=B171)*('PM Plan'!$B$5:$B$304=C171))=0,"No matching asset + task in plan","OK"))))</f>
        <v/>
      </c>
    </row>
    <row r="172" customFormat="false" ht="15" hidden="false" customHeight="false" outlineLevel="0" collapsed="false">
      <c r="A172" s="14"/>
      <c r="B172" s="9"/>
      <c r="C172" s="9"/>
      <c r="D172" s="9"/>
      <c r="E172" s="9"/>
      <c r="F172" s="17" t="str">
        <f aca="false">IF(AND(A172="",B172="",C172=""),"",IF(NOT(ISNUMBER(A172)),"Enter the date done",IF(OR(B172="",C172=""),"Fill in asset and task",IF(SUMPRODUCT(('PM Plan'!$A$5:$A$304=B172)*('PM Plan'!$B$5:$B$304=C172))=0,"No matching asset + task in plan","OK"))))</f>
        <v/>
      </c>
    </row>
    <row r="173" customFormat="false" ht="15" hidden="false" customHeight="false" outlineLevel="0" collapsed="false">
      <c r="A173" s="14"/>
      <c r="B173" s="9"/>
      <c r="C173" s="9"/>
      <c r="D173" s="9"/>
      <c r="E173" s="9"/>
      <c r="F173" s="17" t="str">
        <f aca="false">IF(AND(A173="",B173="",C173=""),"",IF(NOT(ISNUMBER(A173)),"Enter the date done",IF(OR(B173="",C173=""),"Fill in asset and task",IF(SUMPRODUCT(('PM Plan'!$A$5:$A$304=B173)*('PM Plan'!$B$5:$B$304=C173))=0,"No matching asset + task in plan","OK"))))</f>
        <v/>
      </c>
    </row>
    <row r="174" customFormat="false" ht="15" hidden="false" customHeight="false" outlineLevel="0" collapsed="false">
      <c r="A174" s="14"/>
      <c r="B174" s="9"/>
      <c r="C174" s="9"/>
      <c r="D174" s="9"/>
      <c r="E174" s="9"/>
      <c r="F174" s="17" t="str">
        <f aca="false">IF(AND(A174="",B174="",C174=""),"",IF(NOT(ISNUMBER(A174)),"Enter the date done",IF(OR(B174="",C174=""),"Fill in asset and task",IF(SUMPRODUCT(('PM Plan'!$A$5:$A$304=B174)*('PM Plan'!$B$5:$B$304=C174))=0,"No matching asset + task in plan","OK"))))</f>
        <v/>
      </c>
    </row>
    <row r="175" customFormat="false" ht="15" hidden="false" customHeight="false" outlineLevel="0" collapsed="false">
      <c r="A175" s="14"/>
      <c r="B175" s="9"/>
      <c r="C175" s="9"/>
      <c r="D175" s="9"/>
      <c r="E175" s="9"/>
      <c r="F175" s="17" t="str">
        <f aca="false">IF(AND(A175="",B175="",C175=""),"",IF(NOT(ISNUMBER(A175)),"Enter the date done",IF(OR(B175="",C175=""),"Fill in asset and task",IF(SUMPRODUCT(('PM Plan'!$A$5:$A$304=B175)*('PM Plan'!$B$5:$B$304=C175))=0,"No matching asset + task in plan","OK"))))</f>
        <v/>
      </c>
    </row>
    <row r="176" customFormat="false" ht="15" hidden="false" customHeight="false" outlineLevel="0" collapsed="false">
      <c r="A176" s="14"/>
      <c r="B176" s="9"/>
      <c r="C176" s="9"/>
      <c r="D176" s="9"/>
      <c r="E176" s="9"/>
      <c r="F176" s="17" t="str">
        <f aca="false">IF(AND(A176="",B176="",C176=""),"",IF(NOT(ISNUMBER(A176)),"Enter the date done",IF(OR(B176="",C176=""),"Fill in asset and task",IF(SUMPRODUCT(('PM Plan'!$A$5:$A$304=B176)*('PM Plan'!$B$5:$B$304=C176))=0,"No matching asset + task in plan","OK"))))</f>
        <v/>
      </c>
    </row>
    <row r="177" customFormat="false" ht="15" hidden="false" customHeight="false" outlineLevel="0" collapsed="false">
      <c r="A177" s="14"/>
      <c r="B177" s="9"/>
      <c r="C177" s="9"/>
      <c r="D177" s="9"/>
      <c r="E177" s="9"/>
      <c r="F177" s="17" t="str">
        <f aca="false">IF(AND(A177="",B177="",C177=""),"",IF(NOT(ISNUMBER(A177)),"Enter the date done",IF(OR(B177="",C177=""),"Fill in asset and task",IF(SUMPRODUCT(('PM Plan'!$A$5:$A$304=B177)*('PM Plan'!$B$5:$B$304=C177))=0,"No matching asset + task in plan","OK"))))</f>
        <v/>
      </c>
    </row>
    <row r="178" customFormat="false" ht="15" hidden="false" customHeight="false" outlineLevel="0" collapsed="false">
      <c r="A178" s="14"/>
      <c r="B178" s="9"/>
      <c r="C178" s="9"/>
      <c r="D178" s="9"/>
      <c r="E178" s="9"/>
      <c r="F178" s="17" t="str">
        <f aca="false">IF(AND(A178="",B178="",C178=""),"",IF(NOT(ISNUMBER(A178)),"Enter the date done",IF(OR(B178="",C178=""),"Fill in asset and task",IF(SUMPRODUCT(('PM Plan'!$A$5:$A$304=B178)*('PM Plan'!$B$5:$B$304=C178))=0,"No matching asset + task in plan","OK"))))</f>
        <v/>
      </c>
    </row>
    <row r="179" customFormat="false" ht="15" hidden="false" customHeight="false" outlineLevel="0" collapsed="false">
      <c r="A179" s="14"/>
      <c r="B179" s="9"/>
      <c r="C179" s="9"/>
      <c r="D179" s="9"/>
      <c r="E179" s="9"/>
      <c r="F179" s="17" t="str">
        <f aca="false">IF(AND(A179="",B179="",C179=""),"",IF(NOT(ISNUMBER(A179)),"Enter the date done",IF(OR(B179="",C179=""),"Fill in asset and task",IF(SUMPRODUCT(('PM Plan'!$A$5:$A$304=B179)*('PM Plan'!$B$5:$B$304=C179))=0,"No matching asset + task in plan","OK"))))</f>
        <v/>
      </c>
    </row>
    <row r="180" customFormat="false" ht="15" hidden="false" customHeight="false" outlineLevel="0" collapsed="false">
      <c r="A180" s="14"/>
      <c r="B180" s="9"/>
      <c r="C180" s="9"/>
      <c r="D180" s="9"/>
      <c r="E180" s="9"/>
      <c r="F180" s="17" t="str">
        <f aca="false">IF(AND(A180="",B180="",C180=""),"",IF(NOT(ISNUMBER(A180)),"Enter the date done",IF(OR(B180="",C180=""),"Fill in asset and task",IF(SUMPRODUCT(('PM Plan'!$A$5:$A$304=B180)*('PM Plan'!$B$5:$B$304=C180))=0,"No matching asset + task in plan","OK"))))</f>
        <v/>
      </c>
    </row>
    <row r="181" customFormat="false" ht="15" hidden="false" customHeight="false" outlineLevel="0" collapsed="false">
      <c r="A181" s="14"/>
      <c r="B181" s="9"/>
      <c r="C181" s="9"/>
      <c r="D181" s="9"/>
      <c r="E181" s="9"/>
      <c r="F181" s="17" t="str">
        <f aca="false">IF(AND(A181="",B181="",C181=""),"",IF(NOT(ISNUMBER(A181)),"Enter the date done",IF(OR(B181="",C181=""),"Fill in asset and task",IF(SUMPRODUCT(('PM Plan'!$A$5:$A$304=B181)*('PM Plan'!$B$5:$B$304=C181))=0,"No matching asset + task in plan","OK"))))</f>
        <v/>
      </c>
    </row>
    <row r="182" customFormat="false" ht="15" hidden="false" customHeight="false" outlineLevel="0" collapsed="false">
      <c r="A182" s="14"/>
      <c r="B182" s="9"/>
      <c r="C182" s="9"/>
      <c r="D182" s="9"/>
      <c r="E182" s="9"/>
      <c r="F182" s="17" t="str">
        <f aca="false">IF(AND(A182="",B182="",C182=""),"",IF(NOT(ISNUMBER(A182)),"Enter the date done",IF(OR(B182="",C182=""),"Fill in asset and task",IF(SUMPRODUCT(('PM Plan'!$A$5:$A$304=B182)*('PM Plan'!$B$5:$B$304=C182))=0,"No matching asset + task in plan","OK"))))</f>
        <v/>
      </c>
    </row>
    <row r="183" customFormat="false" ht="15" hidden="false" customHeight="false" outlineLevel="0" collapsed="false">
      <c r="A183" s="14"/>
      <c r="B183" s="9"/>
      <c r="C183" s="9"/>
      <c r="D183" s="9"/>
      <c r="E183" s="9"/>
      <c r="F183" s="17" t="str">
        <f aca="false">IF(AND(A183="",B183="",C183=""),"",IF(NOT(ISNUMBER(A183)),"Enter the date done",IF(OR(B183="",C183=""),"Fill in asset and task",IF(SUMPRODUCT(('PM Plan'!$A$5:$A$304=B183)*('PM Plan'!$B$5:$B$304=C183))=0,"No matching asset + task in plan","OK"))))</f>
        <v/>
      </c>
    </row>
    <row r="184" customFormat="false" ht="15" hidden="false" customHeight="false" outlineLevel="0" collapsed="false">
      <c r="A184" s="14"/>
      <c r="B184" s="9"/>
      <c r="C184" s="9"/>
      <c r="D184" s="9"/>
      <c r="E184" s="9"/>
      <c r="F184" s="17" t="str">
        <f aca="false">IF(AND(A184="",B184="",C184=""),"",IF(NOT(ISNUMBER(A184)),"Enter the date done",IF(OR(B184="",C184=""),"Fill in asset and task",IF(SUMPRODUCT(('PM Plan'!$A$5:$A$304=B184)*('PM Plan'!$B$5:$B$304=C184))=0,"No matching asset + task in plan","OK"))))</f>
        <v/>
      </c>
    </row>
    <row r="185" customFormat="false" ht="15" hidden="false" customHeight="false" outlineLevel="0" collapsed="false">
      <c r="A185" s="14"/>
      <c r="B185" s="9"/>
      <c r="C185" s="9"/>
      <c r="D185" s="9"/>
      <c r="E185" s="9"/>
      <c r="F185" s="17" t="str">
        <f aca="false">IF(AND(A185="",B185="",C185=""),"",IF(NOT(ISNUMBER(A185)),"Enter the date done",IF(OR(B185="",C185=""),"Fill in asset and task",IF(SUMPRODUCT(('PM Plan'!$A$5:$A$304=B185)*('PM Plan'!$B$5:$B$304=C185))=0,"No matching asset + task in plan","OK"))))</f>
        <v/>
      </c>
    </row>
    <row r="186" customFormat="false" ht="15" hidden="false" customHeight="false" outlineLevel="0" collapsed="false">
      <c r="A186" s="14"/>
      <c r="B186" s="9"/>
      <c r="C186" s="9"/>
      <c r="D186" s="9"/>
      <c r="E186" s="9"/>
      <c r="F186" s="17" t="str">
        <f aca="false">IF(AND(A186="",B186="",C186=""),"",IF(NOT(ISNUMBER(A186)),"Enter the date done",IF(OR(B186="",C186=""),"Fill in asset and task",IF(SUMPRODUCT(('PM Plan'!$A$5:$A$304=B186)*('PM Plan'!$B$5:$B$304=C186))=0,"No matching asset + task in plan","OK"))))</f>
        <v/>
      </c>
    </row>
    <row r="187" customFormat="false" ht="15" hidden="false" customHeight="false" outlineLevel="0" collapsed="false">
      <c r="A187" s="14"/>
      <c r="B187" s="9"/>
      <c r="C187" s="9"/>
      <c r="D187" s="9"/>
      <c r="E187" s="9"/>
      <c r="F187" s="17" t="str">
        <f aca="false">IF(AND(A187="",B187="",C187=""),"",IF(NOT(ISNUMBER(A187)),"Enter the date done",IF(OR(B187="",C187=""),"Fill in asset and task",IF(SUMPRODUCT(('PM Plan'!$A$5:$A$304=B187)*('PM Plan'!$B$5:$B$304=C187))=0,"No matching asset + task in plan","OK"))))</f>
        <v/>
      </c>
    </row>
    <row r="188" customFormat="false" ht="15" hidden="false" customHeight="false" outlineLevel="0" collapsed="false">
      <c r="A188" s="14"/>
      <c r="B188" s="9"/>
      <c r="C188" s="9"/>
      <c r="D188" s="9"/>
      <c r="E188" s="9"/>
      <c r="F188" s="17" t="str">
        <f aca="false">IF(AND(A188="",B188="",C188=""),"",IF(NOT(ISNUMBER(A188)),"Enter the date done",IF(OR(B188="",C188=""),"Fill in asset and task",IF(SUMPRODUCT(('PM Plan'!$A$5:$A$304=B188)*('PM Plan'!$B$5:$B$304=C188))=0,"No matching asset + task in plan","OK"))))</f>
        <v/>
      </c>
    </row>
    <row r="189" customFormat="false" ht="15" hidden="false" customHeight="false" outlineLevel="0" collapsed="false">
      <c r="A189" s="14"/>
      <c r="B189" s="9"/>
      <c r="C189" s="9"/>
      <c r="D189" s="9"/>
      <c r="E189" s="9"/>
      <c r="F189" s="17" t="str">
        <f aca="false">IF(AND(A189="",B189="",C189=""),"",IF(NOT(ISNUMBER(A189)),"Enter the date done",IF(OR(B189="",C189=""),"Fill in asset and task",IF(SUMPRODUCT(('PM Plan'!$A$5:$A$304=B189)*('PM Plan'!$B$5:$B$304=C189))=0,"No matching asset + task in plan","OK"))))</f>
        <v/>
      </c>
    </row>
    <row r="190" customFormat="false" ht="15" hidden="false" customHeight="false" outlineLevel="0" collapsed="false">
      <c r="A190" s="14"/>
      <c r="B190" s="9"/>
      <c r="C190" s="9"/>
      <c r="D190" s="9"/>
      <c r="E190" s="9"/>
      <c r="F190" s="17" t="str">
        <f aca="false">IF(AND(A190="",B190="",C190=""),"",IF(NOT(ISNUMBER(A190)),"Enter the date done",IF(OR(B190="",C190=""),"Fill in asset and task",IF(SUMPRODUCT(('PM Plan'!$A$5:$A$304=B190)*('PM Plan'!$B$5:$B$304=C190))=0,"No matching asset + task in plan","OK"))))</f>
        <v/>
      </c>
    </row>
    <row r="191" customFormat="false" ht="15" hidden="false" customHeight="false" outlineLevel="0" collapsed="false">
      <c r="A191" s="14"/>
      <c r="B191" s="9"/>
      <c r="C191" s="9"/>
      <c r="D191" s="9"/>
      <c r="E191" s="9"/>
      <c r="F191" s="17" t="str">
        <f aca="false">IF(AND(A191="",B191="",C191=""),"",IF(NOT(ISNUMBER(A191)),"Enter the date done",IF(OR(B191="",C191=""),"Fill in asset and task",IF(SUMPRODUCT(('PM Plan'!$A$5:$A$304=B191)*('PM Plan'!$B$5:$B$304=C191))=0,"No matching asset + task in plan","OK"))))</f>
        <v/>
      </c>
    </row>
    <row r="192" customFormat="false" ht="15" hidden="false" customHeight="false" outlineLevel="0" collapsed="false">
      <c r="A192" s="14"/>
      <c r="B192" s="9"/>
      <c r="C192" s="9"/>
      <c r="D192" s="9"/>
      <c r="E192" s="9"/>
      <c r="F192" s="17" t="str">
        <f aca="false">IF(AND(A192="",B192="",C192=""),"",IF(NOT(ISNUMBER(A192)),"Enter the date done",IF(OR(B192="",C192=""),"Fill in asset and task",IF(SUMPRODUCT(('PM Plan'!$A$5:$A$304=B192)*('PM Plan'!$B$5:$B$304=C192))=0,"No matching asset + task in plan","OK"))))</f>
        <v/>
      </c>
    </row>
    <row r="193" customFormat="false" ht="15" hidden="false" customHeight="false" outlineLevel="0" collapsed="false">
      <c r="A193" s="14"/>
      <c r="B193" s="9"/>
      <c r="C193" s="9"/>
      <c r="D193" s="9"/>
      <c r="E193" s="9"/>
      <c r="F193" s="17" t="str">
        <f aca="false">IF(AND(A193="",B193="",C193=""),"",IF(NOT(ISNUMBER(A193)),"Enter the date done",IF(OR(B193="",C193=""),"Fill in asset and task",IF(SUMPRODUCT(('PM Plan'!$A$5:$A$304=B193)*('PM Plan'!$B$5:$B$304=C193))=0,"No matching asset + task in plan","OK"))))</f>
        <v/>
      </c>
    </row>
    <row r="194" customFormat="false" ht="15" hidden="false" customHeight="false" outlineLevel="0" collapsed="false">
      <c r="A194" s="14"/>
      <c r="B194" s="9"/>
      <c r="C194" s="9"/>
      <c r="D194" s="9"/>
      <c r="E194" s="9"/>
      <c r="F194" s="17" t="str">
        <f aca="false">IF(AND(A194="",B194="",C194=""),"",IF(NOT(ISNUMBER(A194)),"Enter the date done",IF(OR(B194="",C194=""),"Fill in asset and task",IF(SUMPRODUCT(('PM Plan'!$A$5:$A$304=B194)*('PM Plan'!$B$5:$B$304=C194))=0,"No matching asset + task in plan","OK"))))</f>
        <v/>
      </c>
    </row>
    <row r="195" customFormat="false" ht="15" hidden="false" customHeight="false" outlineLevel="0" collapsed="false">
      <c r="A195" s="14"/>
      <c r="B195" s="9"/>
      <c r="C195" s="9"/>
      <c r="D195" s="9"/>
      <c r="E195" s="9"/>
      <c r="F195" s="17" t="str">
        <f aca="false">IF(AND(A195="",B195="",C195=""),"",IF(NOT(ISNUMBER(A195)),"Enter the date done",IF(OR(B195="",C195=""),"Fill in asset and task",IF(SUMPRODUCT(('PM Plan'!$A$5:$A$304=B195)*('PM Plan'!$B$5:$B$304=C195))=0,"No matching asset + task in plan","OK"))))</f>
        <v/>
      </c>
    </row>
    <row r="196" customFormat="false" ht="15" hidden="false" customHeight="false" outlineLevel="0" collapsed="false">
      <c r="A196" s="14"/>
      <c r="B196" s="9"/>
      <c r="C196" s="9"/>
      <c r="D196" s="9"/>
      <c r="E196" s="9"/>
      <c r="F196" s="17" t="str">
        <f aca="false">IF(AND(A196="",B196="",C196=""),"",IF(NOT(ISNUMBER(A196)),"Enter the date done",IF(OR(B196="",C196=""),"Fill in asset and task",IF(SUMPRODUCT(('PM Plan'!$A$5:$A$304=B196)*('PM Plan'!$B$5:$B$304=C196))=0,"No matching asset + task in plan","OK"))))</f>
        <v/>
      </c>
    </row>
    <row r="197" customFormat="false" ht="15" hidden="false" customHeight="false" outlineLevel="0" collapsed="false">
      <c r="A197" s="14"/>
      <c r="B197" s="9"/>
      <c r="C197" s="9"/>
      <c r="D197" s="9"/>
      <c r="E197" s="9"/>
      <c r="F197" s="17" t="str">
        <f aca="false">IF(AND(A197="",B197="",C197=""),"",IF(NOT(ISNUMBER(A197)),"Enter the date done",IF(OR(B197="",C197=""),"Fill in asset and task",IF(SUMPRODUCT(('PM Plan'!$A$5:$A$304=B197)*('PM Plan'!$B$5:$B$304=C197))=0,"No matching asset + task in plan","OK"))))</f>
        <v/>
      </c>
    </row>
    <row r="198" customFormat="false" ht="15" hidden="false" customHeight="false" outlineLevel="0" collapsed="false">
      <c r="A198" s="14"/>
      <c r="B198" s="9"/>
      <c r="C198" s="9"/>
      <c r="D198" s="9"/>
      <c r="E198" s="9"/>
      <c r="F198" s="17" t="str">
        <f aca="false">IF(AND(A198="",B198="",C198=""),"",IF(NOT(ISNUMBER(A198)),"Enter the date done",IF(OR(B198="",C198=""),"Fill in asset and task",IF(SUMPRODUCT(('PM Plan'!$A$5:$A$304=B198)*('PM Plan'!$B$5:$B$304=C198))=0,"No matching asset + task in plan","OK"))))</f>
        <v/>
      </c>
    </row>
    <row r="199" customFormat="false" ht="15" hidden="false" customHeight="false" outlineLevel="0" collapsed="false">
      <c r="A199" s="14"/>
      <c r="B199" s="9"/>
      <c r="C199" s="9"/>
      <c r="D199" s="9"/>
      <c r="E199" s="9"/>
      <c r="F199" s="17" t="str">
        <f aca="false">IF(AND(A199="",B199="",C199=""),"",IF(NOT(ISNUMBER(A199)),"Enter the date done",IF(OR(B199="",C199=""),"Fill in asset and task",IF(SUMPRODUCT(('PM Plan'!$A$5:$A$304=B199)*('PM Plan'!$B$5:$B$304=C199))=0,"No matching asset + task in plan","OK"))))</f>
        <v/>
      </c>
    </row>
    <row r="200" customFormat="false" ht="15" hidden="false" customHeight="false" outlineLevel="0" collapsed="false">
      <c r="A200" s="14"/>
      <c r="B200" s="9"/>
      <c r="C200" s="9"/>
      <c r="D200" s="9"/>
      <c r="E200" s="9"/>
      <c r="F200" s="17" t="str">
        <f aca="false">IF(AND(A200="",B200="",C200=""),"",IF(NOT(ISNUMBER(A200)),"Enter the date done",IF(OR(B200="",C200=""),"Fill in asset and task",IF(SUMPRODUCT(('PM Plan'!$A$5:$A$304=B200)*('PM Plan'!$B$5:$B$304=C200))=0,"No matching asset + task in plan","OK"))))</f>
        <v/>
      </c>
    </row>
    <row r="201" customFormat="false" ht="15" hidden="false" customHeight="false" outlineLevel="0" collapsed="false">
      <c r="A201" s="14"/>
      <c r="B201" s="9"/>
      <c r="C201" s="9"/>
      <c r="D201" s="9"/>
      <c r="E201" s="9"/>
      <c r="F201" s="17" t="str">
        <f aca="false">IF(AND(A201="",B201="",C201=""),"",IF(NOT(ISNUMBER(A201)),"Enter the date done",IF(OR(B201="",C201=""),"Fill in asset and task",IF(SUMPRODUCT(('PM Plan'!$A$5:$A$304=B201)*('PM Plan'!$B$5:$B$304=C201))=0,"No matching asset + task in plan","OK"))))</f>
        <v/>
      </c>
    </row>
    <row r="202" customFormat="false" ht="15" hidden="false" customHeight="false" outlineLevel="0" collapsed="false">
      <c r="A202" s="14"/>
      <c r="B202" s="9"/>
      <c r="C202" s="9"/>
      <c r="D202" s="9"/>
      <c r="E202" s="9"/>
      <c r="F202" s="17" t="str">
        <f aca="false">IF(AND(A202="",B202="",C202=""),"",IF(NOT(ISNUMBER(A202)),"Enter the date done",IF(OR(B202="",C202=""),"Fill in asset and task",IF(SUMPRODUCT(('PM Plan'!$A$5:$A$304=B202)*('PM Plan'!$B$5:$B$304=C202))=0,"No matching asset + task in plan","OK"))))</f>
        <v/>
      </c>
    </row>
    <row r="203" customFormat="false" ht="15" hidden="false" customHeight="false" outlineLevel="0" collapsed="false">
      <c r="A203" s="14"/>
      <c r="B203" s="9"/>
      <c r="C203" s="9"/>
      <c r="D203" s="9"/>
      <c r="E203" s="9"/>
      <c r="F203" s="17" t="str">
        <f aca="false">IF(AND(A203="",B203="",C203=""),"",IF(NOT(ISNUMBER(A203)),"Enter the date done",IF(OR(B203="",C203=""),"Fill in asset and task",IF(SUMPRODUCT(('PM Plan'!$A$5:$A$304=B203)*('PM Plan'!$B$5:$B$304=C203))=0,"No matching asset + task in plan","OK"))))</f>
        <v/>
      </c>
    </row>
    <row r="204" customFormat="false" ht="15" hidden="false" customHeight="false" outlineLevel="0" collapsed="false">
      <c r="A204" s="14"/>
      <c r="B204" s="9"/>
      <c r="C204" s="9"/>
      <c r="D204" s="9"/>
      <c r="E204" s="9"/>
      <c r="F204" s="17" t="str">
        <f aca="false">IF(AND(A204="",B204="",C204=""),"",IF(NOT(ISNUMBER(A204)),"Enter the date done",IF(OR(B204="",C204=""),"Fill in asset and task",IF(SUMPRODUCT(('PM Plan'!$A$5:$A$304=B204)*('PM Plan'!$B$5:$B$304=C204))=0,"No matching asset + task in plan","OK"))))</f>
        <v/>
      </c>
    </row>
    <row r="205" customFormat="false" ht="15" hidden="false" customHeight="false" outlineLevel="0" collapsed="false">
      <c r="A205" s="14"/>
      <c r="B205" s="9"/>
      <c r="C205" s="9"/>
      <c r="D205" s="9"/>
      <c r="E205" s="9"/>
      <c r="F205" s="17" t="str">
        <f aca="false">IF(AND(A205="",B205="",C205=""),"",IF(NOT(ISNUMBER(A205)),"Enter the date done",IF(OR(B205="",C205=""),"Fill in asset and task",IF(SUMPRODUCT(('PM Plan'!$A$5:$A$304=B205)*('PM Plan'!$B$5:$B$304=C205))=0,"No matching asset + task in plan","OK"))))</f>
        <v/>
      </c>
    </row>
    <row r="206" customFormat="false" ht="15" hidden="false" customHeight="false" outlineLevel="0" collapsed="false">
      <c r="A206" s="14"/>
      <c r="B206" s="9"/>
      <c r="C206" s="9"/>
      <c r="D206" s="9"/>
      <c r="E206" s="9"/>
      <c r="F206" s="17" t="str">
        <f aca="false">IF(AND(A206="",B206="",C206=""),"",IF(NOT(ISNUMBER(A206)),"Enter the date done",IF(OR(B206="",C206=""),"Fill in asset and task",IF(SUMPRODUCT(('PM Plan'!$A$5:$A$304=B206)*('PM Plan'!$B$5:$B$304=C206))=0,"No matching asset + task in plan","OK"))))</f>
        <v/>
      </c>
    </row>
    <row r="207" customFormat="false" ht="15" hidden="false" customHeight="false" outlineLevel="0" collapsed="false">
      <c r="A207" s="14"/>
      <c r="B207" s="9"/>
      <c r="C207" s="9"/>
      <c r="D207" s="9"/>
      <c r="E207" s="9"/>
      <c r="F207" s="17" t="str">
        <f aca="false">IF(AND(A207="",B207="",C207=""),"",IF(NOT(ISNUMBER(A207)),"Enter the date done",IF(OR(B207="",C207=""),"Fill in asset and task",IF(SUMPRODUCT(('PM Plan'!$A$5:$A$304=B207)*('PM Plan'!$B$5:$B$304=C207))=0,"No matching asset + task in plan","OK"))))</f>
        <v/>
      </c>
    </row>
    <row r="208" customFormat="false" ht="15" hidden="false" customHeight="false" outlineLevel="0" collapsed="false">
      <c r="A208" s="14"/>
      <c r="B208" s="9"/>
      <c r="C208" s="9"/>
      <c r="D208" s="9"/>
      <c r="E208" s="9"/>
      <c r="F208" s="17" t="str">
        <f aca="false">IF(AND(A208="",B208="",C208=""),"",IF(NOT(ISNUMBER(A208)),"Enter the date done",IF(OR(B208="",C208=""),"Fill in asset and task",IF(SUMPRODUCT(('PM Plan'!$A$5:$A$304=B208)*('PM Plan'!$B$5:$B$304=C208))=0,"No matching asset + task in plan","OK"))))</f>
        <v/>
      </c>
    </row>
    <row r="209" customFormat="false" ht="15" hidden="false" customHeight="false" outlineLevel="0" collapsed="false">
      <c r="A209" s="14"/>
      <c r="B209" s="9"/>
      <c r="C209" s="9"/>
      <c r="D209" s="9"/>
      <c r="E209" s="9"/>
      <c r="F209" s="17" t="str">
        <f aca="false">IF(AND(A209="",B209="",C209=""),"",IF(NOT(ISNUMBER(A209)),"Enter the date done",IF(OR(B209="",C209=""),"Fill in asset and task",IF(SUMPRODUCT(('PM Plan'!$A$5:$A$304=B209)*('PM Plan'!$B$5:$B$304=C209))=0,"No matching asset + task in plan","OK"))))</f>
        <v/>
      </c>
    </row>
    <row r="210" customFormat="false" ht="15" hidden="false" customHeight="false" outlineLevel="0" collapsed="false">
      <c r="A210" s="14"/>
      <c r="B210" s="9"/>
      <c r="C210" s="9"/>
      <c r="D210" s="9"/>
      <c r="E210" s="9"/>
      <c r="F210" s="17" t="str">
        <f aca="false">IF(AND(A210="",B210="",C210=""),"",IF(NOT(ISNUMBER(A210)),"Enter the date done",IF(OR(B210="",C210=""),"Fill in asset and task",IF(SUMPRODUCT(('PM Plan'!$A$5:$A$304=B210)*('PM Plan'!$B$5:$B$304=C210))=0,"No matching asset + task in plan","OK"))))</f>
        <v/>
      </c>
    </row>
    <row r="211" customFormat="false" ht="15" hidden="false" customHeight="false" outlineLevel="0" collapsed="false">
      <c r="A211" s="14"/>
      <c r="B211" s="9"/>
      <c r="C211" s="9"/>
      <c r="D211" s="9"/>
      <c r="E211" s="9"/>
      <c r="F211" s="17" t="str">
        <f aca="false">IF(AND(A211="",B211="",C211=""),"",IF(NOT(ISNUMBER(A211)),"Enter the date done",IF(OR(B211="",C211=""),"Fill in asset and task",IF(SUMPRODUCT(('PM Plan'!$A$5:$A$304=B211)*('PM Plan'!$B$5:$B$304=C211))=0,"No matching asset + task in plan","OK"))))</f>
        <v/>
      </c>
    </row>
    <row r="212" customFormat="false" ht="15" hidden="false" customHeight="false" outlineLevel="0" collapsed="false">
      <c r="A212" s="14"/>
      <c r="B212" s="9"/>
      <c r="C212" s="9"/>
      <c r="D212" s="9"/>
      <c r="E212" s="9"/>
      <c r="F212" s="17" t="str">
        <f aca="false">IF(AND(A212="",B212="",C212=""),"",IF(NOT(ISNUMBER(A212)),"Enter the date done",IF(OR(B212="",C212=""),"Fill in asset and task",IF(SUMPRODUCT(('PM Plan'!$A$5:$A$304=B212)*('PM Plan'!$B$5:$B$304=C212))=0,"No matching asset + task in plan","OK"))))</f>
        <v/>
      </c>
    </row>
    <row r="213" customFormat="false" ht="15" hidden="false" customHeight="false" outlineLevel="0" collapsed="false">
      <c r="A213" s="14"/>
      <c r="B213" s="9"/>
      <c r="C213" s="9"/>
      <c r="D213" s="9"/>
      <c r="E213" s="9"/>
      <c r="F213" s="17" t="str">
        <f aca="false">IF(AND(A213="",B213="",C213=""),"",IF(NOT(ISNUMBER(A213)),"Enter the date done",IF(OR(B213="",C213=""),"Fill in asset and task",IF(SUMPRODUCT(('PM Plan'!$A$5:$A$304=B213)*('PM Plan'!$B$5:$B$304=C213))=0,"No matching asset + task in plan","OK"))))</f>
        <v/>
      </c>
    </row>
    <row r="214" customFormat="false" ht="15" hidden="false" customHeight="false" outlineLevel="0" collapsed="false">
      <c r="A214" s="14"/>
      <c r="B214" s="9"/>
      <c r="C214" s="9"/>
      <c r="D214" s="9"/>
      <c r="E214" s="9"/>
      <c r="F214" s="17" t="str">
        <f aca="false">IF(AND(A214="",B214="",C214=""),"",IF(NOT(ISNUMBER(A214)),"Enter the date done",IF(OR(B214="",C214=""),"Fill in asset and task",IF(SUMPRODUCT(('PM Plan'!$A$5:$A$304=B214)*('PM Plan'!$B$5:$B$304=C214))=0,"No matching asset + task in plan","OK"))))</f>
        <v/>
      </c>
    </row>
    <row r="215" customFormat="false" ht="15" hidden="false" customHeight="false" outlineLevel="0" collapsed="false">
      <c r="A215" s="14"/>
      <c r="B215" s="9"/>
      <c r="C215" s="9"/>
      <c r="D215" s="9"/>
      <c r="E215" s="9"/>
      <c r="F215" s="17" t="str">
        <f aca="false">IF(AND(A215="",B215="",C215=""),"",IF(NOT(ISNUMBER(A215)),"Enter the date done",IF(OR(B215="",C215=""),"Fill in asset and task",IF(SUMPRODUCT(('PM Plan'!$A$5:$A$304=B215)*('PM Plan'!$B$5:$B$304=C215))=0,"No matching asset + task in plan","OK"))))</f>
        <v/>
      </c>
    </row>
    <row r="216" customFormat="false" ht="15" hidden="false" customHeight="false" outlineLevel="0" collapsed="false">
      <c r="A216" s="14"/>
      <c r="B216" s="9"/>
      <c r="C216" s="9"/>
      <c r="D216" s="9"/>
      <c r="E216" s="9"/>
      <c r="F216" s="17" t="str">
        <f aca="false">IF(AND(A216="",B216="",C216=""),"",IF(NOT(ISNUMBER(A216)),"Enter the date done",IF(OR(B216="",C216=""),"Fill in asset and task",IF(SUMPRODUCT(('PM Plan'!$A$5:$A$304=B216)*('PM Plan'!$B$5:$B$304=C216))=0,"No matching asset + task in plan","OK"))))</f>
        <v/>
      </c>
    </row>
    <row r="217" customFormat="false" ht="15" hidden="false" customHeight="false" outlineLevel="0" collapsed="false">
      <c r="A217" s="14"/>
      <c r="B217" s="9"/>
      <c r="C217" s="9"/>
      <c r="D217" s="9"/>
      <c r="E217" s="9"/>
      <c r="F217" s="17" t="str">
        <f aca="false">IF(AND(A217="",B217="",C217=""),"",IF(NOT(ISNUMBER(A217)),"Enter the date done",IF(OR(B217="",C217=""),"Fill in asset and task",IF(SUMPRODUCT(('PM Plan'!$A$5:$A$304=B217)*('PM Plan'!$B$5:$B$304=C217))=0,"No matching asset + task in plan","OK"))))</f>
        <v/>
      </c>
    </row>
    <row r="218" customFormat="false" ht="15" hidden="false" customHeight="false" outlineLevel="0" collapsed="false">
      <c r="A218" s="14"/>
      <c r="B218" s="9"/>
      <c r="C218" s="9"/>
      <c r="D218" s="9"/>
      <c r="E218" s="9"/>
      <c r="F218" s="17" t="str">
        <f aca="false">IF(AND(A218="",B218="",C218=""),"",IF(NOT(ISNUMBER(A218)),"Enter the date done",IF(OR(B218="",C218=""),"Fill in asset and task",IF(SUMPRODUCT(('PM Plan'!$A$5:$A$304=B218)*('PM Plan'!$B$5:$B$304=C218))=0,"No matching asset + task in plan","OK"))))</f>
        <v/>
      </c>
    </row>
    <row r="219" customFormat="false" ht="15" hidden="false" customHeight="false" outlineLevel="0" collapsed="false">
      <c r="A219" s="14"/>
      <c r="B219" s="9"/>
      <c r="C219" s="9"/>
      <c r="D219" s="9"/>
      <c r="E219" s="9"/>
      <c r="F219" s="17" t="str">
        <f aca="false">IF(AND(A219="",B219="",C219=""),"",IF(NOT(ISNUMBER(A219)),"Enter the date done",IF(OR(B219="",C219=""),"Fill in asset and task",IF(SUMPRODUCT(('PM Plan'!$A$5:$A$304=B219)*('PM Plan'!$B$5:$B$304=C219))=0,"No matching asset + task in plan","OK"))))</f>
        <v/>
      </c>
    </row>
    <row r="220" customFormat="false" ht="15" hidden="false" customHeight="false" outlineLevel="0" collapsed="false">
      <c r="A220" s="14"/>
      <c r="B220" s="9"/>
      <c r="C220" s="9"/>
      <c r="D220" s="9"/>
      <c r="E220" s="9"/>
      <c r="F220" s="17" t="str">
        <f aca="false">IF(AND(A220="",B220="",C220=""),"",IF(NOT(ISNUMBER(A220)),"Enter the date done",IF(OR(B220="",C220=""),"Fill in asset and task",IF(SUMPRODUCT(('PM Plan'!$A$5:$A$304=B220)*('PM Plan'!$B$5:$B$304=C220))=0,"No matching asset + task in plan","OK"))))</f>
        <v/>
      </c>
    </row>
    <row r="221" customFormat="false" ht="15" hidden="false" customHeight="false" outlineLevel="0" collapsed="false">
      <c r="A221" s="14"/>
      <c r="B221" s="9"/>
      <c r="C221" s="9"/>
      <c r="D221" s="9"/>
      <c r="E221" s="9"/>
      <c r="F221" s="17" t="str">
        <f aca="false">IF(AND(A221="",B221="",C221=""),"",IF(NOT(ISNUMBER(A221)),"Enter the date done",IF(OR(B221="",C221=""),"Fill in asset and task",IF(SUMPRODUCT(('PM Plan'!$A$5:$A$304=B221)*('PM Plan'!$B$5:$B$304=C221))=0,"No matching asset + task in plan","OK"))))</f>
        <v/>
      </c>
    </row>
    <row r="222" customFormat="false" ht="15" hidden="false" customHeight="false" outlineLevel="0" collapsed="false">
      <c r="A222" s="14"/>
      <c r="B222" s="9"/>
      <c r="C222" s="9"/>
      <c r="D222" s="9"/>
      <c r="E222" s="9"/>
      <c r="F222" s="17" t="str">
        <f aca="false">IF(AND(A222="",B222="",C222=""),"",IF(NOT(ISNUMBER(A222)),"Enter the date done",IF(OR(B222="",C222=""),"Fill in asset and task",IF(SUMPRODUCT(('PM Plan'!$A$5:$A$304=B222)*('PM Plan'!$B$5:$B$304=C222))=0,"No matching asset + task in plan","OK"))))</f>
        <v/>
      </c>
    </row>
    <row r="223" customFormat="false" ht="15" hidden="false" customHeight="false" outlineLevel="0" collapsed="false">
      <c r="A223" s="14"/>
      <c r="B223" s="9"/>
      <c r="C223" s="9"/>
      <c r="D223" s="9"/>
      <c r="E223" s="9"/>
      <c r="F223" s="17" t="str">
        <f aca="false">IF(AND(A223="",B223="",C223=""),"",IF(NOT(ISNUMBER(A223)),"Enter the date done",IF(OR(B223="",C223=""),"Fill in asset and task",IF(SUMPRODUCT(('PM Plan'!$A$5:$A$304=B223)*('PM Plan'!$B$5:$B$304=C223))=0,"No matching asset + task in plan","OK"))))</f>
        <v/>
      </c>
    </row>
    <row r="224" customFormat="false" ht="15" hidden="false" customHeight="false" outlineLevel="0" collapsed="false">
      <c r="A224" s="14"/>
      <c r="B224" s="9"/>
      <c r="C224" s="9"/>
      <c r="D224" s="9"/>
      <c r="E224" s="9"/>
      <c r="F224" s="17" t="str">
        <f aca="false">IF(AND(A224="",B224="",C224=""),"",IF(NOT(ISNUMBER(A224)),"Enter the date done",IF(OR(B224="",C224=""),"Fill in asset and task",IF(SUMPRODUCT(('PM Plan'!$A$5:$A$304=B224)*('PM Plan'!$B$5:$B$304=C224))=0,"No matching asset + task in plan","OK"))))</f>
        <v/>
      </c>
    </row>
    <row r="225" customFormat="false" ht="15" hidden="false" customHeight="false" outlineLevel="0" collapsed="false">
      <c r="A225" s="14"/>
      <c r="B225" s="9"/>
      <c r="C225" s="9"/>
      <c r="D225" s="9"/>
      <c r="E225" s="9"/>
      <c r="F225" s="17" t="str">
        <f aca="false">IF(AND(A225="",B225="",C225=""),"",IF(NOT(ISNUMBER(A225)),"Enter the date done",IF(OR(B225="",C225=""),"Fill in asset and task",IF(SUMPRODUCT(('PM Plan'!$A$5:$A$304=B225)*('PM Plan'!$B$5:$B$304=C225))=0,"No matching asset + task in plan","OK"))))</f>
        <v/>
      </c>
    </row>
    <row r="226" customFormat="false" ht="15" hidden="false" customHeight="false" outlineLevel="0" collapsed="false">
      <c r="A226" s="14"/>
      <c r="B226" s="9"/>
      <c r="C226" s="9"/>
      <c r="D226" s="9"/>
      <c r="E226" s="9"/>
      <c r="F226" s="17" t="str">
        <f aca="false">IF(AND(A226="",B226="",C226=""),"",IF(NOT(ISNUMBER(A226)),"Enter the date done",IF(OR(B226="",C226=""),"Fill in asset and task",IF(SUMPRODUCT(('PM Plan'!$A$5:$A$304=B226)*('PM Plan'!$B$5:$B$304=C226))=0,"No matching asset + task in plan","OK"))))</f>
        <v/>
      </c>
    </row>
    <row r="227" customFormat="false" ht="15" hidden="false" customHeight="false" outlineLevel="0" collapsed="false">
      <c r="A227" s="14"/>
      <c r="B227" s="9"/>
      <c r="C227" s="9"/>
      <c r="D227" s="9"/>
      <c r="E227" s="9"/>
      <c r="F227" s="17" t="str">
        <f aca="false">IF(AND(A227="",B227="",C227=""),"",IF(NOT(ISNUMBER(A227)),"Enter the date done",IF(OR(B227="",C227=""),"Fill in asset and task",IF(SUMPRODUCT(('PM Plan'!$A$5:$A$304=B227)*('PM Plan'!$B$5:$B$304=C227))=0,"No matching asset + task in plan","OK"))))</f>
        <v/>
      </c>
    </row>
    <row r="228" customFormat="false" ht="15" hidden="false" customHeight="false" outlineLevel="0" collapsed="false">
      <c r="A228" s="14"/>
      <c r="B228" s="9"/>
      <c r="C228" s="9"/>
      <c r="D228" s="9"/>
      <c r="E228" s="9"/>
      <c r="F228" s="17" t="str">
        <f aca="false">IF(AND(A228="",B228="",C228=""),"",IF(NOT(ISNUMBER(A228)),"Enter the date done",IF(OR(B228="",C228=""),"Fill in asset and task",IF(SUMPRODUCT(('PM Plan'!$A$5:$A$304=B228)*('PM Plan'!$B$5:$B$304=C228))=0,"No matching asset + task in plan","OK"))))</f>
        <v/>
      </c>
    </row>
    <row r="229" customFormat="false" ht="15" hidden="false" customHeight="false" outlineLevel="0" collapsed="false">
      <c r="A229" s="14"/>
      <c r="B229" s="9"/>
      <c r="C229" s="9"/>
      <c r="D229" s="9"/>
      <c r="E229" s="9"/>
      <c r="F229" s="17" t="str">
        <f aca="false">IF(AND(A229="",B229="",C229=""),"",IF(NOT(ISNUMBER(A229)),"Enter the date done",IF(OR(B229="",C229=""),"Fill in asset and task",IF(SUMPRODUCT(('PM Plan'!$A$5:$A$304=B229)*('PM Plan'!$B$5:$B$304=C229))=0,"No matching asset + task in plan","OK"))))</f>
        <v/>
      </c>
    </row>
    <row r="230" customFormat="false" ht="15" hidden="false" customHeight="false" outlineLevel="0" collapsed="false">
      <c r="A230" s="14"/>
      <c r="B230" s="9"/>
      <c r="C230" s="9"/>
      <c r="D230" s="9"/>
      <c r="E230" s="9"/>
      <c r="F230" s="17" t="str">
        <f aca="false">IF(AND(A230="",B230="",C230=""),"",IF(NOT(ISNUMBER(A230)),"Enter the date done",IF(OR(B230="",C230=""),"Fill in asset and task",IF(SUMPRODUCT(('PM Plan'!$A$5:$A$304=B230)*('PM Plan'!$B$5:$B$304=C230))=0,"No matching asset + task in plan","OK"))))</f>
        <v/>
      </c>
    </row>
    <row r="231" customFormat="false" ht="15" hidden="false" customHeight="false" outlineLevel="0" collapsed="false">
      <c r="A231" s="14"/>
      <c r="B231" s="9"/>
      <c r="C231" s="9"/>
      <c r="D231" s="9"/>
      <c r="E231" s="9"/>
      <c r="F231" s="17" t="str">
        <f aca="false">IF(AND(A231="",B231="",C231=""),"",IF(NOT(ISNUMBER(A231)),"Enter the date done",IF(OR(B231="",C231=""),"Fill in asset and task",IF(SUMPRODUCT(('PM Plan'!$A$5:$A$304=B231)*('PM Plan'!$B$5:$B$304=C231))=0,"No matching asset + task in plan","OK"))))</f>
        <v/>
      </c>
    </row>
    <row r="232" customFormat="false" ht="15" hidden="false" customHeight="false" outlineLevel="0" collapsed="false">
      <c r="A232" s="14"/>
      <c r="B232" s="9"/>
      <c r="C232" s="9"/>
      <c r="D232" s="9"/>
      <c r="E232" s="9"/>
      <c r="F232" s="17" t="str">
        <f aca="false">IF(AND(A232="",B232="",C232=""),"",IF(NOT(ISNUMBER(A232)),"Enter the date done",IF(OR(B232="",C232=""),"Fill in asset and task",IF(SUMPRODUCT(('PM Plan'!$A$5:$A$304=B232)*('PM Plan'!$B$5:$B$304=C232))=0,"No matching asset + task in plan","OK"))))</f>
        <v/>
      </c>
    </row>
    <row r="233" customFormat="false" ht="15" hidden="false" customHeight="false" outlineLevel="0" collapsed="false">
      <c r="A233" s="14"/>
      <c r="B233" s="9"/>
      <c r="C233" s="9"/>
      <c r="D233" s="9"/>
      <c r="E233" s="9"/>
      <c r="F233" s="17" t="str">
        <f aca="false">IF(AND(A233="",B233="",C233=""),"",IF(NOT(ISNUMBER(A233)),"Enter the date done",IF(OR(B233="",C233=""),"Fill in asset and task",IF(SUMPRODUCT(('PM Plan'!$A$5:$A$304=B233)*('PM Plan'!$B$5:$B$304=C233))=0,"No matching asset + task in plan","OK"))))</f>
        <v/>
      </c>
    </row>
    <row r="234" customFormat="false" ht="15" hidden="false" customHeight="false" outlineLevel="0" collapsed="false">
      <c r="A234" s="14"/>
      <c r="B234" s="9"/>
      <c r="C234" s="9"/>
      <c r="D234" s="9"/>
      <c r="E234" s="9"/>
      <c r="F234" s="17" t="str">
        <f aca="false">IF(AND(A234="",B234="",C234=""),"",IF(NOT(ISNUMBER(A234)),"Enter the date done",IF(OR(B234="",C234=""),"Fill in asset and task",IF(SUMPRODUCT(('PM Plan'!$A$5:$A$304=B234)*('PM Plan'!$B$5:$B$304=C234))=0,"No matching asset + task in plan","OK"))))</f>
        <v/>
      </c>
    </row>
    <row r="235" customFormat="false" ht="15" hidden="false" customHeight="false" outlineLevel="0" collapsed="false">
      <c r="A235" s="14"/>
      <c r="B235" s="9"/>
      <c r="C235" s="9"/>
      <c r="D235" s="9"/>
      <c r="E235" s="9"/>
      <c r="F235" s="17" t="str">
        <f aca="false">IF(AND(A235="",B235="",C235=""),"",IF(NOT(ISNUMBER(A235)),"Enter the date done",IF(OR(B235="",C235=""),"Fill in asset and task",IF(SUMPRODUCT(('PM Plan'!$A$5:$A$304=B235)*('PM Plan'!$B$5:$B$304=C235))=0,"No matching asset + task in plan","OK"))))</f>
        <v/>
      </c>
    </row>
    <row r="236" customFormat="false" ht="15" hidden="false" customHeight="false" outlineLevel="0" collapsed="false">
      <c r="A236" s="14"/>
      <c r="B236" s="9"/>
      <c r="C236" s="9"/>
      <c r="D236" s="9"/>
      <c r="E236" s="9"/>
      <c r="F236" s="17" t="str">
        <f aca="false">IF(AND(A236="",B236="",C236=""),"",IF(NOT(ISNUMBER(A236)),"Enter the date done",IF(OR(B236="",C236=""),"Fill in asset and task",IF(SUMPRODUCT(('PM Plan'!$A$5:$A$304=B236)*('PM Plan'!$B$5:$B$304=C236))=0,"No matching asset + task in plan","OK"))))</f>
        <v/>
      </c>
    </row>
    <row r="237" customFormat="false" ht="15" hidden="false" customHeight="false" outlineLevel="0" collapsed="false">
      <c r="A237" s="14"/>
      <c r="B237" s="9"/>
      <c r="C237" s="9"/>
      <c r="D237" s="9"/>
      <c r="E237" s="9"/>
      <c r="F237" s="17" t="str">
        <f aca="false">IF(AND(A237="",B237="",C237=""),"",IF(NOT(ISNUMBER(A237)),"Enter the date done",IF(OR(B237="",C237=""),"Fill in asset and task",IF(SUMPRODUCT(('PM Plan'!$A$5:$A$304=B237)*('PM Plan'!$B$5:$B$304=C237))=0,"No matching asset + task in plan","OK"))))</f>
        <v/>
      </c>
    </row>
    <row r="238" customFormat="false" ht="15" hidden="false" customHeight="false" outlineLevel="0" collapsed="false">
      <c r="A238" s="14"/>
      <c r="B238" s="9"/>
      <c r="C238" s="9"/>
      <c r="D238" s="9"/>
      <c r="E238" s="9"/>
      <c r="F238" s="17" t="str">
        <f aca="false">IF(AND(A238="",B238="",C238=""),"",IF(NOT(ISNUMBER(A238)),"Enter the date done",IF(OR(B238="",C238=""),"Fill in asset and task",IF(SUMPRODUCT(('PM Plan'!$A$5:$A$304=B238)*('PM Plan'!$B$5:$B$304=C238))=0,"No matching asset + task in plan","OK"))))</f>
        <v/>
      </c>
    </row>
    <row r="239" customFormat="false" ht="15" hidden="false" customHeight="false" outlineLevel="0" collapsed="false">
      <c r="A239" s="14"/>
      <c r="B239" s="9"/>
      <c r="C239" s="9"/>
      <c r="D239" s="9"/>
      <c r="E239" s="9"/>
      <c r="F239" s="17" t="str">
        <f aca="false">IF(AND(A239="",B239="",C239=""),"",IF(NOT(ISNUMBER(A239)),"Enter the date done",IF(OR(B239="",C239=""),"Fill in asset and task",IF(SUMPRODUCT(('PM Plan'!$A$5:$A$304=B239)*('PM Plan'!$B$5:$B$304=C239))=0,"No matching asset + task in plan","OK"))))</f>
        <v/>
      </c>
    </row>
    <row r="240" customFormat="false" ht="15" hidden="false" customHeight="false" outlineLevel="0" collapsed="false">
      <c r="A240" s="14"/>
      <c r="B240" s="9"/>
      <c r="C240" s="9"/>
      <c r="D240" s="9"/>
      <c r="E240" s="9"/>
      <c r="F240" s="17" t="str">
        <f aca="false">IF(AND(A240="",B240="",C240=""),"",IF(NOT(ISNUMBER(A240)),"Enter the date done",IF(OR(B240="",C240=""),"Fill in asset and task",IF(SUMPRODUCT(('PM Plan'!$A$5:$A$304=B240)*('PM Plan'!$B$5:$B$304=C240))=0,"No matching asset + task in plan","OK"))))</f>
        <v/>
      </c>
    </row>
    <row r="241" customFormat="false" ht="15" hidden="false" customHeight="false" outlineLevel="0" collapsed="false">
      <c r="A241" s="14"/>
      <c r="B241" s="9"/>
      <c r="C241" s="9"/>
      <c r="D241" s="9"/>
      <c r="E241" s="9"/>
      <c r="F241" s="17" t="str">
        <f aca="false">IF(AND(A241="",B241="",C241=""),"",IF(NOT(ISNUMBER(A241)),"Enter the date done",IF(OR(B241="",C241=""),"Fill in asset and task",IF(SUMPRODUCT(('PM Plan'!$A$5:$A$304=B241)*('PM Plan'!$B$5:$B$304=C241))=0,"No matching asset + task in plan","OK"))))</f>
        <v/>
      </c>
    </row>
    <row r="242" customFormat="false" ht="15" hidden="false" customHeight="false" outlineLevel="0" collapsed="false">
      <c r="A242" s="14"/>
      <c r="B242" s="9"/>
      <c r="C242" s="9"/>
      <c r="D242" s="9"/>
      <c r="E242" s="9"/>
      <c r="F242" s="17" t="str">
        <f aca="false">IF(AND(A242="",B242="",C242=""),"",IF(NOT(ISNUMBER(A242)),"Enter the date done",IF(OR(B242="",C242=""),"Fill in asset and task",IF(SUMPRODUCT(('PM Plan'!$A$5:$A$304=B242)*('PM Plan'!$B$5:$B$304=C242))=0,"No matching asset + task in plan","OK"))))</f>
        <v/>
      </c>
    </row>
    <row r="243" customFormat="false" ht="15" hidden="false" customHeight="false" outlineLevel="0" collapsed="false">
      <c r="A243" s="14"/>
      <c r="B243" s="9"/>
      <c r="C243" s="9"/>
      <c r="D243" s="9"/>
      <c r="E243" s="9"/>
      <c r="F243" s="17" t="str">
        <f aca="false">IF(AND(A243="",B243="",C243=""),"",IF(NOT(ISNUMBER(A243)),"Enter the date done",IF(OR(B243="",C243=""),"Fill in asset and task",IF(SUMPRODUCT(('PM Plan'!$A$5:$A$304=B243)*('PM Plan'!$B$5:$B$304=C243))=0,"No matching asset + task in plan","OK"))))</f>
        <v/>
      </c>
    </row>
    <row r="244" customFormat="false" ht="15" hidden="false" customHeight="false" outlineLevel="0" collapsed="false">
      <c r="A244" s="14"/>
      <c r="B244" s="9"/>
      <c r="C244" s="9"/>
      <c r="D244" s="9"/>
      <c r="E244" s="9"/>
      <c r="F244" s="17" t="str">
        <f aca="false">IF(AND(A244="",B244="",C244=""),"",IF(NOT(ISNUMBER(A244)),"Enter the date done",IF(OR(B244="",C244=""),"Fill in asset and task",IF(SUMPRODUCT(('PM Plan'!$A$5:$A$304=B244)*('PM Plan'!$B$5:$B$304=C244))=0,"No matching asset + task in plan","OK"))))</f>
        <v/>
      </c>
    </row>
    <row r="245" customFormat="false" ht="15" hidden="false" customHeight="false" outlineLevel="0" collapsed="false">
      <c r="A245" s="14"/>
      <c r="B245" s="9"/>
      <c r="C245" s="9"/>
      <c r="D245" s="9"/>
      <c r="E245" s="9"/>
      <c r="F245" s="17" t="str">
        <f aca="false">IF(AND(A245="",B245="",C245=""),"",IF(NOT(ISNUMBER(A245)),"Enter the date done",IF(OR(B245="",C245=""),"Fill in asset and task",IF(SUMPRODUCT(('PM Plan'!$A$5:$A$304=B245)*('PM Plan'!$B$5:$B$304=C245))=0,"No matching asset + task in plan","OK"))))</f>
        <v/>
      </c>
    </row>
    <row r="246" customFormat="false" ht="15" hidden="false" customHeight="false" outlineLevel="0" collapsed="false">
      <c r="A246" s="14"/>
      <c r="B246" s="9"/>
      <c r="C246" s="9"/>
      <c r="D246" s="9"/>
      <c r="E246" s="9"/>
      <c r="F246" s="17" t="str">
        <f aca="false">IF(AND(A246="",B246="",C246=""),"",IF(NOT(ISNUMBER(A246)),"Enter the date done",IF(OR(B246="",C246=""),"Fill in asset and task",IF(SUMPRODUCT(('PM Plan'!$A$5:$A$304=B246)*('PM Plan'!$B$5:$B$304=C246))=0,"No matching asset + task in plan","OK"))))</f>
        <v/>
      </c>
    </row>
    <row r="247" customFormat="false" ht="15" hidden="false" customHeight="false" outlineLevel="0" collapsed="false">
      <c r="A247" s="14"/>
      <c r="B247" s="9"/>
      <c r="C247" s="9"/>
      <c r="D247" s="9"/>
      <c r="E247" s="9"/>
      <c r="F247" s="17" t="str">
        <f aca="false">IF(AND(A247="",B247="",C247=""),"",IF(NOT(ISNUMBER(A247)),"Enter the date done",IF(OR(B247="",C247=""),"Fill in asset and task",IF(SUMPRODUCT(('PM Plan'!$A$5:$A$304=B247)*('PM Plan'!$B$5:$B$304=C247))=0,"No matching asset + task in plan","OK"))))</f>
        <v/>
      </c>
    </row>
    <row r="248" customFormat="false" ht="15" hidden="false" customHeight="false" outlineLevel="0" collapsed="false">
      <c r="A248" s="14"/>
      <c r="B248" s="9"/>
      <c r="C248" s="9"/>
      <c r="D248" s="9"/>
      <c r="E248" s="9"/>
      <c r="F248" s="17" t="str">
        <f aca="false">IF(AND(A248="",B248="",C248=""),"",IF(NOT(ISNUMBER(A248)),"Enter the date done",IF(OR(B248="",C248=""),"Fill in asset and task",IF(SUMPRODUCT(('PM Plan'!$A$5:$A$304=B248)*('PM Plan'!$B$5:$B$304=C248))=0,"No matching asset + task in plan","OK"))))</f>
        <v/>
      </c>
    </row>
    <row r="249" customFormat="false" ht="15" hidden="false" customHeight="false" outlineLevel="0" collapsed="false">
      <c r="A249" s="14"/>
      <c r="B249" s="9"/>
      <c r="C249" s="9"/>
      <c r="D249" s="9"/>
      <c r="E249" s="9"/>
      <c r="F249" s="17" t="str">
        <f aca="false">IF(AND(A249="",B249="",C249=""),"",IF(NOT(ISNUMBER(A249)),"Enter the date done",IF(OR(B249="",C249=""),"Fill in asset and task",IF(SUMPRODUCT(('PM Plan'!$A$5:$A$304=B249)*('PM Plan'!$B$5:$B$304=C249))=0,"No matching asset + task in plan","OK"))))</f>
        <v/>
      </c>
    </row>
    <row r="250" customFormat="false" ht="15" hidden="false" customHeight="false" outlineLevel="0" collapsed="false">
      <c r="A250" s="14"/>
      <c r="B250" s="9"/>
      <c r="C250" s="9"/>
      <c r="D250" s="9"/>
      <c r="E250" s="9"/>
      <c r="F250" s="17" t="str">
        <f aca="false">IF(AND(A250="",B250="",C250=""),"",IF(NOT(ISNUMBER(A250)),"Enter the date done",IF(OR(B250="",C250=""),"Fill in asset and task",IF(SUMPRODUCT(('PM Plan'!$A$5:$A$304=B250)*('PM Plan'!$B$5:$B$304=C250))=0,"No matching asset + task in plan","OK"))))</f>
        <v/>
      </c>
    </row>
    <row r="251" customFormat="false" ht="15" hidden="false" customHeight="false" outlineLevel="0" collapsed="false">
      <c r="A251" s="14"/>
      <c r="B251" s="9"/>
      <c r="C251" s="9"/>
      <c r="D251" s="9"/>
      <c r="E251" s="9"/>
      <c r="F251" s="17" t="str">
        <f aca="false">IF(AND(A251="",B251="",C251=""),"",IF(NOT(ISNUMBER(A251)),"Enter the date done",IF(OR(B251="",C251=""),"Fill in asset and task",IF(SUMPRODUCT(('PM Plan'!$A$5:$A$304=B251)*('PM Plan'!$B$5:$B$304=C251))=0,"No matching asset + task in plan","OK"))))</f>
        <v/>
      </c>
    </row>
    <row r="252" customFormat="false" ht="15" hidden="false" customHeight="false" outlineLevel="0" collapsed="false">
      <c r="A252" s="14"/>
      <c r="B252" s="9"/>
      <c r="C252" s="9"/>
      <c r="D252" s="9"/>
      <c r="E252" s="9"/>
      <c r="F252" s="17" t="str">
        <f aca="false">IF(AND(A252="",B252="",C252=""),"",IF(NOT(ISNUMBER(A252)),"Enter the date done",IF(OR(B252="",C252=""),"Fill in asset and task",IF(SUMPRODUCT(('PM Plan'!$A$5:$A$304=B252)*('PM Plan'!$B$5:$B$304=C252))=0,"No matching asset + task in plan","OK"))))</f>
        <v/>
      </c>
    </row>
    <row r="253" customFormat="false" ht="15" hidden="false" customHeight="false" outlineLevel="0" collapsed="false">
      <c r="A253" s="14"/>
      <c r="B253" s="9"/>
      <c r="C253" s="9"/>
      <c r="D253" s="9"/>
      <c r="E253" s="9"/>
      <c r="F253" s="17" t="str">
        <f aca="false">IF(AND(A253="",B253="",C253=""),"",IF(NOT(ISNUMBER(A253)),"Enter the date done",IF(OR(B253="",C253=""),"Fill in asset and task",IF(SUMPRODUCT(('PM Plan'!$A$5:$A$304=B253)*('PM Plan'!$B$5:$B$304=C253))=0,"No matching asset + task in plan","OK"))))</f>
        <v/>
      </c>
    </row>
    <row r="254" customFormat="false" ht="15" hidden="false" customHeight="false" outlineLevel="0" collapsed="false">
      <c r="A254" s="14"/>
      <c r="B254" s="9"/>
      <c r="C254" s="9"/>
      <c r="D254" s="9"/>
      <c r="E254" s="9"/>
      <c r="F254" s="17" t="str">
        <f aca="false">IF(AND(A254="",B254="",C254=""),"",IF(NOT(ISNUMBER(A254)),"Enter the date done",IF(OR(B254="",C254=""),"Fill in asset and task",IF(SUMPRODUCT(('PM Plan'!$A$5:$A$304=B254)*('PM Plan'!$B$5:$B$304=C254))=0,"No matching asset + task in plan","OK"))))</f>
        <v/>
      </c>
    </row>
    <row r="255" customFormat="false" ht="15" hidden="false" customHeight="false" outlineLevel="0" collapsed="false">
      <c r="A255" s="14"/>
      <c r="B255" s="9"/>
      <c r="C255" s="9"/>
      <c r="D255" s="9"/>
      <c r="E255" s="9"/>
      <c r="F255" s="17" t="str">
        <f aca="false">IF(AND(A255="",B255="",C255=""),"",IF(NOT(ISNUMBER(A255)),"Enter the date done",IF(OR(B255="",C255=""),"Fill in asset and task",IF(SUMPRODUCT(('PM Plan'!$A$5:$A$304=B255)*('PM Plan'!$B$5:$B$304=C255))=0,"No matching asset + task in plan","OK"))))</f>
        <v/>
      </c>
    </row>
    <row r="256" customFormat="false" ht="15" hidden="false" customHeight="false" outlineLevel="0" collapsed="false">
      <c r="A256" s="14"/>
      <c r="B256" s="9"/>
      <c r="C256" s="9"/>
      <c r="D256" s="9"/>
      <c r="E256" s="9"/>
      <c r="F256" s="17" t="str">
        <f aca="false">IF(AND(A256="",B256="",C256=""),"",IF(NOT(ISNUMBER(A256)),"Enter the date done",IF(OR(B256="",C256=""),"Fill in asset and task",IF(SUMPRODUCT(('PM Plan'!$A$5:$A$304=B256)*('PM Plan'!$B$5:$B$304=C256))=0,"No matching asset + task in plan","OK"))))</f>
        <v/>
      </c>
    </row>
    <row r="257" customFormat="false" ht="15" hidden="false" customHeight="false" outlineLevel="0" collapsed="false">
      <c r="A257" s="14"/>
      <c r="B257" s="9"/>
      <c r="C257" s="9"/>
      <c r="D257" s="9"/>
      <c r="E257" s="9"/>
      <c r="F257" s="17" t="str">
        <f aca="false">IF(AND(A257="",B257="",C257=""),"",IF(NOT(ISNUMBER(A257)),"Enter the date done",IF(OR(B257="",C257=""),"Fill in asset and task",IF(SUMPRODUCT(('PM Plan'!$A$5:$A$304=B257)*('PM Plan'!$B$5:$B$304=C257))=0,"No matching asset + task in plan","OK"))))</f>
        <v/>
      </c>
    </row>
    <row r="258" customFormat="false" ht="15" hidden="false" customHeight="false" outlineLevel="0" collapsed="false">
      <c r="A258" s="14"/>
      <c r="B258" s="9"/>
      <c r="C258" s="9"/>
      <c r="D258" s="9"/>
      <c r="E258" s="9"/>
      <c r="F258" s="17" t="str">
        <f aca="false">IF(AND(A258="",B258="",C258=""),"",IF(NOT(ISNUMBER(A258)),"Enter the date done",IF(OR(B258="",C258=""),"Fill in asset and task",IF(SUMPRODUCT(('PM Plan'!$A$5:$A$304=B258)*('PM Plan'!$B$5:$B$304=C258))=0,"No matching asset + task in plan","OK"))))</f>
        <v/>
      </c>
    </row>
    <row r="259" customFormat="false" ht="15" hidden="false" customHeight="false" outlineLevel="0" collapsed="false">
      <c r="A259" s="14"/>
      <c r="B259" s="9"/>
      <c r="C259" s="9"/>
      <c r="D259" s="9"/>
      <c r="E259" s="9"/>
      <c r="F259" s="17" t="str">
        <f aca="false">IF(AND(A259="",B259="",C259=""),"",IF(NOT(ISNUMBER(A259)),"Enter the date done",IF(OR(B259="",C259=""),"Fill in asset and task",IF(SUMPRODUCT(('PM Plan'!$A$5:$A$304=B259)*('PM Plan'!$B$5:$B$304=C259))=0,"No matching asset + task in plan","OK"))))</f>
        <v/>
      </c>
    </row>
    <row r="260" customFormat="false" ht="15" hidden="false" customHeight="false" outlineLevel="0" collapsed="false">
      <c r="A260" s="14"/>
      <c r="B260" s="9"/>
      <c r="C260" s="9"/>
      <c r="D260" s="9"/>
      <c r="E260" s="9"/>
      <c r="F260" s="17" t="str">
        <f aca="false">IF(AND(A260="",B260="",C260=""),"",IF(NOT(ISNUMBER(A260)),"Enter the date done",IF(OR(B260="",C260=""),"Fill in asset and task",IF(SUMPRODUCT(('PM Plan'!$A$5:$A$304=B260)*('PM Plan'!$B$5:$B$304=C260))=0,"No matching asset + task in plan","OK"))))</f>
        <v/>
      </c>
    </row>
    <row r="261" customFormat="false" ht="15" hidden="false" customHeight="false" outlineLevel="0" collapsed="false">
      <c r="A261" s="14"/>
      <c r="B261" s="9"/>
      <c r="C261" s="9"/>
      <c r="D261" s="9"/>
      <c r="E261" s="9"/>
      <c r="F261" s="17" t="str">
        <f aca="false">IF(AND(A261="",B261="",C261=""),"",IF(NOT(ISNUMBER(A261)),"Enter the date done",IF(OR(B261="",C261=""),"Fill in asset and task",IF(SUMPRODUCT(('PM Plan'!$A$5:$A$304=B261)*('PM Plan'!$B$5:$B$304=C261))=0,"No matching asset + task in plan","OK"))))</f>
        <v/>
      </c>
    </row>
    <row r="262" customFormat="false" ht="15" hidden="false" customHeight="false" outlineLevel="0" collapsed="false">
      <c r="A262" s="14"/>
      <c r="B262" s="9"/>
      <c r="C262" s="9"/>
      <c r="D262" s="9"/>
      <c r="E262" s="9"/>
      <c r="F262" s="17" t="str">
        <f aca="false">IF(AND(A262="",B262="",C262=""),"",IF(NOT(ISNUMBER(A262)),"Enter the date done",IF(OR(B262="",C262=""),"Fill in asset and task",IF(SUMPRODUCT(('PM Plan'!$A$5:$A$304=B262)*('PM Plan'!$B$5:$B$304=C262))=0,"No matching asset + task in plan","OK"))))</f>
        <v/>
      </c>
    </row>
    <row r="263" customFormat="false" ht="15" hidden="false" customHeight="false" outlineLevel="0" collapsed="false">
      <c r="A263" s="14"/>
      <c r="B263" s="9"/>
      <c r="C263" s="9"/>
      <c r="D263" s="9"/>
      <c r="E263" s="9"/>
      <c r="F263" s="17" t="str">
        <f aca="false">IF(AND(A263="",B263="",C263=""),"",IF(NOT(ISNUMBER(A263)),"Enter the date done",IF(OR(B263="",C263=""),"Fill in asset and task",IF(SUMPRODUCT(('PM Plan'!$A$5:$A$304=B263)*('PM Plan'!$B$5:$B$304=C263))=0,"No matching asset + task in plan","OK"))))</f>
        <v/>
      </c>
    </row>
    <row r="264" customFormat="false" ht="15" hidden="false" customHeight="false" outlineLevel="0" collapsed="false">
      <c r="A264" s="14"/>
      <c r="B264" s="9"/>
      <c r="C264" s="9"/>
      <c r="D264" s="9"/>
      <c r="E264" s="9"/>
      <c r="F264" s="17" t="str">
        <f aca="false">IF(AND(A264="",B264="",C264=""),"",IF(NOT(ISNUMBER(A264)),"Enter the date done",IF(OR(B264="",C264=""),"Fill in asset and task",IF(SUMPRODUCT(('PM Plan'!$A$5:$A$304=B264)*('PM Plan'!$B$5:$B$304=C264))=0,"No matching asset + task in plan","OK"))))</f>
        <v/>
      </c>
    </row>
    <row r="265" customFormat="false" ht="15" hidden="false" customHeight="false" outlineLevel="0" collapsed="false">
      <c r="A265" s="14"/>
      <c r="B265" s="9"/>
      <c r="C265" s="9"/>
      <c r="D265" s="9"/>
      <c r="E265" s="9"/>
      <c r="F265" s="17" t="str">
        <f aca="false">IF(AND(A265="",B265="",C265=""),"",IF(NOT(ISNUMBER(A265)),"Enter the date done",IF(OR(B265="",C265=""),"Fill in asset and task",IF(SUMPRODUCT(('PM Plan'!$A$5:$A$304=B265)*('PM Plan'!$B$5:$B$304=C265))=0,"No matching asset + task in plan","OK"))))</f>
        <v/>
      </c>
    </row>
    <row r="266" customFormat="false" ht="15" hidden="false" customHeight="false" outlineLevel="0" collapsed="false">
      <c r="A266" s="14"/>
      <c r="B266" s="9"/>
      <c r="C266" s="9"/>
      <c r="D266" s="9"/>
      <c r="E266" s="9"/>
      <c r="F266" s="17" t="str">
        <f aca="false">IF(AND(A266="",B266="",C266=""),"",IF(NOT(ISNUMBER(A266)),"Enter the date done",IF(OR(B266="",C266=""),"Fill in asset and task",IF(SUMPRODUCT(('PM Plan'!$A$5:$A$304=B266)*('PM Plan'!$B$5:$B$304=C266))=0,"No matching asset + task in plan","OK"))))</f>
        <v/>
      </c>
    </row>
    <row r="267" customFormat="false" ht="15" hidden="false" customHeight="false" outlineLevel="0" collapsed="false">
      <c r="A267" s="14"/>
      <c r="B267" s="9"/>
      <c r="C267" s="9"/>
      <c r="D267" s="9"/>
      <c r="E267" s="9"/>
      <c r="F267" s="17" t="str">
        <f aca="false">IF(AND(A267="",B267="",C267=""),"",IF(NOT(ISNUMBER(A267)),"Enter the date done",IF(OR(B267="",C267=""),"Fill in asset and task",IF(SUMPRODUCT(('PM Plan'!$A$5:$A$304=B267)*('PM Plan'!$B$5:$B$304=C267))=0,"No matching asset + task in plan","OK"))))</f>
        <v/>
      </c>
    </row>
    <row r="268" customFormat="false" ht="15" hidden="false" customHeight="false" outlineLevel="0" collapsed="false">
      <c r="A268" s="14"/>
      <c r="B268" s="9"/>
      <c r="C268" s="9"/>
      <c r="D268" s="9"/>
      <c r="E268" s="9"/>
      <c r="F268" s="17" t="str">
        <f aca="false">IF(AND(A268="",B268="",C268=""),"",IF(NOT(ISNUMBER(A268)),"Enter the date done",IF(OR(B268="",C268=""),"Fill in asset and task",IF(SUMPRODUCT(('PM Plan'!$A$5:$A$304=B268)*('PM Plan'!$B$5:$B$304=C268))=0,"No matching asset + task in plan","OK"))))</f>
        <v/>
      </c>
    </row>
    <row r="269" customFormat="false" ht="15" hidden="false" customHeight="false" outlineLevel="0" collapsed="false">
      <c r="A269" s="14"/>
      <c r="B269" s="9"/>
      <c r="C269" s="9"/>
      <c r="D269" s="9"/>
      <c r="E269" s="9"/>
      <c r="F269" s="17" t="str">
        <f aca="false">IF(AND(A269="",B269="",C269=""),"",IF(NOT(ISNUMBER(A269)),"Enter the date done",IF(OR(B269="",C269=""),"Fill in asset and task",IF(SUMPRODUCT(('PM Plan'!$A$5:$A$304=B269)*('PM Plan'!$B$5:$B$304=C269))=0,"No matching asset + task in plan","OK"))))</f>
        <v/>
      </c>
    </row>
    <row r="270" customFormat="false" ht="15" hidden="false" customHeight="false" outlineLevel="0" collapsed="false">
      <c r="A270" s="14"/>
      <c r="B270" s="9"/>
      <c r="C270" s="9"/>
      <c r="D270" s="9"/>
      <c r="E270" s="9"/>
      <c r="F270" s="17" t="str">
        <f aca="false">IF(AND(A270="",B270="",C270=""),"",IF(NOT(ISNUMBER(A270)),"Enter the date done",IF(OR(B270="",C270=""),"Fill in asset and task",IF(SUMPRODUCT(('PM Plan'!$A$5:$A$304=B270)*('PM Plan'!$B$5:$B$304=C270))=0,"No matching asset + task in plan","OK"))))</f>
        <v/>
      </c>
    </row>
    <row r="271" customFormat="false" ht="15" hidden="false" customHeight="false" outlineLevel="0" collapsed="false">
      <c r="A271" s="14"/>
      <c r="B271" s="9"/>
      <c r="C271" s="9"/>
      <c r="D271" s="9"/>
      <c r="E271" s="9"/>
      <c r="F271" s="17" t="str">
        <f aca="false">IF(AND(A271="",B271="",C271=""),"",IF(NOT(ISNUMBER(A271)),"Enter the date done",IF(OR(B271="",C271=""),"Fill in asset and task",IF(SUMPRODUCT(('PM Plan'!$A$5:$A$304=B271)*('PM Plan'!$B$5:$B$304=C271))=0,"No matching asset + task in plan","OK"))))</f>
        <v/>
      </c>
    </row>
    <row r="272" customFormat="false" ht="15" hidden="false" customHeight="false" outlineLevel="0" collapsed="false">
      <c r="A272" s="14"/>
      <c r="B272" s="9"/>
      <c r="C272" s="9"/>
      <c r="D272" s="9"/>
      <c r="E272" s="9"/>
      <c r="F272" s="17" t="str">
        <f aca="false">IF(AND(A272="",B272="",C272=""),"",IF(NOT(ISNUMBER(A272)),"Enter the date done",IF(OR(B272="",C272=""),"Fill in asset and task",IF(SUMPRODUCT(('PM Plan'!$A$5:$A$304=B272)*('PM Plan'!$B$5:$B$304=C272))=0,"No matching asset + task in plan","OK"))))</f>
        <v/>
      </c>
    </row>
    <row r="273" customFormat="false" ht="15" hidden="false" customHeight="false" outlineLevel="0" collapsed="false">
      <c r="A273" s="14"/>
      <c r="B273" s="9"/>
      <c r="C273" s="9"/>
      <c r="D273" s="9"/>
      <c r="E273" s="9"/>
      <c r="F273" s="17" t="str">
        <f aca="false">IF(AND(A273="",B273="",C273=""),"",IF(NOT(ISNUMBER(A273)),"Enter the date done",IF(OR(B273="",C273=""),"Fill in asset and task",IF(SUMPRODUCT(('PM Plan'!$A$5:$A$304=B273)*('PM Plan'!$B$5:$B$304=C273))=0,"No matching asset + task in plan","OK"))))</f>
        <v/>
      </c>
    </row>
    <row r="274" customFormat="false" ht="15" hidden="false" customHeight="false" outlineLevel="0" collapsed="false">
      <c r="A274" s="14"/>
      <c r="B274" s="9"/>
      <c r="C274" s="9"/>
      <c r="D274" s="9"/>
      <c r="E274" s="9"/>
      <c r="F274" s="17" t="str">
        <f aca="false">IF(AND(A274="",B274="",C274=""),"",IF(NOT(ISNUMBER(A274)),"Enter the date done",IF(OR(B274="",C274=""),"Fill in asset and task",IF(SUMPRODUCT(('PM Plan'!$A$5:$A$304=B274)*('PM Plan'!$B$5:$B$304=C274))=0,"No matching asset + task in plan","OK"))))</f>
        <v/>
      </c>
    </row>
    <row r="275" customFormat="false" ht="15" hidden="false" customHeight="false" outlineLevel="0" collapsed="false">
      <c r="A275" s="14"/>
      <c r="B275" s="9"/>
      <c r="C275" s="9"/>
      <c r="D275" s="9"/>
      <c r="E275" s="9"/>
      <c r="F275" s="17" t="str">
        <f aca="false">IF(AND(A275="",B275="",C275=""),"",IF(NOT(ISNUMBER(A275)),"Enter the date done",IF(OR(B275="",C275=""),"Fill in asset and task",IF(SUMPRODUCT(('PM Plan'!$A$5:$A$304=B275)*('PM Plan'!$B$5:$B$304=C275))=0,"No matching asset + task in plan","OK"))))</f>
        <v/>
      </c>
    </row>
    <row r="276" customFormat="false" ht="15" hidden="false" customHeight="false" outlineLevel="0" collapsed="false">
      <c r="A276" s="14"/>
      <c r="B276" s="9"/>
      <c r="C276" s="9"/>
      <c r="D276" s="9"/>
      <c r="E276" s="9"/>
      <c r="F276" s="17" t="str">
        <f aca="false">IF(AND(A276="",B276="",C276=""),"",IF(NOT(ISNUMBER(A276)),"Enter the date done",IF(OR(B276="",C276=""),"Fill in asset and task",IF(SUMPRODUCT(('PM Plan'!$A$5:$A$304=B276)*('PM Plan'!$B$5:$B$304=C276))=0,"No matching asset + task in plan","OK"))))</f>
        <v/>
      </c>
    </row>
    <row r="277" customFormat="false" ht="15" hidden="false" customHeight="false" outlineLevel="0" collapsed="false">
      <c r="A277" s="14"/>
      <c r="B277" s="9"/>
      <c r="C277" s="9"/>
      <c r="D277" s="9"/>
      <c r="E277" s="9"/>
      <c r="F277" s="17" t="str">
        <f aca="false">IF(AND(A277="",B277="",C277=""),"",IF(NOT(ISNUMBER(A277)),"Enter the date done",IF(OR(B277="",C277=""),"Fill in asset and task",IF(SUMPRODUCT(('PM Plan'!$A$5:$A$304=B277)*('PM Plan'!$B$5:$B$304=C277))=0,"No matching asset + task in plan","OK"))))</f>
        <v/>
      </c>
    </row>
    <row r="278" customFormat="false" ht="15" hidden="false" customHeight="false" outlineLevel="0" collapsed="false">
      <c r="A278" s="14"/>
      <c r="B278" s="9"/>
      <c r="C278" s="9"/>
      <c r="D278" s="9"/>
      <c r="E278" s="9"/>
      <c r="F278" s="17" t="str">
        <f aca="false">IF(AND(A278="",B278="",C278=""),"",IF(NOT(ISNUMBER(A278)),"Enter the date done",IF(OR(B278="",C278=""),"Fill in asset and task",IF(SUMPRODUCT(('PM Plan'!$A$5:$A$304=B278)*('PM Plan'!$B$5:$B$304=C278))=0,"No matching asset + task in plan","OK"))))</f>
        <v/>
      </c>
    </row>
    <row r="279" customFormat="false" ht="15" hidden="false" customHeight="false" outlineLevel="0" collapsed="false">
      <c r="A279" s="14"/>
      <c r="B279" s="9"/>
      <c r="C279" s="9"/>
      <c r="D279" s="9"/>
      <c r="E279" s="9"/>
      <c r="F279" s="17" t="str">
        <f aca="false">IF(AND(A279="",B279="",C279=""),"",IF(NOT(ISNUMBER(A279)),"Enter the date done",IF(OR(B279="",C279=""),"Fill in asset and task",IF(SUMPRODUCT(('PM Plan'!$A$5:$A$304=B279)*('PM Plan'!$B$5:$B$304=C279))=0,"No matching asset + task in plan","OK"))))</f>
        <v/>
      </c>
    </row>
    <row r="280" customFormat="false" ht="15" hidden="false" customHeight="false" outlineLevel="0" collapsed="false">
      <c r="A280" s="14"/>
      <c r="B280" s="9"/>
      <c r="C280" s="9"/>
      <c r="D280" s="9"/>
      <c r="E280" s="9"/>
      <c r="F280" s="17" t="str">
        <f aca="false">IF(AND(A280="",B280="",C280=""),"",IF(NOT(ISNUMBER(A280)),"Enter the date done",IF(OR(B280="",C280=""),"Fill in asset and task",IF(SUMPRODUCT(('PM Plan'!$A$5:$A$304=B280)*('PM Plan'!$B$5:$B$304=C280))=0,"No matching asset + task in plan","OK"))))</f>
        <v/>
      </c>
    </row>
    <row r="281" customFormat="false" ht="15" hidden="false" customHeight="false" outlineLevel="0" collapsed="false">
      <c r="A281" s="14"/>
      <c r="B281" s="9"/>
      <c r="C281" s="9"/>
      <c r="D281" s="9"/>
      <c r="E281" s="9"/>
      <c r="F281" s="17" t="str">
        <f aca="false">IF(AND(A281="",B281="",C281=""),"",IF(NOT(ISNUMBER(A281)),"Enter the date done",IF(OR(B281="",C281=""),"Fill in asset and task",IF(SUMPRODUCT(('PM Plan'!$A$5:$A$304=B281)*('PM Plan'!$B$5:$B$304=C281))=0,"No matching asset + task in plan","OK"))))</f>
        <v/>
      </c>
    </row>
    <row r="282" customFormat="false" ht="15" hidden="false" customHeight="false" outlineLevel="0" collapsed="false">
      <c r="A282" s="14"/>
      <c r="B282" s="9"/>
      <c r="C282" s="9"/>
      <c r="D282" s="9"/>
      <c r="E282" s="9"/>
      <c r="F282" s="17" t="str">
        <f aca="false">IF(AND(A282="",B282="",C282=""),"",IF(NOT(ISNUMBER(A282)),"Enter the date done",IF(OR(B282="",C282=""),"Fill in asset and task",IF(SUMPRODUCT(('PM Plan'!$A$5:$A$304=B282)*('PM Plan'!$B$5:$B$304=C282))=0,"No matching asset + task in plan","OK"))))</f>
        <v/>
      </c>
    </row>
    <row r="283" customFormat="false" ht="15" hidden="false" customHeight="false" outlineLevel="0" collapsed="false">
      <c r="A283" s="14"/>
      <c r="B283" s="9"/>
      <c r="C283" s="9"/>
      <c r="D283" s="9"/>
      <c r="E283" s="9"/>
      <c r="F283" s="17" t="str">
        <f aca="false">IF(AND(A283="",B283="",C283=""),"",IF(NOT(ISNUMBER(A283)),"Enter the date done",IF(OR(B283="",C283=""),"Fill in asset and task",IF(SUMPRODUCT(('PM Plan'!$A$5:$A$304=B283)*('PM Plan'!$B$5:$B$304=C283))=0,"No matching asset + task in plan","OK"))))</f>
        <v/>
      </c>
    </row>
    <row r="284" customFormat="false" ht="15" hidden="false" customHeight="false" outlineLevel="0" collapsed="false">
      <c r="A284" s="14"/>
      <c r="B284" s="9"/>
      <c r="C284" s="9"/>
      <c r="D284" s="9"/>
      <c r="E284" s="9"/>
      <c r="F284" s="17" t="str">
        <f aca="false">IF(AND(A284="",B284="",C284=""),"",IF(NOT(ISNUMBER(A284)),"Enter the date done",IF(OR(B284="",C284=""),"Fill in asset and task",IF(SUMPRODUCT(('PM Plan'!$A$5:$A$304=B284)*('PM Plan'!$B$5:$B$304=C284))=0,"No matching asset + task in plan","OK"))))</f>
        <v/>
      </c>
    </row>
    <row r="285" customFormat="false" ht="15" hidden="false" customHeight="false" outlineLevel="0" collapsed="false">
      <c r="A285" s="14"/>
      <c r="B285" s="9"/>
      <c r="C285" s="9"/>
      <c r="D285" s="9"/>
      <c r="E285" s="9"/>
      <c r="F285" s="17" t="str">
        <f aca="false">IF(AND(A285="",B285="",C285=""),"",IF(NOT(ISNUMBER(A285)),"Enter the date done",IF(OR(B285="",C285=""),"Fill in asset and task",IF(SUMPRODUCT(('PM Plan'!$A$5:$A$304=B285)*('PM Plan'!$B$5:$B$304=C285))=0,"No matching asset + task in plan","OK"))))</f>
        <v/>
      </c>
    </row>
    <row r="286" customFormat="false" ht="15" hidden="false" customHeight="false" outlineLevel="0" collapsed="false">
      <c r="A286" s="14"/>
      <c r="B286" s="9"/>
      <c r="C286" s="9"/>
      <c r="D286" s="9"/>
      <c r="E286" s="9"/>
      <c r="F286" s="17" t="str">
        <f aca="false">IF(AND(A286="",B286="",C286=""),"",IF(NOT(ISNUMBER(A286)),"Enter the date done",IF(OR(B286="",C286=""),"Fill in asset and task",IF(SUMPRODUCT(('PM Plan'!$A$5:$A$304=B286)*('PM Plan'!$B$5:$B$304=C286))=0,"No matching asset + task in plan","OK"))))</f>
        <v/>
      </c>
    </row>
    <row r="287" customFormat="false" ht="15" hidden="false" customHeight="false" outlineLevel="0" collapsed="false">
      <c r="A287" s="14"/>
      <c r="B287" s="9"/>
      <c r="C287" s="9"/>
      <c r="D287" s="9"/>
      <c r="E287" s="9"/>
      <c r="F287" s="17" t="str">
        <f aca="false">IF(AND(A287="",B287="",C287=""),"",IF(NOT(ISNUMBER(A287)),"Enter the date done",IF(OR(B287="",C287=""),"Fill in asset and task",IF(SUMPRODUCT(('PM Plan'!$A$5:$A$304=B287)*('PM Plan'!$B$5:$B$304=C287))=0,"No matching asset + task in plan","OK"))))</f>
        <v/>
      </c>
    </row>
    <row r="288" customFormat="false" ht="15" hidden="false" customHeight="false" outlineLevel="0" collapsed="false">
      <c r="A288" s="14"/>
      <c r="B288" s="9"/>
      <c r="C288" s="9"/>
      <c r="D288" s="9"/>
      <c r="E288" s="9"/>
      <c r="F288" s="17" t="str">
        <f aca="false">IF(AND(A288="",B288="",C288=""),"",IF(NOT(ISNUMBER(A288)),"Enter the date done",IF(OR(B288="",C288=""),"Fill in asset and task",IF(SUMPRODUCT(('PM Plan'!$A$5:$A$304=B288)*('PM Plan'!$B$5:$B$304=C288))=0,"No matching asset + task in plan","OK"))))</f>
        <v/>
      </c>
    </row>
    <row r="289" customFormat="false" ht="15" hidden="false" customHeight="false" outlineLevel="0" collapsed="false">
      <c r="A289" s="14"/>
      <c r="B289" s="9"/>
      <c r="C289" s="9"/>
      <c r="D289" s="9"/>
      <c r="E289" s="9"/>
      <c r="F289" s="17" t="str">
        <f aca="false">IF(AND(A289="",B289="",C289=""),"",IF(NOT(ISNUMBER(A289)),"Enter the date done",IF(OR(B289="",C289=""),"Fill in asset and task",IF(SUMPRODUCT(('PM Plan'!$A$5:$A$304=B289)*('PM Plan'!$B$5:$B$304=C289))=0,"No matching asset + task in plan","OK"))))</f>
        <v/>
      </c>
    </row>
    <row r="290" customFormat="false" ht="15" hidden="false" customHeight="false" outlineLevel="0" collapsed="false">
      <c r="A290" s="14"/>
      <c r="B290" s="9"/>
      <c r="C290" s="9"/>
      <c r="D290" s="9"/>
      <c r="E290" s="9"/>
      <c r="F290" s="17" t="str">
        <f aca="false">IF(AND(A290="",B290="",C290=""),"",IF(NOT(ISNUMBER(A290)),"Enter the date done",IF(OR(B290="",C290=""),"Fill in asset and task",IF(SUMPRODUCT(('PM Plan'!$A$5:$A$304=B290)*('PM Plan'!$B$5:$B$304=C290))=0,"No matching asset + task in plan","OK"))))</f>
        <v/>
      </c>
    </row>
    <row r="291" customFormat="false" ht="15" hidden="false" customHeight="false" outlineLevel="0" collapsed="false">
      <c r="A291" s="14"/>
      <c r="B291" s="9"/>
      <c r="C291" s="9"/>
      <c r="D291" s="9"/>
      <c r="E291" s="9"/>
      <c r="F291" s="17" t="str">
        <f aca="false">IF(AND(A291="",B291="",C291=""),"",IF(NOT(ISNUMBER(A291)),"Enter the date done",IF(OR(B291="",C291=""),"Fill in asset and task",IF(SUMPRODUCT(('PM Plan'!$A$5:$A$304=B291)*('PM Plan'!$B$5:$B$304=C291))=0,"No matching asset + task in plan","OK"))))</f>
        <v/>
      </c>
    </row>
    <row r="292" customFormat="false" ht="15" hidden="false" customHeight="false" outlineLevel="0" collapsed="false">
      <c r="A292" s="14"/>
      <c r="B292" s="9"/>
      <c r="C292" s="9"/>
      <c r="D292" s="9"/>
      <c r="E292" s="9"/>
      <c r="F292" s="17" t="str">
        <f aca="false">IF(AND(A292="",B292="",C292=""),"",IF(NOT(ISNUMBER(A292)),"Enter the date done",IF(OR(B292="",C292=""),"Fill in asset and task",IF(SUMPRODUCT(('PM Plan'!$A$5:$A$304=B292)*('PM Plan'!$B$5:$B$304=C292))=0,"No matching asset + task in plan","OK"))))</f>
        <v/>
      </c>
    </row>
    <row r="293" customFormat="false" ht="15" hidden="false" customHeight="false" outlineLevel="0" collapsed="false">
      <c r="A293" s="14"/>
      <c r="B293" s="9"/>
      <c r="C293" s="9"/>
      <c r="D293" s="9"/>
      <c r="E293" s="9"/>
      <c r="F293" s="17" t="str">
        <f aca="false">IF(AND(A293="",B293="",C293=""),"",IF(NOT(ISNUMBER(A293)),"Enter the date done",IF(OR(B293="",C293=""),"Fill in asset and task",IF(SUMPRODUCT(('PM Plan'!$A$5:$A$304=B293)*('PM Plan'!$B$5:$B$304=C293))=0,"No matching asset + task in plan","OK"))))</f>
        <v/>
      </c>
    </row>
    <row r="294" customFormat="false" ht="15" hidden="false" customHeight="false" outlineLevel="0" collapsed="false">
      <c r="A294" s="14"/>
      <c r="B294" s="9"/>
      <c r="C294" s="9"/>
      <c r="D294" s="9"/>
      <c r="E294" s="9"/>
      <c r="F294" s="17" t="str">
        <f aca="false">IF(AND(A294="",B294="",C294=""),"",IF(NOT(ISNUMBER(A294)),"Enter the date done",IF(OR(B294="",C294=""),"Fill in asset and task",IF(SUMPRODUCT(('PM Plan'!$A$5:$A$304=B294)*('PM Plan'!$B$5:$B$304=C294))=0,"No matching asset + task in plan","OK"))))</f>
        <v/>
      </c>
    </row>
    <row r="295" customFormat="false" ht="15" hidden="false" customHeight="false" outlineLevel="0" collapsed="false">
      <c r="A295" s="14"/>
      <c r="B295" s="9"/>
      <c r="C295" s="9"/>
      <c r="D295" s="9"/>
      <c r="E295" s="9"/>
      <c r="F295" s="17" t="str">
        <f aca="false">IF(AND(A295="",B295="",C295=""),"",IF(NOT(ISNUMBER(A295)),"Enter the date done",IF(OR(B295="",C295=""),"Fill in asset and task",IF(SUMPRODUCT(('PM Plan'!$A$5:$A$304=B295)*('PM Plan'!$B$5:$B$304=C295))=0,"No matching asset + task in plan","OK"))))</f>
        <v/>
      </c>
    </row>
    <row r="296" customFormat="false" ht="15" hidden="false" customHeight="false" outlineLevel="0" collapsed="false">
      <c r="A296" s="14"/>
      <c r="B296" s="9"/>
      <c r="C296" s="9"/>
      <c r="D296" s="9"/>
      <c r="E296" s="9"/>
      <c r="F296" s="17" t="str">
        <f aca="false">IF(AND(A296="",B296="",C296=""),"",IF(NOT(ISNUMBER(A296)),"Enter the date done",IF(OR(B296="",C296=""),"Fill in asset and task",IF(SUMPRODUCT(('PM Plan'!$A$5:$A$304=B296)*('PM Plan'!$B$5:$B$304=C296))=0,"No matching asset + task in plan","OK"))))</f>
        <v/>
      </c>
    </row>
    <row r="297" customFormat="false" ht="15" hidden="false" customHeight="false" outlineLevel="0" collapsed="false">
      <c r="A297" s="14"/>
      <c r="B297" s="9"/>
      <c r="C297" s="9"/>
      <c r="D297" s="9"/>
      <c r="E297" s="9"/>
      <c r="F297" s="17" t="str">
        <f aca="false">IF(AND(A297="",B297="",C297=""),"",IF(NOT(ISNUMBER(A297)),"Enter the date done",IF(OR(B297="",C297=""),"Fill in asset and task",IF(SUMPRODUCT(('PM Plan'!$A$5:$A$304=B297)*('PM Plan'!$B$5:$B$304=C297))=0,"No matching asset + task in plan","OK"))))</f>
        <v/>
      </c>
    </row>
    <row r="298" customFormat="false" ht="15" hidden="false" customHeight="false" outlineLevel="0" collapsed="false">
      <c r="A298" s="14"/>
      <c r="B298" s="9"/>
      <c r="C298" s="9"/>
      <c r="D298" s="9"/>
      <c r="E298" s="9"/>
      <c r="F298" s="17" t="str">
        <f aca="false">IF(AND(A298="",B298="",C298=""),"",IF(NOT(ISNUMBER(A298)),"Enter the date done",IF(OR(B298="",C298=""),"Fill in asset and task",IF(SUMPRODUCT(('PM Plan'!$A$5:$A$304=B298)*('PM Plan'!$B$5:$B$304=C298))=0,"No matching asset + task in plan","OK"))))</f>
        <v/>
      </c>
    </row>
    <row r="299" customFormat="false" ht="15" hidden="false" customHeight="false" outlineLevel="0" collapsed="false">
      <c r="A299" s="14"/>
      <c r="B299" s="9"/>
      <c r="C299" s="9"/>
      <c r="D299" s="9"/>
      <c r="E299" s="9"/>
      <c r="F299" s="17" t="str">
        <f aca="false">IF(AND(A299="",B299="",C299=""),"",IF(NOT(ISNUMBER(A299)),"Enter the date done",IF(OR(B299="",C299=""),"Fill in asset and task",IF(SUMPRODUCT(('PM Plan'!$A$5:$A$304=B299)*('PM Plan'!$B$5:$B$304=C299))=0,"No matching asset + task in plan","OK"))))</f>
        <v/>
      </c>
    </row>
    <row r="300" customFormat="false" ht="15" hidden="false" customHeight="false" outlineLevel="0" collapsed="false">
      <c r="A300" s="14"/>
      <c r="B300" s="9"/>
      <c r="C300" s="9"/>
      <c r="D300" s="9"/>
      <c r="E300" s="9"/>
      <c r="F300" s="17" t="str">
        <f aca="false">IF(AND(A300="",B300="",C300=""),"",IF(NOT(ISNUMBER(A300)),"Enter the date done",IF(OR(B300="",C300=""),"Fill in asset and task",IF(SUMPRODUCT(('PM Plan'!$A$5:$A$304=B300)*('PM Plan'!$B$5:$B$304=C300))=0,"No matching asset + task in plan","OK"))))</f>
        <v/>
      </c>
    </row>
    <row r="301" customFormat="false" ht="15" hidden="false" customHeight="false" outlineLevel="0" collapsed="false">
      <c r="A301" s="14"/>
      <c r="B301" s="9"/>
      <c r="C301" s="9"/>
      <c r="D301" s="9"/>
      <c r="E301" s="9"/>
      <c r="F301" s="17" t="str">
        <f aca="false">IF(AND(A301="",B301="",C301=""),"",IF(NOT(ISNUMBER(A301)),"Enter the date done",IF(OR(B301="",C301=""),"Fill in asset and task",IF(SUMPRODUCT(('PM Plan'!$A$5:$A$304=B301)*('PM Plan'!$B$5:$B$304=C301))=0,"No matching asset + task in plan","OK"))))</f>
        <v/>
      </c>
    </row>
    <row r="302" customFormat="false" ht="15" hidden="false" customHeight="false" outlineLevel="0" collapsed="false">
      <c r="A302" s="14"/>
      <c r="B302" s="9"/>
      <c r="C302" s="9"/>
      <c r="D302" s="9"/>
      <c r="E302" s="9"/>
      <c r="F302" s="17" t="str">
        <f aca="false">IF(AND(A302="",B302="",C302=""),"",IF(NOT(ISNUMBER(A302)),"Enter the date done",IF(OR(B302="",C302=""),"Fill in asset and task",IF(SUMPRODUCT(('PM Plan'!$A$5:$A$304=B302)*('PM Plan'!$B$5:$B$304=C302))=0,"No matching asset + task in plan","OK"))))</f>
        <v/>
      </c>
    </row>
    <row r="303" customFormat="false" ht="15" hidden="false" customHeight="false" outlineLevel="0" collapsed="false">
      <c r="A303" s="14"/>
      <c r="B303" s="9"/>
      <c r="C303" s="9"/>
      <c r="D303" s="9"/>
      <c r="E303" s="9"/>
      <c r="F303" s="17" t="str">
        <f aca="false">IF(AND(A303="",B303="",C303=""),"",IF(NOT(ISNUMBER(A303)),"Enter the date done",IF(OR(B303="",C303=""),"Fill in asset and task",IF(SUMPRODUCT(('PM Plan'!$A$5:$A$304=B303)*('PM Plan'!$B$5:$B$304=C303))=0,"No matching asset + task in plan","OK"))))</f>
        <v/>
      </c>
    </row>
    <row r="304" customFormat="false" ht="15" hidden="false" customHeight="false" outlineLevel="0" collapsed="false">
      <c r="A304" s="14"/>
      <c r="B304" s="9"/>
      <c r="C304" s="9"/>
      <c r="D304" s="9"/>
      <c r="E304" s="9"/>
      <c r="F304" s="17" t="str">
        <f aca="false">IF(AND(A304="",B304="",C304=""),"",IF(NOT(ISNUMBER(A304)),"Enter the date done",IF(OR(B304="",C304=""),"Fill in asset and task",IF(SUMPRODUCT(('PM Plan'!$A$5:$A$304=B304)*('PM Plan'!$B$5:$B$304=C304))=0,"No matching asset + task in plan","OK"))))</f>
        <v/>
      </c>
    </row>
    <row r="305" customFormat="false" ht="15" hidden="false" customHeight="false" outlineLevel="0" collapsed="false">
      <c r="A305" s="14"/>
      <c r="B305" s="9"/>
      <c r="C305" s="9"/>
      <c r="D305" s="9"/>
      <c r="E305" s="9"/>
      <c r="F305" s="17" t="str">
        <f aca="false">IF(AND(A305="",B305="",C305=""),"",IF(NOT(ISNUMBER(A305)),"Enter the date done",IF(OR(B305="",C305=""),"Fill in asset and task",IF(SUMPRODUCT(('PM Plan'!$A$5:$A$304=B305)*('PM Plan'!$B$5:$B$304=C305))=0,"No matching asset + task in plan","OK"))))</f>
        <v/>
      </c>
    </row>
    <row r="306" customFormat="false" ht="15" hidden="false" customHeight="false" outlineLevel="0" collapsed="false">
      <c r="A306" s="14"/>
      <c r="B306" s="9"/>
      <c r="C306" s="9"/>
      <c r="D306" s="9"/>
      <c r="E306" s="9"/>
      <c r="F306" s="17" t="str">
        <f aca="false">IF(AND(A306="",B306="",C306=""),"",IF(NOT(ISNUMBER(A306)),"Enter the date done",IF(OR(B306="",C306=""),"Fill in asset and task",IF(SUMPRODUCT(('PM Plan'!$A$5:$A$304=B306)*('PM Plan'!$B$5:$B$304=C306))=0,"No matching asset + task in plan","OK"))))</f>
        <v/>
      </c>
    </row>
    <row r="307" customFormat="false" ht="15" hidden="false" customHeight="false" outlineLevel="0" collapsed="false">
      <c r="A307" s="14"/>
      <c r="B307" s="9"/>
      <c r="C307" s="9"/>
      <c r="D307" s="9"/>
      <c r="E307" s="9"/>
      <c r="F307" s="17" t="str">
        <f aca="false">IF(AND(A307="",B307="",C307=""),"",IF(NOT(ISNUMBER(A307)),"Enter the date done",IF(OR(B307="",C307=""),"Fill in asset and task",IF(SUMPRODUCT(('PM Plan'!$A$5:$A$304=B307)*('PM Plan'!$B$5:$B$304=C307))=0,"No matching asset + task in plan","OK"))))</f>
        <v/>
      </c>
    </row>
    <row r="308" customFormat="false" ht="15" hidden="false" customHeight="false" outlineLevel="0" collapsed="false">
      <c r="A308" s="14"/>
      <c r="B308" s="9"/>
      <c r="C308" s="9"/>
      <c r="D308" s="9"/>
      <c r="E308" s="9"/>
      <c r="F308" s="17" t="str">
        <f aca="false">IF(AND(A308="",B308="",C308=""),"",IF(NOT(ISNUMBER(A308)),"Enter the date done",IF(OR(B308="",C308=""),"Fill in asset and task",IF(SUMPRODUCT(('PM Plan'!$A$5:$A$304=B308)*('PM Plan'!$B$5:$B$304=C308))=0,"No matching asset + task in plan","OK"))))</f>
        <v/>
      </c>
    </row>
    <row r="309" customFormat="false" ht="15" hidden="false" customHeight="false" outlineLevel="0" collapsed="false">
      <c r="A309" s="14"/>
      <c r="B309" s="9"/>
      <c r="C309" s="9"/>
      <c r="D309" s="9"/>
      <c r="E309" s="9"/>
      <c r="F309" s="17" t="str">
        <f aca="false">IF(AND(A309="",B309="",C309=""),"",IF(NOT(ISNUMBER(A309)),"Enter the date done",IF(OR(B309="",C309=""),"Fill in asset and task",IF(SUMPRODUCT(('PM Plan'!$A$5:$A$304=B309)*('PM Plan'!$B$5:$B$304=C309))=0,"No matching asset + task in plan","OK"))))</f>
        <v/>
      </c>
    </row>
    <row r="310" customFormat="false" ht="15" hidden="false" customHeight="false" outlineLevel="0" collapsed="false">
      <c r="A310" s="14"/>
      <c r="B310" s="9"/>
      <c r="C310" s="9"/>
      <c r="D310" s="9"/>
      <c r="E310" s="9"/>
      <c r="F310" s="17" t="str">
        <f aca="false">IF(AND(A310="",B310="",C310=""),"",IF(NOT(ISNUMBER(A310)),"Enter the date done",IF(OR(B310="",C310=""),"Fill in asset and task",IF(SUMPRODUCT(('PM Plan'!$A$5:$A$304=B310)*('PM Plan'!$B$5:$B$304=C310))=0,"No matching asset + task in plan","OK"))))</f>
        <v/>
      </c>
    </row>
    <row r="311" customFormat="false" ht="15" hidden="false" customHeight="false" outlineLevel="0" collapsed="false">
      <c r="A311" s="14"/>
      <c r="B311" s="9"/>
      <c r="C311" s="9"/>
      <c r="D311" s="9"/>
      <c r="E311" s="9"/>
      <c r="F311" s="17" t="str">
        <f aca="false">IF(AND(A311="",B311="",C311=""),"",IF(NOT(ISNUMBER(A311)),"Enter the date done",IF(OR(B311="",C311=""),"Fill in asset and task",IF(SUMPRODUCT(('PM Plan'!$A$5:$A$304=B311)*('PM Plan'!$B$5:$B$304=C311))=0,"No matching asset + task in plan","OK"))))</f>
        <v/>
      </c>
    </row>
    <row r="312" customFormat="false" ht="15" hidden="false" customHeight="false" outlineLevel="0" collapsed="false">
      <c r="A312" s="14"/>
      <c r="B312" s="9"/>
      <c r="C312" s="9"/>
      <c r="D312" s="9"/>
      <c r="E312" s="9"/>
      <c r="F312" s="17" t="str">
        <f aca="false">IF(AND(A312="",B312="",C312=""),"",IF(NOT(ISNUMBER(A312)),"Enter the date done",IF(OR(B312="",C312=""),"Fill in asset and task",IF(SUMPRODUCT(('PM Plan'!$A$5:$A$304=B312)*('PM Plan'!$B$5:$B$304=C312))=0,"No matching asset + task in plan","OK"))))</f>
        <v/>
      </c>
    </row>
    <row r="313" customFormat="false" ht="15" hidden="false" customHeight="false" outlineLevel="0" collapsed="false">
      <c r="A313" s="14"/>
      <c r="B313" s="9"/>
      <c r="C313" s="9"/>
      <c r="D313" s="9"/>
      <c r="E313" s="9"/>
      <c r="F313" s="17" t="str">
        <f aca="false">IF(AND(A313="",B313="",C313=""),"",IF(NOT(ISNUMBER(A313)),"Enter the date done",IF(OR(B313="",C313=""),"Fill in asset and task",IF(SUMPRODUCT(('PM Plan'!$A$5:$A$304=B313)*('PM Plan'!$B$5:$B$304=C313))=0,"No matching asset + task in plan","OK"))))</f>
        <v/>
      </c>
    </row>
    <row r="314" customFormat="false" ht="15" hidden="false" customHeight="false" outlineLevel="0" collapsed="false">
      <c r="A314" s="14"/>
      <c r="B314" s="9"/>
      <c r="C314" s="9"/>
      <c r="D314" s="9"/>
      <c r="E314" s="9"/>
      <c r="F314" s="17" t="str">
        <f aca="false">IF(AND(A314="",B314="",C314=""),"",IF(NOT(ISNUMBER(A314)),"Enter the date done",IF(OR(B314="",C314=""),"Fill in asset and task",IF(SUMPRODUCT(('PM Plan'!$A$5:$A$304=B314)*('PM Plan'!$B$5:$B$304=C314))=0,"No matching asset + task in plan","OK"))))</f>
        <v/>
      </c>
    </row>
    <row r="315" customFormat="false" ht="15" hidden="false" customHeight="false" outlineLevel="0" collapsed="false">
      <c r="A315" s="14"/>
      <c r="B315" s="9"/>
      <c r="C315" s="9"/>
      <c r="D315" s="9"/>
      <c r="E315" s="9"/>
      <c r="F315" s="17" t="str">
        <f aca="false">IF(AND(A315="",B315="",C315=""),"",IF(NOT(ISNUMBER(A315)),"Enter the date done",IF(OR(B315="",C315=""),"Fill in asset and task",IF(SUMPRODUCT(('PM Plan'!$A$5:$A$304=B315)*('PM Plan'!$B$5:$B$304=C315))=0,"No matching asset + task in plan","OK"))))</f>
        <v/>
      </c>
    </row>
    <row r="316" customFormat="false" ht="15" hidden="false" customHeight="false" outlineLevel="0" collapsed="false">
      <c r="A316" s="14"/>
      <c r="B316" s="9"/>
      <c r="C316" s="9"/>
      <c r="D316" s="9"/>
      <c r="E316" s="9"/>
      <c r="F316" s="17" t="str">
        <f aca="false">IF(AND(A316="",B316="",C316=""),"",IF(NOT(ISNUMBER(A316)),"Enter the date done",IF(OR(B316="",C316=""),"Fill in asset and task",IF(SUMPRODUCT(('PM Plan'!$A$5:$A$304=B316)*('PM Plan'!$B$5:$B$304=C316))=0,"No matching asset + task in plan","OK"))))</f>
        <v/>
      </c>
    </row>
    <row r="317" customFormat="false" ht="15" hidden="false" customHeight="false" outlineLevel="0" collapsed="false">
      <c r="A317" s="14"/>
      <c r="B317" s="9"/>
      <c r="C317" s="9"/>
      <c r="D317" s="9"/>
      <c r="E317" s="9"/>
      <c r="F317" s="17" t="str">
        <f aca="false">IF(AND(A317="",B317="",C317=""),"",IF(NOT(ISNUMBER(A317)),"Enter the date done",IF(OR(B317="",C317=""),"Fill in asset and task",IF(SUMPRODUCT(('PM Plan'!$A$5:$A$304=B317)*('PM Plan'!$B$5:$B$304=C317))=0,"No matching asset + task in plan","OK"))))</f>
        <v/>
      </c>
    </row>
    <row r="318" customFormat="false" ht="15" hidden="false" customHeight="false" outlineLevel="0" collapsed="false">
      <c r="A318" s="14"/>
      <c r="B318" s="9"/>
      <c r="C318" s="9"/>
      <c r="D318" s="9"/>
      <c r="E318" s="9"/>
      <c r="F318" s="17" t="str">
        <f aca="false">IF(AND(A318="",B318="",C318=""),"",IF(NOT(ISNUMBER(A318)),"Enter the date done",IF(OR(B318="",C318=""),"Fill in asset and task",IF(SUMPRODUCT(('PM Plan'!$A$5:$A$304=B318)*('PM Plan'!$B$5:$B$304=C318))=0,"No matching asset + task in plan","OK"))))</f>
        <v/>
      </c>
    </row>
    <row r="319" customFormat="false" ht="15" hidden="false" customHeight="false" outlineLevel="0" collapsed="false">
      <c r="A319" s="14"/>
      <c r="B319" s="9"/>
      <c r="C319" s="9"/>
      <c r="D319" s="9"/>
      <c r="E319" s="9"/>
      <c r="F319" s="17" t="str">
        <f aca="false">IF(AND(A319="",B319="",C319=""),"",IF(NOT(ISNUMBER(A319)),"Enter the date done",IF(OR(B319="",C319=""),"Fill in asset and task",IF(SUMPRODUCT(('PM Plan'!$A$5:$A$304=B319)*('PM Plan'!$B$5:$B$304=C319))=0,"No matching asset + task in plan","OK"))))</f>
        <v/>
      </c>
    </row>
    <row r="320" customFormat="false" ht="15" hidden="false" customHeight="false" outlineLevel="0" collapsed="false">
      <c r="A320" s="14"/>
      <c r="B320" s="9"/>
      <c r="C320" s="9"/>
      <c r="D320" s="9"/>
      <c r="E320" s="9"/>
      <c r="F320" s="17" t="str">
        <f aca="false">IF(AND(A320="",B320="",C320=""),"",IF(NOT(ISNUMBER(A320)),"Enter the date done",IF(OR(B320="",C320=""),"Fill in asset and task",IF(SUMPRODUCT(('PM Plan'!$A$5:$A$304=B320)*('PM Plan'!$B$5:$B$304=C320))=0,"No matching asset + task in plan","OK"))))</f>
        <v/>
      </c>
    </row>
    <row r="321" customFormat="false" ht="15" hidden="false" customHeight="false" outlineLevel="0" collapsed="false">
      <c r="A321" s="14"/>
      <c r="B321" s="9"/>
      <c r="C321" s="9"/>
      <c r="D321" s="9"/>
      <c r="E321" s="9"/>
      <c r="F321" s="17" t="str">
        <f aca="false">IF(AND(A321="",B321="",C321=""),"",IF(NOT(ISNUMBER(A321)),"Enter the date done",IF(OR(B321="",C321=""),"Fill in asset and task",IF(SUMPRODUCT(('PM Plan'!$A$5:$A$304=B321)*('PM Plan'!$B$5:$B$304=C321))=0,"No matching asset + task in plan","OK"))))</f>
        <v/>
      </c>
    </row>
    <row r="322" customFormat="false" ht="15" hidden="false" customHeight="false" outlineLevel="0" collapsed="false">
      <c r="A322" s="14"/>
      <c r="B322" s="9"/>
      <c r="C322" s="9"/>
      <c r="D322" s="9"/>
      <c r="E322" s="9"/>
      <c r="F322" s="17" t="str">
        <f aca="false">IF(AND(A322="",B322="",C322=""),"",IF(NOT(ISNUMBER(A322)),"Enter the date done",IF(OR(B322="",C322=""),"Fill in asset and task",IF(SUMPRODUCT(('PM Plan'!$A$5:$A$304=B322)*('PM Plan'!$B$5:$B$304=C322))=0,"No matching asset + task in plan","OK"))))</f>
        <v/>
      </c>
    </row>
    <row r="323" customFormat="false" ht="15" hidden="false" customHeight="false" outlineLevel="0" collapsed="false">
      <c r="A323" s="14"/>
      <c r="B323" s="9"/>
      <c r="C323" s="9"/>
      <c r="D323" s="9"/>
      <c r="E323" s="9"/>
      <c r="F323" s="17" t="str">
        <f aca="false">IF(AND(A323="",B323="",C323=""),"",IF(NOT(ISNUMBER(A323)),"Enter the date done",IF(OR(B323="",C323=""),"Fill in asset and task",IF(SUMPRODUCT(('PM Plan'!$A$5:$A$304=B323)*('PM Plan'!$B$5:$B$304=C323))=0,"No matching asset + task in plan","OK"))))</f>
        <v/>
      </c>
    </row>
    <row r="324" customFormat="false" ht="15" hidden="false" customHeight="false" outlineLevel="0" collapsed="false">
      <c r="A324" s="14"/>
      <c r="B324" s="9"/>
      <c r="C324" s="9"/>
      <c r="D324" s="9"/>
      <c r="E324" s="9"/>
      <c r="F324" s="17" t="str">
        <f aca="false">IF(AND(A324="",B324="",C324=""),"",IF(NOT(ISNUMBER(A324)),"Enter the date done",IF(OR(B324="",C324=""),"Fill in asset and task",IF(SUMPRODUCT(('PM Plan'!$A$5:$A$304=B324)*('PM Plan'!$B$5:$B$304=C324))=0,"No matching asset + task in plan","OK"))))</f>
        <v/>
      </c>
    </row>
    <row r="325" customFormat="false" ht="15" hidden="false" customHeight="false" outlineLevel="0" collapsed="false">
      <c r="A325" s="14"/>
      <c r="B325" s="9"/>
      <c r="C325" s="9"/>
      <c r="D325" s="9"/>
      <c r="E325" s="9"/>
      <c r="F325" s="17" t="str">
        <f aca="false">IF(AND(A325="",B325="",C325=""),"",IF(NOT(ISNUMBER(A325)),"Enter the date done",IF(OR(B325="",C325=""),"Fill in asset and task",IF(SUMPRODUCT(('PM Plan'!$A$5:$A$304=B325)*('PM Plan'!$B$5:$B$304=C325))=0,"No matching asset + task in plan","OK"))))</f>
        <v/>
      </c>
    </row>
    <row r="326" customFormat="false" ht="15" hidden="false" customHeight="false" outlineLevel="0" collapsed="false">
      <c r="A326" s="14"/>
      <c r="B326" s="9"/>
      <c r="C326" s="9"/>
      <c r="D326" s="9"/>
      <c r="E326" s="9"/>
      <c r="F326" s="17" t="str">
        <f aca="false">IF(AND(A326="",B326="",C326=""),"",IF(NOT(ISNUMBER(A326)),"Enter the date done",IF(OR(B326="",C326=""),"Fill in asset and task",IF(SUMPRODUCT(('PM Plan'!$A$5:$A$304=B326)*('PM Plan'!$B$5:$B$304=C326))=0,"No matching asset + task in plan","OK"))))</f>
        <v/>
      </c>
    </row>
    <row r="327" customFormat="false" ht="15" hidden="false" customHeight="false" outlineLevel="0" collapsed="false">
      <c r="A327" s="14"/>
      <c r="B327" s="9"/>
      <c r="C327" s="9"/>
      <c r="D327" s="9"/>
      <c r="E327" s="9"/>
      <c r="F327" s="17" t="str">
        <f aca="false">IF(AND(A327="",B327="",C327=""),"",IF(NOT(ISNUMBER(A327)),"Enter the date done",IF(OR(B327="",C327=""),"Fill in asset and task",IF(SUMPRODUCT(('PM Plan'!$A$5:$A$304=B327)*('PM Plan'!$B$5:$B$304=C327))=0,"No matching asset + task in plan","OK"))))</f>
        <v/>
      </c>
    </row>
    <row r="328" customFormat="false" ht="15" hidden="false" customHeight="false" outlineLevel="0" collapsed="false">
      <c r="A328" s="14"/>
      <c r="B328" s="9"/>
      <c r="C328" s="9"/>
      <c r="D328" s="9"/>
      <c r="E328" s="9"/>
      <c r="F328" s="17" t="str">
        <f aca="false">IF(AND(A328="",B328="",C328=""),"",IF(NOT(ISNUMBER(A328)),"Enter the date done",IF(OR(B328="",C328=""),"Fill in asset and task",IF(SUMPRODUCT(('PM Plan'!$A$5:$A$304=B328)*('PM Plan'!$B$5:$B$304=C328))=0,"No matching asset + task in plan","OK"))))</f>
        <v/>
      </c>
    </row>
    <row r="329" customFormat="false" ht="15" hidden="false" customHeight="false" outlineLevel="0" collapsed="false">
      <c r="A329" s="14"/>
      <c r="B329" s="9"/>
      <c r="C329" s="9"/>
      <c r="D329" s="9"/>
      <c r="E329" s="9"/>
      <c r="F329" s="17" t="str">
        <f aca="false">IF(AND(A329="",B329="",C329=""),"",IF(NOT(ISNUMBER(A329)),"Enter the date done",IF(OR(B329="",C329=""),"Fill in asset and task",IF(SUMPRODUCT(('PM Plan'!$A$5:$A$304=B329)*('PM Plan'!$B$5:$B$304=C329))=0,"No matching asset + task in plan","OK"))))</f>
        <v/>
      </c>
    </row>
    <row r="330" customFormat="false" ht="15" hidden="false" customHeight="false" outlineLevel="0" collapsed="false">
      <c r="A330" s="14"/>
      <c r="B330" s="9"/>
      <c r="C330" s="9"/>
      <c r="D330" s="9"/>
      <c r="E330" s="9"/>
      <c r="F330" s="17" t="str">
        <f aca="false">IF(AND(A330="",B330="",C330=""),"",IF(NOT(ISNUMBER(A330)),"Enter the date done",IF(OR(B330="",C330=""),"Fill in asset and task",IF(SUMPRODUCT(('PM Plan'!$A$5:$A$304=B330)*('PM Plan'!$B$5:$B$304=C330))=0,"No matching asset + task in plan","OK"))))</f>
        <v/>
      </c>
    </row>
    <row r="331" customFormat="false" ht="15" hidden="false" customHeight="false" outlineLevel="0" collapsed="false">
      <c r="A331" s="14"/>
      <c r="B331" s="9"/>
      <c r="C331" s="9"/>
      <c r="D331" s="9"/>
      <c r="E331" s="9"/>
      <c r="F331" s="17" t="str">
        <f aca="false">IF(AND(A331="",B331="",C331=""),"",IF(NOT(ISNUMBER(A331)),"Enter the date done",IF(OR(B331="",C331=""),"Fill in asset and task",IF(SUMPRODUCT(('PM Plan'!$A$5:$A$304=B331)*('PM Plan'!$B$5:$B$304=C331))=0,"No matching asset + task in plan","OK"))))</f>
        <v/>
      </c>
    </row>
    <row r="332" customFormat="false" ht="15" hidden="false" customHeight="false" outlineLevel="0" collapsed="false">
      <c r="A332" s="14"/>
      <c r="B332" s="9"/>
      <c r="C332" s="9"/>
      <c r="D332" s="9"/>
      <c r="E332" s="9"/>
      <c r="F332" s="17" t="str">
        <f aca="false">IF(AND(A332="",B332="",C332=""),"",IF(NOT(ISNUMBER(A332)),"Enter the date done",IF(OR(B332="",C332=""),"Fill in asset and task",IF(SUMPRODUCT(('PM Plan'!$A$5:$A$304=B332)*('PM Plan'!$B$5:$B$304=C332))=0,"No matching asset + task in plan","OK"))))</f>
        <v/>
      </c>
    </row>
    <row r="333" customFormat="false" ht="15" hidden="false" customHeight="false" outlineLevel="0" collapsed="false">
      <c r="A333" s="14"/>
      <c r="B333" s="9"/>
      <c r="C333" s="9"/>
      <c r="D333" s="9"/>
      <c r="E333" s="9"/>
      <c r="F333" s="17" t="str">
        <f aca="false">IF(AND(A333="",B333="",C333=""),"",IF(NOT(ISNUMBER(A333)),"Enter the date done",IF(OR(B333="",C333=""),"Fill in asset and task",IF(SUMPRODUCT(('PM Plan'!$A$5:$A$304=B333)*('PM Plan'!$B$5:$B$304=C333))=0,"No matching asset + task in plan","OK"))))</f>
        <v/>
      </c>
    </row>
    <row r="334" customFormat="false" ht="15" hidden="false" customHeight="false" outlineLevel="0" collapsed="false">
      <c r="A334" s="14"/>
      <c r="B334" s="9"/>
      <c r="C334" s="9"/>
      <c r="D334" s="9"/>
      <c r="E334" s="9"/>
      <c r="F334" s="17" t="str">
        <f aca="false">IF(AND(A334="",B334="",C334=""),"",IF(NOT(ISNUMBER(A334)),"Enter the date done",IF(OR(B334="",C334=""),"Fill in asset and task",IF(SUMPRODUCT(('PM Plan'!$A$5:$A$304=B334)*('PM Plan'!$B$5:$B$304=C334))=0,"No matching asset + task in plan","OK"))))</f>
        <v/>
      </c>
    </row>
    <row r="335" customFormat="false" ht="15" hidden="false" customHeight="false" outlineLevel="0" collapsed="false">
      <c r="A335" s="14"/>
      <c r="B335" s="9"/>
      <c r="C335" s="9"/>
      <c r="D335" s="9"/>
      <c r="E335" s="9"/>
      <c r="F335" s="17" t="str">
        <f aca="false">IF(AND(A335="",B335="",C335=""),"",IF(NOT(ISNUMBER(A335)),"Enter the date done",IF(OR(B335="",C335=""),"Fill in asset and task",IF(SUMPRODUCT(('PM Plan'!$A$5:$A$304=B335)*('PM Plan'!$B$5:$B$304=C335))=0,"No matching asset + task in plan","OK"))))</f>
        <v/>
      </c>
    </row>
    <row r="336" customFormat="false" ht="15" hidden="false" customHeight="false" outlineLevel="0" collapsed="false">
      <c r="A336" s="14"/>
      <c r="B336" s="9"/>
      <c r="C336" s="9"/>
      <c r="D336" s="9"/>
      <c r="E336" s="9"/>
      <c r="F336" s="17" t="str">
        <f aca="false">IF(AND(A336="",B336="",C336=""),"",IF(NOT(ISNUMBER(A336)),"Enter the date done",IF(OR(B336="",C336=""),"Fill in asset and task",IF(SUMPRODUCT(('PM Plan'!$A$5:$A$304=B336)*('PM Plan'!$B$5:$B$304=C336))=0,"No matching asset + task in plan","OK"))))</f>
        <v/>
      </c>
    </row>
    <row r="337" customFormat="false" ht="15" hidden="false" customHeight="false" outlineLevel="0" collapsed="false">
      <c r="A337" s="14"/>
      <c r="B337" s="9"/>
      <c r="C337" s="9"/>
      <c r="D337" s="9"/>
      <c r="E337" s="9"/>
      <c r="F337" s="17" t="str">
        <f aca="false">IF(AND(A337="",B337="",C337=""),"",IF(NOT(ISNUMBER(A337)),"Enter the date done",IF(OR(B337="",C337=""),"Fill in asset and task",IF(SUMPRODUCT(('PM Plan'!$A$5:$A$304=B337)*('PM Plan'!$B$5:$B$304=C337))=0,"No matching asset + task in plan","OK"))))</f>
        <v/>
      </c>
    </row>
    <row r="338" customFormat="false" ht="15" hidden="false" customHeight="false" outlineLevel="0" collapsed="false">
      <c r="A338" s="14"/>
      <c r="B338" s="9"/>
      <c r="C338" s="9"/>
      <c r="D338" s="9"/>
      <c r="E338" s="9"/>
      <c r="F338" s="17" t="str">
        <f aca="false">IF(AND(A338="",B338="",C338=""),"",IF(NOT(ISNUMBER(A338)),"Enter the date done",IF(OR(B338="",C338=""),"Fill in asset and task",IF(SUMPRODUCT(('PM Plan'!$A$5:$A$304=B338)*('PM Plan'!$B$5:$B$304=C338))=0,"No matching asset + task in plan","OK"))))</f>
        <v/>
      </c>
    </row>
    <row r="339" customFormat="false" ht="15" hidden="false" customHeight="false" outlineLevel="0" collapsed="false">
      <c r="A339" s="14"/>
      <c r="B339" s="9"/>
      <c r="C339" s="9"/>
      <c r="D339" s="9"/>
      <c r="E339" s="9"/>
      <c r="F339" s="17" t="str">
        <f aca="false">IF(AND(A339="",B339="",C339=""),"",IF(NOT(ISNUMBER(A339)),"Enter the date done",IF(OR(B339="",C339=""),"Fill in asset and task",IF(SUMPRODUCT(('PM Plan'!$A$5:$A$304=B339)*('PM Plan'!$B$5:$B$304=C339))=0,"No matching asset + task in plan","OK"))))</f>
        <v/>
      </c>
    </row>
    <row r="340" customFormat="false" ht="15" hidden="false" customHeight="false" outlineLevel="0" collapsed="false">
      <c r="A340" s="14"/>
      <c r="B340" s="9"/>
      <c r="C340" s="9"/>
      <c r="D340" s="9"/>
      <c r="E340" s="9"/>
      <c r="F340" s="17" t="str">
        <f aca="false">IF(AND(A340="",B340="",C340=""),"",IF(NOT(ISNUMBER(A340)),"Enter the date done",IF(OR(B340="",C340=""),"Fill in asset and task",IF(SUMPRODUCT(('PM Plan'!$A$5:$A$304=B340)*('PM Plan'!$B$5:$B$304=C340))=0,"No matching asset + task in plan","OK"))))</f>
        <v/>
      </c>
    </row>
    <row r="341" customFormat="false" ht="15" hidden="false" customHeight="false" outlineLevel="0" collapsed="false">
      <c r="A341" s="14"/>
      <c r="B341" s="9"/>
      <c r="C341" s="9"/>
      <c r="D341" s="9"/>
      <c r="E341" s="9"/>
      <c r="F341" s="17" t="str">
        <f aca="false">IF(AND(A341="",B341="",C341=""),"",IF(NOT(ISNUMBER(A341)),"Enter the date done",IF(OR(B341="",C341=""),"Fill in asset and task",IF(SUMPRODUCT(('PM Plan'!$A$5:$A$304=B341)*('PM Plan'!$B$5:$B$304=C341))=0,"No matching asset + task in plan","OK"))))</f>
        <v/>
      </c>
    </row>
    <row r="342" customFormat="false" ht="15" hidden="false" customHeight="false" outlineLevel="0" collapsed="false">
      <c r="A342" s="14"/>
      <c r="B342" s="9"/>
      <c r="C342" s="9"/>
      <c r="D342" s="9"/>
      <c r="E342" s="9"/>
      <c r="F342" s="17" t="str">
        <f aca="false">IF(AND(A342="",B342="",C342=""),"",IF(NOT(ISNUMBER(A342)),"Enter the date done",IF(OR(B342="",C342=""),"Fill in asset and task",IF(SUMPRODUCT(('PM Plan'!$A$5:$A$304=B342)*('PM Plan'!$B$5:$B$304=C342))=0,"No matching asset + task in plan","OK"))))</f>
        <v/>
      </c>
    </row>
    <row r="343" customFormat="false" ht="15" hidden="false" customHeight="false" outlineLevel="0" collapsed="false">
      <c r="A343" s="14"/>
      <c r="B343" s="9"/>
      <c r="C343" s="9"/>
      <c r="D343" s="9"/>
      <c r="E343" s="9"/>
      <c r="F343" s="17" t="str">
        <f aca="false">IF(AND(A343="",B343="",C343=""),"",IF(NOT(ISNUMBER(A343)),"Enter the date done",IF(OR(B343="",C343=""),"Fill in asset and task",IF(SUMPRODUCT(('PM Plan'!$A$5:$A$304=B343)*('PM Plan'!$B$5:$B$304=C343))=0,"No matching asset + task in plan","OK"))))</f>
        <v/>
      </c>
    </row>
    <row r="344" customFormat="false" ht="15" hidden="false" customHeight="false" outlineLevel="0" collapsed="false">
      <c r="A344" s="14"/>
      <c r="B344" s="9"/>
      <c r="C344" s="9"/>
      <c r="D344" s="9"/>
      <c r="E344" s="9"/>
      <c r="F344" s="17" t="str">
        <f aca="false">IF(AND(A344="",B344="",C344=""),"",IF(NOT(ISNUMBER(A344)),"Enter the date done",IF(OR(B344="",C344=""),"Fill in asset and task",IF(SUMPRODUCT(('PM Plan'!$A$5:$A$304=B344)*('PM Plan'!$B$5:$B$304=C344))=0,"No matching asset + task in plan","OK"))))</f>
        <v/>
      </c>
    </row>
    <row r="345" customFormat="false" ht="15" hidden="false" customHeight="false" outlineLevel="0" collapsed="false">
      <c r="A345" s="14"/>
      <c r="B345" s="9"/>
      <c r="C345" s="9"/>
      <c r="D345" s="9"/>
      <c r="E345" s="9"/>
      <c r="F345" s="17" t="str">
        <f aca="false">IF(AND(A345="",B345="",C345=""),"",IF(NOT(ISNUMBER(A345)),"Enter the date done",IF(OR(B345="",C345=""),"Fill in asset and task",IF(SUMPRODUCT(('PM Plan'!$A$5:$A$304=B345)*('PM Plan'!$B$5:$B$304=C345))=0,"No matching asset + task in plan","OK"))))</f>
        <v/>
      </c>
    </row>
    <row r="346" customFormat="false" ht="15" hidden="false" customHeight="false" outlineLevel="0" collapsed="false">
      <c r="A346" s="14"/>
      <c r="B346" s="9"/>
      <c r="C346" s="9"/>
      <c r="D346" s="9"/>
      <c r="E346" s="9"/>
      <c r="F346" s="17" t="str">
        <f aca="false">IF(AND(A346="",B346="",C346=""),"",IF(NOT(ISNUMBER(A346)),"Enter the date done",IF(OR(B346="",C346=""),"Fill in asset and task",IF(SUMPRODUCT(('PM Plan'!$A$5:$A$304=B346)*('PM Plan'!$B$5:$B$304=C346))=0,"No matching asset + task in plan","OK"))))</f>
        <v/>
      </c>
    </row>
    <row r="347" customFormat="false" ht="15" hidden="false" customHeight="false" outlineLevel="0" collapsed="false">
      <c r="A347" s="14"/>
      <c r="B347" s="9"/>
      <c r="C347" s="9"/>
      <c r="D347" s="9"/>
      <c r="E347" s="9"/>
      <c r="F347" s="17" t="str">
        <f aca="false">IF(AND(A347="",B347="",C347=""),"",IF(NOT(ISNUMBER(A347)),"Enter the date done",IF(OR(B347="",C347=""),"Fill in asset and task",IF(SUMPRODUCT(('PM Plan'!$A$5:$A$304=B347)*('PM Plan'!$B$5:$B$304=C347))=0,"No matching asset + task in plan","OK"))))</f>
        <v/>
      </c>
    </row>
    <row r="348" customFormat="false" ht="15" hidden="false" customHeight="false" outlineLevel="0" collapsed="false">
      <c r="A348" s="14"/>
      <c r="B348" s="9"/>
      <c r="C348" s="9"/>
      <c r="D348" s="9"/>
      <c r="E348" s="9"/>
      <c r="F348" s="17" t="str">
        <f aca="false">IF(AND(A348="",B348="",C348=""),"",IF(NOT(ISNUMBER(A348)),"Enter the date done",IF(OR(B348="",C348=""),"Fill in asset and task",IF(SUMPRODUCT(('PM Plan'!$A$5:$A$304=B348)*('PM Plan'!$B$5:$B$304=C348))=0,"No matching asset + task in plan","OK"))))</f>
        <v/>
      </c>
    </row>
    <row r="349" customFormat="false" ht="15" hidden="false" customHeight="false" outlineLevel="0" collapsed="false">
      <c r="A349" s="14"/>
      <c r="B349" s="9"/>
      <c r="C349" s="9"/>
      <c r="D349" s="9"/>
      <c r="E349" s="9"/>
      <c r="F349" s="17" t="str">
        <f aca="false">IF(AND(A349="",B349="",C349=""),"",IF(NOT(ISNUMBER(A349)),"Enter the date done",IF(OR(B349="",C349=""),"Fill in asset and task",IF(SUMPRODUCT(('PM Plan'!$A$5:$A$304=B349)*('PM Plan'!$B$5:$B$304=C349))=0,"No matching asset + task in plan","OK"))))</f>
        <v/>
      </c>
    </row>
    <row r="350" customFormat="false" ht="15" hidden="false" customHeight="false" outlineLevel="0" collapsed="false">
      <c r="A350" s="14"/>
      <c r="B350" s="9"/>
      <c r="C350" s="9"/>
      <c r="D350" s="9"/>
      <c r="E350" s="9"/>
      <c r="F350" s="17" t="str">
        <f aca="false">IF(AND(A350="",B350="",C350=""),"",IF(NOT(ISNUMBER(A350)),"Enter the date done",IF(OR(B350="",C350=""),"Fill in asset and task",IF(SUMPRODUCT(('PM Plan'!$A$5:$A$304=B350)*('PM Plan'!$B$5:$B$304=C350))=0,"No matching asset + task in plan","OK"))))</f>
        <v/>
      </c>
    </row>
    <row r="351" customFormat="false" ht="15" hidden="false" customHeight="false" outlineLevel="0" collapsed="false">
      <c r="A351" s="14"/>
      <c r="B351" s="9"/>
      <c r="C351" s="9"/>
      <c r="D351" s="9"/>
      <c r="E351" s="9"/>
      <c r="F351" s="17" t="str">
        <f aca="false">IF(AND(A351="",B351="",C351=""),"",IF(NOT(ISNUMBER(A351)),"Enter the date done",IF(OR(B351="",C351=""),"Fill in asset and task",IF(SUMPRODUCT(('PM Plan'!$A$5:$A$304=B351)*('PM Plan'!$B$5:$B$304=C351))=0,"No matching asset + task in plan","OK"))))</f>
        <v/>
      </c>
    </row>
    <row r="352" customFormat="false" ht="15" hidden="false" customHeight="false" outlineLevel="0" collapsed="false">
      <c r="A352" s="14"/>
      <c r="B352" s="9"/>
      <c r="C352" s="9"/>
      <c r="D352" s="9"/>
      <c r="E352" s="9"/>
      <c r="F352" s="17" t="str">
        <f aca="false">IF(AND(A352="",B352="",C352=""),"",IF(NOT(ISNUMBER(A352)),"Enter the date done",IF(OR(B352="",C352=""),"Fill in asset and task",IF(SUMPRODUCT(('PM Plan'!$A$5:$A$304=B352)*('PM Plan'!$B$5:$B$304=C352))=0,"No matching asset + task in plan","OK"))))</f>
        <v/>
      </c>
    </row>
    <row r="353" customFormat="false" ht="15" hidden="false" customHeight="false" outlineLevel="0" collapsed="false">
      <c r="A353" s="14"/>
      <c r="B353" s="9"/>
      <c r="C353" s="9"/>
      <c r="D353" s="9"/>
      <c r="E353" s="9"/>
      <c r="F353" s="17" t="str">
        <f aca="false">IF(AND(A353="",B353="",C353=""),"",IF(NOT(ISNUMBER(A353)),"Enter the date done",IF(OR(B353="",C353=""),"Fill in asset and task",IF(SUMPRODUCT(('PM Plan'!$A$5:$A$304=B353)*('PM Plan'!$B$5:$B$304=C353))=0,"No matching asset + task in plan","OK"))))</f>
        <v/>
      </c>
    </row>
    <row r="354" customFormat="false" ht="15" hidden="false" customHeight="false" outlineLevel="0" collapsed="false">
      <c r="A354" s="14"/>
      <c r="B354" s="9"/>
      <c r="C354" s="9"/>
      <c r="D354" s="9"/>
      <c r="E354" s="9"/>
      <c r="F354" s="17" t="str">
        <f aca="false">IF(AND(A354="",B354="",C354=""),"",IF(NOT(ISNUMBER(A354)),"Enter the date done",IF(OR(B354="",C354=""),"Fill in asset and task",IF(SUMPRODUCT(('PM Plan'!$A$5:$A$304=B354)*('PM Plan'!$B$5:$B$304=C354))=0,"No matching asset + task in plan","OK"))))</f>
        <v/>
      </c>
    </row>
    <row r="355" customFormat="false" ht="15" hidden="false" customHeight="false" outlineLevel="0" collapsed="false">
      <c r="A355" s="14"/>
      <c r="B355" s="9"/>
      <c r="C355" s="9"/>
      <c r="D355" s="9"/>
      <c r="E355" s="9"/>
      <c r="F355" s="17" t="str">
        <f aca="false">IF(AND(A355="",B355="",C355=""),"",IF(NOT(ISNUMBER(A355)),"Enter the date done",IF(OR(B355="",C355=""),"Fill in asset and task",IF(SUMPRODUCT(('PM Plan'!$A$5:$A$304=B355)*('PM Plan'!$B$5:$B$304=C355))=0,"No matching asset + task in plan","OK"))))</f>
        <v/>
      </c>
    </row>
    <row r="356" customFormat="false" ht="15" hidden="false" customHeight="false" outlineLevel="0" collapsed="false">
      <c r="A356" s="14"/>
      <c r="B356" s="9"/>
      <c r="C356" s="9"/>
      <c r="D356" s="9"/>
      <c r="E356" s="9"/>
      <c r="F356" s="17" t="str">
        <f aca="false">IF(AND(A356="",B356="",C356=""),"",IF(NOT(ISNUMBER(A356)),"Enter the date done",IF(OR(B356="",C356=""),"Fill in asset and task",IF(SUMPRODUCT(('PM Plan'!$A$5:$A$304=B356)*('PM Plan'!$B$5:$B$304=C356))=0,"No matching asset + task in plan","OK"))))</f>
        <v/>
      </c>
    </row>
    <row r="357" customFormat="false" ht="15" hidden="false" customHeight="false" outlineLevel="0" collapsed="false">
      <c r="A357" s="14"/>
      <c r="B357" s="9"/>
      <c r="C357" s="9"/>
      <c r="D357" s="9"/>
      <c r="E357" s="9"/>
      <c r="F357" s="17" t="str">
        <f aca="false">IF(AND(A357="",B357="",C357=""),"",IF(NOT(ISNUMBER(A357)),"Enter the date done",IF(OR(B357="",C357=""),"Fill in asset and task",IF(SUMPRODUCT(('PM Plan'!$A$5:$A$304=B357)*('PM Plan'!$B$5:$B$304=C357))=0,"No matching asset + task in plan","OK"))))</f>
        <v/>
      </c>
    </row>
    <row r="358" customFormat="false" ht="15" hidden="false" customHeight="false" outlineLevel="0" collapsed="false">
      <c r="A358" s="14"/>
      <c r="B358" s="9"/>
      <c r="C358" s="9"/>
      <c r="D358" s="9"/>
      <c r="E358" s="9"/>
      <c r="F358" s="17" t="str">
        <f aca="false">IF(AND(A358="",B358="",C358=""),"",IF(NOT(ISNUMBER(A358)),"Enter the date done",IF(OR(B358="",C358=""),"Fill in asset and task",IF(SUMPRODUCT(('PM Plan'!$A$5:$A$304=B358)*('PM Plan'!$B$5:$B$304=C358))=0,"No matching asset + task in plan","OK"))))</f>
        <v/>
      </c>
    </row>
    <row r="359" customFormat="false" ht="15" hidden="false" customHeight="false" outlineLevel="0" collapsed="false">
      <c r="A359" s="14"/>
      <c r="B359" s="9"/>
      <c r="C359" s="9"/>
      <c r="D359" s="9"/>
      <c r="E359" s="9"/>
      <c r="F359" s="17" t="str">
        <f aca="false">IF(AND(A359="",B359="",C359=""),"",IF(NOT(ISNUMBER(A359)),"Enter the date done",IF(OR(B359="",C359=""),"Fill in asset and task",IF(SUMPRODUCT(('PM Plan'!$A$5:$A$304=B359)*('PM Plan'!$B$5:$B$304=C359))=0,"No matching asset + task in plan","OK"))))</f>
        <v/>
      </c>
    </row>
    <row r="360" customFormat="false" ht="15" hidden="false" customHeight="false" outlineLevel="0" collapsed="false">
      <c r="A360" s="14"/>
      <c r="B360" s="9"/>
      <c r="C360" s="9"/>
      <c r="D360" s="9"/>
      <c r="E360" s="9"/>
      <c r="F360" s="17" t="str">
        <f aca="false">IF(AND(A360="",B360="",C360=""),"",IF(NOT(ISNUMBER(A360)),"Enter the date done",IF(OR(B360="",C360=""),"Fill in asset and task",IF(SUMPRODUCT(('PM Plan'!$A$5:$A$304=B360)*('PM Plan'!$B$5:$B$304=C360))=0,"No matching asset + task in plan","OK"))))</f>
        <v/>
      </c>
    </row>
    <row r="361" customFormat="false" ht="15" hidden="false" customHeight="false" outlineLevel="0" collapsed="false">
      <c r="A361" s="14"/>
      <c r="B361" s="9"/>
      <c r="C361" s="9"/>
      <c r="D361" s="9"/>
      <c r="E361" s="9"/>
      <c r="F361" s="17" t="str">
        <f aca="false">IF(AND(A361="",B361="",C361=""),"",IF(NOT(ISNUMBER(A361)),"Enter the date done",IF(OR(B361="",C361=""),"Fill in asset and task",IF(SUMPRODUCT(('PM Plan'!$A$5:$A$304=B361)*('PM Plan'!$B$5:$B$304=C361))=0,"No matching asset + task in plan","OK"))))</f>
        <v/>
      </c>
    </row>
    <row r="362" customFormat="false" ht="15" hidden="false" customHeight="false" outlineLevel="0" collapsed="false">
      <c r="A362" s="14"/>
      <c r="B362" s="9"/>
      <c r="C362" s="9"/>
      <c r="D362" s="9"/>
      <c r="E362" s="9"/>
      <c r="F362" s="17" t="str">
        <f aca="false">IF(AND(A362="",B362="",C362=""),"",IF(NOT(ISNUMBER(A362)),"Enter the date done",IF(OR(B362="",C362=""),"Fill in asset and task",IF(SUMPRODUCT(('PM Plan'!$A$5:$A$304=B362)*('PM Plan'!$B$5:$B$304=C362))=0,"No matching asset + task in plan","OK"))))</f>
        <v/>
      </c>
    </row>
    <row r="363" customFormat="false" ht="15" hidden="false" customHeight="false" outlineLevel="0" collapsed="false">
      <c r="A363" s="14"/>
      <c r="B363" s="9"/>
      <c r="C363" s="9"/>
      <c r="D363" s="9"/>
      <c r="E363" s="9"/>
      <c r="F363" s="17" t="str">
        <f aca="false">IF(AND(A363="",B363="",C363=""),"",IF(NOT(ISNUMBER(A363)),"Enter the date done",IF(OR(B363="",C363=""),"Fill in asset and task",IF(SUMPRODUCT(('PM Plan'!$A$5:$A$304=B363)*('PM Plan'!$B$5:$B$304=C363))=0,"No matching asset + task in plan","OK"))))</f>
        <v/>
      </c>
    </row>
    <row r="364" customFormat="false" ht="15" hidden="false" customHeight="false" outlineLevel="0" collapsed="false">
      <c r="A364" s="14"/>
      <c r="B364" s="9"/>
      <c r="C364" s="9"/>
      <c r="D364" s="9"/>
      <c r="E364" s="9"/>
      <c r="F364" s="17" t="str">
        <f aca="false">IF(AND(A364="",B364="",C364=""),"",IF(NOT(ISNUMBER(A364)),"Enter the date done",IF(OR(B364="",C364=""),"Fill in asset and task",IF(SUMPRODUCT(('PM Plan'!$A$5:$A$304=B364)*('PM Plan'!$B$5:$B$304=C364))=0,"No matching asset + task in plan","OK"))))</f>
        <v/>
      </c>
    </row>
    <row r="365" customFormat="false" ht="15" hidden="false" customHeight="false" outlineLevel="0" collapsed="false">
      <c r="A365" s="14"/>
      <c r="B365" s="9"/>
      <c r="C365" s="9"/>
      <c r="D365" s="9"/>
      <c r="E365" s="9"/>
      <c r="F365" s="17" t="str">
        <f aca="false">IF(AND(A365="",B365="",C365=""),"",IF(NOT(ISNUMBER(A365)),"Enter the date done",IF(OR(B365="",C365=""),"Fill in asset and task",IF(SUMPRODUCT(('PM Plan'!$A$5:$A$304=B365)*('PM Plan'!$B$5:$B$304=C365))=0,"No matching asset + task in plan","OK"))))</f>
        <v/>
      </c>
    </row>
    <row r="366" customFormat="false" ht="15" hidden="false" customHeight="false" outlineLevel="0" collapsed="false">
      <c r="A366" s="14"/>
      <c r="B366" s="9"/>
      <c r="C366" s="9"/>
      <c r="D366" s="9"/>
      <c r="E366" s="9"/>
      <c r="F366" s="17" t="str">
        <f aca="false">IF(AND(A366="",B366="",C366=""),"",IF(NOT(ISNUMBER(A366)),"Enter the date done",IF(OR(B366="",C366=""),"Fill in asset and task",IF(SUMPRODUCT(('PM Plan'!$A$5:$A$304=B366)*('PM Plan'!$B$5:$B$304=C366))=0,"No matching asset + task in plan","OK"))))</f>
        <v/>
      </c>
    </row>
    <row r="367" customFormat="false" ht="15" hidden="false" customHeight="false" outlineLevel="0" collapsed="false">
      <c r="A367" s="14"/>
      <c r="B367" s="9"/>
      <c r="C367" s="9"/>
      <c r="D367" s="9"/>
      <c r="E367" s="9"/>
      <c r="F367" s="17" t="str">
        <f aca="false">IF(AND(A367="",B367="",C367=""),"",IF(NOT(ISNUMBER(A367)),"Enter the date done",IF(OR(B367="",C367=""),"Fill in asset and task",IF(SUMPRODUCT(('PM Plan'!$A$5:$A$304=B367)*('PM Plan'!$B$5:$B$304=C367))=0,"No matching asset + task in plan","OK"))))</f>
        <v/>
      </c>
    </row>
    <row r="368" customFormat="false" ht="15" hidden="false" customHeight="false" outlineLevel="0" collapsed="false">
      <c r="A368" s="14"/>
      <c r="B368" s="9"/>
      <c r="C368" s="9"/>
      <c r="D368" s="9"/>
      <c r="E368" s="9"/>
      <c r="F368" s="17" t="str">
        <f aca="false">IF(AND(A368="",B368="",C368=""),"",IF(NOT(ISNUMBER(A368)),"Enter the date done",IF(OR(B368="",C368=""),"Fill in asset and task",IF(SUMPRODUCT(('PM Plan'!$A$5:$A$304=B368)*('PM Plan'!$B$5:$B$304=C368))=0,"No matching asset + task in plan","OK"))))</f>
        <v/>
      </c>
    </row>
    <row r="369" customFormat="false" ht="15" hidden="false" customHeight="false" outlineLevel="0" collapsed="false">
      <c r="A369" s="14"/>
      <c r="B369" s="9"/>
      <c r="C369" s="9"/>
      <c r="D369" s="9"/>
      <c r="E369" s="9"/>
      <c r="F369" s="17" t="str">
        <f aca="false">IF(AND(A369="",B369="",C369=""),"",IF(NOT(ISNUMBER(A369)),"Enter the date done",IF(OR(B369="",C369=""),"Fill in asset and task",IF(SUMPRODUCT(('PM Plan'!$A$5:$A$304=B369)*('PM Plan'!$B$5:$B$304=C369))=0,"No matching asset + task in plan","OK"))))</f>
        <v/>
      </c>
    </row>
    <row r="370" customFormat="false" ht="15" hidden="false" customHeight="false" outlineLevel="0" collapsed="false">
      <c r="A370" s="14"/>
      <c r="B370" s="9"/>
      <c r="C370" s="9"/>
      <c r="D370" s="9"/>
      <c r="E370" s="9"/>
      <c r="F370" s="17" t="str">
        <f aca="false">IF(AND(A370="",B370="",C370=""),"",IF(NOT(ISNUMBER(A370)),"Enter the date done",IF(OR(B370="",C370=""),"Fill in asset and task",IF(SUMPRODUCT(('PM Plan'!$A$5:$A$304=B370)*('PM Plan'!$B$5:$B$304=C370))=0,"No matching asset + task in plan","OK"))))</f>
        <v/>
      </c>
    </row>
    <row r="371" customFormat="false" ht="15" hidden="false" customHeight="false" outlineLevel="0" collapsed="false">
      <c r="A371" s="14"/>
      <c r="B371" s="9"/>
      <c r="C371" s="9"/>
      <c r="D371" s="9"/>
      <c r="E371" s="9"/>
      <c r="F371" s="17" t="str">
        <f aca="false">IF(AND(A371="",B371="",C371=""),"",IF(NOT(ISNUMBER(A371)),"Enter the date done",IF(OR(B371="",C371=""),"Fill in asset and task",IF(SUMPRODUCT(('PM Plan'!$A$5:$A$304=B371)*('PM Plan'!$B$5:$B$304=C371))=0,"No matching asset + task in plan","OK"))))</f>
        <v/>
      </c>
    </row>
    <row r="372" customFormat="false" ht="15" hidden="false" customHeight="false" outlineLevel="0" collapsed="false">
      <c r="A372" s="14"/>
      <c r="B372" s="9"/>
      <c r="C372" s="9"/>
      <c r="D372" s="9"/>
      <c r="E372" s="9"/>
      <c r="F372" s="17" t="str">
        <f aca="false">IF(AND(A372="",B372="",C372=""),"",IF(NOT(ISNUMBER(A372)),"Enter the date done",IF(OR(B372="",C372=""),"Fill in asset and task",IF(SUMPRODUCT(('PM Plan'!$A$5:$A$304=B372)*('PM Plan'!$B$5:$B$304=C372))=0,"No matching asset + task in plan","OK"))))</f>
        <v/>
      </c>
    </row>
    <row r="373" customFormat="false" ht="15" hidden="false" customHeight="false" outlineLevel="0" collapsed="false">
      <c r="A373" s="14"/>
      <c r="B373" s="9"/>
      <c r="C373" s="9"/>
      <c r="D373" s="9"/>
      <c r="E373" s="9"/>
      <c r="F373" s="17" t="str">
        <f aca="false">IF(AND(A373="",B373="",C373=""),"",IF(NOT(ISNUMBER(A373)),"Enter the date done",IF(OR(B373="",C373=""),"Fill in asset and task",IF(SUMPRODUCT(('PM Plan'!$A$5:$A$304=B373)*('PM Plan'!$B$5:$B$304=C373))=0,"No matching asset + task in plan","OK"))))</f>
        <v/>
      </c>
    </row>
    <row r="374" customFormat="false" ht="15" hidden="false" customHeight="false" outlineLevel="0" collapsed="false">
      <c r="A374" s="14"/>
      <c r="B374" s="9"/>
      <c r="C374" s="9"/>
      <c r="D374" s="9"/>
      <c r="E374" s="9"/>
      <c r="F374" s="17" t="str">
        <f aca="false">IF(AND(A374="",B374="",C374=""),"",IF(NOT(ISNUMBER(A374)),"Enter the date done",IF(OR(B374="",C374=""),"Fill in asset and task",IF(SUMPRODUCT(('PM Plan'!$A$5:$A$304=B374)*('PM Plan'!$B$5:$B$304=C374))=0,"No matching asset + task in plan","OK"))))</f>
        <v/>
      </c>
    </row>
    <row r="375" customFormat="false" ht="15" hidden="false" customHeight="false" outlineLevel="0" collapsed="false">
      <c r="A375" s="14"/>
      <c r="B375" s="9"/>
      <c r="C375" s="9"/>
      <c r="D375" s="9"/>
      <c r="E375" s="9"/>
      <c r="F375" s="17" t="str">
        <f aca="false">IF(AND(A375="",B375="",C375=""),"",IF(NOT(ISNUMBER(A375)),"Enter the date done",IF(OR(B375="",C375=""),"Fill in asset and task",IF(SUMPRODUCT(('PM Plan'!$A$5:$A$304=B375)*('PM Plan'!$B$5:$B$304=C375))=0,"No matching asset + task in plan","OK"))))</f>
        <v/>
      </c>
    </row>
    <row r="376" customFormat="false" ht="15" hidden="false" customHeight="false" outlineLevel="0" collapsed="false">
      <c r="A376" s="14"/>
      <c r="B376" s="9"/>
      <c r="C376" s="9"/>
      <c r="D376" s="9"/>
      <c r="E376" s="9"/>
      <c r="F376" s="17" t="str">
        <f aca="false">IF(AND(A376="",B376="",C376=""),"",IF(NOT(ISNUMBER(A376)),"Enter the date done",IF(OR(B376="",C376=""),"Fill in asset and task",IF(SUMPRODUCT(('PM Plan'!$A$5:$A$304=B376)*('PM Plan'!$B$5:$B$304=C376))=0,"No matching asset + task in plan","OK"))))</f>
        <v/>
      </c>
    </row>
    <row r="377" customFormat="false" ht="15" hidden="false" customHeight="false" outlineLevel="0" collapsed="false">
      <c r="A377" s="14"/>
      <c r="B377" s="9"/>
      <c r="C377" s="9"/>
      <c r="D377" s="9"/>
      <c r="E377" s="9"/>
      <c r="F377" s="17" t="str">
        <f aca="false">IF(AND(A377="",B377="",C377=""),"",IF(NOT(ISNUMBER(A377)),"Enter the date done",IF(OR(B377="",C377=""),"Fill in asset and task",IF(SUMPRODUCT(('PM Plan'!$A$5:$A$304=B377)*('PM Plan'!$B$5:$B$304=C377))=0,"No matching asset + task in plan","OK"))))</f>
        <v/>
      </c>
    </row>
    <row r="378" customFormat="false" ht="15" hidden="false" customHeight="false" outlineLevel="0" collapsed="false">
      <c r="A378" s="14"/>
      <c r="B378" s="9"/>
      <c r="C378" s="9"/>
      <c r="D378" s="9"/>
      <c r="E378" s="9"/>
      <c r="F378" s="17" t="str">
        <f aca="false">IF(AND(A378="",B378="",C378=""),"",IF(NOT(ISNUMBER(A378)),"Enter the date done",IF(OR(B378="",C378=""),"Fill in asset and task",IF(SUMPRODUCT(('PM Plan'!$A$5:$A$304=B378)*('PM Plan'!$B$5:$B$304=C378))=0,"No matching asset + task in plan","OK"))))</f>
        <v/>
      </c>
    </row>
    <row r="379" customFormat="false" ht="15" hidden="false" customHeight="false" outlineLevel="0" collapsed="false">
      <c r="A379" s="14"/>
      <c r="B379" s="9"/>
      <c r="C379" s="9"/>
      <c r="D379" s="9"/>
      <c r="E379" s="9"/>
      <c r="F379" s="17" t="str">
        <f aca="false">IF(AND(A379="",B379="",C379=""),"",IF(NOT(ISNUMBER(A379)),"Enter the date done",IF(OR(B379="",C379=""),"Fill in asset and task",IF(SUMPRODUCT(('PM Plan'!$A$5:$A$304=B379)*('PM Plan'!$B$5:$B$304=C379))=0,"No matching asset + task in plan","OK"))))</f>
        <v/>
      </c>
    </row>
    <row r="380" customFormat="false" ht="15" hidden="false" customHeight="false" outlineLevel="0" collapsed="false">
      <c r="A380" s="14"/>
      <c r="B380" s="9"/>
      <c r="C380" s="9"/>
      <c r="D380" s="9"/>
      <c r="E380" s="9"/>
      <c r="F380" s="17" t="str">
        <f aca="false">IF(AND(A380="",B380="",C380=""),"",IF(NOT(ISNUMBER(A380)),"Enter the date done",IF(OR(B380="",C380=""),"Fill in asset and task",IF(SUMPRODUCT(('PM Plan'!$A$5:$A$304=B380)*('PM Plan'!$B$5:$B$304=C380))=0,"No matching asset + task in plan","OK"))))</f>
        <v/>
      </c>
    </row>
    <row r="381" customFormat="false" ht="15" hidden="false" customHeight="false" outlineLevel="0" collapsed="false">
      <c r="A381" s="14"/>
      <c r="B381" s="9"/>
      <c r="C381" s="9"/>
      <c r="D381" s="9"/>
      <c r="E381" s="9"/>
      <c r="F381" s="17" t="str">
        <f aca="false">IF(AND(A381="",B381="",C381=""),"",IF(NOT(ISNUMBER(A381)),"Enter the date done",IF(OR(B381="",C381=""),"Fill in asset and task",IF(SUMPRODUCT(('PM Plan'!$A$5:$A$304=B381)*('PM Plan'!$B$5:$B$304=C381))=0,"No matching asset + task in plan","OK"))))</f>
        <v/>
      </c>
    </row>
    <row r="382" customFormat="false" ht="15" hidden="false" customHeight="false" outlineLevel="0" collapsed="false">
      <c r="A382" s="14"/>
      <c r="B382" s="9"/>
      <c r="C382" s="9"/>
      <c r="D382" s="9"/>
      <c r="E382" s="9"/>
      <c r="F382" s="17" t="str">
        <f aca="false">IF(AND(A382="",B382="",C382=""),"",IF(NOT(ISNUMBER(A382)),"Enter the date done",IF(OR(B382="",C382=""),"Fill in asset and task",IF(SUMPRODUCT(('PM Plan'!$A$5:$A$304=B382)*('PM Plan'!$B$5:$B$304=C382))=0,"No matching asset + task in plan","OK"))))</f>
        <v/>
      </c>
    </row>
    <row r="383" customFormat="false" ht="15" hidden="false" customHeight="false" outlineLevel="0" collapsed="false">
      <c r="A383" s="14"/>
      <c r="B383" s="9"/>
      <c r="C383" s="9"/>
      <c r="D383" s="9"/>
      <c r="E383" s="9"/>
      <c r="F383" s="17" t="str">
        <f aca="false">IF(AND(A383="",B383="",C383=""),"",IF(NOT(ISNUMBER(A383)),"Enter the date done",IF(OR(B383="",C383=""),"Fill in asset and task",IF(SUMPRODUCT(('PM Plan'!$A$5:$A$304=B383)*('PM Plan'!$B$5:$B$304=C383))=0,"No matching asset + task in plan","OK"))))</f>
        <v/>
      </c>
    </row>
    <row r="384" customFormat="false" ht="15" hidden="false" customHeight="false" outlineLevel="0" collapsed="false">
      <c r="A384" s="14"/>
      <c r="B384" s="9"/>
      <c r="C384" s="9"/>
      <c r="D384" s="9"/>
      <c r="E384" s="9"/>
      <c r="F384" s="17" t="str">
        <f aca="false">IF(AND(A384="",B384="",C384=""),"",IF(NOT(ISNUMBER(A384)),"Enter the date done",IF(OR(B384="",C384=""),"Fill in asset and task",IF(SUMPRODUCT(('PM Plan'!$A$5:$A$304=B384)*('PM Plan'!$B$5:$B$304=C384))=0,"No matching asset + task in plan","OK"))))</f>
        <v/>
      </c>
    </row>
    <row r="385" customFormat="false" ht="15" hidden="false" customHeight="false" outlineLevel="0" collapsed="false">
      <c r="A385" s="14"/>
      <c r="B385" s="9"/>
      <c r="C385" s="9"/>
      <c r="D385" s="9"/>
      <c r="E385" s="9"/>
      <c r="F385" s="17" t="str">
        <f aca="false">IF(AND(A385="",B385="",C385=""),"",IF(NOT(ISNUMBER(A385)),"Enter the date done",IF(OR(B385="",C385=""),"Fill in asset and task",IF(SUMPRODUCT(('PM Plan'!$A$5:$A$304=B385)*('PM Plan'!$B$5:$B$304=C385))=0,"No matching asset + task in plan","OK"))))</f>
        <v/>
      </c>
    </row>
    <row r="386" customFormat="false" ht="15" hidden="false" customHeight="false" outlineLevel="0" collapsed="false">
      <c r="A386" s="14"/>
      <c r="B386" s="9"/>
      <c r="C386" s="9"/>
      <c r="D386" s="9"/>
      <c r="E386" s="9"/>
      <c r="F386" s="17" t="str">
        <f aca="false">IF(AND(A386="",B386="",C386=""),"",IF(NOT(ISNUMBER(A386)),"Enter the date done",IF(OR(B386="",C386=""),"Fill in asset and task",IF(SUMPRODUCT(('PM Plan'!$A$5:$A$304=B386)*('PM Plan'!$B$5:$B$304=C386))=0,"No matching asset + task in plan","OK"))))</f>
        <v/>
      </c>
    </row>
    <row r="387" customFormat="false" ht="15" hidden="false" customHeight="false" outlineLevel="0" collapsed="false">
      <c r="A387" s="14"/>
      <c r="B387" s="9"/>
      <c r="C387" s="9"/>
      <c r="D387" s="9"/>
      <c r="E387" s="9"/>
      <c r="F387" s="17" t="str">
        <f aca="false">IF(AND(A387="",B387="",C387=""),"",IF(NOT(ISNUMBER(A387)),"Enter the date done",IF(OR(B387="",C387=""),"Fill in asset and task",IF(SUMPRODUCT(('PM Plan'!$A$5:$A$304=B387)*('PM Plan'!$B$5:$B$304=C387))=0,"No matching asset + task in plan","OK"))))</f>
        <v/>
      </c>
    </row>
    <row r="388" customFormat="false" ht="15" hidden="false" customHeight="false" outlineLevel="0" collapsed="false">
      <c r="A388" s="14"/>
      <c r="B388" s="9"/>
      <c r="C388" s="9"/>
      <c r="D388" s="9"/>
      <c r="E388" s="9"/>
      <c r="F388" s="17" t="str">
        <f aca="false">IF(AND(A388="",B388="",C388=""),"",IF(NOT(ISNUMBER(A388)),"Enter the date done",IF(OR(B388="",C388=""),"Fill in asset and task",IF(SUMPRODUCT(('PM Plan'!$A$5:$A$304=B388)*('PM Plan'!$B$5:$B$304=C388))=0,"No matching asset + task in plan","OK"))))</f>
        <v/>
      </c>
    </row>
    <row r="389" customFormat="false" ht="15" hidden="false" customHeight="false" outlineLevel="0" collapsed="false">
      <c r="A389" s="14"/>
      <c r="B389" s="9"/>
      <c r="C389" s="9"/>
      <c r="D389" s="9"/>
      <c r="E389" s="9"/>
      <c r="F389" s="17" t="str">
        <f aca="false">IF(AND(A389="",B389="",C389=""),"",IF(NOT(ISNUMBER(A389)),"Enter the date done",IF(OR(B389="",C389=""),"Fill in asset and task",IF(SUMPRODUCT(('PM Plan'!$A$5:$A$304=B389)*('PM Plan'!$B$5:$B$304=C389))=0,"No matching asset + task in plan","OK"))))</f>
        <v/>
      </c>
    </row>
    <row r="390" customFormat="false" ht="15" hidden="false" customHeight="false" outlineLevel="0" collapsed="false">
      <c r="A390" s="14"/>
      <c r="B390" s="9"/>
      <c r="C390" s="9"/>
      <c r="D390" s="9"/>
      <c r="E390" s="9"/>
      <c r="F390" s="17" t="str">
        <f aca="false">IF(AND(A390="",B390="",C390=""),"",IF(NOT(ISNUMBER(A390)),"Enter the date done",IF(OR(B390="",C390=""),"Fill in asset and task",IF(SUMPRODUCT(('PM Plan'!$A$5:$A$304=B390)*('PM Plan'!$B$5:$B$304=C390))=0,"No matching asset + task in plan","OK"))))</f>
        <v/>
      </c>
    </row>
    <row r="391" customFormat="false" ht="15" hidden="false" customHeight="false" outlineLevel="0" collapsed="false">
      <c r="A391" s="14"/>
      <c r="B391" s="9"/>
      <c r="C391" s="9"/>
      <c r="D391" s="9"/>
      <c r="E391" s="9"/>
      <c r="F391" s="17" t="str">
        <f aca="false">IF(AND(A391="",B391="",C391=""),"",IF(NOT(ISNUMBER(A391)),"Enter the date done",IF(OR(B391="",C391=""),"Fill in asset and task",IF(SUMPRODUCT(('PM Plan'!$A$5:$A$304=B391)*('PM Plan'!$B$5:$B$304=C391))=0,"No matching asset + task in plan","OK"))))</f>
        <v/>
      </c>
    </row>
    <row r="392" customFormat="false" ht="15" hidden="false" customHeight="false" outlineLevel="0" collapsed="false">
      <c r="A392" s="14"/>
      <c r="B392" s="9"/>
      <c r="C392" s="9"/>
      <c r="D392" s="9"/>
      <c r="E392" s="9"/>
      <c r="F392" s="17" t="str">
        <f aca="false">IF(AND(A392="",B392="",C392=""),"",IF(NOT(ISNUMBER(A392)),"Enter the date done",IF(OR(B392="",C392=""),"Fill in asset and task",IF(SUMPRODUCT(('PM Plan'!$A$5:$A$304=B392)*('PM Plan'!$B$5:$B$304=C392))=0,"No matching asset + task in plan","OK"))))</f>
        <v/>
      </c>
    </row>
    <row r="393" customFormat="false" ht="15" hidden="false" customHeight="false" outlineLevel="0" collapsed="false">
      <c r="A393" s="14"/>
      <c r="B393" s="9"/>
      <c r="C393" s="9"/>
      <c r="D393" s="9"/>
      <c r="E393" s="9"/>
      <c r="F393" s="17" t="str">
        <f aca="false">IF(AND(A393="",B393="",C393=""),"",IF(NOT(ISNUMBER(A393)),"Enter the date done",IF(OR(B393="",C393=""),"Fill in asset and task",IF(SUMPRODUCT(('PM Plan'!$A$5:$A$304=B393)*('PM Plan'!$B$5:$B$304=C393))=0,"No matching asset + task in plan","OK"))))</f>
        <v/>
      </c>
    </row>
    <row r="394" customFormat="false" ht="15" hidden="false" customHeight="false" outlineLevel="0" collapsed="false">
      <c r="A394" s="14"/>
      <c r="B394" s="9"/>
      <c r="C394" s="9"/>
      <c r="D394" s="9"/>
      <c r="E394" s="9"/>
      <c r="F394" s="17" t="str">
        <f aca="false">IF(AND(A394="",B394="",C394=""),"",IF(NOT(ISNUMBER(A394)),"Enter the date done",IF(OR(B394="",C394=""),"Fill in asset and task",IF(SUMPRODUCT(('PM Plan'!$A$5:$A$304=B394)*('PM Plan'!$B$5:$B$304=C394))=0,"No matching asset + task in plan","OK"))))</f>
        <v/>
      </c>
    </row>
    <row r="395" customFormat="false" ht="15" hidden="false" customHeight="false" outlineLevel="0" collapsed="false">
      <c r="A395" s="14"/>
      <c r="B395" s="9"/>
      <c r="C395" s="9"/>
      <c r="D395" s="9"/>
      <c r="E395" s="9"/>
      <c r="F395" s="17" t="str">
        <f aca="false">IF(AND(A395="",B395="",C395=""),"",IF(NOT(ISNUMBER(A395)),"Enter the date done",IF(OR(B395="",C395=""),"Fill in asset and task",IF(SUMPRODUCT(('PM Plan'!$A$5:$A$304=B395)*('PM Plan'!$B$5:$B$304=C395))=0,"No matching asset + task in plan","OK"))))</f>
        <v/>
      </c>
    </row>
    <row r="396" customFormat="false" ht="15" hidden="false" customHeight="false" outlineLevel="0" collapsed="false">
      <c r="A396" s="14"/>
      <c r="B396" s="9"/>
      <c r="C396" s="9"/>
      <c r="D396" s="9"/>
      <c r="E396" s="9"/>
      <c r="F396" s="17" t="str">
        <f aca="false">IF(AND(A396="",B396="",C396=""),"",IF(NOT(ISNUMBER(A396)),"Enter the date done",IF(OR(B396="",C396=""),"Fill in asset and task",IF(SUMPRODUCT(('PM Plan'!$A$5:$A$304=B396)*('PM Plan'!$B$5:$B$304=C396))=0,"No matching asset + task in plan","OK"))))</f>
        <v/>
      </c>
    </row>
    <row r="397" customFormat="false" ht="15" hidden="false" customHeight="false" outlineLevel="0" collapsed="false">
      <c r="A397" s="14"/>
      <c r="B397" s="9"/>
      <c r="C397" s="9"/>
      <c r="D397" s="9"/>
      <c r="E397" s="9"/>
      <c r="F397" s="17" t="str">
        <f aca="false">IF(AND(A397="",B397="",C397=""),"",IF(NOT(ISNUMBER(A397)),"Enter the date done",IF(OR(B397="",C397=""),"Fill in asset and task",IF(SUMPRODUCT(('PM Plan'!$A$5:$A$304=B397)*('PM Plan'!$B$5:$B$304=C397))=0,"No matching asset + task in plan","OK"))))</f>
        <v/>
      </c>
    </row>
    <row r="398" customFormat="false" ht="15" hidden="false" customHeight="false" outlineLevel="0" collapsed="false">
      <c r="A398" s="14"/>
      <c r="B398" s="9"/>
      <c r="C398" s="9"/>
      <c r="D398" s="9"/>
      <c r="E398" s="9"/>
      <c r="F398" s="17" t="str">
        <f aca="false">IF(AND(A398="",B398="",C398=""),"",IF(NOT(ISNUMBER(A398)),"Enter the date done",IF(OR(B398="",C398=""),"Fill in asset and task",IF(SUMPRODUCT(('PM Plan'!$A$5:$A$304=B398)*('PM Plan'!$B$5:$B$304=C398))=0,"No matching asset + task in plan","OK"))))</f>
        <v/>
      </c>
    </row>
    <row r="399" customFormat="false" ht="15" hidden="false" customHeight="false" outlineLevel="0" collapsed="false">
      <c r="A399" s="14"/>
      <c r="B399" s="9"/>
      <c r="C399" s="9"/>
      <c r="D399" s="9"/>
      <c r="E399" s="9"/>
      <c r="F399" s="17" t="str">
        <f aca="false">IF(AND(A399="",B399="",C399=""),"",IF(NOT(ISNUMBER(A399)),"Enter the date done",IF(OR(B399="",C399=""),"Fill in asset and task",IF(SUMPRODUCT(('PM Plan'!$A$5:$A$304=B399)*('PM Plan'!$B$5:$B$304=C399))=0,"No matching asset + task in plan","OK"))))</f>
        <v/>
      </c>
    </row>
    <row r="400" customFormat="false" ht="15" hidden="false" customHeight="false" outlineLevel="0" collapsed="false">
      <c r="A400" s="14"/>
      <c r="B400" s="9"/>
      <c r="C400" s="9"/>
      <c r="D400" s="9"/>
      <c r="E400" s="9"/>
      <c r="F400" s="17" t="str">
        <f aca="false">IF(AND(A400="",B400="",C400=""),"",IF(NOT(ISNUMBER(A400)),"Enter the date done",IF(OR(B400="",C400=""),"Fill in asset and task",IF(SUMPRODUCT(('PM Plan'!$A$5:$A$304=B400)*('PM Plan'!$B$5:$B$304=C400))=0,"No matching asset + task in plan","OK"))))</f>
        <v/>
      </c>
    </row>
    <row r="401" customFormat="false" ht="15" hidden="false" customHeight="false" outlineLevel="0" collapsed="false">
      <c r="A401" s="14"/>
      <c r="B401" s="9"/>
      <c r="C401" s="9"/>
      <c r="D401" s="9"/>
      <c r="E401" s="9"/>
      <c r="F401" s="17" t="str">
        <f aca="false">IF(AND(A401="",B401="",C401=""),"",IF(NOT(ISNUMBER(A401)),"Enter the date done",IF(OR(B401="",C401=""),"Fill in asset and task",IF(SUMPRODUCT(('PM Plan'!$A$5:$A$304=B401)*('PM Plan'!$B$5:$B$304=C401))=0,"No matching asset + task in plan","OK"))))</f>
        <v/>
      </c>
    </row>
    <row r="402" customFormat="false" ht="15" hidden="false" customHeight="false" outlineLevel="0" collapsed="false">
      <c r="A402" s="14"/>
      <c r="B402" s="9"/>
      <c r="C402" s="9"/>
      <c r="D402" s="9"/>
      <c r="E402" s="9"/>
      <c r="F402" s="17" t="str">
        <f aca="false">IF(AND(A402="",B402="",C402=""),"",IF(NOT(ISNUMBER(A402)),"Enter the date done",IF(OR(B402="",C402=""),"Fill in asset and task",IF(SUMPRODUCT(('PM Plan'!$A$5:$A$304=B402)*('PM Plan'!$B$5:$B$304=C402))=0,"No matching asset + task in plan","OK"))))</f>
        <v/>
      </c>
    </row>
    <row r="403" customFormat="false" ht="15" hidden="false" customHeight="false" outlineLevel="0" collapsed="false">
      <c r="A403" s="14"/>
      <c r="B403" s="9"/>
      <c r="C403" s="9"/>
      <c r="D403" s="9"/>
      <c r="E403" s="9"/>
      <c r="F403" s="17" t="str">
        <f aca="false">IF(AND(A403="",B403="",C403=""),"",IF(NOT(ISNUMBER(A403)),"Enter the date done",IF(OR(B403="",C403=""),"Fill in asset and task",IF(SUMPRODUCT(('PM Plan'!$A$5:$A$304=B403)*('PM Plan'!$B$5:$B$304=C403))=0,"No matching asset + task in plan","OK"))))</f>
        <v/>
      </c>
    </row>
    <row r="404" customFormat="false" ht="15" hidden="false" customHeight="false" outlineLevel="0" collapsed="false">
      <c r="A404" s="14"/>
      <c r="B404" s="9"/>
      <c r="C404" s="9"/>
      <c r="D404" s="9"/>
      <c r="E404" s="9"/>
      <c r="F404" s="17" t="str">
        <f aca="false">IF(AND(A404="",B404="",C404=""),"",IF(NOT(ISNUMBER(A404)),"Enter the date done",IF(OR(B404="",C404=""),"Fill in asset and task",IF(SUMPRODUCT(('PM Plan'!$A$5:$A$304=B404)*('PM Plan'!$B$5:$B$304=C404))=0,"No matching asset + task in plan","OK"))))</f>
        <v/>
      </c>
    </row>
    <row r="405" customFormat="false" ht="15" hidden="false" customHeight="false" outlineLevel="0" collapsed="false">
      <c r="A405" s="14"/>
      <c r="B405" s="9"/>
      <c r="C405" s="9"/>
      <c r="D405" s="9"/>
      <c r="E405" s="9"/>
      <c r="F405" s="17" t="str">
        <f aca="false">IF(AND(A405="",B405="",C405=""),"",IF(NOT(ISNUMBER(A405)),"Enter the date done",IF(OR(B405="",C405=""),"Fill in asset and task",IF(SUMPRODUCT(('PM Plan'!$A$5:$A$304=B405)*('PM Plan'!$B$5:$B$304=C405))=0,"No matching asset + task in plan","OK"))))</f>
        <v/>
      </c>
    </row>
    <row r="406" customFormat="false" ht="15" hidden="false" customHeight="false" outlineLevel="0" collapsed="false">
      <c r="A406" s="14"/>
      <c r="B406" s="9"/>
      <c r="C406" s="9"/>
      <c r="D406" s="9"/>
      <c r="E406" s="9"/>
      <c r="F406" s="17" t="str">
        <f aca="false">IF(AND(A406="",B406="",C406=""),"",IF(NOT(ISNUMBER(A406)),"Enter the date done",IF(OR(B406="",C406=""),"Fill in asset and task",IF(SUMPRODUCT(('PM Plan'!$A$5:$A$304=B406)*('PM Plan'!$B$5:$B$304=C406))=0,"No matching asset + task in plan","OK"))))</f>
        <v/>
      </c>
    </row>
    <row r="407" customFormat="false" ht="15" hidden="false" customHeight="false" outlineLevel="0" collapsed="false">
      <c r="A407" s="14"/>
      <c r="B407" s="9"/>
      <c r="C407" s="9"/>
      <c r="D407" s="9"/>
      <c r="E407" s="9"/>
      <c r="F407" s="17" t="str">
        <f aca="false">IF(AND(A407="",B407="",C407=""),"",IF(NOT(ISNUMBER(A407)),"Enter the date done",IF(OR(B407="",C407=""),"Fill in asset and task",IF(SUMPRODUCT(('PM Plan'!$A$5:$A$304=B407)*('PM Plan'!$B$5:$B$304=C407))=0,"No matching asset + task in plan","OK"))))</f>
        <v/>
      </c>
    </row>
    <row r="408" customFormat="false" ht="15" hidden="false" customHeight="false" outlineLevel="0" collapsed="false">
      <c r="A408" s="14"/>
      <c r="B408" s="9"/>
      <c r="C408" s="9"/>
      <c r="D408" s="9"/>
      <c r="E408" s="9"/>
      <c r="F408" s="17" t="str">
        <f aca="false">IF(AND(A408="",B408="",C408=""),"",IF(NOT(ISNUMBER(A408)),"Enter the date done",IF(OR(B408="",C408=""),"Fill in asset and task",IF(SUMPRODUCT(('PM Plan'!$A$5:$A$304=B408)*('PM Plan'!$B$5:$B$304=C408))=0,"No matching asset + task in plan","OK"))))</f>
        <v/>
      </c>
    </row>
    <row r="409" customFormat="false" ht="15" hidden="false" customHeight="false" outlineLevel="0" collapsed="false">
      <c r="A409" s="14"/>
      <c r="B409" s="9"/>
      <c r="C409" s="9"/>
      <c r="D409" s="9"/>
      <c r="E409" s="9"/>
      <c r="F409" s="17" t="str">
        <f aca="false">IF(AND(A409="",B409="",C409=""),"",IF(NOT(ISNUMBER(A409)),"Enter the date done",IF(OR(B409="",C409=""),"Fill in asset and task",IF(SUMPRODUCT(('PM Plan'!$A$5:$A$304=B409)*('PM Plan'!$B$5:$B$304=C409))=0,"No matching asset + task in plan","OK"))))</f>
        <v/>
      </c>
    </row>
    <row r="410" customFormat="false" ht="15" hidden="false" customHeight="false" outlineLevel="0" collapsed="false">
      <c r="A410" s="14"/>
      <c r="B410" s="9"/>
      <c r="C410" s="9"/>
      <c r="D410" s="9"/>
      <c r="E410" s="9"/>
      <c r="F410" s="17" t="str">
        <f aca="false">IF(AND(A410="",B410="",C410=""),"",IF(NOT(ISNUMBER(A410)),"Enter the date done",IF(OR(B410="",C410=""),"Fill in asset and task",IF(SUMPRODUCT(('PM Plan'!$A$5:$A$304=B410)*('PM Plan'!$B$5:$B$304=C410))=0,"No matching asset + task in plan","OK"))))</f>
        <v/>
      </c>
    </row>
    <row r="411" customFormat="false" ht="15" hidden="false" customHeight="false" outlineLevel="0" collapsed="false">
      <c r="A411" s="14"/>
      <c r="B411" s="9"/>
      <c r="C411" s="9"/>
      <c r="D411" s="9"/>
      <c r="E411" s="9"/>
      <c r="F411" s="17" t="str">
        <f aca="false">IF(AND(A411="",B411="",C411=""),"",IF(NOT(ISNUMBER(A411)),"Enter the date done",IF(OR(B411="",C411=""),"Fill in asset and task",IF(SUMPRODUCT(('PM Plan'!$A$5:$A$304=B411)*('PM Plan'!$B$5:$B$304=C411))=0,"No matching asset + task in plan","OK"))))</f>
        <v/>
      </c>
    </row>
    <row r="412" customFormat="false" ht="15" hidden="false" customHeight="false" outlineLevel="0" collapsed="false">
      <c r="A412" s="14"/>
      <c r="B412" s="9"/>
      <c r="C412" s="9"/>
      <c r="D412" s="9"/>
      <c r="E412" s="9"/>
      <c r="F412" s="17" t="str">
        <f aca="false">IF(AND(A412="",B412="",C412=""),"",IF(NOT(ISNUMBER(A412)),"Enter the date done",IF(OR(B412="",C412=""),"Fill in asset and task",IF(SUMPRODUCT(('PM Plan'!$A$5:$A$304=B412)*('PM Plan'!$B$5:$B$304=C412))=0,"No matching asset + task in plan","OK"))))</f>
        <v/>
      </c>
    </row>
    <row r="413" customFormat="false" ht="15" hidden="false" customHeight="false" outlineLevel="0" collapsed="false">
      <c r="A413" s="14"/>
      <c r="B413" s="9"/>
      <c r="C413" s="9"/>
      <c r="D413" s="9"/>
      <c r="E413" s="9"/>
      <c r="F413" s="17" t="str">
        <f aca="false">IF(AND(A413="",B413="",C413=""),"",IF(NOT(ISNUMBER(A413)),"Enter the date done",IF(OR(B413="",C413=""),"Fill in asset and task",IF(SUMPRODUCT(('PM Plan'!$A$5:$A$304=B413)*('PM Plan'!$B$5:$B$304=C413))=0,"No matching asset + task in plan","OK"))))</f>
        <v/>
      </c>
    </row>
    <row r="414" customFormat="false" ht="15" hidden="false" customHeight="false" outlineLevel="0" collapsed="false">
      <c r="A414" s="14"/>
      <c r="B414" s="9"/>
      <c r="C414" s="9"/>
      <c r="D414" s="9"/>
      <c r="E414" s="9"/>
      <c r="F414" s="17" t="str">
        <f aca="false">IF(AND(A414="",B414="",C414=""),"",IF(NOT(ISNUMBER(A414)),"Enter the date done",IF(OR(B414="",C414=""),"Fill in asset and task",IF(SUMPRODUCT(('PM Plan'!$A$5:$A$304=B414)*('PM Plan'!$B$5:$B$304=C414))=0,"No matching asset + task in plan","OK"))))</f>
        <v/>
      </c>
    </row>
    <row r="415" customFormat="false" ht="15" hidden="false" customHeight="false" outlineLevel="0" collapsed="false">
      <c r="A415" s="14"/>
      <c r="B415" s="9"/>
      <c r="C415" s="9"/>
      <c r="D415" s="9"/>
      <c r="E415" s="9"/>
      <c r="F415" s="17" t="str">
        <f aca="false">IF(AND(A415="",B415="",C415=""),"",IF(NOT(ISNUMBER(A415)),"Enter the date done",IF(OR(B415="",C415=""),"Fill in asset and task",IF(SUMPRODUCT(('PM Plan'!$A$5:$A$304=B415)*('PM Plan'!$B$5:$B$304=C415))=0,"No matching asset + task in plan","OK"))))</f>
        <v/>
      </c>
    </row>
    <row r="416" customFormat="false" ht="15" hidden="false" customHeight="false" outlineLevel="0" collapsed="false">
      <c r="A416" s="14"/>
      <c r="B416" s="9"/>
      <c r="C416" s="9"/>
      <c r="D416" s="9"/>
      <c r="E416" s="9"/>
      <c r="F416" s="17" t="str">
        <f aca="false">IF(AND(A416="",B416="",C416=""),"",IF(NOT(ISNUMBER(A416)),"Enter the date done",IF(OR(B416="",C416=""),"Fill in asset and task",IF(SUMPRODUCT(('PM Plan'!$A$5:$A$304=B416)*('PM Plan'!$B$5:$B$304=C416))=0,"No matching asset + task in plan","OK"))))</f>
        <v/>
      </c>
    </row>
    <row r="417" customFormat="false" ht="15" hidden="false" customHeight="false" outlineLevel="0" collapsed="false">
      <c r="A417" s="14"/>
      <c r="B417" s="9"/>
      <c r="C417" s="9"/>
      <c r="D417" s="9"/>
      <c r="E417" s="9"/>
      <c r="F417" s="17" t="str">
        <f aca="false">IF(AND(A417="",B417="",C417=""),"",IF(NOT(ISNUMBER(A417)),"Enter the date done",IF(OR(B417="",C417=""),"Fill in asset and task",IF(SUMPRODUCT(('PM Plan'!$A$5:$A$304=B417)*('PM Plan'!$B$5:$B$304=C417))=0,"No matching asset + task in plan","OK"))))</f>
        <v/>
      </c>
    </row>
    <row r="418" customFormat="false" ht="15" hidden="false" customHeight="false" outlineLevel="0" collapsed="false">
      <c r="A418" s="14"/>
      <c r="B418" s="9"/>
      <c r="C418" s="9"/>
      <c r="D418" s="9"/>
      <c r="E418" s="9"/>
      <c r="F418" s="17" t="str">
        <f aca="false">IF(AND(A418="",B418="",C418=""),"",IF(NOT(ISNUMBER(A418)),"Enter the date done",IF(OR(B418="",C418=""),"Fill in asset and task",IF(SUMPRODUCT(('PM Plan'!$A$5:$A$304=B418)*('PM Plan'!$B$5:$B$304=C418))=0,"No matching asset + task in plan","OK"))))</f>
        <v/>
      </c>
    </row>
    <row r="419" customFormat="false" ht="15" hidden="false" customHeight="false" outlineLevel="0" collapsed="false">
      <c r="A419" s="14"/>
      <c r="B419" s="9"/>
      <c r="C419" s="9"/>
      <c r="D419" s="9"/>
      <c r="E419" s="9"/>
      <c r="F419" s="17" t="str">
        <f aca="false">IF(AND(A419="",B419="",C419=""),"",IF(NOT(ISNUMBER(A419)),"Enter the date done",IF(OR(B419="",C419=""),"Fill in asset and task",IF(SUMPRODUCT(('PM Plan'!$A$5:$A$304=B419)*('PM Plan'!$B$5:$B$304=C419))=0,"No matching asset + task in plan","OK"))))</f>
        <v/>
      </c>
    </row>
    <row r="420" customFormat="false" ht="15" hidden="false" customHeight="false" outlineLevel="0" collapsed="false">
      <c r="A420" s="14"/>
      <c r="B420" s="9"/>
      <c r="C420" s="9"/>
      <c r="D420" s="9"/>
      <c r="E420" s="9"/>
      <c r="F420" s="17" t="str">
        <f aca="false">IF(AND(A420="",B420="",C420=""),"",IF(NOT(ISNUMBER(A420)),"Enter the date done",IF(OR(B420="",C420=""),"Fill in asset and task",IF(SUMPRODUCT(('PM Plan'!$A$5:$A$304=B420)*('PM Plan'!$B$5:$B$304=C420))=0,"No matching asset + task in plan","OK"))))</f>
        <v/>
      </c>
    </row>
    <row r="421" customFormat="false" ht="15" hidden="false" customHeight="false" outlineLevel="0" collapsed="false">
      <c r="A421" s="14"/>
      <c r="B421" s="9"/>
      <c r="C421" s="9"/>
      <c r="D421" s="9"/>
      <c r="E421" s="9"/>
      <c r="F421" s="17" t="str">
        <f aca="false">IF(AND(A421="",B421="",C421=""),"",IF(NOT(ISNUMBER(A421)),"Enter the date done",IF(OR(B421="",C421=""),"Fill in asset and task",IF(SUMPRODUCT(('PM Plan'!$A$5:$A$304=B421)*('PM Plan'!$B$5:$B$304=C421))=0,"No matching asset + task in plan","OK"))))</f>
        <v/>
      </c>
    </row>
    <row r="422" customFormat="false" ht="15" hidden="false" customHeight="false" outlineLevel="0" collapsed="false">
      <c r="A422" s="14"/>
      <c r="B422" s="9"/>
      <c r="C422" s="9"/>
      <c r="D422" s="9"/>
      <c r="E422" s="9"/>
      <c r="F422" s="17" t="str">
        <f aca="false">IF(AND(A422="",B422="",C422=""),"",IF(NOT(ISNUMBER(A422)),"Enter the date done",IF(OR(B422="",C422=""),"Fill in asset and task",IF(SUMPRODUCT(('PM Plan'!$A$5:$A$304=B422)*('PM Plan'!$B$5:$B$304=C422))=0,"No matching asset + task in plan","OK"))))</f>
        <v/>
      </c>
    </row>
    <row r="423" customFormat="false" ht="15" hidden="false" customHeight="false" outlineLevel="0" collapsed="false">
      <c r="A423" s="14"/>
      <c r="B423" s="9"/>
      <c r="C423" s="9"/>
      <c r="D423" s="9"/>
      <c r="E423" s="9"/>
      <c r="F423" s="17" t="str">
        <f aca="false">IF(AND(A423="",B423="",C423=""),"",IF(NOT(ISNUMBER(A423)),"Enter the date done",IF(OR(B423="",C423=""),"Fill in asset and task",IF(SUMPRODUCT(('PM Plan'!$A$5:$A$304=B423)*('PM Plan'!$B$5:$B$304=C423))=0,"No matching asset + task in plan","OK"))))</f>
        <v/>
      </c>
    </row>
    <row r="424" customFormat="false" ht="15" hidden="false" customHeight="false" outlineLevel="0" collapsed="false">
      <c r="A424" s="14"/>
      <c r="B424" s="9"/>
      <c r="C424" s="9"/>
      <c r="D424" s="9"/>
      <c r="E424" s="9"/>
      <c r="F424" s="17" t="str">
        <f aca="false">IF(AND(A424="",B424="",C424=""),"",IF(NOT(ISNUMBER(A424)),"Enter the date done",IF(OR(B424="",C424=""),"Fill in asset and task",IF(SUMPRODUCT(('PM Plan'!$A$5:$A$304=B424)*('PM Plan'!$B$5:$B$304=C424))=0,"No matching asset + task in plan","OK"))))</f>
        <v/>
      </c>
    </row>
    <row r="425" customFormat="false" ht="15" hidden="false" customHeight="false" outlineLevel="0" collapsed="false">
      <c r="A425" s="14"/>
      <c r="B425" s="9"/>
      <c r="C425" s="9"/>
      <c r="D425" s="9"/>
      <c r="E425" s="9"/>
      <c r="F425" s="17" t="str">
        <f aca="false">IF(AND(A425="",B425="",C425=""),"",IF(NOT(ISNUMBER(A425)),"Enter the date done",IF(OR(B425="",C425=""),"Fill in asset and task",IF(SUMPRODUCT(('PM Plan'!$A$5:$A$304=B425)*('PM Plan'!$B$5:$B$304=C425))=0,"No matching asset + task in plan","OK"))))</f>
        <v/>
      </c>
    </row>
    <row r="426" customFormat="false" ht="15" hidden="false" customHeight="false" outlineLevel="0" collapsed="false">
      <c r="A426" s="14"/>
      <c r="B426" s="9"/>
      <c r="C426" s="9"/>
      <c r="D426" s="9"/>
      <c r="E426" s="9"/>
      <c r="F426" s="17" t="str">
        <f aca="false">IF(AND(A426="",B426="",C426=""),"",IF(NOT(ISNUMBER(A426)),"Enter the date done",IF(OR(B426="",C426=""),"Fill in asset and task",IF(SUMPRODUCT(('PM Plan'!$A$5:$A$304=B426)*('PM Plan'!$B$5:$B$304=C426))=0,"No matching asset + task in plan","OK"))))</f>
        <v/>
      </c>
    </row>
    <row r="427" customFormat="false" ht="15" hidden="false" customHeight="false" outlineLevel="0" collapsed="false">
      <c r="A427" s="14"/>
      <c r="B427" s="9"/>
      <c r="C427" s="9"/>
      <c r="D427" s="9"/>
      <c r="E427" s="9"/>
      <c r="F427" s="17" t="str">
        <f aca="false">IF(AND(A427="",B427="",C427=""),"",IF(NOT(ISNUMBER(A427)),"Enter the date done",IF(OR(B427="",C427=""),"Fill in asset and task",IF(SUMPRODUCT(('PM Plan'!$A$5:$A$304=B427)*('PM Plan'!$B$5:$B$304=C427))=0,"No matching asset + task in plan","OK"))))</f>
        <v/>
      </c>
    </row>
    <row r="428" customFormat="false" ht="15" hidden="false" customHeight="false" outlineLevel="0" collapsed="false">
      <c r="A428" s="14"/>
      <c r="B428" s="9"/>
      <c r="C428" s="9"/>
      <c r="D428" s="9"/>
      <c r="E428" s="9"/>
      <c r="F428" s="17" t="str">
        <f aca="false">IF(AND(A428="",B428="",C428=""),"",IF(NOT(ISNUMBER(A428)),"Enter the date done",IF(OR(B428="",C428=""),"Fill in asset and task",IF(SUMPRODUCT(('PM Plan'!$A$5:$A$304=B428)*('PM Plan'!$B$5:$B$304=C428))=0,"No matching asset + task in plan","OK"))))</f>
        <v/>
      </c>
    </row>
    <row r="429" customFormat="false" ht="15" hidden="false" customHeight="false" outlineLevel="0" collapsed="false">
      <c r="A429" s="14"/>
      <c r="B429" s="9"/>
      <c r="C429" s="9"/>
      <c r="D429" s="9"/>
      <c r="E429" s="9"/>
      <c r="F429" s="17" t="str">
        <f aca="false">IF(AND(A429="",B429="",C429=""),"",IF(NOT(ISNUMBER(A429)),"Enter the date done",IF(OR(B429="",C429=""),"Fill in asset and task",IF(SUMPRODUCT(('PM Plan'!$A$5:$A$304=B429)*('PM Plan'!$B$5:$B$304=C429))=0,"No matching asset + task in plan","OK"))))</f>
        <v/>
      </c>
    </row>
    <row r="430" customFormat="false" ht="15" hidden="false" customHeight="false" outlineLevel="0" collapsed="false">
      <c r="A430" s="14"/>
      <c r="B430" s="9"/>
      <c r="C430" s="9"/>
      <c r="D430" s="9"/>
      <c r="E430" s="9"/>
      <c r="F430" s="17" t="str">
        <f aca="false">IF(AND(A430="",B430="",C430=""),"",IF(NOT(ISNUMBER(A430)),"Enter the date done",IF(OR(B430="",C430=""),"Fill in asset and task",IF(SUMPRODUCT(('PM Plan'!$A$5:$A$304=B430)*('PM Plan'!$B$5:$B$304=C430))=0,"No matching asset + task in plan","OK"))))</f>
        <v/>
      </c>
    </row>
    <row r="431" customFormat="false" ht="15" hidden="false" customHeight="false" outlineLevel="0" collapsed="false">
      <c r="A431" s="14"/>
      <c r="B431" s="9"/>
      <c r="C431" s="9"/>
      <c r="D431" s="9"/>
      <c r="E431" s="9"/>
      <c r="F431" s="17" t="str">
        <f aca="false">IF(AND(A431="",B431="",C431=""),"",IF(NOT(ISNUMBER(A431)),"Enter the date done",IF(OR(B431="",C431=""),"Fill in asset and task",IF(SUMPRODUCT(('PM Plan'!$A$5:$A$304=B431)*('PM Plan'!$B$5:$B$304=C431))=0,"No matching asset + task in plan","OK"))))</f>
        <v/>
      </c>
    </row>
    <row r="432" customFormat="false" ht="15" hidden="false" customHeight="false" outlineLevel="0" collapsed="false">
      <c r="A432" s="14"/>
      <c r="B432" s="9"/>
      <c r="C432" s="9"/>
      <c r="D432" s="9"/>
      <c r="E432" s="9"/>
      <c r="F432" s="17" t="str">
        <f aca="false">IF(AND(A432="",B432="",C432=""),"",IF(NOT(ISNUMBER(A432)),"Enter the date done",IF(OR(B432="",C432=""),"Fill in asset and task",IF(SUMPRODUCT(('PM Plan'!$A$5:$A$304=B432)*('PM Plan'!$B$5:$B$304=C432))=0,"No matching asset + task in plan","OK"))))</f>
        <v/>
      </c>
    </row>
    <row r="433" customFormat="false" ht="15" hidden="false" customHeight="false" outlineLevel="0" collapsed="false">
      <c r="A433" s="14"/>
      <c r="B433" s="9"/>
      <c r="C433" s="9"/>
      <c r="D433" s="9"/>
      <c r="E433" s="9"/>
      <c r="F433" s="17" t="str">
        <f aca="false">IF(AND(A433="",B433="",C433=""),"",IF(NOT(ISNUMBER(A433)),"Enter the date done",IF(OR(B433="",C433=""),"Fill in asset and task",IF(SUMPRODUCT(('PM Plan'!$A$5:$A$304=B433)*('PM Plan'!$B$5:$B$304=C433))=0,"No matching asset + task in plan","OK"))))</f>
        <v/>
      </c>
    </row>
    <row r="434" customFormat="false" ht="15" hidden="false" customHeight="false" outlineLevel="0" collapsed="false">
      <c r="A434" s="14"/>
      <c r="B434" s="9"/>
      <c r="C434" s="9"/>
      <c r="D434" s="9"/>
      <c r="E434" s="9"/>
      <c r="F434" s="17" t="str">
        <f aca="false">IF(AND(A434="",B434="",C434=""),"",IF(NOT(ISNUMBER(A434)),"Enter the date done",IF(OR(B434="",C434=""),"Fill in asset and task",IF(SUMPRODUCT(('PM Plan'!$A$5:$A$304=B434)*('PM Plan'!$B$5:$B$304=C434))=0,"No matching asset + task in plan","OK"))))</f>
        <v/>
      </c>
    </row>
    <row r="435" customFormat="false" ht="15" hidden="false" customHeight="false" outlineLevel="0" collapsed="false">
      <c r="A435" s="14"/>
      <c r="B435" s="9"/>
      <c r="C435" s="9"/>
      <c r="D435" s="9"/>
      <c r="E435" s="9"/>
      <c r="F435" s="17" t="str">
        <f aca="false">IF(AND(A435="",B435="",C435=""),"",IF(NOT(ISNUMBER(A435)),"Enter the date done",IF(OR(B435="",C435=""),"Fill in asset and task",IF(SUMPRODUCT(('PM Plan'!$A$5:$A$304=B435)*('PM Plan'!$B$5:$B$304=C435))=0,"No matching asset + task in plan","OK"))))</f>
        <v/>
      </c>
    </row>
    <row r="436" customFormat="false" ht="15" hidden="false" customHeight="false" outlineLevel="0" collapsed="false">
      <c r="A436" s="14"/>
      <c r="B436" s="9"/>
      <c r="C436" s="9"/>
      <c r="D436" s="9"/>
      <c r="E436" s="9"/>
      <c r="F436" s="17" t="str">
        <f aca="false">IF(AND(A436="",B436="",C436=""),"",IF(NOT(ISNUMBER(A436)),"Enter the date done",IF(OR(B436="",C436=""),"Fill in asset and task",IF(SUMPRODUCT(('PM Plan'!$A$5:$A$304=B436)*('PM Plan'!$B$5:$B$304=C436))=0,"No matching asset + task in plan","OK"))))</f>
        <v/>
      </c>
    </row>
    <row r="437" customFormat="false" ht="15" hidden="false" customHeight="false" outlineLevel="0" collapsed="false">
      <c r="A437" s="14"/>
      <c r="B437" s="9"/>
      <c r="C437" s="9"/>
      <c r="D437" s="9"/>
      <c r="E437" s="9"/>
      <c r="F437" s="17" t="str">
        <f aca="false">IF(AND(A437="",B437="",C437=""),"",IF(NOT(ISNUMBER(A437)),"Enter the date done",IF(OR(B437="",C437=""),"Fill in asset and task",IF(SUMPRODUCT(('PM Plan'!$A$5:$A$304=B437)*('PM Plan'!$B$5:$B$304=C437))=0,"No matching asset + task in plan","OK"))))</f>
        <v/>
      </c>
    </row>
    <row r="438" customFormat="false" ht="15" hidden="false" customHeight="false" outlineLevel="0" collapsed="false">
      <c r="A438" s="14"/>
      <c r="B438" s="9"/>
      <c r="C438" s="9"/>
      <c r="D438" s="9"/>
      <c r="E438" s="9"/>
      <c r="F438" s="17" t="str">
        <f aca="false">IF(AND(A438="",B438="",C438=""),"",IF(NOT(ISNUMBER(A438)),"Enter the date done",IF(OR(B438="",C438=""),"Fill in asset and task",IF(SUMPRODUCT(('PM Plan'!$A$5:$A$304=B438)*('PM Plan'!$B$5:$B$304=C438))=0,"No matching asset + task in plan","OK"))))</f>
        <v/>
      </c>
    </row>
    <row r="439" customFormat="false" ht="15" hidden="false" customHeight="false" outlineLevel="0" collapsed="false">
      <c r="A439" s="14"/>
      <c r="B439" s="9"/>
      <c r="C439" s="9"/>
      <c r="D439" s="9"/>
      <c r="E439" s="9"/>
      <c r="F439" s="17" t="str">
        <f aca="false">IF(AND(A439="",B439="",C439=""),"",IF(NOT(ISNUMBER(A439)),"Enter the date done",IF(OR(B439="",C439=""),"Fill in asset and task",IF(SUMPRODUCT(('PM Plan'!$A$5:$A$304=B439)*('PM Plan'!$B$5:$B$304=C439))=0,"No matching asset + task in plan","OK"))))</f>
        <v/>
      </c>
    </row>
    <row r="440" customFormat="false" ht="15" hidden="false" customHeight="false" outlineLevel="0" collapsed="false">
      <c r="A440" s="14"/>
      <c r="B440" s="9"/>
      <c r="C440" s="9"/>
      <c r="D440" s="9"/>
      <c r="E440" s="9"/>
      <c r="F440" s="17" t="str">
        <f aca="false">IF(AND(A440="",B440="",C440=""),"",IF(NOT(ISNUMBER(A440)),"Enter the date done",IF(OR(B440="",C440=""),"Fill in asset and task",IF(SUMPRODUCT(('PM Plan'!$A$5:$A$304=B440)*('PM Plan'!$B$5:$B$304=C440))=0,"No matching asset + task in plan","OK"))))</f>
        <v/>
      </c>
    </row>
    <row r="441" customFormat="false" ht="15" hidden="false" customHeight="false" outlineLevel="0" collapsed="false">
      <c r="A441" s="14"/>
      <c r="B441" s="9"/>
      <c r="C441" s="9"/>
      <c r="D441" s="9"/>
      <c r="E441" s="9"/>
      <c r="F441" s="17" t="str">
        <f aca="false">IF(AND(A441="",B441="",C441=""),"",IF(NOT(ISNUMBER(A441)),"Enter the date done",IF(OR(B441="",C441=""),"Fill in asset and task",IF(SUMPRODUCT(('PM Plan'!$A$5:$A$304=B441)*('PM Plan'!$B$5:$B$304=C441))=0,"No matching asset + task in plan","OK"))))</f>
        <v/>
      </c>
    </row>
    <row r="442" customFormat="false" ht="15" hidden="false" customHeight="false" outlineLevel="0" collapsed="false">
      <c r="A442" s="14"/>
      <c r="B442" s="9"/>
      <c r="C442" s="9"/>
      <c r="D442" s="9"/>
      <c r="E442" s="9"/>
      <c r="F442" s="17" t="str">
        <f aca="false">IF(AND(A442="",B442="",C442=""),"",IF(NOT(ISNUMBER(A442)),"Enter the date done",IF(OR(B442="",C442=""),"Fill in asset and task",IF(SUMPRODUCT(('PM Plan'!$A$5:$A$304=B442)*('PM Plan'!$B$5:$B$304=C442))=0,"No matching asset + task in plan","OK"))))</f>
        <v/>
      </c>
    </row>
    <row r="443" customFormat="false" ht="15" hidden="false" customHeight="false" outlineLevel="0" collapsed="false">
      <c r="A443" s="14"/>
      <c r="B443" s="9"/>
      <c r="C443" s="9"/>
      <c r="D443" s="9"/>
      <c r="E443" s="9"/>
      <c r="F443" s="17" t="str">
        <f aca="false">IF(AND(A443="",B443="",C443=""),"",IF(NOT(ISNUMBER(A443)),"Enter the date done",IF(OR(B443="",C443=""),"Fill in asset and task",IF(SUMPRODUCT(('PM Plan'!$A$5:$A$304=B443)*('PM Plan'!$B$5:$B$304=C443))=0,"No matching asset + task in plan","OK"))))</f>
        <v/>
      </c>
    </row>
    <row r="444" customFormat="false" ht="15" hidden="false" customHeight="false" outlineLevel="0" collapsed="false">
      <c r="A444" s="14"/>
      <c r="B444" s="9"/>
      <c r="C444" s="9"/>
      <c r="D444" s="9"/>
      <c r="E444" s="9"/>
      <c r="F444" s="17" t="str">
        <f aca="false">IF(AND(A444="",B444="",C444=""),"",IF(NOT(ISNUMBER(A444)),"Enter the date done",IF(OR(B444="",C444=""),"Fill in asset and task",IF(SUMPRODUCT(('PM Plan'!$A$5:$A$304=B444)*('PM Plan'!$B$5:$B$304=C444))=0,"No matching asset + task in plan","OK"))))</f>
        <v/>
      </c>
    </row>
    <row r="445" customFormat="false" ht="15" hidden="false" customHeight="false" outlineLevel="0" collapsed="false">
      <c r="A445" s="14"/>
      <c r="B445" s="9"/>
      <c r="C445" s="9"/>
      <c r="D445" s="9"/>
      <c r="E445" s="9"/>
      <c r="F445" s="17" t="str">
        <f aca="false">IF(AND(A445="",B445="",C445=""),"",IF(NOT(ISNUMBER(A445)),"Enter the date done",IF(OR(B445="",C445=""),"Fill in asset and task",IF(SUMPRODUCT(('PM Plan'!$A$5:$A$304=B445)*('PM Plan'!$B$5:$B$304=C445))=0,"No matching asset + task in plan","OK"))))</f>
        <v/>
      </c>
    </row>
    <row r="446" customFormat="false" ht="15" hidden="false" customHeight="false" outlineLevel="0" collapsed="false">
      <c r="A446" s="14"/>
      <c r="B446" s="9"/>
      <c r="C446" s="9"/>
      <c r="D446" s="9"/>
      <c r="E446" s="9"/>
      <c r="F446" s="17" t="str">
        <f aca="false">IF(AND(A446="",B446="",C446=""),"",IF(NOT(ISNUMBER(A446)),"Enter the date done",IF(OR(B446="",C446=""),"Fill in asset and task",IF(SUMPRODUCT(('PM Plan'!$A$5:$A$304=B446)*('PM Plan'!$B$5:$B$304=C446))=0,"No matching asset + task in plan","OK"))))</f>
        <v/>
      </c>
    </row>
    <row r="447" customFormat="false" ht="15" hidden="false" customHeight="false" outlineLevel="0" collapsed="false">
      <c r="A447" s="14"/>
      <c r="B447" s="9"/>
      <c r="C447" s="9"/>
      <c r="D447" s="9"/>
      <c r="E447" s="9"/>
      <c r="F447" s="17" t="str">
        <f aca="false">IF(AND(A447="",B447="",C447=""),"",IF(NOT(ISNUMBER(A447)),"Enter the date done",IF(OR(B447="",C447=""),"Fill in asset and task",IF(SUMPRODUCT(('PM Plan'!$A$5:$A$304=B447)*('PM Plan'!$B$5:$B$304=C447))=0,"No matching asset + task in plan","OK"))))</f>
        <v/>
      </c>
    </row>
    <row r="448" customFormat="false" ht="15" hidden="false" customHeight="false" outlineLevel="0" collapsed="false">
      <c r="A448" s="14"/>
      <c r="B448" s="9"/>
      <c r="C448" s="9"/>
      <c r="D448" s="9"/>
      <c r="E448" s="9"/>
      <c r="F448" s="17" t="str">
        <f aca="false">IF(AND(A448="",B448="",C448=""),"",IF(NOT(ISNUMBER(A448)),"Enter the date done",IF(OR(B448="",C448=""),"Fill in asset and task",IF(SUMPRODUCT(('PM Plan'!$A$5:$A$304=B448)*('PM Plan'!$B$5:$B$304=C448))=0,"No matching asset + task in plan","OK"))))</f>
        <v/>
      </c>
    </row>
    <row r="449" customFormat="false" ht="15" hidden="false" customHeight="false" outlineLevel="0" collapsed="false">
      <c r="A449" s="14"/>
      <c r="B449" s="9"/>
      <c r="C449" s="9"/>
      <c r="D449" s="9"/>
      <c r="E449" s="9"/>
      <c r="F449" s="17" t="str">
        <f aca="false">IF(AND(A449="",B449="",C449=""),"",IF(NOT(ISNUMBER(A449)),"Enter the date done",IF(OR(B449="",C449=""),"Fill in asset and task",IF(SUMPRODUCT(('PM Plan'!$A$5:$A$304=B449)*('PM Plan'!$B$5:$B$304=C449))=0,"No matching asset + task in plan","OK"))))</f>
        <v/>
      </c>
    </row>
    <row r="450" customFormat="false" ht="15" hidden="false" customHeight="false" outlineLevel="0" collapsed="false">
      <c r="A450" s="14"/>
      <c r="B450" s="9"/>
      <c r="C450" s="9"/>
      <c r="D450" s="9"/>
      <c r="E450" s="9"/>
      <c r="F450" s="17" t="str">
        <f aca="false">IF(AND(A450="",B450="",C450=""),"",IF(NOT(ISNUMBER(A450)),"Enter the date done",IF(OR(B450="",C450=""),"Fill in asset and task",IF(SUMPRODUCT(('PM Plan'!$A$5:$A$304=B450)*('PM Plan'!$B$5:$B$304=C450))=0,"No matching asset + task in plan","OK"))))</f>
        <v/>
      </c>
    </row>
    <row r="451" customFormat="false" ht="15" hidden="false" customHeight="false" outlineLevel="0" collapsed="false">
      <c r="A451" s="14"/>
      <c r="B451" s="9"/>
      <c r="C451" s="9"/>
      <c r="D451" s="9"/>
      <c r="E451" s="9"/>
      <c r="F451" s="17" t="str">
        <f aca="false">IF(AND(A451="",B451="",C451=""),"",IF(NOT(ISNUMBER(A451)),"Enter the date done",IF(OR(B451="",C451=""),"Fill in asset and task",IF(SUMPRODUCT(('PM Plan'!$A$5:$A$304=B451)*('PM Plan'!$B$5:$B$304=C451))=0,"No matching asset + task in plan","OK"))))</f>
        <v/>
      </c>
    </row>
    <row r="452" customFormat="false" ht="15" hidden="false" customHeight="false" outlineLevel="0" collapsed="false">
      <c r="A452" s="14"/>
      <c r="B452" s="9"/>
      <c r="C452" s="9"/>
      <c r="D452" s="9"/>
      <c r="E452" s="9"/>
      <c r="F452" s="17" t="str">
        <f aca="false">IF(AND(A452="",B452="",C452=""),"",IF(NOT(ISNUMBER(A452)),"Enter the date done",IF(OR(B452="",C452=""),"Fill in asset and task",IF(SUMPRODUCT(('PM Plan'!$A$5:$A$304=B452)*('PM Plan'!$B$5:$B$304=C452))=0,"No matching asset + task in plan","OK"))))</f>
        <v/>
      </c>
    </row>
    <row r="453" customFormat="false" ht="15" hidden="false" customHeight="false" outlineLevel="0" collapsed="false">
      <c r="A453" s="14"/>
      <c r="B453" s="9"/>
      <c r="C453" s="9"/>
      <c r="D453" s="9"/>
      <c r="E453" s="9"/>
      <c r="F453" s="17" t="str">
        <f aca="false">IF(AND(A453="",B453="",C453=""),"",IF(NOT(ISNUMBER(A453)),"Enter the date done",IF(OR(B453="",C453=""),"Fill in asset and task",IF(SUMPRODUCT(('PM Plan'!$A$5:$A$304=B453)*('PM Plan'!$B$5:$B$304=C453))=0,"No matching asset + task in plan","OK"))))</f>
        <v/>
      </c>
    </row>
    <row r="454" customFormat="false" ht="15" hidden="false" customHeight="false" outlineLevel="0" collapsed="false">
      <c r="A454" s="14"/>
      <c r="B454" s="9"/>
      <c r="C454" s="9"/>
      <c r="D454" s="9"/>
      <c r="E454" s="9"/>
      <c r="F454" s="17" t="str">
        <f aca="false">IF(AND(A454="",B454="",C454=""),"",IF(NOT(ISNUMBER(A454)),"Enter the date done",IF(OR(B454="",C454=""),"Fill in asset and task",IF(SUMPRODUCT(('PM Plan'!$A$5:$A$304=B454)*('PM Plan'!$B$5:$B$304=C454))=0,"No matching asset + task in plan","OK"))))</f>
        <v/>
      </c>
    </row>
    <row r="455" customFormat="false" ht="15" hidden="false" customHeight="false" outlineLevel="0" collapsed="false">
      <c r="A455" s="14"/>
      <c r="B455" s="9"/>
      <c r="C455" s="9"/>
      <c r="D455" s="9"/>
      <c r="E455" s="9"/>
      <c r="F455" s="17" t="str">
        <f aca="false">IF(AND(A455="",B455="",C455=""),"",IF(NOT(ISNUMBER(A455)),"Enter the date done",IF(OR(B455="",C455=""),"Fill in asset and task",IF(SUMPRODUCT(('PM Plan'!$A$5:$A$304=B455)*('PM Plan'!$B$5:$B$304=C455))=0,"No matching asset + task in plan","OK"))))</f>
        <v/>
      </c>
    </row>
    <row r="456" customFormat="false" ht="15" hidden="false" customHeight="false" outlineLevel="0" collapsed="false">
      <c r="A456" s="14"/>
      <c r="B456" s="9"/>
      <c r="C456" s="9"/>
      <c r="D456" s="9"/>
      <c r="E456" s="9"/>
      <c r="F456" s="17" t="str">
        <f aca="false">IF(AND(A456="",B456="",C456=""),"",IF(NOT(ISNUMBER(A456)),"Enter the date done",IF(OR(B456="",C456=""),"Fill in asset and task",IF(SUMPRODUCT(('PM Plan'!$A$5:$A$304=B456)*('PM Plan'!$B$5:$B$304=C456))=0,"No matching asset + task in plan","OK"))))</f>
        <v/>
      </c>
    </row>
    <row r="457" customFormat="false" ht="15" hidden="false" customHeight="false" outlineLevel="0" collapsed="false">
      <c r="A457" s="14"/>
      <c r="B457" s="9"/>
      <c r="C457" s="9"/>
      <c r="D457" s="9"/>
      <c r="E457" s="9"/>
      <c r="F457" s="17" t="str">
        <f aca="false">IF(AND(A457="",B457="",C457=""),"",IF(NOT(ISNUMBER(A457)),"Enter the date done",IF(OR(B457="",C457=""),"Fill in asset and task",IF(SUMPRODUCT(('PM Plan'!$A$5:$A$304=B457)*('PM Plan'!$B$5:$B$304=C457))=0,"No matching asset + task in plan","OK"))))</f>
        <v/>
      </c>
    </row>
    <row r="458" customFormat="false" ht="15" hidden="false" customHeight="false" outlineLevel="0" collapsed="false">
      <c r="A458" s="14"/>
      <c r="B458" s="9"/>
      <c r="C458" s="9"/>
      <c r="D458" s="9"/>
      <c r="E458" s="9"/>
      <c r="F458" s="17" t="str">
        <f aca="false">IF(AND(A458="",B458="",C458=""),"",IF(NOT(ISNUMBER(A458)),"Enter the date done",IF(OR(B458="",C458=""),"Fill in asset and task",IF(SUMPRODUCT(('PM Plan'!$A$5:$A$304=B458)*('PM Plan'!$B$5:$B$304=C458))=0,"No matching asset + task in plan","OK"))))</f>
        <v/>
      </c>
    </row>
    <row r="459" customFormat="false" ht="15" hidden="false" customHeight="false" outlineLevel="0" collapsed="false">
      <c r="A459" s="14"/>
      <c r="B459" s="9"/>
      <c r="C459" s="9"/>
      <c r="D459" s="9"/>
      <c r="E459" s="9"/>
      <c r="F459" s="17" t="str">
        <f aca="false">IF(AND(A459="",B459="",C459=""),"",IF(NOT(ISNUMBER(A459)),"Enter the date done",IF(OR(B459="",C459=""),"Fill in asset and task",IF(SUMPRODUCT(('PM Plan'!$A$5:$A$304=B459)*('PM Plan'!$B$5:$B$304=C459))=0,"No matching asset + task in plan","OK"))))</f>
        <v/>
      </c>
    </row>
    <row r="460" customFormat="false" ht="15" hidden="false" customHeight="false" outlineLevel="0" collapsed="false">
      <c r="A460" s="14"/>
      <c r="B460" s="9"/>
      <c r="C460" s="9"/>
      <c r="D460" s="9"/>
      <c r="E460" s="9"/>
      <c r="F460" s="17" t="str">
        <f aca="false">IF(AND(A460="",B460="",C460=""),"",IF(NOT(ISNUMBER(A460)),"Enter the date done",IF(OR(B460="",C460=""),"Fill in asset and task",IF(SUMPRODUCT(('PM Plan'!$A$5:$A$304=B460)*('PM Plan'!$B$5:$B$304=C460))=0,"No matching asset + task in plan","OK"))))</f>
        <v/>
      </c>
    </row>
    <row r="461" customFormat="false" ht="15" hidden="false" customHeight="false" outlineLevel="0" collapsed="false">
      <c r="A461" s="14"/>
      <c r="B461" s="9"/>
      <c r="C461" s="9"/>
      <c r="D461" s="9"/>
      <c r="E461" s="9"/>
      <c r="F461" s="17" t="str">
        <f aca="false">IF(AND(A461="",B461="",C461=""),"",IF(NOT(ISNUMBER(A461)),"Enter the date done",IF(OR(B461="",C461=""),"Fill in asset and task",IF(SUMPRODUCT(('PM Plan'!$A$5:$A$304=B461)*('PM Plan'!$B$5:$B$304=C461))=0,"No matching asset + task in plan","OK"))))</f>
        <v/>
      </c>
    </row>
    <row r="462" customFormat="false" ht="15" hidden="false" customHeight="false" outlineLevel="0" collapsed="false">
      <c r="A462" s="14"/>
      <c r="B462" s="9"/>
      <c r="C462" s="9"/>
      <c r="D462" s="9"/>
      <c r="E462" s="9"/>
      <c r="F462" s="17" t="str">
        <f aca="false">IF(AND(A462="",B462="",C462=""),"",IF(NOT(ISNUMBER(A462)),"Enter the date done",IF(OR(B462="",C462=""),"Fill in asset and task",IF(SUMPRODUCT(('PM Plan'!$A$5:$A$304=B462)*('PM Plan'!$B$5:$B$304=C462))=0,"No matching asset + task in plan","OK"))))</f>
        <v/>
      </c>
    </row>
    <row r="463" customFormat="false" ht="15" hidden="false" customHeight="false" outlineLevel="0" collapsed="false">
      <c r="A463" s="14"/>
      <c r="B463" s="9"/>
      <c r="C463" s="9"/>
      <c r="D463" s="9"/>
      <c r="E463" s="9"/>
      <c r="F463" s="17" t="str">
        <f aca="false">IF(AND(A463="",B463="",C463=""),"",IF(NOT(ISNUMBER(A463)),"Enter the date done",IF(OR(B463="",C463=""),"Fill in asset and task",IF(SUMPRODUCT(('PM Plan'!$A$5:$A$304=B463)*('PM Plan'!$B$5:$B$304=C463))=0,"No matching asset + task in plan","OK"))))</f>
        <v/>
      </c>
    </row>
    <row r="464" customFormat="false" ht="15" hidden="false" customHeight="false" outlineLevel="0" collapsed="false">
      <c r="A464" s="14"/>
      <c r="B464" s="9"/>
      <c r="C464" s="9"/>
      <c r="D464" s="9"/>
      <c r="E464" s="9"/>
      <c r="F464" s="17" t="str">
        <f aca="false">IF(AND(A464="",B464="",C464=""),"",IF(NOT(ISNUMBER(A464)),"Enter the date done",IF(OR(B464="",C464=""),"Fill in asset and task",IF(SUMPRODUCT(('PM Plan'!$A$5:$A$304=B464)*('PM Plan'!$B$5:$B$304=C464))=0,"No matching asset + task in plan","OK"))))</f>
        <v/>
      </c>
    </row>
    <row r="465" customFormat="false" ht="15" hidden="false" customHeight="false" outlineLevel="0" collapsed="false">
      <c r="A465" s="14"/>
      <c r="B465" s="9"/>
      <c r="C465" s="9"/>
      <c r="D465" s="9"/>
      <c r="E465" s="9"/>
      <c r="F465" s="17" t="str">
        <f aca="false">IF(AND(A465="",B465="",C465=""),"",IF(NOT(ISNUMBER(A465)),"Enter the date done",IF(OR(B465="",C465=""),"Fill in asset and task",IF(SUMPRODUCT(('PM Plan'!$A$5:$A$304=B465)*('PM Plan'!$B$5:$B$304=C465))=0,"No matching asset + task in plan","OK"))))</f>
        <v/>
      </c>
    </row>
    <row r="466" customFormat="false" ht="15" hidden="false" customHeight="false" outlineLevel="0" collapsed="false">
      <c r="A466" s="14"/>
      <c r="B466" s="9"/>
      <c r="C466" s="9"/>
      <c r="D466" s="9"/>
      <c r="E466" s="9"/>
      <c r="F466" s="17" t="str">
        <f aca="false">IF(AND(A466="",B466="",C466=""),"",IF(NOT(ISNUMBER(A466)),"Enter the date done",IF(OR(B466="",C466=""),"Fill in asset and task",IF(SUMPRODUCT(('PM Plan'!$A$5:$A$304=B466)*('PM Plan'!$B$5:$B$304=C466))=0,"No matching asset + task in plan","OK"))))</f>
        <v/>
      </c>
    </row>
    <row r="467" customFormat="false" ht="15" hidden="false" customHeight="false" outlineLevel="0" collapsed="false">
      <c r="A467" s="14"/>
      <c r="B467" s="9"/>
      <c r="C467" s="9"/>
      <c r="D467" s="9"/>
      <c r="E467" s="9"/>
      <c r="F467" s="17" t="str">
        <f aca="false">IF(AND(A467="",B467="",C467=""),"",IF(NOT(ISNUMBER(A467)),"Enter the date done",IF(OR(B467="",C467=""),"Fill in asset and task",IF(SUMPRODUCT(('PM Plan'!$A$5:$A$304=B467)*('PM Plan'!$B$5:$B$304=C467))=0,"No matching asset + task in plan","OK"))))</f>
        <v/>
      </c>
    </row>
    <row r="468" customFormat="false" ht="15" hidden="false" customHeight="false" outlineLevel="0" collapsed="false">
      <c r="A468" s="14"/>
      <c r="B468" s="9"/>
      <c r="C468" s="9"/>
      <c r="D468" s="9"/>
      <c r="E468" s="9"/>
      <c r="F468" s="17" t="str">
        <f aca="false">IF(AND(A468="",B468="",C468=""),"",IF(NOT(ISNUMBER(A468)),"Enter the date done",IF(OR(B468="",C468=""),"Fill in asset and task",IF(SUMPRODUCT(('PM Plan'!$A$5:$A$304=B468)*('PM Plan'!$B$5:$B$304=C468))=0,"No matching asset + task in plan","OK"))))</f>
        <v/>
      </c>
    </row>
    <row r="469" customFormat="false" ht="15" hidden="false" customHeight="false" outlineLevel="0" collapsed="false">
      <c r="A469" s="14"/>
      <c r="B469" s="9"/>
      <c r="C469" s="9"/>
      <c r="D469" s="9"/>
      <c r="E469" s="9"/>
      <c r="F469" s="17" t="str">
        <f aca="false">IF(AND(A469="",B469="",C469=""),"",IF(NOT(ISNUMBER(A469)),"Enter the date done",IF(OR(B469="",C469=""),"Fill in asset and task",IF(SUMPRODUCT(('PM Plan'!$A$5:$A$304=B469)*('PM Plan'!$B$5:$B$304=C469))=0,"No matching asset + task in plan","OK"))))</f>
        <v/>
      </c>
    </row>
    <row r="470" customFormat="false" ht="15" hidden="false" customHeight="false" outlineLevel="0" collapsed="false">
      <c r="A470" s="14"/>
      <c r="B470" s="9"/>
      <c r="C470" s="9"/>
      <c r="D470" s="9"/>
      <c r="E470" s="9"/>
      <c r="F470" s="17" t="str">
        <f aca="false">IF(AND(A470="",B470="",C470=""),"",IF(NOT(ISNUMBER(A470)),"Enter the date done",IF(OR(B470="",C470=""),"Fill in asset and task",IF(SUMPRODUCT(('PM Plan'!$A$5:$A$304=B470)*('PM Plan'!$B$5:$B$304=C470))=0,"No matching asset + task in plan","OK"))))</f>
        <v/>
      </c>
    </row>
    <row r="471" customFormat="false" ht="15" hidden="false" customHeight="false" outlineLevel="0" collapsed="false">
      <c r="A471" s="14"/>
      <c r="B471" s="9"/>
      <c r="C471" s="9"/>
      <c r="D471" s="9"/>
      <c r="E471" s="9"/>
      <c r="F471" s="17" t="str">
        <f aca="false">IF(AND(A471="",B471="",C471=""),"",IF(NOT(ISNUMBER(A471)),"Enter the date done",IF(OR(B471="",C471=""),"Fill in asset and task",IF(SUMPRODUCT(('PM Plan'!$A$5:$A$304=B471)*('PM Plan'!$B$5:$B$304=C471))=0,"No matching asset + task in plan","OK"))))</f>
        <v/>
      </c>
    </row>
    <row r="472" customFormat="false" ht="15" hidden="false" customHeight="false" outlineLevel="0" collapsed="false">
      <c r="A472" s="14"/>
      <c r="B472" s="9"/>
      <c r="C472" s="9"/>
      <c r="D472" s="9"/>
      <c r="E472" s="9"/>
      <c r="F472" s="17" t="str">
        <f aca="false">IF(AND(A472="",B472="",C472=""),"",IF(NOT(ISNUMBER(A472)),"Enter the date done",IF(OR(B472="",C472=""),"Fill in asset and task",IF(SUMPRODUCT(('PM Plan'!$A$5:$A$304=B472)*('PM Plan'!$B$5:$B$304=C472))=0,"No matching asset + task in plan","OK"))))</f>
        <v/>
      </c>
    </row>
    <row r="473" customFormat="false" ht="15" hidden="false" customHeight="false" outlineLevel="0" collapsed="false">
      <c r="A473" s="14"/>
      <c r="B473" s="9"/>
      <c r="C473" s="9"/>
      <c r="D473" s="9"/>
      <c r="E473" s="9"/>
      <c r="F473" s="17" t="str">
        <f aca="false">IF(AND(A473="",B473="",C473=""),"",IF(NOT(ISNUMBER(A473)),"Enter the date done",IF(OR(B473="",C473=""),"Fill in asset and task",IF(SUMPRODUCT(('PM Plan'!$A$5:$A$304=B473)*('PM Plan'!$B$5:$B$304=C473))=0,"No matching asset + task in plan","OK"))))</f>
        <v/>
      </c>
    </row>
    <row r="474" customFormat="false" ht="15" hidden="false" customHeight="false" outlineLevel="0" collapsed="false">
      <c r="A474" s="14"/>
      <c r="B474" s="9"/>
      <c r="C474" s="9"/>
      <c r="D474" s="9"/>
      <c r="E474" s="9"/>
      <c r="F474" s="17" t="str">
        <f aca="false">IF(AND(A474="",B474="",C474=""),"",IF(NOT(ISNUMBER(A474)),"Enter the date done",IF(OR(B474="",C474=""),"Fill in asset and task",IF(SUMPRODUCT(('PM Plan'!$A$5:$A$304=B474)*('PM Plan'!$B$5:$B$304=C474))=0,"No matching asset + task in plan","OK"))))</f>
        <v/>
      </c>
    </row>
    <row r="475" customFormat="false" ht="15" hidden="false" customHeight="false" outlineLevel="0" collapsed="false">
      <c r="A475" s="14"/>
      <c r="B475" s="9"/>
      <c r="C475" s="9"/>
      <c r="D475" s="9"/>
      <c r="E475" s="9"/>
      <c r="F475" s="17" t="str">
        <f aca="false">IF(AND(A475="",B475="",C475=""),"",IF(NOT(ISNUMBER(A475)),"Enter the date done",IF(OR(B475="",C475=""),"Fill in asset and task",IF(SUMPRODUCT(('PM Plan'!$A$5:$A$304=B475)*('PM Plan'!$B$5:$B$304=C475))=0,"No matching asset + task in plan","OK"))))</f>
        <v/>
      </c>
    </row>
    <row r="476" customFormat="false" ht="15" hidden="false" customHeight="false" outlineLevel="0" collapsed="false">
      <c r="A476" s="14"/>
      <c r="B476" s="9"/>
      <c r="C476" s="9"/>
      <c r="D476" s="9"/>
      <c r="E476" s="9"/>
      <c r="F476" s="17" t="str">
        <f aca="false">IF(AND(A476="",B476="",C476=""),"",IF(NOT(ISNUMBER(A476)),"Enter the date done",IF(OR(B476="",C476=""),"Fill in asset and task",IF(SUMPRODUCT(('PM Plan'!$A$5:$A$304=B476)*('PM Plan'!$B$5:$B$304=C476))=0,"No matching asset + task in plan","OK"))))</f>
        <v/>
      </c>
    </row>
    <row r="477" customFormat="false" ht="15" hidden="false" customHeight="false" outlineLevel="0" collapsed="false">
      <c r="A477" s="14"/>
      <c r="B477" s="9"/>
      <c r="C477" s="9"/>
      <c r="D477" s="9"/>
      <c r="E477" s="9"/>
      <c r="F477" s="17" t="str">
        <f aca="false">IF(AND(A477="",B477="",C477=""),"",IF(NOT(ISNUMBER(A477)),"Enter the date done",IF(OR(B477="",C477=""),"Fill in asset and task",IF(SUMPRODUCT(('PM Plan'!$A$5:$A$304=B477)*('PM Plan'!$B$5:$B$304=C477))=0,"No matching asset + task in plan","OK"))))</f>
        <v/>
      </c>
    </row>
    <row r="478" customFormat="false" ht="15" hidden="false" customHeight="false" outlineLevel="0" collapsed="false">
      <c r="A478" s="14"/>
      <c r="B478" s="9"/>
      <c r="C478" s="9"/>
      <c r="D478" s="9"/>
      <c r="E478" s="9"/>
      <c r="F478" s="17" t="str">
        <f aca="false">IF(AND(A478="",B478="",C478=""),"",IF(NOT(ISNUMBER(A478)),"Enter the date done",IF(OR(B478="",C478=""),"Fill in asset and task",IF(SUMPRODUCT(('PM Plan'!$A$5:$A$304=B478)*('PM Plan'!$B$5:$B$304=C478))=0,"No matching asset + task in plan","OK"))))</f>
        <v/>
      </c>
    </row>
    <row r="479" customFormat="false" ht="15" hidden="false" customHeight="false" outlineLevel="0" collapsed="false">
      <c r="A479" s="14"/>
      <c r="B479" s="9"/>
      <c r="C479" s="9"/>
      <c r="D479" s="9"/>
      <c r="E479" s="9"/>
      <c r="F479" s="17" t="str">
        <f aca="false">IF(AND(A479="",B479="",C479=""),"",IF(NOT(ISNUMBER(A479)),"Enter the date done",IF(OR(B479="",C479=""),"Fill in asset and task",IF(SUMPRODUCT(('PM Plan'!$A$5:$A$304=B479)*('PM Plan'!$B$5:$B$304=C479))=0,"No matching asset + task in plan","OK"))))</f>
        <v/>
      </c>
    </row>
    <row r="480" customFormat="false" ht="15" hidden="false" customHeight="false" outlineLevel="0" collapsed="false">
      <c r="A480" s="14"/>
      <c r="B480" s="9"/>
      <c r="C480" s="9"/>
      <c r="D480" s="9"/>
      <c r="E480" s="9"/>
      <c r="F480" s="17" t="str">
        <f aca="false">IF(AND(A480="",B480="",C480=""),"",IF(NOT(ISNUMBER(A480)),"Enter the date done",IF(OR(B480="",C480=""),"Fill in asset and task",IF(SUMPRODUCT(('PM Plan'!$A$5:$A$304=B480)*('PM Plan'!$B$5:$B$304=C480))=0,"No matching asset + task in plan","OK"))))</f>
        <v/>
      </c>
    </row>
    <row r="481" customFormat="false" ht="15" hidden="false" customHeight="false" outlineLevel="0" collapsed="false">
      <c r="A481" s="14"/>
      <c r="B481" s="9"/>
      <c r="C481" s="9"/>
      <c r="D481" s="9"/>
      <c r="E481" s="9"/>
      <c r="F481" s="17" t="str">
        <f aca="false">IF(AND(A481="",B481="",C481=""),"",IF(NOT(ISNUMBER(A481)),"Enter the date done",IF(OR(B481="",C481=""),"Fill in asset and task",IF(SUMPRODUCT(('PM Plan'!$A$5:$A$304=B481)*('PM Plan'!$B$5:$B$304=C481))=0,"No matching asset + task in plan","OK"))))</f>
        <v/>
      </c>
    </row>
    <row r="482" customFormat="false" ht="15" hidden="false" customHeight="false" outlineLevel="0" collapsed="false">
      <c r="A482" s="14"/>
      <c r="B482" s="9"/>
      <c r="C482" s="9"/>
      <c r="D482" s="9"/>
      <c r="E482" s="9"/>
      <c r="F482" s="17" t="str">
        <f aca="false">IF(AND(A482="",B482="",C482=""),"",IF(NOT(ISNUMBER(A482)),"Enter the date done",IF(OR(B482="",C482=""),"Fill in asset and task",IF(SUMPRODUCT(('PM Plan'!$A$5:$A$304=B482)*('PM Plan'!$B$5:$B$304=C482))=0,"No matching asset + task in plan","OK"))))</f>
        <v/>
      </c>
    </row>
    <row r="483" customFormat="false" ht="15" hidden="false" customHeight="false" outlineLevel="0" collapsed="false">
      <c r="A483" s="14"/>
      <c r="B483" s="9"/>
      <c r="C483" s="9"/>
      <c r="D483" s="9"/>
      <c r="E483" s="9"/>
      <c r="F483" s="17" t="str">
        <f aca="false">IF(AND(A483="",B483="",C483=""),"",IF(NOT(ISNUMBER(A483)),"Enter the date done",IF(OR(B483="",C483=""),"Fill in asset and task",IF(SUMPRODUCT(('PM Plan'!$A$5:$A$304=B483)*('PM Plan'!$B$5:$B$304=C483))=0,"No matching asset + task in plan","OK"))))</f>
        <v/>
      </c>
    </row>
    <row r="484" customFormat="false" ht="15" hidden="false" customHeight="false" outlineLevel="0" collapsed="false">
      <c r="A484" s="14"/>
      <c r="B484" s="9"/>
      <c r="C484" s="9"/>
      <c r="D484" s="9"/>
      <c r="E484" s="9"/>
      <c r="F484" s="17" t="str">
        <f aca="false">IF(AND(A484="",B484="",C484=""),"",IF(NOT(ISNUMBER(A484)),"Enter the date done",IF(OR(B484="",C484=""),"Fill in asset and task",IF(SUMPRODUCT(('PM Plan'!$A$5:$A$304=B484)*('PM Plan'!$B$5:$B$304=C484))=0,"No matching asset + task in plan","OK"))))</f>
        <v/>
      </c>
    </row>
    <row r="485" customFormat="false" ht="15" hidden="false" customHeight="false" outlineLevel="0" collapsed="false">
      <c r="A485" s="14"/>
      <c r="B485" s="9"/>
      <c r="C485" s="9"/>
      <c r="D485" s="9"/>
      <c r="E485" s="9"/>
      <c r="F485" s="17" t="str">
        <f aca="false">IF(AND(A485="",B485="",C485=""),"",IF(NOT(ISNUMBER(A485)),"Enter the date done",IF(OR(B485="",C485=""),"Fill in asset and task",IF(SUMPRODUCT(('PM Plan'!$A$5:$A$304=B485)*('PM Plan'!$B$5:$B$304=C485))=0,"No matching asset + task in plan","OK"))))</f>
        <v/>
      </c>
    </row>
    <row r="486" customFormat="false" ht="15" hidden="false" customHeight="false" outlineLevel="0" collapsed="false">
      <c r="A486" s="14"/>
      <c r="B486" s="9"/>
      <c r="C486" s="9"/>
      <c r="D486" s="9"/>
      <c r="E486" s="9"/>
      <c r="F486" s="17" t="str">
        <f aca="false">IF(AND(A486="",B486="",C486=""),"",IF(NOT(ISNUMBER(A486)),"Enter the date done",IF(OR(B486="",C486=""),"Fill in asset and task",IF(SUMPRODUCT(('PM Plan'!$A$5:$A$304=B486)*('PM Plan'!$B$5:$B$304=C486))=0,"No matching asset + task in plan","OK"))))</f>
        <v/>
      </c>
    </row>
    <row r="487" customFormat="false" ht="15" hidden="false" customHeight="false" outlineLevel="0" collapsed="false">
      <c r="A487" s="14"/>
      <c r="B487" s="9"/>
      <c r="C487" s="9"/>
      <c r="D487" s="9"/>
      <c r="E487" s="9"/>
      <c r="F487" s="17" t="str">
        <f aca="false">IF(AND(A487="",B487="",C487=""),"",IF(NOT(ISNUMBER(A487)),"Enter the date done",IF(OR(B487="",C487=""),"Fill in asset and task",IF(SUMPRODUCT(('PM Plan'!$A$5:$A$304=B487)*('PM Plan'!$B$5:$B$304=C487))=0,"No matching asset + task in plan","OK"))))</f>
        <v/>
      </c>
    </row>
    <row r="488" customFormat="false" ht="15" hidden="false" customHeight="false" outlineLevel="0" collapsed="false">
      <c r="A488" s="14"/>
      <c r="B488" s="9"/>
      <c r="C488" s="9"/>
      <c r="D488" s="9"/>
      <c r="E488" s="9"/>
      <c r="F488" s="17" t="str">
        <f aca="false">IF(AND(A488="",B488="",C488=""),"",IF(NOT(ISNUMBER(A488)),"Enter the date done",IF(OR(B488="",C488=""),"Fill in asset and task",IF(SUMPRODUCT(('PM Plan'!$A$5:$A$304=B488)*('PM Plan'!$B$5:$B$304=C488))=0,"No matching asset + task in plan","OK"))))</f>
        <v/>
      </c>
    </row>
    <row r="489" customFormat="false" ht="15" hidden="false" customHeight="false" outlineLevel="0" collapsed="false">
      <c r="A489" s="14"/>
      <c r="B489" s="9"/>
      <c r="C489" s="9"/>
      <c r="D489" s="9"/>
      <c r="E489" s="9"/>
      <c r="F489" s="17" t="str">
        <f aca="false">IF(AND(A489="",B489="",C489=""),"",IF(NOT(ISNUMBER(A489)),"Enter the date done",IF(OR(B489="",C489=""),"Fill in asset and task",IF(SUMPRODUCT(('PM Plan'!$A$5:$A$304=B489)*('PM Plan'!$B$5:$B$304=C489))=0,"No matching asset + task in plan","OK"))))</f>
        <v/>
      </c>
    </row>
    <row r="490" customFormat="false" ht="15" hidden="false" customHeight="false" outlineLevel="0" collapsed="false">
      <c r="A490" s="14"/>
      <c r="B490" s="9"/>
      <c r="C490" s="9"/>
      <c r="D490" s="9"/>
      <c r="E490" s="9"/>
      <c r="F490" s="17" t="str">
        <f aca="false">IF(AND(A490="",B490="",C490=""),"",IF(NOT(ISNUMBER(A490)),"Enter the date done",IF(OR(B490="",C490=""),"Fill in asset and task",IF(SUMPRODUCT(('PM Plan'!$A$5:$A$304=B490)*('PM Plan'!$B$5:$B$304=C490))=0,"No matching asset + task in plan","OK"))))</f>
        <v/>
      </c>
    </row>
    <row r="491" customFormat="false" ht="15" hidden="false" customHeight="false" outlineLevel="0" collapsed="false">
      <c r="A491" s="14"/>
      <c r="B491" s="9"/>
      <c r="C491" s="9"/>
      <c r="D491" s="9"/>
      <c r="E491" s="9"/>
      <c r="F491" s="17" t="str">
        <f aca="false">IF(AND(A491="",B491="",C491=""),"",IF(NOT(ISNUMBER(A491)),"Enter the date done",IF(OR(B491="",C491=""),"Fill in asset and task",IF(SUMPRODUCT(('PM Plan'!$A$5:$A$304=B491)*('PM Plan'!$B$5:$B$304=C491))=0,"No matching asset + task in plan","OK"))))</f>
        <v/>
      </c>
    </row>
    <row r="492" customFormat="false" ht="15" hidden="false" customHeight="false" outlineLevel="0" collapsed="false">
      <c r="A492" s="14"/>
      <c r="B492" s="9"/>
      <c r="C492" s="9"/>
      <c r="D492" s="9"/>
      <c r="E492" s="9"/>
      <c r="F492" s="17" t="str">
        <f aca="false">IF(AND(A492="",B492="",C492=""),"",IF(NOT(ISNUMBER(A492)),"Enter the date done",IF(OR(B492="",C492=""),"Fill in asset and task",IF(SUMPRODUCT(('PM Plan'!$A$5:$A$304=B492)*('PM Plan'!$B$5:$B$304=C492))=0,"No matching asset + task in plan","OK"))))</f>
        <v/>
      </c>
    </row>
    <row r="493" customFormat="false" ht="15" hidden="false" customHeight="false" outlineLevel="0" collapsed="false">
      <c r="A493" s="14"/>
      <c r="B493" s="9"/>
      <c r="C493" s="9"/>
      <c r="D493" s="9"/>
      <c r="E493" s="9"/>
      <c r="F493" s="17" t="str">
        <f aca="false">IF(AND(A493="",B493="",C493=""),"",IF(NOT(ISNUMBER(A493)),"Enter the date done",IF(OR(B493="",C493=""),"Fill in asset and task",IF(SUMPRODUCT(('PM Plan'!$A$5:$A$304=B493)*('PM Plan'!$B$5:$B$304=C493))=0,"No matching asset + task in plan","OK"))))</f>
        <v/>
      </c>
    </row>
    <row r="494" customFormat="false" ht="15" hidden="false" customHeight="false" outlineLevel="0" collapsed="false">
      <c r="A494" s="14"/>
      <c r="B494" s="9"/>
      <c r="C494" s="9"/>
      <c r="D494" s="9"/>
      <c r="E494" s="9"/>
      <c r="F494" s="17" t="str">
        <f aca="false">IF(AND(A494="",B494="",C494=""),"",IF(NOT(ISNUMBER(A494)),"Enter the date done",IF(OR(B494="",C494=""),"Fill in asset and task",IF(SUMPRODUCT(('PM Plan'!$A$5:$A$304=B494)*('PM Plan'!$B$5:$B$304=C494))=0,"No matching asset + task in plan","OK"))))</f>
        <v/>
      </c>
    </row>
    <row r="495" customFormat="false" ht="15" hidden="false" customHeight="false" outlineLevel="0" collapsed="false">
      <c r="A495" s="14"/>
      <c r="B495" s="9"/>
      <c r="C495" s="9"/>
      <c r="D495" s="9"/>
      <c r="E495" s="9"/>
      <c r="F495" s="17" t="str">
        <f aca="false">IF(AND(A495="",B495="",C495=""),"",IF(NOT(ISNUMBER(A495)),"Enter the date done",IF(OR(B495="",C495=""),"Fill in asset and task",IF(SUMPRODUCT(('PM Plan'!$A$5:$A$304=B495)*('PM Plan'!$B$5:$B$304=C495))=0,"No matching asset + task in plan","OK"))))</f>
        <v/>
      </c>
    </row>
    <row r="496" customFormat="false" ht="15" hidden="false" customHeight="false" outlineLevel="0" collapsed="false">
      <c r="A496" s="14"/>
      <c r="B496" s="9"/>
      <c r="C496" s="9"/>
      <c r="D496" s="9"/>
      <c r="E496" s="9"/>
      <c r="F496" s="17" t="str">
        <f aca="false">IF(AND(A496="",B496="",C496=""),"",IF(NOT(ISNUMBER(A496)),"Enter the date done",IF(OR(B496="",C496=""),"Fill in asset and task",IF(SUMPRODUCT(('PM Plan'!$A$5:$A$304=B496)*('PM Plan'!$B$5:$B$304=C496))=0,"No matching asset + task in plan","OK"))))</f>
        <v/>
      </c>
    </row>
    <row r="497" customFormat="false" ht="15" hidden="false" customHeight="false" outlineLevel="0" collapsed="false">
      <c r="A497" s="14"/>
      <c r="B497" s="9"/>
      <c r="C497" s="9"/>
      <c r="D497" s="9"/>
      <c r="E497" s="9"/>
      <c r="F497" s="17" t="str">
        <f aca="false">IF(AND(A497="",B497="",C497=""),"",IF(NOT(ISNUMBER(A497)),"Enter the date done",IF(OR(B497="",C497=""),"Fill in asset and task",IF(SUMPRODUCT(('PM Plan'!$A$5:$A$304=B497)*('PM Plan'!$B$5:$B$304=C497))=0,"No matching asset + task in plan","OK"))))</f>
        <v/>
      </c>
    </row>
    <row r="498" customFormat="false" ht="15" hidden="false" customHeight="false" outlineLevel="0" collapsed="false">
      <c r="A498" s="14"/>
      <c r="B498" s="9"/>
      <c r="C498" s="9"/>
      <c r="D498" s="9"/>
      <c r="E498" s="9"/>
      <c r="F498" s="17" t="str">
        <f aca="false">IF(AND(A498="",B498="",C498=""),"",IF(NOT(ISNUMBER(A498)),"Enter the date done",IF(OR(B498="",C498=""),"Fill in asset and task",IF(SUMPRODUCT(('PM Plan'!$A$5:$A$304=B498)*('PM Plan'!$B$5:$B$304=C498))=0,"No matching asset + task in plan","OK"))))</f>
        <v/>
      </c>
    </row>
    <row r="499" customFormat="false" ht="15" hidden="false" customHeight="false" outlineLevel="0" collapsed="false">
      <c r="A499" s="14"/>
      <c r="B499" s="9"/>
      <c r="C499" s="9"/>
      <c r="D499" s="9"/>
      <c r="E499" s="9"/>
      <c r="F499" s="17" t="str">
        <f aca="false">IF(AND(A499="",B499="",C499=""),"",IF(NOT(ISNUMBER(A499)),"Enter the date done",IF(OR(B499="",C499=""),"Fill in asset and task",IF(SUMPRODUCT(('PM Plan'!$A$5:$A$304=B499)*('PM Plan'!$B$5:$B$304=C499))=0,"No matching asset + task in plan","OK"))))</f>
        <v/>
      </c>
    </row>
    <row r="500" customFormat="false" ht="15" hidden="false" customHeight="false" outlineLevel="0" collapsed="false">
      <c r="A500" s="14"/>
      <c r="B500" s="9"/>
      <c r="C500" s="9"/>
      <c r="D500" s="9"/>
      <c r="E500" s="9"/>
      <c r="F500" s="17" t="str">
        <f aca="false">IF(AND(A500="",B500="",C500=""),"",IF(NOT(ISNUMBER(A500)),"Enter the date done",IF(OR(B500="",C500=""),"Fill in asset and task",IF(SUMPRODUCT(('PM Plan'!$A$5:$A$304=B500)*('PM Plan'!$B$5:$B$304=C500))=0,"No matching asset + task in plan","OK"))))</f>
        <v/>
      </c>
    </row>
    <row r="501" customFormat="false" ht="15" hidden="false" customHeight="false" outlineLevel="0" collapsed="false">
      <c r="A501" s="14"/>
      <c r="B501" s="9"/>
      <c r="C501" s="9"/>
      <c r="D501" s="9"/>
      <c r="E501" s="9"/>
      <c r="F501" s="17" t="str">
        <f aca="false">IF(AND(A501="",B501="",C501=""),"",IF(NOT(ISNUMBER(A501)),"Enter the date done",IF(OR(B501="",C501=""),"Fill in asset and task",IF(SUMPRODUCT(('PM Plan'!$A$5:$A$304=B501)*('PM Plan'!$B$5:$B$304=C501))=0,"No matching asset + task in plan","OK"))))</f>
        <v/>
      </c>
    </row>
    <row r="502" customFormat="false" ht="15" hidden="false" customHeight="false" outlineLevel="0" collapsed="false">
      <c r="A502" s="14"/>
      <c r="B502" s="9"/>
      <c r="C502" s="9"/>
      <c r="D502" s="9"/>
      <c r="E502" s="9"/>
      <c r="F502" s="17" t="str">
        <f aca="false">IF(AND(A502="",B502="",C502=""),"",IF(NOT(ISNUMBER(A502)),"Enter the date done",IF(OR(B502="",C502=""),"Fill in asset and task",IF(SUMPRODUCT(('PM Plan'!$A$5:$A$304=B502)*('PM Plan'!$B$5:$B$304=C502))=0,"No matching asset + task in plan","OK"))))</f>
        <v/>
      </c>
    </row>
    <row r="503" customFormat="false" ht="15" hidden="false" customHeight="false" outlineLevel="0" collapsed="false">
      <c r="A503" s="14"/>
      <c r="B503" s="9"/>
      <c r="C503" s="9"/>
      <c r="D503" s="9"/>
      <c r="E503" s="9"/>
      <c r="F503" s="17" t="str">
        <f aca="false">IF(AND(A503="",B503="",C503=""),"",IF(NOT(ISNUMBER(A503)),"Enter the date done",IF(OR(B503="",C503=""),"Fill in asset and task",IF(SUMPRODUCT(('PM Plan'!$A$5:$A$304=B503)*('PM Plan'!$B$5:$B$304=C503))=0,"No matching asset + task in plan","OK"))))</f>
        <v/>
      </c>
    </row>
    <row r="504" customFormat="false" ht="15" hidden="false" customHeight="false" outlineLevel="0" collapsed="false">
      <c r="A504" s="14"/>
      <c r="B504" s="9"/>
      <c r="C504" s="9"/>
      <c r="D504" s="9"/>
      <c r="E504" s="9"/>
      <c r="F504" s="17" t="str">
        <f aca="false">IF(AND(A504="",B504="",C504=""),"",IF(NOT(ISNUMBER(A504)),"Enter the date done",IF(OR(B504="",C504=""),"Fill in asset and task",IF(SUMPRODUCT(('PM Plan'!$A$5:$A$304=B504)*('PM Plan'!$B$5:$B$304=C504))=0,"No matching asset + task in plan","OK"))))</f>
        <v/>
      </c>
    </row>
    <row r="505" customFormat="false" ht="15" hidden="false" customHeight="false" outlineLevel="0" collapsed="false">
      <c r="A505" s="14"/>
      <c r="B505" s="9"/>
      <c r="C505" s="9"/>
      <c r="D505" s="9"/>
      <c r="E505" s="9"/>
      <c r="F505" s="17" t="str">
        <f aca="false">IF(AND(A505="",B505="",C505=""),"",IF(NOT(ISNUMBER(A505)),"Enter the date done",IF(OR(B505="",C505=""),"Fill in asset and task",IF(SUMPRODUCT(('PM Plan'!$A$5:$A$304=B505)*('PM Plan'!$B$5:$B$304=C505))=0,"No matching asset + task in plan","OK"))))</f>
        <v/>
      </c>
    </row>
    <row r="506" customFormat="false" ht="15" hidden="false" customHeight="false" outlineLevel="0" collapsed="false">
      <c r="A506" s="14"/>
      <c r="B506" s="9"/>
      <c r="C506" s="9"/>
      <c r="D506" s="9"/>
      <c r="E506" s="9"/>
      <c r="F506" s="17" t="str">
        <f aca="false">IF(AND(A506="",B506="",C506=""),"",IF(NOT(ISNUMBER(A506)),"Enter the date done",IF(OR(B506="",C506=""),"Fill in asset and task",IF(SUMPRODUCT(('PM Plan'!$A$5:$A$304=B506)*('PM Plan'!$B$5:$B$304=C506))=0,"No matching asset + task in plan","OK"))))</f>
        <v/>
      </c>
    </row>
    <row r="507" customFormat="false" ht="15" hidden="false" customHeight="false" outlineLevel="0" collapsed="false">
      <c r="A507" s="14"/>
      <c r="B507" s="9"/>
      <c r="C507" s="9"/>
      <c r="D507" s="9"/>
      <c r="E507" s="9"/>
      <c r="F507" s="17" t="str">
        <f aca="false">IF(AND(A507="",B507="",C507=""),"",IF(NOT(ISNUMBER(A507)),"Enter the date done",IF(OR(B507="",C507=""),"Fill in asset and task",IF(SUMPRODUCT(('PM Plan'!$A$5:$A$304=B507)*('PM Plan'!$B$5:$B$304=C507))=0,"No matching asset + task in plan","OK"))))</f>
        <v/>
      </c>
    </row>
    <row r="508" customFormat="false" ht="15" hidden="false" customHeight="false" outlineLevel="0" collapsed="false">
      <c r="A508" s="14"/>
      <c r="B508" s="9"/>
      <c r="C508" s="9"/>
      <c r="D508" s="9"/>
      <c r="E508" s="9"/>
      <c r="F508" s="17" t="str">
        <f aca="false">IF(AND(A508="",B508="",C508=""),"",IF(NOT(ISNUMBER(A508)),"Enter the date done",IF(OR(B508="",C508=""),"Fill in asset and task",IF(SUMPRODUCT(('PM Plan'!$A$5:$A$304=B508)*('PM Plan'!$B$5:$B$304=C508))=0,"No matching asset + task in plan","OK"))))</f>
        <v/>
      </c>
    </row>
    <row r="509" customFormat="false" ht="15" hidden="false" customHeight="false" outlineLevel="0" collapsed="false">
      <c r="A509" s="14"/>
      <c r="B509" s="9"/>
      <c r="C509" s="9"/>
      <c r="D509" s="9"/>
      <c r="E509" s="9"/>
      <c r="F509" s="17" t="str">
        <f aca="false">IF(AND(A509="",B509="",C509=""),"",IF(NOT(ISNUMBER(A509)),"Enter the date done",IF(OR(B509="",C509=""),"Fill in asset and task",IF(SUMPRODUCT(('PM Plan'!$A$5:$A$304=B509)*('PM Plan'!$B$5:$B$304=C509))=0,"No matching asset + task in plan","OK"))))</f>
        <v/>
      </c>
    </row>
    <row r="510" customFormat="false" ht="15" hidden="false" customHeight="false" outlineLevel="0" collapsed="false">
      <c r="A510" s="14"/>
      <c r="B510" s="9"/>
      <c r="C510" s="9"/>
      <c r="D510" s="9"/>
      <c r="E510" s="9"/>
      <c r="F510" s="17" t="str">
        <f aca="false">IF(AND(A510="",B510="",C510=""),"",IF(NOT(ISNUMBER(A510)),"Enter the date done",IF(OR(B510="",C510=""),"Fill in asset and task",IF(SUMPRODUCT(('PM Plan'!$A$5:$A$304=B510)*('PM Plan'!$B$5:$B$304=C510))=0,"No matching asset + task in plan","OK"))))</f>
        <v/>
      </c>
    </row>
    <row r="511" customFormat="false" ht="15" hidden="false" customHeight="false" outlineLevel="0" collapsed="false">
      <c r="A511" s="14"/>
      <c r="B511" s="9"/>
      <c r="C511" s="9"/>
      <c r="D511" s="9"/>
      <c r="E511" s="9"/>
      <c r="F511" s="17" t="str">
        <f aca="false">IF(AND(A511="",B511="",C511=""),"",IF(NOT(ISNUMBER(A511)),"Enter the date done",IF(OR(B511="",C511=""),"Fill in asset and task",IF(SUMPRODUCT(('PM Plan'!$A$5:$A$304=B511)*('PM Plan'!$B$5:$B$304=C511))=0,"No matching asset + task in plan","OK"))))</f>
        <v/>
      </c>
    </row>
    <row r="512" customFormat="false" ht="15" hidden="false" customHeight="false" outlineLevel="0" collapsed="false">
      <c r="A512" s="14"/>
      <c r="B512" s="9"/>
      <c r="C512" s="9"/>
      <c r="D512" s="9"/>
      <c r="E512" s="9"/>
      <c r="F512" s="17" t="str">
        <f aca="false">IF(AND(A512="",B512="",C512=""),"",IF(NOT(ISNUMBER(A512)),"Enter the date done",IF(OR(B512="",C512=""),"Fill in asset and task",IF(SUMPRODUCT(('PM Plan'!$A$5:$A$304=B512)*('PM Plan'!$B$5:$B$304=C512))=0,"No matching asset + task in plan","OK"))))</f>
        <v/>
      </c>
    </row>
    <row r="513" customFormat="false" ht="15" hidden="false" customHeight="false" outlineLevel="0" collapsed="false">
      <c r="A513" s="14"/>
      <c r="B513" s="9"/>
      <c r="C513" s="9"/>
      <c r="D513" s="9"/>
      <c r="E513" s="9"/>
      <c r="F513" s="17" t="str">
        <f aca="false">IF(AND(A513="",B513="",C513=""),"",IF(NOT(ISNUMBER(A513)),"Enter the date done",IF(OR(B513="",C513=""),"Fill in asset and task",IF(SUMPRODUCT(('PM Plan'!$A$5:$A$304=B513)*('PM Plan'!$B$5:$B$304=C513))=0,"No matching asset + task in plan","OK"))))</f>
        <v/>
      </c>
    </row>
    <row r="514" customFormat="false" ht="15" hidden="false" customHeight="false" outlineLevel="0" collapsed="false">
      <c r="A514" s="14"/>
      <c r="B514" s="9"/>
      <c r="C514" s="9"/>
      <c r="D514" s="9"/>
      <c r="E514" s="9"/>
      <c r="F514" s="17" t="str">
        <f aca="false">IF(AND(A514="",B514="",C514=""),"",IF(NOT(ISNUMBER(A514)),"Enter the date done",IF(OR(B514="",C514=""),"Fill in asset and task",IF(SUMPRODUCT(('PM Plan'!$A$5:$A$304=B514)*('PM Plan'!$B$5:$B$304=C514))=0,"No matching asset + task in plan","OK"))))</f>
        <v/>
      </c>
    </row>
    <row r="515" customFormat="false" ht="15" hidden="false" customHeight="false" outlineLevel="0" collapsed="false">
      <c r="A515" s="14"/>
      <c r="B515" s="9"/>
      <c r="C515" s="9"/>
      <c r="D515" s="9"/>
      <c r="E515" s="9"/>
      <c r="F515" s="17" t="str">
        <f aca="false">IF(AND(A515="",B515="",C515=""),"",IF(NOT(ISNUMBER(A515)),"Enter the date done",IF(OR(B515="",C515=""),"Fill in asset and task",IF(SUMPRODUCT(('PM Plan'!$A$5:$A$304=B515)*('PM Plan'!$B$5:$B$304=C515))=0,"No matching asset + task in plan","OK"))))</f>
        <v/>
      </c>
    </row>
    <row r="516" customFormat="false" ht="15" hidden="false" customHeight="false" outlineLevel="0" collapsed="false">
      <c r="A516" s="14"/>
      <c r="B516" s="9"/>
      <c r="C516" s="9"/>
      <c r="D516" s="9"/>
      <c r="E516" s="9"/>
      <c r="F516" s="17" t="str">
        <f aca="false">IF(AND(A516="",B516="",C516=""),"",IF(NOT(ISNUMBER(A516)),"Enter the date done",IF(OR(B516="",C516=""),"Fill in asset and task",IF(SUMPRODUCT(('PM Plan'!$A$5:$A$304=B516)*('PM Plan'!$B$5:$B$304=C516))=0,"No matching asset + task in plan","OK"))))</f>
        <v/>
      </c>
    </row>
    <row r="517" customFormat="false" ht="15" hidden="false" customHeight="false" outlineLevel="0" collapsed="false">
      <c r="A517" s="14"/>
      <c r="B517" s="9"/>
      <c r="C517" s="9"/>
      <c r="D517" s="9"/>
      <c r="E517" s="9"/>
      <c r="F517" s="17" t="str">
        <f aca="false">IF(AND(A517="",B517="",C517=""),"",IF(NOT(ISNUMBER(A517)),"Enter the date done",IF(OR(B517="",C517=""),"Fill in asset and task",IF(SUMPRODUCT(('PM Plan'!$A$5:$A$304=B517)*('PM Plan'!$B$5:$B$304=C517))=0,"No matching asset + task in plan","OK"))))</f>
        <v/>
      </c>
    </row>
    <row r="518" customFormat="false" ht="15" hidden="false" customHeight="false" outlineLevel="0" collapsed="false">
      <c r="A518" s="14"/>
      <c r="B518" s="9"/>
      <c r="C518" s="9"/>
      <c r="D518" s="9"/>
      <c r="E518" s="9"/>
      <c r="F518" s="17" t="str">
        <f aca="false">IF(AND(A518="",B518="",C518=""),"",IF(NOT(ISNUMBER(A518)),"Enter the date done",IF(OR(B518="",C518=""),"Fill in asset and task",IF(SUMPRODUCT(('PM Plan'!$A$5:$A$304=B518)*('PM Plan'!$B$5:$B$304=C518))=0,"No matching asset + task in plan","OK"))))</f>
        <v/>
      </c>
    </row>
    <row r="519" customFormat="false" ht="15" hidden="false" customHeight="false" outlineLevel="0" collapsed="false">
      <c r="A519" s="14"/>
      <c r="B519" s="9"/>
      <c r="C519" s="9"/>
      <c r="D519" s="9"/>
      <c r="E519" s="9"/>
      <c r="F519" s="17" t="str">
        <f aca="false">IF(AND(A519="",B519="",C519=""),"",IF(NOT(ISNUMBER(A519)),"Enter the date done",IF(OR(B519="",C519=""),"Fill in asset and task",IF(SUMPRODUCT(('PM Plan'!$A$5:$A$304=B519)*('PM Plan'!$B$5:$B$304=C519))=0,"No matching asset + task in plan","OK"))))</f>
        <v/>
      </c>
    </row>
    <row r="520" customFormat="false" ht="15" hidden="false" customHeight="false" outlineLevel="0" collapsed="false">
      <c r="A520" s="14"/>
      <c r="B520" s="9"/>
      <c r="C520" s="9"/>
      <c r="D520" s="9"/>
      <c r="E520" s="9"/>
      <c r="F520" s="17" t="str">
        <f aca="false">IF(AND(A520="",B520="",C520=""),"",IF(NOT(ISNUMBER(A520)),"Enter the date done",IF(OR(B520="",C520=""),"Fill in asset and task",IF(SUMPRODUCT(('PM Plan'!$A$5:$A$304=B520)*('PM Plan'!$B$5:$B$304=C520))=0,"No matching asset + task in plan","OK"))))</f>
        <v/>
      </c>
    </row>
    <row r="521" customFormat="false" ht="15" hidden="false" customHeight="false" outlineLevel="0" collapsed="false">
      <c r="A521" s="14"/>
      <c r="B521" s="9"/>
      <c r="C521" s="9"/>
      <c r="D521" s="9"/>
      <c r="E521" s="9"/>
      <c r="F521" s="17" t="str">
        <f aca="false">IF(AND(A521="",B521="",C521=""),"",IF(NOT(ISNUMBER(A521)),"Enter the date done",IF(OR(B521="",C521=""),"Fill in asset and task",IF(SUMPRODUCT(('PM Plan'!$A$5:$A$304=B521)*('PM Plan'!$B$5:$B$304=C521))=0,"No matching asset + task in plan","OK"))))</f>
        <v/>
      </c>
    </row>
    <row r="522" customFormat="false" ht="15" hidden="false" customHeight="false" outlineLevel="0" collapsed="false">
      <c r="A522" s="14"/>
      <c r="B522" s="9"/>
      <c r="C522" s="9"/>
      <c r="D522" s="9"/>
      <c r="E522" s="9"/>
      <c r="F522" s="17" t="str">
        <f aca="false">IF(AND(A522="",B522="",C522=""),"",IF(NOT(ISNUMBER(A522)),"Enter the date done",IF(OR(B522="",C522=""),"Fill in asset and task",IF(SUMPRODUCT(('PM Plan'!$A$5:$A$304=B522)*('PM Plan'!$B$5:$B$304=C522))=0,"No matching asset + task in plan","OK"))))</f>
        <v/>
      </c>
    </row>
    <row r="523" customFormat="false" ht="15" hidden="false" customHeight="false" outlineLevel="0" collapsed="false">
      <c r="A523" s="14"/>
      <c r="B523" s="9"/>
      <c r="C523" s="9"/>
      <c r="D523" s="9"/>
      <c r="E523" s="9"/>
      <c r="F523" s="17" t="str">
        <f aca="false">IF(AND(A523="",B523="",C523=""),"",IF(NOT(ISNUMBER(A523)),"Enter the date done",IF(OR(B523="",C523=""),"Fill in asset and task",IF(SUMPRODUCT(('PM Plan'!$A$5:$A$304=B523)*('PM Plan'!$B$5:$B$304=C523))=0,"No matching asset + task in plan","OK"))))</f>
        <v/>
      </c>
    </row>
    <row r="524" customFormat="false" ht="15" hidden="false" customHeight="false" outlineLevel="0" collapsed="false">
      <c r="A524" s="14"/>
      <c r="B524" s="9"/>
      <c r="C524" s="9"/>
      <c r="D524" s="9"/>
      <c r="E524" s="9"/>
      <c r="F524" s="17" t="str">
        <f aca="false">IF(AND(A524="",B524="",C524=""),"",IF(NOT(ISNUMBER(A524)),"Enter the date done",IF(OR(B524="",C524=""),"Fill in asset and task",IF(SUMPRODUCT(('PM Plan'!$A$5:$A$304=B524)*('PM Plan'!$B$5:$B$304=C524))=0,"No matching asset + task in plan","OK"))))</f>
        <v/>
      </c>
    </row>
    <row r="525" customFormat="false" ht="15" hidden="false" customHeight="false" outlineLevel="0" collapsed="false">
      <c r="A525" s="14"/>
      <c r="B525" s="9"/>
      <c r="C525" s="9"/>
      <c r="D525" s="9"/>
      <c r="E525" s="9"/>
      <c r="F525" s="17" t="str">
        <f aca="false">IF(AND(A525="",B525="",C525=""),"",IF(NOT(ISNUMBER(A525)),"Enter the date done",IF(OR(B525="",C525=""),"Fill in asset and task",IF(SUMPRODUCT(('PM Plan'!$A$5:$A$304=B525)*('PM Plan'!$B$5:$B$304=C525))=0,"No matching asset + task in plan","OK"))))</f>
        <v/>
      </c>
    </row>
    <row r="526" customFormat="false" ht="15" hidden="false" customHeight="false" outlineLevel="0" collapsed="false">
      <c r="A526" s="14"/>
      <c r="B526" s="9"/>
      <c r="C526" s="9"/>
      <c r="D526" s="9"/>
      <c r="E526" s="9"/>
      <c r="F526" s="17" t="str">
        <f aca="false">IF(AND(A526="",B526="",C526=""),"",IF(NOT(ISNUMBER(A526)),"Enter the date done",IF(OR(B526="",C526=""),"Fill in asset and task",IF(SUMPRODUCT(('PM Plan'!$A$5:$A$304=B526)*('PM Plan'!$B$5:$B$304=C526))=0,"No matching asset + task in plan","OK"))))</f>
        <v/>
      </c>
    </row>
    <row r="527" customFormat="false" ht="15" hidden="false" customHeight="false" outlineLevel="0" collapsed="false">
      <c r="A527" s="14"/>
      <c r="B527" s="9"/>
      <c r="C527" s="9"/>
      <c r="D527" s="9"/>
      <c r="E527" s="9"/>
      <c r="F527" s="17" t="str">
        <f aca="false">IF(AND(A527="",B527="",C527=""),"",IF(NOT(ISNUMBER(A527)),"Enter the date done",IF(OR(B527="",C527=""),"Fill in asset and task",IF(SUMPRODUCT(('PM Plan'!$A$5:$A$304=B527)*('PM Plan'!$B$5:$B$304=C527))=0,"No matching asset + task in plan","OK"))))</f>
        <v/>
      </c>
    </row>
    <row r="528" customFormat="false" ht="15" hidden="false" customHeight="false" outlineLevel="0" collapsed="false">
      <c r="A528" s="14"/>
      <c r="B528" s="9"/>
      <c r="C528" s="9"/>
      <c r="D528" s="9"/>
      <c r="E528" s="9"/>
      <c r="F528" s="17" t="str">
        <f aca="false">IF(AND(A528="",B528="",C528=""),"",IF(NOT(ISNUMBER(A528)),"Enter the date done",IF(OR(B528="",C528=""),"Fill in asset and task",IF(SUMPRODUCT(('PM Plan'!$A$5:$A$304=B528)*('PM Plan'!$B$5:$B$304=C528))=0,"No matching asset + task in plan","OK"))))</f>
        <v/>
      </c>
    </row>
    <row r="529" customFormat="false" ht="15" hidden="false" customHeight="false" outlineLevel="0" collapsed="false">
      <c r="A529" s="14"/>
      <c r="B529" s="9"/>
      <c r="C529" s="9"/>
      <c r="D529" s="9"/>
      <c r="E529" s="9"/>
      <c r="F529" s="17" t="str">
        <f aca="false">IF(AND(A529="",B529="",C529=""),"",IF(NOT(ISNUMBER(A529)),"Enter the date done",IF(OR(B529="",C529=""),"Fill in asset and task",IF(SUMPRODUCT(('PM Plan'!$A$5:$A$304=B529)*('PM Plan'!$B$5:$B$304=C529))=0,"No matching asset + task in plan","OK"))))</f>
        <v/>
      </c>
    </row>
    <row r="530" customFormat="false" ht="15" hidden="false" customHeight="false" outlineLevel="0" collapsed="false">
      <c r="A530" s="14"/>
      <c r="B530" s="9"/>
      <c r="C530" s="9"/>
      <c r="D530" s="9"/>
      <c r="E530" s="9"/>
      <c r="F530" s="17" t="str">
        <f aca="false">IF(AND(A530="",B530="",C530=""),"",IF(NOT(ISNUMBER(A530)),"Enter the date done",IF(OR(B530="",C530=""),"Fill in asset and task",IF(SUMPRODUCT(('PM Plan'!$A$5:$A$304=B530)*('PM Plan'!$B$5:$B$304=C530))=0,"No matching asset + task in plan","OK"))))</f>
        <v/>
      </c>
    </row>
    <row r="531" customFormat="false" ht="15" hidden="false" customHeight="false" outlineLevel="0" collapsed="false">
      <c r="A531" s="14"/>
      <c r="B531" s="9"/>
      <c r="C531" s="9"/>
      <c r="D531" s="9"/>
      <c r="E531" s="9"/>
      <c r="F531" s="17" t="str">
        <f aca="false">IF(AND(A531="",B531="",C531=""),"",IF(NOT(ISNUMBER(A531)),"Enter the date done",IF(OR(B531="",C531=""),"Fill in asset and task",IF(SUMPRODUCT(('PM Plan'!$A$5:$A$304=B531)*('PM Plan'!$B$5:$B$304=C531))=0,"No matching asset + task in plan","OK"))))</f>
        <v/>
      </c>
    </row>
    <row r="532" customFormat="false" ht="15" hidden="false" customHeight="false" outlineLevel="0" collapsed="false">
      <c r="A532" s="14"/>
      <c r="B532" s="9"/>
      <c r="C532" s="9"/>
      <c r="D532" s="9"/>
      <c r="E532" s="9"/>
      <c r="F532" s="17" t="str">
        <f aca="false">IF(AND(A532="",B532="",C532=""),"",IF(NOT(ISNUMBER(A532)),"Enter the date done",IF(OR(B532="",C532=""),"Fill in asset and task",IF(SUMPRODUCT(('PM Plan'!$A$5:$A$304=B532)*('PM Plan'!$B$5:$B$304=C532))=0,"No matching asset + task in plan","OK"))))</f>
        <v/>
      </c>
    </row>
    <row r="533" customFormat="false" ht="15" hidden="false" customHeight="false" outlineLevel="0" collapsed="false">
      <c r="A533" s="14"/>
      <c r="B533" s="9"/>
      <c r="C533" s="9"/>
      <c r="D533" s="9"/>
      <c r="E533" s="9"/>
      <c r="F533" s="17" t="str">
        <f aca="false">IF(AND(A533="",B533="",C533=""),"",IF(NOT(ISNUMBER(A533)),"Enter the date done",IF(OR(B533="",C533=""),"Fill in asset and task",IF(SUMPRODUCT(('PM Plan'!$A$5:$A$304=B533)*('PM Plan'!$B$5:$B$304=C533))=0,"No matching asset + task in plan","OK"))))</f>
        <v/>
      </c>
    </row>
    <row r="534" customFormat="false" ht="15" hidden="false" customHeight="false" outlineLevel="0" collapsed="false">
      <c r="A534" s="14"/>
      <c r="B534" s="9"/>
      <c r="C534" s="9"/>
      <c r="D534" s="9"/>
      <c r="E534" s="9"/>
      <c r="F534" s="17" t="str">
        <f aca="false">IF(AND(A534="",B534="",C534=""),"",IF(NOT(ISNUMBER(A534)),"Enter the date done",IF(OR(B534="",C534=""),"Fill in asset and task",IF(SUMPRODUCT(('PM Plan'!$A$5:$A$304=B534)*('PM Plan'!$B$5:$B$304=C534))=0,"No matching asset + task in plan","OK"))))</f>
        <v/>
      </c>
    </row>
    <row r="535" customFormat="false" ht="15" hidden="false" customHeight="false" outlineLevel="0" collapsed="false">
      <c r="A535" s="14"/>
      <c r="B535" s="9"/>
      <c r="C535" s="9"/>
      <c r="D535" s="9"/>
      <c r="E535" s="9"/>
      <c r="F535" s="17" t="str">
        <f aca="false">IF(AND(A535="",B535="",C535=""),"",IF(NOT(ISNUMBER(A535)),"Enter the date done",IF(OR(B535="",C535=""),"Fill in asset and task",IF(SUMPRODUCT(('PM Plan'!$A$5:$A$304=B535)*('PM Plan'!$B$5:$B$304=C535))=0,"No matching asset + task in plan","OK"))))</f>
        <v/>
      </c>
    </row>
    <row r="536" customFormat="false" ht="15" hidden="false" customHeight="false" outlineLevel="0" collapsed="false">
      <c r="A536" s="14"/>
      <c r="B536" s="9"/>
      <c r="C536" s="9"/>
      <c r="D536" s="9"/>
      <c r="E536" s="9"/>
      <c r="F536" s="17" t="str">
        <f aca="false">IF(AND(A536="",B536="",C536=""),"",IF(NOT(ISNUMBER(A536)),"Enter the date done",IF(OR(B536="",C536=""),"Fill in asset and task",IF(SUMPRODUCT(('PM Plan'!$A$5:$A$304=B536)*('PM Plan'!$B$5:$B$304=C536))=0,"No matching asset + task in plan","OK"))))</f>
        <v/>
      </c>
    </row>
    <row r="537" customFormat="false" ht="15" hidden="false" customHeight="false" outlineLevel="0" collapsed="false">
      <c r="A537" s="14"/>
      <c r="B537" s="9"/>
      <c r="C537" s="9"/>
      <c r="D537" s="9"/>
      <c r="E537" s="9"/>
      <c r="F537" s="17" t="str">
        <f aca="false">IF(AND(A537="",B537="",C537=""),"",IF(NOT(ISNUMBER(A537)),"Enter the date done",IF(OR(B537="",C537=""),"Fill in asset and task",IF(SUMPRODUCT(('PM Plan'!$A$5:$A$304=B537)*('PM Plan'!$B$5:$B$304=C537))=0,"No matching asset + task in plan","OK"))))</f>
        <v/>
      </c>
    </row>
    <row r="538" customFormat="false" ht="15" hidden="false" customHeight="false" outlineLevel="0" collapsed="false">
      <c r="A538" s="14"/>
      <c r="B538" s="9"/>
      <c r="C538" s="9"/>
      <c r="D538" s="9"/>
      <c r="E538" s="9"/>
      <c r="F538" s="17" t="str">
        <f aca="false">IF(AND(A538="",B538="",C538=""),"",IF(NOT(ISNUMBER(A538)),"Enter the date done",IF(OR(B538="",C538=""),"Fill in asset and task",IF(SUMPRODUCT(('PM Plan'!$A$5:$A$304=B538)*('PM Plan'!$B$5:$B$304=C538))=0,"No matching asset + task in plan","OK"))))</f>
        <v/>
      </c>
    </row>
    <row r="539" customFormat="false" ht="15" hidden="false" customHeight="false" outlineLevel="0" collapsed="false">
      <c r="A539" s="14"/>
      <c r="B539" s="9"/>
      <c r="C539" s="9"/>
      <c r="D539" s="9"/>
      <c r="E539" s="9"/>
      <c r="F539" s="17" t="str">
        <f aca="false">IF(AND(A539="",B539="",C539=""),"",IF(NOT(ISNUMBER(A539)),"Enter the date done",IF(OR(B539="",C539=""),"Fill in asset and task",IF(SUMPRODUCT(('PM Plan'!$A$5:$A$304=B539)*('PM Plan'!$B$5:$B$304=C539))=0,"No matching asset + task in plan","OK"))))</f>
        <v/>
      </c>
    </row>
    <row r="540" customFormat="false" ht="15" hidden="false" customHeight="false" outlineLevel="0" collapsed="false">
      <c r="A540" s="14"/>
      <c r="B540" s="9"/>
      <c r="C540" s="9"/>
      <c r="D540" s="9"/>
      <c r="E540" s="9"/>
      <c r="F540" s="17" t="str">
        <f aca="false">IF(AND(A540="",B540="",C540=""),"",IF(NOT(ISNUMBER(A540)),"Enter the date done",IF(OR(B540="",C540=""),"Fill in asset and task",IF(SUMPRODUCT(('PM Plan'!$A$5:$A$304=B540)*('PM Plan'!$B$5:$B$304=C540))=0,"No matching asset + task in plan","OK"))))</f>
        <v/>
      </c>
    </row>
    <row r="541" customFormat="false" ht="15" hidden="false" customHeight="false" outlineLevel="0" collapsed="false">
      <c r="A541" s="14"/>
      <c r="B541" s="9"/>
      <c r="C541" s="9"/>
      <c r="D541" s="9"/>
      <c r="E541" s="9"/>
      <c r="F541" s="17" t="str">
        <f aca="false">IF(AND(A541="",B541="",C541=""),"",IF(NOT(ISNUMBER(A541)),"Enter the date done",IF(OR(B541="",C541=""),"Fill in asset and task",IF(SUMPRODUCT(('PM Plan'!$A$5:$A$304=B541)*('PM Plan'!$B$5:$B$304=C541))=0,"No matching asset + task in plan","OK"))))</f>
        <v/>
      </c>
    </row>
    <row r="542" customFormat="false" ht="15" hidden="false" customHeight="false" outlineLevel="0" collapsed="false">
      <c r="A542" s="14"/>
      <c r="B542" s="9"/>
      <c r="C542" s="9"/>
      <c r="D542" s="9"/>
      <c r="E542" s="9"/>
      <c r="F542" s="17" t="str">
        <f aca="false">IF(AND(A542="",B542="",C542=""),"",IF(NOT(ISNUMBER(A542)),"Enter the date done",IF(OR(B542="",C542=""),"Fill in asset and task",IF(SUMPRODUCT(('PM Plan'!$A$5:$A$304=B542)*('PM Plan'!$B$5:$B$304=C542))=0,"No matching asset + task in plan","OK"))))</f>
        <v/>
      </c>
    </row>
    <row r="543" customFormat="false" ht="15" hidden="false" customHeight="false" outlineLevel="0" collapsed="false">
      <c r="A543" s="14"/>
      <c r="B543" s="9"/>
      <c r="C543" s="9"/>
      <c r="D543" s="9"/>
      <c r="E543" s="9"/>
      <c r="F543" s="17" t="str">
        <f aca="false">IF(AND(A543="",B543="",C543=""),"",IF(NOT(ISNUMBER(A543)),"Enter the date done",IF(OR(B543="",C543=""),"Fill in asset and task",IF(SUMPRODUCT(('PM Plan'!$A$5:$A$304=B543)*('PM Plan'!$B$5:$B$304=C543))=0,"No matching asset + task in plan","OK"))))</f>
        <v/>
      </c>
    </row>
    <row r="544" customFormat="false" ht="15" hidden="false" customHeight="false" outlineLevel="0" collapsed="false">
      <c r="A544" s="14"/>
      <c r="B544" s="9"/>
      <c r="C544" s="9"/>
      <c r="D544" s="9"/>
      <c r="E544" s="9"/>
      <c r="F544" s="17" t="str">
        <f aca="false">IF(AND(A544="",B544="",C544=""),"",IF(NOT(ISNUMBER(A544)),"Enter the date done",IF(OR(B544="",C544=""),"Fill in asset and task",IF(SUMPRODUCT(('PM Plan'!$A$5:$A$304=B544)*('PM Plan'!$B$5:$B$304=C544))=0,"No matching asset + task in plan","OK"))))</f>
        <v/>
      </c>
    </row>
    <row r="545" customFormat="false" ht="15" hidden="false" customHeight="false" outlineLevel="0" collapsed="false">
      <c r="A545" s="14"/>
      <c r="B545" s="9"/>
      <c r="C545" s="9"/>
      <c r="D545" s="9"/>
      <c r="E545" s="9"/>
      <c r="F545" s="17" t="str">
        <f aca="false">IF(AND(A545="",B545="",C545=""),"",IF(NOT(ISNUMBER(A545)),"Enter the date done",IF(OR(B545="",C545=""),"Fill in asset and task",IF(SUMPRODUCT(('PM Plan'!$A$5:$A$304=B545)*('PM Plan'!$B$5:$B$304=C545))=0,"No matching asset + task in plan","OK"))))</f>
        <v/>
      </c>
    </row>
    <row r="546" customFormat="false" ht="15" hidden="false" customHeight="false" outlineLevel="0" collapsed="false">
      <c r="A546" s="14"/>
      <c r="B546" s="9"/>
      <c r="C546" s="9"/>
      <c r="D546" s="9"/>
      <c r="E546" s="9"/>
      <c r="F546" s="17" t="str">
        <f aca="false">IF(AND(A546="",B546="",C546=""),"",IF(NOT(ISNUMBER(A546)),"Enter the date done",IF(OR(B546="",C546=""),"Fill in asset and task",IF(SUMPRODUCT(('PM Plan'!$A$5:$A$304=B546)*('PM Plan'!$B$5:$B$304=C546))=0,"No matching asset + task in plan","OK"))))</f>
        <v/>
      </c>
    </row>
    <row r="547" customFormat="false" ht="15" hidden="false" customHeight="false" outlineLevel="0" collapsed="false">
      <c r="A547" s="14"/>
      <c r="B547" s="9"/>
      <c r="C547" s="9"/>
      <c r="D547" s="9"/>
      <c r="E547" s="9"/>
      <c r="F547" s="17" t="str">
        <f aca="false">IF(AND(A547="",B547="",C547=""),"",IF(NOT(ISNUMBER(A547)),"Enter the date done",IF(OR(B547="",C547=""),"Fill in asset and task",IF(SUMPRODUCT(('PM Plan'!$A$5:$A$304=B547)*('PM Plan'!$B$5:$B$304=C547))=0,"No matching asset + task in plan","OK"))))</f>
        <v/>
      </c>
    </row>
    <row r="548" customFormat="false" ht="15" hidden="false" customHeight="false" outlineLevel="0" collapsed="false">
      <c r="A548" s="14"/>
      <c r="B548" s="9"/>
      <c r="C548" s="9"/>
      <c r="D548" s="9"/>
      <c r="E548" s="9"/>
      <c r="F548" s="17" t="str">
        <f aca="false">IF(AND(A548="",B548="",C548=""),"",IF(NOT(ISNUMBER(A548)),"Enter the date done",IF(OR(B548="",C548=""),"Fill in asset and task",IF(SUMPRODUCT(('PM Plan'!$A$5:$A$304=B548)*('PM Plan'!$B$5:$B$304=C548))=0,"No matching asset + task in plan","OK"))))</f>
        <v/>
      </c>
    </row>
    <row r="549" customFormat="false" ht="15" hidden="false" customHeight="false" outlineLevel="0" collapsed="false">
      <c r="A549" s="14"/>
      <c r="B549" s="9"/>
      <c r="C549" s="9"/>
      <c r="D549" s="9"/>
      <c r="E549" s="9"/>
      <c r="F549" s="17" t="str">
        <f aca="false">IF(AND(A549="",B549="",C549=""),"",IF(NOT(ISNUMBER(A549)),"Enter the date done",IF(OR(B549="",C549=""),"Fill in asset and task",IF(SUMPRODUCT(('PM Plan'!$A$5:$A$304=B549)*('PM Plan'!$B$5:$B$304=C549))=0,"No matching asset + task in plan","OK"))))</f>
        <v/>
      </c>
    </row>
    <row r="550" customFormat="false" ht="15" hidden="false" customHeight="false" outlineLevel="0" collapsed="false">
      <c r="A550" s="14"/>
      <c r="B550" s="9"/>
      <c r="C550" s="9"/>
      <c r="D550" s="9"/>
      <c r="E550" s="9"/>
      <c r="F550" s="17" t="str">
        <f aca="false">IF(AND(A550="",B550="",C550=""),"",IF(NOT(ISNUMBER(A550)),"Enter the date done",IF(OR(B550="",C550=""),"Fill in asset and task",IF(SUMPRODUCT(('PM Plan'!$A$5:$A$304=B550)*('PM Plan'!$B$5:$B$304=C550))=0,"No matching asset + task in plan","OK"))))</f>
        <v/>
      </c>
    </row>
    <row r="551" customFormat="false" ht="15" hidden="false" customHeight="false" outlineLevel="0" collapsed="false">
      <c r="A551" s="14"/>
      <c r="B551" s="9"/>
      <c r="C551" s="9"/>
      <c r="D551" s="9"/>
      <c r="E551" s="9"/>
      <c r="F551" s="17" t="str">
        <f aca="false">IF(AND(A551="",B551="",C551=""),"",IF(NOT(ISNUMBER(A551)),"Enter the date done",IF(OR(B551="",C551=""),"Fill in asset and task",IF(SUMPRODUCT(('PM Plan'!$A$5:$A$304=B551)*('PM Plan'!$B$5:$B$304=C551))=0,"No matching asset + task in plan","OK"))))</f>
        <v/>
      </c>
    </row>
    <row r="552" customFormat="false" ht="15" hidden="false" customHeight="false" outlineLevel="0" collapsed="false">
      <c r="A552" s="14"/>
      <c r="B552" s="9"/>
      <c r="C552" s="9"/>
      <c r="D552" s="9"/>
      <c r="E552" s="9"/>
      <c r="F552" s="17" t="str">
        <f aca="false">IF(AND(A552="",B552="",C552=""),"",IF(NOT(ISNUMBER(A552)),"Enter the date done",IF(OR(B552="",C552=""),"Fill in asset and task",IF(SUMPRODUCT(('PM Plan'!$A$5:$A$304=B552)*('PM Plan'!$B$5:$B$304=C552))=0,"No matching asset + task in plan","OK"))))</f>
        <v/>
      </c>
    </row>
    <row r="553" customFormat="false" ht="15" hidden="false" customHeight="false" outlineLevel="0" collapsed="false">
      <c r="A553" s="14"/>
      <c r="B553" s="9"/>
      <c r="C553" s="9"/>
      <c r="D553" s="9"/>
      <c r="E553" s="9"/>
      <c r="F553" s="17" t="str">
        <f aca="false">IF(AND(A553="",B553="",C553=""),"",IF(NOT(ISNUMBER(A553)),"Enter the date done",IF(OR(B553="",C553=""),"Fill in asset and task",IF(SUMPRODUCT(('PM Plan'!$A$5:$A$304=B553)*('PM Plan'!$B$5:$B$304=C553))=0,"No matching asset + task in plan","OK"))))</f>
        <v/>
      </c>
    </row>
    <row r="554" customFormat="false" ht="15" hidden="false" customHeight="false" outlineLevel="0" collapsed="false">
      <c r="A554" s="14"/>
      <c r="B554" s="9"/>
      <c r="C554" s="9"/>
      <c r="D554" s="9"/>
      <c r="E554" s="9"/>
      <c r="F554" s="17" t="str">
        <f aca="false">IF(AND(A554="",B554="",C554=""),"",IF(NOT(ISNUMBER(A554)),"Enter the date done",IF(OR(B554="",C554=""),"Fill in asset and task",IF(SUMPRODUCT(('PM Plan'!$A$5:$A$304=B554)*('PM Plan'!$B$5:$B$304=C554))=0,"No matching asset + task in plan","OK"))))</f>
        <v/>
      </c>
    </row>
    <row r="555" customFormat="false" ht="15" hidden="false" customHeight="false" outlineLevel="0" collapsed="false">
      <c r="A555" s="14"/>
      <c r="B555" s="9"/>
      <c r="C555" s="9"/>
      <c r="D555" s="9"/>
      <c r="E555" s="9"/>
      <c r="F555" s="17" t="str">
        <f aca="false">IF(AND(A555="",B555="",C555=""),"",IF(NOT(ISNUMBER(A555)),"Enter the date done",IF(OR(B555="",C555=""),"Fill in asset and task",IF(SUMPRODUCT(('PM Plan'!$A$5:$A$304=B555)*('PM Plan'!$B$5:$B$304=C555))=0,"No matching asset + task in plan","OK"))))</f>
        <v/>
      </c>
    </row>
    <row r="556" customFormat="false" ht="15" hidden="false" customHeight="false" outlineLevel="0" collapsed="false">
      <c r="A556" s="14"/>
      <c r="B556" s="9"/>
      <c r="C556" s="9"/>
      <c r="D556" s="9"/>
      <c r="E556" s="9"/>
      <c r="F556" s="17" t="str">
        <f aca="false">IF(AND(A556="",B556="",C556=""),"",IF(NOT(ISNUMBER(A556)),"Enter the date done",IF(OR(B556="",C556=""),"Fill in asset and task",IF(SUMPRODUCT(('PM Plan'!$A$5:$A$304=B556)*('PM Plan'!$B$5:$B$304=C556))=0,"No matching asset + task in plan","OK"))))</f>
        <v/>
      </c>
    </row>
    <row r="557" customFormat="false" ht="15" hidden="false" customHeight="false" outlineLevel="0" collapsed="false">
      <c r="A557" s="14"/>
      <c r="B557" s="9"/>
      <c r="C557" s="9"/>
      <c r="D557" s="9"/>
      <c r="E557" s="9"/>
      <c r="F557" s="17" t="str">
        <f aca="false">IF(AND(A557="",B557="",C557=""),"",IF(NOT(ISNUMBER(A557)),"Enter the date done",IF(OR(B557="",C557=""),"Fill in asset and task",IF(SUMPRODUCT(('PM Plan'!$A$5:$A$304=B557)*('PM Plan'!$B$5:$B$304=C557))=0,"No matching asset + task in plan","OK"))))</f>
        <v/>
      </c>
    </row>
    <row r="558" customFormat="false" ht="15" hidden="false" customHeight="false" outlineLevel="0" collapsed="false">
      <c r="A558" s="14"/>
      <c r="B558" s="9"/>
      <c r="C558" s="9"/>
      <c r="D558" s="9"/>
      <c r="E558" s="9"/>
      <c r="F558" s="17" t="str">
        <f aca="false">IF(AND(A558="",B558="",C558=""),"",IF(NOT(ISNUMBER(A558)),"Enter the date done",IF(OR(B558="",C558=""),"Fill in asset and task",IF(SUMPRODUCT(('PM Plan'!$A$5:$A$304=B558)*('PM Plan'!$B$5:$B$304=C558))=0,"No matching asset + task in plan","OK"))))</f>
        <v/>
      </c>
    </row>
    <row r="559" customFormat="false" ht="15" hidden="false" customHeight="false" outlineLevel="0" collapsed="false">
      <c r="A559" s="14"/>
      <c r="B559" s="9"/>
      <c r="C559" s="9"/>
      <c r="D559" s="9"/>
      <c r="E559" s="9"/>
      <c r="F559" s="17" t="str">
        <f aca="false">IF(AND(A559="",B559="",C559=""),"",IF(NOT(ISNUMBER(A559)),"Enter the date done",IF(OR(B559="",C559=""),"Fill in asset and task",IF(SUMPRODUCT(('PM Plan'!$A$5:$A$304=B559)*('PM Plan'!$B$5:$B$304=C559))=0,"No matching asset + task in plan","OK"))))</f>
        <v/>
      </c>
    </row>
    <row r="560" customFormat="false" ht="15" hidden="false" customHeight="false" outlineLevel="0" collapsed="false">
      <c r="A560" s="14"/>
      <c r="B560" s="9"/>
      <c r="C560" s="9"/>
      <c r="D560" s="9"/>
      <c r="E560" s="9"/>
      <c r="F560" s="17" t="str">
        <f aca="false">IF(AND(A560="",B560="",C560=""),"",IF(NOT(ISNUMBER(A560)),"Enter the date done",IF(OR(B560="",C560=""),"Fill in asset and task",IF(SUMPRODUCT(('PM Plan'!$A$5:$A$304=B560)*('PM Plan'!$B$5:$B$304=C560))=0,"No matching asset + task in plan","OK"))))</f>
        <v/>
      </c>
    </row>
    <row r="561" customFormat="false" ht="15" hidden="false" customHeight="false" outlineLevel="0" collapsed="false">
      <c r="A561" s="14"/>
      <c r="B561" s="9"/>
      <c r="C561" s="9"/>
      <c r="D561" s="9"/>
      <c r="E561" s="9"/>
      <c r="F561" s="17" t="str">
        <f aca="false">IF(AND(A561="",B561="",C561=""),"",IF(NOT(ISNUMBER(A561)),"Enter the date done",IF(OR(B561="",C561=""),"Fill in asset and task",IF(SUMPRODUCT(('PM Plan'!$A$5:$A$304=B561)*('PM Plan'!$B$5:$B$304=C561))=0,"No matching asset + task in plan","OK"))))</f>
        <v/>
      </c>
    </row>
    <row r="562" customFormat="false" ht="15" hidden="false" customHeight="false" outlineLevel="0" collapsed="false">
      <c r="A562" s="14"/>
      <c r="B562" s="9"/>
      <c r="C562" s="9"/>
      <c r="D562" s="9"/>
      <c r="E562" s="9"/>
      <c r="F562" s="17" t="str">
        <f aca="false">IF(AND(A562="",B562="",C562=""),"",IF(NOT(ISNUMBER(A562)),"Enter the date done",IF(OR(B562="",C562=""),"Fill in asset and task",IF(SUMPRODUCT(('PM Plan'!$A$5:$A$304=B562)*('PM Plan'!$B$5:$B$304=C562))=0,"No matching asset + task in plan","OK"))))</f>
        <v/>
      </c>
    </row>
    <row r="563" customFormat="false" ht="15" hidden="false" customHeight="false" outlineLevel="0" collapsed="false">
      <c r="A563" s="14"/>
      <c r="B563" s="9"/>
      <c r="C563" s="9"/>
      <c r="D563" s="9"/>
      <c r="E563" s="9"/>
      <c r="F563" s="17" t="str">
        <f aca="false">IF(AND(A563="",B563="",C563=""),"",IF(NOT(ISNUMBER(A563)),"Enter the date done",IF(OR(B563="",C563=""),"Fill in asset and task",IF(SUMPRODUCT(('PM Plan'!$A$5:$A$304=B563)*('PM Plan'!$B$5:$B$304=C563))=0,"No matching asset + task in plan","OK"))))</f>
        <v/>
      </c>
    </row>
    <row r="564" customFormat="false" ht="15" hidden="false" customHeight="false" outlineLevel="0" collapsed="false">
      <c r="A564" s="14"/>
      <c r="B564" s="9"/>
      <c r="C564" s="9"/>
      <c r="D564" s="9"/>
      <c r="E564" s="9"/>
      <c r="F564" s="17" t="str">
        <f aca="false">IF(AND(A564="",B564="",C564=""),"",IF(NOT(ISNUMBER(A564)),"Enter the date done",IF(OR(B564="",C564=""),"Fill in asset and task",IF(SUMPRODUCT(('PM Plan'!$A$5:$A$304=B564)*('PM Plan'!$B$5:$B$304=C564))=0,"No matching asset + task in plan","OK"))))</f>
        <v/>
      </c>
    </row>
    <row r="565" customFormat="false" ht="15" hidden="false" customHeight="false" outlineLevel="0" collapsed="false">
      <c r="A565" s="14"/>
      <c r="B565" s="9"/>
      <c r="C565" s="9"/>
      <c r="D565" s="9"/>
      <c r="E565" s="9"/>
      <c r="F565" s="17" t="str">
        <f aca="false">IF(AND(A565="",B565="",C565=""),"",IF(NOT(ISNUMBER(A565)),"Enter the date done",IF(OR(B565="",C565=""),"Fill in asset and task",IF(SUMPRODUCT(('PM Plan'!$A$5:$A$304=B565)*('PM Plan'!$B$5:$B$304=C565))=0,"No matching asset + task in plan","OK"))))</f>
        <v/>
      </c>
    </row>
    <row r="566" customFormat="false" ht="15" hidden="false" customHeight="false" outlineLevel="0" collapsed="false">
      <c r="A566" s="14"/>
      <c r="B566" s="9"/>
      <c r="C566" s="9"/>
      <c r="D566" s="9"/>
      <c r="E566" s="9"/>
      <c r="F566" s="17" t="str">
        <f aca="false">IF(AND(A566="",B566="",C566=""),"",IF(NOT(ISNUMBER(A566)),"Enter the date done",IF(OR(B566="",C566=""),"Fill in asset and task",IF(SUMPRODUCT(('PM Plan'!$A$5:$A$304=B566)*('PM Plan'!$B$5:$B$304=C566))=0,"No matching asset + task in plan","OK"))))</f>
        <v/>
      </c>
    </row>
    <row r="567" customFormat="false" ht="15" hidden="false" customHeight="false" outlineLevel="0" collapsed="false">
      <c r="A567" s="14"/>
      <c r="B567" s="9"/>
      <c r="C567" s="9"/>
      <c r="D567" s="9"/>
      <c r="E567" s="9"/>
      <c r="F567" s="17" t="str">
        <f aca="false">IF(AND(A567="",B567="",C567=""),"",IF(NOT(ISNUMBER(A567)),"Enter the date done",IF(OR(B567="",C567=""),"Fill in asset and task",IF(SUMPRODUCT(('PM Plan'!$A$5:$A$304=B567)*('PM Plan'!$B$5:$B$304=C567))=0,"No matching asset + task in plan","OK"))))</f>
        <v/>
      </c>
    </row>
    <row r="568" customFormat="false" ht="15" hidden="false" customHeight="false" outlineLevel="0" collapsed="false">
      <c r="A568" s="14"/>
      <c r="B568" s="9"/>
      <c r="C568" s="9"/>
      <c r="D568" s="9"/>
      <c r="E568" s="9"/>
      <c r="F568" s="17" t="str">
        <f aca="false">IF(AND(A568="",B568="",C568=""),"",IF(NOT(ISNUMBER(A568)),"Enter the date done",IF(OR(B568="",C568=""),"Fill in asset and task",IF(SUMPRODUCT(('PM Plan'!$A$5:$A$304=B568)*('PM Plan'!$B$5:$B$304=C568))=0,"No matching asset + task in plan","OK"))))</f>
        <v/>
      </c>
    </row>
    <row r="569" customFormat="false" ht="15" hidden="false" customHeight="false" outlineLevel="0" collapsed="false">
      <c r="A569" s="14"/>
      <c r="B569" s="9"/>
      <c r="C569" s="9"/>
      <c r="D569" s="9"/>
      <c r="E569" s="9"/>
      <c r="F569" s="17" t="str">
        <f aca="false">IF(AND(A569="",B569="",C569=""),"",IF(NOT(ISNUMBER(A569)),"Enter the date done",IF(OR(B569="",C569=""),"Fill in asset and task",IF(SUMPRODUCT(('PM Plan'!$A$5:$A$304=B569)*('PM Plan'!$B$5:$B$304=C569))=0,"No matching asset + task in plan","OK"))))</f>
        <v/>
      </c>
    </row>
    <row r="570" customFormat="false" ht="15" hidden="false" customHeight="false" outlineLevel="0" collapsed="false">
      <c r="A570" s="14"/>
      <c r="B570" s="9"/>
      <c r="C570" s="9"/>
      <c r="D570" s="9"/>
      <c r="E570" s="9"/>
      <c r="F570" s="17" t="str">
        <f aca="false">IF(AND(A570="",B570="",C570=""),"",IF(NOT(ISNUMBER(A570)),"Enter the date done",IF(OR(B570="",C570=""),"Fill in asset and task",IF(SUMPRODUCT(('PM Plan'!$A$5:$A$304=B570)*('PM Plan'!$B$5:$B$304=C570))=0,"No matching asset + task in plan","OK"))))</f>
        <v/>
      </c>
    </row>
    <row r="571" customFormat="false" ht="15" hidden="false" customHeight="false" outlineLevel="0" collapsed="false">
      <c r="A571" s="14"/>
      <c r="B571" s="9"/>
      <c r="C571" s="9"/>
      <c r="D571" s="9"/>
      <c r="E571" s="9"/>
      <c r="F571" s="17" t="str">
        <f aca="false">IF(AND(A571="",B571="",C571=""),"",IF(NOT(ISNUMBER(A571)),"Enter the date done",IF(OR(B571="",C571=""),"Fill in asset and task",IF(SUMPRODUCT(('PM Plan'!$A$5:$A$304=B571)*('PM Plan'!$B$5:$B$304=C571))=0,"No matching asset + task in plan","OK"))))</f>
        <v/>
      </c>
    </row>
    <row r="572" customFormat="false" ht="15" hidden="false" customHeight="false" outlineLevel="0" collapsed="false">
      <c r="A572" s="14"/>
      <c r="B572" s="9"/>
      <c r="C572" s="9"/>
      <c r="D572" s="9"/>
      <c r="E572" s="9"/>
      <c r="F572" s="17" t="str">
        <f aca="false">IF(AND(A572="",B572="",C572=""),"",IF(NOT(ISNUMBER(A572)),"Enter the date done",IF(OR(B572="",C572=""),"Fill in asset and task",IF(SUMPRODUCT(('PM Plan'!$A$5:$A$304=B572)*('PM Plan'!$B$5:$B$304=C572))=0,"No matching asset + task in plan","OK"))))</f>
        <v/>
      </c>
    </row>
    <row r="573" customFormat="false" ht="15" hidden="false" customHeight="false" outlineLevel="0" collapsed="false">
      <c r="A573" s="14"/>
      <c r="B573" s="9"/>
      <c r="C573" s="9"/>
      <c r="D573" s="9"/>
      <c r="E573" s="9"/>
      <c r="F573" s="17" t="str">
        <f aca="false">IF(AND(A573="",B573="",C573=""),"",IF(NOT(ISNUMBER(A573)),"Enter the date done",IF(OR(B573="",C573=""),"Fill in asset and task",IF(SUMPRODUCT(('PM Plan'!$A$5:$A$304=B573)*('PM Plan'!$B$5:$B$304=C573))=0,"No matching asset + task in plan","OK"))))</f>
        <v/>
      </c>
    </row>
    <row r="574" customFormat="false" ht="15" hidden="false" customHeight="false" outlineLevel="0" collapsed="false">
      <c r="A574" s="14"/>
      <c r="B574" s="9"/>
      <c r="C574" s="9"/>
      <c r="D574" s="9"/>
      <c r="E574" s="9"/>
      <c r="F574" s="17" t="str">
        <f aca="false">IF(AND(A574="",B574="",C574=""),"",IF(NOT(ISNUMBER(A574)),"Enter the date done",IF(OR(B574="",C574=""),"Fill in asset and task",IF(SUMPRODUCT(('PM Plan'!$A$5:$A$304=B574)*('PM Plan'!$B$5:$B$304=C574))=0,"No matching asset + task in plan","OK"))))</f>
        <v/>
      </c>
    </row>
    <row r="575" customFormat="false" ht="15" hidden="false" customHeight="false" outlineLevel="0" collapsed="false">
      <c r="A575" s="14"/>
      <c r="B575" s="9"/>
      <c r="C575" s="9"/>
      <c r="D575" s="9"/>
      <c r="E575" s="9"/>
      <c r="F575" s="17" t="str">
        <f aca="false">IF(AND(A575="",B575="",C575=""),"",IF(NOT(ISNUMBER(A575)),"Enter the date done",IF(OR(B575="",C575=""),"Fill in asset and task",IF(SUMPRODUCT(('PM Plan'!$A$5:$A$304=B575)*('PM Plan'!$B$5:$B$304=C575))=0,"No matching asset + task in plan","OK"))))</f>
        <v/>
      </c>
    </row>
    <row r="576" customFormat="false" ht="15" hidden="false" customHeight="false" outlineLevel="0" collapsed="false">
      <c r="A576" s="14"/>
      <c r="B576" s="9"/>
      <c r="C576" s="9"/>
      <c r="D576" s="9"/>
      <c r="E576" s="9"/>
      <c r="F576" s="17" t="str">
        <f aca="false">IF(AND(A576="",B576="",C576=""),"",IF(NOT(ISNUMBER(A576)),"Enter the date done",IF(OR(B576="",C576=""),"Fill in asset and task",IF(SUMPRODUCT(('PM Plan'!$A$5:$A$304=B576)*('PM Plan'!$B$5:$B$304=C576))=0,"No matching asset + task in plan","OK"))))</f>
        <v/>
      </c>
    </row>
    <row r="577" customFormat="false" ht="15" hidden="false" customHeight="false" outlineLevel="0" collapsed="false">
      <c r="A577" s="14"/>
      <c r="B577" s="9"/>
      <c r="C577" s="9"/>
      <c r="D577" s="9"/>
      <c r="E577" s="9"/>
      <c r="F577" s="17" t="str">
        <f aca="false">IF(AND(A577="",B577="",C577=""),"",IF(NOT(ISNUMBER(A577)),"Enter the date done",IF(OR(B577="",C577=""),"Fill in asset and task",IF(SUMPRODUCT(('PM Plan'!$A$5:$A$304=B577)*('PM Plan'!$B$5:$B$304=C577))=0,"No matching asset + task in plan","OK"))))</f>
        <v/>
      </c>
    </row>
    <row r="578" customFormat="false" ht="15" hidden="false" customHeight="false" outlineLevel="0" collapsed="false">
      <c r="A578" s="14"/>
      <c r="B578" s="9"/>
      <c r="C578" s="9"/>
      <c r="D578" s="9"/>
      <c r="E578" s="9"/>
      <c r="F578" s="17" t="str">
        <f aca="false">IF(AND(A578="",B578="",C578=""),"",IF(NOT(ISNUMBER(A578)),"Enter the date done",IF(OR(B578="",C578=""),"Fill in asset and task",IF(SUMPRODUCT(('PM Plan'!$A$5:$A$304=B578)*('PM Plan'!$B$5:$B$304=C578))=0,"No matching asset + task in plan","OK"))))</f>
        <v/>
      </c>
    </row>
    <row r="579" customFormat="false" ht="15" hidden="false" customHeight="false" outlineLevel="0" collapsed="false">
      <c r="A579" s="14"/>
      <c r="B579" s="9"/>
      <c r="C579" s="9"/>
      <c r="D579" s="9"/>
      <c r="E579" s="9"/>
      <c r="F579" s="17" t="str">
        <f aca="false">IF(AND(A579="",B579="",C579=""),"",IF(NOT(ISNUMBER(A579)),"Enter the date done",IF(OR(B579="",C579=""),"Fill in asset and task",IF(SUMPRODUCT(('PM Plan'!$A$5:$A$304=B579)*('PM Plan'!$B$5:$B$304=C579))=0,"No matching asset + task in plan","OK"))))</f>
        <v/>
      </c>
    </row>
    <row r="580" customFormat="false" ht="15" hidden="false" customHeight="false" outlineLevel="0" collapsed="false">
      <c r="A580" s="14"/>
      <c r="B580" s="9"/>
      <c r="C580" s="9"/>
      <c r="D580" s="9"/>
      <c r="E580" s="9"/>
      <c r="F580" s="17" t="str">
        <f aca="false">IF(AND(A580="",B580="",C580=""),"",IF(NOT(ISNUMBER(A580)),"Enter the date done",IF(OR(B580="",C580=""),"Fill in asset and task",IF(SUMPRODUCT(('PM Plan'!$A$5:$A$304=B580)*('PM Plan'!$B$5:$B$304=C580))=0,"No matching asset + task in plan","OK"))))</f>
        <v/>
      </c>
    </row>
    <row r="581" customFormat="false" ht="15" hidden="false" customHeight="false" outlineLevel="0" collapsed="false">
      <c r="A581" s="14"/>
      <c r="B581" s="9"/>
      <c r="C581" s="9"/>
      <c r="D581" s="9"/>
      <c r="E581" s="9"/>
      <c r="F581" s="17" t="str">
        <f aca="false">IF(AND(A581="",B581="",C581=""),"",IF(NOT(ISNUMBER(A581)),"Enter the date done",IF(OR(B581="",C581=""),"Fill in asset and task",IF(SUMPRODUCT(('PM Plan'!$A$5:$A$304=B581)*('PM Plan'!$B$5:$B$304=C581))=0,"No matching asset + task in plan","OK"))))</f>
        <v/>
      </c>
    </row>
    <row r="582" customFormat="false" ht="15" hidden="false" customHeight="false" outlineLevel="0" collapsed="false">
      <c r="A582" s="14"/>
      <c r="B582" s="9"/>
      <c r="C582" s="9"/>
      <c r="D582" s="9"/>
      <c r="E582" s="9"/>
      <c r="F582" s="17" t="str">
        <f aca="false">IF(AND(A582="",B582="",C582=""),"",IF(NOT(ISNUMBER(A582)),"Enter the date done",IF(OR(B582="",C582=""),"Fill in asset and task",IF(SUMPRODUCT(('PM Plan'!$A$5:$A$304=B582)*('PM Plan'!$B$5:$B$304=C582))=0,"No matching asset + task in plan","OK"))))</f>
        <v/>
      </c>
    </row>
    <row r="583" customFormat="false" ht="15" hidden="false" customHeight="false" outlineLevel="0" collapsed="false">
      <c r="A583" s="14"/>
      <c r="B583" s="9"/>
      <c r="C583" s="9"/>
      <c r="D583" s="9"/>
      <c r="E583" s="9"/>
      <c r="F583" s="17" t="str">
        <f aca="false">IF(AND(A583="",B583="",C583=""),"",IF(NOT(ISNUMBER(A583)),"Enter the date done",IF(OR(B583="",C583=""),"Fill in asset and task",IF(SUMPRODUCT(('PM Plan'!$A$5:$A$304=B583)*('PM Plan'!$B$5:$B$304=C583))=0,"No matching asset + task in plan","OK"))))</f>
        <v/>
      </c>
    </row>
    <row r="584" customFormat="false" ht="15" hidden="false" customHeight="false" outlineLevel="0" collapsed="false">
      <c r="A584" s="14"/>
      <c r="B584" s="9"/>
      <c r="C584" s="9"/>
      <c r="D584" s="9"/>
      <c r="E584" s="9"/>
      <c r="F584" s="17" t="str">
        <f aca="false">IF(AND(A584="",B584="",C584=""),"",IF(NOT(ISNUMBER(A584)),"Enter the date done",IF(OR(B584="",C584=""),"Fill in asset and task",IF(SUMPRODUCT(('PM Plan'!$A$5:$A$304=B584)*('PM Plan'!$B$5:$B$304=C584))=0,"No matching asset + task in plan","OK"))))</f>
        <v/>
      </c>
    </row>
    <row r="585" customFormat="false" ht="15" hidden="false" customHeight="false" outlineLevel="0" collapsed="false">
      <c r="A585" s="14"/>
      <c r="B585" s="9"/>
      <c r="C585" s="9"/>
      <c r="D585" s="9"/>
      <c r="E585" s="9"/>
      <c r="F585" s="17" t="str">
        <f aca="false">IF(AND(A585="",B585="",C585=""),"",IF(NOT(ISNUMBER(A585)),"Enter the date done",IF(OR(B585="",C585=""),"Fill in asset and task",IF(SUMPRODUCT(('PM Plan'!$A$5:$A$304=B585)*('PM Plan'!$B$5:$B$304=C585))=0,"No matching asset + task in plan","OK"))))</f>
        <v/>
      </c>
    </row>
    <row r="586" customFormat="false" ht="15" hidden="false" customHeight="false" outlineLevel="0" collapsed="false">
      <c r="A586" s="14"/>
      <c r="B586" s="9"/>
      <c r="C586" s="9"/>
      <c r="D586" s="9"/>
      <c r="E586" s="9"/>
      <c r="F586" s="17" t="str">
        <f aca="false">IF(AND(A586="",B586="",C586=""),"",IF(NOT(ISNUMBER(A586)),"Enter the date done",IF(OR(B586="",C586=""),"Fill in asset and task",IF(SUMPRODUCT(('PM Plan'!$A$5:$A$304=B586)*('PM Plan'!$B$5:$B$304=C586))=0,"No matching asset + task in plan","OK"))))</f>
        <v/>
      </c>
    </row>
    <row r="587" customFormat="false" ht="15" hidden="false" customHeight="false" outlineLevel="0" collapsed="false">
      <c r="A587" s="14"/>
      <c r="B587" s="9"/>
      <c r="C587" s="9"/>
      <c r="D587" s="9"/>
      <c r="E587" s="9"/>
      <c r="F587" s="17" t="str">
        <f aca="false">IF(AND(A587="",B587="",C587=""),"",IF(NOT(ISNUMBER(A587)),"Enter the date done",IF(OR(B587="",C587=""),"Fill in asset and task",IF(SUMPRODUCT(('PM Plan'!$A$5:$A$304=B587)*('PM Plan'!$B$5:$B$304=C587))=0,"No matching asset + task in plan","OK"))))</f>
        <v/>
      </c>
    </row>
    <row r="588" customFormat="false" ht="15" hidden="false" customHeight="false" outlineLevel="0" collapsed="false">
      <c r="A588" s="14"/>
      <c r="B588" s="9"/>
      <c r="C588" s="9"/>
      <c r="D588" s="9"/>
      <c r="E588" s="9"/>
      <c r="F588" s="17" t="str">
        <f aca="false">IF(AND(A588="",B588="",C588=""),"",IF(NOT(ISNUMBER(A588)),"Enter the date done",IF(OR(B588="",C588=""),"Fill in asset and task",IF(SUMPRODUCT(('PM Plan'!$A$5:$A$304=B588)*('PM Plan'!$B$5:$B$304=C588))=0,"No matching asset + task in plan","OK"))))</f>
        <v/>
      </c>
    </row>
    <row r="589" customFormat="false" ht="15" hidden="false" customHeight="false" outlineLevel="0" collapsed="false">
      <c r="A589" s="14"/>
      <c r="B589" s="9"/>
      <c r="C589" s="9"/>
      <c r="D589" s="9"/>
      <c r="E589" s="9"/>
      <c r="F589" s="17" t="str">
        <f aca="false">IF(AND(A589="",B589="",C589=""),"",IF(NOT(ISNUMBER(A589)),"Enter the date done",IF(OR(B589="",C589=""),"Fill in asset and task",IF(SUMPRODUCT(('PM Plan'!$A$5:$A$304=B589)*('PM Plan'!$B$5:$B$304=C589))=0,"No matching asset + task in plan","OK"))))</f>
        <v/>
      </c>
    </row>
    <row r="590" customFormat="false" ht="15" hidden="false" customHeight="false" outlineLevel="0" collapsed="false">
      <c r="A590" s="14"/>
      <c r="B590" s="9"/>
      <c r="C590" s="9"/>
      <c r="D590" s="9"/>
      <c r="E590" s="9"/>
      <c r="F590" s="17" t="str">
        <f aca="false">IF(AND(A590="",B590="",C590=""),"",IF(NOT(ISNUMBER(A590)),"Enter the date done",IF(OR(B590="",C590=""),"Fill in asset and task",IF(SUMPRODUCT(('PM Plan'!$A$5:$A$304=B590)*('PM Plan'!$B$5:$B$304=C590))=0,"No matching asset + task in plan","OK"))))</f>
        <v/>
      </c>
    </row>
    <row r="591" customFormat="false" ht="15" hidden="false" customHeight="false" outlineLevel="0" collapsed="false">
      <c r="A591" s="14"/>
      <c r="B591" s="9"/>
      <c r="C591" s="9"/>
      <c r="D591" s="9"/>
      <c r="E591" s="9"/>
      <c r="F591" s="17" t="str">
        <f aca="false">IF(AND(A591="",B591="",C591=""),"",IF(NOT(ISNUMBER(A591)),"Enter the date done",IF(OR(B591="",C591=""),"Fill in asset and task",IF(SUMPRODUCT(('PM Plan'!$A$5:$A$304=B591)*('PM Plan'!$B$5:$B$304=C591))=0,"No matching asset + task in plan","OK"))))</f>
        <v/>
      </c>
    </row>
    <row r="592" customFormat="false" ht="15" hidden="false" customHeight="false" outlineLevel="0" collapsed="false">
      <c r="A592" s="14"/>
      <c r="B592" s="9"/>
      <c r="C592" s="9"/>
      <c r="D592" s="9"/>
      <c r="E592" s="9"/>
      <c r="F592" s="17" t="str">
        <f aca="false">IF(AND(A592="",B592="",C592=""),"",IF(NOT(ISNUMBER(A592)),"Enter the date done",IF(OR(B592="",C592=""),"Fill in asset and task",IF(SUMPRODUCT(('PM Plan'!$A$5:$A$304=B592)*('PM Plan'!$B$5:$B$304=C592))=0,"No matching asset + task in plan","OK"))))</f>
        <v/>
      </c>
    </row>
    <row r="593" customFormat="false" ht="15" hidden="false" customHeight="false" outlineLevel="0" collapsed="false">
      <c r="A593" s="14"/>
      <c r="B593" s="9"/>
      <c r="C593" s="9"/>
      <c r="D593" s="9"/>
      <c r="E593" s="9"/>
      <c r="F593" s="17" t="str">
        <f aca="false">IF(AND(A593="",B593="",C593=""),"",IF(NOT(ISNUMBER(A593)),"Enter the date done",IF(OR(B593="",C593=""),"Fill in asset and task",IF(SUMPRODUCT(('PM Plan'!$A$5:$A$304=B593)*('PM Plan'!$B$5:$B$304=C593))=0,"No matching asset + task in plan","OK"))))</f>
        <v/>
      </c>
    </row>
    <row r="594" customFormat="false" ht="15" hidden="false" customHeight="false" outlineLevel="0" collapsed="false">
      <c r="A594" s="14"/>
      <c r="B594" s="9"/>
      <c r="C594" s="9"/>
      <c r="D594" s="9"/>
      <c r="E594" s="9"/>
      <c r="F594" s="17" t="str">
        <f aca="false">IF(AND(A594="",B594="",C594=""),"",IF(NOT(ISNUMBER(A594)),"Enter the date done",IF(OR(B594="",C594=""),"Fill in asset and task",IF(SUMPRODUCT(('PM Plan'!$A$5:$A$304=B594)*('PM Plan'!$B$5:$B$304=C594))=0,"No matching asset + task in plan","OK"))))</f>
        <v/>
      </c>
    </row>
    <row r="595" customFormat="false" ht="15" hidden="false" customHeight="false" outlineLevel="0" collapsed="false">
      <c r="A595" s="14"/>
      <c r="B595" s="9"/>
      <c r="C595" s="9"/>
      <c r="D595" s="9"/>
      <c r="E595" s="9"/>
      <c r="F595" s="17" t="str">
        <f aca="false">IF(AND(A595="",B595="",C595=""),"",IF(NOT(ISNUMBER(A595)),"Enter the date done",IF(OR(B595="",C595=""),"Fill in asset and task",IF(SUMPRODUCT(('PM Plan'!$A$5:$A$304=B595)*('PM Plan'!$B$5:$B$304=C595))=0,"No matching asset + task in plan","OK"))))</f>
        <v/>
      </c>
    </row>
    <row r="596" customFormat="false" ht="15" hidden="false" customHeight="false" outlineLevel="0" collapsed="false">
      <c r="A596" s="14"/>
      <c r="B596" s="9"/>
      <c r="C596" s="9"/>
      <c r="D596" s="9"/>
      <c r="E596" s="9"/>
      <c r="F596" s="17" t="str">
        <f aca="false">IF(AND(A596="",B596="",C596=""),"",IF(NOT(ISNUMBER(A596)),"Enter the date done",IF(OR(B596="",C596=""),"Fill in asset and task",IF(SUMPRODUCT(('PM Plan'!$A$5:$A$304=B596)*('PM Plan'!$B$5:$B$304=C596))=0,"No matching asset + task in plan","OK"))))</f>
        <v/>
      </c>
    </row>
    <row r="597" customFormat="false" ht="15" hidden="false" customHeight="false" outlineLevel="0" collapsed="false">
      <c r="A597" s="14"/>
      <c r="B597" s="9"/>
      <c r="C597" s="9"/>
      <c r="D597" s="9"/>
      <c r="E597" s="9"/>
      <c r="F597" s="17" t="str">
        <f aca="false">IF(AND(A597="",B597="",C597=""),"",IF(NOT(ISNUMBER(A597)),"Enter the date done",IF(OR(B597="",C597=""),"Fill in asset and task",IF(SUMPRODUCT(('PM Plan'!$A$5:$A$304=B597)*('PM Plan'!$B$5:$B$304=C597))=0,"No matching asset + task in plan","OK"))))</f>
        <v/>
      </c>
    </row>
    <row r="598" customFormat="false" ht="15" hidden="false" customHeight="false" outlineLevel="0" collapsed="false">
      <c r="A598" s="14"/>
      <c r="B598" s="9"/>
      <c r="C598" s="9"/>
      <c r="D598" s="9"/>
      <c r="E598" s="9"/>
      <c r="F598" s="17" t="str">
        <f aca="false">IF(AND(A598="",B598="",C598=""),"",IF(NOT(ISNUMBER(A598)),"Enter the date done",IF(OR(B598="",C598=""),"Fill in asset and task",IF(SUMPRODUCT(('PM Plan'!$A$5:$A$304=B598)*('PM Plan'!$B$5:$B$304=C598))=0,"No matching asset + task in plan","OK"))))</f>
        <v/>
      </c>
    </row>
    <row r="599" customFormat="false" ht="15" hidden="false" customHeight="false" outlineLevel="0" collapsed="false">
      <c r="A599" s="14"/>
      <c r="B599" s="9"/>
      <c r="C599" s="9"/>
      <c r="D599" s="9"/>
      <c r="E599" s="9"/>
      <c r="F599" s="17" t="str">
        <f aca="false">IF(AND(A599="",B599="",C599=""),"",IF(NOT(ISNUMBER(A599)),"Enter the date done",IF(OR(B599="",C599=""),"Fill in asset and task",IF(SUMPRODUCT(('PM Plan'!$A$5:$A$304=B599)*('PM Plan'!$B$5:$B$304=C599))=0,"No matching asset + task in plan","OK"))))</f>
        <v/>
      </c>
    </row>
    <row r="600" customFormat="false" ht="15" hidden="false" customHeight="false" outlineLevel="0" collapsed="false">
      <c r="A600" s="14"/>
      <c r="B600" s="9"/>
      <c r="C600" s="9"/>
      <c r="D600" s="9"/>
      <c r="E600" s="9"/>
      <c r="F600" s="17" t="str">
        <f aca="false">IF(AND(A600="",B600="",C600=""),"",IF(NOT(ISNUMBER(A600)),"Enter the date done",IF(OR(B600="",C600=""),"Fill in asset and task",IF(SUMPRODUCT(('PM Plan'!$A$5:$A$304=B600)*('PM Plan'!$B$5:$B$304=C600))=0,"No matching asset + task in plan","OK"))))</f>
        <v/>
      </c>
    </row>
    <row r="601" customFormat="false" ht="15" hidden="false" customHeight="false" outlineLevel="0" collapsed="false">
      <c r="A601" s="14"/>
      <c r="B601" s="9"/>
      <c r="C601" s="9"/>
      <c r="D601" s="9"/>
      <c r="E601" s="9"/>
      <c r="F601" s="17" t="str">
        <f aca="false">IF(AND(A601="",B601="",C601=""),"",IF(NOT(ISNUMBER(A601)),"Enter the date done",IF(OR(B601="",C601=""),"Fill in asset and task",IF(SUMPRODUCT(('PM Plan'!$A$5:$A$304=B601)*('PM Plan'!$B$5:$B$304=C601))=0,"No matching asset + task in plan","OK"))))</f>
        <v/>
      </c>
    </row>
    <row r="602" customFormat="false" ht="15" hidden="false" customHeight="false" outlineLevel="0" collapsed="false">
      <c r="A602" s="14"/>
      <c r="B602" s="9"/>
      <c r="C602" s="9"/>
      <c r="D602" s="9"/>
      <c r="E602" s="9"/>
      <c r="F602" s="17" t="str">
        <f aca="false">IF(AND(A602="",B602="",C602=""),"",IF(NOT(ISNUMBER(A602)),"Enter the date done",IF(OR(B602="",C602=""),"Fill in asset and task",IF(SUMPRODUCT(('PM Plan'!$A$5:$A$304=B602)*('PM Plan'!$B$5:$B$304=C602))=0,"No matching asset + task in plan","OK"))))</f>
        <v/>
      </c>
    </row>
    <row r="603" customFormat="false" ht="15" hidden="false" customHeight="false" outlineLevel="0" collapsed="false">
      <c r="A603" s="14"/>
      <c r="B603" s="9"/>
      <c r="C603" s="9"/>
      <c r="D603" s="9"/>
      <c r="E603" s="9"/>
      <c r="F603" s="17" t="str">
        <f aca="false">IF(AND(A603="",B603="",C603=""),"",IF(NOT(ISNUMBER(A603)),"Enter the date done",IF(OR(B603="",C603=""),"Fill in asset and task",IF(SUMPRODUCT(('PM Plan'!$A$5:$A$304=B603)*('PM Plan'!$B$5:$B$304=C603))=0,"No matching asset + task in plan","OK"))))</f>
        <v/>
      </c>
    </row>
    <row r="604" customFormat="false" ht="15" hidden="false" customHeight="false" outlineLevel="0" collapsed="false">
      <c r="A604" s="14"/>
      <c r="B604" s="9"/>
      <c r="C604" s="9"/>
      <c r="D604" s="9"/>
      <c r="E604" s="9"/>
      <c r="F604" s="17" t="str">
        <f aca="false">IF(AND(A604="",B604="",C604=""),"",IF(NOT(ISNUMBER(A604)),"Enter the date done",IF(OR(B604="",C604=""),"Fill in asset and task",IF(SUMPRODUCT(('PM Plan'!$A$5:$A$304=B604)*('PM Plan'!$B$5:$B$304=C604))=0,"No matching asset + task in plan","OK"))))</f>
        <v/>
      </c>
    </row>
    <row r="605" customFormat="false" ht="15" hidden="false" customHeight="false" outlineLevel="0" collapsed="false">
      <c r="A605" s="14"/>
      <c r="B605" s="9"/>
      <c r="C605" s="9"/>
      <c r="D605" s="9"/>
      <c r="E605" s="9"/>
      <c r="F605" s="17" t="str">
        <f aca="false">IF(AND(A605="",B605="",C605=""),"",IF(NOT(ISNUMBER(A605)),"Enter the date done",IF(OR(B605="",C605=""),"Fill in asset and task",IF(SUMPRODUCT(('PM Plan'!$A$5:$A$304=B605)*('PM Plan'!$B$5:$B$304=C605))=0,"No matching asset + task in plan","OK"))))</f>
        <v/>
      </c>
    </row>
    <row r="606" customFormat="false" ht="15" hidden="false" customHeight="false" outlineLevel="0" collapsed="false">
      <c r="A606" s="14"/>
      <c r="B606" s="9"/>
      <c r="C606" s="9"/>
      <c r="D606" s="9"/>
      <c r="E606" s="9"/>
      <c r="F606" s="17" t="str">
        <f aca="false">IF(AND(A606="",B606="",C606=""),"",IF(NOT(ISNUMBER(A606)),"Enter the date done",IF(OR(B606="",C606=""),"Fill in asset and task",IF(SUMPRODUCT(('PM Plan'!$A$5:$A$304=B606)*('PM Plan'!$B$5:$B$304=C606))=0,"No matching asset + task in plan","OK"))))</f>
        <v/>
      </c>
    </row>
    <row r="607" customFormat="false" ht="15" hidden="false" customHeight="false" outlineLevel="0" collapsed="false">
      <c r="A607" s="14"/>
      <c r="B607" s="9"/>
      <c r="C607" s="9"/>
      <c r="D607" s="9"/>
      <c r="E607" s="9"/>
      <c r="F607" s="17" t="str">
        <f aca="false">IF(AND(A607="",B607="",C607=""),"",IF(NOT(ISNUMBER(A607)),"Enter the date done",IF(OR(B607="",C607=""),"Fill in asset and task",IF(SUMPRODUCT(('PM Plan'!$A$5:$A$304=B607)*('PM Plan'!$B$5:$B$304=C607))=0,"No matching asset + task in plan","OK"))))</f>
        <v/>
      </c>
    </row>
    <row r="608" customFormat="false" ht="15" hidden="false" customHeight="false" outlineLevel="0" collapsed="false">
      <c r="A608" s="14"/>
      <c r="B608" s="9"/>
      <c r="C608" s="9"/>
      <c r="D608" s="9"/>
      <c r="E608" s="9"/>
      <c r="F608" s="17" t="str">
        <f aca="false">IF(AND(A608="",B608="",C608=""),"",IF(NOT(ISNUMBER(A608)),"Enter the date done",IF(OR(B608="",C608=""),"Fill in asset and task",IF(SUMPRODUCT(('PM Plan'!$A$5:$A$304=B608)*('PM Plan'!$B$5:$B$304=C608))=0,"No matching asset + task in plan","OK"))))</f>
        <v/>
      </c>
    </row>
    <row r="609" customFormat="false" ht="15" hidden="false" customHeight="false" outlineLevel="0" collapsed="false">
      <c r="A609" s="14"/>
      <c r="B609" s="9"/>
      <c r="C609" s="9"/>
      <c r="D609" s="9"/>
      <c r="E609" s="9"/>
      <c r="F609" s="17" t="str">
        <f aca="false">IF(AND(A609="",B609="",C609=""),"",IF(NOT(ISNUMBER(A609)),"Enter the date done",IF(OR(B609="",C609=""),"Fill in asset and task",IF(SUMPRODUCT(('PM Plan'!$A$5:$A$304=B609)*('PM Plan'!$B$5:$B$304=C609))=0,"No matching asset + task in plan","OK"))))</f>
        <v/>
      </c>
    </row>
    <row r="610" customFormat="false" ht="15" hidden="false" customHeight="false" outlineLevel="0" collapsed="false">
      <c r="A610" s="14"/>
      <c r="B610" s="9"/>
      <c r="C610" s="9"/>
      <c r="D610" s="9"/>
      <c r="E610" s="9"/>
      <c r="F610" s="17" t="str">
        <f aca="false">IF(AND(A610="",B610="",C610=""),"",IF(NOT(ISNUMBER(A610)),"Enter the date done",IF(OR(B610="",C610=""),"Fill in asset and task",IF(SUMPRODUCT(('PM Plan'!$A$5:$A$304=B610)*('PM Plan'!$B$5:$B$304=C610))=0,"No matching asset + task in plan","OK"))))</f>
        <v/>
      </c>
    </row>
    <row r="611" customFormat="false" ht="15" hidden="false" customHeight="false" outlineLevel="0" collapsed="false">
      <c r="A611" s="14"/>
      <c r="B611" s="9"/>
      <c r="C611" s="9"/>
      <c r="D611" s="9"/>
      <c r="E611" s="9"/>
      <c r="F611" s="17" t="str">
        <f aca="false">IF(AND(A611="",B611="",C611=""),"",IF(NOT(ISNUMBER(A611)),"Enter the date done",IF(OR(B611="",C611=""),"Fill in asset and task",IF(SUMPRODUCT(('PM Plan'!$A$5:$A$304=B611)*('PM Plan'!$B$5:$B$304=C611))=0,"No matching asset + task in plan","OK"))))</f>
        <v/>
      </c>
    </row>
    <row r="612" customFormat="false" ht="15" hidden="false" customHeight="false" outlineLevel="0" collapsed="false">
      <c r="A612" s="14"/>
      <c r="B612" s="9"/>
      <c r="C612" s="9"/>
      <c r="D612" s="9"/>
      <c r="E612" s="9"/>
      <c r="F612" s="17" t="str">
        <f aca="false">IF(AND(A612="",B612="",C612=""),"",IF(NOT(ISNUMBER(A612)),"Enter the date done",IF(OR(B612="",C612=""),"Fill in asset and task",IF(SUMPRODUCT(('PM Plan'!$A$5:$A$304=B612)*('PM Plan'!$B$5:$B$304=C612))=0,"No matching asset + task in plan","OK"))))</f>
        <v/>
      </c>
    </row>
    <row r="613" customFormat="false" ht="15" hidden="false" customHeight="false" outlineLevel="0" collapsed="false">
      <c r="A613" s="14"/>
      <c r="B613" s="9"/>
      <c r="C613" s="9"/>
      <c r="D613" s="9"/>
      <c r="E613" s="9"/>
      <c r="F613" s="17" t="str">
        <f aca="false">IF(AND(A613="",B613="",C613=""),"",IF(NOT(ISNUMBER(A613)),"Enter the date done",IF(OR(B613="",C613=""),"Fill in asset and task",IF(SUMPRODUCT(('PM Plan'!$A$5:$A$304=B613)*('PM Plan'!$B$5:$B$304=C613))=0,"No matching asset + task in plan","OK"))))</f>
        <v/>
      </c>
    </row>
    <row r="614" customFormat="false" ht="15" hidden="false" customHeight="false" outlineLevel="0" collapsed="false">
      <c r="A614" s="14"/>
      <c r="B614" s="9"/>
      <c r="C614" s="9"/>
      <c r="D614" s="9"/>
      <c r="E614" s="9"/>
      <c r="F614" s="17" t="str">
        <f aca="false">IF(AND(A614="",B614="",C614=""),"",IF(NOT(ISNUMBER(A614)),"Enter the date done",IF(OR(B614="",C614=""),"Fill in asset and task",IF(SUMPRODUCT(('PM Plan'!$A$5:$A$304=B614)*('PM Plan'!$B$5:$B$304=C614))=0,"No matching asset + task in plan","OK"))))</f>
        <v/>
      </c>
    </row>
    <row r="615" customFormat="false" ht="15" hidden="false" customHeight="false" outlineLevel="0" collapsed="false">
      <c r="A615" s="14"/>
      <c r="B615" s="9"/>
      <c r="C615" s="9"/>
      <c r="D615" s="9"/>
      <c r="E615" s="9"/>
      <c r="F615" s="17" t="str">
        <f aca="false">IF(AND(A615="",B615="",C615=""),"",IF(NOT(ISNUMBER(A615)),"Enter the date done",IF(OR(B615="",C615=""),"Fill in asset and task",IF(SUMPRODUCT(('PM Plan'!$A$5:$A$304=B615)*('PM Plan'!$B$5:$B$304=C615))=0,"No matching asset + task in plan","OK"))))</f>
        <v/>
      </c>
    </row>
    <row r="616" customFormat="false" ht="15" hidden="false" customHeight="false" outlineLevel="0" collapsed="false">
      <c r="A616" s="14"/>
      <c r="B616" s="9"/>
      <c r="C616" s="9"/>
      <c r="D616" s="9"/>
      <c r="E616" s="9"/>
      <c r="F616" s="17" t="str">
        <f aca="false">IF(AND(A616="",B616="",C616=""),"",IF(NOT(ISNUMBER(A616)),"Enter the date done",IF(OR(B616="",C616=""),"Fill in asset and task",IF(SUMPRODUCT(('PM Plan'!$A$5:$A$304=B616)*('PM Plan'!$B$5:$B$304=C616))=0,"No matching asset + task in plan","OK"))))</f>
        <v/>
      </c>
    </row>
    <row r="617" customFormat="false" ht="15" hidden="false" customHeight="false" outlineLevel="0" collapsed="false">
      <c r="A617" s="14"/>
      <c r="B617" s="9"/>
      <c r="C617" s="9"/>
      <c r="D617" s="9"/>
      <c r="E617" s="9"/>
      <c r="F617" s="17" t="str">
        <f aca="false">IF(AND(A617="",B617="",C617=""),"",IF(NOT(ISNUMBER(A617)),"Enter the date done",IF(OR(B617="",C617=""),"Fill in asset and task",IF(SUMPRODUCT(('PM Plan'!$A$5:$A$304=B617)*('PM Plan'!$B$5:$B$304=C617))=0,"No matching asset + task in plan","OK"))))</f>
        <v/>
      </c>
    </row>
    <row r="618" customFormat="false" ht="15" hidden="false" customHeight="false" outlineLevel="0" collapsed="false">
      <c r="A618" s="14"/>
      <c r="B618" s="9"/>
      <c r="C618" s="9"/>
      <c r="D618" s="9"/>
      <c r="E618" s="9"/>
      <c r="F618" s="17" t="str">
        <f aca="false">IF(AND(A618="",B618="",C618=""),"",IF(NOT(ISNUMBER(A618)),"Enter the date done",IF(OR(B618="",C618=""),"Fill in asset and task",IF(SUMPRODUCT(('PM Plan'!$A$5:$A$304=B618)*('PM Plan'!$B$5:$B$304=C618))=0,"No matching asset + task in plan","OK"))))</f>
        <v/>
      </c>
    </row>
    <row r="619" customFormat="false" ht="15" hidden="false" customHeight="false" outlineLevel="0" collapsed="false">
      <c r="A619" s="14"/>
      <c r="B619" s="9"/>
      <c r="C619" s="9"/>
      <c r="D619" s="9"/>
      <c r="E619" s="9"/>
      <c r="F619" s="17" t="str">
        <f aca="false">IF(AND(A619="",B619="",C619=""),"",IF(NOT(ISNUMBER(A619)),"Enter the date done",IF(OR(B619="",C619=""),"Fill in asset and task",IF(SUMPRODUCT(('PM Plan'!$A$5:$A$304=B619)*('PM Plan'!$B$5:$B$304=C619))=0,"No matching asset + task in plan","OK"))))</f>
        <v/>
      </c>
    </row>
    <row r="620" customFormat="false" ht="15" hidden="false" customHeight="false" outlineLevel="0" collapsed="false">
      <c r="A620" s="14"/>
      <c r="B620" s="9"/>
      <c r="C620" s="9"/>
      <c r="D620" s="9"/>
      <c r="E620" s="9"/>
      <c r="F620" s="17" t="str">
        <f aca="false">IF(AND(A620="",B620="",C620=""),"",IF(NOT(ISNUMBER(A620)),"Enter the date done",IF(OR(B620="",C620=""),"Fill in asset and task",IF(SUMPRODUCT(('PM Plan'!$A$5:$A$304=B620)*('PM Plan'!$B$5:$B$304=C620))=0,"No matching asset + task in plan","OK"))))</f>
        <v/>
      </c>
    </row>
    <row r="621" customFormat="false" ht="15" hidden="false" customHeight="false" outlineLevel="0" collapsed="false">
      <c r="A621" s="14"/>
      <c r="B621" s="9"/>
      <c r="C621" s="9"/>
      <c r="D621" s="9"/>
      <c r="E621" s="9"/>
      <c r="F621" s="17" t="str">
        <f aca="false">IF(AND(A621="",B621="",C621=""),"",IF(NOT(ISNUMBER(A621)),"Enter the date done",IF(OR(B621="",C621=""),"Fill in asset and task",IF(SUMPRODUCT(('PM Plan'!$A$5:$A$304=B621)*('PM Plan'!$B$5:$B$304=C621))=0,"No matching asset + task in plan","OK"))))</f>
        <v/>
      </c>
    </row>
    <row r="622" customFormat="false" ht="15" hidden="false" customHeight="false" outlineLevel="0" collapsed="false">
      <c r="A622" s="14"/>
      <c r="B622" s="9"/>
      <c r="C622" s="9"/>
      <c r="D622" s="9"/>
      <c r="E622" s="9"/>
      <c r="F622" s="17" t="str">
        <f aca="false">IF(AND(A622="",B622="",C622=""),"",IF(NOT(ISNUMBER(A622)),"Enter the date done",IF(OR(B622="",C622=""),"Fill in asset and task",IF(SUMPRODUCT(('PM Plan'!$A$5:$A$304=B622)*('PM Plan'!$B$5:$B$304=C622))=0,"No matching asset + task in plan","OK"))))</f>
        <v/>
      </c>
    </row>
    <row r="623" customFormat="false" ht="15" hidden="false" customHeight="false" outlineLevel="0" collapsed="false">
      <c r="A623" s="14"/>
      <c r="B623" s="9"/>
      <c r="C623" s="9"/>
      <c r="D623" s="9"/>
      <c r="E623" s="9"/>
      <c r="F623" s="17" t="str">
        <f aca="false">IF(AND(A623="",B623="",C623=""),"",IF(NOT(ISNUMBER(A623)),"Enter the date done",IF(OR(B623="",C623=""),"Fill in asset and task",IF(SUMPRODUCT(('PM Plan'!$A$5:$A$304=B623)*('PM Plan'!$B$5:$B$304=C623))=0,"No matching asset + task in plan","OK"))))</f>
        <v/>
      </c>
    </row>
    <row r="624" customFormat="false" ht="15" hidden="false" customHeight="false" outlineLevel="0" collapsed="false">
      <c r="A624" s="14"/>
      <c r="B624" s="9"/>
      <c r="C624" s="9"/>
      <c r="D624" s="9"/>
      <c r="E624" s="9"/>
      <c r="F624" s="17" t="str">
        <f aca="false">IF(AND(A624="",B624="",C624=""),"",IF(NOT(ISNUMBER(A624)),"Enter the date done",IF(OR(B624="",C624=""),"Fill in asset and task",IF(SUMPRODUCT(('PM Plan'!$A$5:$A$304=B624)*('PM Plan'!$B$5:$B$304=C624))=0,"No matching asset + task in plan","OK"))))</f>
        <v/>
      </c>
    </row>
    <row r="625" customFormat="false" ht="15" hidden="false" customHeight="false" outlineLevel="0" collapsed="false">
      <c r="A625" s="14"/>
      <c r="B625" s="9"/>
      <c r="C625" s="9"/>
      <c r="D625" s="9"/>
      <c r="E625" s="9"/>
      <c r="F625" s="17" t="str">
        <f aca="false">IF(AND(A625="",B625="",C625=""),"",IF(NOT(ISNUMBER(A625)),"Enter the date done",IF(OR(B625="",C625=""),"Fill in asset and task",IF(SUMPRODUCT(('PM Plan'!$A$5:$A$304=B625)*('PM Plan'!$B$5:$B$304=C625))=0,"No matching asset + task in plan","OK"))))</f>
        <v/>
      </c>
    </row>
    <row r="626" customFormat="false" ht="15" hidden="false" customHeight="false" outlineLevel="0" collapsed="false">
      <c r="A626" s="14"/>
      <c r="B626" s="9"/>
      <c r="C626" s="9"/>
      <c r="D626" s="9"/>
      <c r="E626" s="9"/>
      <c r="F626" s="17" t="str">
        <f aca="false">IF(AND(A626="",B626="",C626=""),"",IF(NOT(ISNUMBER(A626)),"Enter the date done",IF(OR(B626="",C626=""),"Fill in asset and task",IF(SUMPRODUCT(('PM Plan'!$A$5:$A$304=B626)*('PM Plan'!$B$5:$B$304=C626))=0,"No matching asset + task in plan","OK"))))</f>
        <v/>
      </c>
    </row>
    <row r="627" customFormat="false" ht="15" hidden="false" customHeight="false" outlineLevel="0" collapsed="false">
      <c r="A627" s="14"/>
      <c r="B627" s="9"/>
      <c r="C627" s="9"/>
      <c r="D627" s="9"/>
      <c r="E627" s="9"/>
      <c r="F627" s="17" t="str">
        <f aca="false">IF(AND(A627="",B627="",C627=""),"",IF(NOT(ISNUMBER(A627)),"Enter the date done",IF(OR(B627="",C627=""),"Fill in asset and task",IF(SUMPRODUCT(('PM Plan'!$A$5:$A$304=B627)*('PM Plan'!$B$5:$B$304=C627))=0,"No matching asset + task in plan","OK"))))</f>
        <v/>
      </c>
    </row>
    <row r="628" customFormat="false" ht="15" hidden="false" customHeight="false" outlineLevel="0" collapsed="false">
      <c r="A628" s="14"/>
      <c r="B628" s="9"/>
      <c r="C628" s="9"/>
      <c r="D628" s="9"/>
      <c r="E628" s="9"/>
      <c r="F628" s="17" t="str">
        <f aca="false">IF(AND(A628="",B628="",C628=""),"",IF(NOT(ISNUMBER(A628)),"Enter the date done",IF(OR(B628="",C628=""),"Fill in asset and task",IF(SUMPRODUCT(('PM Plan'!$A$5:$A$304=B628)*('PM Plan'!$B$5:$B$304=C628))=0,"No matching asset + task in plan","OK"))))</f>
        <v/>
      </c>
    </row>
    <row r="629" customFormat="false" ht="15" hidden="false" customHeight="false" outlineLevel="0" collapsed="false">
      <c r="A629" s="14"/>
      <c r="B629" s="9"/>
      <c r="C629" s="9"/>
      <c r="D629" s="9"/>
      <c r="E629" s="9"/>
      <c r="F629" s="17" t="str">
        <f aca="false">IF(AND(A629="",B629="",C629=""),"",IF(NOT(ISNUMBER(A629)),"Enter the date done",IF(OR(B629="",C629=""),"Fill in asset and task",IF(SUMPRODUCT(('PM Plan'!$A$5:$A$304=B629)*('PM Plan'!$B$5:$B$304=C629))=0,"No matching asset + task in plan","OK"))))</f>
        <v/>
      </c>
    </row>
    <row r="630" customFormat="false" ht="15" hidden="false" customHeight="false" outlineLevel="0" collapsed="false">
      <c r="A630" s="14"/>
      <c r="B630" s="9"/>
      <c r="C630" s="9"/>
      <c r="D630" s="9"/>
      <c r="E630" s="9"/>
      <c r="F630" s="17" t="str">
        <f aca="false">IF(AND(A630="",B630="",C630=""),"",IF(NOT(ISNUMBER(A630)),"Enter the date done",IF(OR(B630="",C630=""),"Fill in asset and task",IF(SUMPRODUCT(('PM Plan'!$A$5:$A$304=B630)*('PM Plan'!$B$5:$B$304=C630))=0,"No matching asset + task in plan","OK"))))</f>
        <v/>
      </c>
    </row>
    <row r="631" customFormat="false" ht="15" hidden="false" customHeight="false" outlineLevel="0" collapsed="false">
      <c r="A631" s="14"/>
      <c r="B631" s="9"/>
      <c r="C631" s="9"/>
      <c r="D631" s="9"/>
      <c r="E631" s="9"/>
      <c r="F631" s="17" t="str">
        <f aca="false">IF(AND(A631="",B631="",C631=""),"",IF(NOT(ISNUMBER(A631)),"Enter the date done",IF(OR(B631="",C631=""),"Fill in asset and task",IF(SUMPRODUCT(('PM Plan'!$A$5:$A$304=B631)*('PM Plan'!$B$5:$B$304=C631))=0,"No matching asset + task in plan","OK"))))</f>
        <v/>
      </c>
    </row>
    <row r="632" customFormat="false" ht="15" hidden="false" customHeight="false" outlineLevel="0" collapsed="false">
      <c r="A632" s="14"/>
      <c r="B632" s="9"/>
      <c r="C632" s="9"/>
      <c r="D632" s="9"/>
      <c r="E632" s="9"/>
      <c r="F632" s="17" t="str">
        <f aca="false">IF(AND(A632="",B632="",C632=""),"",IF(NOT(ISNUMBER(A632)),"Enter the date done",IF(OR(B632="",C632=""),"Fill in asset and task",IF(SUMPRODUCT(('PM Plan'!$A$5:$A$304=B632)*('PM Plan'!$B$5:$B$304=C632))=0,"No matching asset + task in plan","OK"))))</f>
        <v/>
      </c>
    </row>
    <row r="633" customFormat="false" ht="15" hidden="false" customHeight="false" outlineLevel="0" collapsed="false">
      <c r="A633" s="14"/>
      <c r="B633" s="9"/>
      <c r="C633" s="9"/>
      <c r="D633" s="9"/>
      <c r="E633" s="9"/>
      <c r="F633" s="17" t="str">
        <f aca="false">IF(AND(A633="",B633="",C633=""),"",IF(NOT(ISNUMBER(A633)),"Enter the date done",IF(OR(B633="",C633=""),"Fill in asset and task",IF(SUMPRODUCT(('PM Plan'!$A$5:$A$304=B633)*('PM Plan'!$B$5:$B$304=C633))=0,"No matching asset + task in plan","OK"))))</f>
        <v/>
      </c>
    </row>
    <row r="634" customFormat="false" ht="15" hidden="false" customHeight="false" outlineLevel="0" collapsed="false">
      <c r="A634" s="14"/>
      <c r="B634" s="9"/>
      <c r="C634" s="9"/>
      <c r="D634" s="9"/>
      <c r="E634" s="9"/>
      <c r="F634" s="17" t="str">
        <f aca="false">IF(AND(A634="",B634="",C634=""),"",IF(NOT(ISNUMBER(A634)),"Enter the date done",IF(OR(B634="",C634=""),"Fill in asset and task",IF(SUMPRODUCT(('PM Plan'!$A$5:$A$304=B634)*('PM Plan'!$B$5:$B$304=C634))=0,"No matching asset + task in plan","OK"))))</f>
        <v/>
      </c>
    </row>
    <row r="635" customFormat="false" ht="15" hidden="false" customHeight="false" outlineLevel="0" collapsed="false">
      <c r="A635" s="14"/>
      <c r="B635" s="9"/>
      <c r="C635" s="9"/>
      <c r="D635" s="9"/>
      <c r="E635" s="9"/>
      <c r="F635" s="17" t="str">
        <f aca="false">IF(AND(A635="",B635="",C635=""),"",IF(NOT(ISNUMBER(A635)),"Enter the date done",IF(OR(B635="",C635=""),"Fill in asset and task",IF(SUMPRODUCT(('PM Plan'!$A$5:$A$304=B635)*('PM Plan'!$B$5:$B$304=C635))=0,"No matching asset + task in plan","OK"))))</f>
        <v/>
      </c>
    </row>
    <row r="636" customFormat="false" ht="15" hidden="false" customHeight="false" outlineLevel="0" collapsed="false">
      <c r="A636" s="14"/>
      <c r="B636" s="9"/>
      <c r="C636" s="9"/>
      <c r="D636" s="9"/>
      <c r="E636" s="9"/>
      <c r="F636" s="17" t="str">
        <f aca="false">IF(AND(A636="",B636="",C636=""),"",IF(NOT(ISNUMBER(A636)),"Enter the date done",IF(OR(B636="",C636=""),"Fill in asset and task",IF(SUMPRODUCT(('PM Plan'!$A$5:$A$304=B636)*('PM Plan'!$B$5:$B$304=C636))=0,"No matching asset + task in plan","OK"))))</f>
        <v/>
      </c>
    </row>
    <row r="637" customFormat="false" ht="15" hidden="false" customHeight="false" outlineLevel="0" collapsed="false">
      <c r="A637" s="14"/>
      <c r="B637" s="9"/>
      <c r="C637" s="9"/>
      <c r="D637" s="9"/>
      <c r="E637" s="9"/>
      <c r="F637" s="17" t="str">
        <f aca="false">IF(AND(A637="",B637="",C637=""),"",IF(NOT(ISNUMBER(A637)),"Enter the date done",IF(OR(B637="",C637=""),"Fill in asset and task",IF(SUMPRODUCT(('PM Plan'!$A$5:$A$304=B637)*('PM Plan'!$B$5:$B$304=C637))=0,"No matching asset + task in plan","OK"))))</f>
        <v/>
      </c>
    </row>
    <row r="638" customFormat="false" ht="15" hidden="false" customHeight="false" outlineLevel="0" collapsed="false">
      <c r="A638" s="14"/>
      <c r="B638" s="9"/>
      <c r="C638" s="9"/>
      <c r="D638" s="9"/>
      <c r="E638" s="9"/>
      <c r="F638" s="17" t="str">
        <f aca="false">IF(AND(A638="",B638="",C638=""),"",IF(NOT(ISNUMBER(A638)),"Enter the date done",IF(OR(B638="",C638=""),"Fill in asset and task",IF(SUMPRODUCT(('PM Plan'!$A$5:$A$304=B638)*('PM Plan'!$B$5:$B$304=C638))=0,"No matching asset + task in plan","OK"))))</f>
        <v/>
      </c>
    </row>
    <row r="639" customFormat="false" ht="15" hidden="false" customHeight="false" outlineLevel="0" collapsed="false">
      <c r="A639" s="14"/>
      <c r="B639" s="9"/>
      <c r="C639" s="9"/>
      <c r="D639" s="9"/>
      <c r="E639" s="9"/>
      <c r="F639" s="17" t="str">
        <f aca="false">IF(AND(A639="",B639="",C639=""),"",IF(NOT(ISNUMBER(A639)),"Enter the date done",IF(OR(B639="",C639=""),"Fill in asset and task",IF(SUMPRODUCT(('PM Plan'!$A$5:$A$304=B639)*('PM Plan'!$B$5:$B$304=C639))=0,"No matching asset + task in plan","OK"))))</f>
        <v/>
      </c>
    </row>
    <row r="640" customFormat="false" ht="15" hidden="false" customHeight="false" outlineLevel="0" collapsed="false">
      <c r="A640" s="14"/>
      <c r="B640" s="9"/>
      <c r="C640" s="9"/>
      <c r="D640" s="9"/>
      <c r="E640" s="9"/>
      <c r="F640" s="17" t="str">
        <f aca="false">IF(AND(A640="",B640="",C640=""),"",IF(NOT(ISNUMBER(A640)),"Enter the date done",IF(OR(B640="",C640=""),"Fill in asset and task",IF(SUMPRODUCT(('PM Plan'!$A$5:$A$304=B640)*('PM Plan'!$B$5:$B$304=C640))=0,"No matching asset + task in plan","OK"))))</f>
        <v/>
      </c>
    </row>
    <row r="641" customFormat="false" ht="15" hidden="false" customHeight="false" outlineLevel="0" collapsed="false">
      <c r="A641" s="14"/>
      <c r="B641" s="9"/>
      <c r="C641" s="9"/>
      <c r="D641" s="9"/>
      <c r="E641" s="9"/>
      <c r="F641" s="17" t="str">
        <f aca="false">IF(AND(A641="",B641="",C641=""),"",IF(NOT(ISNUMBER(A641)),"Enter the date done",IF(OR(B641="",C641=""),"Fill in asset and task",IF(SUMPRODUCT(('PM Plan'!$A$5:$A$304=B641)*('PM Plan'!$B$5:$B$304=C641))=0,"No matching asset + task in plan","OK"))))</f>
        <v/>
      </c>
    </row>
    <row r="642" customFormat="false" ht="15" hidden="false" customHeight="false" outlineLevel="0" collapsed="false">
      <c r="A642" s="14"/>
      <c r="B642" s="9"/>
      <c r="C642" s="9"/>
      <c r="D642" s="9"/>
      <c r="E642" s="9"/>
      <c r="F642" s="17" t="str">
        <f aca="false">IF(AND(A642="",B642="",C642=""),"",IF(NOT(ISNUMBER(A642)),"Enter the date done",IF(OR(B642="",C642=""),"Fill in asset and task",IF(SUMPRODUCT(('PM Plan'!$A$5:$A$304=B642)*('PM Plan'!$B$5:$B$304=C642))=0,"No matching asset + task in plan","OK"))))</f>
        <v/>
      </c>
    </row>
    <row r="643" customFormat="false" ht="15" hidden="false" customHeight="false" outlineLevel="0" collapsed="false">
      <c r="A643" s="14"/>
      <c r="B643" s="9"/>
      <c r="C643" s="9"/>
      <c r="D643" s="9"/>
      <c r="E643" s="9"/>
      <c r="F643" s="17" t="str">
        <f aca="false">IF(AND(A643="",B643="",C643=""),"",IF(NOT(ISNUMBER(A643)),"Enter the date done",IF(OR(B643="",C643=""),"Fill in asset and task",IF(SUMPRODUCT(('PM Plan'!$A$5:$A$304=B643)*('PM Plan'!$B$5:$B$304=C643))=0,"No matching asset + task in plan","OK"))))</f>
        <v/>
      </c>
    </row>
    <row r="644" customFormat="false" ht="15" hidden="false" customHeight="false" outlineLevel="0" collapsed="false">
      <c r="A644" s="14"/>
      <c r="B644" s="9"/>
      <c r="C644" s="9"/>
      <c r="D644" s="9"/>
      <c r="E644" s="9"/>
      <c r="F644" s="17" t="str">
        <f aca="false">IF(AND(A644="",B644="",C644=""),"",IF(NOT(ISNUMBER(A644)),"Enter the date done",IF(OR(B644="",C644=""),"Fill in asset and task",IF(SUMPRODUCT(('PM Plan'!$A$5:$A$304=B644)*('PM Plan'!$B$5:$B$304=C644))=0,"No matching asset + task in plan","OK"))))</f>
        <v/>
      </c>
    </row>
    <row r="645" customFormat="false" ht="15" hidden="false" customHeight="false" outlineLevel="0" collapsed="false">
      <c r="A645" s="14"/>
      <c r="B645" s="9"/>
      <c r="C645" s="9"/>
      <c r="D645" s="9"/>
      <c r="E645" s="9"/>
      <c r="F645" s="17" t="str">
        <f aca="false">IF(AND(A645="",B645="",C645=""),"",IF(NOT(ISNUMBER(A645)),"Enter the date done",IF(OR(B645="",C645=""),"Fill in asset and task",IF(SUMPRODUCT(('PM Plan'!$A$5:$A$304=B645)*('PM Plan'!$B$5:$B$304=C645))=0,"No matching asset + task in plan","OK"))))</f>
        <v/>
      </c>
    </row>
    <row r="646" customFormat="false" ht="15" hidden="false" customHeight="false" outlineLevel="0" collapsed="false">
      <c r="A646" s="14"/>
      <c r="B646" s="9"/>
      <c r="C646" s="9"/>
      <c r="D646" s="9"/>
      <c r="E646" s="9"/>
      <c r="F646" s="17" t="str">
        <f aca="false">IF(AND(A646="",B646="",C646=""),"",IF(NOT(ISNUMBER(A646)),"Enter the date done",IF(OR(B646="",C646=""),"Fill in asset and task",IF(SUMPRODUCT(('PM Plan'!$A$5:$A$304=B646)*('PM Plan'!$B$5:$B$304=C646))=0,"No matching asset + task in plan","OK"))))</f>
        <v/>
      </c>
    </row>
    <row r="647" customFormat="false" ht="15" hidden="false" customHeight="false" outlineLevel="0" collapsed="false">
      <c r="A647" s="14"/>
      <c r="B647" s="9"/>
      <c r="C647" s="9"/>
      <c r="D647" s="9"/>
      <c r="E647" s="9"/>
      <c r="F647" s="17" t="str">
        <f aca="false">IF(AND(A647="",B647="",C647=""),"",IF(NOT(ISNUMBER(A647)),"Enter the date done",IF(OR(B647="",C647=""),"Fill in asset and task",IF(SUMPRODUCT(('PM Plan'!$A$5:$A$304=B647)*('PM Plan'!$B$5:$B$304=C647))=0,"No matching asset + task in plan","OK"))))</f>
        <v/>
      </c>
    </row>
    <row r="648" customFormat="false" ht="15" hidden="false" customHeight="false" outlineLevel="0" collapsed="false">
      <c r="A648" s="14"/>
      <c r="B648" s="9"/>
      <c r="C648" s="9"/>
      <c r="D648" s="9"/>
      <c r="E648" s="9"/>
      <c r="F648" s="17" t="str">
        <f aca="false">IF(AND(A648="",B648="",C648=""),"",IF(NOT(ISNUMBER(A648)),"Enter the date done",IF(OR(B648="",C648=""),"Fill in asset and task",IF(SUMPRODUCT(('PM Plan'!$A$5:$A$304=B648)*('PM Plan'!$B$5:$B$304=C648))=0,"No matching asset + task in plan","OK"))))</f>
        <v/>
      </c>
    </row>
    <row r="649" customFormat="false" ht="15" hidden="false" customHeight="false" outlineLevel="0" collapsed="false">
      <c r="A649" s="14"/>
      <c r="B649" s="9"/>
      <c r="C649" s="9"/>
      <c r="D649" s="9"/>
      <c r="E649" s="9"/>
      <c r="F649" s="17" t="str">
        <f aca="false">IF(AND(A649="",B649="",C649=""),"",IF(NOT(ISNUMBER(A649)),"Enter the date done",IF(OR(B649="",C649=""),"Fill in asset and task",IF(SUMPRODUCT(('PM Plan'!$A$5:$A$304=B649)*('PM Plan'!$B$5:$B$304=C649))=0,"No matching asset + task in plan","OK"))))</f>
        <v/>
      </c>
    </row>
    <row r="650" customFormat="false" ht="15" hidden="false" customHeight="false" outlineLevel="0" collapsed="false">
      <c r="A650" s="14"/>
      <c r="B650" s="9"/>
      <c r="C650" s="9"/>
      <c r="D650" s="9"/>
      <c r="E650" s="9"/>
      <c r="F650" s="17" t="str">
        <f aca="false">IF(AND(A650="",B650="",C650=""),"",IF(NOT(ISNUMBER(A650)),"Enter the date done",IF(OR(B650="",C650=""),"Fill in asset and task",IF(SUMPRODUCT(('PM Plan'!$A$5:$A$304=B650)*('PM Plan'!$B$5:$B$304=C650))=0,"No matching asset + task in plan","OK"))))</f>
        <v/>
      </c>
    </row>
    <row r="651" customFormat="false" ht="15" hidden="false" customHeight="false" outlineLevel="0" collapsed="false">
      <c r="A651" s="14"/>
      <c r="B651" s="9"/>
      <c r="C651" s="9"/>
      <c r="D651" s="9"/>
      <c r="E651" s="9"/>
      <c r="F651" s="17" t="str">
        <f aca="false">IF(AND(A651="",B651="",C651=""),"",IF(NOT(ISNUMBER(A651)),"Enter the date done",IF(OR(B651="",C651=""),"Fill in asset and task",IF(SUMPRODUCT(('PM Plan'!$A$5:$A$304=B651)*('PM Plan'!$B$5:$B$304=C651))=0,"No matching asset + task in plan","OK"))))</f>
        <v/>
      </c>
    </row>
    <row r="652" customFormat="false" ht="15" hidden="false" customHeight="false" outlineLevel="0" collapsed="false">
      <c r="A652" s="14"/>
      <c r="B652" s="9"/>
      <c r="C652" s="9"/>
      <c r="D652" s="9"/>
      <c r="E652" s="9"/>
      <c r="F652" s="17" t="str">
        <f aca="false">IF(AND(A652="",B652="",C652=""),"",IF(NOT(ISNUMBER(A652)),"Enter the date done",IF(OR(B652="",C652=""),"Fill in asset and task",IF(SUMPRODUCT(('PM Plan'!$A$5:$A$304=B652)*('PM Plan'!$B$5:$B$304=C652))=0,"No matching asset + task in plan","OK"))))</f>
        <v/>
      </c>
    </row>
    <row r="653" customFormat="false" ht="15" hidden="false" customHeight="false" outlineLevel="0" collapsed="false">
      <c r="A653" s="14"/>
      <c r="B653" s="9"/>
      <c r="C653" s="9"/>
      <c r="D653" s="9"/>
      <c r="E653" s="9"/>
      <c r="F653" s="17" t="str">
        <f aca="false">IF(AND(A653="",B653="",C653=""),"",IF(NOT(ISNUMBER(A653)),"Enter the date done",IF(OR(B653="",C653=""),"Fill in asset and task",IF(SUMPRODUCT(('PM Plan'!$A$5:$A$304=B653)*('PM Plan'!$B$5:$B$304=C653))=0,"No matching asset + task in plan","OK"))))</f>
        <v/>
      </c>
    </row>
    <row r="654" customFormat="false" ht="15" hidden="false" customHeight="false" outlineLevel="0" collapsed="false">
      <c r="A654" s="14"/>
      <c r="B654" s="9"/>
      <c r="C654" s="9"/>
      <c r="D654" s="9"/>
      <c r="E654" s="9"/>
      <c r="F654" s="17" t="str">
        <f aca="false">IF(AND(A654="",B654="",C654=""),"",IF(NOT(ISNUMBER(A654)),"Enter the date done",IF(OR(B654="",C654=""),"Fill in asset and task",IF(SUMPRODUCT(('PM Plan'!$A$5:$A$304=B654)*('PM Plan'!$B$5:$B$304=C654))=0,"No matching asset + task in plan","OK"))))</f>
        <v/>
      </c>
    </row>
    <row r="655" customFormat="false" ht="15" hidden="false" customHeight="false" outlineLevel="0" collapsed="false">
      <c r="A655" s="14"/>
      <c r="B655" s="9"/>
      <c r="C655" s="9"/>
      <c r="D655" s="9"/>
      <c r="E655" s="9"/>
      <c r="F655" s="17" t="str">
        <f aca="false">IF(AND(A655="",B655="",C655=""),"",IF(NOT(ISNUMBER(A655)),"Enter the date done",IF(OR(B655="",C655=""),"Fill in asset and task",IF(SUMPRODUCT(('PM Plan'!$A$5:$A$304=B655)*('PM Plan'!$B$5:$B$304=C655))=0,"No matching asset + task in plan","OK"))))</f>
        <v/>
      </c>
    </row>
    <row r="656" customFormat="false" ht="15" hidden="false" customHeight="false" outlineLevel="0" collapsed="false">
      <c r="A656" s="14"/>
      <c r="B656" s="9"/>
      <c r="C656" s="9"/>
      <c r="D656" s="9"/>
      <c r="E656" s="9"/>
      <c r="F656" s="17" t="str">
        <f aca="false">IF(AND(A656="",B656="",C656=""),"",IF(NOT(ISNUMBER(A656)),"Enter the date done",IF(OR(B656="",C656=""),"Fill in asset and task",IF(SUMPRODUCT(('PM Plan'!$A$5:$A$304=B656)*('PM Plan'!$B$5:$B$304=C656))=0,"No matching asset + task in plan","OK"))))</f>
        <v/>
      </c>
    </row>
    <row r="657" customFormat="false" ht="15" hidden="false" customHeight="false" outlineLevel="0" collapsed="false">
      <c r="A657" s="14"/>
      <c r="B657" s="9"/>
      <c r="C657" s="9"/>
      <c r="D657" s="9"/>
      <c r="E657" s="9"/>
      <c r="F657" s="17" t="str">
        <f aca="false">IF(AND(A657="",B657="",C657=""),"",IF(NOT(ISNUMBER(A657)),"Enter the date done",IF(OR(B657="",C657=""),"Fill in asset and task",IF(SUMPRODUCT(('PM Plan'!$A$5:$A$304=B657)*('PM Plan'!$B$5:$B$304=C657))=0,"No matching asset + task in plan","OK"))))</f>
        <v/>
      </c>
    </row>
    <row r="658" customFormat="false" ht="15" hidden="false" customHeight="false" outlineLevel="0" collapsed="false">
      <c r="A658" s="14"/>
      <c r="B658" s="9"/>
      <c r="C658" s="9"/>
      <c r="D658" s="9"/>
      <c r="E658" s="9"/>
      <c r="F658" s="17" t="str">
        <f aca="false">IF(AND(A658="",B658="",C658=""),"",IF(NOT(ISNUMBER(A658)),"Enter the date done",IF(OR(B658="",C658=""),"Fill in asset and task",IF(SUMPRODUCT(('PM Plan'!$A$5:$A$304=B658)*('PM Plan'!$B$5:$B$304=C658))=0,"No matching asset + task in plan","OK"))))</f>
        <v/>
      </c>
    </row>
    <row r="659" customFormat="false" ht="15" hidden="false" customHeight="false" outlineLevel="0" collapsed="false">
      <c r="A659" s="14"/>
      <c r="B659" s="9"/>
      <c r="C659" s="9"/>
      <c r="D659" s="9"/>
      <c r="E659" s="9"/>
      <c r="F659" s="17" t="str">
        <f aca="false">IF(AND(A659="",B659="",C659=""),"",IF(NOT(ISNUMBER(A659)),"Enter the date done",IF(OR(B659="",C659=""),"Fill in asset and task",IF(SUMPRODUCT(('PM Plan'!$A$5:$A$304=B659)*('PM Plan'!$B$5:$B$304=C659))=0,"No matching asset + task in plan","OK"))))</f>
        <v/>
      </c>
    </row>
    <row r="660" customFormat="false" ht="15" hidden="false" customHeight="false" outlineLevel="0" collapsed="false">
      <c r="A660" s="14"/>
      <c r="B660" s="9"/>
      <c r="C660" s="9"/>
      <c r="D660" s="9"/>
      <c r="E660" s="9"/>
      <c r="F660" s="17" t="str">
        <f aca="false">IF(AND(A660="",B660="",C660=""),"",IF(NOT(ISNUMBER(A660)),"Enter the date done",IF(OR(B660="",C660=""),"Fill in asset and task",IF(SUMPRODUCT(('PM Plan'!$A$5:$A$304=B660)*('PM Plan'!$B$5:$B$304=C660))=0,"No matching asset + task in plan","OK"))))</f>
        <v/>
      </c>
    </row>
    <row r="661" customFormat="false" ht="15" hidden="false" customHeight="false" outlineLevel="0" collapsed="false">
      <c r="A661" s="14"/>
      <c r="B661" s="9"/>
      <c r="C661" s="9"/>
      <c r="D661" s="9"/>
      <c r="E661" s="9"/>
      <c r="F661" s="17" t="str">
        <f aca="false">IF(AND(A661="",B661="",C661=""),"",IF(NOT(ISNUMBER(A661)),"Enter the date done",IF(OR(B661="",C661=""),"Fill in asset and task",IF(SUMPRODUCT(('PM Plan'!$A$5:$A$304=B661)*('PM Plan'!$B$5:$B$304=C661))=0,"No matching asset + task in plan","OK"))))</f>
        <v/>
      </c>
    </row>
    <row r="662" customFormat="false" ht="15" hidden="false" customHeight="false" outlineLevel="0" collapsed="false">
      <c r="A662" s="14"/>
      <c r="B662" s="9"/>
      <c r="C662" s="9"/>
      <c r="D662" s="9"/>
      <c r="E662" s="9"/>
      <c r="F662" s="17" t="str">
        <f aca="false">IF(AND(A662="",B662="",C662=""),"",IF(NOT(ISNUMBER(A662)),"Enter the date done",IF(OR(B662="",C662=""),"Fill in asset and task",IF(SUMPRODUCT(('PM Plan'!$A$5:$A$304=B662)*('PM Plan'!$B$5:$B$304=C662))=0,"No matching asset + task in plan","OK"))))</f>
        <v/>
      </c>
    </row>
    <row r="663" customFormat="false" ht="15" hidden="false" customHeight="false" outlineLevel="0" collapsed="false">
      <c r="A663" s="14"/>
      <c r="B663" s="9"/>
      <c r="C663" s="9"/>
      <c r="D663" s="9"/>
      <c r="E663" s="9"/>
      <c r="F663" s="17" t="str">
        <f aca="false">IF(AND(A663="",B663="",C663=""),"",IF(NOT(ISNUMBER(A663)),"Enter the date done",IF(OR(B663="",C663=""),"Fill in asset and task",IF(SUMPRODUCT(('PM Plan'!$A$5:$A$304=B663)*('PM Plan'!$B$5:$B$304=C663))=0,"No matching asset + task in plan","OK"))))</f>
        <v/>
      </c>
    </row>
    <row r="664" customFormat="false" ht="15" hidden="false" customHeight="false" outlineLevel="0" collapsed="false">
      <c r="A664" s="14"/>
      <c r="B664" s="9"/>
      <c r="C664" s="9"/>
      <c r="D664" s="9"/>
      <c r="E664" s="9"/>
      <c r="F664" s="17" t="str">
        <f aca="false">IF(AND(A664="",B664="",C664=""),"",IF(NOT(ISNUMBER(A664)),"Enter the date done",IF(OR(B664="",C664=""),"Fill in asset and task",IF(SUMPRODUCT(('PM Plan'!$A$5:$A$304=B664)*('PM Plan'!$B$5:$B$304=C664))=0,"No matching asset + task in plan","OK"))))</f>
        <v/>
      </c>
    </row>
    <row r="665" customFormat="false" ht="15" hidden="false" customHeight="false" outlineLevel="0" collapsed="false">
      <c r="A665" s="14"/>
      <c r="B665" s="9"/>
      <c r="C665" s="9"/>
      <c r="D665" s="9"/>
      <c r="E665" s="9"/>
      <c r="F665" s="17" t="str">
        <f aca="false">IF(AND(A665="",B665="",C665=""),"",IF(NOT(ISNUMBER(A665)),"Enter the date done",IF(OR(B665="",C665=""),"Fill in asset and task",IF(SUMPRODUCT(('PM Plan'!$A$5:$A$304=B665)*('PM Plan'!$B$5:$B$304=C665))=0,"No matching asset + task in plan","OK"))))</f>
        <v/>
      </c>
    </row>
    <row r="666" customFormat="false" ht="15" hidden="false" customHeight="false" outlineLevel="0" collapsed="false">
      <c r="A666" s="14"/>
      <c r="B666" s="9"/>
      <c r="C666" s="9"/>
      <c r="D666" s="9"/>
      <c r="E666" s="9"/>
      <c r="F666" s="17" t="str">
        <f aca="false">IF(AND(A666="",B666="",C666=""),"",IF(NOT(ISNUMBER(A666)),"Enter the date done",IF(OR(B666="",C666=""),"Fill in asset and task",IF(SUMPRODUCT(('PM Plan'!$A$5:$A$304=B666)*('PM Plan'!$B$5:$B$304=C666))=0,"No matching asset + task in plan","OK"))))</f>
        <v/>
      </c>
    </row>
    <row r="667" customFormat="false" ht="15" hidden="false" customHeight="false" outlineLevel="0" collapsed="false">
      <c r="A667" s="14"/>
      <c r="B667" s="9"/>
      <c r="C667" s="9"/>
      <c r="D667" s="9"/>
      <c r="E667" s="9"/>
      <c r="F667" s="17" t="str">
        <f aca="false">IF(AND(A667="",B667="",C667=""),"",IF(NOT(ISNUMBER(A667)),"Enter the date done",IF(OR(B667="",C667=""),"Fill in asset and task",IF(SUMPRODUCT(('PM Plan'!$A$5:$A$304=B667)*('PM Plan'!$B$5:$B$304=C667))=0,"No matching asset + task in plan","OK"))))</f>
        <v/>
      </c>
    </row>
    <row r="668" customFormat="false" ht="15" hidden="false" customHeight="false" outlineLevel="0" collapsed="false">
      <c r="A668" s="14"/>
      <c r="B668" s="9"/>
      <c r="C668" s="9"/>
      <c r="D668" s="9"/>
      <c r="E668" s="9"/>
      <c r="F668" s="17" t="str">
        <f aca="false">IF(AND(A668="",B668="",C668=""),"",IF(NOT(ISNUMBER(A668)),"Enter the date done",IF(OR(B668="",C668=""),"Fill in asset and task",IF(SUMPRODUCT(('PM Plan'!$A$5:$A$304=B668)*('PM Plan'!$B$5:$B$304=C668))=0,"No matching asset + task in plan","OK"))))</f>
        <v/>
      </c>
    </row>
    <row r="669" customFormat="false" ht="15" hidden="false" customHeight="false" outlineLevel="0" collapsed="false">
      <c r="A669" s="14"/>
      <c r="B669" s="9"/>
      <c r="C669" s="9"/>
      <c r="D669" s="9"/>
      <c r="E669" s="9"/>
      <c r="F669" s="17" t="str">
        <f aca="false">IF(AND(A669="",B669="",C669=""),"",IF(NOT(ISNUMBER(A669)),"Enter the date done",IF(OR(B669="",C669=""),"Fill in asset and task",IF(SUMPRODUCT(('PM Plan'!$A$5:$A$304=B669)*('PM Plan'!$B$5:$B$304=C669))=0,"No matching asset + task in plan","OK"))))</f>
        <v/>
      </c>
    </row>
    <row r="670" customFormat="false" ht="15" hidden="false" customHeight="false" outlineLevel="0" collapsed="false">
      <c r="A670" s="14"/>
      <c r="B670" s="9"/>
      <c r="C670" s="9"/>
      <c r="D670" s="9"/>
      <c r="E670" s="9"/>
      <c r="F670" s="17" t="str">
        <f aca="false">IF(AND(A670="",B670="",C670=""),"",IF(NOT(ISNUMBER(A670)),"Enter the date done",IF(OR(B670="",C670=""),"Fill in asset and task",IF(SUMPRODUCT(('PM Plan'!$A$5:$A$304=B670)*('PM Plan'!$B$5:$B$304=C670))=0,"No matching asset + task in plan","OK"))))</f>
        <v/>
      </c>
    </row>
    <row r="671" customFormat="false" ht="15" hidden="false" customHeight="false" outlineLevel="0" collapsed="false">
      <c r="A671" s="14"/>
      <c r="B671" s="9"/>
      <c r="C671" s="9"/>
      <c r="D671" s="9"/>
      <c r="E671" s="9"/>
      <c r="F671" s="17" t="str">
        <f aca="false">IF(AND(A671="",B671="",C671=""),"",IF(NOT(ISNUMBER(A671)),"Enter the date done",IF(OR(B671="",C671=""),"Fill in asset and task",IF(SUMPRODUCT(('PM Plan'!$A$5:$A$304=B671)*('PM Plan'!$B$5:$B$304=C671))=0,"No matching asset + task in plan","OK"))))</f>
        <v/>
      </c>
    </row>
    <row r="672" customFormat="false" ht="15" hidden="false" customHeight="false" outlineLevel="0" collapsed="false">
      <c r="A672" s="14"/>
      <c r="B672" s="9"/>
      <c r="C672" s="9"/>
      <c r="D672" s="9"/>
      <c r="E672" s="9"/>
      <c r="F672" s="17" t="str">
        <f aca="false">IF(AND(A672="",B672="",C672=""),"",IF(NOT(ISNUMBER(A672)),"Enter the date done",IF(OR(B672="",C672=""),"Fill in asset and task",IF(SUMPRODUCT(('PM Plan'!$A$5:$A$304=B672)*('PM Plan'!$B$5:$B$304=C672))=0,"No matching asset + task in plan","OK"))))</f>
        <v/>
      </c>
    </row>
    <row r="673" customFormat="false" ht="15" hidden="false" customHeight="false" outlineLevel="0" collapsed="false">
      <c r="A673" s="14"/>
      <c r="B673" s="9"/>
      <c r="C673" s="9"/>
      <c r="D673" s="9"/>
      <c r="E673" s="9"/>
      <c r="F673" s="17" t="str">
        <f aca="false">IF(AND(A673="",B673="",C673=""),"",IF(NOT(ISNUMBER(A673)),"Enter the date done",IF(OR(B673="",C673=""),"Fill in asset and task",IF(SUMPRODUCT(('PM Plan'!$A$5:$A$304=B673)*('PM Plan'!$B$5:$B$304=C673))=0,"No matching asset + task in plan","OK"))))</f>
        <v/>
      </c>
    </row>
    <row r="674" customFormat="false" ht="15" hidden="false" customHeight="false" outlineLevel="0" collapsed="false">
      <c r="A674" s="14"/>
      <c r="B674" s="9"/>
      <c r="C674" s="9"/>
      <c r="D674" s="9"/>
      <c r="E674" s="9"/>
      <c r="F674" s="17" t="str">
        <f aca="false">IF(AND(A674="",B674="",C674=""),"",IF(NOT(ISNUMBER(A674)),"Enter the date done",IF(OR(B674="",C674=""),"Fill in asset and task",IF(SUMPRODUCT(('PM Plan'!$A$5:$A$304=B674)*('PM Plan'!$B$5:$B$304=C674))=0,"No matching asset + task in plan","OK"))))</f>
        <v/>
      </c>
    </row>
    <row r="675" customFormat="false" ht="15" hidden="false" customHeight="false" outlineLevel="0" collapsed="false">
      <c r="A675" s="14"/>
      <c r="B675" s="9"/>
      <c r="C675" s="9"/>
      <c r="D675" s="9"/>
      <c r="E675" s="9"/>
      <c r="F675" s="17" t="str">
        <f aca="false">IF(AND(A675="",B675="",C675=""),"",IF(NOT(ISNUMBER(A675)),"Enter the date done",IF(OR(B675="",C675=""),"Fill in asset and task",IF(SUMPRODUCT(('PM Plan'!$A$5:$A$304=B675)*('PM Plan'!$B$5:$B$304=C675))=0,"No matching asset + task in plan","OK"))))</f>
        <v/>
      </c>
    </row>
    <row r="676" customFormat="false" ht="15" hidden="false" customHeight="false" outlineLevel="0" collapsed="false">
      <c r="A676" s="14"/>
      <c r="B676" s="9"/>
      <c r="C676" s="9"/>
      <c r="D676" s="9"/>
      <c r="E676" s="9"/>
      <c r="F676" s="17" t="str">
        <f aca="false">IF(AND(A676="",B676="",C676=""),"",IF(NOT(ISNUMBER(A676)),"Enter the date done",IF(OR(B676="",C676=""),"Fill in asset and task",IF(SUMPRODUCT(('PM Plan'!$A$5:$A$304=B676)*('PM Plan'!$B$5:$B$304=C676))=0,"No matching asset + task in plan","OK"))))</f>
        <v/>
      </c>
    </row>
    <row r="677" customFormat="false" ht="15" hidden="false" customHeight="false" outlineLevel="0" collapsed="false">
      <c r="A677" s="14"/>
      <c r="B677" s="9"/>
      <c r="C677" s="9"/>
      <c r="D677" s="9"/>
      <c r="E677" s="9"/>
      <c r="F677" s="17" t="str">
        <f aca="false">IF(AND(A677="",B677="",C677=""),"",IF(NOT(ISNUMBER(A677)),"Enter the date done",IF(OR(B677="",C677=""),"Fill in asset and task",IF(SUMPRODUCT(('PM Plan'!$A$5:$A$304=B677)*('PM Plan'!$B$5:$B$304=C677))=0,"No matching asset + task in plan","OK"))))</f>
        <v/>
      </c>
    </row>
    <row r="678" customFormat="false" ht="15" hidden="false" customHeight="false" outlineLevel="0" collapsed="false">
      <c r="A678" s="14"/>
      <c r="B678" s="9"/>
      <c r="C678" s="9"/>
      <c r="D678" s="9"/>
      <c r="E678" s="9"/>
      <c r="F678" s="17" t="str">
        <f aca="false">IF(AND(A678="",B678="",C678=""),"",IF(NOT(ISNUMBER(A678)),"Enter the date done",IF(OR(B678="",C678=""),"Fill in asset and task",IF(SUMPRODUCT(('PM Plan'!$A$5:$A$304=B678)*('PM Plan'!$B$5:$B$304=C678))=0,"No matching asset + task in plan","OK"))))</f>
        <v/>
      </c>
    </row>
    <row r="679" customFormat="false" ht="15" hidden="false" customHeight="false" outlineLevel="0" collapsed="false">
      <c r="A679" s="14"/>
      <c r="B679" s="9"/>
      <c r="C679" s="9"/>
      <c r="D679" s="9"/>
      <c r="E679" s="9"/>
      <c r="F679" s="17" t="str">
        <f aca="false">IF(AND(A679="",B679="",C679=""),"",IF(NOT(ISNUMBER(A679)),"Enter the date done",IF(OR(B679="",C679=""),"Fill in asset and task",IF(SUMPRODUCT(('PM Plan'!$A$5:$A$304=B679)*('PM Plan'!$B$5:$B$304=C679))=0,"No matching asset + task in plan","OK"))))</f>
        <v/>
      </c>
    </row>
    <row r="680" customFormat="false" ht="15" hidden="false" customHeight="false" outlineLevel="0" collapsed="false">
      <c r="A680" s="14"/>
      <c r="B680" s="9"/>
      <c r="C680" s="9"/>
      <c r="D680" s="9"/>
      <c r="E680" s="9"/>
      <c r="F680" s="17" t="str">
        <f aca="false">IF(AND(A680="",B680="",C680=""),"",IF(NOT(ISNUMBER(A680)),"Enter the date done",IF(OR(B680="",C680=""),"Fill in asset and task",IF(SUMPRODUCT(('PM Plan'!$A$5:$A$304=B680)*('PM Plan'!$B$5:$B$304=C680))=0,"No matching asset + task in plan","OK"))))</f>
        <v/>
      </c>
    </row>
    <row r="681" customFormat="false" ht="15" hidden="false" customHeight="false" outlineLevel="0" collapsed="false">
      <c r="A681" s="14"/>
      <c r="B681" s="9"/>
      <c r="C681" s="9"/>
      <c r="D681" s="9"/>
      <c r="E681" s="9"/>
      <c r="F681" s="17" t="str">
        <f aca="false">IF(AND(A681="",B681="",C681=""),"",IF(NOT(ISNUMBER(A681)),"Enter the date done",IF(OR(B681="",C681=""),"Fill in asset and task",IF(SUMPRODUCT(('PM Plan'!$A$5:$A$304=B681)*('PM Plan'!$B$5:$B$304=C681))=0,"No matching asset + task in plan","OK"))))</f>
        <v/>
      </c>
    </row>
    <row r="682" customFormat="false" ht="15" hidden="false" customHeight="false" outlineLevel="0" collapsed="false">
      <c r="A682" s="14"/>
      <c r="B682" s="9"/>
      <c r="C682" s="9"/>
      <c r="D682" s="9"/>
      <c r="E682" s="9"/>
      <c r="F682" s="17" t="str">
        <f aca="false">IF(AND(A682="",B682="",C682=""),"",IF(NOT(ISNUMBER(A682)),"Enter the date done",IF(OR(B682="",C682=""),"Fill in asset and task",IF(SUMPRODUCT(('PM Plan'!$A$5:$A$304=B682)*('PM Plan'!$B$5:$B$304=C682))=0,"No matching asset + task in plan","OK"))))</f>
        <v/>
      </c>
    </row>
    <row r="683" customFormat="false" ht="15" hidden="false" customHeight="false" outlineLevel="0" collapsed="false">
      <c r="A683" s="14"/>
      <c r="B683" s="9"/>
      <c r="C683" s="9"/>
      <c r="D683" s="9"/>
      <c r="E683" s="9"/>
      <c r="F683" s="17" t="str">
        <f aca="false">IF(AND(A683="",B683="",C683=""),"",IF(NOT(ISNUMBER(A683)),"Enter the date done",IF(OR(B683="",C683=""),"Fill in asset and task",IF(SUMPRODUCT(('PM Plan'!$A$5:$A$304=B683)*('PM Plan'!$B$5:$B$304=C683))=0,"No matching asset + task in plan","OK"))))</f>
        <v/>
      </c>
    </row>
    <row r="684" customFormat="false" ht="15" hidden="false" customHeight="false" outlineLevel="0" collapsed="false">
      <c r="A684" s="14"/>
      <c r="B684" s="9"/>
      <c r="C684" s="9"/>
      <c r="D684" s="9"/>
      <c r="E684" s="9"/>
      <c r="F684" s="17" t="str">
        <f aca="false">IF(AND(A684="",B684="",C684=""),"",IF(NOT(ISNUMBER(A684)),"Enter the date done",IF(OR(B684="",C684=""),"Fill in asset and task",IF(SUMPRODUCT(('PM Plan'!$A$5:$A$304=B684)*('PM Plan'!$B$5:$B$304=C684))=0,"No matching asset + task in plan","OK"))))</f>
        <v/>
      </c>
    </row>
    <row r="685" customFormat="false" ht="15" hidden="false" customHeight="false" outlineLevel="0" collapsed="false">
      <c r="A685" s="14"/>
      <c r="B685" s="9"/>
      <c r="C685" s="9"/>
      <c r="D685" s="9"/>
      <c r="E685" s="9"/>
      <c r="F685" s="17" t="str">
        <f aca="false">IF(AND(A685="",B685="",C685=""),"",IF(NOT(ISNUMBER(A685)),"Enter the date done",IF(OR(B685="",C685=""),"Fill in asset and task",IF(SUMPRODUCT(('PM Plan'!$A$5:$A$304=B685)*('PM Plan'!$B$5:$B$304=C685))=0,"No matching asset + task in plan","OK"))))</f>
        <v/>
      </c>
    </row>
    <row r="686" customFormat="false" ht="15" hidden="false" customHeight="false" outlineLevel="0" collapsed="false">
      <c r="A686" s="14"/>
      <c r="B686" s="9"/>
      <c r="C686" s="9"/>
      <c r="D686" s="9"/>
      <c r="E686" s="9"/>
      <c r="F686" s="17" t="str">
        <f aca="false">IF(AND(A686="",B686="",C686=""),"",IF(NOT(ISNUMBER(A686)),"Enter the date done",IF(OR(B686="",C686=""),"Fill in asset and task",IF(SUMPRODUCT(('PM Plan'!$A$5:$A$304=B686)*('PM Plan'!$B$5:$B$304=C686))=0,"No matching asset + task in plan","OK"))))</f>
        <v/>
      </c>
    </row>
    <row r="687" customFormat="false" ht="15" hidden="false" customHeight="false" outlineLevel="0" collapsed="false">
      <c r="A687" s="14"/>
      <c r="B687" s="9"/>
      <c r="C687" s="9"/>
      <c r="D687" s="9"/>
      <c r="E687" s="9"/>
      <c r="F687" s="17" t="str">
        <f aca="false">IF(AND(A687="",B687="",C687=""),"",IF(NOT(ISNUMBER(A687)),"Enter the date done",IF(OR(B687="",C687=""),"Fill in asset and task",IF(SUMPRODUCT(('PM Plan'!$A$5:$A$304=B687)*('PM Plan'!$B$5:$B$304=C687))=0,"No matching asset + task in plan","OK"))))</f>
        <v/>
      </c>
    </row>
    <row r="688" customFormat="false" ht="15" hidden="false" customHeight="false" outlineLevel="0" collapsed="false">
      <c r="A688" s="14"/>
      <c r="B688" s="9"/>
      <c r="C688" s="9"/>
      <c r="D688" s="9"/>
      <c r="E688" s="9"/>
      <c r="F688" s="17" t="str">
        <f aca="false">IF(AND(A688="",B688="",C688=""),"",IF(NOT(ISNUMBER(A688)),"Enter the date done",IF(OR(B688="",C688=""),"Fill in asset and task",IF(SUMPRODUCT(('PM Plan'!$A$5:$A$304=B688)*('PM Plan'!$B$5:$B$304=C688))=0,"No matching asset + task in plan","OK"))))</f>
        <v/>
      </c>
    </row>
    <row r="689" customFormat="false" ht="15" hidden="false" customHeight="false" outlineLevel="0" collapsed="false">
      <c r="A689" s="14"/>
      <c r="B689" s="9"/>
      <c r="C689" s="9"/>
      <c r="D689" s="9"/>
      <c r="E689" s="9"/>
      <c r="F689" s="17" t="str">
        <f aca="false">IF(AND(A689="",B689="",C689=""),"",IF(NOT(ISNUMBER(A689)),"Enter the date done",IF(OR(B689="",C689=""),"Fill in asset and task",IF(SUMPRODUCT(('PM Plan'!$A$5:$A$304=B689)*('PM Plan'!$B$5:$B$304=C689))=0,"No matching asset + task in plan","OK"))))</f>
        <v/>
      </c>
    </row>
    <row r="690" customFormat="false" ht="15" hidden="false" customHeight="false" outlineLevel="0" collapsed="false">
      <c r="A690" s="14"/>
      <c r="B690" s="9"/>
      <c r="C690" s="9"/>
      <c r="D690" s="9"/>
      <c r="E690" s="9"/>
      <c r="F690" s="17" t="str">
        <f aca="false">IF(AND(A690="",B690="",C690=""),"",IF(NOT(ISNUMBER(A690)),"Enter the date done",IF(OR(B690="",C690=""),"Fill in asset and task",IF(SUMPRODUCT(('PM Plan'!$A$5:$A$304=B690)*('PM Plan'!$B$5:$B$304=C690))=0,"No matching asset + task in plan","OK"))))</f>
        <v/>
      </c>
    </row>
    <row r="691" customFormat="false" ht="15" hidden="false" customHeight="false" outlineLevel="0" collapsed="false">
      <c r="A691" s="14"/>
      <c r="B691" s="9"/>
      <c r="C691" s="9"/>
      <c r="D691" s="9"/>
      <c r="E691" s="9"/>
      <c r="F691" s="17" t="str">
        <f aca="false">IF(AND(A691="",B691="",C691=""),"",IF(NOT(ISNUMBER(A691)),"Enter the date done",IF(OR(B691="",C691=""),"Fill in asset and task",IF(SUMPRODUCT(('PM Plan'!$A$5:$A$304=B691)*('PM Plan'!$B$5:$B$304=C691))=0,"No matching asset + task in plan","OK"))))</f>
        <v/>
      </c>
    </row>
    <row r="692" customFormat="false" ht="15" hidden="false" customHeight="false" outlineLevel="0" collapsed="false">
      <c r="A692" s="14"/>
      <c r="B692" s="9"/>
      <c r="C692" s="9"/>
      <c r="D692" s="9"/>
      <c r="E692" s="9"/>
      <c r="F692" s="17" t="str">
        <f aca="false">IF(AND(A692="",B692="",C692=""),"",IF(NOT(ISNUMBER(A692)),"Enter the date done",IF(OR(B692="",C692=""),"Fill in asset and task",IF(SUMPRODUCT(('PM Plan'!$A$5:$A$304=B692)*('PM Plan'!$B$5:$B$304=C692))=0,"No matching asset + task in plan","OK"))))</f>
        <v/>
      </c>
    </row>
    <row r="693" customFormat="false" ht="15" hidden="false" customHeight="false" outlineLevel="0" collapsed="false">
      <c r="A693" s="14"/>
      <c r="B693" s="9"/>
      <c r="C693" s="9"/>
      <c r="D693" s="9"/>
      <c r="E693" s="9"/>
      <c r="F693" s="17" t="str">
        <f aca="false">IF(AND(A693="",B693="",C693=""),"",IF(NOT(ISNUMBER(A693)),"Enter the date done",IF(OR(B693="",C693=""),"Fill in asset and task",IF(SUMPRODUCT(('PM Plan'!$A$5:$A$304=B693)*('PM Plan'!$B$5:$B$304=C693))=0,"No matching asset + task in plan","OK"))))</f>
        <v/>
      </c>
    </row>
    <row r="694" customFormat="false" ht="15" hidden="false" customHeight="false" outlineLevel="0" collapsed="false">
      <c r="A694" s="14"/>
      <c r="B694" s="9"/>
      <c r="C694" s="9"/>
      <c r="D694" s="9"/>
      <c r="E694" s="9"/>
      <c r="F694" s="17" t="str">
        <f aca="false">IF(AND(A694="",B694="",C694=""),"",IF(NOT(ISNUMBER(A694)),"Enter the date done",IF(OR(B694="",C694=""),"Fill in asset and task",IF(SUMPRODUCT(('PM Plan'!$A$5:$A$304=B694)*('PM Plan'!$B$5:$B$304=C694))=0,"No matching asset + task in plan","OK"))))</f>
        <v/>
      </c>
    </row>
    <row r="695" customFormat="false" ht="15" hidden="false" customHeight="false" outlineLevel="0" collapsed="false">
      <c r="A695" s="14"/>
      <c r="B695" s="9"/>
      <c r="C695" s="9"/>
      <c r="D695" s="9"/>
      <c r="E695" s="9"/>
      <c r="F695" s="17" t="str">
        <f aca="false">IF(AND(A695="",B695="",C695=""),"",IF(NOT(ISNUMBER(A695)),"Enter the date done",IF(OR(B695="",C695=""),"Fill in asset and task",IF(SUMPRODUCT(('PM Plan'!$A$5:$A$304=B695)*('PM Plan'!$B$5:$B$304=C695))=0,"No matching asset + task in plan","OK"))))</f>
        <v/>
      </c>
    </row>
    <row r="696" customFormat="false" ht="15" hidden="false" customHeight="false" outlineLevel="0" collapsed="false">
      <c r="A696" s="14"/>
      <c r="B696" s="9"/>
      <c r="C696" s="9"/>
      <c r="D696" s="9"/>
      <c r="E696" s="9"/>
      <c r="F696" s="17" t="str">
        <f aca="false">IF(AND(A696="",B696="",C696=""),"",IF(NOT(ISNUMBER(A696)),"Enter the date done",IF(OR(B696="",C696=""),"Fill in asset and task",IF(SUMPRODUCT(('PM Plan'!$A$5:$A$304=B696)*('PM Plan'!$B$5:$B$304=C696))=0,"No matching asset + task in plan","OK"))))</f>
        <v/>
      </c>
    </row>
    <row r="697" customFormat="false" ht="15" hidden="false" customHeight="false" outlineLevel="0" collapsed="false">
      <c r="A697" s="14"/>
      <c r="B697" s="9"/>
      <c r="C697" s="9"/>
      <c r="D697" s="9"/>
      <c r="E697" s="9"/>
      <c r="F697" s="17" t="str">
        <f aca="false">IF(AND(A697="",B697="",C697=""),"",IF(NOT(ISNUMBER(A697)),"Enter the date done",IF(OR(B697="",C697=""),"Fill in asset and task",IF(SUMPRODUCT(('PM Plan'!$A$5:$A$304=B697)*('PM Plan'!$B$5:$B$304=C697))=0,"No matching asset + task in plan","OK"))))</f>
        <v/>
      </c>
    </row>
    <row r="698" customFormat="false" ht="15" hidden="false" customHeight="false" outlineLevel="0" collapsed="false">
      <c r="A698" s="14"/>
      <c r="B698" s="9"/>
      <c r="C698" s="9"/>
      <c r="D698" s="9"/>
      <c r="E698" s="9"/>
      <c r="F698" s="17" t="str">
        <f aca="false">IF(AND(A698="",B698="",C698=""),"",IF(NOT(ISNUMBER(A698)),"Enter the date done",IF(OR(B698="",C698=""),"Fill in asset and task",IF(SUMPRODUCT(('PM Plan'!$A$5:$A$304=B698)*('PM Plan'!$B$5:$B$304=C698))=0,"No matching asset + task in plan","OK"))))</f>
        <v/>
      </c>
    </row>
    <row r="699" customFormat="false" ht="15" hidden="false" customHeight="false" outlineLevel="0" collapsed="false">
      <c r="A699" s="14"/>
      <c r="B699" s="9"/>
      <c r="C699" s="9"/>
      <c r="D699" s="9"/>
      <c r="E699" s="9"/>
      <c r="F699" s="17" t="str">
        <f aca="false">IF(AND(A699="",B699="",C699=""),"",IF(NOT(ISNUMBER(A699)),"Enter the date done",IF(OR(B699="",C699=""),"Fill in asset and task",IF(SUMPRODUCT(('PM Plan'!$A$5:$A$304=B699)*('PM Plan'!$B$5:$B$304=C699))=0,"No matching asset + task in plan","OK"))))</f>
        <v/>
      </c>
    </row>
    <row r="700" customFormat="false" ht="15" hidden="false" customHeight="false" outlineLevel="0" collapsed="false">
      <c r="A700" s="14"/>
      <c r="B700" s="9"/>
      <c r="C700" s="9"/>
      <c r="D700" s="9"/>
      <c r="E700" s="9"/>
      <c r="F700" s="17" t="str">
        <f aca="false">IF(AND(A700="",B700="",C700=""),"",IF(NOT(ISNUMBER(A700)),"Enter the date done",IF(OR(B700="",C700=""),"Fill in asset and task",IF(SUMPRODUCT(('PM Plan'!$A$5:$A$304=B700)*('PM Plan'!$B$5:$B$304=C700))=0,"No matching asset + task in plan","OK"))))</f>
        <v/>
      </c>
    </row>
    <row r="701" customFormat="false" ht="15" hidden="false" customHeight="false" outlineLevel="0" collapsed="false">
      <c r="A701" s="14"/>
      <c r="B701" s="9"/>
      <c r="C701" s="9"/>
      <c r="D701" s="9"/>
      <c r="E701" s="9"/>
      <c r="F701" s="17" t="str">
        <f aca="false">IF(AND(A701="",B701="",C701=""),"",IF(NOT(ISNUMBER(A701)),"Enter the date done",IF(OR(B701="",C701=""),"Fill in asset and task",IF(SUMPRODUCT(('PM Plan'!$A$5:$A$304=B701)*('PM Plan'!$B$5:$B$304=C701))=0,"No matching asset + task in plan","OK"))))</f>
        <v/>
      </c>
    </row>
    <row r="702" customFormat="false" ht="15" hidden="false" customHeight="false" outlineLevel="0" collapsed="false">
      <c r="A702" s="14"/>
      <c r="B702" s="9"/>
      <c r="C702" s="9"/>
      <c r="D702" s="9"/>
      <c r="E702" s="9"/>
      <c r="F702" s="17" t="str">
        <f aca="false">IF(AND(A702="",B702="",C702=""),"",IF(NOT(ISNUMBER(A702)),"Enter the date done",IF(OR(B702="",C702=""),"Fill in asset and task",IF(SUMPRODUCT(('PM Plan'!$A$5:$A$304=B702)*('PM Plan'!$B$5:$B$304=C702))=0,"No matching asset + task in plan","OK"))))</f>
        <v/>
      </c>
    </row>
    <row r="703" customFormat="false" ht="15" hidden="false" customHeight="false" outlineLevel="0" collapsed="false">
      <c r="A703" s="14"/>
      <c r="B703" s="9"/>
      <c r="C703" s="9"/>
      <c r="D703" s="9"/>
      <c r="E703" s="9"/>
      <c r="F703" s="17" t="str">
        <f aca="false">IF(AND(A703="",B703="",C703=""),"",IF(NOT(ISNUMBER(A703)),"Enter the date done",IF(OR(B703="",C703=""),"Fill in asset and task",IF(SUMPRODUCT(('PM Plan'!$A$5:$A$304=B703)*('PM Plan'!$B$5:$B$304=C703))=0,"No matching asset + task in plan","OK"))))</f>
        <v/>
      </c>
    </row>
    <row r="704" customFormat="false" ht="15" hidden="false" customHeight="false" outlineLevel="0" collapsed="false">
      <c r="A704" s="14"/>
      <c r="B704" s="9"/>
      <c r="C704" s="9"/>
      <c r="D704" s="9"/>
      <c r="E704" s="9"/>
      <c r="F704" s="17" t="str">
        <f aca="false">IF(AND(A704="",B704="",C704=""),"",IF(NOT(ISNUMBER(A704)),"Enter the date done",IF(OR(B704="",C704=""),"Fill in asset and task",IF(SUMPRODUCT(('PM Plan'!$A$5:$A$304=B704)*('PM Plan'!$B$5:$B$304=C704))=0,"No matching asset + task in plan","OK"))))</f>
        <v/>
      </c>
    </row>
    <row r="705" customFormat="false" ht="15" hidden="false" customHeight="false" outlineLevel="0" collapsed="false">
      <c r="A705" s="14"/>
      <c r="B705" s="9"/>
      <c r="C705" s="9"/>
      <c r="D705" s="9"/>
      <c r="E705" s="9"/>
      <c r="F705" s="17" t="str">
        <f aca="false">IF(AND(A705="",B705="",C705=""),"",IF(NOT(ISNUMBER(A705)),"Enter the date done",IF(OR(B705="",C705=""),"Fill in asset and task",IF(SUMPRODUCT(('PM Plan'!$A$5:$A$304=B705)*('PM Plan'!$B$5:$B$304=C705))=0,"No matching asset + task in plan","OK"))))</f>
        <v/>
      </c>
    </row>
    <row r="706" customFormat="false" ht="15" hidden="false" customHeight="false" outlineLevel="0" collapsed="false">
      <c r="A706" s="14"/>
      <c r="B706" s="9"/>
      <c r="C706" s="9"/>
      <c r="D706" s="9"/>
      <c r="E706" s="9"/>
      <c r="F706" s="17" t="str">
        <f aca="false">IF(AND(A706="",B706="",C706=""),"",IF(NOT(ISNUMBER(A706)),"Enter the date done",IF(OR(B706="",C706=""),"Fill in asset and task",IF(SUMPRODUCT(('PM Plan'!$A$5:$A$304=B706)*('PM Plan'!$B$5:$B$304=C706))=0,"No matching asset + task in plan","OK"))))</f>
        <v/>
      </c>
    </row>
    <row r="707" customFormat="false" ht="15" hidden="false" customHeight="false" outlineLevel="0" collapsed="false">
      <c r="A707" s="14"/>
      <c r="B707" s="9"/>
      <c r="C707" s="9"/>
      <c r="D707" s="9"/>
      <c r="E707" s="9"/>
      <c r="F707" s="17" t="str">
        <f aca="false">IF(AND(A707="",B707="",C707=""),"",IF(NOT(ISNUMBER(A707)),"Enter the date done",IF(OR(B707="",C707=""),"Fill in asset and task",IF(SUMPRODUCT(('PM Plan'!$A$5:$A$304=B707)*('PM Plan'!$B$5:$B$304=C707))=0,"No matching asset + task in plan","OK"))))</f>
        <v/>
      </c>
    </row>
    <row r="708" customFormat="false" ht="15" hidden="false" customHeight="false" outlineLevel="0" collapsed="false">
      <c r="A708" s="14"/>
      <c r="B708" s="9"/>
      <c r="C708" s="9"/>
      <c r="D708" s="9"/>
      <c r="E708" s="9"/>
      <c r="F708" s="17" t="str">
        <f aca="false">IF(AND(A708="",B708="",C708=""),"",IF(NOT(ISNUMBER(A708)),"Enter the date done",IF(OR(B708="",C708=""),"Fill in asset and task",IF(SUMPRODUCT(('PM Plan'!$A$5:$A$304=B708)*('PM Plan'!$B$5:$B$304=C708))=0,"No matching asset + task in plan","OK"))))</f>
        <v/>
      </c>
    </row>
    <row r="709" customFormat="false" ht="15" hidden="false" customHeight="false" outlineLevel="0" collapsed="false">
      <c r="A709" s="14"/>
      <c r="B709" s="9"/>
      <c r="C709" s="9"/>
      <c r="D709" s="9"/>
      <c r="E709" s="9"/>
      <c r="F709" s="17" t="str">
        <f aca="false">IF(AND(A709="",B709="",C709=""),"",IF(NOT(ISNUMBER(A709)),"Enter the date done",IF(OR(B709="",C709=""),"Fill in asset and task",IF(SUMPRODUCT(('PM Plan'!$A$5:$A$304=B709)*('PM Plan'!$B$5:$B$304=C709))=0,"No matching asset + task in plan","OK"))))</f>
        <v/>
      </c>
    </row>
    <row r="710" customFormat="false" ht="15" hidden="false" customHeight="false" outlineLevel="0" collapsed="false">
      <c r="A710" s="14"/>
      <c r="B710" s="9"/>
      <c r="C710" s="9"/>
      <c r="D710" s="9"/>
      <c r="E710" s="9"/>
      <c r="F710" s="17" t="str">
        <f aca="false">IF(AND(A710="",B710="",C710=""),"",IF(NOT(ISNUMBER(A710)),"Enter the date done",IF(OR(B710="",C710=""),"Fill in asset and task",IF(SUMPRODUCT(('PM Plan'!$A$5:$A$304=B710)*('PM Plan'!$B$5:$B$304=C710))=0,"No matching asset + task in plan","OK"))))</f>
        <v/>
      </c>
    </row>
    <row r="711" customFormat="false" ht="15" hidden="false" customHeight="false" outlineLevel="0" collapsed="false">
      <c r="A711" s="14"/>
      <c r="B711" s="9"/>
      <c r="C711" s="9"/>
      <c r="D711" s="9"/>
      <c r="E711" s="9"/>
      <c r="F711" s="17" t="str">
        <f aca="false">IF(AND(A711="",B711="",C711=""),"",IF(NOT(ISNUMBER(A711)),"Enter the date done",IF(OR(B711="",C711=""),"Fill in asset and task",IF(SUMPRODUCT(('PM Plan'!$A$5:$A$304=B711)*('PM Plan'!$B$5:$B$304=C711))=0,"No matching asset + task in plan","OK"))))</f>
        <v/>
      </c>
    </row>
    <row r="712" customFormat="false" ht="15" hidden="false" customHeight="false" outlineLevel="0" collapsed="false">
      <c r="A712" s="14"/>
      <c r="B712" s="9"/>
      <c r="C712" s="9"/>
      <c r="D712" s="9"/>
      <c r="E712" s="9"/>
      <c r="F712" s="17" t="str">
        <f aca="false">IF(AND(A712="",B712="",C712=""),"",IF(NOT(ISNUMBER(A712)),"Enter the date done",IF(OR(B712="",C712=""),"Fill in asset and task",IF(SUMPRODUCT(('PM Plan'!$A$5:$A$304=B712)*('PM Plan'!$B$5:$B$304=C712))=0,"No matching asset + task in plan","OK"))))</f>
        <v/>
      </c>
    </row>
    <row r="713" customFormat="false" ht="15" hidden="false" customHeight="false" outlineLevel="0" collapsed="false">
      <c r="A713" s="14"/>
      <c r="B713" s="9"/>
      <c r="C713" s="9"/>
      <c r="D713" s="9"/>
      <c r="E713" s="9"/>
      <c r="F713" s="17" t="str">
        <f aca="false">IF(AND(A713="",B713="",C713=""),"",IF(NOT(ISNUMBER(A713)),"Enter the date done",IF(OR(B713="",C713=""),"Fill in asset and task",IF(SUMPRODUCT(('PM Plan'!$A$5:$A$304=B713)*('PM Plan'!$B$5:$B$304=C713))=0,"No matching asset + task in plan","OK"))))</f>
        <v/>
      </c>
    </row>
    <row r="714" customFormat="false" ht="15" hidden="false" customHeight="false" outlineLevel="0" collapsed="false">
      <c r="A714" s="14"/>
      <c r="B714" s="9"/>
      <c r="C714" s="9"/>
      <c r="D714" s="9"/>
      <c r="E714" s="9"/>
      <c r="F714" s="17" t="str">
        <f aca="false">IF(AND(A714="",B714="",C714=""),"",IF(NOT(ISNUMBER(A714)),"Enter the date done",IF(OR(B714="",C714=""),"Fill in asset and task",IF(SUMPRODUCT(('PM Plan'!$A$5:$A$304=B714)*('PM Plan'!$B$5:$B$304=C714))=0,"No matching asset + task in plan","OK"))))</f>
        <v/>
      </c>
    </row>
    <row r="715" customFormat="false" ht="15" hidden="false" customHeight="false" outlineLevel="0" collapsed="false">
      <c r="A715" s="14"/>
      <c r="B715" s="9"/>
      <c r="C715" s="9"/>
      <c r="D715" s="9"/>
      <c r="E715" s="9"/>
      <c r="F715" s="17" t="str">
        <f aca="false">IF(AND(A715="",B715="",C715=""),"",IF(NOT(ISNUMBER(A715)),"Enter the date done",IF(OR(B715="",C715=""),"Fill in asset and task",IF(SUMPRODUCT(('PM Plan'!$A$5:$A$304=B715)*('PM Plan'!$B$5:$B$304=C715))=0,"No matching asset + task in plan","OK"))))</f>
        <v/>
      </c>
    </row>
    <row r="716" customFormat="false" ht="15" hidden="false" customHeight="false" outlineLevel="0" collapsed="false">
      <c r="A716" s="14"/>
      <c r="B716" s="9"/>
      <c r="C716" s="9"/>
      <c r="D716" s="9"/>
      <c r="E716" s="9"/>
      <c r="F716" s="17" t="str">
        <f aca="false">IF(AND(A716="",B716="",C716=""),"",IF(NOT(ISNUMBER(A716)),"Enter the date done",IF(OR(B716="",C716=""),"Fill in asset and task",IF(SUMPRODUCT(('PM Plan'!$A$5:$A$304=B716)*('PM Plan'!$B$5:$B$304=C716))=0,"No matching asset + task in plan","OK"))))</f>
        <v/>
      </c>
    </row>
    <row r="717" customFormat="false" ht="15" hidden="false" customHeight="false" outlineLevel="0" collapsed="false">
      <c r="A717" s="14"/>
      <c r="B717" s="9"/>
      <c r="C717" s="9"/>
      <c r="D717" s="9"/>
      <c r="E717" s="9"/>
      <c r="F717" s="17" t="str">
        <f aca="false">IF(AND(A717="",B717="",C717=""),"",IF(NOT(ISNUMBER(A717)),"Enter the date done",IF(OR(B717="",C717=""),"Fill in asset and task",IF(SUMPRODUCT(('PM Plan'!$A$5:$A$304=B717)*('PM Plan'!$B$5:$B$304=C717))=0,"No matching asset + task in plan","OK"))))</f>
        <v/>
      </c>
    </row>
    <row r="718" customFormat="false" ht="15" hidden="false" customHeight="false" outlineLevel="0" collapsed="false">
      <c r="A718" s="14"/>
      <c r="B718" s="9"/>
      <c r="C718" s="9"/>
      <c r="D718" s="9"/>
      <c r="E718" s="9"/>
      <c r="F718" s="17" t="str">
        <f aca="false">IF(AND(A718="",B718="",C718=""),"",IF(NOT(ISNUMBER(A718)),"Enter the date done",IF(OR(B718="",C718=""),"Fill in asset and task",IF(SUMPRODUCT(('PM Plan'!$A$5:$A$304=B718)*('PM Plan'!$B$5:$B$304=C718))=0,"No matching asset + task in plan","OK"))))</f>
        <v/>
      </c>
    </row>
    <row r="719" customFormat="false" ht="15" hidden="false" customHeight="false" outlineLevel="0" collapsed="false">
      <c r="A719" s="14"/>
      <c r="B719" s="9"/>
      <c r="C719" s="9"/>
      <c r="D719" s="9"/>
      <c r="E719" s="9"/>
      <c r="F719" s="17" t="str">
        <f aca="false">IF(AND(A719="",B719="",C719=""),"",IF(NOT(ISNUMBER(A719)),"Enter the date done",IF(OR(B719="",C719=""),"Fill in asset and task",IF(SUMPRODUCT(('PM Plan'!$A$5:$A$304=B719)*('PM Plan'!$B$5:$B$304=C719))=0,"No matching asset + task in plan","OK"))))</f>
        <v/>
      </c>
    </row>
    <row r="720" customFormat="false" ht="15" hidden="false" customHeight="false" outlineLevel="0" collapsed="false">
      <c r="A720" s="14"/>
      <c r="B720" s="9"/>
      <c r="C720" s="9"/>
      <c r="D720" s="9"/>
      <c r="E720" s="9"/>
      <c r="F720" s="17" t="str">
        <f aca="false">IF(AND(A720="",B720="",C720=""),"",IF(NOT(ISNUMBER(A720)),"Enter the date done",IF(OR(B720="",C720=""),"Fill in asset and task",IF(SUMPRODUCT(('PM Plan'!$A$5:$A$304=B720)*('PM Plan'!$B$5:$B$304=C720))=0,"No matching asset + task in plan","OK"))))</f>
        <v/>
      </c>
    </row>
    <row r="721" customFormat="false" ht="15" hidden="false" customHeight="false" outlineLevel="0" collapsed="false">
      <c r="A721" s="14"/>
      <c r="B721" s="9"/>
      <c r="C721" s="9"/>
      <c r="D721" s="9"/>
      <c r="E721" s="9"/>
      <c r="F721" s="17" t="str">
        <f aca="false">IF(AND(A721="",B721="",C721=""),"",IF(NOT(ISNUMBER(A721)),"Enter the date done",IF(OR(B721="",C721=""),"Fill in asset and task",IF(SUMPRODUCT(('PM Plan'!$A$5:$A$304=B721)*('PM Plan'!$B$5:$B$304=C721))=0,"No matching asset + task in plan","OK"))))</f>
        <v/>
      </c>
    </row>
    <row r="722" customFormat="false" ht="15" hidden="false" customHeight="false" outlineLevel="0" collapsed="false">
      <c r="A722" s="14"/>
      <c r="B722" s="9"/>
      <c r="C722" s="9"/>
      <c r="D722" s="9"/>
      <c r="E722" s="9"/>
      <c r="F722" s="17" t="str">
        <f aca="false">IF(AND(A722="",B722="",C722=""),"",IF(NOT(ISNUMBER(A722)),"Enter the date done",IF(OR(B722="",C722=""),"Fill in asset and task",IF(SUMPRODUCT(('PM Plan'!$A$5:$A$304=B722)*('PM Plan'!$B$5:$B$304=C722))=0,"No matching asset + task in plan","OK"))))</f>
        <v/>
      </c>
    </row>
    <row r="723" customFormat="false" ht="15" hidden="false" customHeight="false" outlineLevel="0" collapsed="false">
      <c r="A723" s="14"/>
      <c r="B723" s="9"/>
      <c r="C723" s="9"/>
      <c r="D723" s="9"/>
      <c r="E723" s="9"/>
      <c r="F723" s="17" t="str">
        <f aca="false">IF(AND(A723="",B723="",C723=""),"",IF(NOT(ISNUMBER(A723)),"Enter the date done",IF(OR(B723="",C723=""),"Fill in asset and task",IF(SUMPRODUCT(('PM Plan'!$A$5:$A$304=B723)*('PM Plan'!$B$5:$B$304=C723))=0,"No matching asset + task in plan","OK"))))</f>
        <v/>
      </c>
    </row>
    <row r="724" customFormat="false" ht="15" hidden="false" customHeight="false" outlineLevel="0" collapsed="false">
      <c r="A724" s="14"/>
      <c r="B724" s="9"/>
      <c r="C724" s="9"/>
      <c r="D724" s="9"/>
      <c r="E724" s="9"/>
      <c r="F724" s="17" t="str">
        <f aca="false">IF(AND(A724="",B724="",C724=""),"",IF(NOT(ISNUMBER(A724)),"Enter the date done",IF(OR(B724="",C724=""),"Fill in asset and task",IF(SUMPRODUCT(('PM Plan'!$A$5:$A$304=B724)*('PM Plan'!$B$5:$B$304=C724))=0,"No matching asset + task in plan","OK"))))</f>
        <v/>
      </c>
    </row>
    <row r="725" customFormat="false" ht="15" hidden="false" customHeight="false" outlineLevel="0" collapsed="false">
      <c r="A725" s="14"/>
      <c r="B725" s="9"/>
      <c r="C725" s="9"/>
      <c r="D725" s="9"/>
      <c r="E725" s="9"/>
      <c r="F725" s="17" t="str">
        <f aca="false">IF(AND(A725="",B725="",C725=""),"",IF(NOT(ISNUMBER(A725)),"Enter the date done",IF(OR(B725="",C725=""),"Fill in asset and task",IF(SUMPRODUCT(('PM Plan'!$A$5:$A$304=B725)*('PM Plan'!$B$5:$B$304=C725))=0,"No matching asset + task in plan","OK"))))</f>
        <v/>
      </c>
    </row>
    <row r="726" customFormat="false" ht="15" hidden="false" customHeight="false" outlineLevel="0" collapsed="false">
      <c r="A726" s="14"/>
      <c r="B726" s="9"/>
      <c r="C726" s="9"/>
      <c r="D726" s="9"/>
      <c r="E726" s="9"/>
      <c r="F726" s="17" t="str">
        <f aca="false">IF(AND(A726="",B726="",C726=""),"",IF(NOT(ISNUMBER(A726)),"Enter the date done",IF(OR(B726="",C726=""),"Fill in asset and task",IF(SUMPRODUCT(('PM Plan'!$A$5:$A$304=B726)*('PM Plan'!$B$5:$B$304=C726))=0,"No matching asset + task in plan","OK"))))</f>
        <v/>
      </c>
    </row>
    <row r="727" customFormat="false" ht="15" hidden="false" customHeight="false" outlineLevel="0" collapsed="false">
      <c r="A727" s="14"/>
      <c r="B727" s="9"/>
      <c r="C727" s="9"/>
      <c r="D727" s="9"/>
      <c r="E727" s="9"/>
      <c r="F727" s="17" t="str">
        <f aca="false">IF(AND(A727="",B727="",C727=""),"",IF(NOT(ISNUMBER(A727)),"Enter the date done",IF(OR(B727="",C727=""),"Fill in asset and task",IF(SUMPRODUCT(('PM Plan'!$A$5:$A$304=B727)*('PM Plan'!$B$5:$B$304=C727))=0,"No matching asset + task in plan","OK"))))</f>
        <v/>
      </c>
    </row>
    <row r="728" customFormat="false" ht="15" hidden="false" customHeight="false" outlineLevel="0" collapsed="false">
      <c r="A728" s="14"/>
      <c r="B728" s="9"/>
      <c r="C728" s="9"/>
      <c r="D728" s="9"/>
      <c r="E728" s="9"/>
      <c r="F728" s="17" t="str">
        <f aca="false">IF(AND(A728="",B728="",C728=""),"",IF(NOT(ISNUMBER(A728)),"Enter the date done",IF(OR(B728="",C728=""),"Fill in asset and task",IF(SUMPRODUCT(('PM Plan'!$A$5:$A$304=B728)*('PM Plan'!$B$5:$B$304=C728))=0,"No matching asset + task in plan","OK"))))</f>
        <v/>
      </c>
    </row>
    <row r="729" customFormat="false" ht="15" hidden="false" customHeight="false" outlineLevel="0" collapsed="false">
      <c r="A729" s="14"/>
      <c r="B729" s="9"/>
      <c r="C729" s="9"/>
      <c r="D729" s="9"/>
      <c r="E729" s="9"/>
      <c r="F729" s="17" t="str">
        <f aca="false">IF(AND(A729="",B729="",C729=""),"",IF(NOT(ISNUMBER(A729)),"Enter the date done",IF(OR(B729="",C729=""),"Fill in asset and task",IF(SUMPRODUCT(('PM Plan'!$A$5:$A$304=B729)*('PM Plan'!$B$5:$B$304=C729))=0,"No matching asset + task in plan","OK"))))</f>
        <v/>
      </c>
    </row>
    <row r="730" customFormat="false" ht="15" hidden="false" customHeight="false" outlineLevel="0" collapsed="false">
      <c r="A730" s="14"/>
      <c r="B730" s="9"/>
      <c r="C730" s="9"/>
      <c r="D730" s="9"/>
      <c r="E730" s="9"/>
      <c r="F730" s="17" t="str">
        <f aca="false">IF(AND(A730="",B730="",C730=""),"",IF(NOT(ISNUMBER(A730)),"Enter the date done",IF(OR(B730="",C730=""),"Fill in asset and task",IF(SUMPRODUCT(('PM Plan'!$A$5:$A$304=B730)*('PM Plan'!$B$5:$B$304=C730))=0,"No matching asset + task in plan","OK"))))</f>
        <v/>
      </c>
    </row>
    <row r="731" customFormat="false" ht="15" hidden="false" customHeight="false" outlineLevel="0" collapsed="false">
      <c r="A731" s="14"/>
      <c r="B731" s="9"/>
      <c r="C731" s="9"/>
      <c r="D731" s="9"/>
      <c r="E731" s="9"/>
      <c r="F731" s="17" t="str">
        <f aca="false">IF(AND(A731="",B731="",C731=""),"",IF(NOT(ISNUMBER(A731)),"Enter the date done",IF(OR(B731="",C731=""),"Fill in asset and task",IF(SUMPRODUCT(('PM Plan'!$A$5:$A$304=B731)*('PM Plan'!$B$5:$B$304=C731))=0,"No matching asset + task in plan","OK"))))</f>
        <v/>
      </c>
    </row>
    <row r="732" customFormat="false" ht="15" hidden="false" customHeight="false" outlineLevel="0" collapsed="false">
      <c r="A732" s="14"/>
      <c r="B732" s="9"/>
      <c r="C732" s="9"/>
      <c r="D732" s="9"/>
      <c r="E732" s="9"/>
      <c r="F732" s="17" t="str">
        <f aca="false">IF(AND(A732="",B732="",C732=""),"",IF(NOT(ISNUMBER(A732)),"Enter the date done",IF(OR(B732="",C732=""),"Fill in asset and task",IF(SUMPRODUCT(('PM Plan'!$A$5:$A$304=B732)*('PM Plan'!$B$5:$B$304=C732))=0,"No matching asset + task in plan","OK"))))</f>
        <v/>
      </c>
    </row>
    <row r="733" customFormat="false" ht="15" hidden="false" customHeight="false" outlineLevel="0" collapsed="false">
      <c r="A733" s="14"/>
      <c r="B733" s="9"/>
      <c r="C733" s="9"/>
      <c r="D733" s="9"/>
      <c r="E733" s="9"/>
      <c r="F733" s="17" t="str">
        <f aca="false">IF(AND(A733="",B733="",C733=""),"",IF(NOT(ISNUMBER(A733)),"Enter the date done",IF(OR(B733="",C733=""),"Fill in asset and task",IF(SUMPRODUCT(('PM Plan'!$A$5:$A$304=B733)*('PM Plan'!$B$5:$B$304=C733))=0,"No matching asset + task in plan","OK"))))</f>
        <v/>
      </c>
    </row>
    <row r="734" customFormat="false" ht="15" hidden="false" customHeight="false" outlineLevel="0" collapsed="false">
      <c r="A734" s="14"/>
      <c r="B734" s="9"/>
      <c r="C734" s="9"/>
      <c r="D734" s="9"/>
      <c r="E734" s="9"/>
      <c r="F734" s="17" t="str">
        <f aca="false">IF(AND(A734="",B734="",C734=""),"",IF(NOT(ISNUMBER(A734)),"Enter the date done",IF(OR(B734="",C734=""),"Fill in asset and task",IF(SUMPRODUCT(('PM Plan'!$A$5:$A$304=B734)*('PM Plan'!$B$5:$B$304=C734))=0,"No matching asset + task in plan","OK"))))</f>
        <v/>
      </c>
    </row>
    <row r="735" customFormat="false" ht="15" hidden="false" customHeight="false" outlineLevel="0" collapsed="false">
      <c r="A735" s="14"/>
      <c r="B735" s="9"/>
      <c r="C735" s="9"/>
      <c r="D735" s="9"/>
      <c r="E735" s="9"/>
      <c r="F735" s="17" t="str">
        <f aca="false">IF(AND(A735="",B735="",C735=""),"",IF(NOT(ISNUMBER(A735)),"Enter the date done",IF(OR(B735="",C735=""),"Fill in asset and task",IF(SUMPRODUCT(('PM Plan'!$A$5:$A$304=B735)*('PM Plan'!$B$5:$B$304=C735))=0,"No matching asset + task in plan","OK"))))</f>
        <v/>
      </c>
    </row>
    <row r="736" customFormat="false" ht="15" hidden="false" customHeight="false" outlineLevel="0" collapsed="false">
      <c r="A736" s="14"/>
      <c r="B736" s="9"/>
      <c r="C736" s="9"/>
      <c r="D736" s="9"/>
      <c r="E736" s="9"/>
      <c r="F736" s="17" t="str">
        <f aca="false">IF(AND(A736="",B736="",C736=""),"",IF(NOT(ISNUMBER(A736)),"Enter the date done",IF(OR(B736="",C736=""),"Fill in asset and task",IF(SUMPRODUCT(('PM Plan'!$A$5:$A$304=B736)*('PM Plan'!$B$5:$B$304=C736))=0,"No matching asset + task in plan","OK"))))</f>
        <v/>
      </c>
    </row>
    <row r="737" customFormat="false" ht="15" hidden="false" customHeight="false" outlineLevel="0" collapsed="false">
      <c r="A737" s="14"/>
      <c r="B737" s="9"/>
      <c r="C737" s="9"/>
      <c r="D737" s="9"/>
      <c r="E737" s="9"/>
      <c r="F737" s="17" t="str">
        <f aca="false">IF(AND(A737="",B737="",C737=""),"",IF(NOT(ISNUMBER(A737)),"Enter the date done",IF(OR(B737="",C737=""),"Fill in asset and task",IF(SUMPRODUCT(('PM Plan'!$A$5:$A$304=B737)*('PM Plan'!$B$5:$B$304=C737))=0,"No matching asset + task in plan","OK"))))</f>
        <v/>
      </c>
    </row>
    <row r="738" customFormat="false" ht="15" hidden="false" customHeight="false" outlineLevel="0" collapsed="false">
      <c r="A738" s="14"/>
      <c r="B738" s="9"/>
      <c r="C738" s="9"/>
      <c r="D738" s="9"/>
      <c r="E738" s="9"/>
      <c r="F738" s="17" t="str">
        <f aca="false">IF(AND(A738="",B738="",C738=""),"",IF(NOT(ISNUMBER(A738)),"Enter the date done",IF(OR(B738="",C738=""),"Fill in asset and task",IF(SUMPRODUCT(('PM Plan'!$A$5:$A$304=B738)*('PM Plan'!$B$5:$B$304=C738))=0,"No matching asset + task in plan","OK"))))</f>
        <v/>
      </c>
    </row>
    <row r="739" customFormat="false" ht="15" hidden="false" customHeight="false" outlineLevel="0" collapsed="false">
      <c r="A739" s="14"/>
      <c r="B739" s="9"/>
      <c r="C739" s="9"/>
      <c r="D739" s="9"/>
      <c r="E739" s="9"/>
      <c r="F739" s="17" t="str">
        <f aca="false">IF(AND(A739="",B739="",C739=""),"",IF(NOT(ISNUMBER(A739)),"Enter the date done",IF(OR(B739="",C739=""),"Fill in asset and task",IF(SUMPRODUCT(('PM Plan'!$A$5:$A$304=B739)*('PM Plan'!$B$5:$B$304=C739))=0,"No matching asset + task in plan","OK"))))</f>
        <v/>
      </c>
    </row>
    <row r="740" customFormat="false" ht="15" hidden="false" customHeight="false" outlineLevel="0" collapsed="false">
      <c r="A740" s="14"/>
      <c r="B740" s="9"/>
      <c r="C740" s="9"/>
      <c r="D740" s="9"/>
      <c r="E740" s="9"/>
      <c r="F740" s="17" t="str">
        <f aca="false">IF(AND(A740="",B740="",C740=""),"",IF(NOT(ISNUMBER(A740)),"Enter the date done",IF(OR(B740="",C740=""),"Fill in asset and task",IF(SUMPRODUCT(('PM Plan'!$A$5:$A$304=B740)*('PM Plan'!$B$5:$B$304=C740))=0,"No matching asset + task in plan","OK"))))</f>
        <v/>
      </c>
    </row>
    <row r="741" customFormat="false" ht="15" hidden="false" customHeight="false" outlineLevel="0" collapsed="false">
      <c r="A741" s="14"/>
      <c r="B741" s="9"/>
      <c r="C741" s="9"/>
      <c r="D741" s="9"/>
      <c r="E741" s="9"/>
      <c r="F741" s="17" t="str">
        <f aca="false">IF(AND(A741="",B741="",C741=""),"",IF(NOT(ISNUMBER(A741)),"Enter the date done",IF(OR(B741="",C741=""),"Fill in asset and task",IF(SUMPRODUCT(('PM Plan'!$A$5:$A$304=B741)*('PM Plan'!$B$5:$B$304=C741))=0,"No matching asset + task in plan","OK"))))</f>
        <v/>
      </c>
    </row>
    <row r="742" customFormat="false" ht="15" hidden="false" customHeight="false" outlineLevel="0" collapsed="false">
      <c r="A742" s="14"/>
      <c r="B742" s="9"/>
      <c r="C742" s="9"/>
      <c r="D742" s="9"/>
      <c r="E742" s="9"/>
      <c r="F742" s="17" t="str">
        <f aca="false">IF(AND(A742="",B742="",C742=""),"",IF(NOT(ISNUMBER(A742)),"Enter the date done",IF(OR(B742="",C742=""),"Fill in asset and task",IF(SUMPRODUCT(('PM Plan'!$A$5:$A$304=B742)*('PM Plan'!$B$5:$B$304=C742))=0,"No matching asset + task in plan","OK"))))</f>
        <v/>
      </c>
    </row>
    <row r="743" customFormat="false" ht="15" hidden="false" customHeight="false" outlineLevel="0" collapsed="false">
      <c r="A743" s="14"/>
      <c r="B743" s="9"/>
      <c r="C743" s="9"/>
      <c r="D743" s="9"/>
      <c r="E743" s="9"/>
      <c r="F743" s="17" t="str">
        <f aca="false">IF(AND(A743="",B743="",C743=""),"",IF(NOT(ISNUMBER(A743)),"Enter the date done",IF(OR(B743="",C743=""),"Fill in asset and task",IF(SUMPRODUCT(('PM Plan'!$A$5:$A$304=B743)*('PM Plan'!$B$5:$B$304=C743))=0,"No matching asset + task in plan","OK"))))</f>
        <v/>
      </c>
    </row>
    <row r="744" customFormat="false" ht="15" hidden="false" customHeight="false" outlineLevel="0" collapsed="false">
      <c r="A744" s="14"/>
      <c r="B744" s="9"/>
      <c r="C744" s="9"/>
      <c r="D744" s="9"/>
      <c r="E744" s="9"/>
      <c r="F744" s="17" t="str">
        <f aca="false">IF(AND(A744="",B744="",C744=""),"",IF(NOT(ISNUMBER(A744)),"Enter the date done",IF(OR(B744="",C744=""),"Fill in asset and task",IF(SUMPRODUCT(('PM Plan'!$A$5:$A$304=B744)*('PM Plan'!$B$5:$B$304=C744))=0,"No matching asset + task in plan","OK"))))</f>
        <v/>
      </c>
    </row>
    <row r="745" customFormat="false" ht="15" hidden="false" customHeight="false" outlineLevel="0" collapsed="false">
      <c r="A745" s="14"/>
      <c r="B745" s="9"/>
      <c r="C745" s="9"/>
      <c r="D745" s="9"/>
      <c r="E745" s="9"/>
      <c r="F745" s="17" t="str">
        <f aca="false">IF(AND(A745="",B745="",C745=""),"",IF(NOT(ISNUMBER(A745)),"Enter the date done",IF(OR(B745="",C745=""),"Fill in asset and task",IF(SUMPRODUCT(('PM Plan'!$A$5:$A$304=B745)*('PM Plan'!$B$5:$B$304=C745))=0,"No matching asset + task in plan","OK"))))</f>
        <v/>
      </c>
    </row>
    <row r="746" customFormat="false" ht="15" hidden="false" customHeight="false" outlineLevel="0" collapsed="false">
      <c r="A746" s="14"/>
      <c r="B746" s="9"/>
      <c r="C746" s="9"/>
      <c r="D746" s="9"/>
      <c r="E746" s="9"/>
      <c r="F746" s="17" t="str">
        <f aca="false">IF(AND(A746="",B746="",C746=""),"",IF(NOT(ISNUMBER(A746)),"Enter the date done",IF(OR(B746="",C746=""),"Fill in asset and task",IF(SUMPRODUCT(('PM Plan'!$A$5:$A$304=B746)*('PM Plan'!$B$5:$B$304=C746))=0,"No matching asset + task in plan","OK"))))</f>
        <v/>
      </c>
    </row>
    <row r="747" customFormat="false" ht="15" hidden="false" customHeight="false" outlineLevel="0" collapsed="false">
      <c r="A747" s="14"/>
      <c r="B747" s="9"/>
      <c r="C747" s="9"/>
      <c r="D747" s="9"/>
      <c r="E747" s="9"/>
      <c r="F747" s="17" t="str">
        <f aca="false">IF(AND(A747="",B747="",C747=""),"",IF(NOT(ISNUMBER(A747)),"Enter the date done",IF(OR(B747="",C747=""),"Fill in asset and task",IF(SUMPRODUCT(('PM Plan'!$A$5:$A$304=B747)*('PM Plan'!$B$5:$B$304=C747))=0,"No matching asset + task in plan","OK"))))</f>
        <v/>
      </c>
    </row>
    <row r="748" customFormat="false" ht="15" hidden="false" customHeight="false" outlineLevel="0" collapsed="false">
      <c r="A748" s="14"/>
      <c r="B748" s="9"/>
      <c r="C748" s="9"/>
      <c r="D748" s="9"/>
      <c r="E748" s="9"/>
      <c r="F748" s="17" t="str">
        <f aca="false">IF(AND(A748="",B748="",C748=""),"",IF(NOT(ISNUMBER(A748)),"Enter the date done",IF(OR(B748="",C748=""),"Fill in asset and task",IF(SUMPRODUCT(('PM Plan'!$A$5:$A$304=B748)*('PM Plan'!$B$5:$B$304=C748))=0,"No matching asset + task in plan","OK"))))</f>
        <v/>
      </c>
    </row>
    <row r="749" customFormat="false" ht="15" hidden="false" customHeight="false" outlineLevel="0" collapsed="false">
      <c r="A749" s="14"/>
      <c r="B749" s="9"/>
      <c r="C749" s="9"/>
      <c r="D749" s="9"/>
      <c r="E749" s="9"/>
      <c r="F749" s="17" t="str">
        <f aca="false">IF(AND(A749="",B749="",C749=""),"",IF(NOT(ISNUMBER(A749)),"Enter the date done",IF(OR(B749="",C749=""),"Fill in asset and task",IF(SUMPRODUCT(('PM Plan'!$A$5:$A$304=B749)*('PM Plan'!$B$5:$B$304=C749))=0,"No matching asset + task in plan","OK"))))</f>
        <v/>
      </c>
    </row>
    <row r="750" customFormat="false" ht="15" hidden="false" customHeight="false" outlineLevel="0" collapsed="false">
      <c r="A750" s="14"/>
      <c r="B750" s="9"/>
      <c r="C750" s="9"/>
      <c r="D750" s="9"/>
      <c r="E750" s="9"/>
      <c r="F750" s="17" t="str">
        <f aca="false">IF(AND(A750="",B750="",C750=""),"",IF(NOT(ISNUMBER(A750)),"Enter the date done",IF(OR(B750="",C750=""),"Fill in asset and task",IF(SUMPRODUCT(('PM Plan'!$A$5:$A$304=B750)*('PM Plan'!$B$5:$B$304=C750))=0,"No matching asset + task in plan","OK"))))</f>
        <v/>
      </c>
    </row>
    <row r="751" customFormat="false" ht="15" hidden="false" customHeight="false" outlineLevel="0" collapsed="false">
      <c r="A751" s="14"/>
      <c r="B751" s="9"/>
      <c r="C751" s="9"/>
      <c r="D751" s="9"/>
      <c r="E751" s="9"/>
      <c r="F751" s="17" t="str">
        <f aca="false">IF(AND(A751="",B751="",C751=""),"",IF(NOT(ISNUMBER(A751)),"Enter the date done",IF(OR(B751="",C751=""),"Fill in asset and task",IF(SUMPRODUCT(('PM Plan'!$A$5:$A$304=B751)*('PM Plan'!$B$5:$B$304=C751))=0,"No matching asset + task in plan","OK"))))</f>
        <v/>
      </c>
    </row>
    <row r="752" customFormat="false" ht="15" hidden="false" customHeight="false" outlineLevel="0" collapsed="false">
      <c r="A752" s="14"/>
      <c r="B752" s="9"/>
      <c r="C752" s="9"/>
      <c r="D752" s="9"/>
      <c r="E752" s="9"/>
      <c r="F752" s="17" t="str">
        <f aca="false">IF(AND(A752="",B752="",C752=""),"",IF(NOT(ISNUMBER(A752)),"Enter the date done",IF(OR(B752="",C752=""),"Fill in asset and task",IF(SUMPRODUCT(('PM Plan'!$A$5:$A$304=B752)*('PM Plan'!$B$5:$B$304=C752))=0,"No matching asset + task in plan","OK"))))</f>
        <v/>
      </c>
    </row>
    <row r="753" customFormat="false" ht="15" hidden="false" customHeight="false" outlineLevel="0" collapsed="false">
      <c r="A753" s="14"/>
      <c r="B753" s="9"/>
      <c r="C753" s="9"/>
      <c r="D753" s="9"/>
      <c r="E753" s="9"/>
      <c r="F753" s="17" t="str">
        <f aca="false">IF(AND(A753="",B753="",C753=""),"",IF(NOT(ISNUMBER(A753)),"Enter the date done",IF(OR(B753="",C753=""),"Fill in asset and task",IF(SUMPRODUCT(('PM Plan'!$A$5:$A$304=B753)*('PM Plan'!$B$5:$B$304=C753))=0,"No matching asset + task in plan","OK"))))</f>
        <v/>
      </c>
    </row>
    <row r="754" customFormat="false" ht="15" hidden="false" customHeight="false" outlineLevel="0" collapsed="false">
      <c r="A754" s="14"/>
      <c r="B754" s="9"/>
      <c r="C754" s="9"/>
      <c r="D754" s="9"/>
      <c r="E754" s="9"/>
      <c r="F754" s="17" t="str">
        <f aca="false">IF(AND(A754="",B754="",C754=""),"",IF(NOT(ISNUMBER(A754)),"Enter the date done",IF(OR(B754="",C754=""),"Fill in asset and task",IF(SUMPRODUCT(('PM Plan'!$A$5:$A$304=B754)*('PM Plan'!$B$5:$B$304=C754))=0,"No matching asset + task in plan","OK"))))</f>
        <v/>
      </c>
    </row>
    <row r="755" customFormat="false" ht="15" hidden="false" customHeight="false" outlineLevel="0" collapsed="false">
      <c r="A755" s="14"/>
      <c r="B755" s="9"/>
      <c r="C755" s="9"/>
      <c r="D755" s="9"/>
      <c r="E755" s="9"/>
      <c r="F755" s="17" t="str">
        <f aca="false">IF(AND(A755="",B755="",C755=""),"",IF(NOT(ISNUMBER(A755)),"Enter the date done",IF(OR(B755="",C755=""),"Fill in asset and task",IF(SUMPRODUCT(('PM Plan'!$A$5:$A$304=B755)*('PM Plan'!$B$5:$B$304=C755))=0,"No matching asset + task in plan","OK"))))</f>
        <v/>
      </c>
    </row>
    <row r="756" customFormat="false" ht="15" hidden="false" customHeight="false" outlineLevel="0" collapsed="false">
      <c r="A756" s="14"/>
      <c r="B756" s="9"/>
      <c r="C756" s="9"/>
      <c r="D756" s="9"/>
      <c r="E756" s="9"/>
      <c r="F756" s="17" t="str">
        <f aca="false">IF(AND(A756="",B756="",C756=""),"",IF(NOT(ISNUMBER(A756)),"Enter the date done",IF(OR(B756="",C756=""),"Fill in asset and task",IF(SUMPRODUCT(('PM Plan'!$A$5:$A$304=B756)*('PM Plan'!$B$5:$B$304=C756))=0,"No matching asset + task in plan","OK"))))</f>
        <v/>
      </c>
    </row>
    <row r="757" customFormat="false" ht="15" hidden="false" customHeight="false" outlineLevel="0" collapsed="false">
      <c r="A757" s="14"/>
      <c r="B757" s="9"/>
      <c r="C757" s="9"/>
      <c r="D757" s="9"/>
      <c r="E757" s="9"/>
      <c r="F757" s="17" t="str">
        <f aca="false">IF(AND(A757="",B757="",C757=""),"",IF(NOT(ISNUMBER(A757)),"Enter the date done",IF(OR(B757="",C757=""),"Fill in asset and task",IF(SUMPRODUCT(('PM Plan'!$A$5:$A$304=B757)*('PM Plan'!$B$5:$B$304=C757))=0,"No matching asset + task in plan","OK"))))</f>
        <v/>
      </c>
    </row>
    <row r="758" customFormat="false" ht="15" hidden="false" customHeight="false" outlineLevel="0" collapsed="false">
      <c r="A758" s="14"/>
      <c r="B758" s="9"/>
      <c r="C758" s="9"/>
      <c r="D758" s="9"/>
      <c r="E758" s="9"/>
      <c r="F758" s="17" t="str">
        <f aca="false">IF(AND(A758="",B758="",C758=""),"",IF(NOT(ISNUMBER(A758)),"Enter the date done",IF(OR(B758="",C758=""),"Fill in asset and task",IF(SUMPRODUCT(('PM Plan'!$A$5:$A$304=B758)*('PM Plan'!$B$5:$B$304=C758))=0,"No matching asset + task in plan","OK"))))</f>
        <v/>
      </c>
    </row>
    <row r="759" customFormat="false" ht="15" hidden="false" customHeight="false" outlineLevel="0" collapsed="false">
      <c r="A759" s="14"/>
      <c r="B759" s="9"/>
      <c r="C759" s="9"/>
      <c r="D759" s="9"/>
      <c r="E759" s="9"/>
      <c r="F759" s="17" t="str">
        <f aca="false">IF(AND(A759="",B759="",C759=""),"",IF(NOT(ISNUMBER(A759)),"Enter the date done",IF(OR(B759="",C759=""),"Fill in asset and task",IF(SUMPRODUCT(('PM Plan'!$A$5:$A$304=B759)*('PM Plan'!$B$5:$B$304=C759))=0,"No matching asset + task in plan","OK"))))</f>
        <v/>
      </c>
    </row>
    <row r="760" customFormat="false" ht="15" hidden="false" customHeight="false" outlineLevel="0" collapsed="false">
      <c r="A760" s="14"/>
      <c r="B760" s="9"/>
      <c r="C760" s="9"/>
      <c r="D760" s="9"/>
      <c r="E760" s="9"/>
      <c r="F760" s="17" t="str">
        <f aca="false">IF(AND(A760="",B760="",C760=""),"",IF(NOT(ISNUMBER(A760)),"Enter the date done",IF(OR(B760="",C760=""),"Fill in asset and task",IF(SUMPRODUCT(('PM Plan'!$A$5:$A$304=B760)*('PM Plan'!$B$5:$B$304=C760))=0,"No matching asset + task in plan","OK"))))</f>
        <v/>
      </c>
    </row>
    <row r="761" customFormat="false" ht="15" hidden="false" customHeight="false" outlineLevel="0" collapsed="false">
      <c r="A761" s="14"/>
      <c r="B761" s="9"/>
      <c r="C761" s="9"/>
      <c r="D761" s="9"/>
      <c r="E761" s="9"/>
      <c r="F761" s="17" t="str">
        <f aca="false">IF(AND(A761="",B761="",C761=""),"",IF(NOT(ISNUMBER(A761)),"Enter the date done",IF(OR(B761="",C761=""),"Fill in asset and task",IF(SUMPRODUCT(('PM Plan'!$A$5:$A$304=B761)*('PM Plan'!$B$5:$B$304=C761))=0,"No matching asset + task in plan","OK"))))</f>
        <v/>
      </c>
    </row>
    <row r="762" customFormat="false" ht="15" hidden="false" customHeight="false" outlineLevel="0" collapsed="false">
      <c r="A762" s="14"/>
      <c r="B762" s="9"/>
      <c r="C762" s="9"/>
      <c r="D762" s="9"/>
      <c r="E762" s="9"/>
      <c r="F762" s="17" t="str">
        <f aca="false">IF(AND(A762="",B762="",C762=""),"",IF(NOT(ISNUMBER(A762)),"Enter the date done",IF(OR(B762="",C762=""),"Fill in asset and task",IF(SUMPRODUCT(('PM Plan'!$A$5:$A$304=B762)*('PM Plan'!$B$5:$B$304=C762))=0,"No matching asset + task in plan","OK"))))</f>
        <v/>
      </c>
    </row>
    <row r="763" customFormat="false" ht="15" hidden="false" customHeight="false" outlineLevel="0" collapsed="false">
      <c r="A763" s="14"/>
      <c r="B763" s="9"/>
      <c r="C763" s="9"/>
      <c r="D763" s="9"/>
      <c r="E763" s="9"/>
      <c r="F763" s="17" t="str">
        <f aca="false">IF(AND(A763="",B763="",C763=""),"",IF(NOT(ISNUMBER(A763)),"Enter the date done",IF(OR(B763="",C763=""),"Fill in asset and task",IF(SUMPRODUCT(('PM Plan'!$A$5:$A$304=B763)*('PM Plan'!$B$5:$B$304=C763))=0,"No matching asset + task in plan","OK"))))</f>
        <v/>
      </c>
    </row>
    <row r="764" customFormat="false" ht="15" hidden="false" customHeight="false" outlineLevel="0" collapsed="false">
      <c r="A764" s="14"/>
      <c r="B764" s="9"/>
      <c r="C764" s="9"/>
      <c r="D764" s="9"/>
      <c r="E764" s="9"/>
      <c r="F764" s="17" t="str">
        <f aca="false">IF(AND(A764="",B764="",C764=""),"",IF(NOT(ISNUMBER(A764)),"Enter the date done",IF(OR(B764="",C764=""),"Fill in asset and task",IF(SUMPRODUCT(('PM Plan'!$A$5:$A$304=B764)*('PM Plan'!$B$5:$B$304=C764))=0,"No matching asset + task in plan","OK"))))</f>
        <v/>
      </c>
    </row>
    <row r="765" customFormat="false" ht="15" hidden="false" customHeight="false" outlineLevel="0" collapsed="false">
      <c r="A765" s="14"/>
      <c r="B765" s="9"/>
      <c r="C765" s="9"/>
      <c r="D765" s="9"/>
      <c r="E765" s="9"/>
      <c r="F765" s="17" t="str">
        <f aca="false">IF(AND(A765="",B765="",C765=""),"",IF(NOT(ISNUMBER(A765)),"Enter the date done",IF(OR(B765="",C765=""),"Fill in asset and task",IF(SUMPRODUCT(('PM Plan'!$A$5:$A$304=B765)*('PM Plan'!$B$5:$B$304=C765))=0,"No matching asset + task in plan","OK"))))</f>
        <v/>
      </c>
    </row>
    <row r="766" customFormat="false" ht="15" hidden="false" customHeight="false" outlineLevel="0" collapsed="false">
      <c r="A766" s="14"/>
      <c r="B766" s="9"/>
      <c r="C766" s="9"/>
      <c r="D766" s="9"/>
      <c r="E766" s="9"/>
      <c r="F766" s="17" t="str">
        <f aca="false">IF(AND(A766="",B766="",C766=""),"",IF(NOT(ISNUMBER(A766)),"Enter the date done",IF(OR(B766="",C766=""),"Fill in asset and task",IF(SUMPRODUCT(('PM Plan'!$A$5:$A$304=B766)*('PM Plan'!$B$5:$B$304=C766))=0,"No matching asset + task in plan","OK"))))</f>
        <v/>
      </c>
    </row>
    <row r="767" customFormat="false" ht="15" hidden="false" customHeight="false" outlineLevel="0" collapsed="false">
      <c r="A767" s="14"/>
      <c r="B767" s="9"/>
      <c r="C767" s="9"/>
      <c r="D767" s="9"/>
      <c r="E767" s="9"/>
      <c r="F767" s="17" t="str">
        <f aca="false">IF(AND(A767="",B767="",C767=""),"",IF(NOT(ISNUMBER(A767)),"Enter the date done",IF(OR(B767="",C767=""),"Fill in asset and task",IF(SUMPRODUCT(('PM Plan'!$A$5:$A$304=B767)*('PM Plan'!$B$5:$B$304=C767))=0,"No matching asset + task in plan","OK"))))</f>
        <v/>
      </c>
    </row>
    <row r="768" customFormat="false" ht="15" hidden="false" customHeight="false" outlineLevel="0" collapsed="false">
      <c r="A768" s="14"/>
      <c r="B768" s="9"/>
      <c r="C768" s="9"/>
      <c r="D768" s="9"/>
      <c r="E768" s="9"/>
      <c r="F768" s="17" t="str">
        <f aca="false">IF(AND(A768="",B768="",C768=""),"",IF(NOT(ISNUMBER(A768)),"Enter the date done",IF(OR(B768="",C768=""),"Fill in asset and task",IF(SUMPRODUCT(('PM Plan'!$A$5:$A$304=B768)*('PM Plan'!$B$5:$B$304=C768))=0,"No matching asset + task in plan","OK"))))</f>
        <v/>
      </c>
    </row>
    <row r="769" customFormat="false" ht="15" hidden="false" customHeight="false" outlineLevel="0" collapsed="false">
      <c r="A769" s="14"/>
      <c r="B769" s="9"/>
      <c r="C769" s="9"/>
      <c r="D769" s="9"/>
      <c r="E769" s="9"/>
      <c r="F769" s="17" t="str">
        <f aca="false">IF(AND(A769="",B769="",C769=""),"",IF(NOT(ISNUMBER(A769)),"Enter the date done",IF(OR(B769="",C769=""),"Fill in asset and task",IF(SUMPRODUCT(('PM Plan'!$A$5:$A$304=B769)*('PM Plan'!$B$5:$B$304=C769))=0,"No matching asset + task in plan","OK"))))</f>
        <v/>
      </c>
    </row>
    <row r="770" customFormat="false" ht="15" hidden="false" customHeight="false" outlineLevel="0" collapsed="false">
      <c r="A770" s="14"/>
      <c r="B770" s="9"/>
      <c r="C770" s="9"/>
      <c r="D770" s="9"/>
      <c r="E770" s="9"/>
      <c r="F770" s="17" t="str">
        <f aca="false">IF(AND(A770="",B770="",C770=""),"",IF(NOT(ISNUMBER(A770)),"Enter the date done",IF(OR(B770="",C770=""),"Fill in asset and task",IF(SUMPRODUCT(('PM Plan'!$A$5:$A$304=B770)*('PM Plan'!$B$5:$B$304=C770))=0,"No matching asset + task in plan","OK"))))</f>
        <v/>
      </c>
    </row>
    <row r="771" customFormat="false" ht="15" hidden="false" customHeight="false" outlineLevel="0" collapsed="false">
      <c r="A771" s="14"/>
      <c r="B771" s="9"/>
      <c r="C771" s="9"/>
      <c r="D771" s="9"/>
      <c r="E771" s="9"/>
      <c r="F771" s="17" t="str">
        <f aca="false">IF(AND(A771="",B771="",C771=""),"",IF(NOT(ISNUMBER(A771)),"Enter the date done",IF(OR(B771="",C771=""),"Fill in asset and task",IF(SUMPRODUCT(('PM Plan'!$A$5:$A$304=B771)*('PM Plan'!$B$5:$B$304=C771))=0,"No matching asset + task in plan","OK"))))</f>
        <v/>
      </c>
    </row>
    <row r="772" customFormat="false" ht="15" hidden="false" customHeight="false" outlineLevel="0" collapsed="false">
      <c r="A772" s="14"/>
      <c r="B772" s="9"/>
      <c r="C772" s="9"/>
      <c r="D772" s="9"/>
      <c r="E772" s="9"/>
      <c r="F772" s="17" t="str">
        <f aca="false">IF(AND(A772="",B772="",C772=""),"",IF(NOT(ISNUMBER(A772)),"Enter the date done",IF(OR(B772="",C772=""),"Fill in asset and task",IF(SUMPRODUCT(('PM Plan'!$A$5:$A$304=B772)*('PM Plan'!$B$5:$B$304=C772))=0,"No matching asset + task in plan","OK"))))</f>
        <v/>
      </c>
    </row>
    <row r="773" customFormat="false" ht="15" hidden="false" customHeight="false" outlineLevel="0" collapsed="false">
      <c r="A773" s="14"/>
      <c r="B773" s="9"/>
      <c r="C773" s="9"/>
      <c r="D773" s="9"/>
      <c r="E773" s="9"/>
      <c r="F773" s="17" t="str">
        <f aca="false">IF(AND(A773="",B773="",C773=""),"",IF(NOT(ISNUMBER(A773)),"Enter the date done",IF(OR(B773="",C773=""),"Fill in asset and task",IF(SUMPRODUCT(('PM Plan'!$A$5:$A$304=B773)*('PM Plan'!$B$5:$B$304=C773))=0,"No matching asset + task in plan","OK"))))</f>
        <v/>
      </c>
    </row>
    <row r="774" customFormat="false" ht="15" hidden="false" customHeight="false" outlineLevel="0" collapsed="false">
      <c r="A774" s="14"/>
      <c r="B774" s="9"/>
      <c r="C774" s="9"/>
      <c r="D774" s="9"/>
      <c r="E774" s="9"/>
      <c r="F774" s="17" t="str">
        <f aca="false">IF(AND(A774="",B774="",C774=""),"",IF(NOT(ISNUMBER(A774)),"Enter the date done",IF(OR(B774="",C774=""),"Fill in asset and task",IF(SUMPRODUCT(('PM Plan'!$A$5:$A$304=B774)*('PM Plan'!$B$5:$B$304=C774))=0,"No matching asset + task in plan","OK"))))</f>
        <v/>
      </c>
    </row>
    <row r="775" customFormat="false" ht="15" hidden="false" customHeight="false" outlineLevel="0" collapsed="false">
      <c r="A775" s="14"/>
      <c r="B775" s="9"/>
      <c r="C775" s="9"/>
      <c r="D775" s="9"/>
      <c r="E775" s="9"/>
      <c r="F775" s="17" t="str">
        <f aca="false">IF(AND(A775="",B775="",C775=""),"",IF(NOT(ISNUMBER(A775)),"Enter the date done",IF(OR(B775="",C775=""),"Fill in asset and task",IF(SUMPRODUCT(('PM Plan'!$A$5:$A$304=B775)*('PM Plan'!$B$5:$B$304=C775))=0,"No matching asset + task in plan","OK"))))</f>
        <v/>
      </c>
    </row>
    <row r="776" customFormat="false" ht="15" hidden="false" customHeight="false" outlineLevel="0" collapsed="false">
      <c r="A776" s="14"/>
      <c r="B776" s="9"/>
      <c r="C776" s="9"/>
      <c r="D776" s="9"/>
      <c r="E776" s="9"/>
      <c r="F776" s="17" t="str">
        <f aca="false">IF(AND(A776="",B776="",C776=""),"",IF(NOT(ISNUMBER(A776)),"Enter the date done",IF(OR(B776="",C776=""),"Fill in asset and task",IF(SUMPRODUCT(('PM Plan'!$A$5:$A$304=B776)*('PM Plan'!$B$5:$B$304=C776))=0,"No matching asset + task in plan","OK"))))</f>
        <v/>
      </c>
    </row>
    <row r="777" customFormat="false" ht="15" hidden="false" customHeight="false" outlineLevel="0" collapsed="false">
      <c r="A777" s="14"/>
      <c r="B777" s="9"/>
      <c r="C777" s="9"/>
      <c r="D777" s="9"/>
      <c r="E777" s="9"/>
      <c r="F777" s="17" t="str">
        <f aca="false">IF(AND(A777="",B777="",C777=""),"",IF(NOT(ISNUMBER(A777)),"Enter the date done",IF(OR(B777="",C777=""),"Fill in asset and task",IF(SUMPRODUCT(('PM Plan'!$A$5:$A$304=B777)*('PM Plan'!$B$5:$B$304=C777))=0,"No matching asset + task in plan","OK"))))</f>
        <v/>
      </c>
    </row>
    <row r="778" customFormat="false" ht="15" hidden="false" customHeight="false" outlineLevel="0" collapsed="false">
      <c r="A778" s="14"/>
      <c r="B778" s="9"/>
      <c r="C778" s="9"/>
      <c r="D778" s="9"/>
      <c r="E778" s="9"/>
      <c r="F778" s="17" t="str">
        <f aca="false">IF(AND(A778="",B778="",C778=""),"",IF(NOT(ISNUMBER(A778)),"Enter the date done",IF(OR(B778="",C778=""),"Fill in asset and task",IF(SUMPRODUCT(('PM Plan'!$A$5:$A$304=B778)*('PM Plan'!$B$5:$B$304=C778))=0,"No matching asset + task in plan","OK"))))</f>
        <v/>
      </c>
    </row>
    <row r="779" customFormat="false" ht="15" hidden="false" customHeight="false" outlineLevel="0" collapsed="false">
      <c r="A779" s="14"/>
      <c r="B779" s="9"/>
      <c r="C779" s="9"/>
      <c r="D779" s="9"/>
      <c r="E779" s="9"/>
      <c r="F779" s="17" t="str">
        <f aca="false">IF(AND(A779="",B779="",C779=""),"",IF(NOT(ISNUMBER(A779)),"Enter the date done",IF(OR(B779="",C779=""),"Fill in asset and task",IF(SUMPRODUCT(('PM Plan'!$A$5:$A$304=B779)*('PM Plan'!$B$5:$B$304=C779))=0,"No matching asset + task in plan","OK"))))</f>
        <v/>
      </c>
    </row>
    <row r="780" customFormat="false" ht="15" hidden="false" customHeight="false" outlineLevel="0" collapsed="false">
      <c r="A780" s="14"/>
      <c r="B780" s="9"/>
      <c r="C780" s="9"/>
      <c r="D780" s="9"/>
      <c r="E780" s="9"/>
      <c r="F780" s="17" t="str">
        <f aca="false">IF(AND(A780="",B780="",C780=""),"",IF(NOT(ISNUMBER(A780)),"Enter the date done",IF(OR(B780="",C780=""),"Fill in asset and task",IF(SUMPRODUCT(('PM Plan'!$A$5:$A$304=B780)*('PM Plan'!$B$5:$B$304=C780))=0,"No matching asset + task in plan","OK"))))</f>
        <v/>
      </c>
    </row>
    <row r="781" customFormat="false" ht="15" hidden="false" customHeight="false" outlineLevel="0" collapsed="false">
      <c r="A781" s="14"/>
      <c r="B781" s="9"/>
      <c r="C781" s="9"/>
      <c r="D781" s="9"/>
      <c r="E781" s="9"/>
      <c r="F781" s="17" t="str">
        <f aca="false">IF(AND(A781="",B781="",C781=""),"",IF(NOT(ISNUMBER(A781)),"Enter the date done",IF(OR(B781="",C781=""),"Fill in asset and task",IF(SUMPRODUCT(('PM Plan'!$A$5:$A$304=B781)*('PM Plan'!$B$5:$B$304=C781))=0,"No matching asset + task in plan","OK"))))</f>
        <v/>
      </c>
    </row>
    <row r="782" customFormat="false" ht="15" hidden="false" customHeight="false" outlineLevel="0" collapsed="false">
      <c r="A782" s="14"/>
      <c r="B782" s="9"/>
      <c r="C782" s="9"/>
      <c r="D782" s="9"/>
      <c r="E782" s="9"/>
      <c r="F782" s="17" t="str">
        <f aca="false">IF(AND(A782="",B782="",C782=""),"",IF(NOT(ISNUMBER(A782)),"Enter the date done",IF(OR(B782="",C782=""),"Fill in asset and task",IF(SUMPRODUCT(('PM Plan'!$A$5:$A$304=B782)*('PM Plan'!$B$5:$B$304=C782))=0,"No matching asset + task in plan","OK"))))</f>
        <v/>
      </c>
    </row>
    <row r="783" customFormat="false" ht="15" hidden="false" customHeight="false" outlineLevel="0" collapsed="false">
      <c r="A783" s="14"/>
      <c r="B783" s="9"/>
      <c r="C783" s="9"/>
      <c r="D783" s="9"/>
      <c r="E783" s="9"/>
      <c r="F783" s="17" t="str">
        <f aca="false">IF(AND(A783="",B783="",C783=""),"",IF(NOT(ISNUMBER(A783)),"Enter the date done",IF(OR(B783="",C783=""),"Fill in asset and task",IF(SUMPRODUCT(('PM Plan'!$A$5:$A$304=B783)*('PM Plan'!$B$5:$B$304=C783))=0,"No matching asset + task in plan","OK"))))</f>
        <v/>
      </c>
    </row>
    <row r="784" customFormat="false" ht="15" hidden="false" customHeight="false" outlineLevel="0" collapsed="false">
      <c r="A784" s="14"/>
      <c r="B784" s="9"/>
      <c r="C784" s="9"/>
      <c r="D784" s="9"/>
      <c r="E784" s="9"/>
      <c r="F784" s="17" t="str">
        <f aca="false">IF(AND(A784="",B784="",C784=""),"",IF(NOT(ISNUMBER(A784)),"Enter the date done",IF(OR(B784="",C784=""),"Fill in asset and task",IF(SUMPRODUCT(('PM Plan'!$A$5:$A$304=B784)*('PM Plan'!$B$5:$B$304=C784))=0,"No matching asset + task in plan","OK"))))</f>
        <v/>
      </c>
    </row>
    <row r="785" customFormat="false" ht="15" hidden="false" customHeight="false" outlineLevel="0" collapsed="false">
      <c r="A785" s="14"/>
      <c r="B785" s="9"/>
      <c r="C785" s="9"/>
      <c r="D785" s="9"/>
      <c r="E785" s="9"/>
      <c r="F785" s="17" t="str">
        <f aca="false">IF(AND(A785="",B785="",C785=""),"",IF(NOT(ISNUMBER(A785)),"Enter the date done",IF(OR(B785="",C785=""),"Fill in asset and task",IF(SUMPRODUCT(('PM Plan'!$A$5:$A$304=B785)*('PM Plan'!$B$5:$B$304=C785))=0,"No matching asset + task in plan","OK"))))</f>
        <v/>
      </c>
    </row>
    <row r="786" customFormat="false" ht="15" hidden="false" customHeight="false" outlineLevel="0" collapsed="false">
      <c r="A786" s="14"/>
      <c r="B786" s="9"/>
      <c r="C786" s="9"/>
      <c r="D786" s="9"/>
      <c r="E786" s="9"/>
      <c r="F786" s="17" t="str">
        <f aca="false">IF(AND(A786="",B786="",C786=""),"",IF(NOT(ISNUMBER(A786)),"Enter the date done",IF(OR(B786="",C786=""),"Fill in asset and task",IF(SUMPRODUCT(('PM Plan'!$A$5:$A$304=B786)*('PM Plan'!$B$5:$B$304=C786))=0,"No matching asset + task in plan","OK"))))</f>
        <v/>
      </c>
    </row>
    <row r="787" customFormat="false" ht="15" hidden="false" customHeight="false" outlineLevel="0" collapsed="false">
      <c r="A787" s="14"/>
      <c r="B787" s="9"/>
      <c r="C787" s="9"/>
      <c r="D787" s="9"/>
      <c r="E787" s="9"/>
      <c r="F787" s="17" t="str">
        <f aca="false">IF(AND(A787="",B787="",C787=""),"",IF(NOT(ISNUMBER(A787)),"Enter the date done",IF(OR(B787="",C787=""),"Fill in asset and task",IF(SUMPRODUCT(('PM Plan'!$A$5:$A$304=B787)*('PM Plan'!$B$5:$B$304=C787))=0,"No matching asset + task in plan","OK"))))</f>
        <v/>
      </c>
    </row>
    <row r="788" customFormat="false" ht="15" hidden="false" customHeight="false" outlineLevel="0" collapsed="false">
      <c r="A788" s="14"/>
      <c r="B788" s="9"/>
      <c r="C788" s="9"/>
      <c r="D788" s="9"/>
      <c r="E788" s="9"/>
      <c r="F788" s="17" t="str">
        <f aca="false">IF(AND(A788="",B788="",C788=""),"",IF(NOT(ISNUMBER(A788)),"Enter the date done",IF(OR(B788="",C788=""),"Fill in asset and task",IF(SUMPRODUCT(('PM Plan'!$A$5:$A$304=B788)*('PM Plan'!$B$5:$B$304=C788))=0,"No matching asset + task in plan","OK"))))</f>
        <v/>
      </c>
    </row>
    <row r="789" customFormat="false" ht="15" hidden="false" customHeight="false" outlineLevel="0" collapsed="false">
      <c r="A789" s="14"/>
      <c r="B789" s="9"/>
      <c r="C789" s="9"/>
      <c r="D789" s="9"/>
      <c r="E789" s="9"/>
      <c r="F789" s="17" t="str">
        <f aca="false">IF(AND(A789="",B789="",C789=""),"",IF(NOT(ISNUMBER(A789)),"Enter the date done",IF(OR(B789="",C789=""),"Fill in asset and task",IF(SUMPRODUCT(('PM Plan'!$A$5:$A$304=B789)*('PM Plan'!$B$5:$B$304=C789))=0,"No matching asset + task in plan","OK"))))</f>
        <v/>
      </c>
    </row>
    <row r="790" customFormat="false" ht="15" hidden="false" customHeight="false" outlineLevel="0" collapsed="false">
      <c r="A790" s="14"/>
      <c r="B790" s="9"/>
      <c r="C790" s="9"/>
      <c r="D790" s="9"/>
      <c r="E790" s="9"/>
      <c r="F790" s="17" t="str">
        <f aca="false">IF(AND(A790="",B790="",C790=""),"",IF(NOT(ISNUMBER(A790)),"Enter the date done",IF(OR(B790="",C790=""),"Fill in asset and task",IF(SUMPRODUCT(('PM Plan'!$A$5:$A$304=B790)*('PM Plan'!$B$5:$B$304=C790))=0,"No matching asset + task in plan","OK"))))</f>
        <v/>
      </c>
    </row>
    <row r="791" customFormat="false" ht="15" hidden="false" customHeight="false" outlineLevel="0" collapsed="false">
      <c r="A791" s="14"/>
      <c r="B791" s="9"/>
      <c r="C791" s="9"/>
      <c r="D791" s="9"/>
      <c r="E791" s="9"/>
      <c r="F791" s="17" t="str">
        <f aca="false">IF(AND(A791="",B791="",C791=""),"",IF(NOT(ISNUMBER(A791)),"Enter the date done",IF(OR(B791="",C791=""),"Fill in asset and task",IF(SUMPRODUCT(('PM Plan'!$A$5:$A$304=B791)*('PM Plan'!$B$5:$B$304=C791))=0,"No matching asset + task in plan","OK"))))</f>
        <v/>
      </c>
    </row>
    <row r="792" customFormat="false" ht="15" hidden="false" customHeight="false" outlineLevel="0" collapsed="false">
      <c r="A792" s="14"/>
      <c r="B792" s="9"/>
      <c r="C792" s="9"/>
      <c r="D792" s="9"/>
      <c r="E792" s="9"/>
      <c r="F792" s="17" t="str">
        <f aca="false">IF(AND(A792="",B792="",C792=""),"",IF(NOT(ISNUMBER(A792)),"Enter the date done",IF(OR(B792="",C792=""),"Fill in asset and task",IF(SUMPRODUCT(('PM Plan'!$A$5:$A$304=B792)*('PM Plan'!$B$5:$B$304=C792))=0,"No matching asset + task in plan","OK"))))</f>
        <v/>
      </c>
    </row>
    <row r="793" customFormat="false" ht="15" hidden="false" customHeight="false" outlineLevel="0" collapsed="false">
      <c r="A793" s="14"/>
      <c r="B793" s="9"/>
      <c r="C793" s="9"/>
      <c r="D793" s="9"/>
      <c r="E793" s="9"/>
      <c r="F793" s="17" t="str">
        <f aca="false">IF(AND(A793="",B793="",C793=""),"",IF(NOT(ISNUMBER(A793)),"Enter the date done",IF(OR(B793="",C793=""),"Fill in asset and task",IF(SUMPRODUCT(('PM Plan'!$A$5:$A$304=B793)*('PM Plan'!$B$5:$B$304=C793))=0,"No matching asset + task in plan","OK"))))</f>
        <v/>
      </c>
    </row>
    <row r="794" customFormat="false" ht="15" hidden="false" customHeight="false" outlineLevel="0" collapsed="false">
      <c r="A794" s="14"/>
      <c r="B794" s="9"/>
      <c r="C794" s="9"/>
      <c r="D794" s="9"/>
      <c r="E794" s="9"/>
      <c r="F794" s="17" t="str">
        <f aca="false">IF(AND(A794="",B794="",C794=""),"",IF(NOT(ISNUMBER(A794)),"Enter the date done",IF(OR(B794="",C794=""),"Fill in asset and task",IF(SUMPRODUCT(('PM Plan'!$A$5:$A$304=B794)*('PM Plan'!$B$5:$B$304=C794))=0,"No matching asset + task in plan","OK"))))</f>
        <v/>
      </c>
    </row>
    <row r="795" customFormat="false" ht="15" hidden="false" customHeight="false" outlineLevel="0" collapsed="false">
      <c r="A795" s="14"/>
      <c r="B795" s="9"/>
      <c r="C795" s="9"/>
      <c r="D795" s="9"/>
      <c r="E795" s="9"/>
      <c r="F795" s="17" t="str">
        <f aca="false">IF(AND(A795="",B795="",C795=""),"",IF(NOT(ISNUMBER(A795)),"Enter the date done",IF(OR(B795="",C795=""),"Fill in asset and task",IF(SUMPRODUCT(('PM Plan'!$A$5:$A$304=B795)*('PM Plan'!$B$5:$B$304=C795))=0,"No matching asset + task in plan","OK"))))</f>
        <v/>
      </c>
    </row>
    <row r="796" customFormat="false" ht="15" hidden="false" customHeight="false" outlineLevel="0" collapsed="false">
      <c r="A796" s="14"/>
      <c r="B796" s="9"/>
      <c r="C796" s="9"/>
      <c r="D796" s="9"/>
      <c r="E796" s="9"/>
      <c r="F796" s="17" t="str">
        <f aca="false">IF(AND(A796="",B796="",C796=""),"",IF(NOT(ISNUMBER(A796)),"Enter the date done",IF(OR(B796="",C796=""),"Fill in asset and task",IF(SUMPRODUCT(('PM Plan'!$A$5:$A$304=B796)*('PM Plan'!$B$5:$B$304=C796))=0,"No matching asset + task in plan","OK"))))</f>
        <v/>
      </c>
    </row>
    <row r="797" customFormat="false" ht="15" hidden="false" customHeight="false" outlineLevel="0" collapsed="false">
      <c r="A797" s="14"/>
      <c r="B797" s="9"/>
      <c r="C797" s="9"/>
      <c r="D797" s="9"/>
      <c r="E797" s="9"/>
      <c r="F797" s="17" t="str">
        <f aca="false">IF(AND(A797="",B797="",C797=""),"",IF(NOT(ISNUMBER(A797)),"Enter the date done",IF(OR(B797="",C797=""),"Fill in asset and task",IF(SUMPRODUCT(('PM Plan'!$A$5:$A$304=B797)*('PM Plan'!$B$5:$B$304=C797))=0,"No matching asset + task in plan","OK"))))</f>
        <v/>
      </c>
    </row>
    <row r="798" customFormat="false" ht="15" hidden="false" customHeight="false" outlineLevel="0" collapsed="false">
      <c r="A798" s="14"/>
      <c r="B798" s="9"/>
      <c r="C798" s="9"/>
      <c r="D798" s="9"/>
      <c r="E798" s="9"/>
      <c r="F798" s="17" t="str">
        <f aca="false">IF(AND(A798="",B798="",C798=""),"",IF(NOT(ISNUMBER(A798)),"Enter the date done",IF(OR(B798="",C798=""),"Fill in asset and task",IF(SUMPRODUCT(('PM Plan'!$A$5:$A$304=B798)*('PM Plan'!$B$5:$B$304=C798))=0,"No matching asset + task in plan","OK"))))</f>
        <v/>
      </c>
    </row>
    <row r="799" customFormat="false" ht="15" hidden="false" customHeight="false" outlineLevel="0" collapsed="false">
      <c r="A799" s="14"/>
      <c r="B799" s="9"/>
      <c r="C799" s="9"/>
      <c r="D799" s="9"/>
      <c r="E799" s="9"/>
      <c r="F799" s="17" t="str">
        <f aca="false">IF(AND(A799="",B799="",C799=""),"",IF(NOT(ISNUMBER(A799)),"Enter the date done",IF(OR(B799="",C799=""),"Fill in asset and task",IF(SUMPRODUCT(('PM Plan'!$A$5:$A$304=B799)*('PM Plan'!$B$5:$B$304=C799))=0,"No matching asset + task in plan","OK"))))</f>
        <v/>
      </c>
    </row>
    <row r="800" customFormat="false" ht="15" hidden="false" customHeight="false" outlineLevel="0" collapsed="false">
      <c r="A800" s="14"/>
      <c r="B800" s="9"/>
      <c r="C800" s="9"/>
      <c r="D800" s="9"/>
      <c r="E800" s="9"/>
      <c r="F800" s="17" t="str">
        <f aca="false">IF(AND(A800="",B800="",C800=""),"",IF(NOT(ISNUMBER(A800)),"Enter the date done",IF(OR(B800="",C800=""),"Fill in asset and task",IF(SUMPRODUCT(('PM Plan'!$A$5:$A$304=B800)*('PM Plan'!$B$5:$B$304=C800))=0,"No matching asset + task in plan","OK"))))</f>
        <v/>
      </c>
    </row>
    <row r="801" customFormat="false" ht="15" hidden="false" customHeight="false" outlineLevel="0" collapsed="false">
      <c r="A801" s="14"/>
      <c r="B801" s="9"/>
      <c r="C801" s="9"/>
      <c r="D801" s="9"/>
      <c r="E801" s="9"/>
      <c r="F801" s="17" t="str">
        <f aca="false">IF(AND(A801="",B801="",C801=""),"",IF(NOT(ISNUMBER(A801)),"Enter the date done",IF(OR(B801="",C801=""),"Fill in asset and task",IF(SUMPRODUCT(('PM Plan'!$A$5:$A$304=B801)*('PM Plan'!$B$5:$B$304=C801))=0,"No matching asset + task in plan","OK"))))</f>
        <v/>
      </c>
    </row>
    <row r="802" customFormat="false" ht="15" hidden="false" customHeight="false" outlineLevel="0" collapsed="false">
      <c r="A802" s="14"/>
      <c r="B802" s="9"/>
      <c r="C802" s="9"/>
      <c r="D802" s="9"/>
      <c r="E802" s="9"/>
      <c r="F802" s="17" t="str">
        <f aca="false">IF(AND(A802="",B802="",C802=""),"",IF(NOT(ISNUMBER(A802)),"Enter the date done",IF(OR(B802="",C802=""),"Fill in asset and task",IF(SUMPRODUCT(('PM Plan'!$A$5:$A$304=B802)*('PM Plan'!$B$5:$B$304=C802))=0,"No matching asset + task in plan","OK"))))</f>
        <v/>
      </c>
    </row>
    <row r="803" customFormat="false" ht="15" hidden="false" customHeight="false" outlineLevel="0" collapsed="false">
      <c r="A803" s="14"/>
      <c r="B803" s="9"/>
      <c r="C803" s="9"/>
      <c r="D803" s="9"/>
      <c r="E803" s="9"/>
      <c r="F803" s="17" t="str">
        <f aca="false">IF(AND(A803="",B803="",C803=""),"",IF(NOT(ISNUMBER(A803)),"Enter the date done",IF(OR(B803="",C803=""),"Fill in asset and task",IF(SUMPRODUCT(('PM Plan'!$A$5:$A$304=B803)*('PM Plan'!$B$5:$B$304=C803))=0,"No matching asset + task in plan","OK"))))</f>
        <v/>
      </c>
    </row>
    <row r="804" customFormat="false" ht="15" hidden="false" customHeight="false" outlineLevel="0" collapsed="false">
      <c r="A804" s="14"/>
      <c r="B804" s="9"/>
      <c r="C804" s="9"/>
      <c r="D804" s="9"/>
      <c r="E804" s="9"/>
      <c r="F804" s="17" t="str">
        <f aca="false">IF(AND(A804="",B804="",C804=""),"",IF(NOT(ISNUMBER(A804)),"Enter the date done",IF(OR(B804="",C804=""),"Fill in asset and task",IF(SUMPRODUCT(('PM Plan'!$A$5:$A$304=B804)*('PM Plan'!$B$5:$B$304=C804))=0,"No matching asset + task in plan","OK"))))</f>
        <v/>
      </c>
    </row>
    <row r="805" customFormat="false" ht="15" hidden="false" customHeight="false" outlineLevel="0" collapsed="false">
      <c r="A805" s="14"/>
      <c r="B805" s="9"/>
      <c r="C805" s="9"/>
      <c r="D805" s="9"/>
      <c r="E805" s="9"/>
      <c r="F805" s="17" t="str">
        <f aca="false">IF(AND(A805="",B805="",C805=""),"",IF(NOT(ISNUMBER(A805)),"Enter the date done",IF(OR(B805="",C805=""),"Fill in asset and task",IF(SUMPRODUCT(('PM Plan'!$A$5:$A$304=B805)*('PM Plan'!$B$5:$B$304=C805))=0,"No matching asset + task in plan","OK"))))</f>
        <v/>
      </c>
    </row>
    <row r="806" customFormat="false" ht="15" hidden="false" customHeight="false" outlineLevel="0" collapsed="false">
      <c r="A806" s="14"/>
      <c r="B806" s="9"/>
      <c r="C806" s="9"/>
      <c r="D806" s="9"/>
      <c r="E806" s="9"/>
      <c r="F806" s="17" t="str">
        <f aca="false">IF(AND(A806="",B806="",C806=""),"",IF(NOT(ISNUMBER(A806)),"Enter the date done",IF(OR(B806="",C806=""),"Fill in asset and task",IF(SUMPRODUCT(('PM Plan'!$A$5:$A$304=B806)*('PM Plan'!$B$5:$B$304=C806))=0,"No matching asset + task in plan","OK"))))</f>
        <v/>
      </c>
    </row>
    <row r="807" customFormat="false" ht="15" hidden="false" customHeight="false" outlineLevel="0" collapsed="false">
      <c r="A807" s="14"/>
      <c r="B807" s="9"/>
      <c r="C807" s="9"/>
      <c r="D807" s="9"/>
      <c r="E807" s="9"/>
      <c r="F807" s="17" t="str">
        <f aca="false">IF(AND(A807="",B807="",C807=""),"",IF(NOT(ISNUMBER(A807)),"Enter the date done",IF(OR(B807="",C807=""),"Fill in asset and task",IF(SUMPRODUCT(('PM Plan'!$A$5:$A$304=B807)*('PM Plan'!$B$5:$B$304=C807))=0,"No matching asset + task in plan","OK"))))</f>
        <v/>
      </c>
    </row>
    <row r="808" customFormat="false" ht="15" hidden="false" customHeight="false" outlineLevel="0" collapsed="false">
      <c r="A808" s="14"/>
      <c r="B808" s="9"/>
      <c r="C808" s="9"/>
      <c r="D808" s="9"/>
      <c r="E808" s="9"/>
      <c r="F808" s="17" t="str">
        <f aca="false">IF(AND(A808="",B808="",C808=""),"",IF(NOT(ISNUMBER(A808)),"Enter the date done",IF(OR(B808="",C808=""),"Fill in asset and task",IF(SUMPRODUCT(('PM Plan'!$A$5:$A$304=B808)*('PM Plan'!$B$5:$B$304=C808))=0,"No matching asset + task in plan","OK"))))</f>
        <v/>
      </c>
    </row>
    <row r="809" customFormat="false" ht="15" hidden="false" customHeight="false" outlineLevel="0" collapsed="false">
      <c r="A809" s="14"/>
      <c r="B809" s="9"/>
      <c r="C809" s="9"/>
      <c r="D809" s="9"/>
      <c r="E809" s="9"/>
      <c r="F809" s="17" t="str">
        <f aca="false">IF(AND(A809="",B809="",C809=""),"",IF(NOT(ISNUMBER(A809)),"Enter the date done",IF(OR(B809="",C809=""),"Fill in asset and task",IF(SUMPRODUCT(('PM Plan'!$A$5:$A$304=B809)*('PM Plan'!$B$5:$B$304=C809))=0,"No matching asset + task in plan","OK"))))</f>
        <v/>
      </c>
    </row>
    <row r="810" customFormat="false" ht="15" hidden="false" customHeight="false" outlineLevel="0" collapsed="false">
      <c r="A810" s="14"/>
      <c r="B810" s="9"/>
      <c r="C810" s="9"/>
      <c r="D810" s="9"/>
      <c r="E810" s="9"/>
      <c r="F810" s="17" t="str">
        <f aca="false">IF(AND(A810="",B810="",C810=""),"",IF(NOT(ISNUMBER(A810)),"Enter the date done",IF(OR(B810="",C810=""),"Fill in asset and task",IF(SUMPRODUCT(('PM Plan'!$A$5:$A$304=B810)*('PM Plan'!$B$5:$B$304=C810))=0,"No matching asset + task in plan","OK"))))</f>
        <v/>
      </c>
    </row>
    <row r="811" customFormat="false" ht="15" hidden="false" customHeight="false" outlineLevel="0" collapsed="false">
      <c r="A811" s="14"/>
      <c r="B811" s="9"/>
      <c r="C811" s="9"/>
      <c r="D811" s="9"/>
      <c r="E811" s="9"/>
      <c r="F811" s="17" t="str">
        <f aca="false">IF(AND(A811="",B811="",C811=""),"",IF(NOT(ISNUMBER(A811)),"Enter the date done",IF(OR(B811="",C811=""),"Fill in asset and task",IF(SUMPRODUCT(('PM Plan'!$A$5:$A$304=B811)*('PM Plan'!$B$5:$B$304=C811))=0,"No matching asset + task in plan","OK"))))</f>
        <v/>
      </c>
    </row>
    <row r="812" customFormat="false" ht="15" hidden="false" customHeight="false" outlineLevel="0" collapsed="false">
      <c r="A812" s="14"/>
      <c r="B812" s="9"/>
      <c r="C812" s="9"/>
      <c r="D812" s="9"/>
      <c r="E812" s="9"/>
      <c r="F812" s="17" t="str">
        <f aca="false">IF(AND(A812="",B812="",C812=""),"",IF(NOT(ISNUMBER(A812)),"Enter the date done",IF(OR(B812="",C812=""),"Fill in asset and task",IF(SUMPRODUCT(('PM Plan'!$A$5:$A$304=B812)*('PM Plan'!$B$5:$B$304=C812))=0,"No matching asset + task in plan","OK"))))</f>
        <v/>
      </c>
    </row>
    <row r="813" customFormat="false" ht="15" hidden="false" customHeight="false" outlineLevel="0" collapsed="false">
      <c r="A813" s="14"/>
      <c r="B813" s="9"/>
      <c r="C813" s="9"/>
      <c r="D813" s="9"/>
      <c r="E813" s="9"/>
      <c r="F813" s="17" t="str">
        <f aca="false">IF(AND(A813="",B813="",C813=""),"",IF(NOT(ISNUMBER(A813)),"Enter the date done",IF(OR(B813="",C813=""),"Fill in asset and task",IF(SUMPRODUCT(('PM Plan'!$A$5:$A$304=B813)*('PM Plan'!$B$5:$B$304=C813))=0,"No matching asset + task in plan","OK"))))</f>
        <v/>
      </c>
    </row>
    <row r="814" customFormat="false" ht="15" hidden="false" customHeight="false" outlineLevel="0" collapsed="false">
      <c r="A814" s="14"/>
      <c r="B814" s="9"/>
      <c r="C814" s="9"/>
      <c r="D814" s="9"/>
      <c r="E814" s="9"/>
      <c r="F814" s="17" t="str">
        <f aca="false">IF(AND(A814="",B814="",C814=""),"",IF(NOT(ISNUMBER(A814)),"Enter the date done",IF(OR(B814="",C814=""),"Fill in asset and task",IF(SUMPRODUCT(('PM Plan'!$A$5:$A$304=B814)*('PM Plan'!$B$5:$B$304=C814))=0,"No matching asset + task in plan","OK"))))</f>
        <v/>
      </c>
    </row>
    <row r="815" customFormat="false" ht="15" hidden="false" customHeight="false" outlineLevel="0" collapsed="false">
      <c r="A815" s="14"/>
      <c r="B815" s="9"/>
      <c r="C815" s="9"/>
      <c r="D815" s="9"/>
      <c r="E815" s="9"/>
      <c r="F815" s="17" t="str">
        <f aca="false">IF(AND(A815="",B815="",C815=""),"",IF(NOT(ISNUMBER(A815)),"Enter the date done",IF(OR(B815="",C815=""),"Fill in asset and task",IF(SUMPRODUCT(('PM Plan'!$A$5:$A$304=B815)*('PM Plan'!$B$5:$B$304=C815))=0,"No matching asset + task in plan","OK"))))</f>
        <v/>
      </c>
    </row>
    <row r="816" customFormat="false" ht="15" hidden="false" customHeight="false" outlineLevel="0" collapsed="false">
      <c r="A816" s="14"/>
      <c r="B816" s="9"/>
      <c r="C816" s="9"/>
      <c r="D816" s="9"/>
      <c r="E816" s="9"/>
      <c r="F816" s="17" t="str">
        <f aca="false">IF(AND(A816="",B816="",C816=""),"",IF(NOT(ISNUMBER(A816)),"Enter the date done",IF(OR(B816="",C816=""),"Fill in asset and task",IF(SUMPRODUCT(('PM Plan'!$A$5:$A$304=B816)*('PM Plan'!$B$5:$B$304=C816))=0,"No matching asset + task in plan","OK"))))</f>
        <v/>
      </c>
    </row>
    <row r="817" customFormat="false" ht="15" hidden="false" customHeight="false" outlineLevel="0" collapsed="false">
      <c r="A817" s="14"/>
      <c r="B817" s="9"/>
      <c r="C817" s="9"/>
      <c r="D817" s="9"/>
      <c r="E817" s="9"/>
      <c r="F817" s="17" t="str">
        <f aca="false">IF(AND(A817="",B817="",C817=""),"",IF(NOT(ISNUMBER(A817)),"Enter the date done",IF(OR(B817="",C817=""),"Fill in asset and task",IF(SUMPRODUCT(('PM Plan'!$A$5:$A$304=B817)*('PM Plan'!$B$5:$B$304=C817))=0,"No matching asset + task in plan","OK"))))</f>
        <v/>
      </c>
    </row>
    <row r="818" customFormat="false" ht="15" hidden="false" customHeight="false" outlineLevel="0" collapsed="false">
      <c r="A818" s="14"/>
      <c r="B818" s="9"/>
      <c r="C818" s="9"/>
      <c r="D818" s="9"/>
      <c r="E818" s="9"/>
      <c r="F818" s="17" t="str">
        <f aca="false">IF(AND(A818="",B818="",C818=""),"",IF(NOT(ISNUMBER(A818)),"Enter the date done",IF(OR(B818="",C818=""),"Fill in asset and task",IF(SUMPRODUCT(('PM Plan'!$A$5:$A$304=B818)*('PM Plan'!$B$5:$B$304=C818))=0,"No matching asset + task in plan","OK"))))</f>
        <v/>
      </c>
    </row>
    <row r="819" customFormat="false" ht="15" hidden="false" customHeight="false" outlineLevel="0" collapsed="false">
      <c r="A819" s="14"/>
      <c r="B819" s="9"/>
      <c r="C819" s="9"/>
      <c r="D819" s="9"/>
      <c r="E819" s="9"/>
      <c r="F819" s="17" t="str">
        <f aca="false">IF(AND(A819="",B819="",C819=""),"",IF(NOT(ISNUMBER(A819)),"Enter the date done",IF(OR(B819="",C819=""),"Fill in asset and task",IF(SUMPRODUCT(('PM Plan'!$A$5:$A$304=B819)*('PM Plan'!$B$5:$B$304=C819))=0,"No matching asset + task in plan","OK"))))</f>
        <v/>
      </c>
    </row>
    <row r="820" customFormat="false" ht="15" hidden="false" customHeight="false" outlineLevel="0" collapsed="false">
      <c r="A820" s="14"/>
      <c r="B820" s="9"/>
      <c r="C820" s="9"/>
      <c r="D820" s="9"/>
      <c r="E820" s="9"/>
      <c r="F820" s="17" t="str">
        <f aca="false">IF(AND(A820="",B820="",C820=""),"",IF(NOT(ISNUMBER(A820)),"Enter the date done",IF(OR(B820="",C820=""),"Fill in asset and task",IF(SUMPRODUCT(('PM Plan'!$A$5:$A$304=B820)*('PM Plan'!$B$5:$B$304=C820))=0,"No matching asset + task in plan","OK"))))</f>
        <v/>
      </c>
    </row>
    <row r="821" customFormat="false" ht="15" hidden="false" customHeight="false" outlineLevel="0" collapsed="false">
      <c r="A821" s="14"/>
      <c r="B821" s="9"/>
      <c r="C821" s="9"/>
      <c r="D821" s="9"/>
      <c r="E821" s="9"/>
      <c r="F821" s="17" t="str">
        <f aca="false">IF(AND(A821="",B821="",C821=""),"",IF(NOT(ISNUMBER(A821)),"Enter the date done",IF(OR(B821="",C821=""),"Fill in asset and task",IF(SUMPRODUCT(('PM Plan'!$A$5:$A$304=B821)*('PM Plan'!$B$5:$B$304=C821))=0,"No matching asset + task in plan","OK"))))</f>
        <v/>
      </c>
    </row>
    <row r="822" customFormat="false" ht="15" hidden="false" customHeight="false" outlineLevel="0" collapsed="false">
      <c r="A822" s="14"/>
      <c r="B822" s="9"/>
      <c r="C822" s="9"/>
      <c r="D822" s="9"/>
      <c r="E822" s="9"/>
      <c r="F822" s="17" t="str">
        <f aca="false">IF(AND(A822="",B822="",C822=""),"",IF(NOT(ISNUMBER(A822)),"Enter the date done",IF(OR(B822="",C822=""),"Fill in asset and task",IF(SUMPRODUCT(('PM Plan'!$A$5:$A$304=B822)*('PM Plan'!$B$5:$B$304=C822))=0,"No matching asset + task in plan","OK"))))</f>
        <v/>
      </c>
    </row>
    <row r="823" customFormat="false" ht="15" hidden="false" customHeight="false" outlineLevel="0" collapsed="false">
      <c r="A823" s="14"/>
      <c r="B823" s="9"/>
      <c r="C823" s="9"/>
      <c r="D823" s="9"/>
      <c r="E823" s="9"/>
      <c r="F823" s="17" t="str">
        <f aca="false">IF(AND(A823="",B823="",C823=""),"",IF(NOT(ISNUMBER(A823)),"Enter the date done",IF(OR(B823="",C823=""),"Fill in asset and task",IF(SUMPRODUCT(('PM Plan'!$A$5:$A$304=B823)*('PM Plan'!$B$5:$B$304=C823))=0,"No matching asset + task in plan","OK"))))</f>
        <v/>
      </c>
    </row>
    <row r="824" customFormat="false" ht="15" hidden="false" customHeight="false" outlineLevel="0" collapsed="false">
      <c r="A824" s="14"/>
      <c r="B824" s="9"/>
      <c r="C824" s="9"/>
      <c r="D824" s="9"/>
      <c r="E824" s="9"/>
      <c r="F824" s="17" t="str">
        <f aca="false">IF(AND(A824="",B824="",C824=""),"",IF(NOT(ISNUMBER(A824)),"Enter the date done",IF(OR(B824="",C824=""),"Fill in asset and task",IF(SUMPRODUCT(('PM Plan'!$A$5:$A$304=B824)*('PM Plan'!$B$5:$B$304=C824))=0,"No matching asset + task in plan","OK"))))</f>
        <v/>
      </c>
    </row>
    <row r="825" customFormat="false" ht="15" hidden="false" customHeight="false" outlineLevel="0" collapsed="false">
      <c r="A825" s="14"/>
      <c r="B825" s="9"/>
      <c r="C825" s="9"/>
      <c r="D825" s="9"/>
      <c r="E825" s="9"/>
      <c r="F825" s="17" t="str">
        <f aca="false">IF(AND(A825="",B825="",C825=""),"",IF(NOT(ISNUMBER(A825)),"Enter the date done",IF(OR(B825="",C825=""),"Fill in asset and task",IF(SUMPRODUCT(('PM Plan'!$A$5:$A$304=B825)*('PM Plan'!$B$5:$B$304=C825))=0,"No matching asset + task in plan","OK"))))</f>
        <v/>
      </c>
    </row>
    <row r="826" customFormat="false" ht="15" hidden="false" customHeight="false" outlineLevel="0" collapsed="false">
      <c r="A826" s="14"/>
      <c r="B826" s="9"/>
      <c r="C826" s="9"/>
      <c r="D826" s="9"/>
      <c r="E826" s="9"/>
      <c r="F826" s="17" t="str">
        <f aca="false">IF(AND(A826="",B826="",C826=""),"",IF(NOT(ISNUMBER(A826)),"Enter the date done",IF(OR(B826="",C826=""),"Fill in asset and task",IF(SUMPRODUCT(('PM Plan'!$A$5:$A$304=B826)*('PM Plan'!$B$5:$B$304=C826))=0,"No matching asset + task in plan","OK"))))</f>
        <v/>
      </c>
    </row>
    <row r="827" customFormat="false" ht="15" hidden="false" customHeight="false" outlineLevel="0" collapsed="false">
      <c r="A827" s="14"/>
      <c r="B827" s="9"/>
      <c r="C827" s="9"/>
      <c r="D827" s="9"/>
      <c r="E827" s="9"/>
      <c r="F827" s="17" t="str">
        <f aca="false">IF(AND(A827="",B827="",C827=""),"",IF(NOT(ISNUMBER(A827)),"Enter the date done",IF(OR(B827="",C827=""),"Fill in asset and task",IF(SUMPRODUCT(('PM Plan'!$A$5:$A$304=B827)*('PM Plan'!$B$5:$B$304=C827))=0,"No matching asset + task in plan","OK"))))</f>
        <v/>
      </c>
    </row>
    <row r="828" customFormat="false" ht="15" hidden="false" customHeight="false" outlineLevel="0" collapsed="false">
      <c r="A828" s="14"/>
      <c r="B828" s="9"/>
      <c r="C828" s="9"/>
      <c r="D828" s="9"/>
      <c r="E828" s="9"/>
      <c r="F828" s="17" t="str">
        <f aca="false">IF(AND(A828="",B828="",C828=""),"",IF(NOT(ISNUMBER(A828)),"Enter the date done",IF(OR(B828="",C828=""),"Fill in asset and task",IF(SUMPRODUCT(('PM Plan'!$A$5:$A$304=B828)*('PM Plan'!$B$5:$B$304=C828))=0,"No matching asset + task in plan","OK"))))</f>
        <v/>
      </c>
    </row>
    <row r="829" customFormat="false" ht="15" hidden="false" customHeight="false" outlineLevel="0" collapsed="false">
      <c r="A829" s="14"/>
      <c r="B829" s="9"/>
      <c r="C829" s="9"/>
      <c r="D829" s="9"/>
      <c r="E829" s="9"/>
      <c r="F829" s="17" t="str">
        <f aca="false">IF(AND(A829="",B829="",C829=""),"",IF(NOT(ISNUMBER(A829)),"Enter the date done",IF(OR(B829="",C829=""),"Fill in asset and task",IF(SUMPRODUCT(('PM Plan'!$A$5:$A$304=B829)*('PM Plan'!$B$5:$B$304=C829))=0,"No matching asset + task in plan","OK"))))</f>
        <v/>
      </c>
    </row>
    <row r="830" customFormat="false" ht="15" hidden="false" customHeight="false" outlineLevel="0" collapsed="false">
      <c r="A830" s="14"/>
      <c r="B830" s="9"/>
      <c r="C830" s="9"/>
      <c r="D830" s="9"/>
      <c r="E830" s="9"/>
      <c r="F830" s="17" t="str">
        <f aca="false">IF(AND(A830="",B830="",C830=""),"",IF(NOT(ISNUMBER(A830)),"Enter the date done",IF(OR(B830="",C830=""),"Fill in asset and task",IF(SUMPRODUCT(('PM Plan'!$A$5:$A$304=B830)*('PM Plan'!$B$5:$B$304=C830))=0,"No matching asset + task in plan","OK"))))</f>
        <v/>
      </c>
    </row>
    <row r="831" customFormat="false" ht="15" hidden="false" customHeight="false" outlineLevel="0" collapsed="false">
      <c r="A831" s="14"/>
      <c r="B831" s="9"/>
      <c r="C831" s="9"/>
      <c r="D831" s="9"/>
      <c r="E831" s="9"/>
      <c r="F831" s="17" t="str">
        <f aca="false">IF(AND(A831="",B831="",C831=""),"",IF(NOT(ISNUMBER(A831)),"Enter the date done",IF(OR(B831="",C831=""),"Fill in asset and task",IF(SUMPRODUCT(('PM Plan'!$A$5:$A$304=B831)*('PM Plan'!$B$5:$B$304=C831))=0,"No matching asset + task in plan","OK"))))</f>
        <v/>
      </c>
    </row>
    <row r="832" customFormat="false" ht="15" hidden="false" customHeight="false" outlineLevel="0" collapsed="false">
      <c r="A832" s="14"/>
      <c r="B832" s="9"/>
      <c r="C832" s="9"/>
      <c r="D832" s="9"/>
      <c r="E832" s="9"/>
      <c r="F832" s="17" t="str">
        <f aca="false">IF(AND(A832="",B832="",C832=""),"",IF(NOT(ISNUMBER(A832)),"Enter the date done",IF(OR(B832="",C832=""),"Fill in asset and task",IF(SUMPRODUCT(('PM Plan'!$A$5:$A$304=B832)*('PM Plan'!$B$5:$B$304=C832))=0,"No matching asset + task in plan","OK"))))</f>
        <v/>
      </c>
    </row>
    <row r="833" customFormat="false" ht="15" hidden="false" customHeight="false" outlineLevel="0" collapsed="false">
      <c r="A833" s="14"/>
      <c r="B833" s="9"/>
      <c r="C833" s="9"/>
      <c r="D833" s="9"/>
      <c r="E833" s="9"/>
      <c r="F833" s="17" t="str">
        <f aca="false">IF(AND(A833="",B833="",C833=""),"",IF(NOT(ISNUMBER(A833)),"Enter the date done",IF(OR(B833="",C833=""),"Fill in asset and task",IF(SUMPRODUCT(('PM Plan'!$A$5:$A$304=B833)*('PM Plan'!$B$5:$B$304=C833))=0,"No matching asset + task in plan","OK"))))</f>
        <v/>
      </c>
    </row>
    <row r="834" customFormat="false" ht="15" hidden="false" customHeight="false" outlineLevel="0" collapsed="false">
      <c r="A834" s="14"/>
      <c r="B834" s="9"/>
      <c r="C834" s="9"/>
      <c r="D834" s="9"/>
      <c r="E834" s="9"/>
      <c r="F834" s="17" t="str">
        <f aca="false">IF(AND(A834="",B834="",C834=""),"",IF(NOT(ISNUMBER(A834)),"Enter the date done",IF(OR(B834="",C834=""),"Fill in asset and task",IF(SUMPRODUCT(('PM Plan'!$A$5:$A$304=B834)*('PM Plan'!$B$5:$B$304=C834))=0,"No matching asset + task in plan","OK"))))</f>
        <v/>
      </c>
    </row>
    <row r="835" customFormat="false" ht="15" hidden="false" customHeight="false" outlineLevel="0" collapsed="false">
      <c r="A835" s="14"/>
      <c r="B835" s="9"/>
      <c r="C835" s="9"/>
      <c r="D835" s="9"/>
      <c r="E835" s="9"/>
      <c r="F835" s="17" t="str">
        <f aca="false">IF(AND(A835="",B835="",C835=""),"",IF(NOT(ISNUMBER(A835)),"Enter the date done",IF(OR(B835="",C835=""),"Fill in asset and task",IF(SUMPRODUCT(('PM Plan'!$A$5:$A$304=B835)*('PM Plan'!$B$5:$B$304=C835))=0,"No matching asset + task in plan","OK"))))</f>
        <v/>
      </c>
    </row>
    <row r="836" customFormat="false" ht="15" hidden="false" customHeight="false" outlineLevel="0" collapsed="false">
      <c r="A836" s="14"/>
      <c r="B836" s="9"/>
      <c r="C836" s="9"/>
      <c r="D836" s="9"/>
      <c r="E836" s="9"/>
      <c r="F836" s="17" t="str">
        <f aca="false">IF(AND(A836="",B836="",C836=""),"",IF(NOT(ISNUMBER(A836)),"Enter the date done",IF(OR(B836="",C836=""),"Fill in asset and task",IF(SUMPRODUCT(('PM Plan'!$A$5:$A$304=B836)*('PM Plan'!$B$5:$B$304=C836))=0,"No matching asset + task in plan","OK"))))</f>
        <v/>
      </c>
    </row>
    <row r="837" customFormat="false" ht="15" hidden="false" customHeight="false" outlineLevel="0" collapsed="false">
      <c r="A837" s="14"/>
      <c r="B837" s="9"/>
      <c r="C837" s="9"/>
      <c r="D837" s="9"/>
      <c r="E837" s="9"/>
      <c r="F837" s="17" t="str">
        <f aca="false">IF(AND(A837="",B837="",C837=""),"",IF(NOT(ISNUMBER(A837)),"Enter the date done",IF(OR(B837="",C837=""),"Fill in asset and task",IF(SUMPRODUCT(('PM Plan'!$A$5:$A$304=B837)*('PM Plan'!$B$5:$B$304=C837))=0,"No matching asset + task in plan","OK"))))</f>
        <v/>
      </c>
    </row>
    <row r="838" customFormat="false" ht="15" hidden="false" customHeight="false" outlineLevel="0" collapsed="false">
      <c r="A838" s="14"/>
      <c r="B838" s="9"/>
      <c r="C838" s="9"/>
      <c r="D838" s="9"/>
      <c r="E838" s="9"/>
      <c r="F838" s="17" t="str">
        <f aca="false">IF(AND(A838="",B838="",C838=""),"",IF(NOT(ISNUMBER(A838)),"Enter the date done",IF(OR(B838="",C838=""),"Fill in asset and task",IF(SUMPRODUCT(('PM Plan'!$A$5:$A$304=B838)*('PM Plan'!$B$5:$B$304=C838))=0,"No matching asset + task in plan","OK"))))</f>
        <v/>
      </c>
    </row>
    <row r="839" customFormat="false" ht="15" hidden="false" customHeight="false" outlineLevel="0" collapsed="false">
      <c r="A839" s="14"/>
      <c r="B839" s="9"/>
      <c r="C839" s="9"/>
      <c r="D839" s="9"/>
      <c r="E839" s="9"/>
      <c r="F839" s="17" t="str">
        <f aca="false">IF(AND(A839="",B839="",C839=""),"",IF(NOT(ISNUMBER(A839)),"Enter the date done",IF(OR(B839="",C839=""),"Fill in asset and task",IF(SUMPRODUCT(('PM Plan'!$A$5:$A$304=B839)*('PM Plan'!$B$5:$B$304=C839))=0,"No matching asset + task in plan","OK"))))</f>
        <v/>
      </c>
    </row>
    <row r="840" customFormat="false" ht="15" hidden="false" customHeight="false" outlineLevel="0" collapsed="false">
      <c r="A840" s="14"/>
      <c r="B840" s="9"/>
      <c r="C840" s="9"/>
      <c r="D840" s="9"/>
      <c r="E840" s="9"/>
      <c r="F840" s="17" t="str">
        <f aca="false">IF(AND(A840="",B840="",C840=""),"",IF(NOT(ISNUMBER(A840)),"Enter the date done",IF(OR(B840="",C840=""),"Fill in asset and task",IF(SUMPRODUCT(('PM Plan'!$A$5:$A$304=B840)*('PM Plan'!$B$5:$B$304=C840))=0,"No matching asset + task in plan","OK"))))</f>
        <v/>
      </c>
    </row>
    <row r="841" customFormat="false" ht="15" hidden="false" customHeight="false" outlineLevel="0" collapsed="false">
      <c r="A841" s="14"/>
      <c r="B841" s="9"/>
      <c r="C841" s="9"/>
      <c r="D841" s="9"/>
      <c r="E841" s="9"/>
      <c r="F841" s="17" t="str">
        <f aca="false">IF(AND(A841="",B841="",C841=""),"",IF(NOT(ISNUMBER(A841)),"Enter the date done",IF(OR(B841="",C841=""),"Fill in asset and task",IF(SUMPRODUCT(('PM Plan'!$A$5:$A$304=B841)*('PM Plan'!$B$5:$B$304=C841))=0,"No matching asset + task in plan","OK"))))</f>
        <v/>
      </c>
    </row>
    <row r="842" customFormat="false" ht="15" hidden="false" customHeight="false" outlineLevel="0" collapsed="false">
      <c r="A842" s="14"/>
      <c r="B842" s="9"/>
      <c r="C842" s="9"/>
      <c r="D842" s="9"/>
      <c r="E842" s="9"/>
      <c r="F842" s="17" t="str">
        <f aca="false">IF(AND(A842="",B842="",C842=""),"",IF(NOT(ISNUMBER(A842)),"Enter the date done",IF(OR(B842="",C842=""),"Fill in asset and task",IF(SUMPRODUCT(('PM Plan'!$A$5:$A$304=B842)*('PM Plan'!$B$5:$B$304=C842))=0,"No matching asset + task in plan","OK"))))</f>
        <v/>
      </c>
    </row>
    <row r="843" customFormat="false" ht="15" hidden="false" customHeight="false" outlineLevel="0" collapsed="false">
      <c r="A843" s="14"/>
      <c r="B843" s="9"/>
      <c r="C843" s="9"/>
      <c r="D843" s="9"/>
      <c r="E843" s="9"/>
      <c r="F843" s="17" t="str">
        <f aca="false">IF(AND(A843="",B843="",C843=""),"",IF(NOT(ISNUMBER(A843)),"Enter the date done",IF(OR(B843="",C843=""),"Fill in asset and task",IF(SUMPRODUCT(('PM Plan'!$A$5:$A$304=B843)*('PM Plan'!$B$5:$B$304=C843))=0,"No matching asset + task in plan","OK"))))</f>
        <v/>
      </c>
    </row>
    <row r="844" customFormat="false" ht="15" hidden="false" customHeight="false" outlineLevel="0" collapsed="false">
      <c r="A844" s="14"/>
      <c r="B844" s="9"/>
      <c r="C844" s="9"/>
      <c r="D844" s="9"/>
      <c r="E844" s="9"/>
      <c r="F844" s="17" t="str">
        <f aca="false">IF(AND(A844="",B844="",C844=""),"",IF(NOT(ISNUMBER(A844)),"Enter the date done",IF(OR(B844="",C844=""),"Fill in asset and task",IF(SUMPRODUCT(('PM Plan'!$A$5:$A$304=B844)*('PM Plan'!$B$5:$B$304=C844))=0,"No matching asset + task in plan","OK"))))</f>
        <v/>
      </c>
    </row>
    <row r="845" customFormat="false" ht="15" hidden="false" customHeight="false" outlineLevel="0" collapsed="false">
      <c r="A845" s="14"/>
      <c r="B845" s="9"/>
      <c r="C845" s="9"/>
      <c r="D845" s="9"/>
      <c r="E845" s="9"/>
      <c r="F845" s="17" t="str">
        <f aca="false">IF(AND(A845="",B845="",C845=""),"",IF(NOT(ISNUMBER(A845)),"Enter the date done",IF(OR(B845="",C845=""),"Fill in asset and task",IF(SUMPRODUCT(('PM Plan'!$A$5:$A$304=B845)*('PM Plan'!$B$5:$B$304=C845))=0,"No matching asset + task in plan","OK"))))</f>
        <v/>
      </c>
    </row>
    <row r="846" customFormat="false" ht="15" hidden="false" customHeight="false" outlineLevel="0" collapsed="false">
      <c r="A846" s="14"/>
      <c r="B846" s="9"/>
      <c r="C846" s="9"/>
      <c r="D846" s="9"/>
      <c r="E846" s="9"/>
      <c r="F846" s="17" t="str">
        <f aca="false">IF(AND(A846="",B846="",C846=""),"",IF(NOT(ISNUMBER(A846)),"Enter the date done",IF(OR(B846="",C846=""),"Fill in asset and task",IF(SUMPRODUCT(('PM Plan'!$A$5:$A$304=B846)*('PM Plan'!$B$5:$B$304=C846))=0,"No matching asset + task in plan","OK"))))</f>
        <v/>
      </c>
    </row>
    <row r="847" customFormat="false" ht="15" hidden="false" customHeight="false" outlineLevel="0" collapsed="false">
      <c r="A847" s="14"/>
      <c r="B847" s="9"/>
      <c r="C847" s="9"/>
      <c r="D847" s="9"/>
      <c r="E847" s="9"/>
      <c r="F847" s="17" t="str">
        <f aca="false">IF(AND(A847="",B847="",C847=""),"",IF(NOT(ISNUMBER(A847)),"Enter the date done",IF(OR(B847="",C847=""),"Fill in asset and task",IF(SUMPRODUCT(('PM Plan'!$A$5:$A$304=B847)*('PM Plan'!$B$5:$B$304=C847))=0,"No matching asset + task in plan","OK"))))</f>
        <v/>
      </c>
    </row>
    <row r="848" customFormat="false" ht="15" hidden="false" customHeight="false" outlineLevel="0" collapsed="false">
      <c r="A848" s="14"/>
      <c r="B848" s="9"/>
      <c r="C848" s="9"/>
      <c r="D848" s="9"/>
      <c r="E848" s="9"/>
      <c r="F848" s="17" t="str">
        <f aca="false">IF(AND(A848="",B848="",C848=""),"",IF(NOT(ISNUMBER(A848)),"Enter the date done",IF(OR(B848="",C848=""),"Fill in asset and task",IF(SUMPRODUCT(('PM Plan'!$A$5:$A$304=B848)*('PM Plan'!$B$5:$B$304=C848))=0,"No matching asset + task in plan","OK"))))</f>
        <v/>
      </c>
    </row>
    <row r="849" customFormat="false" ht="15" hidden="false" customHeight="false" outlineLevel="0" collapsed="false">
      <c r="A849" s="14"/>
      <c r="B849" s="9"/>
      <c r="C849" s="9"/>
      <c r="D849" s="9"/>
      <c r="E849" s="9"/>
      <c r="F849" s="17" t="str">
        <f aca="false">IF(AND(A849="",B849="",C849=""),"",IF(NOT(ISNUMBER(A849)),"Enter the date done",IF(OR(B849="",C849=""),"Fill in asset and task",IF(SUMPRODUCT(('PM Plan'!$A$5:$A$304=B849)*('PM Plan'!$B$5:$B$304=C849))=0,"No matching asset + task in plan","OK"))))</f>
        <v/>
      </c>
    </row>
    <row r="850" customFormat="false" ht="15" hidden="false" customHeight="false" outlineLevel="0" collapsed="false">
      <c r="A850" s="14"/>
      <c r="B850" s="9"/>
      <c r="C850" s="9"/>
      <c r="D850" s="9"/>
      <c r="E850" s="9"/>
      <c r="F850" s="17" t="str">
        <f aca="false">IF(AND(A850="",B850="",C850=""),"",IF(NOT(ISNUMBER(A850)),"Enter the date done",IF(OR(B850="",C850=""),"Fill in asset and task",IF(SUMPRODUCT(('PM Plan'!$A$5:$A$304=B850)*('PM Plan'!$B$5:$B$304=C850))=0,"No matching asset + task in plan","OK"))))</f>
        <v/>
      </c>
    </row>
    <row r="851" customFormat="false" ht="15" hidden="false" customHeight="false" outlineLevel="0" collapsed="false">
      <c r="A851" s="14"/>
      <c r="B851" s="9"/>
      <c r="C851" s="9"/>
      <c r="D851" s="9"/>
      <c r="E851" s="9"/>
      <c r="F851" s="17" t="str">
        <f aca="false">IF(AND(A851="",B851="",C851=""),"",IF(NOT(ISNUMBER(A851)),"Enter the date done",IF(OR(B851="",C851=""),"Fill in asset and task",IF(SUMPRODUCT(('PM Plan'!$A$5:$A$304=B851)*('PM Plan'!$B$5:$B$304=C851))=0,"No matching asset + task in plan","OK"))))</f>
        <v/>
      </c>
    </row>
    <row r="852" customFormat="false" ht="15" hidden="false" customHeight="false" outlineLevel="0" collapsed="false">
      <c r="A852" s="14"/>
      <c r="B852" s="9"/>
      <c r="C852" s="9"/>
      <c r="D852" s="9"/>
      <c r="E852" s="9"/>
      <c r="F852" s="17" t="str">
        <f aca="false">IF(AND(A852="",B852="",C852=""),"",IF(NOT(ISNUMBER(A852)),"Enter the date done",IF(OR(B852="",C852=""),"Fill in asset and task",IF(SUMPRODUCT(('PM Plan'!$A$5:$A$304=B852)*('PM Plan'!$B$5:$B$304=C852))=0,"No matching asset + task in plan","OK"))))</f>
        <v/>
      </c>
    </row>
    <row r="853" customFormat="false" ht="15" hidden="false" customHeight="false" outlineLevel="0" collapsed="false">
      <c r="A853" s="14"/>
      <c r="B853" s="9"/>
      <c r="C853" s="9"/>
      <c r="D853" s="9"/>
      <c r="E853" s="9"/>
      <c r="F853" s="17" t="str">
        <f aca="false">IF(AND(A853="",B853="",C853=""),"",IF(NOT(ISNUMBER(A853)),"Enter the date done",IF(OR(B853="",C853=""),"Fill in asset and task",IF(SUMPRODUCT(('PM Plan'!$A$5:$A$304=B853)*('PM Plan'!$B$5:$B$304=C853))=0,"No matching asset + task in plan","OK"))))</f>
        <v/>
      </c>
    </row>
    <row r="854" customFormat="false" ht="15" hidden="false" customHeight="false" outlineLevel="0" collapsed="false">
      <c r="A854" s="14"/>
      <c r="B854" s="9"/>
      <c r="C854" s="9"/>
      <c r="D854" s="9"/>
      <c r="E854" s="9"/>
      <c r="F854" s="17" t="str">
        <f aca="false">IF(AND(A854="",B854="",C854=""),"",IF(NOT(ISNUMBER(A854)),"Enter the date done",IF(OR(B854="",C854=""),"Fill in asset and task",IF(SUMPRODUCT(('PM Plan'!$A$5:$A$304=B854)*('PM Plan'!$B$5:$B$304=C854))=0,"No matching asset + task in plan","OK"))))</f>
        <v/>
      </c>
    </row>
    <row r="855" customFormat="false" ht="15" hidden="false" customHeight="false" outlineLevel="0" collapsed="false">
      <c r="A855" s="14"/>
      <c r="B855" s="9"/>
      <c r="C855" s="9"/>
      <c r="D855" s="9"/>
      <c r="E855" s="9"/>
      <c r="F855" s="17" t="str">
        <f aca="false">IF(AND(A855="",B855="",C855=""),"",IF(NOT(ISNUMBER(A855)),"Enter the date done",IF(OR(B855="",C855=""),"Fill in asset and task",IF(SUMPRODUCT(('PM Plan'!$A$5:$A$304=B855)*('PM Plan'!$B$5:$B$304=C855))=0,"No matching asset + task in plan","OK"))))</f>
        <v/>
      </c>
    </row>
    <row r="856" customFormat="false" ht="15" hidden="false" customHeight="false" outlineLevel="0" collapsed="false">
      <c r="A856" s="14"/>
      <c r="B856" s="9"/>
      <c r="C856" s="9"/>
      <c r="D856" s="9"/>
      <c r="E856" s="9"/>
      <c r="F856" s="17" t="str">
        <f aca="false">IF(AND(A856="",B856="",C856=""),"",IF(NOT(ISNUMBER(A856)),"Enter the date done",IF(OR(B856="",C856=""),"Fill in asset and task",IF(SUMPRODUCT(('PM Plan'!$A$5:$A$304=B856)*('PM Plan'!$B$5:$B$304=C856))=0,"No matching asset + task in plan","OK"))))</f>
        <v/>
      </c>
    </row>
    <row r="857" customFormat="false" ht="15" hidden="false" customHeight="false" outlineLevel="0" collapsed="false">
      <c r="A857" s="14"/>
      <c r="B857" s="9"/>
      <c r="C857" s="9"/>
      <c r="D857" s="9"/>
      <c r="E857" s="9"/>
      <c r="F857" s="17" t="str">
        <f aca="false">IF(AND(A857="",B857="",C857=""),"",IF(NOT(ISNUMBER(A857)),"Enter the date done",IF(OR(B857="",C857=""),"Fill in asset and task",IF(SUMPRODUCT(('PM Plan'!$A$5:$A$304=B857)*('PM Plan'!$B$5:$B$304=C857))=0,"No matching asset + task in plan","OK"))))</f>
        <v/>
      </c>
    </row>
    <row r="858" customFormat="false" ht="15" hidden="false" customHeight="false" outlineLevel="0" collapsed="false">
      <c r="A858" s="14"/>
      <c r="B858" s="9"/>
      <c r="C858" s="9"/>
      <c r="D858" s="9"/>
      <c r="E858" s="9"/>
      <c r="F858" s="17" t="str">
        <f aca="false">IF(AND(A858="",B858="",C858=""),"",IF(NOT(ISNUMBER(A858)),"Enter the date done",IF(OR(B858="",C858=""),"Fill in asset and task",IF(SUMPRODUCT(('PM Plan'!$A$5:$A$304=B858)*('PM Plan'!$B$5:$B$304=C858))=0,"No matching asset + task in plan","OK"))))</f>
        <v/>
      </c>
    </row>
    <row r="859" customFormat="false" ht="15" hidden="false" customHeight="false" outlineLevel="0" collapsed="false">
      <c r="A859" s="14"/>
      <c r="B859" s="9"/>
      <c r="C859" s="9"/>
      <c r="D859" s="9"/>
      <c r="E859" s="9"/>
      <c r="F859" s="17" t="str">
        <f aca="false">IF(AND(A859="",B859="",C859=""),"",IF(NOT(ISNUMBER(A859)),"Enter the date done",IF(OR(B859="",C859=""),"Fill in asset and task",IF(SUMPRODUCT(('PM Plan'!$A$5:$A$304=B859)*('PM Plan'!$B$5:$B$304=C859))=0,"No matching asset + task in plan","OK"))))</f>
        <v/>
      </c>
    </row>
    <row r="860" customFormat="false" ht="15" hidden="false" customHeight="false" outlineLevel="0" collapsed="false">
      <c r="A860" s="14"/>
      <c r="B860" s="9"/>
      <c r="C860" s="9"/>
      <c r="D860" s="9"/>
      <c r="E860" s="9"/>
      <c r="F860" s="17" t="str">
        <f aca="false">IF(AND(A860="",B860="",C860=""),"",IF(NOT(ISNUMBER(A860)),"Enter the date done",IF(OR(B860="",C860=""),"Fill in asset and task",IF(SUMPRODUCT(('PM Plan'!$A$5:$A$304=B860)*('PM Plan'!$B$5:$B$304=C860))=0,"No matching asset + task in plan","OK"))))</f>
        <v/>
      </c>
    </row>
    <row r="861" customFormat="false" ht="15" hidden="false" customHeight="false" outlineLevel="0" collapsed="false">
      <c r="A861" s="14"/>
      <c r="B861" s="9"/>
      <c r="C861" s="9"/>
      <c r="D861" s="9"/>
      <c r="E861" s="9"/>
      <c r="F861" s="17" t="str">
        <f aca="false">IF(AND(A861="",B861="",C861=""),"",IF(NOT(ISNUMBER(A861)),"Enter the date done",IF(OR(B861="",C861=""),"Fill in asset and task",IF(SUMPRODUCT(('PM Plan'!$A$5:$A$304=B861)*('PM Plan'!$B$5:$B$304=C861))=0,"No matching asset + task in plan","OK"))))</f>
        <v/>
      </c>
    </row>
    <row r="862" customFormat="false" ht="15" hidden="false" customHeight="false" outlineLevel="0" collapsed="false">
      <c r="A862" s="14"/>
      <c r="B862" s="9"/>
      <c r="C862" s="9"/>
      <c r="D862" s="9"/>
      <c r="E862" s="9"/>
      <c r="F862" s="17" t="str">
        <f aca="false">IF(AND(A862="",B862="",C862=""),"",IF(NOT(ISNUMBER(A862)),"Enter the date done",IF(OR(B862="",C862=""),"Fill in asset and task",IF(SUMPRODUCT(('PM Plan'!$A$5:$A$304=B862)*('PM Plan'!$B$5:$B$304=C862))=0,"No matching asset + task in plan","OK"))))</f>
        <v/>
      </c>
    </row>
    <row r="863" customFormat="false" ht="15" hidden="false" customHeight="false" outlineLevel="0" collapsed="false">
      <c r="A863" s="14"/>
      <c r="B863" s="9"/>
      <c r="C863" s="9"/>
      <c r="D863" s="9"/>
      <c r="E863" s="9"/>
      <c r="F863" s="17" t="str">
        <f aca="false">IF(AND(A863="",B863="",C863=""),"",IF(NOT(ISNUMBER(A863)),"Enter the date done",IF(OR(B863="",C863=""),"Fill in asset and task",IF(SUMPRODUCT(('PM Plan'!$A$5:$A$304=B863)*('PM Plan'!$B$5:$B$304=C863))=0,"No matching asset + task in plan","OK"))))</f>
        <v/>
      </c>
    </row>
    <row r="864" customFormat="false" ht="15" hidden="false" customHeight="false" outlineLevel="0" collapsed="false">
      <c r="A864" s="14"/>
      <c r="B864" s="9"/>
      <c r="C864" s="9"/>
      <c r="D864" s="9"/>
      <c r="E864" s="9"/>
      <c r="F864" s="17" t="str">
        <f aca="false">IF(AND(A864="",B864="",C864=""),"",IF(NOT(ISNUMBER(A864)),"Enter the date done",IF(OR(B864="",C864=""),"Fill in asset and task",IF(SUMPRODUCT(('PM Plan'!$A$5:$A$304=B864)*('PM Plan'!$B$5:$B$304=C864))=0,"No matching asset + task in plan","OK"))))</f>
        <v/>
      </c>
    </row>
    <row r="865" customFormat="false" ht="15" hidden="false" customHeight="false" outlineLevel="0" collapsed="false">
      <c r="A865" s="14"/>
      <c r="B865" s="9"/>
      <c r="C865" s="9"/>
      <c r="D865" s="9"/>
      <c r="E865" s="9"/>
      <c r="F865" s="17" t="str">
        <f aca="false">IF(AND(A865="",B865="",C865=""),"",IF(NOT(ISNUMBER(A865)),"Enter the date done",IF(OR(B865="",C865=""),"Fill in asset and task",IF(SUMPRODUCT(('PM Plan'!$A$5:$A$304=B865)*('PM Plan'!$B$5:$B$304=C865))=0,"No matching asset + task in plan","OK"))))</f>
        <v/>
      </c>
    </row>
    <row r="866" customFormat="false" ht="15" hidden="false" customHeight="false" outlineLevel="0" collapsed="false">
      <c r="A866" s="14"/>
      <c r="B866" s="9"/>
      <c r="C866" s="9"/>
      <c r="D866" s="9"/>
      <c r="E866" s="9"/>
      <c r="F866" s="17" t="str">
        <f aca="false">IF(AND(A866="",B866="",C866=""),"",IF(NOT(ISNUMBER(A866)),"Enter the date done",IF(OR(B866="",C866=""),"Fill in asset and task",IF(SUMPRODUCT(('PM Plan'!$A$5:$A$304=B866)*('PM Plan'!$B$5:$B$304=C866))=0,"No matching asset + task in plan","OK"))))</f>
        <v/>
      </c>
    </row>
    <row r="867" customFormat="false" ht="15" hidden="false" customHeight="false" outlineLevel="0" collapsed="false">
      <c r="A867" s="14"/>
      <c r="B867" s="9"/>
      <c r="C867" s="9"/>
      <c r="D867" s="9"/>
      <c r="E867" s="9"/>
      <c r="F867" s="17" t="str">
        <f aca="false">IF(AND(A867="",B867="",C867=""),"",IF(NOT(ISNUMBER(A867)),"Enter the date done",IF(OR(B867="",C867=""),"Fill in asset and task",IF(SUMPRODUCT(('PM Plan'!$A$5:$A$304=B867)*('PM Plan'!$B$5:$B$304=C867))=0,"No matching asset + task in plan","OK"))))</f>
        <v/>
      </c>
    </row>
    <row r="868" customFormat="false" ht="15" hidden="false" customHeight="false" outlineLevel="0" collapsed="false">
      <c r="A868" s="14"/>
      <c r="B868" s="9"/>
      <c r="C868" s="9"/>
      <c r="D868" s="9"/>
      <c r="E868" s="9"/>
      <c r="F868" s="17" t="str">
        <f aca="false">IF(AND(A868="",B868="",C868=""),"",IF(NOT(ISNUMBER(A868)),"Enter the date done",IF(OR(B868="",C868=""),"Fill in asset and task",IF(SUMPRODUCT(('PM Plan'!$A$5:$A$304=B868)*('PM Plan'!$B$5:$B$304=C868))=0,"No matching asset + task in plan","OK"))))</f>
        <v/>
      </c>
    </row>
    <row r="869" customFormat="false" ht="15" hidden="false" customHeight="false" outlineLevel="0" collapsed="false">
      <c r="A869" s="14"/>
      <c r="B869" s="9"/>
      <c r="C869" s="9"/>
      <c r="D869" s="9"/>
      <c r="E869" s="9"/>
      <c r="F869" s="17" t="str">
        <f aca="false">IF(AND(A869="",B869="",C869=""),"",IF(NOT(ISNUMBER(A869)),"Enter the date done",IF(OR(B869="",C869=""),"Fill in asset and task",IF(SUMPRODUCT(('PM Plan'!$A$5:$A$304=B869)*('PM Plan'!$B$5:$B$304=C869))=0,"No matching asset + task in plan","OK"))))</f>
        <v/>
      </c>
    </row>
    <row r="870" customFormat="false" ht="15" hidden="false" customHeight="false" outlineLevel="0" collapsed="false">
      <c r="A870" s="14"/>
      <c r="B870" s="9"/>
      <c r="C870" s="9"/>
      <c r="D870" s="9"/>
      <c r="E870" s="9"/>
      <c r="F870" s="17" t="str">
        <f aca="false">IF(AND(A870="",B870="",C870=""),"",IF(NOT(ISNUMBER(A870)),"Enter the date done",IF(OR(B870="",C870=""),"Fill in asset and task",IF(SUMPRODUCT(('PM Plan'!$A$5:$A$304=B870)*('PM Plan'!$B$5:$B$304=C870))=0,"No matching asset + task in plan","OK"))))</f>
        <v/>
      </c>
    </row>
    <row r="871" customFormat="false" ht="15" hidden="false" customHeight="false" outlineLevel="0" collapsed="false">
      <c r="A871" s="14"/>
      <c r="B871" s="9"/>
      <c r="C871" s="9"/>
      <c r="D871" s="9"/>
      <c r="E871" s="9"/>
      <c r="F871" s="17" t="str">
        <f aca="false">IF(AND(A871="",B871="",C871=""),"",IF(NOT(ISNUMBER(A871)),"Enter the date done",IF(OR(B871="",C871=""),"Fill in asset and task",IF(SUMPRODUCT(('PM Plan'!$A$5:$A$304=B871)*('PM Plan'!$B$5:$B$304=C871))=0,"No matching asset + task in plan","OK"))))</f>
        <v/>
      </c>
    </row>
    <row r="872" customFormat="false" ht="15" hidden="false" customHeight="false" outlineLevel="0" collapsed="false">
      <c r="A872" s="14"/>
      <c r="B872" s="9"/>
      <c r="C872" s="9"/>
      <c r="D872" s="9"/>
      <c r="E872" s="9"/>
      <c r="F872" s="17" t="str">
        <f aca="false">IF(AND(A872="",B872="",C872=""),"",IF(NOT(ISNUMBER(A872)),"Enter the date done",IF(OR(B872="",C872=""),"Fill in asset and task",IF(SUMPRODUCT(('PM Plan'!$A$5:$A$304=B872)*('PM Plan'!$B$5:$B$304=C872))=0,"No matching asset + task in plan","OK"))))</f>
        <v/>
      </c>
    </row>
    <row r="873" customFormat="false" ht="15" hidden="false" customHeight="false" outlineLevel="0" collapsed="false">
      <c r="A873" s="14"/>
      <c r="B873" s="9"/>
      <c r="C873" s="9"/>
      <c r="D873" s="9"/>
      <c r="E873" s="9"/>
      <c r="F873" s="17" t="str">
        <f aca="false">IF(AND(A873="",B873="",C873=""),"",IF(NOT(ISNUMBER(A873)),"Enter the date done",IF(OR(B873="",C873=""),"Fill in asset and task",IF(SUMPRODUCT(('PM Plan'!$A$5:$A$304=B873)*('PM Plan'!$B$5:$B$304=C873))=0,"No matching asset + task in plan","OK"))))</f>
        <v/>
      </c>
    </row>
    <row r="874" customFormat="false" ht="15" hidden="false" customHeight="false" outlineLevel="0" collapsed="false">
      <c r="A874" s="14"/>
      <c r="B874" s="9"/>
      <c r="C874" s="9"/>
      <c r="D874" s="9"/>
      <c r="E874" s="9"/>
      <c r="F874" s="17" t="str">
        <f aca="false">IF(AND(A874="",B874="",C874=""),"",IF(NOT(ISNUMBER(A874)),"Enter the date done",IF(OR(B874="",C874=""),"Fill in asset and task",IF(SUMPRODUCT(('PM Plan'!$A$5:$A$304=B874)*('PM Plan'!$B$5:$B$304=C874))=0,"No matching asset + task in plan","OK"))))</f>
        <v/>
      </c>
    </row>
    <row r="875" customFormat="false" ht="15" hidden="false" customHeight="false" outlineLevel="0" collapsed="false">
      <c r="A875" s="14"/>
      <c r="B875" s="9"/>
      <c r="C875" s="9"/>
      <c r="D875" s="9"/>
      <c r="E875" s="9"/>
      <c r="F875" s="17" t="str">
        <f aca="false">IF(AND(A875="",B875="",C875=""),"",IF(NOT(ISNUMBER(A875)),"Enter the date done",IF(OR(B875="",C875=""),"Fill in asset and task",IF(SUMPRODUCT(('PM Plan'!$A$5:$A$304=B875)*('PM Plan'!$B$5:$B$304=C875))=0,"No matching asset + task in plan","OK"))))</f>
        <v/>
      </c>
    </row>
    <row r="876" customFormat="false" ht="15" hidden="false" customHeight="false" outlineLevel="0" collapsed="false">
      <c r="A876" s="14"/>
      <c r="B876" s="9"/>
      <c r="C876" s="9"/>
      <c r="D876" s="9"/>
      <c r="E876" s="9"/>
      <c r="F876" s="17" t="str">
        <f aca="false">IF(AND(A876="",B876="",C876=""),"",IF(NOT(ISNUMBER(A876)),"Enter the date done",IF(OR(B876="",C876=""),"Fill in asset and task",IF(SUMPRODUCT(('PM Plan'!$A$5:$A$304=B876)*('PM Plan'!$B$5:$B$304=C876))=0,"No matching asset + task in plan","OK"))))</f>
        <v/>
      </c>
    </row>
    <row r="877" customFormat="false" ht="15" hidden="false" customHeight="false" outlineLevel="0" collapsed="false">
      <c r="A877" s="14"/>
      <c r="B877" s="9"/>
      <c r="C877" s="9"/>
      <c r="D877" s="9"/>
      <c r="E877" s="9"/>
      <c r="F877" s="17" t="str">
        <f aca="false">IF(AND(A877="",B877="",C877=""),"",IF(NOT(ISNUMBER(A877)),"Enter the date done",IF(OR(B877="",C877=""),"Fill in asset and task",IF(SUMPRODUCT(('PM Plan'!$A$5:$A$304=B877)*('PM Plan'!$B$5:$B$304=C877))=0,"No matching asset + task in plan","OK"))))</f>
        <v/>
      </c>
    </row>
    <row r="878" customFormat="false" ht="15" hidden="false" customHeight="false" outlineLevel="0" collapsed="false">
      <c r="A878" s="14"/>
      <c r="B878" s="9"/>
      <c r="C878" s="9"/>
      <c r="D878" s="9"/>
      <c r="E878" s="9"/>
      <c r="F878" s="17" t="str">
        <f aca="false">IF(AND(A878="",B878="",C878=""),"",IF(NOT(ISNUMBER(A878)),"Enter the date done",IF(OR(B878="",C878=""),"Fill in asset and task",IF(SUMPRODUCT(('PM Plan'!$A$5:$A$304=B878)*('PM Plan'!$B$5:$B$304=C878))=0,"No matching asset + task in plan","OK"))))</f>
        <v/>
      </c>
    </row>
    <row r="879" customFormat="false" ht="15" hidden="false" customHeight="false" outlineLevel="0" collapsed="false">
      <c r="A879" s="14"/>
      <c r="B879" s="9"/>
      <c r="C879" s="9"/>
      <c r="D879" s="9"/>
      <c r="E879" s="9"/>
      <c r="F879" s="17" t="str">
        <f aca="false">IF(AND(A879="",B879="",C879=""),"",IF(NOT(ISNUMBER(A879)),"Enter the date done",IF(OR(B879="",C879=""),"Fill in asset and task",IF(SUMPRODUCT(('PM Plan'!$A$5:$A$304=B879)*('PM Plan'!$B$5:$B$304=C879))=0,"No matching asset + task in plan","OK"))))</f>
        <v/>
      </c>
    </row>
    <row r="880" customFormat="false" ht="15" hidden="false" customHeight="false" outlineLevel="0" collapsed="false">
      <c r="A880" s="14"/>
      <c r="B880" s="9"/>
      <c r="C880" s="9"/>
      <c r="D880" s="9"/>
      <c r="E880" s="9"/>
      <c r="F880" s="17" t="str">
        <f aca="false">IF(AND(A880="",B880="",C880=""),"",IF(NOT(ISNUMBER(A880)),"Enter the date done",IF(OR(B880="",C880=""),"Fill in asset and task",IF(SUMPRODUCT(('PM Plan'!$A$5:$A$304=B880)*('PM Plan'!$B$5:$B$304=C880))=0,"No matching asset + task in plan","OK"))))</f>
        <v/>
      </c>
    </row>
    <row r="881" customFormat="false" ht="15" hidden="false" customHeight="false" outlineLevel="0" collapsed="false">
      <c r="A881" s="14"/>
      <c r="B881" s="9"/>
      <c r="C881" s="9"/>
      <c r="D881" s="9"/>
      <c r="E881" s="9"/>
      <c r="F881" s="17" t="str">
        <f aca="false">IF(AND(A881="",B881="",C881=""),"",IF(NOT(ISNUMBER(A881)),"Enter the date done",IF(OR(B881="",C881=""),"Fill in asset and task",IF(SUMPRODUCT(('PM Plan'!$A$5:$A$304=B881)*('PM Plan'!$B$5:$B$304=C881))=0,"No matching asset + task in plan","OK"))))</f>
        <v/>
      </c>
    </row>
    <row r="882" customFormat="false" ht="15" hidden="false" customHeight="false" outlineLevel="0" collapsed="false">
      <c r="A882" s="14"/>
      <c r="B882" s="9"/>
      <c r="C882" s="9"/>
      <c r="D882" s="9"/>
      <c r="E882" s="9"/>
      <c r="F882" s="17" t="str">
        <f aca="false">IF(AND(A882="",B882="",C882=""),"",IF(NOT(ISNUMBER(A882)),"Enter the date done",IF(OR(B882="",C882=""),"Fill in asset and task",IF(SUMPRODUCT(('PM Plan'!$A$5:$A$304=B882)*('PM Plan'!$B$5:$B$304=C882))=0,"No matching asset + task in plan","OK"))))</f>
        <v/>
      </c>
    </row>
    <row r="883" customFormat="false" ht="15" hidden="false" customHeight="false" outlineLevel="0" collapsed="false">
      <c r="A883" s="14"/>
      <c r="B883" s="9"/>
      <c r="C883" s="9"/>
      <c r="D883" s="9"/>
      <c r="E883" s="9"/>
      <c r="F883" s="17" t="str">
        <f aca="false">IF(AND(A883="",B883="",C883=""),"",IF(NOT(ISNUMBER(A883)),"Enter the date done",IF(OR(B883="",C883=""),"Fill in asset and task",IF(SUMPRODUCT(('PM Plan'!$A$5:$A$304=B883)*('PM Plan'!$B$5:$B$304=C883))=0,"No matching asset + task in plan","OK"))))</f>
        <v/>
      </c>
    </row>
    <row r="884" customFormat="false" ht="15" hidden="false" customHeight="false" outlineLevel="0" collapsed="false">
      <c r="A884" s="14"/>
      <c r="B884" s="9"/>
      <c r="C884" s="9"/>
      <c r="D884" s="9"/>
      <c r="E884" s="9"/>
      <c r="F884" s="17" t="str">
        <f aca="false">IF(AND(A884="",B884="",C884=""),"",IF(NOT(ISNUMBER(A884)),"Enter the date done",IF(OR(B884="",C884=""),"Fill in asset and task",IF(SUMPRODUCT(('PM Plan'!$A$5:$A$304=B884)*('PM Plan'!$B$5:$B$304=C884))=0,"No matching asset + task in plan","OK"))))</f>
        <v/>
      </c>
    </row>
    <row r="885" customFormat="false" ht="15" hidden="false" customHeight="false" outlineLevel="0" collapsed="false">
      <c r="A885" s="14"/>
      <c r="B885" s="9"/>
      <c r="C885" s="9"/>
      <c r="D885" s="9"/>
      <c r="E885" s="9"/>
      <c r="F885" s="17" t="str">
        <f aca="false">IF(AND(A885="",B885="",C885=""),"",IF(NOT(ISNUMBER(A885)),"Enter the date done",IF(OR(B885="",C885=""),"Fill in asset and task",IF(SUMPRODUCT(('PM Plan'!$A$5:$A$304=B885)*('PM Plan'!$B$5:$B$304=C885))=0,"No matching asset + task in plan","OK"))))</f>
        <v/>
      </c>
    </row>
    <row r="886" customFormat="false" ht="15" hidden="false" customHeight="false" outlineLevel="0" collapsed="false">
      <c r="A886" s="14"/>
      <c r="B886" s="9"/>
      <c r="C886" s="9"/>
      <c r="D886" s="9"/>
      <c r="E886" s="9"/>
      <c r="F886" s="17" t="str">
        <f aca="false">IF(AND(A886="",B886="",C886=""),"",IF(NOT(ISNUMBER(A886)),"Enter the date done",IF(OR(B886="",C886=""),"Fill in asset and task",IF(SUMPRODUCT(('PM Plan'!$A$5:$A$304=B886)*('PM Plan'!$B$5:$B$304=C886))=0,"No matching asset + task in plan","OK"))))</f>
        <v/>
      </c>
    </row>
    <row r="887" customFormat="false" ht="15" hidden="false" customHeight="false" outlineLevel="0" collapsed="false">
      <c r="A887" s="14"/>
      <c r="B887" s="9"/>
      <c r="C887" s="9"/>
      <c r="D887" s="9"/>
      <c r="E887" s="9"/>
      <c r="F887" s="17" t="str">
        <f aca="false">IF(AND(A887="",B887="",C887=""),"",IF(NOT(ISNUMBER(A887)),"Enter the date done",IF(OR(B887="",C887=""),"Fill in asset and task",IF(SUMPRODUCT(('PM Plan'!$A$5:$A$304=B887)*('PM Plan'!$B$5:$B$304=C887))=0,"No matching asset + task in plan","OK"))))</f>
        <v/>
      </c>
    </row>
    <row r="888" customFormat="false" ht="15" hidden="false" customHeight="false" outlineLevel="0" collapsed="false">
      <c r="A888" s="14"/>
      <c r="B888" s="9"/>
      <c r="C888" s="9"/>
      <c r="D888" s="9"/>
      <c r="E888" s="9"/>
      <c r="F888" s="17" t="str">
        <f aca="false">IF(AND(A888="",B888="",C888=""),"",IF(NOT(ISNUMBER(A888)),"Enter the date done",IF(OR(B888="",C888=""),"Fill in asset and task",IF(SUMPRODUCT(('PM Plan'!$A$5:$A$304=B888)*('PM Plan'!$B$5:$B$304=C888))=0,"No matching asset + task in plan","OK"))))</f>
        <v/>
      </c>
    </row>
    <row r="889" customFormat="false" ht="15" hidden="false" customHeight="false" outlineLevel="0" collapsed="false">
      <c r="A889" s="14"/>
      <c r="B889" s="9"/>
      <c r="C889" s="9"/>
      <c r="D889" s="9"/>
      <c r="E889" s="9"/>
      <c r="F889" s="17" t="str">
        <f aca="false">IF(AND(A889="",B889="",C889=""),"",IF(NOT(ISNUMBER(A889)),"Enter the date done",IF(OR(B889="",C889=""),"Fill in asset and task",IF(SUMPRODUCT(('PM Plan'!$A$5:$A$304=B889)*('PM Plan'!$B$5:$B$304=C889))=0,"No matching asset + task in plan","OK"))))</f>
        <v/>
      </c>
    </row>
    <row r="890" customFormat="false" ht="15" hidden="false" customHeight="false" outlineLevel="0" collapsed="false">
      <c r="A890" s="14"/>
      <c r="B890" s="9"/>
      <c r="C890" s="9"/>
      <c r="D890" s="9"/>
      <c r="E890" s="9"/>
      <c r="F890" s="17" t="str">
        <f aca="false">IF(AND(A890="",B890="",C890=""),"",IF(NOT(ISNUMBER(A890)),"Enter the date done",IF(OR(B890="",C890=""),"Fill in asset and task",IF(SUMPRODUCT(('PM Plan'!$A$5:$A$304=B890)*('PM Plan'!$B$5:$B$304=C890))=0,"No matching asset + task in plan","OK"))))</f>
        <v/>
      </c>
    </row>
    <row r="891" customFormat="false" ht="15" hidden="false" customHeight="false" outlineLevel="0" collapsed="false">
      <c r="A891" s="14"/>
      <c r="B891" s="9"/>
      <c r="C891" s="9"/>
      <c r="D891" s="9"/>
      <c r="E891" s="9"/>
      <c r="F891" s="17" t="str">
        <f aca="false">IF(AND(A891="",B891="",C891=""),"",IF(NOT(ISNUMBER(A891)),"Enter the date done",IF(OR(B891="",C891=""),"Fill in asset and task",IF(SUMPRODUCT(('PM Plan'!$A$5:$A$304=B891)*('PM Plan'!$B$5:$B$304=C891))=0,"No matching asset + task in plan","OK"))))</f>
        <v/>
      </c>
    </row>
    <row r="892" customFormat="false" ht="15" hidden="false" customHeight="false" outlineLevel="0" collapsed="false">
      <c r="A892" s="14"/>
      <c r="B892" s="9"/>
      <c r="C892" s="9"/>
      <c r="D892" s="9"/>
      <c r="E892" s="9"/>
      <c r="F892" s="17" t="str">
        <f aca="false">IF(AND(A892="",B892="",C892=""),"",IF(NOT(ISNUMBER(A892)),"Enter the date done",IF(OR(B892="",C892=""),"Fill in asset and task",IF(SUMPRODUCT(('PM Plan'!$A$5:$A$304=B892)*('PM Plan'!$B$5:$B$304=C892))=0,"No matching asset + task in plan","OK"))))</f>
        <v/>
      </c>
    </row>
    <row r="893" customFormat="false" ht="15" hidden="false" customHeight="false" outlineLevel="0" collapsed="false">
      <c r="A893" s="14"/>
      <c r="B893" s="9"/>
      <c r="C893" s="9"/>
      <c r="D893" s="9"/>
      <c r="E893" s="9"/>
      <c r="F893" s="17" t="str">
        <f aca="false">IF(AND(A893="",B893="",C893=""),"",IF(NOT(ISNUMBER(A893)),"Enter the date done",IF(OR(B893="",C893=""),"Fill in asset and task",IF(SUMPRODUCT(('PM Plan'!$A$5:$A$304=B893)*('PM Plan'!$B$5:$B$304=C893))=0,"No matching asset + task in plan","OK"))))</f>
        <v/>
      </c>
    </row>
    <row r="894" customFormat="false" ht="15" hidden="false" customHeight="false" outlineLevel="0" collapsed="false">
      <c r="A894" s="14"/>
      <c r="B894" s="9"/>
      <c r="C894" s="9"/>
      <c r="D894" s="9"/>
      <c r="E894" s="9"/>
      <c r="F894" s="17" t="str">
        <f aca="false">IF(AND(A894="",B894="",C894=""),"",IF(NOT(ISNUMBER(A894)),"Enter the date done",IF(OR(B894="",C894=""),"Fill in asset and task",IF(SUMPRODUCT(('PM Plan'!$A$5:$A$304=B894)*('PM Plan'!$B$5:$B$304=C894))=0,"No matching asset + task in plan","OK"))))</f>
        <v/>
      </c>
    </row>
    <row r="895" customFormat="false" ht="15" hidden="false" customHeight="false" outlineLevel="0" collapsed="false">
      <c r="A895" s="14"/>
      <c r="B895" s="9"/>
      <c r="C895" s="9"/>
      <c r="D895" s="9"/>
      <c r="E895" s="9"/>
      <c r="F895" s="17" t="str">
        <f aca="false">IF(AND(A895="",B895="",C895=""),"",IF(NOT(ISNUMBER(A895)),"Enter the date done",IF(OR(B895="",C895=""),"Fill in asset and task",IF(SUMPRODUCT(('PM Plan'!$A$5:$A$304=B895)*('PM Plan'!$B$5:$B$304=C895))=0,"No matching asset + task in plan","OK"))))</f>
        <v/>
      </c>
    </row>
    <row r="896" customFormat="false" ht="15" hidden="false" customHeight="false" outlineLevel="0" collapsed="false">
      <c r="A896" s="14"/>
      <c r="B896" s="9"/>
      <c r="C896" s="9"/>
      <c r="D896" s="9"/>
      <c r="E896" s="9"/>
      <c r="F896" s="17" t="str">
        <f aca="false">IF(AND(A896="",B896="",C896=""),"",IF(NOT(ISNUMBER(A896)),"Enter the date done",IF(OR(B896="",C896=""),"Fill in asset and task",IF(SUMPRODUCT(('PM Plan'!$A$5:$A$304=B896)*('PM Plan'!$B$5:$B$304=C896))=0,"No matching asset + task in plan","OK"))))</f>
        <v/>
      </c>
    </row>
    <row r="897" customFormat="false" ht="15" hidden="false" customHeight="false" outlineLevel="0" collapsed="false">
      <c r="A897" s="14"/>
      <c r="B897" s="9"/>
      <c r="C897" s="9"/>
      <c r="D897" s="9"/>
      <c r="E897" s="9"/>
      <c r="F897" s="17" t="str">
        <f aca="false">IF(AND(A897="",B897="",C897=""),"",IF(NOT(ISNUMBER(A897)),"Enter the date done",IF(OR(B897="",C897=""),"Fill in asset and task",IF(SUMPRODUCT(('PM Plan'!$A$5:$A$304=B897)*('PM Plan'!$B$5:$B$304=C897))=0,"No matching asset + task in plan","OK"))))</f>
        <v/>
      </c>
    </row>
    <row r="898" customFormat="false" ht="15" hidden="false" customHeight="false" outlineLevel="0" collapsed="false">
      <c r="A898" s="14"/>
      <c r="B898" s="9"/>
      <c r="C898" s="9"/>
      <c r="D898" s="9"/>
      <c r="E898" s="9"/>
      <c r="F898" s="17" t="str">
        <f aca="false">IF(AND(A898="",B898="",C898=""),"",IF(NOT(ISNUMBER(A898)),"Enter the date done",IF(OR(B898="",C898=""),"Fill in asset and task",IF(SUMPRODUCT(('PM Plan'!$A$5:$A$304=B898)*('PM Plan'!$B$5:$B$304=C898))=0,"No matching asset + task in plan","OK"))))</f>
        <v/>
      </c>
    </row>
    <row r="899" customFormat="false" ht="15" hidden="false" customHeight="false" outlineLevel="0" collapsed="false">
      <c r="A899" s="14"/>
      <c r="B899" s="9"/>
      <c r="C899" s="9"/>
      <c r="D899" s="9"/>
      <c r="E899" s="9"/>
      <c r="F899" s="17" t="str">
        <f aca="false">IF(AND(A899="",B899="",C899=""),"",IF(NOT(ISNUMBER(A899)),"Enter the date done",IF(OR(B899="",C899=""),"Fill in asset and task",IF(SUMPRODUCT(('PM Plan'!$A$5:$A$304=B899)*('PM Plan'!$B$5:$B$304=C899))=0,"No matching asset + task in plan","OK"))))</f>
        <v/>
      </c>
    </row>
    <row r="900" customFormat="false" ht="15" hidden="false" customHeight="false" outlineLevel="0" collapsed="false">
      <c r="A900" s="14"/>
      <c r="B900" s="9"/>
      <c r="C900" s="9"/>
      <c r="D900" s="9"/>
      <c r="E900" s="9"/>
      <c r="F900" s="17" t="str">
        <f aca="false">IF(AND(A900="",B900="",C900=""),"",IF(NOT(ISNUMBER(A900)),"Enter the date done",IF(OR(B900="",C900=""),"Fill in asset and task",IF(SUMPRODUCT(('PM Plan'!$A$5:$A$304=B900)*('PM Plan'!$B$5:$B$304=C900))=0,"No matching asset + task in plan","OK"))))</f>
        <v/>
      </c>
    </row>
    <row r="901" customFormat="false" ht="15" hidden="false" customHeight="false" outlineLevel="0" collapsed="false">
      <c r="A901" s="14"/>
      <c r="B901" s="9"/>
      <c r="C901" s="9"/>
      <c r="D901" s="9"/>
      <c r="E901" s="9"/>
      <c r="F901" s="17" t="str">
        <f aca="false">IF(AND(A901="",B901="",C901=""),"",IF(NOT(ISNUMBER(A901)),"Enter the date done",IF(OR(B901="",C901=""),"Fill in asset and task",IF(SUMPRODUCT(('PM Plan'!$A$5:$A$304=B901)*('PM Plan'!$B$5:$B$304=C901))=0,"No matching asset + task in plan","OK"))))</f>
        <v/>
      </c>
    </row>
    <row r="902" customFormat="false" ht="15" hidden="false" customHeight="false" outlineLevel="0" collapsed="false">
      <c r="A902" s="14"/>
      <c r="B902" s="9"/>
      <c r="C902" s="9"/>
      <c r="D902" s="9"/>
      <c r="E902" s="9"/>
      <c r="F902" s="17" t="str">
        <f aca="false">IF(AND(A902="",B902="",C902=""),"",IF(NOT(ISNUMBER(A902)),"Enter the date done",IF(OR(B902="",C902=""),"Fill in asset and task",IF(SUMPRODUCT(('PM Plan'!$A$5:$A$304=B902)*('PM Plan'!$B$5:$B$304=C902))=0,"No matching asset + task in plan","OK"))))</f>
        <v/>
      </c>
    </row>
    <row r="903" customFormat="false" ht="15" hidden="false" customHeight="false" outlineLevel="0" collapsed="false">
      <c r="A903" s="14"/>
      <c r="B903" s="9"/>
      <c r="C903" s="9"/>
      <c r="D903" s="9"/>
      <c r="E903" s="9"/>
      <c r="F903" s="17" t="str">
        <f aca="false">IF(AND(A903="",B903="",C903=""),"",IF(NOT(ISNUMBER(A903)),"Enter the date done",IF(OR(B903="",C903=""),"Fill in asset and task",IF(SUMPRODUCT(('PM Plan'!$A$5:$A$304=B903)*('PM Plan'!$B$5:$B$304=C903))=0,"No matching asset + task in plan","OK"))))</f>
        <v/>
      </c>
    </row>
    <row r="904" customFormat="false" ht="15" hidden="false" customHeight="false" outlineLevel="0" collapsed="false">
      <c r="A904" s="14"/>
      <c r="B904" s="9"/>
      <c r="C904" s="9"/>
      <c r="D904" s="9"/>
      <c r="E904" s="9"/>
      <c r="F904" s="17" t="str">
        <f aca="false">IF(AND(A904="",B904="",C904=""),"",IF(NOT(ISNUMBER(A904)),"Enter the date done",IF(OR(B904="",C904=""),"Fill in asset and task",IF(SUMPRODUCT(('PM Plan'!$A$5:$A$304=B904)*('PM Plan'!$B$5:$B$304=C904))=0,"No matching asset + task in plan","OK"))))</f>
        <v/>
      </c>
    </row>
    <row r="905" customFormat="false" ht="15" hidden="false" customHeight="false" outlineLevel="0" collapsed="false">
      <c r="A905" s="14"/>
      <c r="B905" s="9"/>
      <c r="C905" s="9"/>
      <c r="D905" s="9"/>
      <c r="E905" s="9"/>
      <c r="F905" s="17" t="str">
        <f aca="false">IF(AND(A905="",B905="",C905=""),"",IF(NOT(ISNUMBER(A905)),"Enter the date done",IF(OR(B905="",C905=""),"Fill in asset and task",IF(SUMPRODUCT(('PM Plan'!$A$5:$A$304=B905)*('PM Plan'!$B$5:$B$304=C905))=0,"No matching asset + task in plan","OK"))))</f>
        <v/>
      </c>
    </row>
    <row r="906" customFormat="false" ht="15" hidden="false" customHeight="false" outlineLevel="0" collapsed="false">
      <c r="A906" s="14"/>
      <c r="B906" s="9"/>
      <c r="C906" s="9"/>
      <c r="D906" s="9"/>
      <c r="E906" s="9"/>
      <c r="F906" s="17" t="str">
        <f aca="false">IF(AND(A906="",B906="",C906=""),"",IF(NOT(ISNUMBER(A906)),"Enter the date done",IF(OR(B906="",C906=""),"Fill in asset and task",IF(SUMPRODUCT(('PM Plan'!$A$5:$A$304=B906)*('PM Plan'!$B$5:$B$304=C906))=0,"No matching asset + task in plan","OK"))))</f>
        <v/>
      </c>
    </row>
    <row r="907" customFormat="false" ht="15" hidden="false" customHeight="false" outlineLevel="0" collapsed="false">
      <c r="A907" s="14"/>
      <c r="B907" s="9"/>
      <c r="C907" s="9"/>
      <c r="D907" s="9"/>
      <c r="E907" s="9"/>
      <c r="F907" s="17" t="str">
        <f aca="false">IF(AND(A907="",B907="",C907=""),"",IF(NOT(ISNUMBER(A907)),"Enter the date done",IF(OR(B907="",C907=""),"Fill in asset and task",IF(SUMPRODUCT(('PM Plan'!$A$5:$A$304=B907)*('PM Plan'!$B$5:$B$304=C907))=0,"No matching asset + task in plan","OK"))))</f>
        <v/>
      </c>
    </row>
    <row r="908" customFormat="false" ht="15" hidden="false" customHeight="false" outlineLevel="0" collapsed="false">
      <c r="A908" s="14"/>
      <c r="B908" s="9"/>
      <c r="C908" s="9"/>
      <c r="D908" s="9"/>
      <c r="E908" s="9"/>
      <c r="F908" s="17" t="str">
        <f aca="false">IF(AND(A908="",B908="",C908=""),"",IF(NOT(ISNUMBER(A908)),"Enter the date done",IF(OR(B908="",C908=""),"Fill in asset and task",IF(SUMPRODUCT(('PM Plan'!$A$5:$A$304=B908)*('PM Plan'!$B$5:$B$304=C908))=0,"No matching asset + task in plan","OK"))))</f>
        <v/>
      </c>
    </row>
    <row r="909" customFormat="false" ht="15" hidden="false" customHeight="false" outlineLevel="0" collapsed="false">
      <c r="A909" s="14"/>
      <c r="B909" s="9"/>
      <c r="C909" s="9"/>
      <c r="D909" s="9"/>
      <c r="E909" s="9"/>
      <c r="F909" s="17" t="str">
        <f aca="false">IF(AND(A909="",B909="",C909=""),"",IF(NOT(ISNUMBER(A909)),"Enter the date done",IF(OR(B909="",C909=""),"Fill in asset and task",IF(SUMPRODUCT(('PM Plan'!$A$5:$A$304=B909)*('PM Plan'!$B$5:$B$304=C909))=0,"No matching asset + task in plan","OK"))))</f>
        <v/>
      </c>
    </row>
    <row r="910" customFormat="false" ht="15" hidden="false" customHeight="false" outlineLevel="0" collapsed="false">
      <c r="A910" s="14"/>
      <c r="B910" s="9"/>
      <c r="C910" s="9"/>
      <c r="D910" s="9"/>
      <c r="E910" s="9"/>
      <c r="F910" s="17" t="str">
        <f aca="false">IF(AND(A910="",B910="",C910=""),"",IF(NOT(ISNUMBER(A910)),"Enter the date done",IF(OR(B910="",C910=""),"Fill in asset and task",IF(SUMPRODUCT(('PM Plan'!$A$5:$A$304=B910)*('PM Plan'!$B$5:$B$304=C910))=0,"No matching asset + task in plan","OK"))))</f>
        <v/>
      </c>
    </row>
    <row r="911" customFormat="false" ht="15" hidden="false" customHeight="false" outlineLevel="0" collapsed="false">
      <c r="A911" s="14"/>
      <c r="B911" s="9"/>
      <c r="C911" s="9"/>
      <c r="D911" s="9"/>
      <c r="E911" s="9"/>
      <c r="F911" s="17" t="str">
        <f aca="false">IF(AND(A911="",B911="",C911=""),"",IF(NOT(ISNUMBER(A911)),"Enter the date done",IF(OR(B911="",C911=""),"Fill in asset and task",IF(SUMPRODUCT(('PM Plan'!$A$5:$A$304=B911)*('PM Plan'!$B$5:$B$304=C911))=0,"No matching asset + task in plan","OK"))))</f>
        <v/>
      </c>
    </row>
    <row r="912" customFormat="false" ht="15" hidden="false" customHeight="false" outlineLevel="0" collapsed="false">
      <c r="A912" s="14"/>
      <c r="B912" s="9"/>
      <c r="C912" s="9"/>
      <c r="D912" s="9"/>
      <c r="E912" s="9"/>
      <c r="F912" s="17" t="str">
        <f aca="false">IF(AND(A912="",B912="",C912=""),"",IF(NOT(ISNUMBER(A912)),"Enter the date done",IF(OR(B912="",C912=""),"Fill in asset and task",IF(SUMPRODUCT(('PM Plan'!$A$5:$A$304=B912)*('PM Plan'!$B$5:$B$304=C912))=0,"No matching asset + task in plan","OK"))))</f>
        <v/>
      </c>
    </row>
    <row r="913" customFormat="false" ht="15" hidden="false" customHeight="false" outlineLevel="0" collapsed="false">
      <c r="A913" s="14"/>
      <c r="B913" s="9"/>
      <c r="C913" s="9"/>
      <c r="D913" s="9"/>
      <c r="E913" s="9"/>
      <c r="F913" s="17" t="str">
        <f aca="false">IF(AND(A913="",B913="",C913=""),"",IF(NOT(ISNUMBER(A913)),"Enter the date done",IF(OR(B913="",C913=""),"Fill in asset and task",IF(SUMPRODUCT(('PM Plan'!$A$5:$A$304=B913)*('PM Plan'!$B$5:$B$304=C913))=0,"No matching asset + task in plan","OK"))))</f>
        <v/>
      </c>
    </row>
    <row r="914" customFormat="false" ht="15" hidden="false" customHeight="false" outlineLevel="0" collapsed="false">
      <c r="A914" s="14"/>
      <c r="B914" s="9"/>
      <c r="C914" s="9"/>
      <c r="D914" s="9"/>
      <c r="E914" s="9"/>
      <c r="F914" s="17" t="str">
        <f aca="false">IF(AND(A914="",B914="",C914=""),"",IF(NOT(ISNUMBER(A914)),"Enter the date done",IF(OR(B914="",C914=""),"Fill in asset and task",IF(SUMPRODUCT(('PM Plan'!$A$5:$A$304=B914)*('PM Plan'!$B$5:$B$304=C914))=0,"No matching asset + task in plan","OK"))))</f>
        <v/>
      </c>
    </row>
    <row r="915" customFormat="false" ht="15" hidden="false" customHeight="false" outlineLevel="0" collapsed="false">
      <c r="A915" s="14"/>
      <c r="B915" s="9"/>
      <c r="C915" s="9"/>
      <c r="D915" s="9"/>
      <c r="E915" s="9"/>
      <c r="F915" s="17" t="str">
        <f aca="false">IF(AND(A915="",B915="",C915=""),"",IF(NOT(ISNUMBER(A915)),"Enter the date done",IF(OR(B915="",C915=""),"Fill in asset and task",IF(SUMPRODUCT(('PM Plan'!$A$5:$A$304=B915)*('PM Plan'!$B$5:$B$304=C915))=0,"No matching asset + task in plan","OK"))))</f>
        <v/>
      </c>
    </row>
    <row r="916" customFormat="false" ht="15" hidden="false" customHeight="false" outlineLevel="0" collapsed="false">
      <c r="A916" s="14"/>
      <c r="B916" s="9"/>
      <c r="C916" s="9"/>
      <c r="D916" s="9"/>
      <c r="E916" s="9"/>
      <c r="F916" s="17" t="str">
        <f aca="false">IF(AND(A916="",B916="",C916=""),"",IF(NOT(ISNUMBER(A916)),"Enter the date done",IF(OR(B916="",C916=""),"Fill in asset and task",IF(SUMPRODUCT(('PM Plan'!$A$5:$A$304=B916)*('PM Plan'!$B$5:$B$304=C916))=0,"No matching asset + task in plan","OK"))))</f>
        <v/>
      </c>
    </row>
    <row r="917" customFormat="false" ht="15" hidden="false" customHeight="false" outlineLevel="0" collapsed="false">
      <c r="A917" s="14"/>
      <c r="B917" s="9"/>
      <c r="C917" s="9"/>
      <c r="D917" s="9"/>
      <c r="E917" s="9"/>
      <c r="F917" s="17" t="str">
        <f aca="false">IF(AND(A917="",B917="",C917=""),"",IF(NOT(ISNUMBER(A917)),"Enter the date done",IF(OR(B917="",C917=""),"Fill in asset and task",IF(SUMPRODUCT(('PM Plan'!$A$5:$A$304=B917)*('PM Plan'!$B$5:$B$304=C917))=0,"No matching asset + task in plan","OK"))))</f>
        <v/>
      </c>
    </row>
    <row r="918" customFormat="false" ht="15" hidden="false" customHeight="false" outlineLevel="0" collapsed="false">
      <c r="A918" s="14"/>
      <c r="B918" s="9"/>
      <c r="C918" s="9"/>
      <c r="D918" s="9"/>
      <c r="E918" s="9"/>
      <c r="F918" s="17" t="str">
        <f aca="false">IF(AND(A918="",B918="",C918=""),"",IF(NOT(ISNUMBER(A918)),"Enter the date done",IF(OR(B918="",C918=""),"Fill in asset and task",IF(SUMPRODUCT(('PM Plan'!$A$5:$A$304=B918)*('PM Plan'!$B$5:$B$304=C918))=0,"No matching asset + task in plan","OK"))))</f>
        <v/>
      </c>
    </row>
    <row r="919" customFormat="false" ht="15" hidden="false" customHeight="false" outlineLevel="0" collapsed="false">
      <c r="A919" s="14"/>
      <c r="B919" s="9"/>
      <c r="C919" s="9"/>
      <c r="D919" s="9"/>
      <c r="E919" s="9"/>
      <c r="F919" s="17" t="str">
        <f aca="false">IF(AND(A919="",B919="",C919=""),"",IF(NOT(ISNUMBER(A919)),"Enter the date done",IF(OR(B919="",C919=""),"Fill in asset and task",IF(SUMPRODUCT(('PM Plan'!$A$5:$A$304=B919)*('PM Plan'!$B$5:$B$304=C919))=0,"No matching asset + task in plan","OK"))))</f>
        <v/>
      </c>
    </row>
    <row r="920" customFormat="false" ht="15" hidden="false" customHeight="false" outlineLevel="0" collapsed="false">
      <c r="A920" s="14"/>
      <c r="B920" s="9"/>
      <c r="C920" s="9"/>
      <c r="D920" s="9"/>
      <c r="E920" s="9"/>
      <c r="F920" s="17" t="str">
        <f aca="false">IF(AND(A920="",B920="",C920=""),"",IF(NOT(ISNUMBER(A920)),"Enter the date done",IF(OR(B920="",C920=""),"Fill in asset and task",IF(SUMPRODUCT(('PM Plan'!$A$5:$A$304=B920)*('PM Plan'!$B$5:$B$304=C920))=0,"No matching asset + task in plan","OK"))))</f>
        <v/>
      </c>
    </row>
    <row r="921" customFormat="false" ht="15" hidden="false" customHeight="false" outlineLevel="0" collapsed="false">
      <c r="A921" s="14"/>
      <c r="B921" s="9"/>
      <c r="C921" s="9"/>
      <c r="D921" s="9"/>
      <c r="E921" s="9"/>
      <c r="F921" s="17" t="str">
        <f aca="false">IF(AND(A921="",B921="",C921=""),"",IF(NOT(ISNUMBER(A921)),"Enter the date done",IF(OR(B921="",C921=""),"Fill in asset and task",IF(SUMPRODUCT(('PM Plan'!$A$5:$A$304=B921)*('PM Plan'!$B$5:$B$304=C921))=0,"No matching asset + task in plan","OK"))))</f>
        <v/>
      </c>
    </row>
    <row r="922" customFormat="false" ht="15" hidden="false" customHeight="false" outlineLevel="0" collapsed="false">
      <c r="A922" s="14"/>
      <c r="B922" s="9"/>
      <c r="C922" s="9"/>
      <c r="D922" s="9"/>
      <c r="E922" s="9"/>
      <c r="F922" s="17" t="str">
        <f aca="false">IF(AND(A922="",B922="",C922=""),"",IF(NOT(ISNUMBER(A922)),"Enter the date done",IF(OR(B922="",C922=""),"Fill in asset and task",IF(SUMPRODUCT(('PM Plan'!$A$5:$A$304=B922)*('PM Plan'!$B$5:$B$304=C922))=0,"No matching asset + task in plan","OK"))))</f>
        <v/>
      </c>
    </row>
    <row r="923" customFormat="false" ht="15" hidden="false" customHeight="false" outlineLevel="0" collapsed="false">
      <c r="A923" s="14"/>
      <c r="B923" s="9"/>
      <c r="C923" s="9"/>
      <c r="D923" s="9"/>
      <c r="E923" s="9"/>
      <c r="F923" s="17" t="str">
        <f aca="false">IF(AND(A923="",B923="",C923=""),"",IF(NOT(ISNUMBER(A923)),"Enter the date done",IF(OR(B923="",C923=""),"Fill in asset and task",IF(SUMPRODUCT(('PM Plan'!$A$5:$A$304=B923)*('PM Plan'!$B$5:$B$304=C923))=0,"No matching asset + task in plan","OK"))))</f>
        <v/>
      </c>
    </row>
    <row r="924" customFormat="false" ht="15" hidden="false" customHeight="false" outlineLevel="0" collapsed="false">
      <c r="A924" s="14"/>
      <c r="B924" s="9"/>
      <c r="C924" s="9"/>
      <c r="D924" s="9"/>
      <c r="E924" s="9"/>
      <c r="F924" s="17" t="str">
        <f aca="false">IF(AND(A924="",B924="",C924=""),"",IF(NOT(ISNUMBER(A924)),"Enter the date done",IF(OR(B924="",C924=""),"Fill in asset and task",IF(SUMPRODUCT(('PM Plan'!$A$5:$A$304=B924)*('PM Plan'!$B$5:$B$304=C924))=0,"No matching asset + task in plan","OK"))))</f>
        <v/>
      </c>
    </row>
    <row r="925" customFormat="false" ht="15" hidden="false" customHeight="false" outlineLevel="0" collapsed="false">
      <c r="A925" s="14"/>
      <c r="B925" s="9"/>
      <c r="C925" s="9"/>
      <c r="D925" s="9"/>
      <c r="E925" s="9"/>
      <c r="F925" s="17" t="str">
        <f aca="false">IF(AND(A925="",B925="",C925=""),"",IF(NOT(ISNUMBER(A925)),"Enter the date done",IF(OR(B925="",C925=""),"Fill in asset and task",IF(SUMPRODUCT(('PM Plan'!$A$5:$A$304=B925)*('PM Plan'!$B$5:$B$304=C925))=0,"No matching asset + task in plan","OK"))))</f>
        <v/>
      </c>
    </row>
    <row r="926" customFormat="false" ht="15" hidden="false" customHeight="false" outlineLevel="0" collapsed="false">
      <c r="A926" s="14"/>
      <c r="B926" s="9"/>
      <c r="C926" s="9"/>
      <c r="D926" s="9"/>
      <c r="E926" s="9"/>
      <c r="F926" s="17" t="str">
        <f aca="false">IF(AND(A926="",B926="",C926=""),"",IF(NOT(ISNUMBER(A926)),"Enter the date done",IF(OR(B926="",C926=""),"Fill in asset and task",IF(SUMPRODUCT(('PM Plan'!$A$5:$A$304=B926)*('PM Plan'!$B$5:$B$304=C926))=0,"No matching asset + task in plan","OK"))))</f>
        <v/>
      </c>
    </row>
    <row r="927" customFormat="false" ht="15" hidden="false" customHeight="false" outlineLevel="0" collapsed="false">
      <c r="A927" s="14"/>
      <c r="B927" s="9"/>
      <c r="C927" s="9"/>
      <c r="D927" s="9"/>
      <c r="E927" s="9"/>
      <c r="F927" s="17" t="str">
        <f aca="false">IF(AND(A927="",B927="",C927=""),"",IF(NOT(ISNUMBER(A927)),"Enter the date done",IF(OR(B927="",C927=""),"Fill in asset and task",IF(SUMPRODUCT(('PM Plan'!$A$5:$A$304=B927)*('PM Plan'!$B$5:$B$304=C927))=0,"No matching asset + task in plan","OK"))))</f>
        <v/>
      </c>
    </row>
    <row r="928" customFormat="false" ht="15" hidden="false" customHeight="false" outlineLevel="0" collapsed="false">
      <c r="A928" s="14"/>
      <c r="B928" s="9"/>
      <c r="C928" s="9"/>
      <c r="D928" s="9"/>
      <c r="E928" s="9"/>
      <c r="F928" s="17" t="str">
        <f aca="false">IF(AND(A928="",B928="",C928=""),"",IF(NOT(ISNUMBER(A928)),"Enter the date done",IF(OR(B928="",C928=""),"Fill in asset and task",IF(SUMPRODUCT(('PM Plan'!$A$5:$A$304=B928)*('PM Plan'!$B$5:$B$304=C928))=0,"No matching asset + task in plan","OK"))))</f>
        <v/>
      </c>
    </row>
    <row r="929" customFormat="false" ht="15" hidden="false" customHeight="false" outlineLevel="0" collapsed="false">
      <c r="A929" s="14"/>
      <c r="B929" s="9"/>
      <c r="C929" s="9"/>
      <c r="D929" s="9"/>
      <c r="E929" s="9"/>
      <c r="F929" s="17" t="str">
        <f aca="false">IF(AND(A929="",B929="",C929=""),"",IF(NOT(ISNUMBER(A929)),"Enter the date done",IF(OR(B929="",C929=""),"Fill in asset and task",IF(SUMPRODUCT(('PM Plan'!$A$5:$A$304=B929)*('PM Plan'!$B$5:$B$304=C929))=0,"No matching asset + task in plan","OK"))))</f>
        <v/>
      </c>
    </row>
    <row r="930" customFormat="false" ht="15" hidden="false" customHeight="false" outlineLevel="0" collapsed="false">
      <c r="A930" s="14"/>
      <c r="B930" s="9"/>
      <c r="C930" s="9"/>
      <c r="D930" s="9"/>
      <c r="E930" s="9"/>
      <c r="F930" s="17" t="str">
        <f aca="false">IF(AND(A930="",B930="",C930=""),"",IF(NOT(ISNUMBER(A930)),"Enter the date done",IF(OR(B930="",C930=""),"Fill in asset and task",IF(SUMPRODUCT(('PM Plan'!$A$5:$A$304=B930)*('PM Plan'!$B$5:$B$304=C930))=0,"No matching asset + task in plan","OK"))))</f>
        <v/>
      </c>
    </row>
    <row r="931" customFormat="false" ht="15" hidden="false" customHeight="false" outlineLevel="0" collapsed="false">
      <c r="A931" s="14"/>
      <c r="B931" s="9"/>
      <c r="C931" s="9"/>
      <c r="D931" s="9"/>
      <c r="E931" s="9"/>
      <c r="F931" s="17" t="str">
        <f aca="false">IF(AND(A931="",B931="",C931=""),"",IF(NOT(ISNUMBER(A931)),"Enter the date done",IF(OR(B931="",C931=""),"Fill in asset and task",IF(SUMPRODUCT(('PM Plan'!$A$5:$A$304=B931)*('PM Plan'!$B$5:$B$304=C931))=0,"No matching asset + task in plan","OK"))))</f>
        <v/>
      </c>
    </row>
    <row r="932" customFormat="false" ht="15" hidden="false" customHeight="false" outlineLevel="0" collapsed="false">
      <c r="A932" s="14"/>
      <c r="B932" s="9"/>
      <c r="C932" s="9"/>
      <c r="D932" s="9"/>
      <c r="E932" s="9"/>
      <c r="F932" s="17" t="str">
        <f aca="false">IF(AND(A932="",B932="",C932=""),"",IF(NOT(ISNUMBER(A932)),"Enter the date done",IF(OR(B932="",C932=""),"Fill in asset and task",IF(SUMPRODUCT(('PM Plan'!$A$5:$A$304=B932)*('PM Plan'!$B$5:$B$304=C932))=0,"No matching asset + task in plan","OK"))))</f>
        <v/>
      </c>
    </row>
    <row r="933" customFormat="false" ht="15" hidden="false" customHeight="false" outlineLevel="0" collapsed="false">
      <c r="A933" s="14"/>
      <c r="B933" s="9"/>
      <c r="C933" s="9"/>
      <c r="D933" s="9"/>
      <c r="E933" s="9"/>
      <c r="F933" s="17" t="str">
        <f aca="false">IF(AND(A933="",B933="",C933=""),"",IF(NOT(ISNUMBER(A933)),"Enter the date done",IF(OR(B933="",C933=""),"Fill in asset and task",IF(SUMPRODUCT(('PM Plan'!$A$5:$A$304=B933)*('PM Plan'!$B$5:$B$304=C933))=0,"No matching asset + task in plan","OK"))))</f>
        <v/>
      </c>
    </row>
    <row r="934" customFormat="false" ht="15" hidden="false" customHeight="false" outlineLevel="0" collapsed="false">
      <c r="A934" s="14"/>
      <c r="B934" s="9"/>
      <c r="C934" s="9"/>
      <c r="D934" s="9"/>
      <c r="E934" s="9"/>
      <c r="F934" s="17" t="str">
        <f aca="false">IF(AND(A934="",B934="",C934=""),"",IF(NOT(ISNUMBER(A934)),"Enter the date done",IF(OR(B934="",C934=""),"Fill in asset and task",IF(SUMPRODUCT(('PM Plan'!$A$5:$A$304=B934)*('PM Plan'!$B$5:$B$304=C934))=0,"No matching asset + task in plan","OK"))))</f>
        <v/>
      </c>
    </row>
    <row r="935" customFormat="false" ht="15" hidden="false" customHeight="false" outlineLevel="0" collapsed="false">
      <c r="A935" s="14"/>
      <c r="B935" s="9"/>
      <c r="C935" s="9"/>
      <c r="D935" s="9"/>
      <c r="E935" s="9"/>
      <c r="F935" s="17" t="str">
        <f aca="false">IF(AND(A935="",B935="",C935=""),"",IF(NOT(ISNUMBER(A935)),"Enter the date done",IF(OR(B935="",C935=""),"Fill in asset and task",IF(SUMPRODUCT(('PM Plan'!$A$5:$A$304=B935)*('PM Plan'!$B$5:$B$304=C935))=0,"No matching asset + task in plan","OK"))))</f>
        <v/>
      </c>
    </row>
    <row r="936" customFormat="false" ht="15" hidden="false" customHeight="false" outlineLevel="0" collapsed="false">
      <c r="A936" s="14"/>
      <c r="B936" s="9"/>
      <c r="C936" s="9"/>
      <c r="D936" s="9"/>
      <c r="E936" s="9"/>
      <c r="F936" s="17" t="str">
        <f aca="false">IF(AND(A936="",B936="",C936=""),"",IF(NOT(ISNUMBER(A936)),"Enter the date done",IF(OR(B936="",C936=""),"Fill in asset and task",IF(SUMPRODUCT(('PM Plan'!$A$5:$A$304=B936)*('PM Plan'!$B$5:$B$304=C936))=0,"No matching asset + task in plan","OK"))))</f>
        <v/>
      </c>
    </row>
    <row r="937" customFormat="false" ht="15" hidden="false" customHeight="false" outlineLevel="0" collapsed="false">
      <c r="A937" s="14"/>
      <c r="B937" s="9"/>
      <c r="C937" s="9"/>
      <c r="D937" s="9"/>
      <c r="E937" s="9"/>
      <c r="F937" s="17" t="str">
        <f aca="false">IF(AND(A937="",B937="",C937=""),"",IF(NOT(ISNUMBER(A937)),"Enter the date done",IF(OR(B937="",C937=""),"Fill in asset and task",IF(SUMPRODUCT(('PM Plan'!$A$5:$A$304=B937)*('PM Plan'!$B$5:$B$304=C937))=0,"No matching asset + task in plan","OK"))))</f>
        <v/>
      </c>
    </row>
    <row r="938" customFormat="false" ht="15" hidden="false" customHeight="false" outlineLevel="0" collapsed="false">
      <c r="A938" s="14"/>
      <c r="B938" s="9"/>
      <c r="C938" s="9"/>
      <c r="D938" s="9"/>
      <c r="E938" s="9"/>
      <c r="F938" s="17" t="str">
        <f aca="false">IF(AND(A938="",B938="",C938=""),"",IF(NOT(ISNUMBER(A938)),"Enter the date done",IF(OR(B938="",C938=""),"Fill in asset and task",IF(SUMPRODUCT(('PM Plan'!$A$5:$A$304=B938)*('PM Plan'!$B$5:$B$304=C938))=0,"No matching asset + task in plan","OK"))))</f>
        <v/>
      </c>
    </row>
    <row r="939" customFormat="false" ht="15" hidden="false" customHeight="false" outlineLevel="0" collapsed="false">
      <c r="A939" s="14"/>
      <c r="B939" s="9"/>
      <c r="C939" s="9"/>
      <c r="D939" s="9"/>
      <c r="E939" s="9"/>
      <c r="F939" s="17" t="str">
        <f aca="false">IF(AND(A939="",B939="",C939=""),"",IF(NOT(ISNUMBER(A939)),"Enter the date done",IF(OR(B939="",C939=""),"Fill in asset and task",IF(SUMPRODUCT(('PM Plan'!$A$5:$A$304=B939)*('PM Plan'!$B$5:$B$304=C939))=0,"No matching asset + task in plan","OK"))))</f>
        <v/>
      </c>
    </row>
    <row r="940" customFormat="false" ht="15" hidden="false" customHeight="false" outlineLevel="0" collapsed="false">
      <c r="A940" s="14"/>
      <c r="B940" s="9"/>
      <c r="C940" s="9"/>
      <c r="D940" s="9"/>
      <c r="E940" s="9"/>
      <c r="F940" s="17" t="str">
        <f aca="false">IF(AND(A940="",B940="",C940=""),"",IF(NOT(ISNUMBER(A940)),"Enter the date done",IF(OR(B940="",C940=""),"Fill in asset and task",IF(SUMPRODUCT(('PM Plan'!$A$5:$A$304=B940)*('PM Plan'!$B$5:$B$304=C940))=0,"No matching asset + task in plan","OK"))))</f>
        <v/>
      </c>
    </row>
    <row r="941" customFormat="false" ht="15" hidden="false" customHeight="false" outlineLevel="0" collapsed="false">
      <c r="A941" s="14"/>
      <c r="B941" s="9"/>
      <c r="C941" s="9"/>
      <c r="D941" s="9"/>
      <c r="E941" s="9"/>
      <c r="F941" s="17" t="str">
        <f aca="false">IF(AND(A941="",B941="",C941=""),"",IF(NOT(ISNUMBER(A941)),"Enter the date done",IF(OR(B941="",C941=""),"Fill in asset and task",IF(SUMPRODUCT(('PM Plan'!$A$5:$A$304=B941)*('PM Plan'!$B$5:$B$304=C941))=0,"No matching asset + task in plan","OK"))))</f>
        <v/>
      </c>
    </row>
    <row r="942" customFormat="false" ht="15" hidden="false" customHeight="false" outlineLevel="0" collapsed="false">
      <c r="A942" s="14"/>
      <c r="B942" s="9"/>
      <c r="C942" s="9"/>
      <c r="D942" s="9"/>
      <c r="E942" s="9"/>
      <c r="F942" s="17" t="str">
        <f aca="false">IF(AND(A942="",B942="",C942=""),"",IF(NOT(ISNUMBER(A942)),"Enter the date done",IF(OR(B942="",C942=""),"Fill in asset and task",IF(SUMPRODUCT(('PM Plan'!$A$5:$A$304=B942)*('PM Plan'!$B$5:$B$304=C942))=0,"No matching asset + task in plan","OK"))))</f>
        <v/>
      </c>
    </row>
    <row r="943" customFormat="false" ht="15" hidden="false" customHeight="false" outlineLevel="0" collapsed="false">
      <c r="A943" s="14"/>
      <c r="B943" s="9"/>
      <c r="C943" s="9"/>
      <c r="D943" s="9"/>
      <c r="E943" s="9"/>
      <c r="F943" s="17" t="str">
        <f aca="false">IF(AND(A943="",B943="",C943=""),"",IF(NOT(ISNUMBER(A943)),"Enter the date done",IF(OR(B943="",C943=""),"Fill in asset and task",IF(SUMPRODUCT(('PM Plan'!$A$5:$A$304=B943)*('PM Plan'!$B$5:$B$304=C943))=0,"No matching asset + task in plan","OK"))))</f>
        <v/>
      </c>
    </row>
    <row r="944" customFormat="false" ht="15" hidden="false" customHeight="false" outlineLevel="0" collapsed="false">
      <c r="A944" s="14"/>
      <c r="B944" s="9"/>
      <c r="C944" s="9"/>
      <c r="D944" s="9"/>
      <c r="E944" s="9"/>
      <c r="F944" s="17" t="str">
        <f aca="false">IF(AND(A944="",B944="",C944=""),"",IF(NOT(ISNUMBER(A944)),"Enter the date done",IF(OR(B944="",C944=""),"Fill in asset and task",IF(SUMPRODUCT(('PM Plan'!$A$5:$A$304=B944)*('PM Plan'!$B$5:$B$304=C944))=0,"No matching asset + task in plan","OK"))))</f>
        <v/>
      </c>
    </row>
    <row r="945" customFormat="false" ht="15" hidden="false" customHeight="false" outlineLevel="0" collapsed="false">
      <c r="A945" s="14"/>
      <c r="B945" s="9"/>
      <c r="C945" s="9"/>
      <c r="D945" s="9"/>
      <c r="E945" s="9"/>
      <c r="F945" s="17" t="str">
        <f aca="false">IF(AND(A945="",B945="",C945=""),"",IF(NOT(ISNUMBER(A945)),"Enter the date done",IF(OR(B945="",C945=""),"Fill in asset and task",IF(SUMPRODUCT(('PM Plan'!$A$5:$A$304=B945)*('PM Plan'!$B$5:$B$304=C945))=0,"No matching asset + task in plan","OK"))))</f>
        <v/>
      </c>
    </row>
    <row r="946" customFormat="false" ht="15" hidden="false" customHeight="false" outlineLevel="0" collapsed="false">
      <c r="A946" s="14"/>
      <c r="B946" s="9"/>
      <c r="C946" s="9"/>
      <c r="D946" s="9"/>
      <c r="E946" s="9"/>
      <c r="F946" s="17" t="str">
        <f aca="false">IF(AND(A946="",B946="",C946=""),"",IF(NOT(ISNUMBER(A946)),"Enter the date done",IF(OR(B946="",C946=""),"Fill in asset and task",IF(SUMPRODUCT(('PM Plan'!$A$5:$A$304=B946)*('PM Plan'!$B$5:$B$304=C946))=0,"No matching asset + task in plan","OK"))))</f>
        <v/>
      </c>
    </row>
    <row r="947" customFormat="false" ht="15" hidden="false" customHeight="false" outlineLevel="0" collapsed="false">
      <c r="A947" s="14"/>
      <c r="B947" s="9"/>
      <c r="C947" s="9"/>
      <c r="D947" s="9"/>
      <c r="E947" s="9"/>
      <c r="F947" s="17" t="str">
        <f aca="false">IF(AND(A947="",B947="",C947=""),"",IF(NOT(ISNUMBER(A947)),"Enter the date done",IF(OR(B947="",C947=""),"Fill in asset and task",IF(SUMPRODUCT(('PM Plan'!$A$5:$A$304=B947)*('PM Plan'!$B$5:$B$304=C947))=0,"No matching asset + task in plan","OK"))))</f>
        <v/>
      </c>
    </row>
    <row r="948" customFormat="false" ht="15" hidden="false" customHeight="false" outlineLevel="0" collapsed="false">
      <c r="A948" s="14"/>
      <c r="B948" s="9"/>
      <c r="C948" s="9"/>
      <c r="D948" s="9"/>
      <c r="E948" s="9"/>
      <c r="F948" s="17" t="str">
        <f aca="false">IF(AND(A948="",B948="",C948=""),"",IF(NOT(ISNUMBER(A948)),"Enter the date done",IF(OR(B948="",C948=""),"Fill in asset and task",IF(SUMPRODUCT(('PM Plan'!$A$5:$A$304=B948)*('PM Plan'!$B$5:$B$304=C948))=0,"No matching asset + task in plan","OK"))))</f>
        <v/>
      </c>
    </row>
    <row r="949" customFormat="false" ht="15" hidden="false" customHeight="false" outlineLevel="0" collapsed="false">
      <c r="A949" s="14"/>
      <c r="B949" s="9"/>
      <c r="C949" s="9"/>
      <c r="D949" s="9"/>
      <c r="E949" s="9"/>
      <c r="F949" s="17" t="str">
        <f aca="false">IF(AND(A949="",B949="",C949=""),"",IF(NOT(ISNUMBER(A949)),"Enter the date done",IF(OR(B949="",C949=""),"Fill in asset and task",IF(SUMPRODUCT(('PM Plan'!$A$5:$A$304=B949)*('PM Plan'!$B$5:$B$304=C949))=0,"No matching asset + task in plan","OK"))))</f>
        <v/>
      </c>
    </row>
    <row r="950" customFormat="false" ht="15" hidden="false" customHeight="false" outlineLevel="0" collapsed="false">
      <c r="A950" s="14"/>
      <c r="B950" s="9"/>
      <c r="C950" s="9"/>
      <c r="D950" s="9"/>
      <c r="E950" s="9"/>
      <c r="F950" s="17" t="str">
        <f aca="false">IF(AND(A950="",B950="",C950=""),"",IF(NOT(ISNUMBER(A950)),"Enter the date done",IF(OR(B950="",C950=""),"Fill in asset and task",IF(SUMPRODUCT(('PM Plan'!$A$5:$A$304=B950)*('PM Plan'!$B$5:$B$304=C950))=0,"No matching asset + task in plan","OK"))))</f>
        <v/>
      </c>
    </row>
    <row r="951" customFormat="false" ht="15" hidden="false" customHeight="false" outlineLevel="0" collapsed="false">
      <c r="A951" s="14"/>
      <c r="B951" s="9"/>
      <c r="C951" s="9"/>
      <c r="D951" s="9"/>
      <c r="E951" s="9"/>
      <c r="F951" s="17" t="str">
        <f aca="false">IF(AND(A951="",B951="",C951=""),"",IF(NOT(ISNUMBER(A951)),"Enter the date done",IF(OR(B951="",C951=""),"Fill in asset and task",IF(SUMPRODUCT(('PM Plan'!$A$5:$A$304=B951)*('PM Plan'!$B$5:$B$304=C951))=0,"No matching asset + task in plan","OK"))))</f>
        <v/>
      </c>
    </row>
    <row r="952" customFormat="false" ht="15" hidden="false" customHeight="false" outlineLevel="0" collapsed="false">
      <c r="A952" s="14"/>
      <c r="B952" s="9"/>
      <c r="C952" s="9"/>
      <c r="D952" s="9"/>
      <c r="E952" s="9"/>
      <c r="F952" s="17" t="str">
        <f aca="false">IF(AND(A952="",B952="",C952=""),"",IF(NOT(ISNUMBER(A952)),"Enter the date done",IF(OR(B952="",C952=""),"Fill in asset and task",IF(SUMPRODUCT(('PM Plan'!$A$5:$A$304=B952)*('PM Plan'!$B$5:$B$304=C952))=0,"No matching asset + task in plan","OK"))))</f>
        <v/>
      </c>
    </row>
    <row r="953" customFormat="false" ht="15" hidden="false" customHeight="false" outlineLevel="0" collapsed="false">
      <c r="A953" s="14"/>
      <c r="B953" s="9"/>
      <c r="C953" s="9"/>
      <c r="D953" s="9"/>
      <c r="E953" s="9"/>
      <c r="F953" s="17" t="str">
        <f aca="false">IF(AND(A953="",B953="",C953=""),"",IF(NOT(ISNUMBER(A953)),"Enter the date done",IF(OR(B953="",C953=""),"Fill in asset and task",IF(SUMPRODUCT(('PM Plan'!$A$5:$A$304=B953)*('PM Plan'!$B$5:$B$304=C953))=0,"No matching asset + task in plan","OK"))))</f>
        <v/>
      </c>
    </row>
    <row r="954" customFormat="false" ht="15" hidden="false" customHeight="false" outlineLevel="0" collapsed="false">
      <c r="A954" s="14"/>
      <c r="B954" s="9"/>
      <c r="C954" s="9"/>
      <c r="D954" s="9"/>
      <c r="E954" s="9"/>
      <c r="F954" s="17" t="str">
        <f aca="false">IF(AND(A954="",B954="",C954=""),"",IF(NOT(ISNUMBER(A954)),"Enter the date done",IF(OR(B954="",C954=""),"Fill in asset and task",IF(SUMPRODUCT(('PM Plan'!$A$5:$A$304=B954)*('PM Plan'!$B$5:$B$304=C954))=0,"No matching asset + task in plan","OK"))))</f>
        <v/>
      </c>
    </row>
    <row r="955" customFormat="false" ht="15" hidden="false" customHeight="false" outlineLevel="0" collapsed="false">
      <c r="A955" s="14"/>
      <c r="B955" s="9"/>
      <c r="C955" s="9"/>
      <c r="D955" s="9"/>
      <c r="E955" s="9"/>
      <c r="F955" s="17" t="str">
        <f aca="false">IF(AND(A955="",B955="",C955=""),"",IF(NOT(ISNUMBER(A955)),"Enter the date done",IF(OR(B955="",C955=""),"Fill in asset and task",IF(SUMPRODUCT(('PM Plan'!$A$5:$A$304=B955)*('PM Plan'!$B$5:$B$304=C955))=0,"No matching asset + task in plan","OK"))))</f>
        <v/>
      </c>
    </row>
    <row r="956" customFormat="false" ht="15" hidden="false" customHeight="false" outlineLevel="0" collapsed="false">
      <c r="A956" s="14"/>
      <c r="B956" s="9"/>
      <c r="C956" s="9"/>
      <c r="D956" s="9"/>
      <c r="E956" s="9"/>
      <c r="F956" s="17" t="str">
        <f aca="false">IF(AND(A956="",B956="",C956=""),"",IF(NOT(ISNUMBER(A956)),"Enter the date done",IF(OR(B956="",C956=""),"Fill in asset and task",IF(SUMPRODUCT(('PM Plan'!$A$5:$A$304=B956)*('PM Plan'!$B$5:$B$304=C956))=0,"No matching asset + task in plan","OK"))))</f>
        <v/>
      </c>
    </row>
    <row r="957" customFormat="false" ht="15" hidden="false" customHeight="false" outlineLevel="0" collapsed="false">
      <c r="A957" s="14"/>
      <c r="B957" s="9"/>
      <c r="C957" s="9"/>
      <c r="D957" s="9"/>
      <c r="E957" s="9"/>
      <c r="F957" s="17" t="str">
        <f aca="false">IF(AND(A957="",B957="",C957=""),"",IF(NOT(ISNUMBER(A957)),"Enter the date done",IF(OR(B957="",C957=""),"Fill in asset and task",IF(SUMPRODUCT(('PM Plan'!$A$5:$A$304=B957)*('PM Plan'!$B$5:$B$304=C957))=0,"No matching asset + task in plan","OK"))))</f>
        <v/>
      </c>
    </row>
    <row r="958" customFormat="false" ht="15" hidden="false" customHeight="false" outlineLevel="0" collapsed="false">
      <c r="A958" s="14"/>
      <c r="B958" s="9"/>
      <c r="C958" s="9"/>
      <c r="D958" s="9"/>
      <c r="E958" s="9"/>
      <c r="F958" s="17" t="str">
        <f aca="false">IF(AND(A958="",B958="",C958=""),"",IF(NOT(ISNUMBER(A958)),"Enter the date done",IF(OR(B958="",C958=""),"Fill in asset and task",IF(SUMPRODUCT(('PM Plan'!$A$5:$A$304=B958)*('PM Plan'!$B$5:$B$304=C958))=0,"No matching asset + task in plan","OK"))))</f>
        <v/>
      </c>
    </row>
    <row r="959" customFormat="false" ht="15" hidden="false" customHeight="false" outlineLevel="0" collapsed="false">
      <c r="A959" s="14"/>
      <c r="B959" s="9"/>
      <c r="C959" s="9"/>
      <c r="D959" s="9"/>
      <c r="E959" s="9"/>
      <c r="F959" s="17" t="str">
        <f aca="false">IF(AND(A959="",B959="",C959=""),"",IF(NOT(ISNUMBER(A959)),"Enter the date done",IF(OR(B959="",C959=""),"Fill in asset and task",IF(SUMPRODUCT(('PM Plan'!$A$5:$A$304=B959)*('PM Plan'!$B$5:$B$304=C959))=0,"No matching asset + task in plan","OK"))))</f>
        <v/>
      </c>
    </row>
    <row r="960" customFormat="false" ht="15" hidden="false" customHeight="false" outlineLevel="0" collapsed="false">
      <c r="A960" s="14"/>
      <c r="B960" s="9"/>
      <c r="C960" s="9"/>
      <c r="D960" s="9"/>
      <c r="E960" s="9"/>
      <c r="F960" s="17" t="str">
        <f aca="false">IF(AND(A960="",B960="",C960=""),"",IF(NOT(ISNUMBER(A960)),"Enter the date done",IF(OR(B960="",C960=""),"Fill in asset and task",IF(SUMPRODUCT(('PM Plan'!$A$5:$A$304=B960)*('PM Plan'!$B$5:$B$304=C960))=0,"No matching asset + task in plan","OK"))))</f>
        <v/>
      </c>
    </row>
    <row r="961" customFormat="false" ht="15" hidden="false" customHeight="false" outlineLevel="0" collapsed="false">
      <c r="A961" s="14"/>
      <c r="B961" s="9"/>
      <c r="C961" s="9"/>
      <c r="D961" s="9"/>
      <c r="E961" s="9"/>
      <c r="F961" s="17" t="str">
        <f aca="false">IF(AND(A961="",B961="",C961=""),"",IF(NOT(ISNUMBER(A961)),"Enter the date done",IF(OR(B961="",C961=""),"Fill in asset and task",IF(SUMPRODUCT(('PM Plan'!$A$5:$A$304=B961)*('PM Plan'!$B$5:$B$304=C961))=0,"No matching asset + task in plan","OK"))))</f>
        <v/>
      </c>
    </row>
    <row r="962" customFormat="false" ht="15" hidden="false" customHeight="false" outlineLevel="0" collapsed="false">
      <c r="A962" s="14"/>
      <c r="B962" s="9"/>
      <c r="C962" s="9"/>
      <c r="D962" s="9"/>
      <c r="E962" s="9"/>
      <c r="F962" s="17" t="str">
        <f aca="false">IF(AND(A962="",B962="",C962=""),"",IF(NOT(ISNUMBER(A962)),"Enter the date done",IF(OR(B962="",C962=""),"Fill in asset and task",IF(SUMPRODUCT(('PM Plan'!$A$5:$A$304=B962)*('PM Plan'!$B$5:$B$304=C962))=0,"No matching asset + task in plan","OK"))))</f>
        <v/>
      </c>
    </row>
    <row r="963" customFormat="false" ht="15" hidden="false" customHeight="false" outlineLevel="0" collapsed="false">
      <c r="A963" s="14"/>
      <c r="B963" s="9"/>
      <c r="C963" s="9"/>
      <c r="D963" s="9"/>
      <c r="E963" s="9"/>
      <c r="F963" s="17" t="str">
        <f aca="false">IF(AND(A963="",B963="",C963=""),"",IF(NOT(ISNUMBER(A963)),"Enter the date done",IF(OR(B963="",C963=""),"Fill in asset and task",IF(SUMPRODUCT(('PM Plan'!$A$5:$A$304=B963)*('PM Plan'!$B$5:$B$304=C963))=0,"No matching asset + task in plan","OK"))))</f>
        <v/>
      </c>
    </row>
    <row r="964" customFormat="false" ht="15" hidden="false" customHeight="false" outlineLevel="0" collapsed="false">
      <c r="A964" s="14"/>
      <c r="B964" s="9"/>
      <c r="C964" s="9"/>
      <c r="D964" s="9"/>
      <c r="E964" s="9"/>
      <c r="F964" s="17" t="str">
        <f aca="false">IF(AND(A964="",B964="",C964=""),"",IF(NOT(ISNUMBER(A964)),"Enter the date done",IF(OR(B964="",C964=""),"Fill in asset and task",IF(SUMPRODUCT(('PM Plan'!$A$5:$A$304=B964)*('PM Plan'!$B$5:$B$304=C964))=0,"No matching asset + task in plan","OK"))))</f>
        <v/>
      </c>
    </row>
    <row r="965" customFormat="false" ht="15" hidden="false" customHeight="false" outlineLevel="0" collapsed="false">
      <c r="A965" s="14"/>
      <c r="B965" s="9"/>
      <c r="C965" s="9"/>
      <c r="D965" s="9"/>
      <c r="E965" s="9"/>
      <c r="F965" s="17" t="str">
        <f aca="false">IF(AND(A965="",B965="",C965=""),"",IF(NOT(ISNUMBER(A965)),"Enter the date done",IF(OR(B965="",C965=""),"Fill in asset and task",IF(SUMPRODUCT(('PM Plan'!$A$5:$A$304=B965)*('PM Plan'!$B$5:$B$304=C965))=0,"No matching asset + task in plan","OK"))))</f>
        <v/>
      </c>
    </row>
    <row r="966" customFormat="false" ht="15" hidden="false" customHeight="false" outlineLevel="0" collapsed="false">
      <c r="A966" s="14"/>
      <c r="B966" s="9"/>
      <c r="C966" s="9"/>
      <c r="D966" s="9"/>
      <c r="E966" s="9"/>
      <c r="F966" s="17" t="str">
        <f aca="false">IF(AND(A966="",B966="",C966=""),"",IF(NOT(ISNUMBER(A966)),"Enter the date done",IF(OR(B966="",C966=""),"Fill in asset and task",IF(SUMPRODUCT(('PM Plan'!$A$5:$A$304=B966)*('PM Plan'!$B$5:$B$304=C966))=0,"No matching asset + task in plan","OK"))))</f>
        <v/>
      </c>
    </row>
    <row r="967" customFormat="false" ht="15" hidden="false" customHeight="false" outlineLevel="0" collapsed="false">
      <c r="A967" s="14"/>
      <c r="B967" s="9"/>
      <c r="C967" s="9"/>
      <c r="D967" s="9"/>
      <c r="E967" s="9"/>
      <c r="F967" s="17" t="str">
        <f aca="false">IF(AND(A967="",B967="",C967=""),"",IF(NOT(ISNUMBER(A967)),"Enter the date done",IF(OR(B967="",C967=""),"Fill in asset and task",IF(SUMPRODUCT(('PM Plan'!$A$5:$A$304=B967)*('PM Plan'!$B$5:$B$304=C967))=0,"No matching asset + task in plan","OK"))))</f>
        <v/>
      </c>
    </row>
    <row r="968" customFormat="false" ht="15" hidden="false" customHeight="false" outlineLevel="0" collapsed="false">
      <c r="A968" s="14"/>
      <c r="B968" s="9"/>
      <c r="C968" s="9"/>
      <c r="D968" s="9"/>
      <c r="E968" s="9"/>
      <c r="F968" s="17" t="str">
        <f aca="false">IF(AND(A968="",B968="",C968=""),"",IF(NOT(ISNUMBER(A968)),"Enter the date done",IF(OR(B968="",C968=""),"Fill in asset and task",IF(SUMPRODUCT(('PM Plan'!$A$5:$A$304=B968)*('PM Plan'!$B$5:$B$304=C968))=0,"No matching asset + task in plan","OK"))))</f>
        <v/>
      </c>
    </row>
    <row r="969" customFormat="false" ht="15" hidden="false" customHeight="false" outlineLevel="0" collapsed="false">
      <c r="A969" s="14"/>
      <c r="B969" s="9"/>
      <c r="C969" s="9"/>
      <c r="D969" s="9"/>
      <c r="E969" s="9"/>
      <c r="F969" s="17" t="str">
        <f aca="false">IF(AND(A969="",B969="",C969=""),"",IF(NOT(ISNUMBER(A969)),"Enter the date done",IF(OR(B969="",C969=""),"Fill in asset and task",IF(SUMPRODUCT(('PM Plan'!$A$5:$A$304=B969)*('PM Plan'!$B$5:$B$304=C969))=0,"No matching asset + task in plan","OK"))))</f>
        <v/>
      </c>
    </row>
    <row r="970" customFormat="false" ht="15" hidden="false" customHeight="false" outlineLevel="0" collapsed="false">
      <c r="A970" s="14"/>
      <c r="B970" s="9"/>
      <c r="C970" s="9"/>
      <c r="D970" s="9"/>
      <c r="E970" s="9"/>
      <c r="F970" s="17" t="str">
        <f aca="false">IF(AND(A970="",B970="",C970=""),"",IF(NOT(ISNUMBER(A970)),"Enter the date done",IF(OR(B970="",C970=""),"Fill in asset and task",IF(SUMPRODUCT(('PM Plan'!$A$5:$A$304=B970)*('PM Plan'!$B$5:$B$304=C970))=0,"No matching asset + task in plan","OK"))))</f>
        <v/>
      </c>
    </row>
    <row r="971" customFormat="false" ht="15" hidden="false" customHeight="false" outlineLevel="0" collapsed="false">
      <c r="A971" s="14"/>
      <c r="B971" s="9"/>
      <c r="C971" s="9"/>
      <c r="D971" s="9"/>
      <c r="E971" s="9"/>
      <c r="F971" s="17" t="str">
        <f aca="false">IF(AND(A971="",B971="",C971=""),"",IF(NOT(ISNUMBER(A971)),"Enter the date done",IF(OR(B971="",C971=""),"Fill in asset and task",IF(SUMPRODUCT(('PM Plan'!$A$5:$A$304=B971)*('PM Plan'!$B$5:$B$304=C971))=0,"No matching asset + task in plan","OK"))))</f>
        <v/>
      </c>
    </row>
    <row r="972" customFormat="false" ht="15" hidden="false" customHeight="false" outlineLevel="0" collapsed="false">
      <c r="A972" s="14"/>
      <c r="B972" s="9"/>
      <c r="C972" s="9"/>
      <c r="D972" s="9"/>
      <c r="E972" s="9"/>
      <c r="F972" s="17" t="str">
        <f aca="false">IF(AND(A972="",B972="",C972=""),"",IF(NOT(ISNUMBER(A972)),"Enter the date done",IF(OR(B972="",C972=""),"Fill in asset and task",IF(SUMPRODUCT(('PM Plan'!$A$5:$A$304=B972)*('PM Plan'!$B$5:$B$304=C972))=0,"No matching asset + task in plan","OK"))))</f>
        <v/>
      </c>
    </row>
    <row r="973" customFormat="false" ht="15" hidden="false" customHeight="false" outlineLevel="0" collapsed="false">
      <c r="A973" s="14"/>
      <c r="B973" s="9"/>
      <c r="C973" s="9"/>
      <c r="D973" s="9"/>
      <c r="E973" s="9"/>
      <c r="F973" s="17" t="str">
        <f aca="false">IF(AND(A973="",B973="",C973=""),"",IF(NOT(ISNUMBER(A973)),"Enter the date done",IF(OR(B973="",C973=""),"Fill in asset and task",IF(SUMPRODUCT(('PM Plan'!$A$5:$A$304=B973)*('PM Plan'!$B$5:$B$304=C973))=0,"No matching asset + task in plan","OK"))))</f>
        <v/>
      </c>
    </row>
    <row r="974" customFormat="false" ht="15" hidden="false" customHeight="false" outlineLevel="0" collapsed="false">
      <c r="A974" s="14"/>
      <c r="B974" s="9"/>
      <c r="C974" s="9"/>
      <c r="D974" s="9"/>
      <c r="E974" s="9"/>
      <c r="F974" s="17" t="str">
        <f aca="false">IF(AND(A974="",B974="",C974=""),"",IF(NOT(ISNUMBER(A974)),"Enter the date done",IF(OR(B974="",C974=""),"Fill in asset and task",IF(SUMPRODUCT(('PM Plan'!$A$5:$A$304=B974)*('PM Plan'!$B$5:$B$304=C974))=0,"No matching asset + task in plan","OK"))))</f>
        <v/>
      </c>
    </row>
    <row r="975" customFormat="false" ht="15" hidden="false" customHeight="false" outlineLevel="0" collapsed="false">
      <c r="A975" s="14"/>
      <c r="B975" s="9"/>
      <c r="C975" s="9"/>
      <c r="D975" s="9"/>
      <c r="E975" s="9"/>
      <c r="F975" s="17" t="str">
        <f aca="false">IF(AND(A975="",B975="",C975=""),"",IF(NOT(ISNUMBER(A975)),"Enter the date done",IF(OR(B975="",C975=""),"Fill in asset and task",IF(SUMPRODUCT(('PM Plan'!$A$5:$A$304=B975)*('PM Plan'!$B$5:$B$304=C975))=0,"No matching asset + task in plan","OK"))))</f>
        <v/>
      </c>
    </row>
    <row r="976" customFormat="false" ht="15" hidden="false" customHeight="false" outlineLevel="0" collapsed="false">
      <c r="A976" s="14"/>
      <c r="B976" s="9"/>
      <c r="C976" s="9"/>
      <c r="D976" s="9"/>
      <c r="E976" s="9"/>
      <c r="F976" s="17" t="str">
        <f aca="false">IF(AND(A976="",B976="",C976=""),"",IF(NOT(ISNUMBER(A976)),"Enter the date done",IF(OR(B976="",C976=""),"Fill in asset and task",IF(SUMPRODUCT(('PM Plan'!$A$5:$A$304=B976)*('PM Plan'!$B$5:$B$304=C976))=0,"No matching asset + task in plan","OK"))))</f>
        <v/>
      </c>
    </row>
    <row r="977" customFormat="false" ht="15" hidden="false" customHeight="false" outlineLevel="0" collapsed="false">
      <c r="A977" s="14"/>
      <c r="B977" s="9"/>
      <c r="C977" s="9"/>
      <c r="D977" s="9"/>
      <c r="E977" s="9"/>
      <c r="F977" s="17" t="str">
        <f aca="false">IF(AND(A977="",B977="",C977=""),"",IF(NOT(ISNUMBER(A977)),"Enter the date done",IF(OR(B977="",C977=""),"Fill in asset and task",IF(SUMPRODUCT(('PM Plan'!$A$5:$A$304=B977)*('PM Plan'!$B$5:$B$304=C977))=0,"No matching asset + task in plan","OK"))))</f>
        <v/>
      </c>
    </row>
    <row r="978" customFormat="false" ht="15" hidden="false" customHeight="false" outlineLevel="0" collapsed="false">
      <c r="A978" s="14"/>
      <c r="B978" s="9"/>
      <c r="C978" s="9"/>
      <c r="D978" s="9"/>
      <c r="E978" s="9"/>
      <c r="F978" s="17" t="str">
        <f aca="false">IF(AND(A978="",B978="",C978=""),"",IF(NOT(ISNUMBER(A978)),"Enter the date done",IF(OR(B978="",C978=""),"Fill in asset and task",IF(SUMPRODUCT(('PM Plan'!$A$5:$A$304=B978)*('PM Plan'!$B$5:$B$304=C978))=0,"No matching asset + task in plan","OK"))))</f>
        <v/>
      </c>
    </row>
    <row r="979" customFormat="false" ht="15" hidden="false" customHeight="false" outlineLevel="0" collapsed="false">
      <c r="A979" s="14"/>
      <c r="B979" s="9"/>
      <c r="C979" s="9"/>
      <c r="D979" s="9"/>
      <c r="E979" s="9"/>
      <c r="F979" s="17" t="str">
        <f aca="false">IF(AND(A979="",B979="",C979=""),"",IF(NOT(ISNUMBER(A979)),"Enter the date done",IF(OR(B979="",C979=""),"Fill in asset and task",IF(SUMPRODUCT(('PM Plan'!$A$5:$A$304=B979)*('PM Plan'!$B$5:$B$304=C979))=0,"No matching asset + task in plan","OK"))))</f>
        <v/>
      </c>
    </row>
    <row r="980" customFormat="false" ht="15" hidden="false" customHeight="false" outlineLevel="0" collapsed="false">
      <c r="A980" s="14"/>
      <c r="B980" s="9"/>
      <c r="C980" s="9"/>
      <c r="D980" s="9"/>
      <c r="E980" s="9"/>
      <c r="F980" s="17" t="str">
        <f aca="false">IF(AND(A980="",B980="",C980=""),"",IF(NOT(ISNUMBER(A980)),"Enter the date done",IF(OR(B980="",C980=""),"Fill in asset and task",IF(SUMPRODUCT(('PM Plan'!$A$5:$A$304=B980)*('PM Plan'!$B$5:$B$304=C980))=0,"No matching asset + task in plan","OK"))))</f>
        <v/>
      </c>
    </row>
    <row r="981" customFormat="false" ht="15" hidden="false" customHeight="false" outlineLevel="0" collapsed="false">
      <c r="A981" s="14"/>
      <c r="B981" s="9"/>
      <c r="C981" s="9"/>
      <c r="D981" s="9"/>
      <c r="E981" s="9"/>
      <c r="F981" s="17" t="str">
        <f aca="false">IF(AND(A981="",B981="",C981=""),"",IF(NOT(ISNUMBER(A981)),"Enter the date done",IF(OR(B981="",C981=""),"Fill in asset and task",IF(SUMPRODUCT(('PM Plan'!$A$5:$A$304=B981)*('PM Plan'!$B$5:$B$304=C981))=0,"No matching asset + task in plan","OK"))))</f>
        <v/>
      </c>
    </row>
    <row r="982" customFormat="false" ht="15" hidden="false" customHeight="false" outlineLevel="0" collapsed="false">
      <c r="A982" s="14"/>
      <c r="B982" s="9"/>
      <c r="C982" s="9"/>
      <c r="D982" s="9"/>
      <c r="E982" s="9"/>
      <c r="F982" s="17" t="str">
        <f aca="false">IF(AND(A982="",B982="",C982=""),"",IF(NOT(ISNUMBER(A982)),"Enter the date done",IF(OR(B982="",C982=""),"Fill in asset and task",IF(SUMPRODUCT(('PM Plan'!$A$5:$A$304=B982)*('PM Plan'!$B$5:$B$304=C982))=0,"No matching asset + task in plan","OK"))))</f>
        <v/>
      </c>
    </row>
    <row r="983" customFormat="false" ht="15" hidden="false" customHeight="false" outlineLevel="0" collapsed="false">
      <c r="A983" s="14"/>
      <c r="B983" s="9"/>
      <c r="C983" s="9"/>
      <c r="D983" s="9"/>
      <c r="E983" s="9"/>
      <c r="F983" s="17" t="str">
        <f aca="false">IF(AND(A983="",B983="",C983=""),"",IF(NOT(ISNUMBER(A983)),"Enter the date done",IF(OR(B983="",C983=""),"Fill in asset and task",IF(SUMPRODUCT(('PM Plan'!$A$5:$A$304=B983)*('PM Plan'!$B$5:$B$304=C983))=0,"No matching asset + task in plan","OK"))))</f>
        <v/>
      </c>
    </row>
    <row r="984" customFormat="false" ht="15" hidden="false" customHeight="false" outlineLevel="0" collapsed="false">
      <c r="A984" s="14"/>
      <c r="B984" s="9"/>
      <c r="C984" s="9"/>
      <c r="D984" s="9"/>
      <c r="E984" s="9"/>
      <c r="F984" s="17" t="str">
        <f aca="false">IF(AND(A984="",B984="",C984=""),"",IF(NOT(ISNUMBER(A984)),"Enter the date done",IF(OR(B984="",C984=""),"Fill in asset and task",IF(SUMPRODUCT(('PM Plan'!$A$5:$A$304=B984)*('PM Plan'!$B$5:$B$304=C984))=0,"No matching asset + task in plan","OK"))))</f>
        <v/>
      </c>
    </row>
    <row r="985" customFormat="false" ht="15" hidden="false" customHeight="false" outlineLevel="0" collapsed="false">
      <c r="A985" s="14"/>
      <c r="B985" s="9"/>
      <c r="C985" s="9"/>
      <c r="D985" s="9"/>
      <c r="E985" s="9"/>
      <c r="F985" s="17" t="str">
        <f aca="false">IF(AND(A985="",B985="",C985=""),"",IF(NOT(ISNUMBER(A985)),"Enter the date done",IF(OR(B985="",C985=""),"Fill in asset and task",IF(SUMPRODUCT(('PM Plan'!$A$5:$A$304=B985)*('PM Plan'!$B$5:$B$304=C985))=0,"No matching asset + task in plan","OK"))))</f>
        <v/>
      </c>
    </row>
    <row r="986" customFormat="false" ht="15" hidden="false" customHeight="false" outlineLevel="0" collapsed="false">
      <c r="A986" s="14"/>
      <c r="B986" s="9"/>
      <c r="C986" s="9"/>
      <c r="D986" s="9"/>
      <c r="E986" s="9"/>
      <c r="F986" s="17" t="str">
        <f aca="false">IF(AND(A986="",B986="",C986=""),"",IF(NOT(ISNUMBER(A986)),"Enter the date done",IF(OR(B986="",C986=""),"Fill in asset and task",IF(SUMPRODUCT(('PM Plan'!$A$5:$A$304=B986)*('PM Plan'!$B$5:$B$304=C986))=0,"No matching asset + task in plan","OK"))))</f>
        <v/>
      </c>
    </row>
    <row r="987" customFormat="false" ht="15" hidden="false" customHeight="false" outlineLevel="0" collapsed="false">
      <c r="A987" s="14"/>
      <c r="B987" s="9"/>
      <c r="C987" s="9"/>
      <c r="D987" s="9"/>
      <c r="E987" s="9"/>
      <c r="F987" s="17" t="str">
        <f aca="false">IF(AND(A987="",B987="",C987=""),"",IF(NOT(ISNUMBER(A987)),"Enter the date done",IF(OR(B987="",C987=""),"Fill in asset and task",IF(SUMPRODUCT(('PM Plan'!$A$5:$A$304=B987)*('PM Plan'!$B$5:$B$304=C987))=0,"No matching asset + task in plan","OK"))))</f>
        <v/>
      </c>
    </row>
    <row r="988" customFormat="false" ht="15" hidden="false" customHeight="false" outlineLevel="0" collapsed="false">
      <c r="A988" s="14"/>
      <c r="B988" s="9"/>
      <c r="C988" s="9"/>
      <c r="D988" s="9"/>
      <c r="E988" s="9"/>
      <c r="F988" s="17" t="str">
        <f aca="false">IF(AND(A988="",B988="",C988=""),"",IF(NOT(ISNUMBER(A988)),"Enter the date done",IF(OR(B988="",C988=""),"Fill in asset and task",IF(SUMPRODUCT(('PM Plan'!$A$5:$A$304=B988)*('PM Plan'!$B$5:$B$304=C988))=0,"No matching asset + task in plan","OK"))))</f>
        <v/>
      </c>
    </row>
    <row r="989" customFormat="false" ht="15" hidden="false" customHeight="false" outlineLevel="0" collapsed="false">
      <c r="A989" s="14"/>
      <c r="B989" s="9"/>
      <c r="C989" s="9"/>
      <c r="D989" s="9"/>
      <c r="E989" s="9"/>
      <c r="F989" s="17" t="str">
        <f aca="false">IF(AND(A989="",B989="",C989=""),"",IF(NOT(ISNUMBER(A989)),"Enter the date done",IF(OR(B989="",C989=""),"Fill in asset and task",IF(SUMPRODUCT(('PM Plan'!$A$5:$A$304=B989)*('PM Plan'!$B$5:$B$304=C989))=0,"No matching asset + task in plan","OK"))))</f>
        <v/>
      </c>
    </row>
    <row r="990" customFormat="false" ht="15" hidden="false" customHeight="false" outlineLevel="0" collapsed="false">
      <c r="A990" s="14"/>
      <c r="B990" s="9"/>
      <c r="C990" s="9"/>
      <c r="D990" s="9"/>
      <c r="E990" s="9"/>
      <c r="F990" s="17" t="str">
        <f aca="false">IF(AND(A990="",B990="",C990=""),"",IF(NOT(ISNUMBER(A990)),"Enter the date done",IF(OR(B990="",C990=""),"Fill in asset and task",IF(SUMPRODUCT(('PM Plan'!$A$5:$A$304=B990)*('PM Plan'!$B$5:$B$304=C990))=0,"No matching asset + task in plan","OK"))))</f>
        <v/>
      </c>
    </row>
    <row r="991" customFormat="false" ht="15" hidden="false" customHeight="false" outlineLevel="0" collapsed="false">
      <c r="A991" s="14"/>
      <c r="B991" s="9"/>
      <c r="C991" s="9"/>
      <c r="D991" s="9"/>
      <c r="E991" s="9"/>
      <c r="F991" s="17" t="str">
        <f aca="false">IF(AND(A991="",B991="",C991=""),"",IF(NOT(ISNUMBER(A991)),"Enter the date done",IF(OR(B991="",C991=""),"Fill in asset and task",IF(SUMPRODUCT(('PM Plan'!$A$5:$A$304=B991)*('PM Plan'!$B$5:$B$304=C991))=0,"No matching asset + task in plan","OK"))))</f>
        <v/>
      </c>
    </row>
    <row r="992" customFormat="false" ht="15" hidden="false" customHeight="false" outlineLevel="0" collapsed="false">
      <c r="A992" s="14"/>
      <c r="B992" s="9"/>
      <c r="C992" s="9"/>
      <c r="D992" s="9"/>
      <c r="E992" s="9"/>
      <c r="F992" s="17" t="str">
        <f aca="false">IF(AND(A992="",B992="",C992=""),"",IF(NOT(ISNUMBER(A992)),"Enter the date done",IF(OR(B992="",C992=""),"Fill in asset and task",IF(SUMPRODUCT(('PM Plan'!$A$5:$A$304=B992)*('PM Plan'!$B$5:$B$304=C992))=0,"No matching asset + task in plan","OK"))))</f>
        <v/>
      </c>
    </row>
    <row r="993" customFormat="false" ht="15" hidden="false" customHeight="false" outlineLevel="0" collapsed="false">
      <c r="A993" s="14"/>
      <c r="B993" s="9"/>
      <c r="C993" s="9"/>
      <c r="D993" s="9"/>
      <c r="E993" s="9"/>
      <c r="F993" s="17" t="str">
        <f aca="false">IF(AND(A993="",B993="",C993=""),"",IF(NOT(ISNUMBER(A993)),"Enter the date done",IF(OR(B993="",C993=""),"Fill in asset and task",IF(SUMPRODUCT(('PM Plan'!$A$5:$A$304=B993)*('PM Plan'!$B$5:$B$304=C993))=0,"No matching asset + task in plan","OK"))))</f>
        <v/>
      </c>
    </row>
    <row r="994" customFormat="false" ht="15" hidden="false" customHeight="false" outlineLevel="0" collapsed="false">
      <c r="A994" s="14"/>
      <c r="B994" s="9"/>
      <c r="C994" s="9"/>
      <c r="D994" s="9"/>
      <c r="E994" s="9"/>
      <c r="F994" s="17" t="str">
        <f aca="false">IF(AND(A994="",B994="",C994=""),"",IF(NOT(ISNUMBER(A994)),"Enter the date done",IF(OR(B994="",C994=""),"Fill in asset and task",IF(SUMPRODUCT(('PM Plan'!$A$5:$A$304=B994)*('PM Plan'!$B$5:$B$304=C994))=0,"No matching asset + task in plan","OK"))))</f>
        <v/>
      </c>
    </row>
    <row r="995" customFormat="false" ht="15" hidden="false" customHeight="false" outlineLevel="0" collapsed="false">
      <c r="A995" s="14"/>
      <c r="B995" s="9"/>
      <c r="C995" s="9"/>
      <c r="D995" s="9"/>
      <c r="E995" s="9"/>
      <c r="F995" s="17" t="str">
        <f aca="false">IF(AND(A995="",B995="",C995=""),"",IF(NOT(ISNUMBER(A995)),"Enter the date done",IF(OR(B995="",C995=""),"Fill in asset and task",IF(SUMPRODUCT(('PM Plan'!$A$5:$A$304=B995)*('PM Plan'!$B$5:$B$304=C995))=0,"No matching asset + task in plan","OK"))))</f>
        <v/>
      </c>
    </row>
    <row r="996" customFormat="false" ht="15" hidden="false" customHeight="false" outlineLevel="0" collapsed="false">
      <c r="A996" s="14"/>
      <c r="B996" s="9"/>
      <c r="C996" s="9"/>
      <c r="D996" s="9"/>
      <c r="E996" s="9"/>
      <c r="F996" s="17" t="str">
        <f aca="false">IF(AND(A996="",B996="",C996=""),"",IF(NOT(ISNUMBER(A996)),"Enter the date done",IF(OR(B996="",C996=""),"Fill in asset and task",IF(SUMPRODUCT(('PM Plan'!$A$5:$A$304=B996)*('PM Plan'!$B$5:$B$304=C996))=0,"No matching asset + task in plan","OK"))))</f>
        <v/>
      </c>
    </row>
    <row r="997" customFormat="false" ht="15" hidden="false" customHeight="false" outlineLevel="0" collapsed="false">
      <c r="A997" s="14"/>
      <c r="B997" s="9"/>
      <c r="C997" s="9"/>
      <c r="D997" s="9"/>
      <c r="E997" s="9"/>
      <c r="F997" s="17" t="str">
        <f aca="false">IF(AND(A997="",B997="",C997=""),"",IF(NOT(ISNUMBER(A997)),"Enter the date done",IF(OR(B997="",C997=""),"Fill in asset and task",IF(SUMPRODUCT(('PM Plan'!$A$5:$A$304=B997)*('PM Plan'!$B$5:$B$304=C997))=0,"No matching asset + task in plan","OK"))))</f>
        <v/>
      </c>
    </row>
    <row r="998" customFormat="false" ht="15" hidden="false" customHeight="false" outlineLevel="0" collapsed="false">
      <c r="A998" s="14"/>
      <c r="B998" s="9"/>
      <c r="C998" s="9"/>
      <c r="D998" s="9"/>
      <c r="E998" s="9"/>
      <c r="F998" s="17" t="str">
        <f aca="false">IF(AND(A998="",B998="",C998=""),"",IF(NOT(ISNUMBER(A998)),"Enter the date done",IF(OR(B998="",C998=""),"Fill in asset and task",IF(SUMPRODUCT(('PM Plan'!$A$5:$A$304=B998)*('PM Plan'!$B$5:$B$304=C998))=0,"No matching asset + task in plan","OK"))))</f>
        <v/>
      </c>
    </row>
    <row r="999" customFormat="false" ht="15" hidden="false" customHeight="false" outlineLevel="0" collapsed="false">
      <c r="A999" s="14"/>
      <c r="B999" s="9"/>
      <c r="C999" s="9"/>
      <c r="D999" s="9"/>
      <c r="E999" s="9"/>
      <c r="F999" s="17" t="str">
        <f aca="false">IF(AND(A999="",B999="",C999=""),"",IF(NOT(ISNUMBER(A999)),"Enter the date done",IF(OR(B999="",C999=""),"Fill in asset and task",IF(SUMPRODUCT(('PM Plan'!$A$5:$A$304=B999)*('PM Plan'!$B$5:$B$304=C999))=0,"No matching asset + task in plan","OK"))))</f>
        <v/>
      </c>
    </row>
    <row r="1000" customFormat="false" ht="15" hidden="false" customHeight="false" outlineLevel="0" collapsed="false">
      <c r="A1000" s="14"/>
      <c r="B1000" s="9"/>
      <c r="C1000" s="9"/>
      <c r="D1000" s="9"/>
      <c r="E1000" s="9"/>
      <c r="F1000" s="17" t="str">
        <f aca="false">IF(AND(A1000="",B1000="",C1000=""),"",IF(NOT(ISNUMBER(A1000)),"Enter the date done",IF(OR(B1000="",C1000=""),"Fill in asset and task",IF(SUMPRODUCT(('PM Plan'!$A$5:$A$304=B1000)*('PM Plan'!$B$5:$B$304=C1000))=0,"No matching asset + task in plan","OK"))))</f>
        <v/>
      </c>
    </row>
    <row r="1001" customFormat="false" ht="15" hidden="false" customHeight="false" outlineLevel="0" collapsed="false">
      <c r="A1001" s="14"/>
      <c r="B1001" s="9"/>
      <c r="C1001" s="9"/>
      <c r="D1001" s="9"/>
      <c r="E1001" s="9"/>
      <c r="F1001" s="17" t="str">
        <f aca="false">IF(AND(A1001="",B1001="",C1001=""),"",IF(NOT(ISNUMBER(A1001)),"Enter the date done",IF(OR(B1001="",C1001=""),"Fill in asset and task",IF(SUMPRODUCT(('PM Plan'!$A$5:$A$304=B1001)*('PM Plan'!$B$5:$B$304=C1001))=0,"No matching asset + task in plan","OK"))))</f>
        <v/>
      </c>
    </row>
    <row r="1002" customFormat="false" ht="15" hidden="false" customHeight="false" outlineLevel="0" collapsed="false">
      <c r="A1002" s="14"/>
      <c r="B1002" s="9"/>
      <c r="C1002" s="9"/>
      <c r="D1002" s="9"/>
      <c r="E1002" s="9"/>
      <c r="F1002" s="17" t="str">
        <f aca="false">IF(AND(A1002="",B1002="",C1002=""),"",IF(NOT(ISNUMBER(A1002)),"Enter the date done",IF(OR(B1002="",C1002=""),"Fill in asset and task",IF(SUMPRODUCT(('PM Plan'!$A$5:$A$304=B1002)*('PM Plan'!$B$5:$B$304=C1002))=0,"No matching asset + task in plan","OK"))))</f>
        <v/>
      </c>
    </row>
    <row r="1003" customFormat="false" ht="15" hidden="false" customHeight="false" outlineLevel="0" collapsed="false">
      <c r="A1003" s="14"/>
      <c r="B1003" s="9"/>
      <c r="C1003" s="9"/>
      <c r="D1003" s="9"/>
      <c r="E1003" s="9"/>
      <c r="F1003" s="17" t="str">
        <f aca="false">IF(AND(A1003="",B1003="",C1003=""),"",IF(NOT(ISNUMBER(A1003)),"Enter the date done",IF(OR(B1003="",C1003=""),"Fill in asset and task",IF(SUMPRODUCT(('PM Plan'!$A$5:$A$304=B1003)*('PM Plan'!$B$5:$B$304=C1003))=0,"No matching asset + task in plan","OK"))))</f>
        <v/>
      </c>
    </row>
    <row r="1004" customFormat="false" ht="15" hidden="false" customHeight="false" outlineLevel="0" collapsed="false">
      <c r="A1004" s="14"/>
      <c r="B1004" s="9"/>
      <c r="C1004" s="9"/>
      <c r="D1004" s="9"/>
      <c r="E1004" s="9"/>
      <c r="F1004" s="17" t="str">
        <f aca="false">IF(AND(A1004="",B1004="",C1004=""),"",IF(NOT(ISNUMBER(A1004)),"Enter the date done",IF(OR(B1004="",C1004=""),"Fill in asset and task",IF(SUMPRODUCT(('PM Plan'!$A$5:$A$304=B1004)*('PM Plan'!$B$5:$B$304=C1004))=0,"No matching asset + task in plan","OK"))))</f>
        <v/>
      </c>
    </row>
    <row r="1005" customFormat="false" ht="15" hidden="false" customHeight="false" outlineLevel="0" collapsed="false">
      <c r="A1005" s="14"/>
      <c r="B1005" s="9"/>
      <c r="C1005" s="9"/>
      <c r="D1005" s="9"/>
      <c r="E1005" s="9"/>
      <c r="F1005" s="17" t="str">
        <f aca="false">IF(AND(A1005="",B1005="",C1005=""),"",IF(NOT(ISNUMBER(A1005)),"Enter the date done",IF(OR(B1005="",C1005=""),"Fill in asset and task",IF(SUMPRODUCT(('PM Plan'!$A$5:$A$304=B1005)*('PM Plan'!$B$5:$B$304=C1005))=0,"No matching asset + task in plan","OK"))))</f>
        <v/>
      </c>
    </row>
    <row r="1006" customFormat="false" ht="15" hidden="false" customHeight="false" outlineLevel="0" collapsed="false">
      <c r="A1006" s="14"/>
      <c r="B1006" s="9"/>
      <c r="C1006" s="9"/>
      <c r="D1006" s="9"/>
      <c r="E1006" s="9"/>
      <c r="F1006" s="17" t="str">
        <f aca="false">IF(AND(A1006="",B1006="",C1006=""),"",IF(NOT(ISNUMBER(A1006)),"Enter the date done",IF(OR(B1006="",C1006=""),"Fill in asset and task",IF(SUMPRODUCT(('PM Plan'!$A$5:$A$304=B1006)*('PM Plan'!$B$5:$B$304=C1006))=0,"No matching asset + task in plan","OK"))))</f>
        <v/>
      </c>
    </row>
    <row r="1007" customFormat="false" ht="15" hidden="false" customHeight="false" outlineLevel="0" collapsed="false">
      <c r="A1007" s="14"/>
      <c r="B1007" s="9"/>
      <c r="C1007" s="9"/>
      <c r="D1007" s="9"/>
      <c r="E1007" s="9"/>
      <c r="F1007" s="17" t="str">
        <f aca="false">IF(AND(A1007="",B1007="",C1007=""),"",IF(NOT(ISNUMBER(A1007)),"Enter the date done",IF(OR(B1007="",C1007=""),"Fill in asset and task",IF(SUMPRODUCT(('PM Plan'!$A$5:$A$304=B1007)*('PM Plan'!$B$5:$B$304=C1007))=0,"No matching asset + task in plan","OK"))))</f>
        <v/>
      </c>
    </row>
    <row r="1008" customFormat="false" ht="15" hidden="false" customHeight="false" outlineLevel="0" collapsed="false">
      <c r="A1008" s="14"/>
      <c r="B1008" s="9"/>
      <c r="C1008" s="9"/>
      <c r="D1008" s="9"/>
      <c r="E1008" s="9"/>
      <c r="F1008" s="17" t="str">
        <f aca="false">IF(AND(A1008="",B1008="",C1008=""),"",IF(NOT(ISNUMBER(A1008)),"Enter the date done",IF(OR(B1008="",C1008=""),"Fill in asset and task",IF(SUMPRODUCT(('PM Plan'!$A$5:$A$304=B1008)*('PM Plan'!$B$5:$B$304=C1008))=0,"No matching asset + task in plan","OK"))))</f>
        <v/>
      </c>
    </row>
    <row r="1009" customFormat="false" ht="15" hidden="false" customHeight="false" outlineLevel="0" collapsed="false">
      <c r="A1009" s="14"/>
      <c r="B1009" s="9"/>
      <c r="C1009" s="9"/>
      <c r="D1009" s="9"/>
      <c r="E1009" s="9"/>
      <c r="F1009" s="17" t="str">
        <f aca="false">IF(AND(A1009="",B1009="",C1009=""),"",IF(NOT(ISNUMBER(A1009)),"Enter the date done",IF(OR(B1009="",C1009=""),"Fill in asset and task",IF(SUMPRODUCT(('PM Plan'!$A$5:$A$304=B1009)*('PM Plan'!$B$5:$B$304=C1009))=0,"No matching asset + task in plan","OK"))))</f>
        <v/>
      </c>
    </row>
    <row r="1010" customFormat="false" ht="15" hidden="false" customHeight="false" outlineLevel="0" collapsed="false">
      <c r="A1010" s="14"/>
      <c r="B1010" s="9"/>
      <c r="C1010" s="9"/>
      <c r="D1010" s="9"/>
      <c r="E1010" s="9"/>
      <c r="F1010" s="17" t="str">
        <f aca="false">IF(AND(A1010="",B1010="",C1010=""),"",IF(NOT(ISNUMBER(A1010)),"Enter the date done",IF(OR(B1010="",C1010=""),"Fill in asset and task",IF(SUMPRODUCT(('PM Plan'!$A$5:$A$304=B1010)*('PM Plan'!$B$5:$B$304=C1010))=0,"No matching asset + task in plan","OK"))))</f>
        <v/>
      </c>
    </row>
    <row r="1011" customFormat="false" ht="15" hidden="false" customHeight="false" outlineLevel="0" collapsed="false">
      <c r="A1011" s="14"/>
      <c r="B1011" s="9"/>
      <c r="C1011" s="9"/>
      <c r="D1011" s="9"/>
      <c r="E1011" s="9"/>
      <c r="F1011" s="17" t="str">
        <f aca="false">IF(AND(A1011="",B1011="",C1011=""),"",IF(NOT(ISNUMBER(A1011)),"Enter the date done",IF(OR(B1011="",C1011=""),"Fill in asset and task",IF(SUMPRODUCT(('PM Plan'!$A$5:$A$304=B1011)*('PM Plan'!$B$5:$B$304=C1011))=0,"No matching asset + task in plan","OK"))))</f>
        <v/>
      </c>
    </row>
    <row r="1012" customFormat="false" ht="15" hidden="false" customHeight="false" outlineLevel="0" collapsed="false">
      <c r="A1012" s="14"/>
      <c r="B1012" s="9"/>
      <c r="C1012" s="9"/>
      <c r="D1012" s="9"/>
      <c r="E1012" s="9"/>
      <c r="F1012" s="17" t="str">
        <f aca="false">IF(AND(A1012="",B1012="",C1012=""),"",IF(NOT(ISNUMBER(A1012)),"Enter the date done",IF(OR(B1012="",C1012=""),"Fill in asset and task",IF(SUMPRODUCT(('PM Plan'!$A$5:$A$304=B1012)*('PM Plan'!$B$5:$B$304=C1012))=0,"No matching asset + task in plan","OK"))))</f>
        <v/>
      </c>
    </row>
    <row r="1013" customFormat="false" ht="15" hidden="false" customHeight="false" outlineLevel="0" collapsed="false">
      <c r="A1013" s="14"/>
      <c r="B1013" s="9"/>
      <c r="C1013" s="9"/>
      <c r="D1013" s="9"/>
      <c r="E1013" s="9"/>
      <c r="F1013" s="17" t="str">
        <f aca="false">IF(AND(A1013="",B1013="",C1013=""),"",IF(NOT(ISNUMBER(A1013)),"Enter the date done",IF(OR(B1013="",C1013=""),"Fill in asset and task",IF(SUMPRODUCT(('PM Plan'!$A$5:$A$304=B1013)*('PM Plan'!$B$5:$B$304=C1013))=0,"No matching asset + task in plan","OK"))))</f>
        <v/>
      </c>
    </row>
    <row r="1014" customFormat="false" ht="15" hidden="false" customHeight="false" outlineLevel="0" collapsed="false">
      <c r="A1014" s="14"/>
      <c r="B1014" s="9"/>
      <c r="C1014" s="9"/>
      <c r="D1014" s="9"/>
      <c r="E1014" s="9"/>
      <c r="F1014" s="17" t="str">
        <f aca="false">IF(AND(A1014="",B1014="",C1014=""),"",IF(NOT(ISNUMBER(A1014)),"Enter the date done",IF(OR(B1014="",C1014=""),"Fill in asset and task",IF(SUMPRODUCT(('PM Plan'!$A$5:$A$304=B1014)*('PM Plan'!$B$5:$B$304=C1014))=0,"No matching asset + task in plan","OK"))))</f>
        <v/>
      </c>
    </row>
    <row r="1015" customFormat="false" ht="15" hidden="false" customHeight="false" outlineLevel="0" collapsed="false">
      <c r="A1015" s="14"/>
      <c r="B1015" s="9"/>
      <c r="C1015" s="9"/>
      <c r="D1015" s="9"/>
      <c r="E1015" s="9"/>
      <c r="F1015" s="17" t="str">
        <f aca="false">IF(AND(A1015="",B1015="",C1015=""),"",IF(NOT(ISNUMBER(A1015)),"Enter the date done",IF(OR(B1015="",C1015=""),"Fill in asset and task",IF(SUMPRODUCT(('PM Plan'!$A$5:$A$304=B1015)*('PM Plan'!$B$5:$B$304=C1015))=0,"No matching asset + task in plan","OK"))))</f>
        <v/>
      </c>
    </row>
    <row r="1016" customFormat="false" ht="15" hidden="false" customHeight="false" outlineLevel="0" collapsed="false">
      <c r="A1016" s="14"/>
      <c r="B1016" s="9"/>
      <c r="C1016" s="9"/>
      <c r="D1016" s="9"/>
      <c r="E1016" s="9"/>
      <c r="F1016" s="17" t="str">
        <f aca="false">IF(AND(A1016="",B1016="",C1016=""),"",IF(NOT(ISNUMBER(A1016)),"Enter the date done",IF(OR(B1016="",C1016=""),"Fill in asset and task",IF(SUMPRODUCT(('PM Plan'!$A$5:$A$304=B1016)*('PM Plan'!$B$5:$B$304=C1016))=0,"No matching asset + task in plan","OK"))))</f>
        <v/>
      </c>
    </row>
    <row r="1017" customFormat="false" ht="15" hidden="false" customHeight="false" outlineLevel="0" collapsed="false">
      <c r="A1017" s="14"/>
      <c r="B1017" s="9"/>
      <c r="C1017" s="9"/>
      <c r="D1017" s="9"/>
      <c r="E1017" s="9"/>
      <c r="F1017" s="17" t="str">
        <f aca="false">IF(AND(A1017="",B1017="",C1017=""),"",IF(NOT(ISNUMBER(A1017)),"Enter the date done",IF(OR(B1017="",C1017=""),"Fill in asset and task",IF(SUMPRODUCT(('PM Plan'!$A$5:$A$304=B1017)*('PM Plan'!$B$5:$B$304=C1017))=0,"No matching asset + task in plan","OK"))))</f>
        <v/>
      </c>
    </row>
    <row r="1018" customFormat="false" ht="15" hidden="false" customHeight="false" outlineLevel="0" collapsed="false">
      <c r="A1018" s="14"/>
      <c r="B1018" s="9"/>
      <c r="C1018" s="9"/>
      <c r="D1018" s="9"/>
      <c r="E1018" s="9"/>
      <c r="F1018" s="17" t="str">
        <f aca="false">IF(AND(A1018="",B1018="",C1018=""),"",IF(NOT(ISNUMBER(A1018)),"Enter the date done",IF(OR(B1018="",C1018=""),"Fill in asset and task",IF(SUMPRODUCT(('PM Plan'!$A$5:$A$304=B1018)*('PM Plan'!$B$5:$B$304=C1018))=0,"No matching asset + task in plan","OK"))))</f>
        <v/>
      </c>
    </row>
    <row r="1019" customFormat="false" ht="15" hidden="false" customHeight="false" outlineLevel="0" collapsed="false">
      <c r="A1019" s="14"/>
      <c r="B1019" s="9"/>
      <c r="C1019" s="9"/>
      <c r="D1019" s="9"/>
      <c r="E1019" s="9"/>
      <c r="F1019" s="17" t="str">
        <f aca="false">IF(AND(A1019="",B1019="",C1019=""),"",IF(NOT(ISNUMBER(A1019)),"Enter the date done",IF(OR(B1019="",C1019=""),"Fill in asset and task",IF(SUMPRODUCT(('PM Plan'!$A$5:$A$304=B1019)*('PM Plan'!$B$5:$B$304=C1019))=0,"No matching asset + task in plan","OK"))))</f>
        <v/>
      </c>
    </row>
    <row r="1020" customFormat="false" ht="15" hidden="false" customHeight="false" outlineLevel="0" collapsed="false">
      <c r="A1020" s="14"/>
      <c r="B1020" s="9"/>
      <c r="C1020" s="9"/>
      <c r="D1020" s="9"/>
      <c r="E1020" s="9"/>
      <c r="F1020" s="17" t="str">
        <f aca="false">IF(AND(A1020="",B1020="",C1020=""),"",IF(NOT(ISNUMBER(A1020)),"Enter the date done",IF(OR(B1020="",C1020=""),"Fill in asset and task",IF(SUMPRODUCT(('PM Plan'!$A$5:$A$304=B1020)*('PM Plan'!$B$5:$B$304=C1020))=0,"No matching asset + task in plan","OK"))))</f>
        <v/>
      </c>
    </row>
    <row r="1021" customFormat="false" ht="15" hidden="false" customHeight="false" outlineLevel="0" collapsed="false">
      <c r="A1021" s="14"/>
      <c r="B1021" s="9"/>
      <c r="C1021" s="9"/>
      <c r="D1021" s="9"/>
      <c r="E1021" s="9"/>
      <c r="F1021" s="17" t="str">
        <f aca="false">IF(AND(A1021="",B1021="",C1021=""),"",IF(NOT(ISNUMBER(A1021)),"Enter the date done",IF(OR(B1021="",C1021=""),"Fill in asset and task",IF(SUMPRODUCT(('PM Plan'!$A$5:$A$304=B1021)*('PM Plan'!$B$5:$B$304=C1021))=0,"No matching asset + task in plan","OK"))))</f>
        <v/>
      </c>
    </row>
    <row r="1022" customFormat="false" ht="15" hidden="false" customHeight="false" outlineLevel="0" collapsed="false">
      <c r="A1022" s="14"/>
      <c r="B1022" s="9"/>
      <c r="C1022" s="9"/>
      <c r="D1022" s="9"/>
      <c r="E1022" s="9"/>
      <c r="F1022" s="17" t="str">
        <f aca="false">IF(AND(A1022="",B1022="",C1022=""),"",IF(NOT(ISNUMBER(A1022)),"Enter the date done",IF(OR(B1022="",C1022=""),"Fill in asset and task",IF(SUMPRODUCT(('PM Plan'!$A$5:$A$304=B1022)*('PM Plan'!$B$5:$B$304=C1022))=0,"No matching asset + task in plan","OK"))))</f>
        <v/>
      </c>
    </row>
    <row r="1023" customFormat="false" ht="15" hidden="false" customHeight="false" outlineLevel="0" collapsed="false">
      <c r="A1023" s="14"/>
      <c r="B1023" s="9"/>
      <c r="C1023" s="9"/>
      <c r="D1023" s="9"/>
      <c r="E1023" s="9"/>
      <c r="F1023" s="17" t="str">
        <f aca="false">IF(AND(A1023="",B1023="",C1023=""),"",IF(NOT(ISNUMBER(A1023)),"Enter the date done",IF(OR(B1023="",C1023=""),"Fill in asset and task",IF(SUMPRODUCT(('PM Plan'!$A$5:$A$304=B1023)*('PM Plan'!$B$5:$B$304=C1023))=0,"No matching asset + task in plan","OK"))))</f>
        <v/>
      </c>
    </row>
    <row r="1024" customFormat="false" ht="15" hidden="false" customHeight="false" outlineLevel="0" collapsed="false">
      <c r="A1024" s="14"/>
      <c r="B1024" s="9"/>
      <c r="C1024" s="9"/>
      <c r="D1024" s="9"/>
      <c r="E1024" s="9"/>
      <c r="F1024" s="17" t="str">
        <f aca="false">IF(AND(A1024="",B1024="",C1024=""),"",IF(NOT(ISNUMBER(A1024)),"Enter the date done",IF(OR(B1024="",C1024=""),"Fill in asset and task",IF(SUMPRODUCT(('PM Plan'!$A$5:$A$304=B1024)*('PM Plan'!$B$5:$B$304=C1024))=0,"No matching asset + task in plan","OK"))))</f>
        <v/>
      </c>
    </row>
    <row r="1025" customFormat="false" ht="15" hidden="false" customHeight="false" outlineLevel="0" collapsed="false">
      <c r="A1025" s="14"/>
      <c r="B1025" s="9"/>
      <c r="C1025" s="9"/>
      <c r="D1025" s="9"/>
      <c r="E1025" s="9"/>
      <c r="F1025" s="17" t="str">
        <f aca="false">IF(AND(A1025="",B1025="",C1025=""),"",IF(NOT(ISNUMBER(A1025)),"Enter the date done",IF(OR(B1025="",C1025=""),"Fill in asset and task",IF(SUMPRODUCT(('PM Plan'!$A$5:$A$304=B1025)*('PM Plan'!$B$5:$B$304=C1025))=0,"No matching asset + task in plan","OK"))))</f>
        <v/>
      </c>
    </row>
    <row r="1026" customFormat="false" ht="15" hidden="false" customHeight="false" outlineLevel="0" collapsed="false">
      <c r="A1026" s="14"/>
      <c r="B1026" s="9"/>
      <c r="C1026" s="9"/>
      <c r="D1026" s="9"/>
      <c r="E1026" s="9"/>
      <c r="F1026" s="17" t="str">
        <f aca="false">IF(AND(A1026="",B1026="",C1026=""),"",IF(NOT(ISNUMBER(A1026)),"Enter the date done",IF(OR(B1026="",C1026=""),"Fill in asset and task",IF(SUMPRODUCT(('PM Plan'!$A$5:$A$304=B1026)*('PM Plan'!$B$5:$B$304=C1026))=0,"No matching asset + task in plan","OK"))))</f>
        <v/>
      </c>
    </row>
    <row r="1027" customFormat="false" ht="15" hidden="false" customHeight="false" outlineLevel="0" collapsed="false">
      <c r="A1027" s="14"/>
      <c r="B1027" s="9"/>
      <c r="C1027" s="9"/>
      <c r="D1027" s="9"/>
      <c r="E1027" s="9"/>
      <c r="F1027" s="17" t="str">
        <f aca="false">IF(AND(A1027="",B1027="",C1027=""),"",IF(NOT(ISNUMBER(A1027)),"Enter the date done",IF(OR(B1027="",C1027=""),"Fill in asset and task",IF(SUMPRODUCT(('PM Plan'!$A$5:$A$304=B1027)*('PM Plan'!$B$5:$B$304=C1027))=0,"No matching asset + task in plan","OK"))))</f>
        <v/>
      </c>
    </row>
    <row r="1028" customFormat="false" ht="15" hidden="false" customHeight="false" outlineLevel="0" collapsed="false">
      <c r="A1028" s="14"/>
      <c r="B1028" s="9"/>
      <c r="C1028" s="9"/>
      <c r="D1028" s="9"/>
      <c r="E1028" s="9"/>
      <c r="F1028" s="17" t="str">
        <f aca="false">IF(AND(A1028="",B1028="",C1028=""),"",IF(NOT(ISNUMBER(A1028)),"Enter the date done",IF(OR(B1028="",C1028=""),"Fill in asset and task",IF(SUMPRODUCT(('PM Plan'!$A$5:$A$304=B1028)*('PM Plan'!$B$5:$B$304=C1028))=0,"No matching asset + task in plan","OK"))))</f>
        <v/>
      </c>
    </row>
    <row r="1029" customFormat="false" ht="15" hidden="false" customHeight="false" outlineLevel="0" collapsed="false">
      <c r="A1029" s="14"/>
      <c r="B1029" s="9"/>
      <c r="C1029" s="9"/>
      <c r="D1029" s="9"/>
      <c r="E1029" s="9"/>
      <c r="F1029" s="17" t="str">
        <f aca="false">IF(AND(A1029="",B1029="",C1029=""),"",IF(NOT(ISNUMBER(A1029)),"Enter the date done",IF(OR(B1029="",C1029=""),"Fill in asset and task",IF(SUMPRODUCT(('PM Plan'!$A$5:$A$304=B1029)*('PM Plan'!$B$5:$B$304=C1029))=0,"No matching asset + task in plan","OK"))))</f>
        <v/>
      </c>
    </row>
    <row r="1030" customFormat="false" ht="15" hidden="false" customHeight="false" outlineLevel="0" collapsed="false">
      <c r="A1030" s="14"/>
      <c r="B1030" s="9"/>
      <c r="C1030" s="9"/>
      <c r="D1030" s="9"/>
      <c r="E1030" s="9"/>
      <c r="F1030" s="17" t="str">
        <f aca="false">IF(AND(A1030="",B1030="",C1030=""),"",IF(NOT(ISNUMBER(A1030)),"Enter the date done",IF(OR(B1030="",C1030=""),"Fill in asset and task",IF(SUMPRODUCT(('PM Plan'!$A$5:$A$304=B1030)*('PM Plan'!$B$5:$B$304=C1030))=0,"No matching asset + task in plan","OK"))))</f>
        <v/>
      </c>
    </row>
    <row r="1031" customFormat="false" ht="15" hidden="false" customHeight="false" outlineLevel="0" collapsed="false">
      <c r="A1031" s="14"/>
      <c r="B1031" s="9"/>
      <c r="C1031" s="9"/>
      <c r="D1031" s="9"/>
      <c r="E1031" s="9"/>
      <c r="F1031" s="17" t="str">
        <f aca="false">IF(AND(A1031="",B1031="",C1031=""),"",IF(NOT(ISNUMBER(A1031)),"Enter the date done",IF(OR(B1031="",C1031=""),"Fill in asset and task",IF(SUMPRODUCT(('PM Plan'!$A$5:$A$304=B1031)*('PM Plan'!$B$5:$B$304=C1031))=0,"No matching asset + task in plan","OK"))))</f>
        <v/>
      </c>
    </row>
    <row r="1032" customFormat="false" ht="15" hidden="false" customHeight="false" outlineLevel="0" collapsed="false">
      <c r="A1032" s="14"/>
      <c r="B1032" s="9"/>
      <c r="C1032" s="9"/>
      <c r="D1032" s="9"/>
      <c r="E1032" s="9"/>
      <c r="F1032" s="17" t="str">
        <f aca="false">IF(AND(A1032="",B1032="",C1032=""),"",IF(NOT(ISNUMBER(A1032)),"Enter the date done",IF(OR(B1032="",C1032=""),"Fill in asset and task",IF(SUMPRODUCT(('PM Plan'!$A$5:$A$304=B1032)*('PM Plan'!$B$5:$B$304=C1032))=0,"No matching asset + task in plan","OK"))))</f>
        <v/>
      </c>
    </row>
    <row r="1033" customFormat="false" ht="15" hidden="false" customHeight="false" outlineLevel="0" collapsed="false">
      <c r="A1033" s="14"/>
      <c r="B1033" s="9"/>
      <c r="C1033" s="9"/>
      <c r="D1033" s="9"/>
      <c r="E1033" s="9"/>
      <c r="F1033" s="17" t="str">
        <f aca="false">IF(AND(A1033="",B1033="",C1033=""),"",IF(NOT(ISNUMBER(A1033)),"Enter the date done",IF(OR(B1033="",C1033=""),"Fill in asset and task",IF(SUMPRODUCT(('PM Plan'!$A$5:$A$304=B1033)*('PM Plan'!$B$5:$B$304=C1033))=0,"No matching asset + task in plan","OK"))))</f>
        <v/>
      </c>
    </row>
    <row r="1034" customFormat="false" ht="15" hidden="false" customHeight="false" outlineLevel="0" collapsed="false">
      <c r="A1034" s="14"/>
      <c r="B1034" s="9"/>
      <c r="C1034" s="9"/>
      <c r="D1034" s="9"/>
      <c r="E1034" s="9"/>
      <c r="F1034" s="17" t="str">
        <f aca="false">IF(AND(A1034="",B1034="",C1034=""),"",IF(NOT(ISNUMBER(A1034)),"Enter the date done",IF(OR(B1034="",C1034=""),"Fill in asset and task",IF(SUMPRODUCT(('PM Plan'!$A$5:$A$304=B1034)*('PM Plan'!$B$5:$B$304=C1034))=0,"No matching asset + task in plan","OK"))))</f>
        <v/>
      </c>
    </row>
    <row r="1035" customFormat="false" ht="15" hidden="false" customHeight="false" outlineLevel="0" collapsed="false">
      <c r="A1035" s="14"/>
      <c r="B1035" s="9"/>
      <c r="C1035" s="9"/>
      <c r="D1035" s="9"/>
      <c r="E1035" s="9"/>
      <c r="F1035" s="17" t="str">
        <f aca="false">IF(AND(A1035="",B1035="",C1035=""),"",IF(NOT(ISNUMBER(A1035)),"Enter the date done",IF(OR(B1035="",C1035=""),"Fill in asset and task",IF(SUMPRODUCT(('PM Plan'!$A$5:$A$304=B1035)*('PM Plan'!$B$5:$B$304=C1035))=0,"No matching asset + task in plan","OK"))))</f>
        <v/>
      </c>
    </row>
    <row r="1036" customFormat="false" ht="15" hidden="false" customHeight="false" outlineLevel="0" collapsed="false">
      <c r="A1036" s="14"/>
      <c r="B1036" s="9"/>
      <c r="C1036" s="9"/>
      <c r="D1036" s="9"/>
      <c r="E1036" s="9"/>
      <c r="F1036" s="17" t="str">
        <f aca="false">IF(AND(A1036="",B1036="",C1036=""),"",IF(NOT(ISNUMBER(A1036)),"Enter the date done",IF(OR(B1036="",C1036=""),"Fill in asset and task",IF(SUMPRODUCT(('PM Plan'!$A$5:$A$304=B1036)*('PM Plan'!$B$5:$B$304=C1036))=0,"No matching asset + task in plan","OK"))))</f>
        <v/>
      </c>
    </row>
    <row r="1037" customFormat="false" ht="15" hidden="false" customHeight="false" outlineLevel="0" collapsed="false">
      <c r="A1037" s="14"/>
      <c r="B1037" s="9"/>
      <c r="C1037" s="9"/>
      <c r="D1037" s="9"/>
      <c r="E1037" s="9"/>
      <c r="F1037" s="17" t="str">
        <f aca="false">IF(AND(A1037="",B1037="",C1037=""),"",IF(NOT(ISNUMBER(A1037)),"Enter the date done",IF(OR(B1037="",C1037=""),"Fill in asset and task",IF(SUMPRODUCT(('PM Plan'!$A$5:$A$304=B1037)*('PM Plan'!$B$5:$B$304=C1037))=0,"No matching asset + task in plan","OK"))))</f>
        <v/>
      </c>
    </row>
    <row r="1038" customFormat="false" ht="15" hidden="false" customHeight="false" outlineLevel="0" collapsed="false">
      <c r="A1038" s="14"/>
      <c r="B1038" s="9"/>
      <c r="C1038" s="9"/>
      <c r="D1038" s="9"/>
      <c r="E1038" s="9"/>
      <c r="F1038" s="17" t="str">
        <f aca="false">IF(AND(A1038="",B1038="",C1038=""),"",IF(NOT(ISNUMBER(A1038)),"Enter the date done",IF(OR(B1038="",C1038=""),"Fill in asset and task",IF(SUMPRODUCT(('PM Plan'!$A$5:$A$304=B1038)*('PM Plan'!$B$5:$B$304=C1038))=0,"No matching asset + task in plan","OK"))))</f>
        <v/>
      </c>
    </row>
    <row r="1039" customFormat="false" ht="15" hidden="false" customHeight="false" outlineLevel="0" collapsed="false">
      <c r="A1039" s="14"/>
      <c r="B1039" s="9"/>
      <c r="C1039" s="9"/>
      <c r="D1039" s="9"/>
      <c r="E1039" s="9"/>
      <c r="F1039" s="17" t="str">
        <f aca="false">IF(AND(A1039="",B1039="",C1039=""),"",IF(NOT(ISNUMBER(A1039)),"Enter the date done",IF(OR(B1039="",C1039=""),"Fill in asset and task",IF(SUMPRODUCT(('PM Plan'!$A$5:$A$304=B1039)*('PM Plan'!$B$5:$B$304=C1039))=0,"No matching asset + task in plan","OK"))))</f>
        <v/>
      </c>
    </row>
    <row r="1040" customFormat="false" ht="15" hidden="false" customHeight="false" outlineLevel="0" collapsed="false">
      <c r="A1040" s="14"/>
      <c r="B1040" s="9"/>
      <c r="C1040" s="9"/>
      <c r="D1040" s="9"/>
      <c r="E1040" s="9"/>
      <c r="F1040" s="17" t="str">
        <f aca="false">IF(AND(A1040="",B1040="",C1040=""),"",IF(NOT(ISNUMBER(A1040)),"Enter the date done",IF(OR(B1040="",C1040=""),"Fill in asset and task",IF(SUMPRODUCT(('PM Plan'!$A$5:$A$304=B1040)*('PM Plan'!$B$5:$B$304=C1040))=0,"No matching asset + task in plan","OK"))))</f>
        <v/>
      </c>
    </row>
    <row r="1041" customFormat="false" ht="15" hidden="false" customHeight="false" outlineLevel="0" collapsed="false">
      <c r="A1041" s="14"/>
      <c r="B1041" s="9"/>
      <c r="C1041" s="9"/>
      <c r="D1041" s="9"/>
      <c r="E1041" s="9"/>
      <c r="F1041" s="17" t="str">
        <f aca="false">IF(AND(A1041="",B1041="",C1041=""),"",IF(NOT(ISNUMBER(A1041)),"Enter the date done",IF(OR(B1041="",C1041=""),"Fill in asset and task",IF(SUMPRODUCT(('PM Plan'!$A$5:$A$304=B1041)*('PM Plan'!$B$5:$B$304=C1041))=0,"No matching asset + task in plan","OK"))))</f>
        <v/>
      </c>
    </row>
    <row r="1042" customFormat="false" ht="15" hidden="false" customHeight="false" outlineLevel="0" collapsed="false">
      <c r="A1042" s="14"/>
      <c r="B1042" s="9"/>
      <c r="C1042" s="9"/>
      <c r="D1042" s="9"/>
      <c r="E1042" s="9"/>
      <c r="F1042" s="17" t="str">
        <f aca="false">IF(AND(A1042="",B1042="",C1042=""),"",IF(NOT(ISNUMBER(A1042)),"Enter the date done",IF(OR(B1042="",C1042=""),"Fill in asset and task",IF(SUMPRODUCT(('PM Plan'!$A$5:$A$304=B1042)*('PM Plan'!$B$5:$B$304=C1042))=0,"No matching asset + task in plan","OK"))))</f>
        <v/>
      </c>
    </row>
    <row r="1043" customFormat="false" ht="15" hidden="false" customHeight="false" outlineLevel="0" collapsed="false">
      <c r="A1043" s="14"/>
      <c r="B1043" s="9"/>
      <c r="C1043" s="9"/>
      <c r="D1043" s="9"/>
      <c r="E1043" s="9"/>
      <c r="F1043" s="17" t="str">
        <f aca="false">IF(AND(A1043="",B1043="",C1043=""),"",IF(NOT(ISNUMBER(A1043)),"Enter the date done",IF(OR(B1043="",C1043=""),"Fill in asset and task",IF(SUMPRODUCT(('PM Plan'!$A$5:$A$304=B1043)*('PM Plan'!$B$5:$B$304=C1043))=0,"No matching asset + task in plan","OK"))))</f>
        <v/>
      </c>
    </row>
    <row r="1044" customFormat="false" ht="15" hidden="false" customHeight="false" outlineLevel="0" collapsed="false">
      <c r="A1044" s="14"/>
      <c r="B1044" s="9"/>
      <c r="C1044" s="9"/>
      <c r="D1044" s="9"/>
      <c r="E1044" s="9"/>
      <c r="F1044" s="17" t="str">
        <f aca="false">IF(AND(A1044="",B1044="",C1044=""),"",IF(NOT(ISNUMBER(A1044)),"Enter the date done",IF(OR(B1044="",C1044=""),"Fill in asset and task",IF(SUMPRODUCT(('PM Plan'!$A$5:$A$304=B1044)*('PM Plan'!$B$5:$B$304=C1044))=0,"No matching asset + task in plan","OK"))))</f>
        <v/>
      </c>
    </row>
    <row r="1045" customFormat="false" ht="15" hidden="false" customHeight="false" outlineLevel="0" collapsed="false">
      <c r="A1045" s="14"/>
      <c r="B1045" s="9"/>
      <c r="C1045" s="9"/>
      <c r="D1045" s="9"/>
      <c r="E1045" s="9"/>
      <c r="F1045" s="17" t="str">
        <f aca="false">IF(AND(A1045="",B1045="",C1045=""),"",IF(NOT(ISNUMBER(A1045)),"Enter the date done",IF(OR(B1045="",C1045=""),"Fill in asset and task",IF(SUMPRODUCT(('PM Plan'!$A$5:$A$304=B1045)*('PM Plan'!$B$5:$B$304=C1045))=0,"No matching asset + task in plan","OK"))))</f>
        <v/>
      </c>
    </row>
    <row r="1046" customFormat="false" ht="15" hidden="false" customHeight="false" outlineLevel="0" collapsed="false">
      <c r="A1046" s="14"/>
      <c r="B1046" s="9"/>
      <c r="C1046" s="9"/>
      <c r="D1046" s="9"/>
      <c r="E1046" s="9"/>
      <c r="F1046" s="17" t="str">
        <f aca="false">IF(AND(A1046="",B1046="",C1046=""),"",IF(NOT(ISNUMBER(A1046)),"Enter the date done",IF(OR(B1046="",C1046=""),"Fill in asset and task",IF(SUMPRODUCT(('PM Plan'!$A$5:$A$304=B1046)*('PM Plan'!$B$5:$B$304=C1046))=0,"No matching asset + task in plan","OK"))))</f>
        <v/>
      </c>
    </row>
    <row r="1047" customFormat="false" ht="15" hidden="false" customHeight="false" outlineLevel="0" collapsed="false">
      <c r="A1047" s="14"/>
      <c r="B1047" s="9"/>
      <c r="C1047" s="9"/>
      <c r="D1047" s="9"/>
      <c r="E1047" s="9"/>
      <c r="F1047" s="17" t="str">
        <f aca="false">IF(AND(A1047="",B1047="",C1047=""),"",IF(NOT(ISNUMBER(A1047)),"Enter the date done",IF(OR(B1047="",C1047=""),"Fill in asset and task",IF(SUMPRODUCT(('PM Plan'!$A$5:$A$304=B1047)*('PM Plan'!$B$5:$B$304=C1047))=0,"No matching asset + task in plan","OK"))))</f>
        <v/>
      </c>
    </row>
    <row r="1048" customFormat="false" ht="15" hidden="false" customHeight="false" outlineLevel="0" collapsed="false">
      <c r="A1048" s="14"/>
      <c r="B1048" s="9"/>
      <c r="C1048" s="9"/>
      <c r="D1048" s="9"/>
      <c r="E1048" s="9"/>
      <c r="F1048" s="17" t="str">
        <f aca="false">IF(AND(A1048="",B1048="",C1048=""),"",IF(NOT(ISNUMBER(A1048)),"Enter the date done",IF(OR(B1048="",C1048=""),"Fill in asset and task",IF(SUMPRODUCT(('PM Plan'!$A$5:$A$304=B1048)*('PM Plan'!$B$5:$B$304=C1048))=0,"No matching asset + task in plan","OK"))))</f>
        <v/>
      </c>
    </row>
    <row r="1049" customFormat="false" ht="15" hidden="false" customHeight="false" outlineLevel="0" collapsed="false">
      <c r="A1049" s="14"/>
      <c r="B1049" s="9"/>
      <c r="C1049" s="9"/>
      <c r="D1049" s="9"/>
      <c r="E1049" s="9"/>
      <c r="F1049" s="17" t="str">
        <f aca="false">IF(AND(A1049="",B1049="",C1049=""),"",IF(NOT(ISNUMBER(A1049)),"Enter the date done",IF(OR(B1049="",C1049=""),"Fill in asset and task",IF(SUMPRODUCT(('PM Plan'!$A$5:$A$304=B1049)*('PM Plan'!$B$5:$B$304=C1049))=0,"No matching asset + task in plan","OK"))))</f>
        <v/>
      </c>
    </row>
    <row r="1050" customFormat="false" ht="15" hidden="false" customHeight="false" outlineLevel="0" collapsed="false">
      <c r="A1050" s="14"/>
      <c r="B1050" s="9"/>
      <c r="C1050" s="9"/>
      <c r="D1050" s="9"/>
      <c r="E1050" s="9"/>
      <c r="F1050" s="17" t="str">
        <f aca="false">IF(AND(A1050="",B1050="",C1050=""),"",IF(NOT(ISNUMBER(A1050)),"Enter the date done",IF(OR(B1050="",C1050=""),"Fill in asset and task",IF(SUMPRODUCT(('PM Plan'!$A$5:$A$304=B1050)*('PM Plan'!$B$5:$B$304=C1050))=0,"No matching asset + task in plan","OK"))))</f>
        <v/>
      </c>
    </row>
    <row r="1051" customFormat="false" ht="15" hidden="false" customHeight="false" outlineLevel="0" collapsed="false">
      <c r="A1051" s="14"/>
      <c r="B1051" s="9"/>
      <c r="C1051" s="9"/>
      <c r="D1051" s="9"/>
      <c r="E1051" s="9"/>
      <c r="F1051" s="17" t="str">
        <f aca="false">IF(AND(A1051="",B1051="",C1051=""),"",IF(NOT(ISNUMBER(A1051)),"Enter the date done",IF(OR(B1051="",C1051=""),"Fill in asset and task",IF(SUMPRODUCT(('PM Plan'!$A$5:$A$304=B1051)*('PM Plan'!$B$5:$B$304=C1051))=0,"No matching asset + task in plan","OK"))))</f>
        <v/>
      </c>
    </row>
    <row r="1052" customFormat="false" ht="15" hidden="false" customHeight="false" outlineLevel="0" collapsed="false">
      <c r="A1052" s="14"/>
      <c r="B1052" s="9"/>
      <c r="C1052" s="9"/>
      <c r="D1052" s="9"/>
      <c r="E1052" s="9"/>
      <c r="F1052" s="17" t="str">
        <f aca="false">IF(AND(A1052="",B1052="",C1052=""),"",IF(NOT(ISNUMBER(A1052)),"Enter the date done",IF(OR(B1052="",C1052=""),"Fill in asset and task",IF(SUMPRODUCT(('PM Plan'!$A$5:$A$304=B1052)*('PM Plan'!$B$5:$B$304=C1052))=0,"No matching asset + task in plan","OK"))))</f>
        <v/>
      </c>
    </row>
    <row r="1053" customFormat="false" ht="15" hidden="false" customHeight="false" outlineLevel="0" collapsed="false">
      <c r="A1053" s="14"/>
      <c r="B1053" s="9"/>
      <c r="C1053" s="9"/>
      <c r="D1053" s="9"/>
      <c r="E1053" s="9"/>
      <c r="F1053" s="17" t="str">
        <f aca="false">IF(AND(A1053="",B1053="",C1053=""),"",IF(NOT(ISNUMBER(A1053)),"Enter the date done",IF(OR(B1053="",C1053=""),"Fill in asset and task",IF(SUMPRODUCT(('PM Plan'!$A$5:$A$304=B1053)*('PM Plan'!$B$5:$B$304=C1053))=0,"No matching asset + task in plan","OK"))))</f>
        <v/>
      </c>
    </row>
    <row r="1054" customFormat="false" ht="15" hidden="false" customHeight="false" outlineLevel="0" collapsed="false">
      <c r="A1054" s="14"/>
      <c r="B1054" s="9"/>
      <c r="C1054" s="9"/>
      <c r="D1054" s="9"/>
      <c r="E1054" s="9"/>
      <c r="F1054" s="17" t="str">
        <f aca="false">IF(AND(A1054="",B1054="",C1054=""),"",IF(NOT(ISNUMBER(A1054)),"Enter the date done",IF(OR(B1054="",C1054=""),"Fill in asset and task",IF(SUMPRODUCT(('PM Plan'!$A$5:$A$304=B1054)*('PM Plan'!$B$5:$B$304=C1054))=0,"No matching asset + task in plan","OK"))))</f>
        <v/>
      </c>
    </row>
    <row r="1055" customFormat="false" ht="15" hidden="false" customHeight="false" outlineLevel="0" collapsed="false">
      <c r="A1055" s="14"/>
      <c r="B1055" s="9"/>
      <c r="C1055" s="9"/>
      <c r="D1055" s="9"/>
      <c r="E1055" s="9"/>
      <c r="F1055" s="17" t="str">
        <f aca="false">IF(AND(A1055="",B1055="",C1055=""),"",IF(NOT(ISNUMBER(A1055)),"Enter the date done",IF(OR(B1055="",C1055=""),"Fill in asset and task",IF(SUMPRODUCT(('PM Plan'!$A$5:$A$304=B1055)*('PM Plan'!$B$5:$B$304=C1055))=0,"No matching asset + task in plan","OK"))))</f>
        <v/>
      </c>
    </row>
    <row r="1056" customFormat="false" ht="15" hidden="false" customHeight="false" outlineLevel="0" collapsed="false">
      <c r="A1056" s="14"/>
      <c r="B1056" s="9"/>
      <c r="C1056" s="9"/>
      <c r="D1056" s="9"/>
      <c r="E1056" s="9"/>
      <c r="F1056" s="17" t="str">
        <f aca="false">IF(AND(A1056="",B1056="",C1056=""),"",IF(NOT(ISNUMBER(A1056)),"Enter the date done",IF(OR(B1056="",C1056=""),"Fill in asset and task",IF(SUMPRODUCT(('PM Plan'!$A$5:$A$304=B1056)*('PM Plan'!$B$5:$B$304=C1056))=0,"No matching asset + task in plan","OK"))))</f>
        <v/>
      </c>
    </row>
    <row r="1057" customFormat="false" ht="15" hidden="false" customHeight="false" outlineLevel="0" collapsed="false">
      <c r="A1057" s="14"/>
      <c r="B1057" s="9"/>
      <c r="C1057" s="9"/>
      <c r="D1057" s="9"/>
      <c r="E1057" s="9"/>
      <c r="F1057" s="17" t="str">
        <f aca="false">IF(AND(A1057="",B1057="",C1057=""),"",IF(NOT(ISNUMBER(A1057)),"Enter the date done",IF(OR(B1057="",C1057=""),"Fill in asset and task",IF(SUMPRODUCT(('PM Plan'!$A$5:$A$304=B1057)*('PM Plan'!$B$5:$B$304=C1057))=0,"No matching asset + task in plan","OK"))))</f>
        <v/>
      </c>
    </row>
    <row r="1058" customFormat="false" ht="15" hidden="false" customHeight="false" outlineLevel="0" collapsed="false">
      <c r="A1058" s="14"/>
      <c r="B1058" s="9"/>
      <c r="C1058" s="9"/>
      <c r="D1058" s="9"/>
      <c r="E1058" s="9"/>
      <c r="F1058" s="17" t="str">
        <f aca="false">IF(AND(A1058="",B1058="",C1058=""),"",IF(NOT(ISNUMBER(A1058)),"Enter the date done",IF(OR(B1058="",C1058=""),"Fill in asset and task",IF(SUMPRODUCT(('PM Plan'!$A$5:$A$304=B1058)*('PM Plan'!$B$5:$B$304=C1058))=0,"No matching asset + task in plan","OK"))))</f>
        <v/>
      </c>
    </row>
    <row r="1059" customFormat="false" ht="15" hidden="false" customHeight="false" outlineLevel="0" collapsed="false">
      <c r="A1059" s="14"/>
      <c r="B1059" s="9"/>
      <c r="C1059" s="9"/>
      <c r="D1059" s="9"/>
      <c r="E1059" s="9"/>
      <c r="F1059" s="17" t="str">
        <f aca="false">IF(AND(A1059="",B1059="",C1059=""),"",IF(NOT(ISNUMBER(A1059)),"Enter the date done",IF(OR(B1059="",C1059=""),"Fill in asset and task",IF(SUMPRODUCT(('PM Plan'!$A$5:$A$304=B1059)*('PM Plan'!$B$5:$B$304=C1059))=0,"No matching asset + task in plan","OK"))))</f>
        <v/>
      </c>
    </row>
    <row r="1060" customFormat="false" ht="15" hidden="false" customHeight="false" outlineLevel="0" collapsed="false">
      <c r="A1060" s="14"/>
      <c r="B1060" s="9"/>
      <c r="C1060" s="9"/>
      <c r="D1060" s="9"/>
      <c r="E1060" s="9"/>
      <c r="F1060" s="17" t="str">
        <f aca="false">IF(AND(A1060="",B1060="",C1060=""),"",IF(NOT(ISNUMBER(A1060)),"Enter the date done",IF(OR(B1060="",C1060=""),"Fill in asset and task",IF(SUMPRODUCT(('PM Plan'!$A$5:$A$304=B1060)*('PM Plan'!$B$5:$B$304=C1060))=0,"No matching asset + task in plan","OK"))))</f>
        <v/>
      </c>
    </row>
    <row r="1061" customFormat="false" ht="15" hidden="false" customHeight="false" outlineLevel="0" collapsed="false">
      <c r="A1061" s="14"/>
      <c r="B1061" s="9"/>
      <c r="C1061" s="9"/>
      <c r="D1061" s="9"/>
      <c r="E1061" s="9"/>
      <c r="F1061" s="17" t="str">
        <f aca="false">IF(AND(A1061="",B1061="",C1061=""),"",IF(NOT(ISNUMBER(A1061)),"Enter the date done",IF(OR(B1061="",C1061=""),"Fill in asset and task",IF(SUMPRODUCT(('PM Plan'!$A$5:$A$304=B1061)*('PM Plan'!$B$5:$B$304=C1061))=0,"No matching asset + task in plan","OK"))))</f>
        <v/>
      </c>
    </row>
    <row r="1062" customFormat="false" ht="15" hidden="false" customHeight="false" outlineLevel="0" collapsed="false">
      <c r="A1062" s="14"/>
      <c r="B1062" s="9"/>
      <c r="C1062" s="9"/>
      <c r="D1062" s="9"/>
      <c r="E1062" s="9"/>
      <c r="F1062" s="17" t="str">
        <f aca="false">IF(AND(A1062="",B1062="",C1062=""),"",IF(NOT(ISNUMBER(A1062)),"Enter the date done",IF(OR(B1062="",C1062=""),"Fill in asset and task",IF(SUMPRODUCT(('PM Plan'!$A$5:$A$304=B1062)*('PM Plan'!$B$5:$B$304=C1062))=0,"No matching asset + task in plan","OK"))))</f>
        <v/>
      </c>
    </row>
    <row r="1063" customFormat="false" ht="15" hidden="false" customHeight="false" outlineLevel="0" collapsed="false">
      <c r="A1063" s="14"/>
      <c r="B1063" s="9"/>
      <c r="C1063" s="9"/>
      <c r="D1063" s="9"/>
      <c r="E1063" s="9"/>
      <c r="F1063" s="17" t="str">
        <f aca="false">IF(AND(A1063="",B1063="",C1063=""),"",IF(NOT(ISNUMBER(A1063)),"Enter the date done",IF(OR(B1063="",C1063=""),"Fill in asset and task",IF(SUMPRODUCT(('PM Plan'!$A$5:$A$304=B1063)*('PM Plan'!$B$5:$B$304=C1063))=0,"No matching asset + task in plan","OK"))))</f>
        <v/>
      </c>
    </row>
    <row r="1064" customFormat="false" ht="15" hidden="false" customHeight="false" outlineLevel="0" collapsed="false">
      <c r="A1064" s="14"/>
      <c r="B1064" s="9"/>
      <c r="C1064" s="9"/>
      <c r="D1064" s="9"/>
      <c r="E1064" s="9"/>
      <c r="F1064" s="17" t="str">
        <f aca="false">IF(AND(A1064="",B1064="",C1064=""),"",IF(NOT(ISNUMBER(A1064)),"Enter the date done",IF(OR(B1064="",C1064=""),"Fill in asset and task",IF(SUMPRODUCT(('PM Plan'!$A$5:$A$304=B1064)*('PM Plan'!$B$5:$B$304=C1064))=0,"No matching asset + task in plan","OK"))))</f>
        <v/>
      </c>
    </row>
    <row r="1065" customFormat="false" ht="15" hidden="false" customHeight="false" outlineLevel="0" collapsed="false">
      <c r="A1065" s="14"/>
      <c r="B1065" s="9"/>
      <c r="C1065" s="9"/>
      <c r="D1065" s="9"/>
      <c r="E1065" s="9"/>
      <c r="F1065" s="17" t="str">
        <f aca="false">IF(AND(A1065="",B1065="",C1065=""),"",IF(NOT(ISNUMBER(A1065)),"Enter the date done",IF(OR(B1065="",C1065=""),"Fill in asset and task",IF(SUMPRODUCT(('PM Plan'!$A$5:$A$304=B1065)*('PM Plan'!$B$5:$B$304=C1065))=0,"No matching asset + task in plan","OK"))))</f>
        <v/>
      </c>
    </row>
    <row r="1066" customFormat="false" ht="15" hidden="false" customHeight="false" outlineLevel="0" collapsed="false">
      <c r="A1066" s="14"/>
      <c r="B1066" s="9"/>
      <c r="C1066" s="9"/>
      <c r="D1066" s="9"/>
      <c r="E1066" s="9"/>
      <c r="F1066" s="17" t="str">
        <f aca="false">IF(AND(A1066="",B1066="",C1066=""),"",IF(NOT(ISNUMBER(A1066)),"Enter the date done",IF(OR(B1066="",C1066=""),"Fill in asset and task",IF(SUMPRODUCT(('PM Plan'!$A$5:$A$304=B1066)*('PM Plan'!$B$5:$B$304=C1066))=0,"No matching asset + task in plan","OK"))))</f>
        <v/>
      </c>
    </row>
    <row r="1067" customFormat="false" ht="15" hidden="false" customHeight="false" outlineLevel="0" collapsed="false">
      <c r="A1067" s="14"/>
      <c r="B1067" s="9"/>
      <c r="C1067" s="9"/>
      <c r="D1067" s="9"/>
      <c r="E1067" s="9"/>
      <c r="F1067" s="17" t="str">
        <f aca="false">IF(AND(A1067="",B1067="",C1067=""),"",IF(NOT(ISNUMBER(A1067)),"Enter the date done",IF(OR(B1067="",C1067=""),"Fill in asset and task",IF(SUMPRODUCT(('PM Plan'!$A$5:$A$304=B1067)*('PM Plan'!$B$5:$B$304=C1067))=0,"No matching asset + task in plan","OK"))))</f>
        <v/>
      </c>
    </row>
    <row r="1068" customFormat="false" ht="15" hidden="false" customHeight="false" outlineLevel="0" collapsed="false">
      <c r="A1068" s="14"/>
      <c r="B1068" s="9"/>
      <c r="C1068" s="9"/>
      <c r="D1068" s="9"/>
      <c r="E1068" s="9"/>
      <c r="F1068" s="17" t="str">
        <f aca="false">IF(AND(A1068="",B1068="",C1068=""),"",IF(NOT(ISNUMBER(A1068)),"Enter the date done",IF(OR(B1068="",C1068=""),"Fill in asset and task",IF(SUMPRODUCT(('PM Plan'!$A$5:$A$304=B1068)*('PM Plan'!$B$5:$B$304=C1068))=0,"No matching asset + task in plan","OK"))))</f>
        <v/>
      </c>
    </row>
    <row r="1069" customFormat="false" ht="15" hidden="false" customHeight="false" outlineLevel="0" collapsed="false">
      <c r="A1069" s="14"/>
      <c r="B1069" s="9"/>
      <c r="C1069" s="9"/>
      <c r="D1069" s="9"/>
      <c r="E1069" s="9"/>
      <c r="F1069" s="17" t="str">
        <f aca="false">IF(AND(A1069="",B1069="",C1069=""),"",IF(NOT(ISNUMBER(A1069)),"Enter the date done",IF(OR(B1069="",C1069=""),"Fill in asset and task",IF(SUMPRODUCT(('PM Plan'!$A$5:$A$304=B1069)*('PM Plan'!$B$5:$B$304=C1069))=0,"No matching asset + task in plan","OK"))))</f>
        <v/>
      </c>
    </row>
    <row r="1070" customFormat="false" ht="15" hidden="false" customHeight="false" outlineLevel="0" collapsed="false">
      <c r="A1070" s="14"/>
      <c r="B1070" s="9"/>
      <c r="C1070" s="9"/>
      <c r="D1070" s="9"/>
      <c r="E1070" s="9"/>
      <c r="F1070" s="17" t="str">
        <f aca="false">IF(AND(A1070="",B1070="",C1070=""),"",IF(NOT(ISNUMBER(A1070)),"Enter the date done",IF(OR(B1070="",C1070=""),"Fill in asset and task",IF(SUMPRODUCT(('PM Plan'!$A$5:$A$304=B1070)*('PM Plan'!$B$5:$B$304=C1070))=0,"No matching asset + task in plan","OK"))))</f>
        <v/>
      </c>
    </row>
    <row r="1071" customFormat="false" ht="15" hidden="false" customHeight="false" outlineLevel="0" collapsed="false">
      <c r="A1071" s="14"/>
      <c r="B1071" s="9"/>
      <c r="C1071" s="9"/>
      <c r="D1071" s="9"/>
      <c r="E1071" s="9"/>
      <c r="F1071" s="17" t="str">
        <f aca="false">IF(AND(A1071="",B1071="",C1071=""),"",IF(NOT(ISNUMBER(A1071)),"Enter the date done",IF(OR(B1071="",C1071=""),"Fill in asset and task",IF(SUMPRODUCT(('PM Plan'!$A$5:$A$304=B1071)*('PM Plan'!$B$5:$B$304=C1071))=0,"No matching asset + task in plan","OK"))))</f>
        <v/>
      </c>
    </row>
    <row r="1072" customFormat="false" ht="15" hidden="false" customHeight="false" outlineLevel="0" collapsed="false">
      <c r="A1072" s="14"/>
      <c r="B1072" s="9"/>
      <c r="C1072" s="9"/>
      <c r="D1072" s="9"/>
      <c r="E1072" s="9"/>
      <c r="F1072" s="17" t="str">
        <f aca="false">IF(AND(A1072="",B1072="",C1072=""),"",IF(NOT(ISNUMBER(A1072)),"Enter the date done",IF(OR(B1072="",C1072=""),"Fill in asset and task",IF(SUMPRODUCT(('PM Plan'!$A$5:$A$304=B1072)*('PM Plan'!$B$5:$B$304=C1072))=0,"No matching asset + task in plan","OK"))))</f>
        <v/>
      </c>
    </row>
    <row r="1073" customFormat="false" ht="15" hidden="false" customHeight="false" outlineLevel="0" collapsed="false">
      <c r="A1073" s="14"/>
      <c r="B1073" s="9"/>
      <c r="C1073" s="9"/>
      <c r="D1073" s="9"/>
      <c r="E1073" s="9"/>
      <c r="F1073" s="17" t="str">
        <f aca="false">IF(AND(A1073="",B1073="",C1073=""),"",IF(NOT(ISNUMBER(A1073)),"Enter the date done",IF(OR(B1073="",C1073=""),"Fill in asset and task",IF(SUMPRODUCT(('PM Plan'!$A$5:$A$304=B1073)*('PM Plan'!$B$5:$B$304=C1073))=0,"No matching asset + task in plan","OK"))))</f>
        <v/>
      </c>
    </row>
    <row r="1074" customFormat="false" ht="15" hidden="false" customHeight="false" outlineLevel="0" collapsed="false">
      <c r="A1074" s="14"/>
      <c r="B1074" s="9"/>
      <c r="C1074" s="9"/>
      <c r="D1074" s="9"/>
      <c r="E1074" s="9"/>
      <c r="F1074" s="17" t="str">
        <f aca="false">IF(AND(A1074="",B1074="",C1074=""),"",IF(NOT(ISNUMBER(A1074)),"Enter the date done",IF(OR(B1074="",C1074=""),"Fill in asset and task",IF(SUMPRODUCT(('PM Plan'!$A$5:$A$304=B1074)*('PM Plan'!$B$5:$B$304=C1074))=0,"No matching asset + task in plan","OK"))))</f>
        <v/>
      </c>
    </row>
    <row r="1075" customFormat="false" ht="15" hidden="false" customHeight="false" outlineLevel="0" collapsed="false">
      <c r="A1075" s="14"/>
      <c r="B1075" s="9"/>
      <c r="C1075" s="9"/>
      <c r="D1075" s="9"/>
      <c r="E1075" s="9"/>
      <c r="F1075" s="17" t="str">
        <f aca="false">IF(AND(A1075="",B1075="",C1075=""),"",IF(NOT(ISNUMBER(A1075)),"Enter the date done",IF(OR(B1075="",C1075=""),"Fill in asset and task",IF(SUMPRODUCT(('PM Plan'!$A$5:$A$304=B1075)*('PM Plan'!$B$5:$B$304=C1075))=0,"No matching asset + task in plan","OK"))))</f>
        <v/>
      </c>
    </row>
    <row r="1076" customFormat="false" ht="15" hidden="false" customHeight="false" outlineLevel="0" collapsed="false">
      <c r="A1076" s="14"/>
      <c r="B1076" s="9"/>
      <c r="C1076" s="9"/>
      <c r="D1076" s="9"/>
      <c r="E1076" s="9"/>
      <c r="F1076" s="17" t="str">
        <f aca="false">IF(AND(A1076="",B1076="",C1076=""),"",IF(NOT(ISNUMBER(A1076)),"Enter the date done",IF(OR(B1076="",C1076=""),"Fill in asset and task",IF(SUMPRODUCT(('PM Plan'!$A$5:$A$304=B1076)*('PM Plan'!$B$5:$B$304=C1076))=0,"No matching asset + task in plan","OK"))))</f>
        <v/>
      </c>
    </row>
    <row r="1077" customFormat="false" ht="15" hidden="false" customHeight="false" outlineLevel="0" collapsed="false">
      <c r="A1077" s="14"/>
      <c r="B1077" s="9"/>
      <c r="C1077" s="9"/>
      <c r="D1077" s="9"/>
      <c r="E1077" s="9"/>
      <c r="F1077" s="17" t="str">
        <f aca="false">IF(AND(A1077="",B1077="",C1077=""),"",IF(NOT(ISNUMBER(A1077)),"Enter the date done",IF(OR(B1077="",C1077=""),"Fill in asset and task",IF(SUMPRODUCT(('PM Plan'!$A$5:$A$304=B1077)*('PM Plan'!$B$5:$B$304=C1077))=0,"No matching asset + task in plan","OK"))))</f>
        <v/>
      </c>
    </row>
    <row r="1078" customFormat="false" ht="15" hidden="false" customHeight="false" outlineLevel="0" collapsed="false">
      <c r="A1078" s="14"/>
      <c r="B1078" s="9"/>
      <c r="C1078" s="9"/>
      <c r="D1078" s="9"/>
      <c r="E1078" s="9"/>
      <c r="F1078" s="17" t="str">
        <f aca="false">IF(AND(A1078="",B1078="",C1078=""),"",IF(NOT(ISNUMBER(A1078)),"Enter the date done",IF(OR(B1078="",C1078=""),"Fill in asset and task",IF(SUMPRODUCT(('PM Plan'!$A$5:$A$304=B1078)*('PM Plan'!$B$5:$B$304=C1078))=0,"No matching asset + task in plan","OK"))))</f>
        <v/>
      </c>
    </row>
    <row r="1079" customFormat="false" ht="15" hidden="false" customHeight="false" outlineLevel="0" collapsed="false">
      <c r="A1079" s="14"/>
      <c r="B1079" s="9"/>
      <c r="C1079" s="9"/>
      <c r="D1079" s="9"/>
      <c r="E1079" s="9"/>
      <c r="F1079" s="17" t="str">
        <f aca="false">IF(AND(A1079="",B1079="",C1079=""),"",IF(NOT(ISNUMBER(A1079)),"Enter the date done",IF(OR(B1079="",C1079=""),"Fill in asset and task",IF(SUMPRODUCT(('PM Plan'!$A$5:$A$304=B1079)*('PM Plan'!$B$5:$B$304=C1079))=0,"No matching asset + task in plan","OK"))))</f>
        <v/>
      </c>
    </row>
    <row r="1080" customFormat="false" ht="15" hidden="false" customHeight="false" outlineLevel="0" collapsed="false">
      <c r="A1080" s="14"/>
      <c r="B1080" s="9"/>
      <c r="C1080" s="9"/>
      <c r="D1080" s="9"/>
      <c r="E1080" s="9"/>
      <c r="F1080" s="17" t="str">
        <f aca="false">IF(AND(A1080="",B1080="",C1080=""),"",IF(NOT(ISNUMBER(A1080)),"Enter the date done",IF(OR(B1080="",C1080=""),"Fill in asset and task",IF(SUMPRODUCT(('PM Plan'!$A$5:$A$304=B1080)*('PM Plan'!$B$5:$B$304=C1080))=0,"No matching asset + task in plan","OK"))))</f>
        <v/>
      </c>
    </row>
    <row r="1081" customFormat="false" ht="15" hidden="false" customHeight="false" outlineLevel="0" collapsed="false">
      <c r="A1081" s="14"/>
      <c r="B1081" s="9"/>
      <c r="C1081" s="9"/>
      <c r="D1081" s="9"/>
      <c r="E1081" s="9"/>
      <c r="F1081" s="17" t="str">
        <f aca="false">IF(AND(A1081="",B1081="",C1081=""),"",IF(NOT(ISNUMBER(A1081)),"Enter the date done",IF(OR(B1081="",C1081=""),"Fill in asset and task",IF(SUMPRODUCT(('PM Plan'!$A$5:$A$304=B1081)*('PM Plan'!$B$5:$B$304=C1081))=0,"No matching asset + task in plan","OK"))))</f>
        <v/>
      </c>
    </row>
    <row r="1082" customFormat="false" ht="15" hidden="false" customHeight="false" outlineLevel="0" collapsed="false">
      <c r="A1082" s="14"/>
      <c r="B1082" s="9"/>
      <c r="C1082" s="9"/>
      <c r="D1082" s="9"/>
      <c r="E1082" s="9"/>
      <c r="F1082" s="17" t="str">
        <f aca="false">IF(AND(A1082="",B1082="",C1082=""),"",IF(NOT(ISNUMBER(A1082)),"Enter the date done",IF(OR(B1082="",C1082=""),"Fill in asset and task",IF(SUMPRODUCT(('PM Plan'!$A$5:$A$304=B1082)*('PM Plan'!$B$5:$B$304=C1082))=0,"No matching asset + task in plan","OK"))))</f>
        <v/>
      </c>
    </row>
    <row r="1083" customFormat="false" ht="15" hidden="false" customHeight="false" outlineLevel="0" collapsed="false">
      <c r="A1083" s="14"/>
      <c r="B1083" s="9"/>
      <c r="C1083" s="9"/>
      <c r="D1083" s="9"/>
      <c r="E1083" s="9"/>
      <c r="F1083" s="17" t="str">
        <f aca="false">IF(AND(A1083="",B1083="",C1083=""),"",IF(NOT(ISNUMBER(A1083)),"Enter the date done",IF(OR(B1083="",C1083=""),"Fill in asset and task",IF(SUMPRODUCT(('PM Plan'!$A$5:$A$304=B1083)*('PM Plan'!$B$5:$B$304=C1083))=0,"No matching asset + task in plan","OK"))))</f>
        <v/>
      </c>
    </row>
    <row r="1084" customFormat="false" ht="15" hidden="false" customHeight="false" outlineLevel="0" collapsed="false">
      <c r="A1084" s="14"/>
      <c r="B1084" s="9"/>
      <c r="C1084" s="9"/>
      <c r="D1084" s="9"/>
      <c r="E1084" s="9"/>
      <c r="F1084" s="17" t="str">
        <f aca="false">IF(AND(A1084="",B1084="",C1084=""),"",IF(NOT(ISNUMBER(A1084)),"Enter the date done",IF(OR(B1084="",C1084=""),"Fill in asset and task",IF(SUMPRODUCT(('PM Plan'!$A$5:$A$304=B1084)*('PM Plan'!$B$5:$B$304=C1084))=0,"No matching asset + task in plan","OK"))))</f>
        <v/>
      </c>
    </row>
    <row r="1085" customFormat="false" ht="15" hidden="false" customHeight="false" outlineLevel="0" collapsed="false">
      <c r="A1085" s="14"/>
      <c r="B1085" s="9"/>
      <c r="C1085" s="9"/>
      <c r="D1085" s="9"/>
      <c r="E1085" s="9"/>
      <c r="F1085" s="17" t="str">
        <f aca="false">IF(AND(A1085="",B1085="",C1085=""),"",IF(NOT(ISNUMBER(A1085)),"Enter the date done",IF(OR(B1085="",C1085=""),"Fill in asset and task",IF(SUMPRODUCT(('PM Plan'!$A$5:$A$304=B1085)*('PM Plan'!$B$5:$B$304=C1085))=0,"No matching asset + task in plan","OK"))))</f>
        <v/>
      </c>
    </row>
    <row r="1086" customFormat="false" ht="15" hidden="false" customHeight="false" outlineLevel="0" collapsed="false">
      <c r="A1086" s="14"/>
      <c r="B1086" s="9"/>
      <c r="C1086" s="9"/>
      <c r="D1086" s="9"/>
      <c r="E1086" s="9"/>
      <c r="F1086" s="17" t="str">
        <f aca="false">IF(AND(A1086="",B1086="",C1086=""),"",IF(NOT(ISNUMBER(A1086)),"Enter the date done",IF(OR(B1086="",C1086=""),"Fill in asset and task",IF(SUMPRODUCT(('PM Plan'!$A$5:$A$304=B1086)*('PM Plan'!$B$5:$B$304=C1086))=0,"No matching asset + task in plan","OK"))))</f>
        <v/>
      </c>
    </row>
    <row r="1087" customFormat="false" ht="15" hidden="false" customHeight="false" outlineLevel="0" collapsed="false">
      <c r="A1087" s="14"/>
      <c r="B1087" s="9"/>
      <c r="C1087" s="9"/>
      <c r="D1087" s="9"/>
      <c r="E1087" s="9"/>
      <c r="F1087" s="17" t="str">
        <f aca="false">IF(AND(A1087="",B1087="",C1087=""),"",IF(NOT(ISNUMBER(A1087)),"Enter the date done",IF(OR(B1087="",C1087=""),"Fill in asset and task",IF(SUMPRODUCT(('PM Plan'!$A$5:$A$304=B1087)*('PM Plan'!$B$5:$B$304=C1087))=0,"No matching asset + task in plan","OK"))))</f>
        <v/>
      </c>
    </row>
    <row r="1088" customFormat="false" ht="15" hidden="false" customHeight="false" outlineLevel="0" collapsed="false">
      <c r="A1088" s="14"/>
      <c r="B1088" s="9"/>
      <c r="C1088" s="9"/>
      <c r="D1088" s="9"/>
      <c r="E1088" s="9"/>
      <c r="F1088" s="17" t="str">
        <f aca="false">IF(AND(A1088="",B1088="",C1088=""),"",IF(NOT(ISNUMBER(A1088)),"Enter the date done",IF(OR(B1088="",C1088=""),"Fill in asset and task",IF(SUMPRODUCT(('PM Plan'!$A$5:$A$304=B1088)*('PM Plan'!$B$5:$B$304=C1088))=0,"No matching asset + task in plan","OK"))))</f>
        <v/>
      </c>
    </row>
    <row r="1089" customFormat="false" ht="15" hidden="false" customHeight="false" outlineLevel="0" collapsed="false">
      <c r="A1089" s="14"/>
      <c r="B1089" s="9"/>
      <c r="C1089" s="9"/>
      <c r="D1089" s="9"/>
      <c r="E1089" s="9"/>
      <c r="F1089" s="17" t="str">
        <f aca="false">IF(AND(A1089="",B1089="",C1089=""),"",IF(NOT(ISNUMBER(A1089)),"Enter the date done",IF(OR(B1089="",C1089=""),"Fill in asset and task",IF(SUMPRODUCT(('PM Plan'!$A$5:$A$304=B1089)*('PM Plan'!$B$5:$B$304=C1089))=0,"No matching asset + task in plan","OK"))))</f>
        <v/>
      </c>
    </row>
    <row r="1090" customFormat="false" ht="15" hidden="false" customHeight="false" outlineLevel="0" collapsed="false">
      <c r="A1090" s="14"/>
      <c r="B1090" s="9"/>
      <c r="C1090" s="9"/>
      <c r="D1090" s="9"/>
      <c r="E1090" s="9"/>
      <c r="F1090" s="17" t="str">
        <f aca="false">IF(AND(A1090="",B1090="",C1090=""),"",IF(NOT(ISNUMBER(A1090)),"Enter the date done",IF(OR(B1090="",C1090=""),"Fill in asset and task",IF(SUMPRODUCT(('PM Plan'!$A$5:$A$304=B1090)*('PM Plan'!$B$5:$B$304=C1090))=0,"No matching asset + task in plan","OK"))))</f>
        <v/>
      </c>
    </row>
    <row r="1091" customFormat="false" ht="15" hidden="false" customHeight="false" outlineLevel="0" collapsed="false">
      <c r="A1091" s="14"/>
      <c r="B1091" s="9"/>
      <c r="C1091" s="9"/>
      <c r="D1091" s="9"/>
      <c r="E1091" s="9"/>
      <c r="F1091" s="17" t="str">
        <f aca="false">IF(AND(A1091="",B1091="",C1091=""),"",IF(NOT(ISNUMBER(A1091)),"Enter the date done",IF(OR(B1091="",C1091=""),"Fill in asset and task",IF(SUMPRODUCT(('PM Plan'!$A$5:$A$304=B1091)*('PM Plan'!$B$5:$B$304=C1091))=0,"No matching asset + task in plan","OK"))))</f>
        <v/>
      </c>
    </row>
    <row r="1092" customFormat="false" ht="15" hidden="false" customHeight="false" outlineLevel="0" collapsed="false">
      <c r="A1092" s="14"/>
      <c r="B1092" s="9"/>
      <c r="C1092" s="9"/>
      <c r="D1092" s="9"/>
      <c r="E1092" s="9"/>
      <c r="F1092" s="17" t="str">
        <f aca="false">IF(AND(A1092="",B1092="",C1092=""),"",IF(NOT(ISNUMBER(A1092)),"Enter the date done",IF(OR(B1092="",C1092=""),"Fill in asset and task",IF(SUMPRODUCT(('PM Plan'!$A$5:$A$304=B1092)*('PM Plan'!$B$5:$B$304=C1092))=0,"No matching asset + task in plan","OK"))))</f>
        <v/>
      </c>
    </row>
    <row r="1093" customFormat="false" ht="15" hidden="false" customHeight="false" outlineLevel="0" collapsed="false">
      <c r="A1093" s="14"/>
      <c r="B1093" s="9"/>
      <c r="C1093" s="9"/>
      <c r="D1093" s="9"/>
      <c r="E1093" s="9"/>
      <c r="F1093" s="17" t="str">
        <f aca="false">IF(AND(A1093="",B1093="",C1093=""),"",IF(NOT(ISNUMBER(A1093)),"Enter the date done",IF(OR(B1093="",C1093=""),"Fill in asset and task",IF(SUMPRODUCT(('PM Plan'!$A$5:$A$304=B1093)*('PM Plan'!$B$5:$B$304=C1093))=0,"No matching asset + task in plan","OK"))))</f>
        <v/>
      </c>
    </row>
    <row r="1094" customFormat="false" ht="15" hidden="false" customHeight="false" outlineLevel="0" collapsed="false">
      <c r="A1094" s="14"/>
      <c r="B1094" s="9"/>
      <c r="C1094" s="9"/>
      <c r="D1094" s="9"/>
      <c r="E1094" s="9"/>
      <c r="F1094" s="17" t="str">
        <f aca="false">IF(AND(A1094="",B1094="",C1094=""),"",IF(NOT(ISNUMBER(A1094)),"Enter the date done",IF(OR(B1094="",C1094=""),"Fill in asset and task",IF(SUMPRODUCT(('PM Plan'!$A$5:$A$304=B1094)*('PM Plan'!$B$5:$B$304=C1094))=0,"No matching asset + task in plan","OK"))))</f>
        <v/>
      </c>
    </row>
    <row r="1095" customFormat="false" ht="15" hidden="false" customHeight="false" outlineLevel="0" collapsed="false">
      <c r="A1095" s="14"/>
      <c r="B1095" s="9"/>
      <c r="C1095" s="9"/>
      <c r="D1095" s="9"/>
      <c r="E1095" s="9"/>
      <c r="F1095" s="17" t="str">
        <f aca="false">IF(AND(A1095="",B1095="",C1095=""),"",IF(NOT(ISNUMBER(A1095)),"Enter the date done",IF(OR(B1095="",C1095=""),"Fill in asset and task",IF(SUMPRODUCT(('PM Plan'!$A$5:$A$304=B1095)*('PM Plan'!$B$5:$B$304=C1095))=0,"No matching asset + task in plan","OK"))))</f>
        <v/>
      </c>
    </row>
    <row r="1096" customFormat="false" ht="15" hidden="false" customHeight="false" outlineLevel="0" collapsed="false">
      <c r="A1096" s="14"/>
      <c r="B1096" s="9"/>
      <c r="C1096" s="9"/>
      <c r="D1096" s="9"/>
      <c r="E1096" s="9"/>
      <c r="F1096" s="17" t="str">
        <f aca="false">IF(AND(A1096="",B1096="",C1096=""),"",IF(NOT(ISNUMBER(A1096)),"Enter the date done",IF(OR(B1096="",C1096=""),"Fill in asset and task",IF(SUMPRODUCT(('PM Plan'!$A$5:$A$304=B1096)*('PM Plan'!$B$5:$B$304=C1096))=0,"No matching asset + task in plan","OK"))))</f>
        <v/>
      </c>
    </row>
    <row r="1097" customFormat="false" ht="15" hidden="false" customHeight="false" outlineLevel="0" collapsed="false">
      <c r="A1097" s="14"/>
      <c r="B1097" s="9"/>
      <c r="C1097" s="9"/>
      <c r="D1097" s="9"/>
      <c r="E1097" s="9"/>
      <c r="F1097" s="17" t="str">
        <f aca="false">IF(AND(A1097="",B1097="",C1097=""),"",IF(NOT(ISNUMBER(A1097)),"Enter the date done",IF(OR(B1097="",C1097=""),"Fill in asset and task",IF(SUMPRODUCT(('PM Plan'!$A$5:$A$304=B1097)*('PM Plan'!$B$5:$B$304=C1097))=0,"No matching asset + task in plan","OK"))))</f>
        <v/>
      </c>
    </row>
    <row r="1098" customFormat="false" ht="15" hidden="false" customHeight="false" outlineLevel="0" collapsed="false">
      <c r="A1098" s="14"/>
      <c r="B1098" s="9"/>
      <c r="C1098" s="9"/>
      <c r="D1098" s="9"/>
      <c r="E1098" s="9"/>
      <c r="F1098" s="17" t="str">
        <f aca="false">IF(AND(A1098="",B1098="",C1098=""),"",IF(NOT(ISNUMBER(A1098)),"Enter the date done",IF(OR(B1098="",C1098=""),"Fill in asset and task",IF(SUMPRODUCT(('PM Plan'!$A$5:$A$304=B1098)*('PM Plan'!$B$5:$B$304=C1098))=0,"No matching asset + task in plan","OK"))))</f>
        <v/>
      </c>
    </row>
    <row r="1099" customFormat="false" ht="15" hidden="false" customHeight="false" outlineLevel="0" collapsed="false">
      <c r="A1099" s="14"/>
      <c r="B1099" s="9"/>
      <c r="C1099" s="9"/>
      <c r="D1099" s="9"/>
      <c r="E1099" s="9"/>
      <c r="F1099" s="17" t="str">
        <f aca="false">IF(AND(A1099="",B1099="",C1099=""),"",IF(NOT(ISNUMBER(A1099)),"Enter the date done",IF(OR(B1099="",C1099=""),"Fill in asset and task",IF(SUMPRODUCT(('PM Plan'!$A$5:$A$304=B1099)*('PM Plan'!$B$5:$B$304=C1099))=0,"No matching asset + task in plan","OK"))))</f>
        <v/>
      </c>
    </row>
    <row r="1100" customFormat="false" ht="15" hidden="false" customHeight="false" outlineLevel="0" collapsed="false">
      <c r="A1100" s="14"/>
      <c r="B1100" s="9"/>
      <c r="C1100" s="9"/>
      <c r="D1100" s="9"/>
      <c r="E1100" s="9"/>
      <c r="F1100" s="17" t="str">
        <f aca="false">IF(AND(A1100="",B1100="",C1100=""),"",IF(NOT(ISNUMBER(A1100)),"Enter the date done",IF(OR(B1100="",C1100=""),"Fill in asset and task",IF(SUMPRODUCT(('PM Plan'!$A$5:$A$304=B1100)*('PM Plan'!$B$5:$B$304=C1100))=0,"No matching asset + task in plan","OK"))))</f>
        <v/>
      </c>
    </row>
    <row r="1101" customFormat="false" ht="15" hidden="false" customHeight="false" outlineLevel="0" collapsed="false">
      <c r="A1101" s="14"/>
      <c r="B1101" s="9"/>
      <c r="C1101" s="9"/>
      <c r="D1101" s="9"/>
      <c r="E1101" s="9"/>
      <c r="F1101" s="17" t="str">
        <f aca="false">IF(AND(A1101="",B1101="",C1101=""),"",IF(NOT(ISNUMBER(A1101)),"Enter the date done",IF(OR(B1101="",C1101=""),"Fill in asset and task",IF(SUMPRODUCT(('PM Plan'!$A$5:$A$304=B1101)*('PM Plan'!$B$5:$B$304=C1101))=0,"No matching asset + task in plan","OK"))))</f>
        <v/>
      </c>
    </row>
    <row r="1102" customFormat="false" ht="15" hidden="false" customHeight="false" outlineLevel="0" collapsed="false">
      <c r="A1102" s="14"/>
      <c r="B1102" s="9"/>
      <c r="C1102" s="9"/>
      <c r="D1102" s="9"/>
      <c r="E1102" s="9"/>
      <c r="F1102" s="17" t="str">
        <f aca="false">IF(AND(A1102="",B1102="",C1102=""),"",IF(NOT(ISNUMBER(A1102)),"Enter the date done",IF(OR(B1102="",C1102=""),"Fill in asset and task",IF(SUMPRODUCT(('PM Plan'!$A$5:$A$304=B1102)*('PM Plan'!$B$5:$B$304=C1102))=0,"No matching asset + task in plan","OK"))))</f>
        <v/>
      </c>
    </row>
    <row r="1103" customFormat="false" ht="15" hidden="false" customHeight="false" outlineLevel="0" collapsed="false">
      <c r="A1103" s="14"/>
      <c r="B1103" s="9"/>
      <c r="C1103" s="9"/>
      <c r="D1103" s="9"/>
      <c r="E1103" s="9"/>
      <c r="F1103" s="17" t="str">
        <f aca="false">IF(AND(A1103="",B1103="",C1103=""),"",IF(NOT(ISNUMBER(A1103)),"Enter the date done",IF(OR(B1103="",C1103=""),"Fill in asset and task",IF(SUMPRODUCT(('PM Plan'!$A$5:$A$304=B1103)*('PM Plan'!$B$5:$B$304=C1103))=0,"No matching asset + task in plan","OK"))))</f>
        <v/>
      </c>
    </row>
    <row r="1104" customFormat="false" ht="15" hidden="false" customHeight="false" outlineLevel="0" collapsed="false">
      <c r="A1104" s="14"/>
      <c r="B1104" s="9"/>
      <c r="C1104" s="9"/>
      <c r="D1104" s="9"/>
      <c r="E1104" s="9"/>
      <c r="F1104" s="17" t="str">
        <f aca="false">IF(AND(A1104="",B1104="",C1104=""),"",IF(NOT(ISNUMBER(A1104)),"Enter the date done",IF(OR(B1104="",C1104=""),"Fill in asset and task",IF(SUMPRODUCT(('PM Plan'!$A$5:$A$304=B1104)*('PM Plan'!$B$5:$B$304=C1104))=0,"No matching asset + task in plan","OK"))))</f>
        <v/>
      </c>
    </row>
    <row r="1105" customFormat="false" ht="15" hidden="false" customHeight="false" outlineLevel="0" collapsed="false">
      <c r="A1105" s="14"/>
      <c r="B1105" s="9"/>
      <c r="C1105" s="9"/>
      <c r="D1105" s="9"/>
      <c r="E1105" s="9"/>
      <c r="F1105" s="17" t="str">
        <f aca="false">IF(AND(A1105="",B1105="",C1105=""),"",IF(NOT(ISNUMBER(A1105)),"Enter the date done",IF(OR(B1105="",C1105=""),"Fill in asset and task",IF(SUMPRODUCT(('PM Plan'!$A$5:$A$304=B1105)*('PM Plan'!$B$5:$B$304=C1105))=0,"No matching asset + task in plan","OK"))))</f>
        <v/>
      </c>
    </row>
    <row r="1106" customFormat="false" ht="15" hidden="false" customHeight="false" outlineLevel="0" collapsed="false">
      <c r="A1106" s="14"/>
      <c r="B1106" s="9"/>
      <c r="C1106" s="9"/>
      <c r="D1106" s="9"/>
      <c r="E1106" s="9"/>
      <c r="F1106" s="17" t="str">
        <f aca="false">IF(AND(A1106="",B1106="",C1106=""),"",IF(NOT(ISNUMBER(A1106)),"Enter the date done",IF(OR(B1106="",C1106=""),"Fill in asset and task",IF(SUMPRODUCT(('PM Plan'!$A$5:$A$304=B1106)*('PM Plan'!$B$5:$B$304=C1106))=0,"No matching asset + task in plan","OK"))))</f>
        <v/>
      </c>
    </row>
    <row r="1107" customFormat="false" ht="15" hidden="false" customHeight="false" outlineLevel="0" collapsed="false">
      <c r="A1107" s="14"/>
      <c r="B1107" s="9"/>
      <c r="C1107" s="9"/>
      <c r="D1107" s="9"/>
      <c r="E1107" s="9"/>
      <c r="F1107" s="17" t="str">
        <f aca="false">IF(AND(A1107="",B1107="",C1107=""),"",IF(NOT(ISNUMBER(A1107)),"Enter the date done",IF(OR(B1107="",C1107=""),"Fill in asset and task",IF(SUMPRODUCT(('PM Plan'!$A$5:$A$304=B1107)*('PM Plan'!$B$5:$B$304=C1107))=0,"No matching asset + task in plan","OK"))))</f>
        <v/>
      </c>
    </row>
    <row r="1108" customFormat="false" ht="15" hidden="false" customHeight="false" outlineLevel="0" collapsed="false">
      <c r="A1108" s="14"/>
      <c r="B1108" s="9"/>
      <c r="C1108" s="9"/>
      <c r="D1108" s="9"/>
      <c r="E1108" s="9"/>
      <c r="F1108" s="17" t="str">
        <f aca="false">IF(AND(A1108="",B1108="",C1108=""),"",IF(NOT(ISNUMBER(A1108)),"Enter the date done",IF(OR(B1108="",C1108=""),"Fill in asset and task",IF(SUMPRODUCT(('PM Plan'!$A$5:$A$304=B1108)*('PM Plan'!$B$5:$B$304=C1108))=0,"No matching asset + task in plan","OK"))))</f>
        <v/>
      </c>
    </row>
    <row r="1109" customFormat="false" ht="15" hidden="false" customHeight="false" outlineLevel="0" collapsed="false">
      <c r="A1109" s="14"/>
      <c r="B1109" s="9"/>
      <c r="C1109" s="9"/>
      <c r="D1109" s="9"/>
      <c r="E1109" s="9"/>
      <c r="F1109" s="17" t="str">
        <f aca="false">IF(AND(A1109="",B1109="",C1109=""),"",IF(NOT(ISNUMBER(A1109)),"Enter the date done",IF(OR(B1109="",C1109=""),"Fill in asset and task",IF(SUMPRODUCT(('PM Plan'!$A$5:$A$304=B1109)*('PM Plan'!$B$5:$B$304=C1109))=0,"No matching asset + task in plan","OK"))))</f>
        <v/>
      </c>
    </row>
    <row r="1110" customFormat="false" ht="15" hidden="false" customHeight="false" outlineLevel="0" collapsed="false">
      <c r="A1110" s="14"/>
      <c r="B1110" s="9"/>
      <c r="C1110" s="9"/>
      <c r="D1110" s="9"/>
      <c r="E1110" s="9"/>
      <c r="F1110" s="17" t="str">
        <f aca="false">IF(AND(A1110="",B1110="",C1110=""),"",IF(NOT(ISNUMBER(A1110)),"Enter the date done",IF(OR(B1110="",C1110=""),"Fill in asset and task",IF(SUMPRODUCT(('PM Plan'!$A$5:$A$304=B1110)*('PM Plan'!$B$5:$B$304=C1110))=0,"No matching asset + task in plan","OK"))))</f>
        <v/>
      </c>
    </row>
    <row r="1111" customFormat="false" ht="15" hidden="false" customHeight="false" outlineLevel="0" collapsed="false">
      <c r="A1111" s="14"/>
      <c r="B1111" s="9"/>
      <c r="C1111" s="9"/>
      <c r="D1111" s="9"/>
      <c r="E1111" s="9"/>
      <c r="F1111" s="17" t="str">
        <f aca="false">IF(AND(A1111="",B1111="",C1111=""),"",IF(NOT(ISNUMBER(A1111)),"Enter the date done",IF(OR(B1111="",C1111=""),"Fill in asset and task",IF(SUMPRODUCT(('PM Plan'!$A$5:$A$304=B1111)*('PM Plan'!$B$5:$B$304=C1111))=0,"No matching asset + task in plan","OK"))))</f>
        <v/>
      </c>
    </row>
    <row r="1112" customFormat="false" ht="15" hidden="false" customHeight="false" outlineLevel="0" collapsed="false">
      <c r="A1112" s="14"/>
      <c r="B1112" s="9"/>
      <c r="C1112" s="9"/>
      <c r="D1112" s="9"/>
      <c r="E1112" s="9"/>
      <c r="F1112" s="17" t="str">
        <f aca="false">IF(AND(A1112="",B1112="",C1112=""),"",IF(NOT(ISNUMBER(A1112)),"Enter the date done",IF(OR(B1112="",C1112=""),"Fill in asset and task",IF(SUMPRODUCT(('PM Plan'!$A$5:$A$304=B1112)*('PM Plan'!$B$5:$B$304=C1112))=0,"No matching asset + task in plan","OK"))))</f>
        <v/>
      </c>
    </row>
    <row r="1113" customFormat="false" ht="15" hidden="false" customHeight="false" outlineLevel="0" collapsed="false">
      <c r="A1113" s="14"/>
      <c r="B1113" s="9"/>
      <c r="C1113" s="9"/>
      <c r="D1113" s="9"/>
      <c r="E1113" s="9"/>
      <c r="F1113" s="17" t="str">
        <f aca="false">IF(AND(A1113="",B1113="",C1113=""),"",IF(NOT(ISNUMBER(A1113)),"Enter the date done",IF(OR(B1113="",C1113=""),"Fill in asset and task",IF(SUMPRODUCT(('PM Plan'!$A$5:$A$304=B1113)*('PM Plan'!$B$5:$B$304=C1113))=0,"No matching asset + task in plan","OK"))))</f>
        <v/>
      </c>
    </row>
    <row r="1114" customFormat="false" ht="15" hidden="false" customHeight="false" outlineLevel="0" collapsed="false">
      <c r="A1114" s="14"/>
      <c r="B1114" s="9"/>
      <c r="C1114" s="9"/>
      <c r="D1114" s="9"/>
      <c r="E1114" s="9"/>
      <c r="F1114" s="17" t="str">
        <f aca="false">IF(AND(A1114="",B1114="",C1114=""),"",IF(NOT(ISNUMBER(A1114)),"Enter the date done",IF(OR(B1114="",C1114=""),"Fill in asset and task",IF(SUMPRODUCT(('PM Plan'!$A$5:$A$304=B1114)*('PM Plan'!$B$5:$B$304=C1114))=0,"No matching asset + task in plan","OK"))))</f>
        <v/>
      </c>
    </row>
    <row r="1115" customFormat="false" ht="15" hidden="false" customHeight="false" outlineLevel="0" collapsed="false">
      <c r="A1115" s="14"/>
      <c r="B1115" s="9"/>
      <c r="C1115" s="9"/>
      <c r="D1115" s="9"/>
      <c r="E1115" s="9"/>
      <c r="F1115" s="17" t="str">
        <f aca="false">IF(AND(A1115="",B1115="",C1115=""),"",IF(NOT(ISNUMBER(A1115)),"Enter the date done",IF(OR(B1115="",C1115=""),"Fill in asset and task",IF(SUMPRODUCT(('PM Plan'!$A$5:$A$304=B1115)*('PM Plan'!$B$5:$B$304=C1115))=0,"No matching asset + task in plan","OK"))))</f>
        <v/>
      </c>
    </row>
    <row r="1116" customFormat="false" ht="15" hidden="false" customHeight="false" outlineLevel="0" collapsed="false">
      <c r="A1116" s="14"/>
      <c r="B1116" s="9"/>
      <c r="C1116" s="9"/>
      <c r="D1116" s="9"/>
      <c r="E1116" s="9"/>
      <c r="F1116" s="17" t="str">
        <f aca="false">IF(AND(A1116="",B1116="",C1116=""),"",IF(NOT(ISNUMBER(A1116)),"Enter the date done",IF(OR(B1116="",C1116=""),"Fill in asset and task",IF(SUMPRODUCT(('PM Plan'!$A$5:$A$304=B1116)*('PM Plan'!$B$5:$B$304=C1116))=0,"No matching asset + task in plan","OK"))))</f>
        <v/>
      </c>
    </row>
    <row r="1117" customFormat="false" ht="15" hidden="false" customHeight="false" outlineLevel="0" collapsed="false">
      <c r="A1117" s="14"/>
      <c r="B1117" s="9"/>
      <c r="C1117" s="9"/>
      <c r="D1117" s="9"/>
      <c r="E1117" s="9"/>
      <c r="F1117" s="17" t="str">
        <f aca="false">IF(AND(A1117="",B1117="",C1117=""),"",IF(NOT(ISNUMBER(A1117)),"Enter the date done",IF(OR(B1117="",C1117=""),"Fill in asset and task",IF(SUMPRODUCT(('PM Plan'!$A$5:$A$304=B1117)*('PM Plan'!$B$5:$B$304=C1117))=0,"No matching asset + task in plan","OK"))))</f>
        <v/>
      </c>
    </row>
    <row r="1118" customFormat="false" ht="15" hidden="false" customHeight="false" outlineLevel="0" collapsed="false">
      <c r="A1118" s="14"/>
      <c r="B1118" s="9"/>
      <c r="C1118" s="9"/>
      <c r="D1118" s="9"/>
      <c r="E1118" s="9"/>
      <c r="F1118" s="17" t="str">
        <f aca="false">IF(AND(A1118="",B1118="",C1118=""),"",IF(NOT(ISNUMBER(A1118)),"Enter the date done",IF(OR(B1118="",C1118=""),"Fill in asset and task",IF(SUMPRODUCT(('PM Plan'!$A$5:$A$304=B1118)*('PM Plan'!$B$5:$B$304=C1118))=0,"No matching asset + task in plan","OK"))))</f>
        <v/>
      </c>
    </row>
    <row r="1119" customFormat="false" ht="15" hidden="false" customHeight="false" outlineLevel="0" collapsed="false">
      <c r="A1119" s="14"/>
      <c r="B1119" s="9"/>
      <c r="C1119" s="9"/>
      <c r="D1119" s="9"/>
      <c r="E1119" s="9"/>
      <c r="F1119" s="17" t="str">
        <f aca="false">IF(AND(A1119="",B1119="",C1119=""),"",IF(NOT(ISNUMBER(A1119)),"Enter the date done",IF(OR(B1119="",C1119=""),"Fill in asset and task",IF(SUMPRODUCT(('PM Plan'!$A$5:$A$304=B1119)*('PM Plan'!$B$5:$B$304=C1119))=0,"No matching asset + task in plan","OK"))))</f>
        <v/>
      </c>
    </row>
    <row r="1120" customFormat="false" ht="15" hidden="false" customHeight="false" outlineLevel="0" collapsed="false">
      <c r="A1120" s="14"/>
      <c r="B1120" s="9"/>
      <c r="C1120" s="9"/>
      <c r="D1120" s="9"/>
      <c r="E1120" s="9"/>
      <c r="F1120" s="17" t="str">
        <f aca="false">IF(AND(A1120="",B1120="",C1120=""),"",IF(NOT(ISNUMBER(A1120)),"Enter the date done",IF(OR(B1120="",C1120=""),"Fill in asset and task",IF(SUMPRODUCT(('PM Plan'!$A$5:$A$304=B1120)*('PM Plan'!$B$5:$B$304=C1120))=0,"No matching asset + task in plan","OK"))))</f>
        <v/>
      </c>
    </row>
    <row r="1121" customFormat="false" ht="15" hidden="false" customHeight="false" outlineLevel="0" collapsed="false">
      <c r="A1121" s="14"/>
      <c r="B1121" s="9"/>
      <c r="C1121" s="9"/>
      <c r="D1121" s="9"/>
      <c r="E1121" s="9"/>
      <c r="F1121" s="17" t="str">
        <f aca="false">IF(AND(A1121="",B1121="",C1121=""),"",IF(NOT(ISNUMBER(A1121)),"Enter the date done",IF(OR(B1121="",C1121=""),"Fill in asset and task",IF(SUMPRODUCT(('PM Plan'!$A$5:$A$304=B1121)*('PM Plan'!$B$5:$B$304=C1121))=0,"No matching asset + task in plan","OK"))))</f>
        <v/>
      </c>
    </row>
    <row r="1122" customFormat="false" ht="15" hidden="false" customHeight="false" outlineLevel="0" collapsed="false">
      <c r="A1122" s="14"/>
      <c r="B1122" s="9"/>
      <c r="C1122" s="9"/>
      <c r="D1122" s="9"/>
      <c r="E1122" s="9"/>
      <c r="F1122" s="17" t="str">
        <f aca="false">IF(AND(A1122="",B1122="",C1122=""),"",IF(NOT(ISNUMBER(A1122)),"Enter the date done",IF(OR(B1122="",C1122=""),"Fill in asset and task",IF(SUMPRODUCT(('PM Plan'!$A$5:$A$304=B1122)*('PM Plan'!$B$5:$B$304=C1122))=0,"No matching asset + task in plan","OK"))))</f>
        <v/>
      </c>
    </row>
    <row r="1123" customFormat="false" ht="15" hidden="false" customHeight="false" outlineLevel="0" collapsed="false">
      <c r="A1123" s="14"/>
      <c r="B1123" s="9"/>
      <c r="C1123" s="9"/>
      <c r="D1123" s="9"/>
      <c r="E1123" s="9"/>
      <c r="F1123" s="17" t="str">
        <f aca="false">IF(AND(A1123="",B1123="",C1123=""),"",IF(NOT(ISNUMBER(A1123)),"Enter the date done",IF(OR(B1123="",C1123=""),"Fill in asset and task",IF(SUMPRODUCT(('PM Plan'!$A$5:$A$304=B1123)*('PM Plan'!$B$5:$B$304=C1123))=0,"No matching asset + task in plan","OK"))))</f>
        <v/>
      </c>
    </row>
    <row r="1124" customFormat="false" ht="15" hidden="false" customHeight="false" outlineLevel="0" collapsed="false">
      <c r="A1124" s="14"/>
      <c r="B1124" s="9"/>
      <c r="C1124" s="9"/>
      <c r="D1124" s="9"/>
      <c r="E1124" s="9"/>
      <c r="F1124" s="17" t="str">
        <f aca="false">IF(AND(A1124="",B1124="",C1124=""),"",IF(NOT(ISNUMBER(A1124)),"Enter the date done",IF(OR(B1124="",C1124=""),"Fill in asset and task",IF(SUMPRODUCT(('PM Plan'!$A$5:$A$304=B1124)*('PM Plan'!$B$5:$B$304=C1124))=0,"No matching asset + task in plan","OK"))))</f>
        <v/>
      </c>
    </row>
    <row r="1125" customFormat="false" ht="15" hidden="false" customHeight="false" outlineLevel="0" collapsed="false">
      <c r="A1125" s="14"/>
      <c r="B1125" s="9"/>
      <c r="C1125" s="9"/>
      <c r="D1125" s="9"/>
      <c r="E1125" s="9"/>
      <c r="F1125" s="17" t="str">
        <f aca="false">IF(AND(A1125="",B1125="",C1125=""),"",IF(NOT(ISNUMBER(A1125)),"Enter the date done",IF(OR(B1125="",C1125=""),"Fill in asset and task",IF(SUMPRODUCT(('PM Plan'!$A$5:$A$304=B1125)*('PM Plan'!$B$5:$B$304=C1125))=0,"No matching asset + task in plan","OK"))))</f>
        <v/>
      </c>
    </row>
    <row r="1126" customFormat="false" ht="15" hidden="false" customHeight="false" outlineLevel="0" collapsed="false">
      <c r="A1126" s="14"/>
      <c r="B1126" s="9"/>
      <c r="C1126" s="9"/>
      <c r="D1126" s="9"/>
      <c r="E1126" s="9"/>
      <c r="F1126" s="17" t="str">
        <f aca="false">IF(AND(A1126="",B1126="",C1126=""),"",IF(NOT(ISNUMBER(A1126)),"Enter the date done",IF(OR(B1126="",C1126=""),"Fill in asset and task",IF(SUMPRODUCT(('PM Plan'!$A$5:$A$304=B1126)*('PM Plan'!$B$5:$B$304=C1126))=0,"No matching asset + task in plan","OK"))))</f>
        <v/>
      </c>
    </row>
    <row r="1127" customFormat="false" ht="15" hidden="false" customHeight="false" outlineLevel="0" collapsed="false">
      <c r="A1127" s="14"/>
      <c r="B1127" s="9"/>
      <c r="C1127" s="9"/>
      <c r="D1127" s="9"/>
      <c r="E1127" s="9"/>
      <c r="F1127" s="17" t="str">
        <f aca="false">IF(AND(A1127="",B1127="",C1127=""),"",IF(NOT(ISNUMBER(A1127)),"Enter the date done",IF(OR(B1127="",C1127=""),"Fill in asset and task",IF(SUMPRODUCT(('PM Plan'!$A$5:$A$304=B1127)*('PM Plan'!$B$5:$B$304=C1127))=0,"No matching asset + task in plan","OK"))))</f>
        <v/>
      </c>
    </row>
    <row r="1128" customFormat="false" ht="15" hidden="false" customHeight="false" outlineLevel="0" collapsed="false">
      <c r="A1128" s="14"/>
      <c r="B1128" s="9"/>
      <c r="C1128" s="9"/>
      <c r="D1128" s="9"/>
      <c r="E1128" s="9"/>
      <c r="F1128" s="17" t="str">
        <f aca="false">IF(AND(A1128="",B1128="",C1128=""),"",IF(NOT(ISNUMBER(A1128)),"Enter the date done",IF(OR(B1128="",C1128=""),"Fill in asset and task",IF(SUMPRODUCT(('PM Plan'!$A$5:$A$304=B1128)*('PM Plan'!$B$5:$B$304=C1128))=0,"No matching asset + task in plan","OK"))))</f>
        <v/>
      </c>
    </row>
    <row r="1129" customFormat="false" ht="15" hidden="false" customHeight="false" outlineLevel="0" collapsed="false">
      <c r="A1129" s="14"/>
      <c r="B1129" s="9"/>
      <c r="C1129" s="9"/>
      <c r="D1129" s="9"/>
      <c r="E1129" s="9"/>
      <c r="F1129" s="17" t="str">
        <f aca="false">IF(AND(A1129="",B1129="",C1129=""),"",IF(NOT(ISNUMBER(A1129)),"Enter the date done",IF(OR(B1129="",C1129=""),"Fill in asset and task",IF(SUMPRODUCT(('PM Plan'!$A$5:$A$304=B1129)*('PM Plan'!$B$5:$B$304=C1129))=0,"No matching asset + task in plan","OK"))))</f>
        <v/>
      </c>
    </row>
    <row r="1130" customFormat="false" ht="15" hidden="false" customHeight="false" outlineLevel="0" collapsed="false">
      <c r="A1130" s="14"/>
      <c r="B1130" s="9"/>
      <c r="C1130" s="9"/>
      <c r="D1130" s="9"/>
      <c r="E1130" s="9"/>
      <c r="F1130" s="17" t="str">
        <f aca="false">IF(AND(A1130="",B1130="",C1130=""),"",IF(NOT(ISNUMBER(A1130)),"Enter the date done",IF(OR(B1130="",C1130=""),"Fill in asset and task",IF(SUMPRODUCT(('PM Plan'!$A$5:$A$304=B1130)*('PM Plan'!$B$5:$B$304=C1130))=0,"No matching asset + task in plan","OK"))))</f>
        <v/>
      </c>
    </row>
    <row r="1131" customFormat="false" ht="15" hidden="false" customHeight="false" outlineLevel="0" collapsed="false">
      <c r="A1131" s="14"/>
      <c r="B1131" s="9"/>
      <c r="C1131" s="9"/>
      <c r="D1131" s="9"/>
      <c r="E1131" s="9"/>
      <c r="F1131" s="17" t="str">
        <f aca="false">IF(AND(A1131="",B1131="",C1131=""),"",IF(NOT(ISNUMBER(A1131)),"Enter the date done",IF(OR(B1131="",C1131=""),"Fill in asset and task",IF(SUMPRODUCT(('PM Plan'!$A$5:$A$304=B1131)*('PM Plan'!$B$5:$B$304=C1131))=0,"No matching asset + task in plan","OK"))))</f>
        <v/>
      </c>
    </row>
    <row r="1132" customFormat="false" ht="15" hidden="false" customHeight="false" outlineLevel="0" collapsed="false">
      <c r="A1132" s="14"/>
      <c r="B1132" s="9"/>
      <c r="C1132" s="9"/>
      <c r="D1132" s="9"/>
      <c r="E1132" s="9"/>
      <c r="F1132" s="17" t="str">
        <f aca="false">IF(AND(A1132="",B1132="",C1132=""),"",IF(NOT(ISNUMBER(A1132)),"Enter the date done",IF(OR(B1132="",C1132=""),"Fill in asset and task",IF(SUMPRODUCT(('PM Plan'!$A$5:$A$304=B1132)*('PM Plan'!$B$5:$B$304=C1132))=0,"No matching asset + task in plan","OK"))))</f>
        <v/>
      </c>
    </row>
    <row r="1133" customFormat="false" ht="15" hidden="false" customHeight="false" outlineLevel="0" collapsed="false">
      <c r="A1133" s="14"/>
      <c r="B1133" s="9"/>
      <c r="C1133" s="9"/>
      <c r="D1133" s="9"/>
      <c r="E1133" s="9"/>
      <c r="F1133" s="17" t="str">
        <f aca="false">IF(AND(A1133="",B1133="",C1133=""),"",IF(NOT(ISNUMBER(A1133)),"Enter the date done",IF(OR(B1133="",C1133=""),"Fill in asset and task",IF(SUMPRODUCT(('PM Plan'!$A$5:$A$304=B1133)*('PM Plan'!$B$5:$B$304=C1133))=0,"No matching asset + task in plan","OK"))))</f>
        <v/>
      </c>
    </row>
    <row r="1134" customFormat="false" ht="15" hidden="false" customHeight="false" outlineLevel="0" collapsed="false">
      <c r="A1134" s="14"/>
      <c r="B1134" s="9"/>
      <c r="C1134" s="9"/>
      <c r="D1134" s="9"/>
      <c r="E1134" s="9"/>
      <c r="F1134" s="17" t="str">
        <f aca="false">IF(AND(A1134="",B1134="",C1134=""),"",IF(NOT(ISNUMBER(A1134)),"Enter the date done",IF(OR(B1134="",C1134=""),"Fill in asset and task",IF(SUMPRODUCT(('PM Plan'!$A$5:$A$304=B1134)*('PM Plan'!$B$5:$B$304=C1134))=0,"No matching asset + task in plan","OK"))))</f>
        <v/>
      </c>
    </row>
    <row r="1135" customFormat="false" ht="15" hidden="false" customHeight="false" outlineLevel="0" collapsed="false">
      <c r="A1135" s="14"/>
      <c r="B1135" s="9"/>
      <c r="C1135" s="9"/>
      <c r="D1135" s="9"/>
      <c r="E1135" s="9"/>
      <c r="F1135" s="17" t="str">
        <f aca="false">IF(AND(A1135="",B1135="",C1135=""),"",IF(NOT(ISNUMBER(A1135)),"Enter the date done",IF(OR(B1135="",C1135=""),"Fill in asset and task",IF(SUMPRODUCT(('PM Plan'!$A$5:$A$304=B1135)*('PM Plan'!$B$5:$B$304=C1135))=0,"No matching asset + task in plan","OK"))))</f>
        <v/>
      </c>
    </row>
    <row r="1136" customFormat="false" ht="15" hidden="false" customHeight="false" outlineLevel="0" collapsed="false">
      <c r="A1136" s="14"/>
      <c r="B1136" s="9"/>
      <c r="C1136" s="9"/>
      <c r="D1136" s="9"/>
      <c r="E1136" s="9"/>
      <c r="F1136" s="17" t="str">
        <f aca="false">IF(AND(A1136="",B1136="",C1136=""),"",IF(NOT(ISNUMBER(A1136)),"Enter the date done",IF(OR(B1136="",C1136=""),"Fill in asset and task",IF(SUMPRODUCT(('PM Plan'!$A$5:$A$304=B1136)*('PM Plan'!$B$5:$B$304=C1136))=0,"No matching asset + task in plan","OK"))))</f>
        <v/>
      </c>
    </row>
    <row r="1137" customFormat="false" ht="15" hidden="false" customHeight="false" outlineLevel="0" collapsed="false">
      <c r="A1137" s="14"/>
      <c r="B1137" s="9"/>
      <c r="C1137" s="9"/>
      <c r="D1137" s="9"/>
      <c r="E1137" s="9"/>
      <c r="F1137" s="17" t="str">
        <f aca="false">IF(AND(A1137="",B1137="",C1137=""),"",IF(NOT(ISNUMBER(A1137)),"Enter the date done",IF(OR(B1137="",C1137=""),"Fill in asset and task",IF(SUMPRODUCT(('PM Plan'!$A$5:$A$304=B1137)*('PM Plan'!$B$5:$B$304=C1137))=0,"No matching asset + task in plan","OK"))))</f>
        <v/>
      </c>
    </row>
    <row r="1138" customFormat="false" ht="15" hidden="false" customHeight="false" outlineLevel="0" collapsed="false">
      <c r="A1138" s="14"/>
      <c r="B1138" s="9"/>
      <c r="C1138" s="9"/>
      <c r="D1138" s="9"/>
      <c r="E1138" s="9"/>
      <c r="F1138" s="17" t="str">
        <f aca="false">IF(AND(A1138="",B1138="",C1138=""),"",IF(NOT(ISNUMBER(A1138)),"Enter the date done",IF(OR(B1138="",C1138=""),"Fill in asset and task",IF(SUMPRODUCT(('PM Plan'!$A$5:$A$304=B1138)*('PM Plan'!$B$5:$B$304=C1138))=0,"No matching asset + task in plan","OK"))))</f>
        <v/>
      </c>
    </row>
    <row r="1139" customFormat="false" ht="15" hidden="false" customHeight="false" outlineLevel="0" collapsed="false">
      <c r="A1139" s="14"/>
      <c r="B1139" s="9"/>
      <c r="C1139" s="9"/>
      <c r="D1139" s="9"/>
      <c r="E1139" s="9"/>
      <c r="F1139" s="17" t="str">
        <f aca="false">IF(AND(A1139="",B1139="",C1139=""),"",IF(NOT(ISNUMBER(A1139)),"Enter the date done",IF(OR(B1139="",C1139=""),"Fill in asset and task",IF(SUMPRODUCT(('PM Plan'!$A$5:$A$304=B1139)*('PM Plan'!$B$5:$B$304=C1139))=0,"No matching asset + task in plan","OK"))))</f>
        <v/>
      </c>
    </row>
    <row r="1140" customFormat="false" ht="15" hidden="false" customHeight="false" outlineLevel="0" collapsed="false">
      <c r="A1140" s="14"/>
      <c r="B1140" s="9"/>
      <c r="C1140" s="9"/>
      <c r="D1140" s="9"/>
      <c r="E1140" s="9"/>
      <c r="F1140" s="17" t="str">
        <f aca="false">IF(AND(A1140="",B1140="",C1140=""),"",IF(NOT(ISNUMBER(A1140)),"Enter the date done",IF(OR(B1140="",C1140=""),"Fill in asset and task",IF(SUMPRODUCT(('PM Plan'!$A$5:$A$304=B1140)*('PM Plan'!$B$5:$B$304=C1140))=0,"No matching asset + task in plan","OK"))))</f>
        <v/>
      </c>
    </row>
    <row r="1141" customFormat="false" ht="15" hidden="false" customHeight="false" outlineLevel="0" collapsed="false">
      <c r="A1141" s="14"/>
      <c r="B1141" s="9"/>
      <c r="C1141" s="9"/>
      <c r="D1141" s="9"/>
      <c r="E1141" s="9"/>
      <c r="F1141" s="17" t="str">
        <f aca="false">IF(AND(A1141="",B1141="",C1141=""),"",IF(NOT(ISNUMBER(A1141)),"Enter the date done",IF(OR(B1141="",C1141=""),"Fill in asset and task",IF(SUMPRODUCT(('PM Plan'!$A$5:$A$304=B1141)*('PM Plan'!$B$5:$B$304=C1141))=0,"No matching asset + task in plan","OK"))))</f>
        <v/>
      </c>
    </row>
    <row r="1142" customFormat="false" ht="15" hidden="false" customHeight="false" outlineLevel="0" collapsed="false">
      <c r="A1142" s="14"/>
      <c r="B1142" s="9"/>
      <c r="C1142" s="9"/>
      <c r="D1142" s="9"/>
      <c r="E1142" s="9"/>
      <c r="F1142" s="17" t="str">
        <f aca="false">IF(AND(A1142="",B1142="",C1142=""),"",IF(NOT(ISNUMBER(A1142)),"Enter the date done",IF(OR(B1142="",C1142=""),"Fill in asset and task",IF(SUMPRODUCT(('PM Plan'!$A$5:$A$304=B1142)*('PM Plan'!$B$5:$B$304=C1142))=0,"No matching asset + task in plan","OK"))))</f>
        <v/>
      </c>
    </row>
    <row r="1143" customFormat="false" ht="15" hidden="false" customHeight="false" outlineLevel="0" collapsed="false">
      <c r="A1143" s="14"/>
      <c r="B1143" s="9"/>
      <c r="C1143" s="9"/>
      <c r="D1143" s="9"/>
      <c r="E1143" s="9"/>
      <c r="F1143" s="17" t="str">
        <f aca="false">IF(AND(A1143="",B1143="",C1143=""),"",IF(NOT(ISNUMBER(A1143)),"Enter the date done",IF(OR(B1143="",C1143=""),"Fill in asset and task",IF(SUMPRODUCT(('PM Plan'!$A$5:$A$304=B1143)*('PM Plan'!$B$5:$B$304=C1143))=0,"No matching asset + task in plan","OK"))))</f>
        <v/>
      </c>
    </row>
    <row r="1144" customFormat="false" ht="15" hidden="false" customHeight="false" outlineLevel="0" collapsed="false">
      <c r="A1144" s="14"/>
      <c r="B1144" s="9"/>
      <c r="C1144" s="9"/>
      <c r="D1144" s="9"/>
      <c r="E1144" s="9"/>
      <c r="F1144" s="17" t="str">
        <f aca="false">IF(AND(A1144="",B1144="",C1144=""),"",IF(NOT(ISNUMBER(A1144)),"Enter the date done",IF(OR(B1144="",C1144=""),"Fill in asset and task",IF(SUMPRODUCT(('PM Plan'!$A$5:$A$304=B1144)*('PM Plan'!$B$5:$B$304=C1144))=0,"No matching asset + task in plan","OK"))))</f>
        <v/>
      </c>
    </row>
    <row r="1145" customFormat="false" ht="15" hidden="false" customHeight="false" outlineLevel="0" collapsed="false">
      <c r="A1145" s="14"/>
      <c r="B1145" s="9"/>
      <c r="C1145" s="9"/>
      <c r="D1145" s="9"/>
      <c r="E1145" s="9"/>
      <c r="F1145" s="17" t="str">
        <f aca="false">IF(AND(A1145="",B1145="",C1145=""),"",IF(NOT(ISNUMBER(A1145)),"Enter the date done",IF(OR(B1145="",C1145=""),"Fill in asset and task",IF(SUMPRODUCT(('PM Plan'!$A$5:$A$304=B1145)*('PM Plan'!$B$5:$B$304=C1145))=0,"No matching asset + task in plan","OK"))))</f>
        <v/>
      </c>
    </row>
    <row r="1146" customFormat="false" ht="15" hidden="false" customHeight="false" outlineLevel="0" collapsed="false">
      <c r="A1146" s="14"/>
      <c r="B1146" s="9"/>
      <c r="C1146" s="9"/>
      <c r="D1146" s="9"/>
      <c r="E1146" s="9"/>
      <c r="F1146" s="17" t="str">
        <f aca="false">IF(AND(A1146="",B1146="",C1146=""),"",IF(NOT(ISNUMBER(A1146)),"Enter the date done",IF(OR(B1146="",C1146=""),"Fill in asset and task",IF(SUMPRODUCT(('PM Plan'!$A$5:$A$304=B1146)*('PM Plan'!$B$5:$B$304=C1146))=0,"No matching asset + task in plan","OK"))))</f>
        <v/>
      </c>
    </row>
    <row r="1147" customFormat="false" ht="15" hidden="false" customHeight="false" outlineLevel="0" collapsed="false">
      <c r="A1147" s="14"/>
      <c r="B1147" s="9"/>
      <c r="C1147" s="9"/>
      <c r="D1147" s="9"/>
      <c r="E1147" s="9"/>
      <c r="F1147" s="17" t="str">
        <f aca="false">IF(AND(A1147="",B1147="",C1147=""),"",IF(NOT(ISNUMBER(A1147)),"Enter the date done",IF(OR(B1147="",C1147=""),"Fill in asset and task",IF(SUMPRODUCT(('PM Plan'!$A$5:$A$304=B1147)*('PM Plan'!$B$5:$B$304=C1147))=0,"No matching asset + task in plan","OK"))))</f>
        <v/>
      </c>
    </row>
    <row r="1148" customFormat="false" ht="15" hidden="false" customHeight="false" outlineLevel="0" collapsed="false">
      <c r="A1148" s="14"/>
      <c r="B1148" s="9"/>
      <c r="C1148" s="9"/>
      <c r="D1148" s="9"/>
      <c r="E1148" s="9"/>
      <c r="F1148" s="17" t="str">
        <f aca="false">IF(AND(A1148="",B1148="",C1148=""),"",IF(NOT(ISNUMBER(A1148)),"Enter the date done",IF(OR(B1148="",C1148=""),"Fill in asset and task",IF(SUMPRODUCT(('PM Plan'!$A$5:$A$304=B1148)*('PM Plan'!$B$5:$B$304=C1148))=0,"No matching asset + task in plan","OK"))))</f>
        <v/>
      </c>
    </row>
    <row r="1149" customFormat="false" ht="15" hidden="false" customHeight="false" outlineLevel="0" collapsed="false">
      <c r="A1149" s="14"/>
      <c r="B1149" s="9"/>
      <c r="C1149" s="9"/>
      <c r="D1149" s="9"/>
      <c r="E1149" s="9"/>
      <c r="F1149" s="17" t="str">
        <f aca="false">IF(AND(A1149="",B1149="",C1149=""),"",IF(NOT(ISNUMBER(A1149)),"Enter the date done",IF(OR(B1149="",C1149=""),"Fill in asset and task",IF(SUMPRODUCT(('PM Plan'!$A$5:$A$304=B1149)*('PM Plan'!$B$5:$B$304=C1149))=0,"No matching asset + task in plan","OK"))))</f>
        <v/>
      </c>
    </row>
    <row r="1150" customFormat="false" ht="15" hidden="false" customHeight="false" outlineLevel="0" collapsed="false">
      <c r="A1150" s="14"/>
      <c r="B1150" s="9"/>
      <c r="C1150" s="9"/>
      <c r="D1150" s="9"/>
      <c r="E1150" s="9"/>
      <c r="F1150" s="17" t="str">
        <f aca="false">IF(AND(A1150="",B1150="",C1150=""),"",IF(NOT(ISNUMBER(A1150)),"Enter the date done",IF(OR(B1150="",C1150=""),"Fill in asset and task",IF(SUMPRODUCT(('PM Plan'!$A$5:$A$304=B1150)*('PM Plan'!$B$5:$B$304=C1150))=0,"No matching asset + task in plan","OK"))))</f>
        <v/>
      </c>
    </row>
    <row r="1151" customFormat="false" ht="15" hidden="false" customHeight="false" outlineLevel="0" collapsed="false">
      <c r="A1151" s="14"/>
      <c r="B1151" s="9"/>
      <c r="C1151" s="9"/>
      <c r="D1151" s="9"/>
      <c r="E1151" s="9"/>
      <c r="F1151" s="17" t="str">
        <f aca="false">IF(AND(A1151="",B1151="",C1151=""),"",IF(NOT(ISNUMBER(A1151)),"Enter the date done",IF(OR(B1151="",C1151=""),"Fill in asset and task",IF(SUMPRODUCT(('PM Plan'!$A$5:$A$304=B1151)*('PM Plan'!$B$5:$B$304=C1151))=0,"No matching asset + task in plan","OK"))))</f>
        <v/>
      </c>
    </row>
    <row r="1152" customFormat="false" ht="15" hidden="false" customHeight="false" outlineLevel="0" collapsed="false">
      <c r="A1152" s="14"/>
      <c r="B1152" s="9"/>
      <c r="C1152" s="9"/>
      <c r="D1152" s="9"/>
      <c r="E1152" s="9"/>
      <c r="F1152" s="17" t="str">
        <f aca="false">IF(AND(A1152="",B1152="",C1152=""),"",IF(NOT(ISNUMBER(A1152)),"Enter the date done",IF(OR(B1152="",C1152=""),"Fill in asset and task",IF(SUMPRODUCT(('PM Plan'!$A$5:$A$304=B1152)*('PM Plan'!$B$5:$B$304=C1152))=0,"No matching asset + task in plan","OK"))))</f>
        <v/>
      </c>
    </row>
    <row r="1153" customFormat="false" ht="15" hidden="false" customHeight="false" outlineLevel="0" collapsed="false">
      <c r="A1153" s="14"/>
      <c r="B1153" s="9"/>
      <c r="C1153" s="9"/>
      <c r="D1153" s="9"/>
      <c r="E1153" s="9"/>
      <c r="F1153" s="17" t="str">
        <f aca="false">IF(AND(A1153="",B1153="",C1153=""),"",IF(NOT(ISNUMBER(A1153)),"Enter the date done",IF(OR(B1153="",C1153=""),"Fill in asset and task",IF(SUMPRODUCT(('PM Plan'!$A$5:$A$304=B1153)*('PM Plan'!$B$5:$B$304=C1153))=0,"No matching asset + task in plan","OK"))))</f>
        <v/>
      </c>
    </row>
    <row r="1154" customFormat="false" ht="15" hidden="false" customHeight="false" outlineLevel="0" collapsed="false">
      <c r="A1154" s="14"/>
      <c r="B1154" s="9"/>
      <c r="C1154" s="9"/>
      <c r="D1154" s="9"/>
      <c r="E1154" s="9"/>
      <c r="F1154" s="17" t="str">
        <f aca="false">IF(AND(A1154="",B1154="",C1154=""),"",IF(NOT(ISNUMBER(A1154)),"Enter the date done",IF(OR(B1154="",C1154=""),"Fill in asset and task",IF(SUMPRODUCT(('PM Plan'!$A$5:$A$304=B1154)*('PM Plan'!$B$5:$B$304=C1154))=0,"No matching asset + task in plan","OK"))))</f>
        <v/>
      </c>
    </row>
    <row r="1155" customFormat="false" ht="15" hidden="false" customHeight="false" outlineLevel="0" collapsed="false">
      <c r="A1155" s="14"/>
      <c r="B1155" s="9"/>
      <c r="C1155" s="9"/>
      <c r="D1155" s="9"/>
      <c r="E1155" s="9"/>
      <c r="F1155" s="17" t="str">
        <f aca="false">IF(AND(A1155="",B1155="",C1155=""),"",IF(NOT(ISNUMBER(A1155)),"Enter the date done",IF(OR(B1155="",C1155=""),"Fill in asset and task",IF(SUMPRODUCT(('PM Plan'!$A$5:$A$304=B1155)*('PM Plan'!$B$5:$B$304=C1155))=0,"No matching asset + task in plan","OK"))))</f>
        <v/>
      </c>
    </row>
    <row r="1156" customFormat="false" ht="15" hidden="false" customHeight="false" outlineLevel="0" collapsed="false">
      <c r="A1156" s="14"/>
      <c r="B1156" s="9"/>
      <c r="C1156" s="9"/>
      <c r="D1156" s="9"/>
      <c r="E1156" s="9"/>
      <c r="F1156" s="17" t="str">
        <f aca="false">IF(AND(A1156="",B1156="",C1156=""),"",IF(NOT(ISNUMBER(A1156)),"Enter the date done",IF(OR(B1156="",C1156=""),"Fill in asset and task",IF(SUMPRODUCT(('PM Plan'!$A$5:$A$304=B1156)*('PM Plan'!$B$5:$B$304=C1156))=0,"No matching asset + task in plan","OK"))))</f>
        <v/>
      </c>
    </row>
    <row r="1157" customFormat="false" ht="15" hidden="false" customHeight="false" outlineLevel="0" collapsed="false">
      <c r="A1157" s="14"/>
      <c r="B1157" s="9"/>
      <c r="C1157" s="9"/>
      <c r="D1157" s="9"/>
      <c r="E1157" s="9"/>
      <c r="F1157" s="17" t="str">
        <f aca="false">IF(AND(A1157="",B1157="",C1157=""),"",IF(NOT(ISNUMBER(A1157)),"Enter the date done",IF(OR(B1157="",C1157=""),"Fill in asset and task",IF(SUMPRODUCT(('PM Plan'!$A$5:$A$304=B1157)*('PM Plan'!$B$5:$B$304=C1157))=0,"No matching asset + task in plan","OK"))))</f>
        <v/>
      </c>
    </row>
    <row r="1158" customFormat="false" ht="15" hidden="false" customHeight="false" outlineLevel="0" collapsed="false">
      <c r="A1158" s="14"/>
      <c r="B1158" s="9"/>
      <c r="C1158" s="9"/>
      <c r="D1158" s="9"/>
      <c r="E1158" s="9"/>
      <c r="F1158" s="17" t="str">
        <f aca="false">IF(AND(A1158="",B1158="",C1158=""),"",IF(NOT(ISNUMBER(A1158)),"Enter the date done",IF(OR(B1158="",C1158=""),"Fill in asset and task",IF(SUMPRODUCT(('PM Plan'!$A$5:$A$304=B1158)*('PM Plan'!$B$5:$B$304=C1158))=0,"No matching asset + task in plan","OK"))))</f>
        <v/>
      </c>
    </row>
    <row r="1159" customFormat="false" ht="15" hidden="false" customHeight="false" outlineLevel="0" collapsed="false">
      <c r="A1159" s="14"/>
      <c r="B1159" s="9"/>
      <c r="C1159" s="9"/>
      <c r="D1159" s="9"/>
      <c r="E1159" s="9"/>
      <c r="F1159" s="17" t="str">
        <f aca="false">IF(AND(A1159="",B1159="",C1159=""),"",IF(NOT(ISNUMBER(A1159)),"Enter the date done",IF(OR(B1159="",C1159=""),"Fill in asset and task",IF(SUMPRODUCT(('PM Plan'!$A$5:$A$304=B1159)*('PM Plan'!$B$5:$B$304=C1159))=0,"No matching asset + task in plan","OK"))))</f>
        <v/>
      </c>
    </row>
    <row r="1160" customFormat="false" ht="15" hidden="false" customHeight="false" outlineLevel="0" collapsed="false">
      <c r="A1160" s="14"/>
      <c r="B1160" s="9"/>
      <c r="C1160" s="9"/>
      <c r="D1160" s="9"/>
      <c r="E1160" s="9"/>
      <c r="F1160" s="17" t="str">
        <f aca="false">IF(AND(A1160="",B1160="",C1160=""),"",IF(NOT(ISNUMBER(A1160)),"Enter the date done",IF(OR(B1160="",C1160=""),"Fill in asset and task",IF(SUMPRODUCT(('PM Plan'!$A$5:$A$304=B1160)*('PM Plan'!$B$5:$B$304=C1160))=0,"No matching asset + task in plan","OK"))))</f>
        <v/>
      </c>
    </row>
    <row r="1161" customFormat="false" ht="15" hidden="false" customHeight="false" outlineLevel="0" collapsed="false">
      <c r="A1161" s="14"/>
      <c r="B1161" s="9"/>
      <c r="C1161" s="9"/>
      <c r="D1161" s="9"/>
      <c r="E1161" s="9"/>
      <c r="F1161" s="17" t="str">
        <f aca="false">IF(AND(A1161="",B1161="",C1161=""),"",IF(NOT(ISNUMBER(A1161)),"Enter the date done",IF(OR(B1161="",C1161=""),"Fill in asset and task",IF(SUMPRODUCT(('PM Plan'!$A$5:$A$304=B1161)*('PM Plan'!$B$5:$B$304=C1161))=0,"No matching asset + task in plan","OK"))))</f>
        <v/>
      </c>
    </row>
    <row r="1162" customFormat="false" ht="15" hidden="false" customHeight="false" outlineLevel="0" collapsed="false">
      <c r="A1162" s="14"/>
      <c r="B1162" s="9"/>
      <c r="C1162" s="9"/>
      <c r="D1162" s="9"/>
      <c r="E1162" s="9"/>
      <c r="F1162" s="17" t="str">
        <f aca="false">IF(AND(A1162="",B1162="",C1162=""),"",IF(NOT(ISNUMBER(A1162)),"Enter the date done",IF(OR(B1162="",C1162=""),"Fill in asset and task",IF(SUMPRODUCT(('PM Plan'!$A$5:$A$304=B1162)*('PM Plan'!$B$5:$B$304=C1162))=0,"No matching asset + task in plan","OK"))))</f>
        <v/>
      </c>
    </row>
    <row r="1163" customFormat="false" ht="15" hidden="false" customHeight="false" outlineLevel="0" collapsed="false">
      <c r="A1163" s="14"/>
      <c r="B1163" s="9"/>
      <c r="C1163" s="9"/>
      <c r="D1163" s="9"/>
      <c r="E1163" s="9"/>
      <c r="F1163" s="17" t="str">
        <f aca="false">IF(AND(A1163="",B1163="",C1163=""),"",IF(NOT(ISNUMBER(A1163)),"Enter the date done",IF(OR(B1163="",C1163=""),"Fill in asset and task",IF(SUMPRODUCT(('PM Plan'!$A$5:$A$304=B1163)*('PM Plan'!$B$5:$B$304=C1163))=0,"No matching asset + task in plan","OK"))))</f>
        <v/>
      </c>
    </row>
    <row r="1164" customFormat="false" ht="15" hidden="false" customHeight="false" outlineLevel="0" collapsed="false">
      <c r="A1164" s="14"/>
      <c r="B1164" s="9"/>
      <c r="C1164" s="9"/>
      <c r="D1164" s="9"/>
      <c r="E1164" s="9"/>
      <c r="F1164" s="17" t="str">
        <f aca="false">IF(AND(A1164="",B1164="",C1164=""),"",IF(NOT(ISNUMBER(A1164)),"Enter the date done",IF(OR(B1164="",C1164=""),"Fill in asset and task",IF(SUMPRODUCT(('PM Plan'!$A$5:$A$304=B1164)*('PM Plan'!$B$5:$B$304=C1164))=0,"No matching asset + task in plan","OK"))))</f>
        <v/>
      </c>
    </row>
    <row r="1165" customFormat="false" ht="15" hidden="false" customHeight="false" outlineLevel="0" collapsed="false">
      <c r="A1165" s="14"/>
      <c r="B1165" s="9"/>
      <c r="C1165" s="9"/>
      <c r="D1165" s="9"/>
      <c r="E1165" s="9"/>
      <c r="F1165" s="17" t="str">
        <f aca="false">IF(AND(A1165="",B1165="",C1165=""),"",IF(NOT(ISNUMBER(A1165)),"Enter the date done",IF(OR(B1165="",C1165=""),"Fill in asset and task",IF(SUMPRODUCT(('PM Plan'!$A$5:$A$304=B1165)*('PM Plan'!$B$5:$B$304=C1165))=0,"No matching asset + task in plan","OK"))))</f>
        <v/>
      </c>
    </row>
    <row r="1166" customFormat="false" ht="15" hidden="false" customHeight="false" outlineLevel="0" collapsed="false">
      <c r="A1166" s="14"/>
      <c r="B1166" s="9"/>
      <c r="C1166" s="9"/>
      <c r="D1166" s="9"/>
      <c r="E1166" s="9"/>
      <c r="F1166" s="17" t="str">
        <f aca="false">IF(AND(A1166="",B1166="",C1166=""),"",IF(NOT(ISNUMBER(A1166)),"Enter the date done",IF(OR(B1166="",C1166=""),"Fill in asset and task",IF(SUMPRODUCT(('PM Plan'!$A$5:$A$304=B1166)*('PM Plan'!$B$5:$B$304=C1166))=0,"No matching asset + task in plan","OK"))))</f>
        <v/>
      </c>
    </row>
    <row r="1167" customFormat="false" ht="15" hidden="false" customHeight="false" outlineLevel="0" collapsed="false">
      <c r="A1167" s="14"/>
      <c r="B1167" s="9"/>
      <c r="C1167" s="9"/>
      <c r="D1167" s="9"/>
      <c r="E1167" s="9"/>
      <c r="F1167" s="17" t="str">
        <f aca="false">IF(AND(A1167="",B1167="",C1167=""),"",IF(NOT(ISNUMBER(A1167)),"Enter the date done",IF(OR(B1167="",C1167=""),"Fill in asset and task",IF(SUMPRODUCT(('PM Plan'!$A$5:$A$304=B1167)*('PM Plan'!$B$5:$B$304=C1167))=0,"No matching asset + task in plan","OK"))))</f>
        <v/>
      </c>
    </row>
    <row r="1168" customFormat="false" ht="15" hidden="false" customHeight="false" outlineLevel="0" collapsed="false">
      <c r="A1168" s="14"/>
      <c r="B1168" s="9"/>
      <c r="C1168" s="9"/>
      <c r="D1168" s="9"/>
      <c r="E1168" s="9"/>
      <c r="F1168" s="17" t="str">
        <f aca="false">IF(AND(A1168="",B1168="",C1168=""),"",IF(NOT(ISNUMBER(A1168)),"Enter the date done",IF(OR(B1168="",C1168=""),"Fill in asset and task",IF(SUMPRODUCT(('PM Plan'!$A$5:$A$304=B1168)*('PM Plan'!$B$5:$B$304=C1168))=0,"No matching asset + task in plan","OK"))))</f>
        <v/>
      </c>
    </row>
    <row r="1169" customFormat="false" ht="15" hidden="false" customHeight="false" outlineLevel="0" collapsed="false">
      <c r="A1169" s="14"/>
      <c r="B1169" s="9"/>
      <c r="C1169" s="9"/>
      <c r="D1169" s="9"/>
      <c r="E1169" s="9"/>
      <c r="F1169" s="17" t="str">
        <f aca="false">IF(AND(A1169="",B1169="",C1169=""),"",IF(NOT(ISNUMBER(A1169)),"Enter the date done",IF(OR(B1169="",C1169=""),"Fill in asset and task",IF(SUMPRODUCT(('PM Plan'!$A$5:$A$304=B1169)*('PM Plan'!$B$5:$B$304=C1169))=0,"No matching asset + task in plan","OK"))))</f>
        <v/>
      </c>
    </row>
    <row r="1170" customFormat="false" ht="15" hidden="false" customHeight="false" outlineLevel="0" collapsed="false">
      <c r="A1170" s="14"/>
      <c r="B1170" s="9"/>
      <c r="C1170" s="9"/>
      <c r="D1170" s="9"/>
      <c r="E1170" s="9"/>
      <c r="F1170" s="17" t="str">
        <f aca="false">IF(AND(A1170="",B1170="",C1170=""),"",IF(NOT(ISNUMBER(A1170)),"Enter the date done",IF(OR(B1170="",C1170=""),"Fill in asset and task",IF(SUMPRODUCT(('PM Plan'!$A$5:$A$304=B1170)*('PM Plan'!$B$5:$B$304=C1170))=0,"No matching asset + task in plan","OK"))))</f>
        <v/>
      </c>
    </row>
    <row r="1171" customFormat="false" ht="15" hidden="false" customHeight="false" outlineLevel="0" collapsed="false">
      <c r="A1171" s="14"/>
      <c r="B1171" s="9"/>
      <c r="C1171" s="9"/>
      <c r="D1171" s="9"/>
      <c r="E1171" s="9"/>
      <c r="F1171" s="17" t="str">
        <f aca="false">IF(AND(A1171="",B1171="",C1171=""),"",IF(NOT(ISNUMBER(A1171)),"Enter the date done",IF(OR(B1171="",C1171=""),"Fill in asset and task",IF(SUMPRODUCT(('PM Plan'!$A$5:$A$304=B1171)*('PM Plan'!$B$5:$B$304=C1171))=0,"No matching asset + task in plan","OK"))))</f>
        <v/>
      </c>
    </row>
    <row r="1172" customFormat="false" ht="15" hidden="false" customHeight="false" outlineLevel="0" collapsed="false">
      <c r="A1172" s="14"/>
      <c r="B1172" s="9"/>
      <c r="C1172" s="9"/>
      <c r="D1172" s="9"/>
      <c r="E1172" s="9"/>
      <c r="F1172" s="17" t="str">
        <f aca="false">IF(AND(A1172="",B1172="",C1172=""),"",IF(NOT(ISNUMBER(A1172)),"Enter the date done",IF(OR(B1172="",C1172=""),"Fill in asset and task",IF(SUMPRODUCT(('PM Plan'!$A$5:$A$304=B1172)*('PM Plan'!$B$5:$B$304=C1172))=0,"No matching asset + task in plan","OK"))))</f>
        <v/>
      </c>
    </row>
    <row r="1173" customFormat="false" ht="15" hidden="false" customHeight="false" outlineLevel="0" collapsed="false">
      <c r="A1173" s="14"/>
      <c r="B1173" s="9"/>
      <c r="C1173" s="9"/>
      <c r="D1173" s="9"/>
      <c r="E1173" s="9"/>
      <c r="F1173" s="17" t="str">
        <f aca="false">IF(AND(A1173="",B1173="",C1173=""),"",IF(NOT(ISNUMBER(A1173)),"Enter the date done",IF(OR(B1173="",C1173=""),"Fill in asset and task",IF(SUMPRODUCT(('PM Plan'!$A$5:$A$304=B1173)*('PM Plan'!$B$5:$B$304=C1173))=0,"No matching asset + task in plan","OK"))))</f>
        <v/>
      </c>
    </row>
    <row r="1174" customFormat="false" ht="15" hidden="false" customHeight="false" outlineLevel="0" collapsed="false">
      <c r="A1174" s="14"/>
      <c r="B1174" s="9"/>
      <c r="C1174" s="9"/>
      <c r="D1174" s="9"/>
      <c r="E1174" s="9"/>
      <c r="F1174" s="17" t="str">
        <f aca="false">IF(AND(A1174="",B1174="",C1174=""),"",IF(NOT(ISNUMBER(A1174)),"Enter the date done",IF(OR(B1174="",C1174=""),"Fill in asset and task",IF(SUMPRODUCT(('PM Plan'!$A$5:$A$304=B1174)*('PM Plan'!$B$5:$B$304=C1174))=0,"No matching asset + task in plan","OK"))))</f>
        <v/>
      </c>
    </row>
    <row r="1175" customFormat="false" ht="15" hidden="false" customHeight="false" outlineLevel="0" collapsed="false">
      <c r="A1175" s="14"/>
      <c r="B1175" s="9"/>
      <c r="C1175" s="9"/>
      <c r="D1175" s="9"/>
      <c r="E1175" s="9"/>
      <c r="F1175" s="17" t="str">
        <f aca="false">IF(AND(A1175="",B1175="",C1175=""),"",IF(NOT(ISNUMBER(A1175)),"Enter the date done",IF(OR(B1175="",C1175=""),"Fill in asset and task",IF(SUMPRODUCT(('PM Plan'!$A$5:$A$304=B1175)*('PM Plan'!$B$5:$B$304=C1175))=0,"No matching asset + task in plan","OK"))))</f>
        <v/>
      </c>
    </row>
    <row r="1176" customFormat="false" ht="15" hidden="false" customHeight="false" outlineLevel="0" collapsed="false">
      <c r="A1176" s="14"/>
      <c r="B1176" s="9"/>
      <c r="C1176" s="9"/>
      <c r="D1176" s="9"/>
      <c r="E1176" s="9"/>
      <c r="F1176" s="17" t="str">
        <f aca="false">IF(AND(A1176="",B1176="",C1176=""),"",IF(NOT(ISNUMBER(A1176)),"Enter the date done",IF(OR(B1176="",C1176=""),"Fill in asset and task",IF(SUMPRODUCT(('PM Plan'!$A$5:$A$304=B1176)*('PM Plan'!$B$5:$B$304=C1176))=0,"No matching asset + task in plan","OK"))))</f>
        <v/>
      </c>
    </row>
    <row r="1177" customFormat="false" ht="15" hidden="false" customHeight="false" outlineLevel="0" collapsed="false">
      <c r="A1177" s="14"/>
      <c r="B1177" s="9"/>
      <c r="C1177" s="9"/>
      <c r="D1177" s="9"/>
      <c r="E1177" s="9"/>
      <c r="F1177" s="17" t="str">
        <f aca="false">IF(AND(A1177="",B1177="",C1177=""),"",IF(NOT(ISNUMBER(A1177)),"Enter the date done",IF(OR(B1177="",C1177=""),"Fill in asset and task",IF(SUMPRODUCT(('PM Plan'!$A$5:$A$304=B1177)*('PM Plan'!$B$5:$B$304=C1177))=0,"No matching asset + task in plan","OK"))))</f>
        <v/>
      </c>
    </row>
    <row r="1178" customFormat="false" ht="15" hidden="false" customHeight="false" outlineLevel="0" collapsed="false">
      <c r="A1178" s="14"/>
      <c r="B1178" s="9"/>
      <c r="C1178" s="9"/>
      <c r="D1178" s="9"/>
      <c r="E1178" s="9"/>
      <c r="F1178" s="17" t="str">
        <f aca="false">IF(AND(A1178="",B1178="",C1178=""),"",IF(NOT(ISNUMBER(A1178)),"Enter the date done",IF(OR(B1178="",C1178=""),"Fill in asset and task",IF(SUMPRODUCT(('PM Plan'!$A$5:$A$304=B1178)*('PM Plan'!$B$5:$B$304=C1178))=0,"No matching asset + task in plan","OK"))))</f>
        <v/>
      </c>
    </row>
    <row r="1179" customFormat="false" ht="15" hidden="false" customHeight="false" outlineLevel="0" collapsed="false">
      <c r="A1179" s="14"/>
      <c r="B1179" s="9"/>
      <c r="C1179" s="9"/>
      <c r="D1179" s="9"/>
      <c r="E1179" s="9"/>
      <c r="F1179" s="17" t="str">
        <f aca="false">IF(AND(A1179="",B1179="",C1179=""),"",IF(NOT(ISNUMBER(A1179)),"Enter the date done",IF(OR(B1179="",C1179=""),"Fill in asset and task",IF(SUMPRODUCT(('PM Plan'!$A$5:$A$304=B1179)*('PM Plan'!$B$5:$B$304=C1179))=0,"No matching asset + task in plan","OK"))))</f>
        <v/>
      </c>
    </row>
    <row r="1180" customFormat="false" ht="15" hidden="false" customHeight="false" outlineLevel="0" collapsed="false">
      <c r="A1180" s="14"/>
      <c r="B1180" s="9"/>
      <c r="C1180" s="9"/>
      <c r="D1180" s="9"/>
      <c r="E1180" s="9"/>
      <c r="F1180" s="17" t="str">
        <f aca="false">IF(AND(A1180="",B1180="",C1180=""),"",IF(NOT(ISNUMBER(A1180)),"Enter the date done",IF(OR(B1180="",C1180=""),"Fill in asset and task",IF(SUMPRODUCT(('PM Plan'!$A$5:$A$304=B1180)*('PM Plan'!$B$5:$B$304=C1180))=0,"No matching asset + task in plan","OK"))))</f>
        <v/>
      </c>
    </row>
    <row r="1181" customFormat="false" ht="15" hidden="false" customHeight="false" outlineLevel="0" collapsed="false">
      <c r="A1181" s="14"/>
      <c r="B1181" s="9"/>
      <c r="C1181" s="9"/>
      <c r="D1181" s="9"/>
      <c r="E1181" s="9"/>
      <c r="F1181" s="17" t="str">
        <f aca="false">IF(AND(A1181="",B1181="",C1181=""),"",IF(NOT(ISNUMBER(A1181)),"Enter the date done",IF(OR(B1181="",C1181=""),"Fill in asset and task",IF(SUMPRODUCT(('PM Plan'!$A$5:$A$304=B1181)*('PM Plan'!$B$5:$B$304=C1181))=0,"No matching asset + task in plan","OK"))))</f>
        <v/>
      </c>
    </row>
    <row r="1182" customFormat="false" ht="15" hidden="false" customHeight="false" outlineLevel="0" collapsed="false">
      <c r="A1182" s="14"/>
      <c r="B1182" s="9"/>
      <c r="C1182" s="9"/>
      <c r="D1182" s="9"/>
      <c r="E1182" s="9"/>
      <c r="F1182" s="17" t="str">
        <f aca="false">IF(AND(A1182="",B1182="",C1182=""),"",IF(NOT(ISNUMBER(A1182)),"Enter the date done",IF(OR(B1182="",C1182=""),"Fill in asset and task",IF(SUMPRODUCT(('PM Plan'!$A$5:$A$304=B1182)*('PM Plan'!$B$5:$B$304=C1182))=0,"No matching asset + task in plan","OK"))))</f>
        <v/>
      </c>
    </row>
    <row r="1183" customFormat="false" ht="15" hidden="false" customHeight="false" outlineLevel="0" collapsed="false">
      <c r="A1183" s="14"/>
      <c r="B1183" s="9"/>
      <c r="C1183" s="9"/>
      <c r="D1183" s="9"/>
      <c r="E1183" s="9"/>
      <c r="F1183" s="17" t="str">
        <f aca="false">IF(AND(A1183="",B1183="",C1183=""),"",IF(NOT(ISNUMBER(A1183)),"Enter the date done",IF(OR(B1183="",C1183=""),"Fill in asset and task",IF(SUMPRODUCT(('PM Plan'!$A$5:$A$304=B1183)*('PM Plan'!$B$5:$B$304=C1183))=0,"No matching asset + task in plan","OK"))))</f>
        <v/>
      </c>
    </row>
    <row r="1184" customFormat="false" ht="15" hidden="false" customHeight="false" outlineLevel="0" collapsed="false">
      <c r="A1184" s="14"/>
      <c r="B1184" s="9"/>
      <c r="C1184" s="9"/>
      <c r="D1184" s="9"/>
      <c r="E1184" s="9"/>
      <c r="F1184" s="17" t="str">
        <f aca="false">IF(AND(A1184="",B1184="",C1184=""),"",IF(NOT(ISNUMBER(A1184)),"Enter the date done",IF(OR(B1184="",C1184=""),"Fill in asset and task",IF(SUMPRODUCT(('PM Plan'!$A$5:$A$304=B1184)*('PM Plan'!$B$5:$B$304=C1184))=0,"No matching asset + task in plan","OK"))))</f>
        <v/>
      </c>
    </row>
    <row r="1185" customFormat="false" ht="15" hidden="false" customHeight="false" outlineLevel="0" collapsed="false">
      <c r="A1185" s="14"/>
      <c r="B1185" s="9"/>
      <c r="C1185" s="9"/>
      <c r="D1185" s="9"/>
      <c r="E1185" s="9"/>
      <c r="F1185" s="17" t="str">
        <f aca="false">IF(AND(A1185="",B1185="",C1185=""),"",IF(NOT(ISNUMBER(A1185)),"Enter the date done",IF(OR(B1185="",C1185=""),"Fill in asset and task",IF(SUMPRODUCT(('PM Plan'!$A$5:$A$304=B1185)*('PM Plan'!$B$5:$B$304=C1185))=0,"No matching asset + task in plan","OK"))))</f>
        <v/>
      </c>
    </row>
    <row r="1186" customFormat="false" ht="15" hidden="false" customHeight="false" outlineLevel="0" collapsed="false">
      <c r="A1186" s="14"/>
      <c r="B1186" s="9"/>
      <c r="C1186" s="9"/>
      <c r="D1186" s="9"/>
      <c r="E1186" s="9"/>
      <c r="F1186" s="17" t="str">
        <f aca="false">IF(AND(A1186="",B1186="",C1186=""),"",IF(NOT(ISNUMBER(A1186)),"Enter the date done",IF(OR(B1186="",C1186=""),"Fill in asset and task",IF(SUMPRODUCT(('PM Plan'!$A$5:$A$304=B1186)*('PM Plan'!$B$5:$B$304=C1186))=0,"No matching asset + task in plan","OK"))))</f>
        <v/>
      </c>
    </row>
    <row r="1187" customFormat="false" ht="15" hidden="false" customHeight="false" outlineLevel="0" collapsed="false">
      <c r="A1187" s="14"/>
      <c r="B1187" s="9"/>
      <c r="C1187" s="9"/>
      <c r="D1187" s="9"/>
      <c r="E1187" s="9"/>
      <c r="F1187" s="17" t="str">
        <f aca="false">IF(AND(A1187="",B1187="",C1187=""),"",IF(NOT(ISNUMBER(A1187)),"Enter the date done",IF(OR(B1187="",C1187=""),"Fill in asset and task",IF(SUMPRODUCT(('PM Plan'!$A$5:$A$304=B1187)*('PM Plan'!$B$5:$B$304=C1187))=0,"No matching asset + task in plan","OK"))))</f>
        <v/>
      </c>
    </row>
    <row r="1188" customFormat="false" ht="15" hidden="false" customHeight="false" outlineLevel="0" collapsed="false">
      <c r="A1188" s="14"/>
      <c r="B1188" s="9"/>
      <c r="C1188" s="9"/>
      <c r="D1188" s="9"/>
      <c r="E1188" s="9"/>
      <c r="F1188" s="17" t="str">
        <f aca="false">IF(AND(A1188="",B1188="",C1188=""),"",IF(NOT(ISNUMBER(A1188)),"Enter the date done",IF(OR(B1188="",C1188=""),"Fill in asset and task",IF(SUMPRODUCT(('PM Plan'!$A$5:$A$304=B1188)*('PM Plan'!$B$5:$B$304=C1188))=0,"No matching asset + task in plan","OK"))))</f>
        <v/>
      </c>
    </row>
    <row r="1189" customFormat="false" ht="15" hidden="false" customHeight="false" outlineLevel="0" collapsed="false">
      <c r="A1189" s="14"/>
      <c r="B1189" s="9"/>
      <c r="C1189" s="9"/>
      <c r="D1189" s="9"/>
      <c r="E1189" s="9"/>
      <c r="F1189" s="17" t="str">
        <f aca="false">IF(AND(A1189="",B1189="",C1189=""),"",IF(NOT(ISNUMBER(A1189)),"Enter the date done",IF(OR(B1189="",C1189=""),"Fill in asset and task",IF(SUMPRODUCT(('PM Plan'!$A$5:$A$304=B1189)*('PM Plan'!$B$5:$B$304=C1189))=0,"No matching asset + task in plan","OK"))))</f>
        <v/>
      </c>
    </row>
    <row r="1190" customFormat="false" ht="15" hidden="false" customHeight="false" outlineLevel="0" collapsed="false">
      <c r="A1190" s="14"/>
      <c r="B1190" s="9"/>
      <c r="C1190" s="9"/>
      <c r="D1190" s="9"/>
      <c r="E1190" s="9"/>
      <c r="F1190" s="17" t="str">
        <f aca="false">IF(AND(A1190="",B1190="",C1190=""),"",IF(NOT(ISNUMBER(A1190)),"Enter the date done",IF(OR(B1190="",C1190=""),"Fill in asset and task",IF(SUMPRODUCT(('PM Plan'!$A$5:$A$304=B1190)*('PM Plan'!$B$5:$B$304=C1190))=0,"No matching asset + task in plan","OK"))))</f>
        <v/>
      </c>
    </row>
    <row r="1191" customFormat="false" ht="15" hidden="false" customHeight="false" outlineLevel="0" collapsed="false">
      <c r="A1191" s="14"/>
      <c r="B1191" s="9"/>
      <c r="C1191" s="9"/>
      <c r="D1191" s="9"/>
      <c r="E1191" s="9"/>
      <c r="F1191" s="17" t="str">
        <f aca="false">IF(AND(A1191="",B1191="",C1191=""),"",IF(NOT(ISNUMBER(A1191)),"Enter the date done",IF(OR(B1191="",C1191=""),"Fill in asset and task",IF(SUMPRODUCT(('PM Plan'!$A$5:$A$304=B1191)*('PM Plan'!$B$5:$B$304=C1191))=0,"No matching asset + task in plan","OK"))))</f>
        <v/>
      </c>
    </row>
    <row r="1192" customFormat="false" ht="15" hidden="false" customHeight="false" outlineLevel="0" collapsed="false">
      <c r="A1192" s="14"/>
      <c r="B1192" s="9"/>
      <c r="C1192" s="9"/>
      <c r="D1192" s="9"/>
      <c r="E1192" s="9"/>
      <c r="F1192" s="17" t="str">
        <f aca="false">IF(AND(A1192="",B1192="",C1192=""),"",IF(NOT(ISNUMBER(A1192)),"Enter the date done",IF(OR(B1192="",C1192=""),"Fill in asset and task",IF(SUMPRODUCT(('PM Plan'!$A$5:$A$304=B1192)*('PM Plan'!$B$5:$B$304=C1192))=0,"No matching asset + task in plan","OK"))))</f>
        <v/>
      </c>
    </row>
    <row r="1193" customFormat="false" ht="15" hidden="false" customHeight="false" outlineLevel="0" collapsed="false">
      <c r="A1193" s="14"/>
      <c r="B1193" s="9"/>
      <c r="C1193" s="9"/>
      <c r="D1193" s="9"/>
      <c r="E1193" s="9"/>
      <c r="F1193" s="17" t="str">
        <f aca="false">IF(AND(A1193="",B1193="",C1193=""),"",IF(NOT(ISNUMBER(A1193)),"Enter the date done",IF(OR(B1193="",C1193=""),"Fill in asset and task",IF(SUMPRODUCT(('PM Plan'!$A$5:$A$304=B1193)*('PM Plan'!$B$5:$B$304=C1193))=0,"No matching asset + task in plan","OK"))))</f>
        <v/>
      </c>
    </row>
    <row r="1194" customFormat="false" ht="15" hidden="false" customHeight="false" outlineLevel="0" collapsed="false">
      <c r="A1194" s="14"/>
      <c r="B1194" s="9"/>
      <c r="C1194" s="9"/>
      <c r="D1194" s="9"/>
      <c r="E1194" s="9"/>
      <c r="F1194" s="17" t="str">
        <f aca="false">IF(AND(A1194="",B1194="",C1194=""),"",IF(NOT(ISNUMBER(A1194)),"Enter the date done",IF(OR(B1194="",C1194=""),"Fill in asset and task",IF(SUMPRODUCT(('PM Plan'!$A$5:$A$304=B1194)*('PM Plan'!$B$5:$B$304=C1194))=0,"No matching asset + task in plan","OK"))))</f>
        <v/>
      </c>
    </row>
    <row r="1195" customFormat="false" ht="15" hidden="false" customHeight="false" outlineLevel="0" collapsed="false">
      <c r="A1195" s="14"/>
      <c r="B1195" s="9"/>
      <c r="C1195" s="9"/>
      <c r="D1195" s="9"/>
      <c r="E1195" s="9"/>
      <c r="F1195" s="17" t="str">
        <f aca="false">IF(AND(A1195="",B1195="",C1195=""),"",IF(NOT(ISNUMBER(A1195)),"Enter the date done",IF(OR(B1195="",C1195=""),"Fill in asset and task",IF(SUMPRODUCT(('PM Plan'!$A$5:$A$304=B1195)*('PM Plan'!$B$5:$B$304=C1195))=0,"No matching asset + task in plan","OK"))))</f>
        <v/>
      </c>
    </row>
    <row r="1196" customFormat="false" ht="15" hidden="false" customHeight="false" outlineLevel="0" collapsed="false">
      <c r="A1196" s="14"/>
      <c r="B1196" s="9"/>
      <c r="C1196" s="9"/>
      <c r="D1196" s="9"/>
      <c r="E1196" s="9"/>
      <c r="F1196" s="17" t="str">
        <f aca="false">IF(AND(A1196="",B1196="",C1196=""),"",IF(NOT(ISNUMBER(A1196)),"Enter the date done",IF(OR(B1196="",C1196=""),"Fill in asset and task",IF(SUMPRODUCT(('PM Plan'!$A$5:$A$304=B1196)*('PM Plan'!$B$5:$B$304=C1196))=0,"No matching asset + task in plan","OK"))))</f>
        <v/>
      </c>
    </row>
    <row r="1197" customFormat="false" ht="15" hidden="false" customHeight="false" outlineLevel="0" collapsed="false">
      <c r="A1197" s="14"/>
      <c r="B1197" s="9"/>
      <c r="C1197" s="9"/>
      <c r="D1197" s="9"/>
      <c r="E1197" s="9"/>
      <c r="F1197" s="17" t="str">
        <f aca="false">IF(AND(A1197="",B1197="",C1197=""),"",IF(NOT(ISNUMBER(A1197)),"Enter the date done",IF(OR(B1197="",C1197=""),"Fill in asset and task",IF(SUMPRODUCT(('PM Plan'!$A$5:$A$304=B1197)*('PM Plan'!$B$5:$B$304=C1197))=0,"No matching asset + task in plan","OK"))))</f>
        <v/>
      </c>
    </row>
    <row r="1198" customFormat="false" ht="15" hidden="false" customHeight="false" outlineLevel="0" collapsed="false">
      <c r="A1198" s="14"/>
      <c r="B1198" s="9"/>
      <c r="C1198" s="9"/>
      <c r="D1198" s="9"/>
      <c r="E1198" s="9"/>
      <c r="F1198" s="17" t="str">
        <f aca="false">IF(AND(A1198="",B1198="",C1198=""),"",IF(NOT(ISNUMBER(A1198)),"Enter the date done",IF(OR(B1198="",C1198=""),"Fill in asset and task",IF(SUMPRODUCT(('PM Plan'!$A$5:$A$304=B1198)*('PM Plan'!$B$5:$B$304=C1198))=0,"No matching asset + task in plan","OK"))))</f>
        <v/>
      </c>
    </row>
    <row r="1199" customFormat="false" ht="15" hidden="false" customHeight="false" outlineLevel="0" collapsed="false">
      <c r="A1199" s="14"/>
      <c r="B1199" s="9"/>
      <c r="C1199" s="9"/>
      <c r="D1199" s="9"/>
      <c r="E1199" s="9"/>
      <c r="F1199" s="17" t="str">
        <f aca="false">IF(AND(A1199="",B1199="",C1199=""),"",IF(NOT(ISNUMBER(A1199)),"Enter the date done",IF(OR(B1199="",C1199=""),"Fill in asset and task",IF(SUMPRODUCT(('PM Plan'!$A$5:$A$304=B1199)*('PM Plan'!$B$5:$B$304=C1199))=0,"No matching asset + task in plan","OK"))))</f>
        <v/>
      </c>
    </row>
    <row r="1200" customFormat="false" ht="15" hidden="false" customHeight="false" outlineLevel="0" collapsed="false">
      <c r="A1200" s="14"/>
      <c r="B1200" s="9"/>
      <c r="C1200" s="9"/>
      <c r="D1200" s="9"/>
      <c r="E1200" s="9"/>
      <c r="F1200" s="17" t="str">
        <f aca="false">IF(AND(A1200="",B1200="",C1200=""),"",IF(NOT(ISNUMBER(A1200)),"Enter the date done",IF(OR(B1200="",C1200=""),"Fill in asset and task",IF(SUMPRODUCT(('PM Plan'!$A$5:$A$304=B1200)*('PM Plan'!$B$5:$B$304=C1200))=0,"No matching asset + task in plan","OK"))))</f>
        <v/>
      </c>
    </row>
    <row r="1201" customFormat="false" ht="15" hidden="false" customHeight="false" outlineLevel="0" collapsed="false">
      <c r="A1201" s="14"/>
      <c r="B1201" s="9"/>
      <c r="C1201" s="9"/>
      <c r="D1201" s="9"/>
      <c r="E1201" s="9"/>
      <c r="F1201" s="17" t="str">
        <f aca="false">IF(AND(A1201="",B1201="",C1201=""),"",IF(NOT(ISNUMBER(A1201)),"Enter the date done",IF(OR(B1201="",C1201=""),"Fill in asset and task",IF(SUMPRODUCT(('PM Plan'!$A$5:$A$304=B1201)*('PM Plan'!$B$5:$B$304=C1201))=0,"No matching asset + task in plan","OK"))))</f>
        <v/>
      </c>
    </row>
    <row r="1202" customFormat="false" ht="15" hidden="false" customHeight="false" outlineLevel="0" collapsed="false">
      <c r="A1202" s="14"/>
      <c r="B1202" s="9"/>
      <c r="C1202" s="9"/>
      <c r="D1202" s="9"/>
      <c r="E1202" s="9"/>
      <c r="F1202" s="17" t="str">
        <f aca="false">IF(AND(A1202="",B1202="",C1202=""),"",IF(NOT(ISNUMBER(A1202)),"Enter the date done",IF(OR(B1202="",C1202=""),"Fill in asset and task",IF(SUMPRODUCT(('PM Plan'!$A$5:$A$304=B1202)*('PM Plan'!$B$5:$B$304=C1202))=0,"No matching asset + task in plan","OK"))))</f>
        <v/>
      </c>
    </row>
    <row r="1203" customFormat="false" ht="15" hidden="false" customHeight="false" outlineLevel="0" collapsed="false">
      <c r="A1203" s="14"/>
      <c r="B1203" s="9"/>
      <c r="C1203" s="9"/>
      <c r="D1203" s="9"/>
      <c r="E1203" s="9"/>
      <c r="F1203" s="17" t="str">
        <f aca="false">IF(AND(A1203="",B1203="",C1203=""),"",IF(NOT(ISNUMBER(A1203)),"Enter the date done",IF(OR(B1203="",C1203=""),"Fill in asset and task",IF(SUMPRODUCT(('PM Plan'!$A$5:$A$304=B1203)*('PM Plan'!$B$5:$B$304=C1203))=0,"No matching asset + task in plan","OK"))))</f>
        <v/>
      </c>
    </row>
    <row r="1204" customFormat="false" ht="15" hidden="false" customHeight="false" outlineLevel="0" collapsed="false">
      <c r="A1204" s="14"/>
      <c r="B1204" s="9"/>
      <c r="C1204" s="9"/>
      <c r="D1204" s="9"/>
      <c r="E1204" s="9"/>
      <c r="F1204" s="17" t="str">
        <f aca="false">IF(AND(A1204="",B1204="",C1204=""),"",IF(NOT(ISNUMBER(A1204)),"Enter the date done",IF(OR(B1204="",C1204=""),"Fill in asset and task",IF(SUMPRODUCT(('PM Plan'!$A$5:$A$304=B1204)*('PM Plan'!$B$5:$B$304=C1204))=0,"No matching asset + task in plan","OK"))))</f>
        <v/>
      </c>
    </row>
    <row r="1205" customFormat="false" ht="15" hidden="false" customHeight="false" outlineLevel="0" collapsed="false">
      <c r="A1205" s="14"/>
      <c r="B1205" s="9"/>
      <c r="C1205" s="9"/>
      <c r="D1205" s="9"/>
      <c r="E1205" s="9"/>
      <c r="F1205" s="17" t="str">
        <f aca="false">IF(AND(A1205="",B1205="",C1205=""),"",IF(NOT(ISNUMBER(A1205)),"Enter the date done",IF(OR(B1205="",C1205=""),"Fill in asset and task",IF(SUMPRODUCT(('PM Plan'!$A$5:$A$304=B1205)*('PM Plan'!$B$5:$B$304=C1205))=0,"No matching asset + task in plan","OK"))))</f>
        <v/>
      </c>
    </row>
    <row r="1206" customFormat="false" ht="15" hidden="false" customHeight="false" outlineLevel="0" collapsed="false">
      <c r="A1206" s="14"/>
      <c r="B1206" s="9"/>
      <c r="C1206" s="9"/>
      <c r="D1206" s="9"/>
      <c r="E1206" s="9"/>
      <c r="F1206" s="17" t="str">
        <f aca="false">IF(AND(A1206="",B1206="",C1206=""),"",IF(NOT(ISNUMBER(A1206)),"Enter the date done",IF(OR(B1206="",C1206=""),"Fill in asset and task",IF(SUMPRODUCT(('PM Plan'!$A$5:$A$304=B1206)*('PM Plan'!$B$5:$B$304=C1206))=0,"No matching asset + task in plan","OK"))))</f>
        <v/>
      </c>
    </row>
    <row r="1207" customFormat="false" ht="15" hidden="false" customHeight="false" outlineLevel="0" collapsed="false">
      <c r="A1207" s="14"/>
      <c r="B1207" s="9"/>
      <c r="C1207" s="9"/>
      <c r="D1207" s="9"/>
      <c r="E1207" s="9"/>
      <c r="F1207" s="17" t="str">
        <f aca="false">IF(AND(A1207="",B1207="",C1207=""),"",IF(NOT(ISNUMBER(A1207)),"Enter the date done",IF(OR(B1207="",C1207=""),"Fill in asset and task",IF(SUMPRODUCT(('PM Plan'!$A$5:$A$304=B1207)*('PM Plan'!$B$5:$B$304=C1207))=0,"No matching asset + task in plan","OK"))))</f>
        <v/>
      </c>
    </row>
    <row r="1208" customFormat="false" ht="15" hidden="false" customHeight="false" outlineLevel="0" collapsed="false">
      <c r="A1208" s="14"/>
      <c r="B1208" s="9"/>
      <c r="C1208" s="9"/>
      <c r="D1208" s="9"/>
      <c r="E1208" s="9"/>
      <c r="F1208" s="17" t="str">
        <f aca="false">IF(AND(A1208="",B1208="",C1208=""),"",IF(NOT(ISNUMBER(A1208)),"Enter the date done",IF(OR(B1208="",C1208=""),"Fill in asset and task",IF(SUMPRODUCT(('PM Plan'!$A$5:$A$304=B1208)*('PM Plan'!$B$5:$B$304=C1208))=0,"No matching asset + task in plan","OK"))))</f>
        <v/>
      </c>
    </row>
    <row r="1209" customFormat="false" ht="15" hidden="false" customHeight="false" outlineLevel="0" collapsed="false">
      <c r="A1209" s="14"/>
      <c r="B1209" s="9"/>
      <c r="C1209" s="9"/>
      <c r="D1209" s="9"/>
      <c r="E1209" s="9"/>
      <c r="F1209" s="17" t="str">
        <f aca="false">IF(AND(A1209="",B1209="",C1209=""),"",IF(NOT(ISNUMBER(A1209)),"Enter the date done",IF(OR(B1209="",C1209=""),"Fill in asset and task",IF(SUMPRODUCT(('PM Plan'!$A$5:$A$304=B1209)*('PM Plan'!$B$5:$B$304=C1209))=0,"No matching asset + task in plan","OK"))))</f>
        <v/>
      </c>
    </row>
    <row r="1210" customFormat="false" ht="15" hidden="false" customHeight="false" outlineLevel="0" collapsed="false">
      <c r="A1210" s="14"/>
      <c r="B1210" s="9"/>
      <c r="C1210" s="9"/>
      <c r="D1210" s="9"/>
      <c r="E1210" s="9"/>
      <c r="F1210" s="17" t="str">
        <f aca="false">IF(AND(A1210="",B1210="",C1210=""),"",IF(NOT(ISNUMBER(A1210)),"Enter the date done",IF(OR(B1210="",C1210=""),"Fill in asset and task",IF(SUMPRODUCT(('PM Plan'!$A$5:$A$304=B1210)*('PM Plan'!$B$5:$B$304=C1210))=0,"No matching asset + task in plan","OK"))))</f>
        <v/>
      </c>
    </row>
    <row r="1211" customFormat="false" ht="15" hidden="false" customHeight="false" outlineLevel="0" collapsed="false">
      <c r="A1211" s="14"/>
      <c r="B1211" s="9"/>
      <c r="C1211" s="9"/>
      <c r="D1211" s="9"/>
      <c r="E1211" s="9"/>
      <c r="F1211" s="17" t="str">
        <f aca="false">IF(AND(A1211="",B1211="",C1211=""),"",IF(NOT(ISNUMBER(A1211)),"Enter the date done",IF(OR(B1211="",C1211=""),"Fill in asset and task",IF(SUMPRODUCT(('PM Plan'!$A$5:$A$304=B1211)*('PM Plan'!$B$5:$B$304=C1211))=0,"No matching asset + task in plan","OK"))))</f>
        <v/>
      </c>
    </row>
    <row r="1212" customFormat="false" ht="15" hidden="false" customHeight="false" outlineLevel="0" collapsed="false">
      <c r="A1212" s="14"/>
      <c r="B1212" s="9"/>
      <c r="C1212" s="9"/>
      <c r="D1212" s="9"/>
      <c r="E1212" s="9"/>
      <c r="F1212" s="17" t="str">
        <f aca="false">IF(AND(A1212="",B1212="",C1212=""),"",IF(NOT(ISNUMBER(A1212)),"Enter the date done",IF(OR(B1212="",C1212=""),"Fill in asset and task",IF(SUMPRODUCT(('PM Plan'!$A$5:$A$304=B1212)*('PM Plan'!$B$5:$B$304=C1212))=0,"No matching asset + task in plan","OK"))))</f>
        <v/>
      </c>
    </row>
    <row r="1213" customFormat="false" ht="15" hidden="false" customHeight="false" outlineLevel="0" collapsed="false">
      <c r="A1213" s="14"/>
      <c r="B1213" s="9"/>
      <c r="C1213" s="9"/>
      <c r="D1213" s="9"/>
      <c r="E1213" s="9"/>
      <c r="F1213" s="17" t="str">
        <f aca="false">IF(AND(A1213="",B1213="",C1213=""),"",IF(NOT(ISNUMBER(A1213)),"Enter the date done",IF(OR(B1213="",C1213=""),"Fill in asset and task",IF(SUMPRODUCT(('PM Plan'!$A$5:$A$304=B1213)*('PM Plan'!$B$5:$B$304=C1213))=0,"No matching asset + task in plan","OK"))))</f>
        <v/>
      </c>
    </row>
    <row r="1214" customFormat="false" ht="15" hidden="false" customHeight="false" outlineLevel="0" collapsed="false">
      <c r="A1214" s="14"/>
      <c r="B1214" s="9"/>
      <c r="C1214" s="9"/>
      <c r="D1214" s="9"/>
      <c r="E1214" s="9"/>
      <c r="F1214" s="17" t="str">
        <f aca="false">IF(AND(A1214="",B1214="",C1214=""),"",IF(NOT(ISNUMBER(A1214)),"Enter the date done",IF(OR(B1214="",C1214=""),"Fill in asset and task",IF(SUMPRODUCT(('PM Plan'!$A$5:$A$304=B1214)*('PM Plan'!$B$5:$B$304=C1214))=0,"No matching asset + task in plan","OK"))))</f>
        <v/>
      </c>
    </row>
    <row r="1215" customFormat="false" ht="15" hidden="false" customHeight="false" outlineLevel="0" collapsed="false">
      <c r="A1215" s="14"/>
      <c r="B1215" s="9"/>
      <c r="C1215" s="9"/>
      <c r="D1215" s="9"/>
      <c r="E1215" s="9"/>
      <c r="F1215" s="17" t="str">
        <f aca="false">IF(AND(A1215="",B1215="",C1215=""),"",IF(NOT(ISNUMBER(A1215)),"Enter the date done",IF(OR(B1215="",C1215=""),"Fill in asset and task",IF(SUMPRODUCT(('PM Plan'!$A$5:$A$304=B1215)*('PM Plan'!$B$5:$B$304=C1215))=0,"No matching asset + task in plan","OK"))))</f>
        <v/>
      </c>
    </row>
    <row r="1216" customFormat="false" ht="15" hidden="false" customHeight="false" outlineLevel="0" collapsed="false">
      <c r="A1216" s="14"/>
      <c r="B1216" s="9"/>
      <c r="C1216" s="9"/>
      <c r="D1216" s="9"/>
      <c r="E1216" s="9"/>
      <c r="F1216" s="17" t="str">
        <f aca="false">IF(AND(A1216="",B1216="",C1216=""),"",IF(NOT(ISNUMBER(A1216)),"Enter the date done",IF(OR(B1216="",C1216=""),"Fill in asset and task",IF(SUMPRODUCT(('PM Plan'!$A$5:$A$304=B1216)*('PM Plan'!$B$5:$B$304=C1216))=0,"No matching asset + task in plan","OK"))))</f>
        <v/>
      </c>
    </row>
    <row r="1217" customFormat="false" ht="15" hidden="false" customHeight="false" outlineLevel="0" collapsed="false">
      <c r="A1217" s="14"/>
      <c r="B1217" s="9"/>
      <c r="C1217" s="9"/>
      <c r="D1217" s="9"/>
      <c r="E1217" s="9"/>
      <c r="F1217" s="17" t="str">
        <f aca="false">IF(AND(A1217="",B1217="",C1217=""),"",IF(NOT(ISNUMBER(A1217)),"Enter the date done",IF(OR(B1217="",C1217=""),"Fill in asset and task",IF(SUMPRODUCT(('PM Plan'!$A$5:$A$304=B1217)*('PM Plan'!$B$5:$B$304=C1217))=0,"No matching asset + task in plan","OK"))))</f>
        <v/>
      </c>
    </row>
    <row r="1218" customFormat="false" ht="15" hidden="false" customHeight="false" outlineLevel="0" collapsed="false">
      <c r="A1218" s="14"/>
      <c r="B1218" s="9"/>
      <c r="C1218" s="9"/>
      <c r="D1218" s="9"/>
      <c r="E1218" s="9"/>
      <c r="F1218" s="17" t="str">
        <f aca="false">IF(AND(A1218="",B1218="",C1218=""),"",IF(NOT(ISNUMBER(A1218)),"Enter the date done",IF(OR(B1218="",C1218=""),"Fill in asset and task",IF(SUMPRODUCT(('PM Plan'!$A$5:$A$304=B1218)*('PM Plan'!$B$5:$B$304=C1218))=0,"No matching asset + task in plan","OK"))))</f>
        <v/>
      </c>
    </row>
    <row r="1219" customFormat="false" ht="15" hidden="false" customHeight="false" outlineLevel="0" collapsed="false">
      <c r="A1219" s="14"/>
      <c r="B1219" s="9"/>
      <c r="C1219" s="9"/>
      <c r="D1219" s="9"/>
      <c r="E1219" s="9"/>
      <c r="F1219" s="17" t="str">
        <f aca="false">IF(AND(A1219="",B1219="",C1219=""),"",IF(NOT(ISNUMBER(A1219)),"Enter the date done",IF(OR(B1219="",C1219=""),"Fill in asset and task",IF(SUMPRODUCT(('PM Plan'!$A$5:$A$304=B1219)*('PM Plan'!$B$5:$B$304=C1219))=0,"No matching asset + task in plan","OK"))))</f>
        <v/>
      </c>
    </row>
    <row r="1220" customFormat="false" ht="15" hidden="false" customHeight="false" outlineLevel="0" collapsed="false">
      <c r="A1220" s="14"/>
      <c r="B1220" s="9"/>
      <c r="C1220" s="9"/>
      <c r="D1220" s="9"/>
      <c r="E1220" s="9"/>
      <c r="F1220" s="17" t="str">
        <f aca="false">IF(AND(A1220="",B1220="",C1220=""),"",IF(NOT(ISNUMBER(A1220)),"Enter the date done",IF(OR(B1220="",C1220=""),"Fill in asset and task",IF(SUMPRODUCT(('PM Plan'!$A$5:$A$304=B1220)*('PM Plan'!$B$5:$B$304=C1220))=0,"No matching asset + task in plan","OK"))))</f>
        <v/>
      </c>
    </row>
    <row r="1221" customFormat="false" ht="15" hidden="false" customHeight="false" outlineLevel="0" collapsed="false">
      <c r="A1221" s="14"/>
      <c r="B1221" s="9"/>
      <c r="C1221" s="9"/>
      <c r="D1221" s="9"/>
      <c r="E1221" s="9"/>
      <c r="F1221" s="17" t="str">
        <f aca="false">IF(AND(A1221="",B1221="",C1221=""),"",IF(NOT(ISNUMBER(A1221)),"Enter the date done",IF(OR(B1221="",C1221=""),"Fill in asset and task",IF(SUMPRODUCT(('PM Plan'!$A$5:$A$304=B1221)*('PM Plan'!$B$5:$B$304=C1221))=0,"No matching asset + task in plan","OK"))))</f>
        <v/>
      </c>
    </row>
    <row r="1222" customFormat="false" ht="15" hidden="false" customHeight="false" outlineLevel="0" collapsed="false">
      <c r="A1222" s="14"/>
      <c r="B1222" s="9"/>
      <c r="C1222" s="9"/>
      <c r="D1222" s="9"/>
      <c r="E1222" s="9"/>
      <c r="F1222" s="17" t="str">
        <f aca="false">IF(AND(A1222="",B1222="",C1222=""),"",IF(NOT(ISNUMBER(A1222)),"Enter the date done",IF(OR(B1222="",C1222=""),"Fill in asset and task",IF(SUMPRODUCT(('PM Plan'!$A$5:$A$304=B1222)*('PM Plan'!$B$5:$B$304=C1222))=0,"No matching asset + task in plan","OK"))))</f>
        <v/>
      </c>
    </row>
    <row r="1223" customFormat="false" ht="15" hidden="false" customHeight="false" outlineLevel="0" collapsed="false">
      <c r="A1223" s="14"/>
      <c r="B1223" s="9"/>
      <c r="C1223" s="9"/>
      <c r="D1223" s="9"/>
      <c r="E1223" s="9"/>
      <c r="F1223" s="17" t="str">
        <f aca="false">IF(AND(A1223="",B1223="",C1223=""),"",IF(NOT(ISNUMBER(A1223)),"Enter the date done",IF(OR(B1223="",C1223=""),"Fill in asset and task",IF(SUMPRODUCT(('PM Plan'!$A$5:$A$304=B1223)*('PM Plan'!$B$5:$B$304=C1223))=0,"No matching asset + task in plan","OK"))))</f>
        <v/>
      </c>
    </row>
    <row r="1224" customFormat="false" ht="15" hidden="false" customHeight="false" outlineLevel="0" collapsed="false">
      <c r="A1224" s="14"/>
      <c r="B1224" s="9"/>
      <c r="C1224" s="9"/>
      <c r="D1224" s="9"/>
      <c r="E1224" s="9"/>
      <c r="F1224" s="17" t="str">
        <f aca="false">IF(AND(A1224="",B1224="",C1224=""),"",IF(NOT(ISNUMBER(A1224)),"Enter the date done",IF(OR(B1224="",C1224=""),"Fill in asset and task",IF(SUMPRODUCT(('PM Plan'!$A$5:$A$304=B1224)*('PM Plan'!$B$5:$B$304=C1224))=0,"No matching asset + task in plan","OK"))))</f>
        <v/>
      </c>
    </row>
    <row r="1225" customFormat="false" ht="15" hidden="false" customHeight="false" outlineLevel="0" collapsed="false">
      <c r="A1225" s="14"/>
      <c r="B1225" s="9"/>
      <c r="C1225" s="9"/>
      <c r="D1225" s="9"/>
      <c r="E1225" s="9"/>
      <c r="F1225" s="17" t="str">
        <f aca="false">IF(AND(A1225="",B1225="",C1225=""),"",IF(NOT(ISNUMBER(A1225)),"Enter the date done",IF(OR(B1225="",C1225=""),"Fill in asset and task",IF(SUMPRODUCT(('PM Plan'!$A$5:$A$304=B1225)*('PM Plan'!$B$5:$B$304=C1225))=0,"No matching asset + task in plan","OK"))))</f>
        <v/>
      </c>
    </row>
    <row r="1226" customFormat="false" ht="15" hidden="false" customHeight="false" outlineLevel="0" collapsed="false">
      <c r="A1226" s="14"/>
      <c r="B1226" s="9"/>
      <c r="C1226" s="9"/>
      <c r="D1226" s="9"/>
      <c r="E1226" s="9"/>
      <c r="F1226" s="17" t="str">
        <f aca="false">IF(AND(A1226="",B1226="",C1226=""),"",IF(NOT(ISNUMBER(A1226)),"Enter the date done",IF(OR(B1226="",C1226=""),"Fill in asset and task",IF(SUMPRODUCT(('PM Plan'!$A$5:$A$304=B1226)*('PM Plan'!$B$5:$B$304=C1226))=0,"No matching asset + task in plan","OK"))))</f>
        <v/>
      </c>
    </row>
    <row r="1227" customFormat="false" ht="15" hidden="false" customHeight="false" outlineLevel="0" collapsed="false">
      <c r="A1227" s="14"/>
      <c r="B1227" s="9"/>
      <c r="C1227" s="9"/>
      <c r="D1227" s="9"/>
      <c r="E1227" s="9"/>
      <c r="F1227" s="17" t="str">
        <f aca="false">IF(AND(A1227="",B1227="",C1227=""),"",IF(NOT(ISNUMBER(A1227)),"Enter the date done",IF(OR(B1227="",C1227=""),"Fill in asset and task",IF(SUMPRODUCT(('PM Plan'!$A$5:$A$304=B1227)*('PM Plan'!$B$5:$B$304=C1227))=0,"No matching asset + task in plan","OK"))))</f>
        <v/>
      </c>
    </row>
    <row r="1228" customFormat="false" ht="15" hidden="false" customHeight="false" outlineLevel="0" collapsed="false">
      <c r="A1228" s="14"/>
      <c r="B1228" s="9"/>
      <c r="C1228" s="9"/>
      <c r="D1228" s="9"/>
      <c r="E1228" s="9"/>
      <c r="F1228" s="17" t="str">
        <f aca="false">IF(AND(A1228="",B1228="",C1228=""),"",IF(NOT(ISNUMBER(A1228)),"Enter the date done",IF(OR(B1228="",C1228=""),"Fill in asset and task",IF(SUMPRODUCT(('PM Plan'!$A$5:$A$304=B1228)*('PM Plan'!$B$5:$B$304=C1228))=0,"No matching asset + task in plan","OK"))))</f>
        <v/>
      </c>
    </row>
    <row r="1229" customFormat="false" ht="15" hidden="false" customHeight="false" outlineLevel="0" collapsed="false">
      <c r="A1229" s="14"/>
      <c r="B1229" s="9"/>
      <c r="C1229" s="9"/>
      <c r="D1229" s="9"/>
      <c r="E1229" s="9"/>
      <c r="F1229" s="17" t="str">
        <f aca="false">IF(AND(A1229="",B1229="",C1229=""),"",IF(NOT(ISNUMBER(A1229)),"Enter the date done",IF(OR(B1229="",C1229=""),"Fill in asset and task",IF(SUMPRODUCT(('PM Plan'!$A$5:$A$304=B1229)*('PM Plan'!$B$5:$B$304=C1229))=0,"No matching asset + task in plan","OK"))))</f>
        <v/>
      </c>
    </row>
    <row r="1230" customFormat="false" ht="15" hidden="false" customHeight="false" outlineLevel="0" collapsed="false">
      <c r="A1230" s="14"/>
      <c r="B1230" s="9"/>
      <c r="C1230" s="9"/>
      <c r="D1230" s="9"/>
      <c r="E1230" s="9"/>
      <c r="F1230" s="17" t="str">
        <f aca="false">IF(AND(A1230="",B1230="",C1230=""),"",IF(NOT(ISNUMBER(A1230)),"Enter the date done",IF(OR(B1230="",C1230=""),"Fill in asset and task",IF(SUMPRODUCT(('PM Plan'!$A$5:$A$304=B1230)*('PM Plan'!$B$5:$B$304=C1230))=0,"No matching asset + task in plan","OK"))))</f>
        <v/>
      </c>
    </row>
    <row r="1231" customFormat="false" ht="15" hidden="false" customHeight="false" outlineLevel="0" collapsed="false">
      <c r="A1231" s="14"/>
      <c r="B1231" s="9"/>
      <c r="C1231" s="9"/>
      <c r="D1231" s="9"/>
      <c r="E1231" s="9"/>
      <c r="F1231" s="17" t="str">
        <f aca="false">IF(AND(A1231="",B1231="",C1231=""),"",IF(NOT(ISNUMBER(A1231)),"Enter the date done",IF(OR(B1231="",C1231=""),"Fill in asset and task",IF(SUMPRODUCT(('PM Plan'!$A$5:$A$304=B1231)*('PM Plan'!$B$5:$B$304=C1231))=0,"No matching asset + task in plan","OK"))))</f>
        <v/>
      </c>
    </row>
    <row r="1232" customFormat="false" ht="15" hidden="false" customHeight="false" outlineLevel="0" collapsed="false">
      <c r="A1232" s="14"/>
      <c r="B1232" s="9"/>
      <c r="C1232" s="9"/>
      <c r="D1232" s="9"/>
      <c r="E1232" s="9"/>
      <c r="F1232" s="17" t="str">
        <f aca="false">IF(AND(A1232="",B1232="",C1232=""),"",IF(NOT(ISNUMBER(A1232)),"Enter the date done",IF(OR(B1232="",C1232=""),"Fill in asset and task",IF(SUMPRODUCT(('PM Plan'!$A$5:$A$304=B1232)*('PM Plan'!$B$5:$B$304=C1232))=0,"No matching asset + task in plan","OK"))))</f>
        <v/>
      </c>
    </row>
    <row r="1233" customFormat="false" ht="15" hidden="false" customHeight="false" outlineLevel="0" collapsed="false">
      <c r="A1233" s="14"/>
      <c r="B1233" s="9"/>
      <c r="C1233" s="9"/>
      <c r="D1233" s="9"/>
      <c r="E1233" s="9"/>
      <c r="F1233" s="17" t="str">
        <f aca="false">IF(AND(A1233="",B1233="",C1233=""),"",IF(NOT(ISNUMBER(A1233)),"Enter the date done",IF(OR(B1233="",C1233=""),"Fill in asset and task",IF(SUMPRODUCT(('PM Plan'!$A$5:$A$304=B1233)*('PM Plan'!$B$5:$B$304=C1233))=0,"No matching asset + task in plan","OK"))))</f>
        <v/>
      </c>
    </row>
    <row r="1234" customFormat="false" ht="15" hidden="false" customHeight="false" outlineLevel="0" collapsed="false">
      <c r="A1234" s="14"/>
      <c r="B1234" s="9"/>
      <c r="C1234" s="9"/>
      <c r="D1234" s="9"/>
      <c r="E1234" s="9"/>
      <c r="F1234" s="17" t="str">
        <f aca="false">IF(AND(A1234="",B1234="",C1234=""),"",IF(NOT(ISNUMBER(A1234)),"Enter the date done",IF(OR(B1234="",C1234=""),"Fill in asset and task",IF(SUMPRODUCT(('PM Plan'!$A$5:$A$304=B1234)*('PM Plan'!$B$5:$B$304=C1234))=0,"No matching asset + task in plan","OK"))))</f>
        <v/>
      </c>
    </row>
    <row r="1235" customFormat="false" ht="15" hidden="false" customHeight="false" outlineLevel="0" collapsed="false">
      <c r="A1235" s="14"/>
      <c r="B1235" s="9"/>
      <c r="C1235" s="9"/>
      <c r="D1235" s="9"/>
      <c r="E1235" s="9"/>
      <c r="F1235" s="17" t="str">
        <f aca="false">IF(AND(A1235="",B1235="",C1235=""),"",IF(NOT(ISNUMBER(A1235)),"Enter the date done",IF(OR(B1235="",C1235=""),"Fill in asset and task",IF(SUMPRODUCT(('PM Plan'!$A$5:$A$304=B1235)*('PM Plan'!$B$5:$B$304=C1235))=0,"No matching asset + task in plan","OK"))))</f>
        <v/>
      </c>
    </row>
    <row r="1236" customFormat="false" ht="15" hidden="false" customHeight="false" outlineLevel="0" collapsed="false">
      <c r="A1236" s="14"/>
      <c r="B1236" s="9"/>
      <c r="C1236" s="9"/>
      <c r="D1236" s="9"/>
      <c r="E1236" s="9"/>
      <c r="F1236" s="17" t="str">
        <f aca="false">IF(AND(A1236="",B1236="",C1236=""),"",IF(NOT(ISNUMBER(A1236)),"Enter the date done",IF(OR(B1236="",C1236=""),"Fill in asset and task",IF(SUMPRODUCT(('PM Plan'!$A$5:$A$304=B1236)*('PM Plan'!$B$5:$B$304=C1236))=0,"No matching asset + task in plan","OK"))))</f>
        <v/>
      </c>
    </row>
    <row r="1237" customFormat="false" ht="15" hidden="false" customHeight="false" outlineLevel="0" collapsed="false">
      <c r="A1237" s="14"/>
      <c r="B1237" s="9"/>
      <c r="C1237" s="9"/>
      <c r="D1237" s="9"/>
      <c r="E1237" s="9"/>
      <c r="F1237" s="17" t="str">
        <f aca="false">IF(AND(A1237="",B1237="",C1237=""),"",IF(NOT(ISNUMBER(A1237)),"Enter the date done",IF(OR(B1237="",C1237=""),"Fill in asset and task",IF(SUMPRODUCT(('PM Plan'!$A$5:$A$304=B1237)*('PM Plan'!$B$5:$B$304=C1237))=0,"No matching asset + task in plan","OK"))))</f>
        <v/>
      </c>
    </row>
    <row r="1238" customFormat="false" ht="15" hidden="false" customHeight="false" outlineLevel="0" collapsed="false">
      <c r="A1238" s="14"/>
      <c r="B1238" s="9"/>
      <c r="C1238" s="9"/>
      <c r="D1238" s="9"/>
      <c r="E1238" s="9"/>
      <c r="F1238" s="17" t="str">
        <f aca="false">IF(AND(A1238="",B1238="",C1238=""),"",IF(NOT(ISNUMBER(A1238)),"Enter the date done",IF(OR(B1238="",C1238=""),"Fill in asset and task",IF(SUMPRODUCT(('PM Plan'!$A$5:$A$304=B1238)*('PM Plan'!$B$5:$B$304=C1238))=0,"No matching asset + task in plan","OK"))))</f>
        <v/>
      </c>
    </row>
    <row r="1239" customFormat="false" ht="15" hidden="false" customHeight="false" outlineLevel="0" collapsed="false">
      <c r="A1239" s="14"/>
      <c r="B1239" s="9"/>
      <c r="C1239" s="9"/>
      <c r="D1239" s="9"/>
      <c r="E1239" s="9"/>
      <c r="F1239" s="17" t="str">
        <f aca="false">IF(AND(A1239="",B1239="",C1239=""),"",IF(NOT(ISNUMBER(A1239)),"Enter the date done",IF(OR(B1239="",C1239=""),"Fill in asset and task",IF(SUMPRODUCT(('PM Plan'!$A$5:$A$304=B1239)*('PM Plan'!$B$5:$B$304=C1239))=0,"No matching asset + task in plan","OK"))))</f>
        <v/>
      </c>
    </row>
    <row r="1240" customFormat="false" ht="15" hidden="false" customHeight="false" outlineLevel="0" collapsed="false">
      <c r="A1240" s="14"/>
      <c r="B1240" s="9"/>
      <c r="C1240" s="9"/>
      <c r="D1240" s="9"/>
      <c r="E1240" s="9"/>
      <c r="F1240" s="17" t="str">
        <f aca="false">IF(AND(A1240="",B1240="",C1240=""),"",IF(NOT(ISNUMBER(A1240)),"Enter the date done",IF(OR(B1240="",C1240=""),"Fill in asset and task",IF(SUMPRODUCT(('PM Plan'!$A$5:$A$304=B1240)*('PM Plan'!$B$5:$B$304=C1240))=0,"No matching asset + task in plan","OK"))))</f>
        <v/>
      </c>
    </row>
    <row r="1241" customFormat="false" ht="15" hidden="false" customHeight="false" outlineLevel="0" collapsed="false">
      <c r="A1241" s="14"/>
      <c r="B1241" s="9"/>
      <c r="C1241" s="9"/>
      <c r="D1241" s="9"/>
      <c r="E1241" s="9"/>
      <c r="F1241" s="17" t="str">
        <f aca="false">IF(AND(A1241="",B1241="",C1241=""),"",IF(NOT(ISNUMBER(A1241)),"Enter the date done",IF(OR(B1241="",C1241=""),"Fill in asset and task",IF(SUMPRODUCT(('PM Plan'!$A$5:$A$304=B1241)*('PM Plan'!$B$5:$B$304=C1241))=0,"No matching asset + task in plan","OK"))))</f>
        <v/>
      </c>
    </row>
    <row r="1242" customFormat="false" ht="15" hidden="false" customHeight="false" outlineLevel="0" collapsed="false">
      <c r="A1242" s="14"/>
      <c r="B1242" s="9"/>
      <c r="C1242" s="9"/>
      <c r="D1242" s="9"/>
      <c r="E1242" s="9"/>
      <c r="F1242" s="17" t="str">
        <f aca="false">IF(AND(A1242="",B1242="",C1242=""),"",IF(NOT(ISNUMBER(A1242)),"Enter the date done",IF(OR(B1242="",C1242=""),"Fill in asset and task",IF(SUMPRODUCT(('PM Plan'!$A$5:$A$304=B1242)*('PM Plan'!$B$5:$B$304=C1242))=0,"No matching asset + task in plan","OK"))))</f>
        <v/>
      </c>
    </row>
    <row r="1243" customFormat="false" ht="15" hidden="false" customHeight="false" outlineLevel="0" collapsed="false">
      <c r="A1243" s="14"/>
      <c r="B1243" s="9"/>
      <c r="C1243" s="9"/>
      <c r="D1243" s="9"/>
      <c r="E1243" s="9"/>
      <c r="F1243" s="17" t="str">
        <f aca="false">IF(AND(A1243="",B1243="",C1243=""),"",IF(NOT(ISNUMBER(A1243)),"Enter the date done",IF(OR(B1243="",C1243=""),"Fill in asset and task",IF(SUMPRODUCT(('PM Plan'!$A$5:$A$304=B1243)*('PM Plan'!$B$5:$B$304=C1243))=0,"No matching asset + task in plan","OK"))))</f>
        <v/>
      </c>
    </row>
    <row r="1244" customFormat="false" ht="15" hidden="false" customHeight="false" outlineLevel="0" collapsed="false">
      <c r="A1244" s="14"/>
      <c r="B1244" s="9"/>
      <c r="C1244" s="9"/>
      <c r="D1244" s="9"/>
      <c r="E1244" s="9"/>
      <c r="F1244" s="17" t="str">
        <f aca="false">IF(AND(A1244="",B1244="",C1244=""),"",IF(NOT(ISNUMBER(A1244)),"Enter the date done",IF(OR(B1244="",C1244=""),"Fill in asset and task",IF(SUMPRODUCT(('PM Plan'!$A$5:$A$304=B1244)*('PM Plan'!$B$5:$B$304=C1244))=0,"No matching asset + task in plan","OK"))))</f>
        <v/>
      </c>
    </row>
    <row r="1245" customFormat="false" ht="15" hidden="false" customHeight="false" outlineLevel="0" collapsed="false">
      <c r="A1245" s="14"/>
      <c r="B1245" s="9"/>
      <c r="C1245" s="9"/>
      <c r="D1245" s="9"/>
      <c r="E1245" s="9"/>
      <c r="F1245" s="17" t="str">
        <f aca="false">IF(AND(A1245="",B1245="",C1245=""),"",IF(NOT(ISNUMBER(A1245)),"Enter the date done",IF(OR(B1245="",C1245=""),"Fill in asset and task",IF(SUMPRODUCT(('PM Plan'!$A$5:$A$304=B1245)*('PM Plan'!$B$5:$B$304=C1245))=0,"No matching asset + task in plan","OK"))))</f>
        <v/>
      </c>
    </row>
    <row r="1246" customFormat="false" ht="15" hidden="false" customHeight="false" outlineLevel="0" collapsed="false">
      <c r="A1246" s="14"/>
      <c r="B1246" s="9"/>
      <c r="C1246" s="9"/>
      <c r="D1246" s="9"/>
      <c r="E1246" s="9"/>
      <c r="F1246" s="17" t="str">
        <f aca="false">IF(AND(A1246="",B1246="",C1246=""),"",IF(NOT(ISNUMBER(A1246)),"Enter the date done",IF(OR(B1246="",C1246=""),"Fill in asset and task",IF(SUMPRODUCT(('PM Plan'!$A$5:$A$304=B1246)*('PM Plan'!$B$5:$B$304=C1246))=0,"No matching asset + task in plan","OK"))))</f>
        <v/>
      </c>
    </row>
    <row r="1247" customFormat="false" ht="15" hidden="false" customHeight="false" outlineLevel="0" collapsed="false">
      <c r="A1247" s="14"/>
      <c r="B1247" s="9"/>
      <c r="C1247" s="9"/>
      <c r="D1247" s="9"/>
      <c r="E1247" s="9"/>
      <c r="F1247" s="17" t="str">
        <f aca="false">IF(AND(A1247="",B1247="",C1247=""),"",IF(NOT(ISNUMBER(A1247)),"Enter the date done",IF(OR(B1247="",C1247=""),"Fill in asset and task",IF(SUMPRODUCT(('PM Plan'!$A$5:$A$304=B1247)*('PM Plan'!$B$5:$B$304=C1247))=0,"No matching asset + task in plan","OK"))))</f>
        <v/>
      </c>
    </row>
    <row r="1248" customFormat="false" ht="15" hidden="false" customHeight="false" outlineLevel="0" collapsed="false">
      <c r="A1248" s="14"/>
      <c r="B1248" s="9"/>
      <c r="C1248" s="9"/>
      <c r="D1248" s="9"/>
      <c r="E1248" s="9"/>
      <c r="F1248" s="17" t="str">
        <f aca="false">IF(AND(A1248="",B1248="",C1248=""),"",IF(NOT(ISNUMBER(A1248)),"Enter the date done",IF(OR(B1248="",C1248=""),"Fill in asset and task",IF(SUMPRODUCT(('PM Plan'!$A$5:$A$304=B1248)*('PM Plan'!$B$5:$B$304=C1248))=0,"No matching asset + task in plan","OK"))))</f>
        <v/>
      </c>
    </row>
    <row r="1249" customFormat="false" ht="15" hidden="false" customHeight="false" outlineLevel="0" collapsed="false">
      <c r="A1249" s="14"/>
      <c r="B1249" s="9"/>
      <c r="C1249" s="9"/>
      <c r="D1249" s="9"/>
      <c r="E1249" s="9"/>
      <c r="F1249" s="17" t="str">
        <f aca="false">IF(AND(A1249="",B1249="",C1249=""),"",IF(NOT(ISNUMBER(A1249)),"Enter the date done",IF(OR(B1249="",C1249=""),"Fill in asset and task",IF(SUMPRODUCT(('PM Plan'!$A$5:$A$304=B1249)*('PM Plan'!$B$5:$B$304=C1249))=0,"No matching asset + task in plan","OK"))))</f>
        <v/>
      </c>
    </row>
    <row r="1250" customFormat="false" ht="15" hidden="false" customHeight="false" outlineLevel="0" collapsed="false">
      <c r="A1250" s="14"/>
      <c r="B1250" s="9"/>
      <c r="C1250" s="9"/>
      <c r="D1250" s="9"/>
      <c r="E1250" s="9"/>
      <c r="F1250" s="17" t="str">
        <f aca="false">IF(AND(A1250="",B1250="",C1250=""),"",IF(NOT(ISNUMBER(A1250)),"Enter the date done",IF(OR(B1250="",C1250=""),"Fill in asset and task",IF(SUMPRODUCT(('PM Plan'!$A$5:$A$304=B1250)*('PM Plan'!$B$5:$B$304=C1250))=0,"No matching asset + task in plan","OK"))))</f>
        <v/>
      </c>
    </row>
    <row r="1251" customFormat="false" ht="15" hidden="false" customHeight="false" outlineLevel="0" collapsed="false">
      <c r="A1251" s="14"/>
      <c r="B1251" s="9"/>
      <c r="C1251" s="9"/>
      <c r="D1251" s="9"/>
      <c r="E1251" s="9"/>
      <c r="F1251" s="17" t="str">
        <f aca="false">IF(AND(A1251="",B1251="",C1251=""),"",IF(NOT(ISNUMBER(A1251)),"Enter the date done",IF(OR(B1251="",C1251=""),"Fill in asset and task",IF(SUMPRODUCT(('PM Plan'!$A$5:$A$304=B1251)*('PM Plan'!$B$5:$B$304=C1251))=0,"No matching asset + task in plan","OK"))))</f>
        <v/>
      </c>
    </row>
    <row r="1252" customFormat="false" ht="15" hidden="false" customHeight="false" outlineLevel="0" collapsed="false">
      <c r="A1252" s="14"/>
      <c r="B1252" s="9"/>
      <c r="C1252" s="9"/>
      <c r="D1252" s="9"/>
      <c r="E1252" s="9"/>
      <c r="F1252" s="17" t="str">
        <f aca="false">IF(AND(A1252="",B1252="",C1252=""),"",IF(NOT(ISNUMBER(A1252)),"Enter the date done",IF(OR(B1252="",C1252=""),"Fill in asset and task",IF(SUMPRODUCT(('PM Plan'!$A$5:$A$304=B1252)*('PM Plan'!$B$5:$B$304=C1252))=0,"No matching asset + task in plan","OK"))))</f>
        <v/>
      </c>
    </row>
    <row r="1253" customFormat="false" ht="15" hidden="false" customHeight="false" outlineLevel="0" collapsed="false">
      <c r="A1253" s="14"/>
      <c r="B1253" s="9"/>
      <c r="C1253" s="9"/>
      <c r="D1253" s="9"/>
      <c r="E1253" s="9"/>
      <c r="F1253" s="17" t="str">
        <f aca="false">IF(AND(A1253="",B1253="",C1253=""),"",IF(NOT(ISNUMBER(A1253)),"Enter the date done",IF(OR(B1253="",C1253=""),"Fill in asset and task",IF(SUMPRODUCT(('PM Plan'!$A$5:$A$304=B1253)*('PM Plan'!$B$5:$B$304=C1253))=0,"No matching asset + task in plan","OK"))))</f>
        <v/>
      </c>
    </row>
    <row r="1254" customFormat="false" ht="15" hidden="false" customHeight="false" outlineLevel="0" collapsed="false">
      <c r="A1254" s="14"/>
      <c r="B1254" s="9"/>
      <c r="C1254" s="9"/>
      <c r="D1254" s="9"/>
      <c r="E1254" s="9"/>
      <c r="F1254" s="17" t="str">
        <f aca="false">IF(AND(A1254="",B1254="",C1254=""),"",IF(NOT(ISNUMBER(A1254)),"Enter the date done",IF(OR(B1254="",C1254=""),"Fill in asset and task",IF(SUMPRODUCT(('PM Plan'!$A$5:$A$304=B1254)*('PM Plan'!$B$5:$B$304=C1254))=0,"No matching asset + task in plan","OK"))))</f>
        <v/>
      </c>
    </row>
    <row r="1255" customFormat="false" ht="15" hidden="false" customHeight="false" outlineLevel="0" collapsed="false">
      <c r="A1255" s="14"/>
      <c r="B1255" s="9"/>
      <c r="C1255" s="9"/>
      <c r="D1255" s="9"/>
      <c r="E1255" s="9"/>
      <c r="F1255" s="17" t="str">
        <f aca="false">IF(AND(A1255="",B1255="",C1255=""),"",IF(NOT(ISNUMBER(A1255)),"Enter the date done",IF(OR(B1255="",C1255=""),"Fill in asset and task",IF(SUMPRODUCT(('PM Plan'!$A$5:$A$304=B1255)*('PM Plan'!$B$5:$B$304=C1255))=0,"No matching asset + task in plan","OK"))))</f>
        <v/>
      </c>
    </row>
    <row r="1256" customFormat="false" ht="15" hidden="false" customHeight="false" outlineLevel="0" collapsed="false">
      <c r="A1256" s="14"/>
      <c r="B1256" s="9"/>
      <c r="C1256" s="9"/>
      <c r="D1256" s="9"/>
      <c r="E1256" s="9"/>
      <c r="F1256" s="17" t="str">
        <f aca="false">IF(AND(A1256="",B1256="",C1256=""),"",IF(NOT(ISNUMBER(A1256)),"Enter the date done",IF(OR(B1256="",C1256=""),"Fill in asset and task",IF(SUMPRODUCT(('PM Plan'!$A$5:$A$304=B1256)*('PM Plan'!$B$5:$B$304=C1256))=0,"No matching asset + task in plan","OK"))))</f>
        <v/>
      </c>
    </row>
    <row r="1257" customFormat="false" ht="15" hidden="false" customHeight="false" outlineLevel="0" collapsed="false">
      <c r="A1257" s="14"/>
      <c r="B1257" s="9"/>
      <c r="C1257" s="9"/>
      <c r="D1257" s="9"/>
      <c r="E1257" s="9"/>
      <c r="F1257" s="17" t="str">
        <f aca="false">IF(AND(A1257="",B1257="",C1257=""),"",IF(NOT(ISNUMBER(A1257)),"Enter the date done",IF(OR(B1257="",C1257=""),"Fill in asset and task",IF(SUMPRODUCT(('PM Plan'!$A$5:$A$304=B1257)*('PM Plan'!$B$5:$B$304=C1257))=0,"No matching asset + task in plan","OK"))))</f>
        <v/>
      </c>
    </row>
    <row r="1258" customFormat="false" ht="15" hidden="false" customHeight="false" outlineLevel="0" collapsed="false">
      <c r="A1258" s="14"/>
      <c r="B1258" s="9"/>
      <c r="C1258" s="9"/>
      <c r="D1258" s="9"/>
      <c r="E1258" s="9"/>
      <c r="F1258" s="17" t="str">
        <f aca="false">IF(AND(A1258="",B1258="",C1258=""),"",IF(NOT(ISNUMBER(A1258)),"Enter the date done",IF(OR(B1258="",C1258=""),"Fill in asset and task",IF(SUMPRODUCT(('PM Plan'!$A$5:$A$304=B1258)*('PM Plan'!$B$5:$B$304=C1258))=0,"No matching asset + task in plan","OK"))))</f>
        <v/>
      </c>
    </row>
    <row r="1259" customFormat="false" ht="15" hidden="false" customHeight="false" outlineLevel="0" collapsed="false">
      <c r="A1259" s="14"/>
      <c r="B1259" s="9"/>
      <c r="C1259" s="9"/>
      <c r="D1259" s="9"/>
      <c r="E1259" s="9"/>
      <c r="F1259" s="17" t="str">
        <f aca="false">IF(AND(A1259="",B1259="",C1259=""),"",IF(NOT(ISNUMBER(A1259)),"Enter the date done",IF(OR(B1259="",C1259=""),"Fill in asset and task",IF(SUMPRODUCT(('PM Plan'!$A$5:$A$304=B1259)*('PM Plan'!$B$5:$B$304=C1259))=0,"No matching asset + task in plan","OK"))))</f>
        <v/>
      </c>
    </row>
    <row r="1260" customFormat="false" ht="15" hidden="false" customHeight="false" outlineLevel="0" collapsed="false">
      <c r="A1260" s="14"/>
      <c r="B1260" s="9"/>
      <c r="C1260" s="9"/>
      <c r="D1260" s="9"/>
      <c r="E1260" s="9"/>
      <c r="F1260" s="17" t="str">
        <f aca="false">IF(AND(A1260="",B1260="",C1260=""),"",IF(NOT(ISNUMBER(A1260)),"Enter the date done",IF(OR(B1260="",C1260=""),"Fill in asset and task",IF(SUMPRODUCT(('PM Plan'!$A$5:$A$304=B1260)*('PM Plan'!$B$5:$B$304=C1260))=0,"No matching asset + task in plan","OK"))))</f>
        <v/>
      </c>
    </row>
    <row r="1261" customFormat="false" ht="15" hidden="false" customHeight="false" outlineLevel="0" collapsed="false">
      <c r="A1261" s="14"/>
      <c r="B1261" s="9"/>
      <c r="C1261" s="9"/>
      <c r="D1261" s="9"/>
      <c r="E1261" s="9"/>
      <c r="F1261" s="17" t="str">
        <f aca="false">IF(AND(A1261="",B1261="",C1261=""),"",IF(NOT(ISNUMBER(A1261)),"Enter the date done",IF(OR(B1261="",C1261=""),"Fill in asset and task",IF(SUMPRODUCT(('PM Plan'!$A$5:$A$304=B1261)*('PM Plan'!$B$5:$B$304=C1261))=0,"No matching asset + task in plan","OK"))))</f>
        <v/>
      </c>
    </row>
    <row r="1262" customFormat="false" ht="15" hidden="false" customHeight="false" outlineLevel="0" collapsed="false">
      <c r="A1262" s="14"/>
      <c r="B1262" s="9"/>
      <c r="C1262" s="9"/>
      <c r="D1262" s="9"/>
      <c r="E1262" s="9"/>
      <c r="F1262" s="17" t="str">
        <f aca="false">IF(AND(A1262="",B1262="",C1262=""),"",IF(NOT(ISNUMBER(A1262)),"Enter the date done",IF(OR(B1262="",C1262=""),"Fill in asset and task",IF(SUMPRODUCT(('PM Plan'!$A$5:$A$304=B1262)*('PM Plan'!$B$5:$B$304=C1262))=0,"No matching asset + task in plan","OK"))))</f>
        <v/>
      </c>
    </row>
    <row r="1263" customFormat="false" ht="15" hidden="false" customHeight="false" outlineLevel="0" collapsed="false">
      <c r="A1263" s="14"/>
      <c r="B1263" s="9"/>
      <c r="C1263" s="9"/>
      <c r="D1263" s="9"/>
      <c r="E1263" s="9"/>
      <c r="F1263" s="17" t="str">
        <f aca="false">IF(AND(A1263="",B1263="",C1263=""),"",IF(NOT(ISNUMBER(A1263)),"Enter the date done",IF(OR(B1263="",C1263=""),"Fill in asset and task",IF(SUMPRODUCT(('PM Plan'!$A$5:$A$304=B1263)*('PM Plan'!$B$5:$B$304=C1263))=0,"No matching asset + task in plan","OK"))))</f>
        <v/>
      </c>
    </row>
    <row r="1264" customFormat="false" ht="15" hidden="false" customHeight="false" outlineLevel="0" collapsed="false">
      <c r="A1264" s="14"/>
      <c r="B1264" s="9"/>
      <c r="C1264" s="9"/>
      <c r="D1264" s="9"/>
      <c r="E1264" s="9"/>
      <c r="F1264" s="17" t="str">
        <f aca="false">IF(AND(A1264="",B1264="",C1264=""),"",IF(NOT(ISNUMBER(A1264)),"Enter the date done",IF(OR(B1264="",C1264=""),"Fill in asset and task",IF(SUMPRODUCT(('PM Plan'!$A$5:$A$304=B1264)*('PM Plan'!$B$5:$B$304=C1264))=0,"No matching asset + task in plan","OK"))))</f>
        <v/>
      </c>
    </row>
    <row r="1265" customFormat="false" ht="15" hidden="false" customHeight="false" outlineLevel="0" collapsed="false">
      <c r="A1265" s="14"/>
      <c r="B1265" s="9"/>
      <c r="C1265" s="9"/>
      <c r="D1265" s="9"/>
      <c r="E1265" s="9"/>
      <c r="F1265" s="17" t="str">
        <f aca="false">IF(AND(A1265="",B1265="",C1265=""),"",IF(NOT(ISNUMBER(A1265)),"Enter the date done",IF(OR(B1265="",C1265=""),"Fill in asset and task",IF(SUMPRODUCT(('PM Plan'!$A$5:$A$304=B1265)*('PM Plan'!$B$5:$B$304=C1265))=0,"No matching asset + task in plan","OK"))))</f>
        <v/>
      </c>
    </row>
    <row r="1266" customFormat="false" ht="15" hidden="false" customHeight="false" outlineLevel="0" collapsed="false">
      <c r="A1266" s="14"/>
      <c r="B1266" s="9"/>
      <c r="C1266" s="9"/>
      <c r="D1266" s="9"/>
      <c r="E1266" s="9"/>
      <c r="F1266" s="17" t="str">
        <f aca="false">IF(AND(A1266="",B1266="",C1266=""),"",IF(NOT(ISNUMBER(A1266)),"Enter the date done",IF(OR(B1266="",C1266=""),"Fill in asset and task",IF(SUMPRODUCT(('PM Plan'!$A$5:$A$304=B1266)*('PM Plan'!$B$5:$B$304=C1266))=0,"No matching asset + task in plan","OK"))))</f>
        <v/>
      </c>
    </row>
    <row r="1267" customFormat="false" ht="15" hidden="false" customHeight="false" outlineLevel="0" collapsed="false">
      <c r="A1267" s="14"/>
      <c r="B1267" s="9"/>
      <c r="C1267" s="9"/>
      <c r="D1267" s="9"/>
      <c r="E1267" s="9"/>
      <c r="F1267" s="17" t="str">
        <f aca="false">IF(AND(A1267="",B1267="",C1267=""),"",IF(NOT(ISNUMBER(A1267)),"Enter the date done",IF(OR(B1267="",C1267=""),"Fill in asset and task",IF(SUMPRODUCT(('PM Plan'!$A$5:$A$304=B1267)*('PM Plan'!$B$5:$B$304=C1267))=0,"No matching asset + task in plan","OK"))))</f>
        <v/>
      </c>
    </row>
    <row r="1268" customFormat="false" ht="15" hidden="false" customHeight="false" outlineLevel="0" collapsed="false">
      <c r="A1268" s="14"/>
      <c r="B1268" s="9"/>
      <c r="C1268" s="9"/>
      <c r="D1268" s="9"/>
      <c r="E1268" s="9"/>
      <c r="F1268" s="17" t="str">
        <f aca="false">IF(AND(A1268="",B1268="",C1268=""),"",IF(NOT(ISNUMBER(A1268)),"Enter the date done",IF(OR(B1268="",C1268=""),"Fill in asset and task",IF(SUMPRODUCT(('PM Plan'!$A$5:$A$304=B1268)*('PM Plan'!$B$5:$B$304=C1268))=0,"No matching asset + task in plan","OK"))))</f>
        <v/>
      </c>
    </row>
    <row r="1269" customFormat="false" ht="15" hidden="false" customHeight="false" outlineLevel="0" collapsed="false">
      <c r="A1269" s="14"/>
      <c r="B1269" s="9"/>
      <c r="C1269" s="9"/>
      <c r="D1269" s="9"/>
      <c r="E1269" s="9"/>
      <c r="F1269" s="17" t="str">
        <f aca="false">IF(AND(A1269="",B1269="",C1269=""),"",IF(NOT(ISNUMBER(A1269)),"Enter the date done",IF(OR(B1269="",C1269=""),"Fill in asset and task",IF(SUMPRODUCT(('PM Plan'!$A$5:$A$304=B1269)*('PM Plan'!$B$5:$B$304=C1269))=0,"No matching asset + task in plan","OK"))))</f>
        <v/>
      </c>
    </row>
    <row r="1270" customFormat="false" ht="15" hidden="false" customHeight="false" outlineLevel="0" collapsed="false">
      <c r="A1270" s="14"/>
      <c r="B1270" s="9"/>
      <c r="C1270" s="9"/>
      <c r="D1270" s="9"/>
      <c r="E1270" s="9"/>
      <c r="F1270" s="17" t="str">
        <f aca="false">IF(AND(A1270="",B1270="",C1270=""),"",IF(NOT(ISNUMBER(A1270)),"Enter the date done",IF(OR(B1270="",C1270=""),"Fill in asset and task",IF(SUMPRODUCT(('PM Plan'!$A$5:$A$304=B1270)*('PM Plan'!$B$5:$B$304=C1270))=0,"No matching asset + task in plan","OK"))))</f>
        <v/>
      </c>
    </row>
    <row r="1271" customFormat="false" ht="15" hidden="false" customHeight="false" outlineLevel="0" collapsed="false">
      <c r="A1271" s="14"/>
      <c r="B1271" s="9"/>
      <c r="C1271" s="9"/>
      <c r="D1271" s="9"/>
      <c r="E1271" s="9"/>
      <c r="F1271" s="17" t="str">
        <f aca="false">IF(AND(A1271="",B1271="",C1271=""),"",IF(NOT(ISNUMBER(A1271)),"Enter the date done",IF(OR(B1271="",C1271=""),"Fill in asset and task",IF(SUMPRODUCT(('PM Plan'!$A$5:$A$304=B1271)*('PM Plan'!$B$5:$B$304=C1271))=0,"No matching asset + task in plan","OK"))))</f>
        <v/>
      </c>
    </row>
    <row r="1272" customFormat="false" ht="15" hidden="false" customHeight="false" outlineLevel="0" collapsed="false">
      <c r="A1272" s="14"/>
      <c r="B1272" s="9"/>
      <c r="C1272" s="9"/>
      <c r="D1272" s="9"/>
      <c r="E1272" s="9"/>
      <c r="F1272" s="17" t="str">
        <f aca="false">IF(AND(A1272="",B1272="",C1272=""),"",IF(NOT(ISNUMBER(A1272)),"Enter the date done",IF(OR(B1272="",C1272=""),"Fill in asset and task",IF(SUMPRODUCT(('PM Plan'!$A$5:$A$304=B1272)*('PM Plan'!$B$5:$B$304=C1272))=0,"No matching asset + task in plan","OK"))))</f>
        <v/>
      </c>
    </row>
    <row r="1273" customFormat="false" ht="15" hidden="false" customHeight="false" outlineLevel="0" collapsed="false">
      <c r="A1273" s="14"/>
      <c r="B1273" s="9"/>
      <c r="C1273" s="9"/>
      <c r="D1273" s="9"/>
      <c r="E1273" s="9"/>
      <c r="F1273" s="17" t="str">
        <f aca="false">IF(AND(A1273="",B1273="",C1273=""),"",IF(NOT(ISNUMBER(A1273)),"Enter the date done",IF(OR(B1273="",C1273=""),"Fill in asset and task",IF(SUMPRODUCT(('PM Plan'!$A$5:$A$304=B1273)*('PM Plan'!$B$5:$B$304=C1273))=0,"No matching asset + task in plan","OK"))))</f>
        <v/>
      </c>
    </row>
    <row r="1274" customFormat="false" ht="15" hidden="false" customHeight="false" outlineLevel="0" collapsed="false">
      <c r="A1274" s="14"/>
      <c r="B1274" s="9"/>
      <c r="C1274" s="9"/>
      <c r="D1274" s="9"/>
      <c r="E1274" s="9"/>
      <c r="F1274" s="17" t="str">
        <f aca="false">IF(AND(A1274="",B1274="",C1274=""),"",IF(NOT(ISNUMBER(A1274)),"Enter the date done",IF(OR(B1274="",C1274=""),"Fill in asset and task",IF(SUMPRODUCT(('PM Plan'!$A$5:$A$304=B1274)*('PM Plan'!$B$5:$B$304=C1274))=0,"No matching asset + task in plan","OK"))))</f>
        <v/>
      </c>
    </row>
    <row r="1275" customFormat="false" ht="15" hidden="false" customHeight="false" outlineLevel="0" collapsed="false">
      <c r="A1275" s="14"/>
      <c r="B1275" s="9"/>
      <c r="C1275" s="9"/>
      <c r="D1275" s="9"/>
      <c r="E1275" s="9"/>
      <c r="F1275" s="17" t="str">
        <f aca="false">IF(AND(A1275="",B1275="",C1275=""),"",IF(NOT(ISNUMBER(A1275)),"Enter the date done",IF(OR(B1275="",C1275=""),"Fill in asset and task",IF(SUMPRODUCT(('PM Plan'!$A$5:$A$304=B1275)*('PM Plan'!$B$5:$B$304=C1275))=0,"No matching asset + task in plan","OK"))))</f>
        <v/>
      </c>
    </row>
    <row r="1276" customFormat="false" ht="15" hidden="false" customHeight="false" outlineLevel="0" collapsed="false">
      <c r="A1276" s="14"/>
      <c r="B1276" s="9"/>
      <c r="C1276" s="9"/>
      <c r="D1276" s="9"/>
      <c r="E1276" s="9"/>
      <c r="F1276" s="17" t="str">
        <f aca="false">IF(AND(A1276="",B1276="",C1276=""),"",IF(NOT(ISNUMBER(A1276)),"Enter the date done",IF(OR(B1276="",C1276=""),"Fill in asset and task",IF(SUMPRODUCT(('PM Plan'!$A$5:$A$304=B1276)*('PM Plan'!$B$5:$B$304=C1276))=0,"No matching asset + task in plan","OK"))))</f>
        <v/>
      </c>
    </row>
    <row r="1277" customFormat="false" ht="15" hidden="false" customHeight="false" outlineLevel="0" collapsed="false">
      <c r="A1277" s="14"/>
      <c r="B1277" s="9"/>
      <c r="C1277" s="9"/>
      <c r="D1277" s="9"/>
      <c r="E1277" s="9"/>
      <c r="F1277" s="17" t="str">
        <f aca="false">IF(AND(A1277="",B1277="",C1277=""),"",IF(NOT(ISNUMBER(A1277)),"Enter the date done",IF(OR(B1277="",C1277=""),"Fill in asset and task",IF(SUMPRODUCT(('PM Plan'!$A$5:$A$304=B1277)*('PM Plan'!$B$5:$B$304=C1277))=0,"No matching asset + task in plan","OK"))))</f>
        <v/>
      </c>
    </row>
    <row r="1278" customFormat="false" ht="15" hidden="false" customHeight="false" outlineLevel="0" collapsed="false">
      <c r="A1278" s="14"/>
      <c r="B1278" s="9"/>
      <c r="C1278" s="9"/>
      <c r="D1278" s="9"/>
      <c r="E1278" s="9"/>
      <c r="F1278" s="17" t="str">
        <f aca="false">IF(AND(A1278="",B1278="",C1278=""),"",IF(NOT(ISNUMBER(A1278)),"Enter the date done",IF(OR(B1278="",C1278=""),"Fill in asset and task",IF(SUMPRODUCT(('PM Plan'!$A$5:$A$304=B1278)*('PM Plan'!$B$5:$B$304=C1278))=0,"No matching asset + task in plan","OK"))))</f>
        <v/>
      </c>
    </row>
    <row r="1279" customFormat="false" ht="15" hidden="false" customHeight="false" outlineLevel="0" collapsed="false">
      <c r="A1279" s="14"/>
      <c r="B1279" s="9"/>
      <c r="C1279" s="9"/>
      <c r="D1279" s="9"/>
      <c r="E1279" s="9"/>
      <c r="F1279" s="17" t="str">
        <f aca="false">IF(AND(A1279="",B1279="",C1279=""),"",IF(NOT(ISNUMBER(A1279)),"Enter the date done",IF(OR(B1279="",C1279=""),"Fill in asset and task",IF(SUMPRODUCT(('PM Plan'!$A$5:$A$304=B1279)*('PM Plan'!$B$5:$B$304=C1279))=0,"No matching asset + task in plan","OK"))))</f>
        <v/>
      </c>
    </row>
    <row r="1280" customFormat="false" ht="15" hidden="false" customHeight="false" outlineLevel="0" collapsed="false">
      <c r="A1280" s="14"/>
      <c r="B1280" s="9"/>
      <c r="C1280" s="9"/>
      <c r="D1280" s="9"/>
      <c r="E1280" s="9"/>
      <c r="F1280" s="17" t="str">
        <f aca="false">IF(AND(A1280="",B1280="",C1280=""),"",IF(NOT(ISNUMBER(A1280)),"Enter the date done",IF(OR(B1280="",C1280=""),"Fill in asset and task",IF(SUMPRODUCT(('PM Plan'!$A$5:$A$304=B1280)*('PM Plan'!$B$5:$B$304=C1280))=0,"No matching asset + task in plan","OK"))))</f>
        <v/>
      </c>
    </row>
    <row r="1281" customFormat="false" ht="15" hidden="false" customHeight="false" outlineLevel="0" collapsed="false">
      <c r="A1281" s="14"/>
      <c r="B1281" s="9"/>
      <c r="C1281" s="9"/>
      <c r="D1281" s="9"/>
      <c r="E1281" s="9"/>
      <c r="F1281" s="17" t="str">
        <f aca="false">IF(AND(A1281="",B1281="",C1281=""),"",IF(NOT(ISNUMBER(A1281)),"Enter the date done",IF(OR(B1281="",C1281=""),"Fill in asset and task",IF(SUMPRODUCT(('PM Plan'!$A$5:$A$304=B1281)*('PM Plan'!$B$5:$B$304=C1281))=0,"No matching asset + task in plan","OK"))))</f>
        <v/>
      </c>
    </row>
    <row r="1282" customFormat="false" ht="15" hidden="false" customHeight="false" outlineLevel="0" collapsed="false">
      <c r="A1282" s="14"/>
      <c r="B1282" s="9"/>
      <c r="C1282" s="9"/>
      <c r="D1282" s="9"/>
      <c r="E1282" s="9"/>
      <c r="F1282" s="17" t="str">
        <f aca="false">IF(AND(A1282="",B1282="",C1282=""),"",IF(NOT(ISNUMBER(A1282)),"Enter the date done",IF(OR(B1282="",C1282=""),"Fill in asset and task",IF(SUMPRODUCT(('PM Plan'!$A$5:$A$304=B1282)*('PM Plan'!$B$5:$B$304=C1282))=0,"No matching asset + task in plan","OK"))))</f>
        <v/>
      </c>
    </row>
    <row r="1283" customFormat="false" ht="15" hidden="false" customHeight="false" outlineLevel="0" collapsed="false">
      <c r="A1283" s="14"/>
      <c r="B1283" s="9"/>
      <c r="C1283" s="9"/>
      <c r="D1283" s="9"/>
      <c r="E1283" s="9"/>
      <c r="F1283" s="17" t="str">
        <f aca="false">IF(AND(A1283="",B1283="",C1283=""),"",IF(NOT(ISNUMBER(A1283)),"Enter the date done",IF(OR(B1283="",C1283=""),"Fill in asset and task",IF(SUMPRODUCT(('PM Plan'!$A$5:$A$304=B1283)*('PM Plan'!$B$5:$B$304=C1283))=0,"No matching asset + task in plan","OK"))))</f>
        <v/>
      </c>
    </row>
    <row r="1284" customFormat="false" ht="15" hidden="false" customHeight="false" outlineLevel="0" collapsed="false">
      <c r="A1284" s="14"/>
      <c r="B1284" s="9"/>
      <c r="C1284" s="9"/>
      <c r="D1284" s="9"/>
      <c r="E1284" s="9"/>
      <c r="F1284" s="17" t="str">
        <f aca="false">IF(AND(A1284="",B1284="",C1284=""),"",IF(NOT(ISNUMBER(A1284)),"Enter the date done",IF(OR(B1284="",C1284=""),"Fill in asset and task",IF(SUMPRODUCT(('PM Plan'!$A$5:$A$304=B1284)*('PM Plan'!$B$5:$B$304=C1284))=0,"No matching asset + task in plan","OK"))))</f>
        <v/>
      </c>
    </row>
    <row r="1285" customFormat="false" ht="15" hidden="false" customHeight="false" outlineLevel="0" collapsed="false">
      <c r="A1285" s="14"/>
      <c r="B1285" s="9"/>
      <c r="C1285" s="9"/>
      <c r="D1285" s="9"/>
      <c r="E1285" s="9"/>
      <c r="F1285" s="17" t="str">
        <f aca="false">IF(AND(A1285="",B1285="",C1285=""),"",IF(NOT(ISNUMBER(A1285)),"Enter the date done",IF(OR(B1285="",C1285=""),"Fill in asset and task",IF(SUMPRODUCT(('PM Plan'!$A$5:$A$304=B1285)*('PM Plan'!$B$5:$B$304=C1285))=0,"No matching asset + task in plan","OK"))))</f>
        <v/>
      </c>
    </row>
    <row r="1286" customFormat="false" ht="15" hidden="false" customHeight="false" outlineLevel="0" collapsed="false">
      <c r="A1286" s="14"/>
      <c r="B1286" s="9"/>
      <c r="C1286" s="9"/>
      <c r="D1286" s="9"/>
      <c r="E1286" s="9"/>
      <c r="F1286" s="17" t="str">
        <f aca="false">IF(AND(A1286="",B1286="",C1286=""),"",IF(NOT(ISNUMBER(A1286)),"Enter the date done",IF(OR(B1286="",C1286=""),"Fill in asset and task",IF(SUMPRODUCT(('PM Plan'!$A$5:$A$304=B1286)*('PM Plan'!$B$5:$B$304=C1286))=0,"No matching asset + task in plan","OK"))))</f>
        <v/>
      </c>
    </row>
    <row r="1287" customFormat="false" ht="15" hidden="false" customHeight="false" outlineLevel="0" collapsed="false">
      <c r="A1287" s="14"/>
      <c r="B1287" s="9"/>
      <c r="C1287" s="9"/>
      <c r="D1287" s="9"/>
      <c r="E1287" s="9"/>
      <c r="F1287" s="17" t="str">
        <f aca="false">IF(AND(A1287="",B1287="",C1287=""),"",IF(NOT(ISNUMBER(A1287)),"Enter the date done",IF(OR(B1287="",C1287=""),"Fill in asset and task",IF(SUMPRODUCT(('PM Plan'!$A$5:$A$304=B1287)*('PM Plan'!$B$5:$B$304=C1287))=0,"No matching asset + task in plan","OK"))))</f>
        <v/>
      </c>
    </row>
    <row r="1288" customFormat="false" ht="15" hidden="false" customHeight="false" outlineLevel="0" collapsed="false">
      <c r="A1288" s="14"/>
      <c r="B1288" s="9"/>
      <c r="C1288" s="9"/>
      <c r="D1288" s="9"/>
      <c r="E1288" s="9"/>
      <c r="F1288" s="17" t="str">
        <f aca="false">IF(AND(A1288="",B1288="",C1288=""),"",IF(NOT(ISNUMBER(A1288)),"Enter the date done",IF(OR(B1288="",C1288=""),"Fill in asset and task",IF(SUMPRODUCT(('PM Plan'!$A$5:$A$304=B1288)*('PM Plan'!$B$5:$B$304=C1288))=0,"No matching asset + task in plan","OK"))))</f>
        <v/>
      </c>
    </row>
    <row r="1289" customFormat="false" ht="15" hidden="false" customHeight="false" outlineLevel="0" collapsed="false">
      <c r="A1289" s="14"/>
      <c r="B1289" s="9"/>
      <c r="C1289" s="9"/>
      <c r="D1289" s="9"/>
      <c r="E1289" s="9"/>
      <c r="F1289" s="17" t="str">
        <f aca="false">IF(AND(A1289="",B1289="",C1289=""),"",IF(NOT(ISNUMBER(A1289)),"Enter the date done",IF(OR(B1289="",C1289=""),"Fill in asset and task",IF(SUMPRODUCT(('PM Plan'!$A$5:$A$304=B1289)*('PM Plan'!$B$5:$B$304=C1289))=0,"No matching asset + task in plan","OK"))))</f>
        <v/>
      </c>
    </row>
    <row r="1290" customFormat="false" ht="15" hidden="false" customHeight="false" outlineLevel="0" collapsed="false">
      <c r="A1290" s="14"/>
      <c r="B1290" s="9"/>
      <c r="C1290" s="9"/>
      <c r="D1290" s="9"/>
      <c r="E1290" s="9"/>
      <c r="F1290" s="17" t="str">
        <f aca="false">IF(AND(A1290="",B1290="",C1290=""),"",IF(NOT(ISNUMBER(A1290)),"Enter the date done",IF(OR(B1290="",C1290=""),"Fill in asset and task",IF(SUMPRODUCT(('PM Plan'!$A$5:$A$304=B1290)*('PM Plan'!$B$5:$B$304=C1290))=0,"No matching asset + task in plan","OK"))))</f>
        <v/>
      </c>
    </row>
    <row r="1291" customFormat="false" ht="15" hidden="false" customHeight="false" outlineLevel="0" collapsed="false">
      <c r="A1291" s="14"/>
      <c r="B1291" s="9"/>
      <c r="C1291" s="9"/>
      <c r="D1291" s="9"/>
      <c r="E1291" s="9"/>
      <c r="F1291" s="17" t="str">
        <f aca="false">IF(AND(A1291="",B1291="",C1291=""),"",IF(NOT(ISNUMBER(A1291)),"Enter the date done",IF(OR(B1291="",C1291=""),"Fill in asset and task",IF(SUMPRODUCT(('PM Plan'!$A$5:$A$304=B1291)*('PM Plan'!$B$5:$B$304=C1291))=0,"No matching asset + task in plan","OK"))))</f>
        <v/>
      </c>
    </row>
    <row r="1292" customFormat="false" ht="15" hidden="false" customHeight="false" outlineLevel="0" collapsed="false">
      <c r="A1292" s="14"/>
      <c r="B1292" s="9"/>
      <c r="C1292" s="9"/>
      <c r="D1292" s="9"/>
      <c r="E1292" s="9"/>
      <c r="F1292" s="17" t="str">
        <f aca="false">IF(AND(A1292="",B1292="",C1292=""),"",IF(NOT(ISNUMBER(A1292)),"Enter the date done",IF(OR(B1292="",C1292=""),"Fill in asset and task",IF(SUMPRODUCT(('PM Plan'!$A$5:$A$304=B1292)*('PM Plan'!$B$5:$B$304=C1292))=0,"No matching asset + task in plan","OK"))))</f>
        <v/>
      </c>
    </row>
    <row r="1293" customFormat="false" ht="15" hidden="false" customHeight="false" outlineLevel="0" collapsed="false">
      <c r="A1293" s="14"/>
      <c r="B1293" s="9"/>
      <c r="C1293" s="9"/>
      <c r="D1293" s="9"/>
      <c r="E1293" s="9"/>
      <c r="F1293" s="17" t="str">
        <f aca="false">IF(AND(A1293="",B1293="",C1293=""),"",IF(NOT(ISNUMBER(A1293)),"Enter the date done",IF(OR(B1293="",C1293=""),"Fill in asset and task",IF(SUMPRODUCT(('PM Plan'!$A$5:$A$304=B1293)*('PM Plan'!$B$5:$B$304=C1293))=0,"No matching asset + task in plan","OK"))))</f>
        <v/>
      </c>
    </row>
    <row r="1294" customFormat="false" ht="15" hidden="false" customHeight="false" outlineLevel="0" collapsed="false">
      <c r="A1294" s="14"/>
      <c r="B1294" s="9"/>
      <c r="C1294" s="9"/>
      <c r="D1294" s="9"/>
      <c r="E1294" s="9"/>
      <c r="F1294" s="17" t="str">
        <f aca="false">IF(AND(A1294="",B1294="",C1294=""),"",IF(NOT(ISNUMBER(A1294)),"Enter the date done",IF(OR(B1294="",C1294=""),"Fill in asset and task",IF(SUMPRODUCT(('PM Plan'!$A$5:$A$304=B1294)*('PM Plan'!$B$5:$B$304=C1294))=0,"No matching asset + task in plan","OK"))))</f>
        <v/>
      </c>
    </row>
    <row r="1295" customFormat="false" ht="15" hidden="false" customHeight="false" outlineLevel="0" collapsed="false">
      <c r="A1295" s="14"/>
      <c r="B1295" s="9"/>
      <c r="C1295" s="9"/>
      <c r="D1295" s="9"/>
      <c r="E1295" s="9"/>
      <c r="F1295" s="17" t="str">
        <f aca="false">IF(AND(A1295="",B1295="",C1295=""),"",IF(NOT(ISNUMBER(A1295)),"Enter the date done",IF(OR(B1295="",C1295=""),"Fill in asset and task",IF(SUMPRODUCT(('PM Plan'!$A$5:$A$304=B1295)*('PM Plan'!$B$5:$B$304=C1295))=0,"No matching asset + task in plan","OK"))))</f>
        <v/>
      </c>
    </row>
    <row r="1296" customFormat="false" ht="15" hidden="false" customHeight="false" outlineLevel="0" collapsed="false">
      <c r="A1296" s="14"/>
      <c r="B1296" s="9"/>
      <c r="C1296" s="9"/>
      <c r="D1296" s="9"/>
      <c r="E1296" s="9"/>
      <c r="F1296" s="17" t="str">
        <f aca="false">IF(AND(A1296="",B1296="",C1296=""),"",IF(NOT(ISNUMBER(A1296)),"Enter the date done",IF(OR(B1296="",C1296=""),"Fill in asset and task",IF(SUMPRODUCT(('PM Plan'!$A$5:$A$304=B1296)*('PM Plan'!$B$5:$B$304=C1296))=0,"No matching asset + task in plan","OK"))))</f>
        <v/>
      </c>
    </row>
    <row r="1297" customFormat="false" ht="15" hidden="false" customHeight="false" outlineLevel="0" collapsed="false">
      <c r="A1297" s="14"/>
      <c r="B1297" s="9"/>
      <c r="C1297" s="9"/>
      <c r="D1297" s="9"/>
      <c r="E1297" s="9"/>
      <c r="F1297" s="17" t="str">
        <f aca="false">IF(AND(A1297="",B1297="",C1297=""),"",IF(NOT(ISNUMBER(A1297)),"Enter the date done",IF(OR(B1297="",C1297=""),"Fill in asset and task",IF(SUMPRODUCT(('PM Plan'!$A$5:$A$304=B1297)*('PM Plan'!$B$5:$B$304=C1297))=0,"No matching asset + task in plan","OK"))))</f>
        <v/>
      </c>
    </row>
    <row r="1298" customFormat="false" ht="15" hidden="false" customHeight="false" outlineLevel="0" collapsed="false">
      <c r="A1298" s="14"/>
      <c r="B1298" s="9"/>
      <c r="C1298" s="9"/>
      <c r="D1298" s="9"/>
      <c r="E1298" s="9"/>
      <c r="F1298" s="17" t="str">
        <f aca="false">IF(AND(A1298="",B1298="",C1298=""),"",IF(NOT(ISNUMBER(A1298)),"Enter the date done",IF(OR(B1298="",C1298=""),"Fill in asset and task",IF(SUMPRODUCT(('PM Plan'!$A$5:$A$304=B1298)*('PM Plan'!$B$5:$B$304=C1298))=0,"No matching asset + task in plan","OK"))))</f>
        <v/>
      </c>
    </row>
    <row r="1299" customFormat="false" ht="15" hidden="false" customHeight="false" outlineLevel="0" collapsed="false">
      <c r="A1299" s="14"/>
      <c r="B1299" s="9"/>
      <c r="C1299" s="9"/>
      <c r="D1299" s="9"/>
      <c r="E1299" s="9"/>
      <c r="F1299" s="17" t="str">
        <f aca="false">IF(AND(A1299="",B1299="",C1299=""),"",IF(NOT(ISNUMBER(A1299)),"Enter the date done",IF(OR(B1299="",C1299=""),"Fill in asset and task",IF(SUMPRODUCT(('PM Plan'!$A$5:$A$304=B1299)*('PM Plan'!$B$5:$B$304=C1299))=0,"No matching asset + task in plan","OK"))))</f>
        <v/>
      </c>
    </row>
    <row r="1300" customFormat="false" ht="15" hidden="false" customHeight="false" outlineLevel="0" collapsed="false">
      <c r="A1300" s="14"/>
      <c r="B1300" s="9"/>
      <c r="C1300" s="9"/>
      <c r="D1300" s="9"/>
      <c r="E1300" s="9"/>
      <c r="F1300" s="17" t="str">
        <f aca="false">IF(AND(A1300="",B1300="",C1300=""),"",IF(NOT(ISNUMBER(A1300)),"Enter the date done",IF(OR(B1300="",C1300=""),"Fill in asset and task",IF(SUMPRODUCT(('PM Plan'!$A$5:$A$304=B1300)*('PM Plan'!$B$5:$B$304=C1300))=0,"No matching asset + task in plan","OK"))))</f>
        <v/>
      </c>
    </row>
    <row r="1301" customFormat="false" ht="15" hidden="false" customHeight="false" outlineLevel="0" collapsed="false">
      <c r="A1301" s="14"/>
      <c r="B1301" s="9"/>
      <c r="C1301" s="9"/>
      <c r="D1301" s="9"/>
      <c r="E1301" s="9"/>
      <c r="F1301" s="17" t="str">
        <f aca="false">IF(AND(A1301="",B1301="",C1301=""),"",IF(NOT(ISNUMBER(A1301)),"Enter the date done",IF(OR(B1301="",C1301=""),"Fill in asset and task",IF(SUMPRODUCT(('PM Plan'!$A$5:$A$304=B1301)*('PM Plan'!$B$5:$B$304=C1301))=0,"No matching asset + task in plan","OK"))))</f>
        <v/>
      </c>
    </row>
    <row r="1302" customFormat="false" ht="15" hidden="false" customHeight="false" outlineLevel="0" collapsed="false">
      <c r="A1302" s="14"/>
      <c r="B1302" s="9"/>
      <c r="C1302" s="9"/>
      <c r="D1302" s="9"/>
      <c r="E1302" s="9"/>
      <c r="F1302" s="17" t="str">
        <f aca="false">IF(AND(A1302="",B1302="",C1302=""),"",IF(NOT(ISNUMBER(A1302)),"Enter the date done",IF(OR(B1302="",C1302=""),"Fill in asset and task",IF(SUMPRODUCT(('PM Plan'!$A$5:$A$304=B1302)*('PM Plan'!$B$5:$B$304=C1302))=0,"No matching asset + task in plan","OK"))))</f>
        <v/>
      </c>
    </row>
    <row r="1303" customFormat="false" ht="15" hidden="false" customHeight="false" outlineLevel="0" collapsed="false">
      <c r="A1303" s="14"/>
      <c r="B1303" s="9"/>
      <c r="C1303" s="9"/>
      <c r="D1303" s="9"/>
      <c r="E1303" s="9"/>
      <c r="F1303" s="17" t="str">
        <f aca="false">IF(AND(A1303="",B1303="",C1303=""),"",IF(NOT(ISNUMBER(A1303)),"Enter the date done",IF(OR(B1303="",C1303=""),"Fill in asset and task",IF(SUMPRODUCT(('PM Plan'!$A$5:$A$304=B1303)*('PM Plan'!$B$5:$B$304=C1303))=0,"No matching asset + task in plan","OK"))))</f>
        <v/>
      </c>
    </row>
    <row r="1304" customFormat="false" ht="15" hidden="false" customHeight="false" outlineLevel="0" collapsed="false">
      <c r="A1304" s="14"/>
      <c r="B1304" s="9"/>
      <c r="C1304" s="9"/>
      <c r="D1304" s="9"/>
      <c r="E1304" s="9"/>
      <c r="F1304" s="17" t="str">
        <f aca="false">IF(AND(A1304="",B1304="",C1304=""),"",IF(NOT(ISNUMBER(A1304)),"Enter the date done",IF(OR(B1304="",C1304=""),"Fill in asset and task",IF(SUMPRODUCT(('PM Plan'!$A$5:$A$304=B1304)*('PM Plan'!$B$5:$B$304=C1304))=0,"No matching asset + task in plan","OK"))))</f>
        <v/>
      </c>
    </row>
    <row r="1305" customFormat="false" ht="15" hidden="false" customHeight="false" outlineLevel="0" collapsed="false">
      <c r="A1305" s="14"/>
      <c r="B1305" s="9"/>
      <c r="C1305" s="9"/>
      <c r="D1305" s="9"/>
      <c r="E1305" s="9"/>
      <c r="F1305" s="17" t="str">
        <f aca="false">IF(AND(A1305="",B1305="",C1305=""),"",IF(NOT(ISNUMBER(A1305)),"Enter the date done",IF(OR(B1305="",C1305=""),"Fill in asset and task",IF(SUMPRODUCT(('PM Plan'!$A$5:$A$304=B1305)*('PM Plan'!$B$5:$B$304=C1305))=0,"No matching asset + task in plan","OK"))))</f>
        <v/>
      </c>
    </row>
    <row r="1306" customFormat="false" ht="15" hidden="false" customHeight="false" outlineLevel="0" collapsed="false">
      <c r="A1306" s="14"/>
      <c r="B1306" s="9"/>
      <c r="C1306" s="9"/>
      <c r="D1306" s="9"/>
      <c r="E1306" s="9"/>
      <c r="F1306" s="17" t="str">
        <f aca="false">IF(AND(A1306="",B1306="",C1306=""),"",IF(NOT(ISNUMBER(A1306)),"Enter the date done",IF(OR(B1306="",C1306=""),"Fill in asset and task",IF(SUMPRODUCT(('PM Plan'!$A$5:$A$304=B1306)*('PM Plan'!$B$5:$B$304=C1306))=0,"No matching asset + task in plan","OK"))))</f>
        <v/>
      </c>
    </row>
    <row r="1307" customFormat="false" ht="15" hidden="false" customHeight="false" outlineLevel="0" collapsed="false">
      <c r="A1307" s="14"/>
      <c r="B1307" s="9"/>
      <c r="C1307" s="9"/>
      <c r="D1307" s="9"/>
      <c r="E1307" s="9"/>
      <c r="F1307" s="17" t="str">
        <f aca="false">IF(AND(A1307="",B1307="",C1307=""),"",IF(NOT(ISNUMBER(A1307)),"Enter the date done",IF(OR(B1307="",C1307=""),"Fill in asset and task",IF(SUMPRODUCT(('PM Plan'!$A$5:$A$304=B1307)*('PM Plan'!$B$5:$B$304=C1307))=0,"No matching asset + task in plan","OK"))))</f>
        <v/>
      </c>
    </row>
    <row r="1308" customFormat="false" ht="15" hidden="false" customHeight="false" outlineLevel="0" collapsed="false">
      <c r="A1308" s="14"/>
      <c r="B1308" s="9"/>
      <c r="C1308" s="9"/>
      <c r="D1308" s="9"/>
      <c r="E1308" s="9"/>
      <c r="F1308" s="17" t="str">
        <f aca="false">IF(AND(A1308="",B1308="",C1308=""),"",IF(NOT(ISNUMBER(A1308)),"Enter the date done",IF(OR(B1308="",C1308=""),"Fill in asset and task",IF(SUMPRODUCT(('PM Plan'!$A$5:$A$304=B1308)*('PM Plan'!$B$5:$B$304=C1308))=0,"No matching asset + task in plan","OK"))))</f>
        <v/>
      </c>
    </row>
    <row r="1309" customFormat="false" ht="15" hidden="false" customHeight="false" outlineLevel="0" collapsed="false">
      <c r="A1309" s="14"/>
      <c r="B1309" s="9"/>
      <c r="C1309" s="9"/>
      <c r="D1309" s="9"/>
      <c r="E1309" s="9"/>
      <c r="F1309" s="17" t="str">
        <f aca="false">IF(AND(A1309="",B1309="",C1309=""),"",IF(NOT(ISNUMBER(A1309)),"Enter the date done",IF(OR(B1309="",C1309=""),"Fill in asset and task",IF(SUMPRODUCT(('PM Plan'!$A$5:$A$304=B1309)*('PM Plan'!$B$5:$B$304=C1309))=0,"No matching asset + task in plan","OK"))))</f>
        <v/>
      </c>
    </row>
    <row r="1310" customFormat="false" ht="15" hidden="false" customHeight="false" outlineLevel="0" collapsed="false">
      <c r="A1310" s="14"/>
      <c r="B1310" s="9"/>
      <c r="C1310" s="9"/>
      <c r="D1310" s="9"/>
      <c r="E1310" s="9"/>
      <c r="F1310" s="17" t="str">
        <f aca="false">IF(AND(A1310="",B1310="",C1310=""),"",IF(NOT(ISNUMBER(A1310)),"Enter the date done",IF(OR(B1310="",C1310=""),"Fill in asset and task",IF(SUMPRODUCT(('PM Plan'!$A$5:$A$304=B1310)*('PM Plan'!$B$5:$B$304=C1310))=0,"No matching asset + task in plan","OK"))))</f>
        <v/>
      </c>
    </row>
    <row r="1311" customFormat="false" ht="15" hidden="false" customHeight="false" outlineLevel="0" collapsed="false">
      <c r="A1311" s="14"/>
      <c r="B1311" s="9"/>
      <c r="C1311" s="9"/>
      <c r="D1311" s="9"/>
      <c r="E1311" s="9"/>
      <c r="F1311" s="17" t="str">
        <f aca="false">IF(AND(A1311="",B1311="",C1311=""),"",IF(NOT(ISNUMBER(A1311)),"Enter the date done",IF(OR(B1311="",C1311=""),"Fill in asset and task",IF(SUMPRODUCT(('PM Plan'!$A$5:$A$304=B1311)*('PM Plan'!$B$5:$B$304=C1311))=0,"No matching asset + task in plan","OK"))))</f>
        <v/>
      </c>
    </row>
    <row r="1312" customFormat="false" ht="15" hidden="false" customHeight="false" outlineLevel="0" collapsed="false">
      <c r="A1312" s="14"/>
      <c r="B1312" s="9"/>
      <c r="C1312" s="9"/>
      <c r="D1312" s="9"/>
      <c r="E1312" s="9"/>
      <c r="F1312" s="17" t="str">
        <f aca="false">IF(AND(A1312="",B1312="",C1312=""),"",IF(NOT(ISNUMBER(A1312)),"Enter the date done",IF(OR(B1312="",C1312=""),"Fill in asset and task",IF(SUMPRODUCT(('PM Plan'!$A$5:$A$304=B1312)*('PM Plan'!$B$5:$B$304=C1312))=0,"No matching asset + task in plan","OK"))))</f>
        <v/>
      </c>
    </row>
    <row r="1313" customFormat="false" ht="15" hidden="false" customHeight="false" outlineLevel="0" collapsed="false">
      <c r="A1313" s="14"/>
      <c r="B1313" s="9"/>
      <c r="C1313" s="9"/>
      <c r="D1313" s="9"/>
      <c r="E1313" s="9"/>
      <c r="F1313" s="17" t="str">
        <f aca="false">IF(AND(A1313="",B1313="",C1313=""),"",IF(NOT(ISNUMBER(A1313)),"Enter the date done",IF(OR(B1313="",C1313=""),"Fill in asset and task",IF(SUMPRODUCT(('PM Plan'!$A$5:$A$304=B1313)*('PM Plan'!$B$5:$B$304=C1313))=0,"No matching asset + task in plan","OK"))))</f>
        <v/>
      </c>
    </row>
    <row r="1314" customFormat="false" ht="15" hidden="false" customHeight="false" outlineLevel="0" collapsed="false">
      <c r="A1314" s="14"/>
      <c r="B1314" s="9"/>
      <c r="C1314" s="9"/>
      <c r="D1314" s="9"/>
      <c r="E1314" s="9"/>
      <c r="F1314" s="17" t="str">
        <f aca="false">IF(AND(A1314="",B1314="",C1314=""),"",IF(NOT(ISNUMBER(A1314)),"Enter the date done",IF(OR(B1314="",C1314=""),"Fill in asset and task",IF(SUMPRODUCT(('PM Plan'!$A$5:$A$304=B1314)*('PM Plan'!$B$5:$B$304=C1314))=0,"No matching asset + task in plan","OK"))))</f>
        <v/>
      </c>
    </row>
    <row r="1315" customFormat="false" ht="15" hidden="false" customHeight="false" outlineLevel="0" collapsed="false">
      <c r="A1315" s="14"/>
      <c r="B1315" s="9"/>
      <c r="C1315" s="9"/>
      <c r="D1315" s="9"/>
      <c r="E1315" s="9"/>
      <c r="F1315" s="17" t="str">
        <f aca="false">IF(AND(A1315="",B1315="",C1315=""),"",IF(NOT(ISNUMBER(A1315)),"Enter the date done",IF(OR(B1315="",C1315=""),"Fill in asset and task",IF(SUMPRODUCT(('PM Plan'!$A$5:$A$304=B1315)*('PM Plan'!$B$5:$B$304=C1315))=0,"No matching asset + task in plan","OK"))))</f>
        <v/>
      </c>
    </row>
    <row r="1316" customFormat="false" ht="15" hidden="false" customHeight="false" outlineLevel="0" collapsed="false">
      <c r="A1316" s="14"/>
      <c r="B1316" s="9"/>
      <c r="C1316" s="9"/>
      <c r="D1316" s="9"/>
      <c r="E1316" s="9"/>
      <c r="F1316" s="17" t="str">
        <f aca="false">IF(AND(A1316="",B1316="",C1316=""),"",IF(NOT(ISNUMBER(A1316)),"Enter the date done",IF(OR(B1316="",C1316=""),"Fill in asset and task",IF(SUMPRODUCT(('PM Plan'!$A$5:$A$304=B1316)*('PM Plan'!$B$5:$B$304=C1316))=0,"No matching asset + task in plan","OK"))))</f>
        <v/>
      </c>
    </row>
    <row r="1317" customFormat="false" ht="15" hidden="false" customHeight="false" outlineLevel="0" collapsed="false">
      <c r="A1317" s="14"/>
      <c r="B1317" s="9"/>
      <c r="C1317" s="9"/>
      <c r="D1317" s="9"/>
      <c r="E1317" s="9"/>
      <c r="F1317" s="17" t="str">
        <f aca="false">IF(AND(A1317="",B1317="",C1317=""),"",IF(NOT(ISNUMBER(A1317)),"Enter the date done",IF(OR(B1317="",C1317=""),"Fill in asset and task",IF(SUMPRODUCT(('PM Plan'!$A$5:$A$304=B1317)*('PM Plan'!$B$5:$B$304=C1317))=0,"No matching asset + task in plan","OK"))))</f>
        <v/>
      </c>
    </row>
    <row r="1318" customFormat="false" ht="15" hidden="false" customHeight="false" outlineLevel="0" collapsed="false">
      <c r="A1318" s="14"/>
      <c r="B1318" s="9"/>
      <c r="C1318" s="9"/>
      <c r="D1318" s="9"/>
      <c r="E1318" s="9"/>
      <c r="F1318" s="17" t="str">
        <f aca="false">IF(AND(A1318="",B1318="",C1318=""),"",IF(NOT(ISNUMBER(A1318)),"Enter the date done",IF(OR(B1318="",C1318=""),"Fill in asset and task",IF(SUMPRODUCT(('PM Plan'!$A$5:$A$304=B1318)*('PM Plan'!$B$5:$B$304=C1318))=0,"No matching asset + task in plan","OK"))))</f>
        <v/>
      </c>
    </row>
    <row r="1319" customFormat="false" ht="15" hidden="false" customHeight="false" outlineLevel="0" collapsed="false">
      <c r="A1319" s="14"/>
      <c r="B1319" s="9"/>
      <c r="C1319" s="9"/>
      <c r="D1319" s="9"/>
      <c r="E1319" s="9"/>
      <c r="F1319" s="17" t="str">
        <f aca="false">IF(AND(A1319="",B1319="",C1319=""),"",IF(NOT(ISNUMBER(A1319)),"Enter the date done",IF(OR(B1319="",C1319=""),"Fill in asset and task",IF(SUMPRODUCT(('PM Plan'!$A$5:$A$304=B1319)*('PM Plan'!$B$5:$B$304=C1319))=0,"No matching asset + task in plan","OK"))))</f>
        <v/>
      </c>
    </row>
    <row r="1320" customFormat="false" ht="15" hidden="false" customHeight="false" outlineLevel="0" collapsed="false">
      <c r="A1320" s="14"/>
      <c r="B1320" s="9"/>
      <c r="C1320" s="9"/>
      <c r="D1320" s="9"/>
      <c r="E1320" s="9"/>
      <c r="F1320" s="17" t="str">
        <f aca="false">IF(AND(A1320="",B1320="",C1320=""),"",IF(NOT(ISNUMBER(A1320)),"Enter the date done",IF(OR(B1320="",C1320=""),"Fill in asset and task",IF(SUMPRODUCT(('PM Plan'!$A$5:$A$304=B1320)*('PM Plan'!$B$5:$B$304=C1320))=0,"No matching asset + task in plan","OK"))))</f>
        <v/>
      </c>
    </row>
    <row r="1321" customFormat="false" ht="15" hidden="false" customHeight="false" outlineLevel="0" collapsed="false">
      <c r="A1321" s="14"/>
      <c r="B1321" s="9"/>
      <c r="C1321" s="9"/>
      <c r="D1321" s="9"/>
      <c r="E1321" s="9"/>
      <c r="F1321" s="17" t="str">
        <f aca="false">IF(AND(A1321="",B1321="",C1321=""),"",IF(NOT(ISNUMBER(A1321)),"Enter the date done",IF(OR(B1321="",C1321=""),"Fill in asset and task",IF(SUMPRODUCT(('PM Plan'!$A$5:$A$304=B1321)*('PM Plan'!$B$5:$B$304=C1321))=0,"No matching asset + task in plan","OK"))))</f>
        <v/>
      </c>
    </row>
    <row r="1322" customFormat="false" ht="15" hidden="false" customHeight="false" outlineLevel="0" collapsed="false">
      <c r="A1322" s="14"/>
      <c r="B1322" s="9"/>
      <c r="C1322" s="9"/>
      <c r="D1322" s="9"/>
      <c r="E1322" s="9"/>
      <c r="F1322" s="17" t="str">
        <f aca="false">IF(AND(A1322="",B1322="",C1322=""),"",IF(NOT(ISNUMBER(A1322)),"Enter the date done",IF(OR(B1322="",C1322=""),"Fill in asset and task",IF(SUMPRODUCT(('PM Plan'!$A$5:$A$304=B1322)*('PM Plan'!$B$5:$B$304=C1322))=0,"No matching asset + task in plan","OK"))))</f>
        <v/>
      </c>
    </row>
    <row r="1323" customFormat="false" ht="15" hidden="false" customHeight="false" outlineLevel="0" collapsed="false">
      <c r="A1323" s="14"/>
      <c r="B1323" s="9"/>
      <c r="C1323" s="9"/>
      <c r="D1323" s="9"/>
      <c r="E1323" s="9"/>
      <c r="F1323" s="17" t="str">
        <f aca="false">IF(AND(A1323="",B1323="",C1323=""),"",IF(NOT(ISNUMBER(A1323)),"Enter the date done",IF(OR(B1323="",C1323=""),"Fill in asset and task",IF(SUMPRODUCT(('PM Plan'!$A$5:$A$304=B1323)*('PM Plan'!$B$5:$B$304=C1323))=0,"No matching asset + task in plan","OK"))))</f>
        <v/>
      </c>
    </row>
    <row r="1324" customFormat="false" ht="15" hidden="false" customHeight="false" outlineLevel="0" collapsed="false">
      <c r="A1324" s="14"/>
      <c r="B1324" s="9"/>
      <c r="C1324" s="9"/>
      <c r="D1324" s="9"/>
      <c r="E1324" s="9"/>
      <c r="F1324" s="17" t="str">
        <f aca="false">IF(AND(A1324="",B1324="",C1324=""),"",IF(NOT(ISNUMBER(A1324)),"Enter the date done",IF(OR(B1324="",C1324=""),"Fill in asset and task",IF(SUMPRODUCT(('PM Plan'!$A$5:$A$304=B1324)*('PM Plan'!$B$5:$B$304=C1324))=0,"No matching asset + task in plan","OK"))))</f>
        <v/>
      </c>
    </row>
    <row r="1325" customFormat="false" ht="15" hidden="false" customHeight="false" outlineLevel="0" collapsed="false">
      <c r="A1325" s="14"/>
      <c r="B1325" s="9"/>
      <c r="C1325" s="9"/>
      <c r="D1325" s="9"/>
      <c r="E1325" s="9"/>
      <c r="F1325" s="17" t="str">
        <f aca="false">IF(AND(A1325="",B1325="",C1325=""),"",IF(NOT(ISNUMBER(A1325)),"Enter the date done",IF(OR(B1325="",C1325=""),"Fill in asset and task",IF(SUMPRODUCT(('PM Plan'!$A$5:$A$304=B1325)*('PM Plan'!$B$5:$B$304=C1325))=0,"No matching asset + task in plan","OK"))))</f>
        <v/>
      </c>
    </row>
    <row r="1326" customFormat="false" ht="15" hidden="false" customHeight="false" outlineLevel="0" collapsed="false">
      <c r="A1326" s="14"/>
      <c r="B1326" s="9"/>
      <c r="C1326" s="9"/>
      <c r="D1326" s="9"/>
      <c r="E1326" s="9"/>
      <c r="F1326" s="17" t="str">
        <f aca="false">IF(AND(A1326="",B1326="",C1326=""),"",IF(NOT(ISNUMBER(A1326)),"Enter the date done",IF(OR(B1326="",C1326=""),"Fill in asset and task",IF(SUMPRODUCT(('PM Plan'!$A$5:$A$304=B1326)*('PM Plan'!$B$5:$B$304=C1326))=0,"No matching asset + task in plan","OK"))))</f>
        <v/>
      </c>
    </row>
    <row r="1327" customFormat="false" ht="15" hidden="false" customHeight="false" outlineLevel="0" collapsed="false">
      <c r="A1327" s="14"/>
      <c r="B1327" s="9"/>
      <c r="C1327" s="9"/>
      <c r="D1327" s="9"/>
      <c r="E1327" s="9"/>
      <c r="F1327" s="17" t="str">
        <f aca="false">IF(AND(A1327="",B1327="",C1327=""),"",IF(NOT(ISNUMBER(A1327)),"Enter the date done",IF(OR(B1327="",C1327=""),"Fill in asset and task",IF(SUMPRODUCT(('PM Plan'!$A$5:$A$304=B1327)*('PM Plan'!$B$5:$B$304=C1327))=0,"No matching asset + task in plan","OK"))))</f>
        <v/>
      </c>
    </row>
    <row r="1328" customFormat="false" ht="15" hidden="false" customHeight="false" outlineLevel="0" collapsed="false">
      <c r="A1328" s="14"/>
      <c r="B1328" s="9"/>
      <c r="C1328" s="9"/>
      <c r="D1328" s="9"/>
      <c r="E1328" s="9"/>
      <c r="F1328" s="17" t="str">
        <f aca="false">IF(AND(A1328="",B1328="",C1328=""),"",IF(NOT(ISNUMBER(A1328)),"Enter the date done",IF(OR(B1328="",C1328=""),"Fill in asset and task",IF(SUMPRODUCT(('PM Plan'!$A$5:$A$304=B1328)*('PM Plan'!$B$5:$B$304=C1328))=0,"No matching asset + task in plan","OK"))))</f>
        <v/>
      </c>
    </row>
    <row r="1329" customFormat="false" ht="15" hidden="false" customHeight="false" outlineLevel="0" collapsed="false">
      <c r="A1329" s="14"/>
      <c r="B1329" s="9"/>
      <c r="C1329" s="9"/>
      <c r="D1329" s="9"/>
      <c r="E1329" s="9"/>
      <c r="F1329" s="17" t="str">
        <f aca="false">IF(AND(A1329="",B1329="",C1329=""),"",IF(NOT(ISNUMBER(A1329)),"Enter the date done",IF(OR(B1329="",C1329=""),"Fill in asset and task",IF(SUMPRODUCT(('PM Plan'!$A$5:$A$304=B1329)*('PM Plan'!$B$5:$B$304=C1329))=0,"No matching asset + task in plan","OK"))))</f>
        <v/>
      </c>
    </row>
    <row r="1330" customFormat="false" ht="15" hidden="false" customHeight="false" outlineLevel="0" collapsed="false">
      <c r="A1330" s="14"/>
      <c r="B1330" s="9"/>
      <c r="C1330" s="9"/>
      <c r="D1330" s="9"/>
      <c r="E1330" s="9"/>
      <c r="F1330" s="17" t="str">
        <f aca="false">IF(AND(A1330="",B1330="",C1330=""),"",IF(NOT(ISNUMBER(A1330)),"Enter the date done",IF(OR(B1330="",C1330=""),"Fill in asset and task",IF(SUMPRODUCT(('PM Plan'!$A$5:$A$304=B1330)*('PM Plan'!$B$5:$B$304=C1330))=0,"No matching asset + task in plan","OK"))))</f>
        <v/>
      </c>
    </row>
    <row r="1331" customFormat="false" ht="15" hidden="false" customHeight="false" outlineLevel="0" collapsed="false">
      <c r="A1331" s="14"/>
      <c r="B1331" s="9"/>
      <c r="C1331" s="9"/>
      <c r="D1331" s="9"/>
      <c r="E1331" s="9"/>
      <c r="F1331" s="17" t="str">
        <f aca="false">IF(AND(A1331="",B1331="",C1331=""),"",IF(NOT(ISNUMBER(A1331)),"Enter the date done",IF(OR(B1331="",C1331=""),"Fill in asset and task",IF(SUMPRODUCT(('PM Plan'!$A$5:$A$304=B1331)*('PM Plan'!$B$5:$B$304=C1331))=0,"No matching asset + task in plan","OK"))))</f>
        <v/>
      </c>
    </row>
    <row r="1332" customFormat="false" ht="15" hidden="false" customHeight="false" outlineLevel="0" collapsed="false">
      <c r="A1332" s="14"/>
      <c r="B1332" s="9"/>
      <c r="C1332" s="9"/>
      <c r="D1332" s="9"/>
      <c r="E1332" s="9"/>
      <c r="F1332" s="17" t="str">
        <f aca="false">IF(AND(A1332="",B1332="",C1332=""),"",IF(NOT(ISNUMBER(A1332)),"Enter the date done",IF(OR(B1332="",C1332=""),"Fill in asset and task",IF(SUMPRODUCT(('PM Plan'!$A$5:$A$304=B1332)*('PM Plan'!$B$5:$B$304=C1332))=0,"No matching asset + task in plan","OK"))))</f>
        <v/>
      </c>
    </row>
    <row r="1333" customFormat="false" ht="15" hidden="false" customHeight="false" outlineLevel="0" collapsed="false">
      <c r="A1333" s="14"/>
      <c r="B1333" s="9"/>
      <c r="C1333" s="9"/>
      <c r="D1333" s="9"/>
      <c r="E1333" s="9"/>
      <c r="F1333" s="17" t="str">
        <f aca="false">IF(AND(A1333="",B1333="",C1333=""),"",IF(NOT(ISNUMBER(A1333)),"Enter the date done",IF(OR(B1333="",C1333=""),"Fill in asset and task",IF(SUMPRODUCT(('PM Plan'!$A$5:$A$304=B1333)*('PM Plan'!$B$5:$B$304=C1333))=0,"No matching asset + task in plan","OK"))))</f>
        <v/>
      </c>
    </row>
    <row r="1334" customFormat="false" ht="15" hidden="false" customHeight="false" outlineLevel="0" collapsed="false">
      <c r="A1334" s="14"/>
      <c r="B1334" s="9"/>
      <c r="C1334" s="9"/>
      <c r="D1334" s="9"/>
      <c r="E1334" s="9"/>
      <c r="F1334" s="17" t="str">
        <f aca="false">IF(AND(A1334="",B1334="",C1334=""),"",IF(NOT(ISNUMBER(A1334)),"Enter the date done",IF(OR(B1334="",C1334=""),"Fill in asset and task",IF(SUMPRODUCT(('PM Plan'!$A$5:$A$304=B1334)*('PM Plan'!$B$5:$B$304=C1334))=0,"No matching asset + task in plan","OK"))))</f>
        <v/>
      </c>
    </row>
    <row r="1335" customFormat="false" ht="15" hidden="false" customHeight="false" outlineLevel="0" collapsed="false">
      <c r="A1335" s="14"/>
      <c r="B1335" s="9"/>
      <c r="C1335" s="9"/>
      <c r="D1335" s="9"/>
      <c r="E1335" s="9"/>
      <c r="F1335" s="17" t="str">
        <f aca="false">IF(AND(A1335="",B1335="",C1335=""),"",IF(NOT(ISNUMBER(A1335)),"Enter the date done",IF(OR(B1335="",C1335=""),"Fill in asset and task",IF(SUMPRODUCT(('PM Plan'!$A$5:$A$304=B1335)*('PM Plan'!$B$5:$B$304=C1335))=0,"No matching asset + task in plan","OK"))))</f>
        <v/>
      </c>
    </row>
    <row r="1336" customFormat="false" ht="15" hidden="false" customHeight="false" outlineLevel="0" collapsed="false">
      <c r="A1336" s="14"/>
      <c r="B1336" s="9"/>
      <c r="C1336" s="9"/>
      <c r="D1336" s="9"/>
      <c r="E1336" s="9"/>
      <c r="F1336" s="17" t="str">
        <f aca="false">IF(AND(A1336="",B1336="",C1336=""),"",IF(NOT(ISNUMBER(A1336)),"Enter the date done",IF(OR(B1336="",C1336=""),"Fill in asset and task",IF(SUMPRODUCT(('PM Plan'!$A$5:$A$304=B1336)*('PM Plan'!$B$5:$B$304=C1336))=0,"No matching asset + task in plan","OK"))))</f>
        <v/>
      </c>
    </row>
    <row r="1337" customFormat="false" ht="15" hidden="false" customHeight="false" outlineLevel="0" collapsed="false">
      <c r="A1337" s="14"/>
      <c r="B1337" s="9"/>
      <c r="C1337" s="9"/>
      <c r="D1337" s="9"/>
      <c r="E1337" s="9"/>
      <c r="F1337" s="17" t="str">
        <f aca="false">IF(AND(A1337="",B1337="",C1337=""),"",IF(NOT(ISNUMBER(A1337)),"Enter the date done",IF(OR(B1337="",C1337=""),"Fill in asset and task",IF(SUMPRODUCT(('PM Plan'!$A$5:$A$304=B1337)*('PM Plan'!$B$5:$B$304=C1337))=0,"No matching asset + task in plan","OK"))))</f>
        <v/>
      </c>
    </row>
    <row r="1338" customFormat="false" ht="15" hidden="false" customHeight="false" outlineLevel="0" collapsed="false">
      <c r="A1338" s="14"/>
      <c r="B1338" s="9"/>
      <c r="C1338" s="9"/>
      <c r="D1338" s="9"/>
      <c r="E1338" s="9"/>
      <c r="F1338" s="17" t="str">
        <f aca="false">IF(AND(A1338="",B1338="",C1338=""),"",IF(NOT(ISNUMBER(A1338)),"Enter the date done",IF(OR(B1338="",C1338=""),"Fill in asset and task",IF(SUMPRODUCT(('PM Plan'!$A$5:$A$304=B1338)*('PM Plan'!$B$5:$B$304=C1338))=0,"No matching asset + task in plan","OK"))))</f>
        <v/>
      </c>
    </row>
    <row r="1339" customFormat="false" ht="15" hidden="false" customHeight="false" outlineLevel="0" collapsed="false">
      <c r="A1339" s="14"/>
      <c r="B1339" s="9"/>
      <c r="C1339" s="9"/>
      <c r="D1339" s="9"/>
      <c r="E1339" s="9"/>
      <c r="F1339" s="17" t="str">
        <f aca="false">IF(AND(A1339="",B1339="",C1339=""),"",IF(NOT(ISNUMBER(A1339)),"Enter the date done",IF(OR(B1339="",C1339=""),"Fill in asset and task",IF(SUMPRODUCT(('PM Plan'!$A$5:$A$304=B1339)*('PM Plan'!$B$5:$B$304=C1339))=0,"No matching asset + task in plan","OK"))))</f>
        <v/>
      </c>
    </row>
    <row r="1340" customFormat="false" ht="15" hidden="false" customHeight="false" outlineLevel="0" collapsed="false">
      <c r="A1340" s="14"/>
      <c r="B1340" s="9"/>
      <c r="C1340" s="9"/>
      <c r="D1340" s="9"/>
      <c r="E1340" s="9"/>
      <c r="F1340" s="17" t="str">
        <f aca="false">IF(AND(A1340="",B1340="",C1340=""),"",IF(NOT(ISNUMBER(A1340)),"Enter the date done",IF(OR(B1340="",C1340=""),"Fill in asset and task",IF(SUMPRODUCT(('PM Plan'!$A$5:$A$304=B1340)*('PM Plan'!$B$5:$B$304=C1340))=0,"No matching asset + task in plan","OK"))))</f>
        <v/>
      </c>
    </row>
    <row r="1341" customFormat="false" ht="15" hidden="false" customHeight="false" outlineLevel="0" collapsed="false">
      <c r="A1341" s="14"/>
      <c r="B1341" s="9"/>
      <c r="C1341" s="9"/>
      <c r="D1341" s="9"/>
      <c r="E1341" s="9"/>
      <c r="F1341" s="17" t="str">
        <f aca="false">IF(AND(A1341="",B1341="",C1341=""),"",IF(NOT(ISNUMBER(A1341)),"Enter the date done",IF(OR(B1341="",C1341=""),"Fill in asset and task",IF(SUMPRODUCT(('PM Plan'!$A$5:$A$304=B1341)*('PM Plan'!$B$5:$B$304=C1341))=0,"No matching asset + task in plan","OK"))))</f>
        <v/>
      </c>
    </row>
    <row r="1342" customFormat="false" ht="15" hidden="false" customHeight="false" outlineLevel="0" collapsed="false">
      <c r="A1342" s="14"/>
      <c r="B1342" s="9"/>
      <c r="C1342" s="9"/>
      <c r="D1342" s="9"/>
      <c r="E1342" s="9"/>
      <c r="F1342" s="17" t="str">
        <f aca="false">IF(AND(A1342="",B1342="",C1342=""),"",IF(NOT(ISNUMBER(A1342)),"Enter the date done",IF(OR(B1342="",C1342=""),"Fill in asset and task",IF(SUMPRODUCT(('PM Plan'!$A$5:$A$304=B1342)*('PM Plan'!$B$5:$B$304=C1342))=0,"No matching asset + task in plan","OK"))))</f>
        <v/>
      </c>
    </row>
    <row r="1343" customFormat="false" ht="15" hidden="false" customHeight="false" outlineLevel="0" collapsed="false">
      <c r="A1343" s="14"/>
      <c r="B1343" s="9"/>
      <c r="C1343" s="9"/>
      <c r="D1343" s="9"/>
      <c r="E1343" s="9"/>
      <c r="F1343" s="17" t="str">
        <f aca="false">IF(AND(A1343="",B1343="",C1343=""),"",IF(NOT(ISNUMBER(A1343)),"Enter the date done",IF(OR(B1343="",C1343=""),"Fill in asset and task",IF(SUMPRODUCT(('PM Plan'!$A$5:$A$304=B1343)*('PM Plan'!$B$5:$B$304=C1343))=0,"No matching asset + task in plan","OK"))))</f>
        <v/>
      </c>
    </row>
    <row r="1344" customFormat="false" ht="15" hidden="false" customHeight="false" outlineLevel="0" collapsed="false">
      <c r="A1344" s="14"/>
      <c r="B1344" s="9"/>
      <c r="C1344" s="9"/>
      <c r="D1344" s="9"/>
      <c r="E1344" s="9"/>
      <c r="F1344" s="17" t="str">
        <f aca="false">IF(AND(A1344="",B1344="",C1344=""),"",IF(NOT(ISNUMBER(A1344)),"Enter the date done",IF(OR(B1344="",C1344=""),"Fill in asset and task",IF(SUMPRODUCT(('PM Plan'!$A$5:$A$304=B1344)*('PM Plan'!$B$5:$B$304=C1344))=0,"No matching asset + task in plan","OK"))))</f>
        <v/>
      </c>
    </row>
    <row r="1345" customFormat="false" ht="15" hidden="false" customHeight="false" outlineLevel="0" collapsed="false">
      <c r="A1345" s="14"/>
      <c r="B1345" s="9"/>
      <c r="C1345" s="9"/>
      <c r="D1345" s="9"/>
      <c r="E1345" s="9"/>
      <c r="F1345" s="17" t="str">
        <f aca="false">IF(AND(A1345="",B1345="",C1345=""),"",IF(NOT(ISNUMBER(A1345)),"Enter the date done",IF(OR(B1345="",C1345=""),"Fill in asset and task",IF(SUMPRODUCT(('PM Plan'!$A$5:$A$304=B1345)*('PM Plan'!$B$5:$B$304=C1345))=0,"No matching asset + task in plan","OK"))))</f>
        <v/>
      </c>
    </row>
    <row r="1346" customFormat="false" ht="15" hidden="false" customHeight="false" outlineLevel="0" collapsed="false">
      <c r="A1346" s="14"/>
      <c r="B1346" s="9"/>
      <c r="C1346" s="9"/>
      <c r="D1346" s="9"/>
      <c r="E1346" s="9"/>
      <c r="F1346" s="17" t="str">
        <f aca="false">IF(AND(A1346="",B1346="",C1346=""),"",IF(NOT(ISNUMBER(A1346)),"Enter the date done",IF(OR(B1346="",C1346=""),"Fill in asset and task",IF(SUMPRODUCT(('PM Plan'!$A$5:$A$304=B1346)*('PM Plan'!$B$5:$B$304=C1346))=0,"No matching asset + task in plan","OK"))))</f>
        <v/>
      </c>
    </row>
    <row r="1347" customFormat="false" ht="15" hidden="false" customHeight="false" outlineLevel="0" collapsed="false">
      <c r="A1347" s="14"/>
      <c r="B1347" s="9"/>
      <c r="C1347" s="9"/>
      <c r="D1347" s="9"/>
      <c r="E1347" s="9"/>
      <c r="F1347" s="17" t="str">
        <f aca="false">IF(AND(A1347="",B1347="",C1347=""),"",IF(NOT(ISNUMBER(A1347)),"Enter the date done",IF(OR(B1347="",C1347=""),"Fill in asset and task",IF(SUMPRODUCT(('PM Plan'!$A$5:$A$304=B1347)*('PM Plan'!$B$5:$B$304=C1347))=0,"No matching asset + task in plan","OK"))))</f>
        <v/>
      </c>
    </row>
    <row r="1348" customFormat="false" ht="15" hidden="false" customHeight="false" outlineLevel="0" collapsed="false">
      <c r="A1348" s="14"/>
      <c r="B1348" s="9"/>
      <c r="C1348" s="9"/>
      <c r="D1348" s="9"/>
      <c r="E1348" s="9"/>
      <c r="F1348" s="17" t="str">
        <f aca="false">IF(AND(A1348="",B1348="",C1348=""),"",IF(NOT(ISNUMBER(A1348)),"Enter the date done",IF(OR(B1348="",C1348=""),"Fill in asset and task",IF(SUMPRODUCT(('PM Plan'!$A$5:$A$304=B1348)*('PM Plan'!$B$5:$B$304=C1348))=0,"No matching asset + task in plan","OK"))))</f>
        <v/>
      </c>
    </row>
    <row r="1349" customFormat="false" ht="15" hidden="false" customHeight="false" outlineLevel="0" collapsed="false">
      <c r="A1349" s="14"/>
      <c r="B1349" s="9"/>
      <c r="C1349" s="9"/>
      <c r="D1349" s="9"/>
      <c r="E1349" s="9"/>
      <c r="F1349" s="17" t="str">
        <f aca="false">IF(AND(A1349="",B1349="",C1349=""),"",IF(NOT(ISNUMBER(A1349)),"Enter the date done",IF(OR(B1349="",C1349=""),"Fill in asset and task",IF(SUMPRODUCT(('PM Plan'!$A$5:$A$304=B1349)*('PM Plan'!$B$5:$B$304=C1349))=0,"No matching asset + task in plan","OK"))))</f>
        <v/>
      </c>
    </row>
    <row r="1350" customFormat="false" ht="15" hidden="false" customHeight="false" outlineLevel="0" collapsed="false">
      <c r="A1350" s="14"/>
      <c r="B1350" s="9"/>
      <c r="C1350" s="9"/>
      <c r="D1350" s="9"/>
      <c r="E1350" s="9"/>
      <c r="F1350" s="17" t="str">
        <f aca="false">IF(AND(A1350="",B1350="",C1350=""),"",IF(NOT(ISNUMBER(A1350)),"Enter the date done",IF(OR(B1350="",C1350=""),"Fill in asset and task",IF(SUMPRODUCT(('PM Plan'!$A$5:$A$304=B1350)*('PM Plan'!$B$5:$B$304=C1350))=0,"No matching asset + task in plan","OK"))))</f>
        <v/>
      </c>
    </row>
    <row r="1351" customFormat="false" ht="15" hidden="false" customHeight="false" outlineLevel="0" collapsed="false">
      <c r="A1351" s="14"/>
      <c r="B1351" s="9"/>
      <c r="C1351" s="9"/>
      <c r="D1351" s="9"/>
      <c r="E1351" s="9"/>
      <c r="F1351" s="17" t="str">
        <f aca="false">IF(AND(A1351="",B1351="",C1351=""),"",IF(NOT(ISNUMBER(A1351)),"Enter the date done",IF(OR(B1351="",C1351=""),"Fill in asset and task",IF(SUMPRODUCT(('PM Plan'!$A$5:$A$304=B1351)*('PM Plan'!$B$5:$B$304=C1351))=0,"No matching asset + task in plan","OK"))))</f>
        <v/>
      </c>
    </row>
    <row r="1352" customFormat="false" ht="15" hidden="false" customHeight="false" outlineLevel="0" collapsed="false">
      <c r="A1352" s="14"/>
      <c r="B1352" s="9"/>
      <c r="C1352" s="9"/>
      <c r="D1352" s="9"/>
      <c r="E1352" s="9"/>
      <c r="F1352" s="17" t="str">
        <f aca="false">IF(AND(A1352="",B1352="",C1352=""),"",IF(NOT(ISNUMBER(A1352)),"Enter the date done",IF(OR(B1352="",C1352=""),"Fill in asset and task",IF(SUMPRODUCT(('PM Plan'!$A$5:$A$304=B1352)*('PM Plan'!$B$5:$B$304=C1352))=0,"No matching asset + task in plan","OK"))))</f>
        <v/>
      </c>
    </row>
    <row r="1353" customFormat="false" ht="15" hidden="false" customHeight="false" outlineLevel="0" collapsed="false">
      <c r="A1353" s="14"/>
      <c r="B1353" s="9"/>
      <c r="C1353" s="9"/>
      <c r="D1353" s="9"/>
      <c r="E1353" s="9"/>
      <c r="F1353" s="17" t="str">
        <f aca="false">IF(AND(A1353="",B1353="",C1353=""),"",IF(NOT(ISNUMBER(A1353)),"Enter the date done",IF(OR(B1353="",C1353=""),"Fill in asset and task",IF(SUMPRODUCT(('PM Plan'!$A$5:$A$304=B1353)*('PM Plan'!$B$5:$B$304=C1353))=0,"No matching asset + task in plan","OK"))))</f>
        <v/>
      </c>
    </row>
    <row r="1354" customFormat="false" ht="15" hidden="false" customHeight="false" outlineLevel="0" collapsed="false">
      <c r="A1354" s="14"/>
      <c r="B1354" s="9"/>
      <c r="C1354" s="9"/>
      <c r="D1354" s="9"/>
      <c r="E1354" s="9"/>
      <c r="F1354" s="17" t="str">
        <f aca="false">IF(AND(A1354="",B1354="",C1354=""),"",IF(NOT(ISNUMBER(A1354)),"Enter the date done",IF(OR(B1354="",C1354=""),"Fill in asset and task",IF(SUMPRODUCT(('PM Plan'!$A$5:$A$304=B1354)*('PM Plan'!$B$5:$B$304=C1354))=0,"No matching asset + task in plan","OK"))))</f>
        <v/>
      </c>
    </row>
    <row r="1355" customFormat="false" ht="15" hidden="false" customHeight="false" outlineLevel="0" collapsed="false">
      <c r="A1355" s="14"/>
      <c r="B1355" s="9"/>
      <c r="C1355" s="9"/>
      <c r="D1355" s="9"/>
      <c r="E1355" s="9"/>
      <c r="F1355" s="17" t="str">
        <f aca="false">IF(AND(A1355="",B1355="",C1355=""),"",IF(NOT(ISNUMBER(A1355)),"Enter the date done",IF(OR(B1355="",C1355=""),"Fill in asset and task",IF(SUMPRODUCT(('PM Plan'!$A$5:$A$304=B1355)*('PM Plan'!$B$5:$B$304=C1355))=0,"No matching asset + task in plan","OK"))))</f>
        <v/>
      </c>
    </row>
    <row r="1356" customFormat="false" ht="15" hidden="false" customHeight="false" outlineLevel="0" collapsed="false">
      <c r="A1356" s="14"/>
      <c r="B1356" s="9"/>
      <c r="C1356" s="9"/>
      <c r="D1356" s="9"/>
      <c r="E1356" s="9"/>
      <c r="F1356" s="17" t="str">
        <f aca="false">IF(AND(A1356="",B1356="",C1356=""),"",IF(NOT(ISNUMBER(A1356)),"Enter the date done",IF(OR(B1356="",C1356=""),"Fill in asset and task",IF(SUMPRODUCT(('PM Plan'!$A$5:$A$304=B1356)*('PM Plan'!$B$5:$B$304=C1356))=0,"No matching asset + task in plan","OK"))))</f>
        <v/>
      </c>
    </row>
    <row r="1357" customFormat="false" ht="15" hidden="false" customHeight="false" outlineLevel="0" collapsed="false">
      <c r="A1357" s="14"/>
      <c r="B1357" s="9"/>
      <c r="C1357" s="9"/>
      <c r="D1357" s="9"/>
      <c r="E1357" s="9"/>
      <c r="F1357" s="17" t="str">
        <f aca="false">IF(AND(A1357="",B1357="",C1357=""),"",IF(NOT(ISNUMBER(A1357)),"Enter the date done",IF(OR(B1357="",C1357=""),"Fill in asset and task",IF(SUMPRODUCT(('PM Plan'!$A$5:$A$304=B1357)*('PM Plan'!$B$5:$B$304=C1357))=0,"No matching asset + task in plan","OK"))))</f>
        <v/>
      </c>
    </row>
    <row r="1358" customFormat="false" ht="15" hidden="false" customHeight="false" outlineLevel="0" collapsed="false">
      <c r="A1358" s="14"/>
      <c r="B1358" s="9"/>
      <c r="C1358" s="9"/>
      <c r="D1358" s="9"/>
      <c r="E1358" s="9"/>
      <c r="F1358" s="17" t="str">
        <f aca="false">IF(AND(A1358="",B1358="",C1358=""),"",IF(NOT(ISNUMBER(A1358)),"Enter the date done",IF(OR(B1358="",C1358=""),"Fill in asset and task",IF(SUMPRODUCT(('PM Plan'!$A$5:$A$304=B1358)*('PM Plan'!$B$5:$B$304=C1358))=0,"No matching asset + task in plan","OK"))))</f>
        <v/>
      </c>
    </row>
    <row r="1359" customFormat="false" ht="15" hidden="false" customHeight="false" outlineLevel="0" collapsed="false">
      <c r="A1359" s="14"/>
      <c r="B1359" s="9"/>
      <c r="C1359" s="9"/>
      <c r="D1359" s="9"/>
      <c r="E1359" s="9"/>
      <c r="F1359" s="17" t="str">
        <f aca="false">IF(AND(A1359="",B1359="",C1359=""),"",IF(NOT(ISNUMBER(A1359)),"Enter the date done",IF(OR(B1359="",C1359=""),"Fill in asset and task",IF(SUMPRODUCT(('PM Plan'!$A$5:$A$304=B1359)*('PM Plan'!$B$5:$B$304=C1359))=0,"No matching asset + task in plan","OK"))))</f>
        <v/>
      </c>
    </row>
    <row r="1360" customFormat="false" ht="15" hidden="false" customHeight="false" outlineLevel="0" collapsed="false">
      <c r="A1360" s="14"/>
      <c r="B1360" s="9"/>
      <c r="C1360" s="9"/>
      <c r="D1360" s="9"/>
      <c r="E1360" s="9"/>
      <c r="F1360" s="17" t="str">
        <f aca="false">IF(AND(A1360="",B1360="",C1360=""),"",IF(NOT(ISNUMBER(A1360)),"Enter the date done",IF(OR(B1360="",C1360=""),"Fill in asset and task",IF(SUMPRODUCT(('PM Plan'!$A$5:$A$304=B1360)*('PM Plan'!$B$5:$B$304=C1360))=0,"No matching asset + task in plan","OK"))))</f>
        <v/>
      </c>
    </row>
    <row r="1361" customFormat="false" ht="15" hidden="false" customHeight="false" outlineLevel="0" collapsed="false">
      <c r="A1361" s="14"/>
      <c r="B1361" s="9"/>
      <c r="C1361" s="9"/>
      <c r="D1361" s="9"/>
      <c r="E1361" s="9"/>
      <c r="F1361" s="17" t="str">
        <f aca="false">IF(AND(A1361="",B1361="",C1361=""),"",IF(NOT(ISNUMBER(A1361)),"Enter the date done",IF(OR(B1361="",C1361=""),"Fill in asset and task",IF(SUMPRODUCT(('PM Plan'!$A$5:$A$304=B1361)*('PM Plan'!$B$5:$B$304=C1361))=0,"No matching asset + task in plan","OK"))))</f>
        <v/>
      </c>
    </row>
    <row r="1362" customFormat="false" ht="15" hidden="false" customHeight="false" outlineLevel="0" collapsed="false">
      <c r="A1362" s="14"/>
      <c r="B1362" s="9"/>
      <c r="C1362" s="9"/>
      <c r="D1362" s="9"/>
      <c r="E1362" s="9"/>
      <c r="F1362" s="17" t="str">
        <f aca="false">IF(AND(A1362="",B1362="",C1362=""),"",IF(NOT(ISNUMBER(A1362)),"Enter the date done",IF(OR(B1362="",C1362=""),"Fill in asset and task",IF(SUMPRODUCT(('PM Plan'!$A$5:$A$304=B1362)*('PM Plan'!$B$5:$B$304=C1362))=0,"No matching asset + task in plan","OK"))))</f>
        <v/>
      </c>
    </row>
    <row r="1363" customFormat="false" ht="15" hidden="false" customHeight="false" outlineLevel="0" collapsed="false">
      <c r="A1363" s="14"/>
      <c r="B1363" s="9"/>
      <c r="C1363" s="9"/>
      <c r="D1363" s="9"/>
      <c r="E1363" s="9"/>
      <c r="F1363" s="17" t="str">
        <f aca="false">IF(AND(A1363="",B1363="",C1363=""),"",IF(NOT(ISNUMBER(A1363)),"Enter the date done",IF(OR(B1363="",C1363=""),"Fill in asset and task",IF(SUMPRODUCT(('PM Plan'!$A$5:$A$304=B1363)*('PM Plan'!$B$5:$B$304=C1363))=0,"No matching asset + task in plan","OK"))))</f>
        <v/>
      </c>
    </row>
    <row r="1364" customFormat="false" ht="15" hidden="false" customHeight="false" outlineLevel="0" collapsed="false">
      <c r="A1364" s="14"/>
      <c r="B1364" s="9"/>
      <c r="C1364" s="9"/>
      <c r="D1364" s="9"/>
      <c r="E1364" s="9"/>
      <c r="F1364" s="17" t="str">
        <f aca="false">IF(AND(A1364="",B1364="",C1364=""),"",IF(NOT(ISNUMBER(A1364)),"Enter the date done",IF(OR(B1364="",C1364=""),"Fill in asset and task",IF(SUMPRODUCT(('PM Plan'!$A$5:$A$304=B1364)*('PM Plan'!$B$5:$B$304=C1364))=0,"No matching asset + task in plan","OK"))))</f>
        <v/>
      </c>
    </row>
    <row r="1365" customFormat="false" ht="15" hidden="false" customHeight="false" outlineLevel="0" collapsed="false">
      <c r="A1365" s="14"/>
      <c r="B1365" s="9"/>
      <c r="C1365" s="9"/>
      <c r="D1365" s="9"/>
      <c r="E1365" s="9"/>
      <c r="F1365" s="17" t="str">
        <f aca="false">IF(AND(A1365="",B1365="",C1365=""),"",IF(NOT(ISNUMBER(A1365)),"Enter the date done",IF(OR(B1365="",C1365=""),"Fill in asset and task",IF(SUMPRODUCT(('PM Plan'!$A$5:$A$304=B1365)*('PM Plan'!$B$5:$B$304=C1365))=0,"No matching asset + task in plan","OK"))))</f>
        <v/>
      </c>
    </row>
    <row r="1366" customFormat="false" ht="15" hidden="false" customHeight="false" outlineLevel="0" collapsed="false">
      <c r="A1366" s="14"/>
      <c r="B1366" s="9"/>
      <c r="C1366" s="9"/>
      <c r="D1366" s="9"/>
      <c r="E1366" s="9"/>
      <c r="F1366" s="17" t="str">
        <f aca="false">IF(AND(A1366="",B1366="",C1366=""),"",IF(NOT(ISNUMBER(A1366)),"Enter the date done",IF(OR(B1366="",C1366=""),"Fill in asset and task",IF(SUMPRODUCT(('PM Plan'!$A$5:$A$304=B1366)*('PM Plan'!$B$5:$B$304=C1366))=0,"No matching asset + task in plan","OK"))))</f>
        <v/>
      </c>
    </row>
    <row r="1367" customFormat="false" ht="15" hidden="false" customHeight="false" outlineLevel="0" collapsed="false">
      <c r="A1367" s="14"/>
      <c r="B1367" s="9"/>
      <c r="C1367" s="9"/>
      <c r="D1367" s="9"/>
      <c r="E1367" s="9"/>
      <c r="F1367" s="17" t="str">
        <f aca="false">IF(AND(A1367="",B1367="",C1367=""),"",IF(NOT(ISNUMBER(A1367)),"Enter the date done",IF(OR(B1367="",C1367=""),"Fill in asset and task",IF(SUMPRODUCT(('PM Plan'!$A$5:$A$304=B1367)*('PM Plan'!$B$5:$B$304=C1367))=0,"No matching asset + task in plan","OK"))))</f>
        <v/>
      </c>
    </row>
    <row r="1368" customFormat="false" ht="15" hidden="false" customHeight="false" outlineLevel="0" collapsed="false">
      <c r="A1368" s="14"/>
      <c r="B1368" s="9"/>
      <c r="C1368" s="9"/>
      <c r="D1368" s="9"/>
      <c r="E1368" s="9"/>
      <c r="F1368" s="17" t="str">
        <f aca="false">IF(AND(A1368="",B1368="",C1368=""),"",IF(NOT(ISNUMBER(A1368)),"Enter the date done",IF(OR(B1368="",C1368=""),"Fill in asset and task",IF(SUMPRODUCT(('PM Plan'!$A$5:$A$304=B1368)*('PM Plan'!$B$5:$B$304=C1368))=0,"No matching asset + task in plan","OK"))))</f>
        <v/>
      </c>
    </row>
    <row r="1369" customFormat="false" ht="15" hidden="false" customHeight="false" outlineLevel="0" collapsed="false">
      <c r="A1369" s="14"/>
      <c r="B1369" s="9"/>
      <c r="C1369" s="9"/>
      <c r="D1369" s="9"/>
      <c r="E1369" s="9"/>
      <c r="F1369" s="17" t="str">
        <f aca="false">IF(AND(A1369="",B1369="",C1369=""),"",IF(NOT(ISNUMBER(A1369)),"Enter the date done",IF(OR(B1369="",C1369=""),"Fill in asset and task",IF(SUMPRODUCT(('PM Plan'!$A$5:$A$304=B1369)*('PM Plan'!$B$5:$B$304=C1369))=0,"No matching asset + task in plan","OK"))))</f>
        <v/>
      </c>
    </row>
    <row r="1370" customFormat="false" ht="15" hidden="false" customHeight="false" outlineLevel="0" collapsed="false">
      <c r="A1370" s="14"/>
      <c r="B1370" s="9"/>
      <c r="C1370" s="9"/>
      <c r="D1370" s="9"/>
      <c r="E1370" s="9"/>
      <c r="F1370" s="17" t="str">
        <f aca="false">IF(AND(A1370="",B1370="",C1370=""),"",IF(NOT(ISNUMBER(A1370)),"Enter the date done",IF(OR(B1370="",C1370=""),"Fill in asset and task",IF(SUMPRODUCT(('PM Plan'!$A$5:$A$304=B1370)*('PM Plan'!$B$5:$B$304=C1370))=0,"No matching asset + task in plan","OK"))))</f>
        <v/>
      </c>
    </row>
    <row r="1371" customFormat="false" ht="15" hidden="false" customHeight="false" outlineLevel="0" collapsed="false">
      <c r="A1371" s="14"/>
      <c r="B1371" s="9"/>
      <c r="C1371" s="9"/>
      <c r="D1371" s="9"/>
      <c r="E1371" s="9"/>
      <c r="F1371" s="17" t="str">
        <f aca="false">IF(AND(A1371="",B1371="",C1371=""),"",IF(NOT(ISNUMBER(A1371)),"Enter the date done",IF(OR(B1371="",C1371=""),"Fill in asset and task",IF(SUMPRODUCT(('PM Plan'!$A$5:$A$304=B1371)*('PM Plan'!$B$5:$B$304=C1371))=0,"No matching asset + task in plan","OK"))))</f>
        <v/>
      </c>
    </row>
    <row r="1372" customFormat="false" ht="15" hidden="false" customHeight="false" outlineLevel="0" collapsed="false">
      <c r="A1372" s="14"/>
      <c r="B1372" s="9"/>
      <c r="C1372" s="9"/>
      <c r="D1372" s="9"/>
      <c r="E1372" s="9"/>
      <c r="F1372" s="17" t="str">
        <f aca="false">IF(AND(A1372="",B1372="",C1372=""),"",IF(NOT(ISNUMBER(A1372)),"Enter the date done",IF(OR(B1372="",C1372=""),"Fill in asset and task",IF(SUMPRODUCT(('PM Plan'!$A$5:$A$304=B1372)*('PM Plan'!$B$5:$B$304=C1372))=0,"No matching asset + task in plan","OK"))))</f>
        <v/>
      </c>
    </row>
    <row r="1373" customFormat="false" ht="15" hidden="false" customHeight="false" outlineLevel="0" collapsed="false">
      <c r="A1373" s="14"/>
      <c r="B1373" s="9"/>
      <c r="C1373" s="9"/>
      <c r="D1373" s="9"/>
      <c r="E1373" s="9"/>
      <c r="F1373" s="17" t="str">
        <f aca="false">IF(AND(A1373="",B1373="",C1373=""),"",IF(NOT(ISNUMBER(A1373)),"Enter the date done",IF(OR(B1373="",C1373=""),"Fill in asset and task",IF(SUMPRODUCT(('PM Plan'!$A$5:$A$304=B1373)*('PM Plan'!$B$5:$B$304=C1373))=0,"No matching asset + task in plan","OK"))))</f>
        <v/>
      </c>
    </row>
    <row r="1374" customFormat="false" ht="15" hidden="false" customHeight="false" outlineLevel="0" collapsed="false">
      <c r="A1374" s="14"/>
      <c r="B1374" s="9"/>
      <c r="C1374" s="9"/>
      <c r="D1374" s="9"/>
      <c r="E1374" s="9"/>
      <c r="F1374" s="17" t="str">
        <f aca="false">IF(AND(A1374="",B1374="",C1374=""),"",IF(NOT(ISNUMBER(A1374)),"Enter the date done",IF(OR(B1374="",C1374=""),"Fill in asset and task",IF(SUMPRODUCT(('PM Plan'!$A$5:$A$304=B1374)*('PM Plan'!$B$5:$B$304=C1374))=0,"No matching asset + task in plan","OK"))))</f>
        <v/>
      </c>
    </row>
    <row r="1375" customFormat="false" ht="15" hidden="false" customHeight="false" outlineLevel="0" collapsed="false">
      <c r="A1375" s="14"/>
      <c r="B1375" s="9"/>
      <c r="C1375" s="9"/>
      <c r="D1375" s="9"/>
      <c r="E1375" s="9"/>
      <c r="F1375" s="17" t="str">
        <f aca="false">IF(AND(A1375="",B1375="",C1375=""),"",IF(NOT(ISNUMBER(A1375)),"Enter the date done",IF(OR(B1375="",C1375=""),"Fill in asset and task",IF(SUMPRODUCT(('PM Plan'!$A$5:$A$304=B1375)*('PM Plan'!$B$5:$B$304=C1375))=0,"No matching asset + task in plan","OK"))))</f>
        <v/>
      </c>
    </row>
    <row r="1376" customFormat="false" ht="15" hidden="false" customHeight="false" outlineLevel="0" collapsed="false">
      <c r="A1376" s="14"/>
      <c r="B1376" s="9"/>
      <c r="C1376" s="9"/>
      <c r="D1376" s="9"/>
      <c r="E1376" s="9"/>
      <c r="F1376" s="17" t="str">
        <f aca="false">IF(AND(A1376="",B1376="",C1376=""),"",IF(NOT(ISNUMBER(A1376)),"Enter the date done",IF(OR(B1376="",C1376=""),"Fill in asset and task",IF(SUMPRODUCT(('PM Plan'!$A$5:$A$304=B1376)*('PM Plan'!$B$5:$B$304=C1376))=0,"No matching asset + task in plan","OK"))))</f>
        <v/>
      </c>
    </row>
    <row r="1377" customFormat="false" ht="15" hidden="false" customHeight="false" outlineLevel="0" collapsed="false">
      <c r="A1377" s="14"/>
      <c r="B1377" s="9"/>
      <c r="C1377" s="9"/>
      <c r="D1377" s="9"/>
      <c r="E1377" s="9"/>
      <c r="F1377" s="17" t="str">
        <f aca="false">IF(AND(A1377="",B1377="",C1377=""),"",IF(NOT(ISNUMBER(A1377)),"Enter the date done",IF(OR(B1377="",C1377=""),"Fill in asset and task",IF(SUMPRODUCT(('PM Plan'!$A$5:$A$304=B1377)*('PM Plan'!$B$5:$B$304=C1377))=0,"No matching asset + task in plan","OK"))))</f>
        <v/>
      </c>
    </row>
    <row r="1378" customFormat="false" ht="15" hidden="false" customHeight="false" outlineLevel="0" collapsed="false">
      <c r="A1378" s="14"/>
      <c r="B1378" s="9"/>
      <c r="C1378" s="9"/>
      <c r="D1378" s="9"/>
      <c r="E1378" s="9"/>
      <c r="F1378" s="17" t="str">
        <f aca="false">IF(AND(A1378="",B1378="",C1378=""),"",IF(NOT(ISNUMBER(A1378)),"Enter the date done",IF(OR(B1378="",C1378=""),"Fill in asset and task",IF(SUMPRODUCT(('PM Plan'!$A$5:$A$304=B1378)*('PM Plan'!$B$5:$B$304=C1378))=0,"No matching asset + task in plan","OK"))))</f>
        <v/>
      </c>
    </row>
    <row r="1379" customFormat="false" ht="15" hidden="false" customHeight="false" outlineLevel="0" collapsed="false">
      <c r="A1379" s="14"/>
      <c r="B1379" s="9"/>
      <c r="C1379" s="9"/>
      <c r="D1379" s="9"/>
      <c r="E1379" s="9"/>
      <c r="F1379" s="17" t="str">
        <f aca="false">IF(AND(A1379="",B1379="",C1379=""),"",IF(NOT(ISNUMBER(A1379)),"Enter the date done",IF(OR(B1379="",C1379=""),"Fill in asset and task",IF(SUMPRODUCT(('PM Plan'!$A$5:$A$304=B1379)*('PM Plan'!$B$5:$B$304=C1379))=0,"No matching asset + task in plan","OK"))))</f>
        <v/>
      </c>
    </row>
    <row r="1380" customFormat="false" ht="15" hidden="false" customHeight="false" outlineLevel="0" collapsed="false">
      <c r="A1380" s="14"/>
      <c r="B1380" s="9"/>
      <c r="C1380" s="9"/>
      <c r="D1380" s="9"/>
      <c r="E1380" s="9"/>
      <c r="F1380" s="17" t="str">
        <f aca="false">IF(AND(A1380="",B1380="",C1380=""),"",IF(NOT(ISNUMBER(A1380)),"Enter the date done",IF(OR(B1380="",C1380=""),"Fill in asset and task",IF(SUMPRODUCT(('PM Plan'!$A$5:$A$304=B1380)*('PM Plan'!$B$5:$B$304=C1380))=0,"No matching asset + task in plan","OK"))))</f>
        <v/>
      </c>
    </row>
    <row r="1381" customFormat="false" ht="15" hidden="false" customHeight="false" outlineLevel="0" collapsed="false">
      <c r="A1381" s="14"/>
      <c r="B1381" s="9"/>
      <c r="C1381" s="9"/>
      <c r="D1381" s="9"/>
      <c r="E1381" s="9"/>
      <c r="F1381" s="17" t="str">
        <f aca="false">IF(AND(A1381="",B1381="",C1381=""),"",IF(NOT(ISNUMBER(A1381)),"Enter the date done",IF(OR(B1381="",C1381=""),"Fill in asset and task",IF(SUMPRODUCT(('PM Plan'!$A$5:$A$304=B1381)*('PM Plan'!$B$5:$B$304=C1381))=0,"No matching asset + task in plan","OK"))))</f>
        <v/>
      </c>
    </row>
    <row r="1382" customFormat="false" ht="15" hidden="false" customHeight="false" outlineLevel="0" collapsed="false">
      <c r="A1382" s="14"/>
      <c r="B1382" s="9"/>
      <c r="C1382" s="9"/>
      <c r="D1382" s="9"/>
      <c r="E1382" s="9"/>
      <c r="F1382" s="17" t="str">
        <f aca="false">IF(AND(A1382="",B1382="",C1382=""),"",IF(NOT(ISNUMBER(A1382)),"Enter the date done",IF(OR(B1382="",C1382=""),"Fill in asset and task",IF(SUMPRODUCT(('PM Plan'!$A$5:$A$304=B1382)*('PM Plan'!$B$5:$B$304=C1382))=0,"No matching asset + task in plan","OK"))))</f>
        <v/>
      </c>
    </row>
    <row r="1383" customFormat="false" ht="15" hidden="false" customHeight="false" outlineLevel="0" collapsed="false">
      <c r="A1383" s="14"/>
      <c r="B1383" s="9"/>
      <c r="C1383" s="9"/>
      <c r="D1383" s="9"/>
      <c r="E1383" s="9"/>
      <c r="F1383" s="17" t="str">
        <f aca="false">IF(AND(A1383="",B1383="",C1383=""),"",IF(NOT(ISNUMBER(A1383)),"Enter the date done",IF(OR(B1383="",C1383=""),"Fill in asset and task",IF(SUMPRODUCT(('PM Plan'!$A$5:$A$304=B1383)*('PM Plan'!$B$5:$B$304=C1383))=0,"No matching asset + task in plan","OK"))))</f>
        <v/>
      </c>
    </row>
    <row r="1384" customFormat="false" ht="15" hidden="false" customHeight="false" outlineLevel="0" collapsed="false">
      <c r="A1384" s="14"/>
      <c r="B1384" s="9"/>
      <c r="C1384" s="9"/>
      <c r="D1384" s="9"/>
      <c r="E1384" s="9"/>
      <c r="F1384" s="17" t="str">
        <f aca="false">IF(AND(A1384="",B1384="",C1384=""),"",IF(NOT(ISNUMBER(A1384)),"Enter the date done",IF(OR(B1384="",C1384=""),"Fill in asset and task",IF(SUMPRODUCT(('PM Plan'!$A$5:$A$304=B1384)*('PM Plan'!$B$5:$B$304=C1384))=0,"No matching asset + task in plan","OK"))))</f>
        <v/>
      </c>
    </row>
    <row r="1385" customFormat="false" ht="15" hidden="false" customHeight="false" outlineLevel="0" collapsed="false">
      <c r="A1385" s="14"/>
      <c r="B1385" s="9"/>
      <c r="C1385" s="9"/>
      <c r="D1385" s="9"/>
      <c r="E1385" s="9"/>
      <c r="F1385" s="17" t="str">
        <f aca="false">IF(AND(A1385="",B1385="",C1385=""),"",IF(NOT(ISNUMBER(A1385)),"Enter the date done",IF(OR(B1385="",C1385=""),"Fill in asset and task",IF(SUMPRODUCT(('PM Plan'!$A$5:$A$304=B1385)*('PM Plan'!$B$5:$B$304=C1385))=0,"No matching asset + task in plan","OK"))))</f>
        <v/>
      </c>
    </row>
    <row r="1386" customFormat="false" ht="15" hidden="false" customHeight="false" outlineLevel="0" collapsed="false">
      <c r="A1386" s="14"/>
      <c r="B1386" s="9"/>
      <c r="C1386" s="9"/>
      <c r="D1386" s="9"/>
      <c r="E1386" s="9"/>
      <c r="F1386" s="17" t="str">
        <f aca="false">IF(AND(A1386="",B1386="",C1386=""),"",IF(NOT(ISNUMBER(A1386)),"Enter the date done",IF(OR(B1386="",C1386=""),"Fill in asset and task",IF(SUMPRODUCT(('PM Plan'!$A$5:$A$304=B1386)*('PM Plan'!$B$5:$B$304=C1386))=0,"No matching asset + task in plan","OK"))))</f>
        <v/>
      </c>
    </row>
    <row r="1387" customFormat="false" ht="15" hidden="false" customHeight="false" outlineLevel="0" collapsed="false">
      <c r="A1387" s="14"/>
      <c r="B1387" s="9"/>
      <c r="C1387" s="9"/>
      <c r="D1387" s="9"/>
      <c r="E1387" s="9"/>
      <c r="F1387" s="17" t="str">
        <f aca="false">IF(AND(A1387="",B1387="",C1387=""),"",IF(NOT(ISNUMBER(A1387)),"Enter the date done",IF(OR(B1387="",C1387=""),"Fill in asset and task",IF(SUMPRODUCT(('PM Plan'!$A$5:$A$304=B1387)*('PM Plan'!$B$5:$B$304=C1387))=0,"No matching asset + task in plan","OK"))))</f>
        <v/>
      </c>
    </row>
    <row r="1388" customFormat="false" ht="15" hidden="false" customHeight="false" outlineLevel="0" collapsed="false">
      <c r="A1388" s="14"/>
      <c r="B1388" s="9"/>
      <c r="C1388" s="9"/>
      <c r="D1388" s="9"/>
      <c r="E1388" s="9"/>
      <c r="F1388" s="17" t="str">
        <f aca="false">IF(AND(A1388="",B1388="",C1388=""),"",IF(NOT(ISNUMBER(A1388)),"Enter the date done",IF(OR(B1388="",C1388=""),"Fill in asset and task",IF(SUMPRODUCT(('PM Plan'!$A$5:$A$304=B1388)*('PM Plan'!$B$5:$B$304=C1388))=0,"No matching asset + task in plan","OK"))))</f>
        <v/>
      </c>
    </row>
    <row r="1389" customFormat="false" ht="15" hidden="false" customHeight="false" outlineLevel="0" collapsed="false">
      <c r="A1389" s="14"/>
      <c r="B1389" s="9"/>
      <c r="C1389" s="9"/>
      <c r="D1389" s="9"/>
      <c r="E1389" s="9"/>
      <c r="F1389" s="17" t="str">
        <f aca="false">IF(AND(A1389="",B1389="",C1389=""),"",IF(NOT(ISNUMBER(A1389)),"Enter the date done",IF(OR(B1389="",C1389=""),"Fill in asset and task",IF(SUMPRODUCT(('PM Plan'!$A$5:$A$304=B1389)*('PM Plan'!$B$5:$B$304=C1389))=0,"No matching asset + task in plan","OK"))))</f>
        <v/>
      </c>
    </row>
    <row r="1390" customFormat="false" ht="15" hidden="false" customHeight="false" outlineLevel="0" collapsed="false">
      <c r="A1390" s="14"/>
      <c r="B1390" s="9"/>
      <c r="C1390" s="9"/>
      <c r="D1390" s="9"/>
      <c r="E1390" s="9"/>
      <c r="F1390" s="17" t="str">
        <f aca="false">IF(AND(A1390="",B1390="",C1390=""),"",IF(NOT(ISNUMBER(A1390)),"Enter the date done",IF(OR(B1390="",C1390=""),"Fill in asset and task",IF(SUMPRODUCT(('PM Plan'!$A$5:$A$304=B1390)*('PM Plan'!$B$5:$B$304=C1390))=0,"No matching asset + task in plan","OK"))))</f>
        <v/>
      </c>
    </row>
    <row r="1391" customFormat="false" ht="15" hidden="false" customHeight="false" outlineLevel="0" collapsed="false">
      <c r="A1391" s="14"/>
      <c r="B1391" s="9"/>
      <c r="C1391" s="9"/>
      <c r="D1391" s="9"/>
      <c r="E1391" s="9"/>
      <c r="F1391" s="17" t="str">
        <f aca="false">IF(AND(A1391="",B1391="",C1391=""),"",IF(NOT(ISNUMBER(A1391)),"Enter the date done",IF(OR(B1391="",C1391=""),"Fill in asset and task",IF(SUMPRODUCT(('PM Plan'!$A$5:$A$304=B1391)*('PM Plan'!$B$5:$B$304=C1391))=0,"No matching asset + task in plan","OK"))))</f>
        <v/>
      </c>
    </row>
    <row r="1392" customFormat="false" ht="15" hidden="false" customHeight="false" outlineLevel="0" collapsed="false">
      <c r="A1392" s="14"/>
      <c r="B1392" s="9"/>
      <c r="C1392" s="9"/>
      <c r="D1392" s="9"/>
      <c r="E1392" s="9"/>
      <c r="F1392" s="17" t="str">
        <f aca="false">IF(AND(A1392="",B1392="",C1392=""),"",IF(NOT(ISNUMBER(A1392)),"Enter the date done",IF(OR(B1392="",C1392=""),"Fill in asset and task",IF(SUMPRODUCT(('PM Plan'!$A$5:$A$304=B1392)*('PM Plan'!$B$5:$B$304=C1392))=0,"No matching asset + task in plan","OK"))))</f>
        <v/>
      </c>
    </row>
    <row r="1393" customFormat="false" ht="15" hidden="false" customHeight="false" outlineLevel="0" collapsed="false">
      <c r="A1393" s="14"/>
      <c r="B1393" s="9"/>
      <c r="C1393" s="9"/>
      <c r="D1393" s="9"/>
      <c r="E1393" s="9"/>
      <c r="F1393" s="17" t="str">
        <f aca="false">IF(AND(A1393="",B1393="",C1393=""),"",IF(NOT(ISNUMBER(A1393)),"Enter the date done",IF(OR(B1393="",C1393=""),"Fill in asset and task",IF(SUMPRODUCT(('PM Plan'!$A$5:$A$304=B1393)*('PM Plan'!$B$5:$B$304=C1393))=0,"No matching asset + task in plan","OK"))))</f>
        <v/>
      </c>
    </row>
    <row r="1394" customFormat="false" ht="15" hidden="false" customHeight="false" outlineLevel="0" collapsed="false">
      <c r="A1394" s="14"/>
      <c r="B1394" s="9"/>
      <c r="C1394" s="9"/>
      <c r="D1394" s="9"/>
      <c r="E1394" s="9"/>
      <c r="F1394" s="17" t="str">
        <f aca="false">IF(AND(A1394="",B1394="",C1394=""),"",IF(NOT(ISNUMBER(A1394)),"Enter the date done",IF(OR(B1394="",C1394=""),"Fill in asset and task",IF(SUMPRODUCT(('PM Plan'!$A$5:$A$304=B1394)*('PM Plan'!$B$5:$B$304=C1394))=0,"No matching asset + task in plan","OK"))))</f>
        <v/>
      </c>
    </row>
    <row r="1395" customFormat="false" ht="15" hidden="false" customHeight="false" outlineLevel="0" collapsed="false">
      <c r="A1395" s="14"/>
      <c r="B1395" s="9"/>
      <c r="C1395" s="9"/>
      <c r="D1395" s="9"/>
      <c r="E1395" s="9"/>
      <c r="F1395" s="17" t="str">
        <f aca="false">IF(AND(A1395="",B1395="",C1395=""),"",IF(NOT(ISNUMBER(A1395)),"Enter the date done",IF(OR(B1395="",C1395=""),"Fill in asset and task",IF(SUMPRODUCT(('PM Plan'!$A$5:$A$304=B1395)*('PM Plan'!$B$5:$B$304=C1395))=0,"No matching asset + task in plan","OK"))))</f>
        <v/>
      </c>
    </row>
    <row r="1396" customFormat="false" ht="15" hidden="false" customHeight="false" outlineLevel="0" collapsed="false">
      <c r="A1396" s="14"/>
      <c r="B1396" s="9"/>
      <c r="C1396" s="9"/>
      <c r="D1396" s="9"/>
      <c r="E1396" s="9"/>
      <c r="F1396" s="17" t="str">
        <f aca="false">IF(AND(A1396="",B1396="",C1396=""),"",IF(NOT(ISNUMBER(A1396)),"Enter the date done",IF(OR(B1396="",C1396=""),"Fill in asset and task",IF(SUMPRODUCT(('PM Plan'!$A$5:$A$304=B1396)*('PM Plan'!$B$5:$B$304=C1396))=0,"No matching asset + task in plan","OK"))))</f>
        <v/>
      </c>
    </row>
    <row r="1397" customFormat="false" ht="15" hidden="false" customHeight="false" outlineLevel="0" collapsed="false">
      <c r="A1397" s="14"/>
      <c r="B1397" s="9"/>
      <c r="C1397" s="9"/>
      <c r="D1397" s="9"/>
      <c r="E1397" s="9"/>
      <c r="F1397" s="17" t="str">
        <f aca="false">IF(AND(A1397="",B1397="",C1397=""),"",IF(NOT(ISNUMBER(A1397)),"Enter the date done",IF(OR(B1397="",C1397=""),"Fill in asset and task",IF(SUMPRODUCT(('PM Plan'!$A$5:$A$304=B1397)*('PM Plan'!$B$5:$B$304=C1397))=0,"No matching asset + task in plan","OK"))))</f>
        <v/>
      </c>
    </row>
    <row r="1398" customFormat="false" ht="15" hidden="false" customHeight="false" outlineLevel="0" collapsed="false">
      <c r="A1398" s="14"/>
      <c r="B1398" s="9"/>
      <c r="C1398" s="9"/>
      <c r="D1398" s="9"/>
      <c r="E1398" s="9"/>
      <c r="F1398" s="17" t="str">
        <f aca="false">IF(AND(A1398="",B1398="",C1398=""),"",IF(NOT(ISNUMBER(A1398)),"Enter the date done",IF(OR(B1398="",C1398=""),"Fill in asset and task",IF(SUMPRODUCT(('PM Plan'!$A$5:$A$304=B1398)*('PM Plan'!$B$5:$B$304=C1398))=0,"No matching asset + task in plan","OK"))))</f>
        <v/>
      </c>
    </row>
    <row r="1399" customFormat="false" ht="15" hidden="false" customHeight="false" outlineLevel="0" collapsed="false">
      <c r="A1399" s="14"/>
      <c r="B1399" s="9"/>
      <c r="C1399" s="9"/>
      <c r="D1399" s="9"/>
      <c r="E1399" s="9"/>
      <c r="F1399" s="17" t="str">
        <f aca="false">IF(AND(A1399="",B1399="",C1399=""),"",IF(NOT(ISNUMBER(A1399)),"Enter the date done",IF(OR(B1399="",C1399=""),"Fill in asset and task",IF(SUMPRODUCT(('PM Plan'!$A$5:$A$304=B1399)*('PM Plan'!$B$5:$B$304=C1399))=0,"No matching asset + task in plan","OK"))))</f>
        <v/>
      </c>
    </row>
    <row r="1400" customFormat="false" ht="15" hidden="false" customHeight="false" outlineLevel="0" collapsed="false">
      <c r="A1400" s="14"/>
      <c r="B1400" s="9"/>
      <c r="C1400" s="9"/>
      <c r="D1400" s="9"/>
      <c r="E1400" s="9"/>
      <c r="F1400" s="17" t="str">
        <f aca="false">IF(AND(A1400="",B1400="",C1400=""),"",IF(NOT(ISNUMBER(A1400)),"Enter the date done",IF(OR(B1400="",C1400=""),"Fill in asset and task",IF(SUMPRODUCT(('PM Plan'!$A$5:$A$304=B1400)*('PM Plan'!$B$5:$B$304=C1400))=0,"No matching asset + task in plan","OK"))))</f>
        <v/>
      </c>
    </row>
    <row r="1401" customFormat="false" ht="15" hidden="false" customHeight="false" outlineLevel="0" collapsed="false">
      <c r="A1401" s="14"/>
      <c r="B1401" s="9"/>
      <c r="C1401" s="9"/>
      <c r="D1401" s="9"/>
      <c r="E1401" s="9"/>
      <c r="F1401" s="17" t="str">
        <f aca="false">IF(AND(A1401="",B1401="",C1401=""),"",IF(NOT(ISNUMBER(A1401)),"Enter the date done",IF(OR(B1401="",C1401=""),"Fill in asset and task",IF(SUMPRODUCT(('PM Plan'!$A$5:$A$304=B1401)*('PM Plan'!$B$5:$B$304=C1401))=0,"No matching asset + task in plan","OK"))))</f>
        <v/>
      </c>
    </row>
    <row r="1402" customFormat="false" ht="15" hidden="false" customHeight="false" outlineLevel="0" collapsed="false">
      <c r="A1402" s="14"/>
      <c r="B1402" s="9"/>
      <c r="C1402" s="9"/>
      <c r="D1402" s="9"/>
      <c r="E1402" s="9"/>
      <c r="F1402" s="17" t="str">
        <f aca="false">IF(AND(A1402="",B1402="",C1402=""),"",IF(NOT(ISNUMBER(A1402)),"Enter the date done",IF(OR(B1402="",C1402=""),"Fill in asset and task",IF(SUMPRODUCT(('PM Plan'!$A$5:$A$304=B1402)*('PM Plan'!$B$5:$B$304=C1402))=0,"No matching asset + task in plan","OK"))))</f>
        <v/>
      </c>
    </row>
    <row r="1403" customFormat="false" ht="15" hidden="false" customHeight="false" outlineLevel="0" collapsed="false">
      <c r="A1403" s="14"/>
      <c r="B1403" s="9"/>
      <c r="C1403" s="9"/>
      <c r="D1403" s="9"/>
      <c r="E1403" s="9"/>
      <c r="F1403" s="17" t="str">
        <f aca="false">IF(AND(A1403="",B1403="",C1403=""),"",IF(NOT(ISNUMBER(A1403)),"Enter the date done",IF(OR(B1403="",C1403=""),"Fill in asset and task",IF(SUMPRODUCT(('PM Plan'!$A$5:$A$304=B1403)*('PM Plan'!$B$5:$B$304=C1403))=0,"No matching asset + task in plan","OK"))))</f>
        <v/>
      </c>
    </row>
    <row r="1404" customFormat="false" ht="15" hidden="false" customHeight="false" outlineLevel="0" collapsed="false">
      <c r="A1404" s="14"/>
      <c r="B1404" s="9"/>
      <c r="C1404" s="9"/>
      <c r="D1404" s="9"/>
      <c r="E1404" s="9"/>
      <c r="F1404" s="17" t="str">
        <f aca="false">IF(AND(A1404="",B1404="",C1404=""),"",IF(NOT(ISNUMBER(A1404)),"Enter the date done",IF(OR(B1404="",C1404=""),"Fill in asset and task",IF(SUMPRODUCT(('PM Plan'!$A$5:$A$304=B1404)*('PM Plan'!$B$5:$B$304=C1404))=0,"No matching asset + task in plan","OK"))))</f>
        <v/>
      </c>
    </row>
    <row r="1405" customFormat="false" ht="15" hidden="false" customHeight="false" outlineLevel="0" collapsed="false">
      <c r="A1405" s="14"/>
      <c r="B1405" s="9"/>
      <c r="C1405" s="9"/>
      <c r="D1405" s="9"/>
      <c r="E1405" s="9"/>
      <c r="F1405" s="17" t="str">
        <f aca="false">IF(AND(A1405="",B1405="",C1405=""),"",IF(NOT(ISNUMBER(A1405)),"Enter the date done",IF(OR(B1405="",C1405=""),"Fill in asset and task",IF(SUMPRODUCT(('PM Plan'!$A$5:$A$304=B1405)*('PM Plan'!$B$5:$B$304=C1405))=0,"No matching asset + task in plan","OK"))))</f>
        <v/>
      </c>
    </row>
    <row r="1406" customFormat="false" ht="15" hidden="false" customHeight="false" outlineLevel="0" collapsed="false">
      <c r="A1406" s="14"/>
      <c r="B1406" s="9"/>
      <c r="C1406" s="9"/>
      <c r="D1406" s="9"/>
      <c r="E1406" s="9"/>
      <c r="F1406" s="17" t="str">
        <f aca="false">IF(AND(A1406="",B1406="",C1406=""),"",IF(NOT(ISNUMBER(A1406)),"Enter the date done",IF(OR(B1406="",C1406=""),"Fill in asset and task",IF(SUMPRODUCT(('PM Plan'!$A$5:$A$304=B1406)*('PM Plan'!$B$5:$B$304=C1406))=0,"No matching asset + task in plan","OK"))))</f>
        <v/>
      </c>
    </row>
    <row r="1407" customFormat="false" ht="15" hidden="false" customHeight="false" outlineLevel="0" collapsed="false">
      <c r="A1407" s="14"/>
      <c r="B1407" s="9"/>
      <c r="C1407" s="9"/>
      <c r="D1407" s="9"/>
      <c r="E1407" s="9"/>
      <c r="F1407" s="17" t="str">
        <f aca="false">IF(AND(A1407="",B1407="",C1407=""),"",IF(NOT(ISNUMBER(A1407)),"Enter the date done",IF(OR(B1407="",C1407=""),"Fill in asset and task",IF(SUMPRODUCT(('PM Plan'!$A$5:$A$304=B1407)*('PM Plan'!$B$5:$B$304=C1407))=0,"No matching asset + task in plan","OK"))))</f>
        <v/>
      </c>
    </row>
    <row r="1408" customFormat="false" ht="15" hidden="false" customHeight="false" outlineLevel="0" collapsed="false">
      <c r="A1408" s="14"/>
      <c r="B1408" s="9"/>
      <c r="C1408" s="9"/>
      <c r="D1408" s="9"/>
      <c r="E1408" s="9"/>
      <c r="F1408" s="17" t="str">
        <f aca="false">IF(AND(A1408="",B1408="",C1408=""),"",IF(NOT(ISNUMBER(A1408)),"Enter the date done",IF(OR(B1408="",C1408=""),"Fill in asset and task",IF(SUMPRODUCT(('PM Plan'!$A$5:$A$304=B1408)*('PM Plan'!$B$5:$B$304=C1408))=0,"No matching asset + task in plan","OK"))))</f>
        <v/>
      </c>
    </row>
    <row r="1409" customFormat="false" ht="15" hidden="false" customHeight="false" outlineLevel="0" collapsed="false">
      <c r="A1409" s="14"/>
      <c r="B1409" s="9"/>
      <c r="C1409" s="9"/>
      <c r="D1409" s="9"/>
      <c r="E1409" s="9"/>
      <c r="F1409" s="17" t="str">
        <f aca="false">IF(AND(A1409="",B1409="",C1409=""),"",IF(NOT(ISNUMBER(A1409)),"Enter the date done",IF(OR(B1409="",C1409=""),"Fill in asset and task",IF(SUMPRODUCT(('PM Plan'!$A$5:$A$304=B1409)*('PM Plan'!$B$5:$B$304=C1409))=0,"No matching asset + task in plan","OK"))))</f>
        <v/>
      </c>
    </row>
    <row r="1410" customFormat="false" ht="15" hidden="false" customHeight="false" outlineLevel="0" collapsed="false">
      <c r="A1410" s="14"/>
      <c r="B1410" s="9"/>
      <c r="C1410" s="9"/>
      <c r="D1410" s="9"/>
      <c r="E1410" s="9"/>
      <c r="F1410" s="17" t="str">
        <f aca="false">IF(AND(A1410="",B1410="",C1410=""),"",IF(NOT(ISNUMBER(A1410)),"Enter the date done",IF(OR(B1410="",C1410=""),"Fill in asset and task",IF(SUMPRODUCT(('PM Plan'!$A$5:$A$304=B1410)*('PM Plan'!$B$5:$B$304=C1410))=0,"No matching asset + task in plan","OK"))))</f>
        <v/>
      </c>
    </row>
    <row r="1411" customFormat="false" ht="15" hidden="false" customHeight="false" outlineLevel="0" collapsed="false">
      <c r="A1411" s="14"/>
      <c r="B1411" s="9"/>
      <c r="C1411" s="9"/>
      <c r="D1411" s="9"/>
      <c r="E1411" s="9"/>
      <c r="F1411" s="17" t="str">
        <f aca="false">IF(AND(A1411="",B1411="",C1411=""),"",IF(NOT(ISNUMBER(A1411)),"Enter the date done",IF(OR(B1411="",C1411=""),"Fill in asset and task",IF(SUMPRODUCT(('PM Plan'!$A$5:$A$304=B1411)*('PM Plan'!$B$5:$B$304=C1411))=0,"No matching asset + task in plan","OK"))))</f>
        <v/>
      </c>
    </row>
    <row r="1412" customFormat="false" ht="15" hidden="false" customHeight="false" outlineLevel="0" collapsed="false">
      <c r="A1412" s="14"/>
      <c r="B1412" s="9"/>
      <c r="C1412" s="9"/>
      <c r="D1412" s="9"/>
      <c r="E1412" s="9"/>
      <c r="F1412" s="17" t="str">
        <f aca="false">IF(AND(A1412="",B1412="",C1412=""),"",IF(NOT(ISNUMBER(A1412)),"Enter the date done",IF(OR(B1412="",C1412=""),"Fill in asset and task",IF(SUMPRODUCT(('PM Plan'!$A$5:$A$304=B1412)*('PM Plan'!$B$5:$B$304=C1412))=0,"No matching asset + task in plan","OK"))))</f>
        <v/>
      </c>
    </row>
    <row r="1413" customFormat="false" ht="15" hidden="false" customHeight="false" outlineLevel="0" collapsed="false">
      <c r="A1413" s="14"/>
      <c r="B1413" s="9"/>
      <c r="C1413" s="9"/>
      <c r="D1413" s="9"/>
      <c r="E1413" s="9"/>
      <c r="F1413" s="17" t="str">
        <f aca="false">IF(AND(A1413="",B1413="",C1413=""),"",IF(NOT(ISNUMBER(A1413)),"Enter the date done",IF(OR(B1413="",C1413=""),"Fill in asset and task",IF(SUMPRODUCT(('PM Plan'!$A$5:$A$304=B1413)*('PM Plan'!$B$5:$B$304=C1413))=0,"No matching asset + task in plan","OK"))))</f>
        <v/>
      </c>
    </row>
    <row r="1414" customFormat="false" ht="15" hidden="false" customHeight="false" outlineLevel="0" collapsed="false">
      <c r="A1414" s="14"/>
      <c r="B1414" s="9"/>
      <c r="C1414" s="9"/>
      <c r="D1414" s="9"/>
      <c r="E1414" s="9"/>
      <c r="F1414" s="17" t="str">
        <f aca="false">IF(AND(A1414="",B1414="",C1414=""),"",IF(NOT(ISNUMBER(A1414)),"Enter the date done",IF(OR(B1414="",C1414=""),"Fill in asset and task",IF(SUMPRODUCT(('PM Plan'!$A$5:$A$304=B1414)*('PM Plan'!$B$5:$B$304=C1414))=0,"No matching asset + task in plan","OK"))))</f>
        <v/>
      </c>
    </row>
    <row r="1415" customFormat="false" ht="15" hidden="false" customHeight="false" outlineLevel="0" collapsed="false">
      <c r="A1415" s="14"/>
      <c r="B1415" s="9"/>
      <c r="C1415" s="9"/>
      <c r="D1415" s="9"/>
      <c r="E1415" s="9"/>
      <c r="F1415" s="17" t="str">
        <f aca="false">IF(AND(A1415="",B1415="",C1415=""),"",IF(NOT(ISNUMBER(A1415)),"Enter the date done",IF(OR(B1415="",C1415=""),"Fill in asset and task",IF(SUMPRODUCT(('PM Plan'!$A$5:$A$304=B1415)*('PM Plan'!$B$5:$B$304=C1415))=0,"No matching asset + task in plan","OK"))))</f>
        <v/>
      </c>
    </row>
    <row r="1416" customFormat="false" ht="15" hidden="false" customHeight="false" outlineLevel="0" collapsed="false">
      <c r="A1416" s="14"/>
      <c r="B1416" s="9"/>
      <c r="C1416" s="9"/>
      <c r="D1416" s="9"/>
      <c r="E1416" s="9"/>
      <c r="F1416" s="17" t="str">
        <f aca="false">IF(AND(A1416="",B1416="",C1416=""),"",IF(NOT(ISNUMBER(A1416)),"Enter the date done",IF(OR(B1416="",C1416=""),"Fill in asset and task",IF(SUMPRODUCT(('PM Plan'!$A$5:$A$304=B1416)*('PM Plan'!$B$5:$B$304=C1416))=0,"No matching asset + task in plan","OK"))))</f>
        <v/>
      </c>
    </row>
    <row r="1417" customFormat="false" ht="15" hidden="false" customHeight="false" outlineLevel="0" collapsed="false">
      <c r="A1417" s="14"/>
      <c r="B1417" s="9"/>
      <c r="C1417" s="9"/>
      <c r="D1417" s="9"/>
      <c r="E1417" s="9"/>
      <c r="F1417" s="17" t="str">
        <f aca="false">IF(AND(A1417="",B1417="",C1417=""),"",IF(NOT(ISNUMBER(A1417)),"Enter the date done",IF(OR(B1417="",C1417=""),"Fill in asset and task",IF(SUMPRODUCT(('PM Plan'!$A$5:$A$304=B1417)*('PM Plan'!$B$5:$B$304=C1417))=0,"No matching asset + task in plan","OK"))))</f>
        <v/>
      </c>
    </row>
    <row r="1418" customFormat="false" ht="15" hidden="false" customHeight="false" outlineLevel="0" collapsed="false">
      <c r="A1418" s="14"/>
      <c r="B1418" s="9"/>
      <c r="C1418" s="9"/>
      <c r="D1418" s="9"/>
      <c r="E1418" s="9"/>
      <c r="F1418" s="17" t="str">
        <f aca="false">IF(AND(A1418="",B1418="",C1418=""),"",IF(NOT(ISNUMBER(A1418)),"Enter the date done",IF(OR(B1418="",C1418=""),"Fill in asset and task",IF(SUMPRODUCT(('PM Plan'!$A$5:$A$304=B1418)*('PM Plan'!$B$5:$B$304=C1418))=0,"No matching asset + task in plan","OK"))))</f>
        <v/>
      </c>
    </row>
    <row r="1419" customFormat="false" ht="15" hidden="false" customHeight="false" outlineLevel="0" collapsed="false">
      <c r="A1419" s="14"/>
      <c r="B1419" s="9"/>
      <c r="C1419" s="9"/>
      <c r="D1419" s="9"/>
      <c r="E1419" s="9"/>
      <c r="F1419" s="17" t="str">
        <f aca="false">IF(AND(A1419="",B1419="",C1419=""),"",IF(NOT(ISNUMBER(A1419)),"Enter the date done",IF(OR(B1419="",C1419=""),"Fill in asset and task",IF(SUMPRODUCT(('PM Plan'!$A$5:$A$304=B1419)*('PM Plan'!$B$5:$B$304=C1419))=0,"No matching asset + task in plan","OK"))))</f>
        <v/>
      </c>
    </row>
    <row r="1420" customFormat="false" ht="15" hidden="false" customHeight="false" outlineLevel="0" collapsed="false">
      <c r="A1420" s="14"/>
      <c r="B1420" s="9"/>
      <c r="C1420" s="9"/>
      <c r="D1420" s="9"/>
      <c r="E1420" s="9"/>
      <c r="F1420" s="17" t="str">
        <f aca="false">IF(AND(A1420="",B1420="",C1420=""),"",IF(NOT(ISNUMBER(A1420)),"Enter the date done",IF(OR(B1420="",C1420=""),"Fill in asset and task",IF(SUMPRODUCT(('PM Plan'!$A$5:$A$304=B1420)*('PM Plan'!$B$5:$B$304=C1420))=0,"No matching asset + task in plan","OK"))))</f>
        <v/>
      </c>
    </row>
    <row r="1421" customFormat="false" ht="15" hidden="false" customHeight="false" outlineLevel="0" collapsed="false">
      <c r="A1421" s="14"/>
      <c r="B1421" s="9"/>
      <c r="C1421" s="9"/>
      <c r="D1421" s="9"/>
      <c r="E1421" s="9"/>
      <c r="F1421" s="17" t="str">
        <f aca="false">IF(AND(A1421="",B1421="",C1421=""),"",IF(NOT(ISNUMBER(A1421)),"Enter the date done",IF(OR(B1421="",C1421=""),"Fill in asset and task",IF(SUMPRODUCT(('PM Plan'!$A$5:$A$304=B1421)*('PM Plan'!$B$5:$B$304=C1421))=0,"No matching asset + task in plan","OK"))))</f>
        <v/>
      </c>
    </row>
    <row r="1422" customFormat="false" ht="15" hidden="false" customHeight="false" outlineLevel="0" collapsed="false">
      <c r="A1422" s="14"/>
      <c r="B1422" s="9"/>
      <c r="C1422" s="9"/>
      <c r="D1422" s="9"/>
      <c r="E1422" s="9"/>
      <c r="F1422" s="17" t="str">
        <f aca="false">IF(AND(A1422="",B1422="",C1422=""),"",IF(NOT(ISNUMBER(A1422)),"Enter the date done",IF(OR(B1422="",C1422=""),"Fill in asset and task",IF(SUMPRODUCT(('PM Plan'!$A$5:$A$304=B1422)*('PM Plan'!$B$5:$B$304=C1422))=0,"No matching asset + task in plan","OK"))))</f>
        <v/>
      </c>
    </row>
    <row r="1423" customFormat="false" ht="15" hidden="false" customHeight="false" outlineLevel="0" collapsed="false">
      <c r="A1423" s="14"/>
      <c r="B1423" s="9"/>
      <c r="C1423" s="9"/>
      <c r="D1423" s="9"/>
      <c r="E1423" s="9"/>
      <c r="F1423" s="17" t="str">
        <f aca="false">IF(AND(A1423="",B1423="",C1423=""),"",IF(NOT(ISNUMBER(A1423)),"Enter the date done",IF(OR(B1423="",C1423=""),"Fill in asset and task",IF(SUMPRODUCT(('PM Plan'!$A$5:$A$304=B1423)*('PM Plan'!$B$5:$B$304=C1423))=0,"No matching asset + task in plan","OK"))))</f>
        <v/>
      </c>
    </row>
    <row r="1424" customFormat="false" ht="15" hidden="false" customHeight="false" outlineLevel="0" collapsed="false">
      <c r="A1424" s="14"/>
      <c r="B1424" s="9"/>
      <c r="C1424" s="9"/>
      <c r="D1424" s="9"/>
      <c r="E1424" s="9"/>
      <c r="F1424" s="17" t="str">
        <f aca="false">IF(AND(A1424="",B1424="",C1424=""),"",IF(NOT(ISNUMBER(A1424)),"Enter the date done",IF(OR(B1424="",C1424=""),"Fill in asset and task",IF(SUMPRODUCT(('PM Plan'!$A$5:$A$304=B1424)*('PM Plan'!$B$5:$B$304=C1424))=0,"No matching asset + task in plan","OK"))))</f>
        <v/>
      </c>
    </row>
    <row r="1425" customFormat="false" ht="15" hidden="false" customHeight="false" outlineLevel="0" collapsed="false">
      <c r="A1425" s="14"/>
      <c r="B1425" s="9"/>
      <c r="C1425" s="9"/>
      <c r="D1425" s="9"/>
      <c r="E1425" s="9"/>
      <c r="F1425" s="17" t="str">
        <f aca="false">IF(AND(A1425="",B1425="",C1425=""),"",IF(NOT(ISNUMBER(A1425)),"Enter the date done",IF(OR(B1425="",C1425=""),"Fill in asset and task",IF(SUMPRODUCT(('PM Plan'!$A$5:$A$304=B1425)*('PM Plan'!$B$5:$B$304=C1425))=0,"No matching asset + task in plan","OK"))))</f>
        <v/>
      </c>
    </row>
    <row r="1426" customFormat="false" ht="15" hidden="false" customHeight="false" outlineLevel="0" collapsed="false">
      <c r="A1426" s="14"/>
      <c r="B1426" s="9"/>
      <c r="C1426" s="9"/>
      <c r="D1426" s="9"/>
      <c r="E1426" s="9"/>
      <c r="F1426" s="17" t="str">
        <f aca="false">IF(AND(A1426="",B1426="",C1426=""),"",IF(NOT(ISNUMBER(A1426)),"Enter the date done",IF(OR(B1426="",C1426=""),"Fill in asset and task",IF(SUMPRODUCT(('PM Plan'!$A$5:$A$304=B1426)*('PM Plan'!$B$5:$B$304=C1426))=0,"No matching asset + task in plan","OK"))))</f>
        <v/>
      </c>
    </row>
    <row r="1427" customFormat="false" ht="15" hidden="false" customHeight="false" outlineLevel="0" collapsed="false">
      <c r="A1427" s="14"/>
      <c r="B1427" s="9"/>
      <c r="C1427" s="9"/>
      <c r="D1427" s="9"/>
      <c r="E1427" s="9"/>
      <c r="F1427" s="17" t="str">
        <f aca="false">IF(AND(A1427="",B1427="",C1427=""),"",IF(NOT(ISNUMBER(A1427)),"Enter the date done",IF(OR(B1427="",C1427=""),"Fill in asset and task",IF(SUMPRODUCT(('PM Plan'!$A$5:$A$304=B1427)*('PM Plan'!$B$5:$B$304=C1427))=0,"No matching asset + task in plan","OK"))))</f>
        <v/>
      </c>
    </row>
    <row r="1428" customFormat="false" ht="15" hidden="false" customHeight="false" outlineLevel="0" collapsed="false">
      <c r="A1428" s="14"/>
      <c r="B1428" s="9"/>
      <c r="C1428" s="9"/>
      <c r="D1428" s="9"/>
      <c r="E1428" s="9"/>
      <c r="F1428" s="17" t="str">
        <f aca="false">IF(AND(A1428="",B1428="",C1428=""),"",IF(NOT(ISNUMBER(A1428)),"Enter the date done",IF(OR(B1428="",C1428=""),"Fill in asset and task",IF(SUMPRODUCT(('PM Plan'!$A$5:$A$304=B1428)*('PM Plan'!$B$5:$B$304=C1428))=0,"No matching asset + task in plan","OK"))))</f>
        <v/>
      </c>
    </row>
    <row r="1429" customFormat="false" ht="15" hidden="false" customHeight="false" outlineLevel="0" collapsed="false">
      <c r="A1429" s="14"/>
      <c r="B1429" s="9"/>
      <c r="C1429" s="9"/>
      <c r="D1429" s="9"/>
      <c r="E1429" s="9"/>
      <c r="F1429" s="17" t="str">
        <f aca="false">IF(AND(A1429="",B1429="",C1429=""),"",IF(NOT(ISNUMBER(A1429)),"Enter the date done",IF(OR(B1429="",C1429=""),"Fill in asset and task",IF(SUMPRODUCT(('PM Plan'!$A$5:$A$304=B1429)*('PM Plan'!$B$5:$B$304=C1429))=0,"No matching asset + task in plan","OK"))))</f>
        <v/>
      </c>
    </row>
    <row r="1430" customFormat="false" ht="15" hidden="false" customHeight="false" outlineLevel="0" collapsed="false">
      <c r="A1430" s="14"/>
      <c r="B1430" s="9"/>
      <c r="C1430" s="9"/>
      <c r="D1430" s="9"/>
      <c r="E1430" s="9"/>
      <c r="F1430" s="17" t="str">
        <f aca="false">IF(AND(A1430="",B1430="",C1430=""),"",IF(NOT(ISNUMBER(A1430)),"Enter the date done",IF(OR(B1430="",C1430=""),"Fill in asset and task",IF(SUMPRODUCT(('PM Plan'!$A$5:$A$304=B1430)*('PM Plan'!$B$5:$B$304=C1430))=0,"No matching asset + task in plan","OK"))))</f>
        <v/>
      </c>
    </row>
    <row r="1431" customFormat="false" ht="15" hidden="false" customHeight="false" outlineLevel="0" collapsed="false">
      <c r="A1431" s="14"/>
      <c r="B1431" s="9"/>
      <c r="C1431" s="9"/>
      <c r="D1431" s="9"/>
      <c r="E1431" s="9"/>
      <c r="F1431" s="17" t="str">
        <f aca="false">IF(AND(A1431="",B1431="",C1431=""),"",IF(NOT(ISNUMBER(A1431)),"Enter the date done",IF(OR(B1431="",C1431=""),"Fill in asset and task",IF(SUMPRODUCT(('PM Plan'!$A$5:$A$304=B1431)*('PM Plan'!$B$5:$B$304=C1431))=0,"No matching asset + task in plan","OK"))))</f>
        <v/>
      </c>
    </row>
    <row r="1432" customFormat="false" ht="15" hidden="false" customHeight="false" outlineLevel="0" collapsed="false">
      <c r="A1432" s="14"/>
      <c r="B1432" s="9"/>
      <c r="C1432" s="9"/>
      <c r="D1432" s="9"/>
      <c r="E1432" s="9"/>
      <c r="F1432" s="17" t="str">
        <f aca="false">IF(AND(A1432="",B1432="",C1432=""),"",IF(NOT(ISNUMBER(A1432)),"Enter the date done",IF(OR(B1432="",C1432=""),"Fill in asset and task",IF(SUMPRODUCT(('PM Plan'!$A$5:$A$304=B1432)*('PM Plan'!$B$5:$B$304=C1432))=0,"No matching asset + task in plan","OK"))))</f>
        <v/>
      </c>
    </row>
    <row r="1433" customFormat="false" ht="15" hidden="false" customHeight="false" outlineLevel="0" collapsed="false">
      <c r="A1433" s="14"/>
      <c r="B1433" s="9"/>
      <c r="C1433" s="9"/>
      <c r="D1433" s="9"/>
      <c r="E1433" s="9"/>
      <c r="F1433" s="17" t="str">
        <f aca="false">IF(AND(A1433="",B1433="",C1433=""),"",IF(NOT(ISNUMBER(A1433)),"Enter the date done",IF(OR(B1433="",C1433=""),"Fill in asset and task",IF(SUMPRODUCT(('PM Plan'!$A$5:$A$304=B1433)*('PM Plan'!$B$5:$B$304=C1433))=0,"No matching asset + task in plan","OK"))))</f>
        <v/>
      </c>
    </row>
    <row r="1434" customFormat="false" ht="15" hidden="false" customHeight="false" outlineLevel="0" collapsed="false">
      <c r="A1434" s="14"/>
      <c r="B1434" s="9"/>
      <c r="C1434" s="9"/>
      <c r="D1434" s="9"/>
      <c r="E1434" s="9"/>
      <c r="F1434" s="17" t="str">
        <f aca="false">IF(AND(A1434="",B1434="",C1434=""),"",IF(NOT(ISNUMBER(A1434)),"Enter the date done",IF(OR(B1434="",C1434=""),"Fill in asset and task",IF(SUMPRODUCT(('PM Plan'!$A$5:$A$304=B1434)*('PM Plan'!$B$5:$B$304=C1434))=0,"No matching asset + task in plan","OK"))))</f>
        <v/>
      </c>
    </row>
    <row r="1435" customFormat="false" ht="15" hidden="false" customHeight="false" outlineLevel="0" collapsed="false">
      <c r="A1435" s="14"/>
      <c r="B1435" s="9"/>
      <c r="C1435" s="9"/>
      <c r="D1435" s="9"/>
      <c r="E1435" s="9"/>
      <c r="F1435" s="17" t="str">
        <f aca="false">IF(AND(A1435="",B1435="",C1435=""),"",IF(NOT(ISNUMBER(A1435)),"Enter the date done",IF(OR(B1435="",C1435=""),"Fill in asset and task",IF(SUMPRODUCT(('PM Plan'!$A$5:$A$304=B1435)*('PM Plan'!$B$5:$B$304=C1435))=0,"No matching asset + task in plan","OK"))))</f>
        <v/>
      </c>
    </row>
    <row r="1436" customFormat="false" ht="15" hidden="false" customHeight="false" outlineLevel="0" collapsed="false">
      <c r="A1436" s="14"/>
      <c r="B1436" s="9"/>
      <c r="C1436" s="9"/>
      <c r="D1436" s="9"/>
      <c r="E1436" s="9"/>
      <c r="F1436" s="17" t="str">
        <f aca="false">IF(AND(A1436="",B1436="",C1436=""),"",IF(NOT(ISNUMBER(A1436)),"Enter the date done",IF(OR(B1436="",C1436=""),"Fill in asset and task",IF(SUMPRODUCT(('PM Plan'!$A$5:$A$304=B1436)*('PM Plan'!$B$5:$B$304=C1436))=0,"No matching asset + task in plan","OK"))))</f>
        <v/>
      </c>
    </row>
    <row r="1437" customFormat="false" ht="15" hidden="false" customHeight="false" outlineLevel="0" collapsed="false">
      <c r="A1437" s="14"/>
      <c r="B1437" s="9"/>
      <c r="C1437" s="9"/>
      <c r="D1437" s="9"/>
      <c r="E1437" s="9"/>
      <c r="F1437" s="17" t="str">
        <f aca="false">IF(AND(A1437="",B1437="",C1437=""),"",IF(NOT(ISNUMBER(A1437)),"Enter the date done",IF(OR(B1437="",C1437=""),"Fill in asset and task",IF(SUMPRODUCT(('PM Plan'!$A$5:$A$304=B1437)*('PM Plan'!$B$5:$B$304=C1437))=0,"No matching asset + task in plan","OK"))))</f>
        <v/>
      </c>
    </row>
    <row r="1438" customFormat="false" ht="15" hidden="false" customHeight="false" outlineLevel="0" collapsed="false">
      <c r="A1438" s="14"/>
      <c r="B1438" s="9"/>
      <c r="C1438" s="9"/>
      <c r="D1438" s="9"/>
      <c r="E1438" s="9"/>
      <c r="F1438" s="17" t="str">
        <f aca="false">IF(AND(A1438="",B1438="",C1438=""),"",IF(NOT(ISNUMBER(A1438)),"Enter the date done",IF(OR(B1438="",C1438=""),"Fill in asset and task",IF(SUMPRODUCT(('PM Plan'!$A$5:$A$304=B1438)*('PM Plan'!$B$5:$B$304=C1438))=0,"No matching asset + task in plan","OK"))))</f>
        <v/>
      </c>
    </row>
    <row r="1439" customFormat="false" ht="15" hidden="false" customHeight="false" outlineLevel="0" collapsed="false">
      <c r="A1439" s="14"/>
      <c r="B1439" s="9"/>
      <c r="C1439" s="9"/>
      <c r="D1439" s="9"/>
      <c r="E1439" s="9"/>
      <c r="F1439" s="17" t="str">
        <f aca="false">IF(AND(A1439="",B1439="",C1439=""),"",IF(NOT(ISNUMBER(A1439)),"Enter the date done",IF(OR(B1439="",C1439=""),"Fill in asset and task",IF(SUMPRODUCT(('PM Plan'!$A$5:$A$304=B1439)*('PM Plan'!$B$5:$B$304=C1439))=0,"No matching asset + task in plan","OK"))))</f>
        <v/>
      </c>
    </row>
    <row r="1440" customFormat="false" ht="15" hidden="false" customHeight="false" outlineLevel="0" collapsed="false">
      <c r="A1440" s="14"/>
      <c r="B1440" s="9"/>
      <c r="C1440" s="9"/>
      <c r="D1440" s="9"/>
      <c r="E1440" s="9"/>
      <c r="F1440" s="17" t="str">
        <f aca="false">IF(AND(A1440="",B1440="",C1440=""),"",IF(NOT(ISNUMBER(A1440)),"Enter the date done",IF(OR(B1440="",C1440=""),"Fill in asset and task",IF(SUMPRODUCT(('PM Plan'!$A$5:$A$304=B1440)*('PM Plan'!$B$5:$B$304=C1440))=0,"No matching asset + task in plan","OK"))))</f>
        <v/>
      </c>
    </row>
    <row r="1441" customFormat="false" ht="15" hidden="false" customHeight="false" outlineLevel="0" collapsed="false">
      <c r="A1441" s="14"/>
      <c r="B1441" s="9"/>
      <c r="C1441" s="9"/>
      <c r="D1441" s="9"/>
      <c r="E1441" s="9"/>
      <c r="F1441" s="17" t="str">
        <f aca="false">IF(AND(A1441="",B1441="",C1441=""),"",IF(NOT(ISNUMBER(A1441)),"Enter the date done",IF(OR(B1441="",C1441=""),"Fill in asset and task",IF(SUMPRODUCT(('PM Plan'!$A$5:$A$304=B1441)*('PM Plan'!$B$5:$B$304=C1441))=0,"No matching asset + task in plan","OK"))))</f>
        <v/>
      </c>
    </row>
    <row r="1442" customFormat="false" ht="15" hidden="false" customHeight="false" outlineLevel="0" collapsed="false">
      <c r="A1442" s="14"/>
      <c r="B1442" s="9"/>
      <c r="C1442" s="9"/>
      <c r="D1442" s="9"/>
      <c r="E1442" s="9"/>
      <c r="F1442" s="17" t="str">
        <f aca="false">IF(AND(A1442="",B1442="",C1442=""),"",IF(NOT(ISNUMBER(A1442)),"Enter the date done",IF(OR(B1442="",C1442=""),"Fill in asset and task",IF(SUMPRODUCT(('PM Plan'!$A$5:$A$304=B1442)*('PM Plan'!$B$5:$B$304=C1442))=0,"No matching asset + task in plan","OK"))))</f>
        <v/>
      </c>
    </row>
    <row r="1443" customFormat="false" ht="15" hidden="false" customHeight="false" outlineLevel="0" collapsed="false">
      <c r="A1443" s="14"/>
      <c r="B1443" s="9"/>
      <c r="C1443" s="9"/>
      <c r="D1443" s="9"/>
      <c r="E1443" s="9"/>
      <c r="F1443" s="17" t="str">
        <f aca="false">IF(AND(A1443="",B1443="",C1443=""),"",IF(NOT(ISNUMBER(A1443)),"Enter the date done",IF(OR(B1443="",C1443=""),"Fill in asset and task",IF(SUMPRODUCT(('PM Plan'!$A$5:$A$304=B1443)*('PM Plan'!$B$5:$B$304=C1443))=0,"No matching asset + task in plan","OK"))))</f>
        <v/>
      </c>
    </row>
    <row r="1444" customFormat="false" ht="15" hidden="false" customHeight="false" outlineLevel="0" collapsed="false">
      <c r="A1444" s="14"/>
      <c r="B1444" s="9"/>
      <c r="C1444" s="9"/>
      <c r="D1444" s="9"/>
      <c r="E1444" s="9"/>
      <c r="F1444" s="17" t="str">
        <f aca="false">IF(AND(A1444="",B1444="",C1444=""),"",IF(NOT(ISNUMBER(A1444)),"Enter the date done",IF(OR(B1444="",C1444=""),"Fill in asset and task",IF(SUMPRODUCT(('PM Plan'!$A$5:$A$304=B1444)*('PM Plan'!$B$5:$B$304=C1444))=0,"No matching asset + task in plan","OK"))))</f>
        <v/>
      </c>
    </row>
    <row r="1445" customFormat="false" ht="15" hidden="false" customHeight="false" outlineLevel="0" collapsed="false">
      <c r="A1445" s="14"/>
      <c r="B1445" s="9"/>
      <c r="C1445" s="9"/>
      <c r="D1445" s="9"/>
      <c r="E1445" s="9"/>
      <c r="F1445" s="17" t="str">
        <f aca="false">IF(AND(A1445="",B1445="",C1445=""),"",IF(NOT(ISNUMBER(A1445)),"Enter the date done",IF(OR(B1445="",C1445=""),"Fill in asset and task",IF(SUMPRODUCT(('PM Plan'!$A$5:$A$304=B1445)*('PM Plan'!$B$5:$B$304=C1445))=0,"No matching asset + task in plan","OK"))))</f>
        <v/>
      </c>
    </row>
    <row r="1446" customFormat="false" ht="15" hidden="false" customHeight="false" outlineLevel="0" collapsed="false">
      <c r="A1446" s="14"/>
      <c r="B1446" s="9"/>
      <c r="C1446" s="9"/>
      <c r="D1446" s="9"/>
      <c r="E1446" s="9"/>
      <c r="F1446" s="17" t="str">
        <f aca="false">IF(AND(A1446="",B1446="",C1446=""),"",IF(NOT(ISNUMBER(A1446)),"Enter the date done",IF(OR(B1446="",C1446=""),"Fill in asset and task",IF(SUMPRODUCT(('PM Plan'!$A$5:$A$304=B1446)*('PM Plan'!$B$5:$B$304=C1446))=0,"No matching asset + task in plan","OK"))))</f>
        <v/>
      </c>
    </row>
    <row r="1447" customFormat="false" ht="15" hidden="false" customHeight="false" outlineLevel="0" collapsed="false">
      <c r="A1447" s="14"/>
      <c r="B1447" s="9"/>
      <c r="C1447" s="9"/>
      <c r="D1447" s="9"/>
      <c r="E1447" s="9"/>
      <c r="F1447" s="17" t="str">
        <f aca="false">IF(AND(A1447="",B1447="",C1447=""),"",IF(NOT(ISNUMBER(A1447)),"Enter the date done",IF(OR(B1447="",C1447=""),"Fill in asset and task",IF(SUMPRODUCT(('PM Plan'!$A$5:$A$304=B1447)*('PM Plan'!$B$5:$B$304=C1447))=0,"No matching asset + task in plan","OK"))))</f>
        <v/>
      </c>
    </row>
    <row r="1448" customFormat="false" ht="15" hidden="false" customHeight="false" outlineLevel="0" collapsed="false">
      <c r="A1448" s="14"/>
      <c r="B1448" s="9"/>
      <c r="C1448" s="9"/>
      <c r="D1448" s="9"/>
      <c r="E1448" s="9"/>
      <c r="F1448" s="17" t="str">
        <f aca="false">IF(AND(A1448="",B1448="",C1448=""),"",IF(NOT(ISNUMBER(A1448)),"Enter the date done",IF(OR(B1448="",C1448=""),"Fill in asset and task",IF(SUMPRODUCT(('PM Plan'!$A$5:$A$304=B1448)*('PM Plan'!$B$5:$B$304=C1448))=0,"No matching asset + task in plan","OK"))))</f>
        <v/>
      </c>
    </row>
    <row r="1449" customFormat="false" ht="15" hidden="false" customHeight="false" outlineLevel="0" collapsed="false">
      <c r="A1449" s="14"/>
      <c r="B1449" s="9"/>
      <c r="C1449" s="9"/>
      <c r="D1449" s="9"/>
      <c r="E1449" s="9"/>
      <c r="F1449" s="17" t="str">
        <f aca="false">IF(AND(A1449="",B1449="",C1449=""),"",IF(NOT(ISNUMBER(A1449)),"Enter the date done",IF(OR(B1449="",C1449=""),"Fill in asset and task",IF(SUMPRODUCT(('PM Plan'!$A$5:$A$304=B1449)*('PM Plan'!$B$5:$B$304=C1449))=0,"No matching asset + task in plan","OK"))))</f>
        <v/>
      </c>
    </row>
    <row r="1450" customFormat="false" ht="15" hidden="false" customHeight="false" outlineLevel="0" collapsed="false">
      <c r="A1450" s="14"/>
      <c r="B1450" s="9"/>
      <c r="C1450" s="9"/>
      <c r="D1450" s="9"/>
      <c r="E1450" s="9"/>
      <c r="F1450" s="17" t="str">
        <f aca="false">IF(AND(A1450="",B1450="",C1450=""),"",IF(NOT(ISNUMBER(A1450)),"Enter the date done",IF(OR(B1450="",C1450=""),"Fill in asset and task",IF(SUMPRODUCT(('PM Plan'!$A$5:$A$304=B1450)*('PM Plan'!$B$5:$B$304=C1450))=0,"No matching asset + task in plan","OK"))))</f>
        <v/>
      </c>
    </row>
    <row r="1451" customFormat="false" ht="15" hidden="false" customHeight="false" outlineLevel="0" collapsed="false">
      <c r="A1451" s="14"/>
      <c r="B1451" s="9"/>
      <c r="C1451" s="9"/>
      <c r="D1451" s="9"/>
      <c r="E1451" s="9"/>
      <c r="F1451" s="17" t="str">
        <f aca="false">IF(AND(A1451="",B1451="",C1451=""),"",IF(NOT(ISNUMBER(A1451)),"Enter the date done",IF(OR(B1451="",C1451=""),"Fill in asset and task",IF(SUMPRODUCT(('PM Plan'!$A$5:$A$304=B1451)*('PM Plan'!$B$5:$B$304=C1451))=0,"No matching asset + task in plan","OK"))))</f>
        <v/>
      </c>
    </row>
    <row r="1452" customFormat="false" ht="15" hidden="false" customHeight="false" outlineLevel="0" collapsed="false">
      <c r="A1452" s="14"/>
      <c r="B1452" s="9"/>
      <c r="C1452" s="9"/>
      <c r="D1452" s="9"/>
      <c r="E1452" s="9"/>
      <c r="F1452" s="17" t="str">
        <f aca="false">IF(AND(A1452="",B1452="",C1452=""),"",IF(NOT(ISNUMBER(A1452)),"Enter the date done",IF(OR(B1452="",C1452=""),"Fill in asset and task",IF(SUMPRODUCT(('PM Plan'!$A$5:$A$304=B1452)*('PM Plan'!$B$5:$B$304=C1452))=0,"No matching asset + task in plan","OK"))))</f>
        <v/>
      </c>
    </row>
    <row r="1453" customFormat="false" ht="15" hidden="false" customHeight="false" outlineLevel="0" collapsed="false">
      <c r="A1453" s="14"/>
      <c r="B1453" s="9"/>
      <c r="C1453" s="9"/>
      <c r="D1453" s="9"/>
      <c r="E1453" s="9"/>
      <c r="F1453" s="17" t="str">
        <f aca="false">IF(AND(A1453="",B1453="",C1453=""),"",IF(NOT(ISNUMBER(A1453)),"Enter the date done",IF(OR(B1453="",C1453=""),"Fill in asset and task",IF(SUMPRODUCT(('PM Plan'!$A$5:$A$304=B1453)*('PM Plan'!$B$5:$B$304=C1453))=0,"No matching asset + task in plan","OK"))))</f>
        <v/>
      </c>
    </row>
    <row r="1454" customFormat="false" ht="15" hidden="false" customHeight="false" outlineLevel="0" collapsed="false">
      <c r="A1454" s="14"/>
      <c r="B1454" s="9"/>
      <c r="C1454" s="9"/>
      <c r="D1454" s="9"/>
      <c r="E1454" s="9"/>
      <c r="F1454" s="17" t="str">
        <f aca="false">IF(AND(A1454="",B1454="",C1454=""),"",IF(NOT(ISNUMBER(A1454)),"Enter the date done",IF(OR(B1454="",C1454=""),"Fill in asset and task",IF(SUMPRODUCT(('PM Plan'!$A$5:$A$304=B1454)*('PM Plan'!$B$5:$B$304=C1454))=0,"No matching asset + task in plan","OK"))))</f>
        <v/>
      </c>
    </row>
    <row r="1455" customFormat="false" ht="15" hidden="false" customHeight="false" outlineLevel="0" collapsed="false">
      <c r="A1455" s="14"/>
      <c r="B1455" s="9"/>
      <c r="C1455" s="9"/>
      <c r="D1455" s="9"/>
      <c r="E1455" s="9"/>
      <c r="F1455" s="17" t="str">
        <f aca="false">IF(AND(A1455="",B1455="",C1455=""),"",IF(NOT(ISNUMBER(A1455)),"Enter the date done",IF(OR(B1455="",C1455=""),"Fill in asset and task",IF(SUMPRODUCT(('PM Plan'!$A$5:$A$304=B1455)*('PM Plan'!$B$5:$B$304=C1455))=0,"No matching asset + task in plan","OK"))))</f>
        <v/>
      </c>
    </row>
    <row r="1456" customFormat="false" ht="15" hidden="false" customHeight="false" outlineLevel="0" collapsed="false">
      <c r="A1456" s="14"/>
      <c r="B1456" s="9"/>
      <c r="C1456" s="9"/>
      <c r="D1456" s="9"/>
      <c r="E1456" s="9"/>
      <c r="F1456" s="17" t="str">
        <f aca="false">IF(AND(A1456="",B1456="",C1456=""),"",IF(NOT(ISNUMBER(A1456)),"Enter the date done",IF(OR(B1456="",C1456=""),"Fill in asset and task",IF(SUMPRODUCT(('PM Plan'!$A$5:$A$304=B1456)*('PM Plan'!$B$5:$B$304=C1456))=0,"No matching asset + task in plan","OK"))))</f>
        <v/>
      </c>
    </row>
    <row r="1457" customFormat="false" ht="15" hidden="false" customHeight="false" outlineLevel="0" collapsed="false">
      <c r="A1457" s="14"/>
      <c r="B1457" s="9"/>
      <c r="C1457" s="9"/>
      <c r="D1457" s="9"/>
      <c r="E1457" s="9"/>
      <c r="F1457" s="17" t="str">
        <f aca="false">IF(AND(A1457="",B1457="",C1457=""),"",IF(NOT(ISNUMBER(A1457)),"Enter the date done",IF(OR(B1457="",C1457=""),"Fill in asset and task",IF(SUMPRODUCT(('PM Plan'!$A$5:$A$304=B1457)*('PM Plan'!$B$5:$B$304=C1457))=0,"No matching asset + task in plan","OK"))))</f>
        <v/>
      </c>
    </row>
    <row r="1458" customFormat="false" ht="15" hidden="false" customHeight="false" outlineLevel="0" collapsed="false">
      <c r="A1458" s="14"/>
      <c r="B1458" s="9"/>
      <c r="C1458" s="9"/>
      <c r="D1458" s="9"/>
      <c r="E1458" s="9"/>
      <c r="F1458" s="17" t="str">
        <f aca="false">IF(AND(A1458="",B1458="",C1458=""),"",IF(NOT(ISNUMBER(A1458)),"Enter the date done",IF(OR(B1458="",C1458=""),"Fill in asset and task",IF(SUMPRODUCT(('PM Plan'!$A$5:$A$304=B1458)*('PM Plan'!$B$5:$B$304=C1458))=0,"No matching asset + task in plan","OK"))))</f>
        <v/>
      </c>
    </row>
    <row r="1459" customFormat="false" ht="15" hidden="false" customHeight="false" outlineLevel="0" collapsed="false">
      <c r="A1459" s="14"/>
      <c r="B1459" s="9"/>
      <c r="C1459" s="9"/>
      <c r="D1459" s="9"/>
      <c r="E1459" s="9"/>
      <c r="F1459" s="17" t="str">
        <f aca="false">IF(AND(A1459="",B1459="",C1459=""),"",IF(NOT(ISNUMBER(A1459)),"Enter the date done",IF(OR(B1459="",C1459=""),"Fill in asset and task",IF(SUMPRODUCT(('PM Plan'!$A$5:$A$304=B1459)*('PM Plan'!$B$5:$B$304=C1459))=0,"No matching asset + task in plan","OK"))))</f>
        <v/>
      </c>
    </row>
    <row r="1460" customFormat="false" ht="15" hidden="false" customHeight="false" outlineLevel="0" collapsed="false">
      <c r="A1460" s="14"/>
      <c r="B1460" s="9"/>
      <c r="C1460" s="9"/>
      <c r="D1460" s="9"/>
      <c r="E1460" s="9"/>
      <c r="F1460" s="17" t="str">
        <f aca="false">IF(AND(A1460="",B1460="",C1460=""),"",IF(NOT(ISNUMBER(A1460)),"Enter the date done",IF(OR(B1460="",C1460=""),"Fill in asset and task",IF(SUMPRODUCT(('PM Plan'!$A$5:$A$304=B1460)*('PM Plan'!$B$5:$B$304=C1460))=0,"No matching asset + task in plan","OK"))))</f>
        <v/>
      </c>
    </row>
    <row r="1461" customFormat="false" ht="15" hidden="false" customHeight="false" outlineLevel="0" collapsed="false">
      <c r="A1461" s="14"/>
      <c r="B1461" s="9"/>
      <c r="C1461" s="9"/>
      <c r="D1461" s="9"/>
      <c r="E1461" s="9"/>
      <c r="F1461" s="17" t="str">
        <f aca="false">IF(AND(A1461="",B1461="",C1461=""),"",IF(NOT(ISNUMBER(A1461)),"Enter the date done",IF(OR(B1461="",C1461=""),"Fill in asset and task",IF(SUMPRODUCT(('PM Plan'!$A$5:$A$304=B1461)*('PM Plan'!$B$5:$B$304=C1461))=0,"No matching asset + task in plan","OK"))))</f>
        <v/>
      </c>
    </row>
    <row r="1462" customFormat="false" ht="15" hidden="false" customHeight="false" outlineLevel="0" collapsed="false">
      <c r="A1462" s="14"/>
      <c r="B1462" s="9"/>
      <c r="C1462" s="9"/>
      <c r="D1462" s="9"/>
      <c r="E1462" s="9"/>
      <c r="F1462" s="17" t="str">
        <f aca="false">IF(AND(A1462="",B1462="",C1462=""),"",IF(NOT(ISNUMBER(A1462)),"Enter the date done",IF(OR(B1462="",C1462=""),"Fill in asset and task",IF(SUMPRODUCT(('PM Plan'!$A$5:$A$304=B1462)*('PM Plan'!$B$5:$B$304=C1462))=0,"No matching asset + task in plan","OK"))))</f>
        <v/>
      </c>
    </row>
    <row r="1463" customFormat="false" ht="15" hidden="false" customHeight="false" outlineLevel="0" collapsed="false">
      <c r="A1463" s="14"/>
      <c r="B1463" s="9"/>
      <c r="C1463" s="9"/>
      <c r="D1463" s="9"/>
      <c r="E1463" s="9"/>
      <c r="F1463" s="17" t="str">
        <f aca="false">IF(AND(A1463="",B1463="",C1463=""),"",IF(NOT(ISNUMBER(A1463)),"Enter the date done",IF(OR(B1463="",C1463=""),"Fill in asset and task",IF(SUMPRODUCT(('PM Plan'!$A$5:$A$304=B1463)*('PM Plan'!$B$5:$B$304=C1463))=0,"No matching asset + task in plan","OK"))))</f>
        <v/>
      </c>
    </row>
    <row r="1464" customFormat="false" ht="15" hidden="false" customHeight="false" outlineLevel="0" collapsed="false">
      <c r="A1464" s="14"/>
      <c r="B1464" s="9"/>
      <c r="C1464" s="9"/>
      <c r="D1464" s="9"/>
      <c r="E1464" s="9"/>
      <c r="F1464" s="17" t="str">
        <f aca="false">IF(AND(A1464="",B1464="",C1464=""),"",IF(NOT(ISNUMBER(A1464)),"Enter the date done",IF(OR(B1464="",C1464=""),"Fill in asset and task",IF(SUMPRODUCT(('PM Plan'!$A$5:$A$304=B1464)*('PM Plan'!$B$5:$B$304=C1464))=0,"No matching asset + task in plan","OK"))))</f>
        <v/>
      </c>
    </row>
    <row r="1465" customFormat="false" ht="15" hidden="false" customHeight="false" outlineLevel="0" collapsed="false">
      <c r="A1465" s="14"/>
      <c r="B1465" s="9"/>
      <c r="C1465" s="9"/>
      <c r="D1465" s="9"/>
      <c r="E1465" s="9"/>
      <c r="F1465" s="17" t="str">
        <f aca="false">IF(AND(A1465="",B1465="",C1465=""),"",IF(NOT(ISNUMBER(A1465)),"Enter the date done",IF(OR(B1465="",C1465=""),"Fill in asset and task",IF(SUMPRODUCT(('PM Plan'!$A$5:$A$304=B1465)*('PM Plan'!$B$5:$B$304=C1465))=0,"No matching asset + task in plan","OK"))))</f>
        <v/>
      </c>
    </row>
    <row r="1466" customFormat="false" ht="15" hidden="false" customHeight="false" outlineLevel="0" collapsed="false">
      <c r="A1466" s="14"/>
      <c r="B1466" s="9"/>
      <c r="C1466" s="9"/>
      <c r="D1466" s="9"/>
      <c r="E1466" s="9"/>
      <c r="F1466" s="17" t="str">
        <f aca="false">IF(AND(A1466="",B1466="",C1466=""),"",IF(NOT(ISNUMBER(A1466)),"Enter the date done",IF(OR(B1466="",C1466=""),"Fill in asset and task",IF(SUMPRODUCT(('PM Plan'!$A$5:$A$304=B1466)*('PM Plan'!$B$5:$B$304=C1466))=0,"No matching asset + task in plan","OK"))))</f>
        <v/>
      </c>
    </row>
    <row r="1467" customFormat="false" ht="15" hidden="false" customHeight="false" outlineLevel="0" collapsed="false">
      <c r="A1467" s="14"/>
      <c r="B1467" s="9"/>
      <c r="C1467" s="9"/>
      <c r="D1467" s="9"/>
      <c r="E1467" s="9"/>
      <c r="F1467" s="17" t="str">
        <f aca="false">IF(AND(A1467="",B1467="",C1467=""),"",IF(NOT(ISNUMBER(A1467)),"Enter the date done",IF(OR(B1467="",C1467=""),"Fill in asset and task",IF(SUMPRODUCT(('PM Plan'!$A$5:$A$304=B1467)*('PM Plan'!$B$5:$B$304=C1467))=0,"No matching asset + task in plan","OK"))))</f>
        <v/>
      </c>
    </row>
    <row r="1468" customFormat="false" ht="15" hidden="false" customHeight="false" outlineLevel="0" collapsed="false">
      <c r="A1468" s="14"/>
      <c r="B1468" s="9"/>
      <c r="C1468" s="9"/>
      <c r="D1468" s="9"/>
      <c r="E1468" s="9"/>
      <c r="F1468" s="17" t="str">
        <f aca="false">IF(AND(A1468="",B1468="",C1468=""),"",IF(NOT(ISNUMBER(A1468)),"Enter the date done",IF(OR(B1468="",C1468=""),"Fill in asset and task",IF(SUMPRODUCT(('PM Plan'!$A$5:$A$304=B1468)*('PM Plan'!$B$5:$B$304=C1468))=0,"No matching asset + task in plan","OK"))))</f>
        <v/>
      </c>
    </row>
    <row r="1469" customFormat="false" ht="15" hidden="false" customHeight="false" outlineLevel="0" collapsed="false">
      <c r="A1469" s="14"/>
      <c r="B1469" s="9"/>
      <c r="C1469" s="9"/>
      <c r="D1469" s="9"/>
      <c r="E1469" s="9"/>
      <c r="F1469" s="17" t="str">
        <f aca="false">IF(AND(A1469="",B1469="",C1469=""),"",IF(NOT(ISNUMBER(A1469)),"Enter the date done",IF(OR(B1469="",C1469=""),"Fill in asset and task",IF(SUMPRODUCT(('PM Plan'!$A$5:$A$304=B1469)*('PM Plan'!$B$5:$B$304=C1469))=0,"No matching asset + task in plan","OK"))))</f>
        <v/>
      </c>
    </row>
    <row r="1470" customFormat="false" ht="15" hidden="false" customHeight="false" outlineLevel="0" collapsed="false">
      <c r="A1470" s="14"/>
      <c r="B1470" s="9"/>
      <c r="C1470" s="9"/>
      <c r="D1470" s="9"/>
      <c r="E1470" s="9"/>
      <c r="F1470" s="17" t="str">
        <f aca="false">IF(AND(A1470="",B1470="",C1470=""),"",IF(NOT(ISNUMBER(A1470)),"Enter the date done",IF(OR(B1470="",C1470=""),"Fill in asset and task",IF(SUMPRODUCT(('PM Plan'!$A$5:$A$304=B1470)*('PM Plan'!$B$5:$B$304=C1470))=0,"No matching asset + task in plan","OK"))))</f>
        <v/>
      </c>
    </row>
    <row r="1471" customFormat="false" ht="15" hidden="false" customHeight="false" outlineLevel="0" collapsed="false">
      <c r="A1471" s="14"/>
      <c r="B1471" s="9"/>
      <c r="C1471" s="9"/>
      <c r="D1471" s="9"/>
      <c r="E1471" s="9"/>
      <c r="F1471" s="17" t="str">
        <f aca="false">IF(AND(A1471="",B1471="",C1471=""),"",IF(NOT(ISNUMBER(A1471)),"Enter the date done",IF(OR(B1471="",C1471=""),"Fill in asset and task",IF(SUMPRODUCT(('PM Plan'!$A$5:$A$304=B1471)*('PM Plan'!$B$5:$B$304=C1471))=0,"No matching asset + task in plan","OK"))))</f>
        <v/>
      </c>
    </row>
    <row r="1472" customFormat="false" ht="15" hidden="false" customHeight="false" outlineLevel="0" collapsed="false">
      <c r="A1472" s="14"/>
      <c r="B1472" s="9"/>
      <c r="C1472" s="9"/>
      <c r="D1472" s="9"/>
      <c r="E1472" s="9"/>
      <c r="F1472" s="17" t="str">
        <f aca="false">IF(AND(A1472="",B1472="",C1472=""),"",IF(NOT(ISNUMBER(A1472)),"Enter the date done",IF(OR(B1472="",C1472=""),"Fill in asset and task",IF(SUMPRODUCT(('PM Plan'!$A$5:$A$304=B1472)*('PM Plan'!$B$5:$B$304=C1472))=0,"No matching asset + task in plan","OK"))))</f>
        <v/>
      </c>
    </row>
    <row r="1473" customFormat="false" ht="15" hidden="false" customHeight="false" outlineLevel="0" collapsed="false">
      <c r="A1473" s="14"/>
      <c r="B1473" s="9"/>
      <c r="C1473" s="9"/>
      <c r="D1473" s="9"/>
      <c r="E1473" s="9"/>
      <c r="F1473" s="17" t="str">
        <f aca="false">IF(AND(A1473="",B1473="",C1473=""),"",IF(NOT(ISNUMBER(A1473)),"Enter the date done",IF(OR(B1473="",C1473=""),"Fill in asset and task",IF(SUMPRODUCT(('PM Plan'!$A$5:$A$304=B1473)*('PM Plan'!$B$5:$B$304=C1473))=0,"No matching asset + task in plan","OK"))))</f>
        <v/>
      </c>
    </row>
    <row r="1474" customFormat="false" ht="15" hidden="false" customHeight="false" outlineLevel="0" collapsed="false">
      <c r="A1474" s="14"/>
      <c r="B1474" s="9"/>
      <c r="C1474" s="9"/>
      <c r="D1474" s="9"/>
      <c r="E1474" s="9"/>
      <c r="F1474" s="17" t="str">
        <f aca="false">IF(AND(A1474="",B1474="",C1474=""),"",IF(NOT(ISNUMBER(A1474)),"Enter the date done",IF(OR(B1474="",C1474=""),"Fill in asset and task",IF(SUMPRODUCT(('PM Plan'!$A$5:$A$304=B1474)*('PM Plan'!$B$5:$B$304=C1474))=0,"No matching asset + task in plan","OK"))))</f>
        <v/>
      </c>
    </row>
    <row r="1475" customFormat="false" ht="15" hidden="false" customHeight="false" outlineLevel="0" collapsed="false">
      <c r="A1475" s="14"/>
      <c r="B1475" s="9"/>
      <c r="C1475" s="9"/>
      <c r="D1475" s="9"/>
      <c r="E1475" s="9"/>
      <c r="F1475" s="17" t="str">
        <f aca="false">IF(AND(A1475="",B1475="",C1475=""),"",IF(NOT(ISNUMBER(A1475)),"Enter the date done",IF(OR(B1475="",C1475=""),"Fill in asset and task",IF(SUMPRODUCT(('PM Plan'!$A$5:$A$304=B1475)*('PM Plan'!$B$5:$B$304=C1475))=0,"No matching asset + task in plan","OK"))))</f>
        <v/>
      </c>
    </row>
    <row r="1476" customFormat="false" ht="15" hidden="false" customHeight="false" outlineLevel="0" collapsed="false">
      <c r="A1476" s="14"/>
      <c r="B1476" s="9"/>
      <c r="C1476" s="9"/>
      <c r="D1476" s="9"/>
      <c r="E1476" s="9"/>
      <c r="F1476" s="17" t="str">
        <f aca="false">IF(AND(A1476="",B1476="",C1476=""),"",IF(NOT(ISNUMBER(A1476)),"Enter the date done",IF(OR(B1476="",C1476=""),"Fill in asset and task",IF(SUMPRODUCT(('PM Plan'!$A$5:$A$304=B1476)*('PM Plan'!$B$5:$B$304=C1476))=0,"No matching asset + task in plan","OK"))))</f>
        <v/>
      </c>
    </row>
    <row r="1477" customFormat="false" ht="15" hidden="false" customHeight="false" outlineLevel="0" collapsed="false">
      <c r="A1477" s="14"/>
      <c r="B1477" s="9"/>
      <c r="C1477" s="9"/>
      <c r="D1477" s="9"/>
      <c r="E1477" s="9"/>
      <c r="F1477" s="17" t="str">
        <f aca="false">IF(AND(A1477="",B1477="",C1477=""),"",IF(NOT(ISNUMBER(A1477)),"Enter the date done",IF(OR(B1477="",C1477=""),"Fill in asset and task",IF(SUMPRODUCT(('PM Plan'!$A$5:$A$304=B1477)*('PM Plan'!$B$5:$B$304=C1477))=0,"No matching asset + task in plan","OK"))))</f>
        <v/>
      </c>
    </row>
    <row r="1478" customFormat="false" ht="15" hidden="false" customHeight="false" outlineLevel="0" collapsed="false">
      <c r="A1478" s="14"/>
      <c r="B1478" s="9"/>
      <c r="C1478" s="9"/>
      <c r="D1478" s="9"/>
      <c r="E1478" s="9"/>
      <c r="F1478" s="17" t="str">
        <f aca="false">IF(AND(A1478="",B1478="",C1478=""),"",IF(NOT(ISNUMBER(A1478)),"Enter the date done",IF(OR(B1478="",C1478=""),"Fill in asset and task",IF(SUMPRODUCT(('PM Plan'!$A$5:$A$304=B1478)*('PM Plan'!$B$5:$B$304=C1478))=0,"No matching asset + task in plan","OK"))))</f>
        <v/>
      </c>
    </row>
    <row r="1479" customFormat="false" ht="15" hidden="false" customHeight="false" outlineLevel="0" collapsed="false">
      <c r="A1479" s="14"/>
      <c r="B1479" s="9"/>
      <c r="C1479" s="9"/>
      <c r="D1479" s="9"/>
      <c r="E1479" s="9"/>
      <c r="F1479" s="17" t="str">
        <f aca="false">IF(AND(A1479="",B1479="",C1479=""),"",IF(NOT(ISNUMBER(A1479)),"Enter the date done",IF(OR(B1479="",C1479=""),"Fill in asset and task",IF(SUMPRODUCT(('PM Plan'!$A$5:$A$304=B1479)*('PM Plan'!$B$5:$B$304=C1479))=0,"No matching asset + task in plan","OK"))))</f>
        <v/>
      </c>
    </row>
    <row r="1480" customFormat="false" ht="15" hidden="false" customHeight="false" outlineLevel="0" collapsed="false">
      <c r="A1480" s="14"/>
      <c r="B1480" s="9"/>
      <c r="C1480" s="9"/>
      <c r="D1480" s="9"/>
      <c r="E1480" s="9"/>
      <c r="F1480" s="17" t="str">
        <f aca="false">IF(AND(A1480="",B1480="",C1480=""),"",IF(NOT(ISNUMBER(A1480)),"Enter the date done",IF(OR(B1480="",C1480=""),"Fill in asset and task",IF(SUMPRODUCT(('PM Plan'!$A$5:$A$304=B1480)*('PM Plan'!$B$5:$B$304=C1480))=0,"No matching asset + task in plan","OK"))))</f>
        <v/>
      </c>
    </row>
    <row r="1481" customFormat="false" ht="15" hidden="false" customHeight="false" outlineLevel="0" collapsed="false">
      <c r="A1481" s="14"/>
      <c r="B1481" s="9"/>
      <c r="C1481" s="9"/>
      <c r="D1481" s="9"/>
      <c r="E1481" s="9"/>
      <c r="F1481" s="17" t="str">
        <f aca="false">IF(AND(A1481="",B1481="",C1481=""),"",IF(NOT(ISNUMBER(A1481)),"Enter the date done",IF(OR(B1481="",C1481=""),"Fill in asset and task",IF(SUMPRODUCT(('PM Plan'!$A$5:$A$304=B1481)*('PM Plan'!$B$5:$B$304=C1481))=0,"No matching asset + task in plan","OK"))))</f>
        <v/>
      </c>
    </row>
    <row r="1482" customFormat="false" ht="15" hidden="false" customHeight="false" outlineLevel="0" collapsed="false">
      <c r="A1482" s="14"/>
      <c r="B1482" s="9"/>
      <c r="C1482" s="9"/>
      <c r="D1482" s="9"/>
      <c r="E1482" s="9"/>
      <c r="F1482" s="17" t="str">
        <f aca="false">IF(AND(A1482="",B1482="",C1482=""),"",IF(NOT(ISNUMBER(A1482)),"Enter the date done",IF(OR(B1482="",C1482=""),"Fill in asset and task",IF(SUMPRODUCT(('PM Plan'!$A$5:$A$304=B1482)*('PM Plan'!$B$5:$B$304=C1482))=0,"No matching asset + task in plan","OK"))))</f>
        <v/>
      </c>
    </row>
    <row r="1483" customFormat="false" ht="15" hidden="false" customHeight="false" outlineLevel="0" collapsed="false">
      <c r="A1483" s="14"/>
      <c r="B1483" s="9"/>
      <c r="C1483" s="9"/>
      <c r="D1483" s="9"/>
      <c r="E1483" s="9"/>
      <c r="F1483" s="17" t="str">
        <f aca="false">IF(AND(A1483="",B1483="",C1483=""),"",IF(NOT(ISNUMBER(A1483)),"Enter the date done",IF(OR(B1483="",C1483=""),"Fill in asset and task",IF(SUMPRODUCT(('PM Plan'!$A$5:$A$304=B1483)*('PM Plan'!$B$5:$B$304=C1483))=0,"No matching asset + task in plan","OK"))))</f>
        <v/>
      </c>
    </row>
    <row r="1484" customFormat="false" ht="15" hidden="false" customHeight="false" outlineLevel="0" collapsed="false">
      <c r="A1484" s="14"/>
      <c r="B1484" s="9"/>
      <c r="C1484" s="9"/>
      <c r="D1484" s="9"/>
      <c r="E1484" s="9"/>
      <c r="F1484" s="17" t="str">
        <f aca="false">IF(AND(A1484="",B1484="",C1484=""),"",IF(NOT(ISNUMBER(A1484)),"Enter the date done",IF(OR(B1484="",C1484=""),"Fill in asset and task",IF(SUMPRODUCT(('PM Plan'!$A$5:$A$304=B1484)*('PM Plan'!$B$5:$B$304=C1484))=0,"No matching asset + task in plan","OK"))))</f>
        <v/>
      </c>
    </row>
    <row r="1485" customFormat="false" ht="15" hidden="false" customHeight="false" outlineLevel="0" collapsed="false">
      <c r="A1485" s="14"/>
      <c r="B1485" s="9"/>
      <c r="C1485" s="9"/>
      <c r="D1485" s="9"/>
      <c r="E1485" s="9"/>
      <c r="F1485" s="17" t="str">
        <f aca="false">IF(AND(A1485="",B1485="",C1485=""),"",IF(NOT(ISNUMBER(A1485)),"Enter the date done",IF(OR(B1485="",C1485=""),"Fill in asset and task",IF(SUMPRODUCT(('PM Plan'!$A$5:$A$304=B1485)*('PM Plan'!$B$5:$B$304=C1485))=0,"No matching asset + task in plan","OK"))))</f>
        <v/>
      </c>
    </row>
    <row r="1486" customFormat="false" ht="15" hidden="false" customHeight="false" outlineLevel="0" collapsed="false">
      <c r="A1486" s="14"/>
      <c r="B1486" s="9"/>
      <c r="C1486" s="9"/>
      <c r="D1486" s="9"/>
      <c r="E1486" s="9"/>
      <c r="F1486" s="17" t="str">
        <f aca="false">IF(AND(A1486="",B1486="",C1486=""),"",IF(NOT(ISNUMBER(A1486)),"Enter the date done",IF(OR(B1486="",C1486=""),"Fill in asset and task",IF(SUMPRODUCT(('PM Plan'!$A$5:$A$304=B1486)*('PM Plan'!$B$5:$B$304=C1486))=0,"No matching asset + task in plan","OK"))))</f>
        <v/>
      </c>
    </row>
    <row r="1487" customFormat="false" ht="15" hidden="false" customHeight="false" outlineLevel="0" collapsed="false">
      <c r="A1487" s="14"/>
      <c r="B1487" s="9"/>
      <c r="C1487" s="9"/>
      <c r="D1487" s="9"/>
      <c r="E1487" s="9"/>
      <c r="F1487" s="17" t="str">
        <f aca="false">IF(AND(A1487="",B1487="",C1487=""),"",IF(NOT(ISNUMBER(A1487)),"Enter the date done",IF(OR(B1487="",C1487=""),"Fill in asset and task",IF(SUMPRODUCT(('PM Plan'!$A$5:$A$304=B1487)*('PM Plan'!$B$5:$B$304=C1487))=0,"No matching asset + task in plan","OK"))))</f>
        <v/>
      </c>
    </row>
    <row r="1488" customFormat="false" ht="15" hidden="false" customHeight="false" outlineLevel="0" collapsed="false">
      <c r="A1488" s="14"/>
      <c r="B1488" s="9"/>
      <c r="C1488" s="9"/>
      <c r="D1488" s="9"/>
      <c r="E1488" s="9"/>
      <c r="F1488" s="17" t="str">
        <f aca="false">IF(AND(A1488="",B1488="",C1488=""),"",IF(NOT(ISNUMBER(A1488)),"Enter the date done",IF(OR(B1488="",C1488=""),"Fill in asset and task",IF(SUMPRODUCT(('PM Plan'!$A$5:$A$304=B1488)*('PM Plan'!$B$5:$B$304=C1488))=0,"No matching asset + task in plan","OK"))))</f>
        <v/>
      </c>
    </row>
    <row r="1489" customFormat="false" ht="15" hidden="false" customHeight="false" outlineLevel="0" collapsed="false">
      <c r="A1489" s="14"/>
      <c r="B1489" s="9"/>
      <c r="C1489" s="9"/>
      <c r="D1489" s="9"/>
      <c r="E1489" s="9"/>
      <c r="F1489" s="17" t="str">
        <f aca="false">IF(AND(A1489="",B1489="",C1489=""),"",IF(NOT(ISNUMBER(A1489)),"Enter the date done",IF(OR(B1489="",C1489=""),"Fill in asset and task",IF(SUMPRODUCT(('PM Plan'!$A$5:$A$304=B1489)*('PM Plan'!$B$5:$B$304=C1489))=0,"No matching asset + task in plan","OK"))))</f>
        <v/>
      </c>
    </row>
    <row r="1490" customFormat="false" ht="15" hidden="false" customHeight="false" outlineLevel="0" collapsed="false">
      <c r="A1490" s="14"/>
      <c r="B1490" s="9"/>
      <c r="C1490" s="9"/>
      <c r="D1490" s="9"/>
      <c r="E1490" s="9"/>
      <c r="F1490" s="17" t="str">
        <f aca="false">IF(AND(A1490="",B1490="",C1490=""),"",IF(NOT(ISNUMBER(A1490)),"Enter the date done",IF(OR(B1490="",C1490=""),"Fill in asset and task",IF(SUMPRODUCT(('PM Plan'!$A$5:$A$304=B1490)*('PM Plan'!$B$5:$B$304=C1490))=0,"No matching asset + task in plan","OK"))))</f>
        <v/>
      </c>
    </row>
    <row r="1491" customFormat="false" ht="15" hidden="false" customHeight="false" outlineLevel="0" collapsed="false">
      <c r="A1491" s="14"/>
      <c r="B1491" s="9"/>
      <c r="C1491" s="9"/>
      <c r="D1491" s="9"/>
      <c r="E1491" s="9"/>
      <c r="F1491" s="17" t="str">
        <f aca="false">IF(AND(A1491="",B1491="",C1491=""),"",IF(NOT(ISNUMBER(A1491)),"Enter the date done",IF(OR(B1491="",C1491=""),"Fill in asset and task",IF(SUMPRODUCT(('PM Plan'!$A$5:$A$304=B1491)*('PM Plan'!$B$5:$B$304=C1491))=0,"No matching asset + task in plan","OK"))))</f>
        <v/>
      </c>
    </row>
    <row r="1492" customFormat="false" ht="15" hidden="false" customHeight="false" outlineLevel="0" collapsed="false">
      <c r="A1492" s="14"/>
      <c r="B1492" s="9"/>
      <c r="C1492" s="9"/>
      <c r="D1492" s="9"/>
      <c r="E1492" s="9"/>
      <c r="F1492" s="17" t="str">
        <f aca="false">IF(AND(A1492="",B1492="",C1492=""),"",IF(NOT(ISNUMBER(A1492)),"Enter the date done",IF(OR(B1492="",C1492=""),"Fill in asset and task",IF(SUMPRODUCT(('PM Plan'!$A$5:$A$304=B1492)*('PM Plan'!$B$5:$B$304=C1492))=0,"No matching asset + task in plan","OK"))))</f>
        <v/>
      </c>
    </row>
    <row r="1493" customFormat="false" ht="15" hidden="false" customHeight="false" outlineLevel="0" collapsed="false">
      <c r="A1493" s="14"/>
      <c r="B1493" s="9"/>
      <c r="C1493" s="9"/>
      <c r="D1493" s="9"/>
      <c r="E1493" s="9"/>
      <c r="F1493" s="17" t="str">
        <f aca="false">IF(AND(A1493="",B1493="",C1493=""),"",IF(NOT(ISNUMBER(A1493)),"Enter the date done",IF(OR(B1493="",C1493=""),"Fill in asset and task",IF(SUMPRODUCT(('PM Plan'!$A$5:$A$304=B1493)*('PM Plan'!$B$5:$B$304=C1493))=0,"No matching asset + task in plan","OK"))))</f>
        <v/>
      </c>
    </row>
    <row r="1494" customFormat="false" ht="15" hidden="false" customHeight="false" outlineLevel="0" collapsed="false">
      <c r="A1494" s="14"/>
      <c r="B1494" s="9"/>
      <c r="C1494" s="9"/>
      <c r="D1494" s="9"/>
      <c r="E1494" s="9"/>
      <c r="F1494" s="17" t="str">
        <f aca="false">IF(AND(A1494="",B1494="",C1494=""),"",IF(NOT(ISNUMBER(A1494)),"Enter the date done",IF(OR(B1494="",C1494=""),"Fill in asset and task",IF(SUMPRODUCT(('PM Plan'!$A$5:$A$304=B1494)*('PM Plan'!$B$5:$B$304=C1494))=0,"No matching asset + task in plan","OK"))))</f>
        <v/>
      </c>
    </row>
    <row r="1495" customFormat="false" ht="15" hidden="false" customHeight="false" outlineLevel="0" collapsed="false">
      <c r="A1495" s="14"/>
      <c r="B1495" s="9"/>
      <c r="C1495" s="9"/>
      <c r="D1495" s="9"/>
      <c r="E1495" s="9"/>
      <c r="F1495" s="17" t="str">
        <f aca="false">IF(AND(A1495="",B1495="",C1495=""),"",IF(NOT(ISNUMBER(A1495)),"Enter the date done",IF(OR(B1495="",C1495=""),"Fill in asset and task",IF(SUMPRODUCT(('PM Plan'!$A$5:$A$304=B1495)*('PM Plan'!$B$5:$B$304=C1495))=0,"No matching asset + task in plan","OK"))))</f>
        <v/>
      </c>
    </row>
    <row r="1496" customFormat="false" ht="15" hidden="false" customHeight="false" outlineLevel="0" collapsed="false">
      <c r="A1496" s="14"/>
      <c r="B1496" s="9"/>
      <c r="C1496" s="9"/>
      <c r="D1496" s="9"/>
      <c r="E1496" s="9"/>
      <c r="F1496" s="17" t="str">
        <f aca="false">IF(AND(A1496="",B1496="",C1496=""),"",IF(NOT(ISNUMBER(A1496)),"Enter the date done",IF(OR(B1496="",C1496=""),"Fill in asset and task",IF(SUMPRODUCT(('PM Plan'!$A$5:$A$304=B1496)*('PM Plan'!$B$5:$B$304=C1496))=0,"No matching asset + task in plan","OK"))))</f>
        <v/>
      </c>
    </row>
    <row r="1497" customFormat="false" ht="15" hidden="false" customHeight="false" outlineLevel="0" collapsed="false">
      <c r="A1497" s="14"/>
      <c r="B1497" s="9"/>
      <c r="C1497" s="9"/>
      <c r="D1497" s="9"/>
      <c r="E1497" s="9"/>
      <c r="F1497" s="17" t="str">
        <f aca="false">IF(AND(A1497="",B1497="",C1497=""),"",IF(NOT(ISNUMBER(A1497)),"Enter the date done",IF(OR(B1497="",C1497=""),"Fill in asset and task",IF(SUMPRODUCT(('PM Plan'!$A$5:$A$304=B1497)*('PM Plan'!$B$5:$B$304=C1497))=0,"No matching asset + task in plan","OK"))))</f>
        <v/>
      </c>
    </row>
    <row r="1498" customFormat="false" ht="15" hidden="false" customHeight="false" outlineLevel="0" collapsed="false">
      <c r="A1498" s="14"/>
      <c r="B1498" s="9"/>
      <c r="C1498" s="9"/>
      <c r="D1498" s="9"/>
      <c r="E1498" s="9"/>
      <c r="F1498" s="17" t="str">
        <f aca="false">IF(AND(A1498="",B1498="",C1498=""),"",IF(NOT(ISNUMBER(A1498)),"Enter the date done",IF(OR(B1498="",C1498=""),"Fill in asset and task",IF(SUMPRODUCT(('PM Plan'!$A$5:$A$304=B1498)*('PM Plan'!$B$5:$B$304=C1498))=0,"No matching asset + task in plan","OK"))))</f>
        <v/>
      </c>
    </row>
    <row r="1499" customFormat="false" ht="15" hidden="false" customHeight="false" outlineLevel="0" collapsed="false">
      <c r="A1499" s="14"/>
      <c r="B1499" s="9"/>
      <c r="C1499" s="9"/>
      <c r="D1499" s="9"/>
      <c r="E1499" s="9"/>
      <c r="F1499" s="17" t="str">
        <f aca="false">IF(AND(A1499="",B1499="",C1499=""),"",IF(NOT(ISNUMBER(A1499)),"Enter the date done",IF(OR(B1499="",C1499=""),"Fill in asset and task",IF(SUMPRODUCT(('PM Plan'!$A$5:$A$304=B1499)*('PM Plan'!$B$5:$B$304=C1499))=0,"No matching asset + task in plan","OK"))))</f>
        <v/>
      </c>
    </row>
    <row r="1500" customFormat="false" ht="15" hidden="false" customHeight="false" outlineLevel="0" collapsed="false">
      <c r="A1500" s="14"/>
      <c r="B1500" s="9"/>
      <c r="C1500" s="9"/>
      <c r="D1500" s="9"/>
      <c r="E1500" s="9"/>
      <c r="F1500" s="17" t="str">
        <f aca="false">IF(AND(A1500="",B1500="",C1500=""),"",IF(NOT(ISNUMBER(A1500)),"Enter the date done",IF(OR(B1500="",C1500=""),"Fill in asset and task",IF(SUMPRODUCT(('PM Plan'!$A$5:$A$304=B1500)*('PM Plan'!$B$5:$B$304=C1500))=0,"No matching asset + task in plan","OK"))))</f>
        <v/>
      </c>
    </row>
    <row r="1501" customFormat="false" ht="15" hidden="false" customHeight="false" outlineLevel="0" collapsed="false">
      <c r="A1501" s="14"/>
      <c r="B1501" s="9"/>
      <c r="C1501" s="9"/>
      <c r="D1501" s="9"/>
      <c r="E1501" s="9"/>
      <c r="F1501" s="17" t="str">
        <f aca="false">IF(AND(A1501="",B1501="",C1501=""),"",IF(NOT(ISNUMBER(A1501)),"Enter the date done",IF(OR(B1501="",C1501=""),"Fill in asset and task",IF(SUMPRODUCT(('PM Plan'!$A$5:$A$304=B1501)*('PM Plan'!$B$5:$B$304=C1501))=0,"No matching asset + task in plan","OK"))))</f>
        <v/>
      </c>
    </row>
    <row r="1502" customFormat="false" ht="15" hidden="false" customHeight="false" outlineLevel="0" collapsed="false">
      <c r="A1502" s="14"/>
      <c r="B1502" s="9"/>
      <c r="C1502" s="9"/>
      <c r="D1502" s="9"/>
      <c r="E1502" s="9"/>
      <c r="F1502" s="17" t="str">
        <f aca="false">IF(AND(A1502="",B1502="",C1502=""),"",IF(NOT(ISNUMBER(A1502)),"Enter the date done",IF(OR(B1502="",C1502=""),"Fill in asset and task",IF(SUMPRODUCT(('PM Plan'!$A$5:$A$304=B1502)*('PM Plan'!$B$5:$B$304=C1502))=0,"No matching asset + task in plan","OK"))))</f>
        <v/>
      </c>
    </row>
    <row r="1503" customFormat="false" ht="15" hidden="false" customHeight="false" outlineLevel="0" collapsed="false">
      <c r="A1503" s="14"/>
      <c r="B1503" s="9"/>
      <c r="C1503" s="9"/>
      <c r="D1503" s="9"/>
      <c r="E1503" s="9"/>
      <c r="F1503" s="17" t="str">
        <f aca="false">IF(AND(A1503="",B1503="",C1503=""),"",IF(NOT(ISNUMBER(A1503)),"Enter the date done",IF(OR(B1503="",C1503=""),"Fill in asset and task",IF(SUMPRODUCT(('PM Plan'!$A$5:$A$304=B1503)*('PM Plan'!$B$5:$B$304=C1503))=0,"No matching asset + task in plan","OK"))))</f>
        <v/>
      </c>
    </row>
    <row r="1504" customFormat="false" ht="15" hidden="false" customHeight="false" outlineLevel="0" collapsed="false">
      <c r="A1504" s="14"/>
      <c r="B1504" s="9"/>
      <c r="C1504" s="9"/>
      <c r="D1504" s="9"/>
      <c r="E1504" s="9"/>
      <c r="F1504" s="17" t="str">
        <f aca="false">IF(AND(A1504="",B1504="",C1504=""),"",IF(NOT(ISNUMBER(A1504)),"Enter the date done",IF(OR(B1504="",C1504=""),"Fill in asset and task",IF(SUMPRODUCT(('PM Plan'!$A$5:$A$304=B1504)*('PM Plan'!$B$5:$B$304=C1504))=0,"No matching asset + task in plan","OK"))))</f>
        <v/>
      </c>
    </row>
    <row r="1505" customFormat="false" ht="15" hidden="false" customHeight="false" outlineLevel="0" collapsed="false">
      <c r="A1505" s="14"/>
      <c r="B1505" s="9"/>
      <c r="C1505" s="9"/>
      <c r="D1505" s="9"/>
      <c r="E1505" s="9"/>
      <c r="F1505" s="17" t="str">
        <f aca="false">IF(AND(A1505="",B1505="",C1505=""),"",IF(NOT(ISNUMBER(A1505)),"Enter the date done",IF(OR(B1505="",C1505=""),"Fill in asset and task",IF(SUMPRODUCT(('PM Plan'!$A$5:$A$304=B1505)*('PM Plan'!$B$5:$B$304=C1505))=0,"No matching asset + task in plan","OK"))))</f>
        <v/>
      </c>
    </row>
    <row r="1506" customFormat="false" ht="15" hidden="false" customHeight="false" outlineLevel="0" collapsed="false">
      <c r="A1506" s="14"/>
      <c r="B1506" s="9"/>
      <c r="C1506" s="9"/>
      <c r="D1506" s="9"/>
      <c r="E1506" s="9"/>
      <c r="F1506" s="17" t="str">
        <f aca="false">IF(AND(A1506="",B1506="",C1506=""),"",IF(NOT(ISNUMBER(A1506)),"Enter the date done",IF(OR(B1506="",C1506=""),"Fill in asset and task",IF(SUMPRODUCT(('PM Plan'!$A$5:$A$304=B1506)*('PM Plan'!$B$5:$B$304=C1506))=0,"No matching asset + task in plan","OK"))))</f>
        <v/>
      </c>
    </row>
    <row r="1507" customFormat="false" ht="15" hidden="false" customHeight="false" outlineLevel="0" collapsed="false">
      <c r="A1507" s="14"/>
      <c r="B1507" s="9"/>
      <c r="C1507" s="9"/>
      <c r="D1507" s="9"/>
      <c r="E1507" s="9"/>
      <c r="F1507" s="17" t="str">
        <f aca="false">IF(AND(A1507="",B1507="",C1507=""),"",IF(NOT(ISNUMBER(A1507)),"Enter the date done",IF(OR(B1507="",C1507=""),"Fill in asset and task",IF(SUMPRODUCT(('PM Plan'!$A$5:$A$304=B1507)*('PM Plan'!$B$5:$B$304=C1507))=0,"No matching asset + task in plan","OK"))))</f>
        <v/>
      </c>
    </row>
    <row r="1508" customFormat="false" ht="15" hidden="false" customHeight="false" outlineLevel="0" collapsed="false">
      <c r="A1508" s="14"/>
      <c r="B1508" s="9"/>
      <c r="C1508" s="9"/>
      <c r="D1508" s="9"/>
      <c r="E1508" s="9"/>
      <c r="F1508" s="17" t="str">
        <f aca="false">IF(AND(A1508="",B1508="",C1508=""),"",IF(NOT(ISNUMBER(A1508)),"Enter the date done",IF(OR(B1508="",C1508=""),"Fill in asset and task",IF(SUMPRODUCT(('PM Plan'!$A$5:$A$304=B1508)*('PM Plan'!$B$5:$B$304=C1508))=0,"No matching asset + task in plan","OK"))))</f>
        <v/>
      </c>
    </row>
    <row r="1509" customFormat="false" ht="15" hidden="false" customHeight="false" outlineLevel="0" collapsed="false">
      <c r="A1509" s="14"/>
      <c r="B1509" s="9"/>
      <c r="C1509" s="9"/>
      <c r="D1509" s="9"/>
      <c r="E1509" s="9"/>
      <c r="F1509" s="17" t="str">
        <f aca="false">IF(AND(A1509="",B1509="",C1509=""),"",IF(NOT(ISNUMBER(A1509)),"Enter the date done",IF(OR(B1509="",C1509=""),"Fill in asset and task",IF(SUMPRODUCT(('PM Plan'!$A$5:$A$304=B1509)*('PM Plan'!$B$5:$B$304=C1509))=0,"No matching asset + task in plan","OK"))))</f>
        <v/>
      </c>
    </row>
    <row r="1510" customFormat="false" ht="15" hidden="false" customHeight="false" outlineLevel="0" collapsed="false">
      <c r="A1510" s="14"/>
      <c r="B1510" s="9"/>
      <c r="C1510" s="9"/>
      <c r="D1510" s="9"/>
      <c r="E1510" s="9"/>
      <c r="F1510" s="17" t="str">
        <f aca="false">IF(AND(A1510="",B1510="",C1510=""),"",IF(NOT(ISNUMBER(A1510)),"Enter the date done",IF(OR(B1510="",C1510=""),"Fill in asset and task",IF(SUMPRODUCT(('PM Plan'!$A$5:$A$304=B1510)*('PM Plan'!$B$5:$B$304=C1510))=0,"No matching asset + task in plan","OK"))))</f>
        <v/>
      </c>
    </row>
    <row r="1511" customFormat="false" ht="15" hidden="false" customHeight="false" outlineLevel="0" collapsed="false">
      <c r="A1511" s="14"/>
      <c r="B1511" s="9"/>
      <c r="C1511" s="9"/>
      <c r="D1511" s="9"/>
      <c r="E1511" s="9"/>
      <c r="F1511" s="17" t="str">
        <f aca="false">IF(AND(A1511="",B1511="",C1511=""),"",IF(NOT(ISNUMBER(A1511)),"Enter the date done",IF(OR(B1511="",C1511=""),"Fill in asset and task",IF(SUMPRODUCT(('PM Plan'!$A$5:$A$304=B1511)*('PM Plan'!$B$5:$B$304=C1511))=0,"No matching asset + task in plan","OK"))))</f>
        <v/>
      </c>
    </row>
    <row r="1512" customFormat="false" ht="15" hidden="false" customHeight="false" outlineLevel="0" collapsed="false">
      <c r="A1512" s="14"/>
      <c r="B1512" s="9"/>
      <c r="C1512" s="9"/>
      <c r="D1512" s="9"/>
      <c r="E1512" s="9"/>
      <c r="F1512" s="17" t="str">
        <f aca="false">IF(AND(A1512="",B1512="",C1512=""),"",IF(NOT(ISNUMBER(A1512)),"Enter the date done",IF(OR(B1512="",C1512=""),"Fill in asset and task",IF(SUMPRODUCT(('PM Plan'!$A$5:$A$304=B1512)*('PM Plan'!$B$5:$B$304=C1512))=0,"No matching asset + task in plan","OK"))))</f>
        <v/>
      </c>
    </row>
    <row r="1513" customFormat="false" ht="15" hidden="false" customHeight="false" outlineLevel="0" collapsed="false">
      <c r="A1513" s="14"/>
      <c r="B1513" s="9"/>
      <c r="C1513" s="9"/>
      <c r="D1513" s="9"/>
      <c r="E1513" s="9"/>
      <c r="F1513" s="17" t="str">
        <f aca="false">IF(AND(A1513="",B1513="",C1513=""),"",IF(NOT(ISNUMBER(A1513)),"Enter the date done",IF(OR(B1513="",C1513=""),"Fill in asset and task",IF(SUMPRODUCT(('PM Plan'!$A$5:$A$304=B1513)*('PM Plan'!$B$5:$B$304=C1513))=0,"No matching asset + task in plan","OK"))))</f>
        <v/>
      </c>
    </row>
    <row r="1514" customFormat="false" ht="15" hidden="false" customHeight="false" outlineLevel="0" collapsed="false">
      <c r="A1514" s="14"/>
      <c r="B1514" s="9"/>
      <c r="C1514" s="9"/>
      <c r="D1514" s="9"/>
      <c r="E1514" s="9"/>
      <c r="F1514" s="17" t="str">
        <f aca="false">IF(AND(A1514="",B1514="",C1514=""),"",IF(NOT(ISNUMBER(A1514)),"Enter the date done",IF(OR(B1514="",C1514=""),"Fill in asset and task",IF(SUMPRODUCT(('PM Plan'!$A$5:$A$304=B1514)*('PM Plan'!$B$5:$B$304=C1514))=0,"No matching asset + task in plan","OK"))))</f>
        <v/>
      </c>
    </row>
    <row r="1515" customFormat="false" ht="15" hidden="false" customHeight="false" outlineLevel="0" collapsed="false">
      <c r="A1515" s="14"/>
      <c r="B1515" s="9"/>
      <c r="C1515" s="9"/>
      <c r="D1515" s="9"/>
      <c r="E1515" s="9"/>
      <c r="F1515" s="17" t="str">
        <f aca="false">IF(AND(A1515="",B1515="",C1515=""),"",IF(NOT(ISNUMBER(A1515)),"Enter the date done",IF(OR(B1515="",C1515=""),"Fill in asset and task",IF(SUMPRODUCT(('PM Plan'!$A$5:$A$304=B1515)*('PM Plan'!$B$5:$B$304=C1515))=0,"No matching asset + task in plan","OK"))))</f>
        <v/>
      </c>
    </row>
    <row r="1516" customFormat="false" ht="15" hidden="false" customHeight="false" outlineLevel="0" collapsed="false">
      <c r="A1516" s="14"/>
      <c r="B1516" s="9"/>
      <c r="C1516" s="9"/>
      <c r="D1516" s="9"/>
      <c r="E1516" s="9"/>
      <c r="F1516" s="17" t="str">
        <f aca="false">IF(AND(A1516="",B1516="",C1516=""),"",IF(NOT(ISNUMBER(A1516)),"Enter the date done",IF(OR(B1516="",C1516=""),"Fill in asset and task",IF(SUMPRODUCT(('PM Plan'!$A$5:$A$304=B1516)*('PM Plan'!$B$5:$B$304=C1516))=0,"No matching asset + task in plan","OK"))))</f>
        <v/>
      </c>
    </row>
    <row r="1517" customFormat="false" ht="15" hidden="false" customHeight="false" outlineLevel="0" collapsed="false">
      <c r="A1517" s="14"/>
      <c r="B1517" s="9"/>
      <c r="C1517" s="9"/>
      <c r="D1517" s="9"/>
      <c r="E1517" s="9"/>
      <c r="F1517" s="17" t="str">
        <f aca="false">IF(AND(A1517="",B1517="",C1517=""),"",IF(NOT(ISNUMBER(A1517)),"Enter the date done",IF(OR(B1517="",C1517=""),"Fill in asset and task",IF(SUMPRODUCT(('PM Plan'!$A$5:$A$304=B1517)*('PM Plan'!$B$5:$B$304=C1517))=0,"No matching asset + task in plan","OK"))))</f>
        <v/>
      </c>
    </row>
    <row r="1518" customFormat="false" ht="15" hidden="false" customHeight="false" outlineLevel="0" collapsed="false">
      <c r="A1518" s="14"/>
      <c r="B1518" s="9"/>
      <c r="C1518" s="9"/>
      <c r="D1518" s="9"/>
      <c r="E1518" s="9"/>
      <c r="F1518" s="17" t="str">
        <f aca="false">IF(AND(A1518="",B1518="",C1518=""),"",IF(NOT(ISNUMBER(A1518)),"Enter the date done",IF(OR(B1518="",C1518=""),"Fill in asset and task",IF(SUMPRODUCT(('PM Plan'!$A$5:$A$304=B1518)*('PM Plan'!$B$5:$B$304=C1518))=0,"No matching asset + task in plan","OK"))))</f>
        <v/>
      </c>
    </row>
    <row r="1519" customFormat="false" ht="15" hidden="false" customHeight="false" outlineLevel="0" collapsed="false">
      <c r="A1519" s="14"/>
      <c r="B1519" s="9"/>
      <c r="C1519" s="9"/>
      <c r="D1519" s="9"/>
      <c r="E1519" s="9"/>
      <c r="F1519" s="17" t="str">
        <f aca="false">IF(AND(A1519="",B1519="",C1519=""),"",IF(NOT(ISNUMBER(A1519)),"Enter the date done",IF(OR(B1519="",C1519=""),"Fill in asset and task",IF(SUMPRODUCT(('PM Plan'!$A$5:$A$304=B1519)*('PM Plan'!$B$5:$B$304=C1519))=0,"No matching asset + task in plan","OK"))))</f>
        <v/>
      </c>
    </row>
    <row r="1520" customFormat="false" ht="15" hidden="false" customHeight="false" outlineLevel="0" collapsed="false">
      <c r="A1520" s="14"/>
      <c r="B1520" s="9"/>
      <c r="C1520" s="9"/>
      <c r="D1520" s="9"/>
      <c r="E1520" s="9"/>
      <c r="F1520" s="17" t="str">
        <f aca="false">IF(AND(A1520="",B1520="",C1520=""),"",IF(NOT(ISNUMBER(A1520)),"Enter the date done",IF(OR(B1520="",C1520=""),"Fill in asset and task",IF(SUMPRODUCT(('PM Plan'!$A$5:$A$304=B1520)*('PM Plan'!$B$5:$B$304=C1520))=0,"No matching asset + task in plan","OK"))))</f>
        <v/>
      </c>
    </row>
    <row r="1521" customFormat="false" ht="15" hidden="false" customHeight="false" outlineLevel="0" collapsed="false">
      <c r="A1521" s="14"/>
      <c r="B1521" s="9"/>
      <c r="C1521" s="9"/>
      <c r="D1521" s="9"/>
      <c r="E1521" s="9"/>
      <c r="F1521" s="17" t="str">
        <f aca="false">IF(AND(A1521="",B1521="",C1521=""),"",IF(NOT(ISNUMBER(A1521)),"Enter the date done",IF(OR(B1521="",C1521=""),"Fill in asset and task",IF(SUMPRODUCT(('PM Plan'!$A$5:$A$304=B1521)*('PM Plan'!$B$5:$B$304=C1521))=0,"No matching asset + task in plan","OK"))))</f>
        <v/>
      </c>
    </row>
    <row r="1522" customFormat="false" ht="15" hidden="false" customHeight="false" outlineLevel="0" collapsed="false">
      <c r="A1522" s="14"/>
      <c r="B1522" s="9"/>
      <c r="C1522" s="9"/>
      <c r="D1522" s="9"/>
      <c r="E1522" s="9"/>
      <c r="F1522" s="17" t="str">
        <f aca="false">IF(AND(A1522="",B1522="",C1522=""),"",IF(NOT(ISNUMBER(A1522)),"Enter the date done",IF(OR(B1522="",C1522=""),"Fill in asset and task",IF(SUMPRODUCT(('PM Plan'!$A$5:$A$304=B1522)*('PM Plan'!$B$5:$B$304=C1522))=0,"No matching asset + task in plan","OK"))))</f>
        <v/>
      </c>
    </row>
    <row r="1523" customFormat="false" ht="15" hidden="false" customHeight="false" outlineLevel="0" collapsed="false">
      <c r="A1523" s="14"/>
      <c r="B1523" s="9"/>
      <c r="C1523" s="9"/>
      <c r="D1523" s="9"/>
      <c r="E1523" s="9"/>
      <c r="F1523" s="17" t="str">
        <f aca="false">IF(AND(A1523="",B1523="",C1523=""),"",IF(NOT(ISNUMBER(A1523)),"Enter the date done",IF(OR(B1523="",C1523=""),"Fill in asset and task",IF(SUMPRODUCT(('PM Plan'!$A$5:$A$304=B1523)*('PM Plan'!$B$5:$B$304=C1523))=0,"No matching asset + task in plan","OK"))))</f>
        <v/>
      </c>
    </row>
    <row r="1524" customFormat="false" ht="15" hidden="false" customHeight="false" outlineLevel="0" collapsed="false">
      <c r="A1524" s="14"/>
      <c r="B1524" s="9"/>
      <c r="C1524" s="9"/>
      <c r="D1524" s="9"/>
      <c r="E1524" s="9"/>
      <c r="F1524" s="17" t="str">
        <f aca="false">IF(AND(A1524="",B1524="",C1524=""),"",IF(NOT(ISNUMBER(A1524)),"Enter the date done",IF(OR(B1524="",C1524=""),"Fill in asset and task",IF(SUMPRODUCT(('PM Plan'!$A$5:$A$304=B1524)*('PM Plan'!$B$5:$B$304=C1524))=0,"No matching asset + task in plan","OK"))))</f>
        <v/>
      </c>
    </row>
    <row r="1525" customFormat="false" ht="15" hidden="false" customHeight="false" outlineLevel="0" collapsed="false">
      <c r="A1525" s="14"/>
      <c r="B1525" s="9"/>
      <c r="C1525" s="9"/>
      <c r="D1525" s="9"/>
      <c r="E1525" s="9"/>
      <c r="F1525" s="17" t="str">
        <f aca="false">IF(AND(A1525="",B1525="",C1525=""),"",IF(NOT(ISNUMBER(A1525)),"Enter the date done",IF(OR(B1525="",C1525=""),"Fill in asset and task",IF(SUMPRODUCT(('PM Plan'!$A$5:$A$304=B1525)*('PM Plan'!$B$5:$B$304=C1525))=0,"No matching asset + task in plan","OK"))))</f>
        <v/>
      </c>
    </row>
    <row r="1526" customFormat="false" ht="15" hidden="false" customHeight="false" outlineLevel="0" collapsed="false">
      <c r="A1526" s="14"/>
      <c r="B1526" s="9"/>
      <c r="C1526" s="9"/>
      <c r="D1526" s="9"/>
      <c r="E1526" s="9"/>
      <c r="F1526" s="17" t="str">
        <f aca="false">IF(AND(A1526="",B1526="",C1526=""),"",IF(NOT(ISNUMBER(A1526)),"Enter the date done",IF(OR(B1526="",C1526=""),"Fill in asset and task",IF(SUMPRODUCT(('PM Plan'!$A$5:$A$304=B1526)*('PM Plan'!$B$5:$B$304=C1526))=0,"No matching asset + task in plan","OK"))))</f>
        <v/>
      </c>
    </row>
    <row r="1527" customFormat="false" ht="15" hidden="false" customHeight="false" outlineLevel="0" collapsed="false">
      <c r="A1527" s="14"/>
      <c r="B1527" s="9"/>
      <c r="C1527" s="9"/>
      <c r="D1527" s="9"/>
      <c r="E1527" s="9"/>
      <c r="F1527" s="17" t="str">
        <f aca="false">IF(AND(A1527="",B1527="",C1527=""),"",IF(NOT(ISNUMBER(A1527)),"Enter the date done",IF(OR(B1527="",C1527=""),"Fill in asset and task",IF(SUMPRODUCT(('PM Plan'!$A$5:$A$304=B1527)*('PM Plan'!$B$5:$B$304=C1527))=0,"No matching asset + task in plan","OK"))))</f>
        <v/>
      </c>
    </row>
    <row r="1528" customFormat="false" ht="15" hidden="false" customHeight="false" outlineLevel="0" collapsed="false">
      <c r="A1528" s="14"/>
      <c r="B1528" s="9"/>
      <c r="C1528" s="9"/>
      <c r="D1528" s="9"/>
      <c r="E1528" s="9"/>
      <c r="F1528" s="17" t="str">
        <f aca="false">IF(AND(A1528="",B1528="",C1528=""),"",IF(NOT(ISNUMBER(A1528)),"Enter the date done",IF(OR(B1528="",C1528=""),"Fill in asset and task",IF(SUMPRODUCT(('PM Plan'!$A$5:$A$304=B1528)*('PM Plan'!$B$5:$B$304=C1528))=0,"No matching asset + task in plan","OK"))))</f>
        <v/>
      </c>
    </row>
    <row r="1529" customFormat="false" ht="15" hidden="false" customHeight="false" outlineLevel="0" collapsed="false">
      <c r="A1529" s="14"/>
      <c r="B1529" s="9"/>
      <c r="C1529" s="9"/>
      <c r="D1529" s="9"/>
      <c r="E1529" s="9"/>
      <c r="F1529" s="17" t="str">
        <f aca="false">IF(AND(A1529="",B1529="",C1529=""),"",IF(NOT(ISNUMBER(A1529)),"Enter the date done",IF(OR(B1529="",C1529=""),"Fill in asset and task",IF(SUMPRODUCT(('PM Plan'!$A$5:$A$304=B1529)*('PM Plan'!$B$5:$B$304=C1529))=0,"No matching asset + task in plan","OK"))))</f>
        <v/>
      </c>
    </row>
    <row r="1530" customFormat="false" ht="15" hidden="false" customHeight="false" outlineLevel="0" collapsed="false">
      <c r="A1530" s="14"/>
      <c r="B1530" s="9"/>
      <c r="C1530" s="9"/>
      <c r="D1530" s="9"/>
      <c r="E1530" s="9"/>
      <c r="F1530" s="17" t="str">
        <f aca="false">IF(AND(A1530="",B1530="",C1530=""),"",IF(NOT(ISNUMBER(A1530)),"Enter the date done",IF(OR(B1530="",C1530=""),"Fill in asset and task",IF(SUMPRODUCT(('PM Plan'!$A$5:$A$304=B1530)*('PM Plan'!$B$5:$B$304=C1530))=0,"No matching asset + task in plan","OK"))))</f>
        <v/>
      </c>
    </row>
    <row r="1531" customFormat="false" ht="15" hidden="false" customHeight="false" outlineLevel="0" collapsed="false">
      <c r="A1531" s="14"/>
      <c r="B1531" s="9"/>
      <c r="C1531" s="9"/>
      <c r="D1531" s="9"/>
      <c r="E1531" s="9"/>
      <c r="F1531" s="17" t="str">
        <f aca="false">IF(AND(A1531="",B1531="",C1531=""),"",IF(NOT(ISNUMBER(A1531)),"Enter the date done",IF(OR(B1531="",C1531=""),"Fill in asset and task",IF(SUMPRODUCT(('PM Plan'!$A$5:$A$304=B1531)*('PM Plan'!$B$5:$B$304=C1531))=0,"No matching asset + task in plan","OK"))))</f>
        <v/>
      </c>
    </row>
    <row r="1532" customFormat="false" ht="15" hidden="false" customHeight="false" outlineLevel="0" collapsed="false">
      <c r="A1532" s="14"/>
      <c r="B1532" s="9"/>
      <c r="C1532" s="9"/>
      <c r="D1532" s="9"/>
      <c r="E1532" s="9"/>
      <c r="F1532" s="17" t="str">
        <f aca="false">IF(AND(A1532="",B1532="",C1532=""),"",IF(NOT(ISNUMBER(A1532)),"Enter the date done",IF(OR(B1532="",C1532=""),"Fill in asset and task",IF(SUMPRODUCT(('PM Plan'!$A$5:$A$304=B1532)*('PM Plan'!$B$5:$B$304=C1532))=0,"No matching asset + task in plan","OK"))))</f>
        <v/>
      </c>
    </row>
    <row r="1533" customFormat="false" ht="15" hidden="false" customHeight="false" outlineLevel="0" collapsed="false">
      <c r="A1533" s="14"/>
      <c r="B1533" s="9"/>
      <c r="C1533" s="9"/>
      <c r="D1533" s="9"/>
      <c r="E1533" s="9"/>
      <c r="F1533" s="17" t="str">
        <f aca="false">IF(AND(A1533="",B1533="",C1533=""),"",IF(NOT(ISNUMBER(A1533)),"Enter the date done",IF(OR(B1533="",C1533=""),"Fill in asset and task",IF(SUMPRODUCT(('PM Plan'!$A$5:$A$304=B1533)*('PM Plan'!$B$5:$B$304=C1533))=0,"No matching asset + task in plan","OK"))))</f>
        <v/>
      </c>
    </row>
    <row r="1534" customFormat="false" ht="15" hidden="false" customHeight="false" outlineLevel="0" collapsed="false">
      <c r="A1534" s="14"/>
      <c r="B1534" s="9"/>
      <c r="C1534" s="9"/>
      <c r="D1534" s="9"/>
      <c r="E1534" s="9"/>
      <c r="F1534" s="17" t="str">
        <f aca="false">IF(AND(A1534="",B1534="",C1534=""),"",IF(NOT(ISNUMBER(A1534)),"Enter the date done",IF(OR(B1534="",C1534=""),"Fill in asset and task",IF(SUMPRODUCT(('PM Plan'!$A$5:$A$304=B1534)*('PM Plan'!$B$5:$B$304=C1534))=0,"No matching asset + task in plan","OK"))))</f>
        <v/>
      </c>
    </row>
    <row r="1535" customFormat="false" ht="15" hidden="false" customHeight="false" outlineLevel="0" collapsed="false">
      <c r="A1535" s="14"/>
      <c r="B1535" s="9"/>
      <c r="C1535" s="9"/>
      <c r="D1535" s="9"/>
      <c r="E1535" s="9"/>
      <c r="F1535" s="17" t="str">
        <f aca="false">IF(AND(A1535="",B1535="",C1535=""),"",IF(NOT(ISNUMBER(A1535)),"Enter the date done",IF(OR(B1535="",C1535=""),"Fill in asset and task",IF(SUMPRODUCT(('PM Plan'!$A$5:$A$304=B1535)*('PM Plan'!$B$5:$B$304=C1535))=0,"No matching asset + task in plan","OK"))))</f>
        <v/>
      </c>
    </row>
    <row r="1536" customFormat="false" ht="15" hidden="false" customHeight="false" outlineLevel="0" collapsed="false">
      <c r="A1536" s="14"/>
      <c r="B1536" s="9"/>
      <c r="C1536" s="9"/>
      <c r="D1536" s="9"/>
      <c r="E1536" s="9"/>
      <c r="F1536" s="17" t="str">
        <f aca="false">IF(AND(A1536="",B1536="",C1536=""),"",IF(NOT(ISNUMBER(A1536)),"Enter the date done",IF(OR(B1536="",C1536=""),"Fill in asset and task",IF(SUMPRODUCT(('PM Plan'!$A$5:$A$304=B1536)*('PM Plan'!$B$5:$B$304=C1536))=0,"No matching asset + task in plan","OK"))))</f>
        <v/>
      </c>
    </row>
    <row r="1537" customFormat="false" ht="15" hidden="false" customHeight="false" outlineLevel="0" collapsed="false">
      <c r="A1537" s="14"/>
      <c r="B1537" s="9"/>
      <c r="C1537" s="9"/>
      <c r="D1537" s="9"/>
      <c r="E1537" s="9"/>
      <c r="F1537" s="17" t="str">
        <f aca="false">IF(AND(A1537="",B1537="",C1537=""),"",IF(NOT(ISNUMBER(A1537)),"Enter the date done",IF(OR(B1537="",C1537=""),"Fill in asset and task",IF(SUMPRODUCT(('PM Plan'!$A$5:$A$304=B1537)*('PM Plan'!$B$5:$B$304=C1537))=0,"No matching asset + task in plan","OK"))))</f>
        <v/>
      </c>
    </row>
    <row r="1538" customFormat="false" ht="15" hidden="false" customHeight="false" outlineLevel="0" collapsed="false">
      <c r="A1538" s="14"/>
      <c r="B1538" s="9"/>
      <c r="C1538" s="9"/>
      <c r="D1538" s="9"/>
      <c r="E1538" s="9"/>
      <c r="F1538" s="17" t="str">
        <f aca="false">IF(AND(A1538="",B1538="",C1538=""),"",IF(NOT(ISNUMBER(A1538)),"Enter the date done",IF(OR(B1538="",C1538=""),"Fill in asset and task",IF(SUMPRODUCT(('PM Plan'!$A$5:$A$304=B1538)*('PM Plan'!$B$5:$B$304=C1538))=0,"No matching asset + task in plan","OK"))))</f>
        <v/>
      </c>
    </row>
    <row r="1539" customFormat="false" ht="15" hidden="false" customHeight="false" outlineLevel="0" collapsed="false">
      <c r="A1539" s="14"/>
      <c r="B1539" s="9"/>
      <c r="C1539" s="9"/>
      <c r="D1539" s="9"/>
      <c r="E1539" s="9"/>
      <c r="F1539" s="17" t="str">
        <f aca="false">IF(AND(A1539="",B1539="",C1539=""),"",IF(NOT(ISNUMBER(A1539)),"Enter the date done",IF(OR(B1539="",C1539=""),"Fill in asset and task",IF(SUMPRODUCT(('PM Plan'!$A$5:$A$304=B1539)*('PM Plan'!$B$5:$B$304=C1539))=0,"No matching asset + task in plan","OK"))))</f>
        <v/>
      </c>
    </row>
    <row r="1540" customFormat="false" ht="15" hidden="false" customHeight="false" outlineLevel="0" collapsed="false">
      <c r="A1540" s="14"/>
      <c r="B1540" s="9"/>
      <c r="C1540" s="9"/>
      <c r="D1540" s="9"/>
      <c r="E1540" s="9"/>
      <c r="F1540" s="17" t="str">
        <f aca="false">IF(AND(A1540="",B1540="",C1540=""),"",IF(NOT(ISNUMBER(A1540)),"Enter the date done",IF(OR(B1540="",C1540=""),"Fill in asset and task",IF(SUMPRODUCT(('PM Plan'!$A$5:$A$304=B1540)*('PM Plan'!$B$5:$B$304=C1540))=0,"No matching asset + task in plan","OK"))))</f>
        <v/>
      </c>
    </row>
    <row r="1541" customFormat="false" ht="15" hidden="false" customHeight="false" outlineLevel="0" collapsed="false">
      <c r="A1541" s="14"/>
      <c r="B1541" s="9"/>
      <c r="C1541" s="9"/>
      <c r="D1541" s="9"/>
      <c r="E1541" s="9"/>
      <c r="F1541" s="17" t="str">
        <f aca="false">IF(AND(A1541="",B1541="",C1541=""),"",IF(NOT(ISNUMBER(A1541)),"Enter the date done",IF(OR(B1541="",C1541=""),"Fill in asset and task",IF(SUMPRODUCT(('PM Plan'!$A$5:$A$304=B1541)*('PM Plan'!$B$5:$B$304=C1541))=0,"No matching asset + task in plan","OK"))))</f>
        <v/>
      </c>
    </row>
    <row r="1542" customFormat="false" ht="15" hidden="false" customHeight="false" outlineLevel="0" collapsed="false">
      <c r="A1542" s="14"/>
      <c r="B1542" s="9"/>
      <c r="C1542" s="9"/>
      <c r="D1542" s="9"/>
      <c r="E1542" s="9"/>
      <c r="F1542" s="17" t="str">
        <f aca="false">IF(AND(A1542="",B1542="",C1542=""),"",IF(NOT(ISNUMBER(A1542)),"Enter the date done",IF(OR(B1542="",C1542=""),"Fill in asset and task",IF(SUMPRODUCT(('PM Plan'!$A$5:$A$304=B1542)*('PM Plan'!$B$5:$B$304=C1542))=0,"No matching asset + task in plan","OK"))))</f>
        <v/>
      </c>
    </row>
    <row r="1543" customFormat="false" ht="15" hidden="false" customHeight="false" outlineLevel="0" collapsed="false">
      <c r="A1543" s="14"/>
      <c r="B1543" s="9"/>
      <c r="C1543" s="9"/>
      <c r="D1543" s="9"/>
      <c r="E1543" s="9"/>
      <c r="F1543" s="17" t="str">
        <f aca="false">IF(AND(A1543="",B1543="",C1543=""),"",IF(NOT(ISNUMBER(A1543)),"Enter the date done",IF(OR(B1543="",C1543=""),"Fill in asset and task",IF(SUMPRODUCT(('PM Plan'!$A$5:$A$304=B1543)*('PM Plan'!$B$5:$B$304=C1543))=0,"No matching asset + task in plan","OK"))))</f>
        <v/>
      </c>
    </row>
    <row r="1544" customFormat="false" ht="15" hidden="false" customHeight="false" outlineLevel="0" collapsed="false">
      <c r="A1544" s="14"/>
      <c r="B1544" s="9"/>
      <c r="C1544" s="9"/>
      <c r="D1544" s="9"/>
      <c r="E1544" s="9"/>
      <c r="F1544" s="17" t="str">
        <f aca="false">IF(AND(A1544="",B1544="",C1544=""),"",IF(NOT(ISNUMBER(A1544)),"Enter the date done",IF(OR(B1544="",C1544=""),"Fill in asset and task",IF(SUMPRODUCT(('PM Plan'!$A$5:$A$304=B1544)*('PM Plan'!$B$5:$B$304=C1544))=0,"No matching asset + task in plan","OK"))))</f>
        <v/>
      </c>
    </row>
    <row r="1545" customFormat="false" ht="15" hidden="false" customHeight="false" outlineLevel="0" collapsed="false">
      <c r="A1545" s="14"/>
      <c r="B1545" s="9"/>
      <c r="C1545" s="9"/>
      <c r="D1545" s="9"/>
      <c r="E1545" s="9"/>
      <c r="F1545" s="17" t="str">
        <f aca="false">IF(AND(A1545="",B1545="",C1545=""),"",IF(NOT(ISNUMBER(A1545)),"Enter the date done",IF(OR(B1545="",C1545=""),"Fill in asset and task",IF(SUMPRODUCT(('PM Plan'!$A$5:$A$304=B1545)*('PM Plan'!$B$5:$B$304=C1545))=0,"No matching asset + task in plan","OK"))))</f>
        <v/>
      </c>
    </row>
    <row r="1546" customFormat="false" ht="15" hidden="false" customHeight="false" outlineLevel="0" collapsed="false">
      <c r="A1546" s="14"/>
      <c r="B1546" s="9"/>
      <c r="C1546" s="9"/>
      <c r="D1546" s="9"/>
      <c r="E1546" s="9"/>
      <c r="F1546" s="17" t="str">
        <f aca="false">IF(AND(A1546="",B1546="",C1546=""),"",IF(NOT(ISNUMBER(A1546)),"Enter the date done",IF(OR(B1546="",C1546=""),"Fill in asset and task",IF(SUMPRODUCT(('PM Plan'!$A$5:$A$304=B1546)*('PM Plan'!$B$5:$B$304=C1546))=0,"No matching asset + task in plan","OK"))))</f>
        <v/>
      </c>
    </row>
    <row r="1547" customFormat="false" ht="15" hidden="false" customHeight="false" outlineLevel="0" collapsed="false">
      <c r="A1547" s="14"/>
      <c r="B1547" s="9"/>
      <c r="C1547" s="9"/>
      <c r="D1547" s="9"/>
      <c r="E1547" s="9"/>
      <c r="F1547" s="17" t="str">
        <f aca="false">IF(AND(A1547="",B1547="",C1547=""),"",IF(NOT(ISNUMBER(A1547)),"Enter the date done",IF(OR(B1547="",C1547=""),"Fill in asset and task",IF(SUMPRODUCT(('PM Plan'!$A$5:$A$304=B1547)*('PM Plan'!$B$5:$B$304=C1547))=0,"No matching asset + task in plan","OK"))))</f>
        <v/>
      </c>
    </row>
    <row r="1548" customFormat="false" ht="15" hidden="false" customHeight="false" outlineLevel="0" collapsed="false">
      <c r="A1548" s="14"/>
      <c r="B1548" s="9"/>
      <c r="C1548" s="9"/>
      <c r="D1548" s="9"/>
      <c r="E1548" s="9"/>
      <c r="F1548" s="17" t="str">
        <f aca="false">IF(AND(A1548="",B1548="",C1548=""),"",IF(NOT(ISNUMBER(A1548)),"Enter the date done",IF(OR(B1548="",C1548=""),"Fill in asset and task",IF(SUMPRODUCT(('PM Plan'!$A$5:$A$304=B1548)*('PM Plan'!$B$5:$B$304=C1548))=0,"No matching asset + task in plan","OK"))))</f>
        <v/>
      </c>
    </row>
    <row r="1549" customFormat="false" ht="15" hidden="false" customHeight="false" outlineLevel="0" collapsed="false">
      <c r="A1549" s="14"/>
      <c r="B1549" s="9"/>
      <c r="C1549" s="9"/>
      <c r="D1549" s="9"/>
      <c r="E1549" s="9"/>
      <c r="F1549" s="17" t="str">
        <f aca="false">IF(AND(A1549="",B1549="",C1549=""),"",IF(NOT(ISNUMBER(A1549)),"Enter the date done",IF(OR(B1549="",C1549=""),"Fill in asset and task",IF(SUMPRODUCT(('PM Plan'!$A$5:$A$304=B1549)*('PM Plan'!$B$5:$B$304=C1549))=0,"No matching asset + task in plan","OK"))))</f>
        <v/>
      </c>
    </row>
    <row r="1550" customFormat="false" ht="15" hidden="false" customHeight="false" outlineLevel="0" collapsed="false">
      <c r="A1550" s="14"/>
      <c r="B1550" s="9"/>
      <c r="C1550" s="9"/>
      <c r="D1550" s="9"/>
      <c r="E1550" s="9"/>
      <c r="F1550" s="17" t="str">
        <f aca="false">IF(AND(A1550="",B1550="",C1550=""),"",IF(NOT(ISNUMBER(A1550)),"Enter the date done",IF(OR(B1550="",C1550=""),"Fill in asset and task",IF(SUMPRODUCT(('PM Plan'!$A$5:$A$304=B1550)*('PM Plan'!$B$5:$B$304=C1550))=0,"No matching asset + task in plan","OK"))))</f>
        <v/>
      </c>
    </row>
    <row r="1551" customFormat="false" ht="15" hidden="false" customHeight="false" outlineLevel="0" collapsed="false">
      <c r="A1551" s="14"/>
      <c r="B1551" s="9"/>
      <c r="C1551" s="9"/>
      <c r="D1551" s="9"/>
      <c r="E1551" s="9"/>
      <c r="F1551" s="17" t="str">
        <f aca="false">IF(AND(A1551="",B1551="",C1551=""),"",IF(NOT(ISNUMBER(A1551)),"Enter the date done",IF(OR(B1551="",C1551=""),"Fill in asset and task",IF(SUMPRODUCT(('PM Plan'!$A$5:$A$304=B1551)*('PM Plan'!$B$5:$B$304=C1551))=0,"No matching asset + task in plan","OK"))))</f>
        <v/>
      </c>
    </row>
    <row r="1552" customFormat="false" ht="15" hidden="false" customHeight="false" outlineLevel="0" collapsed="false">
      <c r="A1552" s="14"/>
      <c r="B1552" s="9"/>
      <c r="C1552" s="9"/>
      <c r="D1552" s="9"/>
      <c r="E1552" s="9"/>
      <c r="F1552" s="17" t="str">
        <f aca="false">IF(AND(A1552="",B1552="",C1552=""),"",IF(NOT(ISNUMBER(A1552)),"Enter the date done",IF(OR(B1552="",C1552=""),"Fill in asset and task",IF(SUMPRODUCT(('PM Plan'!$A$5:$A$304=B1552)*('PM Plan'!$B$5:$B$304=C1552))=0,"No matching asset + task in plan","OK"))))</f>
        <v/>
      </c>
    </row>
    <row r="1553" customFormat="false" ht="15" hidden="false" customHeight="false" outlineLevel="0" collapsed="false">
      <c r="A1553" s="14"/>
      <c r="B1553" s="9"/>
      <c r="C1553" s="9"/>
      <c r="D1553" s="9"/>
      <c r="E1553" s="9"/>
      <c r="F1553" s="17" t="str">
        <f aca="false">IF(AND(A1553="",B1553="",C1553=""),"",IF(NOT(ISNUMBER(A1553)),"Enter the date done",IF(OR(B1553="",C1553=""),"Fill in asset and task",IF(SUMPRODUCT(('PM Plan'!$A$5:$A$304=B1553)*('PM Plan'!$B$5:$B$304=C1553))=0,"No matching asset + task in plan","OK"))))</f>
        <v/>
      </c>
    </row>
    <row r="1554" customFormat="false" ht="15" hidden="false" customHeight="false" outlineLevel="0" collapsed="false">
      <c r="A1554" s="14"/>
      <c r="B1554" s="9"/>
      <c r="C1554" s="9"/>
      <c r="D1554" s="9"/>
      <c r="E1554" s="9"/>
      <c r="F1554" s="17" t="str">
        <f aca="false">IF(AND(A1554="",B1554="",C1554=""),"",IF(NOT(ISNUMBER(A1554)),"Enter the date done",IF(OR(B1554="",C1554=""),"Fill in asset and task",IF(SUMPRODUCT(('PM Plan'!$A$5:$A$304=B1554)*('PM Plan'!$B$5:$B$304=C1554))=0,"No matching asset + task in plan","OK"))))</f>
        <v/>
      </c>
    </row>
    <row r="1555" customFormat="false" ht="15" hidden="false" customHeight="false" outlineLevel="0" collapsed="false">
      <c r="A1555" s="14"/>
      <c r="B1555" s="9"/>
      <c r="C1555" s="9"/>
      <c r="D1555" s="9"/>
      <c r="E1555" s="9"/>
      <c r="F1555" s="17" t="str">
        <f aca="false">IF(AND(A1555="",B1555="",C1555=""),"",IF(NOT(ISNUMBER(A1555)),"Enter the date done",IF(OR(B1555="",C1555=""),"Fill in asset and task",IF(SUMPRODUCT(('PM Plan'!$A$5:$A$304=B1555)*('PM Plan'!$B$5:$B$304=C1555))=0,"No matching asset + task in plan","OK"))))</f>
        <v/>
      </c>
    </row>
    <row r="1556" customFormat="false" ht="15" hidden="false" customHeight="false" outlineLevel="0" collapsed="false">
      <c r="A1556" s="14"/>
      <c r="B1556" s="9"/>
      <c r="C1556" s="9"/>
      <c r="D1556" s="9"/>
      <c r="E1556" s="9"/>
      <c r="F1556" s="17" t="str">
        <f aca="false">IF(AND(A1556="",B1556="",C1556=""),"",IF(NOT(ISNUMBER(A1556)),"Enter the date done",IF(OR(B1556="",C1556=""),"Fill in asset and task",IF(SUMPRODUCT(('PM Plan'!$A$5:$A$304=B1556)*('PM Plan'!$B$5:$B$304=C1556))=0,"No matching asset + task in plan","OK"))))</f>
        <v/>
      </c>
    </row>
    <row r="1557" customFormat="false" ht="15" hidden="false" customHeight="false" outlineLevel="0" collapsed="false">
      <c r="A1557" s="14"/>
      <c r="B1557" s="9"/>
      <c r="C1557" s="9"/>
      <c r="D1557" s="9"/>
      <c r="E1557" s="9"/>
      <c r="F1557" s="17" t="str">
        <f aca="false">IF(AND(A1557="",B1557="",C1557=""),"",IF(NOT(ISNUMBER(A1557)),"Enter the date done",IF(OR(B1557="",C1557=""),"Fill in asset and task",IF(SUMPRODUCT(('PM Plan'!$A$5:$A$304=B1557)*('PM Plan'!$B$5:$B$304=C1557))=0,"No matching asset + task in plan","OK"))))</f>
        <v/>
      </c>
    </row>
    <row r="1558" customFormat="false" ht="15" hidden="false" customHeight="false" outlineLevel="0" collapsed="false">
      <c r="A1558" s="14"/>
      <c r="B1558" s="9"/>
      <c r="C1558" s="9"/>
      <c r="D1558" s="9"/>
      <c r="E1558" s="9"/>
      <c r="F1558" s="17" t="str">
        <f aca="false">IF(AND(A1558="",B1558="",C1558=""),"",IF(NOT(ISNUMBER(A1558)),"Enter the date done",IF(OR(B1558="",C1558=""),"Fill in asset and task",IF(SUMPRODUCT(('PM Plan'!$A$5:$A$304=B1558)*('PM Plan'!$B$5:$B$304=C1558))=0,"No matching asset + task in plan","OK"))))</f>
        <v/>
      </c>
    </row>
    <row r="1559" customFormat="false" ht="15" hidden="false" customHeight="false" outlineLevel="0" collapsed="false">
      <c r="A1559" s="14"/>
      <c r="B1559" s="9"/>
      <c r="C1559" s="9"/>
      <c r="D1559" s="9"/>
      <c r="E1559" s="9"/>
      <c r="F1559" s="17" t="str">
        <f aca="false">IF(AND(A1559="",B1559="",C1559=""),"",IF(NOT(ISNUMBER(A1559)),"Enter the date done",IF(OR(B1559="",C1559=""),"Fill in asset and task",IF(SUMPRODUCT(('PM Plan'!$A$5:$A$304=B1559)*('PM Plan'!$B$5:$B$304=C1559))=0,"No matching asset + task in plan","OK"))))</f>
        <v/>
      </c>
    </row>
    <row r="1560" customFormat="false" ht="15" hidden="false" customHeight="false" outlineLevel="0" collapsed="false">
      <c r="A1560" s="14"/>
      <c r="B1560" s="9"/>
      <c r="C1560" s="9"/>
      <c r="D1560" s="9"/>
      <c r="E1560" s="9"/>
      <c r="F1560" s="17" t="str">
        <f aca="false">IF(AND(A1560="",B1560="",C1560=""),"",IF(NOT(ISNUMBER(A1560)),"Enter the date done",IF(OR(B1560="",C1560=""),"Fill in asset and task",IF(SUMPRODUCT(('PM Plan'!$A$5:$A$304=B1560)*('PM Plan'!$B$5:$B$304=C1560))=0,"No matching asset + task in plan","OK"))))</f>
        <v/>
      </c>
    </row>
    <row r="1561" customFormat="false" ht="15" hidden="false" customHeight="false" outlineLevel="0" collapsed="false">
      <c r="A1561" s="14"/>
      <c r="B1561" s="9"/>
      <c r="C1561" s="9"/>
      <c r="D1561" s="9"/>
      <c r="E1561" s="9"/>
      <c r="F1561" s="17" t="str">
        <f aca="false">IF(AND(A1561="",B1561="",C1561=""),"",IF(NOT(ISNUMBER(A1561)),"Enter the date done",IF(OR(B1561="",C1561=""),"Fill in asset and task",IF(SUMPRODUCT(('PM Plan'!$A$5:$A$304=B1561)*('PM Plan'!$B$5:$B$304=C1561))=0,"No matching asset + task in plan","OK"))))</f>
        <v/>
      </c>
    </row>
    <row r="1562" customFormat="false" ht="15" hidden="false" customHeight="false" outlineLevel="0" collapsed="false">
      <c r="A1562" s="14"/>
      <c r="B1562" s="9"/>
      <c r="C1562" s="9"/>
      <c r="D1562" s="9"/>
      <c r="E1562" s="9"/>
      <c r="F1562" s="17" t="str">
        <f aca="false">IF(AND(A1562="",B1562="",C1562=""),"",IF(NOT(ISNUMBER(A1562)),"Enter the date done",IF(OR(B1562="",C1562=""),"Fill in asset and task",IF(SUMPRODUCT(('PM Plan'!$A$5:$A$304=B1562)*('PM Plan'!$B$5:$B$304=C1562))=0,"No matching asset + task in plan","OK"))))</f>
        <v/>
      </c>
    </row>
    <row r="1563" customFormat="false" ht="15" hidden="false" customHeight="false" outlineLevel="0" collapsed="false">
      <c r="A1563" s="14"/>
      <c r="B1563" s="9"/>
      <c r="C1563" s="9"/>
      <c r="D1563" s="9"/>
      <c r="E1563" s="9"/>
      <c r="F1563" s="17" t="str">
        <f aca="false">IF(AND(A1563="",B1563="",C1563=""),"",IF(NOT(ISNUMBER(A1563)),"Enter the date done",IF(OR(B1563="",C1563=""),"Fill in asset and task",IF(SUMPRODUCT(('PM Plan'!$A$5:$A$304=B1563)*('PM Plan'!$B$5:$B$304=C1563))=0,"No matching asset + task in plan","OK"))))</f>
        <v/>
      </c>
    </row>
    <row r="1564" customFormat="false" ht="15" hidden="false" customHeight="false" outlineLevel="0" collapsed="false">
      <c r="A1564" s="14"/>
      <c r="B1564" s="9"/>
      <c r="C1564" s="9"/>
      <c r="D1564" s="9"/>
      <c r="E1564" s="9"/>
      <c r="F1564" s="17" t="str">
        <f aca="false">IF(AND(A1564="",B1564="",C1564=""),"",IF(NOT(ISNUMBER(A1564)),"Enter the date done",IF(OR(B1564="",C1564=""),"Fill in asset and task",IF(SUMPRODUCT(('PM Plan'!$A$5:$A$304=B1564)*('PM Plan'!$B$5:$B$304=C1564))=0,"No matching asset + task in plan","OK"))))</f>
        <v/>
      </c>
    </row>
    <row r="1565" customFormat="false" ht="15" hidden="false" customHeight="false" outlineLevel="0" collapsed="false">
      <c r="A1565" s="14"/>
      <c r="B1565" s="9"/>
      <c r="C1565" s="9"/>
      <c r="D1565" s="9"/>
      <c r="E1565" s="9"/>
      <c r="F1565" s="17" t="str">
        <f aca="false">IF(AND(A1565="",B1565="",C1565=""),"",IF(NOT(ISNUMBER(A1565)),"Enter the date done",IF(OR(B1565="",C1565=""),"Fill in asset and task",IF(SUMPRODUCT(('PM Plan'!$A$5:$A$304=B1565)*('PM Plan'!$B$5:$B$304=C1565))=0,"No matching asset + task in plan","OK"))))</f>
        <v/>
      </c>
    </row>
    <row r="1566" customFormat="false" ht="15" hidden="false" customHeight="false" outlineLevel="0" collapsed="false">
      <c r="A1566" s="14"/>
      <c r="B1566" s="9"/>
      <c r="C1566" s="9"/>
      <c r="D1566" s="9"/>
      <c r="E1566" s="9"/>
      <c r="F1566" s="17" t="str">
        <f aca="false">IF(AND(A1566="",B1566="",C1566=""),"",IF(NOT(ISNUMBER(A1566)),"Enter the date done",IF(OR(B1566="",C1566=""),"Fill in asset and task",IF(SUMPRODUCT(('PM Plan'!$A$5:$A$304=B1566)*('PM Plan'!$B$5:$B$304=C1566))=0,"No matching asset + task in plan","OK"))))</f>
        <v/>
      </c>
    </row>
    <row r="1567" customFormat="false" ht="15" hidden="false" customHeight="false" outlineLevel="0" collapsed="false">
      <c r="A1567" s="14"/>
      <c r="B1567" s="9"/>
      <c r="C1567" s="9"/>
      <c r="D1567" s="9"/>
      <c r="E1567" s="9"/>
      <c r="F1567" s="17" t="str">
        <f aca="false">IF(AND(A1567="",B1567="",C1567=""),"",IF(NOT(ISNUMBER(A1567)),"Enter the date done",IF(OR(B1567="",C1567=""),"Fill in asset and task",IF(SUMPRODUCT(('PM Plan'!$A$5:$A$304=B1567)*('PM Plan'!$B$5:$B$304=C1567))=0,"No matching asset + task in plan","OK"))))</f>
        <v/>
      </c>
    </row>
    <row r="1568" customFormat="false" ht="15" hidden="false" customHeight="false" outlineLevel="0" collapsed="false">
      <c r="A1568" s="14"/>
      <c r="B1568" s="9"/>
      <c r="C1568" s="9"/>
      <c r="D1568" s="9"/>
      <c r="E1568" s="9"/>
      <c r="F1568" s="17" t="str">
        <f aca="false">IF(AND(A1568="",B1568="",C1568=""),"",IF(NOT(ISNUMBER(A1568)),"Enter the date done",IF(OR(B1568="",C1568=""),"Fill in asset and task",IF(SUMPRODUCT(('PM Plan'!$A$5:$A$304=B1568)*('PM Plan'!$B$5:$B$304=C1568))=0,"No matching asset + task in plan","OK"))))</f>
        <v/>
      </c>
    </row>
    <row r="1569" customFormat="false" ht="15" hidden="false" customHeight="false" outlineLevel="0" collapsed="false">
      <c r="A1569" s="14"/>
      <c r="B1569" s="9"/>
      <c r="C1569" s="9"/>
      <c r="D1569" s="9"/>
      <c r="E1569" s="9"/>
      <c r="F1569" s="17" t="str">
        <f aca="false">IF(AND(A1569="",B1569="",C1569=""),"",IF(NOT(ISNUMBER(A1569)),"Enter the date done",IF(OR(B1569="",C1569=""),"Fill in asset and task",IF(SUMPRODUCT(('PM Plan'!$A$5:$A$304=B1569)*('PM Plan'!$B$5:$B$304=C1569))=0,"No matching asset + task in plan","OK"))))</f>
        <v/>
      </c>
    </row>
    <row r="1570" customFormat="false" ht="15" hidden="false" customHeight="false" outlineLevel="0" collapsed="false">
      <c r="A1570" s="14"/>
      <c r="B1570" s="9"/>
      <c r="C1570" s="9"/>
      <c r="D1570" s="9"/>
      <c r="E1570" s="9"/>
      <c r="F1570" s="17" t="str">
        <f aca="false">IF(AND(A1570="",B1570="",C1570=""),"",IF(NOT(ISNUMBER(A1570)),"Enter the date done",IF(OR(B1570="",C1570=""),"Fill in asset and task",IF(SUMPRODUCT(('PM Plan'!$A$5:$A$304=B1570)*('PM Plan'!$B$5:$B$304=C1570))=0,"No matching asset + task in plan","OK"))))</f>
        <v/>
      </c>
    </row>
    <row r="1571" customFormat="false" ht="15" hidden="false" customHeight="false" outlineLevel="0" collapsed="false">
      <c r="A1571" s="14"/>
      <c r="B1571" s="9"/>
      <c r="C1571" s="9"/>
      <c r="D1571" s="9"/>
      <c r="E1571" s="9"/>
      <c r="F1571" s="17" t="str">
        <f aca="false">IF(AND(A1571="",B1571="",C1571=""),"",IF(NOT(ISNUMBER(A1571)),"Enter the date done",IF(OR(B1571="",C1571=""),"Fill in asset and task",IF(SUMPRODUCT(('PM Plan'!$A$5:$A$304=B1571)*('PM Plan'!$B$5:$B$304=C1571))=0,"No matching asset + task in plan","OK"))))</f>
        <v/>
      </c>
    </row>
    <row r="1572" customFormat="false" ht="15" hidden="false" customHeight="false" outlineLevel="0" collapsed="false">
      <c r="A1572" s="14"/>
      <c r="B1572" s="9"/>
      <c r="C1572" s="9"/>
      <c r="D1572" s="9"/>
      <c r="E1572" s="9"/>
      <c r="F1572" s="17" t="str">
        <f aca="false">IF(AND(A1572="",B1572="",C1572=""),"",IF(NOT(ISNUMBER(A1572)),"Enter the date done",IF(OR(B1572="",C1572=""),"Fill in asset and task",IF(SUMPRODUCT(('PM Plan'!$A$5:$A$304=B1572)*('PM Plan'!$B$5:$B$304=C1572))=0,"No matching asset + task in plan","OK"))))</f>
        <v/>
      </c>
    </row>
    <row r="1573" customFormat="false" ht="15" hidden="false" customHeight="false" outlineLevel="0" collapsed="false">
      <c r="A1573" s="14"/>
      <c r="B1573" s="9"/>
      <c r="C1573" s="9"/>
      <c r="D1573" s="9"/>
      <c r="E1573" s="9"/>
      <c r="F1573" s="17" t="str">
        <f aca="false">IF(AND(A1573="",B1573="",C1573=""),"",IF(NOT(ISNUMBER(A1573)),"Enter the date done",IF(OR(B1573="",C1573=""),"Fill in asset and task",IF(SUMPRODUCT(('PM Plan'!$A$5:$A$304=B1573)*('PM Plan'!$B$5:$B$304=C1573))=0,"No matching asset + task in plan","OK"))))</f>
        <v/>
      </c>
    </row>
    <row r="1574" customFormat="false" ht="15" hidden="false" customHeight="false" outlineLevel="0" collapsed="false">
      <c r="A1574" s="14"/>
      <c r="B1574" s="9"/>
      <c r="C1574" s="9"/>
      <c r="D1574" s="9"/>
      <c r="E1574" s="9"/>
      <c r="F1574" s="17" t="str">
        <f aca="false">IF(AND(A1574="",B1574="",C1574=""),"",IF(NOT(ISNUMBER(A1574)),"Enter the date done",IF(OR(B1574="",C1574=""),"Fill in asset and task",IF(SUMPRODUCT(('PM Plan'!$A$5:$A$304=B1574)*('PM Plan'!$B$5:$B$304=C1574))=0,"No matching asset + task in plan","OK"))))</f>
        <v/>
      </c>
    </row>
    <row r="1575" customFormat="false" ht="15" hidden="false" customHeight="false" outlineLevel="0" collapsed="false">
      <c r="A1575" s="14"/>
      <c r="B1575" s="9"/>
      <c r="C1575" s="9"/>
      <c r="D1575" s="9"/>
      <c r="E1575" s="9"/>
      <c r="F1575" s="17" t="str">
        <f aca="false">IF(AND(A1575="",B1575="",C1575=""),"",IF(NOT(ISNUMBER(A1575)),"Enter the date done",IF(OR(B1575="",C1575=""),"Fill in asset and task",IF(SUMPRODUCT(('PM Plan'!$A$5:$A$304=B1575)*('PM Plan'!$B$5:$B$304=C1575))=0,"No matching asset + task in plan","OK"))))</f>
        <v/>
      </c>
    </row>
    <row r="1576" customFormat="false" ht="15" hidden="false" customHeight="false" outlineLevel="0" collapsed="false">
      <c r="A1576" s="14"/>
      <c r="B1576" s="9"/>
      <c r="C1576" s="9"/>
      <c r="D1576" s="9"/>
      <c r="E1576" s="9"/>
      <c r="F1576" s="17" t="str">
        <f aca="false">IF(AND(A1576="",B1576="",C1576=""),"",IF(NOT(ISNUMBER(A1576)),"Enter the date done",IF(OR(B1576="",C1576=""),"Fill in asset and task",IF(SUMPRODUCT(('PM Plan'!$A$5:$A$304=B1576)*('PM Plan'!$B$5:$B$304=C1576))=0,"No matching asset + task in plan","OK"))))</f>
        <v/>
      </c>
    </row>
    <row r="1577" customFormat="false" ht="15" hidden="false" customHeight="false" outlineLevel="0" collapsed="false">
      <c r="A1577" s="14"/>
      <c r="B1577" s="9"/>
      <c r="C1577" s="9"/>
      <c r="D1577" s="9"/>
      <c r="E1577" s="9"/>
      <c r="F1577" s="17" t="str">
        <f aca="false">IF(AND(A1577="",B1577="",C1577=""),"",IF(NOT(ISNUMBER(A1577)),"Enter the date done",IF(OR(B1577="",C1577=""),"Fill in asset and task",IF(SUMPRODUCT(('PM Plan'!$A$5:$A$304=B1577)*('PM Plan'!$B$5:$B$304=C1577))=0,"No matching asset + task in plan","OK"))))</f>
        <v/>
      </c>
    </row>
    <row r="1578" customFormat="false" ht="15" hidden="false" customHeight="false" outlineLevel="0" collapsed="false">
      <c r="A1578" s="14"/>
      <c r="B1578" s="9"/>
      <c r="C1578" s="9"/>
      <c r="D1578" s="9"/>
      <c r="E1578" s="9"/>
      <c r="F1578" s="17" t="str">
        <f aca="false">IF(AND(A1578="",B1578="",C1578=""),"",IF(NOT(ISNUMBER(A1578)),"Enter the date done",IF(OR(B1578="",C1578=""),"Fill in asset and task",IF(SUMPRODUCT(('PM Plan'!$A$5:$A$304=B1578)*('PM Plan'!$B$5:$B$304=C1578))=0,"No matching asset + task in plan","OK"))))</f>
        <v/>
      </c>
    </row>
    <row r="1579" customFormat="false" ht="15" hidden="false" customHeight="false" outlineLevel="0" collapsed="false">
      <c r="A1579" s="14"/>
      <c r="B1579" s="9"/>
      <c r="C1579" s="9"/>
      <c r="D1579" s="9"/>
      <c r="E1579" s="9"/>
      <c r="F1579" s="17" t="str">
        <f aca="false">IF(AND(A1579="",B1579="",C1579=""),"",IF(NOT(ISNUMBER(A1579)),"Enter the date done",IF(OR(B1579="",C1579=""),"Fill in asset and task",IF(SUMPRODUCT(('PM Plan'!$A$5:$A$304=B1579)*('PM Plan'!$B$5:$B$304=C1579))=0,"No matching asset + task in plan","OK"))))</f>
        <v/>
      </c>
    </row>
    <row r="1580" customFormat="false" ht="15" hidden="false" customHeight="false" outlineLevel="0" collapsed="false">
      <c r="A1580" s="14"/>
      <c r="B1580" s="9"/>
      <c r="C1580" s="9"/>
      <c r="D1580" s="9"/>
      <c r="E1580" s="9"/>
      <c r="F1580" s="17" t="str">
        <f aca="false">IF(AND(A1580="",B1580="",C1580=""),"",IF(NOT(ISNUMBER(A1580)),"Enter the date done",IF(OR(B1580="",C1580=""),"Fill in asset and task",IF(SUMPRODUCT(('PM Plan'!$A$5:$A$304=B1580)*('PM Plan'!$B$5:$B$304=C1580))=0,"No matching asset + task in plan","OK"))))</f>
        <v/>
      </c>
    </row>
    <row r="1581" customFormat="false" ht="15" hidden="false" customHeight="false" outlineLevel="0" collapsed="false">
      <c r="A1581" s="14"/>
      <c r="B1581" s="9"/>
      <c r="C1581" s="9"/>
      <c r="D1581" s="9"/>
      <c r="E1581" s="9"/>
      <c r="F1581" s="17" t="str">
        <f aca="false">IF(AND(A1581="",B1581="",C1581=""),"",IF(NOT(ISNUMBER(A1581)),"Enter the date done",IF(OR(B1581="",C1581=""),"Fill in asset and task",IF(SUMPRODUCT(('PM Plan'!$A$5:$A$304=B1581)*('PM Plan'!$B$5:$B$304=C1581))=0,"No matching asset + task in plan","OK"))))</f>
        <v/>
      </c>
    </row>
    <row r="1582" customFormat="false" ht="15" hidden="false" customHeight="false" outlineLevel="0" collapsed="false">
      <c r="A1582" s="14"/>
      <c r="B1582" s="9"/>
      <c r="C1582" s="9"/>
      <c r="D1582" s="9"/>
      <c r="E1582" s="9"/>
      <c r="F1582" s="17" t="str">
        <f aca="false">IF(AND(A1582="",B1582="",C1582=""),"",IF(NOT(ISNUMBER(A1582)),"Enter the date done",IF(OR(B1582="",C1582=""),"Fill in asset and task",IF(SUMPRODUCT(('PM Plan'!$A$5:$A$304=B1582)*('PM Plan'!$B$5:$B$304=C1582))=0,"No matching asset + task in plan","OK"))))</f>
        <v/>
      </c>
    </row>
    <row r="1583" customFormat="false" ht="15" hidden="false" customHeight="false" outlineLevel="0" collapsed="false">
      <c r="A1583" s="14"/>
      <c r="B1583" s="9"/>
      <c r="C1583" s="9"/>
      <c r="D1583" s="9"/>
      <c r="E1583" s="9"/>
      <c r="F1583" s="17" t="str">
        <f aca="false">IF(AND(A1583="",B1583="",C1583=""),"",IF(NOT(ISNUMBER(A1583)),"Enter the date done",IF(OR(B1583="",C1583=""),"Fill in asset and task",IF(SUMPRODUCT(('PM Plan'!$A$5:$A$304=B1583)*('PM Plan'!$B$5:$B$304=C1583))=0,"No matching asset + task in plan","OK"))))</f>
        <v/>
      </c>
    </row>
    <row r="1584" customFormat="false" ht="15" hidden="false" customHeight="false" outlineLevel="0" collapsed="false">
      <c r="A1584" s="14"/>
      <c r="B1584" s="9"/>
      <c r="C1584" s="9"/>
      <c r="D1584" s="9"/>
      <c r="E1584" s="9"/>
      <c r="F1584" s="17" t="str">
        <f aca="false">IF(AND(A1584="",B1584="",C1584=""),"",IF(NOT(ISNUMBER(A1584)),"Enter the date done",IF(OR(B1584="",C1584=""),"Fill in asset and task",IF(SUMPRODUCT(('PM Plan'!$A$5:$A$304=B1584)*('PM Plan'!$B$5:$B$304=C1584))=0,"No matching asset + task in plan","OK"))))</f>
        <v/>
      </c>
    </row>
    <row r="1585" customFormat="false" ht="15" hidden="false" customHeight="false" outlineLevel="0" collapsed="false">
      <c r="A1585" s="14"/>
      <c r="B1585" s="9"/>
      <c r="C1585" s="9"/>
      <c r="D1585" s="9"/>
      <c r="E1585" s="9"/>
      <c r="F1585" s="17" t="str">
        <f aca="false">IF(AND(A1585="",B1585="",C1585=""),"",IF(NOT(ISNUMBER(A1585)),"Enter the date done",IF(OR(B1585="",C1585=""),"Fill in asset and task",IF(SUMPRODUCT(('PM Plan'!$A$5:$A$304=B1585)*('PM Plan'!$B$5:$B$304=C1585))=0,"No matching asset + task in plan","OK"))))</f>
        <v/>
      </c>
    </row>
    <row r="1586" customFormat="false" ht="15" hidden="false" customHeight="false" outlineLevel="0" collapsed="false">
      <c r="A1586" s="14"/>
      <c r="B1586" s="9"/>
      <c r="C1586" s="9"/>
      <c r="D1586" s="9"/>
      <c r="E1586" s="9"/>
      <c r="F1586" s="17" t="str">
        <f aca="false">IF(AND(A1586="",B1586="",C1586=""),"",IF(NOT(ISNUMBER(A1586)),"Enter the date done",IF(OR(B1586="",C1586=""),"Fill in asset and task",IF(SUMPRODUCT(('PM Plan'!$A$5:$A$304=B1586)*('PM Plan'!$B$5:$B$304=C1586))=0,"No matching asset + task in plan","OK"))))</f>
        <v/>
      </c>
    </row>
    <row r="1587" customFormat="false" ht="15" hidden="false" customHeight="false" outlineLevel="0" collapsed="false">
      <c r="A1587" s="14"/>
      <c r="B1587" s="9"/>
      <c r="C1587" s="9"/>
      <c r="D1587" s="9"/>
      <c r="E1587" s="9"/>
      <c r="F1587" s="17" t="str">
        <f aca="false">IF(AND(A1587="",B1587="",C1587=""),"",IF(NOT(ISNUMBER(A1587)),"Enter the date done",IF(OR(B1587="",C1587=""),"Fill in asset and task",IF(SUMPRODUCT(('PM Plan'!$A$5:$A$304=B1587)*('PM Plan'!$B$5:$B$304=C1587))=0,"No matching asset + task in plan","OK"))))</f>
        <v/>
      </c>
    </row>
    <row r="1588" customFormat="false" ht="15" hidden="false" customHeight="false" outlineLevel="0" collapsed="false">
      <c r="A1588" s="14"/>
      <c r="B1588" s="9"/>
      <c r="C1588" s="9"/>
      <c r="D1588" s="9"/>
      <c r="E1588" s="9"/>
      <c r="F1588" s="17" t="str">
        <f aca="false">IF(AND(A1588="",B1588="",C1588=""),"",IF(NOT(ISNUMBER(A1588)),"Enter the date done",IF(OR(B1588="",C1588=""),"Fill in asset and task",IF(SUMPRODUCT(('PM Plan'!$A$5:$A$304=B1588)*('PM Plan'!$B$5:$B$304=C1588))=0,"No matching asset + task in plan","OK"))))</f>
        <v/>
      </c>
    </row>
    <row r="1589" customFormat="false" ht="15" hidden="false" customHeight="false" outlineLevel="0" collapsed="false">
      <c r="A1589" s="14"/>
      <c r="B1589" s="9"/>
      <c r="C1589" s="9"/>
      <c r="D1589" s="9"/>
      <c r="E1589" s="9"/>
      <c r="F1589" s="17" t="str">
        <f aca="false">IF(AND(A1589="",B1589="",C1589=""),"",IF(NOT(ISNUMBER(A1589)),"Enter the date done",IF(OR(B1589="",C1589=""),"Fill in asset and task",IF(SUMPRODUCT(('PM Plan'!$A$5:$A$304=B1589)*('PM Plan'!$B$5:$B$304=C1589))=0,"No matching asset + task in plan","OK"))))</f>
        <v/>
      </c>
    </row>
    <row r="1590" customFormat="false" ht="15" hidden="false" customHeight="false" outlineLevel="0" collapsed="false">
      <c r="A1590" s="14"/>
      <c r="B1590" s="9"/>
      <c r="C1590" s="9"/>
      <c r="D1590" s="9"/>
      <c r="E1590" s="9"/>
      <c r="F1590" s="17" t="str">
        <f aca="false">IF(AND(A1590="",B1590="",C1590=""),"",IF(NOT(ISNUMBER(A1590)),"Enter the date done",IF(OR(B1590="",C1590=""),"Fill in asset and task",IF(SUMPRODUCT(('PM Plan'!$A$5:$A$304=B1590)*('PM Plan'!$B$5:$B$304=C1590))=0,"No matching asset + task in plan","OK"))))</f>
        <v/>
      </c>
    </row>
    <row r="1591" customFormat="false" ht="15" hidden="false" customHeight="false" outlineLevel="0" collapsed="false">
      <c r="A1591" s="14"/>
      <c r="B1591" s="9"/>
      <c r="C1591" s="9"/>
      <c r="D1591" s="9"/>
      <c r="E1591" s="9"/>
      <c r="F1591" s="17" t="str">
        <f aca="false">IF(AND(A1591="",B1591="",C1591=""),"",IF(NOT(ISNUMBER(A1591)),"Enter the date done",IF(OR(B1591="",C1591=""),"Fill in asset and task",IF(SUMPRODUCT(('PM Plan'!$A$5:$A$304=B1591)*('PM Plan'!$B$5:$B$304=C1591))=0,"No matching asset + task in plan","OK"))))</f>
        <v/>
      </c>
    </row>
    <row r="1592" customFormat="false" ht="15" hidden="false" customHeight="false" outlineLevel="0" collapsed="false">
      <c r="A1592" s="14"/>
      <c r="B1592" s="9"/>
      <c r="C1592" s="9"/>
      <c r="D1592" s="9"/>
      <c r="E1592" s="9"/>
      <c r="F1592" s="17" t="str">
        <f aca="false">IF(AND(A1592="",B1592="",C1592=""),"",IF(NOT(ISNUMBER(A1592)),"Enter the date done",IF(OR(B1592="",C1592=""),"Fill in asset and task",IF(SUMPRODUCT(('PM Plan'!$A$5:$A$304=B1592)*('PM Plan'!$B$5:$B$304=C1592))=0,"No matching asset + task in plan","OK"))))</f>
        <v/>
      </c>
    </row>
    <row r="1593" customFormat="false" ht="15" hidden="false" customHeight="false" outlineLevel="0" collapsed="false">
      <c r="A1593" s="14"/>
      <c r="B1593" s="9"/>
      <c r="C1593" s="9"/>
      <c r="D1593" s="9"/>
      <c r="E1593" s="9"/>
      <c r="F1593" s="17" t="str">
        <f aca="false">IF(AND(A1593="",B1593="",C1593=""),"",IF(NOT(ISNUMBER(A1593)),"Enter the date done",IF(OR(B1593="",C1593=""),"Fill in asset and task",IF(SUMPRODUCT(('PM Plan'!$A$5:$A$304=B1593)*('PM Plan'!$B$5:$B$304=C1593))=0,"No matching asset + task in plan","OK"))))</f>
        <v/>
      </c>
    </row>
    <row r="1594" customFormat="false" ht="15" hidden="false" customHeight="false" outlineLevel="0" collapsed="false">
      <c r="A1594" s="14"/>
      <c r="B1594" s="9"/>
      <c r="C1594" s="9"/>
      <c r="D1594" s="9"/>
      <c r="E1594" s="9"/>
      <c r="F1594" s="17" t="str">
        <f aca="false">IF(AND(A1594="",B1594="",C1594=""),"",IF(NOT(ISNUMBER(A1594)),"Enter the date done",IF(OR(B1594="",C1594=""),"Fill in asset and task",IF(SUMPRODUCT(('PM Plan'!$A$5:$A$304=B1594)*('PM Plan'!$B$5:$B$304=C1594))=0,"No matching asset + task in plan","OK"))))</f>
        <v/>
      </c>
    </row>
    <row r="1595" customFormat="false" ht="15" hidden="false" customHeight="false" outlineLevel="0" collapsed="false">
      <c r="A1595" s="14"/>
      <c r="B1595" s="9"/>
      <c r="C1595" s="9"/>
      <c r="D1595" s="9"/>
      <c r="E1595" s="9"/>
      <c r="F1595" s="17" t="str">
        <f aca="false">IF(AND(A1595="",B1595="",C1595=""),"",IF(NOT(ISNUMBER(A1595)),"Enter the date done",IF(OR(B1595="",C1595=""),"Fill in asset and task",IF(SUMPRODUCT(('PM Plan'!$A$5:$A$304=B1595)*('PM Plan'!$B$5:$B$304=C1595))=0,"No matching asset + task in plan","OK"))))</f>
        <v/>
      </c>
    </row>
    <row r="1596" customFormat="false" ht="15" hidden="false" customHeight="false" outlineLevel="0" collapsed="false">
      <c r="A1596" s="14"/>
      <c r="B1596" s="9"/>
      <c r="C1596" s="9"/>
      <c r="D1596" s="9"/>
      <c r="E1596" s="9"/>
      <c r="F1596" s="17" t="str">
        <f aca="false">IF(AND(A1596="",B1596="",C1596=""),"",IF(NOT(ISNUMBER(A1596)),"Enter the date done",IF(OR(B1596="",C1596=""),"Fill in asset and task",IF(SUMPRODUCT(('PM Plan'!$A$5:$A$304=B1596)*('PM Plan'!$B$5:$B$304=C1596))=0,"No matching asset + task in plan","OK"))))</f>
        <v/>
      </c>
    </row>
    <row r="1597" customFormat="false" ht="15" hidden="false" customHeight="false" outlineLevel="0" collapsed="false">
      <c r="A1597" s="14"/>
      <c r="B1597" s="9"/>
      <c r="C1597" s="9"/>
      <c r="D1597" s="9"/>
      <c r="E1597" s="9"/>
      <c r="F1597" s="17" t="str">
        <f aca="false">IF(AND(A1597="",B1597="",C1597=""),"",IF(NOT(ISNUMBER(A1597)),"Enter the date done",IF(OR(B1597="",C1597=""),"Fill in asset and task",IF(SUMPRODUCT(('PM Plan'!$A$5:$A$304=B1597)*('PM Plan'!$B$5:$B$304=C1597))=0,"No matching asset + task in plan","OK"))))</f>
        <v/>
      </c>
    </row>
    <row r="1598" customFormat="false" ht="15" hidden="false" customHeight="false" outlineLevel="0" collapsed="false">
      <c r="A1598" s="14"/>
      <c r="B1598" s="9"/>
      <c r="C1598" s="9"/>
      <c r="D1598" s="9"/>
      <c r="E1598" s="9"/>
      <c r="F1598" s="17" t="str">
        <f aca="false">IF(AND(A1598="",B1598="",C1598=""),"",IF(NOT(ISNUMBER(A1598)),"Enter the date done",IF(OR(B1598="",C1598=""),"Fill in asset and task",IF(SUMPRODUCT(('PM Plan'!$A$5:$A$304=B1598)*('PM Plan'!$B$5:$B$304=C1598))=0,"No matching asset + task in plan","OK"))))</f>
        <v/>
      </c>
    </row>
    <row r="1599" customFormat="false" ht="15" hidden="false" customHeight="false" outlineLevel="0" collapsed="false">
      <c r="A1599" s="14"/>
      <c r="B1599" s="9"/>
      <c r="C1599" s="9"/>
      <c r="D1599" s="9"/>
      <c r="E1599" s="9"/>
      <c r="F1599" s="17" t="str">
        <f aca="false">IF(AND(A1599="",B1599="",C1599=""),"",IF(NOT(ISNUMBER(A1599)),"Enter the date done",IF(OR(B1599="",C1599=""),"Fill in asset and task",IF(SUMPRODUCT(('PM Plan'!$A$5:$A$304=B1599)*('PM Plan'!$B$5:$B$304=C1599))=0,"No matching asset + task in plan","OK"))))</f>
        <v/>
      </c>
    </row>
    <row r="1600" customFormat="false" ht="15" hidden="false" customHeight="false" outlineLevel="0" collapsed="false">
      <c r="A1600" s="14"/>
      <c r="B1600" s="9"/>
      <c r="C1600" s="9"/>
      <c r="D1600" s="9"/>
      <c r="E1600" s="9"/>
      <c r="F1600" s="17" t="str">
        <f aca="false">IF(AND(A1600="",B1600="",C1600=""),"",IF(NOT(ISNUMBER(A1600)),"Enter the date done",IF(OR(B1600="",C1600=""),"Fill in asset and task",IF(SUMPRODUCT(('PM Plan'!$A$5:$A$304=B1600)*('PM Plan'!$B$5:$B$304=C1600))=0,"No matching asset + task in plan","OK"))))</f>
        <v/>
      </c>
    </row>
    <row r="1601" customFormat="false" ht="15" hidden="false" customHeight="false" outlineLevel="0" collapsed="false">
      <c r="A1601" s="14"/>
      <c r="B1601" s="9"/>
      <c r="C1601" s="9"/>
      <c r="D1601" s="9"/>
      <c r="E1601" s="9"/>
      <c r="F1601" s="17" t="str">
        <f aca="false">IF(AND(A1601="",B1601="",C1601=""),"",IF(NOT(ISNUMBER(A1601)),"Enter the date done",IF(OR(B1601="",C1601=""),"Fill in asset and task",IF(SUMPRODUCT(('PM Plan'!$A$5:$A$304=B1601)*('PM Plan'!$B$5:$B$304=C1601))=0,"No matching asset + task in plan","OK"))))</f>
        <v/>
      </c>
    </row>
    <row r="1602" customFormat="false" ht="15" hidden="false" customHeight="false" outlineLevel="0" collapsed="false">
      <c r="A1602" s="14"/>
      <c r="B1602" s="9"/>
      <c r="C1602" s="9"/>
      <c r="D1602" s="9"/>
      <c r="E1602" s="9"/>
      <c r="F1602" s="17" t="str">
        <f aca="false">IF(AND(A1602="",B1602="",C1602=""),"",IF(NOT(ISNUMBER(A1602)),"Enter the date done",IF(OR(B1602="",C1602=""),"Fill in asset and task",IF(SUMPRODUCT(('PM Plan'!$A$5:$A$304=B1602)*('PM Plan'!$B$5:$B$304=C1602))=0,"No matching asset + task in plan","OK"))))</f>
        <v/>
      </c>
    </row>
    <row r="1603" customFormat="false" ht="15" hidden="false" customHeight="false" outlineLevel="0" collapsed="false">
      <c r="A1603" s="14"/>
      <c r="B1603" s="9"/>
      <c r="C1603" s="9"/>
      <c r="D1603" s="9"/>
      <c r="E1603" s="9"/>
      <c r="F1603" s="17" t="str">
        <f aca="false">IF(AND(A1603="",B1603="",C1603=""),"",IF(NOT(ISNUMBER(A1603)),"Enter the date done",IF(OR(B1603="",C1603=""),"Fill in asset and task",IF(SUMPRODUCT(('PM Plan'!$A$5:$A$304=B1603)*('PM Plan'!$B$5:$B$304=C1603))=0,"No matching asset + task in plan","OK"))))</f>
        <v/>
      </c>
    </row>
    <row r="1604" customFormat="false" ht="15" hidden="false" customHeight="false" outlineLevel="0" collapsed="false">
      <c r="A1604" s="14"/>
      <c r="B1604" s="9"/>
      <c r="C1604" s="9"/>
      <c r="D1604" s="9"/>
      <c r="E1604" s="9"/>
      <c r="F1604" s="17" t="str">
        <f aca="false">IF(AND(A1604="",B1604="",C1604=""),"",IF(NOT(ISNUMBER(A1604)),"Enter the date done",IF(OR(B1604="",C1604=""),"Fill in asset and task",IF(SUMPRODUCT(('PM Plan'!$A$5:$A$304=B1604)*('PM Plan'!$B$5:$B$304=C1604))=0,"No matching asset + task in plan","OK"))))</f>
        <v/>
      </c>
    </row>
    <row r="1605" customFormat="false" ht="15" hidden="false" customHeight="false" outlineLevel="0" collapsed="false">
      <c r="A1605" s="14"/>
      <c r="B1605" s="9"/>
      <c r="C1605" s="9"/>
      <c r="D1605" s="9"/>
      <c r="E1605" s="9"/>
      <c r="F1605" s="17" t="str">
        <f aca="false">IF(AND(A1605="",B1605="",C1605=""),"",IF(NOT(ISNUMBER(A1605)),"Enter the date done",IF(OR(B1605="",C1605=""),"Fill in asset and task",IF(SUMPRODUCT(('PM Plan'!$A$5:$A$304=B1605)*('PM Plan'!$B$5:$B$304=C1605))=0,"No matching asset + task in plan","OK"))))</f>
        <v/>
      </c>
    </row>
    <row r="1606" customFormat="false" ht="15" hidden="false" customHeight="false" outlineLevel="0" collapsed="false">
      <c r="A1606" s="14"/>
      <c r="B1606" s="9"/>
      <c r="C1606" s="9"/>
      <c r="D1606" s="9"/>
      <c r="E1606" s="9"/>
      <c r="F1606" s="17" t="str">
        <f aca="false">IF(AND(A1606="",B1606="",C1606=""),"",IF(NOT(ISNUMBER(A1606)),"Enter the date done",IF(OR(B1606="",C1606=""),"Fill in asset and task",IF(SUMPRODUCT(('PM Plan'!$A$5:$A$304=B1606)*('PM Plan'!$B$5:$B$304=C1606))=0,"No matching asset + task in plan","OK"))))</f>
        <v/>
      </c>
    </row>
    <row r="1607" customFormat="false" ht="15" hidden="false" customHeight="false" outlineLevel="0" collapsed="false">
      <c r="A1607" s="14"/>
      <c r="B1607" s="9"/>
      <c r="C1607" s="9"/>
      <c r="D1607" s="9"/>
      <c r="E1607" s="9"/>
      <c r="F1607" s="17" t="str">
        <f aca="false">IF(AND(A1607="",B1607="",C1607=""),"",IF(NOT(ISNUMBER(A1607)),"Enter the date done",IF(OR(B1607="",C1607=""),"Fill in asset and task",IF(SUMPRODUCT(('PM Plan'!$A$5:$A$304=B1607)*('PM Plan'!$B$5:$B$304=C1607))=0,"No matching asset + task in plan","OK"))))</f>
        <v/>
      </c>
    </row>
    <row r="1608" customFormat="false" ht="15" hidden="false" customHeight="false" outlineLevel="0" collapsed="false">
      <c r="A1608" s="14"/>
      <c r="B1608" s="9"/>
      <c r="C1608" s="9"/>
      <c r="D1608" s="9"/>
      <c r="E1608" s="9"/>
      <c r="F1608" s="17" t="str">
        <f aca="false">IF(AND(A1608="",B1608="",C1608=""),"",IF(NOT(ISNUMBER(A1608)),"Enter the date done",IF(OR(B1608="",C1608=""),"Fill in asset and task",IF(SUMPRODUCT(('PM Plan'!$A$5:$A$304=B1608)*('PM Plan'!$B$5:$B$304=C1608))=0,"No matching asset + task in plan","OK"))))</f>
        <v/>
      </c>
    </row>
    <row r="1609" customFormat="false" ht="15" hidden="false" customHeight="false" outlineLevel="0" collapsed="false">
      <c r="A1609" s="14"/>
      <c r="B1609" s="9"/>
      <c r="C1609" s="9"/>
      <c r="D1609" s="9"/>
      <c r="E1609" s="9"/>
      <c r="F1609" s="17" t="str">
        <f aca="false">IF(AND(A1609="",B1609="",C1609=""),"",IF(NOT(ISNUMBER(A1609)),"Enter the date done",IF(OR(B1609="",C1609=""),"Fill in asset and task",IF(SUMPRODUCT(('PM Plan'!$A$5:$A$304=B1609)*('PM Plan'!$B$5:$B$304=C1609))=0,"No matching asset + task in plan","OK"))))</f>
        <v/>
      </c>
    </row>
    <row r="1610" customFormat="false" ht="15" hidden="false" customHeight="false" outlineLevel="0" collapsed="false">
      <c r="A1610" s="14"/>
      <c r="B1610" s="9"/>
      <c r="C1610" s="9"/>
      <c r="D1610" s="9"/>
      <c r="E1610" s="9"/>
      <c r="F1610" s="17" t="str">
        <f aca="false">IF(AND(A1610="",B1610="",C1610=""),"",IF(NOT(ISNUMBER(A1610)),"Enter the date done",IF(OR(B1610="",C1610=""),"Fill in asset and task",IF(SUMPRODUCT(('PM Plan'!$A$5:$A$304=B1610)*('PM Plan'!$B$5:$B$304=C1610))=0,"No matching asset + task in plan","OK"))))</f>
        <v/>
      </c>
    </row>
    <row r="1611" customFormat="false" ht="15" hidden="false" customHeight="false" outlineLevel="0" collapsed="false">
      <c r="A1611" s="14"/>
      <c r="B1611" s="9"/>
      <c r="C1611" s="9"/>
      <c r="D1611" s="9"/>
      <c r="E1611" s="9"/>
      <c r="F1611" s="17" t="str">
        <f aca="false">IF(AND(A1611="",B1611="",C1611=""),"",IF(NOT(ISNUMBER(A1611)),"Enter the date done",IF(OR(B1611="",C1611=""),"Fill in asset and task",IF(SUMPRODUCT(('PM Plan'!$A$5:$A$304=B1611)*('PM Plan'!$B$5:$B$304=C1611))=0,"No matching asset + task in plan","OK"))))</f>
        <v/>
      </c>
    </row>
    <row r="1612" customFormat="false" ht="15" hidden="false" customHeight="false" outlineLevel="0" collapsed="false">
      <c r="A1612" s="14"/>
      <c r="B1612" s="9"/>
      <c r="C1612" s="9"/>
      <c r="D1612" s="9"/>
      <c r="E1612" s="9"/>
      <c r="F1612" s="17" t="str">
        <f aca="false">IF(AND(A1612="",B1612="",C1612=""),"",IF(NOT(ISNUMBER(A1612)),"Enter the date done",IF(OR(B1612="",C1612=""),"Fill in asset and task",IF(SUMPRODUCT(('PM Plan'!$A$5:$A$304=B1612)*('PM Plan'!$B$5:$B$304=C1612))=0,"No matching asset + task in plan","OK"))))</f>
        <v/>
      </c>
    </row>
    <row r="1613" customFormat="false" ht="15" hidden="false" customHeight="false" outlineLevel="0" collapsed="false">
      <c r="A1613" s="14"/>
      <c r="B1613" s="9"/>
      <c r="C1613" s="9"/>
      <c r="D1613" s="9"/>
      <c r="E1613" s="9"/>
      <c r="F1613" s="17" t="str">
        <f aca="false">IF(AND(A1613="",B1613="",C1613=""),"",IF(NOT(ISNUMBER(A1613)),"Enter the date done",IF(OR(B1613="",C1613=""),"Fill in asset and task",IF(SUMPRODUCT(('PM Plan'!$A$5:$A$304=B1613)*('PM Plan'!$B$5:$B$304=C1613))=0,"No matching asset + task in plan","OK"))))</f>
        <v/>
      </c>
    </row>
    <row r="1614" customFormat="false" ht="15" hidden="false" customHeight="false" outlineLevel="0" collapsed="false">
      <c r="A1614" s="14"/>
      <c r="B1614" s="9"/>
      <c r="C1614" s="9"/>
      <c r="D1614" s="9"/>
      <c r="E1614" s="9"/>
      <c r="F1614" s="17" t="str">
        <f aca="false">IF(AND(A1614="",B1614="",C1614=""),"",IF(NOT(ISNUMBER(A1614)),"Enter the date done",IF(OR(B1614="",C1614=""),"Fill in asset and task",IF(SUMPRODUCT(('PM Plan'!$A$5:$A$304=B1614)*('PM Plan'!$B$5:$B$304=C1614))=0,"No matching asset + task in plan","OK"))))</f>
        <v/>
      </c>
    </row>
    <row r="1615" customFormat="false" ht="15" hidden="false" customHeight="false" outlineLevel="0" collapsed="false">
      <c r="A1615" s="14"/>
      <c r="B1615" s="9"/>
      <c r="C1615" s="9"/>
      <c r="D1615" s="9"/>
      <c r="E1615" s="9"/>
      <c r="F1615" s="17" t="str">
        <f aca="false">IF(AND(A1615="",B1615="",C1615=""),"",IF(NOT(ISNUMBER(A1615)),"Enter the date done",IF(OR(B1615="",C1615=""),"Fill in asset and task",IF(SUMPRODUCT(('PM Plan'!$A$5:$A$304=B1615)*('PM Plan'!$B$5:$B$304=C1615))=0,"No matching asset + task in plan","OK"))))</f>
        <v/>
      </c>
    </row>
    <row r="1616" customFormat="false" ht="15" hidden="false" customHeight="false" outlineLevel="0" collapsed="false">
      <c r="A1616" s="14"/>
      <c r="B1616" s="9"/>
      <c r="C1616" s="9"/>
      <c r="D1616" s="9"/>
      <c r="E1616" s="9"/>
      <c r="F1616" s="17" t="str">
        <f aca="false">IF(AND(A1616="",B1616="",C1616=""),"",IF(NOT(ISNUMBER(A1616)),"Enter the date done",IF(OR(B1616="",C1616=""),"Fill in asset and task",IF(SUMPRODUCT(('PM Plan'!$A$5:$A$304=B1616)*('PM Plan'!$B$5:$B$304=C1616))=0,"No matching asset + task in plan","OK"))))</f>
        <v/>
      </c>
    </row>
    <row r="1617" customFormat="false" ht="15" hidden="false" customHeight="false" outlineLevel="0" collapsed="false">
      <c r="A1617" s="14"/>
      <c r="B1617" s="9"/>
      <c r="C1617" s="9"/>
      <c r="D1617" s="9"/>
      <c r="E1617" s="9"/>
      <c r="F1617" s="17" t="str">
        <f aca="false">IF(AND(A1617="",B1617="",C1617=""),"",IF(NOT(ISNUMBER(A1617)),"Enter the date done",IF(OR(B1617="",C1617=""),"Fill in asset and task",IF(SUMPRODUCT(('PM Plan'!$A$5:$A$304=B1617)*('PM Plan'!$B$5:$B$304=C1617))=0,"No matching asset + task in plan","OK"))))</f>
        <v/>
      </c>
    </row>
    <row r="1618" customFormat="false" ht="15" hidden="false" customHeight="false" outlineLevel="0" collapsed="false">
      <c r="A1618" s="14"/>
      <c r="B1618" s="9"/>
      <c r="C1618" s="9"/>
      <c r="D1618" s="9"/>
      <c r="E1618" s="9"/>
      <c r="F1618" s="17" t="str">
        <f aca="false">IF(AND(A1618="",B1618="",C1618=""),"",IF(NOT(ISNUMBER(A1618)),"Enter the date done",IF(OR(B1618="",C1618=""),"Fill in asset and task",IF(SUMPRODUCT(('PM Plan'!$A$5:$A$304=B1618)*('PM Plan'!$B$5:$B$304=C1618))=0,"No matching asset + task in plan","OK"))))</f>
        <v/>
      </c>
    </row>
    <row r="1619" customFormat="false" ht="15" hidden="false" customHeight="false" outlineLevel="0" collapsed="false">
      <c r="A1619" s="14"/>
      <c r="B1619" s="9"/>
      <c r="C1619" s="9"/>
      <c r="D1619" s="9"/>
      <c r="E1619" s="9"/>
      <c r="F1619" s="17" t="str">
        <f aca="false">IF(AND(A1619="",B1619="",C1619=""),"",IF(NOT(ISNUMBER(A1619)),"Enter the date done",IF(OR(B1619="",C1619=""),"Fill in asset and task",IF(SUMPRODUCT(('PM Plan'!$A$5:$A$304=B1619)*('PM Plan'!$B$5:$B$304=C1619))=0,"No matching asset + task in plan","OK"))))</f>
        <v/>
      </c>
    </row>
    <row r="1620" customFormat="false" ht="15" hidden="false" customHeight="false" outlineLevel="0" collapsed="false">
      <c r="A1620" s="14"/>
      <c r="B1620" s="9"/>
      <c r="C1620" s="9"/>
      <c r="D1620" s="9"/>
      <c r="E1620" s="9"/>
      <c r="F1620" s="17" t="str">
        <f aca="false">IF(AND(A1620="",B1620="",C1620=""),"",IF(NOT(ISNUMBER(A1620)),"Enter the date done",IF(OR(B1620="",C1620=""),"Fill in asset and task",IF(SUMPRODUCT(('PM Plan'!$A$5:$A$304=B1620)*('PM Plan'!$B$5:$B$304=C1620))=0,"No matching asset + task in plan","OK"))))</f>
        <v/>
      </c>
    </row>
    <row r="1621" customFormat="false" ht="15" hidden="false" customHeight="false" outlineLevel="0" collapsed="false">
      <c r="A1621" s="14"/>
      <c r="B1621" s="9"/>
      <c r="C1621" s="9"/>
      <c r="D1621" s="9"/>
      <c r="E1621" s="9"/>
      <c r="F1621" s="17" t="str">
        <f aca="false">IF(AND(A1621="",B1621="",C1621=""),"",IF(NOT(ISNUMBER(A1621)),"Enter the date done",IF(OR(B1621="",C1621=""),"Fill in asset and task",IF(SUMPRODUCT(('PM Plan'!$A$5:$A$304=B1621)*('PM Plan'!$B$5:$B$304=C1621))=0,"No matching asset + task in plan","OK"))))</f>
        <v/>
      </c>
    </row>
    <row r="1622" customFormat="false" ht="15" hidden="false" customHeight="false" outlineLevel="0" collapsed="false">
      <c r="A1622" s="14"/>
      <c r="B1622" s="9"/>
      <c r="C1622" s="9"/>
      <c r="D1622" s="9"/>
      <c r="E1622" s="9"/>
      <c r="F1622" s="17" t="str">
        <f aca="false">IF(AND(A1622="",B1622="",C1622=""),"",IF(NOT(ISNUMBER(A1622)),"Enter the date done",IF(OR(B1622="",C1622=""),"Fill in asset and task",IF(SUMPRODUCT(('PM Plan'!$A$5:$A$304=B1622)*('PM Plan'!$B$5:$B$304=C1622))=0,"No matching asset + task in plan","OK"))))</f>
        <v/>
      </c>
    </row>
    <row r="1623" customFormat="false" ht="15" hidden="false" customHeight="false" outlineLevel="0" collapsed="false">
      <c r="A1623" s="14"/>
      <c r="B1623" s="9"/>
      <c r="C1623" s="9"/>
      <c r="D1623" s="9"/>
      <c r="E1623" s="9"/>
      <c r="F1623" s="17" t="str">
        <f aca="false">IF(AND(A1623="",B1623="",C1623=""),"",IF(NOT(ISNUMBER(A1623)),"Enter the date done",IF(OR(B1623="",C1623=""),"Fill in asset and task",IF(SUMPRODUCT(('PM Plan'!$A$5:$A$304=B1623)*('PM Plan'!$B$5:$B$304=C1623))=0,"No matching asset + task in plan","OK"))))</f>
        <v/>
      </c>
    </row>
    <row r="1624" customFormat="false" ht="15" hidden="false" customHeight="false" outlineLevel="0" collapsed="false">
      <c r="A1624" s="14"/>
      <c r="B1624" s="9"/>
      <c r="C1624" s="9"/>
      <c r="D1624" s="9"/>
      <c r="E1624" s="9"/>
      <c r="F1624" s="17" t="str">
        <f aca="false">IF(AND(A1624="",B1624="",C1624=""),"",IF(NOT(ISNUMBER(A1624)),"Enter the date done",IF(OR(B1624="",C1624=""),"Fill in asset and task",IF(SUMPRODUCT(('PM Plan'!$A$5:$A$304=B1624)*('PM Plan'!$B$5:$B$304=C1624))=0,"No matching asset + task in plan","OK"))))</f>
        <v/>
      </c>
    </row>
    <row r="1625" customFormat="false" ht="15" hidden="false" customHeight="false" outlineLevel="0" collapsed="false">
      <c r="A1625" s="14"/>
      <c r="B1625" s="9"/>
      <c r="C1625" s="9"/>
      <c r="D1625" s="9"/>
      <c r="E1625" s="9"/>
      <c r="F1625" s="17" t="str">
        <f aca="false">IF(AND(A1625="",B1625="",C1625=""),"",IF(NOT(ISNUMBER(A1625)),"Enter the date done",IF(OR(B1625="",C1625=""),"Fill in asset and task",IF(SUMPRODUCT(('PM Plan'!$A$5:$A$304=B1625)*('PM Plan'!$B$5:$B$304=C1625))=0,"No matching asset + task in plan","OK"))))</f>
        <v/>
      </c>
    </row>
    <row r="1626" customFormat="false" ht="15" hidden="false" customHeight="false" outlineLevel="0" collapsed="false">
      <c r="A1626" s="14"/>
      <c r="B1626" s="9"/>
      <c r="C1626" s="9"/>
      <c r="D1626" s="9"/>
      <c r="E1626" s="9"/>
      <c r="F1626" s="17" t="str">
        <f aca="false">IF(AND(A1626="",B1626="",C1626=""),"",IF(NOT(ISNUMBER(A1626)),"Enter the date done",IF(OR(B1626="",C1626=""),"Fill in asset and task",IF(SUMPRODUCT(('PM Plan'!$A$5:$A$304=B1626)*('PM Plan'!$B$5:$B$304=C1626))=0,"No matching asset + task in plan","OK"))))</f>
        <v/>
      </c>
    </row>
    <row r="1627" customFormat="false" ht="15" hidden="false" customHeight="false" outlineLevel="0" collapsed="false">
      <c r="A1627" s="14"/>
      <c r="B1627" s="9"/>
      <c r="C1627" s="9"/>
      <c r="D1627" s="9"/>
      <c r="E1627" s="9"/>
      <c r="F1627" s="17" t="str">
        <f aca="false">IF(AND(A1627="",B1627="",C1627=""),"",IF(NOT(ISNUMBER(A1627)),"Enter the date done",IF(OR(B1627="",C1627=""),"Fill in asset and task",IF(SUMPRODUCT(('PM Plan'!$A$5:$A$304=B1627)*('PM Plan'!$B$5:$B$304=C1627))=0,"No matching asset + task in plan","OK"))))</f>
        <v/>
      </c>
    </row>
    <row r="1628" customFormat="false" ht="15" hidden="false" customHeight="false" outlineLevel="0" collapsed="false">
      <c r="A1628" s="14"/>
      <c r="B1628" s="9"/>
      <c r="C1628" s="9"/>
      <c r="D1628" s="9"/>
      <c r="E1628" s="9"/>
      <c r="F1628" s="17" t="str">
        <f aca="false">IF(AND(A1628="",B1628="",C1628=""),"",IF(NOT(ISNUMBER(A1628)),"Enter the date done",IF(OR(B1628="",C1628=""),"Fill in asset and task",IF(SUMPRODUCT(('PM Plan'!$A$5:$A$304=B1628)*('PM Plan'!$B$5:$B$304=C1628))=0,"No matching asset + task in plan","OK"))))</f>
        <v/>
      </c>
    </row>
    <row r="1629" customFormat="false" ht="15" hidden="false" customHeight="false" outlineLevel="0" collapsed="false">
      <c r="A1629" s="14"/>
      <c r="B1629" s="9"/>
      <c r="C1629" s="9"/>
      <c r="D1629" s="9"/>
      <c r="E1629" s="9"/>
      <c r="F1629" s="17" t="str">
        <f aca="false">IF(AND(A1629="",B1629="",C1629=""),"",IF(NOT(ISNUMBER(A1629)),"Enter the date done",IF(OR(B1629="",C1629=""),"Fill in asset and task",IF(SUMPRODUCT(('PM Plan'!$A$5:$A$304=B1629)*('PM Plan'!$B$5:$B$304=C1629))=0,"No matching asset + task in plan","OK"))))</f>
        <v/>
      </c>
    </row>
    <row r="1630" customFormat="false" ht="15" hidden="false" customHeight="false" outlineLevel="0" collapsed="false">
      <c r="A1630" s="14"/>
      <c r="B1630" s="9"/>
      <c r="C1630" s="9"/>
      <c r="D1630" s="9"/>
      <c r="E1630" s="9"/>
      <c r="F1630" s="17" t="str">
        <f aca="false">IF(AND(A1630="",B1630="",C1630=""),"",IF(NOT(ISNUMBER(A1630)),"Enter the date done",IF(OR(B1630="",C1630=""),"Fill in asset and task",IF(SUMPRODUCT(('PM Plan'!$A$5:$A$304=B1630)*('PM Plan'!$B$5:$B$304=C1630))=0,"No matching asset + task in plan","OK"))))</f>
        <v/>
      </c>
    </row>
    <row r="1631" customFormat="false" ht="15" hidden="false" customHeight="false" outlineLevel="0" collapsed="false">
      <c r="A1631" s="14"/>
      <c r="B1631" s="9"/>
      <c r="C1631" s="9"/>
      <c r="D1631" s="9"/>
      <c r="E1631" s="9"/>
      <c r="F1631" s="17" t="str">
        <f aca="false">IF(AND(A1631="",B1631="",C1631=""),"",IF(NOT(ISNUMBER(A1631)),"Enter the date done",IF(OR(B1631="",C1631=""),"Fill in asset and task",IF(SUMPRODUCT(('PM Plan'!$A$5:$A$304=B1631)*('PM Plan'!$B$5:$B$304=C1631))=0,"No matching asset + task in plan","OK"))))</f>
        <v/>
      </c>
    </row>
    <row r="1632" customFormat="false" ht="15" hidden="false" customHeight="false" outlineLevel="0" collapsed="false">
      <c r="A1632" s="14"/>
      <c r="B1632" s="9"/>
      <c r="C1632" s="9"/>
      <c r="D1632" s="9"/>
      <c r="E1632" s="9"/>
      <c r="F1632" s="17" t="str">
        <f aca="false">IF(AND(A1632="",B1632="",C1632=""),"",IF(NOT(ISNUMBER(A1632)),"Enter the date done",IF(OR(B1632="",C1632=""),"Fill in asset and task",IF(SUMPRODUCT(('PM Plan'!$A$5:$A$304=B1632)*('PM Plan'!$B$5:$B$304=C1632))=0,"No matching asset + task in plan","OK"))))</f>
        <v/>
      </c>
    </row>
    <row r="1633" customFormat="false" ht="15" hidden="false" customHeight="false" outlineLevel="0" collapsed="false">
      <c r="A1633" s="14"/>
      <c r="B1633" s="9"/>
      <c r="C1633" s="9"/>
      <c r="D1633" s="9"/>
      <c r="E1633" s="9"/>
      <c r="F1633" s="17" t="str">
        <f aca="false">IF(AND(A1633="",B1633="",C1633=""),"",IF(NOT(ISNUMBER(A1633)),"Enter the date done",IF(OR(B1633="",C1633=""),"Fill in asset and task",IF(SUMPRODUCT(('PM Plan'!$A$5:$A$304=B1633)*('PM Plan'!$B$5:$B$304=C1633))=0,"No matching asset + task in plan","OK"))))</f>
        <v/>
      </c>
    </row>
    <row r="1634" customFormat="false" ht="15" hidden="false" customHeight="false" outlineLevel="0" collapsed="false">
      <c r="A1634" s="14"/>
      <c r="B1634" s="9"/>
      <c r="C1634" s="9"/>
      <c r="D1634" s="9"/>
      <c r="E1634" s="9"/>
      <c r="F1634" s="17" t="str">
        <f aca="false">IF(AND(A1634="",B1634="",C1634=""),"",IF(NOT(ISNUMBER(A1634)),"Enter the date done",IF(OR(B1634="",C1634=""),"Fill in asset and task",IF(SUMPRODUCT(('PM Plan'!$A$5:$A$304=B1634)*('PM Plan'!$B$5:$B$304=C1634))=0,"No matching asset + task in plan","OK"))))</f>
        <v/>
      </c>
    </row>
    <row r="1635" customFormat="false" ht="15" hidden="false" customHeight="false" outlineLevel="0" collapsed="false">
      <c r="A1635" s="14"/>
      <c r="B1635" s="9"/>
      <c r="C1635" s="9"/>
      <c r="D1635" s="9"/>
      <c r="E1635" s="9"/>
      <c r="F1635" s="17" t="str">
        <f aca="false">IF(AND(A1635="",B1635="",C1635=""),"",IF(NOT(ISNUMBER(A1635)),"Enter the date done",IF(OR(B1635="",C1635=""),"Fill in asset and task",IF(SUMPRODUCT(('PM Plan'!$A$5:$A$304=B1635)*('PM Plan'!$B$5:$B$304=C1635))=0,"No matching asset + task in plan","OK"))))</f>
        <v/>
      </c>
    </row>
    <row r="1636" customFormat="false" ht="15" hidden="false" customHeight="false" outlineLevel="0" collapsed="false">
      <c r="A1636" s="14"/>
      <c r="B1636" s="9"/>
      <c r="C1636" s="9"/>
      <c r="D1636" s="9"/>
      <c r="E1636" s="9"/>
      <c r="F1636" s="17" t="str">
        <f aca="false">IF(AND(A1636="",B1636="",C1636=""),"",IF(NOT(ISNUMBER(A1636)),"Enter the date done",IF(OR(B1636="",C1636=""),"Fill in asset and task",IF(SUMPRODUCT(('PM Plan'!$A$5:$A$304=B1636)*('PM Plan'!$B$5:$B$304=C1636))=0,"No matching asset + task in plan","OK"))))</f>
        <v/>
      </c>
    </row>
    <row r="1637" customFormat="false" ht="15" hidden="false" customHeight="false" outlineLevel="0" collapsed="false">
      <c r="A1637" s="14"/>
      <c r="B1637" s="9"/>
      <c r="C1637" s="9"/>
      <c r="D1637" s="9"/>
      <c r="E1637" s="9"/>
      <c r="F1637" s="17" t="str">
        <f aca="false">IF(AND(A1637="",B1637="",C1637=""),"",IF(NOT(ISNUMBER(A1637)),"Enter the date done",IF(OR(B1637="",C1637=""),"Fill in asset and task",IF(SUMPRODUCT(('PM Plan'!$A$5:$A$304=B1637)*('PM Plan'!$B$5:$B$304=C1637))=0,"No matching asset + task in plan","OK"))))</f>
        <v/>
      </c>
    </row>
    <row r="1638" customFormat="false" ht="15" hidden="false" customHeight="false" outlineLevel="0" collapsed="false">
      <c r="A1638" s="14"/>
      <c r="B1638" s="9"/>
      <c r="C1638" s="9"/>
      <c r="D1638" s="9"/>
      <c r="E1638" s="9"/>
      <c r="F1638" s="17" t="str">
        <f aca="false">IF(AND(A1638="",B1638="",C1638=""),"",IF(NOT(ISNUMBER(A1638)),"Enter the date done",IF(OR(B1638="",C1638=""),"Fill in asset and task",IF(SUMPRODUCT(('PM Plan'!$A$5:$A$304=B1638)*('PM Plan'!$B$5:$B$304=C1638))=0,"No matching asset + task in plan","OK"))))</f>
        <v/>
      </c>
    </row>
    <row r="1639" customFormat="false" ht="15" hidden="false" customHeight="false" outlineLevel="0" collapsed="false">
      <c r="A1639" s="14"/>
      <c r="B1639" s="9"/>
      <c r="C1639" s="9"/>
      <c r="D1639" s="9"/>
      <c r="E1639" s="9"/>
      <c r="F1639" s="17" t="str">
        <f aca="false">IF(AND(A1639="",B1639="",C1639=""),"",IF(NOT(ISNUMBER(A1639)),"Enter the date done",IF(OR(B1639="",C1639=""),"Fill in asset and task",IF(SUMPRODUCT(('PM Plan'!$A$5:$A$304=B1639)*('PM Plan'!$B$5:$B$304=C1639))=0,"No matching asset + task in plan","OK"))))</f>
        <v/>
      </c>
    </row>
    <row r="1640" customFormat="false" ht="15" hidden="false" customHeight="false" outlineLevel="0" collapsed="false">
      <c r="A1640" s="14"/>
      <c r="B1640" s="9"/>
      <c r="C1640" s="9"/>
      <c r="D1640" s="9"/>
      <c r="E1640" s="9"/>
      <c r="F1640" s="17" t="str">
        <f aca="false">IF(AND(A1640="",B1640="",C1640=""),"",IF(NOT(ISNUMBER(A1640)),"Enter the date done",IF(OR(B1640="",C1640=""),"Fill in asset and task",IF(SUMPRODUCT(('PM Plan'!$A$5:$A$304=B1640)*('PM Plan'!$B$5:$B$304=C1640))=0,"No matching asset + task in plan","OK"))))</f>
        <v/>
      </c>
    </row>
    <row r="1641" customFormat="false" ht="15" hidden="false" customHeight="false" outlineLevel="0" collapsed="false">
      <c r="A1641" s="14"/>
      <c r="B1641" s="9"/>
      <c r="C1641" s="9"/>
      <c r="D1641" s="9"/>
      <c r="E1641" s="9"/>
      <c r="F1641" s="17" t="str">
        <f aca="false">IF(AND(A1641="",B1641="",C1641=""),"",IF(NOT(ISNUMBER(A1641)),"Enter the date done",IF(OR(B1641="",C1641=""),"Fill in asset and task",IF(SUMPRODUCT(('PM Plan'!$A$5:$A$304=B1641)*('PM Plan'!$B$5:$B$304=C1641))=0,"No matching asset + task in plan","OK"))))</f>
        <v/>
      </c>
    </row>
    <row r="1642" customFormat="false" ht="15" hidden="false" customHeight="false" outlineLevel="0" collapsed="false">
      <c r="A1642" s="14"/>
      <c r="B1642" s="9"/>
      <c r="C1642" s="9"/>
      <c r="D1642" s="9"/>
      <c r="E1642" s="9"/>
      <c r="F1642" s="17" t="str">
        <f aca="false">IF(AND(A1642="",B1642="",C1642=""),"",IF(NOT(ISNUMBER(A1642)),"Enter the date done",IF(OR(B1642="",C1642=""),"Fill in asset and task",IF(SUMPRODUCT(('PM Plan'!$A$5:$A$304=B1642)*('PM Plan'!$B$5:$B$304=C1642))=0,"No matching asset + task in plan","OK"))))</f>
        <v/>
      </c>
    </row>
    <row r="1643" customFormat="false" ht="15" hidden="false" customHeight="false" outlineLevel="0" collapsed="false">
      <c r="A1643" s="14"/>
      <c r="B1643" s="9"/>
      <c r="C1643" s="9"/>
      <c r="D1643" s="9"/>
      <c r="E1643" s="9"/>
      <c r="F1643" s="17" t="str">
        <f aca="false">IF(AND(A1643="",B1643="",C1643=""),"",IF(NOT(ISNUMBER(A1643)),"Enter the date done",IF(OR(B1643="",C1643=""),"Fill in asset and task",IF(SUMPRODUCT(('PM Plan'!$A$5:$A$304=B1643)*('PM Plan'!$B$5:$B$304=C1643))=0,"No matching asset + task in plan","OK"))))</f>
        <v/>
      </c>
    </row>
    <row r="1644" customFormat="false" ht="15" hidden="false" customHeight="false" outlineLevel="0" collapsed="false">
      <c r="A1644" s="14"/>
      <c r="B1644" s="9"/>
      <c r="C1644" s="9"/>
      <c r="D1644" s="9"/>
      <c r="E1644" s="9"/>
      <c r="F1644" s="17" t="str">
        <f aca="false">IF(AND(A1644="",B1644="",C1644=""),"",IF(NOT(ISNUMBER(A1644)),"Enter the date done",IF(OR(B1644="",C1644=""),"Fill in asset and task",IF(SUMPRODUCT(('PM Plan'!$A$5:$A$304=B1644)*('PM Plan'!$B$5:$B$304=C1644))=0,"No matching asset + task in plan","OK"))))</f>
        <v/>
      </c>
    </row>
    <row r="1645" customFormat="false" ht="15" hidden="false" customHeight="false" outlineLevel="0" collapsed="false">
      <c r="A1645" s="14"/>
      <c r="B1645" s="9"/>
      <c r="C1645" s="9"/>
      <c r="D1645" s="9"/>
      <c r="E1645" s="9"/>
      <c r="F1645" s="17" t="str">
        <f aca="false">IF(AND(A1645="",B1645="",C1645=""),"",IF(NOT(ISNUMBER(A1645)),"Enter the date done",IF(OR(B1645="",C1645=""),"Fill in asset and task",IF(SUMPRODUCT(('PM Plan'!$A$5:$A$304=B1645)*('PM Plan'!$B$5:$B$304=C1645))=0,"No matching asset + task in plan","OK"))))</f>
        <v/>
      </c>
    </row>
    <row r="1646" customFormat="false" ht="15" hidden="false" customHeight="false" outlineLevel="0" collapsed="false">
      <c r="A1646" s="14"/>
      <c r="B1646" s="9"/>
      <c r="C1646" s="9"/>
      <c r="D1646" s="9"/>
      <c r="E1646" s="9"/>
      <c r="F1646" s="17" t="str">
        <f aca="false">IF(AND(A1646="",B1646="",C1646=""),"",IF(NOT(ISNUMBER(A1646)),"Enter the date done",IF(OR(B1646="",C1646=""),"Fill in asset and task",IF(SUMPRODUCT(('PM Plan'!$A$5:$A$304=B1646)*('PM Plan'!$B$5:$B$304=C1646))=0,"No matching asset + task in plan","OK"))))</f>
        <v/>
      </c>
    </row>
    <row r="1647" customFormat="false" ht="15" hidden="false" customHeight="false" outlineLevel="0" collapsed="false">
      <c r="A1647" s="14"/>
      <c r="B1647" s="9"/>
      <c r="C1647" s="9"/>
      <c r="D1647" s="9"/>
      <c r="E1647" s="9"/>
      <c r="F1647" s="17" t="str">
        <f aca="false">IF(AND(A1647="",B1647="",C1647=""),"",IF(NOT(ISNUMBER(A1647)),"Enter the date done",IF(OR(B1647="",C1647=""),"Fill in asset and task",IF(SUMPRODUCT(('PM Plan'!$A$5:$A$304=B1647)*('PM Plan'!$B$5:$B$304=C1647))=0,"No matching asset + task in plan","OK"))))</f>
        <v/>
      </c>
    </row>
    <row r="1648" customFormat="false" ht="15" hidden="false" customHeight="false" outlineLevel="0" collapsed="false">
      <c r="A1648" s="14"/>
      <c r="B1648" s="9"/>
      <c r="C1648" s="9"/>
      <c r="D1648" s="9"/>
      <c r="E1648" s="9"/>
      <c r="F1648" s="17" t="str">
        <f aca="false">IF(AND(A1648="",B1648="",C1648=""),"",IF(NOT(ISNUMBER(A1648)),"Enter the date done",IF(OR(B1648="",C1648=""),"Fill in asset and task",IF(SUMPRODUCT(('PM Plan'!$A$5:$A$304=B1648)*('PM Plan'!$B$5:$B$304=C1648))=0,"No matching asset + task in plan","OK"))))</f>
        <v/>
      </c>
    </row>
    <row r="1649" customFormat="false" ht="15" hidden="false" customHeight="false" outlineLevel="0" collapsed="false">
      <c r="A1649" s="14"/>
      <c r="B1649" s="9"/>
      <c r="C1649" s="9"/>
      <c r="D1649" s="9"/>
      <c r="E1649" s="9"/>
      <c r="F1649" s="17" t="str">
        <f aca="false">IF(AND(A1649="",B1649="",C1649=""),"",IF(NOT(ISNUMBER(A1649)),"Enter the date done",IF(OR(B1649="",C1649=""),"Fill in asset and task",IF(SUMPRODUCT(('PM Plan'!$A$5:$A$304=B1649)*('PM Plan'!$B$5:$B$304=C1649))=0,"No matching asset + task in plan","OK"))))</f>
        <v/>
      </c>
    </row>
    <row r="1650" customFormat="false" ht="15" hidden="false" customHeight="false" outlineLevel="0" collapsed="false">
      <c r="A1650" s="14"/>
      <c r="B1650" s="9"/>
      <c r="C1650" s="9"/>
      <c r="D1650" s="9"/>
      <c r="E1650" s="9"/>
      <c r="F1650" s="17" t="str">
        <f aca="false">IF(AND(A1650="",B1650="",C1650=""),"",IF(NOT(ISNUMBER(A1650)),"Enter the date done",IF(OR(B1650="",C1650=""),"Fill in asset and task",IF(SUMPRODUCT(('PM Plan'!$A$5:$A$304=B1650)*('PM Plan'!$B$5:$B$304=C1650))=0,"No matching asset + task in plan","OK"))))</f>
        <v/>
      </c>
    </row>
    <row r="1651" customFormat="false" ht="15" hidden="false" customHeight="false" outlineLevel="0" collapsed="false">
      <c r="A1651" s="14"/>
      <c r="B1651" s="9"/>
      <c r="C1651" s="9"/>
      <c r="D1651" s="9"/>
      <c r="E1651" s="9"/>
      <c r="F1651" s="17" t="str">
        <f aca="false">IF(AND(A1651="",B1651="",C1651=""),"",IF(NOT(ISNUMBER(A1651)),"Enter the date done",IF(OR(B1651="",C1651=""),"Fill in asset and task",IF(SUMPRODUCT(('PM Plan'!$A$5:$A$304=B1651)*('PM Plan'!$B$5:$B$304=C1651))=0,"No matching asset + task in plan","OK"))))</f>
        <v/>
      </c>
    </row>
    <row r="1652" customFormat="false" ht="15" hidden="false" customHeight="false" outlineLevel="0" collapsed="false">
      <c r="A1652" s="14"/>
      <c r="B1652" s="9"/>
      <c r="C1652" s="9"/>
      <c r="D1652" s="9"/>
      <c r="E1652" s="9"/>
      <c r="F1652" s="17" t="str">
        <f aca="false">IF(AND(A1652="",B1652="",C1652=""),"",IF(NOT(ISNUMBER(A1652)),"Enter the date done",IF(OR(B1652="",C1652=""),"Fill in asset and task",IF(SUMPRODUCT(('PM Plan'!$A$5:$A$304=B1652)*('PM Plan'!$B$5:$B$304=C1652))=0,"No matching asset + task in plan","OK"))))</f>
        <v/>
      </c>
    </row>
    <row r="1653" customFormat="false" ht="15" hidden="false" customHeight="false" outlineLevel="0" collapsed="false">
      <c r="A1653" s="14"/>
      <c r="B1653" s="9"/>
      <c r="C1653" s="9"/>
      <c r="D1653" s="9"/>
      <c r="E1653" s="9"/>
      <c r="F1653" s="17" t="str">
        <f aca="false">IF(AND(A1653="",B1653="",C1653=""),"",IF(NOT(ISNUMBER(A1653)),"Enter the date done",IF(OR(B1653="",C1653=""),"Fill in asset and task",IF(SUMPRODUCT(('PM Plan'!$A$5:$A$304=B1653)*('PM Plan'!$B$5:$B$304=C1653))=0,"No matching asset + task in plan","OK"))))</f>
        <v/>
      </c>
    </row>
    <row r="1654" customFormat="false" ht="15" hidden="false" customHeight="false" outlineLevel="0" collapsed="false">
      <c r="A1654" s="14"/>
      <c r="B1654" s="9"/>
      <c r="C1654" s="9"/>
      <c r="D1654" s="9"/>
      <c r="E1654" s="9"/>
      <c r="F1654" s="17" t="str">
        <f aca="false">IF(AND(A1654="",B1654="",C1654=""),"",IF(NOT(ISNUMBER(A1654)),"Enter the date done",IF(OR(B1654="",C1654=""),"Fill in asset and task",IF(SUMPRODUCT(('PM Plan'!$A$5:$A$304=B1654)*('PM Plan'!$B$5:$B$304=C1654))=0,"No matching asset + task in plan","OK"))))</f>
        <v/>
      </c>
    </row>
    <row r="1655" customFormat="false" ht="15" hidden="false" customHeight="false" outlineLevel="0" collapsed="false">
      <c r="A1655" s="14"/>
      <c r="B1655" s="9"/>
      <c r="C1655" s="9"/>
      <c r="D1655" s="9"/>
      <c r="E1655" s="9"/>
      <c r="F1655" s="17" t="str">
        <f aca="false">IF(AND(A1655="",B1655="",C1655=""),"",IF(NOT(ISNUMBER(A1655)),"Enter the date done",IF(OR(B1655="",C1655=""),"Fill in asset and task",IF(SUMPRODUCT(('PM Plan'!$A$5:$A$304=B1655)*('PM Plan'!$B$5:$B$304=C1655))=0,"No matching asset + task in plan","OK"))))</f>
        <v/>
      </c>
    </row>
    <row r="1656" customFormat="false" ht="15" hidden="false" customHeight="false" outlineLevel="0" collapsed="false">
      <c r="A1656" s="14"/>
      <c r="B1656" s="9"/>
      <c r="C1656" s="9"/>
      <c r="D1656" s="9"/>
      <c r="E1656" s="9"/>
      <c r="F1656" s="17" t="str">
        <f aca="false">IF(AND(A1656="",B1656="",C1656=""),"",IF(NOT(ISNUMBER(A1656)),"Enter the date done",IF(OR(B1656="",C1656=""),"Fill in asset and task",IF(SUMPRODUCT(('PM Plan'!$A$5:$A$304=B1656)*('PM Plan'!$B$5:$B$304=C1656))=0,"No matching asset + task in plan","OK"))))</f>
        <v/>
      </c>
    </row>
    <row r="1657" customFormat="false" ht="15" hidden="false" customHeight="false" outlineLevel="0" collapsed="false">
      <c r="A1657" s="14"/>
      <c r="B1657" s="9"/>
      <c r="C1657" s="9"/>
      <c r="D1657" s="9"/>
      <c r="E1657" s="9"/>
      <c r="F1657" s="17" t="str">
        <f aca="false">IF(AND(A1657="",B1657="",C1657=""),"",IF(NOT(ISNUMBER(A1657)),"Enter the date done",IF(OR(B1657="",C1657=""),"Fill in asset and task",IF(SUMPRODUCT(('PM Plan'!$A$5:$A$304=B1657)*('PM Plan'!$B$5:$B$304=C1657))=0,"No matching asset + task in plan","OK"))))</f>
        <v/>
      </c>
    </row>
    <row r="1658" customFormat="false" ht="15" hidden="false" customHeight="false" outlineLevel="0" collapsed="false">
      <c r="A1658" s="14"/>
      <c r="B1658" s="9"/>
      <c r="C1658" s="9"/>
      <c r="D1658" s="9"/>
      <c r="E1658" s="9"/>
      <c r="F1658" s="17" t="str">
        <f aca="false">IF(AND(A1658="",B1658="",C1658=""),"",IF(NOT(ISNUMBER(A1658)),"Enter the date done",IF(OR(B1658="",C1658=""),"Fill in asset and task",IF(SUMPRODUCT(('PM Plan'!$A$5:$A$304=B1658)*('PM Plan'!$B$5:$B$304=C1658))=0,"No matching asset + task in plan","OK"))))</f>
        <v/>
      </c>
    </row>
    <row r="1659" customFormat="false" ht="15" hidden="false" customHeight="false" outlineLevel="0" collapsed="false">
      <c r="A1659" s="14"/>
      <c r="B1659" s="9"/>
      <c r="C1659" s="9"/>
      <c r="D1659" s="9"/>
      <c r="E1659" s="9"/>
      <c r="F1659" s="17" t="str">
        <f aca="false">IF(AND(A1659="",B1659="",C1659=""),"",IF(NOT(ISNUMBER(A1659)),"Enter the date done",IF(OR(B1659="",C1659=""),"Fill in asset and task",IF(SUMPRODUCT(('PM Plan'!$A$5:$A$304=B1659)*('PM Plan'!$B$5:$B$304=C1659))=0,"No matching asset + task in plan","OK"))))</f>
        <v/>
      </c>
    </row>
    <row r="1660" customFormat="false" ht="15" hidden="false" customHeight="false" outlineLevel="0" collapsed="false">
      <c r="A1660" s="14"/>
      <c r="B1660" s="9"/>
      <c r="C1660" s="9"/>
      <c r="D1660" s="9"/>
      <c r="E1660" s="9"/>
      <c r="F1660" s="17" t="str">
        <f aca="false">IF(AND(A1660="",B1660="",C1660=""),"",IF(NOT(ISNUMBER(A1660)),"Enter the date done",IF(OR(B1660="",C1660=""),"Fill in asset and task",IF(SUMPRODUCT(('PM Plan'!$A$5:$A$304=B1660)*('PM Plan'!$B$5:$B$304=C1660))=0,"No matching asset + task in plan","OK"))))</f>
        <v/>
      </c>
    </row>
    <row r="1661" customFormat="false" ht="15" hidden="false" customHeight="false" outlineLevel="0" collapsed="false">
      <c r="A1661" s="14"/>
      <c r="B1661" s="9"/>
      <c r="C1661" s="9"/>
      <c r="D1661" s="9"/>
      <c r="E1661" s="9"/>
      <c r="F1661" s="17" t="str">
        <f aca="false">IF(AND(A1661="",B1661="",C1661=""),"",IF(NOT(ISNUMBER(A1661)),"Enter the date done",IF(OR(B1661="",C1661=""),"Fill in asset and task",IF(SUMPRODUCT(('PM Plan'!$A$5:$A$304=B1661)*('PM Plan'!$B$5:$B$304=C1661))=0,"No matching asset + task in plan","OK"))))</f>
        <v/>
      </c>
    </row>
    <row r="1662" customFormat="false" ht="15" hidden="false" customHeight="false" outlineLevel="0" collapsed="false">
      <c r="A1662" s="14"/>
      <c r="B1662" s="9"/>
      <c r="C1662" s="9"/>
      <c r="D1662" s="9"/>
      <c r="E1662" s="9"/>
      <c r="F1662" s="17" t="str">
        <f aca="false">IF(AND(A1662="",B1662="",C1662=""),"",IF(NOT(ISNUMBER(A1662)),"Enter the date done",IF(OR(B1662="",C1662=""),"Fill in asset and task",IF(SUMPRODUCT(('PM Plan'!$A$5:$A$304=B1662)*('PM Plan'!$B$5:$B$304=C1662))=0,"No matching asset + task in plan","OK"))))</f>
        <v/>
      </c>
    </row>
    <row r="1663" customFormat="false" ht="15" hidden="false" customHeight="false" outlineLevel="0" collapsed="false">
      <c r="A1663" s="14"/>
      <c r="B1663" s="9"/>
      <c r="C1663" s="9"/>
      <c r="D1663" s="9"/>
      <c r="E1663" s="9"/>
      <c r="F1663" s="17" t="str">
        <f aca="false">IF(AND(A1663="",B1663="",C1663=""),"",IF(NOT(ISNUMBER(A1663)),"Enter the date done",IF(OR(B1663="",C1663=""),"Fill in asset and task",IF(SUMPRODUCT(('PM Plan'!$A$5:$A$304=B1663)*('PM Plan'!$B$5:$B$304=C1663))=0,"No matching asset + task in plan","OK"))))</f>
        <v/>
      </c>
    </row>
    <row r="1664" customFormat="false" ht="15" hidden="false" customHeight="false" outlineLevel="0" collapsed="false">
      <c r="A1664" s="14"/>
      <c r="B1664" s="9"/>
      <c r="C1664" s="9"/>
      <c r="D1664" s="9"/>
      <c r="E1664" s="9"/>
      <c r="F1664" s="17" t="str">
        <f aca="false">IF(AND(A1664="",B1664="",C1664=""),"",IF(NOT(ISNUMBER(A1664)),"Enter the date done",IF(OR(B1664="",C1664=""),"Fill in asset and task",IF(SUMPRODUCT(('PM Plan'!$A$5:$A$304=B1664)*('PM Plan'!$B$5:$B$304=C1664))=0,"No matching asset + task in plan","OK"))))</f>
        <v/>
      </c>
    </row>
    <row r="1665" customFormat="false" ht="15" hidden="false" customHeight="false" outlineLevel="0" collapsed="false">
      <c r="A1665" s="14"/>
      <c r="B1665" s="9"/>
      <c r="C1665" s="9"/>
      <c r="D1665" s="9"/>
      <c r="E1665" s="9"/>
      <c r="F1665" s="17" t="str">
        <f aca="false">IF(AND(A1665="",B1665="",C1665=""),"",IF(NOT(ISNUMBER(A1665)),"Enter the date done",IF(OR(B1665="",C1665=""),"Fill in asset and task",IF(SUMPRODUCT(('PM Plan'!$A$5:$A$304=B1665)*('PM Plan'!$B$5:$B$304=C1665))=0,"No matching asset + task in plan","OK"))))</f>
        <v/>
      </c>
    </row>
    <row r="1666" customFormat="false" ht="15" hidden="false" customHeight="false" outlineLevel="0" collapsed="false">
      <c r="A1666" s="14"/>
      <c r="B1666" s="9"/>
      <c r="C1666" s="9"/>
      <c r="D1666" s="9"/>
      <c r="E1666" s="9"/>
      <c r="F1666" s="17" t="str">
        <f aca="false">IF(AND(A1666="",B1666="",C1666=""),"",IF(NOT(ISNUMBER(A1666)),"Enter the date done",IF(OR(B1666="",C1666=""),"Fill in asset and task",IF(SUMPRODUCT(('PM Plan'!$A$5:$A$304=B1666)*('PM Plan'!$B$5:$B$304=C1666))=0,"No matching asset + task in plan","OK"))))</f>
        <v/>
      </c>
    </row>
    <row r="1667" customFormat="false" ht="15" hidden="false" customHeight="false" outlineLevel="0" collapsed="false">
      <c r="A1667" s="14"/>
      <c r="B1667" s="9"/>
      <c r="C1667" s="9"/>
      <c r="D1667" s="9"/>
      <c r="E1667" s="9"/>
      <c r="F1667" s="17" t="str">
        <f aca="false">IF(AND(A1667="",B1667="",C1667=""),"",IF(NOT(ISNUMBER(A1667)),"Enter the date done",IF(OR(B1667="",C1667=""),"Fill in asset and task",IF(SUMPRODUCT(('PM Plan'!$A$5:$A$304=B1667)*('PM Plan'!$B$5:$B$304=C1667))=0,"No matching asset + task in plan","OK"))))</f>
        <v/>
      </c>
    </row>
    <row r="1668" customFormat="false" ht="15" hidden="false" customHeight="false" outlineLevel="0" collapsed="false">
      <c r="A1668" s="14"/>
      <c r="B1668" s="9"/>
      <c r="C1668" s="9"/>
      <c r="D1668" s="9"/>
      <c r="E1668" s="9"/>
      <c r="F1668" s="17" t="str">
        <f aca="false">IF(AND(A1668="",B1668="",C1668=""),"",IF(NOT(ISNUMBER(A1668)),"Enter the date done",IF(OR(B1668="",C1668=""),"Fill in asset and task",IF(SUMPRODUCT(('PM Plan'!$A$5:$A$304=B1668)*('PM Plan'!$B$5:$B$304=C1668))=0,"No matching asset + task in plan","OK"))))</f>
        <v/>
      </c>
    </row>
    <row r="1669" customFormat="false" ht="15" hidden="false" customHeight="false" outlineLevel="0" collapsed="false">
      <c r="A1669" s="14"/>
      <c r="B1669" s="9"/>
      <c r="C1669" s="9"/>
      <c r="D1669" s="9"/>
      <c r="E1669" s="9"/>
      <c r="F1669" s="17" t="str">
        <f aca="false">IF(AND(A1669="",B1669="",C1669=""),"",IF(NOT(ISNUMBER(A1669)),"Enter the date done",IF(OR(B1669="",C1669=""),"Fill in asset and task",IF(SUMPRODUCT(('PM Plan'!$A$5:$A$304=B1669)*('PM Plan'!$B$5:$B$304=C1669))=0,"No matching asset + task in plan","OK"))))</f>
        <v/>
      </c>
    </row>
    <row r="1670" customFormat="false" ht="15" hidden="false" customHeight="false" outlineLevel="0" collapsed="false">
      <c r="A1670" s="14"/>
      <c r="B1670" s="9"/>
      <c r="C1670" s="9"/>
      <c r="D1670" s="9"/>
      <c r="E1670" s="9"/>
      <c r="F1670" s="17" t="str">
        <f aca="false">IF(AND(A1670="",B1670="",C1670=""),"",IF(NOT(ISNUMBER(A1670)),"Enter the date done",IF(OR(B1670="",C1670=""),"Fill in asset and task",IF(SUMPRODUCT(('PM Plan'!$A$5:$A$304=B1670)*('PM Plan'!$B$5:$B$304=C1670))=0,"No matching asset + task in plan","OK"))))</f>
        <v/>
      </c>
    </row>
    <row r="1671" customFormat="false" ht="15" hidden="false" customHeight="false" outlineLevel="0" collapsed="false">
      <c r="A1671" s="14"/>
      <c r="B1671" s="9"/>
      <c r="C1671" s="9"/>
      <c r="D1671" s="9"/>
      <c r="E1671" s="9"/>
      <c r="F1671" s="17" t="str">
        <f aca="false">IF(AND(A1671="",B1671="",C1671=""),"",IF(NOT(ISNUMBER(A1671)),"Enter the date done",IF(OR(B1671="",C1671=""),"Fill in asset and task",IF(SUMPRODUCT(('PM Plan'!$A$5:$A$304=B1671)*('PM Plan'!$B$5:$B$304=C1671))=0,"No matching asset + task in plan","OK"))))</f>
        <v/>
      </c>
    </row>
    <row r="1672" customFormat="false" ht="15" hidden="false" customHeight="false" outlineLevel="0" collapsed="false">
      <c r="A1672" s="14"/>
      <c r="B1672" s="9"/>
      <c r="C1672" s="9"/>
      <c r="D1672" s="9"/>
      <c r="E1672" s="9"/>
      <c r="F1672" s="17" t="str">
        <f aca="false">IF(AND(A1672="",B1672="",C1672=""),"",IF(NOT(ISNUMBER(A1672)),"Enter the date done",IF(OR(B1672="",C1672=""),"Fill in asset and task",IF(SUMPRODUCT(('PM Plan'!$A$5:$A$304=B1672)*('PM Plan'!$B$5:$B$304=C1672))=0,"No matching asset + task in plan","OK"))))</f>
        <v/>
      </c>
    </row>
    <row r="1673" customFormat="false" ht="15" hidden="false" customHeight="false" outlineLevel="0" collapsed="false">
      <c r="A1673" s="14"/>
      <c r="B1673" s="9"/>
      <c r="C1673" s="9"/>
      <c r="D1673" s="9"/>
      <c r="E1673" s="9"/>
      <c r="F1673" s="17" t="str">
        <f aca="false">IF(AND(A1673="",B1673="",C1673=""),"",IF(NOT(ISNUMBER(A1673)),"Enter the date done",IF(OR(B1673="",C1673=""),"Fill in asset and task",IF(SUMPRODUCT(('PM Plan'!$A$5:$A$304=B1673)*('PM Plan'!$B$5:$B$304=C1673))=0,"No matching asset + task in plan","OK"))))</f>
        <v/>
      </c>
    </row>
    <row r="1674" customFormat="false" ht="15" hidden="false" customHeight="false" outlineLevel="0" collapsed="false">
      <c r="A1674" s="14"/>
      <c r="B1674" s="9"/>
      <c r="C1674" s="9"/>
      <c r="D1674" s="9"/>
      <c r="E1674" s="9"/>
      <c r="F1674" s="17" t="str">
        <f aca="false">IF(AND(A1674="",B1674="",C1674=""),"",IF(NOT(ISNUMBER(A1674)),"Enter the date done",IF(OR(B1674="",C1674=""),"Fill in asset and task",IF(SUMPRODUCT(('PM Plan'!$A$5:$A$304=B1674)*('PM Plan'!$B$5:$B$304=C1674))=0,"No matching asset + task in plan","OK"))))</f>
        <v/>
      </c>
    </row>
    <row r="1675" customFormat="false" ht="15" hidden="false" customHeight="false" outlineLevel="0" collapsed="false">
      <c r="A1675" s="14"/>
      <c r="B1675" s="9"/>
      <c r="C1675" s="9"/>
      <c r="D1675" s="9"/>
      <c r="E1675" s="9"/>
      <c r="F1675" s="17" t="str">
        <f aca="false">IF(AND(A1675="",B1675="",C1675=""),"",IF(NOT(ISNUMBER(A1675)),"Enter the date done",IF(OR(B1675="",C1675=""),"Fill in asset and task",IF(SUMPRODUCT(('PM Plan'!$A$5:$A$304=B1675)*('PM Plan'!$B$5:$B$304=C1675))=0,"No matching asset + task in plan","OK"))))</f>
        <v/>
      </c>
    </row>
    <row r="1676" customFormat="false" ht="15" hidden="false" customHeight="false" outlineLevel="0" collapsed="false">
      <c r="A1676" s="14"/>
      <c r="B1676" s="9"/>
      <c r="C1676" s="9"/>
      <c r="D1676" s="9"/>
      <c r="E1676" s="9"/>
      <c r="F1676" s="17" t="str">
        <f aca="false">IF(AND(A1676="",B1676="",C1676=""),"",IF(NOT(ISNUMBER(A1676)),"Enter the date done",IF(OR(B1676="",C1676=""),"Fill in asset and task",IF(SUMPRODUCT(('PM Plan'!$A$5:$A$304=B1676)*('PM Plan'!$B$5:$B$304=C1676))=0,"No matching asset + task in plan","OK"))))</f>
        <v/>
      </c>
    </row>
    <row r="1677" customFormat="false" ht="15" hidden="false" customHeight="false" outlineLevel="0" collapsed="false">
      <c r="A1677" s="14"/>
      <c r="B1677" s="9"/>
      <c r="C1677" s="9"/>
      <c r="D1677" s="9"/>
      <c r="E1677" s="9"/>
      <c r="F1677" s="17" t="str">
        <f aca="false">IF(AND(A1677="",B1677="",C1677=""),"",IF(NOT(ISNUMBER(A1677)),"Enter the date done",IF(OR(B1677="",C1677=""),"Fill in asset and task",IF(SUMPRODUCT(('PM Plan'!$A$5:$A$304=B1677)*('PM Plan'!$B$5:$B$304=C1677))=0,"No matching asset + task in plan","OK"))))</f>
        <v/>
      </c>
    </row>
    <row r="1678" customFormat="false" ht="15" hidden="false" customHeight="false" outlineLevel="0" collapsed="false">
      <c r="A1678" s="14"/>
      <c r="B1678" s="9"/>
      <c r="C1678" s="9"/>
      <c r="D1678" s="9"/>
      <c r="E1678" s="9"/>
      <c r="F1678" s="17" t="str">
        <f aca="false">IF(AND(A1678="",B1678="",C1678=""),"",IF(NOT(ISNUMBER(A1678)),"Enter the date done",IF(OR(B1678="",C1678=""),"Fill in asset and task",IF(SUMPRODUCT(('PM Plan'!$A$5:$A$304=B1678)*('PM Plan'!$B$5:$B$304=C1678))=0,"No matching asset + task in plan","OK"))))</f>
        <v/>
      </c>
    </row>
    <row r="1679" customFormat="false" ht="15" hidden="false" customHeight="false" outlineLevel="0" collapsed="false">
      <c r="A1679" s="14"/>
      <c r="B1679" s="9"/>
      <c r="C1679" s="9"/>
      <c r="D1679" s="9"/>
      <c r="E1679" s="9"/>
      <c r="F1679" s="17" t="str">
        <f aca="false">IF(AND(A1679="",B1679="",C1679=""),"",IF(NOT(ISNUMBER(A1679)),"Enter the date done",IF(OR(B1679="",C1679=""),"Fill in asset and task",IF(SUMPRODUCT(('PM Plan'!$A$5:$A$304=B1679)*('PM Plan'!$B$5:$B$304=C1679))=0,"No matching asset + task in plan","OK"))))</f>
        <v/>
      </c>
    </row>
    <row r="1680" customFormat="false" ht="15" hidden="false" customHeight="false" outlineLevel="0" collapsed="false">
      <c r="A1680" s="14"/>
      <c r="B1680" s="9"/>
      <c r="C1680" s="9"/>
      <c r="D1680" s="9"/>
      <c r="E1680" s="9"/>
      <c r="F1680" s="17" t="str">
        <f aca="false">IF(AND(A1680="",B1680="",C1680=""),"",IF(NOT(ISNUMBER(A1680)),"Enter the date done",IF(OR(B1680="",C1680=""),"Fill in asset and task",IF(SUMPRODUCT(('PM Plan'!$A$5:$A$304=B1680)*('PM Plan'!$B$5:$B$304=C1680))=0,"No matching asset + task in plan","OK"))))</f>
        <v/>
      </c>
    </row>
    <row r="1681" customFormat="false" ht="15" hidden="false" customHeight="false" outlineLevel="0" collapsed="false">
      <c r="A1681" s="14"/>
      <c r="B1681" s="9"/>
      <c r="C1681" s="9"/>
      <c r="D1681" s="9"/>
      <c r="E1681" s="9"/>
      <c r="F1681" s="17" t="str">
        <f aca="false">IF(AND(A1681="",B1681="",C1681=""),"",IF(NOT(ISNUMBER(A1681)),"Enter the date done",IF(OR(B1681="",C1681=""),"Fill in asset and task",IF(SUMPRODUCT(('PM Plan'!$A$5:$A$304=B1681)*('PM Plan'!$B$5:$B$304=C1681))=0,"No matching asset + task in plan","OK"))))</f>
        <v/>
      </c>
    </row>
    <row r="1682" customFormat="false" ht="15" hidden="false" customHeight="false" outlineLevel="0" collapsed="false">
      <c r="A1682" s="14"/>
      <c r="B1682" s="9"/>
      <c r="C1682" s="9"/>
      <c r="D1682" s="9"/>
      <c r="E1682" s="9"/>
      <c r="F1682" s="17" t="str">
        <f aca="false">IF(AND(A1682="",B1682="",C1682=""),"",IF(NOT(ISNUMBER(A1682)),"Enter the date done",IF(OR(B1682="",C1682=""),"Fill in asset and task",IF(SUMPRODUCT(('PM Plan'!$A$5:$A$304=B1682)*('PM Plan'!$B$5:$B$304=C1682))=0,"No matching asset + task in plan","OK"))))</f>
        <v/>
      </c>
    </row>
    <row r="1683" customFormat="false" ht="15" hidden="false" customHeight="false" outlineLevel="0" collapsed="false">
      <c r="A1683" s="14"/>
      <c r="B1683" s="9"/>
      <c r="C1683" s="9"/>
      <c r="D1683" s="9"/>
      <c r="E1683" s="9"/>
      <c r="F1683" s="17" t="str">
        <f aca="false">IF(AND(A1683="",B1683="",C1683=""),"",IF(NOT(ISNUMBER(A1683)),"Enter the date done",IF(OR(B1683="",C1683=""),"Fill in asset and task",IF(SUMPRODUCT(('PM Plan'!$A$5:$A$304=B1683)*('PM Plan'!$B$5:$B$304=C1683))=0,"No matching asset + task in plan","OK"))))</f>
        <v/>
      </c>
    </row>
    <row r="1684" customFormat="false" ht="15" hidden="false" customHeight="false" outlineLevel="0" collapsed="false">
      <c r="A1684" s="14"/>
      <c r="B1684" s="9"/>
      <c r="C1684" s="9"/>
      <c r="D1684" s="9"/>
      <c r="E1684" s="9"/>
      <c r="F1684" s="17" t="str">
        <f aca="false">IF(AND(A1684="",B1684="",C1684=""),"",IF(NOT(ISNUMBER(A1684)),"Enter the date done",IF(OR(B1684="",C1684=""),"Fill in asset and task",IF(SUMPRODUCT(('PM Plan'!$A$5:$A$304=B1684)*('PM Plan'!$B$5:$B$304=C1684))=0,"No matching asset + task in plan","OK"))))</f>
        <v/>
      </c>
    </row>
    <row r="1685" customFormat="false" ht="15" hidden="false" customHeight="false" outlineLevel="0" collapsed="false">
      <c r="A1685" s="14"/>
      <c r="B1685" s="9"/>
      <c r="C1685" s="9"/>
      <c r="D1685" s="9"/>
      <c r="E1685" s="9"/>
      <c r="F1685" s="17" t="str">
        <f aca="false">IF(AND(A1685="",B1685="",C1685=""),"",IF(NOT(ISNUMBER(A1685)),"Enter the date done",IF(OR(B1685="",C1685=""),"Fill in asset and task",IF(SUMPRODUCT(('PM Plan'!$A$5:$A$304=B1685)*('PM Plan'!$B$5:$B$304=C1685))=0,"No matching asset + task in plan","OK"))))</f>
        <v/>
      </c>
    </row>
    <row r="1686" customFormat="false" ht="15" hidden="false" customHeight="false" outlineLevel="0" collapsed="false">
      <c r="A1686" s="14"/>
      <c r="B1686" s="9"/>
      <c r="C1686" s="9"/>
      <c r="D1686" s="9"/>
      <c r="E1686" s="9"/>
      <c r="F1686" s="17" t="str">
        <f aca="false">IF(AND(A1686="",B1686="",C1686=""),"",IF(NOT(ISNUMBER(A1686)),"Enter the date done",IF(OR(B1686="",C1686=""),"Fill in asset and task",IF(SUMPRODUCT(('PM Plan'!$A$5:$A$304=B1686)*('PM Plan'!$B$5:$B$304=C1686))=0,"No matching asset + task in plan","OK"))))</f>
        <v/>
      </c>
    </row>
    <row r="1687" customFormat="false" ht="15" hidden="false" customHeight="false" outlineLevel="0" collapsed="false">
      <c r="A1687" s="14"/>
      <c r="B1687" s="9"/>
      <c r="C1687" s="9"/>
      <c r="D1687" s="9"/>
      <c r="E1687" s="9"/>
      <c r="F1687" s="17" t="str">
        <f aca="false">IF(AND(A1687="",B1687="",C1687=""),"",IF(NOT(ISNUMBER(A1687)),"Enter the date done",IF(OR(B1687="",C1687=""),"Fill in asset and task",IF(SUMPRODUCT(('PM Plan'!$A$5:$A$304=B1687)*('PM Plan'!$B$5:$B$304=C1687))=0,"No matching asset + task in plan","OK"))))</f>
        <v/>
      </c>
    </row>
    <row r="1688" customFormat="false" ht="15" hidden="false" customHeight="false" outlineLevel="0" collapsed="false">
      <c r="A1688" s="14"/>
      <c r="B1688" s="9"/>
      <c r="C1688" s="9"/>
      <c r="D1688" s="9"/>
      <c r="E1688" s="9"/>
      <c r="F1688" s="17" t="str">
        <f aca="false">IF(AND(A1688="",B1688="",C1688=""),"",IF(NOT(ISNUMBER(A1688)),"Enter the date done",IF(OR(B1688="",C1688=""),"Fill in asset and task",IF(SUMPRODUCT(('PM Plan'!$A$5:$A$304=B1688)*('PM Plan'!$B$5:$B$304=C1688))=0,"No matching asset + task in plan","OK"))))</f>
        <v/>
      </c>
    </row>
    <row r="1689" customFormat="false" ht="15" hidden="false" customHeight="false" outlineLevel="0" collapsed="false">
      <c r="A1689" s="14"/>
      <c r="B1689" s="9"/>
      <c r="C1689" s="9"/>
      <c r="D1689" s="9"/>
      <c r="E1689" s="9"/>
      <c r="F1689" s="17" t="str">
        <f aca="false">IF(AND(A1689="",B1689="",C1689=""),"",IF(NOT(ISNUMBER(A1689)),"Enter the date done",IF(OR(B1689="",C1689=""),"Fill in asset and task",IF(SUMPRODUCT(('PM Plan'!$A$5:$A$304=B1689)*('PM Plan'!$B$5:$B$304=C1689))=0,"No matching asset + task in plan","OK"))))</f>
        <v/>
      </c>
    </row>
    <row r="1690" customFormat="false" ht="15" hidden="false" customHeight="false" outlineLevel="0" collapsed="false">
      <c r="A1690" s="14"/>
      <c r="B1690" s="9"/>
      <c r="C1690" s="9"/>
      <c r="D1690" s="9"/>
      <c r="E1690" s="9"/>
      <c r="F1690" s="17" t="str">
        <f aca="false">IF(AND(A1690="",B1690="",C1690=""),"",IF(NOT(ISNUMBER(A1690)),"Enter the date done",IF(OR(B1690="",C1690=""),"Fill in asset and task",IF(SUMPRODUCT(('PM Plan'!$A$5:$A$304=B1690)*('PM Plan'!$B$5:$B$304=C1690))=0,"No matching asset + task in plan","OK"))))</f>
        <v/>
      </c>
    </row>
    <row r="1691" customFormat="false" ht="15" hidden="false" customHeight="false" outlineLevel="0" collapsed="false">
      <c r="A1691" s="14"/>
      <c r="B1691" s="9"/>
      <c r="C1691" s="9"/>
      <c r="D1691" s="9"/>
      <c r="E1691" s="9"/>
      <c r="F1691" s="17" t="str">
        <f aca="false">IF(AND(A1691="",B1691="",C1691=""),"",IF(NOT(ISNUMBER(A1691)),"Enter the date done",IF(OR(B1691="",C1691=""),"Fill in asset and task",IF(SUMPRODUCT(('PM Plan'!$A$5:$A$304=B1691)*('PM Plan'!$B$5:$B$304=C1691))=0,"No matching asset + task in plan","OK"))))</f>
        <v/>
      </c>
    </row>
    <row r="1692" customFormat="false" ht="15" hidden="false" customHeight="false" outlineLevel="0" collapsed="false">
      <c r="A1692" s="14"/>
      <c r="B1692" s="9"/>
      <c r="C1692" s="9"/>
      <c r="D1692" s="9"/>
      <c r="E1692" s="9"/>
      <c r="F1692" s="17" t="str">
        <f aca="false">IF(AND(A1692="",B1692="",C1692=""),"",IF(NOT(ISNUMBER(A1692)),"Enter the date done",IF(OR(B1692="",C1692=""),"Fill in asset and task",IF(SUMPRODUCT(('PM Plan'!$A$5:$A$304=B1692)*('PM Plan'!$B$5:$B$304=C1692))=0,"No matching asset + task in plan","OK"))))</f>
        <v/>
      </c>
    </row>
    <row r="1693" customFormat="false" ht="15" hidden="false" customHeight="false" outlineLevel="0" collapsed="false">
      <c r="A1693" s="14"/>
      <c r="B1693" s="9"/>
      <c r="C1693" s="9"/>
      <c r="D1693" s="9"/>
      <c r="E1693" s="9"/>
      <c r="F1693" s="17" t="str">
        <f aca="false">IF(AND(A1693="",B1693="",C1693=""),"",IF(NOT(ISNUMBER(A1693)),"Enter the date done",IF(OR(B1693="",C1693=""),"Fill in asset and task",IF(SUMPRODUCT(('PM Plan'!$A$5:$A$304=B1693)*('PM Plan'!$B$5:$B$304=C1693))=0,"No matching asset + task in plan","OK"))))</f>
        <v/>
      </c>
    </row>
    <row r="1694" customFormat="false" ht="15" hidden="false" customHeight="false" outlineLevel="0" collapsed="false">
      <c r="A1694" s="14"/>
      <c r="B1694" s="9"/>
      <c r="C1694" s="9"/>
      <c r="D1694" s="9"/>
      <c r="E1694" s="9"/>
      <c r="F1694" s="17" t="str">
        <f aca="false">IF(AND(A1694="",B1694="",C1694=""),"",IF(NOT(ISNUMBER(A1694)),"Enter the date done",IF(OR(B1694="",C1694=""),"Fill in asset and task",IF(SUMPRODUCT(('PM Plan'!$A$5:$A$304=B1694)*('PM Plan'!$B$5:$B$304=C1694))=0,"No matching asset + task in plan","OK"))))</f>
        <v/>
      </c>
    </row>
    <row r="1695" customFormat="false" ht="15" hidden="false" customHeight="false" outlineLevel="0" collapsed="false">
      <c r="A1695" s="14"/>
      <c r="B1695" s="9"/>
      <c r="C1695" s="9"/>
      <c r="D1695" s="9"/>
      <c r="E1695" s="9"/>
      <c r="F1695" s="17" t="str">
        <f aca="false">IF(AND(A1695="",B1695="",C1695=""),"",IF(NOT(ISNUMBER(A1695)),"Enter the date done",IF(OR(B1695="",C1695=""),"Fill in asset and task",IF(SUMPRODUCT(('PM Plan'!$A$5:$A$304=B1695)*('PM Plan'!$B$5:$B$304=C1695))=0,"No matching asset + task in plan","OK"))))</f>
        <v/>
      </c>
    </row>
    <row r="1696" customFormat="false" ht="15" hidden="false" customHeight="false" outlineLevel="0" collapsed="false">
      <c r="A1696" s="14"/>
      <c r="B1696" s="9"/>
      <c r="C1696" s="9"/>
      <c r="D1696" s="9"/>
      <c r="E1696" s="9"/>
      <c r="F1696" s="17" t="str">
        <f aca="false">IF(AND(A1696="",B1696="",C1696=""),"",IF(NOT(ISNUMBER(A1696)),"Enter the date done",IF(OR(B1696="",C1696=""),"Fill in asset and task",IF(SUMPRODUCT(('PM Plan'!$A$5:$A$304=B1696)*('PM Plan'!$B$5:$B$304=C1696))=0,"No matching asset + task in plan","OK"))))</f>
        <v/>
      </c>
    </row>
    <row r="1697" customFormat="false" ht="15" hidden="false" customHeight="false" outlineLevel="0" collapsed="false">
      <c r="A1697" s="14"/>
      <c r="B1697" s="9"/>
      <c r="C1697" s="9"/>
      <c r="D1697" s="9"/>
      <c r="E1697" s="9"/>
      <c r="F1697" s="17" t="str">
        <f aca="false">IF(AND(A1697="",B1697="",C1697=""),"",IF(NOT(ISNUMBER(A1697)),"Enter the date done",IF(OR(B1697="",C1697=""),"Fill in asset and task",IF(SUMPRODUCT(('PM Plan'!$A$5:$A$304=B1697)*('PM Plan'!$B$5:$B$304=C1697))=0,"No matching asset + task in plan","OK"))))</f>
        <v/>
      </c>
    </row>
    <row r="1698" customFormat="false" ht="15" hidden="false" customHeight="false" outlineLevel="0" collapsed="false">
      <c r="A1698" s="14"/>
      <c r="B1698" s="9"/>
      <c r="C1698" s="9"/>
      <c r="D1698" s="9"/>
      <c r="E1698" s="9"/>
      <c r="F1698" s="17" t="str">
        <f aca="false">IF(AND(A1698="",B1698="",C1698=""),"",IF(NOT(ISNUMBER(A1698)),"Enter the date done",IF(OR(B1698="",C1698=""),"Fill in asset and task",IF(SUMPRODUCT(('PM Plan'!$A$5:$A$304=B1698)*('PM Plan'!$B$5:$B$304=C1698))=0,"No matching asset + task in plan","OK"))))</f>
        <v/>
      </c>
    </row>
    <row r="1699" customFormat="false" ht="15" hidden="false" customHeight="false" outlineLevel="0" collapsed="false">
      <c r="A1699" s="14"/>
      <c r="B1699" s="9"/>
      <c r="C1699" s="9"/>
      <c r="D1699" s="9"/>
      <c r="E1699" s="9"/>
      <c r="F1699" s="17" t="str">
        <f aca="false">IF(AND(A1699="",B1699="",C1699=""),"",IF(NOT(ISNUMBER(A1699)),"Enter the date done",IF(OR(B1699="",C1699=""),"Fill in asset and task",IF(SUMPRODUCT(('PM Plan'!$A$5:$A$304=B1699)*('PM Plan'!$B$5:$B$304=C1699))=0,"No matching asset + task in plan","OK"))))</f>
        <v/>
      </c>
    </row>
    <row r="1700" customFormat="false" ht="15" hidden="false" customHeight="false" outlineLevel="0" collapsed="false">
      <c r="A1700" s="14"/>
      <c r="B1700" s="9"/>
      <c r="C1700" s="9"/>
      <c r="D1700" s="9"/>
      <c r="E1700" s="9"/>
      <c r="F1700" s="17" t="str">
        <f aca="false">IF(AND(A1700="",B1700="",C1700=""),"",IF(NOT(ISNUMBER(A1700)),"Enter the date done",IF(OR(B1700="",C1700=""),"Fill in asset and task",IF(SUMPRODUCT(('PM Plan'!$A$5:$A$304=B1700)*('PM Plan'!$B$5:$B$304=C1700))=0,"No matching asset + task in plan","OK"))))</f>
        <v/>
      </c>
    </row>
    <row r="1701" customFormat="false" ht="15" hidden="false" customHeight="false" outlineLevel="0" collapsed="false">
      <c r="A1701" s="14"/>
      <c r="B1701" s="9"/>
      <c r="C1701" s="9"/>
      <c r="D1701" s="9"/>
      <c r="E1701" s="9"/>
      <c r="F1701" s="17" t="str">
        <f aca="false">IF(AND(A1701="",B1701="",C1701=""),"",IF(NOT(ISNUMBER(A1701)),"Enter the date done",IF(OR(B1701="",C1701=""),"Fill in asset and task",IF(SUMPRODUCT(('PM Plan'!$A$5:$A$304=B1701)*('PM Plan'!$B$5:$B$304=C1701))=0,"No matching asset + task in plan","OK"))))</f>
        <v/>
      </c>
    </row>
    <row r="1702" customFormat="false" ht="15" hidden="false" customHeight="false" outlineLevel="0" collapsed="false">
      <c r="A1702" s="14"/>
      <c r="B1702" s="9"/>
      <c r="C1702" s="9"/>
      <c r="D1702" s="9"/>
      <c r="E1702" s="9"/>
      <c r="F1702" s="17" t="str">
        <f aca="false">IF(AND(A1702="",B1702="",C1702=""),"",IF(NOT(ISNUMBER(A1702)),"Enter the date done",IF(OR(B1702="",C1702=""),"Fill in asset and task",IF(SUMPRODUCT(('PM Plan'!$A$5:$A$304=B1702)*('PM Plan'!$B$5:$B$304=C1702))=0,"No matching asset + task in plan","OK"))))</f>
        <v/>
      </c>
    </row>
    <row r="1703" customFormat="false" ht="15" hidden="false" customHeight="false" outlineLevel="0" collapsed="false">
      <c r="A1703" s="14"/>
      <c r="B1703" s="9"/>
      <c r="C1703" s="9"/>
      <c r="D1703" s="9"/>
      <c r="E1703" s="9"/>
      <c r="F1703" s="17" t="str">
        <f aca="false">IF(AND(A1703="",B1703="",C1703=""),"",IF(NOT(ISNUMBER(A1703)),"Enter the date done",IF(OR(B1703="",C1703=""),"Fill in asset and task",IF(SUMPRODUCT(('PM Plan'!$A$5:$A$304=B1703)*('PM Plan'!$B$5:$B$304=C1703))=0,"No matching asset + task in plan","OK"))))</f>
        <v/>
      </c>
    </row>
    <row r="1704" customFormat="false" ht="15" hidden="false" customHeight="false" outlineLevel="0" collapsed="false">
      <c r="A1704" s="14"/>
      <c r="B1704" s="9"/>
      <c r="C1704" s="9"/>
      <c r="D1704" s="9"/>
      <c r="E1704" s="9"/>
      <c r="F1704" s="17" t="str">
        <f aca="false">IF(AND(A1704="",B1704="",C1704=""),"",IF(NOT(ISNUMBER(A1704)),"Enter the date done",IF(OR(B1704="",C1704=""),"Fill in asset and task",IF(SUMPRODUCT(('PM Plan'!$A$5:$A$304=B1704)*('PM Plan'!$B$5:$B$304=C1704))=0,"No matching asset + task in plan","OK"))))</f>
        <v/>
      </c>
    </row>
    <row r="1705" customFormat="false" ht="15" hidden="false" customHeight="false" outlineLevel="0" collapsed="false">
      <c r="A1705" s="14"/>
      <c r="B1705" s="9"/>
      <c r="C1705" s="9"/>
      <c r="D1705" s="9"/>
      <c r="E1705" s="9"/>
      <c r="F1705" s="17" t="str">
        <f aca="false">IF(AND(A1705="",B1705="",C1705=""),"",IF(NOT(ISNUMBER(A1705)),"Enter the date done",IF(OR(B1705="",C1705=""),"Fill in asset and task",IF(SUMPRODUCT(('PM Plan'!$A$5:$A$304=B1705)*('PM Plan'!$B$5:$B$304=C1705))=0,"No matching asset + task in plan","OK"))))</f>
        <v/>
      </c>
    </row>
    <row r="1706" customFormat="false" ht="15" hidden="false" customHeight="false" outlineLevel="0" collapsed="false">
      <c r="A1706" s="14"/>
      <c r="B1706" s="9"/>
      <c r="C1706" s="9"/>
      <c r="D1706" s="9"/>
      <c r="E1706" s="9"/>
      <c r="F1706" s="17" t="str">
        <f aca="false">IF(AND(A1706="",B1706="",C1706=""),"",IF(NOT(ISNUMBER(A1706)),"Enter the date done",IF(OR(B1706="",C1706=""),"Fill in asset and task",IF(SUMPRODUCT(('PM Plan'!$A$5:$A$304=B1706)*('PM Plan'!$B$5:$B$304=C1706))=0,"No matching asset + task in plan","OK"))))</f>
        <v/>
      </c>
    </row>
    <row r="1707" customFormat="false" ht="15" hidden="false" customHeight="false" outlineLevel="0" collapsed="false">
      <c r="A1707" s="14"/>
      <c r="B1707" s="9"/>
      <c r="C1707" s="9"/>
      <c r="D1707" s="9"/>
      <c r="E1707" s="9"/>
      <c r="F1707" s="17" t="str">
        <f aca="false">IF(AND(A1707="",B1707="",C1707=""),"",IF(NOT(ISNUMBER(A1707)),"Enter the date done",IF(OR(B1707="",C1707=""),"Fill in asset and task",IF(SUMPRODUCT(('PM Plan'!$A$5:$A$304=B1707)*('PM Plan'!$B$5:$B$304=C1707))=0,"No matching asset + task in plan","OK"))))</f>
        <v/>
      </c>
    </row>
    <row r="1708" customFormat="false" ht="15" hidden="false" customHeight="false" outlineLevel="0" collapsed="false">
      <c r="A1708" s="14"/>
      <c r="B1708" s="9"/>
      <c r="C1708" s="9"/>
      <c r="D1708" s="9"/>
      <c r="E1708" s="9"/>
      <c r="F1708" s="17" t="str">
        <f aca="false">IF(AND(A1708="",B1708="",C1708=""),"",IF(NOT(ISNUMBER(A1708)),"Enter the date done",IF(OR(B1708="",C1708=""),"Fill in asset and task",IF(SUMPRODUCT(('PM Plan'!$A$5:$A$304=B1708)*('PM Plan'!$B$5:$B$304=C1708))=0,"No matching asset + task in plan","OK"))))</f>
        <v/>
      </c>
    </row>
    <row r="1709" customFormat="false" ht="15" hidden="false" customHeight="false" outlineLevel="0" collapsed="false">
      <c r="A1709" s="14"/>
      <c r="B1709" s="9"/>
      <c r="C1709" s="9"/>
      <c r="D1709" s="9"/>
      <c r="E1709" s="9"/>
      <c r="F1709" s="17" t="str">
        <f aca="false">IF(AND(A1709="",B1709="",C1709=""),"",IF(NOT(ISNUMBER(A1709)),"Enter the date done",IF(OR(B1709="",C1709=""),"Fill in asset and task",IF(SUMPRODUCT(('PM Plan'!$A$5:$A$304=B1709)*('PM Plan'!$B$5:$B$304=C1709))=0,"No matching asset + task in plan","OK"))))</f>
        <v/>
      </c>
    </row>
    <row r="1710" customFormat="false" ht="15" hidden="false" customHeight="false" outlineLevel="0" collapsed="false">
      <c r="A1710" s="14"/>
      <c r="B1710" s="9"/>
      <c r="C1710" s="9"/>
      <c r="D1710" s="9"/>
      <c r="E1710" s="9"/>
      <c r="F1710" s="17" t="str">
        <f aca="false">IF(AND(A1710="",B1710="",C1710=""),"",IF(NOT(ISNUMBER(A1710)),"Enter the date done",IF(OR(B1710="",C1710=""),"Fill in asset and task",IF(SUMPRODUCT(('PM Plan'!$A$5:$A$304=B1710)*('PM Plan'!$B$5:$B$304=C1710))=0,"No matching asset + task in plan","OK"))))</f>
        <v/>
      </c>
    </row>
    <row r="1711" customFormat="false" ht="15" hidden="false" customHeight="false" outlineLevel="0" collapsed="false">
      <c r="A1711" s="14"/>
      <c r="B1711" s="9"/>
      <c r="C1711" s="9"/>
      <c r="D1711" s="9"/>
      <c r="E1711" s="9"/>
      <c r="F1711" s="17" t="str">
        <f aca="false">IF(AND(A1711="",B1711="",C1711=""),"",IF(NOT(ISNUMBER(A1711)),"Enter the date done",IF(OR(B1711="",C1711=""),"Fill in asset and task",IF(SUMPRODUCT(('PM Plan'!$A$5:$A$304=B1711)*('PM Plan'!$B$5:$B$304=C1711))=0,"No matching asset + task in plan","OK"))))</f>
        <v/>
      </c>
    </row>
    <row r="1712" customFormat="false" ht="15" hidden="false" customHeight="false" outlineLevel="0" collapsed="false">
      <c r="A1712" s="14"/>
      <c r="B1712" s="9"/>
      <c r="C1712" s="9"/>
      <c r="D1712" s="9"/>
      <c r="E1712" s="9"/>
      <c r="F1712" s="17" t="str">
        <f aca="false">IF(AND(A1712="",B1712="",C1712=""),"",IF(NOT(ISNUMBER(A1712)),"Enter the date done",IF(OR(B1712="",C1712=""),"Fill in asset and task",IF(SUMPRODUCT(('PM Plan'!$A$5:$A$304=B1712)*('PM Plan'!$B$5:$B$304=C1712))=0,"No matching asset + task in plan","OK"))))</f>
        <v/>
      </c>
    </row>
    <row r="1713" customFormat="false" ht="15" hidden="false" customHeight="false" outlineLevel="0" collapsed="false">
      <c r="A1713" s="14"/>
      <c r="B1713" s="9"/>
      <c r="C1713" s="9"/>
      <c r="D1713" s="9"/>
      <c r="E1713" s="9"/>
      <c r="F1713" s="17" t="str">
        <f aca="false">IF(AND(A1713="",B1713="",C1713=""),"",IF(NOT(ISNUMBER(A1713)),"Enter the date done",IF(OR(B1713="",C1713=""),"Fill in asset and task",IF(SUMPRODUCT(('PM Plan'!$A$5:$A$304=B1713)*('PM Plan'!$B$5:$B$304=C1713))=0,"No matching asset + task in plan","OK"))))</f>
        <v/>
      </c>
    </row>
    <row r="1714" customFormat="false" ht="15" hidden="false" customHeight="false" outlineLevel="0" collapsed="false">
      <c r="A1714" s="14"/>
      <c r="B1714" s="9"/>
      <c r="C1714" s="9"/>
      <c r="D1714" s="9"/>
      <c r="E1714" s="9"/>
      <c r="F1714" s="17" t="str">
        <f aca="false">IF(AND(A1714="",B1714="",C1714=""),"",IF(NOT(ISNUMBER(A1714)),"Enter the date done",IF(OR(B1714="",C1714=""),"Fill in asset and task",IF(SUMPRODUCT(('PM Plan'!$A$5:$A$304=B1714)*('PM Plan'!$B$5:$B$304=C1714))=0,"No matching asset + task in plan","OK"))))</f>
        <v/>
      </c>
    </row>
    <row r="1715" customFormat="false" ht="15" hidden="false" customHeight="false" outlineLevel="0" collapsed="false">
      <c r="A1715" s="14"/>
      <c r="B1715" s="9"/>
      <c r="C1715" s="9"/>
      <c r="D1715" s="9"/>
      <c r="E1715" s="9"/>
      <c r="F1715" s="17" t="str">
        <f aca="false">IF(AND(A1715="",B1715="",C1715=""),"",IF(NOT(ISNUMBER(A1715)),"Enter the date done",IF(OR(B1715="",C1715=""),"Fill in asset and task",IF(SUMPRODUCT(('PM Plan'!$A$5:$A$304=B1715)*('PM Plan'!$B$5:$B$304=C1715))=0,"No matching asset + task in plan","OK"))))</f>
        <v/>
      </c>
    </row>
    <row r="1716" customFormat="false" ht="15" hidden="false" customHeight="false" outlineLevel="0" collapsed="false">
      <c r="A1716" s="14"/>
      <c r="B1716" s="9"/>
      <c r="C1716" s="9"/>
      <c r="D1716" s="9"/>
      <c r="E1716" s="9"/>
      <c r="F1716" s="17" t="str">
        <f aca="false">IF(AND(A1716="",B1716="",C1716=""),"",IF(NOT(ISNUMBER(A1716)),"Enter the date done",IF(OR(B1716="",C1716=""),"Fill in asset and task",IF(SUMPRODUCT(('PM Plan'!$A$5:$A$304=B1716)*('PM Plan'!$B$5:$B$304=C1716))=0,"No matching asset + task in plan","OK"))))</f>
        <v/>
      </c>
    </row>
    <row r="1717" customFormat="false" ht="15" hidden="false" customHeight="false" outlineLevel="0" collapsed="false">
      <c r="A1717" s="14"/>
      <c r="B1717" s="9"/>
      <c r="C1717" s="9"/>
      <c r="D1717" s="9"/>
      <c r="E1717" s="9"/>
      <c r="F1717" s="17" t="str">
        <f aca="false">IF(AND(A1717="",B1717="",C1717=""),"",IF(NOT(ISNUMBER(A1717)),"Enter the date done",IF(OR(B1717="",C1717=""),"Fill in asset and task",IF(SUMPRODUCT(('PM Plan'!$A$5:$A$304=B1717)*('PM Plan'!$B$5:$B$304=C1717))=0,"No matching asset + task in plan","OK"))))</f>
        <v/>
      </c>
    </row>
    <row r="1718" customFormat="false" ht="15" hidden="false" customHeight="false" outlineLevel="0" collapsed="false">
      <c r="A1718" s="14"/>
      <c r="B1718" s="9"/>
      <c r="C1718" s="9"/>
      <c r="D1718" s="9"/>
      <c r="E1718" s="9"/>
      <c r="F1718" s="17" t="str">
        <f aca="false">IF(AND(A1718="",B1718="",C1718=""),"",IF(NOT(ISNUMBER(A1718)),"Enter the date done",IF(OR(B1718="",C1718=""),"Fill in asset and task",IF(SUMPRODUCT(('PM Plan'!$A$5:$A$304=B1718)*('PM Plan'!$B$5:$B$304=C1718))=0,"No matching asset + task in plan","OK"))))</f>
        <v/>
      </c>
    </row>
    <row r="1719" customFormat="false" ht="15" hidden="false" customHeight="false" outlineLevel="0" collapsed="false">
      <c r="A1719" s="14"/>
      <c r="B1719" s="9"/>
      <c r="C1719" s="9"/>
      <c r="D1719" s="9"/>
      <c r="E1719" s="9"/>
      <c r="F1719" s="17" t="str">
        <f aca="false">IF(AND(A1719="",B1719="",C1719=""),"",IF(NOT(ISNUMBER(A1719)),"Enter the date done",IF(OR(B1719="",C1719=""),"Fill in asset and task",IF(SUMPRODUCT(('PM Plan'!$A$5:$A$304=B1719)*('PM Plan'!$B$5:$B$304=C1719))=0,"No matching asset + task in plan","OK"))))</f>
        <v/>
      </c>
    </row>
    <row r="1720" customFormat="false" ht="15" hidden="false" customHeight="false" outlineLevel="0" collapsed="false">
      <c r="A1720" s="14"/>
      <c r="B1720" s="9"/>
      <c r="C1720" s="9"/>
      <c r="D1720" s="9"/>
      <c r="E1720" s="9"/>
      <c r="F1720" s="17" t="str">
        <f aca="false">IF(AND(A1720="",B1720="",C1720=""),"",IF(NOT(ISNUMBER(A1720)),"Enter the date done",IF(OR(B1720="",C1720=""),"Fill in asset and task",IF(SUMPRODUCT(('PM Plan'!$A$5:$A$304=B1720)*('PM Plan'!$B$5:$B$304=C1720))=0,"No matching asset + task in plan","OK"))))</f>
        <v/>
      </c>
    </row>
    <row r="1721" customFormat="false" ht="15" hidden="false" customHeight="false" outlineLevel="0" collapsed="false">
      <c r="A1721" s="14"/>
      <c r="B1721" s="9"/>
      <c r="C1721" s="9"/>
      <c r="D1721" s="9"/>
      <c r="E1721" s="9"/>
      <c r="F1721" s="17" t="str">
        <f aca="false">IF(AND(A1721="",B1721="",C1721=""),"",IF(NOT(ISNUMBER(A1721)),"Enter the date done",IF(OR(B1721="",C1721=""),"Fill in asset and task",IF(SUMPRODUCT(('PM Plan'!$A$5:$A$304=B1721)*('PM Plan'!$B$5:$B$304=C1721))=0,"No matching asset + task in plan","OK"))))</f>
        <v/>
      </c>
    </row>
    <row r="1722" customFormat="false" ht="15" hidden="false" customHeight="false" outlineLevel="0" collapsed="false">
      <c r="A1722" s="14"/>
      <c r="B1722" s="9"/>
      <c r="C1722" s="9"/>
      <c r="D1722" s="9"/>
      <c r="E1722" s="9"/>
      <c r="F1722" s="17" t="str">
        <f aca="false">IF(AND(A1722="",B1722="",C1722=""),"",IF(NOT(ISNUMBER(A1722)),"Enter the date done",IF(OR(B1722="",C1722=""),"Fill in asset and task",IF(SUMPRODUCT(('PM Plan'!$A$5:$A$304=B1722)*('PM Plan'!$B$5:$B$304=C1722))=0,"No matching asset + task in plan","OK"))))</f>
        <v/>
      </c>
    </row>
    <row r="1723" customFormat="false" ht="15" hidden="false" customHeight="false" outlineLevel="0" collapsed="false">
      <c r="A1723" s="14"/>
      <c r="B1723" s="9"/>
      <c r="C1723" s="9"/>
      <c r="D1723" s="9"/>
      <c r="E1723" s="9"/>
      <c r="F1723" s="17" t="str">
        <f aca="false">IF(AND(A1723="",B1723="",C1723=""),"",IF(NOT(ISNUMBER(A1723)),"Enter the date done",IF(OR(B1723="",C1723=""),"Fill in asset and task",IF(SUMPRODUCT(('PM Plan'!$A$5:$A$304=B1723)*('PM Plan'!$B$5:$B$304=C1723))=0,"No matching asset + task in plan","OK"))))</f>
        <v/>
      </c>
    </row>
    <row r="1724" customFormat="false" ht="15" hidden="false" customHeight="false" outlineLevel="0" collapsed="false">
      <c r="A1724" s="14"/>
      <c r="B1724" s="9"/>
      <c r="C1724" s="9"/>
      <c r="D1724" s="9"/>
      <c r="E1724" s="9"/>
      <c r="F1724" s="17" t="str">
        <f aca="false">IF(AND(A1724="",B1724="",C1724=""),"",IF(NOT(ISNUMBER(A1724)),"Enter the date done",IF(OR(B1724="",C1724=""),"Fill in asset and task",IF(SUMPRODUCT(('PM Plan'!$A$5:$A$304=B1724)*('PM Plan'!$B$5:$B$304=C1724))=0,"No matching asset + task in plan","OK"))))</f>
        <v/>
      </c>
    </row>
    <row r="1725" customFormat="false" ht="15" hidden="false" customHeight="false" outlineLevel="0" collapsed="false">
      <c r="A1725" s="14"/>
      <c r="B1725" s="9"/>
      <c r="C1725" s="9"/>
      <c r="D1725" s="9"/>
      <c r="E1725" s="9"/>
      <c r="F1725" s="17" t="str">
        <f aca="false">IF(AND(A1725="",B1725="",C1725=""),"",IF(NOT(ISNUMBER(A1725)),"Enter the date done",IF(OR(B1725="",C1725=""),"Fill in asset and task",IF(SUMPRODUCT(('PM Plan'!$A$5:$A$304=B1725)*('PM Plan'!$B$5:$B$304=C1725))=0,"No matching asset + task in plan","OK"))))</f>
        <v/>
      </c>
    </row>
    <row r="1726" customFormat="false" ht="15" hidden="false" customHeight="false" outlineLevel="0" collapsed="false">
      <c r="A1726" s="14"/>
      <c r="B1726" s="9"/>
      <c r="C1726" s="9"/>
      <c r="D1726" s="9"/>
      <c r="E1726" s="9"/>
      <c r="F1726" s="17" t="str">
        <f aca="false">IF(AND(A1726="",B1726="",C1726=""),"",IF(NOT(ISNUMBER(A1726)),"Enter the date done",IF(OR(B1726="",C1726=""),"Fill in asset and task",IF(SUMPRODUCT(('PM Plan'!$A$5:$A$304=B1726)*('PM Plan'!$B$5:$B$304=C1726))=0,"No matching asset + task in plan","OK"))))</f>
        <v/>
      </c>
    </row>
    <row r="1727" customFormat="false" ht="15" hidden="false" customHeight="false" outlineLevel="0" collapsed="false">
      <c r="A1727" s="14"/>
      <c r="B1727" s="9"/>
      <c r="C1727" s="9"/>
      <c r="D1727" s="9"/>
      <c r="E1727" s="9"/>
      <c r="F1727" s="17" t="str">
        <f aca="false">IF(AND(A1727="",B1727="",C1727=""),"",IF(NOT(ISNUMBER(A1727)),"Enter the date done",IF(OR(B1727="",C1727=""),"Fill in asset and task",IF(SUMPRODUCT(('PM Plan'!$A$5:$A$304=B1727)*('PM Plan'!$B$5:$B$304=C1727))=0,"No matching asset + task in plan","OK"))))</f>
        <v/>
      </c>
    </row>
    <row r="1728" customFormat="false" ht="15" hidden="false" customHeight="false" outlineLevel="0" collapsed="false">
      <c r="A1728" s="14"/>
      <c r="B1728" s="9"/>
      <c r="C1728" s="9"/>
      <c r="D1728" s="9"/>
      <c r="E1728" s="9"/>
      <c r="F1728" s="17" t="str">
        <f aca="false">IF(AND(A1728="",B1728="",C1728=""),"",IF(NOT(ISNUMBER(A1728)),"Enter the date done",IF(OR(B1728="",C1728=""),"Fill in asset and task",IF(SUMPRODUCT(('PM Plan'!$A$5:$A$304=B1728)*('PM Plan'!$B$5:$B$304=C1728))=0,"No matching asset + task in plan","OK"))))</f>
        <v/>
      </c>
    </row>
    <row r="1729" customFormat="false" ht="15" hidden="false" customHeight="false" outlineLevel="0" collapsed="false">
      <c r="A1729" s="14"/>
      <c r="B1729" s="9"/>
      <c r="C1729" s="9"/>
      <c r="D1729" s="9"/>
      <c r="E1729" s="9"/>
      <c r="F1729" s="17" t="str">
        <f aca="false">IF(AND(A1729="",B1729="",C1729=""),"",IF(NOT(ISNUMBER(A1729)),"Enter the date done",IF(OR(B1729="",C1729=""),"Fill in asset and task",IF(SUMPRODUCT(('PM Plan'!$A$5:$A$304=B1729)*('PM Plan'!$B$5:$B$304=C1729))=0,"No matching asset + task in plan","OK"))))</f>
        <v/>
      </c>
    </row>
    <row r="1730" customFormat="false" ht="15" hidden="false" customHeight="false" outlineLevel="0" collapsed="false">
      <c r="A1730" s="14"/>
      <c r="B1730" s="9"/>
      <c r="C1730" s="9"/>
      <c r="D1730" s="9"/>
      <c r="E1730" s="9"/>
      <c r="F1730" s="17" t="str">
        <f aca="false">IF(AND(A1730="",B1730="",C1730=""),"",IF(NOT(ISNUMBER(A1730)),"Enter the date done",IF(OR(B1730="",C1730=""),"Fill in asset and task",IF(SUMPRODUCT(('PM Plan'!$A$5:$A$304=B1730)*('PM Plan'!$B$5:$B$304=C1730))=0,"No matching asset + task in plan","OK"))))</f>
        <v/>
      </c>
    </row>
    <row r="1731" customFormat="false" ht="15" hidden="false" customHeight="false" outlineLevel="0" collapsed="false">
      <c r="A1731" s="14"/>
      <c r="B1731" s="9"/>
      <c r="C1731" s="9"/>
      <c r="D1731" s="9"/>
      <c r="E1731" s="9"/>
      <c r="F1731" s="17" t="str">
        <f aca="false">IF(AND(A1731="",B1731="",C1731=""),"",IF(NOT(ISNUMBER(A1731)),"Enter the date done",IF(OR(B1731="",C1731=""),"Fill in asset and task",IF(SUMPRODUCT(('PM Plan'!$A$5:$A$304=B1731)*('PM Plan'!$B$5:$B$304=C1731))=0,"No matching asset + task in plan","OK"))))</f>
        <v/>
      </c>
    </row>
    <row r="1732" customFormat="false" ht="15" hidden="false" customHeight="false" outlineLevel="0" collapsed="false">
      <c r="A1732" s="14"/>
      <c r="B1732" s="9"/>
      <c r="C1732" s="9"/>
      <c r="D1732" s="9"/>
      <c r="E1732" s="9"/>
      <c r="F1732" s="17" t="str">
        <f aca="false">IF(AND(A1732="",B1732="",C1732=""),"",IF(NOT(ISNUMBER(A1732)),"Enter the date done",IF(OR(B1732="",C1732=""),"Fill in asset and task",IF(SUMPRODUCT(('PM Plan'!$A$5:$A$304=B1732)*('PM Plan'!$B$5:$B$304=C1732))=0,"No matching asset + task in plan","OK"))))</f>
        <v/>
      </c>
    </row>
    <row r="1733" customFormat="false" ht="15" hidden="false" customHeight="false" outlineLevel="0" collapsed="false">
      <c r="A1733" s="14"/>
      <c r="B1733" s="9"/>
      <c r="C1733" s="9"/>
      <c r="D1733" s="9"/>
      <c r="E1733" s="9"/>
      <c r="F1733" s="17" t="str">
        <f aca="false">IF(AND(A1733="",B1733="",C1733=""),"",IF(NOT(ISNUMBER(A1733)),"Enter the date done",IF(OR(B1733="",C1733=""),"Fill in asset and task",IF(SUMPRODUCT(('PM Plan'!$A$5:$A$304=B1733)*('PM Plan'!$B$5:$B$304=C1733))=0,"No matching asset + task in plan","OK"))))</f>
        <v/>
      </c>
    </row>
    <row r="1734" customFormat="false" ht="15" hidden="false" customHeight="false" outlineLevel="0" collapsed="false">
      <c r="A1734" s="14"/>
      <c r="B1734" s="9"/>
      <c r="C1734" s="9"/>
      <c r="D1734" s="9"/>
      <c r="E1734" s="9"/>
      <c r="F1734" s="17" t="str">
        <f aca="false">IF(AND(A1734="",B1734="",C1734=""),"",IF(NOT(ISNUMBER(A1734)),"Enter the date done",IF(OR(B1734="",C1734=""),"Fill in asset and task",IF(SUMPRODUCT(('PM Plan'!$A$5:$A$304=B1734)*('PM Plan'!$B$5:$B$304=C1734))=0,"No matching asset + task in plan","OK"))))</f>
        <v/>
      </c>
    </row>
    <row r="1735" customFormat="false" ht="15" hidden="false" customHeight="false" outlineLevel="0" collapsed="false">
      <c r="A1735" s="14"/>
      <c r="B1735" s="9"/>
      <c r="C1735" s="9"/>
      <c r="D1735" s="9"/>
      <c r="E1735" s="9"/>
      <c r="F1735" s="17" t="str">
        <f aca="false">IF(AND(A1735="",B1735="",C1735=""),"",IF(NOT(ISNUMBER(A1735)),"Enter the date done",IF(OR(B1735="",C1735=""),"Fill in asset and task",IF(SUMPRODUCT(('PM Plan'!$A$5:$A$304=B1735)*('PM Plan'!$B$5:$B$304=C1735))=0,"No matching asset + task in plan","OK"))))</f>
        <v/>
      </c>
    </row>
    <row r="1736" customFormat="false" ht="15" hidden="false" customHeight="false" outlineLevel="0" collapsed="false">
      <c r="A1736" s="14"/>
      <c r="B1736" s="9"/>
      <c r="C1736" s="9"/>
      <c r="D1736" s="9"/>
      <c r="E1736" s="9"/>
      <c r="F1736" s="17" t="str">
        <f aca="false">IF(AND(A1736="",B1736="",C1736=""),"",IF(NOT(ISNUMBER(A1736)),"Enter the date done",IF(OR(B1736="",C1736=""),"Fill in asset and task",IF(SUMPRODUCT(('PM Plan'!$A$5:$A$304=B1736)*('PM Plan'!$B$5:$B$304=C1736))=0,"No matching asset + task in plan","OK"))))</f>
        <v/>
      </c>
    </row>
    <row r="1737" customFormat="false" ht="15" hidden="false" customHeight="false" outlineLevel="0" collapsed="false">
      <c r="A1737" s="14"/>
      <c r="B1737" s="9"/>
      <c r="C1737" s="9"/>
      <c r="D1737" s="9"/>
      <c r="E1737" s="9"/>
      <c r="F1737" s="17" t="str">
        <f aca="false">IF(AND(A1737="",B1737="",C1737=""),"",IF(NOT(ISNUMBER(A1737)),"Enter the date done",IF(OR(B1737="",C1737=""),"Fill in asset and task",IF(SUMPRODUCT(('PM Plan'!$A$5:$A$304=B1737)*('PM Plan'!$B$5:$B$304=C1737))=0,"No matching asset + task in plan","OK"))))</f>
        <v/>
      </c>
    </row>
    <row r="1738" customFormat="false" ht="15" hidden="false" customHeight="false" outlineLevel="0" collapsed="false">
      <c r="A1738" s="14"/>
      <c r="B1738" s="9"/>
      <c r="C1738" s="9"/>
      <c r="D1738" s="9"/>
      <c r="E1738" s="9"/>
      <c r="F1738" s="17" t="str">
        <f aca="false">IF(AND(A1738="",B1738="",C1738=""),"",IF(NOT(ISNUMBER(A1738)),"Enter the date done",IF(OR(B1738="",C1738=""),"Fill in asset and task",IF(SUMPRODUCT(('PM Plan'!$A$5:$A$304=B1738)*('PM Plan'!$B$5:$B$304=C1738))=0,"No matching asset + task in plan","OK"))))</f>
        <v/>
      </c>
    </row>
    <row r="1739" customFormat="false" ht="15" hidden="false" customHeight="false" outlineLevel="0" collapsed="false">
      <c r="A1739" s="14"/>
      <c r="B1739" s="9"/>
      <c r="C1739" s="9"/>
      <c r="D1739" s="9"/>
      <c r="E1739" s="9"/>
      <c r="F1739" s="17" t="str">
        <f aca="false">IF(AND(A1739="",B1739="",C1739=""),"",IF(NOT(ISNUMBER(A1739)),"Enter the date done",IF(OR(B1739="",C1739=""),"Fill in asset and task",IF(SUMPRODUCT(('PM Plan'!$A$5:$A$304=B1739)*('PM Plan'!$B$5:$B$304=C1739))=0,"No matching asset + task in plan","OK"))))</f>
        <v/>
      </c>
    </row>
    <row r="1740" customFormat="false" ht="15" hidden="false" customHeight="false" outlineLevel="0" collapsed="false">
      <c r="A1740" s="14"/>
      <c r="B1740" s="9"/>
      <c r="C1740" s="9"/>
      <c r="D1740" s="9"/>
      <c r="E1740" s="9"/>
      <c r="F1740" s="17" t="str">
        <f aca="false">IF(AND(A1740="",B1740="",C1740=""),"",IF(NOT(ISNUMBER(A1740)),"Enter the date done",IF(OR(B1740="",C1740=""),"Fill in asset and task",IF(SUMPRODUCT(('PM Plan'!$A$5:$A$304=B1740)*('PM Plan'!$B$5:$B$304=C1740))=0,"No matching asset + task in plan","OK"))))</f>
        <v/>
      </c>
    </row>
    <row r="1741" customFormat="false" ht="15" hidden="false" customHeight="false" outlineLevel="0" collapsed="false">
      <c r="A1741" s="14"/>
      <c r="B1741" s="9"/>
      <c r="C1741" s="9"/>
      <c r="D1741" s="9"/>
      <c r="E1741" s="9"/>
      <c r="F1741" s="17" t="str">
        <f aca="false">IF(AND(A1741="",B1741="",C1741=""),"",IF(NOT(ISNUMBER(A1741)),"Enter the date done",IF(OR(B1741="",C1741=""),"Fill in asset and task",IF(SUMPRODUCT(('PM Plan'!$A$5:$A$304=B1741)*('PM Plan'!$B$5:$B$304=C1741))=0,"No matching asset + task in plan","OK"))))</f>
        <v/>
      </c>
    </row>
    <row r="1742" customFormat="false" ht="15" hidden="false" customHeight="false" outlineLevel="0" collapsed="false">
      <c r="A1742" s="14"/>
      <c r="B1742" s="9"/>
      <c r="C1742" s="9"/>
      <c r="D1742" s="9"/>
      <c r="E1742" s="9"/>
      <c r="F1742" s="17" t="str">
        <f aca="false">IF(AND(A1742="",B1742="",C1742=""),"",IF(NOT(ISNUMBER(A1742)),"Enter the date done",IF(OR(B1742="",C1742=""),"Fill in asset and task",IF(SUMPRODUCT(('PM Plan'!$A$5:$A$304=B1742)*('PM Plan'!$B$5:$B$304=C1742))=0,"No matching asset + task in plan","OK"))))</f>
        <v/>
      </c>
    </row>
    <row r="1743" customFormat="false" ht="15" hidden="false" customHeight="false" outlineLevel="0" collapsed="false">
      <c r="A1743" s="14"/>
      <c r="B1743" s="9"/>
      <c r="C1743" s="9"/>
      <c r="D1743" s="9"/>
      <c r="E1743" s="9"/>
      <c r="F1743" s="17" t="str">
        <f aca="false">IF(AND(A1743="",B1743="",C1743=""),"",IF(NOT(ISNUMBER(A1743)),"Enter the date done",IF(OR(B1743="",C1743=""),"Fill in asset and task",IF(SUMPRODUCT(('PM Plan'!$A$5:$A$304=B1743)*('PM Plan'!$B$5:$B$304=C1743))=0,"No matching asset + task in plan","OK"))))</f>
        <v/>
      </c>
    </row>
    <row r="1744" customFormat="false" ht="15" hidden="false" customHeight="false" outlineLevel="0" collapsed="false">
      <c r="A1744" s="14"/>
      <c r="B1744" s="9"/>
      <c r="C1744" s="9"/>
      <c r="D1744" s="9"/>
      <c r="E1744" s="9"/>
      <c r="F1744" s="17" t="str">
        <f aca="false">IF(AND(A1744="",B1744="",C1744=""),"",IF(NOT(ISNUMBER(A1744)),"Enter the date done",IF(OR(B1744="",C1744=""),"Fill in asset and task",IF(SUMPRODUCT(('PM Plan'!$A$5:$A$304=B1744)*('PM Plan'!$B$5:$B$304=C1744))=0,"No matching asset + task in plan","OK"))))</f>
        <v/>
      </c>
    </row>
    <row r="1745" customFormat="false" ht="15" hidden="false" customHeight="false" outlineLevel="0" collapsed="false">
      <c r="A1745" s="14"/>
      <c r="B1745" s="9"/>
      <c r="C1745" s="9"/>
      <c r="D1745" s="9"/>
      <c r="E1745" s="9"/>
      <c r="F1745" s="17" t="str">
        <f aca="false">IF(AND(A1745="",B1745="",C1745=""),"",IF(NOT(ISNUMBER(A1745)),"Enter the date done",IF(OR(B1745="",C1745=""),"Fill in asset and task",IF(SUMPRODUCT(('PM Plan'!$A$5:$A$304=B1745)*('PM Plan'!$B$5:$B$304=C1745))=0,"No matching asset + task in plan","OK"))))</f>
        <v/>
      </c>
    </row>
    <row r="1746" customFormat="false" ht="15" hidden="false" customHeight="false" outlineLevel="0" collapsed="false">
      <c r="A1746" s="14"/>
      <c r="B1746" s="9"/>
      <c r="C1746" s="9"/>
      <c r="D1746" s="9"/>
      <c r="E1746" s="9"/>
      <c r="F1746" s="17" t="str">
        <f aca="false">IF(AND(A1746="",B1746="",C1746=""),"",IF(NOT(ISNUMBER(A1746)),"Enter the date done",IF(OR(B1746="",C1746=""),"Fill in asset and task",IF(SUMPRODUCT(('PM Plan'!$A$5:$A$304=B1746)*('PM Plan'!$B$5:$B$304=C1746))=0,"No matching asset + task in plan","OK"))))</f>
        <v/>
      </c>
    </row>
    <row r="1747" customFormat="false" ht="15" hidden="false" customHeight="false" outlineLevel="0" collapsed="false">
      <c r="A1747" s="14"/>
      <c r="B1747" s="9"/>
      <c r="C1747" s="9"/>
      <c r="D1747" s="9"/>
      <c r="E1747" s="9"/>
      <c r="F1747" s="17" t="str">
        <f aca="false">IF(AND(A1747="",B1747="",C1747=""),"",IF(NOT(ISNUMBER(A1747)),"Enter the date done",IF(OR(B1747="",C1747=""),"Fill in asset and task",IF(SUMPRODUCT(('PM Plan'!$A$5:$A$304=B1747)*('PM Plan'!$B$5:$B$304=C1747))=0,"No matching asset + task in plan","OK"))))</f>
        <v/>
      </c>
    </row>
    <row r="1748" customFormat="false" ht="15" hidden="false" customHeight="false" outlineLevel="0" collapsed="false">
      <c r="A1748" s="14"/>
      <c r="B1748" s="9"/>
      <c r="C1748" s="9"/>
      <c r="D1748" s="9"/>
      <c r="E1748" s="9"/>
      <c r="F1748" s="17" t="str">
        <f aca="false">IF(AND(A1748="",B1748="",C1748=""),"",IF(NOT(ISNUMBER(A1748)),"Enter the date done",IF(OR(B1748="",C1748=""),"Fill in asset and task",IF(SUMPRODUCT(('PM Plan'!$A$5:$A$304=B1748)*('PM Plan'!$B$5:$B$304=C1748))=0,"No matching asset + task in plan","OK"))))</f>
        <v/>
      </c>
    </row>
    <row r="1749" customFormat="false" ht="15" hidden="false" customHeight="false" outlineLevel="0" collapsed="false">
      <c r="A1749" s="14"/>
      <c r="B1749" s="9"/>
      <c r="C1749" s="9"/>
      <c r="D1749" s="9"/>
      <c r="E1749" s="9"/>
      <c r="F1749" s="17" t="str">
        <f aca="false">IF(AND(A1749="",B1749="",C1749=""),"",IF(NOT(ISNUMBER(A1749)),"Enter the date done",IF(OR(B1749="",C1749=""),"Fill in asset and task",IF(SUMPRODUCT(('PM Plan'!$A$5:$A$304=B1749)*('PM Plan'!$B$5:$B$304=C1749))=0,"No matching asset + task in plan","OK"))))</f>
        <v/>
      </c>
    </row>
    <row r="1750" customFormat="false" ht="15" hidden="false" customHeight="false" outlineLevel="0" collapsed="false">
      <c r="A1750" s="14"/>
      <c r="B1750" s="9"/>
      <c r="C1750" s="9"/>
      <c r="D1750" s="9"/>
      <c r="E1750" s="9"/>
      <c r="F1750" s="17" t="str">
        <f aca="false">IF(AND(A1750="",B1750="",C1750=""),"",IF(NOT(ISNUMBER(A1750)),"Enter the date done",IF(OR(B1750="",C1750=""),"Fill in asset and task",IF(SUMPRODUCT(('PM Plan'!$A$5:$A$304=B1750)*('PM Plan'!$B$5:$B$304=C1750))=0,"No matching asset + task in plan","OK"))))</f>
        <v/>
      </c>
    </row>
    <row r="1751" customFormat="false" ht="15" hidden="false" customHeight="false" outlineLevel="0" collapsed="false">
      <c r="A1751" s="14"/>
      <c r="B1751" s="9"/>
      <c r="C1751" s="9"/>
      <c r="D1751" s="9"/>
      <c r="E1751" s="9"/>
      <c r="F1751" s="17" t="str">
        <f aca="false">IF(AND(A1751="",B1751="",C1751=""),"",IF(NOT(ISNUMBER(A1751)),"Enter the date done",IF(OR(B1751="",C1751=""),"Fill in asset and task",IF(SUMPRODUCT(('PM Plan'!$A$5:$A$304=B1751)*('PM Plan'!$B$5:$B$304=C1751))=0,"No matching asset + task in plan","OK"))))</f>
        <v/>
      </c>
    </row>
    <row r="1752" customFormat="false" ht="15" hidden="false" customHeight="false" outlineLevel="0" collapsed="false">
      <c r="A1752" s="14"/>
      <c r="B1752" s="9"/>
      <c r="C1752" s="9"/>
      <c r="D1752" s="9"/>
      <c r="E1752" s="9"/>
      <c r="F1752" s="17" t="str">
        <f aca="false">IF(AND(A1752="",B1752="",C1752=""),"",IF(NOT(ISNUMBER(A1752)),"Enter the date done",IF(OR(B1752="",C1752=""),"Fill in asset and task",IF(SUMPRODUCT(('PM Plan'!$A$5:$A$304=B1752)*('PM Plan'!$B$5:$B$304=C1752))=0,"No matching asset + task in plan","OK"))))</f>
        <v/>
      </c>
    </row>
    <row r="1753" customFormat="false" ht="15" hidden="false" customHeight="false" outlineLevel="0" collapsed="false">
      <c r="A1753" s="14"/>
      <c r="B1753" s="9"/>
      <c r="C1753" s="9"/>
      <c r="D1753" s="9"/>
      <c r="E1753" s="9"/>
      <c r="F1753" s="17" t="str">
        <f aca="false">IF(AND(A1753="",B1753="",C1753=""),"",IF(NOT(ISNUMBER(A1753)),"Enter the date done",IF(OR(B1753="",C1753=""),"Fill in asset and task",IF(SUMPRODUCT(('PM Plan'!$A$5:$A$304=B1753)*('PM Plan'!$B$5:$B$304=C1753))=0,"No matching asset + task in plan","OK"))))</f>
        <v/>
      </c>
    </row>
    <row r="1754" customFormat="false" ht="15" hidden="false" customHeight="false" outlineLevel="0" collapsed="false">
      <c r="A1754" s="14"/>
      <c r="B1754" s="9"/>
      <c r="C1754" s="9"/>
      <c r="D1754" s="9"/>
      <c r="E1754" s="9"/>
      <c r="F1754" s="17" t="str">
        <f aca="false">IF(AND(A1754="",B1754="",C1754=""),"",IF(NOT(ISNUMBER(A1754)),"Enter the date done",IF(OR(B1754="",C1754=""),"Fill in asset and task",IF(SUMPRODUCT(('PM Plan'!$A$5:$A$304=B1754)*('PM Plan'!$B$5:$B$304=C1754))=0,"No matching asset + task in plan","OK"))))</f>
        <v/>
      </c>
    </row>
    <row r="1755" customFormat="false" ht="15" hidden="false" customHeight="false" outlineLevel="0" collapsed="false">
      <c r="A1755" s="14"/>
      <c r="B1755" s="9"/>
      <c r="C1755" s="9"/>
      <c r="D1755" s="9"/>
      <c r="E1755" s="9"/>
      <c r="F1755" s="17" t="str">
        <f aca="false">IF(AND(A1755="",B1755="",C1755=""),"",IF(NOT(ISNUMBER(A1755)),"Enter the date done",IF(OR(B1755="",C1755=""),"Fill in asset and task",IF(SUMPRODUCT(('PM Plan'!$A$5:$A$304=B1755)*('PM Plan'!$B$5:$B$304=C1755))=0,"No matching asset + task in plan","OK"))))</f>
        <v/>
      </c>
    </row>
    <row r="1756" customFormat="false" ht="15" hidden="false" customHeight="false" outlineLevel="0" collapsed="false">
      <c r="A1756" s="14"/>
      <c r="B1756" s="9"/>
      <c r="C1756" s="9"/>
      <c r="D1756" s="9"/>
      <c r="E1756" s="9"/>
      <c r="F1756" s="17" t="str">
        <f aca="false">IF(AND(A1756="",B1756="",C1756=""),"",IF(NOT(ISNUMBER(A1756)),"Enter the date done",IF(OR(B1756="",C1756=""),"Fill in asset and task",IF(SUMPRODUCT(('PM Plan'!$A$5:$A$304=B1756)*('PM Plan'!$B$5:$B$304=C1756))=0,"No matching asset + task in plan","OK"))))</f>
        <v/>
      </c>
    </row>
    <row r="1757" customFormat="false" ht="15" hidden="false" customHeight="false" outlineLevel="0" collapsed="false">
      <c r="A1757" s="14"/>
      <c r="B1757" s="9"/>
      <c r="C1757" s="9"/>
      <c r="D1757" s="9"/>
      <c r="E1757" s="9"/>
      <c r="F1757" s="17" t="str">
        <f aca="false">IF(AND(A1757="",B1757="",C1757=""),"",IF(NOT(ISNUMBER(A1757)),"Enter the date done",IF(OR(B1757="",C1757=""),"Fill in asset and task",IF(SUMPRODUCT(('PM Plan'!$A$5:$A$304=B1757)*('PM Plan'!$B$5:$B$304=C1757))=0,"No matching asset + task in plan","OK"))))</f>
        <v/>
      </c>
    </row>
    <row r="1758" customFormat="false" ht="15" hidden="false" customHeight="false" outlineLevel="0" collapsed="false">
      <c r="A1758" s="14"/>
      <c r="B1758" s="9"/>
      <c r="C1758" s="9"/>
      <c r="D1758" s="9"/>
      <c r="E1758" s="9"/>
      <c r="F1758" s="17" t="str">
        <f aca="false">IF(AND(A1758="",B1758="",C1758=""),"",IF(NOT(ISNUMBER(A1758)),"Enter the date done",IF(OR(B1758="",C1758=""),"Fill in asset and task",IF(SUMPRODUCT(('PM Plan'!$A$5:$A$304=B1758)*('PM Plan'!$B$5:$B$304=C1758))=0,"No matching asset + task in plan","OK"))))</f>
        <v/>
      </c>
    </row>
    <row r="1759" customFormat="false" ht="15" hidden="false" customHeight="false" outlineLevel="0" collapsed="false">
      <c r="A1759" s="14"/>
      <c r="B1759" s="9"/>
      <c r="C1759" s="9"/>
      <c r="D1759" s="9"/>
      <c r="E1759" s="9"/>
      <c r="F1759" s="17" t="str">
        <f aca="false">IF(AND(A1759="",B1759="",C1759=""),"",IF(NOT(ISNUMBER(A1759)),"Enter the date done",IF(OR(B1759="",C1759=""),"Fill in asset and task",IF(SUMPRODUCT(('PM Plan'!$A$5:$A$304=B1759)*('PM Plan'!$B$5:$B$304=C1759))=0,"No matching asset + task in plan","OK"))))</f>
        <v/>
      </c>
    </row>
    <row r="1760" customFormat="false" ht="15" hidden="false" customHeight="false" outlineLevel="0" collapsed="false">
      <c r="A1760" s="14"/>
      <c r="B1760" s="9"/>
      <c r="C1760" s="9"/>
      <c r="D1760" s="9"/>
      <c r="E1760" s="9"/>
      <c r="F1760" s="17" t="str">
        <f aca="false">IF(AND(A1760="",B1760="",C1760=""),"",IF(NOT(ISNUMBER(A1760)),"Enter the date done",IF(OR(B1760="",C1760=""),"Fill in asset and task",IF(SUMPRODUCT(('PM Plan'!$A$5:$A$304=B1760)*('PM Plan'!$B$5:$B$304=C1760))=0,"No matching asset + task in plan","OK"))))</f>
        <v/>
      </c>
    </row>
    <row r="1761" customFormat="false" ht="15" hidden="false" customHeight="false" outlineLevel="0" collapsed="false">
      <c r="A1761" s="14"/>
      <c r="B1761" s="9"/>
      <c r="C1761" s="9"/>
      <c r="D1761" s="9"/>
      <c r="E1761" s="9"/>
      <c r="F1761" s="17" t="str">
        <f aca="false">IF(AND(A1761="",B1761="",C1761=""),"",IF(NOT(ISNUMBER(A1761)),"Enter the date done",IF(OR(B1761="",C1761=""),"Fill in asset and task",IF(SUMPRODUCT(('PM Plan'!$A$5:$A$304=B1761)*('PM Plan'!$B$5:$B$304=C1761))=0,"No matching asset + task in plan","OK"))))</f>
        <v/>
      </c>
    </row>
    <row r="1762" customFormat="false" ht="15" hidden="false" customHeight="false" outlineLevel="0" collapsed="false">
      <c r="A1762" s="14"/>
      <c r="B1762" s="9"/>
      <c r="C1762" s="9"/>
      <c r="D1762" s="9"/>
      <c r="E1762" s="9"/>
      <c r="F1762" s="17" t="str">
        <f aca="false">IF(AND(A1762="",B1762="",C1762=""),"",IF(NOT(ISNUMBER(A1762)),"Enter the date done",IF(OR(B1762="",C1762=""),"Fill in asset and task",IF(SUMPRODUCT(('PM Plan'!$A$5:$A$304=B1762)*('PM Plan'!$B$5:$B$304=C1762))=0,"No matching asset + task in plan","OK"))))</f>
        <v/>
      </c>
    </row>
    <row r="1763" customFormat="false" ht="15" hidden="false" customHeight="false" outlineLevel="0" collapsed="false">
      <c r="A1763" s="14"/>
      <c r="B1763" s="9"/>
      <c r="C1763" s="9"/>
      <c r="D1763" s="9"/>
      <c r="E1763" s="9"/>
      <c r="F1763" s="17" t="str">
        <f aca="false">IF(AND(A1763="",B1763="",C1763=""),"",IF(NOT(ISNUMBER(A1763)),"Enter the date done",IF(OR(B1763="",C1763=""),"Fill in asset and task",IF(SUMPRODUCT(('PM Plan'!$A$5:$A$304=B1763)*('PM Plan'!$B$5:$B$304=C1763))=0,"No matching asset + task in plan","OK"))))</f>
        <v/>
      </c>
    </row>
    <row r="1764" customFormat="false" ht="15" hidden="false" customHeight="false" outlineLevel="0" collapsed="false">
      <c r="A1764" s="14"/>
      <c r="B1764" s="9"/>
      <c r="C1764" s="9"/>
      <c r="D1764" s="9"/>
      <c r="E1764" s="9"/>
      <c r="F1764" s="17" t="str">
        <f aca="false">IF(AND(A1764="",B1764="",C1764=""),"",IF(NOT(ISNUMBER(A1764)),"Enter the date done",IF(OR(B1764="",C1764=""),"Fill in asset and task",IF(SUMPRODUCT(('PM Plan'!$A$5:$A$304=B1764)*('PM Plan'!$B$5:$B$304=C1764))=0,"No matching asset + task in plan","OK"))))</f>
        <v/>
      </c>
    </row>
    <row r="1765" customFormat="false" ht="15" hidden="false" customHeight="false" outlineLevel="0" collapsed="false">
      <c r="A1765" s="14"/>
      <c r="B1765" s="9"/>
      <c r="C1765" s="9"/>
      <c r="D1765" s="9"/>
      <c r="E1765" s="9"/>
      <c r="F1765" s="17" t="str">
        <f aca="false">IF(AND(A1765="",B1765="",C1765=""),"",IF(NOT(ISNUMBER(A1765)),"Enter the date done",IF(OR(B1765="",C1765=""),"Fill in asset and task",IF(SUMPRODUCT(('PM Plan'!$A$5:$A$304=B1765)*('PM Plan'!$B$5:$B$304=C1765))=0,"No matching asset + task in plan","OK"))))</f>
        <v/>
      </c>
    </row>
    <row r="1766" customFormat="false" ht="15" hidden="false" customHeight="false" outlineLevel="0" collapsed="false">
      <c r="A1766" s="14"/>
      <c r="B1766" s="9"/>
      <c r="C1766" s="9"/>
      <c r="D1766" s="9"/>
      <c r="E1766" s="9"/>
      <c r="F1766" s="17" t="str">
        <f aca="false">IF(AND(A1766="",B1766="",C1766=""),"",IF(NOT(ISNUMBER(A1766)),"Enter the date done",IF(OR(B1766="",C1766=""),"Fill in asset and task",IF(SUMPRODUCT(('PM Plan'!$A$5:$A$304=B1766)*('PM Plan'!$B$5:$B$304=C1766))=0,"No matching asset + task in plan","OK"))))</f>
        <v/>
      </c>
    </row>
    <row r="1767" customFormat="false" ht="15" hidden="false" customHeight="false" outlineLevel="0" collapsed="false">
      <c r="A1767" s="14"/>
      <c r="B1767" s="9"/>
      <c r="C1767" s="9"/>
      <c r="D1767" s="9"/>
      <c r="E1767" s="9"/>
      <c r="F1767" s="17" t="str">
        <f aca="false">IF(AND(A1767="",B1767="",C1767=""),"",IF(NOT(ISNUMBER(A1767)),"Enter the date done",IF(OR(B1767="",C1767=""),"Fill in asset and task",IF(SUMPRODUCT(('PM Plan'!$A$5:$A$304=B1767)*('PM Plan'!$B$5:$B$304=C1767))=0,"No matching asset + task in plan","OK"))))</f>
        <v/>
      </c>
    </row>
    <row r="1768" customFormat="false" ht="15" hidden="false" customHeight="false" outlineLevel="0" collapsed="false">
      <c r="A1768" s="14"/>
      <c r="B1768" s="9"/>
      <c r="C1768" s="9"/>
      <c r="D1768" s="9"/>
      <c r="E1768" s="9"/>
      <c r="F1768" s="17" t="str">
        <f aca="false">IF(AND(A1768="",B1768="",C1768=""),"",IF(NOT(ISNUMBER(A1768)),"Enter the date done",IF(OR(B1768="",C1768=""),"Fill in asset and task",IF(SUMPRODUCT(('PM Plan'!$A$5:$A$304=B1768)*('PM Plan'!$B$5:$B$304=C1768))=0,"No matching asset + task in plan","OK"))))</f>
        <v/>
      </c>
    </row>
    <row r="1769" customFormat="false" ht="15" hidden="false" customHeight="false" outlineLevel="0" collapsed="false">
      <c r="A1769" s="14"/>
      <c r="B1769" s="9"/>
      <c r="C1769" s="9"/>
      <c r="D1769" s="9"/>
      <c r="E1769" s="9"/>
      <c r="F1769" s="17" t="str">
        <f aca="false">IF(AND(A1769="",B1769="",C1769=""),"",IF(NOT(ISNUMBER(A1769)),"Enter the date done",IF(OR(B1769="",C1769=""),"Fill in asset and task",IF(SUMPRODUCT(('PM Plan'!$A$5:$A$304=B1769)*('PM Plan'!$B$5:$B$304=C1769))=0,"No matching asset + task in plan","OK"))))</f>
        <v/>
      </c>
    </row>
    <row r="1770" customFormat="false" ht="15" hidden="false" customHeight="false" outlineLevel="0" collapsed="false">
      <c r="A1770" s="14"/>
      <c r="B1770" s="9"/>
      <c r="C1770" s="9"/>
      <c r="D1770" s="9"/>
      <c r="E1770" s="9"/>
      <c r="F1770" s="17" t="str">
        <f aca="false">IF(AND(A1770="",B1770="",C1770=""),"",IF(NOT(ISNUMBER(A1770)),"Enter the date done",IF(OR(B1770="",C1770=""),"Fill in asset and task",IF(SUMPRODUCT(('PM Plan'!$A$5:$A$304=B1770)*('PM Plan'!$B$5:$B$304=C1770))=0,"No matching asset + task in plan","OK"))))</f>
        <v/>
      </c>
    </row>
    <row r="1771" customFormat="false" ht="15" hidden="false" customHeight="false" outlineLevel="0" collapsed="false">
      <c r="A1771" s="14"/>
      <c r="B1771" s="9"/>
      <c r="C1771" s="9"/>
      <c r="D1771" s="9"/>
      <c r="E1771" s="9"/>
      <c r="F1771" s="17" t="str">
        <f aca="false">IF(AND(A1771="",B1771="",C1771=""),"",IF(NOT(ISNUMBER(A1771)),"Enter the date done",IF(OR(B1771="",C1771=""),"Fill in asset and task",IF(SUMPRODUCT(('PM Plan'!$A$5:$A$304=B1771)*('PM Plan'!$B$5:$B$304=C1771))=0,"No matching asset + task in plan","OK"))))</f>
        <v/>
      </c>
    </row>
    <row r="1772" customFormat="false" ht="15" hidden="false" customHeight="false" outlineLevel="0" collapsed="false">
      <c r="A1772" s="14"/>
      <c r="B1772" s="9"/>
      <c r="C1772" s="9"/>
      <c r="D1772" s="9"/>
      <c r="E1772" s="9"/>
      <c r="F1772" s="17" t="str">
        <f aca="false">IF(AND(A1772="",B1772="",C1772=""),"",IF(NOT(ISNUMBER(A1772)),"Enter the date done",IF(OR(B1772="",C1772=""),"Fill in asset and task",IF(SUMPRODUCT(('PM Plan'!$A$5:$A$304=B1772)*('PM Plan'!$B$5:$B$304=C1772))=0,"No matching asset + task in plan","OK"))))</f>
        <v/>
      </c>
    </row>
    <row r="1773" customFormat="false" ht="15" hidden="false" customHeight="false" outlineLevel="0" collapsed="false">
      <c r="A1773" s="14"/>
      <c r="B1773" s="9"/>
      <c r="C1773" s="9"/>
      <c r="D1773" s="9"/>
      <c r="E1773" s="9"/>
      <c r="F1773" s="17" t="str">
        <f aca="false">IF(AND(A1773="",B1773="",C1773=""),"",IF(NOT(ISNUMBER(A1773)),"Enter the date done",IF(OR(B1773="",C1773=""),"Fill in asset and task",IF(SUMPRODUCT(('PM Plan'!$A$5:$A$304=B1773)*('PM Plan'!$B$5:$B$304=C1773))=0,"No matching asset + task in plan","OK"))))</f>
        <v/>
      </c>
    </row>
    <row r="1774" customFormat="false" ht="15" hidden="false" customHeight="false" outlineLevel="0" collapsed="false">
      <c r="A1774" s="14"/>
      <c r="B1774" s="9"/>
      <c r="C1774" s="9"/>
      <c r="D1774" s="9"/>
      <c r="E1774" s="9"/>
      <c r="F1774" s="17" t="str">
        <f aca="false">IF(AND(A1774="",B1774="",C1774=""),"",IF(NOT(ISNUMBER(A1774)),"Enter the date done",IF(OR(B1774="",C1774=""),"Fill in asset and task",IF(SUMPRODUCT(('PM Plan'!$A$5:$A$304=B1774)*('PM Plan'!$B$5:$B$304=C1774))=0,"No matching asset + task in plan","OK"))))</f>
        <v/>
      </c>
    </row>
    <row r="1775" customFormat="false" ht="15" hidden="false" customHeight="false" outlineLevel="0" collapsed="false">
      <c r="A1775" s="14"/>
      <c r="B1775" s="9"/>
      <c r="C1775" s="9"/>
      <c r="D1775" s="9"/>
      <c r="E1775" s="9"/>
      <c r="F1775" s="17" t="str">
        <f aca="false">IF(AND(A1775="",B1775="",C1775=""),"",IF(NOT(ISNUMBER(A1775)),"Enter the date done",IF(OR(B1775="",C1775=""),"Fill in asset and task",IF(SUMPRODUCT(('PM Plan'!$A$5:$A$304=B1775)*('PM Plan'!$B$5:$B$304=C1775))=0,"No matching asset + task in plan","OK"))))</f>
        <v/>
      </c>
    </row>
    <row r="1776" customFormat="false" ht="15" hidden="false" customHeight="false" outlineLevel="0" collapsed="false">
      <c r="A1776" s="14"/>
      <c r="B1776" s="9"/>
      <c r="C1776" s="9"/>
      <c r="D1776" s="9"/>
      <c r="E1776" s="9"/>
      <c r="F1776" s="17" t="str">
        <f aca="false">IF(AND(A1776="",B1776="",C1776=""),"",IF(NOT(ISNUMBER(A1776)),"Enter the date done",IF(OR(B1776="",C1776=""),"Fill in asset and task",IF(SUMPRODUCT(('PM Plan'!$A$5:$A$304=B1776)*('PM Plan'!$B$5:$B$304=C1776))=0,"No matching asset + task in plan","OK"))))</f>
        <v/>
      </c>
    </row>
    <row r="1777" customFormat="false" ht="15" hidden="false" customHeight="false" outlineLevel="0" collapsed="false">
      <c r="A1777" s="14"/>
      <c r="B1777" s="9"/>
      <c r="C1777" s="9"/>
      <c r="D1777" s="9"/>
      <c r="E1777" s="9"/>
      <c r="F1777" s="17" t="str">
        <f aca="false">IF(AND(A1777="",B1777="",C1777=""),"",IF(NOT(ISNUMBER(A1777)),"Enter the date done",IF(OR(B1777="",C1777=""),"Fill in asset and task",IF(SUMPRODUCT(('PM Plan'!$A$5:$A$304=B1777)*('PM Plan'!$B$5:$B$304=C1777))=0,"No matching asset + task in plan","OK"))))</f>
        <v/>
      </c>
    </row>
    <row r="1778" customFormat="false" ht="15" hidden="false" customHeight="false" outlineLevel="0" collapsed="false">
      <c r="A1778" s="14"/>
      <c r="B1778" s="9"/>
      <c r="C1778" s="9"/>
      <c r="D1778" s="9"/>
      <c r="E1778" s="9"/>
      <c r="F1778" s="17" t="str">
        <f aca="false">IF(AND(A1778="",B1778="",C1778=""),"",IF(NOT(ISNUMBER(A1778)),"Enter the date done",IF(OR(B1778="",C1778=""),"Fill in asset and task",IF(SUMPRODUCT(('PM Plan'!$A$5:$A$304=B1778)*('PM Plan'!$B$5:$B$304=C1778))=0,"No matching asset + task in plan","OK"))))</f>
        <v/>
      </c>
    </row>
    <row r="1779" customFormat="false" ht="15" hidden="false" customHeight="false" outlineLevel="0" collapsed="false">
      <c r="A1779" s="14"/>
      <c r="B1779" s="9"/>
      <c r="C1779" s="9"/>
      <c r="D1779" s="9"/>
      <c r="E1779" s="9"/>
      <c r="F1779" s="17" t="str">
        <f aca="false">IF(AND(A1779="",B1779="",C1779=""),"",IF(NOT(ISNUMBER(A1779)),"Enter the date done",IF(OR(B1779="",C1779=""),"Fill in asset and task",IF(SUMPRODUCT(('PM Plan'!$A$5:$A$304=B1779)*('PM Plan'!$B$5:$B$304=C1779))=0,"No matching asset + task in plan","OK"))))</f>
        <v/>
      </c>
    </row>
    <row r="1780" customFormat="false" ht="15" hidden="false" customHeight="false" outlineLevel="0" collapsed="false">
      <c r="A1780" s="14"/>
      <c r="B1780" s="9"/>
      <c r="C1780" s="9"/>
      <c r="D1780" s="9"/>
      <c r="E1780" s="9"/>
      <c r="F1780" s="17" t="str">
        <f aca="false">IF(AND(A1780="",B1780="",C1780=""),"",IF(NOT(ISNUMBER(A1780)),"Enter the date done",IF(OR(B1780="",C1780=""),"Fill in asset and task",IF(SUMPRODUCT(('PM Plan'!$A$5:$A$304=B1780)*('PM Plan'!$B$5:$B$304=C1780))=0,"No matching asset + task in plan","OK"))))</f>
        <v/>
      </c>
    </row>
    <row r="1781" customFormat="false" ht="15" hidden="false" customHeight="false" outlineLevel="0" collapsed="false">
      <c r="A1781" s="14"/>
      <c r="B1781" s="9"/>
      <c r="C1781" s="9"/>
      <c r="D1781" s="9"/>
      <c r="E1781" s="9"/>
      <c r="F1781" s="17" t="str">
        <f aca="false">IF(AND(A1781="",B1781="",C1781=""),"",IF(NOT(ISNUMBER(A1781)),"Enter the date done",IF(OR(B1781="",C1781=""),"Fill in asset and task",IF(SUMPRODUCT(('PM Plan'!$A$5:$A$304=B1781)*('PM Plan'!$B$5:$B$304=C1781))=0,"No matching asset + task in plan","OK"))))</f>
        <v/>
      </c>
    </row>
    <row r="1782" customFormat="false" ht="15" hidden="false" customHeight="false" outlineLevel="0" collapsed="false">
      <c r="A1782" s="14"/>
      <c r="B1782" s="9"/>
      <c r="C1782" s="9"/>
      <c r="D1782" s="9"/>
      <c r="E1782" s="9"/>
      <c r="F1782" s="17" t="str">
        <f aca="false">IF(AND(A1782="",B1782="",C1782=""),"",IF(NOT(ISNUMBER(A1782)),"Enter the date done",IF(OR(B1782="",C1782=""),"Fill in asset and task",IF(SUMPRODUCT(('PM Plan'!$A$5:$A$304=B1782)*('PM Plan'!$B$5:$B$304=C1782))=0,"No matching asset + task in plan","OK"))))</f>
        <v/>
      </c>
    </row>
    <row r="1783" customFormat="false" ht="15" hidden="false" customHeight="false" outlineLevel="0" collapsed="false">
      <c r="A1783" s="14"/>
      <c r="B1783" s="9"/>
      <c r="C1783" s="9"/>
      <c r="D1783" s="9"/>
      <c r="E1783" s="9"/>
      <c r="F1783" s="17" t="str">
        <f aca="false">IF(AND(A1783="",B1783="",C1783=""),"",IF(NOT(ISNUMBER(A1783)),"Enter the date done",IF(OR(B1783="",C1783=""),"Fill in asset and task",IF(SUMPRODUCT(('PM Plan'!$A$5:$A$304=B1783)*('PM Plan'!$B$5:$B$304=C1783))=0,"No matching asset + task in plan","OK"))))</f>
        <v/>
      </c>
    </row>
    <row r="1784" customFormat="false" ht="15" hidden="false" customHeight="false" outlineLevel="0" collapsed="false">
      <c r="A1784" s="14"/>
      <c r="B1784" s="9"/>
      <c r="C1784" s="9"/>
      <c r="D1784" s="9"/>
      <c r="E1784" s="9"/>
      <c r="F1784" s="17" t="str">
        <f aca="false">IF(AND(A1784="",B1784="",C1784=""),"",IF(NOT(ISNUMBER(A1784)),"Enter the date done",IF(OR(B1784="",C1784=""),"Fill in asset and task",IF(SUMPRODUCT(('PM Plan'!$A$5:$A$304=B1784)*('PM Plan'!$B$5:$B$304=C1784))=0,"No matching asset + task in plan","OK"))))</f>
        <v/>
      </c>
    </row>
    <row r="1785" customFormat="false" ht="15" hidden="false" customHeight="false" outlineLevel="0" collapsed="false">
      <c r="A1785" s="14"/>
      <c r="B1785" s="9"/>
      <c r="C1785" s="9"/>
      <c r="D1785" s="9"/>
      <c r="E1785" s="9"/>
      <c r="F1785" s="17" t="str">
        <f aca="false">IF(AND(A1785="",B1785="",C1785=""),"",IF(NOT(ISNUMBER(A1785)),"Enter the date done",IF(OR(B1785="",C1785=""),"Fill in asset and task",IF(SUMPRODUCT(('PM Plan'!$A$5:$A$304=B1785)*('PM Plan'!$B$5:$B$304=C1785))=0,"No matching asset + task in plan","OK"))))</f>
        <v/>
      </c>
    </row>
    <row r="1786" customFormat="false" ht="15" hidden="false" customHeight="false" outlineLevel="0" collapsed="false">
      <c r="A1786" s="14"/>
      <c r="B1786" s="9"/>
      <c r="C1786" s="9"/>
      <c r="D1786" s="9"/>
      <c r="E1786" s="9"/>
      <c r="F1786" s="17" t="str">
        <f aca="false">IF(AND(A1786="",B1786="",C1786=""),"",IF(NOT(ISNUMBER(A1786)),"Enter the date done",IF(OR(B1786="",C1786=""),"Fill in asset and task",IF(SUMPRODUCT(('PM Plan'!$A$5:$A$304=B1786)*('PM Plan'!$B$5:$B$304=C1786))=0,"No matching asset + task in plan","OK"))))</f>
        <v/>
      </c>
    </row>
    <row r="1787" customFormat="false" ht="15" hidden="false" customHeight="false" outlineLevel="0" collapsed="false">
      <c r="A1787" s="14"/>
      <c r="B1787" s="9"/>
      <c r="C1787" s="9"/>
      <c r="D1787" s="9"/>
      <c r="E1787" s="9"/>
      <c r="F1787" s="17" t="str">
        <f aca="false">IF(AND(A1787="",B1787="",C1787=""),"",IF(NOT(ISNUMBER(A1787)),"Enter the date done",IF(OR(B1787="",C1787=""),"Fill in asset and task",IF(SUMPRODUCT(('PM Plan'!$A$5:$A$304=B1787)*('PM Plan'!$B$5:$B$304=C1787))=0,"No matching asset + task in plan","OK"))))</f>
        <v/>
      </c>
    </row>
    <row r="1788" customFormat="false" ht="15" hidden="false" customHeight="false" outlineLevel="0" collapsed="false">
      <c r="A1788" s="14"/>
      <c r="B1788" s="9"/>
      <c r="C1788" s="9"/>
      <c r="D1788" s="9"/>
      <c r="E1788" s="9"/>
      <c r="F1788" s="17" t="str">
        <f aca="false">IF(AND(A1788="",B1788="",C1788=""),"",IF(NOT(ISNUMBER(A1788)),"Enter the date done",IF(OR(B1788="",C1788=""),"Fill in asset and task",IF(SUMPRODUCT(('PM Plan'!$A$5:$A$304=B1788)*('PM Plan'!$B$5:$B$304=C1788))=0,"No matching asset + task in plan","OK"))))</f>
        <v/>
      </c>
    </row>
    <row r="1789" customFormat="false" ht="15" hidden="false" customHeight="false" outlineLevel="0" collapsed="false">
      <c r="A1789" s="14"/>
      <c r="B1789" s="9"/>
      <c r="C1789" s="9"/>
      <c r="D1789" s="9"/>
      <c r="E1789" s="9"/>
      <c r="F1789" s="17" t="str">
        <f aca="false">IF(AND(A1789="",B1789="",C1789=""),"",IF(NOT(ISNUMBER(A1789)),"Enter the date done",IF(OR(B1789="",C1789=""),"Fill in asset and task",IF(SUMPRODUCT(('PM Plan'!$A$5:$A$304=B1789)*('PM Plan'!$B$5:$B$304=C1789))=0,"No matching asset + task in plan","OK"))))</f>
        <v/>
      </c>
    </row>
    <row r="1790" customFormat="false" ht="15" hidden="false" customHeight="false" outlineLevel="0" collapsed="false">
      <c r="A1790" s="14"/>
      <c r="B1790" s="9"/>
      <c r="C1790" s="9"/>
      <c r="D1790" s="9"/>
      <c r="E1790" s="9"/>
      <c r="F1790" s="17" t="str">
        <f aca="false">IF(AND(A1790="",B1790="",C1790=""),"",IF(NOT(ISNUMBER(A1790)),"Enter the date done",IF(OR(B1790="",C1790=""),"Fill in asset and task",IF(SUMPRODUCT(('PM Plan'!$A$5:$A$304=B1790)*('PM Plan'!$B$5:$B$304=C1790))=0,"No matching asset + task in plan","OK"))))</f>
        <v/>
      </c>
    </row>
    <row r="1791" customFormat="false" ht="15" hidden="false" customHeight="false" outlineLevel="0" collapsed="false">
      <c r="A1791" s="14"/>
      <c r="B1791" s="9"/>
      <c r="C1791" s="9"/>
      <c r="D1791" s="9"/>
      <c r="E1791" s="9"/>
      <c r="F1791" s="17" t="str">
        <f aca="false">IF(AND(A1791="",B1791="",C1791=""),"",IF(NOT(ISNUMBER(A1791)),"Enter the date done",IF(OR(B1791="",C1791=""),"Fill in asset and task",IF(SUMPRODUCT(('PM Plan'!$A$5:$A$304=B1791)*('PM Plan'!$B$5:$B$304=C1791))=0,"No matching asset + task in plan","OK"))))</f>
        <v/>
      </c>
    </row>
    <row r="1792" customFormat="false" ht="15" hidden="false" customHeight="false" outlineLevel="0" collapsed="false">
      <c r="A1792" s="14"/>
      <c r="B1792" s="9"/>
      <c r="C1792" s="9"/>
      <c r="D1792" s="9"/>
      <c r="E1792" s="9"/>
      <c r="F1792" s="17" t="str">
        <f aca="false">IF(AND(A1792="",B1792="",C1792=""),"",IF(NOT(ISNUMBER(A1792)),"Enter the date done",IF(OR(B1792="",C1792=""),"Fill in asset and task",IF(SUMPRODUCT(('PM Plan'!$A$5:$A$304=B1792)*('PM Plan'!$B$5:$B$304=C1792))=0,"No matching asset + task in plan","OK"))))</f>
        <v/>
      </c>
    </row>
    <row r="1793" customFormat="false" ht="15" hidden="false" customHeight="false" outlineLevel="0" collapsed="false">
      <c r="A1793" s="14"/>
      <c r="B1793" s="9"/>
      <c r="C1793" s="9"/>
      <c r="D1793" s="9"/>
      <c r="E1793" s="9"/>
      <c r="F1793" s="17" t="str">
        <f aca="false">IF(AND(A1793="",B1793="",C1793=""),"",IF(NOT(ISNUMBER(A1793)),"Enter the date done",IF(OR(B1793="",C1793=""),"Fill in asset and task",IF(SUMPRODUCT(('PM Plan'!$A$5:$A$304=B1793)*('PM Plan'!$B$5:$B$304=C1793))=0,"No matching asset + task in plan","OK"))))</f>
        <v/>
      </c>
    </row>
    <row r="1794" customFormat="false" ht="15" hidden="false" customHeight="false" outlineLevel="0" collapsed="false">
      <c r="A1794" s="14"/>
      <c r="B1794" s="9"/>
      <c r="C1794" s="9"/>
      <c r="D1794" s="9"/>
      <c r="E1794" s="9"/>
      <c r="F1794" s="17" t="str">
        <f aca="false">IF(AND(A1794="",B1794="",C1794=""),"",IF(NOT(ISNUMBER(A1794)),"Enter the date done",IF(OR(B1794="",C1794=""),"Fill in asset and task",IF(SUMPRODUCT(('PM Plan'!$A$5:$A$304=B1794)*('PM Plan'!$B$5:$B$304=C1794))=0,"No matching asset + task in plan","OK"))))</f>
        <v/>
      </c>
    </row>
    <row r="1795" customFormat="false" ht="15" hidden="false" customHeight="false" outlineLevel="0" collapsed="false">
      <c r="A1795" s="14"/>
      <c r="B1795" s="9"/>
      <c r="C1795" s="9"/>
      <c r="D1795" s="9"/>
      <c r="E1795" s="9"/>
      <c r="F1795" s="17" t="str">
        <f aca="false">IF(AND(A1795="",B1795="",C1795=""),"",IF(NOT(ISNUMBER(A1795)),"Enter the date done",IF(OR(B1795="",C1795=""),"Fill in asset and task",IF(SUMPRODUCT(('PM Plan'!$A$5:$A$304=B1795)*('PM Plan'!$B$5:$B$304=C1795))=0,"No matching asset + task in plan","OK"))))</f>
        <v/>
      </c>
    </row>
    <row r="1796" customFormat="false" ht="15" hidden="false" customHeight="false" outlineLevel="0" collapsed="false">
      <c r="A1796" s="14"/>
      <c r="B1796" s="9"/>
      <c r="C1796" s="9"/>
      <c r="D1796" s="9"/>
      <c r="E1796" s="9"/>
      <c r="F1796" s="17" t="str">
        <f aca="false">IF(AND(A1796="",B1796="",C1796=""),"",IF(NOT(ISNUMBER(A1796)),"Enter the date done",IF(OR(B1796="",C1796=""),"Fill in asset and task",IF(SUMPRODUCT(('PM Plan'!$A$5:$A$304=B1796)*('PM Plan'!$B$5:$B$304=C1796))=0,"No matching asset + task in plan","OK"))))</f>
        <v/>
      </c>
    </row>
    <row r="1797" customFormat="false" ht="15" hidden="false" customHeight="false" outlineLevel="0" collapsed="false">
      <c r="A1797" s="14"/>
      <c r="B1797" s="9"/>
      <c r="C1797" s="9"/>
      <c r="D1797" s="9"/>
      <c r="E1797" s="9"/>
      <c r="F1797" s="17" t="str">
        <f aca="false">IF(AND(A1797="",B1797="",C1797=""),"",IF(NOT(ISNUMBER(A1797)),"Enter the date done",IF(OR(B1797="",C1797=""),"Fill in asset and task",IF(SUMPRODUCT(('PM Plan'!$A$5:$A$304=B1797)*('PM Plan'!$B$5:$B$304=C1797))=0,"No matching asset + task in plan","OK"))))</f>
        <v/>
      </c>
    </row>
    <row r="1798" customFormat="false" ht="15" hidden="false" customHeight="false" outlineLevel="0" collapsed="false">
      <c r="A1798" s="14"/>
      <c r="B1798" s="9"/>
      <c r="C1798" s="9"/>
      <c r="D1798" s="9"/>
      <c r="E1798" s="9"/>
      <c r="F1798" s="17" t="str">
        <f aca="false">IF(AND(A1798="",B1798="",C1798=""),"",IF(NOT(ISNUMBER(A1798)),"Enter the date done",IF(OR(B1798="",C1798=""),"Fill in asset and task",IF(SUMPRODUCT(('PM Plan'!$A$5:$A$304=B1798)*('PM Plan'!$B$5:$B$304=C1798))=0,"No matching asset + task in plan","OK"))))</f>
        <v/>
      </c>
    </row>
    <row r="1799" customFormat="false" ht="15" hidden="false" customHeight="false" outlineLevel="0" collapsed="false">
      <c r="A1799" s="14"/>
      <c r="B1799" s="9"/>
      <c r="C1799" s="9"/>
      <c r="D1799" s="9"/>
      <c r="E1799" s="9"/>
      <c r="F1799" s="17" t="str">
        <f aca="false">IF(AND(A1799="",B1799="",C1799=""),"",IF(NOT(ISNUMBER(A1799)),"Enter the date done",IF(OR(B1799="",C1799=""),"Fill in asset and task",IF(SUMPRODUCT(('PM Plan'!$A$5:$A$304=B1799)*('PM Plan'!$B$5:$B$304=C1799))=0,"No matching asset + task in plan","OK"))))</f>
        <v/>
      </c>
    </row>
    <row r="1800" customFormat="false" ht="15" hidden="false" customHeight="false" outlineLevel="0" collapsed="false">
      <c r="A1800" s="14"/>
      <c r="B1800" s="9"/>
      <c r="C1800" s="9"/>
      <c r="D1800" s="9"/>
      <c r="E1800" s="9"/>
      <c r="F1800" s="17" t="str">
        <f aca="false">IF(AND(A1800="",B1800="",C1800=""),"",IF(NOT(ISNUMBER(A1800)),"Enter the date done",IF(OR(B1800="",C1800=""),"Fill in asset and task",IF(SUMPRODUCT(('PM Plan'!$A$5:$A$304=B1800)*('PM Plan'!$B$5:$B$304=C1800))=0,"No matching asset + task in plan","OK"))))</f>
        <v/>
      </c>
    </row>
    <row r="1801" customFormat="false" ht="15" hidden="false" customHeight="false" outlineLevel="0" collapsed="false">
      <c r="A1801" s="14"/>
      <c r="B1801" s="9"/>
      <c r="C1801" s="9"/>
      <c r="D1801" s="9"/>
      <c r="E1801" s="9"/>
      <c r="F1801" s="17" t="str">
        <f aca="false">IF(AND(A1801="",B1801="",C1801=""),"",IF(NOT(ISNUMBER(A1801)),"Enter the date done",IF(OR(B1801="",C1801=""),"Fill in asset and task",IF(SUMPRODUCT(('PM Plan'!$A$5:$A$304=B1801)*('PM Plan'!$B$5:$B$304=C1801))=0,"No matching asset + task in plan","OK"))))</f>
        <v/>
      </c>
    </row>
    <row r="1802" customFormat="false" ht="15" hidden="false" customHeight="false" outlineLevel="0" collapsed="false">
      <c r="A1802" s="14"/>
      <c r="B1802" s="9"/>
      <c r="C1802" s="9"/>
      <c r="D1802" s="9"/>
      <c r="E1802" s="9"/>
      <c r="F1802" s="17" t="str">
        <f aca="false">IF(AND(A1802="",B1802="",C1802=""),"",IF(NOT(ISNUMBER(A1802)),"Enter the date done",IF(OR(B1802="",C1802=""),"Fill in asset and task",IF(SUMPRODUCT(('PM Plan'!$A$5:$A$304=B1802)*('PM Plan'!$B$5:$B$304=C1802))=0,"No matching asset + task in plan","OK"))))</f>
        <v/>
      </c>
    </row>
    <row r="1803" customFormat="false" ht="15" hidden="false" customHeight="false" outlineLevel="0" collapsed="false">
      <c r="A1803" s="14"/>
      <c r="B1803" s="9"/>
      <c r="C1803" s="9"/>
      <c r="D1803" s="9"/>
      <c r="E1803" s="9"/>
      <c r="F1803" s="17" t="str">
        <f aca="false">IF(AND(A1803="",B1803="",C1803=""),"",IF(NOT(ISNUMBER(A1803)),"Enter the date done",IF(OR(B1803="",C1803=""),"Fill in asset and task",IF(SUMPRODUCT(('PM Plan'!$A$5:$A$304=B1803)*('PM Plan'!$B$5:$B$304=C1803))=0,"No matching asset + task in plan","OK"))))</f>
        <v/>
      </c>
    </row>
    <row r="1804" customFormat="false" ht="15" hidden="false" customHeight="false" outlineLevel="0" collapsed="false">
      <c r="A1804" s="14"/>
      <c r="B1804" s="9"/>
      <c r="C1804" s="9"/>
      <c r="D1804" s="9"/>
      <c r="E1804" s="9"/>
      <c r="F1804" s="17" t="str">
        <f aca="false">IF(AND(A1804="",B1804="",C1804=""),"",IF(NOT(ISNUMBER(A1804)),"Enter the date done",IF(OR(B1804="",C1804=""),"Fill in asset and task",IF(SUMPRODUCT(('PM Plan'!$A$5:$A$304=B1804)*('PM Plan'!$B$5:$B$304=C1804))=0,"No matching asset + task in plan","OK"))))</f>
        <v/>
      </c>
    </row>
    <row r="1805" customFormat="false" ht="15" hidden="false" customHeight="false" outlineLevel="0" collapsed="false">
      <c r="A1805" s="14"/>
      <c r="B1805" s="9"/>
      <c r="C1805" s="9"/>
      <c r="D1805" s="9"/>
      <c r="E1805" s="9"/>
      <c r="F1805" s="17" t="str">
        <f aca="false">IF(AND(A1805="",B1805="",C1805=""),"",IF(NOT(ISNUMBER(A1805)),"Enter the date done",IF(OR(B1805="",C1805=""),"Fill in asset and task",IF(SUMPRODUCT(('PM Plan'!$A$5:$A$304=B1805)*('PM Plan'!$B$5:$B$304=C1805))=0,"No matching asset + task in plan","OK"))))</f>
        <v/>
      </c>
    </row>
    <row r="1806" customFormat="false" ht="15" hidden="false" customHeight="false" outlineLevel="0" collapsed="false">
      <c r="A1806" s="14"/>
      <c r="B1806" s="9"/>
      <c r="C1806" s="9"/>
      <c r="D1806" s="9"/>
      <c r="E1806" s="9"/>
      <c r="F1806" s="17" t="str">
        <f aca="false">IF(AND(A1806="",B1806="",C1806=""),"",IF(NOT(ISNUMBER(A1806)),"Enter the date done",IF(OR(B1806="",C1806=""),"Fill in asset and task",IF(SUMPRODUCT(('PM Plan'!$A$5:$A$304=B1806)*('PM Plan'!$B$5:$B$304=C1806))=0,"No matching asset + task in plan","OK"))))</f>
        <v/>
      </c>
    </row>
    <row r="1807" customFormat="false" ht="15" hidden="false" customHeight="false" outlineLevel="0" collapsed="false">
      <c r="A1807" s="14"/>
      <c r="B1807" s="9"/>
      <c r="C1807" s="9"/>
      <c r="D1807" s="9"/>
      <c r="E1807" s="9"/>
      <c r="F1807" s="17" t="str">
        <f aca="false">IF(AND(A1807="",B1807="",C1807=""),"",IF(NOT(ISNUMBER(A1807)),"Enter the date done",IF(OR(B1807="",C1807=""),"Fill in asset and task",IF(SUMPRODUCT(('PM Plan'!$A$5:$A$304=B1807)*('PM Plan'!$B$5:$B$304=C1807))=0,"No matching asset + task in plan","OK"))))</f>
        <v/>
      </c>
    </row>
    <row r="1808" customFormat="false" ht="15" hidden="false" customHeight="false" outlineLevel="0" collapsed="false">
      <c r="A1808" s="14"/>
      <c r="B1808" s="9"/>
      <c r="C1808" s="9"/>
      <c r="D1808" s="9"/>
      <c r="E1808" s="9"/>
      <c r="F1808" s="17" t="str">
        <f aca="false">IF(AND(A1808="",B1808="",C1808=""),"",IF(NOT(ISNUMBER(A1808)),"Enter the date done",IF(OR(B1808="",C1808=""),"Fill in asset and task",IF(SUMPRODUCT(('PM Plan'!$A$5:$A$304=B1808)*('PM Plan'!$B$5:$B$304=C1808))=0,"No matching asset + task in plan","OK"))))</f>
        <v/>
      </c>
    </row>
    <row r="1809" customFormat="false" ht="15" hidden="false" customHeight="false" outlineLevel="0" collapsed="false">
      <c r="A1809" s="14"/>
      <c r="B1809" s="9"/>
      <c r="C1809" s="9"/>
      <c r="D1809" s="9"/>
      <c r="E1809" s="9"/>
      <c r="F1809" s="17" t="str">
        <f aca="false">IF(AND(A1809="",B1809="",C1809=""),"",IF(NOT(ISNUMBER(A1809)),"Enter the date done",IF(OR(B1809="",C1809=""),"Fill in asset and task",IF(SUMPRODUCT(('PM Plan'!$A$5:$A$304=B1809)*('PM Plan'!$B$5:$B$304=C1809))=0,"No matching asset + task in plan","OK"))))</f>
        <v/>
      </c>
    </row>
    <row r="1810" customFormat="false" ht="15" hidden="false" customHeight="false" outlineLevel="0" collapsed="false">
      <c r="A1810" s="14"/>
      <c r="B1810" s="9"/>
      <c r="C1810" s="9"/>
      <c r="D1810" s="9"/>
      <c r="E1810" s="9"/>
      <c r="F1810" s="17" t="str">
        <f aca="false">IF(AND(A1810="",B1810="",C1810=""),"",IF(NOT(ISNUMBER(A1810)),"Enter the date done",IF(OR(B1810="",C1810=""),"Fill in asset and task",IF(SUMPRODUCT(('PM Plan'!$A$5:$A$304=B1810)*('PM Plan'!$B$5:$B$304=C1810))=0,"No matching asset + task in plan","OK"))))</f>
        <v/>
      </c>
    </row>
    <row r="1811" customFormat="false" ht="15" hidden="false" customHeight="false" outlineLevel="0" collapsed="false">
      <c r="A1811" s="14"/>
      <c r="B1811" s="9"/>
      <c r="C1811" s="9"/>
      <c r="D1811" s="9"/>
      <c r="E1811" s="9"/>
      <c r="F1811" s="17" t="str">
        <f aca="false">IF(AND(A1811="",B1811="",C1811=""),"",IF(NOT(ISNUMBER(A1811)),"Enter the date done",IF(OR(B1811="",C1811=""),"Fill in asset and task",IF(SUMPRODUCT(('PM Plan'!$A$5:$A$304=B1811)*('PM Plan'!$B$5:$B$304=C1811))=0,"No matching asset + task in plan","OK"))))</f>
        <v/>
      </c>
    </row>
    <row r="1812" customFormat="false" ht="15" hidden="false" customHeight="false" outlineLevel="0" collapsed="false">
      <c r="A1812" s="14"/>
      <c r="B1812" s="9"/>
      <c r="C1812" s="9"/>
      <c r="D1812" s="9"/>
      <c r="E1812" s="9"/>
      <c r="F1812" s="17" t="str">
        <f aca="false">IF(AND(A1812="",B1812="",C1812=""),"",IF(NOT(ISNUMBER(A1812)),"Enter the date done",IF(OR(B1812="",C1812=""),"Fill in asset and task",IF(SUMPRODUCT(('PM Plan'!$A$5:$A$304=B1812)*('PM Plan'!$B$5:$B$304=C1812))=0,"No matching asset + task in plan","OK"))))</f>
        <v/>
      </c>
    </row>
    <row r="1813" customFormat="false" ht="15" hidden="false" customHeight="false" outlineLevel="0" collapsed="false">
      <c r="A1813" s="14"/>
      <c r="B1813" s="9"/>
      <c r="C1813" s="9"/>
      <c r="D1813" s="9"/>
      <c r="E1813" s="9"/>
      <c r="F1813" s="17" t="str">
        <f aca="false">IF(AND(A1813="",B1813="",C1813=""),"",IF(NOT(ISNUMBER(A1813)),"Enter the date done",IF(OR(B1813="",C1813=""),"Fill in asset and task",IF(SUMPRODUCT(('PM Plan'!$A$5:$A$304=B1813)*('PM Plan'!$B$5:$B$304=C1813))=0,"No matching asset + task in plan","OK"))))</f>
        <v/>
      </c>
    </row>
    <row r="1814" customFormat="false" ht="15" hidden="false" customHeight="false" outlineLevel="0" collapsed="false">
      <c r="A1814" s="14"/>
      <c r="B1814" s="9"/>
      <c r="C1814" s="9"/>
      <c r="D1814" s="9"/>
      <c r="E1814" s="9"/>
      <c r="F1814" s="17" t="str">
        <f aca="false">IF(AND(A1814="",B1814="",C1814=""),"",IF(NOT(ISNUMBER(A1814)),"Enter the date done",IF(OR(B1814="",C1814=""),"Fill in asset and task",IF(SUMPRODUCT(('PM Plan'!$A$5:$A$304=B1814)*('PM Plan'!$B$5:$B$304=C1814))=0,"No matching asset + task in plan","OK"))))</f>
        <v/>
      </c>
    </row>
    <row r="1815" customFormat="false" ht="15" hidden="false" customHeight="false" outlineLevel="0" collapsed="false">
      <c r="A1815" s="14"/>
      <c r="B1815" s="9"/>
      <c r="C1815" s="9"/>
      <c r="D1815" s="9"/>
      <c r="E1815" s="9"/>
      <c r="F1815" s="17" t="str">
        <f aca="false">IF(AND(A1815="",B1815="",C1815=""),"",IF(NOT(ISNUMBER(A1815)),"Enter the date done",IF(OR(B1815="",C1815=""),"Fill in asset and task",IF(SUMPRODUCT(('PM Plan'!$A$5:$A$304=B1815)*('PM Plan'!$B$5:$B$304=C1815))=0,"No matching asset + task in plan","OK"))))</f>
        <v/>
      </c>
    </row>
    <row r="1816" customFormat="false" ht="15" hidden="false" customHeight="false" outlineLevel="0" collapsed="false">
      <c r="A1816" s="14"/>
      <c r="B1816" s="9"/>
      <c r="C1816" s="9"/>
      <c r="D1816" s="9"/>
      <c r="E1816" s="9"/>
      <c r="F1816" s="17" t="str">
        <f aca="false">IF(AND(A1816="",B1816="",C1816=""),"",IF(NOT(ISNUMBER(A1816)),"Enter the date done",IF(OR(B1816="",C1816=""),"Fill in asset and task",IF(SUMPRODUCT(('PM Plan'!$A$5:$A$304=B1816)*('PM Plan'!$B$5:$B$304=C1816))=0,"No matching asset + task in plan","OK"))))</f>
        <v/>
      </c>
    </row>
    <row r="1817" customFormat="false" ht="15" hidden="false" customHeight="false" outlineLevel="0" collapsed="false">
      <c r="A1817" s="14"/>
      <c r="B1817" s="9"/>
      <c r="C1817" s="9"/>
      <c r="D1817" s="9"/>
      <c r="E1817" s="9"/>
      <c r="F1817" s="17" t="str">
        <f aca="false">IF(AND(A1817="",B1817="",C1817=""),"",IF(NOT(ISNUMBER(A1817)),"Enter the date done",IF(OR(B1817="",C1817=""),"Fill in asset and task",IF(SUMPRODUCT(('PM Plan'!$A$5:$A$304=B1817)*('PM Plan'!$B$5:$B$304=C1817))=0,"No matching asset + task in plan","OK"))))</f>
        <v/>
      </c>
    </row>
    <row r="1818" customFormat="false" ht="15" hidden="false" customHeight="false" outlineLevel="0" collapsed="false">
      <c r="A1818" s="14"/>
      <c r="B1818" s="9"/>
      <c r="C1818" s="9"/>
      <c r="D1818" s="9"/>
      <c r="E1818" s="9"/>
      <c r="F1818" s="17" t="str">
        <f aca="false">IF(AND(A1818="",B1818="",C1818=""),"",IF(NOT(ISNUMBER(A1818)),"Enter the date done",IF(OR(B1818="",C1818=""),"Fill in asset and task",IF(SUMPRODUCT(('PM Plan'!$A$5:$A$304=B1818)*('PM Plan'!$B$5:$B$304=C1818))=0,"No matching asset + task in plan","OK"))))</f>
        <v/>
      </c>
    </row>
    <row r="1819" customFormat="false" ht="15" hidden="false" customHeight="false" outlineLevel="0" collapsed="false">
      <c r="A1819" s="14"/>
      <c r="B1819" s="9"/>
      <c r="C1819" s="9"/>
      <c r="D1819" s="9"/>
      <c r="E1819" s="9"/>
      <c r="F1819" s="17" t="str">
        <f aca="false">IF(AND(A1819="",B1819="",C1819=""),"",IF(NOT(ISNUMBER(A1819)),"Enter the date done",IF(OR(B1819="",C1819=""),"Fill in asset and task",IF(SUMPRODUCT(('PM Plan'!$A$5:$A$304=B1819)*('PM Plan'!$B$5:$B$304=C1819))=0,"No matching asset + task in plan","OK"))))</f>
        <v/>
      </c>
    </row>
    <row r="1820" customFormat="false" ht="15" hidden="false" customHeight="false" outlineLevel="0" collapsed="false">
      <c r="A1820" s="14"/>
      <c r="B1820" s="9"/>
      <c r="C1820" s="9"/>
      <c r="D1820" s="9"/>
      <c r="E1820" s="9"/>
      <c r="F1820" s="17" t="str">
        <f aca="false">IF(AND(A1820="",B1820="",C1820=""),"",IF(NOT(ISNUMBER(A1820)),"Enter the date done",IF(OR(B1820="",C1820=""),"Fill in asset and task",IF(SUMPRODUCT(('PM Plan'!$A$5:$A$304=B1820)*('PM Plan'!$B$5:$B$304=C1820))=0,"No matching asset + task in plan","OK"))))</f>
        <v/>
      </c>
    </row>
    <row r="1821" customFormat="false" ht="15" hidden="false" customHeight="false" outlineLevel="0" collapsed="false">
      <c r="A1821" s="14"/>
      <c r="B1821" s="9"/>
      <c r="C1821" s="9"/>
      <c r="D1821" s="9"/>
      <c r="E1821" s="9"/>
      <c r="F1821" s="17" t="str">
        <f aca="false">IF(AND(A1821="",B1821="",C1821=""),"",IF(NOT(ISNUMBER(A1821)),"Enter the date done",IF(OR(B1821="",C1821=""),"Fill in asset and task",IF(SUMPRODUCT(('PM Plan'!$A$5:$A$304=B1821)*('PM Plan'!$B$5:$B$304=C1821))=0,"No matching asset + task in plan","OK"))))</f>
        <v/>
      </c>
    </row>
    <row r="1822" customFormat="false" ht="15" hidden="false" customHeight="false" outlineLevel="0" collapsed="false">
      <c r="A1822" s="14"/>
      <c r="B1822" s="9"/>
      <c r="C1822" s="9"/>
      <c r="D1822" s="9"/>
      <c r="E1822" s="9"/>
      <c r="F1822" s="17" t="str">
        <f aca="false">IF(AND(A1822="",B1822="",C1822=""),"",IF(NOT(ISNUMBER(A1822)),"Enter the date done",IF(OR(B1822="",C1822=""),"Fill in asset and task",IF(SUMPRODUCT(('PM Plan'!$A$5:$A$304=B1822)*('PM Plan'!$B$5:$B$304=C1822))=0,"No matching asset + task in plan","OK"))))</f>
        <v/>
      </c>
    </row>
    <row r="1823" customFormat="false" ht="15" hidden="false" customHeight="false" outlineLevel="0" collapsed="false">
      <c r="A1823" s="14"/>
      <c r="B1823" s="9"/>
      <c r="C1823" s="9"/>
      <c r="D1823" s="9"/>
      <c r="E1823" s="9"/>
      <c r="F1823" s="17" t="str">
        <f aca="false">IF(AND(A1823="",B1823="",C1823=""),"",IF(NOT(ISNUMBER(A1823)),"Enter the date done",IF(OR(B1823="",C1823=""),"Fill in asset and task",IF(SUMPRODUCT(('PM Plan'!$A$5:$A$304=B1823)*('PM Plan'!$B$5:$B$304=C1823))=0,"No matching asset + task in plan","OK"))))</f>
        <v/>
      </c>
    </row>
    <row r="1824" customFormat="false" ht="15" hidden="false" customHeight="false" outlineLevel="0" collapsed="false">
      <c r="A1824" s="14"/>
      <c r="B1824" s="9"/>
      <c r="C1824" s="9"/>
      <c r="D1824" s="9"/>
      <c r="E1824" s="9"/>
      <c r="F1824" s="17" t="str">
        <f aca="false">IF(AND(A1824="",B1824="",C1824=""),"",IF(NOT(ISNUMBER(A1824)),"Enter the date done",IF(OR(B1824="",C1824=""),"Fill in asset and task",IF(SUMPRODUCT(('PM Plan'!$A$5:$A$304=B1824)*('PM Plan'!$B$5:$B$304=C1824))=0,"No matching asset + task in plan","OK"))))</f>
        <v/>
      </c>
    </row>
    <row r="1825" customFormat="false" ht="15" hidden="false" customHeight="false" outlineLevel="0" collapsed="false">
      <c r="A1825" s="14"/>
      <c r="B1825" s="9"/>
      <c r="C1825" s="9"/>
      <c r="D1825" s="9"/>
      <c r="E1825" s="9"/>
      <c r="F1825" s="17" t="str">
        <f aca="false">IF(AND(A1825="",B1825="",C1825=""),"",IF(NOT(ISNUMBER(A1825)),"Enter the date done",IF(OR(B1825="",C1825=""),"Fill in asset and task",IF(SUMPRODUCT(('PM Plan'!$A$5:$A$304=B1825)*('PM Plan'!$B$5:$B$304=C1825))=0,"No matching asset + task in plan","OK"))))</f>
        <v/>
      </c>
    </row>
    <row r="1826" customFormat="false" ht="15" hidden="false" customHeight="false" outlineLevel="0" collapsed="false">
      <c r="A1826" s="14"/>
      <c r="B1826" s="9"/>
      <c r="C1826" s="9"/>
      <c r="D1826" s="9"/>
      <c r="E1826" s="9"/>
      <c r="F1826" s="17" t="str">
        <f aca="false">IF(AND(A1826="",B1826="",C1826=""),"",IF(NOT(ISNUMBER(A1826)),"Enter the date done",IF(OR(B1826="",C1826=""),"Fill in asset and task",IF(SUMPRODUCT(('PM Plan'!$A$5:$A$304=B1826)*('PM Plan'!$B$5:$B$304=C1826))=0,"No matching asset + task in plan","OK"))))</f>
        <v/>
      </c>
    </row>
    <row r="1827" customFormat="false" ht="15" hidden="false" customHeight="false" outlineLevel="0" collapsed="false">
      <c r="A1827" s="14"/>
      <c r="B1827" s="9"/>
      <c r="C1827" s="9"/>
      <c r="D1827" s="9"/>
      <c r="E1827" s="9"/>
      <c r="F1827" s="17" t="str">
        <f aca="false">IF(AND(A1827="",B1827="",C1827=""),"",IF(NOT(ISNUMBER(A1827)),"Enter the date done",IF(OR(B1827="",C1827=""),"Fill in asset and task",IF(SUMPRODUCT(('PM Plan'!$A$5:$A$304=B1827)*('PM Plan'!$B$5:$B$304=C1827))=0,"No matching asset + task in plan","OK"))))</f>
        <v/>
      </c>
    </row>
    <row r="1828" customFormat="false" ht="15" hidden="false" customHeight="false" outlineLevel="0" collapsed="false">
      <c r="A1828" s="14"/>
      <c r="B1828" s="9"/>
      <c r="C1828" s="9"/>
      <c r="D1828" s="9"/>
      <c r="E1828" s="9"/>
      <c r="F1828" s="17" t="str">
        <f aca="false">IF(AND(A1828="",B1828="",C1828=""),"",IF(NOT(ISNUMBER(A1828)),"Enter the date done",IF(OR(B1828="",C1828=""),"Fill in asset and task",IF(SUMPRODUCT(('PM Plan'!$A$5:$A$304=B1828)*('PM Plan'!$B$5:$B$304=C1828))=0,"No matching asset + task in plan","OK"))))</f>
        <v/>
      </c>
    </row>
    <row r="1829" customFormat="false" ht="15" hidden="false" customHeight="false" outlineLevel="0" collapsed="false">
      <c r="A1829" s="14"/>
      <c r="B1829" s="9"/>
      <c r="C1829" s="9"/>
      <c r="D1829" s="9"/>
      <c r="E1829" s="9"/>
      <c r="F1829" s="17" t="str">
        <f aca="false">IF(AND(A1829="",B1829="",C1829=""),"",IF(NOT(ISNUMBER(A1829)),"Enter the date done",IF(OR(B1829="",C1829=""),"Fill in asset and task",IF(SUMPRODUCT(('PM Plan'!$A$5:$A$304=B1829)*('PM Plan'!$B$5:$B$304=C1829))=0,"No matching asset + task in plan","OK"))))</f>
        <v/>
      </c>
    </row>
    <row r="1830" customFormat="false" ht="15" hidden="false" customHeight="false" outlineLevel="0" collapsed="false">
      <c r="A1830" s="14"/>
      <c r="B1830" s="9"/>
      <c r="C1830" s="9"/>
      <c r="D1830" s="9"/>
      <c r="E1830" s="9"/>
      <c r="F1830" s="17" t="str">
        <f aca="false">IF(AND(A1830="",B1830="",C1830=""),"",IF(NOT(ISNUMBER(A1830)),"Enter the date done",IF(OR(B1830="",C1830=""),"Fill in asset and task",IF(SUMPRODUCT(('PM Plan'!$A$5:$A$304=B1830)*('PM Plan'!$B$5:$B$304=C1830))=0,"No matching asset + task in plan","OK"))))</f>
        <v/>
      </c>
    </row>
    <row r="1831" customFormat="false" ht="15" hidden="false" customHeight="false" outlineLevel="0" collapsed="false">
      <c r="A1831" s="14"/>
      <c r="B1831" s="9"/>
      <c r="C1831" s="9"/>
      <c r="D1831" s="9"/>
      <c r="E1831" s="9"/>
      <c r="F1831" s="17" t="str">
        <f aca="false">IF(AND(A1831="",B1831="",C1831=""),"",IF(NOT(ISNUMBER(A1831)),"Enter the date done",IF(OR(B1831="",C1831=""),"Fill in asset and task",IF(SUMPRODUCT(('PM Plan'!$A$5:$A$304=B1831)*('PM Plan'!$B$5:$B$304=C1831))=0,"No matching asset + task in plan","OK"))))</f>
        <v/>
      </c>
    </row>
    <row r="1832" customFormat="false" ht="15" hidden="false" customHeight="false" outlineLevel="0" collapsed="false">
      <c r="A1832" s="14"/>
      <c r="B1832" s="9"/>
      <c r="C1832" s="9"/>
      <c r="D1832" s="9"/>
      <c r="E1832" s="9"/>
      <c r="F1832" s="17" t="str">
        <f aca="false">IF(AND(A1832="",B1832="",C1832=""),"",IF(NOT(ISNUMBER(A1832)),"Enter the date done",IF(OR(B1832="",C1832=""),"Fill in asset and task",IF(SUMPRODUCT(('PM Plan'!$A$5:$A$304=B1832)*('PM Plan'!$B$5:$B$304=C1832))=0,"No matching asset + task in plan","OK"))))</f>
        <v/>
      </c>
    </row>
    <row r="1833" customFormat="false" ht="15" hidden="false" customHeight="false" outlineLevel="0" collapsed="false">
      <c r="A1833" s="14"/>
      <c r="B1833" s="9"/>
      <c r="C1833" s="9"/>
      <c r="D1833" s="9"/>
      <c r="E1833" s="9"/>
      <c r="F1833" s="17" t="str">
        <f aca="false">IF(AND(A1833="",B1833="",C1833=""),"",IF(NOT(ISNUMBER(A1833)),"Enter the date done",IF(OR(B1833="",C1833=""),"Fill in asset and task",IF(SUMPRODUCT(('PM Plan'!$A$5:$A$304=B1833)*('PM Plan'!$B$5:$B$304=C1833))=0,"No matching asset + task in plan","OK"))))</f>
        <v/>
      </c>
    </row>
    <row r="1834" customFormat="false" ht="15" hidden="false" customHeight="false" outlineLevel="0" collapsed="false">
      <c r="A1834" s="14"/>
      <c r="B1834" s="9"/>
      <c r="C1834" s="9"/>
      <c r="D1834" s="9"/>
      <c r="E1834" s="9"/>
      <c r="F1834" s="17" t="str">
        <f aca="false">IF(AND(A1834="",B1834="",C1834=""),"",IF(NOT(ISNUMBER(A1834)),"Enter the date done",IF(OR(B1834="",C1834=""),"Fill in asset and task",IF(SUMPRODUCT(('PM Plan'!$A$5:$A$304=B1834)*('PM Plan'!$B$5:$B$304=C1834))=0,"No matching asset + task in plan","OK"))))</f>
        <v/>
      </c>
    </row>
    <row r="1835" customFormat="false" ht="15" hidden="false" customHeight="false" outlineLevel="0" collapsed="false">
      <c r="A1835" s="14"/>
      <c r="B1835" s="9"/>
      <c r="C1835" s="9"/>
      <c r="D1835" s="9"/>
      <c r="E1835" s="9"/>
      <c r="F1835" s="17" t="str">
        <f aca="false">IF(AND(A1835="",B1835="",C1835=""),"",IF(NOT(ISNUMBER(A1835)),"Enter the date done",IF(OR(B1835="",C1835=""),"Fill in asset and task",IF(SUMPRODUCT(('PM Plan'!$A$5:$A$304=B1835)*('PM Plan'!$B$5:$B$304=C1835))=0,"No matching asset + task in plan","OK"))))</f>
        <v/>
      </c>
    </row>
    <row r="1836" customFormat="false" ht="15" hidden="false" customHeight="false" outlineLevel="0" collapsed="false">
      <c r="A1836" s="14"/>
      <c r="B1836" s="9"/>
      <c r="C1836" s="9"/>
      <c r="D1836" s="9"/>
      <c r="E1836" s="9"/>
      <c r="F1836" s="17" t="str">
        <f aca="false">IF(AND(A1836="",B1836="",C1836=""),"",IF(NOT(ISNUMBER(A1836)),"Enter the date done",IF(OR(B1836="",C1836=""),"Fill in asset and task",IF(SUMPRODUCT(('PM Plan'!$A$5:$A$304=B1836)*('PM Plan'!$B$5:$B$304=C1836))=0,"No matching asset + task in plan","OK"))))</f>
        <v/>
      </c>
    </row>
    <row r="1837" customFormat="false" ht="15" hidden="false" customHeight="false" outlineLevel="0" collapsed="false">
      <c r="A1837" s="14"/>
      <c r="B1837" s="9"/>
      <c r="C1837" s="9"/>
      <c r="D1837" s="9"/>
      <c r="E1837" s="9"/>
      <c r="F1837" s="17" t="str">
        <f aca="false">IF(AND(A1837="",B1837="",C1837=""),"",IF(NOT(ISNUMBER(A1837)),"Enter the date done",IF(OR(B1837="",C1837=""),"Fill in asset and task",IF(SUMPRODUCT(('PM Plan'!$A$5:$A$304=B1837)*('PM Plan'!$B$5:$B$304=C1837))=0,"No matching asset + task in plan","OK"))))</f>
        <v/>
      </c>
    </row>
    <row r="1838" customFormat="false" ht="15" hidden="false" customHeight="false" outlineLevel="0" collapsed="false">
      <c r="A1838" s="14"/>
      <c r="B1838" s="9"/>
      <c r="C1838" s="9"/>
      <c r="D1838" s="9"/>
      <c r="E1838" s="9"/>
      <c r="F1838" s="17" t="str">
        <f aca="false">IF(AND(A1838="",B1838="",C1838=""),"",IF(NOT(ISNUMBER(A1838)),"Enter the date done",IF(OR(B1838="",C1838=""),"Fill in asset and task",IF(SUMPRODUCT(('PM Plan'!$A$5:$A$304=B1838)*('PM Plan'!$B$5:$B$304=C1838))=0,"No matching asset + task in plan","OK"))))</f>
        <v/>
      </c>
    </row>
    <row r="1839" customFormat="false" ht="15" hidden="false" customHeight="false" outlineLevel="0" collapsed="false">
      <c r="A1839" s="14"/>
      <c r="B1839" s="9"/>
      <c r="C1839" s="9"/>
      <c r="D1839" s="9"/>
      <c r="E1839" s="9"/>
      <c r="F1839" s="17" t="str">
        <f aca="false">IF(AND(A1839="",B1839="",C1839=""),"",IF(NOT(ISNUMBER(A1839)),"Enter the date done",IF(OR(B1839="",C1839=""),"Fill in asset and task",IF(SUMPRODUCT(('PM Plan'!$A$5:$A$304=B1839)*('PM Plan'!$B$5:$B$304=C1839))=0,"No matching asset + task in plan","OK"))))</f>
        <v/>
      </c>
    </row>
    <row r="1840" customFormat="false" ht="15" hidden="false" customHeight="false" outlineLevel="0" collapsed="false">
      <c r="A1840" s="14"/>
      <c r="B1840" s="9"/>
      <c r="C1840" s="9"/>
      <c r="D1840" s="9"/>
      <c r="E1840" s="9"/>
      <c r="F1840" s="17" t="str">
        <f aca="false">IF(AND(A1840="",B1840="",C1840=""),"",IF(NOT(ISNUMBER(A1840)),"Enter the date done",IF(OR(B1840="",C1840=""),"Fill in asset and task",IF(SUMPRODUCT(('PM Plan'!$A$5:$A$304=B1840)*('PM Plan'!$B$5:$B$304=C1840))=0,"No matching asset + task in plan","OK"))))</f>
        <v/>
      </c>
    </row>
    <row r="1841" customFormat="false" ht="15" hidden="false" customHeight="false" outlineLevel="0" collapsed="false">
      <c r="A1841" s="14"/>
      <c r="B1841" s="9"/>
      <c r="C1841" s="9"/>
      <c r="D1841" s="9"/>
      <c r="E1841" s="9"/>
      <c r="F1841" s="17" t="str">
        <f aca="false">IF(AND(A1841="",B1841="",C1841=""),"",IF(NOT(ISNUMBER(A1841)),"Enter the date done",IF(OR(B1841="",C1841=""),"Fill in asset and task",IF(SUMPRODUCT(('PM Plan'!$A$5:$A$304=B1841)*('PM Plan'!$B$5:$B$304=C1841))=0,"No matching asset + task in plan","OK"))))</f>
        <v/>
      </c>
    </row>
    <row r="1842" customFormat="false" ht="15" hidden="false" customHeight="false" outlineLevel="0" collapsed="false">
      <c r="A1842" s="14"/>
      <c r="B1842" s="9"/>
      <c r="C1842" s="9"/>
      <c r="D1842" s="9"/>
      <c r="E1842" s="9"/>
      <c r="F1842" s="17" t="str">
        <f aca="false">IF(AND(A1842="",B1842="",C1842=""),"",IF(NOT(ISNUMBER(A1842)),"Enter the date done",IF(OR(B1842="",C1842=""),"Fill in asset and task",IF(SUMPRODUCT(('PM Plan'!$A$5:$A$304=B1842)*('PM Plan'!$B$5:$B$304=C1842))=0,"No matching asset + task in plan","OK"))))</f>
        <v/>
      </c>
    </row>
    <row r="1843" customFormat="false" ht="15" hidden="false" customHeight="false" outlineLevel="0" collapsed="false">
      <c r="A1843" s="14"/>
      <c r="B1843" s="9"/>
      <c r="C1843" s="9"/>
      <c r="D1843" s="9"/>
      <c r="E1843" s="9"/>
      <c r="F1843" s="17" t="str">
        <f aca="false">IF(AND(A1843="",B1843="",C1843=""),"",IF(NOT(ISNUMBER(A1843)),"Enter the date done",IF(OR(B1843="",C1843=""),"Fill in asset and task",IF(SUMPRODUCT(('PM Plan'!$A$5:$A$304=B1843)*('PM Plan'!$B$5:$B$304=C1843))=0,"No matching asset + task in plan","OK"))))</f>
        <v/>
      </c>
    </row>
    <row r="1844" customFormat="false" ht="15" hidden="false" customHeight="false" outlineLevel="0" collapsed="false">
      <c r="A1844" s="14"/>
      <c r="B1844" s="9"/>
      <c r="C1844" s="9"/>
      <c r="D1844" s="9"/>
      <c r="E1844" s="9"/>
      <c r="F1844" s="17" t="str">
        <f aca="false">IF(AND(A1844="",B1844="",C1844=""),"",IF(NOT(ISNUMBER(A1844)),"Enter the date done",IF(OR(B1844="",C1844=""),"Fill in asset and task",IF(SUMPRODUCT(('PM Plan'!$A$5:$A$304=B1844)*('PM Plan'!$B$5:$B$304=C1844))=0,"No matching asset + task in plan","OK"))))</f>
        <v/>
      </c>
    </row>
    <row r="1845" customFormat="false" ht="15" hidden="false" customHeight="false" outlineLevel="0" collapsed="false">
      <c r="A1845" s="14"/>
      <c r="B1845" s="9"/>
      <c r="C1845" s="9"/>
      <c r="D1845" s="9"/>
      <c r="E1845" s="9"/>
      <c r="F1845" s="17" t="str">
        <f aca="false">IF(AND(A1845="",B1845="",C1845=""),"",IF(NOT(ISNUMBER(A1845)),"Enter the date done",IF(OR(B1845="",C1845=""),"Fill in asset and task",IF(SUMPRODUCT(('PM Plan'!$A$5:$A$304=B1845)*('PM Plan'!$B$5:$B$304=C1845))=0,"No matching asset + task in plan","OK"))))</f>
        <v/>
      </c>
    </row>
    <row r="1846" customFormat="false" ht="15" hidden="false" customHeight="false" outlineLevel="0" collapsed="false">
      <c r="A1846" s="14"/>
      <c r="B1846" s="9"/>
      <c r="C1846" s="9"/>
      <c r="D1846" s="9"/>
      <c r="E1846" s="9"/>
      <c r="F1846" s="17" t="str">
        <f aca="false">IF(AND(A1846="",B1846="",C1846=""),"",IF(NOT(ISNUMBER(A1846)),"Enter the date done",IF(OR(B1846="",C1846=""),"Fill in asset and task",IF(SUMPRODUCT(('PM Plan'!$A$5:$A$304=B1846)*('PM Plan'!$B$5:$B$304=C1846))=0,"No matching asset + task in plan","OK"))))</f>
        <v/>
      </c>
    </row>
    <row r="1847" customFormat="false" ht="15" hidden="false" customHeight="false" outlineLevel="0" collapsed="false">
      <c r="A1847" s="14"/>
      <c r="B1847" s="9"/>
      <c r="C1847" s="9"/>
      <c r="D1847" s="9"/>
      <c r="E1847" s="9"/>
      <c r="F1847" s="17" t="str">
        <f aca="false">IF(AND(A1847="",B1847="",C1847=""),"",IF(NOT(ISNUMBER(A1847)),"Enter the date done",IF(OR(B1847="",C1847=""),"Fill in asset and task",IF(SUMPRODUCT(('PM Plan'!$A$5:$A$304=B1847)*('PM Plan'!$B$5:$B$304=C1847))=0,"No matching asset + task in plan","OK"))))</f>
        <v/>
      </c>
    </row>
    <row r="1848" customFormat="false" ht="15" hidden="false" customHeight="false" outlineLevel="0" collapsed="false">
      <c r="A1848" s="14"/>
      <c r="B1848" s="9"/>
      <c r="C1848" s="9"/>
      <c r="D1848" s="9"/>
      <c r="E1848" s="9"/>
      <c r="F1848" s="17" t="str">
        <f aca="false">IF(AND(A1848="",B1848="",C1848=""),"",IF(NOT(ISNUMBER(A1848)),"Enter the date done",IF(OR(B1848="",C1848=""),"Fill in asset and task",IF(SUMPRODUCT(('PM Plan'!$A$5:$A$304=B1848)*('PM Plan'!$B$5:$B$304=C1848))=0,"No matching asset + task in plan","OK"))))</f>
        <v/>
      </c>
    </row>
    <row r="1849" customFormat="false" ht="15" hidden="false" customHeight="false" outlineLevel="0" collapsed="false">
      <c r="A1849" s="14"/>
      <c r="B1849" s="9"/>
      <c r="C1849" s="9"/>
      <c r="D1849" s="9"/>
      <c r="E1849" s="9"/>
      <c r="F1849" s="17" t="str">
        <f aca="false">IF(AND(A1849="",B1849="",C1849=""),"",IF(NOT(ISNUMBER(A1849)),"Enter the date done",IF(OR(B1849="",C1849=""),"Fill in asset and task",IF(SUMPRODUCT(('PM Plan'!$A$5:$A$304=B1849)*('PM Plan'!$B$5:$B$304=C1849))=0,"No matching asset + task in plan","OK"))))</f>
        <v/>
      </c>
    </row>
    <row r="1850" customFormat="false" ht="15" hidden="false" customHeight="false" outlineLevel="0" collapsed="false">
      <c r="A1850" s="14"/>
      <c r="B1850" s="9"/>
      <c r="C1850" s="9"/>
      <c r="D1850" s="9"/>
      <c r="E1850" s="9"/>
      <c r="F1850" s="17" t="str">
        <f aca="false">IF(AND(A1850="",B1850="",C1850=""),"",IF(NOT(ISNUMBER(A1850)),"Enter the date done",IF(OR(B1850="",C1850=""),"Fill in asset and task",IF(SUMPRODUCT(('PM Plan'!$A$5:$A$304=B1850)*('PM Plan'!$B$5:$B$304=C1850))=0,"No matching asset + task in plan","OK"))))</f>
        <v/>
      </c>
    </row>
    <row r="1851" customFormat="false" ht="15" hidden="false" customHeight="false" outlineLevel="0" collapsed="false">
      <c r="A1851" s="14"/>
      <c r="B1851" s="9"/>
      <c r="C1851" s="9"/>
      <c r="D1851" s="9"/>
      <c r="E1851" s="9"/>
      <c r="F1851" s="17" t="str">
        <f aca="false">IF(AND(A1851="",B1851="",C1851=""),"",IF(NOT(ISNUMBER(A1851)),"Enter the date done",IF(OR(B1851="",C1851=""),"Fill in asset and task",IF(SUMPRODUCT(('PM Plan'!$A$5:$A$304=B1851)*('PM Plan'!$B$5:$B$304=C1851))=0,"No matching asset + task in plan","OK"))))</f>
        <v/>
      </c>
    </row>
    <row r="1852" customFormat="false" ht="15" hidden="false" customHeight="false" outlineLevel="0" collapsed="false">
      <c r="A1852" s="14"/>
      <c r="B1852" s="9"/>
      <c r="C1852" s="9"/>
      <c r="D1852" s="9"/>
      <c r="E1852" s="9"/>
      <c r="F1852" s="17" t="str">
        <f aca="false">IF(AND(A1852="",B1852="",C1852=""),"",IF(NOT(ISNUMBER(A1852)),"Enter the date done",IF(OR(B1852="",C1852=""),"Fill in asset and task",IF(SUMPRODUCT(('PM Plan'!$A$5:$A$304=B1852)*('PM Plan'!$B$5:$B$304=C1852))=0,"No matching asset + task in plan","OK"))))</f>
        <v/>
      </c>
    </row>
    <row r="1853" customFormat="false" ht="15" hidden="false" customHeight="false" outlineLevel="0" collapsed="false">
      <c r="A1853" s="14"/>
      <c r="B1853" s="9"/>
      <c r="C1853" s="9"/>
      <c r="D1853" s="9"/>
      <c r="E1853" s="9"/>
      <c r="F1853" s="17" t="str">
        <f aca="false">IF(AND(A1853="",B1853="",C1853=""),"",IF(NOT(ISNUMBER(A1853)),"Enter the date done",IF(OR(B1853="",C1853=""),"Fill in asset and task",IF(SUMPRODUCT(('PM Plan'!$A$5:$A$304=B1853)*('PM Plan'!$B$5:$B$304=C1853))=0,"No matching asset + task in plan","OK"))))</f>
        <v/>
      </c>
    </row>
    <row r="1854" customFormat="false" ht="15" hidden="false" customHeight="false" outlineLevel="0" collapsed="false">
      <c r="A1854" s="14"/>
      <c r="B1854" s="9"/>
      <c r="C1854" s="9"/>
      <c r="D1854" s="9"/>
      <c r="E1854" s="9"/>
      <c r="F1854" s="17" t="str">
        <f aca="false">IF(AND(A1854="",B1854="",C1854=""),"",IF(NOT(ISNUMBER(A1854)),"Enter the date done",IF(OR(B1854="",C1854=""),"Fill in asset and task",IF(SUMPRODUCT(('PM Plan'!$A$5:$A$304=B1854)*('PM Plan'!$B$5:$B$304=C1854))=0,"No matching asset + task in plan","OK"))))</f>
        <v/>
      </c>
    </row>
    <row r="1855" customFormat="false" ht="15" hidden="false" customHeight="false" outlineLevel="0" collapsed="false">
      <c r="A1855" s="14"/>
      <c r="B1855" s="9"/>
      <c r="C1855" s="9"/>
      <c r="D1855" s="9"/>
      <c r="E1855" s="9"/>
      <c r="F1855" s="17" t="str">
        <f aca="false">IF(AND(A1855="",B1855="",C1855=""),"",IF(NOT(ISNUMBER(A1855)),"Enter the date done",IF(OR(B1855="",C1855=""),"Fill in asset and task",IF(SUMPRODUCT(('PM Plan'!$A$5:$A$304=B1855)*('PM Plan'!$B$5:$B$304=C1855))=0,"No matching asset + task in plan","OK"))))</f>
        <v/>
      </c>
    </row>
    <row r="1856" customFormat="false" ht="15" hidden="false" customHeight="false" outlineLevel="0" collapsed="false">
      <c r="A1856" s="14"/>
      <c r="B1856" s="9"/>
      <c r="C1856" s="9"/>
      <c r="D1856" s="9"/>
      <c r="E1856" s="9"/>
      <c r="F1856" s="17" t="str">
        <f aca="false">IF(AND(A1856="",B1856="",C1856=""),"",IF(NOT(ISNUMBER(A1856)),"Enter the date done",IF(OR(B1856="",C1856=""),"Fill in asset and task",IF(SUMPRODUCT(('PM Plan'!$A$5:$A$304=B1856)*('PM Plan'!$B$5:$B$304=C1856))=0,"No matching asset + task in plan","OK"))))</f>
        <v/>
      </c>
    </row>
    <row r="1857" customFormat="false" ht="15" hidden="false" customHeight="false" outlineLevel="0" collapsed="false">
      <c r="A1857" s="14"/>
      <c r="B1857" s="9"/>
      <c r="C1857" s="9"/>
      <c r="D1857" s="9"/>
      <c r="E1857" s="9"/>
      <c r="F1857" s="17" t="str">
        <f aca="false">IF(AND(A1857="",B1857="",C1857=""),"",IF(NOT(ISNUMBER(A1857)),"Enter the date done",IF(OR(B1857="",C1857=""),"Fill in asset and task",IF(SUMPRODUCT(('PM Plan'!$A$5:$A$304=B1857)*('PM Plan'!$B$5:$B$304=C1857))=0,"No matching asset + task in plan","OK"))))</f>
        <v/>
      </c>
    </row>
    <row r="1858" customFormat="false" ht="15" hidden="false" customHeight="false" outlineLevel="0" collapsed="false">
      <c r="A1858" s="14"/>
      <c r="B1858" s="9"/>
      <c r="C1858" s="9"/>
      <c r="D1858" s="9"/>
      <c r="E1858" s="9"/>
      <c r="F1858" s="17" t="str">
        <f aca="false">IF(AND(A1858="",B1858="",C1858=""),"",IF(NOT(ISNUMBER(A1858)),"Enter the date done",IF(OR(B1858="",C1858=""),"Fill in asset and task",IF(SUMPRODUCT(('PM Plan'!$A$5:$A$304=B1858)*('PM Plan'!$B$5:$B$304=C1858))=0,"No matching asset + task in plan","OK"))))</f>
        <v/>
      </c>
    </row>
    <row r="1859" customFormat="false" ht="15" hidden="false" customHeight="false" outlineLevel="0" collapsed="false">
      <c r="A1859" s="14"/>
      <c r="B1859" s="9"/>
      <c r="C1859" s="9"/>
      <c r="D1859" s="9"/>
      <c r="E1859" s="9"/>
      <c r="F1859" s="17" t="str">
        <f aca="false">IF(AND(A1859="",B1859="",C1859=""),"",IF(NOT(ISNUMBER(A1859)),"Enter the date done",IF(OR(B1859="",C1859=""),"Fill in asset and task",IF(SUMPRODUCT(('PM Plan'!$A$5:$A$304=B1859)*('PM Plan'!$B$5:$B$304=C1859))=0,"No matching asset + task in plan","OK"))))</f>
        <v/>
      </c>
    </row>
    <row r="1860" customFormat="false" ht="15" hidden="false" customHeight="false" outlineLevel="0" collapsed="false">
      <c r="A1860" s="14"/>
      <c r="B1860" s="9"/>
      <c r="C1860" s="9"/>
      <c r="D1860" s="9"/>
      <c r="E1860" s="9"/>
      <c r="F1860" s="17" t="str">
        <f aca="false">IF(AND(A1860="",B1860="",C1860=""),"",IF(NOT(ISNUMBER(A1860)),"Enter the date done",IF(OR(B1860="",C1860=""),"Fill in asset and task",IF(SUMPRODUCT(('PM Plan'!$A$5:$A$304=B1860)*('PM Plan'!$B$5:$B$304=C1860))=0,"No matching asset + task in plan","OK"))))</f>
        <v/>
      </c>
    </row>
    <row r="1861" customFormat="false" ht="15" hidden="false" customHeight="false" outlineLevel="0" collapsed="false">
      <c r="A1861" s="14"/>
      <c r="B1861" s="9"/>
      <c r="C1861" s="9"/>
      <c r="D1861" s="9"/>
      <c r="E1861" s="9"/>
      <c r="F1861" s="17" t="str">
        <f aca="false">IF(AND(A1861="",B1861="",C1861=""),"",IF(NOT(ISNUMBER(A1861)),"Enter the date done",IF(OR(B1861="",C1861=""),"Fill in asset and task",IF(SUMPRODUCT(('PM Plan'!$A$5:$A$304=B1861)*('PM Plan'!$B$5:$B$304=C1861))=0,"No matching asset + task in plan","OK"))))</f>
        <v/>
      </c>
    </row>
    <row r="1862" customFormat="false" ht="15" hidden="false" customHeight="false" outlineLevel="0" collapsed="false">
      <c r="A1862" s="14"/>
      <c r="B1862" s="9"/>
      <c r="C1862" s="9"/>
      <c r="D1862" s="9"/>
      <c r="E1862" s="9"/>
      <c r="F1862" s="17" t="str">
        <f aca="false">IF(AND(A1862="",B1862="",C1862=""),"",IF(NOT(ISNUMBER(A1862)),"Enter the date done",IF(OR(B1862="",C1862=""),"Fill in asset and task",IF(SUMPRODUCT(('PM Plan'!$A$5:$A$304=B1862)*('PM Plan'!$B$5:$B$304=C1862))=0,"No matching asset + task in plan","OK"))))</f>
        <v/>
      </c>
    </row>
    <row r="1863" customFormat="false" ht="15" hidden="false" customHeight="false" outlineLevel="0" collapsed="false">
      <c r="A1863" s="14"/>
      <c r="B1863" s="9"/>
      <c r="C1863" s="9"/>
      <c r="D1863" s="9"/>
      <c r="E1863" s="9"/>
      <c r="F1863" s="17" t="str">
        <f aca="false">IF(AND(A1863="",B1863="",C1863=""),"",IF(NOT(ISNUMBER(A1863)),"Enter the date done",IF(OR(B1863="",C1863=""),"Fill in asset and task",IF(SUMPRODUCT(('PM Plan'!$A$5:$A$304=B1863)*('PM Plan'!$B$5:$B$304=C1863))=0,"No matching asset + task in plan","OK"))))</f>
        <v/>
      </c>
    </row>
    <row r="1864" customFormat="false" ht="15" hidden="false" customHeight="false" outlineLevel="0" collapsed="false">
      <c r="A1864" s="14"/>
      <c r="B1864" s="9"/>
      <c r="C1864" s="9"/>
      <c r="D1864" s="9"/>
      <c r="E1864" s="9"/>
      <c r="F1864" s="17" t="str">
        <f aca="false">IF(AND(A1864="",B1864="",C1864=""),"",IF(NOT(ISNUMBER(A1864)),"Enter the date done",IF(OR(B1864="",C1864=""),"Fill in asset and task",IF(SUMPRODUCT(('PM Plan'!$A$5:$A$304=B1864)*('PM Plan'!$B$5:$B$304=C1864))=0,"No matching asset + task in plan","OK"))))</f>
        <v/>
      </c>
    </row>
    <row r="1865" customFormat="false" ht="15" hidden="false" customHeight="false" outlineLevel="0" collapsed="false">
      <c r="A1865" s="14"/>
      <c r="B1865" s="9"/>
      <c r="C1865" s="9"/>
      <c r="D1865" s="9"/>
      <c r="E1865" s="9"/>
      <c r="F1865" s="17" t="str">
        <f aca="false">IF(AND(A1865="",B1865="",C1865=""),"",IF(NOT(ISNUMBER(A1865)),"Enter the date done",IF(OR(B1865="",C1865=""),"Fill in asset and task",IF(SUMPRODUCT(('PM Plan'!$A$5:$A$304=B1865)*('PM Plan'!$B$5:$B$304=C1865))=0,"No matching asset + task in plan","OK"))))</f>
        <v/>
      </c>
    </row>
    <row r="1866" customFormat="false" ht="15" hidden="false" customHeight="false" outlineLevel="0" collapsed="false">
      <c r="A1866" s="14"/>
      <c r="B1866" s="9"/>
      <c r="C1866" s="9"/>
      <c r="D1866" s="9"/>
      <c r="E1866" s="9"/>
      <c r="F1866" s="17" t="str">
        <f aca="false">IF(AND(A1866="",B1866="",C1866=""),"",IF(NOT(ISNUMBER(A1866)),"Enter the date done",IF(OR(B1866="",C1866=""),"Fill in asset and task",IF(SUMPRODUCT(('PM Plan'!$A$5:$A$304=B1866)*('PM Plan'!$B$5:$B$304=C1866))=0,"No matching asset + task in plan","OK"))))</f>
        <v/>
      </c>
    </row>
    <row r="1867" customFormat="false" ht="15" hidden="false" customHeight="false" outlineLevel="0" collapsed="false">
      <c r="A1867" s="14"/>
      <c r="B1867" s="9"/>
      <c r="C1867" s="9"/>
      <c r="D1867" s="9"/>
      <c r="E1867" s="9"/>
      <c r="F1867" s="17" t="str">
        <f aca="false">IF(AND(A1867="",B1867="",C1867=""),"",IF(NOT(ISNUMBER(A1867)),"Enter the date done",IF(OR(B1867="",C1867=""),"Fill in asset and task",IF(SUMPRODUCT(('PM Plan'!$A$5:$A$304=B1867)*('PM Plan'!$B$5:$B$304=C1867))=0,"No matching asset + task in plan","OK"))))</f>
        <v/>
      </c>
    </row>
    <row r="1868" customFormat="false" ht="15" hidden="false" customHeight="false" outlineLevel="0" collapsed="false">
      <c r="A1868" s="14"/>
      <c r="B1868" s="9"/>
      <c r="C1868" s="9"/>
      <c r="D1868" s="9"/>
      <c r="E1868" s="9"/>
      <c r="F1868" s="17" t="str">
        <f aca="false">IF(AND(A1868="",B1868="",C1868=""),"",IF(NOT(ISNUMBER(A1868)),"Enter the date done",IF(OR(B1868="",C1868=""),"Fill in asset and task",IF(SUMPRODUCT(('PM Plan'!$A$5:$A$304=B1868)*('PM Plan'!$B$5:$B$304=C1868))=0,"No matching asset + task in plan","OK"))))</f>
        <v/>
      </c>
    </row>
    <row r="1869" customFormat="false" ht="15" hidden="false" customHeight="false" outlineLevel="0" collapsed="false">
      <c r="A1869" s="14"/>
      <c r="B1869" s="9"/>
      <c r="C1869" s="9"/>
      <c r="D1869" s="9"/>
      <c r="E1869" s="9"/>
      <c r="F1869" s="17" t="str">
        <f aca="false">IF(AND(A1869="",B1869="",C1869=""),"",IF(NOT(ISNUMBER(A1869)),"Enter the date done",IF(OR(B1869="",C1869=""),"Fill in asset and task",IF(SUMPRODUCT(('PM Plan'!$A$5:$A$304=B1869)*('PM Plan'!$B$5:$B$304=C1869))=0,"No matching asset + task in plan","OK"))))</f>
        <v/>
      </c>
    </row>
    <row r="1870" customFormat="false" ht="15" hidden="false" customHeight="false" outlineLevel="0" collapsed="false">
      <c r="A1870" s="14"/>
      <c r="B1870" s="9"/>
      <c r="C1870" s="9"/>
      <c r="D1870" s="9"/>
      <c r="E1870" s="9"/>
      <c r="F1870" s="17" t="str">
        <f aca="false">IF(AND(A1870="",B1870="",C1870=""),"",IF(NOT(ISNUMBER(A1870)),"Enter the date done",IF(OR(B1870="",C1870=""),"Fill in asset and task",IF(SUMPRODUCT(('PM Plan'!$A$5:$A$304=B1870)*('PM Plan'!$B$5:$B$304=C1870))=0,"No matching asset + task in plan","OK"))))</f>
        <v/>
      </c>
    </row>
    <row r="1871" customFormat="false" ht="15" hidden="false" customHeight="false" outlineLevel="0" collapsed="false">
      <c r="A1871" s="14"/>
      <c r="B1871" s="9"/>
      <c r="C1871" s="9"/>
      <c r="D1871" s="9"/>
      <c r="E1871" s="9"/>
      <c r="F1871" s="17" t="str">
        <f aca="false">IF(AND(A1871="",B1871="",C1871=""),"",IF(NOT(ISNUMBER(A1871)),"Enter the date done",IF(OR(B1871="",C1871=""),"Fill in asset and task",IF(SUMPRODUCT(('PM Plan'!$A$5:$A$304=B1871)*('PM Plan'!$B$5:$B$304=C1871))=0,"No matching asset + task in plan","OK"))))</f>
        <v/>
      </c>
    </row>
    <row r="1872" customFormat="false" ht="15" hidden="false" customHeight="false" outlineLevel="0" collapsed="false">
      <c r="A1872" s="14"/>
      <c r="B1872" s="9"/>
      <c r="C1872" s="9"/>
      <c r="D1872" s="9"/>
      <c r="E1872" s="9"/>
      <c r="F1872" s="17" t="str">
        <f aca="false">IF(AND(A1872="",B1872="",C1872=""),"",IF(NOT(ISNUMBER(A1872)),"Enter the date done",IF(OR(B1872="",C1872=""),"Fill in asset and task",IF(SUMPRODUCT(('PM Plan'!$A$5:$A$304=B1872)*('PM Plan'!$B$5:$B$304=C1872))=0,"No matching asset + task in plan","OK"))))</f>
        <v/>
      </c>
    </row>
    <row r="1873" customFormat="false" ht="15" hidden="false" customHeight="false" outlineLevel="0" collapsed="false">
      <c r="A1873" s="14"/>
      <c r="B1873" s="9"/>
      <c r="C1873" s="9"/>
      <c r="D1873" s="9"/>
      <c r="E1873" s="9"/>
      <c r="F1873" s="17" t="str">
        <f aca="false">IF(AND(A1873="",B1873="",C1873=""),"",IF(NOT(ISNUMBER(A1873)),"Enter the date done",IF(OR(B1873="",C1873=""),"Fill in asset and task",IF(SUMPRODUCT(('PM Plan'!$A$5:$A$304=B1873)*('PM Plan'!$B$5:$B$304=C1873))=0,"No matching asset + task in plan","OK"))))</f>
        <v/>
      </c>
    </row>
    <row r="1874" customFormat="false" ht="15" hidden="false" customHeight="false" outlineLevel="0" collapsed="false">
      <c r="A1874" s="14"/>
      <c r="B1874" s="9"/>
      <c r="C1874" s="9"/>
      <c r="D1874" s="9"/>
      <c r="E1874" s="9"/>
      <c r="F1874" s="17" t="str">
        <f aca="false">IF(AND(A1874="",B1874="",C1874=""),"",IF(NOT(ISNUMBER(A1874)),"Enter the date done",IF(OR(B1874="",C1874=""),"Fill in asset and task",IF(SUMPRODUCT(('PM Plan'!$A$5:$A$304=B1874)*('PM Plan'!$B$5:$B$304=C1874))=0,"No matching asset + task in plan","OK"))))</f>
        <v/>
      </c>
    </row>
    <row r="1875" customFormat="false" ht="15" hidden="false" customHeight="false" outlineLevel="0" collapsed="false">
      <c r="A1875" s="14"/>
      <c r="B1875" s="9"/>
      <c r="C1875" s="9"/>
      <c r="D1875" s="9"/>
      <c r="E1875" s="9"/>
      <c r="F1875" s="17" t="str">
        <f aca="false">IF(AND(A1875="",B1875="",C1875=""),"",IF(NOT(ISNUMBER(A1875)),"Enter the date done",IF(OR(B1875="",C1875=""),"Fill in asset and task",IF(SUMPRODUCT(('PM Plan'!$A$5:$A$304=B1875)*('PM Plan'!$B$5:$B$304=C1875))=0,"No matching asset + task in plan","OK"))))</f>
        <v/>
      </c>
    </row>
    <row r="1876" customFormat="false" ht="15" hidden="false" customHeight="false" outlineLevel="0" collapsed="false">
      <c r="A1876" s="14"/>
      <c r="B1876" s="9"/>
      <c r="C1876" s="9"/>
      <c r="D1876" s="9"/>
      <c r="E1876" s="9"/>
      <c r="F1876" s="17" t="str">
        <f aca="false">IF(AND(A1876="",B1876="",C1876=""),"",IF(NOT(ISNUMBER(A1876)),"Enter the date done",IF(OR(B1876="",C1876=""),"Fill in asset and task",IF(SUMPRODUCT(('PM Plan'!$A$5:$A$304=B1876)*('PM Plan'!$B$5:$B$304=C1876))=0,"No matching asset + task in plan","OK"))))</f>
        <v/>
      </c>
    </row>
    <row r="1877" customFormat="false" ht="15" hidden="false" customHeight="false" outlineLevel="0" collapsed="false">
      <c r="A1877" s="14"/>
      <c r="B1877" s="9"/>
      <c r="C1877" s="9"/>
      <c r="D1877" s="9"/>
      <c r="E1877" s="9"/>
      <c r="F1877" s="17" t="str">
        <f aca="false">IF(AND(A1877="",B1877="",C1877=""),"",IF(NOT(ISNUMBER(A1877)),"Enter the date done",IF(OR(B1877="",C1877=""),"Fill in asset and task",IF(SUMPRODUCT(('PM Plan'!$A$5:$A$304=B1877)*('PM Plan'!$B$5:$B$304=C1877))=0,"No matching asset + task in plan","OK"))))</f>
        <v/>
      </c>
    </row>
    <row r="1878" customFormat="false" ht="15" hidden="false" customHeight="false" outlineLevel="0" collapsed="false">
      <c r="A1878" s="14"/>
      <c r="B1878" s="9"/>
      <c r="C1878" s="9"/>
      <c r="D1878" s="9"/>
      <c r="E1878" s="9"/>
      <c r="F1878" s="17" t="str">
        <f aca="false">IF(AND(A1878="",B1878="",C1878=""),"",IF(NOT(ISNUMBER(A1878)),"Enter the date done",IF(OR(B1878="",C1878=""),"Fill in asset and task",IF(SUMPRODUCT(('PM Plan'!$A$5:$A$304=B1878)*('PM Plan'!$B$5:$B$304=C1878))=0,"No matching asset + task in plan","OK"))))</f>
        <v/>
      </c>
    </row>
    <row r="1879" customFormat="false" ht="15" hidden="false" customHeight="false" outlineLevel="0" collapsed="false">
      <c r="A1879" s="14"/>
      <c r="B1879" s="9"/>
      <c r="C1879" s="9"/>
      <c r="D1879" s="9"/>
      <c r="E1879" s="9"/>
      <c r="F1879" s="17" t="str">
        <f aca="false">IF(AND(A1879="",B1879="",C1879=""),"",IF(NOT(ISNUMBER(A1879)),"Enter the date done",IF(OR(B1879="",C1879=""),"Fill in asset and task",IF(SUMPRODUCT(('PM Plan'!$A$5:$A$304=B1879)*('PM Plan'!$B$5:$B$304=C1879))=0,"No matching asset + task in plan","OK"))))</f>
        <v/>
      </c>
    </row>
    <row r="1880" customFormat="false" ht="15" hidden="false" customHeight="false" outlineLevel="0" collapsed="false">
      <c r="A1880" s="14"/>
      <c r="B1880" s="9"/>
      <c r="C1880" s="9"/>
      <c r="D1880" s="9"/>
      <c r="E1880" s="9"/>
      <c r="F1880" s="17" t="str">
        <f aca="false">IF(AND(A1880="",B1880="",C1880=""),"",IF(NOT(ISNUMBER(A1880)),"Enter the date done",IF(OR(B1880="",C1880=""),"Fill in asset and task",IF(SUMPRODUCT(('PM Plan'!$A$5:$A$304=B1880)*('PM Plan'!$B$5:$B$304=C1880))=0,"No matching asset + task in plan","OK"))))</f>
        <v/>
      </c>
    </row>
    <row r="1881" customFormat="false" ht="15" hidden="false" customHeight="false" outlineLevel="0" collapsed="false">
      <c r="A1881" s="14"/>
      <c r="B1881" s="9"/>
      <c r="C1881" s="9"/>
      <c r="D1881" s="9"/>
      <c r="E1881" s="9"/>
      <c r="F1881" s="17" t="str">
        <f aca="false">IF(AND(A1881="",B1881="",C1881=""),"",IF(NOT(ISNUMBER(A1881)),"Enter the date done",IF(OR(B1881="",C1881=""),"Fill in asset and task",IF(SUMPRODUCT(('PM Plan'!$A$5:$A$304=B1881)*('PM Plan'!$B$5:$B$304=C1881))=0,"No matching asset + task in plan","OK"))))</f>
        <v/>
      </c>
    </row>
    <row r="1882" customFormat="false" ht="15" hidden="false" customHeight="false" outlineLevel="0" collapsed="false">
      <c r="A1882" s="14"/>
      <c r="B1882" s="9"/>
      <c r="C1882" s="9"/>
      <c r="D1882" s="9"/>
      <c r="E1882" s="9"/>
      <c r="F1882" s="17" t="str">
        <f aca="false">IF(AND(A1882="",B1882="",C1882=""),"",IF(NOT(ISNUMBER(A1882)),"Enter the date done",IF(OR(B1882="",C1882=""),"Fill in asset and task",IF(SUMPRODUCT(('PM Plan'!$A$5:$A$304=B1882)*('PM Plan'!$B$5:$B$304=C1882))=0,"No matching asset + task in plan","OK"))))</f>
        <v/>
      </c>
    </row>
    <row r="1883" customFormat="false" ht="15" hidden="false" customHeight="false" outlineLevel="0" collapsed="false">
      <c r="A1883" s="14"/>
      <c r="B1883" s="9"/>
      <c r="C1883" s="9"/>
      <c r="D1883" s="9"/>
      <c r="E1883" s="9"/>
      <c r="F1883" s="17" t="str">
        <f aca="false">IF(AND(A1883="",B1883="",C1883=""),"",IF(NOT(ISNUMBER(A1883)),"Enter the date done",IF(OR(B1883="",C1883=""),"Fill in asset and task",IF(SUMPRODUCT(('PM Plan'!$A$5:$A$304=B1883)*('PM Plan'!$B$5:$B$304=C1883))=0,"No matching asset + task in plan","OK"))))</f>
        <v/>
      </c>
    </row>
    <row r="1884" customFormat="false" ht="15" hidden="false" customHeight="false" outlineLevel="0" collapsed="false">
      <c r="A1884" s="14"/>
      <c r="B1884" s="9"/>
      <c r="C1884" s="9"/>
      <c r="D1884" s="9"/>
      <c r="E1884" s="9"/>
      <c r="F1884" s="17" t="str">
        <f aca="false">IF(AND(A1884="",B1884="",C1884=""),"",IF(NOT(ISNUMBER(A1884)),"Enter the date done",IF(OR(B1884="",C1884=""),"Fill in asset and task",IF(SUMPRODUCT(('PM Plan'!$A$5:$A$304=B1884)*('PM Plan'!$B$5:$B$304=C1884))=0,"No matching asset + task in plan","OK"))))</f>
        <v/>
      </c>
    </row>
    <row r="1885" customFormat="false" ht="15" hidden="false" customHeight="false" outlineLevel="0" collapsed="false">
      <c r="A1885" s="14"/>
      <c r="B1885" s="9"/>
      <c r="C1885" s="9"/>
      <c r="D1885" s="9"/>
      <c r="E1885" s="9"/>
      <c r="F1885" s="17" t="str">
        <f aca="false">IF(AND(A1885="",B1885="",C1885=""),"",IF(NOT(ISNUMBER(A1885)),"Enter the date done",IF(OR(B1885="",C1885=""),"Fill in asset and task",IF(SUMPRODUCT(('PM Plan'!$A$5:$A$304=B1885)*('PM Plan'!$B$5:$B$304=C1885))=0,"No matching asset + task in plan","OK"))))</f>
        <v/>
      </c>
    </row>
    <row r="1886" customFormat="false" ht="15" hidden="false" customHeight="false" outlineLevel="0" collapsed="false">
      <c r="A1886" s="14"/>
      <c r="B1886" s="9"/>
      <c r="C1886" s="9"/>
      <c r="D1886" s="9"/>
      <c r="E1886" s="9"/>
      <c r="F1886" s="17" t="str">
        <f aca="false">IF(AND(A1886="",B1886="",C1886=""),"",IF(NOT(ISNUMBER(A1886)),"Enter the date done",IF(OR(B1886="",C1886=""),"Fill in asset and task",IF(SUMPRODUCT(('PM Plan'!$A$5:$A$304=B1886)*('PM Plan'!$B$5:$B$304=C1886))=0,"No matching asset + task in plan","OK"))))</f>
        <v/>
      </c>
    </row>
    <row r="1887" customFormat="false" ht="15" hidden="false" customHeight="false" outlineLevel="0" collapsed="false">
      <c r="A1887" s="14"/>
      <c r="B1887" s="9"/>
      <c r="C1887" s="9"/>
      <c r="D1887" s="9"/>
      <c r="E1887" s="9"/>
      <c r="F1887" s="17" t="str">
        <f aca="false">IF(AND(A1887="",B1887="",C1887=""),"",IF(NOT(ISNUMBER(A1887)),"Enter the date done",IF(OR(B1887="",C1887=""),"Fill in asset and task",IF(SUMPRODUCT(('PM Plan'!$A$5:$A$304=B1887)*('PM Plan'!$B$5:$B$304=C1887))=0,"No matching asset + task in plan","OK"))))</f>
        <v/>
      </c>
    </row>
    <row r="1888" customFormat="false" ht="15" hidden="false" customHeight="false" outlineLevel="0" collapsed="false">
      <c r="A1888" s="14"/>
      <c r="B1888" s="9"/>
      <c r="C1888" s="9"/>
      <c r="D1888" s="9"/>
      <c r="E1888" s="9"/>
      <c r="F1888" s="17" t="str">
        <f aca="false">IF(AND(A1888="",B1888="",C1888=""),"",IF(NOT(ISNUMBER(A1888)),"Enter the date done",IF(OR(B1888="",C1888=""),"Fill in asset and task",IF(SUMPRODUCT(('PM Plan'!$A$5:$A$304=B1888)*('PM Plan'!$B$5:$B$304=C1888))=0,"No matching asset + task in plan","OK"))))</f>
        <v/>
      </c>
    </row>
    <row r="1889" customFormat="false" ht="15" hidden="false" customHeight="false" outlineLevel="0" collapsed="false">
      <c r="A1889" s="14"/>
      <c r="B1889" s="9"/>
      <c r="C1889" s="9"/>
      <c r="D1889" s="9"/>
      <c r="E1889" s="9"/>
      <c r="F1889" s="17" t="str">
        <f aca="false">IF(AND(A1889="",B1889="",C1889=""),"",IF(NOT(ISNUMBER(A1889)),"Enter the date done",IF(OR(B1889="",C1889=""),"Fill in asset and task",IF(SUMPRODUCT(('PM Plan'!$A$5:$A$304=B1889)*('PM Plan'!$B$5:$B$304=C1889))=0,"No matching asset + task in plan","OK"))))</f>
        <v/>
      </c>
    </row>
    <row r="1890" customFormat="false" ht="15" hidden="false" customHeight="false" outlineLevel="0" collapsed="false">
      <c r="A1890" s="14"/>
      <c r="B1890" s="9"/>
      <c r="C1890" s="9"/>
      <c r="D1890" s="9"/>
      <c r="E1890" s="9"/>
      <c r="F1890" s="17" t="str">
        <f aca="false">IF(AND(A1890="",B1890="",C1890=""),"",IF(NOT(ISNUMBER(A1890)),"Enter the date done",IF(OR(B1890="",C1890=""),"Fill in asset and task",IF(SUMPRODUCT(('PM Plan'!$A$5:$A$304=B1890)*('PM Plan'!$B$5:$B$304=C1890))=0,"No matching asset + task in plan","OK"))))</f>
        <v/>
      </c>
    </row>
    <row r="1891" customFormat="false" ht="15" hidden="false" customHeight="false" outlineLevel="0" collapsed="false">
      <c r="A1891" s="14"/>
      <c r="B1891" s="9"/>
      <c r="C1891" s="9"/>
      <c r="D1891" s="9"/>
      <c r="E1891" s="9"/>
      <c r="F1891" s="17" t="str">
        <f aca="false">IF(AND(A1891="",B1891="",C1891=""),"",IF(NOT(ISNUMBER(A1891)),"Enter the date done",IF(OR(B1891="",C1891=""),"Fill in asset and task",IF(SUMPRODUCT(('PM Plan'!$A$5:$A$304=B1891)*('PM Plan'!$B$5:$B$304=C1891))=0,"No matching asset + task in plan","OK"))))</f>
        <v/>
      </c>
    </row>
    <row r="1892" customFormat="false" ht="15" hidden="false" customHeight="false" outlineLevel="0" collapsed="false">
      <c r="A1892" s="14"/>
      <c r="B1892" s="9"/>
      <c r="C1892" s="9"/>
      <c r="D1892" s="9"/>
      <c r="E1892" s="9"/>
      <c r="F1892" s="17" t="str">
        <f aca="false">IF(AND(A1892="",B1892="",C1892=""),"",IF(NOT(ISNUMBER(A1892)),"Enter the date done",IF(OR(B1892="",C1892=""),"Fill in asset and task",IF(SUMPRODUCT(('PM Plan'!$A$5:$A$304=B1892)*('PM Plan'!$B$5:$B$304=C1892))=0,"No matching asset + task in plan","OK"))))</f>
        <v/>
      </c>
    </row>
    <row r="1893" customFormat="false" ht="15" hidden="false" customHeight="false" outlineLevel="0" collapsed="false">
      <c r="A1893" s="14"/>
      <c r="B1893" s="9"/>
      <c r="C1893" s="9"/>
      <c r="D1893" s="9"/>
      <c r="E1893" s="9"/>
      <c r="F1893" s="17" t="str">
        <f aca="false">IF(AND(A1893="",B1893="",C1893=""),"",IF(NOT(ISNUMBER(A1893)),"Enter the date done",IF(OR(B1893="",C1893=""),"Fill in asset and task",IF(SUMPRODUCT(('PM Plan'!$A$5:$A$304=B1893)*('PM Plan'!$B$5:$B$304=C1893))=0,"No matching asset + task in plan","OK"))))</f>
        <v/>
      </c>
    </row>
    <row r="1894" customFormat="false" ht="15" hidden="false" customHeight="false" outlineLevel="0" collapsed="false">
      <c r="A1894" s="14"/>
      <c r="B1894" s="9"/>
      <c r="C1894" s="9"/>
      <c r="D1894" s="9"/>
      <c r="E1894" s="9"/>
      <c r="F1894" s="17" t="str">
        <f aca="false">IF(AND(A1894="",B1894="",C1894=""),"",IF(NOT(ISNUMBER(A1894)),"Enter the date done",IF(OR(B1894="",C1894=""),"Fill in asset and task",IF(SUMPRODUCT(('PM Plan'!$A$5:$A$304=B1894)*('PM Plan'!$B$5:$B$304=C1894))=0,"No matching asset + task in plan","OK"))))</f>
        <v/>
      </c>
    </row>
    <row r="1895" customFormat="false" ht="15" hidden="false" customHeight="false" outlineLevel="0" collapsed="false">
      <c r="A1895" s="14"/>
      <c r="B1895" s="9"/>
      <c r="C1895" s="9"/>
      <c r="D1895" s="9"/>
      <c r="E1895" s="9"/>
      <c r="F1895" s="17" t="str">
        <f aca="false">IF(AND(A1895="",B1895="",C1895=""),"",IF(NOT(ISNUMBER(A1895)),"Enter the date done",IF(OR(B1895="",C1895=""),"Fill in asset and task",IF(SUMPRODUCT(('PM Plan'!$A$5:$A$304=B1895)*('PM Plan'!$B$5:$B$304=C1895))=0,"No matching asset + task in plan","OK"))))</f>
        <v/>
      </c>
    </row>
    <row r="1896" customFormat="false" ht="15" hidden="false" customHeight="false" outlineLevel="0" collapsed="false">
      <c r="A1896" s="14"/>
      <c r="B1896" s="9"/>
      <c r="C1896" s="9"/>
      <c r="D1896" s="9"/>
      <c r="E1896" s="9"/>
      <c r="F1896" s="17" t="str">
        <f aca="false">IF(AND(A1896="",B1896="",C1896=""),"",IF(NOT(ISNUMBER(A1896)),"Enter the date done",IF(OR(B1896="",C1896=""),"Fill in asset and task",IF(SUMPRODUCT(('PM Plan'!$A$5:$A$304=B1896)*('PM Plan'!$B$5:$B$304=C1896))=0,"No matching asset + task in plan","OK"))))</f>
        <v/>
      </c>
    </row>
    <row r="1897" customFormat="false" ht="15" hidden="false" customHeight="false" outlineLevel="0" collapsed="false">
      <c r="A1897" s="14"/>
      <c r="B1897" s="9"/>
      <c r="C1897" s="9"/>
      <c r="D1897" s="9"/>
      <c r="E1897" s="9"/>
      <c r="F1897" s="17" t="str">
        <f aca="false">IF(AND(A1897="",B1897="",C1897=""),"",IF(NOT(ISNUMBER(A1897)),"Enter the date done",IF(OR(B1897="",C1897=""),"Fill in asset and task",IF(SUMPRODUCT(('PM Plan'!$A$5:$A$304=B1897)*('PM Plan'!$B$5:$B$304=C1897))=0,"No matching asset + task in plan","OK"))))</f>
        <v/>
      </c>
    </row>
    <row r="1898" customFormat="false" ht="15" hidden="false" customHeight="false" outlineLevel="0" collapsed="false">
      <c r="A1898" s="14"/>
      <c r="B1898" s="9"/>
      <c r="C1898" s="9"/>
      <c r="D1898" s="9"/>
      <c r="E1898" s="9"/>
      <c r="F1898" s="17" t="str">
        <f aca="false">IF(AND(A1898="",B1898="",C1898=""),"",IF(NOT(ISNUMBER(A1898)),"Enter the date done",IF(OR(B1898="",C1898=""),"Fill in asset and task",IF(SUMPRODUCT(('PM Plan'!$A$5:$A$304=B1898)*('PM Plan'!$B$5:$B$304=C1898))=0,"No matching asset + task in plan","OK"))))</f>
        <v/>
      </c>
    </row>
    <row r="1899" customFormat="false" ht="15" hidden="false" customHeight="false" outlineLevel="0" collapsed="false">
      <c r="A1899" s="14"/>
      <c r="B1899" s="9"/>
      <c r="C1899" s="9"/>
      <c r="D1899" s="9"/>
      <c r="E1899" s="9"/>
      <c r="F1899" s="17" t="str">
        <f aca="false">IF(AND(A1899="",B1899="",C1899=""),"",IF(NOT(ISNUMBER(A1899)),"Enter the date done",IF(OR(B1899="",C1899=""),"Fill in asset and task",IF(SUMPRODUCT(('PM Plan'!$A$5:$A$304=B1899)*('PM Plan'!$B$5:$B$304=C1899))=0,"No matching asset + task in plan","OK"))))</f>
        <v/>
      </c>
    </row>
    <row r="1900" customFormat="false" ht="15" hidden="false" customHeight="false" outlineLevel="0" collapsed="false">
      <c r="A1900" s="14"/>
      <c r="B1900" s="9"/>
      <c r="C1900" s="9"/>
      <c r="D1900" s="9"/>
      <c r="E1900" s="9"/>
      <c r="F1900" s="17" t="str">
        <f aca="false">IF(AND(A1900="",B1900="",C1900=""),"",IF(NOT(ISNUMBER(A1900)),"Enter the date done",IF(OR(B1900="",C1900=""),"Fill in asset and task",IF(SUMPRODUCT(('PM Plan'!$A$5:$A$304=B1900)*('PM Plan'!$B$5:$B$304=C1900))=0,"No matching asset + task in plan","OK"))))</f>
        <v/>
      </c>
    </row>
    <row r="1901" customFormat="false" ht="15" hidden="false" customHeight="false" outlineLevel="0" collapsed="false">
      <c r="A1901" s="14"/>
      <c r="B1901" s="9"/>
      <c r="C1901" s="9"/>
      <c r="D1901" s="9"/>
      <c r="E1901" s="9"/>
      <c r="F1901" s="17" t="str">
        <f aca="false">IF(AND(A1901="",B1901="",C1901=""),"",IF(NOT(ISNUMBER(A1901)),"Enter the date done",IF(OR(B1901="",C1901=""),"Fill in asset and task",IF(SUMPRODUCT(('PM Plan'!$A$5:$A$304=B1901)*('PM Plan'!$B$5:$B$304=C1901))=0,"No matching asset + task in plan","OK"))))</f>
        <v/>
      </c>
    </row>
    <row r="1902" customFormat="false" ht="15" hidden="false" customHeight="false" outlineLevel="0" collapsed="false">
      <c r="A1902" s="14"/>
      <c r="B1902" s="9"/>
      <c r="C1902" s="9"/>
      <c r="D1902" s="9"/>
      <c r="E1902" s="9"/>
      <c r="F1902" s="17" t="str">
        <f aca="false">IF(AND(A1902="",B1902="",C1902=""),"",IF(NOT(ISNUMBER(A1902)),"Enter the date done",IF(OR(B1902="",C1902=""),"Fill in asset and task",IF(SUMPRODUCT(('PM Plan'!$A$5:$A$304=B1902)*('PM Plan'!$B$5:$B$304=C1902))=0,"No matching asset + task in plan","OK"))))</f>
        <v/>
      </c>
    </row>
    <row r="1903" customFormat="false" ht="15" hidden="false" customHeight="false" outlineLevel="0" collapsed="false">
      <c r="A1903" s="14"/>
      <c r="B1903" s="9"/>
      <c r="C1903" s="9"/>
      <c r="D1903" s="9"/>
      <c r="E1903" s="9"/>
      <c r="F1903" s="17" t="str">
        <f aca="false">IF(AND(A1903="",B1903="",C1903=""),"",IF(NOT(ISNUMBER(A1903)),"Enter the date done",IF(OR(B1903="",C1903=""),"Fill in asset and task",IF(SUMPRODUCT(('PM Plan'!$A$5:$A$304=B1903)*('PM Plan'!$B$5:$B$304=C1903))=0,"No matching asset + task in plan","OK"))))</f>
        <v/>
      </c>
    </row>
    <row r="1904" customFormat="false" ht="15" hidden="false" customHeight="false" outlineLevel="0" collapsed="false">
      <c r="A1904" s="14"/>
      <c r="B1904" s="9"/>
      <c r="C1904" s="9"/>
      <c r="D1904" s="9"/>
      <c r="E1904" s="9"/>
      <c r="F1904" s="17" t="str">
        <f aca="false">IF(AND(A1904="",B1904="",C1904=""),"",IF(NOT(ISNUMBER(A1904)),"Enter the date done",IF(OR(B1904="",C1904=""),"Fill in asset and task",IF(SUMPRODUCT(('PM Plan'!$A$5:$A$304=B1904)*('PM Plan'!$B$5:$B$304=C1904))=0,"No matching asset + task in plan","OK"))))</f>
        <v/>
      </c>
    </row>
    <row r="1905" customFormat="false" ht="15" hidden="false" customHeight="false" outlineLevel="0" collapsed="false">
      <c r="A1905" s="14"/>
      <c r="B1905" s="9"/>
      <c r="C1905" s="9"/>
      <c r="D1905" s="9"/>
      <c r="E1905" s="9"/>
      <c r="F1905" s="17" t="str">
        <f aca="false">IF(AND(A1905="",B1905="",C1905=""),"",IF(NOT(ISNUMBER(A1905)),"Enter the date done",IF(OR(B1905="",C1905=""),"Fill in asset and task",IF(SUMPRODUCT(('PM Plan'!$A$5:$A$304=B1905)*('PM Plan'!$B$5:$B$304=C1905))=0,"No matching asset + task in plan","OK"))))</f>
        <v/>
      </c>
    </row>
    <row r="1906" customFormat="false" ht="15" hidden="false" customHeight="false" outlineLevel="0" collapsed="false">
      <c r="A1906" s="14"/>
      <c r="B1906" s="9"/>
      <c r="C1906" s="9"/>
      <c r="D1906" s="9"/>
      <c r="E1906" s="9"/>
      <c r="F1906" s="17" t="str">
        <f aca="false">IF(AND(A1906="",B1906="",C1906=""),"",IF(NOT(ISNUMBER(A1906)),"Enter the date done",IF(OR(B1906="",C1906=""),"Fill in asset and task",IF(SUMPRODUCT(('PM Plan'!$A$5:$A$304=B1906)*('PM Plan'!$B$5:$B$304=C1906))=0,"No matching asset + task in plan","OK"))))</f>
        <v/>
      </c>
    </row>
    <row r="1907" customFormat="false" ht="15" hidden="false" customHeight="false" outlineLevel="0" collapsed="false">
      <c r="A1907" s="14"/>
      <c r="B1907" s="9"/>
      <c r="C1907" s="9"/>
      <c r="D1907" s="9"/>
      <c r="E1907" s="9"/>
      <c r="F1907" s="17" t="str">
        <f aca="false">IF(AND(A1907="",B1907="",C1907=""),"",IF(NOT(ISNUMBER(A1907)),"Enter the date done",IF(OR(B1907="",C1907=""),"Fill in asset and task",IF(SUMPRODUCT(('PM Plan'!$A$5:$A$304=B1907)*('PM Plan'!$B$5:$B$304=C1907))=0,"No matching asset + task in plan","OK"))))</f>
        <v/>
      </c>
    </row>
    <row r="1908" customFormat="false" ht="15" hidden="false" customHeight="false" outlineLevel="0" collapsed="false">
      <c r="A1908" s="14"/>
      <c r="B1908" s="9"/>
      <c r="C1908" s="9"/>
      <c r="D1908" s="9"/>
      <c r="E1908" s="9"/>
      <c r="F1908" s="17" t="str">
        <f aca="false">IF(AND(A1908="",B1908="",C1908=""),"",IF(NOT(ISNUMBER(A1908)),"Enter the date done",IF(OR(B1908="",C1908=""),"Fill in asset and task",IF(SUMPRODUCT(('PM Plan'!$A$5:$A$304=B1908)*('PM Plan'!$B$5:$B$304=C1908))=0,"No matching asset + task in plan","OK"))))</f>
        <v/>
      </c>
    </row>
    <row r="1909" customFormat="false" ht="15" hidden="false" customHeight="false" outlineLevel="0" collapsed="false">
      <c r="A1909" s="14"/>
      <c r="B1909" s="9"/>
      <c r="C1909" s="9"/>
      <c r="D1909" s="9"/>
      <c r="E1909" s="9"/>
      <c r="F1909" s="17" t="str">
        <f aca="false">IF(AND(A1909="",B1909="",C1909=""),"",IF(NOT(ISNUMBER(A1909)),"Enter the date done",IF(OR(B1909="",C1909=""),"Fill in asset and task",IF(SUMPRODUCT(('PM Plan'!$A$5:$A$304=B1909)*('PM Plan'!$B$5:$B$304=C1909))=0,"No matching asset + task in plan","OK"))))</f>
        <v/>
      </c>
    </row>
    <row r="1910" customFormat="false" ht="15" hidden="false" customHeight="false" outlineLevel="0" collapsed="false">
      <c r="A1910" s="14"/>
      <c r="B1910" s="9"/>
      <c r="C1910" s="9"/>
      <c r="D1910" s="9"/>
      <c r="E1910" s="9"/>
      <c r="F1910" s="17" t="str">
        <f aca="false">IF(AND(A1910="",B1910="",C1910=""),"",IF(NOT(ISNUMBER(A1910)),"Enter the date done",IF(OR(B1910="",C1910=""),"Fill in asset and task",IF(SUMPRODUCT(('PM Plan'!$A$5:$A$304=B1910)*('PM Plan'!$B$5:$B$304=C1910))=0,"No matching asset + task in plan","OK"))))</f>
        <v/>
      </c>
    </row>
    <row r="1911" customFormat="false" ht="15" hidden="false" customHeight="false" outlineLevel="0" collapsed="false">
      <c r="A1911" s="14"/>
      <c r="B1911" s="9"/>
      <c r="C1911" s="9"/>
      <c r="D1911" s="9"/>
      <c r="E1911" s="9"/>
      <c r="F1911" s="17" t="str">
        <f aca="false">IF(AND(A1911="",B1911="",C1911=""),"",IF(NOT(ISNUMBER(A1911)),"Enter the date done",IF(OR(B1911="",C1911=""),"Fill in asset and task",IF(SUMPRODUCT(('PM Plan'!$A$5:$A$304=B1911)*('PM Plan'!$B$5:$B$304=C1911))=0,"No matching asset + task in plan","OK"))))</f>
        <v/>
      </c>
    </row>
    <row r="1912" customFormat="false" ht="15" hidden="false" customHeight="false" outlineLevel="0" collapsed="false">
      <c r="A1912" s="14"/>
      <c r="B1912" s="9"/>
      <c r="C1912" s="9"/>
      <c r="D1912" s="9"/>
      <c r="E1912" s="9"/>
      <c r="F1912" s="17" t="str">
        <f aca="false">IF(AND(A1912="",B1912="",C1912=""),"",IF(NOT(ISNUMBER(A1912)),"Enter the date done",IF(OR(B1912="",C1912=""),"Fill in asset and task",IF(SUMPRODUCT(('PM Plan'!$A$5:$A$304=B1912)*('PM Plan'!$B$5:$B$304=C1912))=0,"No matching asset + task in plan","OK"))))</f>
        <v/>
      </c>
    </row>
    <row r="1913" customFormat="false" ht="15" hidden="false" customHeight="false" outlineLevel="0" collapsed="false">
      <c r="A1913" s="14"/>
      <c r="B1913" s="9"/>
      <c r="C1913" s="9"/>
      <c r="D1913" s="9"/>
      <c r="E1913" s="9"/>
      <c r="F1913" s="17" t="str">
        <f aca="false">IF(AND(A1913="",B1913="",C1913=""),"",IF(NOT(ISNUMBER(A1913)),"Enter the date done",IF(OR(B1913="",C1913=""),"Fill in asset and task",IF(SUMPRODUCT(('PM Plan'!$A$5:$A$304=B1913)*('PM Plan'!$B$5:$B$304=C1913))=0,"No matching asset + task in plan","OK"))))</f>
        <v/>
      </c>
    </row>
    <row r="1914" customFormat="false" ht="15" hidden="false" customHeight="false" outlineLevel="0" collapsed="false">
      <c r="A1914" s="14"/>
      <c r="B1914" s="9"/>
      <c r="C1914" s="9"/>
      <c r="D1914" s="9"/>
      <c r="E1914" s="9"/>
      <c r="F1914" s="17" t="str">
        <f aca="false">IF(AND(A1914="",B1914="",C1914=""),"",IF(NOT(ISNUMBER(A1914)),"Enter the date done",IF(OR(B1914="",C1914=""),"Fill in asset and task",IF(SUMPRODUCT(('PM Plan'!$A$5:$A$304=B1914)*('PM Plan'!$B$5:$B$304=C1914))=0,"No matching asset + task in plan","OK"))))</f>
        <v/>
      </c>
    </row>
    <row r="1915" customFormat="false" ht="15" hidden="false" customHeight="false" outlineLevel="0" collapsed="false">
      <c r="A1915" s="14"/>
      <c r="B1915" s="9"/>
      <c r="C1915" s="9"/>
      <c r="D1915" s="9"/>
      <c r="E1915" s="9"/>
      <c r="F1915" s="17" t="str">
        <f aca="false">IF(AND(A1915="",B1915="",C1915=""),"",IF(NOT(ISNUMBER(A1915)),"Enter the date done",IF(OR(B1915="",C1915=""),"Fill in asset and task",IF(SUMPRODUCT(('PM Plan'!$A$5:$A$304=B1915)*('PM Plan'!$B$5:$B$304=C1915))=0,"No matching asset + task in plan","OK"))))</f>
        <v/>
      </c>
    </row>
    <row r="1916" customFormat="false" ht="15" hidden="false" customHeight="false" outlineLevel="0" collapsed="false">
      <c r="A1916" s="14"/>
      <c r="B1916" s="9"/>
      <c r="C1916" s="9"/>
      <c r="D1916" s="9"/>
      <c r="E1916" s="9"/>
      <c r="F1916" s="17" t="str">
        <f aca="false">IF(AND(A1916="",B1916="",C1916=""),"",IF(NOT(ISNUMBER(A1916)),"Enter the date done",IF(OR(B1916="",C1916=""),"Fill in asset and task",IF(SUMPRODUCT(('PM Plan'!$A$5:$A$304=B1916)*('PM Plan'!$B$5:$B$304=C1916))=0,"No matching asset + task in plan","OK"))))</f>
        <v/>
      </c>
    </row>
    <row r="1917" customFormat="false" ht="15" hidden="false" customHeight="false" outlineLevel="0" collapsed="false">
      <c r="A1917" s="14"/>
      <c r="B1917" s="9"/>
      <c r="C1917" s="9"/>
      <c r="D1917" s="9"/>
      <c r="E1917" s="9"/>
      <c r="F1917" s="17" t="str">
        <f aca="false">IF(AND(A1917="",B1917="",C1917=""),"",IF(NOT(ISNUMBER(A1917)),"Enter the date done",IF(OR(B1917="",C1917=""),"Fill in asset and task",IF(SUMPRODUCT(('PM Plan'!$A$5:$A$304=B1917)*('PM Plan'!$B$5:$B$304=C1917))=0,"No matching asset + task in plan","OK"))))</f>
        <v/>
      </c>
    </row>
    <row r="1918" customFormat="false" ht="15" hidden="false" customHeight="false" outlineLevel="0" collapsed="false">
      <c r="A1918" s="14"/>
      <c r="B1918" s="9"/>
      <c r="C1918" s="9"/>
      <c r="D1918" s="9"/>
      <c r="E1918" s="9"/>
      <c r="F1918" s="17" t="str">
        <f aca="false">IF(AND(A1918="",B1918="",C1918=""),"",IF(NOT(ISNUMBER(A1918)),"Enter the date done",IF(OR(B1918="",C1918=""),"Fill in asset and task",IF(SUMPRODUCT(('PM Plan'!$A$5:$A$304=B1918)*('PM Plan'!$B$5:$B$304=C1918))=0,"No matching asset + task in plan","OK"))))</f>
        <v/>
      </c>
    </row>
    <row r="1919" customFormat="false" ht="15" hidden="false" customHeight="false" outlineLevel="0" collapsed="false">
      <c r="A1919" s="14"/>
      <c r="B1919" s="9"/>
      <c r="C1919" s="9"/>
      <c r="D1919" s="9"/>
      <c r="E1919" s="9"/>
      <c r="F1919" s="17" t="str">
        <f aca="false">IF(AND(A1919="",B1919="",C1919=""),"",IF(NOT(ISNUMBER(A1919)),"Enter the date done",IF(OR(B1919="",C1919=""),"Fill in asset and task",IF(SUMPRODUCT(('PM Plan'!$A$5:$A$304=B1919)*('PM Plan'!$B$5:$B$304=C1919))=0,"No matching asset + task in plan","OK"))))</f>
        <v/>
      </c>
    </row>
    <row r="1920" customFormat="false" ht="15" hidden="false" customHeight="false" outlineLevel="0" collapsed="false">
      <c r="A1920" s="14"/>
      <c r="B1920" s="9"/>
      <c r="C1920" s="9"/>
      <c r="D1920" s="9"/>
      <c r="E1920" s="9"/>
      <c r="F1920" s="17" t="str">
        <f aca="false">IF(AND(A1920="",B1920="",C1920=""),"",IF(NOT(ISNUMBER(A1920)),"Enter the date done",IF(OR(B1920="",C1920=""),"Fill in asset and task",IF(SUMPRODUCT(('PM Plan'!$A$5:$A$304=B1920)*('PM Plan'!$B$5:$B$304=C1920))=0,"No matching asset + task in plan","OK"))))</f>
        <v/>
      </c>
    </row>
    <row r="1921" customFormat="false" ht="15" hidden="false" customHeight="false" outlineLevel="0" collapsed="false">
      <c r="A1921" s="14"/>
      <c r="B1921" s="9"/>
      <c r="C1921" s="9"/>
      <c r="D1921" s="9"/>
      <c r="E1921" s="9"/>
      <c r="F1921" s="17" t="str">
        <f aca="false">IF(AND(A1921="",B1921="",C1921=""),"",IF(NOT(ISNUMBER(A1921)),"Enter the date done",IF(OR(B1921="",C1921=""),"Fill in asset and task",IF(SUMPRODUCT(('PM Plan'!$A$5:$A$304=B1921)*('PM Plan'!$B$5:$B$304=C1921))=0,"No matching asset + task in plan","OK"))))</f>
        <v/>
      </c>
    </row>
    <row r="1922" customFormat="false" ht="15" hidden="false" customHeight="false" outlineLevel="0" collapsed="false">
      <c r="A1922" s="14"/>
      <c r="B1922" s="9"/>
      <c r="C1922" s="9"/>
      <c r="D1922" s="9"/>
      <c r="E1922" s="9"/>
      <c r="F1922" s="17" t="str">
        <f aca="false">IF(AND(A1922="",B1922="",C1922=""),"",IF(NOT(ISNUMBER(A1922)),"Enter the date done",IF(OR(B1922="",C1922=""),"Fill in asset and task",IF(SUMPRODUCT(('PM Plan'!$A$5:$A$304=B1922)*('PM Plan'!$B$5:$B$304=C1922))=0,"No matching asset + task in plan","OK"))))</f>
        <v/>
      </c>
    </row>
    <row r="1923" customFormat="false" ht="15" hidden="false" customHeight="false" outlineLevel="0" collapsed="false">
      <c r="A1923" s="14"/>
      <c r="B1923" s="9"/>
      <c r="C1923" s="9"/>
      <c r="D1923" s="9"/>
      <c r="E1923" s="9"/>
      <c r="F1923" s="17" t="str">
        <f aca="false">IF(AND(A1923="",B1923="",C1923=""),"",IF(NOT(ISNUMBER(A1923)),"Enter the date done",IF(OR(B1923="",C1923=""),"Fill in asset and task",IF(SUMPRODUCT(('PM Plan'!$A$5:$A$304=B1923)*('PM Plan'!$B$5:$B$304=C1923))=0,"No matching asset + task in plan","OK"))))</f>
        <v/>
      </c>
    </row>
    <row r="1924" customFormat="false" ht="15" hidden="false" customHeight="false" outlineLevel="0" collapsed="false">
      <c r="A1924" s="14"/>
      <c r="B1924" s="9"/>
      <c r="C1924" s="9"/>
      <c r="D1924" s="9"/>
      <c r="E1924" s="9"/>
      <c r="F1924" s="17" t="str">
        <f aca="false">IF(AND(A1924="",B1924="",C1924=""),"",IF(NOT(ISNUMBER(A1924)),"Enter the date done",IF(OR(B1924="",C1924=""),"Fill in asset and task",IF(SUMPRODUCT(('PM Plan'!$A$5:$A$304=B1924)*('PM Plan'!$B$5:$B$304=C1924))=0,"No matching asset + task in plan","OK"))))</f>
        <v/>
      </c>
    </row>
    <row r="1925" customFormat="false" ht="15" hidden="false" customHeight="false" outlineLevel="0" collapsed="false">
      <c r="A1925" s="14"/>
      <c r="B1925" s="9"/>
      <c r="C1925" s="9"/>
      <c r="D1925" s="9"/>
      <c r="E1925" s="9"/>
      <c r="F1925" s="17" t="str">
        <f aca="false">IF(AND(A1925="",B1925="",C1925=""),"",IF(NOT(ISNUMBER(A1925)),"Enter the date done",IF(OR(B1925="",C1925=""),"Fill in asset and task",IF(SUMPRODUCT(('PM Plan'!$A$5:$A$304=B1925)*('PM Plan'!$B$5:$B$304=C1925))=0,"No matching asset + task in plan","OK"))))</f>
        <v/>
      </c>
    </row>
    <row r="1926" customFormat="false" ht="15" hidden="false" customHeight="false" outlineLevel="0" collapsed="false">
      <c r="A1926" s="14"/>
      <c r="B1926" s="9"/>
      <c r="C1926" s="9"/>
      <c r="D1926" s="9"/>
      <c r="E1926" s="9"/>
      <c r="F1926" s="17" t="str">
        <f aca="false">IF(AND(A1926="",B1926="",C1926=""),"",IF(NOT(ISNUMBER(A1926)),"Enter the date done",IF(OR(B1926="",C1926=""),"Fill in asset and task",IF(SUMPRODUCT(('PM Plan'!$A$5:$A$304=B1926)*('PM Plan'!$B$5:$B$304=C1926))=0,"No matching asset + task in plan","OK"))))</f>
        <v/>
      </c>
    </row>
    <row r="1927" customFormat="false" ht="15" hidden="false" customHeight="false" outlineLevel="0" collapsed="false">
      <c r="A1927" s="14"/>
      <c r="B1927" s="9"/>
      <c r="C1927" s="9"/>
      <c r="D1927" s="9"/>
      <c r="E1927" s="9"/>
      <c r="F1927" s="17" t="str">
        <f aca="false">IF(AND(A1927="",B1927="",C1927=""),"",IF(NOT(ISNUMBER(A1927)),"Enter the date done",IF(OR(B1927="",C1927=""),"Fill in asset and task",IF(SUMPRODUCT(('PM Plan'!$A$5:$A$304=B1927)*('PM Plan'!$B$5:$B$304=C1927))=0,"No matching asset + task in plan","OK"))))</f>
        <v/>
      </c>
    </row>
    <row r="1928" customFormat="false" ht="15" hidden="false" customHeight="false" outlineLevel="0" collapsed="false">
      <c r="A1928" s="14"/>
      <c r="B1928" s="9"/>
      <c r="C1928" s="9"/>
      <c r="D1928" s="9"/>
      <c r="E1928" s="9"/>
      <c r="F1928" s="17" t="str">
        <f aca="false">IF(AND(A1928="",B1928="",C1928=""),"",IF(NOT(ISNUMBER(A1928)),"Enter the date done",IF(OR(B1928="",C1928=""),"Fill in asset and task",IF(SUMPRODUCT(('PM Plan'!$A$5:$A$304=B1928)*('PM Plan'!$B$5:$B$304=C1928))=0,"No matching asset + task in plan","OK"))))</f>
        <v/>
      </c>
    </row>
    <row r="1929" customFormat="false" ht="15" hidden="false" customHeight="false" outlineLevel="0" collapsed="false">
      <c r="A1929" s="14"/>
      <c r="B1929" s="9"/>
      <c r="C1929" s="9"/>
      <c r="D1929" s="9"/>
      <c r="E1929" s="9"/>
      <c r="F1929" s="17" t="str">
        <f aca="false">IF(AND(A1929="",B1929="",C1929=""),"",IF(NOT(ISNUMBER(A1929)),"Enter the date done",IF(OR(B1929="",C1929=""),"Fill in asset and task",IF(SUMPRODUCT(('PM Plan'!$A$5:$A$304=B1929)*('PM Plan'!$B$5:$B$304=C1929))=0,"No matching asset + task in plan","OK"))))</f>
        <v/>
      </c>
    </row>
    <row r="1930" customFormat="false" ht="15" hidden="false" customHeight="false" outlineLevel="0" collapsed="false">
      <c r="A1930" s="14"/>
      <c r="B1930" s="9"/>
      <c r="C1930" s="9"/>
      <c r="D1930" s="9"/>
      <c r="E1930" s="9"/>
      <c r="F1930" s="17" t="str">
        <f aca="false">IF(AND(A1930="",B1930="",C1930=""),"",IF(NOT(ISNUMBER(A1930)),"Enter the date done",IF(OR(B1930="",C1930=""),"Fill in asset and task",IF(SUMPRODUCT(('PM Plan'!$A$5:$A$304=B1930)*('PM Plan'!$B$5:$B$304=C1930))=0,"No matching asset + task in plan","OK"))))</f>
        <v/>
      </c>
    </row>
    <row r="1931" customFormat="false" ht="15" hidden="false" customHeight="false" outlineLevel="0" collapsed="false">
      <c r="A1931" s="14"/>
      <c r="B1931" s="9"/>
      <c r="C1931" s="9"/>
      <c r="D1931" s="9"/>
      <c r="E1931" s="9"/>
      <c r="F1931" s="17" t="str">
        <f aca="false">IF(AND(A1931="",B1931="",C1931=""),"",IF(NOT(ISNUMBER(A1931)),"Enter the date done",IF(OR(B1931="",C1931=""),"Fill in asset and task",IF(SUMPRODUCT(('PM Plan'!$A$5:$A$304=B1931)*('PM Plan'!$B$5:$B$304=C1931))=0,"No matching asset + task in plan","OK"))))</f>
        <v/>
      </c>
    </row>
    <row r="1932" customFormat="false" ht="15" hidden="false" customHeight="false" outlineLevel="0" collapsed="false">
      <c r="A1932" s="14"/>
      <c r="B1932" s="9"/>
      <c r="C1932" s="9"/>
      <c r="D1932" s="9"/>
      <c r="E1932" s="9"/>
      <c r="F1932" s="17" t="str">
        <f aca="false">IF(AND(A1932="",B1932="",C1932=""),"",IF(NOT(ISNUMBER(A1932)),"Enter the date done",IF(OR(B1932="",C1932=""),"Fill in asset and task",IF(SUMPRODUCT(('PM Plan'!$A$5:$A$304=B1932)*('PM Plan'!$B$5:$B$304=C1932))=0,"No matching asset + task in plan","OK"))))</f>
        <v/>
      </c>
    </row>
    <row r="1933" customFormat="false" ht="15" hidden="false" customHeight="false" outlineLevel="0" collapsed="false">
      <c r="A1933" s="14"/>
      <c r="B1933" s="9"/>
      <c r="C1933" s="9"/>
      <c r="D1933" s="9"/>
      <c r="E1933" s="9"/>
      <c r="F1933" s="17" t="str">
        <f aca="false">IF(AND(A1933="",B1933="",C1933=""),"",IF(NOT(ISNUMBER(A1933)),"Enter the date done",IF(OR(B1933="",C1933=""),"Fill in asset and task",IF(SUMPRODUCT(('PM Plan'!$A$5:$A$304=B1933)*('PM Plan'!$B$5:$B$304=C1933))=0,"No matching asset + task in plan","OK"))))</f>
        <v/>
      </c>
    </row>
    <row r="1934" customFormat="false" ht="15" hidden="false" customHeight="false" outlineLevel="0" collapsed="false">
      <c r="A1934" s="14"/>
      <c r="B1934" s="9"/>
      <c r="C1934" s="9"/>
      <c r="D1934" s="9"/>
      <c r="E1934" s="9"/>
      <c r="F1934" s="17" t="str">
        <f aca="false">IF(AND(A1934="",B1934="",C1934=""),"",IF(NOT(ISNUMBER(A1934)),"Enter the date done",IF(OR(B1934="",C1934=""),"Fill in asset and task",IF(SUMPRODUCT(('PM Plan'!$A$5:$A$304=B1934)*('PM Plan'!$B$5:$B$304=C1934))=0,"No matching asset + task in plan","OK"))))</f>
        <v/>
      </c>
    </row>
    <row r="1935" customFormat="false" ht="15" hidden="false" customHeight="false" outlineLevel="0" collapsed="false">
      <c r="A1935" s="14"/>
      <c r="B1935" s="9"/>
      <c r="C1935" s="9"/>
      <c r="D1935" s="9"/>
      <c r="E1935" s="9"/>
      <c r="F1935" s="17" t="str">
        <f aca="false">IF(AND(A1935="",B1935="",C1935=""),"",IF(NOT(ISNUMBER(A1935)),"Enter the date done",IF(OR(B1935="",C1935=""),"Fill in asset and task",IF(SUMPRODUCT(('PM Plan'!$A$5:$A$304=B1935)*('PM Plan'!$B$5:$B$304=C1935))=0,"No matching asset + task in plan","OK"))))</f>
        <v/>
      </c>
    </row>
    <row r="1936" customFormat="false" ht="15" hidden="false" customHeight="false" outlineLevel="0" collapsed="false">
      <c r="A1936" s="14"/>
      <c r="B1936" s="9"/>
      <c r="C1936" s="9"/>
      <c r="D1936" s="9"/>
      <c r="E1936" s="9"/>
      <c r="F1936" s="17" t="str">
        <f aca="false">IF(AND(A1936="",B1936="",C1936=""),"",IF(NOT(ISNUMBER(A1936)),"Enter the date done",IF(OR(B1936="",C1936=""),"Fill in asset and task",IF(SUMPRODUCT(('PM Plan'!$A$5:$A$304=B1936)*('PM Plan'!$B$5:$B$304=C1936))=0,"No matching asset + task in plan","OK"))))</f>
        <v/>
      </c>
    </row>
    <row r="1937" customFormat="false" ht="15" hidden="false" customHeight="false" outlineLevel="0" collapsed="false">
      <c r="A1937" s="14"/>
      <c r="B1937" s="9"/>
      <c r="C1937" s="9"/>
      <c r="D1937" s="9"/>
      <c r="E1937" s="9"/>
      <c r="F1937" s="17" t="str">
        <f aca="false">IF(AND(A1937="",B1937="",C1937=""),"",IF(NOT(ISNUMBER(A1937)),"Enter the date done",IF(OR(B1937="",C1937=""),"Fill in asset and task",IF(SUMPRODUCT(('PM Plan'!$A$5:$A$304=B1937)*('PM Plan'!$B$5:$B$304=C1937))=0,"No matching asset + task in plan","OK"))))</f>
        <v/>
      </c>
    </row>
    <row r="1938" customFormat="false" ht="15" hidden="false" customHeight="false" outlineLevel="0" collapsed="false">
      <c r="A1938" s="14"/>
      <c r="B1938" s="9"/>
      <c r="C1938" s="9"/>
      <c r="D1938" s="9"/>
      <c r="E1938" s="9"/>
      <c r="F1938" s="17" t="str">
        <f aca="false">IF(AND(A1938="",B1938="",C1938=""),"",IF(NOT(ISNUMBER(A1938)),"Enter the date done",IF(OR(B1938="",C1938=""),"Fill in asset and task",IF(SUMPRODUCT(('PM Plan'!$A$5:$A$304=B1938)*('PM Plan'!$B$5:$B$304=C1938))=0,"No matching asset + task in plan","OK"))))</f>
        <v/>
      </c>
    </row>
    <row r="1939" customFormat="false" ht="15" hidden="false" customHeight="false" outlineLevel="0" collapsed="false">
      <c r="A1939" s="14"/>
      <c r="B1939" s="9"/>
      <c r="C1939" s="9"/>
      <c r="D1939" s="9"/>
      <c r="E1939" s="9"/>
      <c r="F1939" s="17" t="str">
        <f aca="false">IF(AND(A1939="",B1939="",C1939=""),"",IF(NOT(ISNUMBER(A1939)),"Enter the date done",IF(OR(B1939="",C1939=""),"Fill in asset and task",IF(SUMPRODUCT(('PM Plan'!$A$5:$A$304=B1939)*('PM Plan'!$B$5:$B$304=C1939))=0,"No matching asset + task in plan","OK"))))</f>
        <v/>
      </c>
    </row>
    <row r="1940" customFormat="false" ht="15" hidden="false" customHeight="false" outlineLevel="0" collapsed="false">
      <c r="A1940" s="14"/>
      <c r="B1940" s="9"/>
      <c r="C1940" s="9"/>
      <c r="D1940" s="9"/>
      <c r="E1940" s="9"/>
      <c r="F1940" s="17" t="str">
        <f aca="false">IF(AND(A1940="",B1940="",C1940=""),"",IF(NOT(ISNUMBER(A1940)),"Enter the date done",IF(OR(B1940="",C1940=""),"Fill in asset and task",IF(SUMPRODUCT(('PM Plan'!$A$5:$A$304=B1940)*('PM Plan'!$B$5:$B$304=C1940))=0,"No matching asset + task in plan","OK"))))</f>
        <v/>
      </c>
    </row>
    <row r="1941" customFormat="false" ht="15" hidden="false" customHeight="false" outlineLevel="0" collapsed="false">
      <c r="A1941" s="14"/>
      <c r="B1941" s="9"/>
      <c r="C1941" s="9"/>
      <c r="D1941" s="9"/>
      <c r="E1941" s="9"/>
      <c r="F1941" s="17" t="str">
        <f aca="false">IF(AND(A1941="",B1941="",C1941=""),"",IF(NOT(ISNUMBER(A1941)),"Enter the date done",IF(OR(B1941="",C1941=""),"Fill in asset and task",IF(SUMPRODUCT(('PM Plan'!$A$5:$A$304=B1941)*('PM Plan'!$B$5:$B$304=C1941))=0,"No matching asset + task in plan","OK"))))</f>
        <v/>
      </c>
    </row>
    <row r="1942" customFormat="false" ht="15" hidden="false" customHeight="false" outlineLevel="0" collapsed="false">
      <c r="A1942" s="14"/>
      <c r="B1942" s="9"/>
      <c r="C1942" s="9"/>
      <c r="D1942" s="9"/>
      <c r="E1942" s="9"/>
      <c r="F1942" s="17" t="str">
        <f aca="false">IF(AND(A1942="",B1942="",C1942=""),"",IF(NOT(ISNUMBER(A1942)),"Enter the date done",IF(OR(B1942="",C1942=""),"Fill in asset and task",IF(SUMPRODUCT(('PM Plan'!$A$5:$A$304=B1942)*('PM Plan'!$B$5:$B$304=C1942))=0,"No matching asset + task in plan","OK"))))</f>
        <v/>
      </c>
    </row>
    <row r="1943" customFormat="false" ht="15" hidden="false" customHeight="false" outlineLevel="0" collapsed="false">
      <c r="A1943" s="14"/>
      <c r="B1943" s="9"/>
      <c r="C1943" s="9"/>
      <c r="D1943" s="9"/>
      <c r="E1943" s="9"/>
      <c r="F1943" s="17" t="str">
        <f aca="false">IF(AND(A1943="",B1943="",C1943=""),"",IF(NOT(ISNUMBER(A1943)),"Enter the date done",IF(OR(B1943="",C1943=""),"Fill in asset and task",IF(SUMPRODUCT(('PM Plan'!$A$5:$A$304=B1943)*('PM Plan'!$B$5:$B$304=C1943))=0,"No matching asset + task in plan","OK"))))</f>
        <v/>
      </c>
    </row>
    <row r="1944" customFormat="false" ht="15" hidden="false" customHeight="false" outlineLevel="0" collapsed="false">
      <c r="A1944" s="14"/>
      <c r="B1944" s="9"/>
      <c r="C1944" s="9"/>
      <c r="D1944" s="9"/>
      <c r="E1944" s="9"/>
      <c r="F1944" s="17" t="str">
        <f aca="false">IF(AND(A1944="",B1944="",C1944=""),"",IF(NOT(ISNUMBER(A1944)),"Enter the date done",IF(OR(B1944="",C1944=""),"Fill in asset and task",IF(SUMPRODUCT(('PM Plan'!$A$5:$A$304=B1944)*('PM Plan'!$B$5:$B$304=C1944))=0,"No matching asset + task in plan","OK"))))</f>
        <v/>
      </c>
    </row>
    <row r="1945" customFormat="false" ht="15" hidden="false" customHeight="false" outlineLevel="0" collapsed="false">
      <c r="A1945" s="14"/>
      <c r="B1945" s="9"/>
      <c r="C1945" s="9"/>
      <c r="D1945" s="9"/>
      <c r="E1945" s="9"/>
      <c r="F1945" s="17" t="str">
        <f aca="false">IF(AND(A1945="",B1945="",C1945=""),"",IF(NOT(ISNUMBER(A1945)),"Enter the date done",IF(OR(B1945="",C1945=""),"Fill in asset and task",IF(SUMPRODUCT(('PM Plan'!$A$5:$A$304=B1945)*('PM Plan'!$B$5:$B$304=C1945))=0,"No matching asset + task in plan","OK"))))</f>
        <v/>
      </c>
    </row>
    <row r="1946" customFormat="false" ht="15" hidden="false" customHeight="false" outlineLevel="0" collapsed="false">
      <c r="A1946" s="14"/>
      <c r="B1946" s="9"/>
      <c r="C1946" s="9"/>
      <c r="D1946" s="9"/>
      <c r="E1946" s="9"/>
      <c r="F1946" s="17" t="str">
        <f aca="false">IF(AND(A1946="",B1946="",C1946=""),"",IF(NOT(ISNUMBER(A1946)),"Enter the date done",IF(OR(B1946="",C1946=""),"Fill in asset and task",IF(SUMPRODUCT(('PM Plan'!$A$5:$A$304=B1946)*('PM Plan'!$B$5:$B$304=C1946))=0,"No matching asset + task in plan","OK"))))</f>
        <v/>
      </c>
    </row>
    <row r="1947" customFormat="false" ht="15" hidden="false" customHeight="false" outlineLevel="0" collapsed="false">
      <c r="A1947" s="14"/>
      <c r="B1947" s="9"/>
      <c r="C1947" s="9"/>
      <c r="D1947" s="9"/>
      <c r="E1947" s="9"/>
      <c r="F1947" s="17" t="str">
        <f aca="false">IF(AND(A1947="",B1947="",C1947=""),"",IF(NOT(ISNUMBER(A1947)),"Enter the date done",IF(OR(B1947="",C1947=""),"Fill in asset and task",IF(SUMPRODUCT(('PM Plan'!$A$5:$A$304=B1947)*('PM Plan'!$B$5:$B$304=C1947))=0,"No matching asset + task in plan","OK"))))</f>
        <v/>
      </c>
    </row>
    <row r="1948" customFormat="false" ht="15" hidden="false" customHeight="false" outlineLevel="0" collapsed="false">
      <c r="A1948" s="14"/>
      <c r="B1948" s="9"/>
      <c r="C1948" s="9"/>
      <c r="D1948" s="9"/>
      <c r="E1948" s="9"/>
      <c r="F1948" s="17" t="str">
        <f aca="false">IF(AND(A1948="",B1948="",C1948=""),"",IF(NOT(ISNUMBER(A1948)),"Enter the date done",IF(OR(B1948="",C1948=""),"Fill in asset and task",IF(SUMPRODUCT(('PM Plan'!$A$5:$A$304=B1948)*('PM Plan'!$B$5:$B$304=C1948))=0,"No matching asset + task in plan","OK"))))</f>
        <v/>
      </c>
    </row>
    <row r="1949" customFormat="false" ht="15" hidden="false" customHeight="false" outlineLevel="0" collapsed="false">
      <c r="A1949" s="14"/>
      <c r="B1949" s="9"/>
      <c r="C1949" s="9"/>
      <c r="D1949" s="9"/>
      <c r="E1949" s="9"/>
      <c r="F1949" s="17" t="str">
        <f aca="false">IF(AND(A1949="",B1949="",C1949=""),"",IF(NOT(ISNUMBER(A1949)),"Enter the date done",IF(OR(B1949="",C1949=""),"Fill in asset and task",IF(SUMPRODUCT(('PM Plan'!$A$5:$A$304=B1949)*('PM Plan'!$B$5:$B$304=C1949))=0,"No matching asset + task in plan","OK"))))</f>
        <v/>
      </c>
    </row>
    <row r="1950" customFormat="false" ht="15" hidden="false" customHeight="false" outlineLevel="0" collapsed="false">
      <c r="A1950" s="14"/>
      <c r="B1950" s="9"/>
      <c r="C1950" s="9"/>
      <c r="D1950" s="9"/>
      <c r="E1950" s="9"/>
      <c r="F1950" s="17" t="str">
        <f aca="false">IF(AND(A1950="",B1950="",C1950=""),"",IF(NOT(ISNUMBER(A1950)),"Enter the date done",IF(OR(B1950="",C1950=""),"Fill in asset and task",IF(SUMPRODUCT(('PM Plan'!$A$5:$A$304=B1950)*('PM Plan'!$B$5:$B$304=C1950))=0,"No matching asset + task in plan","OK"))))</f>
        <v/>
      </c>
    </row>
    <row r="1951" customFormat="false" ht="15" hidden="false" customHeight="false" outlineLevel="0" collapsed="false">
      <c r="A1951" s="14"/>
      <c r="B1951" s="9"/>
      <c r="C1951" s="9"/>
      <c r="D1951" s="9"/>
      <c r="E1951" s="9"/>
      <c r="F1951" s="17" t="str">
        <f aca="false">IF(AND(A1951="",B1951="",C1951=""),"",IF(NOT(ISNUMBER(A1951)),"Enter the date done",IF(OR(B1951="",C1951=""),"Fill in asset and task",IF(SUMPRODUCT(('PM Plan'!$A$5:$A$304=B1951)*('PM Plan'!$B$5:$B$304=C1951))=0,"No matching asset + task in plan","OK"))))</f>
        <v/>
      </c>
    </row>
    <row r="1952" customFormat="false" ht="15" hidden="false" customHeight="false" outlineLevel="0" collapsed="false">
      <c r="A1952" s="14"/>
      <c r="B1952" s="9"/>
      <c r="C1952" s="9"/>
      <c r="D1952" s="9"/>
      <c r="E1952" s="9"/>
      <c r="F1952" s="17" t="str">
        <f aca="false">IF(AND(A1952="",B1952="",C1952=""),"",IF(NOT(ISNUMBER(A1952)),"Enter the date done",IF(OR(B1952="",C1952=""),"Fill in asset and task",IF(SUMPRODUCT(('PM Plan'!$A$5:$A$304=B1952)*('PM Plan'!$B$5:$B$304=C1952))=0,"No matching asset + task in plan","OK"))))</f>
        <v/>
      </c>
    </row>
    <row r="1953" customFormat="false" ht="15" hidden="false" customHeight="false" outlineLevel="0" collapsed="false">
      <c r="A1953" s="14"/>
      <c r="B1953" s="9"/>
      <c r="C1953" s="9"/>
      <c r="D1953" s="9"/>
      <c r="E1953" s="9"/>
      <c r="F1953" s="17" t="str">
        <f aca="false">IF(AND(A1953="",B1953="",C1953=""),"",IF(NOT(ISNUMBER(A1953)),"Enter the date done",IF(OR(B1953="",C1953=""),"Fill in asset and task",IF(SUMPRODUCT(('PM Plan'!$A$5:$A$304=B1953)*('PM Plan'!$B$5:$B$304=C1953))=0,"No matching asset + task in plan","OK"))))</f>
        <v/>
      </c>
    </row>
    <row r="1954" customFormat="false" ht="15" hidden="false" customHeight="false" outlineLevel="0" collapsed="false">
      <c r="A1954" s="14"/>
      <c r="B1954" s="9"/>
      <c r="C1954" s="9"/>
      <c r="D1954" s="9"/>
      <c r="E1954" s="9"/>
      <c r="F1954" s="17" t="str">
        <f aca="false">IF(AND(A1954="",B1954="",C1954=""),"",IF(NOT(ISNUMBER(A1954)),"Enter the date done",IF(OR(B1954="",C1954=""),"Fill in asset and task",IF(SUMPRODUCT(('PM Plan'!$A$5:$A$304=B1954)*('PM Plan'!$B$5:$B$304=C1954))=0,"No matching asset + task in plan","OK"))))</f>
        <v/>
      </c>
    </row>
    <row r="1955" customFormat="false" ht="15" hidden="false" customHeight="false" outlineLevel="0" collapsed="false">
      <c r="A1955" s="14"/>
      <c r="B1955" s="9"/>
      <c r="C1955" s="9"/>
      <c r="D1955" s="9"/>
      <c r="E1955" s="9"/>
      <c r="F1955" s="17" t="str">
        <f aca="false">IF(AND(A1955="",B1955="",C1955=""),"",IF(NOT(ISNUMBER(A1955)),"Enter the date done",IF(OR(B1955="",C1955=""),"Fill in asset and task",IF(SUMPRODUCT(('PM Plan'!$A$5:$A$304=B1955)*('PM Plan'!$B$5:$B$304=C1955))=0,"No matching asset + task in plan","OK"))))</f>
        <v/>
      </c>
    </row>
    <row r="1956" customFormat="false" ht="15" hidden="false" customHeight="false" outlineLevel="0" collapsed="false">
      <c r="A1956" s="14"/>
      <c r="B1956" s="9"/>
      <c r="C1956" s="9"/>
      <c r="D1956" s="9"/>
      <c r="E1956" s="9"/>
      <c r="F1956" s="17" t="str">
        <f aca="false">IF(AND(A1956="",B1956="",C1956=""),"",IF(NOT(ISNUMBER(A1956)),"Enter the date done",IF(OR(B1956="",C1956=""),"Fill in asset and task",IF(SUMPRODUCT(('PM Plan'!$A$5:$A$304=B1956)*('PM Plan'!$B$5:$B$304=C1956))=0,"No matching asset + task in plan","OK"))))</f>
        <v/>
      </c>
    </row>
    <row r="1957" customFormat="false" ht="15" hidden="false" customHeight="false" outlineLevel="0" collapsed="false">
      <c r="A1957" s="14"/>
      <c r="B1957" s="9"/>
      <c r="C1957" s="9"/>
      <c r="D1957" s="9"/>
      <c r="E1957" s="9"/>
      <c r="F1957" s="17" t="str">
        <f aca="false">IF(AND(A1957="",B1957="",C1957=""),"",IF(NOT(ISNUMBER(A1957)),"Enter the date done",IF(OR(B1957="",C1957=""),"Fill in asset and task",IF(SUMPRODUCT(('PM Plan'!$A$5:$A$304=B1957)*('PM Plan'!$B$5:$B$304=C1957))=0,"No matching asset + task in plan","OK"))))</f>
        <v/>
      </c>
    </row>
    <row r="1958" customFormat="false" ht="15" hidden="false" customHeight="false" outlineLevel="0" collapsed="false">
      <c r="A1958" s="14"/>
      <c r="B1958" s="9"/>
      <c r="C1958" s="9"/>
      <c r="D1958" s="9"/>
      <c r="E1958" s="9"/>
      <c r="F1958" s="17" t="str">
        <f aca="false">IF(AND(A1958="",B1958="",C1958=""),"",IF(NOT(ISNUMBER(A1958)),"Enter the date done",IF(OR(B1958="",C1958=""),"Fill in asset and task",IF(SUMPRODUCT(('PM Plan'!$A$5:$A$304=B1958)*('PM Plan'!$B$5:$B$304=C1958))=0,"No matching asset + task in plan","OK"))))</f>
        <v/>
      </c>
    </row>
    <row r="1959" customFormat="false" ht="15" hidden="false" customHeight="false" outlineLevel="0" collapsed="false">
      <c r="A1959" s="14"/>
      <c r="B1959" s="9"/>
      <c r="C1959" s="9"/>
      <c r="D1959" s="9"/>
      <c r="E1959" s="9"/>
      <c r="F1959" s="17" t="str">
        <f aca="false">IF(AND(A1959="",B1959="",C1959=""),"",IF(NOT(ISNUMBER(A1959)),"Enter the date done",IF(OR(B1959="",C1959=""),"Fill in asset and task",IF(SUMPRODUCT(('PM Plan'!$A$5:$A$304=B1959)*('PM Plan'!$B$5:$B$304=C1959))=0,"No matching asset + task in plan","OK"))))</f>
        <v/>
      </c>
    </row>
    <row r="1960" customFormat="false" ht="15" hidden="false" customHeight="false" outlineLevel="0" collapsed="false">
      <c r="A1960" s="14"/>
      <c r="B1960" s="9"/>
      <c r="C1960" s="9"/>
      <c r="D1960" s="9"/>
      <c r="E1960" s="9"/>
      <c r="F1960" s="17" t="str">
        <f aca="false">IF(AND(A1960="",B1960="",C1960=""),"",IF(NOT(ISNUMBER(A1960)),"Enter the date done",IF(OR(B1960="",C1960=""),"Fill in asset and task",IF(SUMPRODUCT(('PM Plan'!$A$5:$A$304=B1960)*('PM Plan'!$B$5:$B$304=C1960))=0,"No matching asset + task in plan","OK"))))</f>
        <v/>
      </c>
    </row>
    <row r="1961" customFormat="false" ht="15" hidden="false" customHeight="false" outlineLevel="0" collapsed="false">
      <c r="A1961" s="14"/>
      <c r="B1961" s="9"/>
      <c r="C1961" s="9"/>
      <c r="D1961" s="9"/>
      <c r="E1961" s="9"/>
      <c r="F1961" s="17" t="str">
        <f aca="false">IF(AND(A1961="",B1961="",C1961=""),"",IF(NOT(ISNUMBER(A1961)),"Enter the date done",IF(OR(B1961="",C1961=""),"Fill in asset and task",IF(SUMPRODUCT(('PM Plan'!$A$5:$A$304=B1961)*('PM Plan'!$B$5:$B$304=C1961))=0,"No matching asset + task in plan","OK"))))</f>
        <v/>
      </c>
    </row>
    <row r="1962" customFormat="false" ht="15" hidden="false" customHeight="false" outlineLevel="0" collapsed="false">
      <c r="A1962" s="14"/>
      <c r="B1962" s="9"/>
      <c r="C1962" s="9"/>
      <c r="D1962" s="9"/>
      <c r="E1962" s="9"/>
      <c r="F1962" s="17" t="str">
        <f aca="false">IF(AND(A1962="",B1962="",C1962=""),"",IF(NOT(ISNUMBER(A1962)),"Enter the date done",IF(OR(B1962="",C1962=""),"Fill in asset and task",IF(SUMPRODUCT(('PM Plan'!$A$5:$A$304=B1962)*('PM Plan'!$B$5:$B$304=C1962))=0,"No matching asset + task in plan","OK"))))</f>
        <v/>
      </c>
    </row>
    <row r="1963" customFormat="false" ht="15" hidden="false" customHeight="false" outlineLevel="0" collapsed="false">
      <c r="A1963" s="14"/>
      <c r="B1963" s="9"/>
      <c r="C1963" s="9"/>
      <c r="D1963" s="9"/>
      <c r="E1963" s="9"/>
      <c r="F1963" s="17" t="str">
        <f aca="false">IF(AND(A1963="",B1963="",C1963=""),"",IF(NOT(ISNUMBER(A1963)),"Enter the date done",IF(OR(B1963="",C1963=""),"Fill in asset and task",IF(SUMPRODUCT(('PM Plan'!$A$5:$A$304=B1963)*('PM Plan'!$B$5:$B$304=C1963))=0,"No matching asset + task in plan","OK"))))</f>
        <v/>
      </c>
    </row>
    <row r="1964" customFormat="false" ht="15" hidden="false" customHeight="false" outlineLevel="0" collapsed="false">
      <c r="A1964" s="14"/>
      <c r="B1964" s="9"/>
      <c r="C1964" s="9"/>
      <c r="D1964" s="9"/>
      <c r="E1964" s="9"/>
      <c r="F1964" s="17" t="str">
        <f aca="false">IF(AND(A1964="",B1964="",C1964=""),"",IF(NOT(ISNUMBER(A1964)),"Enter the date done",IF(OR(B1964="",C1964=""),"Fill in asset and task",IF(SUMPRODUCT(('PM Plan'!$A$5:$A$304=B1964)*('PM Plan'!$B$5:$B$304=C1964))=0,"No matching asset + task in plan","OK"))))</f>
        <v/>
      </c>
    </row>
    <row r="1965" customFormat="false" ht="15" hidden="false" customHeight="false" outlineLevel="0" collapsed="false">
      <c r="A1965" s="14"/>
      <c r="B1965" s="9"/>
      <c r="C1965" s="9"/>
      <c r="D1965" s="9"/>
      <c r="E1965" s="9"/>
      <c r="F1965" s="17" t="str">
        <f aca="false">IF(AND(A1965="",B1965="",C1965=""),"",IF(NOT(ISNUMBER(A1965)),"Enter the date done",IF(OR(B1965="",C1965=""),"Fill in asset and task",IF(SUMPRODUCT(('PM Plan'!$A$5:$A$304=B1965)*('PM Plan'!$B$5:$B$304=C1965))=0,"No matching asset + task in plan","OK"))))</f>
        <v/>
      </c>
    </row>
    <row r="1966" customFormat="false" ht="15" hidden="false" customHeight="false" outlineLevel="0" collapsed="false">
      <c r="A1966" s="14"/>
      <c r="B1966" s="9"/>
      <c r="C1966" s="9"/>
      <c r="D1966" s="9"/>
      <c r="E1966" s="9"/>
      <c r="F1966" s="17" t="str">
        <f aca="false">IF(AND(A1966="",B1966="",C1966=""),"",IF(NOT(ISNUMBER(A1966)),"Enter the date done",IF(OR(B1966="",C1966=""),"Fill in asset and task",IF(SUMPRODUCT(('PM Plan'!$A$5:$A$304=B1966)*('PM Plan'!$B$5:$B$304=C1966))=0,"No matching asset + task in plan","OK"))))</f>
        <v/>
      </c>
    </row>
    <row r="1967" customFormat="false" ht="15" hidden="false" customHeight="false" outlineLevel="0" collapsed="false">
      <c r="A1967" s="14"/>
      <c r="B1967" s="9"/>
      <c r="C1967" s="9"/>
      <c r="D1967" s="9"/>
      <c r="E1967" s="9"/>
      <c r="F1967" s="17" t="str">
        <f aca="false">IF(AND(A1967="",B1967="",C1967=""),"",IF(NOT(ISNUMBER(A1967)),"Enter the date done",IF(OR(B1967="",C1967=""),"Fill in asset and task",IF(SUMPRODUCT(('PM Plan'!$A$5:$A$304=B1967)*('PM Plan'!$B$5:$B$304=C1967))=0,"No matching asset + task in plan","OK"))))</f>
        <v/>
      </c>
    </row>
    <row r="1968" customFormat="false" ht="15" hidden="false" customHeight="false" outlineLevel="0" collapsed="false">
      <c r="A1968" s="14"/>
      <c r="B1968" s="9"/>
      <c r="C1968" s="9"/>
      <c r="D1968" s="9"/>
      <c r="E1968" s="9"/>
      <c r="F1968" s="17" t="str">
        <f aca="false">IF(AND(A1968="",B1968="",C1968=""),"",IF(NOT(ISNUMBER(A1968)),"Enter the date done",IF(OR(B1968="",C1968=""),"Fill in asset and task",IF(SUMPRODUCT(('PM Plan'!$A$5:$A$304=B1968)*('PM Plan'!$B$5:$B$304=C1968))=0,"No matching asset + task in plan","OK"))))</f>
        <v/>
      </c>
    </row>
    <row r="1969" customFormat="false" ht="15" hidden="false" customHeight="false" outlineLevel="0" collapsed="false">
      <c r="A1969" s="14"/>
      <c r="B1969" s="9"/>
      <c r="C1969" s="9"/>
      <c r="D1969" s="9"/>
      <c r="E1969" s="9"/>
      <c r="F1969" s="17" t="str">
        <f aca="false">IF(AND(A1969="",B1969="",C1969=""),"",IF(NOT(ISNUMBER(A1969)),"Enter the date done",IF(OR(B1969="",C1969=""),"Fill in asset and task",IF(SUMPRODUCT(('PM Plan'!$A$5:$A$304=B1969)*('PM Plan'!$B$5:$B$304=C1969))=0,"No matching asset + task in plan","OK"))))</f>
        <v/>
      </c>
    </row>
    <row r="1970" customFormat="false" ht="15" hidden="false" customHeight="false" outlineLevel="0" collapsed="false">
      <c r="A1970" s="14"/>
      <c r="B1970" s="9"/>
      <c r="C1970" s="9"/>
      <c r="D1970" s="9"/>
      <c r="E1970" s="9"/>
      <c r="F1970" s="17" t="str">
        <f aca="false">IF(AND(A1970="",B1970="",C1970=""),"",IF(NOT(ISNUMBER(A1970)),"Enter the date done",IF(OR(B1970="",C1970=""),"Fill in asset and task",IF(SUMPRODUCT(('PM Plan'!$A$5:$A$304=B1970)*('PM Plan'!$B$5:$B$304=C1970))=0,"No matching asset + task in plan","OK"))))</f>
        <v/>
      </c>
    </row>
    <row r="1971" customFormat="false" ht="15" hidden="false" customHeight="false" outlineLevel="0" collapsed="false">
      <c r="A1971" s="14"/>
      <c r="B1971" s="9"/>
      <c r="C1971" s="9"/>
      <c r="D1971" s="9"/>
      <c r="E1971" s="9"/>
      <c r="F1971" s="17" t="str">
        <f aca="false">IF(AND(A1971="",B1971="",C1971=""),"",IF(NOT(ISNUMBER(A1971)),"Enter the date done",IF(OR(B1971="",C1971=""),"Fill in asset and task",IF(SUMPRODUCT(('PM Plan'!$A$5:$A$304=B1971)*('PM Plan'!$B$5:$B$304=C1971))=0,"No matching asset + task in plan","OK"))))</f>
        <v/>
      </c>
    </row>
    <row r="1972" customFormat="false" ht="15" hidden="false" customHeight="false" outlineLevel="0" collapsed="false">
      <c r="A1972" s="14"/>
      <c r="B1972" s="9"/>
      <c r="C1972" s="9"/>
      <c r="D1972" s="9"/>
      <c r="E1972" s="9"/>
      <c r="F1972" s="17" t="str">
        <f aca="false">IF(AND(A1972="",B1972="",C1972=""),"",IF(NOT(ISNUMBER(A1972)),"Enter the date done",IF(OR(B1972="",C1972=""),"Fill in asset and task",IF(SUMPRODUCT(('PM Plan'!$A$5:$A$304=B1972)*('PM Plan'!$B$5:$B$304=C1972))=0,"No matching asset + task in plan","OK"))))</f>
        <v/>
      </c>
    </row>
    <row r="1973" customFormat="false" ht="15" hidden="false" customHeight="false" outlineLevel="0" collapsed="false">
      <c r="A1973" s="14"/>
      <c r="B1973" s="9"/>
      <c r="C1973" s="9"/>
      <c r="D1973" s="9"/>
      <c r="E1973" s="9"/>
      <c r="F1973" s="17" t="str">
        <f aca="false">IF(AND(A1973="",B1973="",C1973=""),"",IF(NOT(ISNUMBER(A1973)),"Enter the date done",IF(OR(B1973="",C1973=""),"Fill in asset and task",IF(SUMPRODUCT(('PM Plan'!$A$5:$A$304=B1973)*('PM Plan'!$B$5:$B$304=C1973))=0,"No matching asset + task in plan","OK"))))</f>
        <v/>
      </c>
    </row>
    <row r="1974" customFormat="false" ht="15" hidden="false" customHeight="false" outlineLevel="0" collapsed="false">
      <c r="A1974" s="14"/>
      <c r="B1974" s="9"/>
      <c r="C1974" s="9"/>
      <c r="D1974" s="9"/>
      <c r="E1974" s="9"/>
      <c r="F1974" s="17" t="str">
        <f aca="false">IF(AND(A1974="",B1974="",C1974=""),"",IF(NOT(ISNUMBER(A1974)),"Enter the date done",IF(OR(B1974="",C1974=""),"Fill in asset and task",IF(SUMPRODUCT(('PM Plan'!$A$5:$A$304=B1974)*('PM Plan'!$B$5:$B$304=C1974))=0,"No matching asset + task in plan","OK"))))</f>
        <v/>
      </c>
    </row>
    <row r="1975" customFormat="false" ht="15" hidden="false" customHeight="false" outlineLevel="0" collapsed="false">
      <c r="A1975" s="14"/>
      <c r="B1975" s="9"/>
      <c r="C1975" s="9"/>
      <c r="D1975" s="9"/>
      <c r="E1975" s="9"/>
      <c r="F1975" s="17" t="str">
        <f aca="false">IF(AND(A1975="",B1975="",C1975=""),"",IF(NOT(ISNUMBER(A1975)),"Enter the date done",IF(OR(B1975="",C1975=""),"Fill in asset and task",IF(SUMPRODUCT(('PM Plan'!$A$5:$A$304=B1975)*('PM Plan'!$B$5:$B$304=C1975))=0,"No matching asset + task in plan","OK"))))</f>
        <v/>
      </c>
    </row>
    <row r="1976" customFormat="false" ht="15" hidden="false" customHeight="false" outlineLevel="0" collapsed="false">
      <c r="A1976" s="14"/>
      <c r="B1976" s="9"/>
      <c r="C1976" s="9"/>
      <c r="D1976" s="9"/>
      <c r="E1976" s="9"/>
      <c r="F1976" s="17" t="str">
        <f aca="false">IF(AND(A1976="",B1976="",C1976=""),"",IF(NOT(ISNUMBER(A1976)),"Enter the date done",IF(OR(B1976="",C1976=""),"Fill in asset and task",IF(SUMPRODUCT(('PM Plan'!$A$5:$A$304=B1976)*('PM Plan'!$B$5:$B$304=C1976))=0,"No matching asset + task in plan","OK"))))</f>
        <v/>
      </c>
    </row>
    <row r="1977" customFormat="false" ht="15" hidden="false" customHeight="false" outlineLevel="0" collapsed="false">
      <c r="A1977" s="14"/>
      <c r="B1977" s="9"/>
      <c r="C1977" s="9"/>
      <c r="D1977" s="9"/>
      <c r="E1977" s="9"/>
      <c r="F1977" s="17" t="str">
        <f aca="false">IF(AND(A1977="",B1977="",C1977=""),"",IF(NOT(ISNUMBER(A1977)),"Enter the date done",IF(OR(B1977="",C1977=""),"Fill in asset and task",IF(SUMPRODUCT(('PM Plan'!$A$5:$A$304=B1977)*('PM Plan'!$B$5:$B$304=C1977))=0,"No matching asset + task in plan","OK"))))</f>
        <v/>
      </c>
    </row>
    <row r="1978" customFormat="false" ht="15" hidden="false" customHeight="false" outlineLevel="0" collapsed="false">
      <c r="A1978" s="14"/>
      <c r="B1978" s="9"/>
      <c r="C1978" s="9"/>
      <c r="D1978" s="9"/>
      <c r="E1978" s="9"/>
      <c r="F1978" s="17" t="str">
        <f aca="false">IF(AND(A1978="",B1978="",C1978=""),"",IF(NOT(ISNUMBER(A1978)),"Enter the date done",IF(OR(B1978="",C1978=""),"Fill in asset and task",IF(SUMPRODUCT(('PM Plan'!$A$5:$A$304=B1978)*('PM Plan'!$B$5:$B$304=C1978))=0,"No matching asset + task in plan","OK"))))</f>
        <v/>
      </c>
    </row>
    <row r="1979" customFormat="false" ht="15" hidden="false" customHeight="false" outlineLevel="0" collapsed="false">
      <c r="A1979" s="14"/>
      <c r="B1979" s="9"/>
      <c r="C1979" s="9"/>
      <c r="D1979" s="9"/>
      <c r="E1979" s="9"/>
      <c r="F1979" s="17" t="str">
        <f aca="false">IF(AND(A1979="",B1979="",C1979=""),"",IF(NOT(ISNUMBER(A1979)),"Enter the date done",IF(OR(B1979="",C1979=""),"Fill in asset and task",IF(SUMPRODUCT(('PM Plan'!$A$5:$A$304=B1979)*('PM Plan'!$B$5:$B$304=C1979))=0,"No matching asset + task in plan","OK"))))</f>
        <v/>
      </c>
    </row>
    <row r="1980" customFormat="false" ht="15" hidden="false" customHeight="false" outlineLevel="0" collapsed="false">
      <c r="A1980" s="14"/>
      <c r="B1980" s="9"/>
      <c r="C1980" s="9"/>
      <c r="D1980" s="9"/>
      <c r="E1980" s="9"/>
      <c r="F1980" s="17" t="str">
        <f aca="false">IF(AND(A1980="",B1980="",C1980=""),"",IF(NOT(ISNUMBER(A1980)),"Enter the date done",IF(OR(B1980="",C1980=""),"Fill in asset and task",IF(SUMPRODUCT(('PM Plan'!$A$5:$A$304=B1980)*('PM Plan'!$B$5:$B$304=C1980))=0,"No matching asset + task in plan","OK"))))</f>
        <v/>
      </c>
    </row>
    <row r="1981" customFormat="false" ht="15" hidden="false" customHeight="false" outlineLevel="0" collapsed="false">
      <c r="A1981" s="14"/>
      <c r="B1981" s="9"/>
      <c r="C1981" s="9"/>
      <c r="D1981" s="9"/>
      <c r="E1981" s="9"/>
      <c r="F1981" s="17" t="str">
        <f aca="false">IF(AND(A1981="",B1981="",C1981=""),"",IF(NOT(ISNUMBER(A1981)),"Enter the date done",IF(OR(B1981="",C1981=""),"Fill in asset and task",IF(SUMPRODUCT(('PM Plan'!$A$5:$A$304=B1981)*('PM Plan'!$B$5:$B$304=C1981))=0,"No matching asset + task in plan","OK"))))</f>
        <v/>
      </c>
    </row>
    <row r="1982" customFormat="false" ht="15" hidden="false" customHeight="false" outlineLevel="0" collapsed="false">
      <c r="A1982" s="14"/>
      <c r="B1982" s="9"/>
      <c r="C1982" s="9"/>
      <c r="D1982" s="9"/>
      <c r="E1982" s="9"/>
      <c r="F1982" s="17" t="str">
        <f aca="false">IF(AND(A1982="",B1982="",C1982=""),"",IF(NOT(ISNUMBER(A1982)),"Enter the date done",IF(OR(B1982="",C1982=""),"Fill in asset and task",IF(SUMPRODUCT(('PM Plan'!$A$5:$A$304=B1982)*('PM Plan'!$B$5:$B$304=C1982))=0,"No matching asset + task in plan","OK"))))</f>
        <v/>
      </c>
    </row>
    <row r="1983" customFormat="false" ht="15" hidden="false" customHeight="false" outlineLevel="0" collapsed="false">
      <c r="A1983" s="14"/>
      <c r="B1983" s="9"/>
      <c r="C1983" s="9"/>
      <c r="D1983" s="9"/>
      <c r="E1983" s="9"/>
      <c r="F1983" s="17" t="str">
        <f aca="false">IF(AND(A1983="",B1983="",C1983=""),"",IF(NOT(ISNUMBER(A1983)),"Enter the date done",IF(OR(B1983="",C1983=""),"Fill in asset and task",IF(SUMPRODUCT(('PM Plan'!$A$5:$A$304=B1983)*('PM Plan'!$B$5:$B$304=C1983))=0,"No matching asset + task in plan","OK"))))</f>
        <v/>
      </c>
    </row>
    <row r="1984" customFormat="false" ht="15" hidden="false" customHeight="false" outlineLevel="0" collapsed="false">
      <c r="A1984" s="14"/>
      <c r="B1984" s="9"/>
      <c r="C1984" s="9"/>
      <c r="D1984" s="9"/>
      <c r="E1984" s="9"/>
      <c r="F1984" s="17" t="str">
        <f aca="false">IF(AND(A1984="",B1984="",C1984=""),"",IF(NOT(ISNUMBER(A1984)),"Enter the date done",IF(OR(B1984="",C1984=""),"Fill in asset and task",IF(SUMPRODUCT(('PM Plan'!$A$5:$A$304=B1984)*('PM Plan'!$B$5:$B$304=C1984))=0,"No matching asset + task in plan","OK"))))</f>
        <v/>
      </c>
    </row>
    <row r="1985" customFormat="false" ht="15" hidden="false" customHeight="false" outlineLevel="0" collapsed="false">
      <c r="A1985" s="14"/>
      <c r="B1985" s="9"/>
      <c r="C1985" s="9"/>
      <c r="D1985" s="9"/>
      <c r="E1985" s="9"/>
      <c r="F1985" s="17" t="str">
        <f aca="false">IF(AND(A1985="",B1985="",C1985=""),"",IF(NOT(ISNUMBER(A1985)),"Enter the date done",IF(OR(B1985="",C1985=""),"Fill in asset and task",IF(SUMPRODUCT(('PM Plan'!$A$5:$A$304=B1985)*('PM Plan'!$B$5:$B$304=C1985))=0,"No matching asset + task in plan","OK"))))</f>
        <v/>
      </c>
    </row>
    <row r="1986" customFormat="false" ht="15" hidden="false" customHeight="false" outlineLevel="0" collapsed="false">
      <c r="A1986" s="14"/>
      <c r="B1986" s="9"/>
      <c r="C1986" s="9"/>
      <c r="D1986" s="9"/>
      <c r="E1986" s="9"/>
      <c r="F1986" s="17" t="str">
        <f aca="false">IF(AND(A1986="",B1986="",C1986=""),"",IF(NOT(ISNUMBER(A1986)),"Enter the date done",IF(OR(B1986="",C1986=""),"Fill in asset and task",IF(SUMPRODUCT(('PM Plan'!$A$5:$A$304=B1986)*('PM Plan'!$B$5:$B$304=C1986))=0,"No matching asset + task in plan","OK"))))</f>
        <v/>
      </c>
    </row>
    <row r="1987" customFormat="false" ht="15" hidden="false" customHeight="false" outlineLevel="0" collapsed="false">
      <c r="A1987" s="14"/>
      <c r="B1987" s="9"/>
      <c r="C1987" s="9"/>
      <c r="D1987" s="9"/>
      <c r="E1987" s="9"/>
      <c r="F1987" s="17" t="str">
        <f aca="false">IF(AND(A1987="",B1987="",C1987=""),"",IF(NOT(ISNUMBER(A1987)),"Enter the date done",IF(OR(B1987="",C1987=""),"Fill in asset and task",IF(SUMPRODUCT(('PM Plan'!$A$5:$A$304=B1987)*('PM Plan'!$B$5:$B$304=C1987))=0,"No matching asset + task in plan","OK"))))</f>
        <v/>
      </c>
    </row>
    <row r="1988" customFormat="false" ht="15" hidden="false" customHeight="false" outlineLevel="0" collapsed="false">
      <c r="A1988" s="14"/>
      <c r="B1988" s="9"/>
      <c r="C1988" s="9"/>
      <c r="D1988" s="9"/>
      <c r="E1988" s="9"/>
      <c r="F1988" s="17" t="str">
        <f aca="false">IF(AND(A1988="",B1988="",C1988=""),"",IF(NOT(ISNUMBER(A1988)),"Enter the date done",IF(OR(B1988="",C1988=""),"Fill in asset and task",IF(SUMPRODUCT(('PM Plan'!$A$5:$A$304=B1988)*('PM Plan'!$B$5:$B$304=C1988))=0,"No matching asset + task in plan","OK"))))</f>
        <v/>
      </c>
    </row>
    <row r="1989" customFormat="false" ht="15" hidden="false" customHeight="false" outlineLevel="0" collapsed="false">
      <c r="A1989" s="14"/>
      <c r="B1989" s="9"/>
      <c r="C1989" s="9"/>
      <c r="D1989" s="9"/>
      <c r="E1989" s="9"/>
      <c r="F1989" s="17" t="str">
        <f aca="false">IF(AND(A1989="",B1989="",C1989=""),"",IF(NOT(ISNUMBER(A1989)),"Enter the date done",IF(OR(B1989="",C1989=""),"Fill in asset and task",IF(SUMPRODUCT(('PM Plan'!$A$5:$A$304=B1989)*('PM Plan'!$B$5:$B$304=C1989))=0,"No matching asset + task in plan","OK"))))</f>
        <v/>
      </c>
    </row>
    <row r="1990" customFormat="false" ht="15" hidden="false" customHeight="false" outlineLevel="0" collapsed="false">
      <c r="A1990" s="14"/>
      <c r="B1990" s="9"/>
      <c r="C1990" s="9"/>
      <c r="D1990" s="9"/>
      <c r="E1990" s="9"/>
      <c r="F1990" s="17" t="str">
        <f aca="false">IF(AND(A1990="",B1990="",C1990=""),"",IF(NOT(ISNUMBER(A1990)),"Enter the date done",IF(OR(B1990="",C1990=""),"Fill in asset and task",IF(SUMPRODUCT(('PM Plan'!$A$5:$A$304=B1990)*('PM Plan'!$B$5:$B$304=C1990))=0,"No matching asset + task in plan","OK"))))</f>
        <v/>
      </c>
    </row>
    <row r="1991" customFormat="false" ht="15" hidden="false" customHeight="false" outlineLevel="0" collapsed="false">
      <c r="A1991" s="14"/>
      <c r="B1991" s="9"/>
      <c r="C1991" s="9"/>
      <c r="D1991" s="9"/>
      <c r="E1991" s="9"/>
      <c r="F1991" s="17" t="str">
        <f aca="false">IF(AND(A1991="",B1991="",C1991=""),"",IF(NOT(ISNUMBER(A1991)),"Enter the date done",IF(OR(B1991="",C1991=""),"Fill in asset and task",IF(SUMPRODUCT(('PM Plan'!$A$5:$A$304=B1991)*('PM Plan'!$B$5:$B$304=C1991))=0,"No matching asset + task in plan","OK"))))</f>
        <v/>
      </c>
    </row>
    <row r="1992" customFormat="false" ht="15" hidden="false" customHeight="false" outlineLevel="0" collapsed="false">
      <c r="A1992" s="14"/>
      <c r="B1992" s="9"/>
      <c r="C1992" s="9"/>
      <c r="D1992" s="9"/>
      <c r="E1992" s="9"/>
      <c r="F1992" s="17" t="str">
        <f aca="false">IF(AND(A1992="",B1992="",C1992=""),"",IF(NOT(ISNUMBER(A1992)),"Enter the date done",IF(OR(B1992="",C1992=""),"Fill in asset and task",IF(SUMPRODUCT(('PM Plan'!$A$5:$A$304=B1992)*('PM Plan'!$B$5:$B$304=C1992))=0,"No matching asset + task in plan","OK"))))</f>
        <v/>
      </c>
    </row>
    <row r="1993" customFormat="false" ht="15" hidden="false" customHeight="false" outlineLevel="0" collapsed="false">
      <c r="A1993" s="14"/>
      <c r="B1993" s="9"/>
      <c r="C1993" s="9"/>
      <c r="D1993" s="9"/>
      <c r="E1993" s="9"/>
      <c r="F1993" s="17" t="str">
        <f aca="false">IF(AND(A1993="",B1993="",C1993=""),"",IF(NOT(ISNUMBER(A1993)),"Enter the date done",IF(OR(B1993="",C1993=""),"Fill in asset and task",IF(SUMPRODUCT(('PM Plan'!$A$5:$A$304=B1993)*('PM Plan'!$B$5:$B$304=C1993))=0,"No matching asset + task in plan","OK"))))</f>
        <v/>
      </c>
    </row>
    <row r="1994" customFormat="false" ht="15" hidden="false" customHeight="false" outlineLevel="0" collapsed="false">
      <c r="A1994" s="14"/>
      <c r="B1994" s="9"/>
      <c r="C1994" s="9"/>
      <c r="D1994" s="9"/>
      <c r="E1994" s="9"/>
      <c r="F1994" s="17" t="str">
        <f aca="false">IF(AND(A1994="",B1994="",C1994=""),"",IF(NOT(ISNUMBER(A1994)),"Enter the date done",IF(OR(B1994="",C1994=""),"Fill in asset and task",IF(SUMPRODUCT(('PM Plan'!$A$5:$A$304=B1994)*('PM Plan'!$B$5:$B$304=C1994))=0,"No matching asset + task in plan","OK"))))</f>
        <v/>
      </c>
    </row>
    <row r="1995" customFormat="false" ht="15" hidden="false" customHeight="false" outlineLevel="0" collapsed="false">
      <c r="A1995" s="14"/>
      <c r="B1995" s="9"/>
      <c r="C1995" s="9"/>
      <c r="D1995" s="9"/>
      <c r="E1995" s="9"/>
      <c r="F1995" s="17" t="str">
        <f aca="false">IF(AND(A1995="",B1995="",C1995=""),"",IF(NOT(ISNUMBER(A1995)),"Enter the date done",IF(OR(B1995="",C1995=""),"Fill in asset and task",IF(SUMPRODUCT(('PM Plan'!$A$5:$A$304=B1995)*('PM Plan'!$B$5:$B$304=C1995))=0,"No matching asset + task in plan","OK"))))</f>
        <v/>
      </c>
    </row>
    <row r="1996" customFormat="false" ht="15" hidden="false" customHeight="false" outlineLevel="0" collapsed="false">
      <c r="A1996" s="14"/>
      <c r="B1996" s="9"/>
      <c r="C1996" s="9"/>
      <c r="D1996" s="9"/>
      <c r="E1996" s="9"/>
      <c r="F1996" s="17" t="str">
        <f aca="false">IF(AND(A1996="",B1996="",C1996=""),"",IF(NOT(ISNUMBER(A1996)),"Enter the date done",IF(OR(B1996="",C1996=""),"Fill in asset and task",IF(SUMPRODUCT(('PM Plan'!$A$5:$A$304=B1996)*('PM Plan'!$B$5:$B$304=C1996))=0,"No matching asset + task in plan","OK"))))</f>
        <v/>
      </c>
    </row>
    <row r="1997" customFormat="false" ht="15" hidden="false" customHeight="false" outlineLevel="0" collapsed="false">
      <c r="A1997" s="14"/>
      <c r="B1997" s="9"/>
      <c r="C1997" s="9"/>
      <c r="D1997" s="9"/>
      <c r="E1997" s="9"/>
      <c r="F1997" s="17" t="str">
        <f aca="false">IF(AND(A1997="",B1997="",C1997=""),"",IF(NOT(ISNUMBER(A1997)),"Enter the date done",IF(OR(B1997="",C1997=""),"Fill in asset and task",IF(SUMPRODUCT(('PM Plan'!$A$5:$A$304=B1997)*('PM Plan'!$B$5:$B$304=C1997))=0,"No matching asset + task in plan","OK"))))</f>
        <v/>
      </c>
    </row>
    <row r="1998" customFormat="false" ht="15" hidden="false" customHeight="false" outlineLevel="0" collapsed="false">
      <c r="A1998" s="14"/>
      <c r="B1998" s="9"/>
      <c r="C1998" s="9"/>
      <c r="D1998" s="9"/>
      <c r="E1998" s="9"/>
      <c r="F1998" s="17" t="str">
        <f aca="false">IF(AND(A1998="",B1998="",C1998=""),"",IF(NOT(ISNUMBER(A1998)),"Enter the date done",IF(OR(B1998="",C1998=""),"Fill in asset and task",IF(SUMPRODUCT(('PM Plan'!$A$5:$A$304=B1998)*('PM Plan'!$B$5:$B$304=C1998))=0,"No matching asset + task in plan","OK"))))</f>
        <v/>
      </c>
    </row>
    <row r="1999" customFormat="false" ht="15" hidden="false" customHeight="false" outlineLevel="0" collapsed="false">
      <c r="A1999" s="14"/>
      <c r="B1999" s="9"/>
      <c r="C1999" s="9"/>
      <c r="D1999" s="9"/>
      <c r="E1999" s="9"/>
      <c r="F1999" s="17" t="str">
        <f aca="false">IF(AND(A1999="",B1999="",C1999=""),"",IF(NOT(ISNUMBER(A1999)),"Enter the date done",IF(OR(B1999="",C1999=""),"Fill in asset and task",IF(SUMPRODUCT(('PM Plan'!$A$5:$A$304=B1999)*('PM Plan'!$B$5:$B$304=C1999))=0,"No matching asset + task in plan","OK"))))</f>
        <v/>
      </c>
    </row>
    <row r="2000" customFormat="false" ht="15" hidden="false" customHeight="false" outlineLevel="0" collapsed="false">
      <c r="A2000" s="14"/>
      <c r="B2000" s="9"/>
      <c r="C2000" s="9"/>
      <c r="D2000" s="9"/>
      <c r="E2000" s="9"/>
      <c r="F2000" s="17" t="str">
        <f aca="false">IF(AND(A2000="",B2000="",C2000=""),"",IF(NOT(ISNUMBER(A2000)),"Enter the date done",IF(OR(B2000="",C2000=""),"Fill in asset and task",IF(SUMPRODUCT(('PM Plan'!$A$5:$A$304=B2000)*('PM Plan'!$B$5:$B$304=C2000))=0,"No matching asset + task in plan","OK"))))</f>
        <v/>
      </c>
    </row>
    <row r="2001" customFormat="false" ht="15" hidden="false" customHeight="false" outlineLevel="0" collapsed="false">
      <c r="A2001" s="14"/>
      <c r="B2001" s="9"/>
      <c r="C2001" s="9"/>
      <c r="D2001" s="9"/>
      <c r="E2001" s="9"/>
      <c r="F2001" s="17" t="str">
        <f aca="false">IF(AND(A2001="",B2001="",C2001=""),"",IF(NOT(ISNUMBER(A2001)),"Enter the date done",IF(OR(B2001="",C2001=""),"Fill in asset and task",IF(SUMPRODUCT(('PM Plan'!$A$5:$A$304=B2001)*('PM Plan'!$B$5:$B$304=C2001))=0,"No matching asset + task in plan","OK"))))</f>
        <v/>
      </c>
    </row>
    <row r="2002" customFormat="false" ht="15" hidden="false" customHeight="false" outlineLevel="0" collapsed="false">
      <c r="A2002" s="14"/>
      <c r="B2002" s="9"/>
      <c r="C2002" s="9"/>
      <c r="D2002" s="9"/>
      <c r="E2002" s="9"/>
      <c r="F2002" s="17" t="str">
        <f aca="false">IF(AND(A2002="",B2002="",C2002=""),"",IF(NOT(ISNUMBER(A2002)),"Enter the date done",IF(OR(B2002="",C2002=""),"Fill in asset and task",IF(SUMPRODUCT(('PM Plan'!$A$5:$A$304=B2002)*('PM Plan'!$B$5:$B$304=C2002))=0,"No matching asset + task in plan","OK"))))</f>
        <v/>
      </c>
    </row>
    <row r="2003" customFormat="false" ht="15" hidden="false" customHeight="false" outlineLevel="0" collapsed="false">
      <c r="A2003" s="14"/>
      <c r="B2003" s="9"/>
      <c r="C2003" s="9"/>
      <c r="D2003" s="9"/>
      <c r="E2003" s="9"/>
      <c r="F2003" s="17" t="str">
        <f aca="false">IF(AND(A2003="",B2003="",C2003=""),"",IF(NOT(ISNUMBER(A2003)),"Enter the date done",IF(OR(B2003="",C2003=""),"Fill in asset and task",IF(SUMPRODUCT(('PM Plan'!$A$5:$A$304=B2003)*('PM Plan'!$B$5:$B$304=C2003))=0,"No matching asset + task in plan","OK"))))</f>
        <v/>
      </c>
    </row>
    <row r="2004" customFormat="false" ht="15" hidden="false" customHeight="false" outlineLevel="0" collapsed="false">
      <c r="A2004" s="14"/>
      <c r="B2004" s="9"/>
      <c r="C2004" s="9"/>
      <c r="D2004" s="9"/>
      <c r="E2004" s="9"/>
      <c r="F2004" s="17" t="str">
        <f aca="false">IF(AND(A2004="",B2004="",C2004=""),"",IF(NOT(ISNUMBER(A2004)),"Enter the date done",IF(OR(B2004="",C2004=""),"Fill in asset and task",IF(SUMPRODUCT(('PM Plan'!$A$5:$A$304=B2004)*('PM Plan'!$B$5:$B$304=C2004))=0,"No matching asset + task in plan","OK"))))</f>
        <v/>
      </c>
    </row>
  </sheetData>
  <dataValidations count="3">
    <dataValidation allowBlank="true" errorStyle="stop" operator="between" showDropDown="false" showErrorMessage="false" showInputMessage="false" sqref="B5:B2004" type="list">
      <formula1>'PM Plan'!$A$5:$A$304</formula1>
      <formula2>0</formula2>
    </dataValidation>
    <dataValidation allowBlank="true" errorStyle="stop" operator="between" showDropDown="false" showErrorMessage="false" showInputMessage="false" sqref="C5:C2004" type="list">
      <formula1>'PM Plan'!$B$5:$B$304</formula1>
      <formula2>0</formula2>
    </dataValidation>
    <dataValidation allowBlank="true" error="Enter the date the task was done." errorStyle="stop" operator="greaterThan" showDropDown="false" showErrorMessage="false" showInputMessage="false" sqref="A5:A2004" type="date">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2026-10-11T05:44:36Z</dcterms:created>
  <dc:creator>openpyxl</dc:creator>
  <dc:description/>
  <dc:language>en-US</dc:language>
  <cp:lastModifiedBy/>
  <dcterms:modified xsi:type="dcterms:W3CDTF">2026-10-11T05:44:37Z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