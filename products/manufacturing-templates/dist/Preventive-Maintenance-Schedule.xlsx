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PM Plan" sheetId="2" state="visible" r:id="rId4"/>
    <sheet name="Completion Lo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<sst xmlns="http://schemas.openxmlformats.org/spreadsheetml/2006/main" count="66" uniqueCount="53">
  <si>
    <t xml:space="preserve">Preventive Maintenance Schedule</t>
  </si>
  <si>
    <t xml:space="preserve">Version 1.0</t>
  </si>
  <si>
    <t xml:space="preserve">What this does</t>
  </si>
  <si>
    <t xml:space="preserve">List every recurring maintenance task with how often it's due. Log completions as they happen, and the plan shows each task's next due date and whether it is overdue, due soon or OK.</t>
  </si>
  <si>
    <t xml:space="preserve">Colour key</t>
  </si>
  <si>
    <t xml:space="preserve">Yellow cells are for you to fill in.</t>
  </si>
  <si>
    <t xml:space="preserve">Grey cells are calculated. Don't type over them.</t>
  </si>
  <si>
    <t xml:space="preserve">Steps</t>
  </si>
  <si>
    <t xml:space="preserve">1. PM Plan: one row per asset + task, with the frequency in days (7 = every week, 30 = about monthly, 90 = about quarterly, 365 = about yearly). Due dates count fixed days from the last completion. If you know when a task was last done before you started using this workbook, enter it under 'Last done before log'.</t>
  </si>
  <si>
    <t xml:space="preserve">2. Completion Log: each time a task is done, add a row with the date, the asset and the task, picked from the drop-downs so they match the plan exactly. The 'Matches plan?' column warns you if they don't.</t>
  </si>
  <si>
    <t xml:space="preserve">3. The plan updates automatically: last completed date, next due date, days left and status.</t>
  </si>
  <si>
    <t xml:space="preserve">4. Change the 'Due soon' window at the top of the PM Plan (default 7 days).</t>
  </si>
  <si>
    <t xml:space="preserve">5. A task with no completion and no earlier date shows as due today, every day, until you log it or enter a last-done date.</t>
  </si>
  <si>
    <t xml:space="preserve">Status 'Check frequency', 'Duplicate row' or 'Fill in asset and task' means that row needs fixing; the Needs fixing count is at the top.</t>
  </si>
  <si>
    <t xml:space="preserve">6. The rows marked EXAMPLE show the expected format. Before you start, select their yellow cells and press Delete. Don't delete whole rows.</t>
  </si>
  <si>
    <t xml:space="preserve">Tip</t>
  </si>
  <si>
    <t xml:space="preserve">Sort or filter the PM Plan by Status to get this week's work list. Excel: Data &gt; Filter.</t>
  </si>
  <si>
    <t xml:space="preserve">PM Plan</t>
  </si>
  <si>
    <t xml:space="preserve">Overdue</t>
  </si>
  <si>
    <t xml:space="preserve">One row per asset and task.</t>
  </si>
  <si>
    <t xml:space="preserve">Due soon window (days)</t>
  </si>
  <si>
    <t xml:space="preserve">Due soon</t>
  </si>
  <si>
    <t xml:space="preserve">OK</t>
  </si>
  <si>
    <t xml:space="preserve">Asset</t>
  </si>
  <si>
    <t xml:space="preserve">Task</t>
  </si>
  <si>
    <t xml:space="preserve">Frequency
(days)</t>
  </si>
  <si>
    <t xml:space="preserve">Assigned to</t>
  </si>
  <si>
    <t xml:space="preserve">Last done
before log</t>
  </si>
  <si>
    <t xml:space="preserve">Last completed</t>
  </si>
  <si>
    <t xml:space="preserve">Next due</t>
  </si>
  <si>
    <t xml:space="preserve">Days until due</t>
  </si>
  <si>
    <t xml:space="preserve">Status</t>
  </si>
  <si>
    <t xml:space="preserve">Notes</t>
  </si>
  <si>
    <t xml:space="preserve">Needs fixing</t>
  </si>
  <si>
    <t xml:space="preserve">Air compressor 1</t>
  </si>
  <si>
    <t xml:space="preserve">Change oil filter</t>
  </si>
  <si>
    <t xml:space="preserve">Maintenance</t>
  </si>
  <si>
    <t xml:space="preserve">EXAMPLE</t>
  </si>
  <si>
    <t xml:space="preserve">Press 01</t>
  </si>
  <si>
    <t xml:space="preserve">Lubricate slides and gibs</t>
  </si>
  <si>
    <t xml:space="preserve">Operator</t>
  </si>
  <si>
    <t xml:space="preserve">Forklift 2</t>
  </si>
  <si>
    <t xml:space="preserve">Inspect forks, chains and hydraulics</t>
  </si>
  <si>
    <t xml:space="preserve">CNC Lathe 02</t>
  </si>
  <si>
    <t xml:space="preserve">Clean chip conveyor and coolant filter</t>
  </si>
  <si>
    <t xml:space="preserve">Dust collector</t>
  </si>
  <si>
    <t xml:space="preserve">Replace filter cartridges</t>
  </si>
  <si>
    <t xml:space="preserve">Completion Log</t>
  </si>
  <si>
    <t xml:space="preserve">Add a row each time a task is completed. Pick asset and task from the drop-downs.</t>
  </si>
  <si>
    <t xml:space="preserve">Date done</t>
  </si>
  <si>
    <t xml:space="preserve">Done by</t>
  </si>
  <si>
    <t xml:space="preserve">Matches plan?</t>
  </si>
  <si>
    <t xml:space="preserve">J. Smith</t>
  </si>
</sst>
</file>

<file path=xl/styles.xml><?xml version="1.0" encoding="utf-8"?>
<styleSheet xmlns="http://schemas.openxmlformats.org/spreadsheetml/2006/main">
  <numFmts count="3">
    <numFmt numFmtId="164" formatCode="General"/>
    <numFmt numFmtId="165" formatCode="yyyy\-mm\-dd"/>
    <numFmt numFmtId="166" formatCode="0"/>
  </numFmts>
  <fonts count="10">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595959"/>
      <name val="Arial"/>
      <family val="0"/>
      <charset val="1"/>
    </font>
    <font>
      <b val="true"/>
      <sz val="12"/>
      <color rgb="FF1F3A5F"/>
      <name val="Arial"/>
      <family val="0"/>
      <charset val="1"/>
    </font>
    <font>
      <sz val="10"/>
      <color rgb="FF000000"/>
      <name val="Arial"/>
      <family val="0"/>
      <charset val="1"/>
    </font>
    <font>
      <b val="true"/>
      <sz val="10"/>
      <color rgb="FF000000"/>
      <name val="Arial"/>
      <family val="0"/>
      <charset val="1"/>
    </font>
    <font>
      <b val="true"/>
      <sz val="10"/>
      <color rgb="FFFFFFFF"/>
      <name val="Arial"/>
      <family val="0"/>
      <charset val="1"/>
    </font>
  </fonts>
  <fills count="9">
    <fill>
      <patternFill patternType="none"/>
    </fill>
    <fill>
      <patternFill patternType="gray125"/>
    </fill>
    <fill>
      <patternFill patternType="solid">
        <fgColor rgb="FFFFF2CC"/>
        <bgColor rgb="FFF2F2F2"/>
      </patternFill>
    </fill>
    <fill>
      <patternFill patternType="solid">
        <fgColor rgb="FFF2F2F2"/>
        <bgColor rgb="FFFFFFFF"/>
      </patternFill>
    </fill>
    <fill>
      <patternFill patternType="solid">
        <fgColor rgb="FFF8CBAD"/>
        <bgColor rgb="FFFFE699"/>
      </patternFill>
    </fill>
    <fill>
      <patternFill patternType="solid">
        <fgColor rgb="FFFFE699"/>
        <bgColor rgb="FFFFF2CC"/>
      </patternFill>
    </fill>
    <fill>
      <patternFill patternType="solid">
        <fgColor rgb="FFC6EFCE"/>
        <bgColor rgb="FFD9D9D9"/>
      </patternFill>
    </fill>
    <fill>
      <patternFill patternType="solid">
        <fgColor rgb="FF1F3A5F"/>
        <bgColor rgb="FF333333"/>
      </patternFill>
    </fill>
    <fill>
      <patternFill patternType="solid">
        <fgColor rgb="FFD9D9D9"/>
        <bgColor rgb="FFC6EFC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right"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8CBAD"/>
        </patternFill>
      </fill>
    </dxf>
    <dxf>
      <fill>
        <patternFill>
          <bgColor rgb="FFFFE699"/>
        </patternFill>
      </fill>
    </dxf>
    <dxf>
      <fill>
        <patternFill>
          <bgColor rgb="FFC6EF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6" customFormat="false" ht="23.85" hidden="false" customHeight="false" outlineLevel="0" collapsed="false">
      <c r="B6" s="4" t="s">
        <v>3</v>
      </c>
    </row>
    <row r="7" customFormat="false" ht="15" hidden="false" customHeight="false" outlineLevel="0" collapsed="false">
      <c r="B7" s="3" t="s">
        <v>4</v>
      </c>
    </row>
    <row r="9" customFormat="false" ht="15" hidden="false" customHeight="false" outlineLevel="0" collapsed="false">
      <c r="B9" s="5" t="s">
        <v>5</v>
      </c>
    </row>
    <row r="10" customFormat="false" ht="15" hidden="false" customHeight="false" outlineLevel="0" collapsed="false">
      <c r="B10" s="6" t="s">
        <v>6</v>
      </c>
    </row>
    <row r="11" customFormat="false" ht="15" hidden="false" customHeight="false" outlineLevel="0" collapsed="false">
      <c r="B11" s="3" t="s">
        <v>7</v>
      </c>
    </row>
    <row r="13" customFormat="false" ht="35.05" hidden="false" customHeight="false" outlineLevel="0" collapsed="false">
      <c r="B13" s="4" t="s">
        <v>8</v>
      </c>
    </row>
    <row r="14" customFormat="false" ht="23.85" hidden="false" customHeight="false" outlineLevel="0" collapsed="false">
      <c r="B14" s="4" t="s">
        <v>9</v>
      </c>
    </row>
    <row r="15" customFormat="false" ht="15" hidden="false" customHeight="false" outlineLevel="0" collapsed="false">
      <c r="B15" s="4" t="s">
        <v>10</v>
      </c>
    </row>
    <row r="16" customFormat="false" ht="15" hidden="false" customHeight="false" outlineLevel="0" collapsed="false">
      <c r="B16" s="4" t="s">
        <v>11</v>
      </c>
    </row>
    <row r="17" customFormat="false" ht="15" hidden="false" customHeight="false" outlineLevel="0" collapsed="false">
      <c r="B17" s="4" t="s">
        <v>12</v>
      </c>
    </row>
    <row r="18" customFormat="false" ht="23.85" hidden="false" customHeight="false" outlineLevel="0" collapsed="false">
      <c r="B18" s="4" t="s">
        <v>13</v>
      </c>
    </row>
    <row r="19" customFormat="false" ht="23.85" hidden="false" customHeight="false" outlineLevel="0" collapsed="false">
      <c r="B19" s="4" t="s">
        <v>14</v>
      </c>
    </row>
    <row r="20" customFormat="false" ht="15" hidden="false" customHeight="false" outlineLevel="0" collapsed="false">
      <c r="B20" s="3" t="s">
        <v>15</v>
      </c>
    </row>
    <row r="22" customFormat="false" ht="15" hidden="false" customHeight="false" outlineLevel="0" collapsed="false">
      <c r="B22" s="4"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11"/>
    <col collapsed="false" customWidth="true" hidden="false" outlineLevel="0" max="4" min="4" style="0" width="16"/>
    <col collapsed="false" customWidth="true" hidden="false" outlineLevel="0" max="5" min="5" style="0" width="13"/>
    <col collapsed="false" customWidth="true" hidden="false" outlineLevel="0" max="6" min="6" style="0" width="14"/>
    <col collapsed="false" customWidth="true" hidden="false" outlineLevel="0" max="9" min="7" style="0" width="12"/>
    <col collapsed="false" customWidth="true" hidden="false" outlineLevel="0" max="10" min="10" style="0" width="30"/>
  </cols>
  <sheetData>
    <row r="1" customFormat="false" ht="19.7" hidden="false" customHeight="false" outlineLevel="0" collapsed="false">
      <c r="A1" s="1" t="s">
        <v>17</v>
      </c>
      <c r="K1" s="7" t="s">
        <v>18</v>
      </c>
      <c r="L1" s="7" t="n">
        <f aca="false">COUNTIF($I$5:$I$304,"OVERDUE")</f>
        <v>1</v>
      </c>
    </row>
    <row r="2" customFormat="false" ht="15" hidden="false" customHeight="false" outlineLevel="0" collapsed="false">
      <c r="A2" s="2" t="s">
        <v>19</v>
      </c>
      <c r="G2" s="8" t="s">
        <v>20</v>
      </c>
      <c r="H2" s="8"/>
      <c r="I2" s="9" t="n">
        <v>7</v>
      </c>
      <c r="K2" s="10" t="s">
        <v>21</v>
      </c>
      <c r="L2" s="10" t="n">
        <f aca="false">COUNTIF($I$5:$I$304,"Due soon")</f>
        <v>2</v>
      </c>
    </row>
    <row r="3" customFormat="false" ht="15" hidden="false" customHeight="false" outlineLevel="0" collapsed="false">
      <c r="K3" s="11" t="s">
        <v>22</v>
      </c>
      <c r="L3" s="11" t="n">
        <f aca="false">COUNTIF($I$5:$I$304,"OK")</f>
        <v>2</v>
      </c>
    </row>
    <row r="4" customFormat="false" ht="31.5" hidden="false" customHeight="true" outlineLevel="0" collapsed="false">
      <c r="A4" s="12" t="s">
        <v>23</v>
      </c>
      <c r="B4" s="12" t="s">
        <v>24</v>
      </c>
      <c r="C4" s="12" t="s">
        <v>25</v>
      </c>
      <c r="D4" s="12" t="s">
        <v>26</v>
      </c>
      <c r="E4" s="12" t="s">
        <v>27</v>
      </c>
      <c r="F4" s="12" t="s">
        <v>28</v>
      </c>
      <c r="G4" s="12" t="s">
        <v>29</v>
      </c>
      <c r="H4" s="12" t="s">
        <v>30</v>
      </c>
      <c r="I4" s="12" t="s">
        <v>31</v>
      </c>
      <c r="J4" s="12" t="s">
        <v>32</v>
      </c>
      <c r="K4" s="13" t="s">
        <v>33</v>
      </c>
      <c r="L4" s="13" t="n">
        <f aca="false">COUNTIF($I$5:$I$304,"Check frequency")+COUNTIF($I$5:$I$304,"Duplicate row")+COUNTIF($I$5:$I$304,"Fill in asset and task")</f>
        <v>0</v>
      </c>
    </row>
    <row r="5" customFormat="false" ht="15" hidden="false" customHeight="false" outlineLevel="0" collapsed="false">
      <c r="A5" s="9" t="s">
        <v>34</v>
      </c>
      <c r="B5" s="9" t="s">
        <v>35</v>
      </c>
      <c r="C5" s="9" t="n">
        <v>90</v>
      </c>
      <c r="D5" s="9" t="s">
        <v>36</v>
      </c>
      <c r="E5" s="14" t="n">
        <f aca="true">TODAY()-100</f>
        <v>46205</v>
      </c>
      <c r="F5" s="15" t="n">
        <f aca="false">IF(OR(A5="",B5=""),"",IF(MAX(N(E5),SUMPRODUCT(MAX(('Completion Log'!$B$5:$B$2004=A5)*('Completion Log'!$C$5:$C$2004=B5)*'Completion Log'!$A$5:$A$2004)))=0,"",MAX(N(E5),SUMPRODUCT(MAX(('Completion Log'!$B$5:$B$2004=A5)*('Completion Log'!$C$5:$C$2004=B5)*'Completion Log'!$A$5:$A$2004)))))</f>
        <v>46205</v>
      </c>
      <c r="G5" s="15" t="n">
        <f aca="true">IF(OR(A5="",B5="",OR(NOT(ISNUMBER(C5)),N(C5)&lt;=0)),"",IF(F5="",TODAY(),F5+C5))</f>
        <v>46295</v>
      </c>
      <c r="H5" s="16" t="n">
        <f aca="true">IF(G5="","",G5-TODAY())</f>
        <v>-10</v>
      </c>
      <c r="I5" s="17" t="str">
        <f aca="false">IF(AND(A5="",B5=""),"",IF(OR(A5="",B5=""),"Fill in asset and task",IF(OR(NOT(ISNUMBER(C5)),N(C5)&lt;=0),"Check frequency",IF(SUMPRODUCT(($A$5:$A$304=A5)*($B$5:$B$304=B5))&gt;1,"Duplicate row",IF(H5&lt;0,"OVERDUE",IF(H5&lt;=$I$2,"Due soon","OK"))))))</f>
        <v>OVERDUE</v>
      </c>
      <c r="J5" s="9" t="s">
        <v>37</v>
      </c>
    </row>
    <row r="6" customFormat="false" ht="15" hidden="false" customHeight="false" outlineLevel="0" collapsed="false">
      <c r="A6" s="9" t="s">
        <v>38</v>
      </c>
      <c r="B6" s="9" t="s">
        <v>39</v>
      </c>
      <c r="C6" s="9" t="n">
        <v>7</v>
      </c>
      <c r="D6" s="9" t="s">
        <v>40</v>
      </c>
      <c r="E6" s="14" t="n">
        <f aca="true">TODAY()-3</f>
        <v>46302</v>
      </c>
      <c r="F6" s="15" t="n">
        <f aca="false">IF(OR(A6="",B6=""),"",IF(MAX(N(E6),SUMPRODUCT(MAX(('Completion Log'!$B$5:$B$2004=A6)*('Completion Log'!$C$5:$C$2004=B6)*'Completion Log'!$A$5:$A$2004)))=0,"",MAX(N(E6),SUMPRODUCT(MAX(('Completion Log'!$B$5:$B$2004=A6)*('Completion Log'!$C$5:$C$2004=B6)*'Completion Log'!$A$5:$A$2004)))))</f>
        <v>46302</v>
      </c>
      <c r="G6" s="15" t="n">
        <f aca="true">IF(OR(A6="",B6="",OR(NOT(ISNUMBER(C6)),N(C6)&lt;=0)),"",IF(F6="",TODAY(),F6+C6))</f>
        <v>46309</v>
      </c>
      <c r="H6" s="16" t="n">
        <f aca="true">IF(G6="","",G6-TODAY())</f>
        <v>4</v>
      </c>
      <c r="I6" s="17" t="str">
        <f aca="false">IF(AND(A6="",B6=""),"",IF(OR(A6="",B6=""),"Fill in asset and task",IF(OR(NOT(ISNUMBER(C6)),N(C6)&lt;=0),"Check frequency",IF(SUMPRODUCT(($A$5:$A$304=A6)*($B$5:$B$304=B6))&gt;1,"Duplicate row",IF(H6&lt;0,"OVERDUE",IF(H6&lt;=$I$2,"Due soon","OK"))))))</f>
        <v>Due soon</v>
      </c>
      <c r="J6" s="9" t="s">
        <v>37</v>
      </c>
    </row>
    <row r="7" customFormat="false" ht="15" hidden="false" customHeight="false" outlineLevel="0" collapsed="false">
      <c r="A7" s="9" t="s">
        <v>41</v>
      </c>
      <c r="B7" s="9" t="s">
        <v>42</v>
      </c>
      <c r="C7" s="9" t="n">
        <v>30</v>
      </c>
      <c r="D7" s="9" t="s">
        <v>36</v>
      </c>
      <c r="E7" s="14" t="n">
        <f aca="true">TODAY()-27</f>
        <v>46278</v>
      </c>
      <c r="F7" s="15" t="n">
        <f aca="false">IF(OR(A7="",B7=""),"",IF(MAX(N(E7),SUMPRODUCT(MAX(('Completion Log'!$B$5:$B$2004=A7)*('Completion Log'!$C$5:$C$2004=B7)*'Completion Log'!$A$5:$A$2004)))=0,"",MAX(N(E7),SUMPRODUCT(MAX(('Completion Log'!$B$5:$B$2004=A7)*('Completion Log'!$C$5:$C$2004=B7)*'Completion Log'!$A$5:$A$2004)))))</f>
        <v>46278</v>
      </c>
      <c r="G7" s="15" t="n">
        <f aca="true">IF(OR(A7="",B7="",OR(NOT(ISNUMBER(C7)),N(C7)&lt;=0)),"",IF(F7="",TODAY(),F7+C7))</f>
        <v>46308</v>
      </c>
      <c r="H7" s="16" t="n">
        <f aca="true">IF(G7="","",G7-TODAY())</f>
        <v>3</v>
      </c>
      <c r="I7" s="17" t="str">
        <f aca="false">IF(AND(A7="",B7=""),"",IF(OR(A7="",B7=""),"Fill in asset and task",IF(OR(NOT(ISNUMBER(C7)),N(C7)&lt;=0),"Check frequency",IF(SUMPRODUCT(($A$5:$A$304=A7)*($B$5:$B$304=B7))&gt;1,"Duplicate row",IF(H7&lt;0,"OVERDUE",IF(H7&lt;=$I$2,"Due soon","OK"))))))</f>
        <v>Due soon</v>
      </c>
      <c r="J7" s="9" t="s">
        <v>37</v>
      </c>
    </row>
    <row r="8" customFormat="false" ht="15" hidden="false" customHeight="false" outlineLevel="0" collapsed="false">
      <c r="A8" s="9" t="s">
        <v>43</v>
      </c>
      <c r="B8" s="9" t="s">
        <v>44</v>
      </c>
      <c r="C8" s="9" t="n">
        <v>14</v>
      </c>
      <c r="D8" s="9" t="s">
        <v>40</v>
      </c>
      <c r="E8" s="14"/>
      <c r="F8" s="15" t="n">
        <f aca="false">IF(OR(A8="",B8=""),"",IF(MAX(N(E8),SUMPRODUCT(MAX(('Completion Log'!$B$5:$B$2004=A8)*('Completion Log'!$C$5:$C$2004=B8)*'Completion Log'!$A$5:$A$2004)))=0,"",MAX(N(E8),SUMPRODUCT(MAX(('Completion Log'!$B$5:$B$2004=A8)*('Completion Log'!$C$5:$C$2004=B8)*'Completion Log'!$A$5:$A$2004)))))</f>
        <v>46303</v>
      </c>
      <c r="G8" s="15" t="n">
        <f aca="true">IF(OR(A8="",B8="",OR(NOT(ISNUMBER(C8)),N(C8)&lt;=0)),"",IF(F8="",TODAY(),F8+C8))</f>
        <v>46317</v>
      </c>
      <c r="H8" s="16" t="n">
        <f aca="true">IF(G8="","",G8-TODAY())</f>
        <v>12</v>
      </c>
      <c r="I8" s="17" t="str">
        <f aca="false">IF(AND(A8="",B8=""),"",IF(OR(A8="",B8=""),"Fill in asset and task",IF(OR(NOT(ISNUMBER(C8)),N(C8)&lt;=0),"Check frequency",IF(SUMPRODUCT(($A$5:$A$304=A8)*($B$5:$B$304=B8))&gt;1,"Duplicate row",IF(H8&lt;0,"OVERDUE",IF(H8&lt;=$I$2,"Due soon","OK"))))))</f>
        <v>OK</v>
      </c>
      <c r="J8" s="9" t="s">
        <v>37</v>
      </c>
    </row>
    <row r="9" customFormat="false" ht="15" hidden="false" customHeight="false" outlineLevel="0" collapsed="false">
      <c r="A9" s="9" t="s">
        <v>45</v>
      </c>
      <c r="B9" s="9" t="s">
        <v>46</v>
      </c>
      <c r="C9" s="9" t="n">
        <v>180</v>
      </c>
      <c r="D9" s="9" t="s">
        <v>36</v>
      </c>
      <c r="E9" s="14" t="n">
        <f aca="true">TODAY()-20</f>
        <v>46285</v>
      </c>
      <c r="F9" s="15" t="n">
        <f aca="false">IF(OR(A9="",B9=""),"",IF(MAX(N(E9),SUMPRODUCT(MAX(('Completion Log'!$B$5:$B$2004=A9)*('Completion Log'!$C$5:$C$2004=B9)*'Completion Log'!$A$5:$A$2004)))=0,"",MAX(N(E9),SUMPRODUCT(MAX(('Completion Log'!$B$5:$B$2004=A9)*('Completion Log'!$C$5:$C$2004=B9)*'Completion Log'!$A$5:$A$2004)))))</f>
        <v>46285</v>
      </c>
      <c r="G9" s="15" t="n">
        <f aca="true">IF(OR(A9="",B9="",OR(NOT(ISNUMBER(C9)),N(C9)&lt;=0)),"",IF(F9="",TODAY(),F9+C9))</f>
        <v>46465</v>
      </c>
      <c r="H9" s="16" t="n">
        <f aca="true">IF(G9="","",G9-TODAY())</f>
        <v>160</v>
      </c>
      <c r="I9" s="17" t="str">
        <f aca="false">IF(AND(A9="",B9=""),"",IF(OR(A9="",B9=""),"Fill in asset and task",IF(OR(NOT(ISNUMBER(C9)),N(C9)&lt;=0),"Check frequency",IF(SUMPRODUCT(($A$5:$A$304=A9)*($B$5:$B$304=B9))&gt;1,"Duplicate row",IF(H9&lt;0,"OVERDUE",IF(H9&lt;=$I$2,"Due soon","OK"))))))</f>
        <v>OK</v>
      </c>
      <c r="J9" s="9" t="s">
        <v>37</v>
      </c>
    </row>
    <row r="10" customFormat="false" ht="15" hidden="false" customHeight="false" outlineLevel="0" collapsed="false">
      <c r="A10" s="9"/>
      <c r="B10" s="9"/>
      <c r="C10" s="9"/>
      <c r="D10" s="9"/>
      <c r="E10" s="14"/>
      <c r="F10" s="15" t="str">
        <f aca="false">IF(OR(A10="",B10=""),"",IF(MAX(N(E10),SUMPRODUCT(MAX(('Completion Log'!$B$5:$B$2004=A10)*('Completion Log'!$C$5:$C$2004=B10)*'Completion Log'!$A$5:$A$2004)))=0,"",MAX(N(E10),SUMPRODUCT(MAX(('Completion Log'!$B$5:$B$2004=A10)*('Completion Log'!$C$5:$C$2004=B10)*'Completion Log'!$A$5:$A$2004)))))</f>
        <v/>
      </c>
      <c r="G10" s="15" t="str">
        <f aca="true">IF(OR(A10="",B10="",OR(NOT(ISNUMBER(C10)),N(C10)&lt;=0)),"",IF(F10="",TODAY(),F10+C10))</f>
        <v/>
      </c>
      <c r="H10" s="16" t="str">
        <f aca="true">IF(G10="","",G10-TODAY())</f>
        <v/>
      </c>
      <c r="I10" s="17" t="str">
        <f aca="false">IF(AND(A10="",B10=""),"",IF(OR(A10="",B10=""),"Fill in asset and task",IF(OR(NOT(ISNUMBER(C10)),N(C10)&lt;=0),"Check frequency",IF(SUMPRODUCT(($A$5:$A$304=A10)*($B$5:$B$304=B10))&gt;1,"Duplicate row",IF(H10&lt;0,"OVERDUE",IF(H10&lt;=$I$2,"Due soon","OK"))))))</f>
        <v/>
      </c>
      <c r="J10" s="9"/>
    </row>
    <row r="11" customFormat="false" ht="15" hidden="false" customHeight="false" outlineLevel="0" collapsed="false">
      <c r="A11" s="9"/>
      <c r="B11" s="9"/>
      <c r="C11" s="9"/>
      <c r="D11" s="9"/>
      <c r="E11" s="14"/>
      <c r="F11" s="15" t="str">
        <f aca="false">IF(OR(A11="",B11=""),"",IF(MAX(N(E11),SUMPRODUCT(MAX(('Completion Log'!$B$5:$B$2004=A11)*('Completion Log'!$C$5:$C$2004=B11)*'Completion Log'!$A$5:$A$2004)))=0,"",MAX(N(E11),SUMPRODUCT(MAX(('Completion Log'!$B$5:$B$2004=A11)*('Completion Log'!$C$5:$C$2004=B11)*'Completion Log'!$A$5:$A$2004)))))</f>
        <v/>
      </c>
      <c r="G11" s="15" t="str">
        <f aca="true">IF(OR(A11="",B11="",OR(NOT(ISNUMBER(C11)),N(C11)&lt;=0)),"",IF(F11="",TODAY(),F11+C11))</f>
        <v/>
      </c>
      <c r="H11" s="16" t="str">
        <f aca="true">IF(G11="","",G11-TODAY())</f>
        <v/>
      </c>
      <c r="I11" s="17" t="str">
        <f aca="false">IF(AND(A11="",B11=""),"",IF(OR(A11="",B11=""),"Fill in asset and task",IF(OR(NOT(ISNUMBER(C11)),N(C11)&lt;=0),"Check frequency",IF(SUMPRODUCT(($A$5:$A$304=A11)*($B$5:$B$304=B11))&gt;1,"Duplicate row",IF(H11&lt;0,"OVERDUE",IF(H11&lt;=$I$2,"Due soon","OK"))))))</f>
        <v/>
      </c>
      <c r="J11" s="9"/>
    </row>
    <row r="12" customFormat="false" ht="15" hidden="false" customHeight="false" outlineLevel="0" collapsed="false">
      <c r="A12" s="9"/>
      <c r="B12" s="9"/>
      <c r="C12" s="9"/>
      <c r="D12" s="9"/>
      <c r="E12" s="14"/>
      <c r="F12" s="15" t="str">
        <f aca="false">IF(OR(A12="",B12=""),"",IF(MAX(N(E12),SUMPRODUCT(MAX(('Completion Log'!$B$5:$B$2004=A12)*('Completion Log'!$C$5:$C$2004=B12)*'Completion Log'!$A$5:$A$2004)))=0,"",MAX(N(E12),SUMPRODUCT(MAX(('Completion Log'!$B$5:$B$2004=A12)*('Completion Log'!$C$5:$C$2004=B12)*'Completion Log'!$A$5:$A$2004)))))</f>
        <v/>
      </c>
      <c r="G12" s="15" t="str">
        <f aca="true">IF(OR(A12="",B12="",OR(NOT(ISNUMBER(C12)),N(C12)&lt;=0)),"",IF(F12="",TODAY(),F12+C12))</f>
        <v/>
      </c>
      <c r="H12" s="16" t="str">
        <f aca="true">IF(G12="","",G12-TODAY())</f>
        <v/>
      </c>
      <c r="I12" s="17" t="str">
        <f aca="false">IF(AND(A12="",B12=""),"",IF(OR(A12="",B12=""),"Fill in asset and task",IF(OR(NOT(ISNUMBER(C12)),N(C12)&lt;=0),"Check frequency",IF(SUMPRODUCT(($A$5:$A$304=A12)*($B$5:$B$304=B12))&gt;1,"Duplicate row",IF(H12&lt;0,"OVERDUE",IF(H12&lt;=$I$2,"Due soon","OK"))))))</f>
        <v/>
      </c>
      <c r="J12" s="9"/>
    </row>
    <row r="13" customFormat="false" ht="15" hidden="false" customHeight="false" outlineLevel="0" collapsed="false">
      <c r="A13" s="9"/>
      <c r="B13" s="9"/>
      <c r="C13" s="9"/>
      <c r="D13" s="9"/>
      <c r="E13" s="14"/>
      <c r="F13" s="15" t="str">
        <f aca="false">IF(OR(A13="",B13=""),"",IF(MAX(N(E13),SUMPRODUCT(MAX(('Completion Log'!$B$5:$B$2004=A13)*('Completion Log'!$C$5:$C$2004=B13)*'Completion Log'!$A$5:$A$2004)))=0,"",MAX(N(E13),SUMPRODUCT(MAX(('Completion Log'!$B$5:$B$2004=A13)*('Completion Log'!$C$5:$C$2004=B13)*'Completion Log'!$A$5:$A$2004)))))</f>
        <v/>
      </c>
      <c r="G13" s="15" t="str">
        <f aca="true">IF(OR(A13="",B13="",OR(NOT(ISNUMBER(C13)),N(C13)&lt;=0)),"",IF(F13="",TODAY(),F13+C13))</f>
        <v/>
      </c>
      <c r="H13" s="16" t="str">
        <f aca="true">IF(G13="","",G13-TODAY())</f>
        <v/>
      </c>
      <c r="I13" s="17" t="str">
        <f aca="false">IF(AND(A13="",B13=""),"",IF(OR(A13="",B13=""),"Fill in asset and task",IF(OR(NOT(ISNUMBER(C13)),N(C13)&lt;=0),"Check frequency",IF(SUMPRODUCT(($A$5:$A$304=A13)*($B$5:$B$304=B13))&gt;1,"Duplicate row",IF(H13&lt;0,"OVERDUE",IF(H13&lt;=$I$2,"Due soon","OK"))))))</f>
        <v/>
      </c>
      <c r="J13" s="9"/>
    </row>
    <row r="14" customFormat="false" ht="15" hidden="false" customHeight="false" outlineLevel="0" collapsed="false">
      <c r="A14" s="9"/>
      <c r="B14" s="9"/>
      <c r="C14" s="9"/>
      <c r="D14" s="9"/>
      <c r="E14" s="14"/>
      <c r="F14" s="15" t="str">
        <f aca="false">IF(OR(A14="",B14=""),"",IF(MAX(N(E14),SUMPRODUCT(MAX(('Completion Log'!$B$5:$B$2004=A14)*('Completion Log'!$C$5:$C$2004=B14)*'Completion Log'!$A$5:$A$2004)))=0,"",MAX(N(E14),SUMPRODUCT(MAX(('Completion Log'!$B$5:$B$2004=A14)*('Completion Log'!$C$5:$C$2004=B14)*'Completion Log'!$A$5:$A$2004)))))</f>
        <v/>
      </c>
      <c r="G14" s="15" t="str">
        <f aca="true">IF(OR(A14="",B14="",OR(NOT(ISNUMBER(C14)),N(C14)&lt;=0)),"",IF(F14="",TODAY(),F14+C14))</f>
        <v/>
      </c>
      <c r="H14" s="16" t="str">
        <f aca="true">IF(G14="","",G14-TODAY())</f>
        <v/>
      </c>
      <c r="I14" s="17" t="str">
        <f aca="false">IF(AND(A14="",B14=""),"",IF(OR(A14="",B14=""),"Fill in asset and task",IF(OR(NOT(ISNUMBER(C14)),N(C14)&lt;=0),"Check frequency",IF(SUMPRODUCT(($A$5:$A$304=A14)*($B$5:$B$304=B14))&gt;1,"Duplicate row",IF(H14&lt;0,"OVERDUE",IF(H14&lt;=$I$2,"Due soon","OK"))))))</f>
        <v/>
      </c>
      <c r="J14" s="9"/>
    </row>
    <row r="15" customFormat="false" ht="15" hidden="false" customHeight="false" outlineLevel="0" collapsed="false">
      <c r="A15" s="9"/>
      <c r="B15" s="9"/>
      <c r="C15" s="9"/>
      <c r="D15" s="9"/>
      <c r="E15" s="14"/>
      <c r="F15" s="15" t="str">
        <f aca="false">IF(OR(A15="",B15=""),"",IF(MAX(N(E15),SUMPRODUCT(MAX(('Completion Log'!$B$5:$B$2004=A15)*('Completion Log'!$C$5:$C$2004=B15)*'Completion Log'!$A$5:$A$2004)))=0,"",MAX(N(E15),SUMPRODUCT(MAX(('Completion Log'!$B$5:$B$2004=A15)*('Completion Log'!$C$5:$C$2004=B15)*'Completion Log'!$A$5:$A$2004)))))</f>
        <v/>
      </c>
      <c r="G15" s="15" t="str">
        <f aca="true">IF(OR(A15="",B15="",OR(NOT(ISNUMBER(C15)),N(C15)&lt;=0)),"",IF(F15="",TODAY(),F15+C15))</f>
        <v/>
      </c>
      <c r="H15" s="16" t="str">
        <f aca="true">IF(G15="","",G15-TODAY())</f>
        <v/>
      </c>
      <c r="I15" s="17" t="str">
        <f aca="false">IF(AND(A15="",B15=""),"",IF(OR(A15="",B15=""),"Fill in asset and task",IF(OR(NOT(ISNUMBER(C15)),N(C15)&lt;=0),"Check frequency",IF(SUMPRODUCT(($A$5:$A$304=A15)*($B$5:$B$304=B15))&gt;1,"Duplicate row",IF(H15&lt;0,"OVERDUE",IF(H15&lt;=$I$2,"Due soon","OK"))))))</f>
        <v/>
      </c>
      <c r="J15" s="9"/>
    </row>
    <row r="16" customFormat="false" ht="15" hidden="false" customHeight="false" outlineLevel="0" collapsed="false">
      <c r="A16" s="9"/>
      <c r="B16" s="9"/>
      <c r="C16" s="9"/>
      <c r="D16" s="9"/>
      <c r="E16" s="14"/>
      <c r="F16" s="15" t="str">
        <f aca="false">IF(OR(A16="",B16=""),"",IF(MAX(N(E16),SUMPRODUCT(MAX(('Completion Log'!$B$5:$B$2004=A16)*('Completion Log'!$C$5:$C$2004=B16)*'Completion Log'!$A$5:$A$2004)))=0,"",MAX(N(E16),SUMPRODUCT(MAX(('Completion Log'!$B$5:$B$2004=A16)*('Completion Log'!$C$5:$C$2004=B16)*'Completion Log'!$A$5:$A$2004)))))</f>
        <v/>
      </c>
      <c r="G16" s="15" t="str">
        <f aca="true">IF(OR(A16="",B16="",OR(NOT(ISNUMBER(C16)),N(C16)&lt;=0)),"",IF(F16="",TODAY(),F16+C16))</f>
        <v/>
      </c>
      <c r="H16" s="16" t="str">
        <f aca="true">IF(G16="","",G16-TODAY())</f>
        <v/>
      </c>
      <c r="I16" s="17" t="str">
        <f aca="false">IF(AND(A16="",B16=""),"",IF(OR(A16="",B16=""),"Fill in asset and task",IF(OR(NOT(ISNUMBER(C16)),N(C16)&lt;=0),"Check frequency",IF(SUMPRODUCT(($A$5:$A$304=A16)*($B$5:$B$304=B16))&gt;1,"Duplicate row",IF(H16&lt;0,"OVERDUE",IF(H16&lt;=$I$2,"Due soon","OK"))))))</f>
        <v/>
      </c>
      <c r="J16" s="9"/>
    </row>
    <row r="17" customFormat="false" ht="15" hidden="false" customHeight="false" outlineLevel="0" collapsed="false">
      <c r="A17" s="9"/>
      <c r="B17" s="9"/>
      <c r="C17" s="9"/>
      <c r="D17" s="9"/>
      <c r="E17" s="14"/>
      <c r="F17" s="15" t="str">
        <f aca="false">IF(OR(A17="",B17=""),"",IF(MAX(N(E17),SUMPRODUCT(MAX(('Completion Log'!$B$5:$B$2004=A17)*('Completion Log'!$C$5:$C$2004=B17)*'Completion Log'!$A$5:$A$2004)))=0,"",MAX(N(E17),SUMPRODUCT(MAX(('Completion Log'!$B$5:$B$2004=A17)*('Completion Log'!$C$5:$C$2004=B17)*'Completion Log'!$A$5:$A$2004)))))</f>
        <v/>
      </c>
      <c r="G17" s="15" t="str">
        <f aca="true">IF(OR(A17="",B17="",OR(NOT(ISNUMBER(C17)),N(C17)&lt;=0)),"",IF(F17="",TODAY(),F17+C17))</f>
        <v/>
      </c>
      <c r="H17" s="16" t="str">
        <f aca="true">IF(G17="","",G17-TODAY())</f>
        <v/>
      </c>
      <c r="I17" s="17" t="str">
        <f aca="false">IF(AND(A17="",B17=""),"",IF(OR(A17="",B17=""),"Fill in asset and task",IF(OR(NOT(ISNUMBER(C17)),N(C17)&lt;=0),"Check frequency",IF(SUMPRODUCT(($A$5:$A$304=A17)*($B$5:$B$304=B17))&gt;1,"Duplicate row",IF(H17&lt;0,"OVERDUE",IF(H17&lt;=$I$2,"Due soon","OK"))))))</f>
        <v/>
      </c>
      <c r="J17" s="9"/>
    </row>
    <row r="18" customFormat="false" ht="15" hidden="false" customHeight="false" outlineLevel="0" collapsed="false">
      <c r="A18" s="9"/>
      <c r="B18" s="9"/>
      <c r="C18" s="9"/>
      <c r="D18" s="9"/>
      <c r="E18" s="14"/>
      <c r="F18" s="15" t="str">
        <f aca="false">IF(OR(A18="",B18=""),"",IF(MAX(N(E18),SUMPRODUCT(MAX(('Completion Log'!$B$5:$B$2004=A18)*('Completion Log'!$C$5:$C$2004=B18)*'Completion Log'!$A$5:$A$2004)))=0,"",MAX(N(E18),SUMPRODUCT(MAX(('Completion Log'!$B$5:$B$2004=A18)*('Completion Log'!$C$5:$C$2004=B18)*'Completion Log'!$A$5:$A$2004)))))</f>
        <v/>
      </c>
      <c r="G18" s="15" t="str">
        <f aca="true">IF(OR(A18="",B18="",OR(NOT(ISNUMBER(C18)),N(C18)&lt;=0)),"",IF(F18="",TODAY(),F18+C18))</f>
        <v/>
      </c>
      <c r="H18" s="16" t="str">
        <f aca="true">IF(G18="","",G18-TODAY())</f>
        <v/>
      </c>
      <c r="I18" s="17" t="str">
        <f aca="false">IF(AND(A18="",B18=""),"",IF(OR(A18="",B18=""),"Fill in asset and task",IF(OR(NOT(ISNUMBER(C18)),N(C18)&lt;=0),"Check frequency",IF(SUMPRODUCT(($A$5:$A$304=A18)*($B$5:$B$304=B18))&gt;1,"Duplicate row",IF(H18&lt;0,"OVERDUE",IF(H18&lt;=$I$2,"Due soon","OK"))))))</f>
        <v/>
      </c>
      <c r="J18" s="9"/>
    </row>
    <row r="19" customFormat="false" ht="15" hidden="false" customHeight="false" outlineLevel="0" collapsed="false">
      <c r="A19" s="9"/>
      <c r="B19" s="9"/>
      <c r="C19" s="9"/>
      <c r="D19" s="9"/>
      <c r="E19" s="14"/>
      <c r="F19" s="15" t="str">
        <f aca="false">IF(OR(A19="",B19=""),"",IF(MAX(N(E19),SUMPRODUCT(MAX(('Completion Log'!$B$5:$B$2004=A19)*('Completion Log'!$C$5:$C$2004=B19)*'Completion Log'!$A$5:$A$2004)))=0,"",MAX(N(E19),SUMPRODUCT(MAX(('Completion Log'!$B$5:$B$2004=A19)*('Completion Log'!$C$5:$C$2004=B19)*'Completion Log'!$A$5:$A$2004)))))</f>
        <v/>
      </c>
      <c r="G19" s="15" t="str">
        <f aca="true">IF(OR(A19="",B19="",OR(NOT(ISNUMBER(C19)),N(C19)&lt;=0)),"",IF(F19="",TODAY(),F19+C19))</f>
        <v/>
      </c>
      <c r="H19" s="16" t="str">
        <f aca="true">IF(G19="","",G19-TODAY())</f>
        <v/>
      </c>
      <c r="I19" s="17" t="str">
        <f aca="false">IF(AND(A19="",B19=""),"",IF(OR(A19="",B19=""),"Fill in asset and task",IF(OR(NOT(ISNUMBER(C19)),N(C19)&lt;=0),"Check frequency",IF(SUMPRODUCT(($A$5:$A$304=A19)*($B$5:$B$304=B19))&gt;1,"Duplicate row",IF(H19&lt;0,"OVERDUE",IF(H19&lt;=$I$2,"Due soon","OK"))))))</f>
        <v/>
      </c>
      <c r="J19" s="9"/>
    </row>
    <row r="20" customFormat="false" ht="15" hidden="false" customHeight="false" outlineLevel="0" collapsed="false">
      <c r="A20" s="9"/>
      <c r="B20" s="9"/>
      <c r="C20" s="9"/>
      <c r="D20" s="9"/>
      <c r="E20" s="14"/>
      <c r="F20" s="15" t="str">
        <f aca="false">IF(OR(A20="",B20=""),"",IF(MAX(N(E20),SUMPRODUCT(MAX(('Completion Log'!$B$5:$B$2004=A20)*('Completion Log'!$C$5:$C$2004=B20)*'Completion Log'!$A$5:$A$2004)))=0,"",MAX(N(E20),SUMPRODUCT(MAX(('Completion Log'!$B$5:$B$2004=A20)*('Completion Log'!$C$5:$C$2004=B20)*'Completion Log'!$A$5:$A$2004)))))</f>
        <v/>
      </c>
      <c r="G20" s="15" t="str">
        <f aca="true">IF(OR(A20="",B20="",OR(NOT(ISNUMBER(C20)),N(C20)&lt;=0)),"",IF(F20="",TODAY(),F20+C20))</f>
        <v/>
      </c>
      <c r="H20" s="16" t="str">
        <f aca="true">IF(G20="","",G20-TODAY())</f>
        <v/>
      </c>
      <c r="I20" s="17" t="str">
        <f aca="false">IF(AND(A20="",B20=""),"",IF(OR(A20="",B20=""),"Fill in asset and task",IF(OR(NOT(ISNUMBER(C20)),N(C20)&lt;=0),"Check frequency",IF(SUMPRODUCT(($A$5:$A$304=A20)*($B$5:$B$304=B20))&gt;1,"Duplicate row",IF(H20&lt;0,"OVERDUE",IF(H20&lt;=$I$2,"Due soon","OK"))))))</f>
        <v/>
      </c>
      <c r="J20" s="9"/>
    </row>
    <row r="21" customFormat="false" ht="15" hidden="false" customHeight="false" outlineLevel="0" collapsed="false">
      <c r="A21" s="9"/>
      <c r="B21" s="9"/>
      <c r="C21" s="9"/>
      <c r="D21" s="9"/>
      <c r="E21" s="14"/>
      <c r="F21" s="15" t="str">
        <f aca="false">IF(OR(A21="",B21=""),"",IF(MAX(N(E21),SUMPRODUCT(MAX(('Completion Log'!$B$5:$B$2004=A21)*('Completion Log'!$C$5:$C$2004=B21)*'Completion Log'!$A$5:$A$2004)))=0,"",MAX(N(E21),SUMPRODUCT(MAX(('Completion Log'!$B$5:$B$2004=A21)*('Completion Log'!$C$5:$C$2004=B21)*'Completion Log'!$A$5:$A$2004)))))</f>
        <v/>
      </c>
      <c r="G21" s="15" t="str">
        <f aca="true">IF(OR(A21="",B21="",OR(NOT(ISNUMBER(C21)),N(C21)&lt;=0)),"",IF(F21="",TODAY(),F21+C21))</f>
        <v/>
      </c>
      <c r="H21" s="16" t="str">
        <f aca="true">IF(G21="","",G21-TODAY())</f>
        <v/>
      </c>
      <c r="I21" s="17" t="str">
        <f aca="false">IF(AND(A21="",B21=""),"",IF(OR(A21="",B21=""),"Fill in asset and task",IF(OR(NOT(ISNUMBER(C21)),N(C21)&lt;=0),"Check frequency",IF(SUMPRODUCT(($A$5:$A$304=A21)*($B$5:$B$304=B21))&gt;1,"Duplicate row",IF(H21&lt;0,"OVERDUE",IF(H21&lt;=$I$2,"Due soon","OK"))))))</f>
        <v/>
      </c>
      <c r="J21" s="9"/>
    </row>
    <row r="22" customFormat="false" ht="15" hidden="false" customHeight="false" outlineLevel="0" collapsed="false">
      <c r="A22" s="9"/>
      <c r="B22" s="9"/>
      <c r="C22" s="9"/>
      <c r="D22" s="9"/>
      <c r="E22" s="14"/>
      <c r="F22" s="15" t="str">
        <f aca="false">IF(OR(A22="",B22=""),"",IF(MAX(N(E22),SUMPRODUCT(MAX(('Completion Log'!$B$5:$B$2004=A22)*('Completion Log'!$C$5:$C$2004=B22)*'Completion Log'!$A$5:$A$2004)))=0,"",MAX(N(E22),SUMPRODUCT(MAX(('Completion Log'!$B$5:$B$2004=A22)*('Completion Log'!$C$5:$C$2004=B22)*'Completion Log'!$A$5:$A$2004)))))</f>
        <v/>
      </c>
      <c r="G22" s="15" t="str">
        <f aca="true">IF(OR(A22="",B22="",OR(NOT(ISNUMBER(C22)),N(C22)&lt;=0)),"",IF(F22="",TODAY(),F22+C22))</f>
        <v/>
      </c>
      <c r="H22" s="16" t="str">
        <f aca="true">IF(G22="","",G22-TODAY())</f>
        <v/>
      </c>
      <c r="I22" s="17" t="str">
        <f aca="false">IF(AND(A22="",B22=""),"",IF(OR(A22="",B22=""),"Fill in asset and task",IF(OR(NOT(ISNUMBER(C22)),N(C22)&lt;=0),"Check frequency",IF(SUMPRODUCT(($A$5:$A$304=A22)*($B$5:$B$304=B22))&gt;1,"Duplicate row",IF(H22&lt;0,"OVERDUE",IF(H22&lt;=$I$2,"Due soon","OK"))))))</f>
        <v/>
      </c>
      <c r="J22" s="9"/>
    </row>
    <row r="23" customFormat="false" ht="15" hidden="false" customHeight="false" outlineLevel="0" collapsed="false">
      <c r="A23" s="9"/>
      <c r="B23" s="9"/>
      <c r="C23" s="9"/>
      <c r="D23" s="9"/>
      <c r="E23" s="14"/>
      <c r="F23" s="15" t="str">
        <f aca="false">IF(OR(A23="",B23=""),"",IF(MAX(N(E23),SUMPRODUCT(MAX(('Completion Log'!$B$5:$B$2004=A23)*('Completion Log'!$C$5:$C$2004=B23)*'Completion Log'!$A$5:$A$2004)))=0,"",MAX(N(E23),SUMPRODUCT(MAX(('Completion Log'!$B$5:$B$2004=A23)*('Completion Log'!$C$5:$C$2004=B23)*'Completion Log'!$A$5:$A$2004)))))</f>
        <v/>
      </c>
      <c r="G23" s="15" t="str">
        <f aca="true">IF(OR(A23="",B23="",OR(NOT(ISNUMBER(C23)),N(C23)&lt;=0)),"",IF(F23="",TODAY(),F23+C23))</f>
        <v/>
      </c>
      <c r="H23" s="16" t="str">
        <f aca="true">IF(G23="","",G23-TODAY())</f>
        <v/>
      </c>
      <c r="I23" s="17" t="str">
        <f aca="false">IF(AND(A23="",B23=""),"",IF(OR(A23="",B23=""),"Fill in asset and task",IF(OR(NOT(ISNUMBER(C23)),N(C23)&lt;=0),"Check frequency",IF(SUMPRODUCT(($A$5:$A$304=A23)*($B$5:$B$304=B23))&gt;1,"Duplicate row",IF(H23&lt;0,"OVERDUE",IF(H23&lt;=$I$2,"Due soon","OK"))))))</f>
        <v/>
      </c>
      <c r="J23" s="9"/>
    </row>
    <row r="24" customFormat="false" ht="15" hidden="false" customHeight="false" outlineLevel="0" collapsed="false">
      <c r="A24" s="9"/>
      <c r="B24" s="9"/>
      <c r="C24" s="9"/>
      <c r="D24" s="9"/>
      <c r="E24" s="14"/>
      <c r="F24" s="15" t="str">
        <f aca="false">IF(OR(A24="",B24=""),"",IF(MAX(N(E24),SUMPRODUCT(MAX(('Completion Log'!$B$5:$B$2004=A24)*('Completion Log'!$C$5:$C$2004=B24)*'Completion Log'!$A$5:$A$2004)))=0,"",MAX(N(E24),SUMPRODUCT(MAX(('Completion Log'!$B$5:$B$2004=A24)*('Completion Log'!$C$5:$C$2004=B24)*'Completion Log'!$A$5:$A$2004)))))</f>
        <v/>
      </c>
      <c r="G24" s="15" t="str">
        <f aca="true">IF(OR(A24="",B24="",OR(NOT(ISNUMBER(C24)),N(C24)&lt;=0)),"",IF(F24="",TODAY(),F24+C24))</f>
        <v/>
      </c>
      <c r="H24" s="16" t="str">
        <f aca="true">IF(G24="","",G24-TODAY())</f>
        <v/>
      </c>
      <c r="I24" s="17" t="str">
        <f aca="false">IF(AND(A24="",B24=""),"",IF(OR(A24="",B24=""),"Fill in asset and task",IF(OR(NOT(ISNUMBER(C24)),N(C24)&lt;=0),"Check frequency",IF(SUMPRODUCT(($A$5:$A$304=A24)*($B$5:$B$304=B24))&gt;1,"Duplicate row",IF(H24&lt;0,"OVERDUE",IF(H24&lt;=$I$2,"Due soon","OK"))))))</f>
        <v/>
      </c>
      <c r="J24" s="9"/>
    </row>
    <row r="25" customFormat="false" ht="15" hidden="false" customHeight="false" outlineLevel="0" collapsed="false">
      <c r="A25" s="9"/>
      <c r="B25" s="9"/>
      <c r="C25" s="9"/>
      <c r="D25" s="9"/>
      <c r="E25" s="14"/>
      <c r="F25" s="15" t="str">
        <f aca="false">IF(OR(A25="",B25=""),"",IF(MAX(N(E25),SUMPRODUCT(MAX(('Completion Log'!$B$5:$B$2004=A25)*('Completion Log'!$C$5:$C$2004=B25)*'Completion Log'!$A$5:$A$2004)))=0,"",MAX(N(E25),SUMPRODUCT(MAX(('Completion Log'!$B$5:$B$2004=A25)*('Completion Log'!$C$5:$C$2004=B25)*'Completion Log'!$A$5:$A$2004)))))</f>
        <v/>
      </c>
      <c r="G25" s="15" t="str">
        <f aca="true">IF(OR(A25="",B25="",OR(NOT(ISNUMBER(C25)),N(C25)&lt;=0)),"",IF(F25="",TODAY(),F25+C25))</f>
        <v/>
      </c>
      <c r="H25" s="16" t="str">
        <f aca="true">IF(G25="","",G25-TODAY())</f>
        <v/>
      </c>
      <c r="I25" s="17" t="str">
        <f aca="false">IF(AND(A25="",B25=""),"",IF(OR(A25="",B25=""),"Fill in asset and task",IF(OR(NOT(ISNUMBER(C25)),N(C25)&lt;=0),"Check frequency",IF(SUMPRODUCT(($A$5:$A$304=A25)*($B$5:$B$304=B25))&gt;1,"Duplicate row",IF(H25&lt;0,"OVERDUE",IF(H25&lt;=$I$2,"Due soon","OK"))))))</f>
        <v/>
      </c>
      <c r="J25" s="9"/>
    </row>
    <row r="26" customFormat="false" ht="15" hidden="false" customHeight="false" outlineLevel="0" collapsed="false">
      <c r="A26" s="9"/>
      <c r="B26" s="9"/>
      <c r="C26" s="9"/>
      <c r="D26" s="9"/>
      <c r="E26" s="14"/>
      <c r="F26" s="15" t="str">
        <f aca="false">IF(OR(A26="",B26=""),"",IF(MAX(N(E26),SUMPRODUCT(MAX(('Completion Log'!$B$5:$B$2004=A26)*('Completion Log'!$C$5:$C$2004=B26)*'Completion Log'!$A$5:$A$2004)))=0,"",MAX(N(E26),SUMPRODUCT(MAX(('Completion Log'!$B$5:$B$2004=A26)*('Completion Log'!$C$5:$C$2004=B26)*'Completion Log'!$A$5:$A$2004)))))</f>
        <v/>
      </c>
      <c r="G26" s="15" t="str">
        <f aca="true">IF(OR(A26="",B26="",OR(NOT(ISNUMBER(C26)),N(C26)&lt;=0)),"",IF(F26="",TODAY(),F26+C26))</f>
        <v/>
      </c>
      <c r="H26" s="16" t="str">
        <f aca="true">IF(G26="","",G26-TODAY())</f>
        <v/>
      </c>
      <c r="I26" s="17" t="str">
        <f aca="false">IF(AND(A26="",B26=""),"",IF(OR(A26="",B26=""),"Fill in asset and task",IF(OR(NOT(ISNUMBER(C26)),N(C26)&lt;=0),"Check frequency",IF(SUMPRODUCT(($A$5:$A$304=A26)*($B$5:$B$304=B26))&gt;1,"Duplicate row",IF(H26&lt;0,"OVERDUE",IF(H26&lt;=$I$2,"Due soon","OK"))))))</f>
        <v/>
      </c>
      <c r="J26" s="9"/>
    </row>
    <row r="27" customFormat="false" ht="15" hidden="false" customHeight="false" outlineLevel="0" collapsed="false">
      <c r="A27" s="9"/>
      <c r="B27" s="9"/>
      <c r="C27" s="9"/>
      <c r="D27" s="9"/>
      <c r="E27" s="14"/>
      <c r="F27" s="15" t="str">
        <f aca="false">IF(OR(A27="",B27=""),"",IF(MAX(N(E27),SUMPRODUCT(MAX(('Completion Log'!$B$5:$B$2004=A27)*('Completion Log'!$C$5:$C$2004=B27)*'Completion Log'!$A$5:$A$2004)))=0,"",MAX(N(E27),SUMPRODUCT(MAX(('Completion Log'!$B$5:$B$2004=A27)*('Completion Log'!$C$5:$C$2004=B27)*'Completion Log'!$A$5:$A$2004)))))</f>
        <v/>
      </c>
      <c r="G27" s="15" t="str">
        <f aca="true">IF(OR(A27="",B27="",OR(NOT(ISNUMBER(C27)),N(C27)&lt;=0)),"",IF(F27="",TODAY(),F27+C27))</f>
        <v/>
      </c>
      <c r="H27" s="16" t="str">
        <f aca="true">IF(G27="","",G27-TODAY())</f>
        <v/>
      </c>
      <c r="I27" s="17" t="str">
        <f aca="false">IF(AND(A27="",B27=""),"",IF(OR(A27="",B27=""),"Fill in asset and task",IF(OR(NOT(ISNUMBER(C27)),N(C27)&lt;=0),"Check frequency",IF(SUMPRODUCT(($A$5:$A$304=A27)*($B$5:$B$304=B27))&gt;1,"Duplicate row",IF(H27&lt;0,"OVERDUE",IF(H27&lt;=$I$2,"Due soon","OK"))))))</f>
        <v/>
      </c>
      <c r="J27" s="9"/>
    </row>
    <row r="28" customFormat="false" ht="15" hidden="false" customHeight="false" outlineLevel="0" collapsed="false">
      <c r="A28" s="9"/>
      <c r="B28" s="9"/>
      <c r="C28" s="9"/>
      <c r="D28" s="9"/>
      <c r="E28" s="14"/>
      <c r="F28" s="15" t="str">
        <f aca="false">IF(OR(A28="",B28=""),"",IF(MAX(N(E28),SUMPRODUCT(MAX(('Completion Log'!$B$5:$B$2004=A28)*('Completion Log'!$C$5:$C$2004=B28)*'Completion Log'!$A$5:$A$2004)))=0,"",MAX(N(E28),SUMPRODUCT(MAX(('Completion Log'!$B$5:$B$2004=A28)*('Completion Log'!$C$5:$C$2004=B28)*'Completion Log'!$A$5:$A$2004)))))</f>
        <v/>
      </c>
      <c r="G28" s="15" t="str">
        <f aca="true">IF(OR(A28="",B28="",OR(NOT(ISNUMBER(C28)),N(C28)&lt;=0)),"",IF(F28="",TODAY(),F28+C28))</f>
        <v/>
      </c>
      <c r="H28" s="16" t="str">
        <f aca="true">IF(G28="","",G28-TODAY())</f>
        <v/>
      </c>
      <c r="I28" s="17" t="str">
        <f aca="false">IF(AND(A28="",B28=""),"",IF(OR(A28="",B28=""),"Fill in asset and task",IF(OR(NOT(ISNUMBER(C28)),N(C28)&lt;=0),"Check frequency",IF(SUMPRODUCT(($A$5:$A$304=A28)*($B$5:$B$304=B28))&gt;1,"Duplicate row",IF(H28&lt;0,"OVERDUE",IF(H28&lt;=$I$2,"Due soon","OK"))))))</f>
        <v/>
      </c>
      <c r="J28" s="9"/>
    </row>
    <row r="29" customFormat="false" ht="15" hidden="false" customHeight="false" outlineLevel="0" collapsed="false">
      <c r="A29" s="9"/>
      <c r="B29" s="9"/>
      <c r="C29" s="9"/>
      <c r="D29" s="9"/>
      <c r="E29" s="14"/>
      <c r="F29" s="15" t="str">
        <f aca="false">IF(OR(A29="",B29=""),"",IF(MAX(N(E29),SUMPRODUCT(MAX(('Completion Log'!$B$5:$B$2004=A29)*('Completion Log'!$C$5:$C$2004=B29)*'Completion Log'!$A$5:$A$2004)))=0,"",MAX(N(E29),SUMPRODUCT(MAX(('Completion Log'!$B$5:$B$2004=A29)*('Completion Log'!$C$5:$C$2004=B29)*'Completion Log'!$A$5:$A$2004)))))</f>
        <v/>
      </c>
      <c r="G29" s="15" t="str">
        <f aca="true">IF(OR(A29="",B29="",OR(NOT(ISNUMBER(C29)),N(C29)&lt;=0)),"",IF(F29="",TODAY(),F29+C29))</f>
        <v/>
      </c>
      <c r="H29" s="16" t="str">
        <f aca="true">IF(G29="","",G29-TODAY())</f>
        <v/>
      </c>
      <c r="I29" s="17" t="str">
        <f aca="false">IF(AND(A29="",B29=""),"",IF(OR(A29="",B29=""),"Fill in asset and task",IF(OR(NOT(ISNUMBER(C29)),N(C29)&lt;=0),"Check frequency",IF(SUMPRODUCT(($A$5:$A$304=A29)*($B$5:$B$304=B29))&gt;1,"Duplicate row",IF(H29&lt;0,"OVERDUE",IF(H29&lt;=$I$2,"Due soon","OK"))))))</f>
        <v/>
      </c>
      <c r="J29" s="9"/>
    </row>
    <row r="30" customFormat="false" ht="15" hidden="false" customHeight="false" outlineLevel="0" collapsed="false">
      <c r="A30" s="9"/>
      <c r="B30" s="9"/>
      <c r="C30" s="9"/>
      <c r="D30" s="9"/>
      <c r="E30" s="14"/>
      <c r="F30" s="15" t="str">
        <f aca="false">IF(OR(A30="",B30=""),"",IF(MAX(N(E30),SUMPRODUCT(MAX(('Completion Log'!$B$5:$B$2004=A30)*('Completion Log'!$C$5:$C$2004=B30)*'Completion Log'!$A$5:$A$2004)))=0,"",MAX(N(E30),SUMPRODUCT(MAX(('Completion Log'!$B$5:$B$2004=A30)*('Completion Log'!$C$5:$C$2004=B30)*'Completion Log'!$A$5:$A$2004)))))</f>
        <v/>
      </c>
      <c r="G30" s="15" t="str">
        <f aca="true">IF(OR(A30="",B30="",OR(NOT(ISNUMBER(C30)),N(C30)&lt;=0)),"",IF(F30="",TODAY(),F30+C30))</f>
        <v/>
      </c>
      <c r="H30" s="16" t="str">
        <f aca="true">IF(G30="","",G30-TODAY())</f>
        <v/>
      </c>
      <c r="I30" s="17" t="str">
        <f aca="false">IF(AND(A30="",B30=""),"",IF(OR(A30="",B30=""),"Fill in asset and task",IF(OR(NOT(ISNUMBER(C30)),N(C30)&lt;=0),"Check frequency",IF(SUMPRODUCT(($A$5:$A$304=A30)*($B$5:$B$304=B30))&gt;1,"Duplicate row",IF(H30&lt;0,"OVERDUE",IF(H30&lt;=$I$2,"Due soon","OK"))))))</f>
        <v/>
      </c>
      <c r="J30" s="9"/>
    </row>
    <row r="31" customFormat="false" ht="15" hidden="false" customHeight="false" outlineLevel="0" collapsed="false">
      <c r="A31" s="9"/>
      <c r="B31" s="9"/>
      <c r="C31" s="9"/>
      <c r="D31" s="9"/>
      <c r="E31" s="14"/>
      <c r="F31" s="15" t="str">
        <f aca="false">IF(OR(A31="",B31=""),"",IF(MAX(N(E31),SUMPRODUCT(MAX(('Completion Log'!$B$5:$B$2004=A31)*('Completion Log'!$C$5:$C$2004=B31)*'Completion Log'!$A$5:$A$2004)))=0,"",MAX(N(E31),SUMPRODUCT(MAX(('Completion Log'!$B$5:$B$2004=A31)*('Completion Log'!$C$5:$C$2004=B31)*'Completion Log'!$A$5:$A$2004)))))</f>
        <v/>
      </c>
      <c r="G31" s="15" t="str">
        <f aca="true">IF(OR(A31="",B31="",OR(NOT(ISNUMBER(C31)),N(C31)&lt;=0)),"",IF(F31="",TODAY(),F31+C31))</f>
        <v/>
      </c>
      <c r="H31" s="16" t="str">
        <f aca="true">IF(G31="","",G31-TODAY())</f>
        <v/>
      </c>
      <c r="I31" s="17" t="str">
        <f aca="false">IF(AND(A31="",B31=""),"",IF(OR(A31="",B31=""),"Fill in asset and task",IF(OR(NOT(ISNUMBER(C31)),N(C31)&lt;=0),"Check frequency",IF(SUMPRODUCT(($A$5:$A$304=A31)*($B$5:$B$304=B31))&gt;1,"Duplicate row",IF(H31&lt;0,"OVERDUE",IF(H31&lt;=$I$2,"Due soon","OK"))))))</f>
        <v/>
      </c>
      <c r="J31" s="9"/>
    </row>
    <row r="32" customFormat="false" ht="15" hidden="false" customHeight="false" outlineLevel="0" collapsed="false">
      <c r="A32" s="9"/>
      <c r="B32" s="9"/>
      <c r="C32" s="9"/>
      <c r="D32" s="9"/>
      <c r="E32" s="14"/>
      <c r="F32" s="15" t="str">
        <f aca="false">IF(OR(A32="",B32=""),"",IF(MAX(N(E32),SUMPRODUCT(MAX(('Completion Log'!$B$5:$B$2004=A32)*('Completion Log'!$C$5:$C$2004=B32)*'Completion Log'!$A$5:$A$2004)))=0,"",MAX(N(E32),SUMPRODUCT(MAX(('Completion Log'!$B$5:$B$2004=A32)*('Completion Log'!$C$5:$C$2004=B32)*'Completion Log'!$A$5:$A$2004)))))</f>
        <v/>
      </c>
      <c r="G32" s="15" t="str">
        <f aca="true">IF(OR(A32="",B32="",OR(NOT(ISNUMBER(C32)),N(C32)&lt;=0)),"",IF(F32="",TODAY(),F32+C32))</f>
        <v/>
      </c>
      <c r="H32" s="16" t="str">
        <f aca="true">IF(G32="","",G32-TODAY())</f>
        <v/>
      </c>
      <c r="I32" s="17" t="str">
        <f aca="false">IF(AND(A32="",B32=""),"",IF(OR(A32="",B32=""),"Fill in asset and task",IF(OR(NOT(ISNUMBER(C32)),N(C32)&lt;=0),"Check frequency",IF(SUMPRODUCT(($A$5:$A$304=A32)*($B$5:$B$304=B32))&gt;1,"Duplicate row",IF(H32&lt;0,"OVERDUE",IF(H32&lt;=$I$2,"Due soon","OK"))))))</f>
        <v/>
      </c>
      <c r="J32" s="9"/>
    </row>
    <row r="33" customFormat="false" ht="15" hidden="false" customHeight="false" outlineLevel="0" collapsed="false">
      <c r="A33" s="9"/>
      <c r="B33" s="9"/>
      <c r="C33" s="9"/>
      <c r="D33" s="9"/>
      <c r="E33" s="14"/>
      <c r="F33" s="15" t="str">
        <f aca="false">IF(OR(A33="",B33=""),"",IF(MAX(N(E33),SUMPRODUCT(MAX(('Completion Log'!$B$5:$B$2004=A33)*('Completion Log'!$C$5:$C$2004=B33)*'Completion Log'!$A$5:$A$2004)))=0,"",MAX(N(E33),SUMPRODUCT(MAX(('Completion Log'!$B$5:$B$2004=A33)*('Completion Log'!$C$5:$C$2004=B33)*'Completion Log'!$A$5:$A$2004)))))</f>
        <v/>
      </c>
      <c r="G33" s="15" t="str">
        <f aca="true">IF(OR(A33="",B33="",OR(NOT(ISNUMBER(C33)),N(C33)&lt;=0)),"",IF(F33="",TODAY(),F33+C33))</f>
        <v/>
      </c>
      <c r="H33" s="16" t="str">
        <f aca="true">IF(G33="","",G33-TODAY())</f>
        <v/>
      </c>
      <c r="I33" s="17" t="str">
        <f aca="false">IF(AND(A33="",B33=""),"",IF(OR(A33="",B33=""),"Fill in asset and task",IF(OR(NOT(ISNUMBER(C33)),N(C33)&lt;=0),"Check frequency",IF(SUMPRODUCT(($A$5:$A$304=A33)*($B$5:$B$304=B33))&gt;1,"Duplicate row",IF(H33&lt;0,"OVERDUE",IF(H33&lt;=$I$2,"Due soon","OK"))))))</f>
        <v/>
      </c>
      <c r="J33" s="9"/>
    </row>
    <row r="34" customFormat="false" ht="15" hidden="false" customHeight="false" outlineLevel="0" collapsed="false">
      <c r="A34" s="9"/>
      <c r="B34" s="9"/>
      <c r="C34" s="9"/>
      <c r="D34" s="9"/>
      <c r="E34" s="14"/>
      <c r="F34" s="15" t="str">
        <f aca="false">IF(OR(A34="",B34=""),"",IF(MAX(N(E34),SUMPRODUCT(MAX(('Completion Log'!$B$5:$B$2004=A34)*('Completion Log'!$C$5:$C$2004=B34)*'Completion Log'!$A$5:$A$2004)))=0,"",MAX(N(E34),SUMPRODUCT(MAX(('Completion Log'!$B$5:$B$2004=A34)*('Completion Log'!$C$5:$C$2004=B34)*'Completion Log'!$A$5:$A$2004)))))</f>
        <v/>
      </c>
      <c r="G34" s="15" t="str">
        <f aca="true">IF(OR(A34="",B34="",OR(NOT(ISNUMBER(C34)),N(C34)&lt;=0)),"",IF(F34="",TODAY(),F34+C34))</f>
        <v/>
      </c>
      <c r="H34" s="16" t="str">
        <f aca="true">IF(G34="","",G34-TODAY())</f>
        <v/>
      </c>
      <c r="I34" s="17" t="str">
        <f aca="false">IF(AND(A34="",B34=""),"",IF(OR(A34="",B34=""),"Fill in asset and task",IF(OR(NOT(ISNUMBER(C34)),N(C34)&lt;=0),"Check frequency",IF(SUMPRODUCT(($A$5:$A$304=A34)*($B$5:$B$304=B34))&gt;1,"Duplicate row",IF(H34&lt;0,"OVERDUE",IF(H34&lt;=$I$2,"Due soon","OK"))))))</f>
        <v/>
      </c>
      <c r="J34" s="9"/>
    </row>
    <row r="35" customFormat="false" ht="15" hidden="false" customHeight="false" outlineLevel="0" collapsed="false">
      <c r="A35" s="9"/>
      <c r="B35" s="9"/>
      <c r="C35" s="9"/>
      <c r="D35" s="9"/>
      <c r="E35" s="14"/>
      <c r="F35" s="15" t="str">
        <f aca="false">IF(OR(A35="",B35=""),"",IF(MAX(N(E35),SUMPRODUCT(MAX(('Completion Log'!$B$5:$B$2004=A35)*('Completion Log'!$C$5:$C$2004=B35)*'Completion Log'!$A$5:$A$2004)))=0,"",MAX(N(E35),SUMPRODUCT(MAX(('Completion Log'!$B$5:$B$2004=A35)*('Completion Log'!$C$5:$C$2004=B35)*'Completion Log'!$A$5:$A$2004)))))</f>
        <v/>
      </c>
      <c r="G35" s="15" t="str">
        <f aca="true">IF(OR(A35="",B35="",OR(NOT(ISNUMBER(C35)),N(C35)&lt;=0)),"",IF(F35="",TODAY(),F35+C35))</f>
        <v/>
      </c>
      <c r="H35" s="16" t="str">
        <f aca="true">IF(G35="","",G35-TODAY())</f>
        <v/>
      </c>
      <c r="I35" s="17" t="str">
        <f aca="false">IF(AND(A35="",B35=""),"",IF(OR(A35="",B35=""),"Fill in asset and task",IF(OR(NOT(ISNUMBER(C35)),N(C35)&lt;=0),"Check frequency",IF(SUMPRODUCT(($A$5:$A$304=A35)*($B$5:$B$304=B35))&gt;1,"Duplicate row",IF(H35&lt;0,"OVERDUE",IF(H35&lt;=$I$2,"Due soon","OK"))))))</f>
        <v/>
      </c>
      <c r="J35" s="9"/>
    </row>
    <row r="36" customFormat="false" ht="15" hidden="false" customHeight="false" outlineLevel="0" collapsed="false">
      <c r="A36" s="9"/>
      <c r="B36" s="9"/>
      <c r="C36" s="9"/>
      <c r="D36" s="9"/>
      <c r="E36" s="14"/>
      <c r="F36" s="15" t="str">
        <f aca="false">IF(OR(A36="",B36=""),"",IF(MAX(N(E36),SUMPRODUCT(MAX(('Completion Log'!$B$5:$B$2004=A36)*('Completion Log'!$C$5:$C$2004=B36)*'Completion Log'!$A$5:$A$2004)))=0,"",MAX(N(E36),SUMPRODUCT(MAX(('Completion Log'!$B$5:$B$2004=A36)*('Completion Log'!$C$5:$C$2004=B36)*'Completion Log'!$A$5:$A$2004)))))</f>
        <v/>
      </c>
      <c r="G36" s="15" t="str">
        <f aca="true">IF(OR(A36="",B36="",OR(NOT(ISNUMBER(C36)),N(C36)&lt;=0)),"",IF(F36="",TODAY(),F36+C36))</f>
        <v/>
      </c>
      <c r="H36" s="16" t="str">
        <f aca="true">IF(G36="","",G36-TODAY())</f>
        <v/>
      </c>
      <c r="I36" s="17" t="str">
        <f aca="false">IF(AND(A36="",B36=""),"",IF(OR(A36="",B36=""),"Fill in asset and task",IF(OR(NOT(ISNUMBER(C36)),N(C36)&lt;=0),"Check frequency",IF(SUMPRODUCT(($A$5:$A$304=A36)*($B$5:$B$304=B36))&gt;1,"Duplicate row",IF(H36&lt;0,"OVERDUE",IF(H36&lt;=$I$2,"Due soon","OK"))))))</f>
        <v/>
      </c>
      <c r="J36" s="9"/>
    </row>
    <row r="37" customFormat="false" ht="15" hidden="false" customHeight="false" outlineLevel="0" collapsed="false">
      <c r="A37" s="9"/>
      <c r="B37" s="9"/>
      <c r="C37" s="9"/>
      <c r="D37" s="9"/>
      <c r="E37" s="14"/>
      <c r="F37" s="15" t="str">
        <f aca="false">IF(OR(A37="",B37=""),"",IF(MAX(N(E37),SUMPRODUCT(MAX(('Completion Log'!$B$5:$B$2004=A37)*('Completion Log'!$C$5:$C$2004=B37)*'Completion Log'!$A$5:$A$2004)))=0,"",MAX(N(E37),SUMPRODUCT(MAX(('Completion Log'!$B$5:$B$2004=A37)*('Completion Log'!$C$5:$C$2004=B37)*'Completion Log'!$A$5:$A$2004)))))</f>
        <v/>
      </c>
      <c r="G37" s="15" t="str">
        <f aca="true">IF(OR(A37="",B37="",OR(NOT(ISNUMBER(C37)),N(C37)&lt;=0)),"",IF(F37="",TODAY(),F37+C37))</f>
        <v/>
      </c>
      <c r="H37" s="16" t="str">
        <f aca="true">IF(G37="","",G37-TODAY())</f>
        <v/>
      </c>
      <c r="I37" s="17" t="str">
        <f aca="false">IF(AND(A37="",B37=""),"",IF(OR(A37="",B37=""),"Fill in asset and task",IF(OR(NOT(ISNUMBER(C37)),N(C37)&lt;=0),"Check frequency",IF(SUMPRODUCT(($A$5:$A$304=A37)*($B$5:$B$304=B37))&gt;1,"Duplicate row",IF(H37&lt;0,"OVERDUE",IF(H37&lt;=$I$2,"Due soon","OK"))))))</f>
        <v/>
      </c>
      <c r="J37" s="9"/>
    </row>
    <row r="38" customFormat="false" ht="15" hidden="false" customHeight="false" outlineLevel="0" collapsed="false">
      <c r="A38" s="9"/>
      <c r="B38" s="9"/>
      <c r="C38" s="9"/>
      <c r="D38" s="9"/>
      <c r="E38" s="14"/>
      <c r="F38" s="15" t="str">
        <f aca="false">IF(OR(A38="",B38=""),"",IF(MAX(N(E38),SUMPRODUCT(MAX(('Completion Log'!$B$5:$B$2004=A38)*('Completion Log'!$C$5:$C$2004=B38)*'Completion Log'!$A$5:$A$2004)))=0,"",MAX(N(E38),SUMPRODUCT(MAX(('Completion Log'!$B$5:$B$2004=A38)*('Completion Log'!$C$5:$C$2004=B38)*'Completion Log'!$A$5:$A$2004)))))</f>
        <v/>
      </c>
      <c r="G38" s="15" t="str">
        <f aca="true">IF(OR(A38="",B38="",OR(NOT(ISNUMBER(C38)),N(C38)&lt;=0)),"",IF(F38="",TODAY(),F38+C38))</f>
        <v/>
      </c>
      <c r="H38" s="16" t="str">
        <f aca="true">IF(G38="","",G38-TODAY())</f>
        <v/>
      </c>
      <c r="I38" s="17" t="str">
        <f aca="false">IF(AND(A38="",B38=""),"",IF(OR(A38="",B38=""),"Fill in asset and task",IF(OR(NOT(ISNUMBER(C38)),N(C38)&lt;=0),"Check frequency",IF(SUMPRODUCT(($A$5:$A$304=A38)*($B$5:$B$304=B38))&gt;1,"Duplicate row",IF(H38&lt;0,"OVERDUE",IF(H38&lt;=$I$2,"Due soon","OK"))))))</f>
        <v/>
      </c>
      <c r="J38" s="9"/>
    </row>
    <row r="39" customFormat="false" ht="15" hidden="false" customHeight="false" outlineLevel="0" collapsed="false">
      <c r="A39" s="9"/>
      <c r="B39" s="9"/>
      <c r="C39" s="9"/>
      <c r="D39" s="9"/>
      <c r="E39" s="14"/>
      <c r="F39" s="15" t="str">
        <f aca="false">IF(OR(A39="",B39=""),"",IF(MAX(N(E39),SUMPRODUCT(MAX(('Completion Log'!$B$5:$B$2004=A39)*('Completion Log'!$C$5:$C$2004=B39)*'Completion Log'!$A$5:$A$2004)))=0,"",MAX(N(E39),SUMPRODUCT(MAX(('Completion Log'!$B$5:$B$2004=A39)*('Completion Log'!$C$5:$C$2004=B39)*'Completion Log'!$A$5:$A$2004)))))</f>
        <v/>
      </c>
      <c r="G39" s="15" t="str">
        <f aca="true">IF(OR(A39="",B39="",OR(NOT(ISNUMBER(C39)),N(C39)&lt;=0)),"",IF(F39="",TODAY(),F39+C39))</f>
        <v/>
      </c>
      <c r="H39" s="16" t="str">
        <f aca="true">IF(G39="","",G39-TODAY())</f>
        <v/>
      </c>
      <c r="I39" s="17" t="str">
        <f aca="false">IF(AND(A39="",B39=""),"",IF(OR(A39="",B39=""),"Fill in asset and task",IF(OR(NOT(ISNUMBER(C39)),N(C39)&lt;=0),"Check frequency",IF(SUMPRODUCT(($A$5:$A$304=A39)*($B$5:$B$304=B39))&gt;1,"Duplicate row",IF(H39&lt;0,"OVERDUE",IF(H39&lt;=$I$2,"Due soon","OK"))))))</f>
        <v/>
      </c>
      <c r="J39" s="9"/>
    </row>
    <row r="40" customFormat="false" ht="15" hidden="false" customHeight="false" outlineLevel="0" collapsed="false">
      <c r="A40" s="9"/>
      <c r="B40" s="9"/>
      <c r="C40" s="9"/>
      <c r="D40" s="9"/>
      <c r="E40" s="14"/>
      <c r="F40" s="15" t="str">
        <f aca="false">IF(OR(A40="",B40=""),"",IF(MAX(N(E40),SUMPRODUCT(MAX(('Completion Log'!$B$5:$B$2004=A40)*('Completion Log'!$C$5:$C$2004=B40)*'Completion Log'!$A$5:$A$2004)))=0,"",MAX(N(E40),SUMPRODUCT(MAX(('Completion Log'!$B$5:$B$2004=A40)*('Completion Log'!$C$5:$C$2004=B40)*'Completion Log'!$A$5:$A$2004)))))</f>
        <v/>
      </c>
      <c r="G40" s="15" t="str">
        <f aca="true">IF(OR(A40="",B40="",OR(NOT(ISNUMBER(C40)),N(C40)&lt;=0)),"",IF(F40="",TODAY(),F40+C40))</f>
        <v/>
      </c>
      <c r="H40" s="16" t="str">
        <f aca="true">IF(G40="","",G40-TODAY())</f>
        <v/>
      </c>
      <c r="I40" s="17" t="str">
        <f aca="false">IF(AND(A40="",B40=""),"",IF(OR(A40="",B40=""),"Fill in asset and task",IF(OR(NOT(ISNUMBER(C40)),N(C40)&lt;=0),"Check frequency",IF(SUMPRODUCT(($A$5:$A$304=A40)*($B$5:$B$304=B40))&gt;1,"Duplicate row",IF(H40&lt;0,"OVERDUE",IF(H40&lt;=$I$2,"Due soon","OK"))))))</f>
        <v/>
      </c>
      <c r="J40" s="9"/>
    </row>
    <row r="41" customFormat="false" ht="15" hidden="false" customHeight="false" outlineLevel="0" collapsed="false">
      <c r="A41" s="9"/>
      <c r="B41" s="9"/>
      <c r="C41" s="9"/>
      <c r="D41" s="9"/>
      <c r="E41" s="14"/>
      <c r="F41" s="15" t="str">
        <f aca="false">IF(OR(A41="",B41=""),"",IF(MAX(N(E41),SUMPRODUCT(MAX(('Completion Log'!$B$5:$B$2004=A41)*('Completion Log'!$C$5:$C$2004=B41)*'Completion Log'!$A$5:$A$2004)))=0,"",MAX(N(E41),SUMPRODUCT(MAX(('Completion Log'!$B$5:$B$2004=A41)*('Completion Log'!$C$5:$C$2004=B41)*'Completion Log'!$A$5:$A$2004)))))</f>
        <v/>
      </c>
      <c r="G41" s="15" t="str">
        <f aca="true">IF(OR(A41="",B41="",OR(NOT(ISNUMBER(C41)),N(C41)&lt;=0)),"",IF(F41="",TODAY(),F41+C41))</f>
        <v/>
      </c>
      <c r="H41" s="16" t="str">
        <f aca="true">IF(G41="","",G41-TODAY())</f>
        <v/>
      </c>
      <c r="I41" s="17" t="str">
        <f aca="false">IF(AND(A41="",B41=""),"",IF(OR(A41="",B41=""),"Fill in asset and task",IF(OR(NOT(ISNUMBER(C41)),N(C41)&lt;=0),"Check frequency",IF(SUMPRODUCT(($A$5:$A$304=A41)*($B$5:$B$304=B41))&gt;1,"Duplicate row",IF(H41&lt;0,"OVERDUE",IF(H41&lt;=$I$2,"Due soon","OK"))))))</f>
        <v/>
      </c>
      <c r="J41" s="9"/>
    </row>
    <row r="42" customFormat="false" ht="15" hidden="false" customHeight="false" outlineLevel="0" collapsed="false">
      <c r="A42" s="9"/>
      <c r="B42" s="9"/>
      <c r="C42" s="9"/>
      <c r="D42" s="9"/>
      <c r="E42" s="14"/>
      <c r="F42" s="15" t="str">
        <f aca="false">IF(OR(A42="",B42=""),"",IF(MAX(N(E42),SUMPRODUCT(MAX(('Completion Log'!$B$5:$B$2004=A42)*('Completion Log'!$C$5:$C$2004=B42)*'Completion Log'!$A$5:$A$2004)))=0,"",MAX(N(E42),SUMPRODUCT(MAX(('Completion Log'!$B$5:$B$2004=A42)*('Completion Log'!$C$5:$C$2004=B42)*'Completion Log'!$A$5:$A$2004)))))</f>
        <v/>
      </c>
      <c r="G42" s="15" t="str">
        <f aca="true">IF(OR(A42="",B42="",OR(NOT(ISNUMBER(C42)),N(C42)&lt;=0)),"",IF(F42="",TODAY(),F42+C42))</f>
        <v/>
      </c>
      <c r="H42" s="16" t="str">
        <f aca="true">IF(G42="","",G42-TODAY())</f>
        <v/>
      </c>
      <c r="I42" s="17" t="str">
        <f aca="false">IF(AND(A42="",B42=""),"",IF(OR(A42="",B42=""),"Fill in asset and task",IF(OR(NOT(ISNUMBER(C42)),N(C42)&lt;=0),"Check frequency",IF(SUMPRODUCT(($A$5:$A$304=A42)*($B$5:$B$304=B42))&gt;1,"Duplicate row",IF(H42&lt;0,"OVERDUE",IF(H42&lt;=$I$2,"Due soon","OK"))))))</f>
        <v/>
      </c>
      <c r="J42" s="9"/>
    </row>
    <row r="43" customFormat="false" ht="15" hidden="false" customHeight="false" outlineLevel="0" collapsed="false">
      <c r="A43" s="9"/>
      <c r="B43" s="9"/>
      <c r="C43" s="9"/>
      <c r="D43" s="9"/>
      <c r="E43" s="14"/>
      <c r="F43" s="15" t="str">
        <f aca="false">IF(OR(A43="",B43=""),"",IF(MAX(N(E43),SUMPRODUCT(MAX(('Completion Log'!$B$5:$B$2004=A43)*('Completion Log'!$C$5:$C$2004=B43)*'Completion Log'!$A$5:$A$2004)))=0,"",MAX(N(E43),SUMPRODUCT(MAX(('Completion Log'!$B$5:$B$2004=A43)*('Completion Log'!$C$5:$C$2004=B43)*'Completion Log'!$A$5:$A$2004)))))</f>
        <v/>
      </c>
      <c r="G43" s="15" t="str">
        <f aca="true">IF(OR(A43="",B43="",OR(NOT(ISNUMBER(C43)),N(C43)&lt;=0)),"",IF(F43="",TODAY(),F43+C43))</f>
        <v/>
      </c>
      <c r="H43" s="16" t="str">
        <f aca="true">IF(G43="","",G43-TODAY())</f>
        <v/>
      </c>
      <c r="I43" s="17" t="str">
        <f aca="false">IF(AND(A43="",B43=""),"",IF(OR(A43="",B43=""),"Fill in asset and task",IF(OR(NOT(ISNUMBER(C43)),N(C43)&lt;=0),"Check frequency",IF(SUMPRODUCT(($A$5:$A$304=A43)*($B$5:$B$304=B43))&gt;1,"Duplicate row",IF(H43&lt;0,"OVERDUE",IF(H43&lt;=$I$2,"Due soon","OK"))))))</f>
        <v/>
      </c>
      <c r="J43" s="9"/>
    </row>
    <row r="44" customFormat="false" ht="15" hidden="false" customHeight="false" outlineLevel="0" collapsed="false">
      <c r="A44" s="9"/>
      <c r="B44" s="9"/>
      <c r="C44" s="9"/>
      <c r="D44" s="9"/>
      <c r="E44" s="14"/>
      <c r="F44" s="15" t="str">
        <f aca="false">IF(OR(A44="",B44=""),"",IF(MAX(N(E44),SUMPRODUCT(MAX(('Completion Log'!$B$5:$B$2004=A44)*('Completion Log'!$C$5:$C$2004=B44)*'Completion Log'!$A$5:$A$2004)))=0,"",MAX(N(E44),SUMPRODUCT(MAX(('Completion Log'!$B$5:$B$2004=A44)*('Completion Log'!$C$5:$C$2004=B44)*'Completion Log'!$A$5:$A$2004)))))</f>
        <v/>
      </c>
      <c r="G44" s="15" t="str">
        <f aca="true">IF(OR(A44="",B44="",OR(NOT(ISNUMBER(C44)),N(C44)&lt;=0)),"",IF(F44="",TODAY(),F44+C44))</f>
        <v/>
      </c>
      <c r="H44" s="16" t="str">
        <f aca="true">IF(G44="","",G44-TODAY())</f>
        <v/>
      </c>
      <c r="I44" s="17" t="str">
        <f aca="false">IF(AND(A44="",B44=""),"",IF(OR(A44="",B44=""),"Fill in asset and task",IF(OR(NOT(ISNUMBER(C44)),N(C44)&lt;=0),"Check frequency",IF(SUMPRODUCT(($A$5:$A$304=A44)*($B$5:$B$304=B44))&gt;1,"Duplicate row",IF(H44&lt;0,"OVERDUE",IF(H44&lt;=$I$2,"Due soon","OK"))))))</f>
        <v/>
      </c>
      <c r="J44" s="9"/>
    </row>
    <row r="45" customFormat="false" ht="15" hidden="false" customHeight="false" outlineLevel="0" collapsed="false">
      <c r="A45" s="9"/>
      <c r="B45" s="9"/>
      <c r="C45" s="9"/>
      <c r="D45" s="9"/>
      <c r="E45" s="14"/>
      <c r="F45" s="15" t="str">
        <f aca="false">IF(OR(A45="",B45=""),"",IF(MAX(N(E45),SUMPRODUCT(MAX(('Completion Log'!$B$5:$B$2004=A45)*('Completion Log'!$C$5:$C$2004=B45)*'Completion Log'!$A$5:$A$2004)))=0,"",MAX(N(E45),SUMPRODUCT(MAX(('Completion Log'!$B$5:$B$2004=A45)*('Completion Log'!$C$5:$C$2004=B45)*'Completion Log'!$A$5:$A$2004)))))</f>
        <v/>
      </c>
      <c r="G45" s="15" t="str">
        <f aca="true">IF(OR(A45="",B45="",OR(NOT(ISNUMBER(C45)),N(C45)&lt;=0)),"",IF(F45="",TODAY(),F45+C45))</f>
        <v/>
      </c>
      <c r="H45" s="16" t="str">
        <f aca="true">IF(G45="","",G45-TODAY())</f>
        <v/>
      </c>
      <c r="I45" s="17" t="str">
        <f aca="false">IF(AND(A45="",B45=""),"",IF(OR(A45="",B45=""),"Fill in asset and task",IF(OR(NOT(ISNUMBER(C45)),N(C45)&lt;=0),"Check frequency",IF(SUMPRODUCT(($A$5:$A$304=A45)*($B$5:$B$304=B45))&gt;1,"Duplicate row",IF(H45&lt;0,"OVERDUE",IF(H45&lt;=$I$2,"Due soon","OK"))))))</f>
        <v/>
      </c>
      <c r="J45" s="9"/>
    </row>
    <row r="46" customFormat="false" ht="15" hidden="false" customHeight="false" outlineLevel="0" collapsed="false">
      <c r="A46" s="9"/>
      <c r="B46" s="9"/>
      <c r="C46" s="9"/>
      <c r="D46" s="9"/>
      <c r="E46" s="14"/>
      <c r="F46" s="15" t="str">
        <f aca="false">IF(OR(A46="",B46=""),"",IF(MAX(N(E46),SUMPRODUCT(MAX(('Completion Log'!$B$5:$B$2004=A46)*('Completion Log'!$C$5:$C$2004=B46)*'Completion Log'!$A$5:$A$2004)))=0,"",MAX(N(E46),SUMPRODUCT(MAX(('Completion Log'!$B$5:$B$2004=A46)*('Completion Log'!$C$5:$C$2004=B46)*'Completion Log'!$A$5:$A$2004)))))</f>
        <v/>
      </c>
      <c r="G46" s="15" t="str">
        <f aca="true">IF(OR(A46="",B46="",OR(NOT(ISNUMBER(C46)),N(C46)&lt;=0)),"",IF(F46="",TODAY(),F46+C46))</f>
        <v/>
      </c>
      <c r="H46" s="16" t="str">
        <f aca="true">IF(G46="","",G46-TODAY())</f>
        <v/>
      </c>
      <c r="I46" s="17" t="str">
        <f aca="false">IF(AND(A46="",B46=""),"",IF(OR(A46="",B46=""),"Fill in asset and task",IF(OR(NOT(ISNUMBER(C46)),N(C46)&lt;=0),"Check frequency",IF(SUMPRODUCT(($A$5:$A$304=A46)*($B$5:$B$304=B46))&gt;1,"Duplicate row",IF(H46&lt;0,"OVERDUE",IF(H46&lt;=$I$2,"Due soon","OK"))))))</f>
        <v/>
      </c>
      <c r="J46" s="9"/>
    </row>
    <row r="47" customFormat="false" ht="15" hidden="false" customHeight="false" outlineLevel="0" collapsed="false">
      <c r="A47" s="9"/>
      <c r="B47" s="9"/>
      <c r="C47" s="9"/>
      <c r="D47" s="9"/>
      <c r="E47" s="14"/>
      <c r="F47" s="15" t="str">
        <f aca="false">IF(OR(A47="",B47=""),"",IF(MAX(N(E47),SUMPRODUCT(MAX(('Completion Log'!$B$5:$B$2004=A47)*('Completion Log'!$C$5:$C$2004=B47)*'Completion Log'!$A$5:$A$2004)))=0,"",MAX(N(E47),SUMPRODUCT(MAX(('Completion Log'!$B$5:$B$2004=A47)*('Completion Log'!$C$5:$C$2004=B47)*'Completion Log'!$A$5:$A$2004)))))</f>
        <v/>
      </c>
      <c r="G47" s="15" t="str">
        <f aca="true">IF(OR(A47="",B47="",OR(NOT(ISNUMBER(C47)),N(C47)&lt;=0)),"",IF(F47="",TODAY(),F47+C47))</f>
        <v/>
      </c>
      <c r="H47" s="16" t="str">
        <f aca="true">IF(G47="","",G47-TODAY())</f>
        <v/>
      </c>
      <c r="I47" s="17" t="str">
        <f aca="false">IF(AND(A47="",B47=""),"",IF(OR(A47="",B47=""),"Fill in asset and task",IF(OR(NOT(ISNUMBER(C47)),N(C47)&lt;=0),"Check frequency",IF(SUMPRODUCT(($A$5:$A$304=A47)*($B$5:$B$304=B47))&gt;1,"Duplicate row",IF(H47&lt;0,"OVERDUE",IF(H47&lt;=$I$2,"Due soon","OK"))))))</f>
        <v/>
      </c>
      <c r="J47" s="9"/>
    </row>
    <row r="48" customFormat="false" ht="15" hidden="false" customHeight="false" outlineLevel="0" collapsed="false">
      <c r="A48" s="9"/>
      <c r="B48" s="9"/>
      <c r="C48" s="9"/>
      <c r="D48" s="9"/>
      <c r="E48" s="14"/>
      <c r="F48" s="15" t="str">
        <f aca="false">IF(OR(A48="",B48=""),"",IF(MAX(N(E48),SUMPRODUCT(MAX(('Completion Log'!$B$5:$B$2004=A48)*('Completion Log'!$C$5:$C$2004=B48)*'Completion Log'!$A$5:$A$2004)))=0,"",MAX(N(E48),SUMPRODUCT(MAX(('Completion Log'!$B$5:$B$2004=A48)*('Completion Log'!$C$5:$C$2004=B48)*'Completion Log'!$A$5:$A$2004)))))</f>
        <v/>
      </c>
      <c r="G48" s="15" t="str">
        <f aca="true">IF(OR(A48="",B48="",OR(NOT(ISNUMBER(C48)),N(C48)&lt;=0)),"",IF(F48="",TODAY(),F48+C48))</f>
        <v/>
      </c>
      <c r="H48" s="16" t="str">
        <f aca="true">IF(G48="","",G48-TODAY())</f>
        <v/>
      </c>
      <c r="I48" s="17" t="str">
        <f aca="false">IF(AND(A48="",B48=""),"",IF(OR(A48="",B48=""),"Fill in asset and task",IF(OR(NOT(ISNUMBER(C48)),N(C48)&lt;=0),"Check frequency",IF(SUMPRODUCT(($A$5:$A$304=A48)*($B$5:$B$304=B48))&gt;1,"Duplicate row",IF(H48&lt;0,"OVERDUE",IF(H48&lt;=$I$2,"Due soon","OK"))))))</f>
        <v/>
      </c>
      <c r="J48" s="9"/>
    </row>
    <row r="49" customFormat="false" ht="15" hidden="false" customHeight="false" outlineLevel="0" collapsed="false">
      <c r="A49" s="9"/>
      <c r="B49" s="9"/>
      <c r="C49" s="9"/>
      <c r="D49" s="9"/>
      <c r="E49" s="14"/>
      <c r="F49" s="15" t="str">
        <f aca="false">IF(OR(A49="",B49=""),"",IF(MAX(N(E49),SUMPRODUCT(MAX(('Completion Log'!$B$5:$B$2004=A49)*('Completion Log'!$C$5:$C$2004=B49)*'Completion Log'!$A$5:$A$2004)))=0,"",MAX(N(E49),SUMPRODUCT(MAX(('Completion Log'!$B$5:$B$2004=A49)*('Completion Log'!$C$5:$C$2004=B49)*'Completion Log'!$A$5:$A$2004)))))</f>
        <v/>
      </c>
      <c r="G49" s="15" t="str">
        <f aca="true">IF(OR(A49="",B49="",OR(NOT(ISNUMBER(C49)),N(C49)&lt;=0)),"",IF(F49="",TODAY(),F49+C49))</f>
        <v/>
      </c>
      <c r="H49" s="16" t="str">
        <f aca="true">IF(G49="","",G49-TODAY())</f>
        <v/>
      </c>
      <c r="I49" s="17" t="str">
        <f aca="false">IF(AND(A49="",B49=""),"",IF(OR(A49="",B49=""),"Fill in asset and task",IF(OR(NOT(ISNUMBER(C49)),N(C49)&lt;=0),"Check frequency",IF(SUMPRODUCT(($A$5:$A$304=A49)*($B$5:$B$304=B49))&gt;1,"Duplicate row",IF(H49&lt;0,"OVERDUE",IF(H49&lt;=$I$2,"Due soon","OK"))))))</f>
        <v/>
      </c>
      <c r="J49" s="9"/>
    </row>
    <row r="50" customFormat="false" ht="15" hidden="false" customHeight="false" outlineLevel="0" collapsed="false">
      <c r="A50" s="9"/>
      <c r="B50" s="9"/>
      <c r="C50" s="9"/>
      <c r="D50" s="9"/>
      <c r="E50" s="14"/>
      <c r="F50" s="15" t="str">
        <f aca="false">IF(OR(A50="",B50=""),"",IF(MAX(N(E50),SUMPRODUCT(MAX(('Completion Log'!$B$5:$B$2004=A50)*('Completion Log'!$C$5:$C$2004=B50)*'Completion Log'!$A$5:$A$2004)))=0,"",MAX(N(E50),SUMPRODUCT(MAX(('Completion Log'!$B$5:$B$2004=A50)*('Completion Log'!$C$5:$C$2004=B50)*'Completion Log'!$A$5:$A$2004)))))</f>
        <v/>
      </c>
      <c r="G50" s="15" t="str">
        <f aca="true">IF(OR(A50="",B50="",OR(NOT(ISNUMBER(C50)),N(C50)&lt;=0)),"",IF(F50="",TODAY(),F50+C50))</f>
        <v/>
      </c>
      <c r="H50" s="16" t="str">
        <f aca="true">IF(G50="","",G50-TODAY())</f>
        <v/>
      </c>
      <c r="I50" s="17" t="str">
        <f aca="false">IF(AND(A50="",B50=""),"",IF(OR(A50="",B50=""),"Fill in asset and task",IF(OR(NOT(ISNUMBER(C50)),N(C50)&lt;=0),"Check frequency",IF(SUMPRODUCT(($A$5:$A$304=A50)*($B$5:$B$304=B50))&gt;1,"Duplicate row",IF(H50&lt;0,"OVERDUE",IF(H50&lt;=$I$2,"Due soon","OK"))))))</f>
        <v/>
      </c>
      <c r="J50" s="9"/>
    </row>
    <row r="51" customFormat="false" ht="15" hidden="false" customHeight="false" outlineLevel="0" collapsed="false">
      <c r="A51" s="9"/>
      <c r="B51" s="9"/>
      <c r="C51" s="9"/>
      <c r="D51" s="9"/>
      <c r="E51" s="14"/>
      <c r="F51" s="15" t="str">
        <f aca="false">IF(OR(A51="",B51=""),"",IF(MAX(N(E51),SUMPRODUCT(MAX(('Completion Log'!$B$5:$B$2004=A51)*('Completion Log'!$C$5:$C$2004=B51)*'Completion Log'!$A$5:$A$2004)))=0,"",MAX(N(E51),SUMPRODUCT(MAX(('Completion Log'!$B$5:$B$2004=A51)*('Completion Log'!$C$5:$C$2004=B51)*'Completion Log'!$A$5:$A$2004)))))</f>
        <v/>
      </c>
      <c r="G51" s="15" t="str">
        <f aca="true">IF(OR(A51="",B51="",OR(NOT(ISNUMBER(C51)),N(C51)&lt;=0)),"",IF(F51="",TODAY(),F51+C51))</f>
        <v/>
      </c>
      <c r="H51" s="16" t="str">
        <f aca="true">IF(G51="","",G51-TODAY())</f>
        <v/>
      </c>
      <c r="I51" s="17" t="str">
        <f aca="false">IF(AND(A51="",B51=""),"",IF(OR(A51="",B51=""),"Fill in asset and task",IF(OR(NOT(ISNUMBER(C51)),N(C51)&lt;=0),"Check frequency",IF(SUMPRODUCT(($A$5:$A$304=A51)*($B$5:$B$304=B51))&gt;1,"Duplicate row",IF(H51&lt;0,"OVERDUE",IF(H51&lt;=$I$2,"Due soon","OK"))))))</f>
        <v/>
      </c>
      <c r="J51" s="9"/>
    </row>
    <row r="52" customFormat="false" ht="15" hidden="false" customHeight="false" outlineLevel="0" collapsed="false">
      <c r="A52" s="9"/>
      <c r="B52" s="9"/>
      <c r="C52" s="9"/>
      <c r="D52" s="9"/>
      <c r="E52" s="14"/>
      <c r="F52" s="15" t="str">
        <f aca="false">IF(OR(A52="",B52=""),"",IF(MAX(N(E52),SUMPRODUCT(MAX(('Completion Log'!$B$5:$B$2004=A52)*('Completion Log'!$C$5:$C$2004=B52)*'Completion Log'!$A$5:$A$2004)))=0,"",MAX(N(E52),SUMPRODUCT(MAX(('Completion Log'!$B$5:$B$2004=A52)*('Completion Log'!$C$5:$C$2004=B52)*'Completion Log'!$A$5:$A$2004)))))</f>
        <v/>
      </c>
      <c r="G52" s="15" t="str">
        <f aca="true">IF(OR(A52="",B52="",OR(NOT(ISNUMBER(C52)),N(C52)&lt;=0)),"",IF(F52="",TODAY(),F52+C52))</f>
        <v/>
      </c>
      <c r="H52" s="16" t="str">
        <f aca="true">IF(G52="","",G52-TODAY())</f>
        <v/>
      </c>
      <c r="I52" s="17" t="str">
        <f aca="false">IF(AND(A52="",B52=""),"",IF(OR(A52="",B52=""),"Fill in asset and task",IF(OR(NOT(ISNUMBER(C52)),N(C52)&lt;=0),"Check frequency",IF(SUMPRODUCT(($A$5:$A$304=A52)*($B$5:$B$304=B52))&gt;1,"Duplicate row",IF(H52&lt;0,"OVERDUE",IF(H52&lt;=$I$2,"Due soon","OK"))))))</f>
        <v/>
      </c>
      <c r="J52" s="9"/>
    </row>
    <row r="53" customFormat="false" ht="15" hidden="false" customHeight="false" outlineLevel="0" collapsed="false">
      <c r="A53" s="9"/>
      <c r="B53" s="9"/>
      <c r="C53" s="9"/>
      <c r="D53" s="9"/>
      <c r="E53" s="14"/>
      <c r="F53" s="15" t="str">
        <f aca="false">IF(OR(A53="",B53=""),"",IF(MAX(N(E53),SUMPRODUCT(MAX(('Completion Log'!$B$5:$B$2004=A53)*('Completion Log'!$C$5:$C$2004=B53)*'Completion Log'!$A$5:$A$2004)))=0,"",MAX(N(E53),SUMPRODUCT(MAX(('Completion Log'!$B$5:$B$2004=A53)*('Completion Log'!$C$5:$C$2004=B53)*'Completion Log'!$A$5:$A$2004)))))</f>
        <v/>
      </c>
      <c r="G53" s="15" t="str">
        <f aca="true">IF(OR(A53="",B53="",OR(NOT(ISNUMBER(C53)),N(C53)&lt;=0)),"",IF(F53="",TODAY(),F53+C53))</f>
        <v/>
      </c>
      <c r="H53" s="16" t="str">
        <f aca="true">IF(G53="","",G53-TODAY())</f>
        <v/>
      </c>
      <c r="I53" s="17" t="str">
        <f aca="false">IF(AND(A53="",B53=""),"",IF(OR(A53="",B53=""),"Fill in asset and task",IF(OR(NOT(ISNUMBER(C53)),N(C53)&lt;=0),"Check frequency",IF(SUMPRODUCT(($A$5:$A$304=A53)*($B$5:$B$304=B53))&gt;1,"Duplicate row",IF(H53&lt;0,"OVERDUE",IF(H53&lt;=$I$2,"Due soon","OK"))))))</f>
        <v/>
      </c>
      <c r="J53" s="9"/>
    </row>
    <row r="54" customFormat="false" ht="15" hidden="false" customHeight="false" outlineLevel="0" collapsed="false">
      <c r="A54" s="9"/>
      <c r="B54" s="9"/>
      <c r="C54" s="9"/>
      <c r="D54" s="9"/>
      <c r="E54" s="14"/>
      <c r="F54" s="15" t="str">
        <f aca="false">IF(OR(A54="",B54=""),"",IF(MAX(N(E54),SUMPRODUCT(MAX(('Completion Log'!$B$5:$B$2004=A54)*('Completion Log'!$C$5:$C$2004=B54)*'Completion Log'!$A$5:$A$2004)))=0,"",MAX(N(E54),SUMPRODUCT(MAX(('Completion Log'!$B$5:$B$2004=A54)*('Completion Log'!$C$5:$C$2004=B54)*'Completion Log'!$A$5:$A$2004)))))</f>
        <v/>
      </c>
      <c r="G54" s="15" t="str">
        <f aca="true">IF(OR(A54="",B54="",OR(NOT(ISNUMBER(C54)),N(C54)&lt;=0)),"",IF(F54="",TODAY(),F54+C54))</f>
        <v/>
      </c>
      <c r="H54" s="16" t="str">
        <f aca="true">IF(G54="","",G54-TODAY())</f>
        <v/>
      </c>
      <c r="I54" s="17" t="str">
        <f aca="false">IF(AND(A54="",B54=""),"",IF(OR(A54="",B54=""),"Fill in asset and task",IF(OR(NOT(ISNUMBER(C54)),N(C54)&lt;=0),"Check frequency",IF(SUMPRODUCT(($A$5:$A$304=A54)*($B$5:$B$304=B54))&gt;1,"Duplicate row",IF(H54&lt;0,"OVERDUE",IF(H54&lt;=$I$2,"Due soon","OK"))))))</f>
        <v/>
      </c>
      <c r="J54" s="9"/>
    </row>
    <row r="55" customFormat="false" ht="15" hidden="false" customHeight="false" outlineLevel="0" collapsed="false">
      <c r="A55" s="9"/>
      <c r="B55" s="9"/>
      <c r="C55" s="9"/>
      <c r="D55" s="9"/>
      <c r="E55" s="14"/>
      <c r="F55" s="15" t="str">
        <f aca="false">IF(OR(A55="",B55=""),"",IF(MAX(N(E55),SUMPRODUCT(MAX(('Completion Log'!$B$5:$B$2004=A55)*('Completion Log'!$C$5:$C$2004=B55)*'Completion Log'!$A$5:$A$2004)))=0,"",MAX(N(E55),SUMPRODUCT(MAX(('Completion Log'!$B$5:$B$2004=A55)*('Completion Log'!$C$5:$C$2004=B55)*'Completion Log'!$A$5:$A$2004)))))</f>
        <v/>
      </c>
      <c r="G55" s="15" t="str">
        <f aca="true">IF(OR(A55="",B55="",OR(NOT(ISNUMBER(C55)),N(C55)&lt;=0)),"",IF(F55="",TODAY(),F55+C55))</f>
        <v/>
      </c>
      <c r="H55" s="16" t="str">
        <f aca="true">IF(G55="","",G55-TODAY())</f>
        <v/>
      </c>
      <c r="I55" s="17" t="str">
        <f aca="false">IF(AND(A55="",B55=""),"",IF(OR(A55="",B55=""),"Fill in asset and task",IF(OR(NOT(ISNUMBER(C55)),N(C55)&lt;=0),"Check frequency",IF(SUMPRODUCT(($A$5:$A$304=A55)*($B$5:$B$304=B55))&gt;1,"Duplicate row",IF(H55&lt;0,"OVERDUE",IF(H55&lt;=$I$2,"Due soon","OK"))))))</f>
        <v/>
      </c>
      <c r="J55" s="9"/>
    </row>
    <row r="56" customFormat="false" ht="15" hidden="false" customHeight="false" outlineLevel="0" collapsed="false">
      <c r="A56" s="9"/>
      <c r="B56" s="9"/>
      <c r="C56" s="9"/>
      <c r="D56" s="9"/>
      <c r="E56" s="14"/>
      <c r="F56" s="15" t="str">
        <f aca="false">IF(OR(A56="",B56=""),"",IF(MAX(N(E56),SUMPRODUCT(MAX(('Completion Log'!$B$5:$B$2004=A56)*('Completion Log'!$C$5:$C$2004=B56)*'Completion Log'!$A$5:$A$2004)))=0,"",MAX(N(E56),SUMPRODUCT(MAX(('Completion Log'!$B$5:$B$2004=A56)*('Completion Log'!$C$5:$C$2004=B56)*'Completion Log'!$A$5:$A$2004)))))</f>
        <v/>
      </c>
      <c r="G56" s="15" t="str">
        <f aca="true">IF(OR(A56="",B56="",OR(NOT(ISNUMBER(C56)),N(C56)&lt;=0)),"",IF(F56="",TODAY(),F56+C56))</f>
        <v/>
      </c>
      <c r="H56" s="16" t="str">
        <f aca="true">IF(G56="","",G56-TODAY())</f>
        <v/>
      </c>
      <c r="I56" s="17" t="str">
        <f aca="false">IF(AND(A56="",B56=""),"",IF(OR(A56="",B56=""),"Fill in asset and task",IF(OR(NOT(ISNUMBER(C56)),N(C56)&lt;=0),"Check frequency",IF(SUMPRODUCT(($A$5:$A$304=A56)*($B$5:$B$304=B56))&gt;1,"Duplicate row",IF(H56&lt;0,"OVERDUE",IF(H56&lt;=$I$2,"Due soon","OK"))))))</f>
        <v/>
      </c>
      <c r="J56" s="9"/>
    </row>
    <row r="57" customFormat="false" ht="15" hidden="false" customHeight="false" outlineLevel="0" collapsed="false">
      <c r="A57" s="9"/>
      <c r="B57" s="9"/>
      <c r="C57" s="9"/>
      <c r="D57" s="9"/>
      <c r="E57" s="14"/>
      <c r="F57" s="15" t="str">
        <f aca="false">IF(OR(A57="",B57=""),"",IF(MAX(N(E57),SUMPRODUCT(MAX(('Completion Log'!$B$5:$B$2004=A57)*('Completion Log'!$C$5:$C$2004=B57)*'Completion Log'!$A$5:$A$2004)))=0,"",MAX(N(E57),SUMPRODUCT(MAX(('Completion Log'!$B$5:$B$2004=A57)*('Completion Log'!$C$5:$C$2004=B57)*'Completion Log'!$A$5:$A$2004)))))</f>
        <v/>
      </c>
      <c r="G57" s="15" t="str">
        <f aca="true">IF(OR(A57="",B57="",OR(NOT(ISNUMBER(C57)),N(C57)&lt;=0)),"",IF(F57="",TODAY(),F57+C57))</f>
        <v/>
      </c>
      <c r="H57" s="16" t="str">
        <f aca="true">IF(G57="","",G57-TODAY())</f>
        <v/>
      </c>
      <c r="I57" s="17" t="str">
        <f aca="false">IF(AND(A57="",B57=""),"",IF(OR(A57="",B57=""),"Fill in asset and task",IF(OR(NOT(ISNUMBER(C57)),N(C57)&lt;=0),"Check frequency",IF(SUMPRODUCT(($A$5:$A$304=A57)*($B$5:$B$304=B57))&gt;1,"Duplicate row",IF(H57&lt;0,"OVERDUE",IF(H57&lt;=$I$2,"Due soon","OK"))))))</f>
        <v/>
      </c>
      <c r="J57" s="9"/>
    </row>
    <row r="58" customFormat="false" ht="15" hidden="false" customHeight="false" outlineLevel="0" collapsed="false">
      <c r="A58" s="9"/>
      <c r="B58" s="9"/>
      <c r="C58" s="9"/>
      <c r="D58" s="9"/>
      <c r="E58" s="14"/>
      <c r="F58" s="15" t="str">
        <f aca="false">IF(OR(A58="",B58=""),"",IF(MAX(N(E58),SUMPRODUCT(MAX(('Completion Log'!$B$5:$B$2004=A58)*('Completion Log'!$C$5:$C$2004=B58)*'Completion Log'!$A$5:$A$2004)))=0,"",MAX(N(E58),SUMPRODUCT(MAX(('Completion Log'!$B$5:$B$2004=A58)*('Completion Log'!$C$5:$C$2004=B58)*'Completion Log'!$A$5:$A$2004)))))</f>
        <v/>
      </c>
      <c r="G58" s="15" t="str">
        <f aca="true">IF(OR(A58="",B58="",OR(NOT(ISNUMBER(C58)),N(C58)&lt;=0)),"",IF(F58="",TODAY(),F58+C58))</f>
        <v/>
      </c>
      <c r="H58" s="16" t="str">
        <f aca="true">IF(G58="","",G58-TODAY())</f>
        <v/>
      </c>
      <c r="I58" s="17" t="str">
        <f aca="false">IF(AND(A58="",B58=""),"",IF(OR(A58="",B58=""),"Fill in asset and task",IF(OR(NOT(ISNUMBER(C58)),N(C58)&lt;=0),"Check frequency",IF(SUMPRODUCT(($A$5:$A$304=A58)*($B$5:$B$304=B58))&gt;1,"Duplicate row",IF(H58&lt;0,"OVERDUE",IF(H58&lt;=$I$2,"Due soon","OK"))))))</f>
        <v/>
      </c>
      <c r="J58" s="9"/>
    </row>
    <row r="59" customFormat="false" ht="15" hidden="false" customHeight="false" outlineLevel="0" collapsed="false">
      <c r="A59" s="9"/>
      <c r="B59" s="9"/>
      <c r="C59" s="9"/>
      <c r="D59" s="9"/>
      <c r="E59" s="14"/>
      <c r="F59" s="15" t="str">
        <f aca="false">IF(OR(A59="",B59=""),"",IF(MAX(N(E59),SUMPRODUCT(MAX(('Completion Log'!$B$5:$B$2004=A59)*('Completion Log'!$C$5:$C$2004=B59)*'Completion Log'!$A$5:$A$2004)))=0,"",MAX(N(E59),SUMPRODUCT(MAX(('Completion Log'!$B$5:$B$2004=A59)*('Completion Log'!$C$5:$C$2004=B59)*'Completion Log'!$A$5:$A$2004)))))</f>
        <v/>
      </c>
      <c r="G59" s="15" t="str">
        <f aca="true">IF(OR(A59="",B59="",OR(NOT(ISNUMBER(C59)),N(C59)&lt;=0)),"",IF(F59="",TODAY(),F59+C59))</f>
        <v/>
      </c>
      <c r="H59" s="16" t="str">
        <f aca="true">IF(G59="","",G59-TODAY())</f>
        <v/>
      </c>
      <c r="I59" s="17" t="str">
        <f aca="false">IF(AND(A59="",B59=""),"",IF(OR(A59="",B59=""),"Fill in asset and task",IF(OR(NOT(ISNUMBER(C59)),N(C59)&lt;=0),"Check frequency",IF(SUMPRODUCT(($A$5:$A$304=A59)*($B$5:$B$304=B59))&gt;1,"Duplicate row",IF(H59&lt;0,"OVERDUE",IF(H59&lt;=$I$2,"Due soon","OK"))))))</f>
        <v/>
      </c>
      <c r="J59" s="9"/>
    </row>
    <row r="60" customFormat="false" ht="15" hidden="false" customHeight="false" outlineLevel="0" collapsed="false">
      <c r="A60" s="9"/>
      <c r="B60" s="9"/>
      <c r="C60" s="9"/>
      <c r="D60" s="9"/>
      <c r="E60" s="14"/>
      <c r="F60" s="15" t="str">
        <f aca="false">IF(OR(A60="",B60=""),"",IF(MAX(N(E60),SUMPRODUCT(MAX(('Completion Log'!$B$5:$B$2004=A60)*('Completion Log'!$C$5:$C$2004=B60)*'Completion Log'!$A$5:$A$2004)))=0,"",MAX(N(E60),SUMPRODUCT(MAX(('Completion Log'!$B$5:$B$2004=A60)*('Completion Log'!$C$5:$C$2004=B60)*'Completion Log'!$A$5:$A$2004)))))</f>
        <v/>
      </c>
      <c r="G60" s="15" t="str">
        <f aca="true">IF(OR(A60="",B60="",OR(NOT(ISNUMBER(C60)),N(C60)&lt;=0)),"",IF(F60="",TODAY(),F60+C60))</f>
        <v/>
      </c>
      <c r="H60" s="16" t="str">
        <f aca="true">IF(G60="","",G60-TODAY())</f>
        <v/>
      </c>
      <c r="I60" s="17" t="str">
        <f aca="false">IF(AND(A60="",B60=""),"",IF(OR(A60="",B60=""),"Fill in asset and task",IF(OR(NOT(ISNUMBER(C60)),N(C60)&lt;=0),"Check frequency",IF(SUMPRODUCT(($A$5:$A$304=A60)*($B$5:$B$304=B60))&gt;1,"Duplicate row",IF(H60&lt;0,"OVERDUE",IF(H60&lt;=$I$2,"Due soon","OK"))))))</f>
        <v/>
      </c>
      <c r="J60" s="9"/>
    </row>
    <row r="61" customFormat="false" ht="15" hidden="false" customHeight="false" outlineLevel="0" collapsed="false">
      <c r="A61" s="9"/>
      <c r="B61" s="9"/>
      <c r="C61" s="9"/>
      <c r="D61" s="9"/>
      <c r="E61" s="14"/>
      <c r="F61" s="15" t="str">
        <f aca="false">IF(OR(A61="",B61=""),"",IF(MAX(N(E61),SUMPRODUCT(MAX(('Completion Log'!$B$5:$B$2004=A61)*('Completion Log'!$C$5:$C$2004=B61)*'Completion Log'!$A$5:$A$2004)))=0,"",MAX(N(E61),SUMPRODUCT(MAX(('Completion Log'!$B$5:$B$2004=A61)*('Completion Log'!$C$5:$C$2004=B61)*'Completion Log'!$A$5:$A$2004)))))</f>
        <v/>
      </c>
      <c r="G61" s="15" t="str">
        <f aca="true">IF(OR(A61="",B61="",OR(NOT(ISNUMBER(C61)),N(C61)&lt;=0)),"",IF(F61="",TODAY(),F61+C61))</f>
        <v/>
      </c>
      <c r="H61" s="16" t="str">
        <f aca="true">IF(G61="","",G61-TODAY())</f>
        <v/>
      </c>
      <c r="I61" s="17" t="str">
        <f aca="false">IF(AND(A61="",B61=""),"",IF(OR(A61="",B61=""),"Fill in asset and task",IF(OR(NOT(ISNUMBER(C61)),N(C61)&lt;=0),"Check frequency",IF(SUMPRODUCT(($A$5:$A$304=A61)*($B$5:$B$304=B61))&gt;1,"Duplicate row",IF(H61&lt;0,"OVERDUE",IF(H61&lt;=$I$2,"Due soon","OK"))))))</f>
        <v/>
      </c>
      <c r="J61" s="9"/>
    </row>
    <row r="62" customFormat="false" ht="15" hidden="false" customHeight="false" outlineLevel="0" collapsed="false">
      <c r="A62" s="9"/>
      <c r="B62" s="9"/>
      <c r="C62" s="9"/>
      <c r="D62" s="9"/>
      <c r="E62" s="14"/>
      <c r="F62" s="15" t="str">
        <f aca="false">IF(OR(A62="",B62=""),"",IF(MAX(N(E62),SUMPRODUCT(MAX(('Completion Log'!$B$5:$B$2004=A62)*('Completion Log'!$C$5:$C$2004=B62)*'Completion Log'!$A$5:$A$2004)))=0,"",MAX(N(E62),SUMPRODUCT(MAX(('Completion Log'!$B$5:$B$2004=A62)*('Completion Log'!$C$5:$C$2004=B62)*'Completion Log'!$A$5:$A$2004)))))</f>
        <v/>
      </c>
      <c r="G62" s="15" t="str">
        <f aca="true">IF(OR(A62="",B62="",OR(NOT(ISNUMBER(C62)),N(C62)&lt;=0)),"",IF(F62="",TODAY(),F62+C62))</f>
        <v/>
      </c>
      <c r="H62" s="16" t="str">
        <f aca="true">IF(G62="","",G62-TODAY())</f>
        <v/>
      </c>
      <c r="I62" s="17" t="str">
        <f aca="false">IF(AND(A62="",B62=""),"",IF(OR(A62="",B62=""),"Fill in asset and task",IF(OR(NOT(ISNUMBER(C62)),N(C62)&lt;=0),"Check frequency",IF(SUMPRODUCT(($A$5:$A$304=A62)*($B$5:$B$304=B62))&gt;1,"Duplicate row",IF(H62&lt;0,"OVERDUE",IF(H62&lt;=$I$2,"Due soon","OK"))))))</f>
        <v/>
      </c>
      <c r="J62" s="9"/>
    </row>
    <row r="63" customFormat="false" ht="15" hidden="false" customHeight="false" outlineLevel="0" collapsed="false">
      <c r="A63" s="9"/>
      <c r="B63" s="9"/>
      <c r="C63" s="9"/>
      <c r="D63" s="9"/>
      <c r="E63" s="14"/>
      <c r="F63" s="15" t="str">
        <f aca="false">IF(OR(A63="",B63=""),"",IF(MAX(N(E63),SUMPRODUCT(MAX(('Completion Log'!$B$5:$B$2004=A63)*('Completion Log'!$C$5:$C$2004=B63)*'Completion Log'!$A$5:$A$2004)))=0,"",MAX(N(E63),SUMPRODUCT(MAX(('Completion Log'!$B$5:$B$2004=A63)*('Completion Log'!$C$5:$C$2004=B63)*'Completion Log'!$A$5:$A$2004)))))</f>
        <v/>
      </c>
      <c r="G63" s="15" t="str">
        <f aca="true">IF(OR(A63="",B63="",OR(NOT(ISNUMBER(C63)),N(C63)&lt;=0)),"",IF(F63="",TODAY(),F63+C63))</f>
        <v/>
      </c>
      <c r="H63" s="16" t="str">
        <f aca="true">IF(G63="","",G63-TODAY())</f>
        <v/>
      </c>
      <c r="I63" s="17" t="str">
        <f aca="false">IF(AND(A63="",B63=""),"",IF(OR(A63="",B63=""),"Fill in asset and task",IF(OR(NOT(ISNUMBER(C63)),N(C63)&lt;=0),"Check frequency",IF(SUMPRODUCT(($A$5:$A$304=A63)*($B$5:$B$304=B63))&gt;1,"Duplicate row",IF(H63&lt;0,"OVERDUE",IF(H63&lt;=$I$2,"Due soon","OK"))))))</f>
        <v/>
      </c>
      <c r="J63" s="9"/>
    </row>
    <row r="64" customFormat="false" ht="15" hidden="false" customHeight="false" outlineLevel="0" collapsed="false">
      <c r="A64" s="9"/>
      <c r="B64" s="9"/>
      <c r="C64" s="9"/>
      <c r="D64" s="9"/>
      <c r="E64" s="14"/>
      <c r="F64" s="15" t="str">
        <f aca="false">IF(OR(A64="",B64=""),"",IF(MAX(N(E64),SUMPRODUCT(MAX(('Completion Log'!$B$5:$B$2004=A64)*('Completion Log'!$C$5:$C$2004=B64)*'Completion Log'!$A$5:$A$2004)))=0,"",MAX(N(E64),SUMPRODUCT(MAX(('Completion Log'!$B$5:$B$2004=A64)*('Completion Log'!$C$5:$C$2004=B64)*'Completion Log'!$A$5:$A$2004)))))</f>
        <v/>
      </c>
      <c r="G64" s="15" t="str">
        <f aca="true">IF(OR(A64="",B64="",OR(NOT(ISNUMBER(C64)),N(C64)&lt;=0)),"",IF(F64="",TODAY(),F64+C64))</f>
        <v/>
      </c>
      <c r="H64" s="16" t="str">
        <f aca="true">IF(G64="","",G64-TODAY())</f>
        <v/>
      </c>
      <c r="I64" s="17" t="str">
        <f aca="false">IF(AND(A64="",B64=""),"",IF(OR(A64="",B64=""),"Fill in asset and task",IF(OR(NOT(ISNUMBER(C64)),N(C64)&lt;=0),"Check frequency",IF(SUMPRODUCT(($A$5:$A$304=A64)*($B$5:$B$304=B64))&gt;1,"Duplicate row",IF(H64&lt;0,"OVERDUE",IF(H64&lt;=$I$2,"Due soon","OK"))))))</f>
        <v/>
      </c>
      <c r="J64" s="9"/>
    </row>
    <row r="65" customFormat="false" ht="15" hidden="false" customHeight="false" outlineLevel="0" collapsed="false">
      <c r="A65" s="9"/>
      <c r="B65" s="9"/>
      <c r="C65" s="9"/>
      <c r="D65" s="9"/>
      <c r="E65" s="14"/>
      <c r="F65" s="15" t="str">
        <f aca="false">IF(OR(A65="",B65=""),"",IF(MAX(N(E65),SUMPRODUCT(MAX(('Completion Log'!$B$5:$B$2004=A65)*('Completion Log'!$C$5:$C$2004=B65)*'Completion Log'!$A$5:$A$2004)))=0,"",MAX(N(E65),SUMPRODUCT(MAX(('Completion Log'!$B$5:$B$2004=A65)*('Completion Log'!$C$5:$C$2004=B65)*'Completion Log'!$A$5:$A$2004)))))</f>
        <v/>
      </c>
      <c r="G65" s="15" t="str">
        <f aca="true">IF(OR(A65="",B65="",OR(NOT(ISNUMBER(C65)),N(C65)&lt;=0)),"",IF(F65="",TODAY(),F65+C65))</f>
        <v/>
      </c>
      <c r="H65" s="16" t="str">
        <f aca="true">IF(G65="","",G65-TODAY())</f>
        <v/>
      </c>
      <c r="I65" s="17" t="str">
        <f aca="false">IF(AND(A65="",B65=""),"",IF(OR(A65="",B65=""),"Fill in asset and task",IF(OR(NOT(ISNUMBER(C65)),N(C65)&lt;=0),"Check frequency",IF(SUMPRODUCT(($A$5:$A$304=A65)*($B$5:$B$304=B65))&gt;1,"Duplicate row",IF(H65&lt;0,"OVERDUE",IF(H65&lt;=$I$2,"Due soon","OK"))))))</f>
        <v/>
      </c>
      <c r="J65" s="9"/>
    </row>
    <row r="66" customFormat="false" ht="15" hidden="false" customHeight="false" outlineLevel="0" collapsed="false">
      <c r="A66" s="9"/>
      <c r="B66" s="9"/>
      <c r="C66" s="9"/>
      <c r="D66" s="9"/>
      <c r="E66" s="14"/>
      <c r="F66" s="15" t="str">
        <f aca="false">IF(OR(A66="",B66=""),"",IF(MAX(N(E66),SUMPRODUCT(MAX(('Completion Log'!$B$5:$B$2004=A66)*('Completion Log'!$C$5:$C$2004=B66)*'Completion Log'!$A$5:$A$2004)))=0,"",MAX(N(E66),SUMPRODUCT(MAX(('Completion Log'!$B$5:$B$2004=A66)*('Completion Log'!$C$5:$C$2004=B66)*'Completion Log'!$A$5:$A$2004)))))</f>
        <v/>
      </c>
      <c r="G66" s="15" t="str">
        <f aca="true">IF(OR(A66="",B66="",OR(NOT(ISNUMBER(C66)),N(C66)&lt;=0)),"",IF(F66="",TODAY(),F66+C66))</f>
        <v/>
      </c>
      <c r="H66" s="16" t="str">
        <f aca="true">IF(G66="","",G66-TODAY())</f>
        <v/>
      </c>
      <c r="I66" s="17" t="str">
        <f aca="false">IF(AND(A66="",B66=""),"",IF(OR(A66="",B66=""),"Fill in asset and task",IF(OR(NOT(ISNUMBER(C66)),N(C66)&lt;=0),"Check frequency",IF(SUMPRODUCT(($A$5:$A$304=A66)*($B$5:$B$304=B66))&gt;1,"Duplicate row",IF(H66&lt;0,"OVERDUE",IF(H66&lt;=$I$2,"Due soon","OK"))))))</f>
        <v/>
      </c>
      <c r="J66" s="9"/>
    </row>
    <row r="67" customFormat="false" ht="15" hidden="false" customHeight="false" outlineLevel="0" collapsed="false">
      <c r="A67" s="9"/>
      <c r="B67" s="9"/>
      <c r="C67" s="9"/>
      <c r="D67" s="9"/>
      <c r="E67" s="14"/>
      <c r="F67" s="15" t="str">
        <f aca="false">IF(OR(A67="",B67=""),"",IF(MAX(N(E67),SUMPRODUCT(MAX(('Completion Log'!$B$5:$B$2004=A67)*('Completion Log'!$C$5:$C$2004=B67)*'Completion Log'!$A$5:$A$2004)))=0,"",MAX(N(E67),SUMPRODUCT(MAX(('Completion Log'!$B$5:$B$2004=A67)*('Completion Log'!$C$5:$C$2004=B67)*'Completion Log'!$A$5:$A$2004)))))</f>
        <v/>
      </c>
      <c r="G67" s="15" t="str">
        <f aca="true">IF(OR(A67="",B67="",OR(NOT(ISNUMBER(C67)),N(C67)&lt;=0)),"",IF(F67="",TODAY(),F67+C67))</f>
        <v/>
      </c>
      <c r="H67" s="16" t="str">
        <f aca="true">IF(G67="","",G67-TODAY())</f>
        <v/>
      </c>
      <c r="I67" s="17" t="str">
        <f aca="false">IF(AND(A67="",B67=""),"",IF(OR(A67="",B67=""),"Fill in asset and task",IF(OR(NOT(ISNUMBER(C67)),N(C67)&lt;=0),"Check frequency",IF(SUMPRODUCT(($A$5:$A$304=A67)*($B$5:$B$304=B67))&gt;1,"Duplicate row",IF(H67&lt;0,"OVERDUE",IF(H67&lt;=$I$2,"Due soon","OK"))))))</f>
        <v/>
      </c>
      <c r="J67" s="9"/>
    </row>
    <row r="68" customFormat="false" ht="15" hidden="false" customHeight="false" outlineLevel="0" collapsed="false">
      <c r="A68" s="9"/>
      <c r="B68" s="9"/>
      <c r="C68" s="9"/>
      <c r="D68" s="9"/>
      <c r="E68" s="14"/>
      <c r="F68" s="15" t="str">
        <f aca="false">IF(OR(A68="",B68=""),"",IF(MAX(N(E68),SUMPRODUCT(MAX(('Completion Log'!$B$5:$B$2004=A68)*('Completion Log'!$C$5:$C$2004=B68)*'Completion Log'!$A$5:$A$2004)))=0,"",MAX(N(E68),SUMPRODUCT(MAX(('Completion Log'!$B$5:$B$2004=A68)*('Completion Log'!$C$5:$C$2004=B68)*'Completion Log'!$A$5:$A$2004)))))</f>
        <v/>
      </c>
      <c r="G68" s="15" t="str">
        <f aca="true">IF(OR(A68="",B68="",OR(NOT(ISNUMBER(C68)),N(C68)&lt;=0)),"",IF(F68="",TODAY(),F68+C68))</f>
        <v/>
      </c>
      <c r="H68" s="16" t="str">
        <f aca="true">IF(G68="","",G68-TODAY())</f>
        <v/>
      </c>
      <c r="I68" s="17" t="str">
        <f aca="false">IF(AND(A68="",B68=""),"",IF(OR(A68="",B68=""),"Fill in asset and task",IF(OR(NOT(ISNUMBER(C68)),N(C68)&lt;=0),"Check frequency",IF(SUMPRODUCT(($A$5:$A$304=A68)*($B$5:$B$304=B68))&gt;1,"Duplicate row",IF(H68&lt;0,"OVERDUE",IF(H68&lt;=$I$2,"Due soon","OK"))))))</f>
        <v/>
      </c>
      <c r="J68" s="9"/>
    </row>
    <row r="69" customFormat="false" ht="15" hidden="false" customHeight="false" outlineLevel="0" collapsed="false">
      <c r="A69" s="9"/>
      <c r="B69" s="9"/>
      <c r="C69" s="9"/>
      <c r="D69" s="9"/>
      <c r="E69" s="14"/>
      <c r="F69" s="15" t="str">
        <f aca="false">IF(OR(A69="",B69=""),"",IF(MAX(N(E69),SUMPRODUCT(MAX(('Completion Log'!$B$5:$B$2004=A69)*('Completion Log'!$C$5:$C$2004=B69)*'Completion Log'!$A$5:$A$2004)))=0,"",MAX(N(E69),SUMPRODUCT(MAX(('Completion Log'!$B$5:$B$2004=A69)*('Completion Log'!$C$5:$C$2004=B69)*'Completion Log'!$A$5:$A$2004)))))</f>
        <v/>
      </c>
      <c r="G69" s="15" t="str">
        <f aca="true">IF(OR(A69="",B69="",OR(NOT(ISNUMBER(C69)),N(C69)&lt;=0)),"",IF(F69="",TODAY(),F69+C69))</f>
        <v/>
      </c>
      <c r="H69" s="16" t="str">
        <f aca="true">IF(G69="","",G69-TODAY())</f>
        <v/>
      </c>
      <c r="I69" s="17" t="str">
        <f aca="false">IF(AND(A69="",B69=""),"",IF(OR(A69="",B69=""),"Fill in asset and task",IF(OR(NOT(ISNUMBER(C69)),N(C69)&lt;=0),"Check frequency",IF(SUMPRODUCT(($A$5:$A$304=A69)*($B$5:$B$304=B69))&gt;1,"Duplicate row",IF(H69&lt;0,"OVERDUE",IF(H69&lt;=$I$2,"Due soon","OK"))))))</f>
        <v/>
      </c>
      <c r="J69" s="9"/>
    </row>
    <row r="70" customFormat="false" ht="15" hidden="false" customHeight="false" outlineLevel="0" collapsed="false">
      <c r="A70" s="9"/>
      <c r="B70" s="9"/>
      <c r="C70" s="9"/>
      <c r="D70" s="9"/>
      <c r="E70" s="14"/>
      <c r="F70" s="15" t="str">
        <f aca="false">IF(OR(A70="",B70=""),"",IF(MAX(N(E70),SUMPRODUCT(MAX(('Completion Log'!$B$5:$B$2004=A70)*('Completion Log'!$C$5:$C$2004=B70)*'Completion Log'!$A$5:$A$2004)))=0,"",MAX(N(E70),SUMPRODUCT(MAX(('Completion Log'!$B$5:$B$2004=A70)*('Completion Log'!$C$5:$C$2004=B70)*'Completion Log'!$A$5:$A$2004)))))</f>
        <v/>
      </c>
      <c r="G70" s="15" t="str">
        <f aca="true">IF(OR(A70="",B70="",OR(NOT(ISNUMBER(C70)),N(C70)&lt;=0)),"",IF(F70="",TODAY(),F70+C70))</f>
        <v/>
      </c>
      <c r="H70" s="16" t="str">
        <f aca="true">IF(G70="","",G70-TODAY())</f>
        <v/>
      </c>
      <c r="I70" s="17" t="str">
        <f aca="false">IF(AND(A70="",B70=""),"",IF(OR(A70="",B70=""),"Fill in asset and task",IF(OR(NOT(ISNUMBER(C70)),N(C70)&lt;=0),"Check frequency",IF(SUMPRODUCT(($A$5:$A$304=A70)*($B$5:$B$304=B70))&gt;1,"Duplicate row",IF(H70&lt;0,"OVERDUE",IF(H70&lt;=$I$2,"Due soon","OK"))))))</f>
        <v/>
      </c>
      <c r="J70" s="9"/>
    </row>
    <row r="71" customFormat="false" ht="15" hidden="false" customHeight="false" outlineLevel="0" collapsed="false">
      <c r="A71" s="9"/>
      <c r="B71" s="9"/>
      <c r="C71" s="9"/>
      <c r="D71" s="9"/>
      <c r="E71" s="14"/>
      <c r="F71" s="15" t="str">
        <f aca="false">IF(OR(A71="",B71=""),"",IF(MAX(N(E71),SUMPRODUCT(MAX(('Completion Log'!$B$5:$B$2004=A71)*('Completion Log'!$C$5:$C$2004=B71)*'Completion Log'!$A$5:$A$2004)))=0,"",MAX(N(E71),SUMPRODUCT(MAX(('Completion Log'!$B$5:$B$2004=A71)*('Completion Log'!$C$5:$C$2004=B71)*'Completion Log'!$A$5:$A$2004)))))</f>
        <v/>
      </c>
      <c r="G71" s="15" t="str">
        <f aca="true">IF(OR(A71="",B71="",OR(NOT(ISNUMBER(C71)),N(C71)&lt;=0)),"",IF(F71="",TODAY(),F71+C71))</f>
        <v/>
      </c>
      <c r="H71" s="16" t="str">
        <f aca="true">IF(G71="","",G71-TODAY())</f>
        <v/>
      </c>
      <c r="I71" s="17" t="str">
        <f aca="false">IF(AND(A71="",B71=""),"",IF(OR(A71="",B71=""),"Fill in asset and task",IF(OR(NOT(ISNUMBER(C71)),N(C71)&lt;=0),"Check frequency",IF(SUMPRODUCT(($A$5:$A$304=A71)*($B$5:$B$304=B71))&gt;1,"Duplicate row",IF(H71&lt;0,"OVERDUE",IF(H71&lt;=$I$2,"Due soon","OK"))))))</f>
        <v/>
      </c>
      <c r="J71" s="9"/>
    </row>
    <row r="72" customFormat="false" ht="15" hidden="false" customHeight="false" outlineLevel="0" collapsed="false">
      <c r="A72" s="9"/>
      <c r="B72" s="9"/>
      <c r="C72" s="9"/>
      <c r="D72" s="9"/>
      <c r="E72" s="14"/>
      <c r="F72" s="15" t="str">
        <f aca="false">IF(OR(A72="",B72=""),"",IF(MAX(N(E72),SUMPRODUCT(MAX(('Completion Log'!$B$5:$B$2004=A72)*('Completion Log'!$C$5:$C$2004=B72)*'Completion Log'!$A$5:$A$2004)))=0,"",MAX(N(E72),SUMPRODUCT(MAX(('Completion Log'!$B$5:$B$2004=A72)*('Completion Log'!$C$5:$C$2004=B72)*'Completion Log'!$A$5:$A$2004)))))</f>
        <v/>
      </c>
      <c r="G72" s="15" t="str">
        <f aca="true">IF(OR(A72="",B72="",OR(NOT(ISNUMBER(C72)),N(C72)&lt;=0)),"",IF(F72="",TODAY(),F72+C72))</f>
        <v/>
      </c>
      <c r="H72" s="16" t="str">
        <f aca="true">IF(G72="","",G72-TODAY())</f>
        <v/>
      </c>
      <c r="I72" s="17" t="str">
        <f aca="false">IF(AND(A72="",B72=""),"",IF(OR(A72="",B72=""),"Fill in asset and task",IF(OR(NOT(ISNUMBER(C72)),N(C72)&lt;=0),"Check frequency",IF(SUMPRODUCT(($A$5:$A$304=A72)*($B$5:$B$304=B72))&gt;1,"Duplicate row",IF(H72&lt;0,"OVERDUE",IF(H72&lt;=$I$2,"Due soon","OK"))))))</f>
        <v/>
      </c>
      <c r="J72" s="9"/>
    </row>
    <row r="73" customFormat="false" ht="15" hidden="false" customHeight="false" outlineLevel="0" collapsed="false">
      <c r="A73" s="9"/>
      <c r="B73" s="9"/>
      <c r="C73" s="9"/>
      <c r="D73" s="9"/>
      <c r="E73" s="14"/>
      <c r="F73" s="15" t="str">
        <f aca="false">IF(OR(A73="",B73=""),"",IF(MAX(N(E73),SUMPRODUCT(MAX(('Completion Log'!$B$5:$B$2004=A73)*('Completion Log'!$C$5:$C$2004=B73)*'Completion Log'!$A$5:$A$2004)))=0,"",MAX(N(E73),SUMPRODUCT(MAX(('Completion Log'!$B$5:$B$2004=A73)*('Completion Log'!$C$5:$C$2004=B73)*'Completion Log'!$A$5:$A$2004)))))</f>
        <v/>
      </c>
      <c r="G73" s="15" t="str">
        <f aca="true">IF(OR(A73="",B73="",OR(NOT(ISNUMBER(C73)),N(C73)&lt;=0)),"",IF(F73="",TODAY(),F73+C73))</f>
        <v/>
      </c>
      <c r="H73" s="16" t="str">
        <f aca="true">IF(G73="","",G73-TODAY())</f>
        <v/>
      </c>
      <c r="I73" s="17" t="str">
        <f aca="false">IF(AND(A73="",B73=""),"",IF(OR(A73="",B73=""),"Fill in asset and task",IF(OR(NOT(ISNUMBER(C73)),N(C73)&lt;=0),"Check frequency",IF(SUMPRODUCT(($A$5:$A$304=A73)*($B$5:$B$304=B73))&gt;1,"Duplicate row",IF(H73&lt;0,"OVERDUE",IF(H73&lt;=$I$2,"Due soon","OK"))))))</f>
        <v/>
      </c>
      <c r="J73" s="9"/>
    </row>
    <row r="74" customFormat="false" ht="15" hidden="false" customHeight="false" outlineLevel="0" collapsed="false">
      <c r="A74" s="9"/>
      <c r="B74" s="9"/>
      <c r="C74" s="9"/>
      <c r="D74" s="9"/>
      <c r="E74" s="14"/>
      <c r="F74" s="15" t="str">
        <f aca="false">IF(OR(A74="",B74=""),"",IF(MAX(N(E74),SUMPRODUCT(MAX(('Completion Log'!$B$5:$B$2004=A74)*('Completion Log'!$C$5:$C$2004=B74)*'Completion Log'!$A$5:$A$2004)))=0,"",MAX(N(E74),SUMPRODUCT(MAX(('Completion Log'!$B$5:$B$2004=A74)*('Completion Log'!$C$5:$C$2004=B74)*'Completion Log'!$A$5:$A$2004)))))</f>
        <v/>
      </c>
      <c r="G74" s="15" t="str">
        <f aca="true">IF(OR(A74="",B74="",OR(NOT(ISNUMBER(C74)),N(C74)&lt;=0)),"",IF(F74="",TODAY(),F74+C74))</f>
        <v/>
      </c>
      <c r="H74" s="16" t="str">
        <f aca="true">IF(G74="","",G74-TODAY())</f>
        <v/>
      </c>
      <c r="I74" s="17" t="str">
        <f aca="false">IF(AND(A74="",B74=""),"",IF(OR(A74="",B74=""),"Fill in asset and task",IF(OR(NOT(ISNUMBER(C74)),N(C74)&lt;=0),"Check frequency",IF(SUMPRODUCT(($A$5:$A$304=A74)*($B$5:$B$304=B74))&gt;1,"Duplicate row",IF(H74&lt;0,"OVERDUE",IF(H74&lt;=$I$2,"Due soon","OK"))))))</f>
        <v/>
      </c>
      <c r="J74" s="9"/>
    </row>
    <row r="75" customFormat="false" ht="15" hidden="false" customHeight="false" outlineLevel="0" collapsed="false">
      <c r="A75" s="9"/>
      <c r="B75" s="9"/>
      <c r="C75" s="9"/>
      <c r="D75" s="9"/>
      <c r="E75" s="14"/>
      <c r="F75" s="15" t="str">
        <f aca="false">IF(OR(A75="",B75=""),"",IF(MAX(N(E75),SUMPRODUCT(MAX(('Completion Log'!$B$5:$B$2004=A75)*('Completion Log'!$C$5:$C$2004=B75)*'Completion Log'!$A$5:$A$2004)))=0,"",MAX(N(E75),SUMPRODUCT(MAX(('Completion Log'!$B$5:$B$2004=A75)*('Completion Log'!$C$5:$C$2004=B75)*'Completion Log'!$A$5:$A$2004)))))</f>
        <v/>
      </c>
      <c r="G75" s="15" t="str">
        <f aca="true">IF(OR(A75="",B75="",OR(NOT(ISNUMBER(C75)),N(C75)&lt;=0)),"",IF(F75="",TODAY(),F75+C75))</f>
        <v/>
      </c>
      <c r="H75" s="16" t="str">
        <f aca="true">IF(G75="","",G75-TODAY())</f>
        <v/>
      </c>
      <c r="I75" s="17" t="str">
        <f aca="false">IF(AND(A75="",B75=""),"",IF(OR(A75="",B75=""),"Fill in asset and task",IF(OR(NOT(ISNUMBER(C75)),N(C75)&lt;=0),"Check frequency",IF(SUMPRODUCT(($A$5:$A$304=A75)*($B$5:$B$304=B75))&gt;1,"Duplicate row",IF(H75&lt;0,"OVERDUE",IF(H75&lt;=$I$2,"Due soon","OK"))))))</f>
        <v/>
      </c>
      <c r="J75" s="9"/>
    </row>
    <row r="76" customFormat="false" ht="15" hidden="false" customHeight="false" outlineLevel="0" collapsed="false">
      <c r="A76" s="9"/>
      <c r="B76" s="9"/>
      <c r="C76" s="9"/>
      <c r="D76" s="9"/>
      <c r="E76" s="14"/>
      <c r="F76" s="15" t="str">
        <f aca="false">IF(OR(A76="",B76=""),"",IF(MAX(N(E76),SUMPRODUCT(MAX(('Completion Log'!$B$5:$B$2004=A76)*('Completion Log'!$C$5:$C$2004=B76)*'Completion Log'!$A$5:$A$2004)))=0,"",MAX(N(E76),SUMPRODUCT(MAX(('Completion Log'!$B$5:$B$2004=A76)*('Completion Log'!$C$5:$C$2004=B76)*'Completion Log'!$A$5:$A$2004)))))</f>
        <v/>
      </c>
      <c r="G76" s="15" t="str">
        <f aca="true">IF(OR(A76="",B76="",OR(NOT(ISNUMBER(C76)),N(C76)&lt;=0)),"",IF(F76="",TODAY(),F76+C76))</f>
        <v/>
      </c>
      <c r="H76" s="16" t="str">
        <f aca="true">IF(G76="","",G76-TODAY())</f>
        <v/>
      </c>
      <c r="I76" s="17" t="str">
        <f aca="false">IF(AND(A76="",B76=""),"",IF(OR(A76="",B76=""),"Fill in asset and task",IF(OR(NOT(ISNUMBER(C76)),N(C76)&lt;=0),"Check frequency",IF(SUMPRODUCT(($A$5:$A$304=A76)*($B$5:$B$304=B76))&gt;1,"Duplicate row",IF(H76&lt;0,"OVERDUE",IF(H76&lt;=$I$2,"Due soon","OK"))))))</f>
        <v/>
      </c>
      <c r="J76" s="9"/>
    </row>
    <row r="77" customFormat="false" ht="15" hidden="false" customHeight="false" outlineLevel="0" collapsed="false">
      <c r="A77" s="9"/>
      <c r="B77" s="9"/>
      <c r="C77" s="9"/>
      <c r="D77" s="9"/>
      <c r="E77" s="14"/>
      <c r="F77" s="15" t="str">
        <f aca="false">IF(OR(A77="",B77=""),"",IF(MAX(N(E77),SUMPRODUCT(MAX(('Completion Log'!$B$5:$B$2004=A77)*('Completion Log'!$C$5:$C$2004=B77)*'Completion Log'!$A$5:$A$2004)))=0,"",MAX(N(E77),SUMPRODUCT(MAX(('Completion Log'!$B$5:$B$2004=A77)*('Completion Log'!$C$5:$C$2004=B77)*'Completion Log'!$A$5:$A$2004)))))</f>
        <v/>
      </c>
      <c r="G77" s="15" t="str">
        <f aca="true">IF(OR(A77="",B77="",OR(NOT(ISNUMBER(C77)),N(C77)&lt;=0)),"",IF(F77="",TODAY(),F77+C77))</f>
        <v/>
      </c>
      <c r="H77" s="16" t="str">
        <f aca="true">IF(G77="","",G77-TODAY())</f>
        <v/>
      </c>
      <c r="I77" s="17" t="str">
        <f aca="false">IF(AND(A77="",B77=""),"",IF(OR(A77="",B77=""),"Fill in asset and task",IF(OR(NOT(ISNUMBER(C77)),N(C77)&lt;=0),"Check frequency",IF(SUMPRODUCT(($A$5:$A$304=A77)*($B$5:$B$304=B77))&gt;1,"Duplicate row",IF(H77&lt;0,"OVERDUE",IF(H77&lt;=$I$2,"Due soon","OK"))))))</f>
        <v/>
      </c>
      <c r="J77" s="9"/>
    </row>
    <row r="78" customFormat="false" ht="15" hidden="false" customHeight="false" outlineLevel="0" collapsed="false">
      <c r="A78" s="9"/>
      <c r="B78" s="9"/>
      <c r="C78" s="9"/>
      <c r="D78" s="9"/>
      <c r="E78" s="14"/>
      <c r="F78" s="15" t="str">
        <f aca="false">IF(OR(A78="",B78=""),"",IF(MAX(N(E78),SUMPRODUCT(MAX(('Completion Log'!$B$5:$B$2004=A78)*('Completion Log'!$C$5:$C$2004=B78)*'Completion Log'!$A$5:$A$2004)))=0,"",MAX(N(E78),SUMPRODUCT(MAX(('Completion Log'!$B$5:$B$2004=A78)*('Completion Log'!$C$5:$C$2004=B78)*'Completion Log'!$A$5:$A$2004)))))</f>
        <v/>
      </c>
      <c r="G78" s="15" t="str">
        <f aca="true">IF(OR(A78="",B78="",OR(NOT(ISNUMBER(C78)),N(C78)&lt;=0)),"",IF(F78="",TODAY(),F78+C78))</f>
        <v/>
      </c>
      <c r="H78" s="16" t="str">
        <f aca="true">IF(G78="","",G78-TODAY())</f>
        <v/>
      </c>
      <c r="I78" s="17" t="str">
        <f aca="false">IF(AND(A78="",B78=""),"",IF(OR(A78="",B78=""),"Fill in asset and task",IF(OR(NOT(ISNUMBER(C78)),N(C78)&lt;=0),"Check frequency",IF(SUMPRODUCT(($A$5:$A$304=A78)*($B$5:$B$304=B78))&gt;1,"Duplicate row",IF(H78&lt;0,"OVERDUE",IF(H78&lt;=$I$2,"Due soon","OK"))))))</f>
        <v/>
      </c>
      <c r="J78" s="9"/>
    </row>
    <row r="79" customFormat="false" ht="15" hidden="false" customHeight="false" outlineLevel="0" collapsed="false">
      <c r="A79" s="9"/>
      <c r="B79" s="9"/>
      <c r="C79" s="9"/>
      <c r="D79" s="9"/>
      <c r="E79" s="14"/>
      <c r="F79" s="15" t="str">
        <f aca="false">IF(OR(A79="",B79=""),"",IF(MAX(N(E79),SUMPRODUCT(MAX(('Completion Log'!$B$5:$B$2004=A79)*('Completion Log'!$C$5:$C$2004=B79)*'Completion Log'!$A$5:$A$2004)))=0,"",MAX(N(E79),SUMPRODUCT(MAX(('Completion Log'!$B$5:$B$2004=A79)*('Completion Log'!$C$5:$C$2004=B79)*'Completion Log'!$A$5:$A$2004)))))</f>
        <v/>
      </c>
      <c r="G79" s="15" t="str">
        <f aca="true">IF(OR(A79="",B79="",OR(NOT(ISNUMBER(C79)),N(C79)&lt;=0)),"",IF(F79="",TODAY(),F79+C79))</f>
        <v/>
      </c>
      <c r="H79" s="16" t="str">
        <f aca="true">IF(G79="","",G79-TODAY())</f>
        <v/>
      </c>
      <c r="I79" s="17" t="str">
        <f aca="false">IF(AND(A79="",B79=""),"",IF(OR(A79="",B79=""),"Fill in asset and task",IF(OR(NOT(ISNUMBER(C79)),N(C79)&lt;=0),"Check frequency",IF(SUMPRODUCT(($A$5:$A$304=A79)*($B$5:$B$304=B79))&gt;1,"Duplicate row",IF(H79&lt;0,"OVERDUE",IF(H79&lt;=$I$2,"Due soon","OK"))))))</f>
        <v/>
      </c>
      <c r="J79" s="9"/>
    </row>
    <row r="80" customFormat="false" ht="15" hidden="false" customHeight="false" outlineLevel="0" collapsed="false">
      <c r="A80" s="9"/>
      <c r="B80" s="9"/>
      <c r="C80" s="9"/>
      <c r="D80" s="9"/>
      <c r="E80" s="14"/>
      <c r="F80" s="15" t="str">
        <f aca="false">IF(OR(A80="",B80=""),"",IF(MAX(N(E80),SUMPRODUCT(MAX(('Completion Log'!$B$5:$B$2004=A80)*('Completion Log'!$C$5:$C$2004=B80)*'Completion Log'!$A$5:$A$2004)))=0,"",MAX(N(E80),SUMPRODUCT(MAX(('Completion Log'!$B$5:$B$2004=A80)*('Completion Log'!$C$5:$C$2004=B80)*'Completion Log'!$A$5:$A$2004)))))</f>
        <v/>
      </c>
      <c r="G80" s="15" t="str">
        <f aca="true">IF(OR(A80="",B80="",OR(NOT(ISNUMBER(C80)),N(C80)&lt;=0)),"",IF(F80="",TODAY(),F80+C80))</f>
        <v/>
      </c>
      <c r="H80" s="16" t="str">
        <f aca="true">IF(G80="","",G80-TODAY())</f>
        <v/>
      </c>
      <c r="I80" s="17" t="str">
        <f aca="false">IF(AND(A80="",B80=""),"",IF(OR(A80="",B80=""),"Fill in asset and task",IF(OR(NOT(ISNUMBER(C80)),N(C80)&lt;=0),"Check frequency",IF(SUMPRODUCT(($A$5:$A$304=A80)*($B$5:$B$304=B80))&gt;1,"Duplicate row",IF(H80&lt;0,"OVERDUE",IF(H80&lt;=$I$2,"Due soon","OK"))))))</f>
        <v/>
      </c>
      <c r="J80" s="9"/>
    </row>
    <row r="81" customFormat="false" ht="15" hidden="false" customHeight="false" outlineLevel="0" collapsed="false">
      <c r="A81" s="9"/>
      <c r="B81" s="9"/>
      <c r="C81" s="9"/>
      <c r="D81" s="9"/>
      <c r="E81" s="14"/>
      <c r="F81" s="15" t="str">
        <f aca="false">IF(OR(A81="",B81=""),"",IF(MAX(N(E81),SUMPRODUCT(MAX(('Completion Log'!$B$5:$B$2004=A81)*('Completion Log'!$C$5:$C$2004=B81)*'Completion Log'!$A$5:$A$2004)))=0,"",MAX(N(E81),SUMPRODUCT(MAX(('Completion Log'!$B$5:$B$2004=A81)*('Completion Log'!$C$5:$C$2004=B81)*'Completion Log'!$A$5:$A$2004)))))</f>
        <v/>
      </c>
      <c r="G81" s="15" t="str">
        <f aca="true">IF(OR(A81="",B81="",OR(NOT(ISNUMBER(C81)),N(C81)&lt;=0)),"",IF(F81="",TODAY(),F81+C81))</f>
        <v/>
      </c>
      <c r="H81" s="16" t="str">
        <f aca="true">IF(G81="","",G81-TODAY())</f>
        <v/>
      </c>
      <c r="I81" s="17" t="str">
        <f aca="false">IF(AND(A81="",B81=""),"",IF(OR(A81="",B81=""),"Fill in asset and task",IF(OR(NOT(ISNUMBER(C81)),N(C81)&lt;=0),"Check frequency",IF(SUMPRODUCT(($A$5:$A$304=A81)*($B$5:$B$304=B81))&gt;1,"Duplicate row",IF(H81&lt;0,"OVERDUE",IF(H81&lt;=$I$2,"Due soon","OK"))))))</f>
        <v/>
      </c>
      <c r="J81" s="9"/>
    </row>
    <row r="82" customFormat="false" ht="15" hidden="false" customHeight="false" outlineLevel="0" collapsed="false">
      <c r="A82" s="9"/>
      <c r="B82" s="9"/>
      <c r="C82" s="9"/>
      <c r="D82" s="9"/>
      <c r="E82" s="14"/>
      <c r="F82" s="15" t="str">
        <f aca="false">IF(OR(A82="",B82=""),"",IF(MAX(N(E82),SUMPRODUCT(MAX(('Completion Log'!$B$5:$B$2004=A82)*('Completion Log'!$C$5:$C$2004=B82)*'Completion Log'!$A$5:$A$2004)))=0,"",MAX(N(E82),SUMPRODUCT(MAX(('Completion Log'!$B$5:$B$2004=A82)*('Completion Log'!$C$5:$C$2004=B82)*'Completion Log'!$A$5:$A$2004)))))</f>
        <v/>
      </c>
      <c r="G82" s="15" t="str">
        <f aca="true">IF(OR(A82="",B82="",OR(NOT(ISNUMBER(C82)),N(C82)&lt;=0)),"",IF(F82="",TODAY(),F82+C82))</f>
        <v/>
      </c>
      <c r="H82" s="16" t="str">
        <f aca="true">IF(G82="","",G82-TODAY())</f>
        <v/>
      </c>
      <c r="I82" s="17" t="str">
        <f aca="false">IF(AND(A82="",B82=""),"",IF(OR(A82="",B82=""),"Fill in asset and task",IF(OR(NOT(ISNUMBER(C82)),N(C82)&lt;=0),"Check frequency",IF(SUMPRODUCT(($A$5:$A$304=A82)*($B$5:$B$304=B82))&gt;1,"Duplicate row",IF(H82&lt;0,"OVERDUE",IF(H82&lt;=$I$2,"Due soon","OK"))))))</f>
        <v/>
      </c>
      <c r="J82" s="9"/>
    </row>
    <row r="83" customFormat="false" ht="15" hidden="false" customHeight="false" outlineLevel="0" collapsed="false">
      <c r="A83" s="9"/>
      <c r="B83" s="9"/>
      <c r="C83" s="9"/>
      <c r="D83" s="9"/>
      <c r="E83" s="14"/>
      <c r="F83" s="15" t="str">
        <f aca="false">IF(OR(A83="",B83=""),"",IF(MAX(N(E83),SUMPRODUCT(MAX(('Completion Log'!$B$5:$B$2004=A83)*('Completion Log'!$C$5:$C$2004=B83)*'Completion Log'!$A$5:$A$2004)))=0,"",MAX(N(E83),SUMPRODUCT(MAX(('Completion Log'!$B$5:$B$2004=A83)*('Completion Log'!$C$5:$C$2004=B83)*'Completion Log'!$A$5:$A$2004)))))</f>
        <v/>
      </c>
      <c r="G83" s="15" t="str">
        <f aca="true">IF(OR(A83="",B83="",OR(NOT(ISNUMBER(C83)),N(C83)&lt;=0)),"",IF(F83="",TODAY(),F83+C83))</f>
        <v/>
      </c>
      <c r="H83" s="16" t="str">
        <f aca="true">IF(G83="","",G83-TODAY())</f>
        <v/>
      </c>
      <c r="I83" s="17" t="str">
        <f aca="false">IF(AND(A83="",B83=""),"",IF(OR(A83="",B83=""),"Fill in asset and task",IF(OR(NOT(ISNUMBER(C83)),N(C83)&lt;=0),"Check frequency",IF(SUMPRODUCT(($A$5:$A$304=A83)*($B$5:$B$304=B83))&gt;1,"Duplicate row",IF(H83&lt;0,"OVERDUE",IF(H83&lt;=$I$2,"Due soon","OK"))))))</f>
        <v/>
      </c>
      <c r="J83" s="9"/>
    </row>
    <row r="84" customFormat="false" ht="15" hidden="false" customHeight="false" outlineLevel="0" collapsed="false">
      <c r="A84" s="9"/>
      <c r="B84" s="9"/>
      <c r="C84" s="9"/>
      <c r="D84" s="9"/>
      <c r="E84" s="14"/>
      <c r="F84" s="15" t="str">
        <f aca="false">IF(OR(A84="",B84=""),"",IF(MAX(N(E84),SUMPRODUCT(MAX(('Completion Log'!$B$5:$B$2004=A84)*('Completion Log'!$C$5:$C$2004=B84)*'Completion Log'!$A$5:$A$2004)))=0,"",MAX(N(E84),SUMPRODUCT(MAX(('Completion Log'!$B$5:$B$2004=A84)*('Completion Log'!$C$5:$C$2004=B84)*'Completion Log'!$A$5:$A$2004)))))</f>
        <v/>
      </c>
      <c r="G84" s="15" t="str">
        <f aca="true">IF(OR(A84="",B84="",OR(NOT(ISNUMBER(C84)),N(C84)&lt;=0)),"",IF(F84="",TODAY(),F84+C84))</f>
        <v/>
      </c>
      <c r="H84" s="16" t="str">
        <f aca="true">IF(G84="","",G84-TODAY())</f>
        <v/>
      </c>
      <c r="I84" s="17" t="str">
        <f aca="false">IF(AND(A84="",B84=""),"",IF(OR(A84="",B84=""),"Fill in asset and task",IF(OR(NOT(ISNUMBER(C84)),N(C84)&lt;=0),"Check frequency",IF(SUMPRODUCT(($A$5:$A$304=A84)*($B$5:$B$304=B84))&gt;1,"Duplicate row",IF(H84&lt;0,"OVERDUE",IF(H84&lt;=$I$2,"Due soon","OK"))))))</f>
        <v/>
      </c>
      <c r="J84" s="9"/>
    </row>
    <row r="85" customFormat="false" ht="15" hidden="false" customHeight="false" outlineLevel="0" collapsed="false">
      <c r="A85" s="9"/>
      <c r="B85" s="9"/>
      <c r="C85" s="9"/>
      <c r="D85" s="9"/>
      <c r="E85" s="14"/>
      <c r="F85" s="15" t="str">
        <f aca="false">IF(OR(A85="",B85=""),"",IF(MAX(N(E85),SUMPRODUCT(MAX(('Completion Log'!$B$5:$B$2004=A85)*('Completion Log'!$C$5:$C$2004=B85)*'Completion Log'!$A$5:$A$2004)))=0,"",MAX(N(E85),SUMPRODUCT(MAX(('Completion Log'!$B$5:$B$2004=A85)*('Completion Log'!$C$5:$C$2004=B85)*'Completion Log'!$A$5:$A$2004)))))</f>
        <v/>
      </c>
      <c r="G85" s="15" t="str">
        <f aca="true">IF(OR(A85="",B85="",OR(NOT(ISNUMBER(C85)),N(C85)&lt;=0)),"",IF(F85="",TODAY(),F85+C85))</f>
        <v/>
      </c>
      <c r="H85" s="16" t="str">
        <f aca="true">IF(G85="","",G85-TODAY())</f>
        <v/>
      </c>
      <c r="I85" s="17" t="str">
        <f aca="false">IF(AND(A85="",B85=""),"",IF(OR(A85="",B85=""),"Fill in asset and task",IF(OR(NOT(ISNUMBER(C85)),N(C85)&lt;=0),"Check frequency",IF(SUMPRODUCT(($A$5:$A$304=A85)*($B$5:$B$304=B85))&gt;1,"Duplicate row",IF(H85&lt;0,"OVERDUE",IF(H85&lt;=$I$2,"Due soon","OK"))))))</f>
        <v/>
      </c>
      <c r="J85" s="9"/>
    </row>
    <row r="86" customFormat="false" ht="15" hidden="false" customHeight="false" outlineLevel="0" collapsed="false">
      <c r="A86" s="9"/>
      <c r="B86" s="9"/>
      <c r="C86" s="9"/>
      <c r="D86" s="9"/>
      <c r="E86" s="14"/>
      <c r="F86" s="15" t="str">
        <f aca="false">IF(OR(A86="",B86=""),"",IF(MAX(N(E86),SUMPRODUCT(MAX(('Completion Log'!$B$5:$B$2004=A86)*('Completion Log'!$C$5:$C$2004=B86)*'Completion Log'!$A$5:$A$2004)))=0,"",MAX(N(E86),SUMPRODUCT(MAX(('Completion Log'!$B$5:$B$2004=A86)*('Completion Log'!$C$5:$C$2004=B86)*'Completion Log'!$A$5:$A$2004)))))</f>
        <v/>
      </c>
      <c r="G86" s="15" t="str">
        <f aca="true">IF(OR(A86="",B86="",OR(NOT(ISNUMBER(C86)),N(C86)&lt;=0)),"",IF(F86="",TODAY(),F86+C86))</f>
        <v/>
      </c>
      <c r="H86" s="16" t="str">
        <f aca="true">IF(G86="","",G86-TODAY())</f>
        <v/>
      </c>
      <c r="I86" s="17" t="str">
        <f aca="false">IF(AND(A86="",B86=""),"",IF(OR(A86="",B86=""),"Fill in asset and task",IF(OR(NOT(ISNUMBER(C86)),N(C86)&lt;=0),"Check frequency",IF(SUMPRODUCT(($A$5:$A$304=A86)*($B$5:$B$304=B86))&gt;1,"Duplicate row",IF(H86&lt;0,"OVERDUE",IF(H86&lt;=$I$2,"Due soon","OK"))))))</f>
        <v/>
      </c>
      <c r="J86" s="9"/>
    </row>
    <row r="87" customFormat="false" ht="15" hidden="false" customHeight="false" outlineLevel="0" collapsed="false">
      <c r="A87" s="9"/>
      <c r="B87" s="9"/>
      <c r="C87" s="9"/>
      <c r="D87" s="9"/>
      <c r="E87" s="14"/>
      <c r="F87" s="15" t="str">
        <f aca="false">IF(OR(A87="",B87=""),"",IF(MAX(N(E87),SUMPRODUCT(MAX(('Completion Log'!$B$5:$B$2004=A87)*('Completion Log'!$C$5:$C$2004=B87)*'Completion Log'!$A$5:$A$2004)))=0,"",MAX(N(E87),SUMPRODUCT(MAX(('Completion Log'!$B$5:$B$2004=A87)*('Completion Log'!$C$5:$C$2004=B87)*'Completion Log'!$A$5:$A$2004)))))</f>
        <v/>
      </c>
      <c r="G87" s="15" t="str">
        <f aca="true">IF(OR(A87="",B87="",OR(NOT(ISNUMBER(C87)),N(C87)&lt;=0)),"",IF(F87="",TODAY(),F87+C87))</f>
        <v/>
      </c>
      <c r="H87" s="16" t="str">
        <f aca="true">IF(G87="","",G87-TODAY())</f>
        <v/>
      </c>
      <c r="I87" s="17" t="str">
        <f aca="false">IF(AND(A87="",B87=""),"",IF(OR(A87="",B87=""),"Fill in asset and task",IF(OR(NOT(ISNUMBER(C87)),N(C87)&lt;=0),"Check frequency",IF(SUMPRODUCT(($A$5:$A$304=A87)*($B$5:$B$304=B87))&gt;1,"Duplicate row",IF(H87&lt;0,"OVERDUE",IF(H87&lt;=$I$2,"Due soon","OK"))))))</f>
        <v/>
      </c>
      <c r="J87" s="9"/>
    </row>
    <row r="88" customFormat="false" ht="15" hidden="false" customHeight="false" outlineLevel="0" collapsed="false">
      <c r="A88" s="9"/>
      <c r="B88" s="9"/>
      <c r="C88" s="9"/>
      <c r="D88" s="9"/>
      <c r="E88" s="14"/>
      <c r="F88" s="15" t="str">
        <f aca="false">IF(OR(A88="",B88=""),"",IF(MAX(N(E88),SUMPRODUCT(MAX(('Completion Log'!$B$5:$B$2004=A88)*('Completion Log'!$C$5:$C$2004=B88)*'Completion Log'!$A$5:$A$2004)))=0,"",MAX(N(E88),SUMPRODUCT(MAX(('Completion Log'!$B$5:$B$2004=A88)*('Completion Log'!$C$5:$C$2004=B88)*'Completion Log'!$A$5:$A$2004)))))</f>
        <v/>
      </c>
      <c r="G88" s="15" t="str">
        <f aca="true">IF(OR(A88="",B88="",OR(NOT(ISNUMBER(C88)),N(C88)&lt;=0)),"",IF(F88="",TODAY(),F88+C88))</f>
        <v/>
      </c>
      <c r="H88" s="16" t="str">
        <f aca="true">IF(G88="","",G88-TODAY())</f>
        <v/>
      </c>
      <c r="I88" s="17" t="str">
        <f aca="false">IF(AND(A88="",B88=""),"",IF(OR(A88="",B88=""),"Fill in asset and task",IF(OR(NOT(ISNUMBER(C88)),N(C88)&lt;=0),"Check frequency",IF(SUMPRODUCT(($A$5:$A$304=A88)*($B$5:$B$304=B88))&gt;1,"Duplicate row",IF(H88&lt;0,"OVERDUE",IF(H88&lt;=$I$2,"Due soon","OK"))))))</f>
        <v/>
      </c>
      <c r="J88" s="9"/>
    </row>
    <row r="89" customFormat="false" ht="15" hidden="false" customHeight="false" outlineLevel="0" collapsed="false">
      <c r="A89" s="9"/>
      <c r="B89" s="9"/>
      <c r="C89" s="9"/>
      <c r="D89" s="9"/>
      <c r="E89" s="14"/>
      <c r="F89" s="15" t="str">
        <f aca="false">IF(OR(A89="",B89=""),"",IF(MAX(N(E89),SUMPRODUCT(MAX(('Completion Log'!$B$5:$B$2004=A89)*('Completion Log'!$C$5:$C$2004=B89)*'Completion Log'!$A$5:$A$2004)))=0,"",MAX(N(E89),SUMPRODUCT(MAX(('Completion Log'!$B$5:$B$2004=A89)*('Completion Log'!$C$5:$C$2004=B89)*'Completion Log'!$A$5:$A$2004)))))</f>
        <v/>
      </c>
      <c r="G89" s="15" t="str">
        <f aca="true">IF(OR(A89="",B89="",OR(NOT(ISNUMBER(C89)),N(C89)&lt;=0)),"",IF(F89="",TODAY(),F89+C89))</f>
        <v/>
      </c>
      <c r="H89" s="16" t="str">
        <f aca="true">IF(G89="","",G89-TODAY())</f>
        <v/>
      </c>
      <c r="I89" s="17" t="str">
        <f aca="false">IF(AND(A89="",B89=""),"",IF(OR(A89="",B89=""),"Fill in asset and task",IF(OR(NOT(ISNUMBER(C89)),N(C89)&lt;=0),"Check frequency",IF(SUMPRODUCT(($A$5:$A$304=A89)*($B$5:$B$304=B89))&gt;1,"Duplicate row",IF(H89&lt;0,"OVERDUE",IF(H89&lt;=$I$2,"Due soon","OK"))))))</f>
        <v/>
      </c>
      <c r="J89" s="9"/>
    </row>
    <row r="90" customFormat="false" ht="15" hidden="false" customHeight="false" outlineLevel="0" collapsed="false">
      <c r="A90" s="9"/>
      <c r="B90" s="9"/>
      <c r="C90" s="9"/>
      <c r="D90" s="9"/>
      <c r="E90" s="14"/>
      <c r="F90" s="15" t="str">
        <f aca="false">IF(OR(A90="",B90=""),"",IF(MAX(N(E90),SUMPRODUCT(MAX(('Completion Log'!$B$5:$B$2004=A90)*('Completion Log'!$C$5:$C$2004=B90)*'Completion Log'!$A$5:$A$2004)))=0,"",MAX(N(E90),SUMPRODUCT(MAX(('Completion Log'!$B$5:$B$2004=A90)*('Completion Log'!$C$5:$C$2004=B90)*'Completion Log'!$A$5:$A$2004)))))</f>
        <v/>
      </c>
      <c r="G90" s="15" t="str">
        <f aca="true">IF(OR(A90="",B90="",OR(NOT(ISNUMBER(C90)),N(C90)&lt;=0)),"",IF(F90="",TODAY(),F90+C90))</f>
        <v/>
      </c>
      <c r="H90" s="16" t="str">
        <f aca="true">IF(G90="","",G90-TODAY())</f>
        <v/>
      </c>
      <c r="I90" s="17" t="str">
        <f aca="false">IF(AND(A90="",B90=""),"",IF(OR(A90="",B90=""),"Fill in asset and task",IF(OR(NOT(ISNUMBER(C90)),N(C90)&lt;=0),"Check frequency",IF(SUMPRODUCT(($A$5:$A$304=A90)*($B$5:$B$304=B90))&gt;1,"Duplicate row",IF(H90&lt;0,"OVERDUE",IF(H90&lt;=$I$2,"Due soon","OK"))))))</f>
        <v/>
      </c>
      <c r="J90" s="9"/>
    </row>
    <row r="91" customFormat="false" ht="15" hidden="false" customHeight="false" outlineLevel="0" collapsed="false">
      <c r="A91" s="9"/>
      <c r="B91" s="9"/>
      <c r="C91" s="9"/>
      <c r="D91" s="9"/>
      <c r="E91" s="14"/>
      <c r="F91" s="15" t="str">
        <f aca="false">IF(OR(A91="",B91=""),"",IF(MAX(N(E91),SUMPRODUCT(MAX(('Completion Log'!$B$5:$B$2004=A91)*('Completion Log'!$C$5:$C$2004=B91)*'Completion Log'!$A$5:$A$2004)))=0,"",MAX(N(E91),SUMPRODUCT(MAX(('Completion Log'!$B$5:$B$2004=A91)*('Completion Log'!$C$5:$C$2004=B91)*'Completion Log'!$A$5:$A$2004)))))</f>
        <v/>
      </c>
      <c r="G91" s="15" t="str">
        <f aca="true">IF(OR(A91="",B91="",OR(NOT(ISNUMBER(C91)),N(C91)&lt;=0)),"",IF(F91="",TODAY(),F91+C91))</f>
        <v/>
      </c>
      <c r="H91" s="16" t="str">
        <f aca="true">IF(G91="","",G91-TODAY())</f>
        <v/>
      </c>
      <c r="I91" s="17" t="str">
        <f aca="false">IF(AND(A91="",B91=""),"",IF(OR(A91="",B91=""),"Fill in asset and task",IF(OR(NOT(ISNUMBER(C91)),N(C91)&lt;=0),"Check frequency",IF(SUMPRODUCT(($A$5:$A$304=A91)*($B$5:$B$304=B91))&gt;1,"Duplicate row",IF(H91&lt;0,"OVERDUE",IF(H91&lt;=$I$2,"Due soon","OK"))))))</f>
        <v/>
      </c>
      <c r="J91" s="9"/>
    </row>
    <row r="92" customFormat="false" ht="15" hidden="false" customHeight="false" outlineLevel="0" collapsed="false">
      <c r="A92" s="9"/>
      <c r="B92" s="9"/>
      <c r="C92" s="9"/>
      <c r="D92" s="9"/>
      <c r="E92" s="14"/>
      <c r="F92" s="15" t="str">
        <f aca="false">IF(OR(A92="",B92=""),"",IF(MAX(N(E92),SUMPRODUCT(MAX(('Completion Log'!$B$5:$B$2004=A92)*('Completion Log'!$C$5:$C$2004=B92)*'Completion Log'!$A$5:$A$2004)))=0,"",MAX(N(E92),SUMPRODUCT(MAX(('Completion Log'!$B$5:$B$2004=A92)*('Completion Log'!$C$5:$C$2004=B92)*'Completion Log'!$A$5:$A$2004)))))</f>
        <v/>
      </c>
      <c r="G92" s="15" t="str">
        <f aca="true">IF(OR(A92="",B92="",OR(NOT(ISNUMBER(C92)),N(C92)&lt;=0)),"",IF(F92="",TODAY(),F92+C92))</f>
        <v/>
      </c>
      <c r="H92" s="16" t="str">
        <f aca="true">IF(G92="","",G92-TODAY())</f>
        <v/>
      </c>
      <c r="I92" s="17" t="str">
        <f aca="false">IF(AND(A92="",B92=""),"",IF(OR(A92="",B92=""),"Fill in asset and task",IF(OR(NOT(ISNUMBER(C92)),N(C92)&lt;=0),"Check frequency",IF(SUMPRODUCT(($A$5:$A$304=A92)*($B$5:$B$304=B92))&gt;1,"Duplicate row",IF(H92&lt;0,"OVERDUE",IF(H92&lt;=$I$2,"Due soon","OK"))))))</f>
        <v/>
      </c>
      <c r="J92" s="9"/>
    </row>
    <row r="93" customFormat="false" ht="15" hidden="false" customHeight="false" outlineLevel="0" collapsed="false">
      <c r="A93" s="9"/>
      <c r="B93" s="9"/>
      <c r="C93" s="9"/>
      <c r="D93" s="9"/>
      <c r="E93" s="14"/>
      <c r="F93" s="15" t="str">
        <f aca="false">IF(OR(A93="",B93=""),"",IF(MAX(N(E93),SUMPRODUCT(MAX(('Completion Log'!$B$5:$B$2004=A93)*('Completion Log'!$C$5:$C$2004=B93)*'Completion Log'!$A$5:$A$2004)))=0,"",MAX(N(E93),SUMPRODUCT(MAX(('Completion Log'!$B$5:$B$2004=A93)*('Completion Log'!$C$5:$C$2004=B93)*'Completion Log'!$A$5:$A$2004)))))</f>
        <v/>
      </c>
      <c r="G93" s="15" t="str">
        <f aca="true">IF(OR(A93="",B93="",OR(NOT(ISNUMBER(C93)),N(C93)&lt;=0)),"",IF(F93="",TODAY(),F93+C93))</f>
        <v/>
      </c>
      <c r="H93" s="16" t="str">
        <f aca="true">IF(G93="","",G93-TODAY())</f>
        <v/>
      </c>
      <c r="I93" s="17" t="str">
        <f aca="false">IF(AND(A93="",B93=""),"",IF(OR(A93="",B93=""),"Fill in asset and task",IF(OR(NOT(ISNUMBER(C93)),N(C93)&lt;=0),"Check frequency",IF(SUMPRODUCT(($A$5:$A$304=A93)*($B$5:$B$304=B93))&gt;1,"Duplicate row",IF(H93&lt;0,"OVERDUE",IF(H93&lt;=$I$2,"Due soon","OK"))))))</f>
        <v/>
      </c>
      <c r="J93" s="9"/>
    </row>
    <row r="94" customFormat="false" ht="15" hidden="false" customHeight="false" outlineLevel="0" collapsed="false">
      <c r="A94" s="9"/>
      <c r="B94" s="9"/>
      <c r="C94" s="9"/>
      <c r="D94" s="9"/>
      <c r="E94" s="14"/>
      <c r="F94" s="15" t="str">
        <f aca="false">IF(OR(A94="",B94=""),"",IF(MAX(N(E94),SUMPRODUCT(MAX(('Completion Log'!$B$5:$B$2004=A94)*('Completion Log'!$C$5:$C$2004=B94)*'Completion Log'!$A$5:$A$2004)))=0,"",MAX(N(E94),SUMPRODUCT(MAX(('Completion Log'!$B$5:$B$2004=A94)*('Completion Log'!$C$5:$C$2004=B94)*'Completion Log'!$A$5:$A$2004)))))</f>
        <v/>
      </c>
      <c r="G94" s="15" t="str">
        <f aca="true">IF(OR(A94="",B94="",OR(NOT(ISNUMBER(C94)),N(C94)&lt;=0)),"",IF(F94="",TODAY(),F94+C94))</f>
        <v/>
      </c>
      <c r="H94" s="16" t="str">
        <f aca="true">IF(G94="","",G94-TODAY())</f>
        <v/>
      </c>
      <c r="I94" s="17" t="str">
        <f aca="false">IF(AND(A94="",B94=""),"",IF(OR(A94="",B94=""),"Fill in asset and task",IF(OR(NOT(ISNUMBER(C94)),N(C94)&lt;=0),"Check frequency",IF(SUMPRODUCT(($A$5:$A$304=A94)*($B$5:$B$304=B94))&gt;1,"Duplicate row",IF(H94&lt;0,"OVERDUE",IF(H94&lt;=$I$2,"Due soon","OK"))))))</f>
        <v/>
      </c>
      <c r="J94" s="9"/>
    </row>
    <row r="95" customFormat="false" ht="15" hidden="false" customHeight="false" outlineLevel="0" collapsed="false">
      <c r="A95" s="9"/>
      <c r="B95" s="9"/>
      <c r="C95" s="9"/>
      <c r="D95" s="9"/>
      <c r="E95" s="14"/>
      <c r="F95" s="15" t="str">
        <f aca="false">IF(OR(A95="",B95=""),"",IF(MAX(N(E95),SUMPRODUCT(MAX(('Completion Log'!$B$5:$B$2004=A95)*('Completion Log'!$C$5:$C$2004=B95)*'Completion Log'!$A$5:$A$2004)))=0,"",MAX(N(E95),SUMPRODUCT(MAX(('Completion Log'!$B$5:$B$2004=A95)*('Completion Log'!$C$5:$C$2004=B95)*'Completion Log'!$A$5:$A$2004)))))</f>
        <v/>
      </c>
      <c r="G95" s="15" t="str">
        <f aca="true">IF(OR(A95="",B95="",OR(NOT(ISNUMBER(C95)),N(C95)&lt;=0)),"",IF(F95="",TODAY(),F95+C95))</f>
        <v/>
      </c>
      <c r="H95" s="16" t="str">
        <f aca="true">IF(G95="","",G95-TODAY())</f>
        <v/>
      </c>
      <c r="I95" s="17" t="str">
        <f aca="false">IF(AND(A95="",B95=""),"",IF(OR(A95="",B95=""),"Fill in asset and task",IF(OR(NOT(ISNUMBER(C95)),N(C95)&lt;=0),"Check frequency",IF(SUMPRODUCT(($A$5:$A$304=A95)*($B$5:$B$304=B95))&gt;1,"Duplicate row",IF(H95&lt;0,"OVERDUE",IF(H95&lt;=$I$2,"Due soon","OK"))))))</f>
        <v/>
      </c>
      <c r="J95" s="9"/>
    </row>
    <row r="96" customFormat="false" ht="15" hidden="false" customHeight="false" outlineLevel="0" collapsed="false">
      <c r="A96" s="9"/>
      <c r="B96" s="9"/>
      <c r="C96" s="9"/>
      <c r="D96" s="9"/>
      <c r="E96" s="14"/>
      <c r="F96" s="15" t="str">
        <f aca="false">IF(OR(A96="",B96=""),"",IF(MAX(N(E96),SUMPRODUCT(MAX(('Completion Log'!$B$5:$B$2004=A96)*('Completion Log'!$C$5:$C$2004=B96)*'Completion Log'!$A$5:$A$2004)))=0,"",MAX(N(E96),SUMPRODUCT(MAX(('Completion Log'!$B$5:$B$2004=A96)*('Completion Log'!$C$5:$C$2004=B96)*'Completion Log'!$A$5:$A$2004)))))</f>
        <v/>
      </c>
      <c r="G96" s="15" t="str">
        <f aca="true">IF(OR(A96="",B96="",OR(NOT(ISNUMBER(C96)),N(C96)&lt;=0)),"",IF(F96="",TODAY(),F96+C96))</f>
        <v/>
      </c>
      <c r="H96" s="16" t="str">
        <f aca="true">IF(G96="","",G96-TODAY())</f>
        <v/>
      </c>
      <c r="I96" s="17" t="str">
        <f aca="false">IF(AND(A96="",B96=""),"",IF(OR(A96="",B96=""),"Fill in asset and task",IF(OR(NOT(ISNUMBER(C96)),N(C96)&lt;=0),"Check frequency",IF(SUMPRODUCT(($A$5:$A$304=A96)*($B$5:$B$304=B96))&gt;1,"Duplicate row",IF(H96&lt;0,"OVERDUE",IF(H96&lt;=$I$2,"Due soon","OK"))))))</f>
        <v/>
      </c>
      <c r="J96" s="9"/>
    </row>
    <row r="97" customFormat="false" ht="15" hidden="false" customHeight="false" outlineLevel="0" collapsed="false">
      <c r="A97" s="9"/>
      <c r="B97" s="9"/>
      <c r="C97" s="9"/>
      <c r="D97" s="9"/>
      <c r="E97" s="14"/>
      <c r="F97" s="15" t="str">
        <f aca="false">IF(OR(A97="",B97=""),"",IF(MAX(N(E97),SUMPRODUCT(MAX(('Completion Log'!$B$5:$B$2004=A97)*('Completion Log'!$C$5:$C$2004=B97)*'Completion Log'!$A$5:$A$2004)))=0,"",MAX(N(E97),SUMPRODUCT(MAX(('Completion Log'!$B$5:$B$2004=A97)*('Completion Log'!$C$5:$C$2004=B97)*'Completion Log'!$A$5:$A$2004)))))</f>
        <v/>
      </c>
      <c r="G97" s="15" t="str">
        <f aca="true">IF(OR(A97="",B97="",OR(NOT(ISNUMBER(C97)),N(C97)&lt;=0)),"",IF(F97="",TODAY(),F97+C97))</f>
        <v/>
      </c>
      <c r="H97" s="16" t="str">
        <f aca="true">IF(G97="","",G97-TODAY())</f>
        <v/>
      </c>
      <c r="I97" s="17" t="str">
        <f aca="false">IF(AND(A97="",B97=""),"",IF(OR(A97="",B97=""),"Fill in asset and task",IF(OR(NOT(ISNUMBER(C97)),N(C97)&lt;=0),"Check frequency",IF(SUMPRODUCT(($A$5:$A$304=A97)*($B$5:$B$304=B97))&gt;1,"Duplicate row",IF(H97&lt;0,"OVERDUE",IF(H97&lt;=$I$2,"Due soon","OK"))))))</f>
        <v/>
      </c>
      <c r="J97" s="9"/>
    </row>
    <row r="98" customFormat="false" ht="15" hidden="false" customHeight="false" outlineLevel="0" collapsed="false">
      <c r="A98" s="9"/>
      <c r="B98" s="9"/>
      <c r="C98" s="9"/>
      <c r="D98" s="9"/>
      <c r="E98" s="14"/>
      <c r="F98" s="15" t="str">
        <f aca="false">IF(OR(A98="",B98=""),"",IF(MAX(N(E98),SUMPRODUCT(MAX(('Completion Log'!$B$5:$B$2004=A98)*('Completion Log'!$C$5:$C$2004=B98)*'Completion Log'!$A$5:$A$2004)))=0,"",MAX(N(E98),SUMPRODUCT(MAX(('Completion Log'!$B$5:$B$2004=A98)*('Completion Log'!$C$5:$C$2004=B98)*'Completion Log'!$A$5:$A$2004)))))</f>
        <v/>
      </c>
      <c r="G98" s="15" t="str">
        <f aca="true">IF(OR(A98="",B98="",OR(NOT(ISNUMBER(C98)),N(C98)&lt;=0)),"",IF(F98="",TODAY(),F98+C98))</f>
        <v/>
      </c>
      <c r="H98" s="16" t="str">
        <f aca="true">IF(G98="","",G98-TODAY())</f>
        <v/>
      </c>
      <c r="I98" s="17" t="str">
        <f aca="false">IF(AND(A98="",B98=""),"",IF(OR(A98="",B98=""),"Fill in asset and task",IF(OR(NOT(ISNUMBER(C98)),N(C98)&lt;=0),"Check frequency",IF(SUMPRODUCT(($A$5:$A$304=A98)*($B$5:$B$304=B98))&gt;1,"Duplicate row",IF(H98&lt;0,"OVERDUE",IF(H98&lt;=$I$2,"Due soon","OK"))))))</f>
        <v/>
      </c>
      <c r="J98" s="9"/>
    </row>
    <row r="99" customFormat="false" ht="15" hidden="false" customHeight="false" outlineLevel="0" collapsed="false">
      <c r="A99" s="9"/>
      <c r="B99" s="9"/>
      <c r="C99" s="9"/>
      <c r="D99" s="9"/>
      <c r="E99" s="14"/>
      <c r="F99" s="15" t="str">
        <f aca="false">IF(OR(A99="",B99=""),"",IF(MAX(N(E99),SUMPRODUCT(MAX(('Completion Log'!$B$5:$B$2004=A99)*('Completion Log'!$C$5:$C$2004=B99)*'Completion Log'!$A$5:$A$2004)))=0,"",MAX(N(E99),SUMPRODUCT(MAX(('Completion Log'!$B$5:$B$2004=A99)*('Completion Log'!$C$5:$C$2004=B99)*'Completion Log'!$A$5:$A$2004)))))</f>
        <v/>
      </c>
      <c r="G99" s="15" t="str">
        <f aca="true">IF(OR(A99="",B99="",OR(NOT(ISNUMBER(C99)),N(C99)&lt;=0)),"",IF(F99="",TODAY(),F99+C99))</f>
        <v/>
      </c>
      <c r="H99" s="16" t="str">
        <f aca="true">IF(G99="","",G99-TODAY())</f>
        <v/>
      </c>
      <c r="I99" s="17" t="str">
        <f aca="false">IF(AND(A99="",B99=""),"",IF(OR(A99="",B99=""),"Fill in asset and task",IF(OR(NOT(ISNUMBER(C99)),N(C99)&lt;=0),"Check frequency",IF(SUMPRODUCT(($A$5:$A$304=A99)*($B$5:$B$304=B99))&gt;1,"Duplicate row",IF(H99&lt;0,"OVERDUE",IF(H99&lt;=$I$2,"Due soon","OK"))))))</f>
        <v/>
      </c>
      <c r="J99" s="9"/>
    </row>
    <row r="100" customFormat="false" ht="15" hidden="false" customHeight="false" outlineLevel="0" collapsed="false">
      <c r="A100" s="9"/>
      <c r="B100" s="9"/>
      <c r="C100" s="9"/>
      <c r="D100" s="9"/>
      <c r="E100" s="14"/>
      <c r="F100" s="15" t="str">
        <f aca="false">IF(OR(A100="",B100=""),"",IF(MAX(N(E100),SUMPRODUCT(MAX(('Completion Log'!$B$5:$B$2004=A100)*('Completion Log'!$C$5:$C$2004=B100)*'Completion Log'!$A$5:$A$2004)))=0,"",MAX(N(E100),SUMPRODUCT(MAX(('Completion Log'!$B$5:$B$2004=A100)*('Completion Log'!$C$5:$C$2004=B100)*'Completion Log'!$A$5:$A$2004)))))</f>
        <v/>
      </c>
      <c r="G100" s="15" t="str">
        <f aca="true">IF(OR(A100="",B100="",OR(NOT(ISNUMBER(C100)),N(C100)&lt;=0)),"",IF(F100="",TODAY(),F100+C100))</f>
        <v/>
      </c>
      <c r="H100" s="16" t="str">
        <f aca="true">IF(G100="","",G100-TODAY())</f>
        <v/>
      </c>
      <c r="I100" s="17" t="str">
        <f aca="false">IF(AND(A100="",B100=""),"",IF(OR(A100="",B100=""),"Fill in asset and task",IF(OR(NOT(ISNUMBER(C100)),N(C100)&lt;=0),"Check frequency",IF(SUMPRODUCT(($A$5:$A$304=A100)*($B$5:$B$304=B100))&gt;1,"Duplicate row",IF(H100&lt;0,"OVERDUE",IF(H100&lt;=$I$2,"Due soon","OK"))))))</f>
        <v/>
      </c>
      <c r="J100" s="9"/>
    </row>
    <row r="101" customFormat="false" ht="15" hidden="false" customHeight="false" outlineLevel="0" collapsed="false">
      <c r="A101" s="9"/>
      <c r="B101" s="9"/>
      <c r="C101" s="9"/>
      <c r="D101" s="9"/>
      <c r="E101" s="14"/>
      <c r="F101" s="15" t="str">
        <f aca="false">IF(OR(A101="",B101=""),"",IF(MAX(N(E101),SUMPRODUCT(MAX(('Completion Log'!$B$5:$B$2004=A101)*('Completion Log'!$C$5:$C$2004=B101)*'Completion Log'!$A$5:$A$2004)))=0,"",MAX(N(E101),SUMPRODUCT(MAX(('Completion Log'!$B$5:$B$2004=A101)*('Completion Log'!$C$5:$C$2004=B101)*'Completion Log'!$A$5:$A$2004)))))</f>
        <v/>
      </c>
      <c r="G101" s="15" t="str">
        <f aca="true">IF(OR(A101="",B101="",OR(NOT(ISNUMBER(C101)),N(C101)&lt;=0)),"",IF(F101="",TODAY(),F101+C101))</f>
        <v/>
      </c>
      <c r="H101" s="16" t="str">
        <f aca="true">IF(G101="","",G101-TODAY())</f>
        <v/>
      </c>
      <c r="I101" s="17" t="str">
        <f aca="false">IF(AND(A101="",B101=""),"",IF(OR(A101="",B101=""),"Fill in asset and task",IF(OR(NOT(ISNUMBER(C101)),N(C101)&lt;=0),"Check frequency",IF(SUMPRODUCT(($A$5:$A$304=A101)*($B$5:$B$304=B101))&gt;1,"Duplicate row",IF(H101&lt;0,"OVERDUE",IF(H101&lt;=$I$2,"Due soon","OK"))))))</f>
        <v/>
      </c>
      <c r="J101" s="9"/>
    </row>
    <row r="102" customFormat="false" ht="15" hidden="false" customHeight="false" outlineLevel="0" collapsed="false">
      <c r="A102" s="9"/>
      <c r="B102" s="9"/>
      <c r="C102" s="9"/>
      <c r="D102" s="9"/>
      <c r="E102" s="14"/>
      <c r="F102" s="15" t="str">
        <f aca="false">IF(OR(A102="",B102=""),"",IF(MAX(N(E102),SUMPRODUCT(MAX(('Completion Log'!$B$5:$B$2004=A102)*('Completion Log'!$C$5:$C$2004=B102)*'Completion Log'!$A$5:$A$2004)))=0,"",MAX(N(E102),SUMPRODUCT(MAX(('Completion Log'!$B$5:$B$2004=A102)*('Completion Log'!$C$5:$C$2004=B102)*'Completion Log'!$A$5:$A$2004)))))</f>
        <v/>
      </c>
      <c r="G102" s="15" t="str">
        <f aca="true">IF(OR(A102="",B102="",OR(NOT(ISNUMBER(C102)),N(C102)&lt;=0)),"",IF(F102="",TODAY(),F102+C102))</f>
        <v/>
      </c>
      <c r="H102" s="16" t="str">
        <f aca="true">IF(G102="","",G102-TODAY())</f>
        <v/>
      </c>
      <c r="I102" s="17" t="str">
        <f aca="false">IF(AND(A102="",B102=""),"",IF(OR(A102="",B102=""),"Fill in asset and task",IF(OR(NOT(ISNUMBER(C102)),N(C102)&lt;=0),"Check frequency",IF(SUMPRODUCT(($A$5:$A$304=A102)*($B$5:$B$304=B102))&gt;1,"Duplicate row",IF(H102&lt;0,"OVERDUE",IF(H102&lt;=$I$2,"Due soon","OK"))))))</f>
        <v/>
      </c>
      <c r="J102" s="9"/>
    </row>
    <row r="103" customFormat="false" ht="15" hidden="false" customHeight="false" outlineLevel="0" collapsed="false">
      <c r="A103" s="9"/>
      <c r="B103" s="9"/>
      <c r="C103" s="9"/>
      <c r="D103" s="9"/>
      <c r="E103" s="14"/>
      <c r="F103" s="15" t="str">
        <f aca="false">IF(OR(A103="",B103=""),"",IF(MAX(N(E103),SUMPRODUCT(MAX(('Completion Log'!$B$5:$B$2004=A103)*('Completion Log'!$C$5:$C$2004=B103)*'Completion Log'!$A$5:$A$2004)))=0,"",MAX(N(E103),SUMPRODUCT(MAX(('Completion Log'!$B$5:$B$2004=A103)*('Completion Log'!$C$5:$C$2004=B103)*'Completion Log'!$A$5:$A$2004)))))</f>
        <v/>
      </c>
      <c r="G103" s="15" t="str">
        <f aca="true">IF(OR(A103="",B103="",OR(NOT(ISNUMBER(C103)),N(C103)&lt;=0)),"",IF(F103="",TODAY(),F103+C103))</f>
        <v/>
      </c>
      <c r="H103" s="16" t="str">
        <f aca="true">IF(G103="","",G103-TODAY())</f>
        <v/>
      </c>
      <c r="I103" s="17" t="str">
        <f aca="false">IF(AND(A103="",B103=""),"",IF(OR(A103="",B103=""),"Fill in asset and task",IF(OR(NOT(ISNUMBER(C103)),N(C103)&lt;=0),"Check frequency",IF(SUMPRODUCT(($A$5:$A$304=A103)*($B$5:$B$304=B103))&gt;1,"Duplicate row",IF(H103&lt;0,"OVERDUE",IF(H103&lt;=$I$2,"Due soon","OK"))))))</f>
        <v/>
      </c>
      <c r="J103" s="9"/>
    </row>
    <row r="104" customFormat="false" ht="15" hidden="false" customHeight="false" outlineLevel="0" collapsed="false">
      <c r="A104" s="9"/>
      <c r="B104" s="9"/>
      <c r="C104" s="9"/>
      <c r="D104" s="9"/>
      <c r="E104" s="14"/>
      <c r="F104" s="15" t="str">
        <f aca="false">IF(OR(A104="",B104=""),"",IF(MAX(N(E104),SUMPRODUCT(MAX(('Completion Log'!$B$5:$B$2004=A104)*('Completion Log'!$C$5:$C$2004=B104)*'Completion Log'!$A$5:$A$2004)))=0,"",MAX(N(E104),SUMPRODUCT(MAX(('Completion Log'!$B$5:$B$2004=A104)*('Completion Log'!$C$5:$C$2004=B104)*'Completion Log'!$A$5:$A$2004)))))</f>
        <v/>
      </c>
      <c r="G104" s="15" t="str">
        <f aca="true">IF(OR(A104="",B104="",OR(NOT(ISNUMBER(C104)),N(C104)&lt;=0)),"",IF(F104="",TODAY(),F104+C104))</f>
        <v/>
      </c>
      <c r="H104" s="16" t="str">
        <f aca="true">IF(G104="","",G104-TODAY())</f>
        <v/>
      </c>
      <c r="I104" s="17" t="str">
        <f aca="false">IF(AND(A104="",B104=""),"",IF(OR(A104="",B104=""),"Fill in asset and task",IF(OR(NOT(ISNUMBER(C104)),N(C104)&lt;=0),"Check frequency",IF(SUMPRODUCT(($A$5:$A$304=A104)*($B$5:$B$304=B104))&gt;1,"Duplicate row",IF(H104&lt;0,"OVERDUE",IF(H104&lt;=$I$2,"Due soon","OK"))))))</f>
        <v/>
      </c>
      <c r="J104" s="9"/>
    </row>
    <row r="105" customFormat="false" ht="15" hidden="false" customHeight="false" outlineLevel="0" collapsed="false">
      <c r="A105" s="9"/>
      <c r="B105" s="9"/>
      <c r="C105" s="9"/>
      <c r="D105" s="9"/>
      <c r="E105" s="14"/>
      <c r="F105" s="15" t="str">
        <f aca="false">IF(OR(A105="",B105=""),"",IF(MAX(N(E105),SUMPRODUCT(MAX(('Completion Log'!$B$5:$B$2004=A105)*('Completion Log'!$C$5:$C$2004=B105)*'Completion Log'!$A$5:$A$2004)))=0,"",MAX(N(E105),SUMPRODUCT(MAX(('Completion Log'!$B$5:$B$2004=A105)*('Completion Log'!$C$5:$C$2004=B105)*'Completion Log'!$A$5:$A$2004)))))</f>
        <v/>
      </c>
      <c r="G105" s="15" t="str">
        <f aca="true">IF(OR(A105="",B105="",OR(NOT(ISNUMBER(C105)),N(C105)&lt;=0)),"",IF(F105="",TODAY(),F105+C105))</f>
        <v/>
      </c>
      <c r="H105" s="16" t="str">
        <f aca="true">IF(G105="","",G105-TODAY())</f>
        <v/>
      </c>
      <c r="I105" s="17" t="str">
        <f aca="false">IF(AND(A105="",B105=""),"",IF(OR(A105="",B105=""),"Fill in asset and task",IF(OR(NOT(ISNUMBER(C105)),N(C105)&lt;=0),"Check frequency",IF(SUMPRODUCT(($A$5:$A$304=A105)*($B$5:$B$304=B105))&gt;1,"Duplicate row",IF(H105&lt;0,"OVERDUE",IF(H105&lt;=$I$2,"Due soon","OK"))))))</f>
        <v/>
      </c>
      <c r="J105" s="9"/>
    </row>
    <row r="106" customFormat="false" ht="15" hidden="false" customHeight="false" outlineLevel="0" collapsed="false">
      <c r="A106" s="9"/>
      <c r="B106" s="9"/>
      <c r="C106" s="9"/>
      <c r="D106" s="9"/>
      <c r="E106" s="14"/>
      <c r="F106" s="15" t="str">
        <f aca="false">IF(OR(A106="",B106=""),"",IF(MAX(N(E106),SUMPRODUCT(MAX(('Completion Log'!$B$5:$B$2004=A106)*('Completion Log'!$C$5:$C$2004=B106)*'Completion Log'!$A$5:$A$2004)))=0,"",MAX(N(E106),SUMPRODUCT(MAX(('Completion Log'!$B$5:$B$2004=A106)*('Completion Log'!$C$5:$C$2004=B106)*'Completion Log'!$A$5:$A$2004)))))</f>
        <v/>
      </c>
      <c r="G106" s="15" t="str">
        <f aca="true">IF(OR(A106="",B106="",OR(NOT(ISNUMBER(C106)),N(C106)&lt;=0)),"",IF(F106="",TODAY(),F106+C106))</f>
        <v/>
      </c>
      <c r="H106" s="16" t="str">
        <f aca="true">IF(G106="","",G106-TODAY())</f>
        <v/>
      </c>
      <c r="I106" s="17" t="str">
        <f aca="false">IF(AND(A106="",B106=""),"",IF(OR(A106="",B106=""),"Fill in asset and task",IF(OR(NOT(ISNUMBER(C106)),N(C106)&lt;=0),"Check frequency",IF(SUMPRODUCT(($A$5:$A$304=A106)*($B$5:$B$304=B106))&gt;1,"Duplicate row",IF(H106&lt;0,"OVERDUE",IF(H106&lt;=$I$2,"Due soon","OK"))))))</f>
        <v/>
      </c>
      <c r="J106" s="9"/>
    </row>
    <row r="107" customFormat="false" ht="15" hidden="false" customHeight="false" outlineLevel="0" collapsed="false">
      <c r="A107" s="9"/>
      <c r="B107" s="9"/>
      <c r="C107" s="9"/>
      <c r="D107" s="9"/>
      <c r="E107" s="14"/>
      <c r="F107" s="15" t="str">
        <f aca="false">IF(OR(A107="",B107=""),"",IF(MAX(N(E107),SUMPRODUCT(MAX(('Completion Log'!$B$5:$B$2004=A107)*('Completion Log'!$C$5:$C$2004=B107)*'Completion Log'!$A$5:$A$2004)))=0,"",MAX(N(E107),SUMPRODUCT(MAX(('Completion Log'!$B$5:$B$2004=A107)*('Completion Log'!$C$5:$C$2004=B107)*'Completion Log'!$A$5:$A$2004)))))</f>
        <v/>
      </c>
      <c r="G107" s="15" t="str">
        <f aca="true">IF(OR(A107="",B107="",OR(NOT(ISNUMBER(C107)),N(C107)&lt;=0)),"",IF(F107="",TODAY(),F107+C107))</f>
        <v/>
      </c>
      <c r="H107" s="16" t="str">
        <f aca="true">IF(G107="","",G107-TODAY())</f>
        <v/>
      </c>
      <c r="I107" s="17" t="str">
        <f aca="false">IF(AND(A107="",B107=""),"",IF(OR(A107="",B107=""),"Fill in asset and task",IF(OR(NOT(ISNUMBER(C107)),N(C107)&lt;=0),"Check frequency",IF(SUMPRODUCT(($A$5:$A$304=A107)*($B$5:$B$304=B107))&gt;1,"Duplicate row",IF(H107&lt;0,"OVERDUE",IF(H107&lt;=$I$2,"Due soon","OK"))))))</f>
        <v/>
      </c>
      <c r="J107" s="9"/>
    </row>
    <row r="108" customFormat="false" ht="15" hidden="false" customHeight="false" outlineLevel="0" collapsed="false">
      <c r="A108" s="9"/>
      <c r="B108" s="9"/>
      <c r="C108" s="9"/>
      <c r="D108" s="9"/>
      <c r="E108" s="14"/>
      <c r="F108" s="15" t="str">
        <f aca="false">IF(OR(A108="",B108=""),"",IF(MAX(N(E108),SUMPRODUCT(MAX(('Completion Log'!$B$5:$B$2004=A108)*('Completion Log'!$C$5:$C$2004=B108)*'Completion Log'!$A$5:$A$2004)))=0,"",MAX(N(E108),SUMPRODUCT(MAX(('Completion Log'!$B$5:$B$2004=A108)*('Completion Log'!$C$5:$C$2004=B108)*'Completion Log'!$A$5:$A$2004)))))</f>
        <v/>
      </c>
      <c r="G108" s="15" t="str">
        <f aca="true">IF(OR(A108="",B108="",OR(NOT(ISNUMBER(C108)),N(C108)&lt;=0)),"",IF(F108="",TODAY(),F108+C108))</f>
        <v/>
      </c>
      <c r="H108" s="16" t="str">
        <f aca="true">IF(G108="","",G108-TODAY())</f>
        <v/>
      </c>
      <c r="I108" s="17" t="str">
        <f aca="false">IF(AND(A108="",B108=""),"",IF(OR(A108="",B108=""),"Fill in asset and task",IF(OR(NOT(ISNUMBER(C108)),N(C108)&lt;=0),"Check frequency",IF(SUMPRODUCT(($A$5:$A$304=A108)*($B$5:$B$304=B108))&gt;1,"Duplicate row",IF(H108&lt;0,"OVERDUE",IF(H108&lt;=$I$2,"Due soon","OK"))))))</f>
        <v/>
      </c>
      <c r="J108" s="9"/>
    </row>
    <row r="109" customFormat="false" ht="15" hidden="false" customHeight="false" outlineLevel="0" collapsed="false">
      <c r="A109" s="9"/>
      <c r="B109" s="9"/>
      <c r="C109" s="9"/>
      <c r="D109" s="9"/>
      <c r="E109" s="14"/>
      <c r="F109" s="15" t="str">
        <f aca="false">IF(OR(A109="",B109=""),"",IF(MAX(N(E109),SUMPRODUCT(MAX(('Completion Log'!$B$5:$B$2004=A109)*('Completion Log'!$C$5:$C$2004=B109)*'Completion Log'!$A$5:$A$2004)))=0,"",MAX(N(E109),SUMPRODUCT(MAX(('Completion Log'!$B$5:$B$2004=A109)*('Completion Log'!$C$5:$C$2004=B109)*'Completion Log'!$A$5:$A$2004)))))</f>
        <v/>
      </c>
      <c r="G109" s="15" t="str">
        <f aca="true">IF(OR(A109="",B109="",OR(NOT(ISNUMBER(C109)),N(C109)&lt;=0)),"",IF(F109="",TODAY(),F109+C109))</f>
        <v/>
      </c>
      <c r="H109" s="16" t="str">
        <f aca="true">IF(G109="","",G109-TODAY())</f>
        <v/>
      </c>
      <c r="I109" s="17" t="str">
        <f aca="false">IF(AND(A109="",B109=""),"",IF(OR(A109="",B109=""),"Fill in asset and task",IF(OR(NOT(ISNUMBER(C109)),N(C109)&lt;=0),"Check frequency",IF(SUMPRODUCT(($A$5:$A$304=A109)*($B$5:$B$304=B109))&gt;1,"Duplicate row",IF(H109&lt;0,"OVERDUE",IF(H109&lt;=$I$2,"Due soon","OK"))))))</f>
        <v/>
      </c>
      <c r="J109" s="9"/>
    </row>
    <row r="110" customFormat="false" ht="15" hidden="false" customHeight="false" outlineLevel="0" collapsed="false">
      <c r="A110" s="9"/>
      <c r="B110" s="9"/>
      <c r="C110" s="9"/>
      <c r="D110" s="9"/>
      <c r="E110" s="14"/>
      <c r="F110" s="15" t="str">
        <f aca="false">IF(OR(A110="",B110=""),"",IF(MAX(N(E110),SUMPRODUCT(MAX(('Completion Log'!$B$5:$B$2004=A110)*('Completion Log'!$C$5:$C$2004=B110)*'Completion Log'!$A$5:$A$2004)))=0,"",MAX(N(E110),SUMPRODUCT(MAX(('Completion Log'!$B$5:$B$2004=A110)*('Completion Log'!$C$5:$C$2004=B110)*'Completion Log'!$A$5:$A$2004)))))</f>
        <v/>
      </c>
      <c r="G110" s="15" t="str">
        <f aca="true">IF(OR(A110="",B110="",OR(NOT(ISNUMBER(C110)),N(C110)&lt;=0)),"",IF(F110="",TODAY(),F110+C110))</f>
        <v/>
      </c>
      <c r="H110" s="16" t="str">
        <f aca="true">IF(G110="","",G110-TODAY())</f>
        <v/>
      </c>
      <c r="I110" s="17" t="str">
        <f aca="false">IF(AND(A110="",B110=""),"",IF(OR(A110="",B110=""),"Fill in asset and task",IF(OR(NOT(ISNUMBER(C110)),N(C110)&lt;=0),"Check frequency",IF(SUMPRODUCT(($A$5:$A$304=A110)*($B$5:$B$304=B110))&gt;1,"Duplicate row",IF(H110&lt;0,"OVERDUE",IF(H110&lt;=$I$2,"Due soon","OK"))))))</f>
        <v/>
      </c>
      <c r="J110" s="9"/>
    </row>
    <row r="111" customFormat="false" ht="15" hidden="false" customHeight="false" outlineLevel="0" collapsed="false">
      <c r="A111" s="9"/>
      <c r="B111" s="9"/>
      <c r="C111" s="9"/>
      <c r="D111" s="9"/>
      <c r="E111" s="14"/>
      <c r="F111" s="15" t="str">
        <f aca="false">IF(OR(A111="",B111=""),"",IF(MAX(N(E111),SUMPRODUCT(MAX(('Completion Log'!$B$5:$B$2004=A111)*('Completion Log'!$C$5:$C$2004=B111)*'Completion Log'!$A$5:$A$2004)))=0,"",MAX(N(E111),SUMPRODUCT(MAX(('Completion Log'!$B$5:$B$2004=A111)*('Completion Log'!$C$5:$C$2004=B111)*'Completion Log'!$A$5:$A$2004)))))</f>
        <v/>
      </c>
      <c r="G111" s="15" t="str">
        <f aca="true">IF(OR(A111="",B111="",OR(NOT(ISNUMBER(C111)),N(C111)&lt;=0)),"",IF(F111="",TODAY(),F111+C111))</f>
        <v/>
      </c>
      <c r="H111" s="16" t="str">
        <f aca="true">IF(G111="","",G111-TODAY())</f>
        <v/>
      </c>
      <c r="I111" s="17" t="str">
        <f aca="false">IF(AND(A111="",B111=""),"",IF(OR(A111="",B111=""),"Fill in asset and task",IF(OR(NOT(ISNUMBER(C111)),N(C111)&lt;=0),"Check frequency",IF(SUMPRODUCT(($A$5:$A$304=A111)*($B$5:$B$304=B111))&gt;1,"Duplicate row",IF(H111&lt;0,"OVERDUE",IF(H111&lt;=$I$2,"Due soon","OK"))))))</f>
        <v/>
      </c>
      <c r="J111" s="9"/>
    </row>
    <row r="112" customFormat="false" ht="15" hidden="false" customHeight="false" outlineLevel="0" collapsed="false">
      <c r="A112" s="9"/>
      <c r="B112" s="9"/>
      <c r="C112" s="9"/>
      <c r="D112" s="9"/>
      <c r="E112" s="14"/>
      <c r="F112" s="15" t="str">
        <f aca="false">IF(OR(A112="",B112=""),"",IF(MAX(N(E112),SUMPRODUCT(MAX(('Completion Log'!$B$5:$B$2004=A112)*('Completion Log'!$C$5:$C$2004=B112)*'Completion Log'!$A$5:$A$2004)))=0,"",MAX(N(E112),SUMPRODUCT(MAX(('Completion Log'!$B$5:$B$2004=A112)*('Completion Log'!$C$5:$C$2004=B112)*'Completion Log'!$A$5:$A$2004)))))</f>
        <v/>
      </c>
      <c r="G112" s="15" t="str">
        <f aca="true">IF(OR(A112="",B112="",OR(NOT(ISNUMBER(C112)),N(C112)&lt;=0)),"",IF(F112="",TODAY(),F112+C112))</f>
        <v/>
      </c>
      <c r="H112" s="16" t="str">
        <f aca="true">IF(G112="","",G112-TODAY())</f>
        <v/>
      </c>
      <c r="I112" s="17" t="str">
        <f aca="false">IF(AND(A112="",B112=""),"",IF(OR(A112="",B112=""),"Fill in asset and task",IF(OR(NOT(ISNUMBER(C112)),N(C112)&lt;=0),"Check frequency",IF(SUMPRODUCT(($A$5:$A$304=A112)*($B$5:$B$304=B112))&gt;1,"Duplicate row",IF(H112&lt;0,"OVERDUE",IF(H112&lt;=$I$2,"Due soon","OK"))))))</f>
        <v/>
      </c>
      <c r="J112" s="9"/>
    </row>
    <row r="113" customFormat="false" ht="15" hidden="false" customHeight="false" outlineLevel="0" collapsed="false">
      <c r="A113" s="9"/>
      <c r="B113" s="9"/>
      <c r="C113" s="9"/>
      <c r="D113" s="9"/>
      <c r="E113" s="14"/>
      <c r="F113" s="15" t="str">
        <f aca="false">IF(OR(A113="",B113=""),"",IF(MAX(N(E113),SUMPRODUCT(MAX(('Completion Log'!$B$5:$B$2004=A113)*('Completion Log'!$C$5:$C$2004=B113)*'Completion Log'!$A$5:$A$2004)))=0,"",MAX(N(E113),SUMPRODUCT(MAX(('Completion Log'!$B$5:$B$2004=A113)*('Completion Log'!$C$5:$C$2004=B113)*'Completion Log'!$A$5:$A$2004)))))</f>
        <v/>
      </c>
      <c r="G113" s="15" t="str">
        <f aca="true">IF(OR(A113="",B113="",OR(NOT(ISNUMBER(C113)),N(C113)&lt;=0)),"",IF(F113="",TODAY(),F113+C113))</f>
        <v/>
      </c>
      <c r="H113" s="16" t="str">
        <f aca="true">IF(G113="","",G113-TODAY())</f>
        <v/>
      </c>
      <c r="I113" s="17" t="str">
        <f aca="false">IF(AND(A113="",B113=""),"",IF(OR(A113="",B113=""),"Fill in asset and task",IF(OR(NOT(ISNUMBER(C113)),N(C113)&lt;=0),"Check frequency",IF(SUMPRODUCT(($A$5:$A$304=A113)*($B$5:$B$304=B113))&gt;1,"Duplicate row",IF(H113&lt;0,"OVERDUE",IF(H113&lt;=$I$2,"Due soon","OK"))))))</f>
        <v/>
      </c>
      <c r="J113" s="9"/>
    </row>
    <row r="114" customFormat="false" ht="15" hidden="false" customHeight="false" outlineLevel="0" collapsed="false">
      <c r="A114" s="9"/>
      <c r="B114" s="9"/>
      <c r="C114" s="9"/>
      <c r="D114" s="9"/>
      <c r="E114" s="14"/>
      <c r="F114" s="15" t="str">
        <f aca="false">IF(OR(A114="",B114=""),"",IF(MAX(N(E114),SUMPRODUCT(MAX(('Completion Log'!$B$5:$B$2004=A114)*('Completion Log'!$C$5:$C$2004=B114)*'Completion Log'!$A$5:$A$2004)))=0,"",MAX(N(E114),SUMPRODUCT(MAX(('Completion Log'!$B$5:$B$2004=A114)*('Completion Log'!$C$5:$C$2004=B114)*'Completion Log'!$A$5:$A$2004)))))</f>
        <v/>
      </c>
      <c r="G114" s="15" t="str">
        <f aca="true">IF(OR(A114="",B114="",OR(NOT(ISNUMBER(C114)),N(C114)&lt;=0)),"",IF(F114="",TODAY(),F114+C114))</f>
        <v/>
      </c>
      <c r="H114" s="16" t="str">
        <f aca="true">IF(G114="","",G114-TODAY())</f>
        <v/>
      </c>
      <c r="I114" s="17" t="str">
        <f aca="false">IF(AND(A114="",B114=""),"",IF(OR(A114="",B114=""),"Fill in asset and task",IF(OR(NOT(ISNUMBER(C114)),N(C114)&lt;=0),"Check frequency",IF(SUMPRODUCT(($A$5:$A$304=A114)*($B$5:$B$304=B114))&gt;1,"Duplicate row",IF(H114&lt;0,"OVERDUE",IF(H114&lt;=$I$2,"Due soon","OK"))))))</f>
        <v/>
      </c>
      <c r="J114" s="9"/>
    </row>
    <row r="115" customFormat="false" ht="15" hidden="false" customHeight="false" outlineLevel="0" collapsed="false">
      <c r="A115" s="9"/>
      <c r="B115" s="9"/>
      <c r="C115" s="9"/>
      <c r="D115" s="9"/>
      <c r="E115" s="14"/>
      <c r="F115" s="15" t="str">
        <f aca="false">IF(OR(A115="",B115=""),"",IF(MAX(N(E115),SUMPRODUCT(MAX(('Completion Log'!$B$5:$B$2004=A115)*('Completion Log'!$C$5:$C$2004=B115)*'Completion Log'!$A$5:$A$2004)))=0,"",MAX(N(E115),SUMPRODUCT(MAX(('Completion Log'!$B$5:$B$2004=A115)*('Completion Log'!$C$5:$C$2004=B115)*'Completion Log'!$A$5:$A$2004)))))</f>
        <v/>
      </c>
      <c r="G115" s="15" t="str">
        <f aca="true">IF(OR(A115="",B115="",OR(NOT(ISNUMBER(C115)),N(C115)&lt;=0)),"",IF(F115="",TODAY(),F115+C115))</f>
        <v/>
      </c>
      <c r="H115" s="16" t="str">
        <f aca="true">IF(G115="","",G115-TODAY())</f>
        <v/>
      </c>
      <c r="I115" s="17" t="str">
        <f aca="false">IF(AND(A115="",B115=""),"",IF(OR(A115="",B115=""),"Fill in asset and task",IF(OR(NOT(ISNUMBER(C115)),N(C115)&lt;=0),"Check frequency",IF(SUMPRODUCT(($A$5:$A$304=A115)*($B$5:$B$304=B115))&gt;1,"Duplicate row",IF(H115&lt;0,"OVERDUE",IF(H115&lt;=$I$2,"Due soon","OK"))))))</f>
        <v/>
      </c>
      <c r="J115" s="9"/>
    </row>
    <row r="116" customFormat="false" ht="15" hidden="false" customHeight="false" outlineLevel="0" collapsed="false">
      <c r="A116" s="9"/>
      <c r="B116" s="9"/>
      <c r="C116" s="9"/>
      <c r="D116" s="9"/>
      <c r="E116" s="14"/>
      <c r="F116" s="15" t="str">
        <f aca="false">IF(OR(A116="",B116=""),"",IF(MAX(N(E116),SUMPRODUCT(MAX(('Completion Log'!$B$5:$B$2004=A116)*('Completion Log'!$C$5:$C$2004=B116)*'Completion Log'!$A$5:$A$2004)))=0,"",MAX(N(E116),SUMPRODUCT(MAX(('Completion Log'!$B$5:$B$2004=A116)*('Completion Log'!$C$5:$C$2004=B116)*'Completion Log'!$A$5:$A$2004)))))</f>
        <v/>
      </c>
      <c r="G116" s="15" t="str">
        <f aca="true">IF(OR(A116="",B116="",OR(NOT(ISNUMBER(C116)),N(C116)&lt;=0)),"",IF(F116="",TODAY(),F116+C116))</f>
        <v/>
      </c>
      <c r="H116" s="16" t="str">
        <f aca="true">IF(G116="","",G116-TODAY())</f>
        <v/>
      </c>
      <c r="I116" s="17" t="str">
        <f aca="false">IF(AND(A116="",B116=""),"",IF(OR(A116="",B116=""),"Fill in asset and task",IF(OR(NOT(ISNUMBER(C116)),N(C116)&lt;=0),"Check frequency",IF(SUMPRODUCT(($A$5:$A$304=A116)*($B$5:$B$304=B116))&gt;1,"Duplicate row",IF(H116&lt;0,"OVERDUE",IF(H116&lt;=$I$2,"Due soon","OK"))))))</f>
        <v/>
      </c>
      <c r="J116" s="9"/>
    </row>
    <row r="117" customFormat="false" ht="15" hidden="false" customHeight="false" outlineLevel="0" collapsed="false">
      <c r="A117" s="9"/>
      <c r="B117" s="9"/>
      <c r="C117" s="9"/>
      <c r="D117" s="9"/>
      <c r="E117" s="14"/>
      <c r="F117" s="15" t="str">
        <f aca="false">IF(OR(A117="",B117=""),"",IF(MAX(N(E117),SUMPRODUCT(MAX(('Completion Log'!$B$5:$B$2004=A117)*('Completion Log'!$C$5:$C$2004=B117)*'Completion Log'!$A$5:$A$2004)))=0,"",MAX(N(E117),SUMPRODUCT(MAX(('Completion Log'!$B$5:$B$2004=A117)*('Completion Log'!$C$5:$C$2004=B117)*'Completion Log'!$A$5:$A$2004)))))</f>
        <v/>
      </c>
      <c r="G117" s="15" t="str">
        <f aca="true">IF(OR(A117="",B117="",OR(NOT(ISNUMBER(C117)),N(C117)&lt;=0)),"",IF(F117="",TODAY(),F117+C117))</f>
        <v/>
      </c>
      <c r="H117" s="16" t="str">
        <f aca="true">IF(G117="","",G117-TODAY())</f>
        <v/>
      </c>
      <c r="I117" s="17" t="str">
        <f aca="false">IF(AND(A117="",B117=""),"",IF(OR(A117="",B117=""),"Fill in asset and task",IF(OR(NOT(ISNUMBER(C117)),N(C117)&lt;=0),"Check frequency",IF(SUMPRODUCT(($A$5:$A$304=A117)*($B$5:$B$304=B117))&gt;1,"Duplicate row",IF(H117&lt;0,"OVERDUE",IF(H117&lt;=$I$2,"Due soon","OK"))))))</f>
        <v/>
      </c>
      <c r="J117" s="9"/>
    </row>
    <row r="118" customFormat="false" ht="15" hidden="false" customHeight="false" outlineLevel="0" collapsed="false">
      <c r="A118" s="9"/>
      <c r="B118" s="9"/>
      <c r="C118" s="9"/>
      <c r="D118" s="9"/>
      <c r="E118" s="14"/>
      <c r="F118" s="15" t="str">
        <f aca="false">IF(OR(A118="",B118=""),"",IF(MAX(N(E118),SUMPRODUCT(MAX(('Completion Log'!$B$5:$B$2004=A118)*('Completion Log'!$C$5:$C$2004=B118)*'Completion Log'!$A$5:$A$2004)))=0,"",MAX(N(E118),SUMPRODUCT(MAX(('Completion Log'!$B$5:$B$2004=A118)*('Completion Log'!$C$5:$C$2004=B118)*'Completion Log'!$A$5:$A$2004)))))</f>
        <v/>
      </c>
      <c r="G118" s="15" t="str">
        <f aca="true">IF(OR(A118="",B118="",OR(NOT(ISNUMBER(C118)),N(C118)&lt;=0)),"",IF(F118="",TODAY(),F118+C118))</f>
        <v/>
      </c>
      <c r="H118" s="16" t="str">
        <f aca="true">IF(G118="","",G118-TODAY())</f>
        <v/>
      </c>
      <c r="I118" s="17" t="str">
        <f aca="false">IF(AND(A118="",B118=""),"",IF(OR(A118="",B118=""),"Fill in asset and task",IF(OR(NOT(ISNUMBER(C118)),N(C118)&lt;=0),"Check frequency",IF(SUMPRODUCT(($A$5:$A$304=A118)*($B$5:$B$304=B118))&gt;1,"Duplicate row",IF(H118&lt;0,"OVERDUE",IF(H118&lt;=$I$2,"Due soon","OK"))))))</f>
        <v/>
      </c>
      <c r="J118" s="9"/>
    </row>
    <row r="119" customFormat="false" ht="15" hidden="false" customHeight="false" outlineLevel="0" collapsed="false">
      <c r="A119" s="9"/>
      <c r="B119" s="9"/>
      <c r="C119" s="9"/>
      <c r="D119" s="9"/>
      <c r="E119" s="14"/>
      <c r="F119" s="15" t="str">
        <f aca="false">IF(OR(A119="",B119=""),"",IF(MAX(N(E119),SUMPRODUCT(MAX(('Completion Log'!$B$5:$B$2004=A119)*('Completion Log'!$C$5:$C$2004=B119)*'Completion Log'!$A$5:$A$2004)))=0,"",MAX(N(E119),SUMPRODUCT(MAX(('Completion Log'!$B$5:$B$2004=A119)*('Completion Log'!$C$5:$C$2004=B119)*'Completion Log'!$A$5:$A$2004)))))</f>
        <v/>
      </c>
      <c r="G119" s="15" t="str">
        <f aca="true">IF(OR(A119="",B119="",OR(NOT(ISNUMBER(C119)),N(C119)&lt;=0)),"",IF(F119="",TODAY(),F119+C119))</f>
        <v/>
      </c>
      <c r="H119" s="16" t="str">
        <f aca="true">IF(G119="","",G119-TODAY())</f>
        <v/>
      </c>
      <c r="I119" s="17" t="str">
        <f aca="false">IF(AND(A119="",B119=""),"",IF(OR(A119="",B119=""),"Fill in asset and task",IF(OR(NOT(ISNUMBER(C119)),N(C119)&lt;=0),"Check frequency",IF(SUMPRODUCT(($A$5:$A$304=A119)*($B$5:$B$304=B119))&gt;1,"Duplicate row",IF(H119&lt;0,"OVERDUE",IF(H119&lt;=$I$2,"Due soon","OK"))))))</f>
        <v/>
      </c>
      <c r="J119" s="9"/>
    </row>
    <row r="120" customFormat="false" ht="15" hidden="false" customHeight="false" outlineLevel="0" collapsed="false">
      <c r="A120" s="9"/>
      <c r="B120" s="9"/>
      <c r="C120" s="9"/>
      <c r="D120" s="9"/>
      <c r="E120" s="14"/>
      <c r="F120" s="15" t="str">
        <f aca="false">IF(OR(A120="",B120=""),"",IF(MAX(N(E120),SUMPRODUCT(MAX(('Completion Log'!$B$5:$B$2004=A120)*('Completion Log'!$C$5:$C$2004=B120)*'Completion Log'!$A$5:$A$2004)))=0,"",MAX(N(E120),SUMPRODUCT(MAX(('Completion Log'!$B$5:$B$2004=A120)*('Completion Log'!$C$5:$C$2004=B120)*'Completion Log'!$A$5:$A$2004)))))</f>
        <v/>
      </c>
      <c r="G120" s="15" t="str">
        <f aca="true">IF(OR(A120="",B120="",OR(NOT(ISNUMBER(C120)),N(C120)&lt;=0)),"",IF(F120="",TODAY(),F120+C120))</f>
        <v/>
      </c>
      <c r="H120" s="16" t="str">
        <f aca="true">IF(G120="","",G120-TODAY())</f>
        <v/>
      </c>
      <c r="I120" s="17" t="str">
        <f aca="false">IF(AND(A120="",B120=""),"",IF(OR(A120="",B120=""),"Fill in asset and task",IF(OR(NOT(ISNUMBER(C120)),N(C120)&lt;=0),"Check frequency",IF(SUMPRODUCT(($A$5:$A$304=A120)*($B$5:$B$304=B120))&gt;1,"Duplicate row",IF(H120&lt;0,"OVERDUE",IF(H120&lt;=$I$2,"Due soon","OK"))))))</f>
        <v/>
      </c>
      <c r="J120" s="9"/>
    </row>
    <row r="121" customFormat="false" ht="15" hidden="false" customHeight="false" outlineLevel="0" collapsed="false">
      <c r="A121" s="9"/>
      <c r="B121" s="9"/>
      <c r="C121" s="9"/>
      <c r="D121" s="9"/>
      <c r="E121" s="14"/>
      <c r="F121" s="15" t="str">
        <f aca="false">IF(OR(A121="",B121=""),"",IF(MAX(N(E121),SUMPRODUCT(MAX(('Completion Log'!$B$5:$B$2004=A121)*('Completion Log'!$C$5:$C$2004=B121)*'Completion Log'!$A$5:$A$2004)))=0,"",MAX(N(E121),SUMPRODUCT(MAX(('Completion Log'!$B$5:$B$2004=A121)*('Completion Log'!$C$5:$C$2004=B121)*'Completion Log'!$A$5:$A$2004)))))</f>
        <v/>
      </c>
      <c r="G121" s="15" t="str">
        <f aca="true">IF(OR(A121="",B121="",OR(NOT(ISNUMBER(C121)),N(C121)&lt;=0)),"",IF(F121="",TODAY(),F121+C121))</f>
        <v/>
      </c>
      <c r="H121" s="16" t="str">
        <f aca="true">IF(G121="","",G121-TODAY())</f>
        <v/>
      </c>
      <c r="I121" s="17" t="str">
        <f aca="false">IF(AND(A121="",B121=""),"",IF(OR(A121="",B121=""),"Fill in asset and task",IF(OR(NOT(ISNUMBER(C121)),N(C121)&lt;=0),"Check frequency",IF(SUMPRODUCT(($A$5:$A$304=A121)*($B$5:$B$304=B121))&gt;1,"Duplicate row",IF(H121&lt;0,"OVERDUE",IF(H121&lt;=$I$2,"Due soon","OK"))))))</f>
        <v/>
      </c>
      <c r="J121" s="9"/>
    </row>
    <row r="122" customFormat="false" ht="15" hidden="false" customHeight="false" outlineLevel="0" collapsed="false">
      <c r="A122" s="9"/>
      <c r="B122" s="9"/>
      <c r="C122" s="9"/>
      <c r="D122" s="9"/>
      <c r="E122" s="14"/>
      <c r="F122" s="15" t="str">
        <f aca="false">IF(OR(A122="",B122=""),"",IF(MAX(N(E122),SUMPRODUCT(MAX(('Completion Log'!$B$5:$B$2004=A122)*('Completion Log'!$C$5:$C$2004=B122)*'Completion Log'!$A$5:$A$2004)))=0,"",MAX(N(E122),SUMPRODUCT(MAX(('Completion Log'!$B$5:$B$2004=A122)*('Completion Log'!$C$5:$C$2004=B122)*'Completion Log'!$A$5:$A$2004)))))</f>
        <v/>
      </c>
      <c r="G122" s="15" t="str">
        <f aca="true">IF(OR(A122="",B122="",OR(NOT(ISNUMBER(C122)),N(C122)&lt;=0)),"",IF(F122="",TODAY(),F122+C122))</f>
        <v/>
      </c>
      <c r="H122" s="16" t="str">
        <f aca="true">IF(G122="","",G122-TODAY())</f>
        <v/>
      </c>
      <c r="I122" s="17" t="str">
        <f aca="false">IF(AND(A122="",B122=""),"",IF(OR(A122="",B122=""),"Fill in asset and task",IF(OR(NOT(ISNUMBER(C122)),N(C122)&lt;=0),"Check frequency",IF(SUMPRODUCT(($A$5:$A$304=A122)*($B$5:$B$304=B122))&gt;1,"Duplicate row",IF(H122&lt;0,"OVERDUE",IF(H122&lt;=$I$2,"Due soon","OK"))))))</f>
        <v/>
      </c>
      <c r="J122" s="9"/>
    </row>
    <row r="123" customFormat="false" ht="15" hidden="false" customHeight="false" outlineLevel="0" collapsed="false">
      <c r="A123" s="9"/>
      <c r="B123" s="9"/>
      <c r="C123" s="9"/>
      <c r="D123" s="9"/>
      <c r="E123" s="14"/>
      <c r="F123" s="15" t="str">
        <f aca="false">IF(OR(A123="",B123=""),"",IF(MAX(N(E123),SUMPRODUCT(MAX(('Completion Log'!$B$5:$B$2004=A123)*('Completion Log'!$C$5:$C$2004=B123)*'Completion Log'!$A$5:$A$2004)))=0,"",MAX(N(E123),SUMPRODUCT(MAX(('Completion Log'!$B$5:$B$2004=A123)*('Completion Log'!$C$5:$C$2004=B123)*'Completion Log'!$A$5:$A$2004)))))</f>
        <v/>
      </c>
      <c r="G123" s="15" t="str">
        <f aca="true">IF(OR(A123="",B123="",OR(NOT(ISNUMBER(C123)),N(C123)&lt;=0)),"",IF(F123="",TODAY(),F123+C123))</f>
        <v/>
      </c>
      <c r="H123" s="16" t="str">
        <f aca="true">IF(G123="","",G123-TODAY())</f>
        <v/>
      </c>
      <c r="I123" s="17" t="str">
        <f aca="false">IF(AND(A123="",B123=""),"",IF(OR(A123="",B123=""),"Fill in asset and task",IF(OR(NOT(ISNUMBER(C123)),N(C123)&lt;=0),"Check frequency",IF(SUMPRODUCT(($A$5:$A$304=A123)*($B$5:$B$304=B123))&gt;1,"Duplicate row",IF(H123&lt;0,"OVERDUE",IF(H123&lt;=$I$2,"Due soon","OK"))))))</f>
        <v/>
      </c>
      <c r="J123" s="9"/>
    </row>
    <row r="124" customFormat="false" ht="15" hidden="false" customHeight="false" outlineLevel="0" collapsed="false">
      <c r="A124" s="9"/>
      <c r="B124" s="9"/>
      <c r="C124" s="9"/>
      <c r="D124" s="9"/>
      <c r="E124" s="14"/>
      <c r="F124" s="15" t="str">
        <f aca="false">IF(OR(A124="",B124=""),"",IF(MAX(N(E124),SUMPRODUCT(MAX(('Completion Log'!$B$5:$B$2004=A124)*('Completion Log'!$C$5:$C$2004=B124)*'Completion Log'!$A$5:$A$2004)))=0,"",MAX(N(E124),SUMPRODUCT(MAX(('Completion Log'!$B$5:$B$2004=A124)*('Completion Log'!$C$5:$C$2004=B124)*'Completion Log'!$A$5:$A$2004)))))</f>
        <v/>
      </c>
      <c r="G124" s="15" t="str">
        <f aca="true">IF(OR(A124="",B124="",OR(NOT(ISNUMBER(C124)),N(C124)&lt;=0)),"",IF(F124="",TODAY(),F124+C124))</f>
        <v/>
      </c>
      <c r="H124" s="16" t="str">
        <f aca="true">IF(G124="","",G124-TODAY())</f>
        <v/>
      </c>
      <c r="I124" s="17" t="str">
        <f aca="false">IF(AND(A124="",B124=""),"",IF(OR(A124="",B124=""),"Fill in asset and task",IF(OR(NOT(ISNUMBER(C124)),N(C124)&lt;=0),"Check frequency",IF(SUMPRODUCT(($A$5:$A$304=A124)*($B$5:$B$304=B124))&gt;1,"Duplicate row",IF(H124&lt;0,"OVERDUE",IF(H124&lt;=$I$2,"Due soon","OK"))))))</f>
        <v/>
      </c>
      <c r="J124" s="9"/>
    </row>
    <row r="125" customFormat="false" ht="15" hidden="false" customHeight="false" outlineLevel="0" collapsed="false">
      <c r="A125" s="9"/>
      <c r="B125" s="9"/>
      <c r="C125" s="9"/>
      <c r="D125" s="9"/>
      <c r="E125" s="14"/>
      <c r="F125" s="15" t="str">
        <f aca="false">IF(OR(A125="",B125=""),"",IF(MAX(N(E125),SUMPRODUCT(MAX(('Completion Log'!$B$5:$B$2004=A125)*('Completion Log'!$C$5:$C$2004=B125)*'Completion Log'!$A$5:$A$2004)))=0,"",MAX(N(E125),SUMPRODUCT(MAX(('Completion Log'!$B$5:$B$2004=A125)*('Completion Log'!$C$5:$C$2004=B125)*'Completion Log'!$A$5:$A$2004)))))</f>
        <v/>
      </c>
      <c r="G125" s="15" t="str">
        <f aca="true">IF(OR(A125="",B125="",OR(NOT(ISNUMBER(C125)),N(C125)&lt;=0)),"",IF(F125="",TODAY(),F125+C125))</f>
        <v/>
      </c>
      <c r="H125" s="16" t="str">
        <f aca="true">IF(G125="","",G125-TODAY())</f>
        <v/>
      </c>
      <c r="I125" s="17" t="str">
        <f aca="false">IF(AND(A125="",B125=""),"",IF(OR(A125="",B125=""),"Fill in asset and task",IF(OR(NOT(ISNUMBER(C125)),N(C125)&lt;=0),"Check frequency",IF(SUMPRODUCT(($A$5:$A$304=A125)*($B$5:$B$304=B125))&gt;1,"Duplicate row",IF(H125&lt;0,"OVERDUE",IF(H125&lt;=$I$2,"Due soon","OK"))))))</f>
        <v/>
      </c>
      <c r="J125" s="9"/>
    </row>
    <row r="126" customFormat="false" ht="15" hidden="false" customHeight="false" outlineLevel="0" collapsed="false">
      <c r="A126" s="9"/>
      <c r="B126" s="9"/>
      <c r="C126" s="9"/>
      <c r="D126" s="9"/>
      <c r="E126" s="14"/>
      <c r="F126" s="15" t="str">
        <f aca="false">IF(OR(A126="",B126=""),"",IF(MAX(N(E126),SUMPRODUCT(MAX(('Completion Log'!$B$5:$B$2004=A126)*('Completion Log'!$C$5:$C$2004=B126)*'Completion Log'!$A$5:$A$2004)))=0,"",MAX(N(E126),SUMPRODUCT(MAX(('Completion Log'!$B$5:$B$2004=A126)*('Completion Log'!$C$5:$C$2004=B126)*'Completion Log'!$A$5:$A$2004)))))</f>
        <v/>
      </c>
      <c r="G126" s="15" t="str">
        <f aca="true">IF(OR(A126="",B126="",OR(NOT(ISNUMBER(C126)),N(C126)&lt;=0)),"",IF(F126="",TODAY(),F126+C126))</f>
        <v/>
      </c>
      <c r="H126" s="16" t="str">
        <f aca="true">IF(G126="","",G126-TODAY())</f>
        <v/>
      </c>
      <c r="I126" s="17" t="str">
        <f aca="false">IF(AND(A126="",B126=""),"",IF(OR(A126="",B126=""),"Fill in asset and task",IF(OR(NOT(ISNUMBER(C126)),N(C126)&lt;=0),"Check frequency",IF(SUMPRODUCT(($A$5:$A$304=A126)*($B$5:$B$304=B126))&gt;1,"Duplicate row",IF(H126&lt;0,"OVERDUE",IF(H126&lt;=$I$2,"Due soon","OK"))))))</f>
        <v/>
      </c>
      <c r="J126" s="9"/>
    </row>
    <row r="127" customFormat="false" ht="15" hidden="false" customHeight="false" outlineLevel="0" collapsed="false">
      <c r="A127" s="9"/>
      <c r="B127" s="9"/>
      <c r="C127" s="9"/>
      <c r="D127" s="9"/>
      <c r="E127" s="14"/>
      <c r="F127" s="15" t="str">
        <f aca="false">IF(OR(A127="",B127=""),"",IF(MAX(N(E127),SUMPRODUCT(MAX(('Completion Log'!$B$5:$B$2004=A127)*('Completion Log'!$C$5:$C$2004=B127)*'Completion Log'!$A$5:$A$2004)))=0,"",MAX(N(E127),SUMPRODUCT(MAX(('Completion Log'!$B$5:$B$2004=A127)*('Completion Log'!$C$5:$C$2004=B127)*'Completion Log'!$A$5:$A$2004)))))</f>
        <v/>
      </c>
      <c r="G127" s="15" t="str">
        <f aca="true">IF(OR(A127="",B127="",OR(NOT(ISNUMBER(C127)),N(C127)&lt;=0)),"",IF(F127="",TODAY(),F127+C127))</f>
        <v/>
      </c>
      <c r="H127" s="16" t="str">
        <f aca="true">IF(G127="","",G127-TODAY())</f>
        <v/>
      </c>
      <c r="I127" s="17" t="str">
        <f aca="false">IF(AND(A127="",B127=""),"",IF(OR(A127="",B127=""),"Fill in asset and task",IF(OR(NOT(ISNUMBER(C127)),N(C127)&lt;=0),"Check frequency",IF(SUMPRODUCT(($A$5:$A$304=A127)*($B$5:$B$304=B127))&gt;1,"Duplicate row",IF(H127&lt;0,"OVERDUE",IF(H127&lt;=$I$2,"Due soon","OK"))))))</f>
        <v/>
      </c>
      <c r="J127" s="9"/>
    </row>
    <row r="128" customFormat="false" ht="15" hidden="false" customHeight="false" outlineLevel="0" collapsed="false">
      <c r="A128" s="9"/>
      <c r="B128" s="9"/>
      <c r="C128" s="9"/>
      <c r="D128" s="9"/>
      <c r="E128" s="14"/>
      <c r="F128" s="15" t="str">
        <f aca="false">IF(OR(A128="",B128=""),"",IF(MAX(N(E128),SUMPRODUCT(MAX(('Completion Log'!$B$5:$B$2004=A128)*('Completion Log'!$C$5:$C$2004=B128)*'Completion Log'!$A$5:$A$2004)))=0,"",MAX(N(E128),SUMPRODUCT(MAX(('Completion Log'!$B$5:$B$2004=A128)*('Completion Log'!$C$5:$C$2004=B128)*'Completion Log'!$A$5:$A$2004)))))</f>
        <v/>
      </c>
      <c r="G128" s="15" t="str">
        <f aca="true">IF(OR(A128="",B128="",OR(NOT(ISNUMBER(C128)),N(C128)&lt;=0)),"",IF(F128="",TODAY(),F128+C128))</f>
        <v/>
      </c>
      <c r="H128" s="16" t="str">
        <f aca="true">IF(G128="","",G128-TODAY())</f>
        <v/>
      </c>
      <c r="I128" s="17" t="str">
        <f aca="false">IF(AND(A128="",B128=""),"",IF(OR(A128="",B128=""),"Fill in asset and task",IF(OR(NOT(ISNUMBER(C128)),N(C128)&lt;=0),"Check frequency",IF(SUMPRODUCT(($A$5:$A$304=A128)*($B$5:$B$304=B128))&gt;1,"Duplicate row",IF(H128&lt;0,"OVERDUE",IF(H128&lt;=$I$2,"Due soon","OK"))))))</f>
        <v/>
      </c>
      <c r="J128" s="9"/>
    </row>
    <row r="129" customFormat="false" ht="15" hidden="false" customHeight="false" outlineLevel="0" collapsed="false">
      <c r="A129" s="9"/>
      <c r="B129" s="9"/>
      <c r="C129" s="9"/>
      <c r="D129" s="9"/>
      <c r="E129" s="14"/>
      <c r="F129" s="15" t="str">
        <f aca="false">IF(OR(A129="",B129=""),"",IF(MAX(N(E129),SUMPRODUCT(MAX(('Completion Log'!$B$5:$B$2004=A129)*('Completion Log'!$C$5:$C$2004=B129)*'Completion Log'!$A$5:$A$2004)))=0,"",MAX(N(E129),SUMPRODUCT(MAX(('Completion Log'!$B$5:$B$2004=A129)*('Completion Log'!$C$5:$C$2004=B129)*'Completion Log'!$A$5:$A$2004)))))</f>
        <v/>
      </c>
      <c r="G129" s="15" t="str">
        <f aca="true">IF(OR(A129="",B129="",OR(NOT(ISNUMBER(C129)),N(C129)&lt;=0)),"",IF(F129="",TODAY(),F129+C129))</f>
        <v/>
      </c>
      <c r="H129" s="16" t="str">
        <f aca="true">IF(G129="","",G129-TODAY())</f>
        <v/>
      </c>
      <c r="I129" s="17" t="str">
        <f aca="false">IF(AND(A129="",B129=""),"",IF(OR(A129="",B129=""),"Fill in asset and task",IF(OR(NOT(ISNUMBER(C129)),N(C129)&lt;=0),"Check frequency",IF(SUMPRODUCT(($A$5:$A$304=A129)*($B$5:$B$304=B129))&gt;1,"Duplicate row",IF(H129&lt;0,"OVERDUE",IF(H129&lt;=$I$2,"Due soon","OK"))))))</f>
        <v/>
      </c>
      <c r="J129" s="9"/>
    </row>
    <row r="130" customFormat="false" ht="15" hidden="false" customHeight="false" outlineLevel="0" collapsed="false">
      <c r="A130" s="9"/>
      <c r="B130" s="9"/>
      <c r="C130" s="9"/>
      <c r="D130" s="9"/>
      <c r="E130" s="14"/>
      <c r="F130" s="15" t="str">
        <f aca="false">IF(OR(A130="",B130=""),"",IF(MAX(N(E130),SUMPRODUCT(MAX(('Completion Log'!$B$5:$B$2004=A130)*('Completion Log'!$C$5:$C$2004=B130)*'Completion Log'!$A$5:$A$2004)))=0,"",MAX(N(E130),SUMPRODUCT(MAX(('Completion Log'!$B$5:$B$2004=A130)*('Completion Log'!$C$5:$C$2004=B130)*'Completion Log'!$A$5:$A$2004)))))</f>
        <v/>
      </c>
      <c r="G130" s="15" t="str">
        <f aca="true">IF(OR(A130="",B130="",OR(NOT(ISNUMBER(C130)),N(C130)&lt;=0)),"",IF(F130="",TODAY(),F130+C130))</f>
        <v/>
      </c>
      <c r="H130" s="16" t="str">
        <f aca="true">IF(G130="","",G130-TODAY())</f>
        <v/>
      </c>
      <c r="I130" s="17" t="str">
        <f aca="false">IF(AND(A130="",B130=""),"",IF(OR(A130="",B130=""),"Fill in asset and task",IF(OR(NOT(ISNUMBER(C130)),N(C130)&lt;=0),"Check frequency",IF(SUMPRODUCT(($A$5:$A$304=A130)*($B$5:$B$304=B130))&gt;1,"Duplicate row",IF(H130&lt;0,"OVERDUE",IF(H130&lt;=$I$2,"Due soon","OK"))))))</f>
        <v/>
      </c>
      <c r="J130" s="9"/>
    </row>
    <row r="131" customFormat="false" ht="15" hidden="false" customHeight="false" outlineLevel="0" collapsed="false">
      <c r="A131" s="9"/>
      <c r="B131" s="9"/>
      <c r="C131" s="9"/>
      <c r="D131" s="9"/>
      <c r="E131" s="14"/>
      <c r="F131" s="15" t="str">
        <f aca="false">IF(OR(A131="",B131=""),"",IF(MAX(N(E131),SUMPRODUCT(MAX(('Completion Log'!$B$5:$B$2004=A131)*('Completion Log'!$C$5:$C$2004=B131)*'Completion Log'!$A$5:$A$2004)))=0,"",MAX(N(E131),SUMPRODUCT(MAX(('Completion Log'!$B$5:$B$2004=A131)*('Completion Log'!$C$5:$C$2004=B131)*'Completion Log'!$A$5:$A$2004)))))</f>
        <v/>
      </c>
      <c r="G131" s="15" t="str">
        <f aca="true">IF(OR(A131="",B131="",OR(NOT(ISNUMBER(C131)),N(C131)&lt;=0)),"",IF(F131="",TODAY(),F131+C131))</f>
        <v/>
      </c>
      <c r="H131" s="16" t="str">
        <f aca="true">IF(G131="","",G131-TODAY())</f>
        <v/>
      </c>
      <c r="I131" s="17" t="str">
        <f aca="false">IF(AND(A131="",B131=""),"",IF(OR(A131="",B131=""),"Fill in asset and task",IF(OR(NOT(ISNUMBER(C131)),N(C131)&lt;=0),"Check frequency",IF(SUMPRODUCT(($A$5:$A$304=A131)*($B$5:$B$304=B131))&gt;1,"Duplicate row",IF(H131&lt;0,"OVERDUE",IF(H131&lt;=$I$2,"Due soon","OK"))))))</f>
        <v/>
      </c>
      <c r="J131" s="9"/>
    </row>
    <row r="132" customFormat="false" ht="15" hidden="false" customHeight="false" outlineLevel="0" collapsed="false">
      <c r="A132" s="9"/>
      <c r="B132" s="9"/>
      <c r="C132" s="9"/>
      <c r="D132" s="9"/>
      <c r="E132" s="14"/>
      <c r="F132" s="15" t="str">
        <f aca="false">IF(OR(A132="",B132=""),"",IF(MAX(N(E132),SUMPRODUCT(MAX(('Completion Log'!$B$5:$B$2004=A132)*('Completion Log'!$C$5:$C$2004=B132)*'Completion Log'!$A$5:$A$2004)))=0,"",MAX(N(E132),SUMPRODUCT(MAX(('Completion Log'!$B$5:$B$2004=A132)*('Completion Log'!$C$5:$C$2004=B132)*'Completion Log'!$A$5:$A$2004)))))</f>
        <v/>
      </c>
      <c r="G132" s="15" t="str">
        <f aca="true">IF(OR(A132="",B132="",OR(NOT(ISNUMBER(C132)),N(C132)&lt;=0)),"",IF(F132="",TODAY(),F132+C132))</f>
        <v/>
      </c>
      <c r="H132" s="16" t="str">
        <f aca="true">IF(G132="","",G132-TODAY())</f>
        <v/>
      </c>
      <c r="I132" s="17" t="str">
        <f aca="false">IF(AND(A132="",B132=""),"",IF(OR(A132="",B132=""),"Fill in asset and task",IF(OR(NOT(ISNUMBER(C132)),N(C132)&lt;=0),"Check frequency",IF(SUMPRODUCT(($A$5:$A$304=A132)*($B$5:$B$304=B132))&gt;1,"Duplicate row",IF(H132&lt;0,"OVERDUE",IF(H132&lt;=$I$2,"Due soon","OK"))))))</f>
        <v/>
      </c>
      <c r="J132" s="9"/>
    </row>
    <row r="133" customFormat="false" ht="15" hidden="false" customHeight="false" outlineLevel="0" collapsed="false">
      <c r="A133" s="9"/>
      <c r="B133" s="9"/>
      <c r="C133" s="9"/>
      <c r="D133" s="9"/>
      <c r="E133" s="14"/>
      <c r="F133" s="15" t="str">
        <f aca="false">IF(OR(A133="",B133=""),"",IF(MAX(N(E133),SUMPRODUCT(MAX(('Completion Log'!$B$5:$B$2004=A133)*('Completion Log'!$C$5:$C$2004=B133)*'Completion Log'!$A$5:$A$2004)))=0,"",MAX(N(E133),SUMPRODUCT(MAX(('Completion Log'!$B$5:$B$2004=A133)*('Completion Log'!$C$5:$C$2004=B133)*'Completion Log'!$A$5:$A$2004)))))</f>
        <v/>
      </c>
      <c r="G133" s="15" t="str">
        <f aca="true">IF(OR(A133="",B133="",OR(NOT(ISNUMBER(C133)),N(C133)&lt;=0)),"",IF(F133="",TODAY(),F133+C133))</f>
        <v/>
      </c>
      <c r="H133" s="16" t="str">
        <f aca="true">IF(G133="","",G133-TODAY())</f>
        <v/>
      </c>
      <c r="I133" s="17" t="str">
        <f aca="false">IF(AND(A133="",B133=""),"",IF(OR(A133="",B133=""),"Fill in asset and task",IF(OR(NOT(ISNUMBER(C133)),N(C133)&lt;=0),"Check frequency",IF(SUMPRODUCT(($A$5:$A$304=A133)*($B$5:$B$304=B133))&gt;1,"Duplicate row",IF(H133&lt;0,"OVERDUE",IF(H133&lt;=$I$2,"Due soon","OK"))))))</f>
        <v/>
      </c>
      <c r="J133" s="9"/>
    </row>
    <row r="134" customFormat="false" ht="15" hidden="false" customHeight="false" outlineLevel="0" collapsed="false">
      <c r="A134" s="9"/>
      <c r="B134" s="9"/>
      <c r="C134" s="9"/>
      <c r="D134" s="9"/>
      <c r="E134" s="14"/>
      <c r="F134" s="15" t="str">
        <f aca="false">IF(OR(A134="",B134=""),"",IF(MAX(N(E134),SUMPRODUCT(MAX(('Completion Log'!$B$5:$B$2004=A134)*('Completion Log'!$C$5:$C$2004=B134)*'Completion Log'!$A$5:$A$2004)))=0,"",MAX(N(E134),SUMPRODUCT(MAX(('Completion Log'!$B$5:$B$2004=A134)*('Completion Log'!$C$5:$C$2004=B134)*'Completion Log'!$A$5:$A$2004)))))</f>
        <v/>
      </c>
      <c r="G134" s="15" t="str">
        <f aca="true">IF(OR(A134="",B134="",OR(NOT(ISNUMBER(C134)),N(C134)&lt;=0)),"",IF(F134="",TODAY(),F134+C134))</f>
        <v/>
      </c>
      <c r="H134" s="16" t="str">
        <f aca="true">IF(G134="","",G134-TODAY())</f>
        <v/>
      </c>
      <c r="I134" s="17" t="str">
        <f aca="false">IF(AND(A134="",B134=""),"",IF(OR(A134="",B134=""),"Fill in asset and task",IF(OR(NOT(ISNUMBER(C134)),N(C134)&lt;=0),"Check frequency",IF(SUMPRODUCT(($A$5:$A$304=A134)*($B$5:$B$304=B134))&gt;1,"Duplicate row",IF(H134&lt;0,"OVERDUE",IF(H134&lt;=$I$2,"Due soon","OK"))))))</f>
        <v/>
      </c>
      <c r="J134" s="9"/>
    </row>
    <row r="135" customFormat="false" ht="15" hidden="false" customHeight="false" outlineLevel="0" collapsed="false">
      <c r="A135" s="9"/>
      <c r="B135" s="9"/>
      <c r="C135" s="9"/>
      <c r="D135" s="9"/>
      <c r="E135" s="14"/>
      <c r="F135" s="15" t="str">
        <f aca="false">IF(OR(A135="",B135=""),"",IF(MAX(N(E135),SUMPRODUCT(MAX(('Completion Log'!$B$5:$B$2004=A135)*('Completion Log'!$C$5:$C$2004=B135)*'Completion Log'!$A$5:$A$2004)))=0,"",MAX(N(E135),SUMPRODUCT(MAX(('Completion Log'!$B$5:$B$2004=A135)*('Completion Log'!$C$5:$C$2004=B135)*'Completion Log'!$A$5:$A$2004)))))</f>
        <v/>
      </c>
      <c r="G135" s="15" t="str">
        <f aca="true">IF(OR(A135="",B135="",OR(NOT(ISNUMBER(C135)),N(C135)&lt;=0)),"",IF(F135="",TODAY(),F135+C135))</f>
        <v/>
      </c>
      <c r="H135" s="16" t="str">
        <f aca="true">IF(G135="","",G135-TODAY())</f>
        <v/>
      </c>
      <c r="I135" s="17" t="str">
        <f aca="false">IF(AND(A135="",B135=""),"",IF(OR(A135="",B135=""),"Fill in asset and task",IF(OR(NOT(ISNUMBER(C135)),N(C135)&lt;=0),"Check frequency",IF(SUMPRODUCT(($A$5:$A$304=A135)*($B$5:$B$304=B135))&gt;1,"Duplicate row",IF(H135&lt;0,"OVERDUE",IF(H135&lt;=$I$2,"Due soon","OK"))))))</f>
        <v/>
      </c>
      <c r="J135" s="9"/>
    </row>
    <row r="136" customFormat="false" ht="15" hidden="false" customHeight="false" outlineLevel="0" collapsed="false">
      <c r="A136" s="9"/>
      <c r="B136" s="9"/>
      <c r="C136" s="9"/>
      <c r="D136" s="9"/>
      <c r="E136" s="14"/>
      <c r="F136" s="15" t="str">
        <f aca="false">IF(OR(A136="",B136=""),"",IF(MAX(N(E136),SUMPRODUCT(MAX(('Completion Log'!$B$5:$B$2004=A136)*('Completion Log'!$C$5:$C$2004=B136)*'Completion Log'!$A$5:$A$2004)))=0,"",MAX(N(E136),SUMPRODUCT(MAX(('Completion Log'!$B$5:$B$2004=A136)*('Completion Log'!$C$5:$C$2004=B136)*'Completion Log'!$A$5:$A$2004)))))</f>
        <v/>
      </c>
      <c r="G136" s="15" t="str">
        <f aca="true">IF(OR(A136="",B136="",OR(NOT(ISNUMBER(C136)),N(C136)&lt;=0)),"",IF(F136="",TODAY(),F136+C136))</f>
        <v/>
      </c>
      <c r="H136" s="16" t="str">
        <f aca="true">IF(G136="","",G136-TODAY())</f>
        <v/>
      </c>
      <c r="I136" s="17" t="str">
        <f aca="false">IF(AND(A136="",B136=""),"",IF(OR(A136="",B136=""),"Fill in asset and task",IF(OR(NOT(ISNUMBER(C136)),N(C136)&lt;=0),"Check frequency",IF(SUMPRODUCT(($A$5:$A$304=A136)*($B$5:$B$304=B136))&gt;1,"Duplicate row",IF(H136&lt;0,"OVERDUE",IF(H136&lt;=$I$2,"Due soon","OK"))))))</f>
        <v/>
      </c>
      <c r="J136" s="9"/>
    </row>
    <row r="137" customFormat="false" ht="15" hidden="false" customHeight="false" outlineLevel="0" collapsed="false">
      <c r="A137" s="9"/>
      <c r="B137" s="9"/>
      <c r="C137" s="9"/>
      <c r="D137" s="9"/>
      <c r="E137" s="14"/>
      <c r="F137" s="15" t="str">
        <f aca="false">IF(OR(A137="",B137=""),"",IF(MAX(N(E137),SUMPRODUCT(MAX(('Completion Log'!$B$5:$B$2004=A137)*('Completion Log'!$C$5:$C$2004=B137)*'Completion Log'!$A$5:$A$2004)))=0,"",MAX(N(E137),SUMPRODUCT(MAX(('Completion Log'!$B$5:$B$2004=A137)*('Completion Log'!$C$5:$C$2004=B137)*'Completion Log'!$A$5:$A$2004)))))</f>
        <v/>
      </c>
      <c r="G137" s="15" t="str">
        <f aca="true">IF(OR(A137="",B137="",OR(NOT(ISNUMBER(C137)),N(C137)&lt;=0)),"",IF(F137="",TODAY(),F137+C137))</f>
        <v/>
      </c>
      <c r="H137" s="16" t="str">
        <f aca="true">IF(G137="","",G137-TODAY())</f>
        <v/>
      </c>
      <c r="I137" s="17" t="str">
        <f aca="false">IF(AND(A137="",B137=""),"",IF(OR(A137="",B137=""),"Fill in asset and task",IF(OR(NOT(ISNUMBER(C137)),N(C137)&lt;=0),"Check frequency",IF(SUMPRODUCT(($A$5:$A$304=A137)*($B$5:$B$304=B137))&gt;1,"Duplicate row",IF(H137&lt;0,"OVERDUE",IF(H137&lt;=$I$2,"Due soon","OK"))))))</f>
        <v/>
      </c>
      <c r="J137" s="9"/>
    </row>
    <row r="138" customFormat="false" ht="15" hidden="false" customHeight="false" outlineLevel="0" collapsed="false">
      <c r="A138" s="9"/>
      <c r="B138" s="9"/>
      <c r="C138" s="9"/>
      <c r="D138" s="9"/>
      <c r="E138" s="14"/>
      <c r="F138" s="15" t="str">
        <f aca="false">IF(OR(A138="",B138=""),"",IF(MAX(N(E138),SUMPRODUCT(MAX(('Completion Log'!$B$5:$B$2004=A138)*('Completion Log'!$C$5:$C$2004=B138)*'Completion Log'!$A$5:$A$2004)))=0,"",MAX(N(E138),SUMPRODUCT(MAX(('Completion Log'!$B$5:$B$2004=A138)*('Completion Log'!$C$5:$C$2004=B138)*'Completion Log'!$A$5:$A$2004)))))</f>
        <v/>
      </c>
      <c r="G138" s="15" t="str">
        <f aca="true">IF(OR(A138="",B138="",OR(NOT(ISNUMBER(C138)),N(C138)&lt;=0)),"",IF(F138="",TODAY(),F138+C138))</f>
        <v/>
      </c>
      <c r="H138" s="16" t="str">
        <f aca="true">IF(G138="","",G138-TODAY())</f>
        <v/>
      </c>
      <c r="I138" s="17" t="str">
        <f aca="false">IF(AND(A138="",B138=""),"",IF(OR(A138="",B138=""),"Fill in asset and task",IF(OR(NOT(ISNUMBER(C138)),N(C138)&lt;=0),"Check frequency",IF(SUMPRODUCT(($A$5:$A$304=A138)*($B$5:$B$304=B138))&gt;1,"Duplicate row",IF(H138&lt;0,"OVERDUE",IF(H138&lt;=$I$2,"Due soon","OK"))))))</f>
        <v/>
      </c>
      <c r="J138" s="9"/>
    </row>
    <row r="139" customFormat="false" ht="15" hidden="false" customHeight="false" outlineLevel="0" collapsed="false">
      <c r="A139" s="9"/>
      <c r="B139" s="9"/>
      <c r="C139" s="9"/>
      <c r="D139" s="9"/>
      <c r="E139" s="14"/>
      <c r="F139" s="15" t="str">
        <f aca="false">IF(OR(A139="",B139=""),"",IF(MAX(N(E139),SUMPRODUCT(MAX(('Completion Log'!$B$5:$B$2004=A139)*('Completion Log'!$C$5:$C$2004=B139)*'Completion Log'!$A$5:$A$2004)))=0,"",MAX(N(E139),SUMPRODUCT(MAX(('Completion Log'!$B$5:$B$2004=A139)*('Completion Log'!$C$5:$C$2004=B139)*'Completion Log'!$A$5:$A$2004)))))</f>
        <v/>
      </c>
      <c r="G139" s="15" t="str">
        <f aca="true">IF(OR(A139="",B139="",OR(NOT(ISNUMBER(C139)),N(C139)&lt;=0)),"",IF(F139="",TODAY(),F139+C139))</f>
        <v/>
      </c>
      <c r="H139" s="16" t="str">
        <f aca="true">IF(G139="","",G139-TODAY())</f>
        <v/>
      </c>
      <c r="I139" s="17" t="str">
        <f aca="false">IF(AND(A139="",B139=""),"",IF(OR(A139="",B139=""),"Fill in asset and task",IF(OR(NOT(ISNUMBER(C139)),N(C139)&lt;=0),"Check frequency",IF(SUMPRODUCT(($A$5:$A$304=A139)*($B$5:$B$304=B139))&gt;1,"Duplicate row",IF(H139&lt;0,"OVERDUE",IF(H139&lt;=$I$2,"Due soon","OK"))))))</f>
        <v/>
      </c>
      <c r="J139" s="9"/>
    </row>
    <row r="140" customFormat="false" ht="15" hidden="false" customHeight="false" outlineLevel="0" collapsed="false">
      <c r="A140" s="9"/>
      <c r="B140" s="9"/>
      <c r="C140" s="9"/>
      <c r="D140" s="9"/>
      <c r="E140" s="14"/>
      <c r="F140" s="15" t="str">
        <f aca="false">IF(OR(A140="",B140=""),"",IF(MAX(N(E140),SUMPRODUCT(MAX(('Completion Log'!$B$5:$B$2004=A140)*('Completion Log'!$C$5:$C$2004=B140)*'Completion Log'!$A$5:$A$2004)))=0,"",MAX(N(E140),SUMPRODUCT(MAX(('Completion Log'!$B$5:$B$2004=A140)*('Completion Log'!$C$5:$C$2004=B140)*'Completion Log'!$A$5:$A$2004)))))</f>
        <v/>
      </c>
      <c r="G140" s="15" t="str">
        <f aca="true">IF(OR(A140="",B140="",OR(NOT(ISNUMBER(C140)),N(C140)&lt;=0)),"",IF(F140="",TODAY(),F140+C140))</f>
        <v/>
      </c>
      <c r="H140" s="16" t="str">
        <f aca="true">IF(G140="","",G140-TODAY())</f>
        <v/>
      </c>
      <c r="I140" s="17" t="str">
        <f aca="false">IF(AND(A140="",B140=""),"",IF(OR(A140="",B140=""),"Fill in asset and task",IF(OR(NOT(ISNUMBER(C140)),N(C140)&lt;=0),"Check frequency",IF(SUMPRODUCT(($A$5:$A$304=A140)*($B$5:$B$304=B140))&gt;1,"Duplicate row",IF(H140&lt;0,"OVERDUE",IF(H140&lt;=$I$2,"Due soon","OK"))))))</f>
        <v/>
      </c>
      <c r="J140" s="9"/>
    </row>
    <row r="141" customFormat="false" ht="15" hidden="false" customHeight="false" outlineLevel="0" collapsed="false">
      <c r="A141" s="9"/>
      <c r="B141" s="9"/>
      <c r="C141" s="9"/>
      <c r="D141" s="9"/>
      <c r="E141" s="14"/>
      <c r="F141" s="15" t="str">
        <f aca="false">IF(OR(A141="",B141=""),"",IF(MAX(N(E141),SUMPRODUCT(MAX(('Completion Log'!$B$5:$B$2004=A141)*('Completion Log'!$C$5:$C$2004=B141)*'Completion Log'!$A$5:$A$2004)))=0,"",MAX(N(E141),SUMPRODUCT(MAX(('Completion Log'!$B$5:$B$2004=A141)*('Completion Log'!$C$5:$C$2004=B141)*'Completion Log'!$A$5:$A$2004)))))</f>
        <v/>
      </c>
      <c r="G141" s="15" t="str">
        <f aca="true">IF(OR(A141="",B141="",OR(NOT(ISNUMBER(C141)),N(C141)&lt;=0)),"",IF(F141="",TODAY(),F141+C141))</f>
        <v/>
      </c>
      <c r="H141" s="16" t="str">
        <f aca="true">IF(G141="","",G141-TODAY())</f>
        <v/>
      </c>
      <c r="I141" s="17" t="str">
        <f aca="false">IF(AND(A141="",B141=""),"",IF(OR(A141="",B141=""),"Fill in asset and task",IF(OR(NOT(ISNUMBER(C141)),N(C141)&lt;=0),"Check frequency",IF(SUMPRODUCT(($A$5:$A$304=A141)*($B$5:$B$304=B141))&gt;1,"Duplicate row",IF(H141&lt;0,"OVERDUE",IF(H141&lt;=$I$2,"Due soon","OK"))))))</f>
        <v/>
      </c>
      <c r="J141" s="9"/>
    </row>
    <row r="142" customFormat="false" ht="15" hidden="false" customHeight="false" outlineLevel="0" collapsed="false">
      <c r="A142" s="9"/>
      <c r="B142" s="9"/>
      <c r="C142" s="9"/>
      <c r="D142" s="9"/>
      <c r="E142" s="14"/>
      <c r="F142" s="15" t="str">
        <f aca="false">IF(OR(A142="",B142=""),"",IF(MAX(N(E142),SUMPRODUCT(MAX(('Completion Log'!$B$5:$B$2004=A142)*('Completion Log'!$C$5:$C$2004=B142)*'Completion Log'!$A$5:$A$2004)))=0,"",MAX(N(E142),SUMPRODUCT(MAX(('Completion Log'!$B$5:$B$2004=A142)*('Completion Log'!$C$5:$C$2004=B142)*'Completion Log'!$A$5:$A$2004)))))</f>
        <v/>
      </c>
      <c r="G142" s="15" t="str">
        <f aca="true">IF(OR(A142="",B142="",OR(NOT(ISNUMBER(C142)),N(C142)&lt;=0)),"",IF(F142="",TODAY(),F142+C142))</f>
        <v/>
      </c>
      <c r="H142" s="16" t="str">
        <f aca="true">IF(G142="","",G142-TODAY())</f>
        <v/>
      </c>
      <c r="I142" s="17" t="str">
        <f aca="false">IF(AND(A142="",B142=""),"",IF(OR(A142="",B142=""),"Fill in asset and task",IF(OR(NOT(ISNUMBER(C142)),N(C142)&lt;=0),"Check frequency",IF(SUMPRODUCT(($A$5:$A$304=A142)*($B$5:$B$304=B142))&gt;1,"Duplicate row",IF(H142&lt;0,"OVERDUE",IF(H142&lt;=$I$2,"Due soon","OK"))))))</f>
        <v/>
      </c>
      <c r="J142" s="9"/>
    </row>
    <row r="143" customFormat="false" ht="15" hidden="false" customHeight="false" outlineLevel="0" collapsed="false">
      <c r="A143" s="9"/>
      <c r="B143" s="9"/>
      <c r="C143" s="9"/>
      <c r="D143" s="9"/>
      <c r="E143" s="14"/>
      <c r="F143" s="15" t="str">
        <f aca="false">IF(OR(A143="",B143=""),"",IF(MAX(N(E143),SUMPRODUCT(MAX(('Completion Log'!$B$5:$B$2004=A143)*('Completion Log'!$C$5:$C$2004=B143)*'Completion Log'!$A$5:$A$2004)))=0,"",MAX(N(E143),SUMPRODUCT(MAX(('Completion Log'!$B$5:$B$2004=A143)*('Completion Log'!$C$5:$C$2004=B143)*'Completion Log'!$A$5:$A$2004)))))</f>
        <v/>
      </c>
      <c r="G143" s="15" t="str">
        <f aca="true">IF(OR(A143="",B143="",OR(NOT(ISNUMBER(C143)),N(C143)&lt;=0)),"",IF(F143="",TODAY(),F143+C143))</f>
        <v/>
      </c>
      <c r="H143" s="16" t="str">
        <f aca="true">IF(G143="","",G143-TODAY())</f>
        <v/>
      </c>
      <c r="I143" s="17" t="str">
        <f aca="false">IF(AND(A143="",B143=""),"",IF(OR(A143="",B143=""),"Fill in asset and task",IF(OR(NOT(ISNUMBER(C143)),N(C143)&lt;=0),"Check frequency",IF(SUMPRODUCT(($A$5:$A$304=A143)*($B$5:$B$304=B143))&gt;1,"Duplicate row",IF(H143&lt;0,"OVERDUE",IF(H143&lt;=$I$2,"Due soon","OK"))))))</f>
        <v/>
      </c>
      <c r="J143" s="9"/>
    </row>
    <row r="144" customFormat="false" ht="15" hidden="false" customHeight="false" outlineLevel="0" collapsed="false">
      <c r="A144" s="9"/>
      <c r="B144" s="9"/>
      <c r="C144" s="9"/>
      <c r="D144" s="9"/>
      <c r="E144" s="14"/>
      <c r="F144" s="15" t="str">
        <f aca="false">IF(OR(A144="",B144=""),"",IF(MAX(N(E144),SUMPRODUCT(MAX(('Completion Log'!$B$5:$B$2004=A144)*('Completion Log'!$C$5:$C$2004=B144)*'Completion Log'!$A$5:$A$2004)))=0,"",MAX(N(E144),SUMPRODUCT(MAX(('Completion Log'!$B$5:$B$2004=A144)*('Completion Log'!$C$5:$C$2004=B144)*'Completion Log'!$A$5:$A$2004)))))</f>
        <v/>
      </c>
      <c r="G144" s="15" t="str">
        <f aca="true">IF(OR(A144="",B144="",OR(NOT(ISNUMBER(C144)),N(C144)&lt;=0)),"",IF(F144="",TODAY(),F144+C144))</f>
        <v/>
      </c>
      <c r="H144" s="16" t="str">
        <f aca="true">IF(G144="","",G144-TODAY())</f>
        <v/>
      </c>
      <c r="I144" s="17" t="str">
        <f aca="false">IF(AND(A144="",B144=""),"",IF(OR(A144="",B144=""),"Fill in asset and task",IF(OR(NOT(ISNUMBER(C144)),N(C144)&lt;=0),"Check frequency",IF(SUMPRODUCT(($A$5:$A$304=A144)*($B$5:$B$304=B144))&gt;1,"Duplicate row",IF(H144&lt;0,"OVERDUE",IF(H144&lt;=$I$2,"Due soon","OK"))))))</f>
        <v/>
      </c>
      <c r="J144" s="9"/>
    </row>
    <row r="145" customFormat="false" ht="15" hidden="false" customHeight="false" outlineLevel="0" collapsed="false">
      <c r="A145" s="9"/>
      <c r="B145" s="9"/>
      <c r="C145" s="9"/>
      <c r="D145" s="9"/>
      <c r="E145" s="14"/>
      <c r="F145" s="15" t="str">
        <f aca="false">IF(OR(A145="",B145=""),"",IF(MAX(N(E145),SUMPRODUCT(MAX(('Completion Log'!$B$5:$B$2004=A145)*('Completion Log'!$C$5:$C$2004=B145)*'Completion Log'!$A$5:$A$2004)))=0,"",MAX(N(E145),SUMPRODUCT(MAX(('Completion Log'!$B$5:$B$2004=A145)*('Completion Log'!$C$5:$C$2004=B145)*'Completion Log'!$A$5:$A$2004)))))</f>
        <v/>
      </c>
      <c r="G145" s="15" t="str">
        <f aca="true">IF(OR(A145="",B145="",OR(NOT(ISNUMBER(C145)),N(C145)&lt;=0)),"",IF(F145="",TODAY(),F145+C145))</f>
        <v/>
      </c>
      <c r="H145" s="16" t="str">
        <f aca="true">IF(G145="","",G145-TODAY())</f>
        <v/>
      </c>
      <c r="I145" s="17" t="str">
        <f aca="false">IF(AND(A145="",B145=""),"",IF(OR(A145="",B145=""),"Fill in asset and task",IF(OR(NOT(ISNUMBER(C145)),N(C145)&lt;=0),"Check frequency",IF(SUMPRODUCT(($A$5:$A$304=A145)*($B$5:$B$304=B145))&gt;1,"Duplicate row",IF(H145&lt;0,"OVERDUE",IF(H145&lt;=$I$2,"Due soon","OK"))))))</f>
        <v/>
      </c>
      <c r="J145" s="9"/>
    </row>
    <row r="146" customFormat="false" ht="15" hidden="false" customHeight="false" outlineLevel="0" collapsed="false">
      <c r="A146" s="9"/>
      <c r="B146" s="9"/>
      <c r="C146" s="9"/>
      <c r="D146" s="9"/>
      <c r="E146" s="14"/>
      <c r="F146" s="15" t="str">
        <f aca="false">IF(OR(A146="",B146=""),"",IF(MAX(N(E146),SUMPRODUCT(MAX(('Completion Log'!$B$5:$B$2004=A146)*('Completion Log'!$C$5:$C$2004=B146)*'Completion Log'!$A$5:$A$2004)))=0,"",MAX(N(E146),SUMPRODUCT(MAX(('Completion Log'!$B$5:$B$2004=A146)*('Completion Log'!$C$5:$C$2004=B146)*'Completion Log'!$A$5:$A$2004)))))</f>
        <v/>
      </c>
      <c r="G146" s="15" t="str">
        <f aca="true">IF(OR(A146="",B146="",OR(NOT(ISNUMBER(C146)),N(C146)&lt;=0)),"",IF(F146="",TODAY(),F146+C146))</f>
        <v/>
      </c>
      <c r="H146" s="16" t="str">
        <f aca="true">IF(G146="","",G146-TODAY())</f>
        <v/>
      </c>
      <c r="I146" s="17" t="str">
        <f aca="false">IF(AND(A146="",B146=""),"",IF(OR(A146="",B146=""),"Fill in asset and task",IF(OR(NOT(ISNUMBER(C146)),N(C146)&lt;=0),"Check frequency",IF(SUMPRODUCT(($A$5:$A$304=A146)*($B$5:$B$304=B146))&gt;1,"Duplicate row",IF(H146&lt;0,"OVERDUE",IF(H146&lt;=$I$2,"Due soon","OK"))))))</f>
        <v/>
      </c>
      <c r="J146" s="9"/>
    </row>
    <row r="147" customFormat="false" ht="15" hidden="false" customHeight="false" outlineLevel="0" collapsed="false">
      <c r="A147" s="9"/>
      <c r="B147" s="9"/>
      <c r="C147" s="9"/>
      <c r="D147" s="9"/>
      <c r="E147" s="14"/>
      <c r="F147" s="15" t="str">
        <f aca="false">IF(OR(A147="",B147=""),"",IF(MAX(N(E147),SUMPRODUCT(MAX(('Completion Log'!$B$5:$B$2004=A147)*('Completion Log'!$C$5:$C$2004=B147)*'Completion Log'!$A$5:$A$2004)))=0,"",MAX(N(E147),SUMPRODUCT(MAX(('Completion Log'!$B$5:$B$2004=A147)*('Completion Log'!$C$5:$C$2004=B147)*'Completion Log'!$A$5:$A$2004)))))</f>
        <v/>
      </c>
      <c r="G147" s="15" t="str">
        <f aca="true">IF(OR(A147="",B147="",OR(NOT(ISNUMBER(C147)),N(C147)&lt;=0)),"",IF(F147="",TODAY(),F147+C147))</f>
        <v/>
      </c>
      <c r="H147" s="16" t="str">
        <f aca="true">IF(G147="","",G147-TODAY())</f>
        <v/>
      </c>
      <c r="I147" s="17" t="str">
        <f aca="false">IF(AND(A147="",B147=""),"",IF(OR(A147="",B147=""),"Fill in asset and task",IF(OR(NOT(ISNUMBER(C147)),N(C147)&lt;=0),"Check frequency",IF(SUMPRODUCT(($A$5:$A$304=A147)*($B$5:$B$304=B147))&gt;1,"Duplicate row",IF(H147&lt;0,"OVERDUE",IF(H147&lt;=$I$2,"Due soon","OK"))))))</f>
        <v/>
      </c>
      <c r="J147" s="9"/>
    </row>
    <row r="148" customFormat="false" ht="15" hidden="false" customHeight="false" outlineLevel="0" collapsed="false">
      <c r="A148" s="9"/>
      <c r="B148" s="9"/>
      <c r="C148" s="9"/>
      <c r="D148" s="9"/>
      <c r="E148" s="14"/>
      <c r="F148" s="15" t="str">
        <f aca="false">IF(OR(A148="",B148=""),"",IF(MAX(N(E148),SUMPRODUCT(MAX(('Completion Log'!$B$5:$B$2004=A148)*('Completion Log'!$C$5:$C$2004=B148)*'Completion Log'!$A$5:$A$2004)))=0,"",MAX(N(E148),SUMPRODUCT(MAX(('Completion Log'!$B$5:$B$2004=A148)*('Completion Log'!$C$5:$C$2004=B148)*'Completion Log'!$A$5:$A$2004)))))</f>
        <v/>
      </c>
      <c r="G148" s="15" t="str">
        <f aca="true">IF(OR(A148="",B148="",OR(NOT(ISNUMBER(C148)),N(C148)&lt;=0)),"",IF(F148="",TODAY(),F148+C148))</f>
        <v/>
      </c>
      <c r="H148" s="16" t="str">
        <f aca="true">IF(G148="","",G148-TODAY())</f>
        <v/>
      </c>
      <c r="I148" s="17" t="str">
        <f aca="false">IF(AND(A148="",B148=""),"",IF(OR(A148="",B148=""),"Fill in asset and task",IF(OR(NOT(ISNUMBER(C148)),N(C148)&lt;=0),"Check frequency",IF(SUMPRODUCT(($A$5:$A$304=A148)*($B$5:$B$304=B148))&gt;1,"Duplicate row",IF(H148&lt;0,"OVERDUE",IF(H148&lt;=$I$2,"Due soon","OK"))))))</f>
        <v/>
      </c>
      <c r="J148" s="9"/>
    </row>
    <row r="149" customFormat="false" ht="15" hidden="false" customHeight="false" outlineLevel="0" collapsed="false">
      <c r="A149" s="9"/>
      <c r="B149" s="9"/>
      <c r="C149" s="9"/>
      <c r="D149" s="9"/>
      <c r="E149" s="14"/>
      <c r="F149" s="15" t="str">
        <f aca="false">IF(OR(A149="",B149=""),"",IF(MAX(N(E149),SUMPRODUCT(MAX(('Completion Log'!$B$5:$B$2004=A149)*('Completion Log'!$C$5:$C$2004=B149)*'Completion Log'!$A$5:$A$2004)))=0,"",MAX(N(E149),SUMPRODUCT(MAX(('Completion Log'!$B$5:$B$2004=A149)*('Completion Log'!$C$5:$C$2004=B149)*'Completion Log'!$A$5:$A$2004)))))</f>
        <v/>
      </c>
      <c r="G149" s="15" t="str">
        <f aca="true">IF(OR(A149="",B149="",OR(NOT(ISNUMBER(C149)),N(C149)&lt;=0)),"",IF(F149="",TODAY(),F149+C149))</f>
        <v/>
      </c>
      <c r="H149" s="16" t="str">
        <f aca="true">IF(G149="","",G149-TODAY())</f>
        <v/>
      </c>
      <c r="I149" s="17" t="str">
        <f aca="false">IF(AND(A149="",B149=""),"",IF(OR(A149="",B149=""),"Fill in asset and task",IF(OR(NOT(ISNUMBER(C149)),N(C149)&lt;=0),"Check frequency",IF(SUMPRODUCT(($A$5:$A$304=A149)*($B$5:$B$304=B149))&gt;1,"Duplicate row",IF(H149&lt;0,"OVERDUE",IF(H149&lt;=$I$2,"Due soon","OK"))))))</f>
        <v/>
      </c>
      <c r="J149" s="9"/>
    </row>
    <row r="150" customFormat="false" ht="15" hidden="false" customHeight="false" outlineLevel="0" collapsed="false">
      <c r="A150" s="9"/>
      <c r="B150" s="9"/>
      <c r="C150" s="9"/>
      <c r="D150" s="9"/>
      <c r="E150" s="14"/>
      <c r="F150" s="15" t="str">
        <f aca="false">IF(OR(A150="",B150=""),"",IF(MAX(N(E150),SUMPRODUCT(MAX(('Completion Log'!$B$5:$B$2004=A150)*('Completion Log'!$C$5:$C$2004=B150)*'Completion Log'!$A$5:$A$2004)))=0,"",MAX(N(E150),SUMPRODUCT(MAX(('Completion Log'!$B$5:$B$2004=A150)*('Completion Log'!$C$5:$C$2004=B150)*'Completion Log'!$A$5:$A$2004)))))</f>
        <v/>
      </c>
      <c r="G150" s="15" t="str">
        <f aca="true">IF(OR(A150="",B150="",OR(NOT(ISNUMBER(C150)),N(C150)&lt;=0)),"",IF(F150="",TODAY(),F150+C150))</f>
        <v/>
      </c>
      <c r="H150" s="16" t="str">
        <f aca="true">IF(G150="","",G150-TODAY())</f>
        <v/>
      </c>
      <c r="I150" s="17" t="str">
        <f aca="false">IF(AND(A150="",B150=""),"",IF(OR(A150="",B150=""),"Fill in asset and task",IF(OR(NOT(ISNUMBER(C150)),N(C150)&lt;=0),"Check frequency",IF(SUMPRODUCT(($A$5:$A$304=A150)*($B$5:$B$304=B150))&gt;1,"Duplicate row",IF(H150&lt;0,"OVERDUE",IF(H150&lt;=$I$2,"Due soon","OK"))))))</f>
        <v/>
      </c>
      <c r="J150" s="9"/>
    </row>
    <row r="151" customFormat="false" ht="15" hidden="false" customHeight="false" outlineLevel="0" collapsed="false">
      <c r="A151" s="9"/>
      <c r="B151" s="9"/>
      <c r="C151" s="9"/>
      <c r="D151" s="9"/>
      <c r="E151" s="14"/>
      <c r="F151" s="15" t="str">
        <f aca="false">IF(OR(A151="",B151=""),"",IF(MAX(N(E151),SUMPRODUCT(MAX(('Completion Log'!$B$5:$B$2004=A151)*('Completion Log'!$C$5:$C$2004=B151)*'Completion Log'!$A$5:$A$2004)))=0,"",MAX(N(E151),SUMPRODUCT(MAX(('Completion Log'!$B$5:$B$2004=A151)*('Completion Log'!$C$5:$C$2004=B151)*'Completion Log'!$A$5:$A$2004)))))</f>
        <v/>
      </c>
      <c r="G151" s="15" t="str">
        <f aca="true">IF(OR(A151="",B151="",OR(NOT(ISNUMBER(C151)),N(C151)&lt;=0)),"",IF(F151="",TODAY(),F151+C151))</f>
        <v/>
      </c>
      <c r="H151" s="16" t="str">
        <f aca="true">IF(G151="","",G151-TODAY())</f>
        <v/>
      </c>
      <c r="I151" s="17" t="str">
        <f aca="false">IF(AND(A151="",B151=""),"",IF(OR(A151="",B151=""),"Fill in asset and task",IF(OR(NOT(ISNUMBER(C151)),N(C151)&lt;=0),"Check frequency",IF(SUMPRODUCT(($A$5:$A$304=A151)*($B$5:$B$304=B151))&gt;1,"Duplicate row",IF(H151&lt;0,"OVERDUE",IF(H151&lt;=$I$2,"Due soon","OK"))))))</f>
        <v/>
      </c>
      <c r="J151" s="9"/>
    </row>
    <row r="152" customFormat="false" ht="15" hidden="false" customHeight="false" outlineLevel="0" collapsed="false">
      <c r="A152" s="9"/>
      <c r="B152" s="9"/>
      <c r="C152" s="9"/>
      <c r="D152" s="9"/>
      <c r="E152" s="14"/>
      <c r="F152" s="15" t="str">
        <f aca="false">IF(OR(A152="",B152=""),"",IF(MAX(N(E152),SUMPRODUCT(MAX(('Completion Log'!$B$5:$B$2004=A152)*('Completion Log'!$C$5:$C$2004=B152)*'Completion Log'!$A$5:$A$2004)))=0,"",MAX(N(E152),SUMPRODUCT(MAX(('Completion Log'!$B$5:$B$2004=A152)*('Completion Log'!$C$5:$C$2004=B152)*'Completion Log'!$A$5:$A$2004)))))</f>
        <v/>
      </c>
      <c r="G152" s="15" t="str">
        <f aca="true">IF(OR(A152="",B152="",OR(NOT(ISNUMBER(C152)),N(C152)&lt;=0)),"",IF(F152="",TODAY(),F152+C152))</f>
        <v/>
      </c>
      <c r="H152" s="16" t="str">
        <f aca="true">IF(G152="","",G152-TODAY())</f>
        <v/>
      </c>
      <c r="I152" s="17" t="str">
        <f aca="false">IF(AND(A152="",B152=""),"",IF(OR(A152="",B152=""),"Fill in asset and task",IF(OR(NOT(ISNUMBER(C152)),N(C152)&lt;=0),"Check frequency",IF(SUMPRODUCT(($A$5:$A$304=A152)*($B$5:$B$304=B152))&gt;1,"Duplicate row",IF(H152&lt;0,"OVERDUE",IF(H152&lt;=$I$2,"Due soon","OK"))))))</f>
        <v/>
      </c>
      <c r="J152" s="9"/>
    </row>
    <row r="153" customFormat="false" ht="15" hidden="false" customHeight="false" outlineLevel="0" collapsed="false">
      <c r="A153" s="9"/>
      <c r="B153" s="9"/>
      <c r="C153" s="9"/>
      <c r="D153" s="9"/>
      <c r="E153" s="14"/>
      <c r="F153" s="15" t="str">
        <f aca="false">IF(OR(A153="",B153=""),"",IF(MAX(N(E153),SUMPRODUCT(MAX(('Completion Log'!$B$5:$B$2004=A153)*('Completion Log'!$C$5:$C$2004=B153)*'Completion Log'!$A$5:$A$2004)))=0,"",MAX(N(E153),SUMPRODUCT(MAX(('Completion Log'!$B$5:$B$2004=A153)*('Completion Log'!$C$5:$C$2004=B153)*'Completion Log'!$A$5:$A$2004)))))</f>
        <v/>
      </c>
      <c r="G153" s="15" t="str">
        <f aca="true">IF(OR(A153="",B153="",OR(NOT(ISNUMBER(C153)),N(C153)&lt;=0)),"",IF(F153="",TODAY(),F153+C153))</f>
        <v/>
      </c>
      <c r="H153" s="16" t="str">
        <f aca="true">IF(G153="","",G153-TODAY())</f>
        <v/>
      </c>
      <c r="I153" s="17" t="str">
        <f aca="false">IF(AND(A153="",B153=""),"",IF(OR(A153="",B153=""),"Fill in asset and task",IF(OR(NOT(ISNUMBER(C153)),N(C153)&lt;=0),"Check frequency",IF(SUMPRODUCT(($A$5:$A$304=A153)*($B$5:$B$304=B153))&gt;1,"Duplicate row",IF(H153&lt;0,"OVERDUE",IF(H153&lt;=$I$2,"Due soon","OK"))))))</f>
        <v/>
      </c>
      <c r="J153" s="9"/>
    </row>
    <row r="154" customFormat="false" ht="15" hidden="false" customHeight="false" outlineLevel="0" collapsed="false">
      <c r="A154" s="9"/>
      <c r="B154" s="9"/>
      <c r="C154" s="9"/>
      <c r="D154" s="9"/>
      <c r="E154" s="14"/>
      <c r="F154" s="15" t="str">
        <f aca="false">IF(OR(A154="",B154=""),"",IF(MAX(N(E154),SUMPRODUCT(MAX(('Completion Log'!$B$5:$B$2004=A154)*('Completion Log'!$C$5:$C$2004=B154)*'Completion Log'!$A$5:$A$2004)))=0,"",MAX(N(E154),SUMPRODUCT(MAX(('Completion Log'!$B$5:$B$2004=A154)*('Completion Log'!$C$5:$C$2004=B154)*'Completion Log'!$A$5:$A$2004)))))</f>
        <v/>
      </c>
      <c r="G154" s="15" t="str">
        <f aca="true">IF(OR(A154="",B154="",OR(NOT(ISNUMBER(C154)),N(C154)&lt;=0)),"",IF(F154="",TODAY(),F154+C154))</f>
        <v/>
      </c>
      <c r="H154" s="16" t="str">
        <f aca="true">IF(G154="","",G154-TODAY())</f>
        <v/>
      </c>
      <c r="I154" s="17" t="str">
        <f aca="false">IF(AND(A154="",B154=""),"",IF(OR(A154="",B154=""),"Fill in asset and task",IF(OR(NOT(ISNUMBER(C154)),N(C154)&lt;=0),"Check frequency",IF(SUMPRODUCT(($A$5:$A$304=A154)*($B$5:$B$304=B154))&gt;1,"Duplicate row",IF(H154&lt;0,"OVERDUE",IF(H154&lt;=$I$2,"Due soon","OK"))))))</f>
        <v/>
      </c>
      <c r="J154" s="9"/>
    </row>
    <row r="155" customFormat="false" ht="15" hidden="false" customHeight="false" outlineLevel="0" collapsed="false">
      <c r="A155" s="9"/>
      <c r="B155" s="9"/>
      <c r="C155" s="9"/>
      <c r="D155" s="9"/>
      <c r="E155" s="14"/>
      <c r="F155" s="15" t="str">
        <f aca="false">IF(OR(A155="",B155=""),"",IF(MAX(N(E155),SUMPRODUCT(MAX(('Completion Log'!$B$5:$B$2004=A155)*('Completion Log'!$C$5:$C$2004=B155)*'Completion Log'!$A$5:$A$2004)))=0,"",MAX(N(E155),SUMPRODUCT(MAX(('Completion Log'!$B$5:$B$2004=A155)*('Completion Log'!$C$5:$C$2004=B155)*'Completion Log'!$A$5:$A$2004)))))</f>
        <v/>
      </c>
      <c r="G155" s="15" t="str">
        <f aca="true">IF(OR(A155="",B155="",OR(NOT(ISNUMBER(C155)),N(C155)&lt;=0)),"",IF(F155="",TODAY(),F155+C155))</f>
        <v/>
      </c>
      <c r="H155" s="16" t="str">
        <f aca="true">IF(G155="","",G155-TODAY())</f>
        <v/>
      </c>
      <c r="I155" s="17" t="str">
        <f aca="false">IF(AND(A155="",B155=""),"",IF(OR(A155="",B155=""),"Fill in asset and task",IF(OR(NOT(ISNUMBER(C155)),N(C155)&lt;=0),"Check frequency",IF(SUMPRODUCT(($A$5:$A$304=A155)*($B$5:$B$304=B155))&gt;1,"Duplicate row",IF(H155&lt;0,"OVERDUE",IF(H155&lt;=$I$2,"Due soon","OK"))))))</f>
        <v/>
      </c>
      <c r="J155" s="9"/>
    </row>
    <row r="156" customFormat="false" ht="15" hidden="false" customHeight="false" outlineLevel="0" collapsed="false">
      <c r="A156" s="9"/>
      <c r="B156" s="9"/>
      <c r="C156" s="9"/>
      <c r="D156" s="9"/>
      <c r="E156" s="14"/>
      <c r="F156" s="15" t="str">
        <f aca="false">IF(OR(A156="",B156=""),"",IF(MAX(N(E156),SUMPRODUCT(MAX(('Completion Log'!$B$5:$B$2004=A156)*('Completion Log'!$C$5:$C$2004=B156)*'Completion Log'!$A$5:$A$2004)))=0,"",MAX(N(E156),SUMPRODUCT(MAX(('Completion Log'!$B$5:$B$2004=A156)*('Completion Log'!$C$5:$C$2004=B156)*'Completion Log'!$A$5:$A$2004)))))</f>
        <v/>
      </c>
      <c r="G156" s="15" t="str">
        <f aca="true">IF(OR(A156="",B156="",OR(NOT(ISNUMBER(C156)),N(C156)&lt;=0)),"",IF(F156="",TODAY(),F156+C156))</f>
        <v/>
      </c>
      <c r="H156" s="16" t="str">
        <f aca="true">IF(G156="","",G156-TODAY())</f>
        <v/>
      </c>
      <c r="I156" s="17" t="str">
        <f aca="false">IF(AND(A156="",B156=""),"",IF(OR(A156="",B156=""),"Fill in asset and task",IF(OR(NOT(ISNUMBER(C156)),N(C156)&lt;=0),"Check frequency",IF(SUMPRODUCT(($A$5:$A$304=A156)*($B$5:$B$304=B156))&gt;1,"Duplicate row",IF(H156&lt;0,"OVERDUE",IF(H156&lt;=$I$2,"Due soon","OK"))))))</f>
        <v/>
      </c>
      <c r="J156" s="9"/>
    </row>
    <row r="157" customFormat="false" ht="15" hidden="false" customHeight="false" outlineLevel="0" collapsed="false">
      <c r="A157" s="9"/>
      <c r="B157" s="9"/>
      <c r="C157" s="9"/>
      <c r="D157" s="9"/>
      <c r="E157" s="14"/>
      <c r="F157" s="15" t="str">
        <f aca="false">IF(OR(A157="",B157=""),"",IF(MAX(N(E157),SUMPRODUCT(MAX(('Completion Log'!$B$5:$B$2004=A157)*('Completion Log'!$C$5:$C$2004=B157)*'Completion Log'!$A$5:$A$2004)))=0,"",MAX(N(E157),SUMPRODUCT(MAX(('Completion Log'!$B$5:$B$2004=A157)*('Completion Log'!$C$5:$C$2004=B157)*'Completion Log'!$A$5:$A$2004)))))</f>
        <v/>
      </c>
      <c r="G157" s="15" t="str">
        <f aca="true">IF(OR(A157="",B157="",OR(NOT(ISNUMBER(C157)),N(C157)&lt;=0)),"",IF(F157="",TODAY(),F157+C157))</f>
        <v/>
      </c>
      <c r="H157" s="16" t="str">
        <f aca="true">IF(G157="","",G157-TODAY())</f>
        <v/>
      </c>
      <c r="I157" s="17" t="str">
        <f aca="false">IF(AND(A157="",B157=""),"",IF(OR(A157="",B157=""),"Fill in asset and task",IF(OR(NOT(ISNUMBER(C157)),N(C157)&lt;=0),"Check frequency",IF(SUMPRODUCT(($A$5:$A$304=A157)*($B$5:$B$304=B157))&gt;1,"Duplicate row",IF(H157&lt;0,"OVERDUE",IF(H157&lt;=$I$2,"Due soon","OK"))))))</f>
        <v/>
      </c>
      <c r="J157" s="9"/>
    </row>
    <row r="158" customFormat="false" ht="15" hidden="false" customHeight="false" outlineLevel="0" collapsed="false">
      <c r="A158" s="9"/>
      <c r="B158" s="9"/>
      <c r="C158" s="9"/>
      <c r="D158" s="9"/>
      <c r="E158" s="14"/>
      <c r="F158" s="15" t="str">
        <f aca="false">IF(OR(A158="",B158=""),"",IF(MAX(N(E158),SUMPRODUCT(MAX(('Completion Log'!$B$5:$B$2004=A158)*('Completion Log'!$C$5:$C$2004=B158)*'Completion Log'!$A$5:$A$2004)))=0,"",MAX(N(E158),SUMPRODUCT(MAX(('Completion Log'!$B$5:$B$2004=A158)*('Completion Log'!$C$5:$C$2004=B158)*'Completion Log'!$A$5:$A$2004)))))</f>
        <v/>
      </c>
      <c r="G158" s="15" t="str">
        <f aca="true">IF(OR(A158="",B158="",OR(NOT(ISNUMBER(C158)),N(C158)&lt;=0)),"",IF(F158="",TODAY(),F158+C158))</f>
        <v/>
      </c>
      <c r="H158" s="16" t="str">
        <f aca="true">IF(G158="","",G158-TODAY())</f>
        <v/>
      </c>
      <c r="I158" s="17" t="str">
        <f aca="false">IF(AND(A158="",B158=""),"",IF(OR(A158="",B158=""),"Fill in asset and task",IF(OR(NOT(ISNUMBER(C158)),N(C158)&lt;=0),"Check frequency",IF(SUMPRODUCT(($A$5:$A$304=A158)*($B$5:$B$304=B158))&gt;1,"Duplicate row",IF(H158&lt;0,"OVERDUE",IF(H158&lt;=$I$2,"Due soon","OK"))))))</f>
        <v/>
      </c>
      <c r="J158" s="9"/>
    </row>
    <row r="159" customFormat="false" ht="15" hidden="false" customHeight="false" outlineLevel="0" collapsed="false">
      <c r="A159" s="9"/>
      <c r="B159" s="9"/>
      <c r="C159" s="9"/>
      <c r="D159" s="9"/>
      <c r="E159" s="14"/>
      <c r="F159" s="15" t="str">
        <f aca="false">IF(OR(A159="",B159=""),"",IF(MAX(N(E159),SUMPRODUCT(MAX(('Completion Log'!$B$5:$B$2004=A159)*('Completion Log'!$C$5:$C$2004=B159)*'Completion Log'!$A$5:$A$2004)))=0,"",MAX(N(E159),SUMPRODUCT(MAX(('Completion Log'!$B$5:$B$2004=A159)*('Completion Log'!$C$5:$C$2004=B159)*'Completion Log'!$A$5:$A$2004)))))</f>
        <v/>
      </c>
      <c r="G159" s="15" t="str">
        <f aca="true">IF(OR(A159="",B159="",OR(NOT(ISNUMBER(C159)),N(C159)&lt;=0)),"",IF(F159="",TODAY(),F159+C159))</f>
        <v/>
      </c>
      <c r="H159" s="16" t="str">
        <f aca="true">IF(G159="","",G159-TODAY())</f>
        <v/>
      </c>
      <c r="I159" s="17" t="str">
        <f aca="false">IF(AND(A159="",B159=""),"",IF(OR(A159="",B159=""),"Fill in asset and task",IF(OR(NOT(ISNUMBER(C159)),N(C159)&lt;=0),"Check frequency",IF(SUMPRODUCT(($A$5:$A$304=A159)*($B$5:$B$304=B159))&gt;1,"Duplicate row",IF(H159&lt;0,"OVERDUE",IF(H159&lt;=$I$2,"Due soon","OK"))))))</f>
        <v/>
      </c>
      <c r="J159" s="9"/>
    </row>
    <row r="160" customFormat="false" ht="15" hidden="false" customHeight="false" outlineLevel="0" collapsed="false">
      <c r="A160" s="9"/>
      <c r="B160" s="9"/>
      <c r="C160" s="9"/>
      <c r="D160" s="9"/>
      <c r="E160" s="14"/>
      <c r="F160" s="15" t="str">
        <f aca="false">IF(OR(A160="",B160=""),"",IF(MAX(N(E160),SUMPRODUCT(MAX(('Completion Log'!$B$5:$B$2004=A160)*('Completion Log'!$C$5:$C$2004=B160)*'Completion Log'!$A$5:$A$2004)))=0,"",MAX(N(E160),SUMPRODUCT(MAX(('Completion Log'!$B$5:$B$2004=A160)*('Completion Log'!$C$5:$C$2004=B160)*'Completion Log'!$A$5:$A$2004)))))</f>
        <v/>
      </c>
      <c r="G160" s="15" t="str">
        <f aca="true">IF(OR(A160="",B160="",OR(NOT(ISNUMBER(C160)),N(C160)&lt;=0)),"",IF(F160="",TODAY(),F160+C160))</f>
        <v/>
      </c>
      <c r="H160" s="16" t="str">
        <f aca="true">IF(G160="","",G160-TODAY())</f>
        <v/>
      </c>
      <c r="I160" s="17" t="str">
        <f aca="false">IF(AND(A160="",B160=""),"",IF(OR(A160="",B160=""),"Fill in asset and task",IF(OR(NOT(ISNUMBER(C160)),N(C160)&lt;=0),"Check frequency",IF(SUMPRODUCT(($A$5:$A$304=A160)*($B$5:$B$304=B160))&gt;1,"Duplicate row",IF(H160&lt;0,"OVERDUE",IF(H160&lt;=$I$2,"Due soon","OK"))))))</f>
        <v/>
      </c>
      <c r="J160" s="9"/>
    </row>
    <row r="161" customFormat="false" ht="15" hidden="false" customHeight="false" outlineLevel="0" collapsed="false">
      <c r="A161" s="9"/>
      <c r="B161" s="9"/>
      <c r="C161" s="9"/>
      <c r="D161" s="9"/>
      <c r="E161" s="14"/>
      <c r="F161" s="15" t="str">
        <f aca="false">IF(OR(A161="",B161=""),"",IF(MAX(N(E161),SUMPRODUCT(MAX(('Completion Log'!$B$5:$B$2004=A161)*('Completion Log'!$C$5:$C$2004=B161)*'Completion Log'!$A$5:$A$2004)))=0,"",MAX(N(E161),SUMPRODUCT(MAX(('Completion Log'!$B$5:$B$2004=A161)*('Completion Log'!$C$5:$C$2004=B161)*'Completion Log'!$A$5:$A$2004)))))</f>
        <v/>
      </c>
      <c r="G161" s="15" t="str">
        <f aca="true">IF(OR(A161="",B161="",OR(NOT(ISNUMBER(C161)),N(C161)&lt;=0)),"",IF(F161="",TODAY(),F161+C161))</f>
        <v/>
      </c>
      <c r="H161" s="16" t="str">
        <f aca="true">IF(G161="","",G161-TODAY())</f>
        <v/>
      </c>
      <c r="I161" s="17" t="str">
        <f aca="false">IF(AND(A161="",B161=""),"",IF(OR(A161="",B161=""),"Fill in asset and task",IF(OR(NOT(ISNUMBER(C161)),N(C161)&lt;=0),"Check frequency",IF(SUMPRODUCT(($A$5:$A$304=A161)*($B$5:$B$304=B161))&gt;1,"Duplicate row",IF(H161&lt;0,"OVERDUE",IF(H161&lt;=$I$2,"Due soon","OK"))))))</f>
        <v/>
      </c>
      <c r="J161" s="9"/>
    </row>
    <row r="162" customFormat="false" ht="15" hidden="false" customHeight="false" outlineLevel="0" collapsed="false">
      <c r="A162" s="9"/>
      <c r="B162" s="9"/>
      <c r="C162" s="9"/>
      <c r="D162" s="9"/>
      <c r="E162" s="14"/>
      <c r="F162" s="15" t="str">
        <f aca="false">IF(OR(A162="",B162=""),"",IF(MAX(N(E162),SUMPRODUCT(MAX(('Completion Log'!$B$5:$B$2004=A162)*('Completion Log'!$C$5:$C$2004=B162)*'Completion Log'!$A$5:$A$2004)))=0,"",MAX(N(E162),SUMPRODUCT(MAX(('Completion Log'!$B$5:$B$2004=A162)*('Completion Log'!$C$5:$C$2004=B162)*'Completion Log'!$A$5:$A$2004)))))</f>
        <v/>
      </c>
      <c r="G162" s="15" t="str">
        <f aca="true">IF(OR(A162="",B162="",OR(NOT(ISNUMBER(C162)),N(C162)&lt;=0)),"",IF(F162="",TODAY(),F162+C162))</f>
        <v/>
      </c>
      <c r="H162" s="16" t="str">
        <f aca="true">IF(G162="","",G162-TODAY())</f>
        <v/>
      </c>
      <c r="I162" s="17" t="str">
        <f aca="false">IF(AND(A162="",B162=""),"",IF(OR(A162="",B162=""),"Fill in asset and task",IF(OR(NOT(ISNUMBER(C162)),N(C162)&lt;=0),"Check frequency",IF(SUMPRODUCT(($A$5:$A$304=A162)*($B$5:$B$304=B162))&gt;1,"Duplicate row",IF(H162&lt;0,"OVERDUE",IF(H162&lt;=$I$2,"Due soon","OK"))))))</f>
        <v/>
      </c>
      <c r="J162" s="9"/>
    </row>
    <row r="163" customFormat="false" ht="15" hidden="false" customHeight="false" outlineLevel="0" collapsed="false">
      <c r="A163" s="9"/>
      <c r="B163" s="9"/>
      <c r="C163" s="9"/>
      <c r="D163" s="9"/>
      <c r="E163" s="14"/>
      <c r="F163" s="15" t="str">
        <f aca="false">IF(OR(A163="",B163=""),"",IF(MAX(N(E163),SUMPRODUCT(MAX(('Completion Log'!$B$5:$B$2004=A163)*('Completion Log'!$C$5:$C$2004=B163)*'Completion Log'!$A$5:$A$2004)))=0,"",MAX(N(E163),SUMPRODUCT(MAX(('Completion Log'!$B$5:$B$2004=A163)*('Completion Log'!$C$5:$C$2004=B163)*'Completion Log'!$A$5:$A$2004)))))</f>
        <v/>
      </c>
      <c r="G163" s="15" t="str">
        <f aca="true">IF(OR(A163="",B163="",OR(NOT(ISNUMBER(C163)),N(C163)&lt;=0)),"",IF(F163="",TODAY(),F163+C163))</f>
        <v/>
      </c>
      <c r="H163" s="16" t="str">
        <f aca="true">IF(G163="","",G163-TODAY())</f>
        <v/>
      </c>
      <c r="I163" s="17" t="str">
        <f aca="false">IF(AND(A163="",B163=""),"",IF(OR(A163="",B163=""),"Fill in asset and task",IF(OR(NOT(ISNUMBER(C163)),N(C163)&lt;=0),"Check frequency",IF(SUMPRODUCT(($A$5:$A$304=A163)*($B$5:$B$304=B163))&gt;1,"Duplicate row",IF(H163&lt;0,"OVERDUE",IF(H163&lt;=$I$2,"Due soon","OK"))))))</f>
        <v/>
      </c>
      <c r="J163" s="9"/>
    </row>
    <row r="164" customFormat="false" ht="15" hidden="false" customHeight="false" outlineLevel="0" collapsed="false">
      <c r="A164" s="9"/>
      <c r="B164" s="9"/>
      <c r="C164" s="9"/>
      <c r="D164" s="9"/>
      <c r="E164" s="14"/>
      <c r="F164" s="15" t="str">
        <f aca="false">IF(OR(A164="",B164=""),"",IF(MAX(N(E164),SUMPRODUCT(MAX(('Completion Log'!$B$5:$B$2004=A164)*('Completion Log'!$C$5:$C$2004=B164)*'Completion Log'!$A$5:$A$2004)))=0,"",MAX(N(E164),SUMPRODUCT(MAX(('Completion Log'!$B$5:$B$2004=A164)*('Completion Log'!$C$5:$C$2004=B164)*'Completion Log'!$A$5:$A$2004)))))</f>
        <v/>
      </c>
      <c r="G164" s="15" t="str">
        <f aca="true">IF(OR(A164="",B164="",OR(NOT(ISNUMBER(C164)),N(C164)&lt;=0)),"",IF(F164="",TODAY(),F164+C164))</f>
        <v/>
      </c>
      <c r="H164" s="16" t="str">
        <f aca="true">IF(G164="","",G164-TODAY())</f>
        <v/>
      </c>
      <c r="I164" s="17" t="str">
        <f aca="false">IF(AND(A164="",B164=""),"",IF(OR(A164="",B164=""),"Fill in asset and task",IF(OR(NOT(ISNUMBER(C164)),N(C164)&lt;=0),"Check frequency",IF(SUMPRODUCT(($A$5:$A$304=A164)*($B$5:$B$304=B164))&gt;1,"Duplicate row",IF(H164&lt;0,"OVERDUE",IF(H164&lt;=$I$2,"Due soon","OK"))))))</f>
        <v/>
      </c>
      <c r="J164" s="9"/>
    </row>
    <row r="165" customFormat="false" ht="15" hidden="false" customHeight="false" outlineLevel="0" collapsed="false">
      <c r="A165" s="9"/>
      <c r="B165" s="9"/>
      <c r="C165" s="9"/>
      <c r="D165" s="9"/>
      <c r="E165" s="14"/>
      <c r="F165" s="15" t="str">
        <f aca="false">IF(OR(A165="",B165=""),"",IF(MAX(N(E165),SUMPRODUCT(MAX(('Completion Log'!$B$5:$B$2004=A165)*('Completion Log'!$C$5:$C$2004=B165)*'Completion Log'!$A$5:$A$2004)))=0,"",MAX(N(E165),SUMPRODUCT(MAX(('Completion Log'!$B$5:$B$2004=A165)*('Completion Log'!$C$5:$C$2004=B165)*'Completion Log'!$A$5:$A$2004)))))</f>
        <v/>
      </c>
      <c r="G165" s="15" t="str">
        <f aca="true">IF(OR(A165="",B165="",OR(NOT(ISNUMBER(C165)),N(C165)&lt;=0)),"",IF(F165="",TODAY(),F165+C165))</f>
        <v/>
      </c>
      <c r="H165" s="16" t="str">
        <f aca="true">IF(G165="","",G165-TODAY())</f>
        <v/>
      </c>
      <c r="I165" s="17" t="str">
        <f aca="false">IF(AND(A165="",B165=""),"",IF(OR(A165="",B165=""),"Fill in asset and task",IF(OR(NOT(ISNUMBER(C165)),N(C165)&lt;=0),"Check frequency",IF(SUMPRODUCT(($A$5:$A$304=A165)*($B$5:$B$304=B165))&gt;1,"Duplicate row",IF(H165&lt;0,"OVERDUE",IF(H165&lt;=$I$2,"Due soon","OK"))))))</f>
        <v/>
      </c>
      <c r="J165" s="9"/>
    </row>
    <row r="166" customFormat="false" ht="15" hidden="false" customHeight="false" outlineLevel="0" collapsed="false">
      <c r="A166" s="9"/>
      <c r="B166" s="9"/>
      <c r="C166" s="9"/>
      <c r="D166" s="9"/>
      <c r="E166" s="14"/>
      <c r="F166" s="15" t="str">
        <f aca="false">IF(OR(A166="",B166=""),"",IF(MAX(N(E166),SUMPRODUCT(MAX(('Completion Log'!$B$5:$B$2004=A166)*('Completion Log'!$C$5:$C$2004=B166)*'Completion Log'!$A$5:$A$2004)))=0,"",MAX(N(E166),SUMPRODUCT(MAX(('Completion Log'!$B$5:$B$2004=A166)*('Completion Log'!$C$5:$C$2004=B166)*'Completion Log'!$A$5:$A$2004)))))</f>
        <v/>
      </c>
      <c r="G166" s="15" t="str">
        <f aca="true">IF(OR(A166="",B166="",OR(NOT(ISNUMBER(C166)),N(C166)&lt;=0)),"",IF(F166="",TODAY(),F166+C166))</f>
        <v/>
      </c>
      <c r="H166" s="16" t="str">
        <f aca="true">IF(G166="","",G166-TODAY())</f>
        <v/>
      </c>
      <c r="I166" s="17" t="str">
        <f aca="false">IF(AND(A166="",B166=""),"",IF(OR(A166="",B166=""),"Fill in asset and task",IF(OR(NOT(ISNUMBER(C166)),N(C166)&lt;=0),"Check frequency",IF(SUMPRODUCT(($A$5:$A$304=A166)*($B$5:$B$304=B166))&gt;1,"Duplicate row",IF(H166&lt;0,"OVERDUE",IF(H166&lt;=$I$2,"Due soon","OK"))))))</f>
        <v/>
      </c>
      <c r="J166" s="9"/>
    </row>
    <row r="167" customFormat="false" ht="15" hidden="false" customHeight="false" outlineLevel="0" collapsed="false">
      <c r="A167" s="9"/>
      <c r="B167" s="9"/>
      <c r="C167" s="9"/>
      <c r="D167" s="9"/>
      <c r="E167" s="14"/>
      <c r="F167" s="15" t="str">
        <f aca="false">IF(OR(A167="",B167=""),"",IF(MAX(N(E167),SUMPRODUCT(MAX(('Completion Log'!$B$5:$B$2004=A167)*('Completion Log'!$C$5:$C$2004=B167)*'Completion Log'!$A$5:$A$2004)))=0,"",MAX(N(E167),SUMPRODUCT(MAX(('Completion Log'!$B$5:$B$2004=A167)*('Completion Log'!$C$5:$C$2004=B167)*'Completion Log'!$A$5:$A$2004)))))</f>
        <v/>
      </c>
      <c r="G167" s="15" t="str">
        <f aca="true">IF(OR(A167="",B167="",OR(NOT(ISNUMBER(C167)),N(C167)&lt;=0)),"",IF(F167="",TODAY(),F167+C167))</f>
        <v/>
      </c>
      <c r="H167" s="16" t="str">
        <f aca="true">IF(G167="","",G167-TODAY())</f>
        <v/>
      </c>
      <c r="I167" s="17" t="str">
        <f aca="false">IF(AND(A167="",B167=""),"",IF(OR(A167="",B167=""),"Fill in asset and task",IF(OR(NOT(ISNUMBER(C167)),N(C167)&lt;=0),"Check frequency",IF(SUMPRODUCT(($A$5:$A$304=A167)*($B$5:$B$304=B167))&gt;1,"Duplicate row",IF(H167&lt;0,"OVERDUE",IF(H167&lt;=$I$2,"Due soon","OK"))))))</f>
        <v/>
      </c>
      <c r="J167" s="9"/>
    </row>
    <row r="168" customFormat="false" ht="15" hidden="false" customHeight="false" outlineLevel="0" collapsed="false">
      <c r="A168" s="9"/>
      <c r="B168" s="9"/>
      <c r="C168" s="9"/>
      <c r="D168" s="9"/>
      <c r="E168" s="14"/>
      <c r="F168" s="15" t="str">
        <f aca="false">IF(OR(A168="",B168=""),"",IF(MAX(N(E168),SUMPRODUCT(MAX(('Completion Log'!$B$5:$B$2004=A168)*('Completion Log'!$C$5:$C$2004=B168)*'Completion Log'!$A$5:$A$2004)))=0,"",MAX(N(E168),SUMPRODUCT(MAX(('Completion Log'!$B$5:$B$2004=A168)*('Completion Log'!$C$5:$C$2004=B168)*'Completion Log'!$A$5:$A$2004)))))</f>
        <v/>
      </c>
      <c r="G168" s="15" t="str">
        <f aca="true">IF(OR(A168="",B168="",OR(NOT(ISNUMBER(C168)),N(C168)&lt;=0)),"",IF(F168="",TODAY(),F168+C168))</f>
        <v/>
      </c>
      <c r="H168" s="16" t="str">
        <f aca="true">IF(G168="","",G168-TODAY())</f>
        <v/>
      </c>
      <c r="I168" s="17" t="str">
        <f aca="false">IF(AND(A168="",B168=""),"",IF(OR(A168="",B168=""),"Fill in asset and task",IF(OR(NOT(ISNUMBER(C168)),N(C168)&lt;=0),"Check frequency",IF(SUMPRODUCT(($A$5:$A$304=A168)*($B$5:$B$304=B168))&gt;1,"Duplicate row",IF(H168&lt;0,"OVERDUE",IF(H168&lt;=$I$2,"Due soon","OK"))))))</f>
        <v/>
      </c>
      <c r="J168" s="9"/>
    </row>
    <row r="169" customFormat="false" ht="15" hidden="false" customHeight="false" outlineLevel="0" collapsed="false">
      <c r="A169" s="9"/>
      <c r="B169" s="9"/>
      <c r="C169" s="9"/>
      <c r="D169" s="9"/>
      <c r="E169" s="14"/>
      <c r="F169" s="15" t="str">
        <f aca="false">IF(OR(A169="",B169=""),"",IF(MAX(N(E169),SUMPRODUCT(MAX(('Completion Log'!$B$5:$B$2004=A169)*('Completion Log'!$C$5:$C$2004=B169)*'Completion Log'!$A$5:$A$2004)))=0,"",MAX(N(E169),SUMPRODUCT(MAX(('Completion Log'!$B$5:$B$2004=A169)*('Completion Log'!$C$5:$C$2004=B169)*'Completion Log'!$A$5:$A$2004)))))</f>
        <v/>
      </c>
      <c r="G169" s="15" t="str">
        <f aca="true">IF(OR(A169="",B169="",OR(NOT(ISNUMBER(C169)),N(C169)&lt;=0)),"",IF(F169="",TODAY(),F169+C169))</f>
        <v/>
      </c>
      <c r="H169" s="16" t="str">
        <f aca="true">IF(G169="","",G169-TODAY())</f>
        <v/>
      </c>
      <c r="I169" s="17" t="str">
        <f aca="false">IF(AND(A169="",B169=""),"",IF(OR(A169="",B169=""),"Fill in asset and task",IF(OR(NOT(ISNUMBER(C169)),N(C169)&lt;=0),"Check frequency",IF(SUMPRODUCT(($A$5:$A$304=A169)*($B$5:$B$304=B169))&gt;1,"Duplicate row",IF(H169&lt;0,"OVERDUE",IF(H169&lt;=$I$2,"Due soon","OK"))))))</f>
        <v/>
      </c>
      <c r="J169" s="9"/>
    </row>
    <row r="170" customFormat="false" ht="15" hidden="false" customHeight="false" outlineLevel="0" collapsed="false">
      <c r="A170" s="9"/>
      <c r="B170" s="9"/>
      <c r="C170" s="9"/>
      <c r="D170" s="9"/>
      <c r="E170" s="14"/>
      <c r="F170" s="15" t="str">
        <f aca="false">IF(OR(A170="",B170=""),"",IF(MAX(N(E170),SUMPRODUCT(MAX(('Completion Log'!$B$5:$B$2004=A170)*('Completion Log'!$C$5:$C$2004=B170)*'Completion Log'!$A$5:$A$2004)))=0,"",MAX(N(E170),SUMPRODUCT(MAX(('Completion Log'!$B$5:$B$2004=A170)*('Completion Log'!$C$5:$C$2004=B170)*'Completion Log'!$A$5:$A$2004)))))</f>
        <v/>
      </c>
      <c r="G170" s="15" t="str">
        <f aca="true">IF(OR(A170="",B170="",OR(NOT(ISNUMBER(C170)),N(C170)&lt;=0)),"",IF(F170="",TODAY(),F170+C170))</f>
        <v/>
      </c>
      <c r="H170" s="16" t="str">
        <f aca="true">IF(G170="","",G170-TODAY())</f>
        <v/>
      </c>
      <c r="I170" s="17" t="str">
        <f aca="false">IF(AND(A170="",B170=""),"",IF(OR(A170="",B170=""),"Fill in asset and task",IF(OR(NOT(ISNUMBER(C170)),N(C170)&lt;=0),"Check frequency",IF(SUMPRODUCT(($A$5:$A$304=A170)*($B$5:$B$304=B170))&gt;1,"Duplicate row",IF(H170&lt;0,"OVERDUE",IF(H170&lt;=$I$2,"Due soon","OK"))))))</f>
        <v/>
      </c>
      <c r="J170" s="9"/>
    </row>
    <row r="171" customFormat="false" ht="15" hidden="false" customHeight="false" outlineLevel="0" collapsed="false">
      <c r="A171" s="9"/>
      <c r="B171" s="9"/>
      <c r="C171" s="9"/>
      <c r="D171" s="9"/>
      <c r="E171" s="14"/>
      <c r="F171" s="15" t="str">
        <f aca="false">IF(OR(A171="",B171=""),"",IF(MAX(N(E171),SUMPRODUCT(MAX(('Completion Log'!$B$5:$B$2004=A171)*('Completion Log'!$C$5:$C$2004=B171)*'Completion Log'!$A$5:$A$2004)))=0,"",MAX(N(E171),SUMPRODUCT(MAX(('Completion Log'!$B$5:$B$2004=A171)*('Completion Log'!$C$5:$C$2004=B171)*'Completion Log'!$A$5:$A$2004)))))</f>
        <v/>
      </c>
      <c r="G171" s="15" t="str">
        <f aca="true">IF(OR(A171="",B171="",OR(NOT(ISNUMBER(C171)),N(C171)&lt;=0)),"",IF(F171="",TODAY(),F171+C171))</f>
        <v/>
      </c>
      <c r="H171" s="16" t="str">
        <f aca="true">IF(G171="","",G171-TODAY())</f>
        <v/>
      </c>
      <c r="I171" s="17" t="str">
        <f aca="false">IF(AND(A171="",B171=""),"",IF(OR(A171="",B171=""),"Fill in asset and task",IF(OR(NOT(ISNUMBER(C171)),N(C171)&lt;=0),"Check frequency",IF(SUMPRODUCT(($A$5:$A$304=A171)*($B$5:$B$304=B171))&gt;1,"Duplicate row",IF(H171&lt;0,"OVERDUE",IF(H171&lt;=$I$2,"Due soon","OK"))))))</f>
        <v/>
      </c>
      <c r="J171" s="9"/>
    </row>
    <row r="172" customFormat="false" ht="15" hidden="false" customHeight="false" outlineLevel="0" collapsed="false">
      <c r="A172" s="9"/>
      <c r="B172" s="9"/>
      <c r="C172" s="9"/>
      <c r="D172" s="9"/>
      <c r="E172" s="14"/>
      <c r="F172" s="15" t="str">
        <f aca="false">IF(OR(A172="",B172=""),"",IF(MAX(N(E172),SUMPRODUCT(MAX(('Completion Log'!$B$5:$B$2004=A172)*('Completion Log'!$C$5:$C$2004=B172)*'Completion Log'!$A$5:$A$2004)))=0,"",MAX(N(E172),SUMPRODUCT(MAX(('Completion Log'!$B$5:$B$2004=A172)*('Completion Log'!$C$5:$C$2004=B172)*'Completion Log'!$A$5:$A$2004)))))</f>
        <v/>
      </c>
      <c r="G172" s="15" t="str">
        <f aca="true">IF(OR(A172="",B172="",OR(NOT(ISNUMBER(C172)),N(C172)&lt;=0)),"",IF(F172="",TODAY(),F172+C172))</f>
        <v/>
      </c>
      <c r="H172" s="16" t="str">
        <f aca="true">IF(G172="","",G172-TODAY())</f>
        <v/>
      </c>
      <c r="I172" s="17" t="str">
        <f aca="false">IF(AND(A172="",B172=""),"",IF(OR(A172="",B172=""),"Fill in asset and task",IF(OR(NOT(ISNUMBER(C172)),N(C172)&lt;=0),"Check frequency",IF(SUMPRODUCT(($A$5:$A$304=A172)*($B$5:$B$304=B172))&gt;1,"Duplicate row",IF(H172&lt;0,"OVERDUE",IF(H172&lt;=$I$2,"Due soon","OK"))))))</f>
        <v/>
      </c>
      <c r="J172" s="9"/>
    </row>
    <row r="173" customFormat="false" ht="15" hidden="false" customHeight="false" outlineLevel="0" collapsed="false">
      <c r="A173" s="9"/>
      <c r="B173" s="9"/>
      <c r="C173" s="9"/>
      <c r="D173" s="9"/>
      <c r="E173" s="14"/>
      <c r="F173" s="15" t="str">
        <f aca="false">IF(OR(A173="",B173=""),"",IF(MAX(N(E173),SUMPRODUCT(MAX(('Completion Log'!$B$5:$B$2004=A173)*('Completion Log'!$C$5:$C$2004=B173)*'Completion Log'!$A$5:$A$2004)))=0,"",MAX(N(E173),SUMPRODUCT(MAX(('Completion Log'!$B$5:$B$2004=A173)*('Completion Log'!$C$5:$C$2004=B173)*'Completion Log'!$A$5:$A$2004)))))</f>
        <v/>
      </c>
      <c r="G173" s="15" t="str">
        <f aca="true">IF(OR(A173="",B173="",OR(NOT(ISNUMBER(C173)),N(C173)&lt;=0)),"",IF(F173="",TODAY(),F173+C173))</f>
        <v/>
      </c>
      <c r="H173" s="16" t="str">
        <f aca="true">IF(G173="","",G173-TODAY())</f>
        <v/>
      </c>
      <c r="I173" s="17" t="str">
        <f aca="false">IF(AND(A173="",B173=""),"",IF(OR(A173="",B173=""),"Fill in asset and task",IF(OR(NOT(ISNUMBER(C173)),N(C173)&lt;=0),"Check frequency",IF(SUMPRODUCT(($A$5:$A$304=A173)*($B$5:$B$304=B173))&gt;1,"Duplicate row",IF(H173&lt;0,"OVERDUE",IF(H173&lt;=$I$2,"Due soon","OK"))))))</f>
        <v/>
      </c>
      <c r="J173" s="9"/>
    </row>
    <row r="174" customFormat="false" ht="15" hidden="false" customHeight="false" outlineLevel="0" collapsed="false">
      <c r="A174" s="9"/>
      <c r="B174" s="9"/>
      <c r="C174" s="9"/>
      <c r="D174" s="9"/>
      <c r="E174" s="14"/>
      <c r="F174" s="15" t="str">
        <f aca="false">IF(OR(A174="",B174=""),"",IF(MAX(N(E174),SUMPRODUCT(MAX(('Completion Log'!$B$5:$B$2004=A174)*('Completion Log'!$C$5:$C$2004=B174)*'Completion Log'!$A$5:$A$2004)))=0,"",MAX(N(E174),SUMPRODUCT(MAX(('Completion Log'!$B$5:$B$2004=A174)*('Completion Log'!$C$5:$C$2004=B174)*'Completion Log'!$A$5:$A$2004)))))</f>
        <v/>
      </c>
      <c r="G174" s="15" t="str">
        <f aca="true">IF(OR(A174="",B174="",OR(NOT(ISNUMBER(C174)),N(C174)&lt;=0)),"",IF(F174="",TODAY(),F174+C174))</f>
        <v/>
      </c>
      <c r="H174" s="16" t="str">
        <f aca="true">IF(G174="","",G174-TODAY())</f>
        <v/>
      </c>
      <c r="I174" s="17" t="str">
        <f aca="false">IF(AND(A174="",B174=""),"",IF(OR(A174="",B174=""),"Fill in asset and task",IF(OR(NOT(ISNUMBER(C174)),N(C174)&lt;=0),"Check frequency",IF(SUMPRODUCT(($A$5:$A$304=A174)*($B$5:$B$304=B174))&gt;1,"Duplicate row",IF(H174&lt;0,"OVERDUE",IF(H174&lt;=$I$2,"Due soon","OK"))))))</f>
        <v/>
      </c>
      <c r="J174" s="9"/>
    </row>
    <row r="175" customFormat="false" ht="15" hidden="false" customHeight="false" outlineLevel="0" collapsed="false">
      <c r="A175" s="9"/>
      <c r="B175" s="9"/>
      <c r="C175" s="9"/>
      <c r="D175" s="9"/>
      <c r="E175" s="14"/>
      <c r="F175" s="15" t="str">
        <f aca="false">IF(OR(A175="",B175=""),"",IF(MAX(N(E175),SUMPRODUCT(MAX(('Completion Log'!$B$5:$B$2004=A175)*('Completion Log'!$C$5:$C$2004=B175)*'Completion Log'!$A$5:$A$2004)))=0,"",MAX(N(E175),SUMPRODUCT(MAX(('Completion Log'!$B$5:$B$2004=A175)*('Completion Log'!$C$5:$C$2004=B175)*'Completion Log'!$A$5:$A$2004)))))</f>
        <v/>
      </c>
      <c r="G175" s="15" t="str">
        <f aca="true">IF(OR(A175="",B175="",OR(NOT(ISNUMBER(C175)),N(C175)&lt;=0)),"",IF(F175="",TODAY(),F175+C175))</f>
        <v/>
      </c>
      <c r="H175" s="16" t="str">
        <f aca="true">IF(G175="","",G175-TODAY())</f>
        <v/>
      </c>
      <c r="I175" s="17" t="str">
        <f aca="false">IF(AND(A175="",B175=""),"",IF(OR(A175="",B175=""),"Fill in asset and task",IF(OR(NOT(ISNUMBER(C175)),N(C175)&lt;=0),"Check frequency",IF(SUMPRODUCT(($A$5:$A$304=A175)*($B$5:$B$304=B175))&gt;1,"Duplicate row",IF(H175&lt;0,"OVERDUE",IF(H175&lt;=$I$2,"Due soon","OK"))))))</f>
        <v/>
      </c>
      <c r="J175" s="9"/>
    </row>
    <row r="176" customFormat="false" ht="15" hidden="false" customHeight="false" outlineLevel="0" collapsed="false">
      <c r="A176" s="9"/>
      <c r="B176" s="9"/>
      <c r="C176" s="9"/>
      <c r="D176" s="9"/>
      <c r="E176" s="14"/>
      <c r="F176" s="15" t="str">
        <f aca="false">IF(OR(A176="",B176=""),"",IF(MAX(N(E176),SUMPRODUCT(MAX(('Completion Log'!$B$5:$B$2004=A176)*('Completion Log'!$C$5:$C$2004=B176)*'Completion Log'!$A$5:$A$2004)))=0,"",MAX(N(E176),SUMPRODUCT(MAX(('Completion Log'!$B$5:$B$2004=A176)*('Completion Log'!$C$5:$C$2004=B176)*'Completion Log'!$A$5:$A$2004)))))</f>
        <v/>
      </c>
      <c r="G176" s="15" t="str">
        <f aca="true">IF(OR(A176="",B176="",OR(NOT(ISNUMBER(C176)),N(C176)&lt;=0)),"",IF(F176="",TODAY(),F176+C176))</f>
        <v/>
      </c>
      <c r="H176" s="16" t="str">
        <f aca="true">IF(G176="","",G176-TODAY())</f>
        <v/>
      </c>
      <c r="I176" s="17" t="str">
        <f aca="false">IF(AND(A176="",B176=""),"",IF(OR(A176="",B176=""),"Fill in asset and task",IF(OR(NOT(ISNUMBER(C176)),N(C176)&lt;=0),"Check frequency",IF(SUMPRODUCT(($A$5:$A$304=A176)*($B$5:$B$304=B176))&gt;1,"Duplicate row",IF(H176&lt;0,"OVERDUE",IF(H176&lt;=$I$2,"Due soon","OK"))))))</f>
        <v/>
      </c>
      <c r="J176" s="9"/>
    </row>
    <row r="177" customFormat="false" ht="15" hidden="false" customHeight="false" outlineLevel="0" collapsed="false">
      <c r="A177" s="9"/>
      <c r="B177" s="9"/>
      <c r="C177" s="9"/>
      <c r="D177" s="9"/>
      <c r="E177" s="14"/>
      <c r="F177" s="15" t="str">
        <f aca="false">IF(OR(A177="",B177=""),"",IF(MAX(N(E177),SUMPRODUCT(MAX(('Completion Log'!$B$5:$B$2004=A177)*('Completion Log'!$C$5:$C$2004=B177)*'Completion Log'!$A$5:$A$2004)))=0,"",MAX(N(E177),SUMPRODUCT(MAX(('Completion Log'!$B$5:$B$2004=A177)*('Completion Log'!$C$5:$C$2004=B177)*'Completion Log'!$A$5:$A$2004)))))</f>
        <v/>
      </c>
      <c r="G177" s="15" t="str">
        <f aca="true">IF(OR(A177="",B177="",OR(NOT(ISNUMBER(C177)),N(C177)&lt;=0)),"",IF(F177="",TODAY(),F177+C177))</f>
        <v/>
      </c>
      <c r="H177" s="16" t="str">
        <f aca="true">IF(G177="","",G177-TODAY())</f>
        <v/>
      </c>
      <c r="I177" s="17" t="str">
        <f aca="false">IF(AND(A177="",B177=""),"",IF(OR(A177="",B177=""),"Fill in asset and task",IF(OR(NOT(ISNUMBER(C177)),N(C177)&lt;=0),"Check frequency",IF(SUMPRODUCT(($A$5:$A$304=A177)*($B$5:$B$304=B177))&gt;1,"Duplicate row",IF(H177&lt;0,"OVERDUE",IF(H177&lt;=$I$2,"Due soon","OK"))))))</f>
        <v/>
      </c>
      <c r="J177" s="9"/>
    </row>
    <row r="178" customFormat="false" ht="15" hidden="false" customHeight="false" outlineLevel="0" collapsed="false">
      <c r="A178" s="9"/>
      <c r="B178" s="9"/>
      <c r="C178" s="9"/>
      <c r="D178" s="9"/>
      <c r="E178" s="14"/>
      <c r="F178" s="15" t="str">
        <f aca="false">IF(OR(A178="",B178=""),"",IF(MAX(N(E178),SUMPRODUCT(MAX(('Completion Log'!$B$5:$B$2004=A178)*('Completion Log'!$C$5:$C$2004=B178)*'Completion Log'!$A$5:$A$2004)))=0,"",MAX(N(E178),SUMPRODUCT(MAX(('Completion Log'!$B$5:$B$2004=A178)*('Completion Log'!$C$5:$C$2004=B178)*'Completion Log'!$A$5:$A$2004)))))</f>
        <v/>
      </c>
      <c r="G178" s="15" t="str">
        <f aca="true">IF(OR(A178="",B178="",OR(NOT(ISNUMBER(C178)),N(C178)&lt;=0)),"",IF(F178="",TODAY(),F178+C178))</f>
        <v/>
      </c>
      <c r="H178" s="16" t="str">
        <f aca="true">IF(G178="","",G178-TODAY())</f>
        <v/>
      </c>
      <c r="I178" s="17" t="str">
        <f aca="false">IF(AND(A178="",B178=""),"",IF(OR(A178="",B178=""),"Fill in asset and task",IF(OR(NOT(ISNUMBER(C178)),N(C178)&lt;=0),"Check frequency",IF(SUMPRODUCT(($A$5:$A$304=A178)*($B$5:$B$304=B178))&gt;1,"Duplicate row",IF(H178&lt;0,"OVERDUE",IF(H178&lt;=$I$2,"Due soon","OK"))))))</f>
        <v/>
      </c>
      <c r="J178" s="9"/>
    </row>
    <row r="179" customFormat="false" ht="15" hidden="false" customHeight="false" outlineLevel="0" collapsed="false">
      <c r="A179" s="9"/>
      <c r="B179" s="9"/>
      <c r="C179" s="9"/>
      <c r="D179" s="9"/>
      <c r="E179" s="14"/>
      <c r="F179" s="15" t="str">
        <f aca="false">IF(OR(A179="",B179=""),"",IF(MAX(N(E179),SUMPRODUCT(MAX(('Completion Log'!$B$5:$B$2004=A179)*('Completion Log'!$C$5:$C$2004=B179)*'Completion Log'!$A$5:$A$2004)))=0,"",MAX(N(E179),SUMPRODUCT(MAX(('Completion Log'!$B$5:$B$2004=A179)*('Completion Log'!$C$5:$C$2004=B179)*'Completion Log'!$A$5:$A$2004)))))</f>
        <v/>
      </c>
      <c r="G179" s="15" t="str">
        <f aca="true">IF(OR(A179="",B179="",OR(NOT(ISNUMBER(C179)),N(C179)&lt;=0)),"",IF(F179="",TODAY(),F179+C179))</f>
        <v/>
      </c>
      <c r="H179" s="16" t="str">
        <f aca="true">IF(G179="","",G179-TODAY())</f>
        <v/>
      </c>
      <c r="I179" s="17" t="str">
        <f aca="false">IF(AND(A179="",B179=""),"",IF(OR(A179="",B179=""),"Fill in asset and task",IF(OR(NOT(ISNUMBER(C179)),N(C179)&lt;=0),"Check frequency",IF(SUMPRODUCT(($A$5:$A$304=A179)*($B$5:$B$304=B179))&gt;1,"Duplicate row",IF(H179&lt;0,"OVERDUE",IF(H179&lt;=$I$2,"Due soon","OK"))))))</f>
        <v/>
      </c>
      <c r="J179" s="9"/>
    </row>
    <row r="180" customFormat="false" ht="15" hidden="false" customHeight="false" outlineLevel="0" collapsed="false">
      <c r="A180" s="9"/>
      <c r="B180" s="9"/>
      <c r="C180" s="9"/>
      <c r="D180" s="9"/>
      <c r="E180" s="14"/>
      <c r="F180" s="15" t="str">
        <f aca="false">IF(OR(A180="",B180=""),"",IF(MAX(N(E180),SUMPRODUCT(MAX(('Completion Log'!$B$5:$B$2004=A180)*('Completion Log'!$C$5:$C$2004=B180)*'Completion Log'!$A$5:$A$2004)))=0,"",MAX(N(E180),SUMPRODUCT(MAX(('Completion Log'!$B$5:$B$2004=A180)*('Completion Log'!$C$5:$C$2004=B180)*'Completion Log'!$A$5:$A$2004)))))</f>
        <v/>
      </c>
      <c r="G180" s="15" t="str">
        <f aca="true">IF(OR(A180="",B180="",OR(NOT(ISNUMBER(C180)),N(C180)&lt;=0)),"",IF(F180="",TODAY(),F180+C180))</f>
        <v/>
      </c>
      <c r="H180" s="16" t="str">
        <f aca="true">IF(G180="","",G180-TODAY())</f>
        <v/>
      </c>
      <c r="I180" s="17" t="str">
        <f aca="false">IF(AND(A180="",B180=""),"",IF(OR(A180="",B180=""),"Fill in asset and task",IF(OR(NOT(ISNUMBER(C180)),N(C180)&lt;=0),"Check frequency",IF(SUMPRODUCT(($A$5:$A$304=A180)*($B$5:$B$304=B180))&gt;1,"Duplicate row",IF(H180&lt;0,"OVERDUE",IF(H180&lt;=$I$2,"Due soon","OK"))))))</f>
        <v/>
      </c>
      <c r="J180" s="9"/>
    </row>
    <row r="181" customFormat="false" ht="15" hidden="false" customHeight="false" outlineLevel="0" collapsed="false">
      <c r="A181" s="9"/>
      <c r="B181" s="9"/>
      <c r="C181" s="9"/>
      <c r="D181" s="9"/>
      <c r="E181" s="14"/>
      <c r="F181" s="15" t="str">
        <f aca="false">IF(OR(A181="",B181=""),"",IF(MAX(N(E181),SUMPRODUCT(MAX(('Completion Log'!$B$5:$B$2004=A181)*('Completion Log'!$C$5:$C$2004=B181)*'Completion Log'!$A$5:$A$2004)))=0,"",MAX(N(E181),SUMPRODUCT(MAX(('Completion Log'!$B$5:$B$2004=A181)*('Completion Log'!$C$5:$C$2004=B181)*'Completion Log'!$A$5:$A$2004)))))</f>
        <v/>
      </c>
      <c r="G181" s="15" t="str">
        <f aca="true">IF(OR(A181="",B181="",OR(NOT(ISNUMBER(C181)),N(C181)&lt;=0)),"",IF(F181="",TODAY(),F181+C181))</f>
        <v/>
      </c>
      <c r="H181" s="16" t="str">
        <f aca="true">IF(G181="","",G181-TODAY())</f>
        <v/>
      </c>
      <c r="I181" s="17" t="str">
        <f aca="false">IF(AND(A181="",B181=""),"",IF(OR(A181="",B181=""),"Fill in asset and task",IF(OR(NOT(ISNUMBER(C181)),N(C181)&lt;=0),"Check frequency",IF(SUMPRODUCT(($A$5:$A$304=A181)*($B$5:$B$304=B181))&gt;1,"Duplicate row",IF(H181&lt;0,"OVERDUE",IF(H181&lt;=$I$2,"Due soon","OK"))))))</f>
        <v/>
      </c>
      <c r="J181" s="9"/>
    </row>
    <row r="182" customFormat="false" ht="15" hidden="false" customHeight="false" outlineLevel="0" collapsed="false">
      <c r="A182" s="9"/>
      <c r="B182" s="9"/>
      <c r="C182" s="9"/>
      <c r="D182" s="9"/>
      <c r="E182" s="14"/>
      <c r="F182" s="15" t="str">
        <f aca="false">IF(OR(A182="",B182=""),"",IF(MAX(N(E182),SUMPRODUCT(MAX(('Completion Log'!$B$5:$B$2004=A182)*('Completion Log'!$C$5:$C$2004=B182)*'Completion Log'!$A$5:$A$2004)))=0,"",MAX(N(E182),SUMPRODUCT(MAX(('Completion Log'!$B$5:$B$2004=A182)*('Completion Log'!$C$5:$C$2004=B182)*'Completion Log'!$A$5:$A$2004)))))</f>
        <v/>
      </c>
      <c r="G182" s="15" t="str">
        <f aca="true">IF(OR(A182="",B182="",OR(NOT(ISNUMBER(C182)),N(C182)&lt;=0)),"",IF(F182="",TODAY(),F182+C182))</f>
        <v/>
      </c>
      <c r="H182" s="16" t="str">
        <f aca="true">IF(G182="","",G182-TODAY())</f>
        <v/>
      </c>
      <c r="I182" s="17" t="str">
        <f aca="false">IF(AND(A182="",B182=""),"",IF(OR(A182="",B182=""),"Fill in asset and task",IF(OR(NOT(ISNUMBER(C182)),N(C182)&lt;=0),"Check frequency",IF(SUMPRODUCT(($A$5:$A$304=A182)*($B$5:$B$304=B182))&gt;1,"Duplicate row",IF(H182&lt;0,"OVERDUE",IF(H182&lt;=$I$2,"Due soon","OK"))))))</f>
        <v/>
      </c>
      <c r="J182" s="9"/>
    </row>
    <row r="183" customFormat="false" ht="15" hidden="false" customHeight="false" outlineLevel="0" collapsed="false">
      <c r="A183" s="9"/>
      <c r="B183" s="9"/>
      <c r="C183" s="9"/>
      <c r="D183" s="9"/>
      <c r="E183" s="14"/>
      <c r="F183" s="15" t="str">
        <f aca="false">IF(OR(A183="",B183=""),"",IF(MAX(N(E183),SUMPRODUCT(MAX(('Completion Log'!$B$5:$B$2004=A183)*('Completion Log'!$C$5:$C$2004=B183)*'Completion Log'!$A$5:$A$2004)))=0,"",MAX(N(E183),SUMPRODUCT(MAX(('Completion Log'!$B$5:$B$2004=A183)*('Completion Log'!$C$5:$C$2004=B183)*'Completion Log'!$A$5:$A$2004)))))</f>
        <v/>
      </c>
      <c r="G183" s="15" t="str">
        <f aca="true">IF(OR(A183="",B183="",OR(NOT(ISNUMBER(C183)),N(C183)&lt;=0)),"",IF(F183="",TODAY(),F183+C183))</f>
        <v/>
      </c>
      <c r="H183" s="16" t="str">
        <f aca="true">IF(G183="","",G183-TODAY())</f>
        <v/>
      </c>
      <c r="I183" s="17" t="str">
        <f aca="false">IF(AND(A183="",B183=""),"",IF(OR(A183="",B183=""),"Fill in asset and task",IF(OR(NOT(ISNUMBER(C183)),N(C183)&lt;=0),"Check frequency",IF(SUMPRODUCT(($A$5:$A$304=A183)*($B$5:$B$304=B183))&gt;1,"Duplicate row",IF(H183&lt;0,"OVERDUE",IF(H183&lt;=$I$2,"Due soon","OK"))))))</f>
        <v/>
      </c>
      <c r="J183" s="9"/>
    </row>
    <row r="184" customFormat="false" ht="15" hidden="false" customHeight="false" outlineLevel="0" collapsed="false">
      <c r="A184" s="9"/>
      <c r="B184" s="9"/>
      <c r="C184" s="9"/>
      <c r="D184" s="9"/>
      <c r="E184" s="14"/>
      <c r="F184" s="15" t="str">
        <f aca="false">IF(OR(A184="",B184=""),"",IF(MAX(N(E184),SUMPRODUCT(MAX(('Completion Log'!$B$5:$B$2004=A184)*('Completion Log'!$C$5:$C$2004=B184)*'Completion Log'!$A$5:$A$2004)))=0,"",MAX(N(E184),SUMPRODUCT(MAX(('Completion Log'!$B$5:$B$2004=A184)*('Completion Log'!$C$5:$C$2004=B184)*'Completion Log'!$A$5:$A$2004)))))</f>
        <v/>
      </c>
      <c r="G184" s="15" t="str">
        <f aca="true">IF(OR(A184="",B184="",OR(NOT(ISNUMBER(C184)),N(C184)&lt;=0)),"",IF(F184="",TODAY(),F184+C184))</f>
        <v/>
      </c>
      <c r="H184" s="16" t="str">
        <f aca="true">IF(G184="","",G184-TODAY())</f>
        <v/>
      </c>
      <c r="I184" s="17" t="str">
        <f aca="false">IF(AND(A184="",B184=""),"",IF(OR(A184="",B184=""),"Fill in asset and task",IF(OR(NOT(ISNUMBER(C184)),N(C184)&lt;=0),"Check frequency",IF(SUMPRODUCT(($A$5:$A$304=A184)*($B$5:$B$304=B184))&gt;1,"Duplicate row",IF(H184&lt;0,"OVERDUE",IF(H184&lt;=$I$2,"Due soon","OK"))))))</f>
        <v/>
      </c>
      <c r="J184" s="9"/>
    </row>
    <row r="185" customFormat="false" ht="15" hidden="false" customHeight="false" outlineLevel="0" collapsed="false">
      <c r="A185" s="9"/>
      <c r="B185" s="9"/>
      <c r="C185" s="9"/>
      <c r="D185" s="9"/>
      <c r="E185" s="14"/>
      <c r="F185" s="15" t="str">
        <f aca="false">IF(OR(A185="",B185=""),"",IF(MAX(N(E185),SUMPRODUCT(MAX(('Completion Log'!$B$5:$B$2004=A185)*('Completion Log'!$C$5:$C$2004=B185)*'Completion Log'!$A$5:$A$2004)))=0,"",MAX(N(E185),SUMPRODUCT(MAX(('Completion Log'!$B$5:$B$2004=A185)*('Completion Log'!$C$5:$C$2004=B185)*'Completion Log'!$A$5:$A$2004)))))</f>
        <v/>
      </c>
      <c r="G185" s="15" t="str">
        <f aca="true">IF(OR(A185="",B185="",OR(NOT(ISNUMBER(C185)),N(C185)&lt;=0)),"",IF(F185="",TODAY(),F185+C185))</f>
        <v/>
      </c>
      <c r="H185" s="16" t="str">
        <f aca="true">IF(G185="","",G185-TODAY())</f>
        <v/>
      </c>
      <c r="I185" s="17" t="str">
        <f aca="false">IF(AND(A185="",B185=""),"",IF(OR(A185="",B185=""),"Fill in asset and task",IF(OR(NOT(ISNUMBER(C185)),N(C185)&lt;=0),"Check frequency",IF(SUMPRODUCT(($A$5:$A$304=A185)*($B$5:$B$304=B185))&gt;1,"Duplicate row",IF(H185&lt;0,"OVERDUE",IF(H185&lt;=$I$2,"Due soon","OK"))))))</f>
        <v/>
      </c>
      <c r="J185" s="9"/>
    </row>
    <row r="186" customFormat="false" ht="15" hidden="false" customHeight="false" outlineLevel="0" collapsed="false">
      <c r="A186" s="9"/>
      <c r="B186" s="9"/>
      <c r="C186" s="9"/>
      <c r="D186" s="9"/>
      <c r="E186" s="14"/>
      <c r="F186" s="15" t="str">
        <f aca="false">IF(OR(A186="",B186=""),"",IF(MAX(N(E186),SUMPRODUCT(MAX(('Completion Log'!$B$5:$B$2004=A186)*('Completion Log'!$C$5:$C$2004=B186)*'Completion Log'!$A$5:$A$2004)))=0,"",MAX(N(E186),SUMPRODUCT(MAX(('Completion Log'!$B$5:$B$2004=A186)*('Completion Log'!$C$5:$C$2004=B186)*'Completion Log'!$A$5:$A$2004)))))</f>
        <v/>
      </c>
      <c r="G186" s="15" t="str">
        <f aca="true">IF(OR(A186="",B186="",OR(NOT(ISNUMBER(C186)),N(C186)&lt;=0)),"",IF(F186="",TODAY(),F186+C186))</f>
        <v/>
      </c>
      <c r="H186" s="16" t="str">
        <f aca="true">IF(G186="","",G186-TODAY())</f>
        <v/>
      </c>
      <c r="I186" s="17" t="str">
        <f aca="false">IF(AND(A186="",B186=""),"",IF(OR(A186="",B186=""),"Fill in asset and task",IF(OR(NOT(ISNUMBER(C186)),N(C186)&lt;=0),"Check frequency",IF(SUMPRODUCT(($A$5:$A$304=A186)*($B$5:$B$304=B186))&gt;1,"Duplicate row",IF(H186&lt;0,"OVERDUE",IF(H186&lt;=$I$2,"Due soon","OK"))))))</f>
        <v/>
      </c>
      <c r="J186" s="9"/>
    </row>
    <row r="187" customFormat="false" ht="15" hidden="false" customHeight="false" outlineLevel="0" collapsed="false">
      <c r="A187" s="9"/>
      <c r="B187" s="9"/>
      <c r="C187" s="9"/>
      <c r="D187" s="9"/>
      <c r="E187" s="14"/>
      <c r="F187" s="15" t="str">
        <f aca="false">IF(OR(A187="",B187=""),"",IF(MAX(N(E187),SUMPRODUCT(MAX(('Completion Log'!$B$5:$B$2004=A187)*('Completion Log'!$C$5:$C$2004=B187)*'Completion Log'!$A$5:$A$2004)))=0,"",MAX(N(E187),SUMPRODUCT(MAX(('Completion Log'!$B$5:$B$2004=A187)*('Completion Log'!$C$5:$C$2004=B187)*'Completion Log'!$A$5:$A$2004)))))</f>
        <v/>
      </c>
      <c r="G187" s="15" t="str">
        <f aca="true">IF(OR(A187="",B187="",OR(NOT(ISNUMBER(C187)),N(C187)&lt;=0)),"",IF(F187="",TODAY(),F187+C187))</f>
        <v/>
      </c>
      <c r="H187" s="16" t="str">
        <f aca="true">IF(G187="","",G187-TODAY())</f>
        <v/>
      </c>
      <c r="I187" s="17" t="str">
        <f aca="false">IF(AND(A187="",B187=""),"",IF(OR(A187="",B187=""),"Fill in asset and task",IF(OR(NOT(ISNUMBER(C187)),N(C187)&lt;=0),"Check frequency",IF(SUMPRODUCT(($A$5:$A$304=A187)*($B$5:$B$304=B187))&gt;1,"Duplicate row",IF(H187&lt;0,"OVERDUE",IF(H187&lt;=$I$2,"Due soon","OK"))))))</f>
        <v/>
      </c>
      <c r="J187" s="9"/>
    </row>
    <row r="188" customFormat="false" ht="15" hidden="false" customHeight="false" outlineLevel="0" collapsed="false">
      <c r="A188" s="9"/>
      <c r="B188" s="9"/>
      <c r="C188" s="9"/>
      <c r="D188" s="9"/>
      <c r="E188" s="14"/>
      <c r="F188" s="15" t="str">
        <f aca="false">IF(OR(A188="",B188=""),"",IF(MAX(N(E188),SUMPRODUCT(MAX(('Completion Log'!$B$5:$B$2004=A188)*('Completion Log'!$C$5:$C$2004=B188)*'Completion Log'!$A$5:$A$2004)))=0,"",MAX(N(E188),SUMPRODUCT(MAX(('Completion Log'!$B$5:$B$2004=A188)*('Completion Log'!$C$5:$C$2004=B188)*'Completion Log'!$A$5:$A$2004)))))</f>
        <v/>
      </c>
      <c r="G188" s="15" t="str">
        <f aca="true">IF(OR(A188="",B188="",OR(NOT(ISNUMBER(C188)),N(C188)&lt;=0)),"",IF(F188="",TODAY(),F188+C188))</f>
        <v/>
      </c>
      <c r="H188" s="16" t="str">
        <f aca="true">IF(G188="","",G188-TODAY())</f>
        <v/>
      </c>
      <c r="I188" s="17" t="str">
        <f aca="false">IF(AND(A188="",B188=""),"",IF(OR(A188="",B188=""),"Fill in asset and task",IF(OR(NOT(ISNUMBER(C188)),N(C188)&lt;=0),"Check frequency",IF(SUMPRODUCT(($A$5:$A$304=A188)*($B$5:$B$304=B188))&gt;1,"Duplicate row",IF(H188&lt;0,"OVERDUE",IF(H188&lt;=$I$2,"Due soon","OK"))))))</f>
        <v/>
      </c>
      <c r="J188" s="9"/>
    </row>
    <row r="189" customFormat="false" ht="15" hidden="false" customHeight="false" outlineLevel="0" collapsed="false">
      <c r="A189" s="9"/>
      <c r="B189" s="9"/>
      <c r="C189" s="9"/>
      <c r="D189" s="9"/>
      <c r="E189" s="14"/>
      <c r="F189" s="15" t="str">
        <f aca="false">IF(OR(A189="",B189=""),"",IF(MAX(N(E189),SUMPRODUCT(MAX(('Completion Log'!$B$5:$B$2004=A189)*('Completion Log'!$C$5:$C$2004=B189)*'Completion Log'!$A$5:$A$2004)))=0,"",MAX(N(E189),SUMPRODUCT(MAX(('Completion Log'!$B$5:$B$2004=A189)*('Completion Log'!$C$5:$C$2004=B189)*'Completion Log'!$A$5:$A$2004)))))</f>
        <v/>
      </c>
      <c r="G189" s="15" t="str">
        <f aca="true">IF(OR(A189="",B189="",OR(NOT(ISNUMBER(C189)),N(C189)&lt;=0)),"",IF(F189="",TODAY(),F189+C189))</f>
        <v/>
      </c>
      <c r="H189" s="16" t="str">
        <f aca="true">IF(G189="","",G189-TODAY())</f>
        <v/>
      </c>
      <c r="I189" s="17" t="str">
        <f aca="false">IF(AND(A189="",B189=""),"",IF(OR(A189="",B189=""),"Fill in asset and task",IF(OR(NOT(ISNUMBER(C189)),N(C189)&lt;=0),"Check frequency",IF(SUMPRODUCT(($A$5:$A$304=A189)*($B$5:$B$304=B189))&gt;1,"Duplicate row",IF(H189&lt;0,"OVERDUE",IF(H189&lt;=$I$2,"Due soon","OK"))))))</f>
        <v/>
      </c>
      <c r="J189" s="9"/>
    </row>
    <row r="190" customFormat="false" ht="15" hidden="false" customHeight="false" outlineLevel="0" collapsed="false">
      <c r="A190" s="9"/>
      <c r="B190" s="9"/>
      <c r="C190" s="9"/>
      <c r="D190" s="9"/>
      <c r="E190" s="14"/>
      <c r="F190" s="15" t="str">
        <f aca="false">IF(OR(A190="",B190=""),"",IF(MAX(N(E190),SUMPRODUCT(MAX(('Completion Log'!$B$5:$B$2004=A190)*('Completion Log'!$C$5:$C$2004=B190)*'Completion Log'!$A$5:$A$2004)))=0,"",MAX(N(E190),SUMPRODUCT(MAX(('Completion Log'!$B$5:$B$2004=A190)*('Completion Log'!$C$5:$C$2004=B190)*'Completion Log'!$A$5:$A$2004)))))</f>
        <v/>
      </c>
      <c r="G190" s="15" t="str">
        <f aca="true">IF(OR(A190="",B190="",OR(NOT(ISNUMBER(C190)),N(C190)&lt;=0)),"",IF(F190="",TODAY(),F190+C190))</f>
        <v/>
      </c>
      <c r="H190" s="16" t="str">
        <f aca="true">IF(G190="","",G190-TODAY())</f>
        <v/>
      </c>
      <c r="I190" s="17" t="str">
        <f aca="false">IF(AND(A190="",B190=""),"",IF(OR(A190="",B190=""),"Fill in asset and task",IF(OR(NOT(ISNUMBER(C190)),N(C190)&lt;=0),"Check frequency",IF(SUMPRODUCT(($A$5:$A$304=A190)*($B$5:$B$304=B190))&gt;1,"Duplicate row",IF(H190&lt;0,"OVERDUE",IF(H190&lt;=$I$2,"Due soon","OK"))))))</f>
        <v/>
      </c>
      <c r="J190" s="9"/>
    </row>
    <row r="191" customFormat="false" ht="15" hidden="false" customHeight="false" outlineLevel="0" collapsed="false">
      <c r="A191" s="9"/>
      <c r="B191" s="9"/>
      <c r="C191" s="9"/>
      <c r="D191" s="9"/>
      <c r="E191" s="14"/>
      <c r="F191" s="15" t="str">
        <f aca="false">IF(OR(A191="",B191=""),"",IF(MAX(N(E191),SUMPRODUCT(MAX(('Completion Log'!$B$5:$B$2004=A191)*('Completion Log'!$C$5:$C$2004=B191)*'Completion Log'!$A$5:$A$2004)))=0,"",MAX(N(E191),SUMPRODUCT(MAX(('Completion Log'!$B$5:$B$2004=A191)*('Completion Log'!$C$5:$C$2004=B191)*'Completion Log'!$A$5:$A$2004)))))</f>
        <v/>
      </c>
      <c r="G191" s="15" t="str">
        <f aca="true">IF(OR(A191="",B191="",OR(NOT(ISNUMBER(C191)),N(C191)&lt;=0)),"",IF(F191="",TODAY(),F191+C191))</f>
        <v/>
      </c>
      <c r="H191" s="16" t="str">
        <f aca="true">IF(G191="","",G191-TODAY())</f>
        <v/>
      </c>
      <c r="I191" s="17" t="str">
        <f aca="false">IF(AND(A191="",B191=""),"",IF(OR(A191="",B191=""),"Fill in asset and task",IF(OR(NOT(ISNUMBER(C191)),N(C191)&lt;=0),"Check frequency",IF(SUMPRODUCT(($A$5:$A$304=A191)*($B$5:$B$304=B191))&gt;1,"Duplicate row",IF(H191&lt;0,"OVERDUE",IF(H191&lt;=$I$2,"Due soon","OK"))))))</f>
        <v/>
      </c>
      <c r="J191" s="9"/>
    </row>
    <row r="192" customFormat="false" ht="15" hidden="false" customHeight="false" outlineLevel="0" collapsed="false">
      <c r="A192" s="9"/>
      <c r="B192" s="9"/>
      <c r="C192" s="9"/>
      <c r="D192" s="9"/>
      <c r="E192" s="14"/>
      <c r="F192" s="15" t="str">
        <f aca="false">IF(OR(A192="",B192=""),"",IF(MAX(N(E192),SUMPRODUCT(MAX(('Completion Log'!$B$5:$B$2004=A192)*('Completion Log'!$C$5:$C$2004=B192)*'Completion Log'!$A$5:$A$2004)))=0,"",MAX(N(E192),SUMPRODUCT(MAX(('Completion Log'!$B$5:$B$2004=A192)*('Completion Log'!$C$5:$C$2004=B192)*'Completion Log'!$A$5:$A$2004)))))</f>
        <v/>
      </c>
      <c r="G192" s="15" t="str">
        <f aca="true">IF(OR(A192="",B192="",OR(NOT(ISNUMBER(C192)),N(C192)&lt;=0)),"",IF(F192="",TODAY(),F192+C192))</f>
        <v/>
      </c>
      <c r="H192" s="16" t="str">
        <f aca="true">IF(G192="","",G192-TODAY())</f>
        <v/>
      </c>
      <c r="I192" s="17" t="str">
        <f aca="false">IF(AND(A192="",B192=""),"",IF(OR(A192="",B192=""),"Fill in asset and task",IF(OR(NOT(ISNUMBER(C192)),N(C192)&lt;=0),"Check frequency",IF(SUMPRODUCT(($A$5:$A$304=A192)*($B$5:$B$304=B192))&gt;1,"Duplicate row",IF(H192&lt;0,"OVERDUE",IF(H192&lt;=$I$2,"Due soon","OK"))))))</f>
        <v/>
      </c>
      <c r="J192" s="9"/>
    </row>
    <row r="193" customFormat="false" ht="15" hidden="false" customHeight="false" outlineLevel="0" collapsed="false">
      <c r="A193" s="9"/>
      <c r="B193" s="9"/>
      <c r="C193" s="9"/>
      <c r="D193" s="9"/>
      <c r="E193" s="14"/>
      <c r="F193" s="15" t="str">
        <f aca="false">IF(OR(A193="",B193=""),"",IF(MAX(N(E193),SUMPRODUCT(MAX(('Completion Log'!$B$5:$B$2004=A193)*('Completion Log'!$C$5:$C$2004=B193)*'Completion Log'!$A$5:$A$2004)))=0,"",MAX(N(E193),SUMPRODUCT(MAX(('Completion Log'!$B$5:$B$2004=A193)*('Completion Log'!$C$5:$C$2004=B193)*'Completion Log'!$A$5:$A$2004)))))</f>
        <v/>
      </c>
      <c r="G193" s="15" t="str">
        <f aca="true">IF(OR(A193="",B193="",OR(NOT(ISNUMBER(C193)),N(C193)&lt;=0)),"",IF(F193="",TODAY(),F193+C193))</f>
        <v/>
      </c>
      <c r="H193" s="16" t="str">
        <f aca="true">IF(G193="","",G193-TODAY())</f>
        <v/>
      </c>
      <c r="I193" s="17" t="str">
        <f aca="false">IF(AND(A193="",B193=""),"",IF(OR(A193="",B193=""),"Fill in asset and task",IF(OR(NOT(ISNUMBER(C193)),N(C193)&lt;=0),"Check frequency",IF(SUMPRODUCT(($A$5:$A$304=A193)*($B$5:$B$304=B193))&gt;1,"Duplicate row",IF(H193&lt;0,"OVERDUE",IF(H193&lt;=$I$2,"Due soon","OK"))))))</f>
        <v/>
      </c>
      <c r="J193" s="9"/>
    </row>
    <row r="194" customFormat="false" ht="15" hidden="false" customHeight="false" outlineLevel="0" collapsed="false">
      <c r="A194" s="9"/>
      <c r="B194" s="9"/>
      <c r="C194" s="9"/>
      <c r="D194" s="9"/>
      <c r="E194" s="14"/>
      <c r="F194" s="15" t="str">
        <f aca="false">IF(OR(A194="",B194=""),"",IF(MAX(N(E194),SUMPRODUCT(MAX(('Completion Log'!$B$5:$B$2004=A194)*('Completion Log'!$C$5:$C$2004=B194)*'Completion Log'!$A$5:$A$2004)))=0,"",MAX(N(E194),SUMPRODUCT(MAX(('Completion Log'!$B$5:$B$2004=A194)*('Completion Log'!$C$5:$C$2004=B194)*'Completion Log'!$A$5:$A$2004)))))</f>
        <v/>
      </c>
      <c r="G194" s="15" t="str">
        <f aca="true">IF(OR(A194="",B194="",OR(NOT(ISNUMBER(C194)),N(C194)&lt;=0)),"",IF(F194="",TODAY(),F194+C194))</f>
        <v/>
      </c>
      <c r="H194" s="16" t="str">
        <f aca="true">IF(G194="","",G194-TODAY())</f>
        <v/>
      </c>
      <c r="I194" s="17" t="str">
        <f aca="false">IF(AND(A194="",B194=""),"",IF(OR(A194="",B194=""),"Fill in asset and task",IF(OR(NOT(ISNUMBER(C194)),N(C194)&lt;=0),"Check frequency",IF(SUMPRODUCT(($A$5:$A$304=A194)*($B$5:$B$304=B194))&gt;1,"Duplicate row",IF(H194&lt;0,"OVERDUE",IF(H194&lt;=$I$2,"Due soon","OK"))))))</f>
        <v/>
      </c>
      <c r="J194" s="9"/>
    </row>
    <row r="195" customFormat="false" ht="15" hidden="false" customHeight="false" outlineLevel="0" collapsed="false">
      <c r="A195" s="9"/>
      <c r="B195" s="9"/>
      <c r="C195" s="9"/>
      <c r="D195" s="9"/>
      <c r="E195" s="14"/>
      <c r="F195" s="15" t="str">
        <f aca="false">IF(OR(A195="",B195=""),"",IF(MAX(N(E195),SUMPRODUCT(MAX(('Completion Log'!$B$5:$B$2004=A195)*('Completion Log'!$C$5:$C$2004=B195)*'Completion Log'!$A$5:$A$2004)))=0,"",MAX(N(E195),SUMPRODUCT(MAX(('Completion Log'!$B$5:$B$2004=A195)*('Completion Log'!$C$5:$C$2004=B195)*'Completion Log'!$A$5:$A$2004)))))</f>
        <v/>
      </c>
      <c r="G195" s="15" t="str">
        <f aca="true">IF(OR(A195="",B195="",OR(NOT(ISNUMBER(C195)),N(C195)&lt;=0)),"",IF(F195="",TODAY(),F195+C195))</f>
        <v/>
      </c>
      <c r="H195" s="16" t="str">
        <f aca="true">IF(G195="","",G195-TODAY())</f>
        <v/>
      </c>
      <c r="I195" s="17" t="str">
        <f aca="false">IF(AND(A195="",B195=""),"",IF(OR(A195="",B195=""),"Fill in asset and task",IF(OR(NOT(ISNUMBER(C195)),N(C195)&lt;=0),"Check frequency",IF(SUMPRODUCT(($A$5:$A$304=A195)*($B$5:$B$304=B195))&gt;1,"Duplicate row",IF(H195&lt;0,"OVERDUE",IF(H195&lt;=$I$2,"Due soon","OK"))))))</f>
        <v/>
      </c>
      <c r="J195" s="9"/>
    </row>
    <row r="196" customFormat="false" ht="15" hidden="false" customHeight="false" outlineLevel="0" collapsed="false">
      <c r="A196" s="9"/>
      <c r="B196" s="9"/>
      <c r="C196" s="9"/>
      <c r="D196" s="9"/>
      <c r="E196" s="14"/>
      <c r="F196" s="15" t="str">
        <f aca="false">IF(OR(A196="",B196=""),"",IF(MAX(N(E196),SUMPRODUCT(MAX(('Completion Log'!$B$5:$B$2004=A196)*('Completion Log'!$C$5:$C$2004=B196)*'Completion Log'!$A$5:$A$2004)))=0,"",MAX(N(E196),SUMPRODUCT(MAX(('Completion Log'!$B$5:$B$2004=A196)*('Completion Log'!$C$5:$C$2004=B196)*'Completion Log'!$A$5:$A$2004)))))</f>
        <v/>
      </c>
      <c r="G196" s="15" t="str">
        <f aca="true">IF(OR(A196="",B196="",OR(NOT(ISNUMBER(C196)),N(C196)&lt;=0)),"",IF(F196="",TODAY(),F196+C196))</f>
        <v/>
      </c>
      <c r="H196" s="16" t="str">
        <f aca="true">IF(G196="","",G196-TODAY())</f>
        <v/>
      </c>
      <c r="I196" s="17" t="str">
        <f aca="false">IF(AND(A196="",B196=""),"",IF(OR(A196="",B196=""),"Fill in asset and task",IF(OR(NOT(ISNUMBER(C196)),N(C196)&lt;=0),"Check frequency",IF(SUMPRODUCT(($A$5:$A$304=A196)*($B$5:$B$304=B196))&gt;1,"Duplicate row",IF(H196&lt;0,"OVERDUE",IF(H196&lt;=$I$2,"Due soon","OK"))))))</f>
        <v/>
      </c>
      <c r="J196" s="9"/>
    </row>
    <row r="197" customFormat="false" ht="15" hidden="false" customHeight="false" outlineLevel="0" collapsed="false">
      <c r="A197" s="9"/>
      <c r="B197" s="9"/>
      <c r="C197" s="9"/>
      <c r="D197" s="9"/>
      <c r="E197" s="14"/>
      <c r="F197" s="15" t="str">
        <f aca="false">IF(OR(A197="",B197=""),"",IF(MAX(N(E197),SUMPRODUCT(MAX(('Completion Log'!$B$5:$B$2004=A197)*('Completion Log'!$C$5:$C$2004=B197)*'Completion Log'!$A$5:$A$2004)))=0,"",MAX(N(E197),SUMPRODUCT(MAX(('Completion Log'!$B$5:$B$2004=A197)*('Completion Log'!$C$5:$C$2004=B197)*'Completion Log'!$A$5:$A$2004)))))</f>
        <v/>
      </c>
      <c r="G197" s="15" t="str">
        <f aca="true">IF(OR(A197="",B197="",OR(NOT(ISNUMBER(C197)),N(C197)&lt;=0)),"",IF(F197="",TODAY(),F197+C197))</f>
        <v/>
      </c>
      <c r="H197" s="16" t="str">
        <f aca="true">IF(G197="","",G197-TODAY())</f>
        <v/>
      </c>
      <c r="I197" s="17" t="str">
        <f aca="false">IF(AND(A197="",B197=""),"",IF(OR(A197="",B197=""),"Fill in asset and task",IF(OR(NOT(ISNUMBER(C197)),N(C197)&lt;=0),"Check frequency",IF(SUMPRODUCT(($A$5:$A$304=A197)*($B$5:$B$304=B197))&gt;1,"Duplicate row",IF(H197&lt;0,"OVERDUE",IF(H197&lt;=$I$2,"Due soon","OK"))))))</f>
        <v/>
      </c>
      <c r="J197" s="9"/>
    </row>
    <row r="198" customFormat="false" ht="15" hidden="false" customHeight="false" outlineLevel="0" collapsed="false">
      <c r="A198" s="9"/>
      <c r="B198" s="9"/>
      <c r="C198" s="9"/>
      <c r="D198" s="9"/>
      <c r="E198" s="14"/>
      <c r="F198" s="15" t="str">
        <f aca="false">IF(OR(A198="",B198=""),"",IF(MAX(N(E198),SUMPRODUCT(MAX(('Completion Log'!$B$5:$B$2004=A198)*('Completion Log'!$C$5:$C$2004=B198)*'Completion Log'!$A$5:$A$2004)))=0,"",MAX(N(E198),SUMPRODUCT(MAX(('Completion Log'!$B$5:$B$2004=A198)*('Completion Log'!$C$5:$C$2004=B198)*'Completion Log'!$A$5:$A$2004)))))</f>
        <v/>
      </c>
      <c r="G198" s="15" t="str">
        <f aca="true">IF(OR(A198="",B198="",OR(NOT(ISNUMBER(C198)),N(C198)&lt;=0)),"",IF(F198="",TODAY(),F198+C198))</f>
        <v/>
      </c>
      <c r="H198" s="16" t="str">
        <f aca="true">IF(G198="","",G198-TODAY())</f>
        <v/>
      </c>
      <c r="I198" s="17" t="str">
        <f aca="false">IF(AND(A198="",B198=""),"",IF(OR(A198="",B198=""),"Fill in asset and task",IF(OR(NOT(ISNUMBER(C198)),N(C198)&lt;=0),"Check frequency",IF(SUMPRODUCT(($A$5:$A$304=A198)*($B$5:$B$304=B198))&gt;1,"Duplicate row",IF(H198&lt;0,"OVERDUE",IF(H198&lt;=$I$2,"Due soon","OK"))))))</f>
        <v/>
      </c>
      <c r="J198" s="9"/>
    </row>
    <row r="199" customFormat="false" ht="15" hidden="false" customHeight="false" outlineLevel="0" collapsed="false">
      <c r="A199" s="9"/>
      <c r="B199" s="9"/>
      <c r="C199" s="9"/>
      <c r="D199" s="9"/>
      <c r="E199" s="14"/>
      <c r="F199" s="15" t="str">
        <f aca="false">IF(OR(A199="",B199=""),"",IF(MAX(N(E199),SUMPRODUCT(MAX(('Completion Log'!$B$5:$B$2004=A199)*('Completion Log'!$C$5:$C$2004=B199)*'Completion Log'!$A$5:$A$2004)))=0,"",MAX(N(E199),SUMPRODUCT(MAX(('Completion Log'!$B$5:$B$2004=A199)*('Completion Log'!$C$5:$C$2004=B199)*'Completion Log'!$A$5:$A$2004)))))</f>
        <v/>
      </c>
      <c r="G199" s="15" t="str">
        <f aca="true">IF(OR(A199="",B199="",OR(NOT(ISNUMBER(C199)),N(C199)&lt;=0)),"",IF(F199="",TODAY(),F199+C199))</f>
        <v/>
      </c>
      <c r="H199" s="16" t="str">
        <f aca="true">IF(G199="","",G199-TODAY())</f>
        <v/>
      </c>
      <c r="I199" s="17" t="str">
        <f aca="false">IF(AND(A199="",B199=""),"",IF(OR(A199="",B199=""),"Fill in asset and task",IF(OR(NOT(ISNUMBER(C199)),N(C199)&lt;=0),"Check frequency",IF(SUMPRODUCT(($A$5:$A$304=A199)*($B$5:$B$304=B199))&gt;1,"Duplicate row",IF(H199&lt;0,"OVERDUE",IF(H199&lt;=$I$2,"Due soon","OK"))))))</f>
        <v/>
      </c>
      <c r="J199" s="9"/>
    </row>
    <row r="200" customFormat="false" ht="15" hidden="false" customHeight="false" outlineLevel="0" collapsed="false">
      <c r="A200" s="9"/>
      <c r="B200" s="9"/>
      <c r="C200" s="9"/>
      <c r="D200" s="9"/>
      <c r="E200" s="14"/>
      <c r="F200" s="15" t="str">
        <f aca="false">IF(OR(A200="",B200=""),"",IF(MAX(N(E200),SUMPRODUCT(MAX(('Completion Log'!$B$5:$B$2004=A200)*('Completion Log'!$C$5:$C$2004=B200)*'Completion Log'!$A$5:$A$2004)))=0,"",MAX(N(E200),SUMPRODUCT(MAX(('Completion Log'!$B$5:$B$2004=A200)*('Completion Log'!$C$5:$C$2004=B200)*'Completion Log'!$A$5:$A$2004)))))</f>
        <v/>
      </c>
      <c r="G200" s="15" t="str">
        <f aca="true">IF(OR(A200="",B200="",OR(NOT(ISNUMBER(C200)),N(C200)&lt;=0)),"",IF(F200="",TODAY(),F200+C200))</f>
        <v/>
      </c>
      <c r="H200" s="16" t="str">
        <f aca="true">IF(G200="","",G200-TODAY())</f>
        <v/>
      </c>
      <c r="I200" s="17" t="str">
        <f aca="false">IF(AND(A200="",B200=""),"",IF(OR(A200="",B200=""),"Fill in asset and task",IF(OR(NOT(ISNUMBER(C200)),N(C200)&lt;=0),"Check frequency",IF(SUMPRODUCT(($A$5:$A$304=A200)*($B$5:$B$304=B200))&gt;1,"Duplicate row",IF(H200&lt;0,"OVERDUE",IF(H200&lt;=$I$2,"Due soon","OK"))))))</f>
        <v/>
      </c>
      <c r="J200" s="9"/>
    </row>
    <row r="201" customFormat="false" ht="15" hidden="false" customHeight="false" outlineLevel="0" collapsed="false">
      <c r="A201" s="9"/>
      <c r="B201" s="9"/>
      <c r="C201" s="9"/>
      <c r="D201" s="9"/>
      <c r="E201" s="14"/>
      <c r="F201" s="15" t="str">
        <f aca="false">IF(OR(A201="",B201=""),"",IF(MAX(N(E201),SUMPRODUCT(MAX(('Completion Log'!$B$5:$B$2004=A201)*('Completion Log'!$C$5:$C$2004=B201)*'Completion Log'!$A$5:$A$2004)))=0,"",MAX(N(E201),SUMPRODUCT(MAX(('Completion Log'!$B$5:$B$2004=A201)*('Completion Log'!$C$5:$C$2004=B201)*'Completion Log'!$A$5:$A$2004)))))</f>
        <v/>
      </c>
      <c r="G201" s="15" t="str">
        <f aca="true">IF(OR(A201="",B201="",OR(NOT(ISNUMBER(C201)),N(C201)&lt;=0)),"",IF(F201="",TODAY(),F201+C201))</f>
        <v/>
      </c>
      <c r="H201" s="16" t="str">
        <f aca="true">IF(G201="","",G201-TODAY())</f>
        <v/>
      </c>
      <c r="I201" s="17" t="str">
        <f aca="false">IF(AND(A201="",B201=""),"",IF(OR(A201="",B201=""),"Fill in asset and task",IF(OR(NOT(ISNUMBER(C201)),N(C201)&lt;=0),"Check frequency",IF(SUMPRODUCT(($A$5:$A$304=A201)*($B$5:$B$304=B201))&gt;1,"Duplicate row",IF(H201&lt;0,"OVERDUE",IF(H201&lt;=$I$2,"Due soon","OK"))))))</f>
        <v/>
      </c>
      <c r="J201" s="9"/>
    </row>
    <row r="202" customFormat="false" ht="15" hidden="false" customHeight="false" outlineLevel="0" collapsed="false">
      <c r="A202" s="9"/>
      <c r="B202" s="9"/>
      <c r="C202" s="9"/>
      <c r="D202" s="9"/>
      <c r="E202" s="14"/>
      <c r="F202" s="15" t="str">
        <f aca="false">IF(OR(A202="",B202=""),"",IF(MAX(N(E202),SUMPRODUCT(MAX(('Completion Log'!$B$5:$B$2004=A202)*('Completion Log'!$C$5:$C$2004=B202)*'Completion Log'!$A$5:$A$2004)))=0,"",MAX(N(E202),SUMPRODUCT(MAX(('Completion Log'!$B$5:$B$2004=A202)*('Completion Log'!$C$5:$C$2004=B202)*'Completion Log'!$A$5:$A$2004)))))</f>
        <v/>
      </c>
      <c r="G202" s="15" t="str">
        <f aca="true">IF(OR(A202="",B202="",OR(NOT(ISNUMBER(C202)),N(C202)&lt;=0)),"",IF(F202="",TODAY(),F202+C202))</f>
        <v/>
      </c>
      <c r="H202" s="16" t="str">
        <f aca="true">IF(G202="","",G202-TODAY())</f>
        <v/>
      </c>
      <c r="I202" s="17" t="str">
        <f aca="false">IF(AND(A202="",B202=""),"",IF(OR(A202="",B202=""),"Fill in asset and task",IF(OR(NOT(ISNUMBER(C202)),N(C202)&lt;=0),"Check frequency",IF(SUMPRODUCT(($A$5:$A$304=A202)*($B$5:$B$304=B202))&gt;1,"Duplicate row",IF(H202&lt;0,"OVERDUE",IF(H202&lt;=$I$2,"Due soon","OK"))))))</f>
        <v/>
      </c>
      <c r="J202" s="9"/>
    </row>
    <row r="203" customFormat="false" ht="15" hidden="false" customHeight="false" outlineLevel="0" collapsed="false">
      <c r="A203" s="9"/>
      <c r="B203" s="9"/>
      <c r="C203" s="9"/>
      <c r="D203" s="9"/>
      <c r="E203" s="14"/>
      <c r="F203" s="15" t="str">
        <f aca="false">IF(OR(A203="",B203=""),"",IF(MAX(N(E203),SUMPRODUCT(MAX(('Completion Log'!$B$5:$B$2004=A203)*('Completion Log'!$C$5:$C$2004=B203)*'Completion Log'!$A$5:$A$2004)))=0,"",MAX(N(E203),SUMPRODUCT(MAX(('Completion Log'!$B$5:$B$2004=A203)*('Completion Log'!$C$5:$C$2004=B203)*'Completion Log'!$A$5:$A$2004)))))</f>
        <v/>
      </c>
      <c r="G203" s="15" t="str">
        <f aca="true">IF(OR(A203="",B203="",OR(NOT(ISNUMBER(C203)),N(C203)&lt;=0)),"",IF(F203="",TODAY(),F203+C203))</f>
        <v/>
      </c>
      <c r="H203" s="16" t="str">
        <f aca="true">IF(G203="","",G203-TODAY())</f>
        <v/>
      </c>
      <c r="I203" s="17" t="str">
        <f aca="false">IF(AND(A203="",B203=""),"",IF(OR(A203="",B203=""),"Fill in asset and task",IF(OR(NOT(ISNUMBER(C203)),N(C203)&lt;=0),"Check frequency",IF(SUMPRODUCT(($A$5:$A$304=A203)*($B$5:$B$304=B203))&gt;1,"Duplicate row",IF(H203&lt;0,"OVERDUE",IF(H203&lt;=$I$2,"Due soon","OK"))))))</f>
        <v/>
      </c>
      <c r="J203" s="9"/>
    </row>
    <row r="204" customFormat="false" ht="15" hidden="false" customHeight="false" outlineLevel="0" collapsed="false">
      <c r="A204" s="9"/>
      <c r="B204" s="9"/>
      <c r="C204" s="9"/>
      <c r="D204" s="9"/>
      <c r="E204" s="14"/>
      <c r="F204" s="15" t="str">
        <f aca="false">IF(OR(A204="",B204=""),"",IF(MAX(N(E204),SUMPRODUCT(MAX(('Completion Log'!$B$5:$B$2004=A204)*('Completion Log'!$C$5:$C$2004=B204)*'Completion Log'!$A$5:$A$2004)))=0,"",MAX(N(E204),SUMPRODUCT(MAX(('Completion Log'!$B$5:$B$2004=A204)*('Completion Log'!$C$5:$C$2004=B204)*'Completion Log'!$A$5:$A$2004)))))</f>
        <v/>
      </c>
      <c r="G204" s="15" t="str">
        <f aca="true">IF(OR(A204="",B204="",OR(NOT(ISNUMBER(C204)),N(C204)&lt;=0)),"",IF(F204="",TODAY(),F204+C204))</f>
        <v/>
      </c>
      <c r="H204" s="16" t="str">
        <f aca="true">IF(G204="","",G204-TODAY())</f>
        <v/>
      </c>
      <c r="I204" s="17" t="str">
        <f aca="false">IF(AND(A204="",B204=""),"",IF(OR(A204="",B204=""),"Fill in asset and task",IF(OR(NOT(ISNUMBER(C204)),N(C204)&lt;=0),"Check frequency",IF(SUMPRODUCT(($A$5:$A$304=A204)*($B$5:$B$304=B204))&gt;1,"Duplicate row",IF(H204&lt;0,"OVERDUE",IF(H204&lt;=$I$2,"Due soon","OK"))))))</f>
        <v/>
      </c>
      <c r="J204" s="9"/>
    </row>
    <row r="205" customFormat="false" ht="15" hidden="false" customHeight="false" outlineLevel="0" collapsed="false">
      <c r="A205" s="9"/>
      <c r="B205" s="9"/>
      <c r="C205" s="9"/>
      <c r="D205" s="9"/>
      <c r="E205" s="14"/>
      <c r="F205" s="15" t="str">
        <f aca="false">IF(OR(A205="",B205=""),"",IF(MAX(N(E205),SUMPRODUCT(MAX(('Completion Log'!$B$5:$B$2004=A205)*('Completion Log'!$C$5:$C$2004=B205)*'Completion Log'!$A$5:$A$2004)))=0,"",MAX(N(E205),SUMPRODUCT(MAX(('Completion Log'!$B$5:$B$2004=A205)*('Completion Log'!$C$5:$C$2004=B205)*'Completion Log'!$A$5:$A$2004)))))</f>
        <v/>
      </c>
      <c r="G205" s="15" t="str">
        <f aca="true">IF(OR(A205="",B205="",OR(NOT(ISNUMBER(C205)),N(C205)&lt;=0)),"",IF(F205="",TODAY(),F205+C205))</f>
        <v/>
      </c>
      <c r="H205" s="16" t="str">
        <f aca="true">IF(G205="","",G205-TODAY())</f>
        <v/>
      </c>
      <c r="I205" s="17" t="str">
        <f aca="false">IF(AND(A205="",B205=""),"",IF(OR(A205="",B205=""),"Fill in asset and task",IF(OR(NOT(ISNUMBER(C205)),N(C205)&lt;=0),"Check frequency",IF(SUMPRODUCT(($A$5:$A$304=A205)*($B$5:$B$304=B205))&gt;1,"Duplicate row",IF(H205&lt;0,"OVERDUE",IF(H205&lt;=$I$2,"Due soon","OK"))))))</f>
        <v/>
      </c>
      <c r="J205" s="9"/>
    </row>
    <row r="206" customFormat="false" ht="15" hidden="false" customHeight="false" outlineLevel="0" collapsed="false">
      <c r="A206" s="9"/>
      <c r="B206" s="9"/>
      <c r="C206" s="9"/>
      <c r="D206" s="9"/>
      <c r="E206" s="14"/>
      <c r="F206" s="15" t="str">
        <f aca="false">IF(OR(A206="",B206=""),"",IF(MAX(N(E206),SUMPRODUCT(MAX(('Completion Log'!$B$5:$B$2004=A206)*('Completion Log'!$C$5:$C$2004=B206)*'Completion Log'!$A$5:$A$2004)))=0,"",MAX(N(E206),SUMPRODUCT(MAX(('Completion Log'!$B$5:$B$2004=A206)*('Completion Log'!$C$5:$C$2004=B206)*'Completion Log'!$A$5:$A$2004)))))</f>
        <v/>
      </c>
      <c r="G206" s="15" t="str">
        <f aca="true">IF(OR(A206="",B206="",OR(NOT(ISNUMBER(C206)),N(C206)&lt;=0)),"",IF(F206="",TODAY(),F206+C206))</f>
        <v/>
      </c>
      <c r="H206" s="16" t="str">
        <f aca="true">IF(G206="","",G206-TODAY())</f>
        <v/>
      </c>
      <c r="I206" s="17" t="str">
        <f aca="false">IF(AND(A206="",B206=""),"",IF(OR(A206="",B206=""),"Fill in asset and task",IF(OR(NOT(ISNUMBER(C206)),N(C206)&lt;=0),"Check frequency",IF(SUMPRODUCT(($A$5:$A$304=A206)*($B$5:$B$304=B206))&gt;1,"Duplicate row",IF(H206&lt;0,"OVERDUE",IF(H206&lt;=$I$2,"Due soon","OK"))))))</f>
        <v/>
      </c>
      <c r="J206" s="9"/>
    </row>
    <row r="207" customFormat="false" ht="15" hidden="false" customHeight="false" outlineLevel="0" collapsed="false">
      <c r="A207" s="9"/>
      <c r="B207" s="9"/>
      <c r="C207" s="9"/>
      <c r="D207" s="9"/>
      <c r="E207" s="14"/>
      <c r="F207" s="15" t="str">
        <f aca="false">IF(OR(A207="",B207=""),"",IF(MAX(N(E207),SUMPRODUCT(MAX(('Completion Log'!$B$5:$B$2004=A207)*('Completion Log'!$C$5:$C$2004=B207)*'Completion Log'!$A$5:$A$2004)))=0,"",MAX(N(E207),SUMPRODUCT(MAX(('Completion Log'!$B$5:$B$2004=A207)*('Completion Log'!$C$5:$C$2004=B207)*'Completion Log'!$A$5:$A$2004)))))</f>
        <v/>
      </c>
      <c r="G207" s="15" t="str">
        <f aca="true">IF(OR(A207="",B207="",OR(NOT(ISNUMBER(C207)),N(C207)&lt;=0)),"",IF(F207="",TODAY(),F207+C207))</f>
        <v/>
      </c>
      <c r="H207" s="16" t="str">
        <f aca="true">IF(G207="","",G207-TODAY())</f>
        <v/>
      </c>
      <c r="I207" s="17" t="str">
        <f aca="false">IF(AND(A207="",B207=""),"",IF(OR(A207="",B207=""),"Fill in asset and task",IF(OR(NOT(ISNUMBER(C207)),N(C207)&lt;=0),"Check frequency",IF(SUMPRODUCT(($A$5:$A$304=A207)*($B$5:$B$304=B207))&gt;1,"Duplicate row",IF(H207&lt;0,"OVERDUE",IF(H207&lt;=$I$2,"Due soon","OK"))))))</f>
        <v/>
      </c>
      <c r="J207" s="9"/>
    </row>
    <row r="208" customFormat="false" ht="15" hidden="false" customHeight="false" outlineLevel="0" collapsed="false">
      <c r="A208" s="9"/>
      <c r="B208" s="9"/>
      <c r="C208" s="9"/>
      <c r="D208" s="9"/>
      <c r="E208" s="14"/>
      <c r="F208" s="15" t="str">
        <f aca="false">IF(OR(A208="",B208=""),"",IF(MAX(N(E208),SUMPRODUCT(MAX(('Completion Log'!$B$5:$B$2004=A208)*('Completion Log'!$C$5:$C$2004=B208)*'Completion Log'!$A$5:$A$2004)))=0,"",MAX(N(E208),SUMPRODUCT(MAX(('Completion Log'!$B$5:$B$2004=A208)*('Completion Log'!$C$5:$C$2004=B208)*'Completion Log'!$A$5:$A$2004)))))</f>
        <v/>
      </c>
      <c r="G208" s="15" t="str">
        <f aca="true">IF(OR(A208="",B208="",OR(NOT(ISNUMBER(C208)),N(C208)&lt;=0)),"",IF(F208="",TODAY(),F208+C208))</f>
        <v/>
      </c>
      <c r="H208" s="16" t="str">
        <f aca="true">IF(G208="","",G208-TODAY())</f>
        <v/>
      </c>
      <c r="I208" s="17" t="str">
        <f aca="false">IF(AND(A208="",B208=""),"",IF(OR(A208="",B208=""),"Fill in asset and task",IF(OR(NOT(ISNUMBER(C208)),N(C208)&lt;=0),"Check frequency",IF(SUMPRODUCT(($A$5:$A$304=A208)*($B$5:$B$304=B208))&gt;1,"Duplicate row",IF(H208&lt;0,"OVERDUE",IF(H208&lt;=$I$2,"Due soon","OK"))))))</f>
        <v/>
      </c>
      <c r="J208" s="9"/>
    </row>
    <row r="209" customFormat="false" ht="15" hidden="false" customHeight="false" outlineLevel="0" collapsed="false">
      <c r="A209" s="9"/>
      <c r="B209" s="9"/>
      <c r="C209" s="9"/>
      <c r="D209" s="9"/>
      <c r="E209" s="14"/>
      <c r="F209" s="15" t="str">
        <f aca="false">IF(OR(A209="",B209=""),"",IF(MAX(N(E209),SUMPRODUCT(MAX(('Completion Log'!$B$5:$B$2004=A209)*('Completion Log'!$C$5:$C$2004=B209)*'Completion Log'!$A$5:$A$2004)))=0,"",MAX(N(E209),SUMPRODUCT(MAX(('Completion Log'!$B$5:$B$2004=A209)*('Completion Log'!$C$5:$C$2004=B209)*'Completion Log'!$A$5:$A$2004)))))</f>
        <v/>
      </c>
      <c r="G209" s="15" t="str">
        <f aca="true">IF(OR(A209="",B209="",OR(NOT(ISNUMBER(C209)),N(C209)&lt;=0)),"",IF(F209="",TODAY(),F209+C209))</f>
        <v/>
      </c>
      <c r="H209" s="16" t="str">
        <f aca="true">IF(G209="","",G209-TODAY())</f>
        <v/>
      </c>
      <c r="I209" s="17" t="str">
        <f aca="false">IF(AND(A209="",B209=""),"",IF(OR(A209="",B209=""),"Fill in asset and task",IF(OR(NOT(ISNUMBER(C209)),N(C209)&lt;=0),"Check frequency",IF(SUMPRODUCT(($A$5:$A$304=A209)*($B$5:$B$304=B209))&gt;1,"Duplicate row",IF(H209&lt;0,"OVERDUE",IF(H209&lt;=$I$2,"Due soon","OK"))))))</f>
        <v/>
      </c>
      <c r="J209" s="9"/>
    </row>
    <row r="210" customFormat="false" ht="15" hidden="false" customHeight="false" outlineLevel="0" collapsed="false">
      <c r="A210" s="9"/>
      <c r="B210" s="9"/>
      <c r="C210" s="9"/>
      <c r="D210" s="9"/>
      <c r="E210" s="14"/>
      <c r="F210" s="15" t="str">
        <f aca="false">IF(OR(A210="",B210=""),"",IF(MAX(N(E210),SUMPRODUCT(MAX(('Completion Log'!$B$5:$B$2004=A210)*('Completion Log'!$C$5:$C$2004=B210)*'Completion Log'!$A$5:$A$2004)))=0,"",MAX(N(E210),SUMPRODUCT(MAX(('Completion Log'!$B$5:$B$2004=A210)*('Completion Log'!$C$5:$C$2004=B210)*'Completion Log'!$A$5:$A$2004)))))</f>
        <v/>
      </c>
      <c r="G210" s="15" t="str">
        <f aca="true">IF(OR(A210="",B210="",OR(NOT(ISNUMBER(C210)),N(C210)&lt;=0)),"",IF(F210="",TODAY(),F210+C210))</f>
        <v/>
      </c>
      <c r="H210" s="16" t="str">
        <f aca="true">IF(G210="","",G210-TODAY())</f>
        <v/>
      </c>
      <c r="I210" s="17" t="str">
        <f aca="false">IF(AND(A210="",B210=""),"",IF(OR(A210="",B210=""),"Fill in asset and task",IF(OR(NOT(ISNUMBER(C210)),N(C210)&lt;=0),"Check frequency",IF(SUMPRODUCT(($A$5:$A$304=A210)*($B$5:$B$304=B210))&gt;1,"Duplicate row",IF(H210&lt;0,"OVERDUE",IF(H210&lt;=$I$2,"Due soon","OK"))))))</f>
        <v/>
      </c>
      <c r="J210" s="9"/>
    </row>
    <row r="211" customFormat="false" ht="15" hidden="false" customHeight="false" outlineLevel="0" collapsed="false">
      <c r="A211" s="9"/>
      <c r="B211" s="9"/>
      <c r="C211" s="9"/>
      <c r="D211" s="9"/>
      <c r="E211" s="14"/>
      <c r="F211" s="15" t="str">
        <f aca="false">IF(OR(A211="",B211=""),"",IF(MAX(N(E211),SUMPRODUCT(MAX(('Completion Log'!$B$5:$B$2004=A211)*('Completion Log'!$C$5:$C$2004=B211)*'Completion Log'!$A$5:$A$2004)))=0,"",MAX(N(E211),SUMPRODUCT(MAX(('Completion Log'!$B$5:$B$2004=A211)*('Completion Log'!$C$5:$C$2004=B211)*'Completion Log'!$A$5:$A$2004)))))</f>
        <v/>
      </c>
      <c r="G211" s="15" t="str">
        <f aca="true">IF(OR(A211="",B211="",OR(NOT(ISNUMBER(C211)),N(C211)&lt;=0)),"",IF(F211="",TODAY(),F211+C211))</f>
        <v/>
      </c>
      <c r="H211" s="16" t="str">
        <f aca="true">IF(G211="","",G211-TODAY())</f>
        <v/>
      </c>
      <c r="I211" s="17" t="str">
        <f aca="false">IF(AND(A211="",B211=""),"",IF(OR(A211="",B211=""),"Fill in asset and task",IF(OR(NOT(ISNUMBER(C211)),N(C211)&lt;=0),"Check frequency",IF(SUMPRODUCT(($A$5:$A$304=A211)*($B$5:$B$304=B211))&gt;1,"Duplicate row",IF(H211&lt;0,"OVERDUE",IF(H211&lt;=$I$2,"Due soon","OK"))))))</f>
        <v/>
      </c>
      <c r="J211" s="9"/>
    </row>
    <row r="212" customFormat="false" ht="15" hidden="false" customHeight="false" outlineLevel="0" collapsed="false">
      <c r="A212" s="9"/>
      <c r="B212" s="9"/>
      <c r="C212" s="9"/>
      <c r="D212" s="9"/>
      <c r="E212" s="14"/>
      <c r="F212" s="15" t="str">
        <f aca="false">IF(OR(A212="",B212=""),"",IF(MAX(N(E212),SUMPRODUCT(MAX(('Completion Log'!$B$5:$B$2004=A212)*('Completion Log'!$C$5:$C$2004=B212)*'Completion Log'!$A$5:$A$2004)))=0,"",MAX(N(E212),SUMPRODUCT(MAX(('Completion Log'!$B$5:$B$2004=A212)*('Completion Log'!$C$5:$C$2004=B212)*'Completion Log'!$A$5:$A$2004)))))</f>
        <v/>
      </c>
      <c r="G212" s="15" t="str">
        <f aca="true">IF(OR(A212="",B212="",OR(NOT(ISNUMBER(C212)),N(C212)&lt;=0)),"",IF(F212="",TODAY(),F212+C212))</f>
        <v/>
      </c>
      <c r="H212" s="16" t="str">
        <f aca="true">IF(G212="","",G212-TODAY())</f>
        <v/>
      </c>
      <c r="I212" s="17" t="str">
        <f aca="false">IF(AND(A212="",B212=""),"",IF(OR(A212="",B212=""),"Fill in asset and task",IF(OR(NOT(ISNUMBER(C212)),N(C212)&lt;=0),"Check frequency",IF(SUMPRODUCT(($A$5:$A$304=A212)*($B$5:$B$304=B212))&gt;1,"Duplicate row",IF(H212&lt;0,"OVERDUE",IF(H212&lt;=$I$2,"Due soon","OK"))))))</f>
        <v/>
      </c>
      <c r="J212" s="9"/>
    </row>
    <row r="213" customFormat="false" ht="15" hidden="false" customHeight="false" outlineLevel="0" collapsed="false">
      <c r="A213" s="9"/>
      <c r="B213" s="9"/>
      <c r="C213" s="9"/>
      <c r="D213" s="9"/>
      <c r="E213" s="14"/>
      <c r="F213" s="15" t="str">
        <f aca="false">IF(OR(A213="",B213=""),"",IF(MAX(N(E213),SUMPRODUCT(MAX(('Completion Log'!$B$5:$B$2004=A213)*('Completion Log'!$C$5:$C$2004=B213)*'Completion Log'!$A$5:$A$2004)))=0,"",MAX(N(E213),SUMPRODUCT(MAX(('Completion Log'!$B$5:$B$2004=A213)*('Completion Log'!$C$5:$C$2004=B213)*'Completion Log'!$A$5:$A$2004)))))</f>
        <v/>
      </c>
      <c r="G213" s="15" t="str">
        <f aca="true">IF(OR(A213="",B213="",OR(NOT(ISNUMBER(C213)),N(C213)&lt;=0)),"",IF(F213="",TODAY(),F213+C213))</f>
        <v/>
      </c>
      <c r="H213" s="16" t="str">
        <f aca="true">IF(G213="","",G213-TODAY())</f>
        <v/>
      </c>
      <c r="I213" s="17" t="str">
        <f aca="false">IF(AND(A213="",B213=""),"",IF(OR(A213="",B213=""),"Fill in asset and task",IF(OR(NOT(ISNUMBER(C213)),N(C213)&lt;=0),"Check frequency",IF(SUMPRODUCT(($A$5:$A$304=A213)*($B$5:$B$304=B213))&gt;1,"Duplicate row",IF(H213&lt;0,"OVERDUE",IF(H213&lt;=$I$2,"Due soon","OK"))))))</f>
        <v/>
      </c>
      <c r="J213" s="9"/>
    </row>
    <row r="214" customFormat="false" ht="15" hidden="false" customHeight="false" outlineLevel="0" collapsed="false">
      <c r="A214" s="9"/>
      <c r="B214" s="9"/>
      <c r="C214" s="9"/>
      <c r="D214" s="9"/>
      <c r="E214" s="14"/>
      <c r="F214" s="15" t="str">
        <f aca="false">IF(OR(A214="",B214=""),"",IF(MAX(N(E214),SUMPRODUCT(MAX(('Completion Log'!$B$5:$B$2004=A214)*('Completion Log'!$C$5:$C$2004=B214)*'Completion Log'!$A$5:$A$2004)))=0,"",MAX(N(E214),SUMPRODUCT(MAX(('Completion Log'!$B$5:$B$2004=A214)*('Completion Log'!$C$5:$C$2004=B214)*'Completion Log'!$A$5:$A$2004)))))</f>
        <v/>
      </c>
      <c r="G214" s="15" t="str">
        <f aca="true">IF(OR(A214="",B214="",OR(NOT(ISNUMBER(C214)),N(C214)&lt;=0)),"",IF(F214="",TODAY(),F214+C214))</f>
        <v/>
      </c>
      <c r="H214" s="16" t="str">
        <f aca="true">IF(G214="","",G214-TODAY())</f>
        <v/>
      </c>
      <c r="I214" s="17" t="str">
        <f aca="false">IF(AND(A214="",B214=""),"",IF(OR(A214="",B214=""),"Fill in asset and task",IF(OR(NOT(ISNUMBER(C214)),N(C214)&lt;=0),"Check frequency",IF(SUMPRODUCT(($A$5:$A$304=A214)*($B$5:$B$304=B214))&gt;1,"Duplicate row",IF(H214&lt;0,"OVERDUE",IF(H214&lt;=$I$2,"Due soon","OK"))))))</f>
        <v/>
      </c>
      <c r="J214" s="9"/>
    </row>
    <row r="215" customFormat="false" ht="15" hidden="false" customHeight="false" outlineLevel="0" collapsed="false">
      <c r="A215" s="9"/>
      <c r="B215" s="9"/>
      <c r="C215" s="9"/>
      <c r="D215" s="9"/>
      <c r="E215" s="14"/>
      <c r="F215" s="15" t="str">
        <f aca="false">IF(OR(A215="",B215=""),"",IF(MAX(N(E215),SUMPRODUCT(MAX(('Completion Log'!$B$5:$B$2004=A215)*('Completion Log'!$C$5:$C$2004=B215)*'Completion Log'!$A$5:$A$2004)))=0,"",MAX(N(E215),SUMPRODUCT(MAX(('Completion Log'!$B$5:$B$2004=A215)*('Completion Log'!$C$5:$C$2004=B215)*'Completion Log'!$A$5:$A$2004)))))</f>
        <v/>
      </c>
      <c r="G215" s="15" t="str">
        <f aca="true">IF(OR(A215="",B215="",OR(NOT(ISNUMBER(C215)),N(C215)&lt;=0)),"",IF(F215="",TODAY(),F215+C215))</f>
        <v/>
      </c>
      <c r="H215" s="16" t="str">
        <f aca="true">IF(G215="","",G215-TODAY())</f>
        <v/>
      </c>
      <c r="I215" s="17" t="str">
        <f aca="false">IF(AND(A215="",B215=""),"",IF(OR(A215="",B215=""),"Fill in asset and task",IF(OR(NOT(ISNUMBER(C215)),N(C215)&lt;=0),"Check frequency",IF(SUMPRODUCT(($A$5:$A$304=A215)*($B$5:$B$304=B215))&gt;1,"Duplicate row",IF(H215&lt;0,"OVERDUE",IF(H215&lt;=$I$2,"Due soon","OK"))))))</f>
        <v/>
      </c>
      <c r="J215" s="9"/>
    </row>
    <row r="216" customFormat="false" ht="15" hidden="false" customHeight="false" outlineLevel="0" collapsed="false">
      <c r="A216" s="9"/>
      <c r="B216" s="9"/>
      <c r="C216" s="9"/>
      <c r="D216" s="9"/>
      <c r="E216" s="14"/>
      <c r="F216" s="15" t="str">
        <f aca="false">IF(OR(A216="",B216=""),"",IF(MAX(N(E216),SUMPRODUCT(MAX(('Completion Log'!$B$5:$B$2004=A216)*('Completion Log'!$C$5:$C$2004=B216)*'Completion Log'!$A$5:$A$2004)))=0,"",MAX(N(E216),SUMPRODUCT(MAX(('Completion Log'!$B$5:$B$2004=A216)*('Completion Log'!$C$5:$C$2004=B216)*'Completion Log'!$A$5:$A$2004)))))</f>
        <v/>
      </c>
      <c r="G216" s="15" t="str">
        <f aca="true">IF(OR(A216="",B216="",OR(NOT(ISNUMBER(C216)),N(C216)&lt;=0)),"",IF(F216="",TODAY(),F216+C216))</f>
        <v/>
      </c>
      <c r="H216" s="16" t="str">
        <f aca="true">IF(G216="","",G216-TODAY())</f>
        <v/>
      </c>
      <c r="I216" s="17" t="str">
        <f aca="false">IF(AND(A216="",B216=""),"",IF(OR(A216="",B216=""),"Fill in asset and task",IF(OR(NOT(ISNUMBER(C216)),N(C216)&lt;=0),"Check frequency",IF(SUMPRODUCT(($A$5:$A$304=A216)*($B$5:$B$304=B216))&gt;1,"Duplicate row",IF(H216&lt;0,"OVERDUE",IF(H216&lt;=$I$2,"Due soon","OK"))))))</f>
        <v/>
      </c>
      <c r="J216" s="9"/>
    </row>
    <row r="217" customFormat="false" ht="15" hidden="false" customHeight="false" outlineLevel="0" collapsed="false">
      <c r="A217" s="9"/>
      <c r="B217" s="9"/>
      <c r="C217" s="9"/>
      <c r="D217" s="9"/>
      <c r="E217" s="14"/>
      <c r="F217" s="15" t="str">
        <f aca="false">IF(OR(A217="",B217=""),"",IF(MAX(N(E217),SUMPRODUCT(MAX(('Completion Log'!$B$5:$B$2004=A217)*('Completion Log'!$C$5:$C$2004=B217)*'Completion Log'!$A$5:$A$2004)))=0,"",MAX(N(E217),SUMPRODUCT(MAX(('Completion Log'!$B$5:$B$2004=A217)*('Completion Log'!$C$5:$C$2004=B217)*'Completion Log'!$A$5:$A$2004)))))</f>
        <v/>
      </c>
      <c r="G217" s="15" t="str">
        <f aca="true">IF(OR(A217="",B217="",OR(NOT(ISNUMBER(C217)),N(C217)&lt;=0)),"",IF(F217="",TODAY(),F217+C217))</f>
        <v/>
      </c>
      <c r="H217" s="16" t="str">
        <f aca="true">IF(G217="","",G217-TODAY())</f>
        <v/>
      </c>
      <c r="I217" s="17" t="str">
        <f aca="false">IF(AND(A217="",B217=""),"",IF(OR(A217="",B217=""),"Fill in asset and task",IF(OR(NOT(ISNUMBER(C217)),N(C217)&lt;=0),"Check frequency",IF(SUMPRODUCT(($A$5:$A$304=A217)*($B$5:$B$304=B217))&gt;1,"Duplicate row",IF(H217&lt;0,"OVERDUE",IF(H217&lt;=$I$2,"Due soon","OK"))))))</f>
        <v/>
      </c>
      <c r="J217" s="9"/>
    </row>
    <row r="218" customFormat="false" ht="15" hidden="false" customHeight="false" outlineLevel="0" collapsed="false">
      <c r="A218" s="9"/>
      <c r="B218" s="9"/>
      <c r="C218" s="9"/>
      <c r="D218" s="9"/>
      <c r="E218" s="14"/>
      <c r="F218" s="15" t="str">
        <f aca="false">IF(OR(A218="",B218=""),"",IF(MAX(N(E218),SUMPRODUCT(MAX(('Completion Log'!$B$5:$B$2004=A218)*('Completion Log'!$C$5:$C$2004=B218)*'Completion Log'!$A$5:$A$2004)))=0,"",MAX(N(E218),SUMPRODUCT(MAX(('Completion Log'!$B$5:$B$2004=A218)*('Completion Log'!$C$5:$C$2004=B218)*'Completion Log'!$A$5:$A$2004)))))</f>
        <v/>
      </c>
      <c r="G218" s="15" t="str">
        <f aca="true">IF(OR(A218="",B218="",OR(NOT(ISNUMBER(C218)),N(C218)&lt;=0)),"",IF(F218="",TODAY(),F218+C218))</f>
        <v/>
      </c>
      <c r="H218" s="16" t="str">
        <f aca="true">IF(G218="","",G218-TODAY())</f>
        <v/>
      </c>
      <c r="I218" s="17" t="str">
        <f aca="false">IF(AND(A218="",B218=""),"",IF(OR(A218="",B218=""),"Fill in asset and task",IF(OR(NOT(ISNUMBER(C218)),N(C218)&lt;=0),"Check frequency",IF(SUMPRODUCT(($A$5:$A$304=A218)*($B$5:$B$304=B218))&gt;1,"Duplicate row",IF(H218&lt;0,"OVERDUE",IF(H218&lt;=$I$2,"Due soon","OK"))))))</f>
        <v/>
      </c>
      <c r="J218" s="9"/>
    </row>
    <row r="219" customFormat="false" ht="15" hidden="false" customHeight="false" outlineLevel="0" collapsed="false">
      <c r="A219" s="9"/>
      <c r="B219" s="9"/>
      <c r="C219" s="9"/>
      <c r="D219" s="9"/>
      <c r="E219" s="14"/>
      <c r="F219" s="15" t="str">
        <f aca="false">IF(OR(A219="",B219=""),"",IF(MAX(N(E219),SUMPRODUCT(MAX(('Completion Log'!$B$5:$B$2004=A219)*('Completion Log'!$C$5:$C$2004=B219)*'Completion Log'!$A$5:$A$2004)))=0,"",MAX(N(E219),SUMPRODUCT(MAX(('Completion Log'!$B$5:$B$2004=A219)*('Completion Log'!$C$5:$C$2004=B219)*'Completion Log'!$A$5:$A$2004)))))</f>
        <v/>
      </c>
      <c r="G219" s="15" t="str">
        <f aca="true">IF(OR(A219="",B219="",OR(NOT(ISNUMBER(C219)),N(C219)&lt;=0)),"",IF(F219="",TODAY(),F219+C219))</f>
        <v/>
      </c>
      <c r="H219" s="16" t="str">
        <f aca="true">IF(G219="","",G219-TODAY())</f>
        <v/>
      </c>
      <c r="I219" s="17" t="str">
        <f aca="false">IF(AND(A219="",B219=""),"",IF(OR(A219="",B219=""),"Fill in asset and task",IF(OR(NOT(ISNUMBER(C219)),N(C219)&lt;=0),"Check frequency",IF(SUMPRODUCT(($A$5:$A$304=A219)*($B$5:$B$304=B219))&gt;1,"Duplicate row",IF(H219&lt;0,"OVERDUE",IF(H219&lt;=$I$2,"Due soon","OK"))))))</f>
        <v/>
      </c>
      <c r="J219" s="9"/>
    </row>
    <row r="220" customFormat="false" ht="15" hidden="false" customHeight="false" outlineLevel="0" collapsed="false">
      <c r="A220" s="9"/>
      <c r="B220" s="9"/>
      <c r="C220" s="9"/>
      <c r="D220" s="9"/>
      <c r="E220" s="14"/>
      <c r="F220" s="15" t="str">
        <f aca="false">IF(OR(A220="",B220=""),"",IF(MAX(N(E220),SUMPRODUCT(MAX(('Completion Log'!$B$5:$B$2004=A220)*('Completion Log'!$C$5:$C$2004=B220)*'Completion Log'!$A$5:$A$2004)))=0,"",MAX(N(E220),SUMPRODUCT(MAX(('Completion Log'!$B$5:$B$2004=A220)*('Completion Log'!$C$5:$C$2004=B220)*'Completion Log'!$A$5:$A$2004)))))</f>
        <v/>
      </c>
      <c r="G220" s="15" t="str">
        <f aca="true">IF(OR(A220="",B220="",OR(NOT(ISNUMBER(C220)),N(C220)&lt;=0)),"",IF(F220="",TODAY(),F220+C220))</f>
        <v/>
      </c>
      <c r="H220" s="16" t="str">
        <f aca="true">IF(G220="","",G220-TODAY())</f>
        <v/>
      </c>
      <c r="I220" s="17" t="str">
        <f aca="false">IF(AND(A220="",B220=""),"",IF(OR(A220="",B220=""),"Fill in asset and task",IF(OR(NOT(ISNUMBER(C220)),N(C220)&lt;=0),"Check frequency",IF(SUMPRODUCT(($A$5:$A$304=A220)*($B$5:$B$304=B220))&gt;1,"Duplicate row",IF(H220&lt;0,"OVERDUE",IF(H220&lt;=$I$2,"Due soon","OK"))))))</f>
        <v/>
      </c>
      <c r="J220" s="9"/>
    </row>
    <row r="221" customFormat="false" ht="15" hidden="false" customHeight="false" outlineLevel="0" collapsed="false">
      <c r="A221" s="9"/>
      <c r="B221" s="9"/>
      <c r="C221" s="9"/>
      <c r="D221" s="9"/>
      <c r="E221" s="14"/>
      <c r="F221" s="15" t="str">
        <f aca="false">IF(OR(A221="",B221=""),"",IF(MAX(N(E221),SUMPRODUCT(MAX(('Completion Log'!$B$5:$B$2004=A221)*('Completion Log'!$C$5:$C$2004=B221)*'Completion Log'!$A$5:$A$2004)))=0,"",MAX(N(E221),SUMPRODUCT(MAX(('Completion Log'!$B$5:$B$2004=A221)*('Completion Log'!$C$5:$C$2004=B221)*'Completion Log'!$A$5:$A$2004)))))</f>
        <v/>
      </c>
      <c r="G221" s="15" t="str">
        <f aca="true">IF(OR(A221="",B221="",OR(NOT(ISNUMBER(C221)),N(C221)&lt;=0)),"",IF(F221="",TODAY(),F221+C221))</f>
        <v/>
      </c>
      <c r="H221" s="16" t="str">
        <f aca="true">IF(G221="","",G221-TODAY())</f>
        <v/>
      </c>
      <c r="I221" s="17" t="str">
        <f aca="false">IF(AND(A221="",B221=""),"",IF(OR(A221="",B221=""),"Fill in asset and task",IF(OR(NOT(ISNUMBER(C221)),N(C221)&lt;=0),"Check frequency",IF(SUMPRODUCT(($A$5:$A$304=A221)*($B$5:$B$304=B221))&gt;1,"Duplicate row",IF(H221&lt;0,"OVERDUE",IF(H221&lt;=$I$2,"Due soon","OK"))))))</f>
        <v/>
      </c>
      <c r="J221" s="9"/>
    </row>
    <row r="222" customFormat="false" ht="15" hidden="false" customHeight="false" outlineLevel="0" collapsed="false">
      <c r="A222" s="9"/>
      <c r="B222" s="9"/>
      <c r="C222" s="9"/>
      <c r="D222" s="9"/>
      <c r="E222" s="14"/>
      <c r="F222" s="15" t="str">
        <f aca="false">IF(OR(A222="",B222=""),"",IF(MAX(N(E222),SUMPRODUCT(MAX(('Completion Log'!$B$5:$B$2004=A222)*('Completion Log'!$C$5:$C$2004=B222)*'Completion Log'!$A$5:$A$2004)))=0,"",MAX(N(E222),SUMPRODUCT(MAX(('Completion Log'!$B$5:$B$2004=A222)*('Completion Log'!$C$5:$C$2004=B222)*'Completion Log'!$A$5:$A$2004)))))</f>
        <v/>
      </c>
      <c r="G222" s="15" t="str">
        <f aca="true">IF(OR(A222="",B222="",OR(NOT(ISNUMBER(C222)),N(C222)&lt;=0)),"",IF(F222="",TODAY(),F222+C222))</f>
        <v/>
      </c>
      <c r="H222" s="16" t="str">
        <f aca="true">IF(G222="","",G222-TODAY())</f>
        <v/>
      </c>
      <c r="I222" s="17" t="str">
        <f aca="false">IF(AND(A222="",B222=""),"",IF(OR(A222="",B222=""),"Fill in asset and task",IF(OR(NOT(ISNUMBER(C222)),N(C222)&lt;=0),"Check frequency",IF(SUMPRODUCT(($A$5:$A$304=A222)*($B$5:$B$304=B222))&gt;1,"Duplicate row",IF(H222&lt;0,"OVERDUE",IF(H222&lt;=$I$2,"Due soon","OK"))))))</f>
        <v/>
      </c>
      <c r="J222" s="9"/>
    </row>
    <row r="223" customFormat="false" ht="15" hidden="false" customHeight="false" outlineLevel="0" collapsed="false">
      <c r="A223" s="9"/>
      <c r="B223" s="9"/>
      <c r="C223" s="9"/>
      <c r="D223" s="9"/>
      <c r="E223" s="14"/>
      <c r="F223" s="15" t="str">
        <f aca="false">IF(OR(A223="",B223=""),"",IF(MAX(N(E223),SUMPRODUCT(MAX(('Completion Log'!$B$5:$B$2004=A223)*('Completion Log'!$C$5:$C$2004=B223)*'Completion Log'!$A$5:$A$2004)))=0,"",MAX(N(E223),SUMPRODUCT(MAX(('Completion Log'!$B$5:$B$2004=A223)*('Completion Log'!$C$5:$C$2004=B223)*'Completion Log'!$A$5:$A$2004)))))</f>
        <v/>
      </c>
      <c r="G223" s="15" t="str">
        <f aca="true">IF(OR(A223="",B223="",OR(NOT(ISNUMBER(C223)),N(C223)&lt;=0)),"",IF(F223="",TODAY(),F223+C223))</f>
        <v/>
      </c>
      <c r="H223" s="16" t="str">
        <f aca="true">IF(G223="","",G223-TODAY())</f>
        <v/>
      </c>
      <c r="I223" s="17" t="str">
        <f aca="false">IF(AND(A223="",B223=""),"",IF(OR(A223="",B223=""),"Fill in asset and task",IF(OR(NOT(ISNUMBER(C223)),N(C223)&lt;=0),"Check frequency",IF(SUMPRODUCT(($A$5:$A$304=A223)*($B$5:$B$304=B223))&gt;1,"Duplicate row",IF(H223&lt;0,"OVERDUE",IF(H223&lt;=$I$2,"Due soon","OK"))))))</f>
        <v/>
      </c>
      <c r="J223" s="9"/>
    </row>
    <row r="224" customFormat="false" ht="15" hidden="false" customHeight="false" outlineLevel="0" collapsed="false">
      <c r="A224" s="9"/>
      <c r="B224" s="9"/>
      <c r="C224" s="9"/>
      <c r="D224" s="9"/>
      <c r="E224" s="14"/>
      <c r="F224" s="15" t="str">
        <f aca="false">IF(OR(A224="",B224=""),"",IF(MAX(N(E224),SUMPRODUCT(MAX(('Completion Log'!$B$5:$B$2004=A224)*('Completion Log'!$C$5:$C$2004=B224)*'Completion Log'!$A$5:$A$2004)))=0,"",MAX(N(E224),SUMPRODUCT(MAX(('Completion Log'!$B$5:$B$2004=A224)*('Completion Log'!$C$5:$C$2004=B224)*'Completion Log'!$A$5:$A$2004)))))</f>
        <v/>
      </c>
      <c r="G224" s="15" t="str">
        <f aca="true">IF(OR(A224="",B224="",OR(NOT(ISNUMBER(C224)),N(C224)&lt;=0)),"",IF(F224="",TODAY(),F224+C224))</f>
        <v/>
      </c>
      <c r="H224" s="16" t="str">
        <f aca="true">IF(G224="","",G224-TODAY())</f>
        <v/>
      </c>
      <c r="I224" s="17" t="str">
        <f aca="false">IF(AND(A224="",B224=""),"",IF(OR(A224="",B224=""),"Fill in asset and task",IF(OR(NOT(ISNUMBER(C224)),N(C224)&lt;=0),"Check frequency",IF(SUMPRODUCT(($A$5:$A$304=A224)*($B$5:$B$304=B224))&gt;1,"Duplicate row",IF(H224&lt;0,"OVERDUE",IF(H224&lt;=$I$2,"Due soon","OK"))))))</f>
        <v/>
      </c>
      <c r="J224" s="9"/>
    </row>
    <row r="225" customFormat="false" ht="15" hidden="false" customHeight="false" outlineLevel="0" collapsed="false">
      <c r="A225" s="9"/>
      <c r="B225" s="9"/>
      <c r="C225" s="9"/>
      <c r="D225" s="9"/>
      <c r="E225" s="14"/>
      <c r="F225" s="15" t="str">
        <f aca="false">IF(OR(A225="",B225=""),"",IF(MAX(N(E225),SUMPRODUCT(MAX(('Completion Log'!$B$5:$B$2004=A225)*('Completion Log'!$C$5:$C$2004=B225)*'Completion Log'!$A$5:$A$2004)))=0,"",MAX(N(E225),SUMPRODUCT(MAX(('Completion Log'!$B$5:$B$2004=A225)*('Completion Log'!$C$5:$C$2004=B225)*'Completion Log'!$A$5:$A$2004)))))</f>
        <v/>
      </c>
      <c r="G225" s="15" t="str">
        <f aca="true">IF(OR(A225="",B225="",OR(NOT(ISNUMBER(C225)),N(C225)&lt;=0)),"",IF(F225="",TODAY(),F225+C225))</f>
        <v/>
      </c>
      <c r="H225" s="16" t="str">
        <f aca="true">IF(G225="","",G225-TODAY())</f>
        <v/>
      </c>
      <c r="I225" s="17" t="str">
        <f aca="false">IF(AND(A225="",B225=""),"",IF(OR(A225="",B225=""),"Fill in asset and task",IF(OR(NOT(ISNUMBER(C225)),N(C225)&lt;=0),"Check frequency",IF(SUMPRODUCT(($A$5:$A$304=A225)*($B$5:$B$304=B225))&gt;1,"Duplicate row",IF(H225&lt;0,"OVERDUE",IF(H225&lt;=$I$2,"Due soon","OK"))))))</f>
        <v/>
      </c>
      <c r="J225" s="9"/>
    </row>
    <row r="226" customFormat="false" ht="15" hidden="false" customHeight="false" outlineLevel="0" collapsed="false">
      <c r="A226" s="9"/>
      <c r="B226" s="9"/>
      <c r="C226" s="9"/>
      <c r="D226" s="9"/>
      <c r="E226" s="14"/>
      <c r="F226" s="15" t="str">
        <f aca="false">IF(OR(A226="",B226=""),"",IF(MAX(N(E226),SUMPRODUCT(MAX(('Completion Log'!$B$5:$B$2004=A226)*('Completion Log'!$C$5:$C$2004=B226)*'Completion Log'!$A$5:$A$2004)))=0,"",MAX(N(E226),SUMPRODUCT(MAX(('Completion Log'!$B$5:$B$2004=A226)*('Completion Log'!$C$5:$C$2004=B226)*'Completion Log'!$A$5:$A$2004)))))</f>
        <v/>
      </c>
      <c r="G226" s="15" t="str">
        <f aca="true">IF(OR(A226="",B226="",OR(NOT(ISNUMBER(C226)),N(C226)&lt;=0)),"",IF(F226="",TODAY(),F226+C226))</f>
        <v/>
      </c>
      <c r="H226" s="16" t="str">
        <f aca="true">IF(G226="","",G226-TODAY())</f>
        <v/>
      </c>
      <c r="I226" s="17" t="str">
        <f aca="false">IF(AND(A226="",B226=""),"",IF(OR(A226="",B226=""),"Fill in asset and task",IF(OR(NOT(ISNUMBER(C226)),N(C226)&lt;=0),"Check frequency",IF(SUMPRODUCT(($A$5:$A$304=A226)*($B$5:$B$304=B226))&gt;1,"Duplicate row",IF(H226&lt;0,"OVERDUE",IF(H226&lt;=$I$2,"Due soon","OK"))))))</f>
        <v/>
      </c>
      <c r="J226" s="9"/>
    </row>
    <row r="227" customFormat="false" ht="15" hidden="false" customHeight="false" outlineLevel="0" collapsed="false">
      <c r="A227" s="9"/>
      <c r="B227" s="9"/>
      <c r="C227" s="9"/>
      <c r="D227" s="9"/>
      <c r="E227" s="14"/>
      <c r="F227" s="15" t="str">
        <f aca="false">IF(OR(A227="",B227=""),"",IF(MAX(N(E227),SUMPRODUCT(MAX(('Completion Log'!$B$5:$B$2004=A227)*('Completion Log'!$C$5:$C$2004=B227)*'Completion Log'!$A$5:$A$2004)))=0,"",MAX(N(E227),SUMPRODUCT(MAX(('Completion Log'!$B$5:$B$2004=A227)*('Completion Log'!$C$5:$C$2004=B227)*'Completion Log'!$A$5:$A$2004)))))</f>
        <v/>
      </c>
      <c r="G227" s="15" t="str">
        <f aca="true">IF(OR(A227="",B227="",OR(NOT(ISNUMBER(C227)),N(C227)&lt;=0)),"",IF(F227="",TODAY(),F227+C227))</f>
        <v/>
      </c>
      <c r="H227" s="16" t="str">
        <f aca="true">IF(G227="","",G227-TODAY())</f>
        <v/>
      </c>
      <c r="I227" s="17" t="str">
        <f aca="false">IF(AND(A227="",B227=""),"",IF(OR(A227="",B227=""),"Fill in asset and task",IF(OR(NOT(ISNUMBER(C227)),N(C227)&lt;=0),"Check frequency",IF(SUMPRODUCT(($A$5:$A$304=A227)*($B$5:$B$304=B227))&gt;1,"Duplicate row",IF(H227&lt;0,"OVERDUE",IF(H227&lt;=$I$2,"Due soon","OK"))))))</f>
        <v/>
      </c>
      <c r="J227" s="9"/>
    </row>
    <row r="228" customFormat="false" ht="15" hidden="false" customHeight="false" outlineLevel="0" collapsed="false">
      <c r="A228" s="9"/>
      <c r="B228" s="9"/>
      <c r="C228" s="9"/>
      <c r="D228" s="9"/>
      <c r="E228" s="14"/>
      <c r="F228" s="15" t="str">
        <f aca="false">IF(OR(A228="",B228=""),"",IF(MAX(N(E228),SUMPRODUCT(MAX(('Completion Log'!$B$5:$B$2004=A228)*('Completion Log'!$C$5:$C$2004=B228)*'Completion Log'!$A$5:$A$2004)))=0,"",MAX(N(E228),SUMPRODUCT(MAX(('Completion Log'!$B$5:$B$2004=A228)*('Completion Log'!$C$5:$C$2004=B228)*'Completion Log'!$A$5:$A$2004)))))</f>
        <v/>
      </c>
      <c r="G228" s="15" t="str">
        <f aca="true">IF(OR(A228="",B228="",OR(NOT(ISNUMBER(C228)),N(C228)&lt;=0)),"",IF(F228="",TODAY(),F228+C228))</f>
        <v/>
      </c>
      <c r="H228" s="16" t="str">
        <f aca="true">IF(G228="","",G228-TODAY())</f>
        <v/>
      </c>
      <c r="I228" s="17" t="str">
        <f aca="false">IF(AND(A228="",B228=""),"",IF(OR(A228="",B228=""),"Fill in asset and task",IF(OR(NOT(ISNUMBER(C228)),N(C228)&lt;=0),"Check frequency",IF(SUMPRODUCT(($A$5:$A$304=A228)*($B$5:$B$304=B228))&gt;1,"Duplicate row",IF(H228&lt;0,"OVERDUE",IF(H228&lt;=$I$2,"Due soon","OK"))))))</f>
        <v/>
      </c>
      <c r="J228" s="9"/>
    </row>
    <row r="229" customFormat="false" ht="15" hidden="false" customHeight="false" outlineLevel="0" collapsed="false">
      <c r="A229" s="9"/>
      <c r="B229" s="9"/>
      <c r="C229" s="9"/>
      <c r="D229" s="9"/>
      <c r="E229" s="14"/>
      <c r="F229" s="15" t="str">
        <f aca="false">IF(OR(A229="",B229=""),"",IF(MAX(N(E229),SUMPRODUCT(MAX(('Completion Log'!$B$5:$B$2004=A229)*('Completion Log'!$C$5:$C$2004=B229)*'Completion Log'!$A$5:$A$2004)))=0,"",MAX(N(E229),SUMPRODUCT(MAX(('Completion Log'!$B$5:$B$2004=A229)*('Completion Log'!$C$5:$C$2004=B229)*'Completion Log'!$A$5:$A$2004)))))</f>
        <v/>
      </c>
      <c r="G229" s="15" t="str">
        <f aca="true">IF(OR(A229="",B229="",OR(NOT(ISNUMBER(C229)),N(C229)&lt;=0)),"",IF(F229="",TODAY(),F229+C229))</f>
        <v/>
      </c>
      <c r="H229" s="16" t="str">
        <f aca="true">IF(G229="","",G229-TODAY())</f>
        <v/>
      </c>
      <c r="I229" s="17" t="str">
        <f aca="false">IF(AND(A229="",B229=""),"",IF(OR(A229="",B229=""),"Fill in asset and task",IF(OR(NOT(ISNUMBER(C229)),N(C229)&lt;=0),"Check frequency",IF(SUMPRODUCT(($A$5:$A$304=A229)*($B$5:$B$304=B229))&gt;1,"Duplicate row",IF(H229&lt;0,"OVERDUE",IF(H229&lt;=$I$2,"Due soon","OK"))))))</f>
        <v/>
      </c>
      <c r="J229" s="9"/>
    </row>
    <row r="230" customFormat="false" ht="15" hidden="false" customHeight="false" outlineLevel="0" collapsed="false">
      <c r="A230" s="9"/>
      <c r="B230" s="9"/>
      <c r="C230" s="9"/>
      <c r="D230" s="9"/>
      <c r="E230" s="14"/>
      <c r="F230" s="15" t="str">
        <f aca="false">IF(OR(A230="",B230=""),"",IF(MAX(N(E230),SUMPRODUCT(MAX(('Completion Log'!$B$5:$B$2004=A230)*('Completion Log'!$C$5:$C$2004=B230)*'Completion Log'!$A$5:$A$2004)))=0,"",MAX(N(E230),SUMPRODUCT(MAX(('Completion Log'!$B$5:$B$2004=A230)*('Completion Log'!$C$5:$C$2004=B230)*'Completion Log'!$A$5:$A$2004)))))</f>
        <v/>
      </c>
      <c r="G230" s="15" t="str">
        <f aca="true">IF(OR(A230="",B230="",OR(NOT(ISNUMBER(C230)),N(C230)&lt;=0)),"",IF(F230="",TODAY(),F230+C230))</f>
        <v/>
      </c>
      <c r="H230" s="16" t="str">
        <f aca="true">IF(G230="","",G230-TODAY())</f>
        <v/>
      </c>
      <c r="I230" s="17" t="str">
        <f aca="false">IF(AND(A230="",B230=""),"",IF(OR(A230="",B230=""),"Fill in asset and task",IF(OR(NOT(ISNUMBER(C230)),N(C230)&lt;=0),"Check frequency",IF(SUMPRODUCT(($A$5:$A$304=A230)*($B$5:$B$304=B230))&gt;1,"Duplicate row",IF(H230&lt;0,"OVERDUE",IF(H230&lt;=$I$2,"Due soon","OK"))))))</f>
        <v/>
      </c>
      <c r="J230" s="9"/>
    </row>
    <row r="231" customFormat="false" ht="15" hidden="false" customHeight="false" outlineLevel="0" collapsed="false">
      <c r="A231" s="9"/>
      <c r="B231" s="9"/>
      <c r="C231" s="9"/>
      <c r="D231" s="9"/>
      <c r="E231" s="14"/>
      <c r="F231" s="15" t="str">
        <f aca="false">IF(OR(A231="",B231=""),"",IF(MAX(N(E231),SUMPRODUCT(MAX(('Completion Log'!$B$5:$B$2004=A231)*('Completion Log'!$C$5:$C$2004=B231)*'Completion Log'!$A$5:$A$2004)))=0,"",MAX(N(E231),SUMPRODUCT(MAX(('Completion Log'!$B$5:$B$2004=A231)*('Completion Log'!$C$5:$C$2004=B231)*'Completion Log'!$A$5:$A$2004)))))</f>
        <v/>
      </c>
      <c r="G231" s="15" t="str">
        <f aca="true">IF(OR(A231="",B231="",OR(NOT(ISNUMBER(C231)),N(C231)&lt;=0)),"",IF(F231="",TODAY(),F231+C231))</f>
        <v/>
      </c>
      <c r="H231" s="16" t="str">
        <f aca="true">IF(G231="","",G231-TODAY())</f>
        <v/>
      </c>
      <c r="I231" s="17" t="str">
        <f aca="false">IF(AND(A231="",B231=""),"",IF(OR(A231="",B231=""),"Fill in asset and task",IF(OR(NOT(ISNUMBER(C231)),N(C231)&lt;=0),"Check frequency",IF(SUMPRODUCT(($A$5:$A$304=A231)*($B$5:$B$304=B231))&gt;1,"Duplicate row",IF(H231&lt;0,"OVERDUE",IF(H231&lt;=$I$2,"Due soon","OK"))))))</f>
        <v/>
      </c>
      <c r="J231" s="9"/>
    </row>
    <row r="232" customFormat="false" ht="15" hidden="false" customHeight="false" outlineLevel="0" collapsed="false">
      <c r="A232" s="9"/>
      <c r="B232" s="9"/>
      <c r="C232" s="9"/>
      <c r="D232" s="9"/>
      <c r="E232" s="14"/>
      <c r="F232" s="15" t="str">
        <f aca="false">IF(OR(A232="",B232=""),"",IF(MAX(N(E232),SUMPRODUCT(MAX(('Completion Log'!$B$5:$B$2004=A232)*('Completion Log'!$C$5:$C$2004=B232)*'Completion Log'!$A$5:$A$2004)))=0,"",MAX(N(E232),SUMPRODUCT(MAX(('Completion Log'!$B$5:$B$2004=A232)*('Completion Log'!$C$5:$C$2004=B232)*'Completion Log'!$A$5:$A$2004)))))</f>
        <v/>
      </c>
      <c r="G232" s="15" t="str">
        <f aca="true">IF(OR(A232="",B232="",OR(NOT(ISNUMBER(C232)),N(C232)&lt;=0)),"",IF(F232="",TODAY(),F232+C232))</f>
        <v/>
      </c>
      <c r="H232" s="16" t="str">
        <f aca="true">IF(G232="","",G232-TODAY())</f>
        <v/>
      </c>
      <c r="I232" s="17" t="str">
        <f aca="false">IF(AND(A232="",B232=""),"",IF(OR(A232="",B232=""),"Fill in asset and task",IF(OR(NOT(ISNUMBER(C232)),N(C232)&lt;=0),"Check frequency",IF(SUMPRODUCT(($A$5:$A$304=A232)*($B$5:$B$304=B232))&gt;1,"Duplicate row",IF(H232&lt;0,"OVERDUE",IF(H232&lt;=$I$2,"Due soon","OK"))))))</f>
        <v/>
      </c>
      <c r="J232" s="9"/>
    </row>
    <row r="233" customFormat="false" ht="15" hidden="false" customHeight="false" outlineLevel="0" collapsed="false">
      <c r="A233" s="9"/>
      <c r="B233" s="9"/>
      <c r="C233" s="9"/>
      <c r="D233" s="9"/>
      <c r="E233" s="14"/>
      <c r="F233" s="15" t="str">
        <f aca="false">IF(OR(A233="",B233=""),"",IF(MAX(N(E233),SUMPRODUCT(MAX(('Completion Log'!$B$5:$B$2004=A233)*('Completion Log'!$C$5:$C$2004=B233)*'Completion Log'!$A$5:$A$2004)))=0,"",MAX(N(E233),SUMPRODUCT(MAX(('Completion Log'!$B$5:$B$2004=A233)*('Completion Log'!$C$5:$C$2004=B233)*'Completion Log'!$A$5:$A$2004)))))</f>
        <v/>
      </c>
      <c r="G233" s="15" t="str">
        <f aca="true">IF(OR(A233="",B233="",OR(NOT(ISNUMBER(C233)),N(C233)&lt;=0)),"",IF(F233="",TODAY(),F233+C233))</f>
        <v/>
      </c>
      <c r="H233" s="16" t="str">
        <f aca="true">IF(G233="","",G233-TODAY())</f>
        <v/>
      </c>
      <c r="I233" s="17" t="str">
        <f aca="false">IF(AND(A233="",B233=""),"",IF(OR(A233="",B233=""),"Fill in asset and task",IF(OR(NOT(ISNUMBER(C233)),N(C233)&lt;=0),"Check frequency",IF(SUMPRODUCT(($A$5:$A$304=A233)*($B$5:$B$304=B233))&gt;1,"Duplicate row",IF(H233&lt;0,"OVERDUE",IF(H233&lt;=$I$2,"Due soon","OK"))))))</f>
        <v/>
      </c>
      <c r="J233" s="9"/>
    </row>
    <row r="234" customFormat="false" ht="15" hidden="false" customHeight="false" outlineLevel="0" collapsed="false">
      <c r="A234" s="9"/>
      <c r="B234" s="9"/>
      <c r="C234" s="9"/>
      <c r="D234" s="9"/>
      <c r="E234" s="14"/>
      <c r="F234" s="15" t="str">
        <f aca="false">IF(OR(A234="",B234=""),"",IF(MAX(N(E234),SUMPRODUCT(MAX(('Completion Log'!$B$5:$B$2004=A234)*('Completion Log'!$C$5:$C$2004=B234)*'Completion Log'!$A$5:$A$2004)))=0,"",MAX(N(E234),SUMPRODUCT(MAX(('Completion Log'!$B$5:$B$2004=A234)*('Completion Log'!$C$5:$C$2004=B234)*'Completion Log'!$A$5:$A$2004)))))</f>
        <v/>
      </c>
      <c r="G234" s="15" t="str">
        <f aca="true">IF(OR(A234="",B234="",OR(NOT(ISNUMBER(C234)),N(C234)&lt;=0)),"",IF(F234="",TODAY(),F234+C234))</f>
        <v/>
      </c>
      <c r="H234" s="16" t="str">
        <f aca="true">IF(G234="","",G234-TODAY())</f>
        <v/>
      </c>
      <c r="I234" s="17" t="str">
        <f aca="false">IF(AND(A234="",B234=""),"",IF(OR(A234="",B234=""),"Fill in asset and task",IF(OR(NOT(ISNUMBER(C234)),N(C234)&lt;=0),"Check frequency",IF(SUMPRODUCT(($A$5:$A$304=A234)*($B$5:$B$304=B234))&gt;1,"Duplicate row",IF(H234&lt;0,"OVERDUE",IF(H234&lt;=$I$2,"Due soon","OK"))))))</f>
        <v/>
      </c>
      <c r="J234" s="9"/>
    </row>
    <row r="235" customFormat="false" ht="15" hidden="false" customHeight="false" outlineLevel="0" collapsed="false">
      <c r="A235" s="9"/>
      <c r="B235" s="9"/>
      <c r="C235" s="9"/>
      <c r="D235" s="9"/>
      <c r="E235" s="14"/>
      <c r="F235" s="15" t="str">
        <f aca="false">IF(OR(A235="",B235=""),"",IF(MAX(N(E235),SUMPRODUCT(MAX(('Completion Log'!$B$5:$B$2004=A235)*('Completion Log'!$C$5:$C$2004=B235)*'Completion Log'!$A$5:$A$2004)))=0,"",MAX(N(E235),SUMPRODUCT(MAX(('Completion Log'!$B$5:$B$2004=A235)*('Completion Log'!$C$5:$C$2004=B235)*'Completion Log'!$A$5:$A$2004)))))</f>
        <v/>
      </c>
      <c r="G235" s="15" t="str">
        <f aca="true">IF(OR(A235="",B235="",OR(NOT(ISNUMBER(C235)),N(C235)&lt;=0)),"",IF(F235="",TODAY(),F235+C235))</f>
        <v/>
      </c>
      <c r="H235" s="16" t="str">
        <f aca="true">IF(G235="","",G235-TODAY())</f>
        <v/>
      </c>
      <c r="I235" s="17" t="str">
        <f aca="false">IF(AND(A235="",B235=""),"",IF(OR(A235="",B235=""),"Fill in asset and task",IF(OR(NOT(ISNUMBER(C235)),N(C235)&lt;=0),"Check frequency",IF(SUMPRODUCT(($A$5:$A$304=A235)*($B$5:$B$304=B235))&gt;1,"Duplicate row",IF(H235&lt;0,"OVERDUE",IF(H235&lt;=$I$2,"Due soon","OK"))))))</f>
        <v/>
      </c>
      <c r="J235" s="9"/>
    </row>
    <row r="236" customFormat="false" ht="15" hidden="false" customHeight="false" outlineLevel="0" collapsed="false">
      <c r="A236" s="9"/>
      <c r="B236" s="9"/>
      <c r="C236" s="9"/>
      <c r="D236" s="9"/>
      <c r="E236" s="14"/>
      <c r="F236" s="15" t="str">
        <f aca="false">IF(OR(A236="",B236=""),"",IF(MAX(N(E236),SUMPRODUCT(MAX(('Completion Log'!$B$5:$B$2004=A236)*('Completion Log'!$C$5:$C$2004=B236)*'Completion Log'!$A$5:$A$2004)))=0,"",MAX(N(E236),SUMPRODUCT(MAX(('Completion Log'!$B$5:$B$2004=A236)*('Completion Log'!$C$5:$C$2004=B236)*'Completion Log'!$A$5:$A$2004)))))</f>
        <v/>
      </c>
      <c r="G236" s="15" t="str">
        <f aca="true">IF(OR(A236="",B236="",OR(NOT(ISNUMBER(C236)),N(C236)&lt;=0)),"",IF(F236="",TODAY(),F236+C236))</f>
        <v/>
      </c>
      <c r="H236" s="16" t="str">
        <f aca="true">IF(G236="","",G236-TODAY())</f>
        <v/>
      </c>
      <c r="I236" s="17" t="str">
        <f aca="false">IF(AND(A236="",B236=""),"",IF(OR(A236="",B236=""),"Fill in asset and task",IF(OR(NOT(ISNUMBER(C236)),N(C236)&lt;=0),"Check frequency",IF(SUMPRODUCT(($A$5:$A$304=A236)*($B$5:$B$304=B236))&gt;1,"Duplicate row",IF(H236&lt;0,"OVERDUE",IF(H236&lt;=$I$2,"Due soon","OK"))))))</f>
        <v/>
      </c>
      <c r="J236" s="9"/>
    </row>
    <row r="237" customFormat="false" ht="15" hidden="false" customHeight="false" outlineLevel="0" collapsed="false">
      <c r="A237" s="9"/>
      <c r="B237" s="9"/>
      <c r="C237" s="9"/>
      <c r="D237" s="9"/>
      <c r="E237" s="14"/>
      <c r="F237" s="15" t="str">
        <f aca="false">IF(OR(A237="",B237=""),"",IF(MAX(N(E237),SUMPRODUCT(MAX(('Completion Log'!$B$5:$B$2004=A237)*('Completion Log'!$C$5:$C$2004=B237)*'Completion Log'!$A$5:$A$2004)))=0,"",MAX(N(E237),SUMPRODUCT(MAX(('Completion Log'!$B$5:$B$2004=A237)*('Completion Log'!$C$5:$C$2004=B237)*'Completion Log'!$A$5:$A$2004)))))</f>
        <v/>
      </c>
      <c r="G237" s="15" t="str">
        <f aca="true">IF(OR(A237="",B237="",OR(NOT(ISNUMBER(C237)),N(C237)&lt;=0)),"",IF(F237="",TODAY(),F237+C237))</f>
        <v/>
      </c>
      <c r="H237" s="16" t="str">
        <f aca="true">IF(G237="","",G237-TODAY())</f>
        <v/>
      </c>
      <c r="I237" s="17" t="str">
        <f aca="false">IF(AND(A237="",B237=""),"",IF(OR(A237="",B237=""),"Fill in asset and task",IF(OR(NOT(ISNUMBER(C237)),N(C237)&lt;=0),"Check frequency",IF(SUMPRODUCT(($A$5:$A$304=A237)*($B$5:$B$304=B237))&gt;1,"Duplicate row",IF(H237&lt;0,"OVERDUE",IF(H237&lt;=$I$2,"Due soon","OK"))))))</f>
        <v/>
      </c>
      <c r="J237" s="9"/>
    </row>
    <row r="238" customFormat="false" ht="15" hidden="false" customHeight="false" outlineLevel="0" collapsed="false">
      <c r="A238" s="9"/>
      <c r="B238" s="9"/>
      <c r="C238" s="9"/>
      <c r="D238" s="9"/>
      <c r="E238" s="14"/>
      <c r="F238" s="15" t="str">
        <f aca="false">IF(OR(A238="",B238=""),"",IF(MAX(N(E238),SUMPRODUCT(MAX(('Completion Log'!$B$5:$B$2004=A238)*('Completion Log'!$C$5:$C$2004=B238)*'Completion Log'!$A$5:$A$2004)))=0,"",MAX(N(E238),SUMPRODUCT(MAX(('Completion Log'!$B$5:$B$2004=A238)*('Completion Log'!$C$5:$C$2004=B238)*'Completion Log'!$A$5:$A$2004)))))</f>
        <v/>
      </c>
      <c r="G238" s="15" t="str">
        <f aca="true">IF(OR(A238="",B238="",OR(NOT(ISNUMBER(C238)),N(C238)&lt;=0)),"",IF(F238="",TODAY(),F238+C238))</f>
        <v/>
      </c>
      <c r="H238" s="16" t="str">
        <f aca="true">IF(G238="","",G238-TODAY())</f>
        <v/>
      </c>
      <c r="I238" s="17" t="str">
        <f aca="false">IF(AND(A238="",B238=""),"",IF(OR(A238="",B238=""),"Fill in asset and task",IF(OR(NOT(ISNUMBER(C238)),N(C238)&lt;=0),"Check frequency",IF(SUMPRODUCT(($A$5:$A$304=A238)*($B$5:$B$304=B238))&gt;1,"Duplicate row",IF(H238&lt;0,"OVERDUE",IF(H238&lt;=$I$2,"Due soon","OK"))))))</f>
        <v/>
      </c>
      <c r="J238" s="9"/>
    </row>
    <row r="239" customFormat="false" ht="15" hidden="false" customHeight="false" outlineLevel="0" collapsed="false">
      <c r="A239" s="9"/>
      <c r="B239" s="9"/>
      <c r="C239" s="9"/>
      <c r="D239" s="9"/>
      <c r="E239" s="14"/>
      <c r="F239" s="15" t="str">
        <f aca="false">IF(OR(A239="",B239=""),"",IF(MAX(N(E239),SUMPRODUCT(MAX(('Completion Log'!$B$5:$B$2004=A239)*('Completion Log'!$C$5:$C$2004=B239)*'Completion Log'!$A$5:$A$2004)))=0,"",MAX(N(E239),SUMPRODUCT(MAX(('Completion Log'!$B$5:$B$2004=A239)*('Completion Log'!$C$5:$C$2004=B239)*'Completion Log'!$A$5:$A$2004)))))</f>
        <v/>
      </c>
      <c r="G239" s="15" t="str">
        <f aca="true">IF(OR(A239="",B239="",OR(NOT(ISNUMBER(C239)),N(C239)&lt;=0)),"",IF(F239="",TODAY(),F239+C239))</f>
        <v/>
      </c>
      <c r="H239" s="16" t="str">
        <f aca="true">IF(G239="","",G239-TODAY())</f>
        <v/>
      </c>
      <c r="I239" s="17" t="str">
        <f aca="false">IF(AND(A239="",B239=""),"",IF(OR(A239="",B239=""),"Fill in asset and task",IF(OR(NOT(ISNUMBER(C239)),N(C239)&lt;=0),"Check frequency",IF(SUMPRODUCT(($A$5:$A$304=A239)*($B$5:$B$304=B239))&gt;1,"Duplicate row",IF(H239&lt;0,"OVERDUE",IF(H239&lt;=$I$2,"Due soon","OK"))))))</f>
        <v/>
      </c>
      <c r="J239" s="9"/>
    </row>
    <row r="240" customFormat="false" ht="15" hidden="false" customHeight="false" outlineLevel="0" collapsed="false">
      <c r="A240" s="9"/>
      <c r="B240" s="9"/>
      <c r="C240" s="9"/>
      <c r="D240" s="9"/>
      <c r="E240" s="14"/>
      <c r="F240" s="15" t="str">
        <f aca="false">IF(OR(A240="",B240=""),"",IF(MAX(N(E240),SUMPRODUCT(MAX(('Completion Log'!$B$5:$B$2004=A240)*('Completion Log'!$C$5:$C$2004=B240)*'Completion Log'!$A$5:$A$2004)))=0,"",MAX(N(E240),SUMPRODUCT(MAX(('Completion Log'!$B$5:$B$2004=A240)*('Completion Log'!$C$5:$C$2004=B240)*'Completion Log'!$A$5:$A$2004)))))</f>
        <v/>
      </c>
      <c r="G240" s="15" t="str">
        <f aca="true">IF(OR(A240="",B240="",OR(NOT(ISNUMBER(C240)),N(C240)&lt;=0)),"",IF(F240="",TODAY(),F240+C240))</f>
        <v/>
      </c>
      <c r="H240" s="16" t="str">
        <f aca="true">IF(G240="","",G240-TODAY())</f>
        <v/>
      </c>
      <c r="I240" s="17" t="str">
        <f aca="false">IF(AND(A240="",B240=""),"",IF(OR(A240="",B240=""),"Fill in asset and task",IF(OR(NOT(ISNUMBER(C240)),N(C240)&lt;=0),"Check frequency",IF(SUMPRODUCT(($A$5:$A$304=A240)*($B$5:$B$304=B240))&gt;1,"Duplicate row",IF(H240&lt;0,"OVERDUE",IF(H240&lt;=$I$2,"Due soon","OK"))))))</f>
        <v/>
      </c>
      <c r="J240" s="9"/>
    </row>
    <row r="241" customFormat="false" ht="15" hidden="false" customHeight="false" outlineLevel="0" collapsed="false">
      <c r="A241" s="9"/>
      <c r="B241" s="9"/>
      <c r="C241" s="9"/>
      <c r="D241" s="9"/>
      <c r="E241" s="14"/>
      <c r="F241" s="15" t="str">
        <f aca="false">IF(OR(A241="",B241=""),"",IF(MAX(N(E241),SUMPRODUCT(MAX(('Completion Log'!$B$5:$B$2004=A241)*('Completion Log'!$C$5:$C$2004=B241)*'Completion Log'!$A$5:$A$2004)))=0,"",MAX(N(E241),SUMPRODUCT(MAX(('Completion Log'!$B$5:$B$2004=A241)*('Completion Log'!$C$5:$C$2004=B241)*'Completion Log'!$A$5:$A$2004)))))</f>
        <v/>
      </c>
      <c r="G241" s="15" t="str">
        <f aca="true">IF(OR(A241="",B241="",OR(NOT(ISNUMBER(C241)),N(C241)&lt;=0)),"",IF(F241="",TODAY(),F241+C241))</f>
        <v/>
      </c>
      <c r="H241" s="16" t="str">
        <f aca="true">IF(G241="","",G241-TODAY())</f>
        <v/>
      </c>
      <c r="I241" s="17" t="str">
        <f aca="false">IF(AND(A241="",B241=""),"",IF(OR(A241="",B241=""),"Fill in asset and task",IF(OR(NOT(ISNUMBER(C241)),N(C241)&lt;=0),"Check frequency",IF(SUMPRODUCT(($A$5:$A$304=A241)*($B$5:$B$304=B241))&gt;1,"Duplicate row",IF(H241&lt;0,"OVERDUE",IF(H241&lt;=$I$2,"Due soon","OK"))))))</f>
        <v/>
      </c>
      <c r="J241" s="9"/>
    </row>
    <row r="242" customFormat="false" ht="15" hidden="false" customHeight="false" outlineLevel="0" collapsed="false">
      <c r="A242" s="9"/>
      <c r="B242" s="9"/>
      <c r="C242" s="9"/>
      <c r="D242" s="9"/>
      <c r="E242" s="14"/>
      <c r="F242" s="15" t="str">
        <f aca="false">IF(OR(A242="",B242=""),"",IF(MAX(N(E242),SUMPRODUCT(MAX(('Completion Log'!$B$5:$B$2004=A242)*('Completion Log'!$C$5:$C$2004=B242)*'Completion Log'!$A$5:$A$2004)))=0,"",MAX(N(E242),SUMPRODUCT(MAX(('Completion Log'!$B$5:$B$2004=A242)*('Completion Log'!$C$5:$C$2004=B242)*'Completion Log'!$A$5:$A$2004)))))</f>
        <v/>
      </c>
      <c r="G242" s="15" t="str">
        <f aca="true">IF(OR(A242="",B242="",OR(NOT(ISNUMBER(C242)),N(C242)&lt;=0)),"",IF(F242="",TODAY(),F242+C242))</f>
        <v/>
      </c>
      <c r="H242" s="16" t="str">
        <f aca="true">IF(G242="","",G242-TODAY())</f>
        <v/>
      </c>
      <c r="I242" s="17" t="str">
        <f aca="false">IF(AND(A242="",B242=""),"",IF(OR(A242="",B242=""),"Fill in asset and task",IF(OR(NOT(ISNUMBER(C242)),N(C242)&lt;=0),"Check frequency",IF(SUMPRODUCT(($A$5:$A$304=A242)*($B$5:$B$304=B242))&gt;1,"Duplicate row",IF(H242&lt;0,"OVERDUE",IF(H242&lt;=$I$2,"Due soon","OK"))))))</f>
        <v/>
      </c>
      <c r="J242" s="9"/>
    </row>
    <row r="243" customFormat="false" ht="15" hidden="false" customHeight="false" outlineLevel="0" collapsed="false">
      <c r="A243" s="9"/>
      <c r="B243" s="9"/>
      <c r="C243" s="9"/>
      <c r="D243" s="9"/>
      <c r="E243" s="14"/>
      <c r="F243" s="15" t="str">
        <f aca="false">IF(OR(A243="",B243=""),"",IF(MAX(N(E243),SUMPRODUCT(MAX(('Completion Log'!$B$5:$B$2004=A243)*('Completion Log'!$C$5:$C$2004=B243)*'Completion Log'!$A$5:$A$2004)))=0,"",MAX(N(E243),SUMPRODUCT(MAX(('Completion Log'!$B$5:$B$2004=A243)*('Completion Log'!$C$5:$C$2004=B243)*'Completion Log'!$A$5:$A$2004)))))</f>
        <v/>
      </c>
      <c r="G243" s="15" t="str">
        <f aca="true">IF(OR(A243="",B243="",OR(NOT(ISNUMBER(C243)),N(C243)&lt;=0)),"",IF(F243="",TODAY(),F243+C243))</f>
        <v/>
      </c>
      <c r="H243" s="16" t="str">
        <f aca="true">IF(G243="","",G243-TODAY())</f>
        <v/>
      </c>
      <c r="I243" s="17" t="str">
        <f aca="false">IF(AND(A243="",B243=""),"",IF(OR(A243="",B243=""),"Fill in asset and task",IF(OR(NOT(ISNUMBER(C243)),N(C243)&lt;=0),"Check frequency",IF(SUMPRODUCT(($A$5:$A$304=A243)*($B$5:$B$304=B243))&gt;1,"Duplicate row",IF(H243&lt;0,"OVERDUE",IF(H243&lt;=$I$2,"Due soon","OK"))))))</f>
        <v/>
      </c>
      <c r="J243" s="9"/>
    </row>
    <row r="244" customFormat="false" ht="15" hidden="false" customHeight="false" outlineLevel="0" collapsed="false">
      <c r="A244" s="9"/>
      <c r="B244" s="9"/>
      <c r="C244" s="9"/>
      <c r="D244" s="9"/>
      <c r="E244" s="14"/>
      <c r="F244" s="15" t="str">
        <f aca="false">IF(OR(A244="",B244=""),"",IF(MAX(N(E244),SUMPRODUCT(MAX(('Completion Log'!$B$5:$B$2004=A244)*('Completion Log'!$C$5:$C$2004=B244)*'Completion Log'!$A$5:$A$2004)))=0,"",MAX(N(E244),SUMPRODUCT(MAX(('Completion Log'!$B$5:$B$2004=A244)*('Completion Log'!$C$5:$C$2004=B244)*'Completion Log'!$A$5:$A$2004)))))</f>
        <v/>
      </c>
      <c r="G244" s="15" t="str">
        <f aca="true">IF(OR(A244="",B244="",OR(NOT(ISNUMBER(C244)),N(C244)&lt;=0)),"",IF(F244="",TODAY(),F244+C244))</f>
        <v/>
      </c>
      <c r="H244" s="16" t="str">
        <f aca="true">IF(G244="","",G244-TODAY())</f>
        <v/>
      </c>
      <c r="I244" s="17" t="str">
        <f aca="false">IF(AND(A244="",B244=""),"",IF(OR(A244="",B244=""),"Fill in asset and task",IF(OR(NOT(ISNUMBER(C244)),N(C244)&lt;=0),"Check frequency",IF(SUMPRODUCT(($A$5:$A$304=A244)*($B$5:$B$304=B244))&gt;1,"Duplicate row",IF(H244&lt;0,"OVERDUE",IF(H244&lt;=$I$2,"Due soon","OK"))))))</f>
        <v/>
      </c>
      <c r="J244" s="9"/>
    </row>
    <row r="245" customFormat="false" ht="15" hidden="false" customHeight="false" outlineLevel="0" collapsed="false">
      <c r="A245" s="9"/>
      <c r="B245" s="9"/>
      <c r="C245" s="9"/>
      <c r="D245" s="9"/>
      <c r="E245" s="14"/>
      <c r="F245" s="15" t="str">
        <f aca="false">IF(OR(A245="",B245=""),"",IF(MAX(N(E245),SUMPRODUCT(MAX(('Completion Log'!$B$5:$B$2004=A245)*('Completion Log'!$C$5:$C$2004=B245)*'Completion Log'!$A$5:$A$2004)))=0,"",MAX(N(E245),SUMPRODUCT(MAX(('Completion Log'!$B$5:$B$2004=A245)*('Completion Log'!$C$5:$C$2004=B245)*'Completion Log'!$A$5:$A$2004)))))</f>
        <v/>
      </c>
      <c r="G245" s="15" t="str">
        <f aca="true">IF(OR(A245="",B245="",OR(NOT(ISNUMBER(C245)),N(C245)&lt;=0)),"",IF(F245="",TODAY(),F245+C245))</f>
        <v/>
      </c>
      <c r="H245" s="16" t="str">
        <f aca="true">IF(G245="","",G245-TODAY())</f>
        <v/>
      </c>
      <c r="I245" s="17" t="str">
        <f aca="false">IF(AND(A245="",B245=""),"",IF(OR(A245="",B245=""),"Fill in asset and task",IF(OR(NOT(ISNUMBER(C245)),N(C245)&lt;=0),"Check frequency",IF(SUMPRODUCT(($A$5:$A$304=A245)*($B$5:$B$304=B245))&gt;1,"Duplicate row",IF(H245&lt;0,"OVERDUE",IF(H245&lt;=$I$2,"Due soon","OK"))))))</f>
        <v/>
      </c>
      <c r="J245" s="9"/>
    </row>
    <row r="246" customFormat="false" ht="15" hidden="false" customHeight="false" outlineLevel="0" collapsed="false">
      <c r="A246" s="9"/>
      <c r="B246" s="9"/>
      <c r="C246" s="9"/>
      <c r="D246" s="9"/>
      <c r="E246" s="14"/>
      <c r="F246" s="15" t="str">
        <f aca="false">IF(OR(A246="",B246=""),"",IF(MAX(N(E246),SUMPRODUCT(MAX(('Completion Log'!$B$5:$B$2004=A246)*('Completion Log'!$C$5:$C$2004=B246)*'Completion Log'!$A$5:$A$2004)))=0,"",MAX(N(E246),SUMPRODUCT(MAX(('Completion Log'!$B$5:$B$2004=A246)*('Completion Log'!$C$5:$C$2004=B246)*'Completion Log'!$A$5:$A$2004)))))</f>
        <v/>
      </c>
      <c r="G246" s="15" t="str">
        <f aca="true">IF(OR(A246="",B246="",OR(NOT(ISNUMBER(C246)),N(C246)&lt;=0)),"",IF(F246="",TODAY(),F246+C246))</f>
        <v/>
      </c>
      <c r="H246" s="16" t="str">
        <f aca="true">IF(G246="","",G246-TODAY())</f>
        <v/>
      </c>
      <c r="I246" s="17" t="str">
        <f aca="false">IF(AND(A246="",B246=""),"",IF(OR(A246="",B246=""),"Fill in asset and task",IF(OR(NOT(ISNUMBER(C246)),N(C246)&lt;=0),"Check frequency",IF(SUMPRODUCT(($A$5:$A$304=A246)*($B$5:$B$304=B246))&gt;1,"Duplicate row",IF(H246&lt;0,"OVERDUE",IF(H246&lt;=$I$2,"Due soon","OK"))))))</f>
        <v/>
      </c>
      <c r="J246" s="9"/>
    </row>
    <row r="247" customFormat="false" ht="15" hidden="false" customHeight="false" outlineLevel="0" collapsed="false">
      <c r="A247" s="9"/>
      <c r="B247" s="9"/>
      <c r="C247" s="9"/>
      <c r="D247" s="9"/>
      <c r="E247" s="14"/>
      <c r="F247" s="15" t="str">
        <f aca="false">IF(OR(A247="",B247=""),"",IF(MAX(N(E247),SUMPRODUCT(MAX(('Completion Log'!$B$5:$B$2004=A247)*('Completion Log'!$C$5:$C$2004=B247)*'Completion Log'!$A$5:$A$2004)))=0,"",MAX(N(E247),SUMPRODUCT(MAX(('Completion Log'!$B$5:$B$2004=A247)*('Completion Log'!$C$5:$C$2004=B247)*'Completion Log'!$A$5:$A$2004)))))</f>
        <v/>
      </c>
      <c r="G247" s="15" t="str">
        <f aca="true">IF(OR(A247="",B247="",OR(NOT(ISNUMBER(C247)),N(C247)&lt;=0)),"",IF(F247="",TODAY(),F247+C247))</f>
        <v/>
      </c>
      <c r="H247" s="16" t="str">
        <f aca="true">IF(G247="","",G247-TODAY())</f>
        <v/>
      </c>
      <c r="I247" s="17" t="str">
        <f aca="false">IF(AND(A247="",B247=""),"",IF(OR(A247="",B247=""),"Fill in asset and task",IF(OR(NOT(ISNUMBER(C247)),N(C247)&lt;=0),"Check frequency",IF(SUMPRODUCT(($A$5:$A$304=A247)*($B$5:$B$304=B247))&gt;1,"Duplicate row",IF(H247&lt;0,"OVERDUE",IF(H247&lt;=$I$2,"Due soon","OK"))))))</f>
        <v/>
      </c>
      <c r="J247" s="9"/>
    </row>
    <row r="248" customFormat="false" ht="15" hidden="false" customHeight="false" outlineLevel="0" collapsed="false">
      <c r="A248" s="9"/>
      <c r="B248" s="9"/>
      <c r="C248" s="9"/>
      <c r="D248" s="9"/>
      <c r="E248" s="14"/>
      <c r="F248" s="15" t="str">
        <f aca="false">IF(OR(A248="",B248=""),"",IF(MAX(N(E248),SUMPRODUCT(MAX(('Completion Log'!$B$5:$B$2004=A248)*('Completion Log'!$C$5:$C$2004=B248)*'Completion Log'!$A$5:$A$2004)))=0,"",MAX(N(E248),SUMPRODUCT(MAX(('Completion Log'!$B$5:$B$2004=A248)*('Completion Log'!$C$5:$C$2004=B248)*'Completion Log'!$A$5:$A$2004)))))</f>
        <v/>
      </c>
      <c r="G248" s="15" t="str">
        <f aca="true">IF(OR(A248="",B248="",OR(NOT(ISNUMBER(C248)),N(C248)&lt;=0)),"",IF(F248="",TODAY(),F248+C248))</f>
        <v/>
      </c>
      <c r="H248" s="16" t="str">
        <f aca="true">IF(G248="","",G248-TODAY())</f>
        <v/>
      </c>
      <c r="I248" s="17" t="str">
        <f aca="false">IF(AND(A248="",B248=""),"",IF(OR(A248="",B248=""),"Fill in asset and task",IF(OR(NOT(ISNUMBER(C248)),N(C248)&lt;=0),"Check frequency",IF(SUMPRODUCT(($A$5:$A$304=A248)*($B$5:$B$304=B248))&gt;1,"Duplicate row",IF(H248&lt;0,"OVERDUE",IF(H248&lt;=$I$2,"Due soon","OK"))))))</f>
        <v/>
      </c>
      <c r="J248" s="9"/>
    </row>
    <row r="249" customFormat="false" ht="15" hidden="false" customHeight="false" outlineLevel="0" collapsed="false">
      <c r="A249" s="9"/>
      <c r="B249" s="9"/>
      <c r="C249" s="9"/>
      <c r="D249" s="9"/>
      <c r="E249" s="14"/>
      <c r="F249" s="15" t="str">
        <f aca="false">IF(OR(A249="",B249=""),"",IF(MAX(N(E249),SUMPRODUCT(MAX(('Completion Log'!$B$5:$B$2004=A249)*('Completion Log'!$C$5:$C$2004=B249)*'Completion Log'!$A$5:$A$2004)))=0,"",MAX(N(E249),SUMPRODUCT(MAX(('Completion Log'!$B$5:$B$2004=A249)*('Completion Log'!$C$5:$C$2004=B249)*'Completion Log'!$A$5:$A$2004)))))</f>
        <v/>
      </c>
      <c r="G249" s="15" t="str">
        <f aca="true">IF(OR(A249="",B249="",OR(NOT(ISNUMBER(C249)),N(C249)&lt;=0)),"",IF(F249="",TODAY(),F249+C249))</f>
        <v/>
      </c>
      <c r="H249" s="16" t="str">
        <f aca="true">IF(G249="","",G249-TODAY())</f>
        <v/>
      </c>
      <c r="I249" s="17" t="str">
        <f aca="false">IF(AND(A249="",B249=""),"",IF(OR(A249="",B249=""),"Fill in asset and task",IF(OR(NOT(ISNUMBER(C249)),N(C249)&lt;=0),"Check frequency",IF(SUMPRODUCT(($A$5:$A$304=A249)*($B$5:$B$304=B249))&gt;1,"Duplicate row",IF(H249&lt;0,"OVERDUE",IF(H249&lt;=$I$2,"Due soon","OK"))))))</f>
        <v/>
      </c>
      <c r="J249" s="9"/>
    </row>
    <row r="250" customFormat="false" ht="15" hidden="false" customHeight="false" outlineLevel="0" collapsed="false">
      <c r="A250" s="9"/>
      <c r="B250" s="9"/>
      <c r="C250" s="9"/>
      <c r="D250" s="9"/>
      <c r="E250" s="14"/>
      <c r="F250" s="15" t="str">
        <f aca="false">IF(OR(A250="",B250=""),"",IF(MAX(N(E250),SUMPRODUCT(MAX(('Completion Log'!$B$5:$B$2004=A250)*('Completion Log'!$C$5:$C$2004=B250)*'Completion Log'!$A$5:$A$2004)))=0,"",MAX(N(E250),SUMPRODUCT(MAX(('Completion Log'!$B$5:$B$2004=A250)*('Completion Log'!$C$5:$C$2004=B250)*'Completion Log'!$A$5:$A$2004)))))</f>
        <v/>
      </c>
      <c r="G250" s="15" t="str">
        <f aca="true">IF(OR(A250="",B250="",OR(NOT(ISNUMBER(C250)),N(C250)&lt;=0)),"",IF(F250="",TODAY(),F250+C250))</f>
        <v/>
      </c>
      <c r="H250" s="16" t="str">
        <f aca="true">IF(G250="","",G250-TODAY())</f>
        <v/>
      </c>
      <c r="I250" s="17" t="str">
        <f aca="false">IF(AND(A250="",B250=""),"",IF(OR(A250="",B250=""),"Fill in asset and task",IF(OR(NOT(ISNUMBER(C250)),N(C250)&lt;=0),"Check frequency",IF(SUMPRODUCT(($A$5:$A$304=A250)*($B$5:$B$304=B250))&gt;1,"Duplicate row",IF(H250&lt;0,"OVERDUE",IF(H250&lt;=$I$2,"Due soon","OK"))))))</f>
        <v/>
      </c>
      <c r="J250" s="9"/>
    </row>
    <row r="251" customFormat="false" ht="15" hidden="false" customHeight="false" outlineLevel="0" collapsed="false">
      <c r="A251" s="9"/>
      <c r="B251" s="9"/>
      <c r="C251" s="9"/>
      <c r="D251" s="9"/>
      <c r="E251" s="14"/>
      <c r="F251" s="15" t="str">
        <f aca="false">IF(OR(A251="",B251=""),"",IF(MAX(N(E251),SUMPRODUCT(MAX(('Completion Log'!$B$5:$B$2004=A251)*('Completion Log'!$C$5:$C$2004=B251)*'Completion Log'!$A$5:$A$2004)))=0,"",MAX(N(E251),SUMPRODUCT(MAX(('Completion Log'!$B$5:$B$2004=A251)*('Completion Log'!$C$5:$C$2004=B251)*'Completion Log'!$A$5:$A$2004)))))</f>
        <v/>
      </c>
      <c r="G251" s="15" t="str">
        <f aca="true">IF(OR(A251="",B251="",OR(NOT(ISNUMBER(C251)),N(C251)&lt;=0)),"",IF(F251="",TODAY(),F251+C251))</f>
        <v/>
      </c>
      <c r="H251" s="16" t="str">
        <f aca="true">IF(G251="","",G251-TODAY())</f>
        <v/>
      </c>
      <c r="I251" s="17" t="str">
        <f aca="false">IF(AND(A251="",B251=""),"",IF(OR(A251="",B251=""),"Fill in asset and task",IF(OR(NOT(ISNUMBER(C251)),N(C251)&lt;=0),"Check frequency",IF(SUMPRODUCT(($A$5:$A$304=A251)*($B$5:$B$304=B251))&gt;1,"Duplicate row",IF(H251&lt;0,"OVERDUE",IF(H251&lt;=$I$2,"Due soon","OK"))))))</f>
        <v/>
      </c>
      <c r="J251" s="9"/>
    </row>
    <row r="252" customFormat="false" ht="15" hidden="false" customHeight="false" outlineLevel="0" collapsed="false">
      <c r="A252" s="9"/>
      <c r="B252" s="9"/>
      <c r="C252" s="9"/>
      <c r="D252" s="9"/>
      <c r="E252" s="14"/>
      <c r="F252" s="15" t="str">
        <f aca="false">IF(OR(A252="",B252=""),"",IF(MAX(N(E252),SUMPRODUCT(MAX(('Completion Log'!$B$5:$B$2004=A252)*('Completion Log'!$C$5:$C$2004=B252)*'Completion Log'!$A$5:$A$2004)))=0,"",MAX(N(E252),SUMPRODUCT(MAX(('Completion Log'!$B$5:$B$2004=A252)*('Completion Log'!$C$5:$C$2004=B252)*'Completion Log'!$A$5:$A$2004)))))</f>
        <v/>
      </c>
      <c r="G252" s="15" t="str">
        <f aca="true">IF(OR(A252="",B252="",OR(NOT(ISNUMBER(C252)),N(C252)&lt;=0)),"",IF(F252="",TODAY(),F252+C252))</f>
        <v/>
      </c>
      <c r="H252" s="16" t="str">
        <f aca="true">IF(G252="","",G252-TODAY())</f>
        <v/>
      </c>
      <c r="I252" s="17" t="str">
        <f aca="false">IF(AND(A252="",B252=""),"",IF(OR(A252="",B252=""),"Fill in asset and task",IF(OR(NOT(ISNUMBER(C252)),N(C252)&lt;=0),"Check frequency",IF(SUMPRODUCT(($A$5:$A$304=A252)*($B$5:$B$304=B252))&gt;1,"Duplicate row",IF(H252&lt;0,"OVERDUE",IF(H252&lt;=$I$2,"Due soon","OK"))))))</f>
        <v/>
      </c>
      <c r="J252" s="9"/>
    </row>
    <row r="253" customFormat="false" ht="15" hidden="false" customHeight="false" outlineLevel="0" collapsed="false">
      <c r="A253" s="9"/>
      <c r="B253" s="9"/>
      <c r="C253" s="9"/>
      <c r="D253" s="9"/>
      <c r="E253" s="14"/>
      <c r="F253" s="15" t="str">
        <f aca="false">IF(OR(A253="",B253=""),"",IF(MAX(N(E253),SUMPRODUCT(MAX(('Completion Log'!$B$5:$B$2004=A253)*('Completion Log'!$C$5:$C$2004=B253)*'Completion Log'!$A$5:$A$2004)))=0,"",MAX(N(E253),SUMPRODUCT(MAX(('Completion Log'!$B$5:$B$2004=A253)*('Completion Log'!$C$5:$C$2004=B253)*'Completion Log'!$A$5:$A$2004)))))</f>
        <v/>
      </c>
      <c r="G253" s="15" t="str">
        <f aca="true">IF(OR(A253="",B253="",OR(NOT(ISNUMBER(C253)),N(C253)&lt;=0)),"",IF(F253="",TODAY(),F253+C253))</f>
        <v/>
      </c>
      <c r="H253" s="16" t="str">
        <f aca="true">IF(G253="","",G253-TODAY())</f>
        <v/>
      </c>
      <c r="I253" s="17" t="str">
        <f aca="false">IF(AND(A253="",B253=""),"",IF(OR(A253="",B253=""),"Fill in asset and task",IF(OR(NOT(ISNUMBER(C253)),N(C253)&lt;=0),"Check frequency",IF(SUMPRODUCT(($A$5:$A$304=A253)*($B$5:$B$304=B253))&gt;1,"Duplicate row",IF(H253&lt;0,"OVERDUE",IF(H253&lt;=$I$2,"Due soon","OK"))))))</f>
        <v/>
      </c>
      <c r="J253" s="9"/>
    </row>
    <row r="254" customFormat="false" ht="15" hidden="false" customHeight="false" outlineLevel="0" collapsed="false">
      <c r="A254" s="9"/>
      <c r="B254" s="9"/>
      <c r="C254" s="9"/>
      <c r="D254" s="9"/>
      <c r="E254" s="14"/>
      <c r="F254" s="15" t="str">
        <f aca="false">IF(OR(A254="",B254=""),"",IF(MAX(N(E254),SUMPRODUCT(MAX(('Completion Log'!$B$5:$B$2004=A254)*('Completion Log'!$C$5:$C$2004=B254)*'Completion Log'!$A$5:$A$2004)))=0,"",MAX(N(E254),SUMPRODUCT(MAX(('Completion Log'!$B$5:$B$2004=A254)*('Completion Log'!$C$5:$C$2004=B254)*'Completion Log'!$A$5:$A$2004)))))</f>
        <v/>
      </c>
      <c r="G254" s="15" t="str">
        <f aca="true">IF(OR(A254="",B254="",OR(NOT(ISNUMBER(C254)),N(C254)&lt;=0)),"",IF(F254="",TODAY(),F254+C254))</f>
        <v/>
      </c>
      <c r="H254" s="16" t="str">
        <f aca="true">IF(G254="","",G254-TODAY())</f>
        <v/>
      </c>
      <c r="I254" s="17" t="str">
        <f aca="false">IF(AND(A254="",B254=""),"",IF(OR(A254="",B254=""),"Fill in asset and task",IF(OR(NOT(ISNUMBER(C254)),N(C254)&lt;=0),"Check frequency",IF(SUMPRODUCT(($A$5:$A$304=A254)*($B$5:$B$304=B254))&gt;1,"Duplicate row",IF(H254&lt;0,"OVERDUE",IF(H254&lt;=$I$2,"Due soon","OK"))))))</f>
        <v/>
      </c>
      <c r="J254" s="9"/>
    </row>
    <row r="255" customFormat="false" ht="15" hidden="false" customHeight="false" outlineLevel="0" collapsed="false">
      <c r="A255" s="9"/>
      <c r="B255" s="9"/>
      <c r="C255" s="9"/>
      <c r="D255" s="9"/>
      <c r="E255" s="14"/>
      <c r="F255" s="15" t="str">
        <f aca="false">IF(OR(A255="",B255=""),"",IF(MAX(N(E255),SUMPRODUCT(MAX(('Completion Log'!$B$5:$B$2004=A255)*('Completion Log'!$C$5:$C$2004=B255)*'Completion Log'!$A$5:$A$2004)))=0,"",MAX(N(E255),SUMPRODUCT(MAX(('Completion Log'!$B$5:$B$2004=A255)*('Completion Log'!$C$5:$C$2004=B255)*'Completion Log'!$A$5:$A$2004)))))</f>
        <v/>
      </c>
      <c r="G255" s="15" t="str">
        <f aca="true">IF(OR(A255="",B255="",OR(NOT(ISNUMBER(C255)),N(C255)&lt;=0)),"",IF(F255="",TODAY(),F255+C255))</f>
        <v/>
      </c>
      <c r="H255" s="16" t="str">
        <f aca="true">IF(G255="","",G255-TODAY())</f>
        <v/>
      </c>
      <c r="I255" s="17" t="str">
        <f aca="false">IF(AND(A255="",B255=""),"",IF(OR(A255="",B255=""),"Fill in asset and task",IF(OR(NOT(ISNUMBER(C255)),N(C255)&lt;=0),"Check frequency",IF(SUMPRODUCT(($A$5:$A$304=A255)*($B$5:$B$304=B255))&gt;1,"Duplicate row",IF(H255&lt;0,"OVERDUE",IF(H255&lt;=$I$2,"Due soon","OK"))))))</f>
        <v/>
      </c>
      <c r="J255" s="9"/>
    </row>
    <row r="256" customFormat="false" ht="15" hidden="false" customHeight="false" outlineLevel="0" collapsed="false">
      <c r="A256" s="9"/>
      <c r="B256" s="9"/>
      <c r="C256" s="9"/>
      <c r="D256" s="9"/>
      <c r="E256" s="14"/>
      <c r="F256" s="15" t="str">
        <f aca="false">IF(OR(A256="",B256=""),"",IF(MAX(N(E256),SUMPRODUCT(MAX(('Completion Log'!$B$5:$B$2004=A256)*('Completion Log'!$C$5:$C$2004=B256)*'Completion Log'!$A$5:$A$2004)))=0,"",MAX(N(E256),SUMPRODUCT(MAX(('Completion Log'!$B$5:$B$2004=A256)*('Completion Log'!$C$5:$C$2004=B256)*'Completion Log'!$A$5:$A$2004)))))</f>
        <v/>
      </c>
      <c r="G256" s="15" t="str">
        <f aca="true">IF(OR(A256="",B256="",OR(NOT(ISNUMBER(C256)),N(C256)&lt;=0)),"",IF(F256="",TODAY(),F256+C256))</f>
        <v/>
      </c>
      <c r="H256" s="16" t="str">
        <f aca="true">IF(G256="","",G256-TODAY())</f>
        <v/>
      </c>
      <c r="I256" s="17" t="str">
        <f aca="false">IF(AND(A256="",B256=""),"",IF(OR(A256="",B256=""),"Fill in asset and task",IF(OR(NOT(ISNUMBER(C256)),N(C256)&lt;=0),"Check frequency",IF(SUMPRODUCT(($A$5:$A$304=A256)*($B$5:$B$304=B256))&gt;1,"Duplicate row",IF(H256&lt;0,"OVERDUE",IF(H256&lt;=$I$2,"Due soon","OK"))))))</f>
        <v/>
      </c>
      <c r="J256" s="9"/>
    </row>
    <row r="257" customFormat="false" ht="15" hidden="false" customHeight="false" outlineLevel="0" collapsed="false">
      <c r="A257" s="9"/>
      <c r="B257" s="9"/>
      <c r="C257" s="9"/>
      <c r="D257" s="9"/>
      <c r="E257" s="14"/>
      <c r="F257" s="15" t="str">
        <f aca="false">IF(OR(A257="",B257=""),"",IF(MAX(N(E257),SUMPRODUCT(MAX(('Completion Log'!$B$5:$B$2004=A257)*('Completion Log'!$C$5:$C$2004=B257)*'Completion Log'!$A$5:$A$2004)))=0,"",MAX(N(E257),SUMPRODUCT(MAX(('Completion Log'!$B$5:$B$2004=A257)*('Completion Log'!$C$5:$C$2004=B257)*'Completion Log'!$A$5:$A$2004)))))</f>
        <v/>
      </c>
      <c r="G257" s="15" t="str">
        <f aca="true">IF(OR(A257="",B257="",OR(NOT(ISNUMBER(C257)),N(C257)&lt;=0)),"",IF(F257="",TODAY(),F257+C257))</f>
        <v/>
      </c>
      <c r="H257" s="16" t="str">
        <f aca="true">IF(G257="","",G257-TODAY())</f>
        <v/>
      </c>
      <c r="I257" s="17" t="str">
        <f aca="false">IF(AND(A257="",B257=""),"",IF(OR(A257="",B257=""),"Fill in asset and task",IF(OR(NOT(ISNUMBER(C257)),N(C257)&lt;=0),"Check frequency",IF(SUMPRODUCT(($A$5:$A$304=A257)*($B$5:$B$304=B257))&gt;1,"Duplicate row",IF(H257&lt;0,"OVERDUE",IF(H257&lt;=$I$2,"Due soon","OK"))))))</f>
        <v/>
      </c>
      <c r="J257" s="9"/>
    </row>
    <row r="258" customFormat="false" ht="15" hidden="false" customHeight="false" outlineLevel="0" collapsed="false">
      <c r="A258" s="9"/>
      <c r="B258" s="9"/>
      <c r="C258" s="9"/>
      <c r="D258" s="9"/>
      <c r="E258" s="14"/>
      <c r="F258" s="15" t="str">
        <f aca="false">IF(OR(A258="",B258=""),"",IF(MAX(N(E258),SUMPRODUCT(MAX(('Completion Log'!$B$5:$B$2004=A258)*('Completion Log'!$C$5:$C$2004=B258)*'Completion Log'!$A$5:$A$2004)))=0,"",MAX(N(E258),SUMPRODUCT(MAX(('Completion Log'!$B$5:$B$2004=A258)*('Completion Log'!$C$5:$C$2004=B258)*'Completion Log'!$A$5:$A$2004)))))</f>
        <v/>
      </c>
      <c r="G258" s="15" t="str">
        <f aca="true">IF(OR(A258="",B258="",OR(NOT(ISNUMBER(C258)),N(C258)&lt;=0)),"",IF(F258="",TODAY(),F258+C258))</f>
        <v/>
      </c>
      <c r="H258" s="16" t="str">
        <f aca="true">IF(G258="","",G258-TODAY())</f>
        <v/>
      </c>
      <c r="I258" s="17" t="str">
        <f aca="false">IF(AND(A258="",B258=""),"",IF(OR(A258="",B258=""),"Fill in asset and task",IF(OR(NOT(ISNUMBER(C258)),N(C258)&lt;=0),"Check frequency",IF(SUMPRODUCT(($A$5:$A$304=A258)*($B$5:$B$304=B258))&gt;1,"Duplicate row",IF(H258&lt;0,"OVERDUE",IF(H258&lt;=$I$2,"Due soon","OK"))))))</f>
        <v/>
      </c>
      <c r="J258" s="9"/>
    </row>
    <row r="259" customFormat="false" ht="15" hidden="false" customHeight="false" outlineLevel="0" collapsed="false">
      <c r="A259" s="9"/>
      <c r="B259" s="9"/>
      <c r="C259" s="9"/>
      <c r="D259" s="9"/>
      <c r="E259" s="14"/>
      <c r="F259" s="15" t="str">
        <f aca="false">IF(OR(A259="",B259=""),"",IF(MAX(N(E259),SUMPRODUCT(MAX(('Completion Log'!$B$5:$B$2004=A259)*('Completion Log'!$C$5:$C$2004=B259)*'Completion Log'!$A$5:$A$2004)))=0,"",MAX(N(E259),SUMPRODUCT(MAX(('Completion Log'!$B$5:$B$2004=A259)*('Completion Log'!$C$5:$C$2004=B259)*'Completion Log'!$A$5:$A$2004)))))</f>
        <v/>
      </c>
      <c r="G259" s="15" t="str">
        <f aca="true">IF(OR(A259="",B259="",OR(NOT(ISNUMBER(C259)),N(C259)&lt;=0)),"",IF(F259="",TODAY(),F259+C259))</f>
        <v/>
      </c>
      <c r="H259" s="16" t="str">
        <f aca="true">IF(G259="","",G259-TODAY())</f>
        <v/>
      </c>
      <c r="I259" s="17" t="str">
        <f aca="false">IF(AND(A259="",B259=""),"",IF(OR(A259="",B259=""),"Fill in asset and task",IF(OR(NOT(ISNUMBER(C259)),N(C259)&lt;=0),"Check frequency",IF(SUMPRODUCT(($A$5:$A$304=A259)*($B$5:$B$304=B259))&gt;1,"Duplicate row",IF(H259&lt;0,"OVERDUE",IF(H259&lt;=$I$2,"Due soon","OK"))))))</f>
        <v/>
      </c>
      <c r="J259" s="9"/>
    </row>
    <row r="260" customFormat="false" ht="15" hidden="false" customHeight="false" outlineLevel="0" collapsed="false">
      <c r="A260" s="9"/>
      <c r="B260" s="9"/>
      <c r="C260" s="9"/>
      <c r="D260" s="9"/>
      <c r="E260" s="14"/>
      <c r="F260" s="15" t="str">
        <f aca="false">IF(OR(A260="",B260=""),"",IF(MAX(N(E260),SUMPRODUCT(MAX(('Completion Log'!$B$5:$B$2004=A260)*('Completion Log'!$C$5:$C$2004=B260)*'Completion Log'!$A$5:$A$2004)))=0,"",MAX(N(E260),SUMPRODUCT(MAX(('Completion Log'!$B$5:$B$2004=A260)*('Completion Log'!$C$5:$C$2004=B260)*'Completion Log'!$A$5:$A$2004)))))</f>
        <v/>
      </c>
      <c r="G260" s="15" t="str">
        <f aca="true">IF(OR(A260="",B260="",OR(NOT(ISNUMBER(C260)),N(C260)&lt;=0)),"",IF(F260="",TODAY(),F260+C260))</f>
        <v/>
      </c>
      <c r="H260" s="16" t="str">
        <f aca="true">IF(G260="","",G260-TODAY())</f>
        <v/>
      </c>
      <c r="I260" s="17" t="str">
        <f aca="false">IF(AND(A260="",B260=""),"",IF(OR(A260="",B260=""),"Fill in asset and task",IF(OR(NOT(ISNUMBER(C260)),N(C260)&lt;=0),"Check frequency",IF(SUMPRODUCT(($A$5:$A$304=A260)*($B$5:$B$304=B260))&gt;1,"Duplicate row",IF(H260&lt;0,"OVERDUE",IF(H260&lt;=$I$2,"Due soon","OK"))))))</f>
        <v/>
      </c>
      <c r="J260" s="9"/>
    </row>
    <row r="261" customFormat="false" ht="15" hidden="false" customHeight="false" outlineLevel="0" collapsed="false">
      <c r="A261" s="9"/>
      <c r="B261" s="9"/>
      <c r="C261" s="9"/>
      <c r="D261" s="9"/>
      <c r="E261" s="14"/>
      <c r="F261" s="15" t="str">
        <f aca="false">IF(OR(A261="",B261=""),"",IF(MAX(N(E261),SUMPRODUCT(MAX(('Completion Log'!$B$5:$B$2004=A261)*('Completion Log'!$C$5:$C$2004=B261)*'Completion Log'!$A$5:$A$2004)))=0,"",MAX(N(E261),SUMPRODUCT(MAX(('Completion Log'!$B$5:$B$2004=A261)*('Completion Log'!$C$5:$C$2004=B261)*'Completion Log'!$A$5:$A$2004)))))</f>
        <v/>
      </c>
      <c r="G261" s="15" t="str">
        <f aca="true">IF(OR(A261="",B261="",OR(NOT(ISNUMBER(C261)),N(C261)&lt;=0)),"",IF(F261="",TODAY(),F261+C261))</f>
        <v/>
      </c>
      <c r="H261" s="16" t="str">
        <f aca="true">IF(G261="","",G261-TODAY())</f>
        <v/>
      </c>
      <c r="I261" s="17" t="str">
        <f aca="false">IF(AND(A261="",B261=""),"",IF(OR(A261="",B261=""),"Fill in asset and task",IF(OR(NOT(ISNUMBER(C261)),N(C261)&lt;=0),"Check frequency",IF(SUMPRODUCT(($A$5:$A$304=A261)*($B$5:$B$304=B261))&gt;1,"Duplicate row",IF(H261&lt;0,"OVERDUE",IF(H261&lt;=$I$2,"Due soon","OK"))))))</f>
        <v/>
      </c>
      <c r="J261" s="9"/>
    </row>
    <row r="262" customFormat="false" ht="15" hidden="false" customHeight="false" outlineLevel="0" collapsed="false">
      <c r="A262" s="9"/>
      <c r="B262" s="9"/>
      <c r="C262" s="9"/>
      <c r="D262" s="9"/>
      <c r="E262" s="14"/>
      <c r="F262" s="15" t="str">
        <f aca="false">IF(OR(A262="",B262=""),"",IF(MAX(N(E262),SUMPRODUCT(MAX(('Completion Log'!$B$5:$B$2004=A262)*('Completion Log'!$C$5:$C$2004=B262)*'Completion Log'!$A$5:$A$2004)))=0,"",MAX(N(E262),SUMPRODUCT(MAX(('Completion Log'!$B$5:$B$2004=A262)*('Completion Log'!$C$5:$C$2004=B262)*'Completion Log'!$A$5:$A$2004)))))</f>
        <v/>
      </c>
      <c r="G262" s="15" t="str">
        <f aca="true">IF(OR(A262="",B262="",OR(NOT(ISNUMBER(C262)),N(C262)&lt;=0)),"",IF(F262="",TODAY(),F262+C262))</f>
        <v/>
      </c>
      <c r="H262" s="16" t="str">
        <f aca="true">IF(G262="","",G262-TODAY())</f>
        <v/>
      </c>
      <c r="I262" s="17" t="str">
        <f aca="false">IF(AND(A262="",B262=""),"",IF(OR(A262="",B262=""),"Fill in asset and task",IF(OR(NOT(ISNUMBER(C262)),N(C262)&lt;=0),"Check frequency",IF(SUMPRODUCT(($A$5:$A$304=A262)*($B$5:$B$304=B262))&gt;1,"Duplicate row",IF(H262&lt;0,"OVERDUE",IF(H262&lt;=$I$2,"Due soon","OK"))))))</f>
        <v/>
      </c>
      <c r="J262" s="9"/>
    </row>
    <row r="263" customFormat="false" ht="15" hidden="false" customHeight="false" outlineLevel="0" collapsed="false">
      <c r="A263" s="9"/>
      <c r="B263" s="9"/>
      <c r="C263" s="9"/>
      <c r="D263" s="9"/>
      <c r="E263" s="14"/>
      <c r="F263" s="15" t="str">
        <f aca="false">IF(OR(A263="",B263=""),"",IF(MAX(N(E263),SUMPRODUCT(MAX(('Completion Log'!$B$5:$B$2004=A263)*('Completion Log'!$C$5:$C$2004=B263)*'Completion Log'!$A$5:$A$2004)))=0,"",MAX(N(E263),SUMPRODUCT(MAX(('Completion Log'!$B$5:$B$2004=A263)*('Completion Log'!$C$5:$C$2004=B263)*'Completion Log'!$A$5:$A$2004)))))</f>
        <v/>
      </c>
      <c r="G263" s="15" t="str">
        <f aca="true">IF(OR(A263="",B263="",OR(NOT(ISNUMBER(C263)),N(C263)&lt;=0)),"",IF(F263="",TODAY(),F263+C263))</f>
        <v/>
      </c>
      <c r="H263" s="16" t="str">
        <f aca="true">IF(G263="","",G263-TODAY())</f>
        <v/>
      </c>
      <c r="I263" s="17" t="str">
        <f aca="false">IF(AND(A263="",B263=""),"",IF(OR(A263="",B263=""),"Fill in asset and task",IF(OR(NOT(ISNUMBER(C263)),N(C263)&lt;=0),"Check frequency",IF(SUMPRODUCT(($A$5:$A$304=A263)*($B$5:$B$304=B263))&gt;1,"Duplicate row",IF(H263&lt;0,"OVERDUE",IF(H263&lt;=$I$2,"Due soon","OK"))))))</f>
        <v/>
      </c>
      <c r="J263" s="9"/>
    </row>
    <row r="264" customFormat="false" ht="15" hidden="false" customHeight="false" outlineLevel="0" collapsed="false">
      <c r="A264" s="9"/>
      <c r="B264" s="9"/>
      <c r="C264" s="9"/>
      <c r="D264" s="9"/>
      <c r="E264" s="14"/>
      <c r="F264" s="15" t="str">
        <f aca="false">IF(OR(A264="",B264=""),"",IF(MAX(N(E264),SUMPRODUCT(MAX(('Completion Log'!$B$5:$B$2004=A264)*('Completion Log'!$C$5:$C$2004=B264)*'Completion Log'!$A$5:$A$2004)))=0,"",MAX(N(E264),SUMPRODUCT(MAX(('Completion Log'!$B$5:$B$2004=A264)*('Completion Log'!$C$5:$C$2004=B264)*'Completion Log'!$A$5:$A$2004)))))</f>
        <v/>
      </c>
      <c r="G264" s="15" t="str">
        <f aca="true">IF(OR(A264="",B264="",OR(NOT(ISNUMBER(C264)),N(C264)&lt;=0)),"",IF(F264="",TODAY(),F264+C264))</f>
        <v/>
      </c>
      <c r="H264" s="16" t="str">
        <f aca="true">IF(G264="","",G264-TODAY())</f>
        <v/>
      </c>
      <c r="I264" s="17" t="str">
        <f aca="false">IF(AND(A264="",B264=""),"",IF(OR(A264="",B264=""),"Fill in asset and task",IF(OR(NOT(ISNUMBER(C264)),N(C264)&lt;=0),"Check frequency",IF(SUMPRODUCT(($A$5:$A$304=A264)*($B$5:$B$304=B264))&gt;1,"Duplicate row",IF(H264&lt;0,"OVERDUE",IF(H264&lt;=$I$2,"Due soon","OK"))))))</f>
        <v/>
      </c>
      <c r="J264" s="9"/>
    </row>
    <row r="265" customFormat="false" ht="15" hidden="false" customHeight="false" outlineLevel="0" collapsed="false">
      <c r="A265" s="9"/>
      <c r="B265" s="9"/>
      <c r="C265" s="9"/>
      <c r="D265" s="9"/>
      <c r="E265" s="14"/>
      <c r="F265" s="15" t="str">
        <f aca="false">IF(OR(A265="",B265=""),"",IF(MAX(N(E265),SUMPRODUCT(MAX(('Completion Log'!$B$5:$B$2004=A265)*('Completion Log'!$C$5:$C$2004=B265)*'Completion Log'!$A$5:$A$2004)))=0,"",MAX(N(E265),SUMPRODUCT(MAX(('Completion Log'!$B$5:$B$2004=A265)*('Completion Log'!$C$5:$C$2004=B265)*'Completion Log'!$A$5:$A$2004)))))</f>
        <v/>
      </c>
      <c r="G265" s="15" t="str">
        <f aca="true">IF(OR(A265="",B265="",OR(NOT(ISNUMBER(C265)),N(C265)&lt;=0)),"",IF(F265="",TODAY(),F265+C265))</f>
        <v/>
      </c>
      <c r="H265" s="16" t="str">
        <f aca="true">IF(G265="","",G265-TODAY())</f>
        <v/>
      </c>
      <c r="I265" s="17" t="str">
        <f aca="false">IF(AND(A265="",B265=""),"",IF(OR(A265="",B265=""),"Fill in asset and task",IF(OR(NOT(ISNUMBER(C265)),N(C265)&lt;=0),"Check frequency",IF(SUMPRODUCT(($A$5:$A$304=A265)*($B$5:$B$304=B265))&gt;1,"Duplicate row",IF(H265&lt;0,"OVERDUE",IF(H265&lt;=$I$2,"Due soon","OK"))))))</f>
        <v/>
      </c>
      <c r="J265" s="9"/>
    </row>
    <row r="266" customFormat="false" ht="15" hidden="false" customHeight="false" outlineLevel="0" collapsed="false">
      <c r="A266" s="9"/>
      <c r="B266" s="9"/>
      <c r="C266" s="9"/>
      <c r="D266" s="9"/>
      <c r="E266" s="14"/>
      <c r="F266" s="15" t="str">
        <f aca="false">IF(OR(A266="",B266=""),"",IF(MAX(N(E266),SUMPRODUCT(MAX(('Completion Log'!$B$5:$B$2004=A266)*('Completion Log'!$C$5:$C$2004=B266)*'Completion Log'!$A$5:$A$2004)))=0,"",MAX(N(E266),SUMPRODUCT(MAX(('Completion Log'!$B$5:$B$2004=A266)*('Completion Log'!$C$5:$C$2004=B266)*'Completion Log'!$A$5:$A$2004)))))</f>
        <v/>
      </c>
      <c r="G266" s="15" t="str">
        <f aca="true">IF(OR(A266="",B266="",OR(NOT(ISNUMBER(C266)),N(C266)&lt;=0)),"",IF(F266="",TODAY(),F266+C266))</f>
        <v/>
      </c>
      <c r="H266" s="16" t="str">
        <f aca="true">IF(G266="","",G266-TODAY())</f>
        <v/>
      </c>
      <c r="I266" s="17" t="str">
        <f aca="false">IF(AND(A266="",B266=""),"",IF(OR(A266="",B266=""),"Fill in asset and task",IF(OR(NOT(ISNUMBER(C266)),N(C266)&lt;=0),"Check frequency",IF(SUMPRODUCT(($A$5:$A$304=A266)*($B$5:$B$304=B266))&gt;1,"Duplicate row",IF(H266&lt;0,"OVERDUE",IF(H266&lt;=$I$2,"Due soon","OK"))))))</f>
        <v/>
      </c>
      <c r="J266" s="9"/>
    </row>
    <row r="267" customFormat="false" ht="15" hidden="false" customHeight="false" outlineLevel="0" collapsed="false">
      <c r="A267" s="9"/>
      <c r="B267" s="9"/>
      <c r="C267" s="9"/>
      <c r="D267" s="9"/>
      <c r="E267" s="14"/>
      <c r="F267" s="15" t="str">
        <f aca="false">IF(OR(A267="",B267=""),"",IF(MAX(N(E267),SUMPRODUCT(MAX(('Completion Log'!$B$5:$B$2004=A267)*('Completion Log'!$C$5:$C$2004=B267)*'Completion Log'!$A$5:$A$2004)))=0,"",MAX(N(E267),SUMPRODUCT(MAX(('Completion Log'!$B$5:$B$2004=A267)*('Completion Log'!$C$5:$C$2004=B267)*'Completion Log'!$A$5:$A$2004)))))</f>
        <v/>
      </c>
      <c r="G267" s="15" t="str">
        <f aca="true">IF(OR(A267="",B267="",OR(NOT(ISNUMBER(C267)),N(C267)&lt;=0)),"",IF(F267="",TODAY(),F267+C267))</f>
        <v/>
      </c>
      <c r="H267" s="16" t="str">
        <f aca="true">IF(G267="","",G267-TODAY())</f>
        <v/>
      </c>
      <c r="I267" s="17" t="str">
        <f aca="false">IF(AND(A267="",B267=""),"",IF(OR(A267="",B267=""),"Fill in asset and task",IF(OR(NOT(ISNUMBER(C267)),N(C267)&lt;=0),"Check frequency",IF(SUMPRODUCT(($A$5:$A$304=A267)*($B$5:$B$304=B267))&gt;1,"Duplicate row",IF(H267&lt;0,"OVERDUE",IF(H267&lt;=$I$2,"Due soon","OK"))))))</f>
        <v/>
      </c>
      <c r="J267" s="9"/>
    </row>
    <row r="268" customFormat="false" ht="15" hidden="false" customHeight="false" outlineLevel="0" collapsed="false">
      <c r="A268" s="9"/>
      <c r="B268" s="9"/>
      <c r="C268" s="9"/>
      <c r="D268" s="9"/>
      <c r="E268" s="14"/>
      <c r="F268" s="15" t="str">
        <f aca="false">IF(OR(A268="",B268=""),"",IF(MAX(N(E268),SUMPRODUCT(MAX(('Completion Log'!$B$5:$B$2004=A268)*('Completion Log'!$C$5:$C$2004=B268)*'Completion Log'!$A$5:$A$2004)))=0,"",MAX(N(E268),SUMPRODUCT(MAX(('Completion Log'!$B$5:$B$2004=A268)*('Completion Log'!$C$5:$C$2004=B268)*'Completion Log'!$A$5:$A$2004)))))</f>
        <v/>
      </c>
      <c r="G268" s="15" t="str">
        <f aca="true">IF(OR(A268="",B268="",OR(NOT(ISNUMBER(C268)),N(C268)&lt;=0)),"",IF(F268="",TODAY(),F268+C268))</f>
        <v/>
      </c>
      <c r="H268" s="16" t="str">
        <f aca="true">IF(G268="","",G268-TODAY())</f>
        <v/>
      </c>
      <c r="I268" s="17" t="str">
        <f aca="false">IF(AND(A268="",B268=""),"",IF(OR(A268="",B268=""),"Fill in asset and task",IF(OR(NOT(ISNUMBER(C268)),N(C268)&lt;=0),"Check frequency",IF(SUMPRODUCT(($A$5:$A$304=A268)*($B$5:$B$304=B268))&gt;1,"Duplicate row",IF(H268&lt;0,"OVERDUE",IF(H268&lt;=$I$2,"Due soon","OK"))))))</f>
        <v/>
      </c>
      <c r="J268" s="9"/>
    </row>
    <row r="269" customFormat="false" ht="15" hidden="false" customHeight="false" outlineLevel="0" collapsed="false">
      <c r="A269" s="9"/>
      <c r="B269" s="9"/>
      <c r="C269" s="9"/>
      <c r="D269" s="9"/>
      <c r="E269" s="14"/>
      <c r="F269" s="15" t="str">
        <f aca="false">IF(OR(A269="",B269=""),"",IF(MAX(N(E269),SUMPRODUCT(MAX(('Completion Log'!$B$5:$B$2004=A269)*('Completion Log'!$C$5:$C$2004=B269)*'Completion Log'!$A$5:$A$2004)))=0,"",MAX(N(E269),SUMPRODUCT(MAX(('Completion Log'!$B$5:$B$2004=A269)*('Completion Log'!$C$5:$C$2004=B269)*'Completion Log'!$A$5:$A$2004)))))</f>
        <v/>
      </c>
      <c r="G269" s="15" t="str">
        <f aca="true">IF(OR(A269="",B269="",OR(NOT(ISNUMBER(C269)),N(C269)&lt;=0)),"",IF(F269="",TODAY(),F269+C269))</f>
        <v/>
      </c>
      <c r="H269" s="16" t="str">
        <f aca="true">IF(G269="","",G269-TODAY())</f>
        <v/>
      </c>
      <c r="I269" s="17" t="str">
        <f aca="false">IF(AND(A269="",B269=""),"",IF(OR(A269="",B269=""),"Fill in asset and task",IF(OR(NOT(ISNUMBER(C269)),N(C269)&lt;=0),"Check frequency",IF(SUMPRODUCT(($A$5:$A$304=A269)*($B$5:$B$304=B269))&gt;1,"Duplicate row",IF(H269&lt;0,"OVERDUE",IF(H269&lt;=$I$2,"Due soon","OK"))))))</f>
        <v/>
      </c>
      <c r="J269" s="9"/>
    </row>
    <row r="270" customFormat="false" ht="15" hidden="false" customHeight="false" outlineLevel="0" collapsed="false">
      <c r="A270" s="9"/>
      <c r="B270" s="9"/>
      <c r="C270" s="9"/>
      <c r="D270" s="9"/>
      <c r="E270" s="14"/>
      <c r="F270" s="15" t="str">
        <f aca="false">IF(OR(A270="",B270=""),"",IF(MAX(N(E270),SUMPRODUCT(MAX(('Completion Log'!$B$5:$B$2004=A270)*('Completion Log'!$C$5:$C$2004=B270)*'Completion Log'!$A$5:$A$2004)))=0,"",MAX(N(E270),SUMPRODUCT(MAX(('Completion Log'!$B$5:$B$2004=A270)*('Completion Log'!$C$5:$C$2004=B270)*'Completion Log'!$A$5:$A$2004)))))</f>
        <v/>
      </c>
      <c r="G270" s="15" t="str">
        <f aca="true">IF(OR(A270="",B270="",OR(NOT(ISNUMBER(C270)),N(C270)&lt;=0)),"",IF(F270="",TODAY(),F270+C270))</f>
        <v/>
      </c>
      <c r="H270" s="16" t="str">
        <f aca="true">IF(G270="","",G270-TODAY())</f>
        <v/>
      </c>
      <c r="I270" s="17" t="str">
        <f aca="false">IF(AND(A270="",B270=""),"",IF(OR(A270="",B270=""),"Fill in asset and task",IF(OR(NOT(ISNUMBER(C270)),N(C270)&lt;=0),"Check frequency",IF(SUMPRODUCT(($A$5:$A$304=A270)*($B$5:$B$304=B270))&gt;1,"Duplicate row",IF(H270&lt;0,"OVERDUE",IF(H270&lt;=$I$2,"Due soon","OK"))))))</f>
        <v/>
      </c>
      <c r="J270" s="9"/>
    </row>
    <row r="271" customFormat="false" ht="15" hidden="false" customHeight="false" outlineLevel="0" collapsed="false">
      <c r="A271" s="9"/>
      <c r="B271" s="9"/>
      <c r="C271" s="9"/>
      <c r="D271" s="9"/>
      <c r="E271" s="14"/>
      <c r="F271" s="15" t="str">
        <f aca="false">IF(OR(A271="",B271=""),"",IF(MAX(N(E271),SUMPRODUCT(MAX(('Completion Log'!$B$5:$B$2004=A271)*('Completion Log'!$C$5:$C$2004=B271)*'Completion Log'!$A$5:$A$2004)))=0,"",MAX(N(E271),SUMPRODUCT(MAX(('Completion Log'!$B$5:$B$2004=A271)*('Completion Log'!$C$5:$C$2004=B271)*'Completion Log'!$A$5:$A$2004)))))</f>
        <v/>
      </c>
      <c r="G271" s="15" t="str">
        <f aca="true">IF(OR(A271="",B271="",OR(NOT(ISNUMBER(C271)),N(C271)&lt;=0)),"",IF(F271="",TODAY(),F271+C271))</f>
        <v/>
      </c>
      <c r="H271" s="16" t="str">
        <f aca="true">IF(G271="","",G271-TODAY())</f>
        <v/>
      </c>
      <c r="I271" s="17" t="str">
        <f aca="false">IF(AND(A271="",B271=""),"",IF(OR(A271="",B271=""),"Fill in asset and task",IF(OR(NOT(ISNUMBER(C271)),N(C271)&lt;=0),"Check frequency",IF(SUMPRODUCT(($A$5:$A$304=A271)*($B$5:$B$304=B271))&gt;1,"Duplicate row",IF(H271&lt;0,"OVERDUE",IF(H271&lt;=$I$2,"Due soon","OK"))))))</f>
        <v/>
      </c>
      <c r="J271" s="9"/>
    </row>
    <row r="272" customFormat="false" ht="15" hidden="false" customHeight="false" outlineLevel="0" collapsed="false">
      <c r="A272" s="9"/>
      <c r="B272" s="9"/>
      <c r="C272" s="9"/>
      <c r="D272" s="9"/>
      <c r="E272" s="14"/>
      <c r="F272" s="15" t="str">
        <f aca="false">IF(OR(A272="",B272=""),"",IF(MAX(N(E272),SUMPRODUCT(MAX(('Completion Log'!$B$5:$B$2004=A272)*('Completion Log'!$C$5:$C$2004=B272)*'Completion Log'!$A$5:$A$2004)))=0,"",MAX(N(E272),SUMPRODUCT(MAX(('Completion Log'!$B$5:$B$2004=A272)*('Completion Log'!$C$5:$C$2004=B272)*'Completion Log'!$A$5:$A$2004)))))</f>
        <v/>
      </c>
      <c r="G272" s="15" t="str">
        <f aca="true">IF(OR(A272="",B272="",OR(NOT(ISNUMBER(C272)),N(C272)&lt;=0)),"",IF(F272="",TODAY(),F272+C272))</f>
        <v/>
      </c>
      <c r="H272" s="16" t="str">
        <f aca="true">IF(G272="","",G272-TODAY())</f>
        <v/>
      </c>
      <c r="I272" s="17" t="str">
        <f aca="false">IF(AND(A272="",B272=""),"",IF(OR(A272="",B272=""),"Fill in asset and task",IF(OR(NOT(ISNUMBER(C272)),N(C272)&lt;=0),"Check frequency",IF(SUMPRODUCT(($A$5:$A$304=A272)*($B$5:$B$304=B272))&gt;1,"Duplicate row",IF(H272&lt;0,"OVERDUE",IF(H272&lt;=$I$2,"Due soon","OK"))))))</f>
        <v/>
      </c>
      <c r="J272" s="9"/>
    </row>
    <row r="273" customFormat="false" ht="15" hidden="false" customHeight="false" outlineLevel="0" collapsed="false">
      <c r="A273" s="9"/>
      <c r="B273" s="9"/>
      <c r="C273" s="9"/>
      <c r="D273" s="9"/>
      <c r="E273" s="14"/>
      <c r="F273" s="15" t="str">
        <f aca="false">IF(OR(A273="",B273=""),"",IF(MAX(N(E273),SUMPRODUCT(MAX(('Completion Log'!$B$5:$B$2004=A273)*('Completion Log'!$C$5:$C$2004=B273)*'Completion Log'!$A$5:$A$2004)))=0,"",MAX(N(E273),SUMPRODUCT(MAX(('Completion Log'!$B$5:$B$2004=A273)*('Completion Log'!$C$5:$C$2004=B273)*'Completion Log'!$A$5:$A$2004)))))</f>
        <v/>
      </c>
      <c r="G273" s="15" t="str">
        <f aca="true">IF(OR(A273="",B273="",OR(NOT(ISNUMBER(C273)),N(C273)&lt;=0)),"",IF(F273="",TODAY(),F273+C273))</f>
        <v/>
      </c>
      <c r="H273" s="16" t="str">
        <f aca="true">IF(G273="","",G273-TODAY())</f>
        <v/>
      </c>
      <c r="I273" s="17" t="str">
        <f aca="false">IF(AND(A273="",B273=""),"",IF(OR(A273="",B273=""),"Fill in asset and task",IF(OR(NOT(ISNUMBER(C273)),N(C273)&lt;=0),"Check frequency",IF(SUMPRODUCT(($A$5:$A$304=A273)*($B$5:$B$304=B273))&gt;1,"Duplicate row",IF(H273&lt;0,"OVERDUE",IF(H273&lt;=$I$2,"Due soon","OK"))))))</f>
        <v/>
      </c>
      <c r="J273" s="9"/>
    </row>
    <row r="274" customFormat="false" ht="15" hidden="false" customHeight="false" outlineLevel="0" collapsed="false">
      <c r="A274" s="9"/>
      <c r="B274" s="9"/>
      <c r="C274" s="9"/>
      <c r="D274" s="9"/>
      <c r="E274" s="14"/>
      <c r="F274" s="15" t="str">
        <f aca="false">IF(OR(A274="",B274=""),"",IF(MAX(N(E274),SUMPRODUCT(MAX(('Completion Log'!$B$5:$B$2004=A274)*('Completion Log'!$C$5:$C$2004=B274)*'Completion Log'!$A$5:$A$2004)))=0,"",MAX(N(E274),SUMPRODUCT(MAX(('Completion Log'!$B$5:$B$2004=A274)*('Completion Log'!$C$5:$C$2004=B274)*'Completion Log'!$A$5:$A$2004)))))</f>
        <v/>
      </c>
      <c r="G274" s="15" t="str">
        <f aca="true">IF(OR(A274="",B274="",OR(NOT(ISNUMBER(C274)),N(C274)&lt;=0)),"",IF(F274="",TODAY(),F274+C274))</f>
        <v/>
      </c>
      <c r="H274" s="16" t="str">
        <f aca="true">IF(G274="","",G274-TODAY())</f>
        <v/>
      </c>
      <c r="I274" s="17" t="str">
        <f aca="false">IF(AND(A274="",B274=""),"",IF(OR(A274="",B274=""),"Fill in asset and task",IF(OR(NOT(ISNUMBER(C274)),N(C274)&lt;=0),"Check frequency",IF(SUMPRODUCT(($A$5:$A$304=A274)*($B$5:$B$304=B274))&gt;1,"Duplicate row",IF(H274&lt;0,"OVERDUE",IF(H274&lt;=$I$2,"Due soon","OK"))))))</f>
        <v/>
      </c>
      <c r="J274" s="9"/>
    </row>
    <row r="275" customFormat="false" ht="15" hidden="false" customHeight="false" outlineLevel="0" collapsed="false">
      <c r="A275" s="9"/>
      <c r="B275" s="9"/>
      <c r="C275" s="9"/>
      <c r="D275" s="9"/>
      <c r="E275" s="14"/>
      <c r="F275" s="15" t="str">
        <f aca="false">IF(OR(A275="",B275=""),"",IF(MAX(N(E275),SUMPRODUCT(MAX(('Completion Log'!$B$5:$B$2004=A275)*('Completion Log'!$C$5:$C$2004=B275)*'Completion Log'!$A$5:$A$2004)))=0,"",MAX(N(E275),SUMPRODUCT(MAX(('Completion Log'!$B$5:$B$2004=A275)*('Completion Log'!$C$5:$C$2004=B275)*'Completion Log'!$A$5:$A$2004)))))</f>
        <v/>
      </c>
      <c r="G275" s="15" t="str">
        <f aca="true">IF(OR(A275="",B275="",OR(NOT(ISNUMBER(C275)),N(C275)&lt;=0)),"",IF(F275="",TODAY(),F275+C275))</f>
        <v/>
      </c>
      <c r="H275" s="16" t="str">
        <f aca="true">IF(G275="","",G275-TODAY())</f>
        <v/>
      </c>
      <c r="I275" s="17" t="str">
        <f aca="false">IF(AND(A275="",B275=""),"",IF(OR(A275="",B275=""),"Fill in asset and task",IF(OR(NOT(ISNUMBER(C275)),N(C275)&lt;=0),"Check frequency",IF(SUMPRODUCT(($A$5:$A$304=A275)*($B$5:$B$304=B275))&gt;1,"Duplicate row",IF(H275&lt;0,"OVERDUE",IF(H275&lt;=$I$2,"Due soon","OK"))))))</f>
        <v/>
      </c>
      <c r="J275" s="9"/>
    </row>
    <row r="276" customFormat="false" ht="15" hidden="false" customHeight="false" outlineLevel="0" collapsed="false">
      <c r="A276" s="9"/>
      <c r="B276" s="9"/>
      <c r="C276" s="9"/>
      <c r="D276" s="9"/>
      <c r="E276" s="14"/>
      <c r="F276" s="15" t="str">
        <f aca="false">IF(OR(A276="",B276=""),"",IF(MAX(N(E276),SUMPRODUCT(MAX(('Completion Log'!$B$5:$B$2004=A276)*('Completion Log'!$C$5:$C$2004=B276)*'Completion Log'!$A$5:$A$2004)))=0,"",MAX(N(E276),SUMPRODUCT(MAX(('Completion Log'!$B$5:$B$2004=A276)*('Completion Log'!$C$5:$C$2004=B276)*'Completion Log'!$A$5:$A$2004)))))</f>
        <v/>
      </c>
      <c r="G276" s="15" t="str">
        <f aca="true">IF(OR(A276="",B276="",OR(NOT(ISNUMBER(C276)),N(C276)&lt;=0)),"",IF(F276="",TODAY(),F276+C276))</f>
        <v/>
      </c>
      <c r="H276" s="16" t="str">
        <f aca="true">IF(G276="","",G276-TODAY())</f>
        <v/>
      </c>
      <c r="I276" s="17" t="str">
        <f aca="false">IF(AND(A276="",B276=""),"",IF(OR(A276="",B276=""),"Fill in asset and task",IF(OR(NOT(ISNUMBER(C276)),N(C276)&lt;=0),"Check frequency",IF(SUMPRODUCT(($A$5:$A$304=A276)*($B$5:$B$304=B276))&gt;1,"Duplicate row",IF(H276&lt;0,"OVERDUE",IF(H276&lt;=$I$2,"Due soon","OK"))))))</f>
        <v/>
      </c>
      <c r="J276" s="9"/>
    </row>
    <row r="277" customFormat="false" ht="15" hidden="false" customHeight="false" outlineLevel="0" collapsed="false">
      <c r="A277" s="9"/>
      <c r="B277" s="9"/>
      <c r="C277" s="9"/>
      <c r="D277" s="9"/>
      <c r="E277" s="14"/>
      <c r="F277" s="15" t="str">
        <f aca="false">IF(OR(A277="",B277=""),"",IF(MAX(N(E277),SUMPRODUCT(MAX(('Completion Log'!$B$5:$B$2004=A277)*('Completion Log'!$C$5:$C$2004=B277)*'Completion Log'!$A$5:$A$2004)))=0,"",MAX(N(E277),SUMPRODUCT(MAX(('Completion Log'!$B$5:$B$2004=A277)*('Completion Log'!$C$5:$C$2004=B277)*'Completion Log'!$A$5:$A$2004)))))</f>
        <v/>
      </c>
      <c r="G277" s="15" t="str">
        <f aca="true">IF(OR(A277="",B277="",OR(NOT(ISNUMBER(C277)),N(C277)&lt;=0)),"",IF(F277="",TODAY(),F277+C277))</f>
        <v/>
      </c>
      <c r="H277" s="16" t="str">
        <f aca="true">IF(G277="","",G277-TODAY())</f>
        <v/>
      </c>
      <c r="I277" s="17" t="str">
        <f aca="false">IF(AND(A277="",B277=""),"",IF(OR(A277="",B277=""),"Fill in asset and task",IF(OR(NOT(ISNUMBER(C277)),N(C277)&lt;=0),"Check frequency",IF(SUMPRODUCT(($A$5:$A$304=A277)*($B$5:$B$304=B277))&gt;1,"Duplicate row",IF(H277&lt;0,"OVERDUE",IF(H277&lt;=$I$2,"Due soon","OK"))))))</f>
        <v/>
      </c>
      <c r="J277" s="9"/>
    </row>
    <row r="278" customFormat="false" ht="15" hidden="false" customHeight="false" outlineLevel="0" collapsed="false">
      <c r="A278" s="9"/>
      <c r="B278" s="9"/>
      <c r="C278" s="9"/>
      <c r="D278" s="9"/>
      <c r="E278" s="14"/>
      <c r="F278" s="15" t="str">
        <f aca="false">IF(OR(A278="",B278=""),"",IF(MAX(N(E278),SUMPRODUCT(MAX(('Completion Log'!$B$5:$B$2004=A278)*('Completion Log'!$C$5:$C$2004=B278)*'Completion Log'!$A$5:$A$2004)))=0,"",MAX(N(E278),SUMPRODUCT(MAX(('Completion Log'!$B$5:$B$2004=A278)*('Completion Log'!$C$5:$C$2004=B278)*'Completion Log'!$A$5:$A$2004)))))</f>
        <v/>
      </c>
      <c r="G278" s="15" t="str">
        <f aca="true">IF(OR(A278="",B278="",OR(NOT(ISNUMBER(C278)),N(C278)&lt;=0)),"",IF(F278="",TODAY(),F278+C278))</f>
        <v/>
      </c>
      <c r="H278" s="16" t="str">
        <f aca="true">IF(G278="","",G278-TODAY())</f>
        <v/>
      </c>
      <c r="I278" s="17" t="str">
        <f aca="false">IF(AND(A278="",B278=""),"",IF(OR(A278="",B278=""),"Fill in asset and task",IF(OR(NOT(ISNUMBER(C278)),N(C278)&lt;=0),"Check frequency",IF(SUMPRODUCT(($A$5:$A$304=A278)*($B$5:$B$304=B278))&gt;1,"Duplicate row",IF(H278&lt;0,"OVERDUE",IF(H278&lt;=$I$2,"Due soon","OK"))))))</f>
        <v/>
      </c>
      <c r="J278" s="9"/>
    </row>
    <row r="279" customFormat="false" ht="15" hidden="false" customHeight="false" outlineLevel="0" collapsed="false">
      <c r="A279" s="9"/>
      <c r="B279" s="9"/>
      <c r="C279" s="9"/>
      <c r="D279" s="9"/>
      <c r="E279" s="14"/>
      <c r="F279" s="15" t="str">
        <f aca="false">IF(OR(A279="",B279=""),"",IF(MAX(N(E279),SUMPRODUCT(MAX(('Completion Log'!$B$5:$B$2004=A279)*('Completion Log'!$C$5:$C$2004=B279)*'Completion Log'!$A$5:$A$2004)))=0,"",MAX(N(E279),SUMPRODUCT(MAX(('Completion Log'!$B$5:$B$2004=A279)*('Completion Log'!$C$5:$C$2004=B279)*'Completion Log'!$A$5:$A$2004)))))</f>
        <v/>
      </c>
      <c r="G279" s="15" t="str">
        <f aca="true">IF(OR(A279="",B279="",OR(NOT(ISNUMBER(C279)),N(C279)&lt;=0)),"",IF(F279="",TODAY(),F279+C279))</f>
        <v/>
      </c>
      <c r="H279" s="16" t="str">
        <f aca="true">IF(G279="","",G279-TODAY())</f>
        <v/>
      </c>
      <c r="I279" s="17" t="str">
        <f aca="false">IF(AND(A279="",B279=""),"",IF(OR(A279="",B279=""),"Fill in asset and task",IF(OR(NOT(ISNUMBER(C279)),N(C279)&lt;=0),"Check frequency",IF(SUMPRODUCT(($A$5:$A$304=A279)*($B$5:$B$304=B279))&gt;1,"Duplicate row",IF(H279&lt;0,"OVERDUE",IF(H279&lt;=$I$2,"Due soon","OK"))))))</f>
        <v/>
      </c>
      <c r="J279" s="9"/>
    </row>
    <row r="280" customFormat="false" ht="15" hidden="false" customHeight="false" outlineLevel="0" collapsed="false">
      <c r="A280" s="9"/>
      <c r="B280" s="9"/>
      <c r="C280" s="9"/>
      <c r="D280" s="9"/>
      <c r="E280" s="14"/>
      <c r="F280" s="15" t="str">
        <f aca="false">IF(OR(A280="",B280=""),"",IF(MAX(N(E280),SUMPRODUCT(MAX(('Completion Log'!$B$5:$B$2004=A280)*('Completion Log'!$C$5:$C$2004=B280)*'Completion Log'!$A$5:$A$2004)))=0,"",MAX(N(E280),SUMPRODUCT(MAX(('Completion Log'!$B$5:$B$2004=A280)*('Completion Log'!$C$5:$C$2004=B280)*'Completion Log'!$A$5:$A$2004)))))</f>
        <v/>
      </c>
      <c r="G280" s="15" t="str">
        <f aca="true">IF(OR(A280="",B280="",OR(NOT(ISNUMBER(C280)),N(C280)&lt;=0)),"",IF(F280="",TODAY(),F280+C280))</f>
        <v/>
      </c>
      <c r="H280" s="16" t="str">
        <f aca="true">IF(G280="","",G280-TODAY())</f>
        <v/>
      </c>
      <c r="I280" s="17" t="str">
        <f aca="false">IF(AND(A280="",B280=""),"",IF(OR(A280="",B280=""),"Fill in asset and task",IF(OR(NOT(ISNUMBER(C280)),N(C280)&lt;=0),"Check frequency",IF(SUMPRODUCT(($A$5:$A$304=A280)*($B$5:$B$304=B280))&gt;1,"Duplicate row",IF(H280&lt;0,"OVERDUE",IF(H280&lt;=$I$2,"Due soon","OK"))))))</f>
        <v/>
      </c>
      <c r="J280" s="9"/>
    </row>
    <row r="281" customFormat="false" ht="15" hidden="false" customHeight="false" outlineLevel="0" collapsed="false">
      <c r="A281" s="9"/>
      <c r="B281" s="9"/>
      <c r="C281" s="9"/>
      <c r="D281" s="9"/>
      <c r="E281" s="14"/>
      <c r="F281" s="15" t="str">
        <f aca="false">IF(OR(A281="",B281=""),"",IF(MAX(N(E281),SUMPRODUCT(MAX(('Completion Log'!$B$5:$B$2004=A281)*('Completion Log'!$C$5:$C$2004=B281)*'Completion Log'!$A$5:$A$2004)))=0,"",MAX(N(E281),SUMPRODUCT(MAX(('Completion Log'!$B$5:$B$2004=A281)*('Completion Log'!$C$5:$C$2004=B281)*'Completion Log'!$A$5:$A$2004)))))</f>
        <v/>
      </c>
      <c r="G281" s="15" t="str">
        <f aca="true">IF(OR(A281="",B281="",OR(NOT(ISNUMBER(C281)),N(C281)&lt;=0)),"",IF(F281="",TODAY(),F281+C281))</f>
        <v/>
      </c>
      <c r="H281" s="16" t="str">
        <f aca="true">IF(G281="","",G281-TODAY())</f>
        <v/>
      </c>
      <c r="I281" s="17" t="str">
        <f aca="false">IF(AND(A281="",B281=""),"",IF(OR(A281="",B281=""),"Fill in asset and task",IF(OR(NOT(ISNUMBER(C281)),N(C281)&lt;=0),"Check frequency",IF(SUMPRODUCT(($A$5:$A$304=A281)*($B$5:$B$304=B281))&gt;1,"Duplicate row",IF(H281&lt;0,"OVERDUE",IF(H281&lt;=$I$2,"Due soon","OK"))))))</f>
        <v/>
      </c>
      <c r="J281" s="9"/>
    </row>
    <row r="282" customFormat="false" ht="15" hidden="false" customHeight="false" outlineLevel="0" collapsed="false">
      <c r="A282" s="9"/>
      <c r="B282" s="9"/>
      <c r="C282" s="9"/>
      <c r="D282" s="9"/>
      <c r="E282" s="14"/>
      <c r="F282" s="15" t="str">
        <f aca="false">IF(OR(A282="",B282=""),"",IF(MAX(N(E282),SUMPRODUCT(MAX(('Completion Log'!$B$5:$B$2004=A282)*('Completion Log'!$C$5:$C$2004=B282)*'Completion Log'!$A$5:$A$2004)))=0,"",MAX(N(E282),SUMPRODUCT(MAX(('Completion Log'!$B$5:$B$2004=A282)*('Completion Log'!$C$5:$C$2004=B282)*'Completion Log'!$A$5:$A$2004)))))</f>
        <v/>
      </c>
      <c r="G282" s="15" t="str">
        <f aca="true">IF(OR(A282="",B282="",OR(NOT(ISNUMBER(C282)),N(C282)&lt;=0)),"",IF(F282="",TODAY(),F282+C282))</f>
        <v/>
      </c>
      <c r="H282" s="16" t="str">
        <f aca="true">IF(G282="","",G282-TODAY())</f>
        <v/>
      </c>
      <c r="I282" s="17" t="str">
        <f aca="false">IF(AND(A282="",B282=""),"",IF(OR(A282="",B282=""),"Fill in asset and task",IF(OR(NOT(ISNUMBER(C282)),N(C282)&lt;=0),"Check frequency",IF(SUMPRODUCT(($A$5:$A$304=A282)*($B$5:$B$304=B282))&gt;1,"Duplicate row",IF(H282&lt;0,"OVERDUE",IF(H282&lt;=$I$2,"Due soon","OK"))))))</f>
        <v/>
      </c>
      <c r="J282" s="9"/>
    </row>
    <row r="283" customFormat="false" ht="15" hidden="false" customHeight="false" outlineLevel="0" collapsed="false">
      <c r="A283" s="9"/>
      <c r="B283" s="9"/>
      <c r="C283" s="9"/>
      <c r="D283" s="9"/>
      <c r="E283" s="14"/>
      <c r="F283" s="15" t="str">
        <f aca="false">IF(OR(A283="",B283=""),"",IF(MAX(N(E283),SUMPRODUCT(MAX(('Completion Log'!$B$5:$B$2004=A283)*('Completion Log'!$C$5:$C$2004=B283)*'Completion Log'!$A$5:$A$2004)))=0,"",MAX(N(E283),SUMPRODUCT(MAX(('Completion Log'!$B$5:$B$2004=A283)*('Completion Log'!$C$5:$C$2004=B283)*'Completion Log'!$A$5:$A$2004)))))</f>
        <v/>
      </c>
      <c r="G283" s="15" t="str">
        <f aca="true">IF(OR(A283="",B283="",OR(NOT(ISNUMBER(C283)),N(C283)&lt;=0)),"",IF(F283="",TODAY(),F283+C283))</f>
        <v/>
      </c>
      <c r="H283" s="16" t="str">
        <f aca="true">IF(G283="","",G283-TODAY())</f>
        <v/>
      </c>
      <c r="I283" s="17" t="str">
        <f aca="false">IF(AND(A283="",B283=""),"",IF(OR(A283="",B283=""),"Fill in asset and task",IF(OR(NOT(ISNUMBER(C283)),N(C283)&lt;=0),"Check frequency",IF(SUMPRODUCT(($A$5:$A$304=A283)*($B$5:$B$304=B283))&gt;1,"Duplicate row",IF(H283&lt;0,"OVERDUE",IF(H283&lt;=$I$2,"Due soon","OK"))))))</f>
        <v/>
      </c>
      <c r="J283" s="9"/>
    </row>
    <row r="284" customFormat="false" ht="15" hidden="false" customHeight="false" outlineLevel="0" collapsed="false">
      <c r="A284" s="9"/>
      <c r="B284" s="9"/>
      <c r="C284" s="9"/>
      <c r="D284" s="9"/>
      <c r="E284" s="14"/>
      <c r="F284" s="15" t="str">
        <f aca="false">IF(OR(A284="",B284=""),"",IF(MAX(N(E284),SUMPRODUCT(MAX(('Completion Log'!$B$5:$B$2004=A284)*('Completion Log'!$C$5:$C$2004=B284)*'Completion Log'!$A$5:$A$2004)))=0,"",MAX(N(E284),SUMPRODUCT(MAX(('Completion Log'!$B$5:$B$2004=A284)*('Completion Log'!$C$5:$C$2004=B284)*'Completion Log'!$A$5:$A$2004)))))</f>
        <v/>
      </c>
      <c r="G284" s="15" t="str">
        <f aca="true">IF(OR(A284="",B284="",OR(NOT(ISNUMBER(C284)),N(C284)&lt;=0)),"",IF(F284="",TODAY(),F284+C284))</f>
        <v/>
      </c>
      <c r="H284" s="16" t="str">
        <f aca="true">IF(G284="","",G284-TODAY())</f>
        <v/>
      </c>
      <c r="I284" s="17" t="str">
        <f aca="false">IF(AND(A284="",B284=""),"",IF(OR(A284="",B284=""),"Fill in asset and task",IF(OR(NOT(ISNUMBER(C284)),N(C284)&lt;=0),"Check frequency",IF(SUMPRODUCT(($A$5:$A$304=A284)*($B$5:$B$304=B284))&gt;1,"Duplicate row",IF(H284&lt;0,"OVERDUE",IF(H284&lt;=$I$2,"Due soon","OK"))))))</f>
        <v/>
      </c>
      <c r="J284" s="9"/>
    </row>
    <row r="285" customFormat="false" ht="15" hidden="false" customHeight="false" outlineLevel="0" collapsed="false">
      <c r="A285" s="9"/>
      <c r="B285" s="9"/>
      <c r="C285" s="9"/>
      <c r="D285" s="9"/>
      <c r="E285" s="14"/>
      <c r="F285" s="15" t="str">
        <f aca="false">IF(OR(A285="",B285=""),"",IF(MAX(N(E285),SUMPRODUCT(MAX(('Completion Log'!$B$5:$B$2004=A285)*('Completion Log'!$C$5:$C$2004=B285)*'Completion Log'!$A$5:$A$2004)))=0,"",MAX(N(E285),SUMPRODUCT(MAX(('Completion Log'!$B$5:$B$2004=A285)*('Completion Log'!$C$5:$C$2004=B285)*'Completion Log'!$A$5:$A$2004)))))</f>
        <v/>
      </c>
      <c r="G285" s="15" t="str">
        <f aca="true">IF(OR(A285="",B285="",OR(NOT(ISNUMBER(C285)),N(C285)&lt;=0)),"",IF(F285="",TODAY(),F285+C285))</f>
        <v/>
      </c>
      <c r="H285" s="16" t="str">
        <f aca="true">IF(G285="","",G285-TODAY())</f>
        <v/>
      </c>
      <c r="I285" s="17" t="str">
        <f aca="false">IF(AND(A285="",B285=""),"",IF(OR(A285="",B285=""),"Fill in asset and task",IF(OR(NOT(ISNUMBER(C285)),N(C285)&lt;=0),"Check frequency",IF(SUMPRODUCT(($A$5:$A$304=A285)*($B$5:$B$304=B285))&gt;1,"Duplicate row",IF(H285&lt;0,"OVERDUE",IF(H285&lt;=$I$2,"Due soon","OK"))))))</f>
        <v/>
      </c>
      <c r="J285" s="9"/>
    </row>
    <row r="286" customFormat="false" ht="15" hidden="false" customHeight="false" outlineLevel="0" collapsed="false">
      <c r="A286" s="9"/>
      <c r="B286" s="9"/>
      <c r="C286" s="9"/>
      <c r="D286" s="9"/>
      <c r="E286" s="14"/>
      <c r="F286" s="15" t="str">
        <f aca="false">IF(OR(A286="",B286=""),"",IF(MAX(N(E286),SUMPRODUCT(MAX(('Completion Log'!$B$5:$B$2004=A286)*('Completion Log'!$C$5:$C$2004=B286)*'Completion Log'!$A$5:$A$2004)))=0,"",MAX(N(E286),SUMPRODUCT(MAX(('Completion Log'!$B$5:$B$2004=A286)*('Completion Log'!$C$5:$C$2004=B286)*'Completion Log'!$A$5:$A$2004)))))</f>
        <v/>
      </c>
      <c r="G286" s="15" t="str">
        <f aca="true">IF(OR(A286="",B286="",OR(NOT(ISNUMBER(C286)),N(C286)&lt;=0)),"",IF(F286="",TODAY(),F286+C286))</f>
        <v/>
      </c>
      <c r="H286" s="16" t="str">
        <f aca="true">IF(G286="","",G286-TODAY())</f>
        <v/>
      </c>
      <c r="I286" s="17" t="str">
        <f aca="false">IF(AND(A286="",B286=""),"",IF(OR(A286="",B286=""),"Fill in asset and task",IF(OR(NOT(ISNUMBER(C286)),N(C286)&lt;=0),"Check frequency",IF(SUMPRODUCT(($A$5:$A$304=A286)*($B$5:$B$304=B286))&gt;1,"Duplicate row",IF(H286&lt;0,"OVERDUE",IF(H286&lt;=$I$2,"Due soon","OK"))))))</f>
        <v/>
      </c>
      <c r="J286" s="9"/>
    </row>
    <row r="287" customFormat="false" ht="15" hidden="false" customHeight="false" outlineLevel="0" collapsed="false">
      <c r="A287" s="9"/>
      <c r="B287" s="9"/>
      <c r="C287" s="9"/>
      <c r="D287" s="9"/>
      <c r="E287" s="14"/>
      <c r="F287" s="15" t="str">
        <f aca="false">IF(OR(A287="",B287=""),"",IF(MAX(N(E287),SUMPRODUCT(MAX(('Completion Log'!$B$5:$B$2004=A287)*('Completion Log'!$C$5:$C$2004=B287)*'Completion Log'!$A$5:$A$2004)))=0,"",MAX(N(E287),SUMPRODUCT(MAX(('Completion Log'!$B$5:$B$2004=A287)*('Completion Log'!$C$5:$C$2004=B287)*'Completion Log'!$A$5:$A$2004)))))</f>
        <v/>
      </c>
      <c r="G287" s="15" t="str">
        <f aca="true">IF(OR(A287="",B287="",OR(NOT(ISNUMBER(C287)),N(C287)&lt;=0)),"",IF(F287="",TODAY(),F287+C287))</f>
        <v/>
      </c>
      <c r="H287" s="16" t="str">
        <f aca="true">IF(G287="","",G287-TODAY())</f>
        <v/>
      </c>
      <c r="I287" s="17" t="str">
        <f aca="false">IF(AND(A287="",B287=""),"",IF(OR(A287="",B287=""),"Fill in asset and task",IF(OR(NOT(ISNUMBER(C287)),N(C287)&lt;=0),"Check frequency",IF(SUMPRODUCT(($A$5:$A$304=A287)*($B$5:$B$304=B287))&gt;1,"Duplicate row",IF(H287&lt;0,"OVERDUE",IF(H287&lt;=$I$2,"Due soon","OK"))))))</f>
        <v/>
      </c>
      <c r="J287" s="9"/>
    </row>
    <row r="288" customFormat="false" ht="15" hidden="false" customHeight="false" outlineLevel="0" collapsed="false">
      <c r="A288" s="9"/>
      <c r="B288" s="9"/>
      <c r="C288" s="9"/>
      <c r="D288" s="9"/>
      <c r="E288" s="14"/>
      <c r="F288" s="15" t="str">
        <f aca="false">IF(OR(A288="",B288=""),"",IF(MAX(N(E288),SUMPRODUCT(MAX(('Completion Log'!$B$5:$B$2004=A288)*('Completion Log'!$C$5:$C$2004=B288)*'Completion Log'!$A$5:$A$2004)))=0,"",MAX(N(E288),SUMPRODUCT(MAX(('Completion Log'!$B$5:$B$2004=A288)*('Completion Log'!$C$5:$C$2004=B288)*'Completion Log'!$A$5:$A$2004)))))</f>
        <v/>
      </c>
      <c r="G288" s="15" t="str">
        <f aca="true">IF(OR(A288="",B288="",OR(NOT(ISNUMBER(C288)),N(C288)&lt;=0)),"",IF(F288="",TODAY(),F288+C288))</f>
        <v/>
      </c>
      <c r="H288" s="16" t="str">
        <f aca="true">IF(G288="","",G288-TODAY())</f>
        <v/>
      </c>
      <c r="I288" s="17" t="str">
        <f aca="false">IF(AND(A288="",B288=""),"",IF(OR(A288="",B288=""),"Fill in asset and task",IF(OR(NOT(ISNUMBER(C288)),N(C288)&lt;=0),"Check frequency",IF(SUMPRODUCT(($A$5:$A$304=A288)*($B$5:$B$304=B288))&gt;1,"Duplicate row",IF(H288&lt;0,"OVERDUE",IF(H288&lt;=$I$2,"Due soon","OK"))))))</f>
        <v/>
      </c>
      <c r="J288" s="9"/>
    </row>
    <row r="289" customFormat="false" ht="15" hidden="false" customHeight="false" outlineLevel="0" collapsed="false">
      <c r="A289" s="9"/>
      <c r="B289" s="9"/>
      <c r="C289" s="9"/>
      <c r="D289" s="9"/>
      <c r="E289" s="14"/>
      <c r="F289" s="15" t="str">
        <f aca="false">IF(OR(A289="",B289=""),"",IF(MAX(N(E289),SUMPRODUCT(MAX(('Completion Log'!$B$5:$B$2004=A289)*('Completion Log'!$C$5:$C$2004=B289)*'Completion Log'!$A$5:$A$2004)))=0,"",MAX(N(E289),SUMPRODUCT(MAX(('Completion Log'!$B$5:$B$2004=A289)*('Completion Log'!$C$5:$C$2004=B289)*'Completion Log'!$A$5:$A$2004)))))</f>
        <v/>
      </c>
      <c r="G289" s="15" t="str">
        <f aca="true">IF(OR(A289="",B289="",OR(NOT(ISNUMBER(C289)),N(C289)&lt;=0)),"",IF(F289="",TODAY(),F289+C289))</f>
        <v/>
      </c>
      <c r="H289" s="16" t="str">
        <f aca="true">IF(G289="","",G289-TODAY())</f>
        <v/>
      </c>
      <c r="I289" s="17" t="str">
        <f aca="false">IF(AND(A289="",B289=""),"",IF(OR(A289="",B289=""),"Fill in asset and task",IF(OR(NOT(ISNUMBER(C289)),N(C289)&lt;=0),"Check frequency",IF(SUMPRODUCT(($A$5:$A$304=A289)*($B$5:$B$304=B289))&gt;1,"Duplicate row",IF(H289&lt;0,"OVERDUE",IF(H289&lt;=$I$2,"Due soon","OK"))))))</f>
        <v/>
      </c>
      <c r="J289" s="9"/>
    </row>
    <row r="290" customFormat="false" ht="15" hidden="false" customHeight="false" outlineLevel="0" collapsed="false">
      <c r="A290" s="9"/>
      <c r="B290" s="9"/>
      <c r="C290" s="9"/>
      <c r="D290" s="9"/>
      <c r="E290" s="14"/>
      <c r="F290" s="15" t="str">
        <f aca="false">IF(OR(A290="",B290=""),"",IF(MAX(N(E290),SUMPRODUCT(MAX(('Completion Log'!$B$5:$B$2004=A290)*('Completion Log'!$C$5:$C$2004=B290)*'Completion Log'!$A$5:$A$2004)))=0,"",MAX(N(E290),SUMPRODUCT(MAX(('Completion Log'!$B$5:$B$2004=A290)*('Completion Log'!$C$5:$C$2004=B290)*'Completion Log'!$A$5:$A$2004)))))</f>
        <v/>
      </c>
      <c r="G290" s="15" t="str">
        <f aca="true">IF(OR(A290="",B290="",OR(NOT(ISNUMBER(C290)),N(C290)&lt;=0)),"",IF(F290="",TODAY(),F290+C290))</f>
        <v/>
      </c>
      <c r="H290" s="16" t="str">
        <f aca="true">IF(G290="","",G290-TODAY())</f>
        <v/>
      </c>
      <c r="I290" s="17" t="str">
        <f aca="false">IF(AND(A290="",B290=""),"",IF(OR(A290="",B290=""),"Fill in asset and task",IF(OR(NOT(ISNUMBER(C290)),N(C290)&lt;=0),"Check frequency",IF(SUMPRODUCT(($A$5:$A$304=A290)*($B$5:$B$304=B290))&gt;1,"Duplicate row",IF(H290&lt;0,"OVERDUE",IF(H290&lt;=$I$2,"Due soon","OK"))))))</f>
        <v/>
      </c>
      <c r="J290" s="9"/>
    </row>
    <row r="291" customFormat="false" ht="15" hidden="false" customHeight="false" outlineLevel="0" collapsed="false">
      <c r="A291" s="9"/>
      <c r="B291" s="9"/>
      <c r="C291" s="9"/>
      <c r="D291" s="9"/>
      <c r="E291" s="14"/>
      <c r="F291" s="15" t="str">
        <f aca="false">IF(OR(A291="",B291=""),"",IF(MAX(N(E291),SUMPRODUCT(MAX(('Completion Log'!$B$5:$B$2004=A291)*('Completion Log'!$C$5:$C$2004=B291)*'Completion Log'!$A$5:$A$2004)))=0,"",MAX(N(E291),SUMPRODUCT(MAX(('Completion Log'!$B$5:$B$2004=A291)*('Completion Log'!$C$5:$C$2004=B291)*'Completion Log'!$A$5:$A$2004)))))</f>
        <v/>
      </c>
      <c r="G291" s="15" t="str">
        <f aca="true">IF(OR(A291="",B291="",OR(NOT(ISNUMBER(C291)),N(C291)&lt;=0)),"",IF(F291="",TODAY(),F291+C291))</f>
        <v/>
      </c>
      <c r="H291" s="16" t="str">
        <f aca="true">IF(G291="","",G291-TODAY())</f>
        <v/>
      </c>
      <c r="I291" s="17" t="str">
        <f aca="false">IF(AND(A291="",B291=""),"",IF(OR(A291="",B291=""),"Fill in asset and task",IF(OR(NOT(ISNUMBER(C291)),N(C291)&lt;=0),"Check frequency",IF(SUMPRODUCT(($A$5:$A$304=A291)*($B$5:$B$304=B291))&gt;1,"Duplicate row",IF(H291&lt;0,"OVERDUE",IF(H291&lt;=$I$2,"Due soon","OK"))))))</f>
        <v/>
      </c>
      <c r="J291" s="9"/>
    </row>
    <row r="292" customFormat="false" ht="15" hidden="false" customHeight="false" outlineLevel="0" collapsed="false">
      <c r="A292" s="9"/>
      <c r="B292" s="9"/>
      <c r="C292" s="9"/>
      <c r="D292" s="9"/>
      <c r="E292" s="14"/>
      <c r="F292" s="15" t="str">
        <f aca="false">IF(OR(A292="",B292=""),"",IF(MAX(N(E292),SUMPRODUCT(MAX(('Completion Log'!$B$5:$B$2004=A292)*('Completion Log'!$C$5:$C$2004=B292)*'Completion Log'!$A$5:$A$2004)))=0,"",MAX(N(E292),SUMPRODUCT(MAX(('Completion Log'!$B$5:$B$2004=A292)*('Completion Log'!$C$5:$C$2004=B292)*'Completion Log'!$A$5:$A$2004)))))</f>
        <v/>
      </c>
      <c r="G292" s="15" t="str">
        <f aca="true">IF(OR(A292="",B292="",OR(NOT(ISNUMBER(C292)),N(C292)&lt;=0)),"",IF(F292="",TODAY(),F292+C292))</f>
        <v/>
      </c>
      <c r="H292" s="16" t="str">
        <f aca="true">IF(G292="","",G292-TODAY())</f>
        <v/>
      </c>
      <c r="I292" s="17" t="str">
        <f aca="false">IF(AND(A292="",B292=""),"",IF(OR(A292="",B292=""),"Fill in asset and task",IF(OR(NOT(ISNUMBER(C292)),N(C292)&lt;=0),"Check frequency",IF(SUMPRODUCT(($A$5:$A$304=A292)*($B$5:$B$304=B292))&gt;1,"Duplicate row",IF(H292&lt;0,"OVERDUE",IF(H292&lt;=$I$2,"Due soon","OK"))))))</f>
        <v/>
      </c>
      <c r="J292" s="9"/>
    </row>
    <row r="293" customFormat="false" ht="15" hidden="false" customHeight="false" outlineLevel="0" collapsed="false">
      <c r="A293" s="9"/>
      <c r="B293" s="9"/>
      <c r="C293" s="9"/>
      <c r="D293" s="9"/>
      <c r="E293" s="14"/>
      <c r="F293" s="15" t="str">
        <f aca="false">IF(OR(A293="",B293=""),"",IF(MAX(N(E293),SUMPRODUCT(MAX(('Completion Log'!$B$5:$B$2004=A293)*('Completion Log'!$C$5:$C$2004=B293)*'Completion Log'!$A$5:$A$2004)))=0,"",MAX(N(E293),SUMPRODUCT(MAX(('Completion Log'!$B$5:$B$2004=A293)*('Completion Log'!$C$5:$C$2004=B293)*'Completion Log'!$A$5:$A$2004)))))</f>
        <v/>
      </c>
      <c r="G293" s="15" t="str">
        <f aca="true">IF(OR(A293="",B293="",OR(NOT(ISNUMBER(C293)),N(C293)&lt;=0)),"",IF(F293="",TODAY(),F293+C293))</f>
        <v/>
      </c>
      <c r="H293" s="16" t="str">
        <f aca="true">IF(G293="","",G293-TODAY())</f>
        <v/>
      </c>
      <c r="I293" s="17" t="str">
        <f aca="false">IF(AND(A293="",B293=""),"",IF(OR(A293="",B293=""),"Fill in asset and task",IF(OR(NOT(ISNUMBER(C293)),N(C293)&lt;=0),"Check frequency",IF(SUMPRODUCT(($A$5:$A$304=A293)*($B$5:$B$304=B293))&gt;1,"Duplicate row",IF(H293&lt;0,"OVERDUE",IF(H293&lt;=$I$2,"Due soon","OK"))))))</f>
        <v/>
      </c>
      <c r="J293" s="9"/>
    </row>
    <row r="294" customFormat="false" ht="15" hidden="false" customHeight="false" outlineLevel="0" collapsed="false">
      <c r="A294" s="9"/>
      <c r="B294" s="9"/>
      <c r="C294" s="9"/>
      <c r="D294" s="9"/>
      <c r="E294" s="14"/>
      <c r="F294" s="15" t="str">
        <f aca="false">IF(OR(A294="",B294=""),"",IF(MAX(N(E294),SUMPRODUCT(MAX(('Completion Log'!$B$5:$B$2004=A294)*('Completion Log'!$C$5:$C$2004=B294)*'Completion Log'!$A$5:$A$2004)))=0,"",MAX(N(E294),SUMPRODUCT(MAX(('Completion Log'!$B$5:$B$2004=A294)*('Completion Log'!$C$5:$C$2004=B294)*'Completion Log'!$A$5:$A$2004)))))</f>
        <v/>
      </c>
      <c r="G294" s="15" t="str">
        <f aca="true">IF(OR(A294="",B294="",OR(NOT(ISNUMBER(C294)),N(C294)&lt;=0)),"",IF(F294="",TODAY(),F294+C294))</f>
        <v/>
      </c>
      <c r="H294" s="16" t="str">
        <f aca="true">IF(G294="","",G294-TODAY())</f>
        <v/>
      </c>
      <c r="I294" s="17" t="str">
        <f aca="false">IF(AND(A294="",B294=""),"",IF(OR(A294="",B294=""),"Fill in asset and task",IF(OR(NOT(ISNUMBER(C294)),N(C294)&lt;=0),"Check frequency",IF(SUMPRODUCT(($A$5:$A$304=A294)*($B$5:$B$304=B294))&gt;1,"Duplicate row",IF(H294&lt;0,"OVERDUE",IF(H294&lt;=$I$2,"Due soon","OK"))))))</f>
        <v/>
      </c>
      <c r="J294" s="9"/>
    </row>
    <row r="295" customFormat="false" ht="15" hidden="false" customHeight="false" outlineLevel="0" collapsed="false">
      <c r="A295" s="9"/>
      <c r="B295" s="9"/>
      <c r="C295" s="9"/>
      <c r="D295" s="9"/>
      <c r="E295" s="14"/>
      <c r="F295" s="15" t="str">
        <f aca="false">IF(OR(A295="",B295=""),"",IF(MAX(N(E295),SUMPRODUCT(MAX(('Completion Log'!$B$5:$B$2004=A295)*('Completion Log'!$C$5:$C$2004=B295)*'Completion Log'!$A$5:$A$2004)))=0,"",MAX(N(E295),SUMPRODUCT(MAX(('Completion Log'!$B$5:$B$2004=A295)*('Completion Log'!$C$5:$C$2004=B295)*'Completion Log'!$A$5:$A$2004)))))</f>
        <v/>
      </c>
      <c r="G295" s="15" t="str">
        <f aca="true">IF(OR(A295="",B295="",OR(NOT(ISNUMBER(C295)),N(C295)&lt;=0)),"",IF(F295="",TODAY(),F295+C295))</f>
        <v/>
      </c>
      <c r="H295" s="16" t="str">
        <f aca="true">IF(G295="","",G295-TODAY())</f>
        <v/>
      </c>
      <c r="I295" s="17" t="str">
        <f aca="false">IF(AND(A295="",B295=""),"",IF(OR(A295="",B295=""),"Fill in asset and task",IF(OR(NOT(ISNUMBER(C295)),N(C295)&lt;=0),"Check frequency",IF(SUMPRODUCT(($A$5:$A$304=A295)*($B$5:$B$304=B295))&gt;1,"Duplicate row",IF(H295&lt;0,"OVERDUE",IF(H295&lt;=$I$2,"Due soon","OK"))))))</f>
        <v/>
      </c>
      <c r="J295" s="9"/>
    </row>
    <row r="296" customFormat="false" ht="15" hidden="false" customHeight="false" outlineLevel="0" collapsed="false">
      <c r="A296" s="9"/>
      <c r="B296" s="9"/>
      <c r="C296" s="9"/>
      <c r="D296" s="9"/>
      <c r="E296" s="14"/>
      <c r="F296" s="15" t="str">
        <f aca="false">IF(OR(A296="",B296=""),"",IF(MAX(N(E296),SUMPRODUCT(MAX(('Completion Log'!$B$5:$B$2004=A296)*('Completion Log'!$C$5:$C$2004=B296)*'Completion Log'!$A$5:$A$2004)))=0,"",MAX(N(E296),SUMPRODUCT(MAX(('Completion Log'!$B$5:$B$2004=A296)*('Completion Log'!$C$5:$C$2004=B296)*'Completion Log'!$A$5:$A$2004)))))</f>
        <v/>
      </c>
      <c r="G296" s="15" t="str">
        <f aca="true">IF(OR(A296="",B296="",OR(NOT(ISNUMBER(C296)),N(C296)&lt;=0)),"",IF(F296="",TODAY(),F296+C296))</f>
        <v/>
      </c>
      <c r="H296" s="16" t="str">
        <f aca="true">IF(G296="","",G296-TODAY())</f>
        <v/>
      </c>
      <c r="I296" s="17" t="str">
        <f aca="false">IF(AND(A296="",B296=""),"",IF(OR(A296="",B296=""),"Fill in asset and task",IF(OR(NOT(ISNUMBER(C296)),N(C296)&lt;=0),"Check frequency",IF(SUMPRODUCT(($A$5:$A$304=A296)*($B$5:$B$304=B296))&gt;1,"Duplicate row",IF(H296&lt;0,"OVERDUE",IF(H296&lt;=$I$2,"Due soon","OK"))))))</f>
        <v/>
      </c>
      <c r="J296" s="9"/>
    </row>
    <row r="297" customFormat="false" ht="15" hidden="false" customHeight="false" outlineLevel="0" collapsed="false">
      <c r="A297" s="9"/>
      <c r="B297" s="9"/>
      <c r="C297" s="9"/>
      <c r="D297" s="9"/>
      <c r="E297" s="14"/>
      <c r="F297" s="15" t="str">
        <f aca="false">IF(OR(A297="",B297=""),"",IF(MAX(N(E297),SUMPRODUCT(MAX(('Completion Log'!$B$5:$B$2004=A297)*('Completion Log'!$C$5:$C$2004=B297)*'Completion Log'!$A$5:$A$2004)))=0,"",MAX(N(E297),SUMPRODUCT(MAX(('Completion Log'!$B$5:$B$2004=A297)*('Completion Log'!$C$5:$C$2004=B297)*'Completion Log'!$A$5:$A$2004)))))</f>
        <v/>
      </c>
      <c r="G297" s="15" t="str">
        <f aca="true">IF(OR(A297="",B297="",OR(NOT(ISNUMBER(C297)),N(C297)&lt;=0)),"",IF(F297="",TODAY(),F297+C297))</f>
        <v/>
      </c>
      <c r="H297" s="16" t="str">
        <f aca="true">IF(G297="","",G297-TODAY())</f>
        <v/>
      </c>
      <c r="I297" s="17" t="str">
        <f aca="false">IF(AND(A297="",B297=""),"",IF(OR(A297="",B297=""),"Fill in asset and task",IF(OR(NOT(ISNUMBER(C297)),N(C297)&lt;=0),"Check frequency",IF(SUMPRODUCT(($A$5:$A$304=A297)*($B$5:$B$304=B297))&gt;1,"Duplicate row",IF(H297&lt;0,"OVERDUE",IF(H297&lt;=$I$2,"Due soon","OK"))))))</f>
        <v/>
      </c>
      <c r="J297" s="9"/>
    </row>
    <row r="298" customFormat="false" ht="15" hidden="false" customHeight="false" outlineLevel="0" collapsed="false">
      <c r="A298" s="9"/>
      <c r="B298" s="9"/>
      <c r="C298" s="9"/>
      <c r="D298" s="9"/>
      <c r="E298" s="14"/>
      <c r="F298" s="15" t="str">
        <f aca="false">IF(OR(A298="",B298=""),"",IF(MAX(N(E298),SUMPRODUCT(MAX(('Completion Log'!$B$5:$B$2004=A298)*('Completion Log'!$C$5:$C$2004=B298)*'Completion Log'!$A$5:$A$2004)))=0,"",MAX(N(E298),SUMPRODUCT(MAX(('Completion Log'!$B$5:$B$2004=A298)*('Completion Log'!$C$5:$C$2004=B298)*'Completion Log'!$A$5:$A$2004)))))</f>
        <v/>
      </c>
      <c r="G298" s="15" t="str">
        <f aca="true">IF(OR(A298="",B298="",OR(NOT(ISNUMBER(C298)),N(C298)&lt;=0)),"",IF(F298="",TODAY(),F298+C298))</f>
        <v/>
      </c>
      <c r="H298" s="16" t="str">
        <f aca="true">IF(G298="","",G298-TODAY())</f>
        <v/>
      </c>
      <c r="I298" s="17" t="str">
        <f aca="false">IF(AND(A298="",B298=""),"",IF(OR(A298="",B298=""),"Fill in asset and task",IF(OR(NOT(ISNUMBER(C298)),N(C298)&lt;=0),"Check frequency",IF(SUMPRODUCT(($A$5:$A$304=A298)*($B$5:$B$304=B298))&gt;1,"Duplicate row",IF(H298&lt;0,"OVERDUE",IF(H298&lt;=$I$2,"Due soon","OK"))))))</f>
        <v/>
      </c>
      <c r="J298" s="9"/>
    </row>
    <row r="299" customFormat="false" ht="15" hidden="false" customHeight="false" outlineLevel="0" collapsed="false">
      <c r="A299" s="9"/>
      <c r="B299" s="9"/>
      <c r="C299" s="9"/>
      <c r="D299" s="9"/>
      <c r="E299" s="14"/>
      <c r="F299" s="15" t="str">
        <f aca="false">IF(OR(A299="",B299=""),"",IF(MAX(N(E299),SUMPRODUCT(MAX(('Completion Log'!$B$5:$B$2004=A299)*('Completion Log'!$C$5:$C$2004=B299)*'Completion Log'!$A$5:$A$2004)))=0,"",MAX(N(E299),SUMPRODUCT(MAX(('Completion Log'!$B$5:$B$2004=A299)*('Completion Log'!$C$5:$C$2004=B299)*'Completion Log'!$A$5:$A$2004)))))</f>
        <v/>
      </c>
      <c r="G299" s="15" t="str">
        <f aca="true">IF(OR(A299="",B299="",OR(NOT(ISNUMBER(C299)),N(C299)&lt;=0)),"",IF(F299="",TODAY(),F299+C299))</f>
        <v/>
      </c>
      <c r="H299" s="16" t="str">
        <f aca="true">IF(G299="","",G299-TODAY())</f>
        <v/>
      </c>
      <c r="I299" s="17" t="str">
        <f aca="false">IF(AND(A299="",B299=""),"",IF(OR(A299="",B299=""),"Fill in asset and task",IF(OR(NOT(ISNUMBER(C299)),N(C299)&lt;=0),"Check frequency",IF(SUMPRODUCT(($A$5:$A$304=A299)*($B$5:$B$304=B299))&gt;1,"Duplicate row",IF(H299&lt;0,"OVERDUE",IF(H299&lt;=$I$2,"Due soon","OK"))))))</f>
        <v/>
      </c>
      <c r="J299" s="9"/>
    </row>
    <row r="300" customFormat="false" ht="15" hidden="false" customHeight="false" outlineLevel="0" collapsed="false">
      <c r="A300" s="9"/>
      <c r="B300" s="9"/>
      <c r="C300" s="9"/>
      <c r="D300" s="9"/>
      <c r="E300" s="14"/>
      <c r="F300" s="15" t="str">
        <f aca="false">IF(OR(A300="",B300=""),"",IF(MAX(N(E300),SUMPRODUCT(MAX(('Completion Log'!$B$5:$B$2004=A300)*('Completion Log'!$C$5:$C$2004=B300)*'Completion Log'!$A$5:$A$2004)))=0,"",MAX(N(E300),SUMPRODUCT(MAX(('Completion Log'!$B$5:$B$2004=A300)*('Completion Log'!$C$5:$C$2004=B300)*'Completion Log'!$A$5:$A$2004)))))</f>
        <v/>
      </c>
      <c r="G300" s="15" t="str">
        <f aca="true">IF(OR(A300="",B300="",OR(NOT(ISNUMBER(C300)),N(C300)&lt;=0)),"",IF(F300="",TODAY(),F300+C300))</f>
        <v/>
      </c>
      <c r="H300" s="16" t="str">
        <f aca="true">IF(G300="","",G300-TODAY())</f>
        <v/>
      </c>
      <c r="I300" s="17" t="str">
        <f aca="false">IF(AND(A300="",B300=""),"",IF(OR(A300="",B300=""),"Fill in asset and task",IF(OR(NOT(ISNUMBER(C300)),N(C300)&lt;=0),"Check frequency",IF(SUMPRODUCT(($A$5:$A$304=A300)*($B$5:$B$304=B300))&gt;1,"Duplicate row",IF(H300&lt;0,"OVERDUE",IF(H300&lt;=$I$2,"Due soon","OK"))))))</f>
        <v/>
      </c>
      <c r="J300" s="9"/>
    </row>
    <row r="301" customFormat="false" ht="15" hidden="false" customHeight="false" outlineLevel="0" collapsed="false">
      <c r="A301" s="9"/>
      <c r="B301" s="9"/>
      <c r="C301" s="9"/>
      <c r="D301" s="9"/>
      <c r="E301" s="14"/>
      <c r="F301" s="15" t="str">
        <f aca="false">IF(OR(A301="",B301=""),"",IF(MAX(N(E301),SUMPRODUCT(MAX(('Completion Log'!$B$5:$B$2004=A301)*('Completion Log'!$C$5:$C$2004=B301)*'Completion Log'!$A$5:$A$2004)))=0,"",MAX(N(E301),SUMPRODUCT(MAX(('Completion Log'!$B$5:$B$2004=A301)*('Completion Log'!$C$5:$C$2004=B301)*'Completion Log'!$A$5:$A$2004)))))</f>
        <v/>
      </c>
      <c r="G301" s="15" t="str">
        <f aca="true">IF(OR(A301="",B301="",OR(NOT(ISNUMBER(C301)),N(C301)&lt;=0)),"",IF(F301="",TODAY(),F301+C301))</f>
        <v/>
      </c>
      <c r="H301" s="16" t="str">
        <f aca="true">IF(G301="","",G301-TODAY())</f>
        <v/>
      </c>
      <c r="I301" s="17" t="str">
        <f aca="false">IF(AND(A301="",B301=""),"",IF(OR(A301="",B301=""),"Fill in asset and task",IF(OR(NOT(ISNUMBER(C301)),N(C301)&lt;=0),"Check frequency",IF(SUMPRODUCT(($A$5:$A$304=A301)*($B$5:$B$304=B301))&gt;1,"Duplicate row",IF(H301&lt;0,"OVERDUE",IF(H301&lt;=$I$2,"Due soon","OK"))))))</f>
        <v/>
      </c>
      <c r="J301" s="9"/>
    </row>
    <row r="302" customFormat="false" ht="15" hidden="false" customHeight="false" outlineLevel="0" collapsed="false">
      <c r="A302" s="9"/>
      <c r="B302" s="9"/>
      <c r="C302" s="9"/>
      <c r="D302" s="9"/>
      <c r="E302" s="14"/>
      <c r="F302" s="15" t="str">
        <f aca="false">IF(OR(A302="",B302=""),"",IF(MAX(N(E302),SUMPRODUCT(MAX(('Completion Log'!$B$5:$B$2004=A302)*('Completion Log'!$C$5:$C$2004=B302)*'Completion Log'!$A$5:$A$2004)))=0,"",MAX(N(E302),SUMPRODUCT(MAX(('Completion Log'!$B$5:$B$2004=A302)*('Completion Log'!$C$5:$C$2004=B302)*'Completion Log'!$A$5:$A$2004)))))</f>
        <v/>
      </c>
      <c r="G302" s="15" t="str">
        <f aca="true">IF(OR(A302="",B302="",OR(NOT(ISNUMBER(C302)),N(C302)&lt;=0)),"",IF(F302="",TODAY(),F302+C302))</f>
        <v/>
      </c>
      <c r="H302" s="16" t="str">
        <f aca="true">IF(G302="","",G302-TODAY())</f>
        <v/>
      </c>
      <c r="I302" s="17" t="str">
        <f aca="false">IF(AND(A302="",B302=""),"",IF(OR(A302="",B302=""),"Fill in asset and task",IF(OR(NOT(ISNUMBER(C302)),N(C302)&lt;=0),"Check frequency",IF(SUMPRODUCT(($A$5:$A$304=A302)*($B$5:$B$304=B302))&gt;1,"Duplicate row",IF(H302&lt;0,"OVERDUE",IF(H302&lt;=$I$2,"Due soon","OK"))))))</f>
        <v/>
      </c>
      <c r="J302" s="9"/>
    </row>
    <row r="303" customFormat="false" ht="15" hidden="false" customHeight="false" outlineLevel="0" collapsed="false">
      <c r="A303" s="9"/>
      <c r="B303" s="9"/>
      <c r="C303" s="9"/>
      <c r="D303" s="9"/>
      <c r="E303" s="14"/>
      <c r="F303" s="15" t="str">
        <f aca="false">IF(OR(A303="",B303=""),"",IF(MAX(N(E303),SUMPRODUCT(MAX(('Completion Log'!$B$5:$B$2004=A303)*('Completion Log'!$C$5:$C$2004=B303)*'Completion Log'!$A$5:$A$2004)))=0,"",MAX(N(E303),SUMPRODUCT(MAX(('Completion Log'!$B$5:$B$2004=A303)*('Completion Log'!$C$5:$C$2004=B303)*'Completion Log'!$A$5:$A$2004)))))</f>
        <v/>
      </c>
      <c r="G303" s="15" t="str">
        <f aca="true">IF(OR(A303="",B303="",OR(NOT(ISNUMBER(C303)),N(C303)&lt;=0)),"",IF(F303="",TODAY(),F303+C303))</f>
        <v/>
      </c>
      <c r="H303" s="16" t="str">
        <f aca="true">IF(G303="","",G303-TODAY())</f>
        <v/>
      </c>
      <c r="I303" s="17" t="str">
        <f aca="false">IF(AND(A303="",B303=""),"",IF(OR(A303="",B303=""),"Fill in asset and task",IF(OR(NOT(ISNUMBER(C303)),N(C303)&lt;=0),"Check frequency",IF(SUMPRODUCT(($A$5:$A$304=A303)*($B$5:$B$304=B303))&gt;1,"Duplicate row",IF(H303&lt;0,"OVERDUE",IF(H303&lt;=$I$2,"Due soon","OK"))))))</f>
        <v/>
      </c>
      <c r="J303" s="9"/>
    </row>
    <row r="304" customFormat="false" ht="15" hidden="false" customHeight="false" outlineLevel="0" collapsed="false">
      <c r="A304" s="9"/>
      <c r="B304" s="9"/>
      <c r="C304" s="9"/>
      <c r="D304" s="9"/>
      <c r="E304" s="14"/>
      <c r="F304" s="15" t="str">
        <f aca="false">IF(OR(A304="",B304=""),"",IF(MAX(N(E304),SUMPRODUCT(MAX(('Completion Log'!$B$5:$B$2004=A304)*('Completion Log'!$C$5:$C$2004=B304)*'Completion Log'!$A$5:$A$2004)))=0,"",MAX(N(E304),SUMPRODUCT(MAX(('Completion Log'!$B$5:$B$2004=A304)*('Completion Log'!$C$5:$C$2004=B304)*'Completion Log'!$A$5:$A$2004)))))</f>
        <v/>
      </c>
      <c r="G304" s="15" t="str">
        <f aca="true">IF(OR(A304="",B304="",OR(NOT(ISNUMBER(C304)),N(C304)&lt;=0)),"",IF(F304="",TODAY(),F304+C304))</f>
        <v/>
      </c>
      <c r="H304" s="16" t="str">
        <f aca="true">IF(G304="","",G304-TODAY())</f>
        <v/>
      </c>
      <c r="I304" s="17" t="str">
        <f aca="false">IF(AND(A304="",B304=""),"",IF(OR(A304="",B304=""),"Fill in asset and task",IF(OR(NOT(ISNUMBER(C304)),N(C304)&lt;=0),"Check frequency",IF(SUMPRODUCT(($A$5:$A$304=A304)*($B$5:$B$304=B304))&gt;1,"Duplicate row",IF(H304&lt;0,"OVERDUE",IF(H304&lt;=$I$2,"Due soon","OK"))))))</f>
        <v/>
      </c>
      <c r="J304" s="9"/>
    </row>
  </sheetData>
  <mergeCells count="1">
    <mergeCell ref="G2:H2"/>
  </mergeCells>
  <conditionalFormatting sqref="I5:I304">
    <cfRule type="expression" priority="2" aboveAverage="0" equalAverage="0" bottom="0" percent="0" rank="0" text="" dxfId="0">
      <formula>I5="OVERDUE"</formula>
    </cfRule>
    <cfRule type="expression" priority="3" aboveAverage="0" equalAverage="0" bottom="0" percent="0" rank="0" text="" dxfId="1">
      <formula>I5="Due soon"</formula>
    </cfRule>
    <cfRule type="expression" priority="4" aboveAverage="0" equalAverage="0" bottom="0" percent="0" rank="0" text="" dxfId="2">
      <formula>I5="OK"</formula>
    </cfRule>
    <cfRule type="expression" priority="5" aboveAverage="0" equalAverage="0" bottom="0" percent="0" rank="0" text="" dxfId="3">
      <formula>OR(I5="Check frequency",I5="Duplicate row",I5="Fill in asset and task")</formula>
    </cfRule>
  </conditionalFormatting>
  <dataValidations count="1">
    <dataValidation allowBlank="true" error="Enter the frequency as a whole number of days, 1 or more." errorStyle="stop" operator="greaterThan" showDropDown="false" showErrorMessage="false" showInputMessage="false" sqref="C5:C30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6"/>
    <col collapsed="false" customWidth="true" hidden="false" outlineLevel="0" max="5" min="5" style="0" width="34"/>
    <col collapsed="false" customWidth="true" hidden="false" outlineLevel="0" max="6" min="6" style="0" width="26"/>
  </cols>
  <sheetData>
    <row r="1" customFormat="false" ht="19.7" hidden="false" customHeight="false" outlineLevel="0" collapsed="false">
      <c r="A1" s="1" t="s">
        <v>47</v>
      </c>
    </row>
    <row r="2" customFormat="false" ht="15" hidden="false" customHeight="false" outlineLevel="0" collapsed="false">
      <c r="A2" s="2" t="s">
        <v>48</v>
      </c>
    </row>
    <row r="4" customFormat="false" ht="31.5" hidden="false" customHeight="true" outlineLevel="0" collapsed="false">
      <c r="A4" s="12" t="s">
        <v>49</v>
      </c>
      <c r="B4" s="12" t="s">
        <v>23</v>
      </c>
      <c r="C4" s="12" t="s">
        <v>24</v>
      </c>
      <c r="D4" s="12" t="s">
        <v>50</v>
      </c>
      <c r="E4" s="12" t="s">
        <v>32</v>
      </c>
      <c r="F4" s="12" t="s">
        <v>51</v>
      </c>
    </row>
    <row r="5" customFormat="false" ht="15" hidden="false" customHeight="false" outlineLevel="0" collapsed="false">
      <c r="A5" s="14" t="n">
        <f aca="true">TODAY()-2</f>
        <v>46303</v>
      </c>
      <c r="B5" s="9" t="s">
        <v>43</v>
      </c>
      <c r="C5" s="9" t="s">
        <v>44</v>
      </c>
      <c r="D5" s="9" t="s">
        <v>52</v>
      </c>
      <c r="E5" s="9" t="s">
        <v>37</v>
      </c>
      <c r="F5" s="17" t="str">
        <f aca="false">IF(AND(A5="",B5="",C5=""),"",IF(NOT(ISNUMBER(A5)),"Enter the date done",IF(SUMPRODUCT(('PM Plan'!$A$5:$A$304=B5)*('PM Plan'!$B$5:$B$304=C5))=0,"No matching asset + task in plan","OK")))</f>
        <v>OK</v>
      </c>
    </row>
    <row r="6" customFormat="false" ht="15" hidden="false" customHeight="false" outlineLevel="0" collapsed="false">
      <c r="A6" s="14"/>
      <c r="B6" s="9"/>
      <c r="C6" s="9"/>
      <c r="D6" s="9"/>
      <c r="E6" s="9"/>
      <c r="F6" s="17" t="str">
        <f aca="false">IF(AND(A6="",B6="",C6=""),"",IF(NOT(ISNUMBER(A6)),"Enter the date done",IF(SUMPRODUCT(('PM Plan'!$A$5:$A$304=B6)*('PM Plan'!$B$5:$B$304=C6))=0,"No matching asset + task in plan","OK")))</f>
        <v/>
      </c>
    </row>
    <row r="7" customFormat="false" ht="15" hidden="false" customHeight="false" outlineLevel="0" collapsed="false">
      <c r="A7" s="14"/>
      <c r="B7" s="9"/>
      <c r="C7" s="9"/>
      <c r="D7" s="9"/>
      <c r="E7" s="9"/>
      <c r="F7" s="17" t="str">
        <f aca="false">IF(AND(A7="",B7="",C7=""),"",IF(NOT(ISNUMBER(A7)),"Enter the date done",IF(SUMPRODUCT(('PM Plan'!$A$5:$A$304=B7)*('PM Plan'!$B$5:$B$304=C7))=0,"No matching asset + task in plan","OK")))</f>
        <v/>
      </c>
    </row>
    <row r="8" customFormat="false" ht="15" hidden="false" customHeight="false" outlineLevel="0" collapsed="false">
      <c r="A8" s="14"/>
      <c r="B8" s="9"/>
      <c r="C8" s="9"/>
      <c r="D8" s="9"/>
      <c r="E8" s="9"/>
      <c r="F8" s="17" t="str">
        <f aca="false">IF(AND(A8="",B8="",C8=""),"",IF(NOT(ISNUMBER(A8)),"Enter the date done",IF(SUMPRODUCT(('PM Plan'!$A$5:$A$304=B8)*('PM Plan'!$B$5:$B$304=C8))=0,"No matching asset + task in plan","OK")))</f>
        <v/>
      </c>
    </row>
    <row r="9" customFormat="false" ht="15" hidden="false" customHeight="false" outlineLevel="0" collapsed="false">
      <c r="A9" s="14"/>
      <c r="B9" s="9"/>
      <c r="C9" s="9"/>
      <c r="D9" s="9"/>
      <c r="E9" s="9"/>
      <c r="F9" s="17" t="str">
        <f aca="false">IF(AND(A9="",B9="",C9=""),"",IF(NOT(ISNUMBER(A9)),"Enter the date done",IF(SUMPRODUCT(('PM Plan'!$A$5:$A$304=B9)*('PM Plan'!$B$5:$B$304=C9))=0,"No matching asset + task in plan","OK")))</f>
        <v/>
      </c>
    </row>
    <row r="10" customFormat="false" ht="15" hidden="false" customHeight="false" outlineLevel="0" collapsed="false">
      <c r="A10" s="14"/>
      <c r="B10" s="9"/>
      <c r="C10" s="9"/>
      <c r="D10" s="9"/>
      <c r="E10" s="9"/>
      <c r="F10" s="17" t="str">
        <f aca="false">IF(AND(A10="",B10="",C10=""),"",IF(NOT(ISNUMBER(A10)),"Enter the date done",IF(SUMPRODUCT(('PM Plan'!$A$5:$A$304=B10)*('PM Plan'!$B$5:$B$304=C10))=0,"No matching asset + task in plan","OK")))</f>
        <v/>
      </c>
    </row>
    <row r="11" customFormat="false" ht="15" hidden="false" customHeight="false" outlineLevel="0" collapsed="false">
      <c r="A11" s="14"/>
      <c r="B11" s="9"/>
      <c r="C11" s="9"/>
      <c r="D11" s="9"/>
      <c r="E11" s="9"/>
      <c r="F11" s="17" t="str">
        <f aca="false">IF(AND(A11="",B11="",C11=""),"",IF(NOT(ISNUMBER(A11)),"Enter the date done",IF(SUMPRODUCT(('PM Plan'!$A$5:$A$304=B11)*('PM Plan'!$B$5:$B$304=C11))=0,"No matching asset + task in plan","OK")))</f>
        <v/>
      </c>
    </row>
    <row r="12" customFormat="false" ht="15" hidden="false" customHeight="false" outlineLevel="0" collapsed="false">
      <c r="A12" s="14"/>
      <c r="B12" s="9"/>
      <c r="C12" s="9"/>
      <c r="D12" s="9"/>
      <c r="E12" s="9"/>
      <c r="F12" s="17" t="str">
        <f aca="false">IF(AND(A12="",B12="",C12=""),"",IF(NOT(ISNUMBER(A12)),"Enter the date done",IF(SUMPRODUCT(('PM Plan'!$A$5:$A$304=B12)*('PM Plan'!$B$5:$B$304=C12))=0,"No matching asset + task in plan","OK")))</f>
        <v/>
      </c>
    </row>
    <row r="13" customFormat="false" ht="15" hidden="false" customHeight="false" outlineLevel="0" collapsed="false">
      <c r="A13" s="14"/>
      <c r="B13" s="9"/>
      <c r="C13" s="9"/>
      <c r="D13" s="9"/>
      <c r="E13" s="9"/>
      <c r="F13" s="17" t="str">
        <f aca="false">IF(AND(A13="",B13="",C13=""),"",IF(NOT(ISNUMBER(A13)),"Enter the date done",IF(SUMPRODUCT(('PM Plan'!$A$5:$A$304=B13)*('PM Plan'!$B$5:$B$304=C13))=0,"No matching asset + task in plan","OK")))</f>
        <v/>
      </c>
    </row>
    <row r="14" customFormat="false" ht="15" hidden="false" customHeight="false" outlineLevel="0" collapsed="false">
      <c r="A14" s="14"/>
      <c r="B14" s="9"/>
      <c r="C14" s="9"/>
      <c r="D14" s="9"/>
      <c r="E14" s="9"/>
      <c r="F14" s="17" t="str">
        <f aca="false">IF(AND(A14="",B14="",C14=""),"",IF(NOT(ISNUMBER(A14)),"Enter the date done",IF(SUMPRODUCT(('PM Plan'!$A$5:$A$304=B14)*('PM Plan'!$B$5:$B$304=C14))=0,"No matching asset + task in plan","OK")))</f>
        <v/>
      </c>
    </row>
    <row r="15" customFormat="false" ht="15" hidden="false" customHeight="false" outlineLevel="0" collapsed="false">
      <c r="A15" s="14"/>
      <c r="B15" s="9"/>
      <c r="C15" s="9"/>
      <c r="D15" s="9"/>
      <c r="E15" s="9"/>
      <c r="F15" s="17" t="str">
        <f aca="false">IF(AND(A15="",B15="",C15=""),"",IF(NOT(ISNUMBER(A15)),"Enter the date done",IF(SUMPRODUCT(('PM Plan'!$A$5:$A$304=B15)*('PM Plan'!$B$5:$B$304=C15))=0,"No matching asset + task in plan","OK")))</f>
        <v/>
      </c>
    </row>
    <row r="16" customFormat="false" ht="15" hidden="false" customHeight="false" outlineLevel="0" collapsed="false">
      <c r="A16" s="14"/>
      <c r="B16" s="9"/>
      <c r="C16" s="9"/>
      <c r="D16" s="9"/>
      <c r="E16" s="9"/>
      <c r="F16" s="17" t="str">
        <f aca="false">IF(AND(A16="",B16="",C16=""),"",IF(NOT(ISNUMBER(A16)),"Enter the date done",IF(SUMPRODUCT(('PM Plan'!$A$5:$A$304=B16)*('PM Plan'!$B$5:$B$304=C16))=0,"No matching asset + task in plan","OK")))</f>
        <v/>
      </c>
    </row>
    <row r="17" customFormat="false" ht="15" hidden="false" customHeight="false" outlineLevel="0" collapsed="false">
      <c r="A17" s="14"/>
      <c r="B17" s="9"/>
      <c r="C17" s="9"/>
      <c r="D17" s="9"/>
      <c r="E17" s="9"/>
      <c r="F17" s="17" t="str">
        <f aca="false">IF(AND(A17="",B17="",C17=""),"",IF(NOT(ISNUMBER(A17)),"Enter the date done",IF(SUMPRODUCT(('PM Plan'!$A$5:$A$304=B17)*('PM Plan'!$B$5:$B$304=C17))=0,"No matching asset + task in plan","OK")))</f>
        <v/>
      </c>
    </row>
    <row r="18" customFormat="false" ht="15" hidden="false" customHeight="false" outlineLevel="0" collapsed="false">
      <c r="A18" s="14"/>
      <c r="B18" s="9"/>
      <c r="C18" s="9"/>
      <c r="D18" s="9"/>
      <c r="E18" s="9"/>
      <c r="F18" s="17" t="str">
        <f aca="false">IF(AND(A18="",B18="",C18=""),"",IF(NOT(ISNUMBER(A18)),"Enter the date done",IF(SUMPRODUCT(('PM Plan'!$A$5:$A$304=B18)*('PM Plan'!$B$5:$B$304=C18))=0,"No matching asset + task in plan","OK")))</f>
        <v/>
      </c>
    </row>
    <row r="19" customFormat="false" ht="15" hidden="false" customHeight="false" outlineLevel="0" collapsed="false">
      <c r="A19" s="14"/>
      <c r="B19" s="9"/>
      <c r="C19" s="9"/>
      <c r="D19" s="9"/>
      <c r="E19" s="9"/>
      <c r="F19" s="17" t="str">
        <f aca="false">IF(AND(A19="",B19="",C19=""),"",IF(NOT(ISNUMBER(A19)),"Enter the date done",IF(SUMPRODUCT(('PM Plan'!$A$5:$A$304=B19)*('PM Plan'!$B$5:$B$304=C19))=0,"No matching asset + task in plan","OK")))</f>
        <v/>
      </c>
    </row>
    <row r="20" customFormat="false" ht="15" hidden="false" customHeight="false" outlineLevel="0" collapsed="false">
      <c r="A20" s="14"/>
      <c r="B20" s="9"/>
      <c r="C20" s="9"/>
      <c r="D20" s="9"/>
      <c r="E20" s="9"/>
      <c r="F20" s="17" t="str">
        <f aca="false">IF(AND(A20="",B20="",C20=""),"",IF(NOT(ISNUMBER(A20)),"Enter the date done",IF(SUMPRODUCT(('PM Plan'!$A$5:$A$304=B20)*('PM Plan'!$B$5:$B$304=C20))=0,"No matching asset + task in plan","OK")))</f>
        <v/>
      </c>
    </row>
    <row r="21" customFormat="false" ht="15" hidden="false" customHeight="false" outlineLevel="0" collapsed="false">
      <c r="A21" s="14"/>
      <c r="B21" s="9"/>
      <c r="C21" s="9"/>
      <c r="D21" s="9"/>
      <c r="E21" s="9"/>
      <c r="F21" s="17" t="str">
        <f aca="false">IF(AND(A21="",B21="",C21=""),"",IF(NOT(ISNUMBER(A21)),"Enter the date done",IF(SUMPRODUCT(('PM Plan'!$A$5:$A$304=B21)*('PM Plan'!$B$5:$B$304=C21))=0,"No matching asset + task in plan","OK")))</f>
        <v/>
      </c>
    </row>
    <row r="22" customFormat="false" ht="15" hidden="false" customHeight="false" outlineLevel="0" collapsed="false">
      <c r="A22" s="14"/>
      <c r="B22" s="9"/>
      <c r="C22" s="9"/>
      <c r="D22" s="9"/>
      <c r="E22" s="9"/>
      <c r="F22" s="17" t="str">
        <f aca="false">IF(AND(A22="",B22="",C22=""),"",IF(NOT(ISNUMBER(A22)),"Enter the date done",IF(SUMPRODUCT(('PM Plan'!$A$5:$A$304=B22)*('PM Plan'!$B$5:$B$304=C22))=0,"No matching asset + task in plan","OK")))</f>
        <v/>
      </c>
    </row>
    <row r="23" customFormat="false" ht="15" hidden="false" customHeight="false" outlineLevel="0" collapsed="false">
      <c r="A23" s="14"/>
      <c r="B23" s="9"/>
      <c r="C23" s="9"/>
      <c r="D23" s="9"/>
      <c r="E23" s="9"/>
      <c r="F23" s="17" t="str">
        <f aca="false">IF(AND(A23="",B23="",C23=""),"",IF(NOT(ISNUMBER(A23)),"Enter the date done",IF(SUMPRODUCT(('PM Plan'!$A$5:$A$304=B23)*('PM Plan'!$B$5:$B$304=C23))=0,"No matching asset + task in plan","OK")))</f>
        <v/>
      </c>
    </row>
    <row r="24" customFormat="false" ht="15" hidden="false" customHeight="false" outlineLevel="0" collapsed="false">
      <c r="A24" s="14"/>
      <c r="B24" s="9"/>
      <c r="C24" s="9"/>
      <c r="D24" s="9"/>
      <c r="E24" s="9"/>
      <c r="F24" s="17" t="str">
        <f aca="false">IF(AND(A24="",B24="",C24=""),"",IF(NOT(ISNUMBER(A24)),"Enter the date done",IF(SUMPRODUCT(('PM Plan'!$A$5:$A$304=B24)*('PM Plan'!$B$5:$B$304=C24))=0,"No matching asset + task in plan","OK")))</f>
        <v/>
      </c>
    </row>
    <row r="25" customFormat="false" ht="15" hidden="false" customHeight="false" outlineLevel="0" collapsed="false">
      <c r="A25" s="14"/>
      <c r="B25" s="9"/>
      <c r="C25" s="9"/>
      <c r="D25" s="9"/>
      <c r="E25" s="9"/>
      <c r="F25" s="17" t="str">
        <f aca="false">IF(AND(A25="",B25="",C25=""),"",IF(NOT(ISNUMBER(A25)),"Enter the date done",IF(SUMPRODUCT(('PM Plan'!$A$5:$A$304=B25)*('PM Plan'!$B$5:$B$304=C25))=0,"No matching asset + task in plan","OK")))</f>
        <v/>
      </c>
    </row>
    <row r="26" customFormat="false" ht="15" hidden="false" customHeight="false" outlineLevel="0" collapsed="false">
      <c r="A26" s="14"/>
      <c r="B26" s="9"/>
      <c r="C26" s="9"/>
      <c r="D26" s="9"/>
      <c r="E26" s="9"/>
      <c r="F26" s="17" t="str">
        <f aca="false">IF(AND(A26="",B26="",C26=""),"",IF(NOT(ISNUMBER(A26)),"Enter the date done",IF(SUMPRODUCT(('PM Plan'!$A$5:$A$304=B26)*('PM Plan'!$B$5:$B$304=C26))=0,"No matching asset + task in plan","OK")))</f>
        <v/>
      </c>
    </row>
    <row r="27" customFormat="false" ht="15" hidden="false" customHeight="false" outlineLevel="0" collapsed="false">
      <c r="A27" s="14"/>
      <c r="B27" s="9"/>
      <c r="C27" s="9"/>
      <c r="D27" s="9"/>
      <c r="E27" s="9"/>
      <c r="F27" s="17" t="str">
        <f aca="false">IF(AND(A27="",B27="",C27=""),"",IF(NOT(ISNUMBER(A27)),"Enter the date done",IF(SUMPRODUCT(('PM Plan'!$A$5:$A$304=B27)*('PM Plan'!$B$5:$B$304=C27))=0,"No matching asset + task in plan","OK")))</f>
        <v/>
      </c>
    </row>
    <row r="28" customFormat="false" ht="15" hidden="false" customHeight="false" outlineLevel="0" collapsed="false">
      <c r="A28" s="14"/>
      <c r="B28" s="9"/>
      <c r="C28" s="9"/>
      <c r="D28" s="9"/>
      <c r="E28" s="9"/>
      <c r="F28" s="17" t="str">
        <f aca="false">IF(AND(A28="",B28="",C28=""),"",IF(NOT(ISNUMBER(A28)),"Enter the date done",IF(SUMPRODUCT(('PM Plan'!$A$5:$A$304=B28)*('PM Plan'!$B$5:$B$304=C28))=0,"No matching asset + task in plan","OK")))</f>
        <v/>
      </c>
    </row>
    <row r="29" customFormat="false" ht="15" hidden="false" customHeight="false" outlineLevel="0" collapsed="false">
      <c r="A29" s="14"/>
      <c r="B29" s="9"/>
      <c r="C29" s="9"/>
      <c r="D29" s="9"/>
      <c r="E29" s="9"/>
      <c r="F29" s="17" t="str">
        <f aca="false">IF(AND(A29="",B29="",C29=""),"",IF(NOT(ISNUMBER(A29)),"Enter the date done",IF(SUMPRODUCT(('PM Plan'!$A$5:$A$304=B29)*('PM Plan'!$B$5:$B$304=C29))=0,"No matching asset + task in plan","OK")))</f>
        <v/>
      </c>
    </row>
    <row r="30" customFormat="false" ht="15" hidden="false" customHeight="false" outlineLevel="0" collapsed="false">
      <c r="A30" s="14"/>
      <c r="B30" s="9"/>
      <c r="C30" s="9"/>
      <c r="D30" s="9"/>
      <c r="E30" s="9"/>
      <c r="F30" s="17" t="str">
        <f aca="false">IF(AND(A30="",B30="",C30=""),"",IF(NOT(ISNUMBER(A30)),"Enter the date done",IF(SUMPRODUCT(('PM Plan'!$A$5:$A$304=B30)*('PM Plan'!$B$5:$B$304=C30))=0,"No matching asset + task in plan","OK")))</f>
        <v/>
      </c>
    </row>
    <row r="31" customFormat="false" ht="15" hidden="false" customHeight="false" outlineLevel="0" collapsed="false">
      <c r="A31" s="14"/>
      <c r="B31" s="9"/>
      <c r="C31" s="9"/>
      <c r="D31" s="9"/>
      <c r="E31" s="9"/>
      <c r="F31" s="17" t="str">
        <f aca="false">IF(AND(A31="",B31="",C31=""),"",IF(NOT(ISNUMBER(A31)),"Enter the date done",IF(SUMPRODUCT(('PM Plan'!$A$5:$A$304=B31)*('PM Plan'!$B$5:$B$304=C31))=0,"No matching asset + task in plan","OK")))</f>
        <v/>
      </c>
    </row>
    <row r="32" customFormat="false" ht="15" hidden="false" customHeight="false" outlineLevel="0" collapsed="false">
      <c r="A32" s="14"/>
      <c r="B32" s="9"/>
      <c r="C32" s="9"/>
      <c r="D32" s="9"/>
      <c r="E32" s="9"/>
      <c r="F32" s="17" t="str">
        <f aca="false">IF(AND(A32="",B32="",C32=""),"",IF(NOT(ISNUMBER(A32)),"Enter the date done",IF(SUMPRODUCT(('PM Plan'!$A$5:$A$304=B32)*('PM Plan'!$B$5:$B$304=C32))=0,"No matching asset + task in plan","OK")))</f>
        <v/>
      </c>
    </row>
    <row r="33" customFormat="false" ht="15" hidden="false" customHeight="false" outlineLevel="0" collapsed="false">
      <c r="A33" s="14"/>
      <c r="B33" s="9"/>
      <c r="C33" s="9"/>
      <c r="D33" s="9"/>
      <c r="E33" s="9"/>
      <c r="F33" s="17" t="str">
        <f aca="false">IF(AND(A33="",B33="",C33=""),"",IF(NOT(ISNUMBER(A33)),"Enter the date done",IF(SUMPRODUCT(('PM Plan'!$A$5:$A$304=B33)*('PM Plan'!$B$5:$B$304=C33))=0,"No matching asset + task in plan","OK")))</f>
        <v/>
      </c>
    </row>
    <row r="34" customFormat="false" ht="15" hidden="false" customHeight="false" outlineLevel="0" collapsed="false">
      <c r="A34" s="14"/>
      <c r="B34" s="9"/>
      <c r="C34" s="9"/>
      <c r="D34" s="9"/>
      <c r="E34" s="9"/>
      <c r="F34" s="17" t="str">
        <f aca="false">IF(AND(A34="",B34="",C34=""),"",IF(NOT(ISNUMBER(A34)),"Enter the date done",IF(SUMPRODUCT(('PM Plan'!$A$5:$A$304=B34)*('PM Plan'!$B$5:$B$304=C34))=0,"No matching asset + task in plan","OK")))</f>
        <v/>
      </c>
    </row>
    <row r="35" customFormat="false" ht="15" hidden="false" customHeight="false" outlineLevel="0" collapsed="false">
      <c r="A35" s="14"/>
      <c r="B35" s="9"/>
      <c r="C35" s="9"/>
      <c r="D35" s="9"/>
      <c r="E35" s="9"/>
      <c r="F35" s="17" t="str">
        <f aca="false">IF(AND(A35="",B35="",C35=""),"",IF(NOT(ISNUMBER(A35)),"Enter the date done",IF(SUMPRODUCT(('PM Plan'!$A$5:$A$304=B35)*('PM Plan'!$B$5:$B$304=C35))=0,"No matching asset + task in plan","OK")))</f>
        <v/>
      </c>
    </row>
    <row r="36" customFormat="false" ht="15" hidden="false" customHeight="false" outlineLevel="0" collapsed="false">
      <c r="A36" s="14"/>
      <c r="B36" s="9"/>
      <c r="C36" s="9"/>
      <c r="D36" s="9"/>
      <c r="E36" s="9"/>
      <c r="F36" s="17" t="str">
        <f aca="false">IF(AND(A36="",B36="",C36=""),"",IF(NOT(ISNUMBER(A36)),"Enter the date done",IF(SUMPRODUCT(('PM Plan'!$A$5:$A$304=B36)*('PM Plan'!$B$5:$B$304=C36))=0,"No matching asset + task in plan","OK")))</f>
        <v/>
      </c>
    </row>
    <row r="37" customFormat="false" ht="15" hidden="false" customHeight="false" outlineLevel="0" collapsed="false">
      <c r="A37" s="14"/>
      <c r="B37" s="9"/>
      <c r="C37" s="9"/>
      <c r="D37" s="9"/>
      <c r="E37" s="9"/>
      <c r="F37" s="17" t="str">
        <f aca="false">IF(AND(A37="",B37="",C37=""),"",IF(NOT(ISNUMBER(A37)),"Enter the date done",IF(SUMPRODUCT(('PM Plan'!$A$5:$A$304=B37)*('PM Plan'!$B$5:$B$304=C37))=0,"No matching asset + task in plan","OK")))</f>
        <v/>
      </c>
    </row>
    <row r="38" customFormat="false" ht="15" hidden="false" customHeight="false" outlineLevel="0" collapsed="false">
      <c r="A38" s="14"/>
      <c r="B38" s="9"/>
      <c r="C38" s="9"/>
      <c r="D38" s="9"/>
      <c r="E38" s="9"/>
      <c r="F38" s="17" t="str">
        <f aca="false">IF(AND(A38="",B38="",C38=""),"",IF(NOT(ISNUMBER(A38)),"Enter the date done",IF(SUMPRODUCT(('PM Plan'!$A$5:$A$304=B38)*('PM Plan'!$B$5:$B$304=C38))=0,"No matching asset + task in plan","OK")))</f>
        <v/>
      </c>
    </row>
    <row r="39" customFormat="false" ht="15" hidden="false" customHeight="false" outlineLevel="0" collapsed="false">
      <c r="A39" s="14"/>
      <c r="B39" s="9"/>
      <c r="C39" s="9"/>
      <c r="D39" s="9"/>
      <c r="E39" s="9"/>
      <c r="F39" s="17" t="str">
        <f aca="false">IF(AND(A39="",B39="",C39=""),"",IF(NOT(ISNUMBER(A39)),"Enter the date done",IF(SUMPRODUCT(('PM Plan'!$A$5:$A$304=B39)*('PM Plan'!$B$5:$B$304=C39))=0,"No matching asset + task in plan","OK")))</f>
        <v/>
      </c>
    </row>
    <row r="40" customFormat="false" ht="15" hidden="false" customHeight="false" outlineLevel="0" collapsed="false">
      <c r="A40" s="14"/>
      <c r="B40" s="9"/>
      <c r="C40" s="9"/>
      <c r="D40" s="9"/>
      <c r="E40" s="9"/>
      <c r="F40" s="17" t="str">
        <f aca="false">IF(AND(A40="",B40="",C40=""),"",IF(NOT(ISNUMBER(A40)),"Enter the date done",IF(SUMPRODUCT(('PM Plan'!$A$5:$A$304=B40)*('PM Plan'!$B$5:$B$304=C40))=0,"No matching asset + task in plan","OK")))</f>
        <v/>
      </c>
    </row>
    <row r="41" customFormat="false" ht="15" hidden="false" customHeight="false" outlineLevel="0" collapsed="false">
      <c r="A41" s="14"/>
      <c r="B41" s="9"/>
      <c r="C41" s="9"/>
      <c r="D41" s="9"/>
      <c r="E41" s="9"/>
      <c r="F41" s="17" t="str">
        <f aca="false">IF(AND(A41="",B41="",C41=""),"",IF(NOT(ISNUMBER(A41)),"Enter the date done",IF(SUMPRODUCT(('PM Plan'!$A$5:$A$304=B41)*('PM Plan'!$B$5:$B$304=C41))=0,"No matching asset + task in plan","OK")))</f>
        <v/>
      </c>
    </row>
    <row r="42" customFormat="false" ht="15" hidden="false" customHeight="false" outlineLevel="0" collapsed="false">
      <c r="A42" s="14"/>
      <c r="B42" s="9"/>
      <c r="C42" s="9"/>
      <c r="D42" s="9"/>
      <c r="E42" s="9"/>
      <c r="F42" s="17" t="str">
        <f aca="false">IF(AND(A42="",B42="",C42=""),"",IF(NOT(ISNUMBER(A42)),"Enter the date done",IF(SUMPRODUCT(('PM Plan'!$A$5:$A$304=B42)*('PM Plan'!$B$5:$B$304=C42))=0,"No matching asset + task in plan","OK")))</f>
        <v/>
      </c>
    </row>
    <row r="43" customFormat="false" ht="15" hidden="false" customHeight="false" outlineLevel="0" collapsed="false">
      <c r="A43" s="14"/>
      <c r="B43" s="9"/>
      <c r="C43" s="9"/>
      <c r="D43" s="9"/>
      <c r="E43" s="9"/>
      <c r="F43" s="17" t="str">
        <f aca="false">IF(AND(A43="",B43="",C43=""),"",IF(NOT(ISNUMBER(A43)),"Enter the date done",IF(SUMPRODUCT(('PM Plan'!$A$5:$A$304=B43)*('PM Plan'!$B$5:$B$304=C43))=0,"No matching asset + task in plan","OK")))</f>
        <v/>
      </c>
    </row>
    <row r="44" customFormat="false" ht="15" hidden="false" customHeight="false" outlineLevel="0" collapsed="false">
      <c r="A44" s="14"/>
      <c r="B44" s="9"/>
      <c r="C44" s="9"/>
      <c r="D44" s="9"/>
      <c r="E44" s="9"/>
      <c r="F44" s="17" t="str">
        <f aca="false">IF(AND(A44="",B44="",C44=""),"",IF(NOT(ISNUMBER(A44)),"Enter the date done",IF(SUMPRODUCT(('PM Plan'!$A$5:$A$304=B44)*('PM Plan'!$B$5:$B$304=C44))=0,"No matching asset + task in plan","OK")))</f>
        <v/>
      </c>
    </row>
    <row r="45" customFormat="false" ht="15" hidden="false" customHeight="false" outlineLevel="0" collapsed="false">
      <c r="A45" s="14"/>
      <c r="B45" s="9"/>
      <c r="C45" s="9"/>
      <c r="D45" s="9"/>
      <c r="E45" s="9"/>
      <c r="F45" s="17" t="str">
        <f aca="false">IF(AND(A45="",B45="",C45=""),"",IF(NOT(ISNUMBER(A45)),"Enter the date done",IF(SUMPRODUCT(('PM Plan'!$A$5:$A$304=B45)*('PM Plan'!$B$5:$B$304=C45))=0,"No matching asset + task in plan","OK")))</f>
        <v/>
      </c>
    </row>
    <row r="46" customFormat="false" ht="15" hidden="false" customHeight="false" outlineLevel="0" collapsed="false">
      <c r="A46" s="14"/>
      <c r="B46" s="9"/>
      <c r="C46" s="9"/>
      <c r="D46" s="9"/>
      <c r="E46" s="9"/>
      <c r="F46" s="17" t="str">
        <f aca="false">IF(AND(A46="",B46="",C46=""),"",IF(NOT(ISNUMBER(A46)),"Enter the date done",IF(SUMPRODUCT(('PM Plan'!$A$5:$A$304=B46)*('PM Plan'!$B$5:$B$304=C46))=0,"No matching asset + task in plan","OK")))</f>
        <v/>
      </c>
    </row>
    <row r="47" customFormat="false" ht="15" hidden="false" customHeight="false" outlineLevel="0" collapsed="false">
      <c r="A47" s="14"/>
      <c r="B47" s="9"/>
      <c r="C47" s="9"/>
      <c r="D47" s="9"/>
      <c r="E47" s="9"/>
      <c r="F47" s="17" t="str">
        <f aca="false">IF(AND(A47="",B47="",C47=""),"",IF(NOT(ISNUMBER(A47)),"Enter the date done",IF(SUMPRODUCT(('PM Plan'!$A$5:$A$304=B47)*('PM Plan'!$B$5:$B$304=C47))=0,"No matching asset + task in plan","OK")))</f>
        <v/>
      </c>
    </row>
    <row r="48" customFormat="false" ht="15" hidden="false" customHeight="false" outlineLevel="0" collapsed="false">
      <c r="A48" s="14"/>
      <c r="B48" s="9"/>
      <c r="C48" s="9"/>
      <c r="D48" s="9"/>
      <c r="E48" s="9"/>
      <c r="F48" s="17" t="str">
        <f aca="false">IF(AND(A48="",B48="",C48=""),"",IF(NOT(ISNUMBER(A48)),"Enter the date done",IF(SUMPRODUCT(('PM Plan'!$A$5:$A$304=B48)*('PM Plan'!$B$5:$B$304=C48))=0,"No matching asset + task in plan","OK")))</f>
        <v/>
      </c>
    </row>
    <row r="49" customFormat="false" ht="15" hidden="false" customHeight="false" outlineLevel="0" collapsed="false">
      <c r="A49" s="14"/>
      <c r="B49" s="9"/>
      <c r="C49" s="9"/>
      <c r="D49" s="9"/>
      <c r="E49" s="9"/>
      <c r="F49" s="17" t="str">
        <f aca="false">IF(AND(A49="",B49="",C49=""),"",IF(NOT(ISNUMBER(A49)),"Enter the date done",IF(SUMPRODUCT(('PM Plan'!$A$5:$A$304=B49)*('PM Plan'!$B$5:$B$304=C49))=0,"No matching asset + task in plan","OK")))</f>
        <v/>
      </c>
    </row>
    <row r="50" customFormat="false" ht="15" hidden="false" customHeight="false" outlineLevel="0" collapsed="false">
      <c r="A50" s="14"/>
      <c r="B50" s="9"/>
      <c r="C50" s="9"/>
      <c r="D50" s="9"/>
      <c r="E50" s="9"/>
      <c r="F50" s="17" t="str">
        <f aca="false">IF(AND(A50="",B50="",C50=""),"",IF(NOT(ISNUMBER(A50)),"Enter the date done",IF(SUMPRODUCT(('PM Plan'!$A$5:$A$304=B50)*('PM Plan'!$B$5:$B$304=C50))=0,"No matching asset + task in plan","OK")))</f>
        <v/>
      </c>
    </row>
    <row r="51" customFormat="false" ht="15" hidden="false" customHeight="false" outlineLevel="0" collapsed="false">
      <c r="A51" s="14"/>
      <c r="B51" s="9"/>
      <c r="C51" s="9"/>
      <c r="D51" s="9"/>
      <c r="E51" s="9"/>
      <c r="F51" s="17" t="str">
        <f aca="false">IF(AND(A51="",B51="",C51=""),"",IF(NOT(ISNUMBER(A51)),"Enter the date done",IF(SUMPRODUCT(('PM Plan'!$A$5:$A$304=B51)*('PM Plan'!$B$5:$B$304=C51))=0,"No matching asset + task in plan","OK")))</f>
        <v/>
      </c>
    </row>
    <row r="52" customFormat="false" ht="15" hidden="false" customHeight="false" outlineLevel="0" collapsed="false">
      <c r="A52" s="14"/>
      <c r="B52" s="9"/>
      <c r="C52" s="9"/>
      <c r="D52" s="9"/>
      <c r="E52" s="9"/>
      <c r="F52" s="17" t="str">
        <f aca="false">IF(AND(A52="",B52="",C52=""),"",IF(NOT(ISNUMBER(A52)),"Enter the date done",IF(SUMPRODUCT(('PM Plan'!$A$5:$A$304=B52)*('PM Plan'!$B$5:$B$304=C52))=0,"No matching asset + task in plan","OK")))</f>
        <v/>
      </c>
    </row>
    <row r="53" customFormat="false" ht="15" hidden="false" customHeight="false" outlineLevel="0" collapsed="false">
      <c r="A53" s="14"/>
      <c r="B53" s="9"/>
      <c r="C53" s="9"/>
      <c r="D53" s="9"/>
      <c r="E53" s="9"/>
      <c r="F53" s="17" t="str">
        <f aca="false">IF(AND(A53="",B53="",C53=""),"",IF(NOT(ISNUMBER(A53)),"Enter the date done",IF(SUMPRODUCT(('PM Plan'!$A$5:$A$304=B53)*('PM Plan'!$B$5:$B$304=C53))=0,"No matching asset + task in plan","OK")))</f>
        <v/>
      </c>
    </row>
    <row r="54" customFormat="false" ht="15" hidden="false" customHeight="false" outlineLevel="0" collapsed="false">
      <c r="A54" s="14"/>
      <c r="B54" s="9"/>
      <c r="C54" s="9"/>
      <c r="D54" s="9"/>
      <c r="E54" s="9"/>
      <c r="F54" s="17" t="str">
        <f aca="false">IF(AND(A54="",B54="",C54=""),"",IF(NOT(ISNUMBER(A54)),"Enter the date done",IF(SUMPRODUCT(('PM Plan'!$A$5:$A$304=B54)*('PM Plan'!$B$5:$B$304=C54))=0,"No matching asset + task in plan","OK")))</f>
        <v/>
      </c>
    </row>
    <row r="55" customFormat="false" ht="15" hidden="false" customHeight="false" outlineLevel="0" collapsed="false">
      <c r="A55" s="14"/>
      <c r="B55" s="9"/>
      <c r="C55" s="9"/>
      <c r="D55" s="9"/>
      <c r="E55" s="9"/>
      <c r="F55" s="17" t="str">
        <f aca="false">IF(AND(A55="",B55="",C55=""),"",IF(NOT(ISNUMBER(A55)),"Enter the date done",IF(SUMPRODUCT(('PM Plan'!$A$5:$A$304=B55)*('PM Plan'!$B$5:$B$304=C55))=0,"No matching asset + task in plan","OK")))</f>
        <v/>
      </c>
    </row>
    <row r="56" customFormat="false" ht="15" hidden="false" customHeight="false" outlineLevel="0" collapsed="false">
      <c r="A56" s="14"/>
      <c r="B56" s="9"/>
      <c r="C56" s="9"/>
      <c r="D56" s="9"/>
      <c r="E56" s="9"/>
      <c r="F56" s="17" t="str">
        <f aca="false">IF(AND(A56="",B56="",C56=""),"",IF(NOT(ISNUMBER(A56)),"Enter the date done",IF(SUMPRODUCT(('PM Plan'!$A$5:$A$304=B56)*('PM Plan'!$B$5:$B$304=C56))=0,"No matching asset + task in plan","OK")))</f>
        <v/>
      </c>
    </row>
    <row r="57" customFormat="false" ht="15" hidden="false" customHeight="false" outlineLevel="0" collapsed="false">
      <c r="A57" s="14"/>
      <c r="B57" s="9"/>
      <c r="C57" s="9"/>
      <c r="D57" s="9"/>
      <c r="E57" s="9"/>
      <c r="F57" s="17" t="str">
        <f aca="false">IF(AND(A57="",B57="",C57=""),"",IF(NOT(ISNUMBER(A57)),"Enter the date done",IF(SUMPRODUCT(('PM Plan'!$A$5:$A$304=B57)*('PM Plan'!$B$5:$B$304=C57))=0,"No matching asset + task in plan","OK")))</f>
        <v/>
      </c>
    </row>
    <row r="58" customFormat="false" ht="15" hidden="false" customHeight="false" outlineLevel="0" collapsed="false">
      <c r="A58" s="14"/>
      <c r="B58" s="9"/>
      <c r="C58" s="9"/>
      <c r="D58" s="9"/>
      <c r="E58" s="9"/>
      <c r="F58" s="17" t="str">
        <f aca="false">IF(AND(A58="",B58="",C58=""),"",IF(NOT(ISNUMBER(A58)),"Enter the date done",IF(SUMPRODUCT(('PM Plan'!$A$5:$A$304=B58)*('PM Plan'!$B$5:$B$304=C58))=0,"No matching asset + task in plan","OK")))</f>
        <v/>
      </c>
    </row>
    <row r="59" customFormat="false" ht="15" hidden="false" customHeight="false" outlineLevel="0" collapsed="false">
      <c r="A59" s="14"/>
      <c r="B59" s="9"/>
      <c r="C59" s="9"/>
      <c r="D59" s="9"/>
      <c r="E59" s="9"/>
      <c r="F59" s="17" t="str">
        <f aca="false">IF(AND(A59="",B59="",C59=""),"",IF(NOT(ISNUMBER(A59)),"Enter the date done",IF(SUMPRODUCT(('PM Plan'!$A$5:$A$304=B59)*('PM Plan'!$B$5:$B$304=C59))=0,"No matching asset + task in plan","OK")))</f>
        <v/>
      </c>
    </row>
    <row r="60" customFormat="false" ht="15" hidden="false" customHeight="false" outlineLevel="0" collapsed="false">
      <c r="A60" s="14"/>
      <c r="B60" s="9"/>
      <c r="C60" s="9"/>
      <c r="D60" s="9"/>
      <c r="E60" s="9"/>
      <c r="F60" s="17" t="str">
        <f aca="false">IF(AND(A60="",B60="",C60=""),"",IF(NOT(ISNUMBER(A60)),"Enter the date done",IF(SUMPRODUCT(('PM Plan'!$A$5:$A$304=B60)*('PM Plan'!$B$5:$B$304=C60))=0,"No matching asset + task in plan","OK")))</f>
        <v/>
      </c>
    </row>
    <row r="61" customFormat="false" ht="15" hidden="false" customHeight="false" outlineLevel="0" collapsed="false">
      <c r="A61" s="14"/>
      <c r="B61" s="9"/>
      <c r="C61" s="9"/>
      <c r="D61" s="9"/>
      <c r="E61" s="9"/>
      <c r="F61" s="17" t="str">
        <f aca="false">IF(AND(A61="",B61="",C61=""),"",IF(NOT(ISNUMBER(A61)),"Enter the date done",IF(SUMPRODUCT(('PM Plan'!$A$5:$A$304=B61)*('PM Plan'!$B$5:$B$304=C61))=0,"No matching asset + task in plan","OK")))</f>
        <v/>
      </c>
    </row>
    <row r="62" customFormat="false" ht="15" hidden="false" customHeight="false" outlineLevel="0" collapsed="false">
      <c r="A62" s="14"/>
      <c r="B62" s="9"/>
      <c r="C62" s="9"/>
      <c r="D62" s="9"/>
      <c r="E62" s="9"/>
      <c r="F62" s="17" t="str">
        <f aca="false">IF(AND(A62="",B62="",C62=""),"",IF(NOT(ISNUMBER(A62)),"Enter the date done",IF(SUMPRODUCT(('PM Plan'!$A$5:$A$304=B62)*('PM Plan'!$B$5:$B$304=C62))=0,"No matching asset + task in plan","OK")))</f>
        <v/>
      </c>
    </row>
    <row r="63" customFormat="false" ht="15" hidden="false" customHeight="false" outlineLevel="0" collapsed="false">
      <c r="A63" s="14"/>
      <c r="B63" s="9"/>
      <c r="C63" s="9"/>
      <c r="D63" s="9"/>
      <c r="E63" s="9"/>
      <c r="F63" s="17" t="str">
        <f aca="false">IF(AND(A63="",B63="",C63=""),"",IF(NOT(ISNUMBER(A63)),"Enter the date done",IF(SUMPRODUCT(('PM Plan'!$A$5:$A$304=B63)*('PM Plan'!$B$5:$B$304=C63))=0,"No matching asset + task in plan","OK")))</f>
        <v/>
      </c>
    </row>
    <row r="64" customFormat="false" ht="15" hidden="false" customHeight="false" outlineLevel="0" collapsed="false">
      <c r="A64" s="14"/>
      <c r="B64" s="9"/>
      <c r="C64" s="9"/>
      <c r="D64" s="9"/>
      <c r="E64" s="9"/>
      <c r="F64" s="17" t="str">
        <f aca="false">IF(AND(A64="",B64="",C64=""),"",IF(NOT(ISNUMBER(A64)),"Enter the date done",IF(SUMPRODUCT(('PM Plan'!$A$5:$A$304=B64)*('PM Plan'!$B$5:$B$304=C64))=0,"No matching asset + task in plan","OK")))</f>
        <v/>
      </c>
    </row>
    <row r="65" customFormat="false" ht="15" hidden="false" customHeight="false" outlineLevel="0" collapsed="false">
      <c r="A65" s="14"/>
      <c r="B65" s="9"/>
      <c r="C65" s="9"/>
      <c r="D65" s="9"/>
      <c r="E65" s="9"/>
      <c r="F65" s="17" t="str">
        <f aca="false">IF(AND(A65="",B65="",C65=""),"",IF(NOT(ISNUMBER(A65)),"Enter the date done",IF(SUMPRODUCT(('PM Plan'!$A$5:$A$304=B65)*('PM Plan'!$B$5:$B$304=C65))=0,"No matching asset + task in plan","OK")))</f>
        <v/>
      </c>
    </row>
    <row r="66" customFormat="false" ht="15" hidden="false" customHeight="false" outlineLevel="0" collapsed="false">
      <c r="A66" s="14"/>
      <c r="B66" s="9"/>
      <c r="C66" s="9"/>
      <c r="D66" s="9"/>
      <c r="E66" s="9"/>
      <c r="F66" s="17" t="str">
        <f aca="false">IF(AND(A66="",B66="",C66=""),"",IF(NOT(ISNUMBER(A66)),"Enter the date done",IF(SUMPRODUCT(('PM Plan'!$A$5:$A$304=B66)*('PM Plan'!$B$5:$B$304=C66))=0,"No matching asset + task in plan","OK")))</f>
        <v/>
      </c>
    </row>
    <row r="67" customFormat="false" ht="15" hidden="false" customHeight="false" outlineLevel="0" collapsed="false">
      <c r="A67" s="14"/>
      <c r="B67" s="9"/>
      <c r="C67" s="9"/>
      <c r="D67" s="9"/>
      <c r="E67" s="9"/>
      <c r="F67" s="17" t="str">
        <f aca="false">IF(AND(A67="",B67="",C67=""),"",IF(NOT(ISNUMBER(A67)),"Enter the date done",IF(SUMPRODUCT(('PM Plan'!$A$5:$A$304=B67)*('PM Plan'!$B$5:$B$304=C67))=0,"No matching asset + task in plan","OK")))</f>
        <v/>
      </c>
    </row>
    <row r="68" customFormat="false" ht="15" hidden="false" customHeight="false" outlineLevel="0" collapsed="false">
      <c r="A68" s="14"/>
      <c r="B68" s="9"/>
      <c r="C68" s="9"/>
      <c r="D68" s="9"/>
      <c r="E68" s="9"/>
      <c r="F68" s="17" t="str">
        <f aca="false">IF(AND(A68="",B68="",C68=""),"",IF(NOT(ISNUMBER(A68)),"Enter the date done",IF(SUMPRODUCT(('PM Plan'!$A$5:$A$304=B68)*('PM Plan'!$B$5:$B$304=C68))=0,"No matching asset + task in plan","OK")))</f>
        <v/>
      </c>
    </row>
    <row r="69" customFormat="false" ht="15" hidden="false" customHeight="false" outlineLevel="0" collapsed="false">
      <c r="A69" s="14"/>
      <c r="B69" s="9"/>
      <c r="C69" s="9"/>
      <c r="D69" s="9"/>
      <c r="E69" s="9"/>
      <c r="F69" s="17" t="str">
        <f aca="false">IF(AND(A69="",B69="",C69=""),"",IF(NOT(ISNUMBER(A69)),"Enter the date done",IF(SUMPRODUCT(('PM Plan'!$A$5:$A$304=B69)*('PM Plan'!$B$5:$B$304=C69))=0,"No matching asset + task in plan","OK")))</f>
        <v/>
      </c>
    </row>
    <row r="70" customFormat="false" ht="15" hidden="false" customHeight="false" outlineLevel="0" collapsed="false">
      <c r="A70" s="14"/>
      <c r="B70" s="9"/>
      <c r="C70" s="9"/>
      <c r="D70" s="9"/>
      <c r="E70" s="9"/>
      <c r="F70" s="17" t="str">
        <f aca="false">IF(AND(A70="",B70="",C70=""),"",IF(NOT(ISNUMBER(A70)),"Enter the date done",IF(SUMPRODUCT(('PM Plan'!$A$5:$A$304=B70)*('PM Plan'!$B$5:$B$304=C70))=0,"No matching asset + task in plan","OK")))</f>
        <v/>
      </c>
    </row>
    <row r="71" customFormat="false" ht="15" hidden="false" customHeight="false" outlineLevel="0" collapsed="false">
      <c r="A71" s="14"/>
      <c r="B71" s="9"/>
      <c r="C71" s="9"/>
      <c r="D71" s="9"/>
      <c r="E71" s="9"/>
      <c r="F71" s="17" t="str">
        <f aca="false">IF(AND(A71="",B71="",C71=""),"",IF(NOT(ISNUMBER(A71)),"Enter the date done",IF(SUMPRODUCT(('PM Plan'!$A$5:$A$304=B71)*('PM Plan'!$B$5:$B$304=C71))=0,"No matching asset + task in plan","OK")))</f>
        <v/>
      </c>
    </row>
    <row r="72" customFormat="false" ht="15" hidden="false" customHeight="false" outlineLevel="0" collapsed="false">
      <c r="A72" s="14"/>
      <c r="B72" s="9"/>
      <c r="C72" s="9"/>
      <c r="D72" s="9"/>
      <c r="E72" s="9"/>
      <c r="F72" s="17" t="str">
        <f aca="false">IF(AND(A72="",B72="",C72=""),"",IF(NOT(ISNUMBER(A72)),"Enter the date done",IF(SUMPRODUCT(('PM Plan'!$A$5:$A$304=B72)*('PM Plan'!$B$5:$B$304=C72))=0,"No matching asset + task in plan","OK")))</f>
        <v/>
      </c>
    </row>
    <row r="73" customFormat="false" ht="15" hidden="false" customHeight="false" outlineLevel="0" collapsed="false">
      <c r="A73" s="14"/>
      <c r="B73" s="9"/>
      <c r="C73" s="9"/>
      <c r="D73" s="9"/>
      <c r="E73" s="9"/>
      <c r="F73" s="17" t="str">
        <f aca="false">IF(AND(A73="",B73="",C73=""),"",IF(NOT(ISNUMBER(A73)),"Enter the date done",IF(SUMPRODUCT(('PM Plan'!$A$5:$A$304=B73)*('PM Plan'!$B$5:$B$304=C73))=0,"No matching asset + task in plan","OK")))</f>
        <v/>
      </c>
    </row>
    <row r="74" customFormat="false" ht="15" hidden="false" customHeight="false" outlineLevel="0" collapsed="false">
      <c r="A74" s="14"/>
      <c r="B74" s="9"/>
      <c r="C74" s="9"/>
      <c r="D74" s="9"/>
      <c r="E74" s="9"/>
      <c r="F74" s="17" t="str">
        <f aca="false">IF(AND(A74="",B74="",C74=""),"",IF(NOT(ISNUMBER(A74)),"Enter the date done",IF(SUMPRODUCT(('PM Plan'!$A$5:$A$304=B74)*('PM Plan'!$B$5:$B$304=C74))=0,"No matching asset + task in plan","OK")))</f>
        <v/>
      </c>
    </row>
    <row r="75" customFormat="false" ht="15" hidden="false" customHeight="false" outlineLevel="0" collapsed="false">
      <c r="A75" s="14"/>
      <c r="B75" s="9"/>
      <c r="C75" s="9"/>
      <c r="D75" s="9"/>
      <c r="E75" s="9"/>
      <c r="F75" s="17" t="str">
        <f aca="false">IF(AND(A75="",B75="",C75=""),"",IF(NOT(ISNUMBER(A75)),"Enter the date done",IF(SUMPRODUCT(('PM Plan'!$A$5:$A$304=B75)*('PM Plan'!$B$5:$B$304=C75))=0,"No matching asset + task in plan","OK")))</f>
        <v/>
      </c>
    </row>
    <row r="76" customFormat="false" ht="15" hidden="false" customHeight="false" outlineLevel="0" collapsed="false">
      <c r="A76" s="14"/>
      <c r="B76" s="9"/>
      <c r="C76" s="9"/>
      <c r="D76" s="9"/>
      <c r="E76" s="9"/>
      <c r="F76" s="17" t="str">
        <f aca="false">IF(AND(A76="",B76="",C76=""),"",IF(NOT(ISNUMBER(A76)),"Enter the date done",IF(SUMPRODUCT(('PM Plan'!$A$5:$A$304=B76)*('PM Plan'!$B$5:$B$304=C76))=0,"No matching asset + task in plan","OK")))</f>
        <v/>
      </c>
    </row>
    <row r="77" customFormat="false" ht="15" hidden="false" customHeight="false" outlineLevel="0" collapsed="false">
      <c r="A77" s="14"/>
      <c r="B77" s="9"/>
      <c r="C77" s="9"/>
      <c r="D77" s="9"/>
      <c r="E77" s="9"/>
      <c r="F77" s="17" t="str">
        <f aca="false">IF(AND(A77="",B77="",C77=""),"",IF(NOT(ISNUMBER(A77)),"Enter the date done",IF(SUMPRODUCT(('PM Plan'!$A$5:$A$304=B77)*('PM Plan'!$B$5:$B$304=C77))=0,"No matching asset + task in plan","OK")))</f>
        <v/>
      </c>
    </row>
    <row r="78" customFormat="false" ht="15" hidden="false" customHeight="false" outlineLevel="0" collapsed="false">
      <c r="A78" s="14"/>
      <c r="B78" s="9"/>
      <c r="C78" s="9"/>
      <c r="D78" s="9"/>
      <c r="E78" s="9"/>
      <c r="F78" s="17" t="str">
        <f aca="false">IF(AND(A78="",B78="",C78=""),"",IF(NOT(ISNUMBER(A78)),"Enter the date done",IF(SUMPRODUCT(('PM Plan'!$A$5:$A$304=B78)*('PM Plan'!$B$5:$B$304=C78))=0,"No matching asset + task in plan","OK")))</f>
        <v/>
      </c>
    </row>
    <row r="79" customFormat="false" ht="15" hidden="false" customHeight="false" outlineLevel="0" collapsed="false">
      <c r="A79" s="14"/>
      <c r="B79" s="9"/>
      <c r="C79" s="9"/>
      <c r="D79" s="9"/>
      <c r="E79" s="9"/>
      <c r="F79" s="17" t="str">
        <f aca="false">IF(AND(A79="",B79="",C79=""),"",IF(NOT(ISNUMBER(A79)),"Enter the date done",IF(SUMPRODUCT(('PM Plan'!$A$5:$A$304=B79)*('PM Plan'!$B$5:$B$304=C79))=0,"No matching asset + task in plan","OK")))</f>
        <v/>
      </c>
    </row>
    <row r="80" customFormat="false" ht="15" hidden="false" customHeight="false" outlineLevel="0" collapsed="false">
      <c r="A80" s="14"/>
      <c r="B80" s="9"/>
      <c r="C80" s="9"/>
      <c r="D80" s="9"/>
      <c r="E80" s="9"/>
      <c r="F80" s="17" t="str">
        <f aca="false">IF(AND(A80="",B80="",C80=""),"",IF(NOT(ISNUMBER(A80)),"Enter the date done",IF(SUMPRODUCT(('PM Plan'!$A$5:$A$304=B80)*('PM Plan'!$B$5:$B$304=C80))=0,"No matching asset + task in plan","OK")))</f>
        <v/>
      </c>
    </row>
    <row r="81" customFormat="false" ht="15" hidden="false" customHeight="false" outlineLevel="0" collapsed="false">
      <c r="A81" s="14"/>
      <c r="B81" s="9"/>
      <c r="C81" s="9"/>
      <c r="D81" s="9"/>
      <c r="E81" s="9"/>
      <c r="F81" s="17" t="str">
        <f aca="false">IF(AND(A81="",B81="",C81=""),"",IF(NOT(ISNUMBER(A81)),"Enter the date done",IF(SUMPRODUCT(('PM Plan'!$A$5:$A$304=B81)*('PM Plan'!$B$5:$B$304=C81))=0,"No matching asset + task in plan","OK")))</f>
        <v/>
      </c>
    </row>
    <row r="82" customFormat="false" ht="15" hidden="false" customHeight="false" outlineLevel="0" collapsed="false">
      <c r="A82" s="14"/>
      <c r="B82" s="9"/>
      <c r="C82" s="9"/>
      <c r="D82" s="9"/>
      <c r="E82" s="9"/>
      <c r="F82" s="17" t="str">
        <f aca="false">IF(AND(A82="",B82="",C82=""),"",IF(NOT(ISNUMBER(A82)),"Enter the date done",IF(SUMPRODUCT(('PM Plan'!$A$5:$A$304=B82)*('PM Plan'!$B$5:$B$304=C82))=0,"No matching asset + task in plan","OK")))</f>
        <v/>
      </c>
    </row>
    <row r="83" customFormat="false" ht="15" hidden="false" customHeight="false" outlineLevel="0" collapsed="false">
      <c r="A83" s="14"/>
      <c r="B83" s="9"/>
      <c r="C83" s="9"/>
      <c r="D83" s="9"/>
      <c r="E83" s="9"/>
      <c r="F83" s="17" t="str">
        <f aca="false">IF(AND(A83="",B83="",C83=""),"",IF(NOT(ISNUMBER(A83)),"Enter the date done",IF(SUMPRODUCT(('PM Plan'!$A$5:$A$304=B83)*('PM Plan'!$B$5:$B$304=C83))=0,"No matching asset + task in plan","OK")))</f>
        <v/>
      </c>
    </row>
    <row r="84" customFormat="false" ht="15" hidden="false" customHeight="false" outlineLevel="0" collapsed="false">
      <c r="A84" s="14"/>
      <c r="B84" s="9"/>
      <c r="C84" s="9"/>
      <c r="D84" s="9"/>
      <c r="E84" s="9"/>
      <c r="F84" s="17" t="str">
        <f aca="false">IF(AND(A84="",B84="",C84=""),"",IF(NOT(ISNUMBER(A84)),"Enter the date done",IF(SUMPRODUCT(('PM Plan'!$A$5:$A$304=B84)*('PM Plan'!$B$5:$B$304=C84))=0,"No matching asset + task in plan","OK")))</f>
        <v/>
      </c>
    </row>
    <row r="85" customFormat="false" ht="15" hidden="false" customHeight="false" outlineLevel="0" collapsed="false">
      <c r="A85" s="14"/>
      <c r="B85" s="9"/>
      <c r="C85" s="9"/>
      <c r="D85" s="9"/>
      <c r="E85" s="9"/>
      <c r="F85" s="17" t="str">
        <f aca="false">IF(AND(A85="",B85="",C85=""),"",IF(NOT(ISNUMBER(A85)),"Enter the date done",IF(SUMPRODUCT(('PM Plan'!$A$5:$A$304=B85)*('PM Plan'!$B$5:$B$304=C85))=0,"No matching asset + task in plan","OK")))</f>
        <v/>
      </c>
    </row>
    <row r="86" customFormat="false" ht="15" hidden="false" customHeight="false" outlineLevel="0" collapsed="false">
      <c r="A86" s="14"/>
      <c r="B86" s="9"/>
      <c r="C86" s="9"/>
      <c r="D86" s="9"/>
      <c r="E86" s="9"/>
      <c r="F86" s="17" t="str">
        <f aca="false">IF(AND(A86="",B86="",C86=""),"",IF(NOT(ISNUMBER(A86)),"Enter the date done",IF(SUMPRODUCT(('PM Plan'!$A$5:$A$304=B86)*('PM Plan'!$B$5:$B$304=C86))=0,"No matching asset + task in plan","OK")))</f>
        <v/>
      </c>
    </row>
    <row r="87" customFormat="false" ht="15" hidden="false" customHeight="false" outlineLevel="0" collapsed="false">
      <c r="A87" s="14"/>
      <c r="B87" s="9"/>
      <c r="C87" s="9"/>
      <c r="D87" s="9"/>
      <c r="E87" s="9"/>
      <c r="F87" s="17" t="str">
        <f aca="false">IF(AND(A87="",B87="",C87=""),"",IF(NOT(ISNUMBER(A87)),"Enter the date done",IF(SUMPRODUCT(('PM Plan'!$A$5:$A$304=B87)*('PM Plan'!$B$5:$B$304=C87))=0,"No matching asset + task in plan","OK")))</f>
        <v/>
      </c>
    </row>
    <row r="88" customFormat="false" ht="15" hidden="false" customHeight="false" outlineLevel="0" collapsed="false">
      <c r="A88" s="14"/>
      <c r="B88" s="9"/>
      <c r="C88" s="9"/>
      <c r="D88" s="9"/>
      <c r="E88" s="9"/>
      <c r="F88" s="17" t="str">
        <f aca="false">IF(AND(A88="",B88="",C88=""),"",IF(NOT(ISNUMBER(A88)),"Enter the date done",IF(SUMPRODUCT(('PM Plan'!$A$5:$A$304=B88)*('PM Plan'!$B$5:$B$304=C88))=0,"No matching asset + task in plan","OK")))</f>
        <v/>
      </c>
    </row>
    <row r="89" customFormat="false" ht="15" hidden="false" customHeight="false" outlineLevel="0" collapsed="false">
      <c r="A89" s="14"/>
      <c r="B89" s="9"/>
      <c r="C89" s="9"/>
      <c r="D89" s="9"/>
      <c r="E89" s="9"/>
      <c r="F89" s="17" t="str">
        <f aca="false">IF(AND(A89="",B89="",C89=""),"",IF(NOT(ISNUMBER(A89)),"Enter the date done",IF(SUMPRODUCT(('PM Plan'!$A$5:$A$304=B89)*('PM Plan'!$B$5:$B$304=C89))=0,"No matching asset + task in plan","OK")))</f>
        <v/>
      </c>
    </row>
    <row r="90" customFormat="false" ht="15" hidden="false" customHeight="false" outlineLevel="0" collapsed="false">
      <c r="A90" s="14"/>
      <c r="B90" s="9"/>
      <c r="C90" s="9"/>
      <c r="D90" s="9"/>
      <c r="E90" s="9"/>
      <c r="F90" s="17" t="str">
        <f aca="false">IF(AND(A90="",B90="",C90=""),"",IF(NOT(ISNUMBER(A90)),"Enter the date done",IF(SUMPRODUCT(('PM Plan'!$A$5:$A$304=B90)*('PM Plan'!$B$5:$B$304=C90))=0,"No matching asset + task in plan","OK")))</f>
        <v/>
      </c>
    </row>
    <row r="91" customFormat="false" ht="15" hidden="false" customHeight="false" outlineLevel="0" collapsed="false">
      <c r="A91" s="14"/>
      <c r="B91" s="9"/>
      <c r="C91" s="9"/>
      <c r="D91" s="9"/>
      <c r="E91" s="9"/>
      <c r="F91" s="17" t="str">
        <f aca="false">IF(AND(A91="",B91="",C91=""),"",IF(NOT(ISNUMBER(A91)),"Enter the date done",IF(SUMPRODUCT(('PM Plan'!$A$5:$A$304=B91)*('PM Plan'!$B$5:$B$304=C91))=0,"No matching asset + task in plan","OK")))</f>
        <v/>
      </c>
    </row>
    <row r="92" customFormat="false" ht="15" hidden="false" customHeight="false" outlineLevel="0" collapsed="false">
      <c r="A92" s="14"/>
      <c r="B92" s="9"/>
      <c r="C92" s="9"/>
      <c r="D92" s="9"/>
      <c r="E92" s="9"/>
      <c r="F92" s="17" t="str">
        <f aca="false">IF(AND(A92="",B92="",C92=""),"",IF(NOT(ISNUMBER(A92)),"Enter the date done",IF(SUMPRODUCT(('PM Plan'!$A$5:$A$304=B92)*('PM Plan'!$B$5:$B$304=C92))=0,"No matching asset + task in plan","OK")))</f>
        <v/>
      </c>
    </row>
    <row r="93" customFormat="false" ht="15" hidden="false" customHeight="false" outlineLevel="0" collapsed="false">
      <c r="A93" s="14"/>
      <c r="B93" s="9"/>
      <c r="C93" s="9"/>
      <c r="D93" s="9"/>
      <c r="E93" s="9"/>
      <c r="F93" s="17" t="str">
        <f aca="false">IF(AND(A93="",B93="",C93=""),"",IF(NOT(ISNUMBER(A93)),"Enter the date done",IF(SUMPRODUCT(('PM Plan'!$A$5:$A$304=B93)*('PM Plan'!$B$5:$B$304=C93))=0,"No matching asset + task in plan","OK")))</f>
        <v/>
      </c>
    </row>
    <row r="94" customFormat="false" ht="15" hidden="false" customHeight="false" outlineLevel="0" collapsed="false">
      <c r="A94" s="14"/>
      <c r="B94" s="9"/>
      <c r="C94" s="9"/>
      <c r="D94" s="9"/>
      <c r="E94" s="9"/>
      <c r="F94" s="17" t="str">
        <f aca="false">IF(AND(A94="",B94="",C94=""),"",IF(NOT(ISNUMBER(A94)),"Enter the date done",IF(SUMPRODUCT(('PM Plan'!$A$5:$A$304=B94)*('PM Plan'!$B$5:$B$304=C94))=0,"No matching asset + task in plan","OK")))</f>
        <v/>
      </c>
    </row>
    <row r="95" customFormat="false" ht="15" hidden="false" customHeight="false" outlineLevel="0" collapsed="false">
      <c r="A95" s="14"/>
      <c r="B95" s="9"/>
      <c r="C95" s="9"/>
      <c r="D95" s="9"/>
      <c r="E95" s="9"/>
      <c r="F95" s="17" t="str">
        <f aca="false">IF(AND(A95="",B95="",C95=""),"",IF(NOT(ISNUMBER(A95)),"Enter the date done",IF(SUMPRODUCT(('PM Plan'!$A$5:$A$304=B95)*('PM Plan'!$B$5:$B$304=C95))=0,"No matching asset + task in plan","OK")))</f>
        <v/>
      </c>
    </row>
    <row r="96" customFormat="false" ht="15" hidden="false" customHeight="false" outlineLevel="0" collapsed="false">
      <c r="A96" s="14"/>
      <c r="B96" s="9"/>
      <c r="C96" s="9"/>
      <c r="D96" s="9"/>
      <c r="E96" s="9"/>
      <c r="F96" s="17" t="str">
        <f aca="false">IF(AND(A96="",B96="",C96=""),"",IF(NOT(ISNUMBER(A96)),"Enter the date done",IF(SUMPRODUCT(('PM Plan'!$A$5:$A$304=B96)*('PM Plan'!$B$5:$B$304=C96))=0,"No matching asset + task in plan","OK")))</f>
        <v/>
      </c>
    </row>
    <row r="97" customFormat="false" ht="15" hidden="false" customHeight="false" outlineLevel="0" collapsed="false">
      <c r="A97" s="14"/>
      <c r="B97" s="9"/>
      <c r="C97" s="9"/>
      <c r="D97" s="9"/>
      <c r="E97" s="9"/>
      <c r="F97" s="17" t="str">
        <f aca="false">IF(AND(A97="",B97="",C97=""),"",IF(NOT(ISNUMBER(A97)),"Enter the date done",IF(SUMPRODUCT(('PM Plan'!$A$5:$A$304=B97)*('PM Plan'!$B$5:$B$304=C97))=0,"No matching asset + task in plan","OK")))</f>
        <v/>
      </c>
    </row>
    <row r="98" customFormat="false" ht="15" hidden="false" customHeight="false" outlineLevel="0" collapsed="false">
      <c r="A98" s="14"/>
      <c r="B98" s="9"/>
      <c r="C98" s="9"/>
      <c r="D98" s="9"/>
      <c r="E98" s="9"/>
      <c r="F98" s="17" t="str">
        <f aca="false">IF(AND(A98="",B98="",C98=""),"",IF(NOT(ISNUMBER(A98)),"Enter the date done",IF(SUMPRODUCT(('PM Plan'!$A$5:$A$304=B98)*('PM Plan'!$B$5:$B$304=C98))=0,"No matching asset + task in plan","OK")))</f>
        <v/>
      </c>
    </row>
    <row r="99" customFormat="false" ht="15" hidden="false" customHeight="false" outlineLevel="0" collapsed="false">
      <c r="A99" s="14"/>
      <c r="B99" s="9"/>
      <c r="C99" s="9"/>
      <c r="D99" s="9"/>
      <c r="E99" s="9"/>
      <c r="F99" s="17" t="str">
        <f aca="false">IF(AND(A99="",B99="",C99=""),"",IF(NOT(ISNUMBER(A99)),"Enter the date done",IF(SUMPRODUCT(('PM Plan'!$A$5:$A$304=B99)*('PM Plan'!$B$5:$B$304=C99))=0,"No matching asset + task in plan","OK")))</f>
        <v/>
      </c>
    </row>
    <row r="100" customFormat="false" ht="15" hidden="false" customHeight="false" outlineLevel="0" collapsed="false">
      <c r="A100" s="14"/>
      <c r="B100" s="9"/>
      <c r="C100" s="9"/>
      <c r="D100" s="9"/>
      <c r="E100" s="9"/>
      <c r="F100" s="17" t="str">
        <f aca="false">IF(AND(A100="",B100="",C100=""),"",IF(NOT(ISNUMBER(A100)),"Enter the date done",IF(SUMPRODUCT(('PM Plan'!$A$5:$A$304=B100)*('PM Plan'!$B$5:$B$304=C100))=0,"No matching asset + task in plan","OK")))</f>
        <v/>
      </c>
    </row>
    <row r="101" customFormat="false" ht="15" hidden="false" customHeight="false" outlineLevel="0" collapsed="false">
      <c r="A101" s="14"/>
      <c r="B101" s="9"/>
      <c r="C101" s="9"/>
      <c r="D101" s="9"/>
      <c r="E101" s="9"/>
      <c r="F101" s="17" t="str">
        <f aca="false">IF(AND(A101="",B101="",C101=""),"",IF(NOT(ISNUMBER(A101)),"Enter the date done",IF(SUMPRODUCT(('PM Plan'!$A$5:$A$304=B101)*('PM Plan'!$B$5:$B$304=C101))=0,"No matching asset + task in plan","OK")))</f>
        <v/>
      </c>
    </row>
    <row r="102" customFormat="false" ht="15" hidden="false" customHeight="false" outlineLevel="0" collapsed="false">
      <c r="A102" s="14"/>
      <c r="B102" s="9"/>
      <c r="C102" s="9"/>
      <c r="D102" s="9"/>
      <c r="E102" s="9"/>
      <c r="F102" s="17" t="str">
        <f aca="false">IF(AND(A102="",B102="",C102=""),"",IF(NOT(ISNUMBER(A102)),"Enter the date done",IF(SUMPRODUCT(('PM Plan'!$A$5:$A$304=B102)*('PM Plan'!$B$5:$B$304=C102))=0,"No matching asset + task in plan","OK")))</f>
        <v/>
      </c>
    </row>
    <row r="103" customFormat="false" ht="15" hidden="false" customHeight="false" outlineLevel="0" collapsed="false">
      <c r="A103" s="14"/>
      <c r="B103" s="9"/>
      <c r="C103" s="9"/>
      <c r="D103" s="9"/>
      <c r="E103" s="9"/>
      <c r="F103" s="17" t="str">
        <f aca="false">IF(AND(A103="",B103="",C103=""),"",IF(NOT(ISNUMBER(A103)),"Enter the date done",IF(SUMPRODUCT(('PM Plan'!$A$5:$A$304=B103)*('PM Plan'!$B$5:$B$304=C103))=0,"No matching asset + task in plan","OK")))</f>
        <v/>
      </c>
    </row>
    <row r="104" customFormat="false" ht="15" hidden="false" customHeight="false" outlineLevel="0" collapsed="false">
      <c r="A104" s="14"/>
      <c r="B104" s="9"/>
      <c r="C104" s="9"/>
      <c r="D104" s="9"/>
      <c r="E104" s="9"/>
      <c r="F104" s="17" t="str">
        <f aca="false">IF(AND(A104="",B104="",C104=""),"",IF(NOT(ISNUMBER(A104)),"Enter the date done",IF(SUMPRODUCT(('PM Plan'!$A$5:$A$304=B104)*('PM Plan'!$B$5:$B$304=C104))=0,"No matching asset + task in plan","OK")))</f>
        <v/>
      </c>
    </row>
    <row r="105" customFormat="false" ht="15" hidden="false" customHeight="false" outlineLevel="0" collapsed="false">
      <c r="A105" s="14"/>
      <c r="B105" s="9"/>
      <c r="C105" s="9"/>
      <c r="D105" s="9"/>
      <c r="E105" s="9"/>
      <c r="F105" s="17" t="str">
        <f aca="false">IF(AND(A105="",B105="",C105=""),"",IF(NOT(ISNUMBER(A105)),"Enter the date done",IF(SUMPRODUCT(('PM Plan'!$A$5:$A$304=B105)*('PM Plan'!$B$5:$B$304=C105))=0,"No matching asset + task in plan","OK")))</f>
        <v/>
      </c>
    </row>
    <row r="106" customFormat="false" ht="15" hidden="false" customHeight="false" outlineLevel="0" collapsed="false">
      <c r="A106" s="14"/>
      <c r="B106" s="9"/>
      <c r="C106" s="9"/>
      <c r="D106" s="9"/>
      <c r="E106" s="9"/>
      <c r="F106" s="17" t="str">
        <f aca="false">IF(AND(A106="",B106="",C106=""),"",IF(NOT(ISNUMBER(A106)),"Enter the date done",IF(SUMPRODUCT(('PM Plan'!$A$5:$A$304=B106)*('PM Plan'!$B$5:$B$304=C106))=0,"No matching asset + task in plan","OK")))</f>
        <v/>
      </c>
    </row>
    <row r="107" customFormat="false" ht="15" hidden="false" customHeight="false" outlineLevel="0" collapsed="false">
      <c r="A107" s="14"/>
      <c r="B107" s="9"/>
      <c r="C107" s="9"/>
      <c r="D107" s="9"/>
      <c r="E107" s="9"/>
      <c r="F107" s="17" t="str">
        <f aca="false">IF(AND(A107="",B107="",C107=""),"",IF(NOT(ISNUMBER(A107)),"Enter the date done",IF(SUMPRODUCT(('PM Plan'!$A$5:$A$304=B107)*('PM Plan'!$B$5:$B$304=C107))=0,"No matching asset + task in plan","OK")))</f>
        <v/>
      </c>
    </row>
    <row r="108" customFormat="false" ht="15" hidden="false" customHeight="false" outlineLevel="0" collapsed="false">
      <c r="A108" s="14"/>
      <c r="B108" s="9"/>
      <c r="C108" s="9"/>
      <c r="D108" s="9"/>
      <c r="E108" s="9"/>
      <c r="F108" s="17" t="str">
        <f aca="false">IF(AND(A108="",B108="",C108=""),"",IF(NOT(ISNUMBER(A108)),"Enter the date done",IF(SUMPRODUCT(('PM Plan'!$A$5:$A$304=B108)*('PM Plan'!$B$5:$B$304=C108))=0,"No matching asset + task in plan","OK")))</f>
        <v/>
      </c>
    </row>
    <row r="109" customFormat="false" ht="15" hidden="false" customHeight="false" outlineLevel="0" collapsed="false">
      <c r="A109" s="14"/>
      <c r="B109" s="9"/>
      <c r="C109" s="9"/>
      <c r="D109" s="9"/>
      <c r="E109" s="9"/>
      <c r="F109" s="17" t="str">
        <f aca="false">IF(AND(A109="",B109="",C109=""),"",IF(NOT(ISNUMBER(A109)),"Enter the date done",IF(SUMPRODUCT(('PM Plan'!$A$5:$A$304=B109)*('PM Plan'!$B$5:$B$304=C109))=0,"No matching asset + task in plan","OK")))</f>
        <v/>
      </c>
    </row>
    <row r="110" customFormat="false" ht="15" hidden="false" customHeight="false" outlineLevel="0" collapsed="false">
      <c r="A110" s="14"/>
      <c r="B110" s="9"/>
      <c r="C110" s="9"/>
      <c r="D110" s="9"/>
      <c r="E110" s="9"/>
      <c r="F110" s="17" t="str">
        <f aca="false">IF(AND(A110="",B110="",C110=""),"",IF(NOT(ISNUMBER(A110)),"Enter the date done",IF(SUMPRODUCT(('PM Plan'!$A$5:$A$304=B110)*('PM Plan'!$B$5:$B$304=C110))=0,"No matching asset + task in plan","OK")))</f>
        <v/>
      </c>
    </row>
    <row r="111" customFormat="false" ht="15" hidden="false" customHeight="false" outlineLevel="0" collapsed="false">
      <c r="A111" s="14"/>
      <c r="B111" s="9"/>
      <c r="C111" s="9"/>
      <c r="D111" s="9"/>
      <c r="E111" s="9"/>
      <c r="F111" s="17" t="str">
        <f aca="false">IF(AND(A111="",B111="",C111=""),"",IF(NOT(ISNUMBER(A111)),"Enter the date done",IF(SUMPRODUCT(('PM Plan'!$A$5:$A$304=B111)*('PM Plan'!$B$5:$B$304=C111))=0,"No matching asset + task in plan","OK")))</f>
        <v/>
      </c>
    </row>
    <row r="112" customFormat="false" ht="15" hidden="false" customHeight="false" outlineLevel="0" collapsed="false">
      <c r="A112" s="14"/>
      <c r="B112" s="9"/>
      <c r="C112" s="9"/>
      <c r="D112" s="9"/>
      <c r="E112" s="9"/>
      <c r="F112" s="17" t="str">
        <f aca="false">IF(AND(A112="",B112="",C112=""),"",IF(NOT(ISNUMBER(A112)),"Enter the date done",IF(SUMPRODUCT(('PM Plan'!$A$5:$A$304=B112)*('PM Plan'!$B$5:$B$304=C112))=0,"No matching asset + task in plan","OK")))</f>
        <v/>
      </c>
    </row>
    <row r="113" customFormat="false" ht="15" hidden="false" customHeight="false" outlineLevel="0" collapsed="false">
      <c r="A113" s="14"/>
      <c r="B113" s="9"/>
      <c r="C113" s="9"/>
      <c r="D113" s="9"/>
      <c r="E113" s="9"/>
      <c r="F113" s="17" t="str">
        <f aca="false">IF(AND(A113="",B113="",C113=""),"",IF(NOT(ISNUMBER(A113)),"Enter the date done",IF(SUMPRODUCT(('PM Plan'!$A$5:$A$304=B113)*('PM Plan'!$B$5:$B$304=C113))=0,"No matching asset + task in plan","OK")))</f>
        <v/>
      </c>
    </row>
    <row r="114" customFormat="false" ht="15" hidden="false" customHeight="false" outlineLevel="0" collapsed="false">
      <c r="A114" s="14"/>
      <c r="B114" s="9"/>
      <c r="C114" s="9"/>
      <c r="D114" s="9"/>
      <c r="E114" s="9"/>
      <c r="F114" s="17" t="str">
        <f aca="false">IF(AND(A114="",B114="",C114=""),"",IF(NOT(ISNUMBER(A114)),"Enter the date done",IF(SUMPRODUCT(('PM Plan'!$A$5:$A$304=B114)*('PM Plan'!$B$5:$B$304=C114))=0,"No matching asset + task in plan","OK")))</f>
        <v/>
      </c>
    </row>
    <row r="115" customFormat="false" ht="15" hidden="false" customHeight="false" outlineLevel="0" collapsed="false">
      <c r="A115" s="14"/>
      <c r="B115" s="9"/>
      <c r="C115" s="9"/>
      <c r="D115" s="9"/>
      <c r="E115" s="9"/>
      <c r="F115" s="17" t="str">
        <f aca="false">IF(AND(A115="",B115="",C115=""),"",IF(NOT(ISNUMBER(A115)),"Enter the date done",IF(SUMPRODUCT(('PM Plan'!$A$5:$A$304=B115)*('PM Plan'!$B$5:$B$304=C115))=0,"No matching asset + task in plan","OK")))</f>
        <v/>
      </c>
    </row>
    <row r="116" customFormat="false" ht="15" hidden="false" customHeight="false" outlineLevel="0" collapsed="false">
      <c r="A116" s="14"/>
      <c r="B116" s="9"/>
      <c r="C116" s="9"/>
      <c r="D116" s="9"/>
      <c r="E116" s="9"/>
      <c r="F116" s="17" t="str">
        <f aca="false">IF(AND(A116="",B116="",C116=""),"",IF(NOT(ISNUMBER(A116)),"Enter the date done",IF(SUMPRODUCT(('PM Plan'!$A$5:$A$304=B116)*('PM Plan'!$B$5:$B$304=C116))=0,"No matching asset + task in plan","OK")))</f>
        <v/>
      </c>
    </row>
    <row r="117" customFormat="false" ht="15" hidden="false" customHeight="false" outlineLevel="0" collapsed="false">
      <c r="A117" s="14"/>
      <c r="B117" s="9"/>
      <c r="C117" s="9"/>
      <c r="D117" s="9"/>
      <c r="E117" s="9"/>
      <c r="F117" s="17" t="str">
        <f aca="false">IF(AND(A117="",B117="",C117=""),"",IF(NOT(ISNUMBER(A117)),"Enter the date done",IF(SUMPRODUCT(('PM Plan'!$A$5:$A$304=B117)*('PM Plan'!$B$5:$B$304=C117))=0,"No matching asset + task in plan","OK")))</f>
        <v/>
      </c>
    </row>
    <row r="118" customFormat="false" ht="15" hidden="false" customHeight="false" outlineLevel="0" collapsed="false">
      <c r="A118" s="14"/>
      <c r="B118" s="9"/>
      <c r="C118" s="9"/>
      <c r="D118" s="9"/>
      <c r="E118" s="9"/>
      <c r="F118" s="17" t="str">
        <f aca="false">IF(AND(A118="",B118="",C118=""),"",IF(NOT(ISNUMBER(A118)),"Enter the date done",IF(SUMPRODUCT(('PM Plan'!$A$5:$A$304=B118)*('PM Plan'!$B$5:$B$304=C118))=0,"No matching asset + task in plan","OK")))</f>
        <v/>
      </c>
    </row>
    <row r="119" customFormat="false" ht="15" hidden="false" customHeight="false" outlineLevel="0" collapsed="false">
      <c r="A119" s="14"/>
      <c r="B119" s="9"/>
      <c r="C119" s="9"/>
      <c r="D119" s="9"/>
      <c r="E119" s="9"/>
      <c r="F119" s="17" t="str">
        <f aca="false">IF(AND(A119="",B119="",C119=""),"",IF(NOT(ISNUMBER(A119)),"Enter the date done",IF(SUMPRODUCT(('PM Plan'!$A$5:$A$304=B119)*('PM Plan'!$B$5:$B$304=C119))=0,"No matching asset + task in plan","OK")))</f>
        <v/>
      </c>
    </row>
    <row r="120" customFormat="false" ht="15" hidden="false" customHeight="false" outlineLevel="0" collapsed="false">
      <c r="A120" s="14"/>
      <c r="B120" s="9"/>
      <c r="C120" s="9"/>
      <c r="D120" s="9"/>
      <c r="E120" s="9"/>
      <c r="F120" s="17" t="str">
        <f aca="false">IF(AND(A120="",B120="",C120=""),"",IF(NOT(ISNUMBER(A120)),"Enter the date done",IF(SUMPRODUCT(('PM Plan'!$A$5:$A$304=B120)*('PM Plan'!$B$5:$B$304=C120))=0,"No matching asset + task in plan","OK")))</f>
        <v/>
      </c>
    </row>
    <row r="121" customFormat="false" ht="15" hidden="false" customHeight="false" outlineLevel="0" collapsed="false">
      <c r="A121" s="14"/>
      <c r="B121" s="9"/>
      <c r="C121" s="9"/>
      <c r="D121" s="9"/>
      <c r="E121" s="9"/>
      <c r="F121" s="17" t="str">
        <f aca="false">IF(AND(A121="",B121="",C121=""),"",IF(NOT(ISNUMBER(A121)),"Enter the date done",IF(SUMPRODUCT(('PM Plan'!$A$5:$A$304=B121)*('PM Plan'!$B$5:$B$304=C121))=0,"No matching asset + task in plan","OK")))</f>
        <v/>
      </c>
    </row>
    <row r="122" customFormat="false" ht="15" hidden="false" customHeight="false" outlineLevel="0" collapsed="false">
      <c r="A122" s="14"/>
      <c r="B122" s="9"/>
      <c r="C122" s="9"/>
      <c r="D122" s="9"/>
      <c r="E122" s="9"/>
      <c r="F122" s="17" t="str">
        <f aca="false">IF(AND(A122="",B122="",C122=""),"",IF(NOT(ISNUMBER(A122)),"Enter the date done",IF(SUMPRODUCT(('PM Plan'!$A$5:$A$304=B122)*('PM Plan'!$B$5:$B$304=C122))=0,"No matching asset + task in plan","OK")))</f>
        <v/>
      </c>
    </row>
    <row r="123" customFormat="false" ht="15" hidden="false" customHeight="false" outlineLevel="0" collapsed="false">
      <c r="A123" s="14"/>
      <c r="B123" s="9"/>
      <c r="C123" s="9"/>
      <c r="D123" s="9"/>
      <c r="E123" s="9"/>
      <c r="F123" s="17" t="str">
        <f aca="false">IF(AND(A123="",B123="",C123=""),"",IF(NOT(ISNUMBER(A123)),"Enter the date done",IF(SUMPRODUCT(('PM Plan'!$A$5:$A$304=B123)*('PM Plan'!$B$5:$B$304=C123))=0,"No matching asset + task in plan","OK")))</f>
        <v/>
      </c>
    </row>
    <row r="124" customFormat="false" ht="15" hidden="false" customHeight="false" outlineLevel="0" collapsed="false">
      <c r="A124" s="14"/>
      <c r="B124" s="9"/>
      <c r="C124" s="9"/>
      <c r="D124" s="9"/>
      <c r="E124" s="9"/>
      <c r="F124" s="17" t="str">
        <f aca="false">IF(AND(A124="",B124="",C124=""),"",IF(NOT(ISNUMBER(A124)),"Enter the date done",IF(SUMPRODUCT(('PM Plan'!$A$5:$A$304=B124)*('PM Plan'!$B$5:$B$304=C124))=0,"No matching asset + task in plan","OK")))</f>
        <v/>
      </c>
    </row>
    <row r="125" customFormat="false" ht="15" hidden="false" customHeight="false" outlineLevel="0" collapsed="false">
      <c r="A125" s="14"/>
      <c r="B125" s="9"/>
      <c r="C125" s="9"/>
      <c r="D125" s="9"/>
      <c r="E125" s="9"/>
      <c r="F125" s="17" t="str">
        <f aca="false">IF(AND(A125="",B125="",C125=""),"",IF(NOT(ISNUMBER(A125)),"Enter the date done",IF(SUMPRODUCT(('PM Plan'!$A$5:$A$304=B125)*('PM Plan'!$B$5:$B$304=C125))=0,"No matching asset + task in plan","OK")))</f>
        <v/>
      </c>
    </row>
    <row r="126" customFormat="false" ht="15" hidden="false" customHeight="false" outlineLevel="0" collapsed="false">
      <c r="A126" s="14"/>
      <c r="B126" s="9"/>
      <c r="C126" s="9"/>
      <c r="D126" s="9"/>
      <c r="E126" s="9"/>
      <c r="F126" s="17" t="str">
        <f aca="false">IF(AND(A126="",B126="",C126=""),"",IF(NOT(ISNUMBER(A126)),"Enter the date done",IF(SUMPRODUCT(('PM Plan'!$A$5:$A$304=B126)*('PM Plan'!$B$5:$B$304=C126))=0,"No matching asset + task in plan","OK")))</f>
        <v/>
      </c>
    </row>
    <row r="127" customFormat="false" ht="15" hidden="false" customHeight="false" outlineLevel="0" collapsed="false">
      <c r="A127" s="14"/>
      <c r="B127" s="9"/>
      <c r="C127" s="9"/>
      <c r="D127" s="9"/>
      <c r="E127" s="9"/>
      <c r="F127" s="17" t="str">
        <f aca="false">IF(AND(A127="",B127="",C127=""),"",IF(NOT(ISNUMBER(A127)),"Enter the date done",IF(SUMPRODUCT(('PM Plan'!$A$5:$A$304=B127)*('PM Plan'!$B$5:$B$304=C127))=0,"No matching asset + task in plan","OK")))</f>
        <v/>
      </c>
    </row>
    <row r="128" customFormat="false" ht="15" hidden="false" customHeight="false" outlineLevel="0" collapsed="false">
      <c r="A128" s="14"/>
      <c r="B128" s="9"/>
      <c r="C128" s="9"/>
      <c r="D128" s="9"/>
      <c r="E128" s="9"/>
      <c r="F128" s="17" t="str">
        <f aca="false">IF(AND(A128="",B128="",C128=""),"",IF(NOT(ISNUMBER(A128)),"Enter the date done",IF(SUMPRODUCT(('PM Plan'!$A$5:$A$304=B128)*('PM Plan'!$B$5:$B$304=C128))=0,"No matching asset + task in plan","OK")))</f>
        <v/>
      </c>
    </row>
    <row r="129" customFormat="false" ht="15" hidden="false" customHeight="false" outlineLevel="0" collapsed="false">
      <c r="A129" s="14"/>
      <c r="B129" s="9"/>
      <c r="C129" s="9"/>
      <c r="D129" s="9"/>
      <c r="E129" s="9"/>
      <c r="F129" s="17" t="str">
        <f aca="false">IF(AND(A129="",B129="",C129=""),"",IF(NOT(ISNUMBER(A129)),"Enter the date done",IF(SUMPRODUCT(('PM Plan'!$A$5:$A$304=B129)*('PM Plan'!$B$5:$B$304=C129))=0,"No matching asset + task in plan","OK")))</f>
        <v/>
      </c>
    </row>
    <row r="130" customFormat="false" ht="15" hidden="false" customHeight="false" outlineLevel="0" collapsed="false">
      <c r="A130" s="14"/>
      <c r="B130" s="9"/>
      <c r="C130" s="9"/>
      <c r="D130" s="9"/>
      <c r="E130" s="9"/>
      <c r="F130" s="17" t="str">
        <f aca="false">IF(AND(A130="",B130="",C130=""),"",IF(NOT(ISNUMBER(A130)),"Enter the date done",IF(SUMPRODUCT(('PM Plan'!$A$5:$A$304=B130)*('PM Plan'!$B$5:$B$304=C130))=0,"No matching asset + task in plan","OK")))</f>
        <v/>
      </c>
    </row>
    <row r="131" customFormat="false" ht="15" hidden="false" customHeight="false" outlineLevel="0" collapsed="false">
      <c r="A131" s="14"/>
      <c r="B131" s="9"/>
      <c r="C131" s="9"/>
      <c r="D131" s="9"/>
      <c r="E131" s="9"/>
      <c r="F131" s="17" t="str">
        <f aca="false">IF(AND(A131="",B131="",C131=""),"",IF(NOT(ISNUMBER(A131)),"Enter the date done",IF(SUMPRODUCT(('PM Plan'!$A$5:$A$304=B131)*('PM Plan'!$B$5:$B$304=C131))=0,"No matching asset + task in plan","OK")))</f>
        <v/>
      </c>
    </row>
    <row r="132" customFormat="false" ht="15" hidden="false" customHeight="false" outlineLevel="0" collapsed="false">
      <c r="A132" s="14"/>
      <c r="B132" s="9"/>
      <c r="C132" s="9"/>
      <c r="D132" s="9"/>
      <c r="E132" s="9"/>
      <c r="F132" s="17" t="str">
        <f aca="false">IF(AND(A132="",B132="",C132=""),"",IF(NOT(ISNUMBER(A132)),"Enter the date done",IF(SUMPRODUCT(('PM Plan'!$A$5:$A$304=B132)*('PM Plan'!$B$5:$B$304=C132))=0,"No matching asset + task in plan","OK")))</f>
        <v/>
      </c>
    </row>
    <row r="133" customFormat="false" ht="15" hidden="false" customHeight="false" outlineLevel="0" collapsed="false">
      <c r="A133" s="14"/>
      <c r="B133" s="9"/>
      <c r="C133" s="9"/>
      <c r="D133" s="9"/>
      <c r="E133" s="9"/>
      <c r="F133" s="17" t="str">
        <f aca="false">IF(AND(A133="",B133="",C133=""),"",IF(NOT(ISNUMBER(A133)),"Enter the date done",IF(SUMPRODUCT(('PM Plan'!$A$5:$A$304=B133)*('PM Plan'!$B$5:$B$304=C133))=0,"No matching asset + task in plan","OK")))</f>
        <v/>
      </c>
    </row>
    <row r="134" customFormat="false" ht="15" hidden="false" customHeight="false" outlineLevel="0" collapsed="false">
      <c r="A134" s="14"/>
      <c r="B134" s="9"/>
      <c r="C134" s="9"/>
      <c r="D134" s="9"/>
      <c r="E134" s="9"/>
      <c r="F134" s="17" t="str">
        <f aca="false">IF(AND(A134="",B134="",C134=""),"",IF(NOT(ISNUMBER(A134)),"Enter the date done",IF(SUMPRODUCT(('PM Plan'!$A$5:$A$304=B134)*('PM Plan'!$B$5:$B$304=C134))=0,"No matching asset + task in plan","OK")))</f>
        <v/>
      </c>
    </row>
    <row r="135" customFormat="false" ht="15" hidden="false" customHeight="false" outlineLevel="0" collapsed="false">
      <c r="A135" s="14"/>
      <c r="B135" s="9"/>
      <c r="C135" s="9"/>
      <c r="D135" s="9"/>
      <c r="E135" s="9"/>
      <c r="F135" s="17" t="str">
        <f aca="false">IF(AND(A135="",B135="",C135=""),"",IF(NOT(ISNUMBER(A135)),"Enter the date done",IF(SUMPRODUCT(('PM Plan'!$A$5:$A$304=B135)*('PM Plan'!$B$5:$B$304=C135))=0,"No matching asset + task in plan","OK")))</f>
        <v/>
      </c>
    </row>
    <row r="136" customFormat="false" ht="15" hidden="false" customHeight="false" outlineLevel="0" collapsed="false">
      <c r="A136" s="14"/>
      <c r="B136" s="9"/>
      <c r="C136" s="9"/>
      <c r="D136" s="9"/>
      <c r="E136" s="9"/>
      <c r="F136" s="17" t="str">
        <f aca="false">IF(AND(A136="",B136="",C136=""),"",IF(NOT(ISNUMBER(A136)),"Enter the date done",IF(SUMPRODUCT(('PM Plan'!$A$5:$A$304=B136)*('PM Plan'!$B$5:$B$304=C136))=0,"No matching asset + task in plan","OK")))</f>
        <v/>
      </c>
    </row>
    <row r="137" customFormat="false" ht="15" hidden="false" customHeight="false" outlineLevel="0" collapsed="false">
      <c r="A137" s="14"/>
      <c r="B137" s="9"/>
      <c r="C137" s="9"/>
      <c r="D137" s="9"/>
      <c r="E137" s="9"/>
      <c r="F137" s="17" t="str">
        <f aca="false">IF(AND(A137="",B137="",C137=""),"",IF(NOT(ISNUMBER(A137)),"Enter the date done",IF(SUMPRODUCT(('PM Plan'!$A$5:$A$304=B137)*('PM Plan'!$B$5:$B$304=C137))=0,"No matching asset + task in plan","OK")))</f>
        <v/>
      </c>
    </row>
    <row r="138" customFormat="false" ht="15" hidden="false" customHeight="false" outlineLevel="0" collapsed="false">
      <c r="A138" s="14"/>
      <c r="B138" s="9"/>
      <c r="C138" s="9"/>
      <c r="D138" s="9"/>
      <c r="E138" s="9"/>
      <c r="F138" s="17" t="str">
        <f aca="false">IF(AND(A138="",B138="",C138=""),"",IF(NOT(ISNUMBER(A138)),"Enter the date done",IF(SUMPRODUCT(('PM Plan'!$A$5:$A$304=B138)*('PM Plan'!$B$5:$B$304=C138))=0,"No matching asset + task in plan","OK")))</f>
        <v/>
      </c>
    </row>
    <row r="139" customFormat="false" ht="15" hidden="false" customHeight="false" outlineLevel="0" collapsed="false">
      <c r="A139" s="14"/>
      <c r="B139" s="9"/>
      <c r="C139" s="9"/>
      <c r="D139" s="9"/>
      <c r="E139" s="9"/>
      <c r="F139" s="17" t="str">
        <f aca="false">IF(AND(A139="",B139="",C139=""),"",IF(NOT(ISNUMBER(A139)),"Enter the date done",IF(SUMPRODUCT(('PM Plan'!$A$5:$A$304=B139)*('PM Plan'!$B$5:$B$304=C139))=0,"No matching asset + task in plan","OK")))</f>
        <v/>
      </c>
    </row>
    <row r="140" customFormat="false" ht="15" hidden="false" customHeight="false" outlineLevel="0" collapsed="false">
      <c r="A140" s="14"/>
      <c r="B140" s="9"/>
      <c r="C140" s="9"/>
      <c r="D140" s="9"/>
      <c r="E140" s="9"/>
      <c r="F140" s="17" t="str">
        <f aca="false">IF(AND(A140="",B140="",C140=""),"",IF(NOT(ISNUMBER(A140)),"Enter the date done",IF(SUMPRODUCT(('PM Plan'!$A$5:$A$304=B140)*('PM Plan'!$B$5:$B$304=C140))=0,"No matching asset + task in plan","OK")))</f>
        <v/>
      </c>
    </row>
    <row r="141" customFormat="false" ht="15" hidden="false" customHeight="false" outlineLevel="0" collapsed="false">
      <c r="A141" s="14"/>
      <c r="B141" s="9"/>
      <c r="C141" s="9"/>
      <c r="D141" s="9"/>
      <c r="E141" s="9"/>
      <c r="F141" s="17" t="str">
        <f aca="false">IF(AND(A141="",B141="",C141=""),"",IF(NOT(ISNUMBER(A141)),"Enter the date done",IF(SUMPRODUCT(('PM Plan'!$A$5:$A$304=B141)*('PM Plan'!$B$5:$B$304=C141))=0,"No matching asset + task in plan","OK")))</f>
        <v/>
      </c>
    </row>
    <row r="142" customFormat="false" ht="15" hidden="false" customHeight="false" outlineLevel="0" collapsed="false">
      <c r="A142" s="14"/>
      <c r="B142" s="9"/>
      <c r="C142" s="9"/>
      <c r="D142" s="9"/>
      <c r="E142" s="9"/>
      <c r="F142" s="17" t="str">
        <f aca="false">IF(AND(A142="",B142="",C142=""),"",IF(NOT(ISNUMBER(A142)),"Enter the date done",IF(SUMPRODUCT(('PM Plan'!$A$5:$A$304=B142)*('PM Plan'!$B$5:$B$304=C142))=0,"No matching asset + task in plan","OK")))</f>
        <v/>
      </c>
    </row>
    <row r="143" customFormat="false" ht="15" hidden="false" customHeight="false" outlineLevel="0" collapsed="false">
      <c r="A143" s="14"/>
      <c r="B143" s="9"/>
      <c r="C143" s="9"/>
      <c r="D143" s="9"/>
      <c r="E143" s="9"/>
      <c r="F143" s="17" t="str">
        <f aca="false">IF(AND(A143="",B143="",C143=""),"",IF(NOT(ISNUMBER(A143)),"Enter the date done",IF(SUMPRODUCT(('PM Plan'!$A$5:$A$304=B143)*('PM Plan'!$B$5:$B$304=C143))=0,"No matching asset + task in plan","OK")))</f>
        <v/>
      </c>
    </row>
    <row r="144" customFormat="false" ht="15" hidden="false" customHeight="false" outlineLevel="0" collapsed="false">
      <c r="A144" s="14"/>
      <c r="B144" s="9"/>
      <c r="C144" s="9"/>
      <c r="D144" s="9"/>
      <c r="E144" s="9"/>
      <c r="F144" s="17" t="str">
        <f aca="false">IF(AND(A144="",B144="",C144=""),"",IF(NOT(ISNUMBER(A144)),"Enter the date done",IF(SUMPRODUCT(('PM Plan'!$A$5:$A$304=B144)*('PM Plan'!$B$5:$B$304=C144))=0,"No matching asset + task in plan","OK")))</f>
        <v/>
      </c>
    </row>
    <row r="145" customFormat="false" ht="15" hidden="false" customHeight="false" outlineLevel="0" collapsed="false">
      <c r="A145" s="14"/>
      <c r="B145" s="9"/>
      <c r="C145" s="9"/>
      <c r="D145" s="9"/>
      <c r="E145" s="9"/>
      <c r="F145" s="17" t="str">
        <f aca="false">IF(AND(A145="",B145="",C145=""),"",IF(NOT(ISNUMBER(A145)),"Enter the date done",IF(SUMPRODUCT(('PM Plan'!$A$5:$A$304=B145)*('PM Plan'!$B$5:$B$304=C145))=0,"No matching asset + task in plan","OK")))</f>
        <v/>
      </c>
    </row>
    <row r="146" customFormat="false" ht="15" hidden="false" customHeight="false" outlineLevel="0" collapsed="false">
      <c r="A146" s="14"/>
      <c r="B146" s="9"/>
      <c r="C146" s="9"/>
      <c r="D146" s="9"/>
      <c r="E146" s="9"/>
      <c r="F146" s="17" t="str">
        <f aca="false">IF(AND(A146="",B146="",C146=""),"",IF(NOT(ISNUMBER(A146)),"Enter the date done",IF(SUMPRODUCT(('PM Plan'!$A$5:$A$304=B146)*('PM Plan'!$B$5:$B$304=C146))=0,"No matching asset + task in plan","OK")))</f>
        <v/>
      </c>
    </row>
    <row r="147" customFormat="false" ht="15" hidden="false" customHeight="false" outlineLevel="0" collapsed="false">
      <c r="A147" s="14"/>
      <c r="B147" s="9"/>
      <c r="C147" s="9"/>
      <c r="D147" s="9"/>
      <c r="E147" s="9"/>
      <c r="F147" s="17" t="str">
        <f aca="false">IF(AND(A147="",B147="",C147=""),"",IF(NOT(ISNUMBER(A147)),"Enter the date done",IF(SUMPRODUCT(('PM Plan'!$A$5:$A$304=B147)*('PM Plan'!$B$5:$B$304=C147))=0,"No matching asset + task in plan","OK")))</f>
        <v/>
      </c>
    </row>
    <row r="148" customFormat="false" ht="15" hidden="false" customHeight="false" outlineLevel="0" collapsed="false">
      <c r="A148" s="14"/>
      <c r="B148" s="9"/>
      <c r="C148" s="9"/>
      <c r="D148" s="9"/>
      <c r="E148" s="9"/>
      <c r="F148" s="17" t="str">
        <f aca="false">IF(AND(A148="",B148="",C148=""),"",IF(NOT(ISNUMBER(A148)),"Enter the date done",IF(SUMPRODUCT(('PM Plan'!$A$5:$A$304=B148)*('PM Plan'!$B$5:$B$304=C148))=0,"No matching asset + task in plan","OK")))</f>
        <v/>
      </c>
    </row>
    <row r="149" customFormat="false" ht="15" hidden="false" customHeight="false" outlineLevel="0" collapsed="false">
      <c r="A149" s="14"/>
      <c r="B149" s="9"/>
      <c r="C149" s="9"/>
      <c r="D149" s="9"/>
      <c r="E149" s="9"/>
      <c r="F149" s="17" t="str">
        <f aca="false">IF(AND(A149="",B149="",C149=""),"",IF(NOT(ISNUMBER(A149)),"Enter the date done",IF(SUMPRODUCT(('PM Plan'!$A$5:$A$304=B149)*('PM Plan'!$B$5:$B$304=C149))=0,"No matching asset + task in plan","OK")))</f>
        <v/>
      </c>
    </row>
    <row r="150" customFormat="false" ht="15" hidden="false" customHeight="false" outlineLevel="0" collapsed="false">
      <c r="A150" s="14"/>
      <c r="B150" s="9"/>
      <c r="C150" s="9"/>
      <c r="D150" s="9"/>
      <c r="E150" s="9"/>
      <c r="F150" s="17" t="str">
        <f aca="false">IF(AND(A150="",B150="",C150=""),"",IF(NOT(ISNUMBER(A150)),"Enter the date done",IF(SUMPRODUCT(('PM Plan'!$A$5:$A$304=B150)*('PM Plan'!$B$5:$B$304=C150))=0,"No matching asset + task in plan","OK")))</f>
        <v/>
      </c>
    </row>
    <row r="151" customFormat="false" ht="15" hidden="false" customHeight="false" outlineLevel="0" collapsed="false">
      <c r="A151" s="14"/>
      <c r="B151" s="9"/>
      <c r="C151" s="9"/>
      <c r="D151" s="9"/>
      <c r="E151" s="9"/>
      <c r="F151" s="17" t="str">
        <f aca="false">IF(AND(A151="",B151="",C151=""),"",IF(NOT(ISNUMBER(A151)),"Enter the date done",IF(SUMPRODUCT(('PM Plan'!$A$5:$A$304=B151)*('PM Plan'!$B$5:$B$304=C151))=0,"No matching asset + task in plan","OK")))</f>
        <v/>
      </c>
    </row>
    <row r="152" customFormat="false" ht="15" hidden="false" customHeight="false" outlineLevel="0" collapsed="false">
      <c r="A152" s="14"/>
      <c r="B152" s="9"/>
      <c r="C152" s="9"/>
      <c r="D152" s="9"/>
      <c r="E152" s="9"/>
      <c r="F152" s="17" t="str">
        <f aca="false">IF(AND(A152="",B152="",C152=""),"",IF(NOT(ISNUMBER(A152)),"Enter the date done",IF(SUMPRODUCT(('PM Plan'!$A$5:$A$304=B152)*('PM Plan'!$B$5:$B$304=C152))=0,"No matching asset + task in plan","OK")))</f>
        <v/>
      </c>
    </row>
    <row r="153" customFormat="false" ht="15" hidden="false" customHeight="false" outlineLevel="0" collapsed="false">
      <c r="A153" s="14"/>
      <c r="B153" s="9"/>
      <c r="C153" s="9"/>
      <c r="D153" s="9"/>
      <c r="E153" s="9"/>
      <c r="F153" s="17" t="str">
        <f aca="false">IF(AND(A153="",B153="",C153=""),"",IF(NOT(ISNUMBER(A153)),"Enter the date done",IF(SUMPRODUCT(('PM Plan'!$A$5:$A$304=B153)*('PM Plan'!$B$5:$B$304=C153))=0,"No matching asset + task in plan","OK")))</f>
        <v/>
      </c>
    </row>
    <row r="154" customFormat="false" ht="15" hidden="false" customHeight="false" outlineLevel="0" collapsed="false">
      <c r="A154" s="14"/>
      <c r="B154" s="9"/>
      <c r="C154" s="9"/>
      <c r="D154" s="9"/>
      <c r="E154" s="9"/>
      <c r="F154" s="17" t="str">
        <f aca="false">IF(AND(A154="",B154="",C154=""),"",IF(NOT(ISNUMBER(A154)),"Enter the date done",IF(SUMPRODUCT(('PM Plan'!$A$5:$A$304=B154)*('PM Plan'!$B$5:$B$304=C154))=0,"No matching asset + task in plan","OK")))</f>
        <v/>
      </c>
    </row>
    <row r="155" customFormat="false" ht="15" hidden="false" customHeight="false" outlineLevel="0" collapsed="false">
      <c r="A155" s="14"/>
      <c r="B155" s="9"/>
      <c r="C155" s="9"/>
      <c r="D155" s="9"/>
      <c r="E155" s="9"/>
      <c r="F155" s="17" t="str">
        <f aca="false">IF(AND(A155="",B155="",C155=""),"",IF(NOT(ISNUMBER(A155)),"Enter the date done",IF(SUMPRODUCT(('PM Plan'!$A$5:$A$304=B155)*('PM Plan'!$B$5:$B$304=C155))=0,"No matching asset + task in plan","OK")))</f>
        <v/>
      </c>
    </row>
    <row r="156" customFormat="false" ht="15" hidden="false" customHeight="false" outlineLevel="0" collapsed="false">
      <c r="A156" s="14"/>
      <c r="B156" s="9"/>
      <c r="C156" s="9"/>
      <c r="D156" s="9"/>
      <c r="E156" s="9"/>
      <c r="F156" s="17" t="str">
        <f aca="false">IF(AND(A156="",B156="",C156=""),"",IF(NOT(ISNUMBER(A156)),"Enter the date done",IF(SUMPRODUCT(('PM Plan'!$A$5:$A$304=B156)*('PM Plan'!$B$5:$B$304=C156))=0,"No matching asset + task in plan","OK")))</f>
        <v/>
      </c>
    </row>
    <row r="157" customFormat="false" ht="15" hidden="false" customHeight="false" outlineLevel="0" collapsed="false">
      <c r="A157" s="14"/>
      <c r="B157" s="9"/>
      <c r="C157" s="9"/>
      <c r="D157" s="9"/>
      <c r="E157" s="9"/>
      <c r="F157" s="17" t="str">
        <f aca="false">IF(AND(A157="",B157="",C157=""),"",IF(NOT(ISNUMBER(A157)),"Enter the date done",IF(SUMPRODUCT(('PM Plan'!$A$5:$A$304=B157)*('PM Plan'!$B$5:$B$304=C157))=0,"No matching asset + task in plan","OK")))</f>
        <v/>
      </c>
    </row>
    <row r="158" customFormat="false" ht="15" hidden="false" customHeight="false" outlineLevel="0" collapsed="false">
      <c r="A158" s="14"/>
      <c r="B158" s="9"/>
      <c r="C158" s="9"/>
      <c r="D158" s="9"/>
      <c r="E158" s="9"/>
      <c r="F158" s="17" t="str">
        <f aca="false">IF(AND(A158="",B158="",C158=""),"",IF(NOT(ISNUMBER(A158)),"Enter the date done",IF(SUMPRODUCT(('PM Plan'!$A$5:$A$304=B158)*('PM Plan'!$B$5:$B$304=C158))=0,"No matching asset + task in plan","OK")))</f>
        <v/>
      </c>
    </row>
    <row r="159" customFormat="false" ht="15" hidden="false" customHeight="false" outlineLevel="0" collapsed="false">
      <c r="A159" s="14"/>
      <c r="B159" s="9"/>
      <c r="C159" s="9"/>
      <c r="D159" s="9"/>
      <c r="E159" s="9"/>
      <c r="F159" s="17" t="str">
        <f aca="false">IF(AND(A159="",B159="",C159=""),"",IF(NOT(ISNUMBER(A159)),"Enter the date done",IF(SUMPRODUCT(('PM Plan'!$A$5:$A$304=B159)*('PM Plan'!$B$5:$B$304=C159))=0,"No matching asset + task in plan","OK")))</f>
        <v/>
      </c>
    </row>
    <row r="160" customFormat="false" ht="15" hidden="false" customHeight="false" outlineLevel="0" collapsed="false">
      <c r="A160" s="14"/>
      <c r="B160" s="9"/>
      <c r="C160" s="9"/>
      <c r="D160" s="9"/>
      <c r="E160" s="9"/>
      <c r="F160" s="17" t="str">
        <f aca="false">IF(AND(A160="",B160="",C160=""),"",IF(NOT(ISNUMBER(A160)),"Enter the date done",IF(SUMPRODUCT(('PM Plan'!$A$5:$A$304=B160)*('PM Plan'!$B$5:$B$304=C160))=0,"No matching asset + task in plan","OK")))</f>
        <v/>
      </c>
    </row>
    <row r="161" customFormat="false" ht="15" hidden="false" customHeight="false" outlineLevel="0" collapsed="false">
      <c r="A161" s="14"/>
      <c r="B161" s="9"/>
      <c r="C161" s="9"/>
      <c r="D161" s="9"/>
      <c r="E161" s="9"/>
      <c r="F161" s="17" t="str">
        <f aca="false">IF(AND(A161="",B161="",C161=""),"",IF(NOT(ISNUMBER(A161)),"Enter the date done",IF(SUMPRODUCT(('PM Plan'!$A$5:$A$304=B161)*('PM Plan'!$B$5:$B$304=C161))=0,"No matching asset + task in plan","OK")))</f>
        <v/>
      </c>
    </row>
    <row r="162" customFormat="false" ht="15" hidden="false" customHeight="false" outlineLevel="0" collapsed="false">
      <c r="A162" s="14"/>
      <c r="B162" s="9"/>
      <c r="C162" s="9"/>
      <c r="D162" s="9"/>
      <c r="E162" s="9"/>
      <c r="F162" s="17" t="str">
        <f aca="false">IF(AND(A162="",B162="",C162=""),"",IF(NOT(ISNUMBER(A162)),"Enter the date done",IF(SUMPRODUCT(('PM Plan'!$A$5:$A$304=B162)*('PM Plan'!$B$5:$B$304=C162))=0,"No matching asset + task in plan","OK")))</f>
        <v/>
      </c>
    </row>
    <row r="163" customFormat="false" ht="15" hidden="false" customHeight="false" outlineLevel="0" collapsed="false">
      <c r="A163" s="14"/>
      <c r="B163" s="9"/>
      <c r="C163" s="9"/>
      <c r="D163" s="9"/>
      <c r="E163" s="9"/>
      <c r="F163" s="17" t="str">
        <f aca="false">IF(AND(A163="",B163="",C163=""),"",IF(NOT(ISNUMBER(A163)),"Enter the date done",IF(SUMPRODUCT(('PM Plan'!$A$5:$A$304=B163)*('PM Plan'!$B$5:$B$304=C163))=0,"No matching asset + task in plan","OK")))</f>
        <v/>
      </c>
    </row>
    <row r="164" customFormat="false" ht="15" hidden="false" customHeight="false" outlineLevel="0" collapsed="false">
      <c r="A164" s="14"/>
      <c r="B164" s="9"/>
      <c r="C164" s="9"/>
      <c r="D164" s="9"/>
      <c r="E164" s="9"/>
      <c r="F164" s="17" t="str">
        <f aca="false">IF(AND(A164="",B164="",C164=""),"",IF(NOT(ISNUMBER(A164)),"Enter the date done",IF(SUMPRODUCT(('PM Plan'!$A$5:$A$304=B164)*('PM Plan'!$B$5:$B$304=C164))=0,"No matching asset + task in plan","OK")))</f>
        <v/>
      </c>
    </row>
    <row r="165" customFormat="false" ht="15" hidden="false" customHeight="false" outlineLevel="0" collapsed="false">
      <c r="A165" s="14"/>
      <c r="B165" s="9"/>
      <c r="C165" s="9"/>
      <c r="D165" s="9"/>
      <c r="E165" s="9"/>
      <c r="F165" s="17" t="str">
        <f aca="false">IF(AND(A165="",B165="",C165=""),"",IF(NOT(ISNUMBER(A165)),"Enter the date done",IF(SUMPRODUCT(('PM Plan'!$A$5:$A$304=B165)*('PM Plan'!$B$5:$B$304=C165))=0,"No matching asset + task in plan","OK")))</f>
        <v/>
      </c>
    </row>
    <row r="166" customFormat="false" ht="15" hidden="false" customHeight="false" outlineLevel="0" collapsed="false">
      <c r="A166" s="14"/>
      <c r="B166" s="9"/>
      <c r="C166" s="9"/>
      <c r="D166" s="9"/>
      <c r="E166" s="9"/>
      <c r="F166" s="17" t="str">
        <f aca="false">IF(AND(A166="",B166="",C166=""),"",IF(NOT(ISNUMBER(A166)),"Enter the date done",IF(SUMPRODUCT(('PM Plan'!$A$5:$A$304=B166)*('PM Plan'!$B$5:$B$304=C166))=0,"No matching asset + task in plan","OK")))</f>
        <v/>
      </c>
    </row>
    <row r="167" customFormat="false" ht="15" hidden="false" customHeight="false" outlineLevel="0" collapsed="false">
      <c r="A167" s="14"/>
      <c r="B167" s="9"/>
      <c r="C167" s="9"/>
      <c r="D167" s="9"/>
      <c r="E167" s="9"/>
      <c r="F167" s="17" t="str">
        <f aca="false">IF(AND(A167="",B167="",C167=""),"",IF(NOT(ISNUMBER(A167)),"Enter the date done",IF(SUMPRODUCT(('PM Plan'!$A$5:$A$304=B167)*('PM Plan'!$B$5:$B$304=C167))=0,"No matching asset + task in plan","OK")))</f>
        <v/>
      </c>
    </row>
    <row r="168" customFormat="false" ht="15" hidden="false" customHeight="false" outlineLevel="0" collapsed="false">
      <c r="A168" s="14"/>
      <c r="B168" s="9"/>
      <c r="C168" s="9"/>
      <c r="D168" s="9"/>
      <c r="E168" s="9"/>
      <c r="F168" s="17" t="str">
        <f aca="false">IF(AND(A168="",B168="",C168=""),"",IF(NOT(ISNUMBER(A168)),"Enter the date done",IF(SUMPRODUCT(('PM Plan'!$A$5:$A$304=B168)*('PM Plan'!$B$5:$B$304=C168))=0,"No matching asset + task in plan","OK")))</f>
        <v/>
      </c>
    </row>
    <row r="169" customFormat="false" ht="15" hidden="false" customHeight="false" outlineLevel="0" collapsed="false">
      <c r="A169" s="14"/>
      <c r="B169" s="9"/>
      <c r="C169" s="9"/>
      <c r="D169" s="9"/>
      <c r="E169" s="9"/>
      <c r="F169" s="17" t="str">
        <f aca="false">IF(AND(A169="",B169="",C169=""),"",IF(NOT(ISNUMBER(A169)),"Enter the date done",IF(SUMPRODUCT(('PM Plan'!$A$5:$A$304=B169)*('PM Plan'!$B$5:$B$304=C169))=0,"No matching asset + task in plan","OK")))</f>
        <v/>
      </c>
    </row>
    <row r="170" customFormat="false" ht="15" hidden="false" customHeight="false" outlineLevel="0" collapsed="false">
      <c r="A170" s="14"/>
      <c r="B170" s="9"/>
      <c r="C170" s="9"/>
      <c r="D170" s="9"/>
      <c r="E170" s="9"/>
      <c r="F170" s="17" t="str">
        <f aca="false">IF(AND(A170="",B170="",C170=""),"",IF(NOT(ISNUMBER(A170)),"Enter the date done",IF(SUMPRODUCT(('PM Plan'!$A$5:$A$304=B170)*('PM Plan'!$B$5:$B$304=C170))=0,"No matching asset + task in plan","OK")))</f>
        <v/>
      </c>
    </row>
    <row r="171" customFormat="false" ht="15" hidden="false" customHeight="false" outlineLevel="0" collapsed="false">
      <c r="A171" s="14"/>
      <c r="B171" s="9"/>
      <c r="C171" s="9"/>
      <c r="D171" s="9"/>
      <c r="E171" s="9"/>
      <c r="F171" s="17" t="str">
        <f aca="false">IF(AND(A171="",B171="",C171=""),"",IF(NOT(ISNUMBER(A171)),"Enter the date done",IF(SUMPRODUCT(('PM Plan'!$A$5:$A$304=B171)*('PM Plan'!$B$5:$B$304=C171))=0,"No matching asset + task in plan","OK")))</f>
        <v/>
      </c>
    </row>
    <row r="172" customFormat="false" ht="15" hidden="false" customHeight="false" outlineLevel="0" collapsed="false">
      <c r="A172" s="14"/>
      <c r="B172" s="9"/>
      <c r="C172" s="9"/>
      <c r="D172" s="9"/>
      <c r="E172" s="9"/>
      <c r="F172" s="17" t="str">
        <f aca="false">IF(AND(A172="",B172="",C172=""),"",IF(NOT(ISNUMBER(A172)),"Enter the date done",IF(SUMPRODUCT(('PM Plan'!$A$5:$A$304=B172)*('PM Plan'!$B$5:$B$304=C172))=0,"No matching asset + task in plan","OK")))</f>
        <v/>
      </c>
    </row>
    <row r="173" customFormat="false" ht="15" hidden="false" customHeight="false" outlineLevel="0" collapsed="false">
      <c r="A173" s="14"/>
      <c r="B173" s="9"/>
      <c r="C173" s="9"/>
      <c r="D173" s="9"/>
      <c r="E173" s="9"/>
      <c r="F173" s="17" t="str">
        <f aca="false">IF(AND(A173="",B173="",C173=""),"",IF(NOT(ISNUMBER(A173)),"Enter the date done",IF(SUMPRODUCT(('PM Plan'!$A$5:$A$304=B173)*('PM Plan'!$B$5:$B$304=C173))=0,"No matching asset + task in plan","OK")))</f>
        <v/>
      </c>
    </row>
    <row r="174" customFormat="false" ht="15" hidden="false" customHeight="false" outlineLevel="0" collapsed="false">
      <c r="A174" s="14"/>
      <c r="B174" s="9"/>
      <c r="C174" s="9"/>
      <c r="D174" s="9"/>
      <c r="E174" s="9"/>
      <c r="F174" s="17" t="str">
        <f aca="false">IF(AND(A174="",B174="",C174=""),"",IF(NOT(ISNUMBER(A174)),"Enter the date done",IF(SUMPRODUCT(('PM Plan'!$A$5:$A$304=B174)*('PM Plan'!$B$5:$B$304=C174))=0,"No matching asset + task in plan","OK")))</f>
        <v/>
      </c>
    </row>
    <row r="175" customFormat="false" ht="15" hidden="false" customHeight="false" outlineLevel="0" collapsed="false">
      <c r="A175" s="14"/>
      <c r="B175" s="9"/>
      <c r="C175" s="9"/>
      <c r="D175" s="9"/>
      <c r="E175" s="9"/>
      <c r="F175" s="17" t="str">
        <f aca="false">IF(AND(A175="",B175="",C175=""),"",IF(NOT(ISNUMBER(A175)),"Enter the date done",IF(SUMPRODUCT(('PM Plan'!$A$5:$A$304=B175)*('PM Plan'!$B$5:$B$304=C175))=0,"No matching asset + task in plan","OK")))</f>
        <v/>
      </c>
    </row>
    <row r="176" customFormat="false" ht="15" hidden="false" customHeight="false" outlineLevel="0" collapsed="false">
      <c r="A176" s="14"/>
      <c r="B176" s="9"/>
      <c r="C176" s="9"/>
      <c r="D176" s="9"/>
      <c r="E176" s="9"/>
      <c r="F176" s="17" t="str">
        <f aca="false">IF(AND(A176="",B176="",C176=""),"",IF(NOT(ISNUMBER(A176)),"Enter the date done",IF(SUMPRODUCT(('PM Plan'!$A$5:$A$304=B176)*('PM Plan'!$B$5:$B$304=C176))=0,"No matching asset + task in plan","OK")))</f>
        <v/>
      </c>
    </row>
    <row r="177" customFormat="false" ht="15" hidden="false" customHeight="false" outlineLevel="0" collapsed="false">
      <c r="A177" s="14"/>
      <c r="B177" s="9"/>
      <c r="C177" s="9"/>
      <c r="D177" s="9"/>
      <c r="E177" s="9"/>
      <c r="F177" s="17" t="str">
        <f aca="false">IF(AND(A177="",B177="",C177=""),"",IF(NOT(ISNUMBER(A177)),"Enter the date done",IF(SUMPRODUCT(('PM Plan'!$A$5:$A$304=B177)*('PM Plan'!$B$5:$B$304=C177))=0,"No matching asset + task in plan","OK")))</f>
        <v/>
      </c>
    </row>
    <row r="178" customFormat="false" ht="15" hidden="false" customHeight="false" outlineLevel="0" collapsed="false">
      <c r="A178" s="14"/>
      <c r="B178" s="9"/>
      <c r="C178" s="9"/>
      <c r="D178" s="9"/>
      <c r="E178" s="9"/>
      <c r="F178" s="17" t="str">
        <f aca="false">IF(AND(A178="",B178="",C178=""),"",IF(NOT(ISNUMBER(A178)),"Enter the date done",IF(SUMPRODUCT(('PM Plan'!$A$5:$A$304=B178)*('PM Plan'!$B$5:$B$304=C178))=0,"No matching asset + task in plan","OK")))</f>
        <v/>
      </c>
    </row>
    <row r="179" customFormat="false" ht="15" hidden="false" customHeight="false" outlineLevel="0" collapsed="false">
      <c r="A179" s="14"/>
      <c r="B179" s="9"/>
      <c r="C179" s="9"/>
      <c r="D179" s="9"/>
      <c r="E179" s="9"/>
      <c r="F179" s="17" t="str">
        <f aca="false">IF(AND(A179="",B179="",C179=""),"",IF(NOT(ISNUMBER(A179)),"Enter the date done",IF(SUMPRODUCT(('PM Plan'!$A$5:$A$304=B179)*('PM Plan'!$B$5:$B$304=C179))=0,"No matching asset + task in plan","OK")))</f>
        <v/>
      </c>
    </row>
    <row r="180" customFormat="false" ht="15" hidden="false" customHeight="false" outlineLevel="0" collapsed="false">
      <c r="A180" s="14"/>
      <c r="B180" s="9"/>
      <c r="C180" s="9"/>
      <c r="D180" s="9"/>
      <c r="E180" s="9"/>
      <c r="F180" s="17" t="str">
        <f aca="false">IF(AND(A180="",B180="",C180=""),"",IF(NOT(ISNUMBER(A180)),"Enter the date done",IF(SUMPRODUCT(('PM Plan'!$A$5:$A$304=B180)*('PM Plan'!$B$5:$B$304=C180))=0,"No matching asset + task in plan","OK")))</f>
        <v/>
      </c>
    </row>
    <row r="181" customFormat="false" ht="15" hidden="false" customHeight="false" outlineLevel="0" collapsed="false">
      <c r="A181" s="14"/>
      <c r="B181" s="9"/>
      <c r="C181" s="9"/>
      <c r="D181" s="9"/>
      <c r="E181" s="9"/>
      <c r="F181" s="17" t="str">
        <f aca="false">IF(AND(A181="",B181="",C181=""),"",IF(NOT(ISNUMBER(A181)),"Enter the date done",IF(SUMPRODUCT(('PM Plan'!$A$5:$A$304=B181)*('PM Plan'!$B$5:$B$304=C181))=0,"No matching asset + task in plan","OK")))</f>
        <v/>
      </c>
    </row>
    <row r="182" customFormat="false" ht="15" hidden="false" customHeight="false" outlineLevel="0" collapsed="false">
      <c r="A182" s="14"/>
      <c r="B182" s="9"/>
      <c r="C182" s="9"/>
      <c r="D182" s="9"/>
      <c r="E182" s="9"/>
      <c r="F182" s="17" t="str">
        <f aca="false">IF(AND(A182="",B182="",C182=""),"",IF(NOT(ISNUMBER(A182)),"Enter the date done",IF(SUMPRODUCT(('PM Plan'!$A$5:$A$304=B182)*('PM Plan'!$B$5:$B$304=C182))=0,"No matching asset + task in plan","OK")))</f>
        <v/>
      </c>
    </row>
    <row r="183" customFormat="false" ht="15" hidden="false" customHeight="false" outlineLevel="0" collapsed="false">
      <c r="A183" s="14"/>
      <c r="B183" s="9"/>
      <c r="C183" s="9"/>
      <c r="D183" s="9"/>
      <c r="E183" s="9"/>
      <c r="F183" s="17" t="str">
        <f aca="false">IF(AND(A183="",B183="",C183=""),"",IF(NOT(ISNUMBER(A183)),"Enter the date done",IF(SUMPRODUCT(('PM Plan'!$A$5:$A$304=B183)*('PM Plan'!$B$5:$B$304=C183))=0,"No matching asset + task in plan","OK")))</f>
        <v/>
      </c>
    </row>
    <row r="184" customFormat="false" ht="15" hidden="false" customHeight="false" outlineLevel="0" collapsed="false">
      <c r="A184" s="14"/>
      <c r="B184" s="9"/>
      <c r="C184" s="9"/>
      <c r="D184" s="9"/>
      <c r="E184" s="9"/>
      <c r="F184" s="17" t="str">
        <f aca="false">IF(AND(A184="",B184="",C184=""),"",IF(NOT(ISNUMBER(A184)),"Enter the date done",IF(SUMPRODUCT(('PM Plan'!$A$5:$A$304=B184)*('PM Plan'!$B$5:$B$304=C184))=0,"No matching asset + task in plan","OK")))</f>
        <v/>
      </c>
    </row>
    <row r="185" customFormat="false" ht="15" hidden="false" customHeight="false" outlineLevel="0" collapsed="false">
      <c r="A185" s="14"/>
      <c r="B185" s="9"/>
      <c r="C185" s="9"/>
      <c r="D185" s="9"/>
      <c r="E185" s="9"/>
      <c r="F185" s="17" t="str">
        <f aca="false">IF(AND(A185="",B185="",C185=""),"",IF(NOT(ISNUMBER(A185)),"Enter the date done",IF(SUMPRODUCT(('PM Plan'!$A$5:$A$304=B185)*('PM Plan'!$B$5:$B$304=C185))=0,"No matching asset + task in plan","OK")))</f>
        <v/>
      </c>
    </row>
    <row r="186" customFormat="false" ht="15" hidden="false" customHeight="false" outlineLevel="0" collapsed="false">
      <c r="A186" s="14"/>
      <c r="B186" s="9"/>
      <c r="C186" s="9"/>
      <c r="D186" s="9"/>
      <c r="E186" s="9"/>
      <c r="F186" s="17" t="str">
        <f aca="false">IF(AND(A186="",B186="",C186=""),"",IF(NOT(ISNUMBER(A186)),"Enter the date done",IF(SUMPRODUCT(('PM Plan'!$A$5:$A$304=B186)*('PM Plan'!$B$5:$B$304=C186))=0,"No matching asset + task in plan","OK")))</f>
        <v/>
      </c>
    </row>
    <row r="187" customFormat="false" ht="15" hidden="false" customHeight="false" outlineLevel="0" collapsed="false">
      <c r="A187" s="14"/>
      <c r="B187" s="9"/>
      <c r="C187" s="9"/>
      <c r="D187" s="9"/>
      <c r="E187" s="9"/>
      <c r="F187" s="17" t="str">
        <f aca="false">IF(AND(A187="",B187="",C187=""),"",IF(NOT(ISNUMBER(A187)),"Enter the date done",IF(SUMPRODUCT(('PM Plan'!$A$5:$A$304=B187)*('PM Plan'!$B$5:$B$304=C187))=0,"No matching asset + task in plan","OK")))</f>
        <v/>
      </c>
    </row>
    <row r="188" customFormat="false" ht="15" hidden="false" customHeight="false" outlineLevel="0" collapsed="false">
      <c r="A188" s="14"/>
      <c r="B188" s="9"/>
      <c r="C188" s="9"/>
      <c r="D188" s="9"/>
      <c r="E188" s="9"/>
      <c r="F188" s="17" t="str">
        <f aca="false">IF(AND(A188="",B188="",C188=""),"",IF(NOT(ISNUMBER(A188)),"Enter the date done",IF(SUMPRODUCT(('PM Plan'!$A$5:$A$304=B188)*('PM Plan'!$B$5:$B$304=C188))=0,"No matching asset + task in plan","OK")))</f>
        <v/>
      </c>
    </row>
    <row r="189" customFormat="false" ht="15" hidden="false" customHeight="false" outlineLevel="0" collapsed="false">
      <c r="A189" s="14"/>
      <c r="B189" s="9"/>
      <c r="C189" s="9"/>
      <c r="D189" s="9"/>
      <c r="E189" s="9"/>
      <c r="F189" s="17" t="str">
        <f aca="false">IF(AND(A189="",B189="",C189=""),"",IF(NOT(ISNUMBER(A189)),"Enter the date done",IF(SUMPRODUCT(('PM Plan'!$A$5:$A$304=B189)*('PM Plan'!$B$5:$B$304=C189))=0,"No matching asset + task in plan","OK")))</f>
        <v/>
      </c>
    </row>
    <row r="190" customFormat="false" ht="15" hidden="false" customHeight="false" outlineLevel="0" collapsed="false">
      <c r="A190" s="14"/>
      <c r="B190" s="9"/>
      <c r="C190" s="9"/>
      <c r="D190" s="9"/>
      <c r="E190" s="9"/>
      <c r="F190" s="17" t="str">
        <f aca="false">IF(AND(A190="",B190="",C190=""),"",IF(NOT(ISNUMBER(A190)),"Enter the date done",IF(SUMPRODUCT(('PM Plan'!$A$5:$A$304=B190)*('PM Plan'!$B$5:$B$304=C190))=0,"No matching asset + task in plan","OK")))</f>
        <v/>
      </c>
    </row>
    <row r="191" customFormat="false" ht="15" hidden="false" customHeight="false" outlineLevel="0" collapsed="false">
      <c r="A191" s="14"/>
      <c r="B191" s="9"/>
      <c r="C191" s="9"/>
      <c r="D191" s="9"/>
      <c r="E191" s="9"/>
      <c r="F191" s="17" t="str">
        <f aca="false">IF(AND(A191="",B191="",C191=""),"",IF(NOT(ISNUMBER(A191)),"Enter the date done",IF(SUMPRODUCT(('PM Plan'!$A$5:$A$304=B191)*('PM Plan'!$B$5:$B$304=C191))=0,"No matching asset + task in plan","OK")))</f>
        <v/>
      </c>
    </row>
    <row r="192" customFormat="false" ht="15" hidden="false" customHeight="false" outlineLevel="0" collapsed="false">
      <c r="A192" s="14"/>
      <c r="B192" s="9"/>
      <c r="C192" s="9"/>
      <c r="D192" s="9"/>
      <c r="E192" s="9"/>
      <c r="F192" s="17" t="str">
        <f aca="false">IF(AND(A192="",B192="",C192=""),"",IF(NOT(ISNUMBER(A192)),"Enter the date done",IF(SUMPRODUCT(('PM Plan'!$A$5:$A$304=B192)*('PM Plan'!$B$5:$B$304=C192))=0,"No matching asset + task in plan","OK")))</f>
        <v/>
      </c>
    </row>
    <row r="193" customFormat="false" ht="15" hidden="false" customHeight="false" outlineLevel="0" collapsed="false">
      <c r="A193" s="14"/>
      <c r="B193" s="9"/>
      <c r="C193" s="9"/>
      <c r="D193" s="9"/>
      <c r="E193" s="9"/>
      <c r="F193" s="17" t="str">
        <f aca="false">IF(AND(A193="",B193="",C193=""),"",IF(NOT(ISNUMBER(A193)),"Enter the date done",IF(SUMPRODUCT(('PM Plan'!$A$5:$A$304=B193)*('PM Plan'!$B$5:$B$304=C193))=0,"No matching asset + task in plan","OK")))</f>
        <v/>
      </c>
    </row>
    <row r="194" customFormat="false" ht="15" hidden="false" customHeight="false" outlineLevel="0" collapsed="false">
      <c r="A194" s="14"/>
      <c r="B194" s="9"/>
      <c r="C194" s="9"/>
      <c r="D194" s="9"/>
      <c r="E194" s="9"/>
      <c r="F194" s="17" t="str">
        <f aca="false">IF(AND(A194="",B194="",C194=""),"",IF(NOT(ISNUMBER(A194)),"Enter the date done",IF(SUMPRODUCT(('PM Plan'!$A$5:$A$304=B194)*('PM Plan'!$B$5:$B$304=C194))=0,"No matching asset + task in plan","OK")))</f>
        <v/>
      </c>
    </row>
    <row r="195" customFormat="false" ht="15" hidden="false" customHeight="false" outlineLevel="0" collapsed="false">
      <c r="A195" s="14"/>
      <c r="B195" s="9"/>
      <c r="C195" s="9"/>
      <c r="D195" s="9"/>
      <c r="E195" s="9"/>
      <c r="F195" s="17" t="str">
        <f aca="false">IF(AND(A195="",B195="",C195=""),"",IF(NOT(ISNUMBER(A195)),"Enter the date done",IF(SUMPRODUCT(('PM Plan'!$A$5:$A$304=B195)*('PM Plan'!$B$5:$B$304=C195))=0,"No matching asset + task in plan","OK")))</f>
        <v/>
      </c>
    </row>
    <row r="196" customFormat="false" ht="15" hidden="false" customHeight="false" outlineLevel="0" collapsed="false">
      <c r="A196" s="14"/>
      <c r="B196" s="9"/>
      <c r="C196" s="9"/>
      <c r="D196" s="9"/>
      <c r="E196" s="9"/>
      <c r="F196" s="17" t="str">
        <f aca="false">IF(AND(A196="",B196="",C196=""),"",IF(NOT(ISNUMBER(A196)),"Enter the date done",IF(SUMPRODUCT(('PM Plan'!$A$5:$A$304=B196)*('PM Plan'!$B$5:$B$304=C196))=0,"No matching asset + task in plan","OK")))</f>
        <v/>
      </c>
    </row>
    <row r="197" customFormat="false" ht="15" hidden="false" customHeight="false" outlineLevel="0" collapsed="false">
      <c r="A197" s="14"/>
      <c r="B197" s="9"/>
      <c r="C197" s="9"/>
      <c r="D197" s="9"/>
      <c r="E197" s="9"/>
      <c r="F197" s="17" t="str">
        <f aca="false">IF(AND(A197="",B197="",C197=""),"",IF(NOT(ISNUMBER(A197)),"Enter the date done",IF(SUMPRODUCT(('PM Plan'!$A$5:$A$304=B197)*('PM Plan'!$B$5:$B$304=C197))=0,"No matching asset + task in plan","OK")))</f>
        <v/>
      </c>
    </row>
    <row r="198" customFormat="false" ht="15" hidden="false" customHeight="false" outlineLevel="0" collapsed="false">
      <c r="A198" s="14"/>
      <c r="B198" s="9"/>
      <c r="C198" s="9"/>
      <c r="D198" s="9"/>
      <c r="E198" s="9"/>
      <c r="F198" s="17" t="str">
        <f aca="false">IF(AND(A198="",B198="",C198=""),"",IF(NOT(ISNUMBER(A198)),"Enter the date done",IF(SUMPRODUCT(('PM Plan'!$A$5:$A$304=B198)*('PM Plan'!$B$5:$B$304=C198))=0,"No matching asset + task in plan","OK")))</f>
        <v/>
      </c>
    </row>
    <row r="199" customFormat="false" ht="15" hidden="false" customHeight="false" outlineLevel="0" collapsed="false">
      <c r="A199" s="14"/>
      <c r="B199" s="9"/>
      <c r="C199" s="9"/>
      <c r="D199" s="9"/>
      <c r="E199" s="9"/>
      <c r="F199" s="17" t="str">
        <f aca="false">IF(AND(A199="",B199="",C199=""),"",IF(NOT(ISNUMBER(A199)),"Enter the date done",IF(SUMPRODUCT(('PM Plan'!$A$5:$A$304=B199)*('PM Plan'!$B$5:$B$304=C199))=0,"No matching asset + task in plan","OK")))</f>
        <v/>
      </c>
    </row>
    <row r="200" customFormat="false" ht="15" hidden="false" customHeight="false" outlineLevel="0" collapsed="false">
      <c r="A200" s="14"/>
      <c r="B200" s="9"/>
      <c r="C200" s="9"/>
      <c r="D200" s="9"/>
      <c r="E200" s="9"/>
      <c r="F200" s="17" t="str">
        <f aca="false">IF(AND(A200="",B200="",C200=""),"",IF(NOT(ISNUMBER(A200)),"Enter the date done",IF(SUMPRODUCT(('PM Plan'!$A$5:$A$304=B200)*('PM Plan'!$B$5:$B$304=C200))=0,"No matching asset + task in plan","OK")))</f>
        <v/>
      </c>
    </row>
    <row r="201" customFormat="false" ht="15" hidden="false" customHeight="false" outlineLevel="0" collapsed="false">
      <c r="A201" s="14"/>
      <c r="B201" s="9"/>
      <c r="C201" s="9"/>
      <c r="D201" s="9"/>
      <c r="E201" s="9"/>
      <c r="F201" s="17" t="str">
        <f aca="false">IF(AND(A201="",B201="",C201=""),"",IF(NOT(ISNUMBER(A201)),"Enter the date done",IF(SUMPRODUCT(('PM Plan'!$A$5:$A$304=B201)*('PM Plan'!$B$5:$B$304=C201))=0,"No matching asset + task in plan","OK")))</f>
        <v/>
      </c>
    </row>
    <row r="202" customFormat="false" ht="15" hidden="false" customHeight="false" outlineLevel="0" collapsed="false">
      <c r="A202" s="14"/>
      <c r="B202" s="9"/>
      <c r="C202" s="9"/>
      <c r="D202" s="9"/>
      <c r="E202" s="9"/>
      <c r="F202" s="17" t="str">
        <f aca="false">IF(AND(A202="",B202="",C202=""),"",IF(NOT(ISNUMBER(A202)),"Enter the date done",IF(SUMPRODUCT(('PM Plan'!$A$5:$A$304=B202)*('PM Plan'!$B$5:$B$304=C202))=0,"No matching asset + task in plan","OK")))</f>
        <v/>
      </c>
    </row>
    <row r="203" customFormat="false" ht="15" hidden="false" customHeight="false" outlineLevel="0" collapsed="false">
      <c r="A203" s="14"/>
      <c r="B203" s="9"/>
      <c r="C203" s="9"/>
      <c r="D203" s="9"/>
      <c r="E203" s="9"/>
      <c r="F203" s="17" t="str">
        <f aca="false">IF(AND(A203="",B203="",C203=""),"",IF(NOT(ISNUMBER(A203)),"Enter the date done",IF(SUMPRODUCT(('PM Plan'!$A$5:$A$304=B203)*('PM Plan'!$B$5:$B$304=C203))=0,"No matching asset + task in plan","OK")))</f>
        <v/>
      </c>
    </row>
    <row r="204" customFormat="false" ht="15" hidden="false" customHeight="false" outlineLevel="0" collapsed="false">
      <c r="A204" s="14"/>
      <c r="B204" s="9"/>
      <c r="C204" s="9"/>
      <c r="D204" s="9"/>
      <c r="E204" s="9"/>
      <c r="F204" s="17" t="str">
        <f aca="false">IF(AND(A204="",B204="",C204=""),"",IF(NOT(ISNUMBER(A204)),"Enter the date done",IF(SUMPRODUCT(('PM Plan'!$A$5:$A$304=B204)*('PM Plan'!$B$5:$B$304=C204))=0,"No matching asset + task in plan","OK")))</f>
        <v/>
      </c>
    </row>
    <row r="205" customFormat="false" ht="15" hidden="false" customHeight="false" outlineLevel="0" collapsed="false">
      <c r="A205" s="14"/>
      <c r="B205" s="9"/>
      <c r="C205" s="9"/>
      <c r="D205" s="9"/>
      <c r="E205" s="9"/>
      <c r="F205" s="17" t="str">
        <f aca="false">IF(AND(A205="",B205="",C205=""),"",IF(NOT(ISNUMBER(A205)),"Enter the date done",IF(SUMPRODUCT(('PM Plan'!$A$5:$A$304=B205)*('PM Plan'!$B$5:$B$304=C205))=0,"No matching asset + task in plan","OK")))</f>
        <v/>
      </c>
    </row>
    <row r="206" customFormat="false" ht="15" hidden="false" customHeight="false" outlineLevel="0" collapsed="false">
      <c r="A206" s="14"/>
      <c r="B206" s="9"/>
      <c r="C206" s="9"/>
      <c r="D206" s="9"/>
      <c r="E206" s="9"/>
      <c r="F206" s="17" t="str">
        <f aca="false">IF(AND(A206="",B206="",C206=""),"",IF(NOT(ISNUMBER(A206)),"Enter the date done",IF(SUMPRODUCT(('PM Plan'!$A$5:$A$304=B206)*('PM Plan'!$B$5:$B$304=C206))=0,"No matching asset + task in plan","OK")))</f>
        <v/>
      </c>
    </row>
    <row r="207" customFormat="false" ht="15" hidden="false" customHeight="false" outlineLevel="0" collapsed="false">
      <c r="A207" s="14"/>
      <c r="B207" s="9"/>
      <c r="C207" s="9"/>
      <c r="D207" s="9"/>
      <c r="E207" s="9"/>
      <c r="F207" s="17" t="str">
        <f aca="false">IF(AND(A207="",B207="",C207=""),"",IF(NOT(ISNUMBER(A207)),"Enter the date done",IF(SUMPRODUCT(('PM Plan'!$A$5:$A$304=B207)*('PM Plan'!$B$5:$B$304=C207))=0,"No matching asset + task in plan","OK")))</f>
        <v/>
      </c>
    </row>
    <row r="208" customFormat="false" ht="15" hidden="false" customHeight="false" outlineLevel="0" collapsed="false">
      <c r="A208" s="14"/>
      <c r="B208" s="9"/>
      <c r="C208" s="9"/>
      <c r="D208" s="9"/>
      <c r="E208" s="9"/>
      <c r="F208" s="17" t="str">
        <f aca="false">IF(AND(A208="",B208="",C208=""),"",IF(NOT(ISNUMBER(A208)),"Enter the date done",IF(SUMPRODUCT(('PM Plan'!$A$5:$A$304=B208)*('PM Plan'!$B$5:$B$304=C208))=0,"No matching asset + task in plan","OK")))</f>
        <v/>
      </c>
    </row>
    <row r="209" customFormat="false" ht="15" hidden="false" customHeight="false" outlineLevel="0" collapsed="false">
      <c r="A209" s="14"/>
      <c r="B209" s="9"/>
      <c r="C209" s="9"/>
      <c r="D209" s="9"/>
      <c r="E209" s="9"/>
      <c r="F209" s="17" t="str">
        <f aca="false">IF(AND(A209="",B209="",C209=""),"",IF(NOT(ISNUMBER(A209)),"Enter the date done",IF(SUMPRODUCT(('PM Plan'!$A$5:$A$304=B209)*('PM Plan'!$B$5:$B$304=C209))=0,"No matching asset + task in plan","OK")))</f>
        <v/>
      </c>
    </row>
    <row r="210" customFormat="false" ht="15" hidden="false" customHeight="false" outlineLevel="0" collapsed="false">
      <c r="A210" s="14"/>
      <c r="B210" s="9"/>
      <c r="C210" s="9"/>
      <c r="D210" s="9"/>
      <c r="E210" s="9"/>
      <c r="F210" s="17" t="str">
        <f aca="false">IF(AND(A210="",B210="",C210=""),"",IF(NOT(ISNUMBER(A210)),"Enter the date done",IF(SUMPRODUCT(('PM Plan'!$A$5:$A$304=B210)*('PM Plan'!$B$5:$B$304=C210))=0,"No matching asset + task in plan","OK")))</f>
        <v/>
      </c>
    </row>
    <row r="211" customFormat="false" ht="15" hidden="false" customHeight="false" outlineLevel="0" collapsed="false">
      <c r="A211" s="14"/>
      <c r="B211" s="9"/>
      <c r="C211" s="9"/>
      <c r="D211" s="9"/>
      <c r="E211" s="9"/>
      <c r="F211" s="17" t="str">
        <f aca="false">IF(AND(A211="",B211="",C211=""),"",IF(NOT(ISNUMBER(A211)),"Enter the date done",IF(SUMPRODUCT(('PM Plan'!$A$5:$A$304=B211)*('PM Plan'!$B$5:$B$304=C211))=0,"No matching asset + task in plan","OK")))</f>
        <v/>
      </c>
    </row>
    <row r="212" customFormat="false" ht="15" hidden="false" customHeight="false" outlineLevel="0" collapsed="false">
      <c r="A212" s="14"/>
      <c r="B212" s="9"/>
      <c r="C212" s="9"/>
      <c r="D212" s="9"/>
      <c r="E212" s="9"/>
      <c r="F212" s="17" t="str">
        <f aca="false">IF(AND(A212="",B212="",C212=""),"",IF(NOT(ISNUMBER(A212)),"Enter the date done",IF(SUMPRODUCT(('PM Plan'!$A$5:$A$304=B212)*('PM Plan'!$B$5:$B$304=C212))=0,"No matching asset + task in plan","OK")))</f>
        <v/>
      </c>
    </row>
    <row r="213" customFormat="false" ht="15" hidden="false" customHeight="false" outlineLevel="0" collapsed="false">
      <c r="A213" s="14"/>
      <c r="B213" s="9"/>
      <c r="C213" s="9"/>
      <c r="D213" s="9"/>
      <c r="E213" s="9"/>
      <c r="F213" s="17" t="str">
        <f aca="false">IF(AND(A213="",B213="",C213=""),"",IF(NOT(ISNUMBER(A213)),"Enter the date done",IF(SUMPRODUCT(('PM Plan'!$A$5:$A$304=B213)*('PM Plan'!$B$5:$B$304=C213))=0,"No matching asset + task in plan","OK")))</f>
        <v/>
      </c>
    </row>
    <row r="214" customFormat="false" ht="15" hidden="false" customHeight="false" outlineLevel="0" collapsed="false">
      <c r="A214" s="14"/>
      <c r="B214" s="9"/>
      <c r="C214" s="9"/>
      <c r="D214" s="9"/>
      <c r="E214" s="9"/>
      <c r="F214" s="17" t="str">
        <f aca="false">IF(AND(A214="",B214="",C214=""),"",IF(NOT(ISNUMBER(A214)),"Enter the date done",IF(SUMPRODUCT(('PM Plan'!$A$5:$A$304=B214)*('PM Plan'!$B$5:$B$304=C214))=0,"No matching asset + task in plan","OK")))</f>
        <v/>
      </c>
    </row>
    <row r="215" customFormat="false" ht="15" hidden="false" customHeight="false" outlineLevel="0" collapsed="false">
      <c r="A215" s="14"/>
      <c r="B215" s="9"/>
      <c r="C215" s="9"/>
      <c r="D215" s="9"/>
      <c r="E215" s="9"/>
      <c r="F215" s="17" t="str">
        <f aca="false">IF(AND(A215="",B215="",C215=""),"",IF(NOT(ISNUMBER(A215)),"Enter the date done",IF(SUMPRODUCT(('PM Plan'!$A$5:$A$304=B215)*('PM Plan'!$B$5:$B$304=C215))=0,"No matching asset + task in plan","OK")))</f>
        <v/>
      </c>
    </row>
    <row r="216" customFormat="false" ht="15" hidden="false" customHeight="false" outlineLevel="0" collapsed="false">
      <c r="A216" s="14"/>
      <c r="B216" s="9"/>
      <c r="C216" s="9"/>
      <c r="D216" s="9"/>
      <c r="E216" s="9"/>
      <c r="F216" s="17" t="str">
        <f aca="false">IF(AND(A216="",B216="",C216=""),"",IF(NOT(ISNUMBER(A216)),"Enter the date done",IF(SUMPRODUCT(('PM Plan'!$A$5:$A$304=B216)*('PM Plan'!$B$5:$B$304=C216))=0,"No matching asset + task in plan","OK")))</f>
        <v/>
      </c>
    </row>
    <row r="217" customFormat="false" ht="15" hidden="false" customHeight="false" outlineLevel="0" collapsed="false">
      <c r="A217" s="14"/>
      <c r="B217" s="9"/>
      <c r="C217" s="9"/>
      <c r="D217" s="9"/>
      <c r="E217" s="9"/>
      <c r="F217" s="17" t="str">
        <f aca="false">IF(AND(A217="",B217="",C217=""),"",IF(NOT(ISNUMBER(A217)),"Enter the date done",IF(SUMPRODUCT(('PM Plan'!$A$5:$A$304=B217)*('PM Plan'!$B$5:$B$304=C217))=0,"No matching asset + task in plan","OK")))</f>
        <v/>
      </c>
    </row>
    <row r="218" customFormat="false" ht="15" hidden="false" customHeight="false" outlineLevel="0" collapsed="false">
      <c r="A218" s="14"/>
      <c r="B218" s="9"/>
      <c r="C218" s="9"/>
      <c r="D218" s="9"/>
      <c r="E218" s="9"/>
      <c r="F218" s="17" t="str">
        <f aca="false">IF(AND(A218="",B218="",C218=""),"",IF(NOT(ISNUMBER(A218)),"Enter the date done",IF(SUMPRODUCT(('PM Plan'!$A$5:$A$304=B218)*('PM Plan'!$B$5:$B$304=C218))=0,"No matching asset + task in plan","OK")))</f>
        <v/>
      </c>
    </row>
    <row r="219" customFormat="false" ht="15" hidden="false" customHeight="false" outlineLevel="0" collapsed="false">
      <c r="A219" s="14"/>
      <c r="B219" s="9"/>
      <c r="C219" s="9"/>
      <c r="D219" s="9"/>
      <c r="E219" s="9"/>
      <c r="F219" s="17" t="str">
        <f aca="false">IF(AND(A219="",B219="",C219=""),"",IF(NOT(ISNUMBER(A219)),"Enter the date done",IF(SUMPRODUCT(('PM Plan'!$A$5:$A$304=B219)*('PM Plan'!$B$5:$B$304=C219))=0,"No matching asset + task in plan","OK")))</f>
        <v/>
      </c>
    </row>
    <row r="220" customFormat="false" ht="15" hidden="false" customHeight="false" outlineLevel="0" collapsed="false">
      <c r="A220" s="14"/>
      <c r="B220" s="9"/>
      <c r="C220" s="9"/>
      <c r="D220" s="9"/>
      <c r="E220" s="9"/>
      <c r="F220" s="17" t="str">
        <f aca="false">IF(AND(A220="",B220="",C220=""),"",IF(NOT(ISNUMBER(A220)),"Enter the date done",IF(SUMPRODUCT(('PM Plan'!$A$5:$A$304=B220)*('PM Plan'!$B$5:$B$304=C220))=0,"No matching asset + task in plan","OK")))</f>
        <v/>
      </c>
    </row>
    <row r="221" customFormat="false" ht="15" hidden="false" customHeight="false" outlineLevel="0" collapsed="false">
      <c r="A221" s="14"/>
      <c r="B221" s="9"/>
      <c r="C221" s="9"/>
      <c r="D221" s="9"/>
      <c r="E221" s="9"/>
      <c r="F221" s="17" t="str">
        <f aca="false">IF(AND(A221="",B221="",C221=""),"",IF(NOT(ISNUMBER(A221)),"Enter the date done",IF(SUMPRODUCT(('PM Plan'!$A$5:$A$304=B221)*('PM Plan'!$B$5:$B$304=C221))=0,"No matching asset + task in plan","OK")))</f>
        <v/>
      </c>
    </row>
    <row r="222" customFormat="false" ht="15" hidden="false" customHeight="false" outlineLevel="0" collapsed="false">
      <c r="A222" s="14"/>
      <c r="B222" s="9"/>
      <c r="C222" s="9"/>
      <c r="D222" s="9"/>
      <c r="E222" s="9"/>
      <c r="F222" s="17" t="str">
        <f aca="false">IF(AND(A222="",B222="",C222=""),"",IF(NOT(ISNUMBER(A222)),"Enter the date done",IF(SUMPRODUCT(('PM Plan'!$A$5:$A$304=B222)*('PM Plan'!$B$5:$B$304=C222))=0,"No matching asset + task in plan","OK")))</f>
        <v/>
      </c>
    </row>
    <row r="223" customFormat="false" ht="15" hidden="false" customHeight="false" outlineLevel="0" collapsed="false">
      <c r="A223" s="14"/>
      <c r="B223" s="9"/>
      <c r="C223" s="9"/>
      <c r="D223" s="9"/>
      <c r="E223" s="9"/>
      <c r="F223" s="17" t="str">
        <f aca="false">IF(AND(A223="",B223="",C223=""),"",IF(NOT(ISNUMBER(A223)),"Enter the date done",IF(SUMPRODUCT(('PM Plan'!$A$5:$A$304=B223)*('PM Plan'!$B$5:$B$304=C223))=0,"No matching asset + task in plan","OK")))</f>
        <v/>
      </c>
    </row>
    <row r="224" customFormat="false" ht="15" hidden="false" customHeight="false" outlineLevel="0" collapsed="false">
      <c r="A224" s="14"/>
      <c r="B224" s="9"/>
      <c r="C224" s="9"/>
      <c r="D224" s="9"/>
      <c r="E224" s="9"/>
      <c r="F224" s="17" t="str">
        <f aca="false">IF(AND(A224="",B224="",C224=""),"",IF(NOT(ISNUMBER(A224)),"Enter the date done",IF(SUMPRODUCT(('PM Plan'!$A$5:$A$304=B224)*('PM Plan'!$B$5:$B$304=C224))=0,"No matching asset + task in plan","OK")))</f>
        <v/>
      </c>
    </row>
    <row r="225" customFormat="false" ht="15" hidden="false" customHeight="false" outlineLevel="0" collapsed="false">
      <c r="A225" s="14"/>
      <c r="B225" s="9"/>
      <c r="C225" s="9"/>
      <c r="D225" s="9"/>
      <c r="E225" s="9"/>
      <c r="F225" s="17" t="str">
        <f aca="false">IF(AND(A225="",B225="",C225=""),"",IF(NOT(ISNUMBER(A225)),"Enter the date done",IF(SUMPRODUCT(('PM Plan'!$A$5:$A$304=B225)*('PM Plan'!$B$5:$B$304=C225))=0,"No matching asset + task in plan","OK")))</f>
        <v/>
      </c>
    </row>
    <row r="226" customFormat="false" ht="15" hidden="false" customHeight="false" outlineLevel="0" collapsed="false">
      <c r="A226" s="14"/>
      <c r="B226" s="9"/>
      <c r="C226" s="9"/>
      <c r="D226" s="9"/>
      <c r="E226" s="9"/>
      <c r="F226" s="17" t="str">
        <f aca="false">IF(AND(A226="",B226="",C226=""),"",IF(NOT(ISNUMBER(A226)),"Enter the date done",IF(SUMPRODUCT(('PM Plan'!$A$5:$A$304=B226)*('PM Plan'!$B$5:$B$304=C226))=0,"No matching asset + task in plan","OK")))</f>
        <v/>
      </c>
    </row>
    <row r="227" customFormat="false" ht="15" hidden="false" customHeight="false" outlineLevel="0" collapsed="false">
      <c r="A227" s="14"/>
      <c r="B227" s="9"/>
      <c r="C227" s="9"/>
      <c r="D227" s="9"/>
      <c r="E227" s="9"/>
      <c r="F227" s="17" t="str">
        <f aca="false">IF(AND(A227="",B227="",C227=""),"",IF(NOT(ISNUMBER(A227)),"Enter the date done",IF(SUMPRODUCT(('PM Plan'!$A$5:$A$304=B227)*('PM Plan'!$B$5:$B$304=C227))=0,"No matching asset + task in plan","OK")))</f>
        <v/>
      </c>
    </row>
    <row r="228" customFormat="false" ht="15" hidden="false" customHeight="false" outlineLevel="0" collapsed="false">
      <c r="A228" s="14"/>
      <c r="B228" s="9"/>
      <c r="C228" s="9"/>
      <c r="D228" s="9"/>
      <c r="E228" s="9"/>
      <c r="F228" s="17" t="str">
        <f aca="false">IF(AND(A228="",B228="",C228=""),"",IF(NOT(ISNUMBER(A228)),"Enter the date done",IF(SUMPRODUCT(('PM Plan'!$A$5:$A$304=B228)*('PM Plan'!$B$5:$B$304=C228))=0,"No matching asset + task in plan","OK")))</f>
        <v/>
      </c>
    </row>
    <row r="229" customFormat="false" ht="15" hidden="false" customHeight="false" outlineLevel="0" collapsed="false">
      <c r="A229" s="14"/>
      <c r="B229" s="9"/>
      <c r="C229" s="9"/>
      <c r="D229" s="9"/>
      <c r="E229" s="9"/>
      <c r="F229" s="17" t="str">
        <f aca="false">IF(AND(A229="",B229="",C229=""),"",IF(NOT(ISNUMBER(A229)),"Enter the date done",IF(SUMPRODUCT(('PM Plan'!$A$5:$A$304=B229)*('PM Plan'!$B$5:$B$304=C229))=0,"No matching asset + task in plan","OK")))</f>
        <v/>
      </c>
    </row>
    <row r="230" customFormat="false" ht="15" hidden="false" customHeight="false" outlineLevel="0" collapsed="false">
      <c r="A230" s="14"/>
      <c r="B230" s="9"/>
      <c r="C230" s="9"/>
      <c r="D230" s="9"/>
      <c r="E230" s="9"/>
      <c r="F230" s="17" t="str">
        <f aca="false">IF(AND(A230="",B230="",C230=""),"",IF(NOT(ISNUMBER(A230)),"Enter the date done",IF(SUMPRODUCT(('PM Plan'!$A$5:$A$304=B230)*('PM Plan'!$B$5:$B$304=C230))=0,"No matching asset + task in plan","OK")))</f>
        <v/>
      </c>
    </row>
    <row r="231" customFormat="false" ht="15" hidden="false" customHeight="false" outlineLevel="0" collapsed="false">
      <c r="A231" s="14"/>
      <c r="B231" s="9"/>
      <c r="C231" s="9"/>
      <c r="D231" s="9"/>
      <c r="E231" s="9"/>
      <c r="F231" s="17" t="str">
        <f aca="false">IF(AND(A231="",B231="",C231=""),"",IF(NOT(ISNUMBER(A231)),"Enter the date done",IF(SUMPRODUCT(('PM Plan'!$A$5:$A$304=B231)*('PM Plan'!$B$5:$B$304=C231))=0,"No matching asset + task in plan","OK")))</f>
        <v/>
      </c>
    </row>
    <row r="232" customFormat="false" ht="15" hidden="false" customHeight="false" outlineLevel="0" collapsed="false">
      <c r="A232" s="14"/>
      <c r="B232" s="9"/>
      <c r="C232" s="9"/>
      <c r="D232" s="9"/>
      <c r="E232" s="9"/>
      <c r="F232" s="17" t="str">
        <f aca="false">IF(AND(A232="",B232="",C232=""),"",IF(NOT(ISNUMBER(A232)),"Enter the date done",IF(SUMPRODUCT(('PM Plan'!$A$5:$A$304=B232)*('PM Plan'!$B$5:$B$304=C232))=0,"No matching asset + task in plan","OK")))</f>
        <v/>
      </c>
    </row>
    <row r="233" customFormat="false" ht="15" hidden="false" customHeight="false" outlineLevel="0" collapsed="false">
      <c r="A233" s="14"/>
      <c r="B233" s="9"/>
      <c r="C233" s="9"/>
      <c r="D233" s="9"/>
      <c r="E233" s="9"/>
      <c r="F233" s="17" t="str">
        <f aca="false">IF(AND(A233="",B233="",C233=""),"",IF(NOT(ISNUMBER(A233)),"Enter the date done",IF(SUMPRODUCT(('PM Plan'!$A$5:$A$304=B233)*('PM Plan'!$B$5:$B$304=C233))=0,"No matching asset + task in plan","OK")))</f>
        <v/>
      </c>
    </row>
    <row r="234" customFormat="false" ht="15" hidden="false" customHeight="false" outlineLevel="0" collapsed="false">
      <c r="A234" s="14"/>
      <c r="B234" s="9"/>
      <c r="C234" s="9"/>
      <c r="D234" s="9"/>
      <c r="E234" s="9"/>
      <c r="F234" s="17" t="str">
        <f aca="false">IF(AND(A234="",B234="",C234=""),"",IF(NOT(ISNUMBER(A234)),"Enter the date done",IF(SUMPRODUCT(('PM Plan'!$A$5:$A$304=B234)*('PM Plan'!$B$5:$B$304=C234))=0,"No matching asset + task in plan","OK")))</f>
        <v/>
      </c>
    </row>
    <row r="235" customFormat="false" ht="15" hidden="false" customHeight="false" outlineLevel="0" collapsed="false">
      <c r="A235" s="14"/>
      <c r="B235" s="9"/>
      <c r="C235" s="9"/>
      <c r="D235" s="9"/>
      <c r="E235" s="9"/>
      <c r="F235" s="17" t="str">
        <f aca="false">IF(AND(A235="",B235="",C235=""),"",IF(NOT(ISNUMBER(A235)),"Enter the date done",IF(SUMPRODUCT(('PM Plan'!$A$5:$A$304=B235)*('PM Plan'!$B$5:$B$304=C235))=0,"No matching asset + task in plan","OK")))</f>
        <v/>
      </c>
    </row>
    <row r="236" customFormat="false" ht="15" hidden="false" customHeight="false" outlineLevel="0" collapsed="false">
      <c r="A236" s="14"/>
      <c r="B236" s="9"/>
      <c r="C236" s="9"/>
      <c r="D236" s="9"/>
      <c r="E236" s="9"/>
      <c r="F236" s="17" t="str">
        <f aca="false">IF(AND(A236="",B236="",C236=""),"",IF(NOT(ISNUMBER(A236)),"Enter the date done",IF(SUMPRODUCT(('PM Plan'!$A$5:$A$304=B236)*('PM Plan'!$B$5:$B$304=C236))=0,"No matching asset + task in plan","OK")))</f>
        <v/>
      </c>
    </row>
    <row r="237" customFormat="false" ht="15" hidden="false" customHeight="false" outlineLevel="0" collapsed="false">
      <c r="A237" s="14"/>
      <c r="B237" s="9"/>
      <c r="C237" s="9"/>
      <c r="D237" s="9"/>
      <c r="E237" s="9"/>
      <c r="F237" s="17" t="str">
        <f aca="false">IF(AND(A237="",B237="",C237=""),"",IF(NOT(ISNUMBER(A237)),"Enter the date done",IF(SUMPRODUCT(('PM Plan'!$A$5:$A$304=B237)*('PM Plan'!$B$5:$B$304=C237))=0,"No matching asset + task in plan","OK")))</f>
        <v/>
      </c>
    </row>
    <row r="238" customFormat="false" ht="15" hidden="false" customHeight="false" outlineLevel="0" collapsed="false">
      <c r="A238" s="14"/>
      <c r="B238" s="9"/>
      <c r="C238" s="9"/>
      <c r="D238" s="9"/>
      <c r="E238" s="9"/>
      <c r="F238" s="17" t="str">
        <f aca="false">IF(AND(A238="",B238="",C238=""),"",IF(NOT(ISNUMBER(A238)),"Enter the date done",IF(SUMPRODUCT(('PM Plan'!$A$5:$A$304=B238)*('PM Plan'!$B$5:$B$304=C238))=0,"No matching asset + task in plan","OK")))</f>
        <v/>
      </c>
    </row>
    <row r="239" customFormat="false" ht="15" hidden="false" customHeight="false" outlineLevel="0" collapsed="false">
      <c r="A239" s="14"/>
      <c r="B239" s="9"/>
      <c r="C239" s="9"/>
      <c r="D239" s="9"/>
      <c r="E239" s="9"/>
      <c r="F239" s="17" t="str">
        <f aca="false">IF(AND(A239="",B239="",C239=""),"",IF(NOT(ISNUMBER(A239)),"Enter the date done",IF(SUMPRODUCT(('PM Plan'!$A$5:$A$304=B239)*('PM Plan'!$B$5:$B$304=C239))=0,"No matching asset + task in plan","OK")))</f>
        <v/>
      </c>
    </row>
    <row r="240" customFormat="false" ht="15" hidden="false" customHeight="false" outlineLevel="0" collapsed="false">
      <c r="A240" s="14"/>
      <c r="B240" s="9"/>
      <c r="C240" s="9"/>
      <c r="D240" s="9"/>
      <c r="E240" s="9"/>
      <c r="F240" s="17" t="str">
        <f aca="false">IF(AND(A240="",B240="",C240=""),"",IF(NOT(ISNUMBER(A240)),"Enter the date done",IF(SUMPRODUCT(('PM Plan'!$A$5:$A$304=B240)*('PM Plan'!$B$5:$B$304=C240))=0,"No matching asset + task in plan","OK")))</f>
        <v/>
      </c>
    </row>
    <row r="241" customFormat="false" ht="15" hidden="false" customHeight="false" outlineLevel="0" collapsed="false">
      <c r="A241" s="14"/>
      <c r="B241" s="9"/>
      <c r="C241" s="9"/>
      <c r="D241" s="9"/>
      <c r="E241" s="9"/>
      <c r="F241" s="17" t="str">
        <f aca="false">IF(AND(A241="",B241="",C241=""),"",IF(NOT(ISNUMBER(A241)),"Enter the date done",IF(SUMPRODUCT(('PM Plan'!$A$5:$A$304=B241)*('PM Plan'!$B$5:$B$304=C241))=0,"No matching asset + task in plan","OK")))</f>
        <v/>
      </c>
    </row>
    <row r="242" customFormat="false" ht="15" hidden="false" customHeight="false" outlineLevel="0" collapsed="false">
      <c r="A242" s="14"/>
      <c r="B242" s="9"/>
      <c r="C242" s="9"/>
      <c r="D242" s="9"/>
      <c r="E242" s="9"/>
      <c r="F242" s="17" t="str">
        <f aca="false">IF(AND(A242="",B242="",C242=""),"",IF(NOT(ISNUMBER(A242)),"Enter the date done",IF(SUMPRODUCT(('PM Plan'!$A$5:$A$304=B242)*('PM Plan'!$B$5:$B$304=C242))=0,"No matching asset + task in plan","OK")))</f>
        <v/>
      </c>
    </row>
    <row r="243" customFormat="false" ht="15" hidden="false" customHeight="false" outlineLevel="0" collapsed="false">
      <c r="A243" s="14"/>
      <c r="B243" s="9"/>
      <c r="C243" s="9"/>
      <c r="D243" s="9"/>
      <c r="E243" s="9"/>
      <c r="F243" s="17" t="str">
        <f aca="false">IF(AND(A243="",B243="",C243=""),"",IF(NOT(ISNUMBER(A243)),"Enter the date done",IF(SUMPRODUCT(('PM Plan'!$A$5:$A$304=B243)*('PM Plan'!$B$5:$B$304=C243))=0,"No matching asset + task in plan","OK")))</f>
        <v/>
      </c>
    </row>
    <row r="244" customFormat="false" ht="15" hidden="false" customHeight="false" outlineLevel="0" collapsed="false">
      <c r="A244" s="14"/>
      <c r="B244" s="9"/>
      <c r="C244" s="9"/>
      <c r="D244" s="9"/>
      <c r="E244" s="9"/>
      <c r="F244" s="17" t="str">
        <f aca="false">IF(AND(A244="",B244="",C244=""),"",IF(NOT(ISNUMBER(A244)),"Enter the date done",IF(SUMPRODUCT(('PM Plan'!$A$5:$A$304=B244)*('PM Plan'!$B$5:$B$304=C244))=0,"No matching asset + task in plan","OK")))</f>
        <v/>
      </c>
    </row>
    <row r="245" customFormat="false" ht="15" hidden="false" customHeight="false" outlineLevel="0" collapsed="false">
      <c r="A245" s="14"/>
      <c r="B245" s="9"/>
      <c r="C245" s="9"/>
      <c r="D245" s="9"/>
      <c r="E245" s="9"/>
      <c r="F245" s="17" t="str">
        <f aca="false">IF(AND(A245="",B245="",C245=""),"",IF(NOT(ISNUMBER(A245)),"Enter the date done",IF(SUMPRODUCT(('PM Plan'!$A$5:$A$304=B245)*('PM Plan'!$B$5:$B$304=C245))=0,"No matching asset + task in plan","OK")))</f>
        <v/>
      </c>
    </row>
    <row r="246" customFormat="false" ht="15" hidden="false" customHeight="false" outlineLevel="0" collapsed="false">
      <c r="A246" s="14"/>
      <c r="B246" s="9"/>
      <c r="C246" s="9"/>
      <c r="D246" s="9"/>
      <c r="E246" s="9"/>
      <c r="F246" s="17" t="str">
        <f aca="false">IF(AND(A246="",B246="",C246=""),"",IF(NOT(ISNUMBER(A246)),"Enter the date done",IF(SUMPRODUCT(('PM Plan'!$A$5:$A$304=B246)*('PM Plan'!$B$5:$B$304=C246))=0,"No matching asset + task in plan","OK")))</f>
        <v/>
      </c>
    </row>
    <row r="247" customFormat="false" ht="15" hidden="false" customHeight="false" outlineLevel="0" collapsed="false">
      <c r="A247" s="14"/>
      <c r="B247" s="9"/>
      <c r="C247" s="9"/>
      <c r="D247" s="9"/>
      <c r="E247" s="9"/>
      <c r="F247" s="17" t="str">
        <f aca="false">IF(AND(A247="",B247="",C247=""),"",IF(NOT(ISNUMBER(A247)),"Enter the date done",IF(SUMPRODUCT(('PM Plan'!$A$5:$A$304=B247)*('PM Plan'!$B$5:$B$304=C247))=0,"No matching asset + task in plan","OK")))</f>
        <v/>
      </c>
    </row>
    <row r="248" customFormat="false" ht="15" hidden="false" customHeight="false" outlineLevel="0" collapsed="false">
      <c r="A248" s="14"/>
      <c r="B248" s="9"/>
      <c r="C248" s="9"/>
      <c r="D248" s="9"/>
      <c r="E248" s="9"/>
      <c r="F248" s="17" t="str">
        <f aca="false">IF(AND(A248="",B248="",C248=""),"",IF(NOT(ISNUMBER(A248)),"Enter the date done",IF(SUMPRODUCT(('PM Plan'!$A$5:$A$304=B248)*('PM Plan'!$B$5:$B$304=C248))=0,"No matching asset + task in plan","OK")))</f>
        <v/>
      </c>
    </row>
    <row r="249" customFormat="false" ht="15" hidden="false" customHeight="false" outlineLevel="0" collapsed="false">
      <c r="A249" s="14"/>
      <c r="B249" s="9"/>
      <c r="C249" s="9"/>
      <c r="D249" s="9"/>
      <c r="E249" s="9"/>
      <c r="F249" s="17" t="str">
        <f aca="false">IF(AND(A249="",B249="",C249=""),"",IF(NOT(ISNUMBER(A249)),"Enter the date done",IF(SUMPRODUCT(('PM Plan'!$A$5:$A$304=B249)*('PM Plan'!$B$5:$B$304=C249))=0,"No matching asset + task in plan","OK")))</f>
        <v/>
      </c>
    </row>
    <row r="250" customFormat="false" ht="15" hidden="false" customHeight="false" outlineLevel="0" collapsed="false">
      <c r="A250" s="14"/>
      <c r="B250" s="9"/>
      <c r="C250" s="9"/>
      <c r="D250" s="9"/>
      <c r="E250" s="9"/>
      <c r="F250" s="17" t="str">
        <f aca="false">IF(AND(A250="",B250="",C250=""),"",IF(NOT(ISNUMBER(A250)),"Enter the date done",IF(SUMPRODUCT(('PM Plan'!$A$5:$A$304=B250)*('PM Plan'!$B$5:$B$304=C250))=0,"No matching asset + task in plan","OK")))</f>
        <v/>
      </c>
    </row>
    <row r="251" customFormat="false" ht="15" hidden="false" customHeight="false" outlineLevel="0" collapsed="false">
      <c r="A251" s="14"/>
      <c r="B251" s="9"/>
      <c r="C251" s="9"/>
      <c r="D251" s="9"/>
      <c r="E251" s="9"/>
      <c r="F251" s="17" t="str">
        <f aca="false">IF(AND(A251="",B251="",C251=""),"",IF(NOT(ISNUMBER(A251)),"Enter the date done",IF(SUMPRODUCT(('PM Plan'!$A$5:$A$304=B251)*('PM Plan'!$B$5:$B$304=C251))=0,"No matching asset + task in plan","OK")))</f>
        <v/>
      </c>
    </row>
    <row r="252" customFormat="false" ht="15" hidden="false" customHeight="false" outlineLevel="0" collapsed="false">
      <c r="A252" s="14"/>
      <c r="B252" s="9"/>
      <c r="C252" s="9"/>
      <c r="D252" s="9"/>
      <c r="E252" s="9"/>
      <c r="F252" s="17" t="str">
        <f aca="false">IF(AND(A252="",B252="",C252=""),"",IF(NOT(ISNUMBER(A252)),"Enter the date done",IF(SUMPRODUCT(('PM Plan'!$A$5:$A$304=B252)*('PM Plan'!$B$5:$B$304=C252))=0,"No matching asset + task in plan","OK")))</f>
        <v/>
      </c>
    </row>
    <row r="253" customFormat="false" ht="15" hidden="false" customHeight="false" outlineLevel="0" collapsed="false">
      <c r="A253" s="14"/>
      <c r="B253" s="9"/>
      <c r="C253" s="9"/>
      <c r="D253" s="9"/>
      <c r="E253" s="9"/>
      <c r="F253" s="17" t="str">
        <f aca="false">IF(AND(A253="",B253="",C253=""),"",IF(NOT(ISNUMBER(A253)),"Enter the date done",IF(SUMPRODUCT(('PM Plan'!$A$5:$A$304=B253)*('PM Plan'!$B$5:$B$304=C253))=0,"No matching asset + task in plan","OK")))</f>
        <v/>
      </c>
    </row>
    <row r="254" customFormat="false" ht="15" hidden="false" customHeight="false" outlineLevel="0" collapsed="false">
      <c r="A254" s="14"/>
      <c r="B254" s="9"/>
      <c r="C254" s="9"/>
      <c r="D254" s="9"/>
      <c r="E254" s="9"/>
      <c r="F254" s="17" t="str">
        <f aca="false">IF(AND(A254="",B254="",C254=""),"",IF(NOT(ISNUMBER(A254)),"Enter the date done",IF(SUMPRODUCT(('PM Plan'!$A$5:$A$304=B254)*('PM Plan'!$B$5:$B$304=C254))=0,"No matching asset + task in plan","OK")))</f>
        <v/>
      </c>
    </row>
    <row r="255" customFormat="false" ht="15" hidden="false" customHeight="false" outlineLevel="0" collapsed="false">
      <c r="A255" s="14"/>
      <c r="B255" s="9"/>
      <c r="C255" s="9"/>
      <c r="D255" s="9"/>
      <c r="E255" s="9"/>
      <c r="F255" s="17" t="str">
        <f aca="false">IF(AND(A255="",B255="",C255=""),"",IF(NOT(ISNUMBER(A255)),"Enter the date done",IF(SUMPRODUCT(('PM Plan'!$A$5:$A$304=B255)*('PM Plan'!$B$5:$B$304=C255))=0,"No matching asset + task in plan","OK")))</f>
        <v/>
      </c>
    </row>
    <row r="256" customFormat="false" ht="15" hidden="false" customHeight="false" outlineLevel="0" collapsed="false">
      <c r="A256" s="14"/>
      <c r="B256" s="9"/>
      <c r="C256" s="9"/>
      <c r="D256" s="9"/>
      <c r="E256" s="9"/>
      <c r="F256" s="17" t="str">
        <f aca="false">IF(AND(A256="",B256="",C256=""),"",IF(NOT(ISNUMBER(A256)),"Enter the date done",IF(SUMPRODUCT(('PM Plan'!$A$5:$A$304=B256)*('PM Plan'!$B$5:$B$304=C256))=0,"No matching asset + task in plan","OK")))</f>
        <v/>
      </c>
    </row>
    <row r="257" customFormat="false" ht="15" hidden="false" customHeight="false" outlineLevel="0" collapsed="false">
      <c r="A257" s="14"/>
      <c r="B257" s="9"/>
      <c r="C257" s="9"/>
      <c r="D257" s="9"/>
      <c r="E257" s="9"/>
      <c r="F257" s="17" t="str">
        <f aca="false">IF(AND(A257="",B257="",C257=""),"",IF(NOT(ISNUMBER(A257)),"Enter the date done",IF(SUMPRODUCT(('PM Plan'!$A$5:$A$304=B257)*('PM Plan'!$B$5:$B$304=C257))=0,"No matching asset + task in plan","OK")))</f>
        <v/>
      </c>
    </row>
    <row r="258" customFormat="false" ht="15" hidden="false" customHeight="false" outlineLevel="0" collapsed="false">
      <c r="A258" s="14"/>
      <c r="B258" s="9"/>
      <c r="C258" s="9"/>
      <c r="D258" s="9"/>
      <c r="E258" s="9"/>
      <c r="F258" s="17" t="str">
        <f aca="false">IF(AND(A258="",B258="",C258=""),"",IF(NOT(ISNUMBER(A258)),"Enter the date done",IF(SUMPRODUCT(('PM Plan'!$A$5:$A$304=B258)*('PM Plan'!$B$5:$B$304=C258))=0,"No matching asset + task in plan","OK")))</f>
        <v/>
      </c>
    </row>
    <row r="259" customFormat="false" ht="15" hidden="false" customHeight="false" outlineLevel="0" collapsed="false">
      <c r="A259" s="14"/>
      <c r="B259" s="9"/>
      <c r="C259" s="9"/>
      <c r="D259" s="9"/>
      <c r="E259" s="9"/>
      <c r="F259" s="17" t="str">
        <f aca="false">IF(AND(A259="",B259="",C259=""),"",IF(NOT(ISNUMBER(A259)),"Enter the date done",IF(SUMPRODUCT(('PM Plan'!$A$5:$A$304=B259)*('PM Plan'!$B$5:$B$304=C259))=0,"No matching asset + task in plan","OK")))</f>
        <v/>
      </c>
    </row>
    <row r="260" customFormat="false" ht="15" hidden="false" customHeight="false" outlineLevel="0" collapsed="false">
      <c r="A260" s="14"/>
      <c r="B260" s="9"/>
      <c r="C260" s="9"/>
      <c r="D260" s="9"/>
      <c r="E260" s="9"/>
      <c r="F260" s="17" t="str">
        <f aca="false">IF(AND(A260="",B260="",C260=""),"",IF(NOT(ISNUMBER(A260)),"Enter the date done",IF(SUMPRODUCT(('PM Plan'!$A$5:$A$304=B260)*('PM Plan'!$B$5:$B$304=C260))=0,"No matching asset + task in plan","OK")))</f>
        <v/>
      </c>
    </row>
    <row r="261" customFormat="false" ht="15" hidden="false" customHeight="false" outlineLevel="0" collapsed="false">
      <c r="A261" s="14"/>
      <c r="B261" s="9"/>
      <c r="C261" s="9"/>
      <c r="D261" s="9"/>
      <c r="E261" s="9"/>
      <c r="F261" s="17" t="str">
        <f aca="false">IF(AND(A261="",B261="",C261=""),"",IF(NOT(ISNUMBER(A261)),"Enter the date done",IF(SUMPRODUCT(('PM Plan'!$A$5:$A$304=B261)*('PM Plan'!$B$5:$B$304=C261))=0,"No matching asset + task in plan","OK")))</f>
        <v/>
      </c>
    </row>
    <row r="262" customFormat="false" ht="15" hidden="false" customHeight="false" outlineLevel="0" collapsed="false">
      <c r="A262" s="14"/>
      <c r="B262" s="9"/>
      <c r="C262" s="9"/>
      <c r="D262" s="9"/>
      <c r="E262" s="9"/>
      <c r="F262" s="17" t="str">
        <f aca="false">IF(AND(A262="",B262="",C262=""),"",IF(NOT(ISNUMBER(A262)),"Enter the date done",IF(SUMPRODUCT(('PM Plan'!$A$5:$A$304=B262)*('PM Plan'!$B$5:$B$304=C262))=0,"No matching asset + task in plan","OK")))</f>
        <v/>
      </c>
    </row>
    <row r="263" customFormat="false" ht="15" hidden="false" customHeight="false" outlineLevel="0" collapsed="false">
      <c r="A263" s="14"/>
      <c r="B263" s="9"/>
      <c r="C263" s="9"/>
      <c r="D263" s="9"/>
      <c r="E263" s="9"/>
      <c r="F263" s="17" t="str">
        <f aca="false">IF(AND(A263="",B263="",C263=""),"",IF(NOT(ISNUMBER(A263)),"Enter the date done",IF(SUMPRODUCT(('PM Plan'!$A$5:$A$304=B263)*('PM Plan'!$B$5:$B$304=C263))=0,"No matching asset + task in plan","OK")))</f>
        <v/>
      </c>
    </row>
    <row r="264" customFormat="false" ht="15" hidden="false" customHeight="false" outlineLevel="0" collapsed="false">
      <c r="A264" s="14"/>
      <c r="B264" s="9"/>
      <c r="C264" s="9"/>
      <c r="D264" s="9"/>
      <c r="E264" s="9"/>
      <c r="F264" s="17" t="str">
        <f aca="false">IF(AND(A264="",B264="",C264=""),"",IF(NOT(ISNUMBER(A264)),"Enter the date done",IF(SUMPRODUCT(('PM Plan'!$A$5:$A$304=B264)*('PM Plan'!$B$5:$B$304=C264))=0,"No matching asset + task in plan","OK")))</f>
        <v/>
      </c>
    </row>
    <row r="265" customFormat="false" ht="15" hidden="false" customHeight="false" outlineLevel="0" collapsed="false">
      <c r="A265" s="14"/>
      <c r="B265" s="9"/>
      <c r="C265" s="9"/>
      <c r="D265" s="9"/>
      <c r="E265" s="9"/>
      <c r="F265" s="17" t="str">
        <f aca="false">IF(AND(A265="",B265="",C265=""),"",IF(NOT(ISNUMBER(A265)),"Enter the date done",IF(SUMPRODUCT(('PM Plan'!$A$5:$A$304=B265)*('PM Plan'!$B$5:$B$304=C265))=0,"No matching asset + task in plan","OK")))</f>
        <v/>
      </c>
    </row>
    <row r="266" customFormat="false" ht="15" hidden="false" customHeight="false" outlineLevel="0" collapsed="false">
      <c r="A266" s="14"/>
      <c r="B266" s="9"/>
      <c r="C266" s="9"/>
      <c r="D266" s="9"/>
      <c r="E266" s="9"/>
      <c r="F266" s="17" t="str">
        <f aca="false">IF(AND(A266="",B266="",C266=""),"",IF(NOT(ISNUMBER(A266)),"Enter the date done",IF(SUMPRODUCT(('PM Plan'!$A$5:$A$304=B266)*('PM Plan'!$B$5:$B$304=C266))=0,"No matching asset + task in plan","OK")))</f>
        <v/>
      </c>
    </row>
    <row r="267" customFormat="false" ht="15" hidden="false" customHeight="false" outlineLevel="0" collapsed="false">
      <c r="A267" s="14"/>
      <c r="B267" s="9"/>
      <c r="C267" s="9"/>
      <c r="D267" s="9"/>
      <c r="E267" s="9"/>
      <c r="F267" s="17" t="str">
        <f aca="false">IF(AND(A267="",B267="",C267=""),"",IF(NOT(ISNUMBER(A267)),"Enter the date done",IF(SUMPRODUCT(('PM Plan'!$A$5:$A$304=B267)*('PM Plan'!$B$5:$B$304=C267))=0,"No matching asset + task in plan","OK")))</f>
        <v/>
      </c>
    </row>
    <row r="268" customFormat="false" ht="15" hidden="false" customHeight="false" outlineLevel="0" collapsed="false">
      <c r="A268" s="14"/>
      <c r="B268" s="9"/>
      <c r="C268" s="9"/>
      <c r="D268" s="9"/>
      <c r="E268" s="9"/>
      <c r="F268" s="17" t="str">
        <f aca="false">IF(AND(A268="",B268="",C268=""),"",IF(NOT(ISNUMBER(A268)),"Enter the date done",IF(SUMPRODUCT(('PM Plan'!$A$5:$A$304=B268)*('PM Plan'!$B$5:$B$304=C268))=0,"No matching asset + task in plan","OK")))</f>
        <v/>
      </c>
    </row>
    <row r="269" customFormat="false" ht="15" hidden="false" customHeight="false" outlineLevel="0" collapsed="false">
      <c r="A269" s="14"/>
      <c r="B269" s="9"/>
      <c r="C269" s="9"/>
      <c r="D269" s="9"/>
      <c r="E269" s="9"/>
      <c r="F269" s="17" t="str">
        <f aca="false">IF(AND(A269="",B269="",C269=""),"",IF(NOT(ISNUMBER(A269)),"Enter the date done",IF(SUMPRODUCT(('PM Plan'!$A$5:$A$304=B269)*('PM Plan'!$B$5:$B$304=C269))=0,"No matching asset + task in plan","OK")))</f>
        <v/>
      </c>
    </row>
    <row r="270" customFormat="false" ht="15" hidden="false" customHeight="false" outlineLevel="0" collapsed="false">
      <c r="A270" s="14"/>
      <c r="B270" s="9"/>
      <c r="C270" s="9"/>
      <c r="D270" s="9"/>
      <c r="E270" s="9"/>
      <c r="F270" s="17" t="str">
        <f aca="false">IF(AND(A270="",B270="",C270=""),"",IF(NOT(ISNUMBER(A270)),"Enter the date done",IF(SUMPRODUCT(('PM Plan'!$A$5:$A$304=B270)*('PM Plan'!$B$5:$B$304=C270))=0,"No matching asset + task in plan","OK")))</f>
        <v/>
      </c>
    </row>
    <row r="271" customFormat="false" ht="15" hidden="false" customHeight="false" outlineLevel="0" collapsed="false">
      <c r="A271" s="14"/>
      <c r="B271" s="9"/>
      <c r="C271" s="9"/>
      <c r="D271" s="9"/>
      <c r="E271" s="9"/>
      <c r="F271" s="17" t="str">
        <f aca="false">IF(AND(A271="",B271="",C271=""),"",IF(NOT(ISNUMBER(A271)),"Enter the date done",IF(SUMPRODUCT(('PM Plan'!$A$5:$A$304=B271)*('PM Plan'!$B$5:$B$304=C271))=0,"No matching asset + task in plan","OK")))</f>
        <v/>
      </c>
    </row>
    <row r="272" customFormat="false" ht="15" hidden="false" customHeight="false" outlineLevel="0" collapsed="false">
      <c r="A272" s="14"/>
      <c r="B272" s="9"/>
      <c r="C272" s="9"/>
      <c r="D272" s="9"/>
      <c r="E272" s="9"/>
      <c r="F272" s="17" t="str">
        <f aca="false">IF(AND(A272="",B272="",C272=""),"",IF(NOT(ISNUMBER(A272)),"Enter the date done",IF(SUMPRODUCT(('PM Plan'!$A$5:$A$304=B272)*('PM Plan'!$B$5:$B$304=C272))=0,"No matching asset + task in plan","OK")))</f>
        <v/>
      </c>
    </row>
    <row r="273" customFormat="false" ht="15" hidden="false" customHeight="false" outlineLevel="0" collapsed="false">
      <c r="A273" s="14"/>
      <c r="B273" s="9"/>
      <c r="C273" s="9"/>
      <c r="D273" s="9"/>
      <c r="E273" s="9"/>
      <c r="F273" s="17" t="str">
        <f aca="false">IF(AND(A273="",B273="",C273=""),"",IF(NOT(ISNUMBER(A273)),"Enter the date done",IF(SUMPRODUCT(('PM Plan'!$A$5:$A$304=B273)*('PM Plan'!$B$5:$B$304=C273))=0,"No matching asset + task in plan","OK")))</f>
        <v/>
      </c>
    </row>
    <row r="274" customFormat="false" ht="15" hidden="false" customHeight="false" outlineLevel="0" collapsed="false">
      <c r="A274" s="14"/>
      <c r="B274" s="9"/>
      <c r="C274" s="9"/>
      <c r="D274" s="9"/>
      <c r="E274" s="9"/>
      <c r="F274" s="17" t="str">
        <f aca="false">IF(AND(A274="",B274="",C274=""),"",IF(NOT(ISNUMBER(A274)),"Enter the date done",IF(SUMPRODUCT(('PM Plan'!$A$5:$A$304=B274)*('PM Plan'!$B$5:$B$304=C274))=0,"No matching asset + task in plan","OK")))</f>
        <v/>
      </c>
    </row>
    <row r="275" customFormat="false" ht="15" hidden="false" customHeight="false" outlineLevel="0" collapsed="false">
      <c r="A275" s="14"/>
      <c r="B275" s="9"/>
      <c r="C275" s="9"/>
      <c r="D275" s="9"/>
      <c r="E275" s="9"/>
      <c r="F275" s="17" t="str">
        <f aca="false">IF(AND(A275="",B275="",C275=""),"",IF(NOT(ISNUMBER(A275)),"Enter the date done",IF(SUMPRODUCT(('PM Plan'!$A$5:$A$304=B275)*('PM Plan'!$B$5:$B$304=C275))=0,"No matching asset + task in plan","OK")))</f>
        <v/>
      </c>
    </row>
    <row r="276" customFormat="false" ht="15" hidden="false" customHeight="false" outlineLevel="0" collapsed="false">
      <c r="A276" s="14"/>
      <c r="B276" s="9"/>
      <c r="C276" s="9"/>
      <c r="D276" s="9"/>
      <c r="E276" s="9"/>
      <c r="F276" s="17" t="str">
        <f aca="false">IF(AND(A276="",B276="",C276=""),"",IF(NOT(ISNUMBER(A276)),"Enter the date done",IF(SUMPRODUCT(('PM Plan'!$A$5:$A$304=B276)*('PM Plan'!$B$5:$B$304=C276))=0,"No matching asset + task in plan","OK")))</f>
        <v/>
      </c>
    </row>
    <row r="277" customFormat="false" ht="15" hidden="false" customHeight="false" outlineLevel="0" collapsed="false">
      <c r="A277" s="14"/>
      <c r="B277" s="9"/>
      <c r="C277" s="9"/>
      <c r="D277" s="9"/>
      <c r="E277" s="9"/>
      <c r="F277" s="17" t="str">
        <f aca="false">IF(AND(A277="",B277="",C277=""),"",IF(NOT(ISNUMBER(A277)),"Enter the date done",IF(SUMPRODUCT(('PM Plan'!$A$5:$A$304=B277)*('PM Plan'!$B$5:$B$304=C277))=0,"No matching asset + task in plan","OK")))</f>
        <v/>
      </c>
    </row>
    <row r="278" customFormat="false" ht="15" hidden="false" customHeight="false" outlineLevel="0" collapsed="false">
      <c r="A278" s="14"/>
      <c r="B278" s="9"/>
      <c r="C278" s="9"/>
      <c r="D278" s="9"/>
      <c r="E278" s="9"/>
      <c r="F278" s="17" t="str">
        <f aca="false">IF(AND(A278="",B278="",C278=""),"",IF(NOT(ISNUMBER(A278)),"Enter the date done",IF(SUMPRODUCT(('PM Plan'!$A$5:$A$304=B278)*('PM Plan'!$B$5:$B$304=C278))=0,"No matching asset + task in plan","OK")))</f>
        <v/>
      </c>
    </row>
    <row r="279" customFormat="false" ht="15" hidden="false" customHeight="false" outlineLevel="0" collapsed="false">
      <c r="A279" s="14"/>
      <c r="B279" s="9"/>
      <c r="C279" s="9"/>
      <c r="D279" s="9"/>
      <c r="E279" s="9"/>
      <c r="F279" s="17" t="str">
        <f aca="false">IF(AND(A279="",B279="",C279=""),"",IF(NOT(ISNUMBER(A279)),"Enter the date done",IF(SUMPRODUCT(('PM Plan'!$A$5:$A$304=B279)*('PM Plan'!$B$5:$B$304=C279))=0,"No matching asset + task in plan","OK")))</f>
        <v/>
      </c>
    </row>
    <row r="280" customFormat="false" ht="15" hidden="false" customHeight="false" outlineLevel="0" collapsed="false">
      <c r="A280" s="14"/>
      <c r="B280" s="9"/>
      <c r="C280" s="9"/>
      <c r="D280" s="9"/>
      <c r="E280" s="9"/>
      <c r="F280" s="17" t="str">
        <f aca="false">IF(AND(A280="",B280="",C280=""),"",IF(NOT(ISNUMBER(A280)),"Enter the date done",IF(SUMPRODUCT(('PM Plan'!$A$5:$A$304=B280)*('PM Plan'!$B$5:$B$304=C280))=0,"No matching asset + task in plan","OK")))</f>
        <v/>
      </c>
    </row>
    <row r="281" customFormat="false" ht="15" hidden="false" customHeight="false" outlineLevel="0" collapsed="false">
      <c r="A281" s="14"/>
      <c r="B281" s="9"/>
      <c r="C281" s="9"/>
      <c r="D281" s="9"/>
      <c r="E281" s="9"/>
      <c r="F281" s="17" t="str">
        <f aca="false">IF(AND(A281="",B281="",C281=""),"",IF(NOT(ISNUMBER(A281)),"Enter the date done",IF(SUMPRODUCT(('PM Plan'!$A$5:$A$304=B281)*('PM Plan'!$B$5:$B$304=C281))=0,"No matching asset + task in plan","OK")))</f>
        <v/>
      </c>
    </row>
    <row r="282" customFormat="false" ht="15" hidden="false" customHeight="false" outlineLevel="0" collapsed="false">
      <c r="A282" s="14"/>
      <c r="B282" s="9"/>
      <c r="C282" s="9"/>
      <c r="D282" s="9"/>
      <c r="E282" s="9"/>
      <c r="F282" s="17" t="str">
        <f aca="false">IF(AND(A282="",B282="",C282=""),"",IF(NOT(ISNUMBER(A282)),"Enter the date done",IF(SUMPRODUCT(('PM Plan'!$A$5:$A$304=B282)*('PM Plan'!$B$5:$B$304=C282))=0,"No matching asset + task in plan","OK")))</f>
        <v/>
      </c>
    </row>
    <row r="283" customFormat="false" ht="15" hidden="false" customHeight="false" outlineLevel="0" collapsed="false">
      <c r="A283" s="14"/>
      <c r="B283" s="9"/>
      <c r="C283" s="9"/>
      <c r="D283" s="9"/>
      <c r="E283" s="9"/>
      <c r="F283" s="17" t="str">
        <f aca="false">IF(AND(A283="",B283="",C283=""),"",IF(NOT(ISNUMBER(A283)),"Enter the date done",IF(SUMPRODUCT(('PM Plan'!$A$5:$A$304=B283)*('PM Plan'!$B$5:$B$304=C283))=0,"No matching asset + task in plan","OK")))</f>
        <v/>
      </c>
    </row>
    <row r="284" customFormat="false" ht="15" hidden="false" customHeight="false" outlineLevel="0" collapsed="false">
      <c r="A284" s="14"/>
      <c r="B284" s="9"/>
      <c r="C284" s="9"/>
      <c r="D284" s="9"/>
      <c r="E284" s="9"/>
      <c r="F284" s="17" t="str">
        <f aca="false">IF(AND(A284="",B284="",C284=""),"",IF(NOT(ISNUMBER(A284)),"Enter the date done",IF(SUMPRODUCT(('PM Plan'!$A$5:$A$304=B284)*('PM Plan'!$B$5:$B$304=C284))=0,"No matching asset + task in plan","OK")))</f>
        <v/>
      </c>
    </row>
    <row r="285" customFormat="false" ht="15" hidden="false" customHeight="false" outlineLevel="0" collapsed="false">
      <c r="A285" s="14"/>
      <c r="B285" s="9"/>
      <c r="C285" s="9"/>
      <c r="D285" s="9"/>
      <c r="E285" s="9"/>
      <c r="F285" s="17" t="str">
        <f aca="false">IF(AND(A285="",B285="",C285=""),"",IF(NOT(ISNUMBER(A285)),"Enter the date done",IF(SUMPRODUCT(('PM Plan'!$A$5:$A$304=B285)*('PM Plan'!$B$5:$B$304=C285))=0,"No matching asset + task in plan","OK")))</f>
        <v/>
      </c>
    </row>
    <row r="286" customFormat="false" ht="15" hidden="false" customHeight="false" outlineLevel="0" collapsed="false">
      <c r="A286" s="14"/>
      <c r="B286" s="9"/>
      <c r="C286" s="9"/>
      <c r="D286" s="9"/>
      <c r="E286" s="9"/>
      <c r="F286" s="17" t="str">
        <f aca="false">IF(AND(A286="",B286="",C286=""),"",IF(NOT(ISNUMBER(A286)),"Enter the date done",IF(SUMPRODUCT(('PM Plan'!$A$5:$A$304=B286)*('PM Plan'!$B$5:$B$304=C286))=0,"No matching asset + task in plan","OK")))</f>
        <v/>
      </c>
    </row>
    <row r="287" customFormat="false" ht="15" hidden="false" customHeight="false" outlineLevel="0" collapsed="false">
      <c r="A287" s="14"/>
      <c r="B287" s="9"/>
      <c r="C287" s="9"/>
      <c r="D287" s="9"/>
      <c r="E287" s="9"/>
      <c r="F287" s="17" t="str">
        <f aca="false">IF(AND(A287="",B287="",C287=""),"",IF(NOT(ISNUMBER(A287)),"Enter the date done",IF(SUMPRODUCT(('PM Plan'!$A$5:$A$304=B287)*('PM Plan'!$B$5:$B$304=C287))=0,"No matching asset + task in plan","OK")))</f>
        <v/>
      </c>
    </row>
    <row r="288" customFormat="false" ht="15" hidden="false" customHeight="false" outlineLevel="0" collapsed="false">
      <c r="A288" s="14"/>
      <c r="B288" s="9"/>
      <c r="C288" s="9"/>
      <c r="D288" s="9"/>
      <c r="E288" s="9"/>
      <c r="F288" s="17" t="str">
        <f aca="false">IF(AND(A288="",B288="",C288=""),"",IF(NOT(ISNUMBER(A288)),"Enter the date done",IF(SUMPRODUCT(('PM Plan'!$A$5:$A$304=B288)*('PM Plan'!$B$5:$B$304=C288))=0,"No matching asset + task in plan","OK")))</f>
        <v/>
      </c>
    </row>
    <row r="289" customFormat="false" ht="15" hidden="false" customHeight="false" outlineLevel="0" collapsed="false">
      <c r="A289" s="14"/>
      <c r="B289" s="9"/>
      <c r="C289" s="9"/>
      <c r="D289" s="9"/>
      <c r="E289" s="9"/>
      <c r="F289" s="17" t="str">
        <f aca="false">IF(AND(A289="",B289="",C289=""),"",IF(NOT(ISNUMBER(A289)),"Enter the date done",IF(SUMPRODUCT(('PM Plan'!$A$5:$A$304=B289)*('PM Plan'!$B$5:$B$304=C289))=0,"No matching asset + task in plan","OK")))</f>
        <v/>
      </c>
    </row>
    <row r="290" customFormat="false" ht="15" hidden="false" customHeight="false" outlineLevel="0" collapsed="false">
      <c r="A290" s="14"/>
      <c r="B290" s="9"/>
      <c r="C290" s="9"/>
      <c r="D290" s="9"/>
      <c r="E290" s="9"/>
      <c r="F290" s="17" t="str">
        <f aca="false">IF(AND(A290="",B290="",C290=""),"",IF(NOT(ISNUMBER(A290)),"Enter the date done",IF(SUMPRODUCT(('PM Plan'!$A$5:$A$304=B290)*('PM Plan'!$B$5:$B$304=C290))=0,"No matching asset + task in plan","OK")))</f>
        <v/>
      </c>
    </row>
    <row r="291" customFormat="false" ht="15" hidden="false" customHeight="false" outlineLevel="0" collapsed="false">
      <c r="A291" s="14"/>
      <c r="B291" s="9"/>
      <c r="C291" s="9"/>
      <c r="D291" s="9"/>
      <c r="E291" s="9"/>
      <c r="F291" s="17" t="str">
        <f aca="false">IF(AND(A291="",B291="",C291=""),"",IF(NOT(ISNUMBER(A291)),"Enter the date done",IF(SUMPRODUCT(('PM Plan'!$A$5:$A$304=B291)*('PM Plan'!$B$5:$B$304=C291))=0,"No matching asset + task in plan","OK")))</f>
        <v/>
      </c>
    </row>
    <row r="292" customFormat="false" ht="15" hidden="false" customHeight="false" outlineLevel="0" collapsed="false">
      <c r="A292" s="14"/>
      <c r="B292" s="9"/>
      <c r="C292" s="9"/>
      <c r="D292" s="9"/>
      <c r="E292" s="9"/>
      <c r="F292" s="17" t="str">
        <f aca="false">IF(AND(A292="",B292="",C292=""),"",IF(NOT(ISNUMBER(A292)),"Enter the date done",IF(SUMPRODUCT(('PM Plan'!$A$5:$A$304=B292)*('PM Plan'!$B$5:$B$304=C292))=0,"No matching asset + task in plan","OK")))</f>
        <v/>
      </c>
    </row>
    <row r="293" customFormat="false" ht="15" hidden="false" customHeight="false" outlineLevel="0" collapsed="false">
      <c r="A293" s="14"/>
      <c r="B293" s="9"/>
      <c r="C293" s="9"/>
      <c r="D293" s="9"/>
      <c r="E293" s="9"/>
      <c r="F293" s="17" t="str">
        <f aca="false">IF(AND(A293="",B293="",C293=""),"",IF(NOT(ISNUMBER(A293)),"Enter the date done",IF(SUMPRODUCT(('PM Plan'!$A$5:$A$304=B293)*('PM Plan'!$B$5:$B$304=C293))=0,"No matching asset + task in plan","OK")))</f>
        <v/>
      </c>
    </row>
    <row r="294" customFormat="false" ht="15" hidden="false" customHeight="false" outlineLevel="0" collapsed="false">
      <c r="A294" s="14"/>
      <c r="B294" s="9"/>
      <c r="C294" s="9"/>
      <c r="D294" s="9"/>
      <c r="E294" s="9"/>
      <c r="F294" s="17" t="str">
        <f aca="false">IF(AND(A294="",B294="",C294=""),"",IF(NOT(ISNUMBER(A294)),"Enter the date done",IF(SUMPRODUCT(('PM Plan'!$A$5:$A$304=B294)*('PM Plan'!$B$5:$B$304=C294))=0,"No matching asset + task in plan","OK")))</f>
        <v/>
      </c>
    </row>
    <row r="295" customFormat="false" ht="15" hidden="false" customHeight="false" outlineLevel="0" collapsed="false">
      <c r="A295" s="14"/>
      <c r="B295" s="9"/>
      <c r="C295" s="9"/>
      <c r="D295" s="9"/>
      <c r="E295" s="9"/>
      <c r="F295" s="17" t="str">
        <f aca="false">IF(AND(A295="",B295="",C295=""),"",IF(NOT(ISNUMBER(A295)),"Enter the date done",IF(SUMPRODUCT(('PM Plan'!$A$5:$A$304=B295)*('PM Plan'!$B$5:$B$304=C295))=0,"No matching asset + task in plan","OK")))</f>
        <v/>
      </c>
    </row>
    <row r="296" customFormat="false" ht="15" hidden="false" customHeight="false" outlineLevel="0" collapsed="false">
      <c r="A296" s="14"/>
      <c r="B296" s="9"/>
      <c r="C296" s="9"/>
      <c r="D296" s="9"/>
      <c r="E296" s="9"/>
      <c r="F296" s="17" t="str">
        <f aca="false">IF(AND(A296="",B296="",C296=""),"",IF(NOT(ISNUMBER(A296)),"Enter the date done",IF(SUMPRODUCT(('PM Plan'!$A$5:$A$304=B296)*('PM Plan'!$B$5:$B$304=C296))=0,"No matching asset + task in plan","OK")))</f>
        <v/>
      </c>
    </row>
    <row r="297" customFormat="false" ht="15" hidden="false" customHeight="false" outlineLevel="0" collapsed="false">
      <c r="A297" s="14"/>
      <c r="B297" s="9"/>
      <c r="C297" s="9"/>
      <c r="D297" s="9"/>
      <c r="E297" s="9"/>
      <c r="F297" s="17" t="str">
        <f aca="false">IF(AND(A297="",B297="",C297=""),"",IF(NOT(ISNUMBER(A297)),"Enter the date done",IF(SUMPRODUCT(('PM Plan'!$A$5:$A$304=B297)*('PM Plan'!$B$5:$B$304=C297))=0,"No matching asset + task in plan","OK")))</f>
        <v/>
      </c>
    </row>
    <row r="298" customFormat="false" ht="15" hidden="false" customHeight="false" outlineLevel="0" collapsed="false">
      <c r="A298" s="14"/>
      <c r="B298" s="9"/>
      <c r="C298" s="9"/>
      <c r="D298" s="9"/>
      <c r="E298" s="9"/>
      <c r="F298" s="17" t="str">
        <f aca="false">IF(AND(A298="",B298="",C298=""),"",IF(NOT(ISNUMBER(A298)),"Enter the date done",IF(SUMPRODUCT(('PM Plan'!$A$5:$A$304=B298)*('PM Plan'!$B$5:$B$304=C298))=0,"No matching asset + task in plan","OK")))</f>
        <v/>
      </c>
    </row>
    <row r="299" customFormat="false" ht="15" hidden="false" customHeight="false" outlineLevel="0" collapsed="false">
      <c r="A299" s="14"/>
      <c r="B299" s="9"/>
      <c r="C299" s="9"/>
      <c r="D299" s="9"/>
      <c r="E299" s="9"/>
      <c r="F299" s="17" t="str">
        <f aca="false">IF(AND(A299="",B299="",C299=""),"",IF(NOT(ISNUMBER(A299)),"Enter the date done",IF(SUMPRODUCT(('PM Plan'!$A$5:$A$304=B299)*('PM Plan'!$B$5:$B$304=C299))=0,"No matching asset + task in plan","OK")))</f>
        <v/>
      </c>
    </row>
    <row r="300" customFormat="false" ht="15" hidden="false" customHeight="false" outlineLevel="0" collapsed="false">
      <c r="A300" s="14"/>
      <c r="B300" s="9"/>
      <c r="C300" s="9"/>
      <c r="D300" s="9"/>
      <c r="E300" s="9"/>
      <c r="F300" s="17" t="str">
        <f aca="false">IF(AND(A300="",B300="",C300=""),"",IF(NOT(ISNUMBER(A300)),"Enter the date done",IF(SUMPRODUCT(('PM Plan'!$A$5:$A$304=B300)*('PM Plan'!$B$5:$B$304=C300))=0,"No matching asset + task in plan","OK")))</f>
        <v/>
      </c>
    </row>
    <row r="301" customFormat="false" ht="15" hidden="false" customHeight="false" outlineLevel="0" collapsed="false">
      <c r="A301" s="14"/>
      <c r="B301" s="9"/>
      <c r="C301" s="9"/>
      <c r="D301" s="9"/>
      <c r="E301" s="9"/>
      <c r="F301" s="17" t="str">
        <f aca="false">IF(AND(A301="",B301="",C301=""),"",IF(NOT(ISNUMBER(A301)),"Enter the date done",IF(SUMPRODUCT(('PM Plan'!$A$5:$A$304=B301)*('PM Plan'!$B$5:$B$304=C301))=0,"No matching asset + task in plan","OK")))</f>
        <v/>
      </c>
    </row>
    <row r="302" customFormat="false" ht="15" hidden="false" customHeight="false" outlineLevel="0" collapsed="false">
      <c r="A302" s="14"/>
      <c r="B302" s="9"/>
      <c r="C302" s="9"/>
      <c r="D302" s="9"/>
      <c r="E302" s="9"/>
      <c r="F302" s="17" t="str">
        <f aca="false">IF(AND(A302="",B302="",C302=""),"",IF(NOT(ISNUMBER(A302)),"Enter the date done",IF(SUMPRODUCT(('PM Plan'!$A$5:$A$304=B302)*('PM Plan'!$B$5:$B$304=C302))=0,"No matching asset + task in plan","OK")))</f>
        <v/>
      </c>
    </row>
    <row r="303" customFormat="false" ht="15" hidden="false" customHeight="false" outlineLevel="0" collapsed="false">
      <c r="A303" s="14"/>
      <c r="B303" s="9"/>
      <c r="C303" s="9"/>
      <c r="D303" s="9"/>
      <c r="E303" s="9"/>
      <c r="F303" s="17" t="str">
        <f aca="false">IF(AND(A303="",B303="",C303=""),"",IF(NOT(ISNUMBER(A303)),"Enter the date done",IF(SUMPRODUCT(('PM Plan'!$A$5:$A$304=B303)*('PM Plan'!$B$5:$B$304=C303))=0,"No matching asset + task in plan","OK")))</f>
        <v/>
      </c>
    </row>
    <row r="304" customFormat="false" ht="15" hidden="false" customHeight="false" outlineLevel="0" collapsed="false">
      <c r="A304" s="14"/>
      <c r="B304" s="9"/>
      <c r="C304" s="9"/>
      <c r="D304" s="9"/>
      <c r="E304" s="9"/>
      <c r="F304" s="17" t="str">
        <f aca="false">IF(AND(A304="",B304="",C304=""),"",IF(NOT(ISNUMBER(A304)),"Enter the date done",IF(SUMPRODUCT(('PM Plan'!$A$5:$A$304=B304)*('PM Plan'!$B$5:$B$304=C304))=0,"No matching asset + task in plan","OK")))</f>
        <v/>
      </c>
    </row>
    <row r="305" customFormat="false" ht="15" hidden="false" customHeight="false" outlineLevel="0" collapsed="false">
      <c r="A305" s="14"/>
      <c r="B305" s="9"/>
      <c r="C305" s="9"/>
      <c r="D305" s="9"/>
      <c r="E305" s="9"/>
      <c r="F305" s="17" t="str">
        <f aca="false">IF(AND(A305="",B305="",C305=""),"",IF(NOT(ISNUMBER(A305)),"Enter the date done",IF(SUMPRODUCT(('PM Plan'!$A$5:$A$304=B305)*('PM Plan'!$B$5:$B$304=C305))=0,"No matching asset + task in plan","OK")))</f>
        <v/>
      </c>
    </row>
    <row r="306" customFormat="false" ht="15" hidden="false" customHeight="false" outlineLevel="0" collapsed="false">
      <c r="A306" s="14"/>
      <c r="B306" s="9"/>
      <c r="C306" s="9"/>
      <c r="D306" s="9"/>
      <c r="E306" s="9"/>
      <c r="F306" s="17" t="str">
        <f aca="false">IF(AND(A306="",B306="",C306=""),"",IF(NOT(ISNUMBER(A306)),"Enter the date done",IF(SUMPRODUCT(('PM Plan'!$A$5:$A$304=B306)*('PM Plan'!$B$5:$B$304=C306))=0,"No matching asset + task in plan","OK")))</f>
        <v/>
      </c>
    </row>
    <row r="307" customFormat="false" ht="15" hidden="false" customHeight="false" outlineLevel="0" collapsed="false">
      <c r="A307" s="14"/>
      <c r="B307" s="9"/>
      <c r="C307" s="9"/>
      <c r="D307" s="9"/>
      <c r="E307" s="9"/>
      <c r="F307" s="17" t="str">
        <f aca="false">IF(AND(A307="",B307="",C307=""),"",IF(NOT(ISNUMBER(A307)),"Enter the date done",IF(SUMPRODUCT(('PM Plan'!$A$5:$A$304=B307)*('PM Plan'!$B$5:$B$304=C307))=0,"No matching asset + task in plan","OK")))</f>
        <v/>
      </c>
    </row>
    <row r="308" customFormat="false" ht="15" hidden="false" customHeight="false" outlineLevel="0" collapsed="false">
      <c r="A308" s="14"/>
      <c r="B308" s="9"/>
      <c r="C308" s="9"/>
      <c r="D308" s="9"/>
      <c r="E308" s="9"/>
      <c r="F308" s="17" t="str">
        <f aca="false">IF(AND(A308="",B308="",C308=""),"",IF(NOT(ISNUMBER(A308)),"Enter the date done",IF(SUMPRODUCT(('PM Plan'!$A$5:$A$304=B308)*('PM Plan'!$B$5:$B$304=C308))=0,"No matching asset + task in plan","OK")))</f>
        <v/>
      </c>
    </row>
    <row r="309" customFormat="false" ht="15" hidden="false" customHeight="false" outlineLevel="0" collapsed="false">
      <c r="A309" s="14"/>
      <c r="B309" s="9"/>
      <c r="C309" s="9"/>
      <c r="D309" s="9"/>
      <c r="E309" s="9"/>
      <c r="F309" s="17" t="str">
        <f aca="false">IF(AND(A309="",B309="",C309=""),"",IF(NOT(ISNUMBER(A309)),"Enter the date done",IF(SUMPRODUCT(('PM Plan'!$A$5:$A$304=B309)*('PM Plan'!$B$5:$B$304=C309))=0,"No matching asset + task in plan","OK")))</f>
        <v/>
      </c>
    </row>
    <row r="310" customFormat="false" ht="15" hidden="false" customHeight="false" outlineLevel="0" collapsed="false">
      <c r="A310" s="14"/>
      <c r="B310" s="9"/>
      <c r="C310" s="9"/>
      <c r="D310" s="9"/>
      <c r="E310" s="9"/>
      <c r="F310" s="17" t="str">
        <f aca="false">IF(AND(A310="",B310="",C310=""),"",IF(NOT(ISNUMBER(A310)),"Enter the date done",IF(SUMPRODUCT(('PM Plan'!$A$5:$A$304=B310)*('PM Plan'!$B$5:$B$304=C310))=0,"No matching asset + task in plan","OK")))</f>
        <v/>
      </c>
    </row>
    <row r="311" customFormat="false" ht="15" hidden="false" customHeight="false" outlineLevel="0" collapsed="false">
      <c r="A311" s="14"/>
      <c r="B311" s="9"/>
      <c r="C311" s="9"/>
      <c r="D311" s="9"/>
      <c r="E311" s="9"/>
      <c r="F311" s="17" t="str">
        <f aca="false">IF(AND(A311="",B311="",C311=""),"",IF(NOT(ISNUMBER(A311)),"Enter the date done",IF(SUMPRODUCT(('PM Plan'!$A$5:$A$304=B311)*('PM Plan'!$B$5:$B$304=C311))=0,"No matching asset + task in plan","OK")))</f>
        <v/>
      </c>
    </row>
    <row r="312" customFormat="false" ht="15" hidden="false" customHeight="false" outlineLevel="0" collapsed="false">
      <c r="A312" s="14"/>
      <c r="B312" s="9"/>
      <c r="C312" s="9"/>
      <c r="D312" s="9"/>
      <c r="E312" s="9"/>
      <c r="F312" s="17" t="str">
        <f aca="false">IF(AND(A312="",B312="",C312=""),"",IF(NOT(ISNUMBER(A312)),"Enter the date done",IF(SUMPRODUCT(('PM Plan'!$A$5:$A$304=B312)*('PM Plan'!$B$5:$B$304=C312))=0,"No matching asset + task in plan","OK")))</f>
        <v/>
      </c>
    </row>
    <row r="313" customFormat="false" ht="15" hidden="false" customHeight="false" outlineLevel="0" collapsed="false">
      <c r="A313" s="14"/>
      <c r="B313" s="9"/>
      <c r="C313" s="9"/>
      <c r="D313" s="9"/>
      <c r="E313" s="9"/>
      <c r="F313" s="17" t="str">
        <f aca="false">IF(AND(A313="",B313="",C313=""),"",IF(NOT(ISNUMBER(A313)),"Enter the date done",IF(SUMPRODUCT(('PM Plan'!$A$5:$A$304=B313)*('PM Plan'!$B$5:$B$304=C313))=0,"No matching asset + task in plan","OK")))</f>
        <v/>
      </c>
    </row>
    <row r="314" customFormat="false" ht="15" hidden="false" customHeight="false" outlineLevel="0" collapsed="false">
      <c r="A314" s="14"/>
      <c r="B314" s="9"/>
      <c r="C314" s="9"/>
      <c r="D314" s="9"/>
      <c r="E314" s="9"/>
      <c r="F314" s="17" t="str">
        <f aca="false">IF(AND(A314="",B314="",C314=""),"",IF(NOT(ISNUMBER(A314)),"Enter the date done",IF(SUMPRODUCT(('PM Plan'!$A$5:$A$304=B314)*('PM Plan'!$B$5:$B$304=C314))=0,"No matching asset + task in plan","OK")))</f>
        <v/>
      </c>
    </row>
    <row r="315" customFormat="false" ht="15" hidden="false" customHeight="false" outlineLevel="0" collapsed="false">
      <c r="A315" s="14"/>
      <c r="B315" s="9"/>
      <c r="C315" s="9"/>
      <c r="D315" s="9"/>
      <c r="E315" s="9"/>
      <c r="F315" s="17" t="str">
        <f aca="false">IF(AND(A315="",B315="",C315=""),"",IF(NOT(ISNUMBER(A315)),"Enter the date done",IF(SUMPRODUCT(('PM Plan'!$A$5:$A$304=B315)*('PM Plan'!$B$5:$B$304=C315))=0,"No matching asset + task in plan","OK")))</f>
        <v/>
      </c>
    </row>
    <row r="316" customFormat="false" ht="15" hidden="false" customHeight="false" outlineLevel="0" collapsed="false">
      <c r="A316" s="14"/>
      <c r="B316" s="9"/>
      <c r="C316" s="9"/>
      <c r="D316" s="9"/>
      <c r="E316" s="9"/>
      <c r="F316" s="17" t="str">
        <f aca="false">IF(AND(A316="",B316="",C316=""),"",IF(NOT(ISNUMBER(A316)),"Enter the date done",IF(SUMPRODUCT(('PM Plan'!$A$5:$A$304=B316)*('PM Plan'!$B$5:$B$304=C316))=0,"No matching asset + task in plan","OK")))</f>
        <v/>
      </c>
    </row>
    <row r="317" customFormat="false" ht="15" hidden="false" customHeight="false" outlineLevel="0" collapsed="false">
      <c r="A317" s="14"/>
      <c r="B317" s="9"/>
      <c r="C317" s="9"/>
      <c r="D317" s="9"/>
      <c r="E317" s="9"/>
      <c r="F317" s="17" t="str">
        <f aca="false">IF(AND(A317="",B317="",C317=""),"",IF(NOT(ISNUMBER(A317)),"Enter the date done",IF(SUMPRODUCT(('PM Plan'!$A$5:$A$304=B317)*('PM Plan'!$B$5:$B$304=C317))=0,"No matching asset + task in plan","OK")))</f>
        <v/>
      </c>
    </row>
    <row r="318" customFormat="false" ht="15" hidden="false" customHeight="false" outlineLevel="0" collapsed="false">
      <c r="A318" s="14"/>
      <c r="B318" s="9"/>
      <c r="C318" s="9"/>
      <c r="D318" s="9"/>
      <c r="E318" s="9"/>
      <c r="F318" s="17" t="str">
        <f aca="false">IF(AND(A318="",B318="",C318=""),"",IF(NOT(ISNUMBER(A318)),"Enter the date done",IF(SUMPRODUCT(('PM Plan'!$A$5:$A$304=B318)*('PM Plan'!$B$5:$B$304=C318))=0,"No matching asset + task in plan","OK")))</f>
        <v/>
      </c>
    </row>
    <row r="319" customFormat="false" ht="15" hidden="false" customHeight="false" outlineLevel="0" collapsed="false">
      <c r="A319" s="14"/>
      <c r="B319" s="9"/>
      <c r="C319" s="9"/>
      <c r="D319" s="9"/>
      <c r="E319" s="9"/>
      <c r="F319" s="17" t="str">
        <f aca="false">IF(AND(A319="",B319="",C319=""),"",IF(NOT(ISNUMBER(A319)),"Enter the date done",IF(SUMPRODUCT(('PM Plan'!$A$5:$A$304=B319)*('PM Plan'!$B$5:$B$304=C319))=0,"No matching asset + task in plan","OK")))</f>
        <v/>
      </c>
    </row>
    <row r="320" customFormat="false" ht="15" hidden="false" customHeight="false" outlineLevel="0" collapsed="false">
      <c r="A320" s="14"/>
      <c r="B320" s="9"/>
      <c r="C320" s="9"/>
      <c r="D320" s="9"/>
      <c r="E320" s="9"/>
      <c r="F320" s="17" t="str">
        <f aca="false">IF(AND(A320="",B320="",C320=""),"",IF(NOT(ISNUMBER(A320)),"Enter the date done",IF(SUMPRODUCT(('PM Plan'!$A$5:$A$304=B320)*('PM Plan'!$B$5:$B$304=C320))=0,"No matching asset + task in plan","OK")))</f>
        <v/>
      </c>
    </row>
    <row r="321" customFormat="false" ht="15" hidden="false" customHeight="false" outlineLevel="0" collapsed="false">
      <c r="A321" s="14"/>
      <c r="B321" s="9"/>
      <c r="C321" s="9"/>
      <c r="D321" s="9"/>
      <c r="E321" s="9"/>
      <c r="F321" s="17" t="str">
        <f aca="false">IF(AND(A321="",B321="",C321=""),"",IF(NOT(ISNUMBER(A321)),"Enter the date done",IF(SUMPRODUCT(('PM Plan'!$A$5:$A$304=B321)*('PM Plan'!$B$5:$B$304=C321))=0,"No matching asset + task in plan","OK")))</f>
        <v/>
      </c>
    </row>
    <row r="322" customFormat="false" ht="15" hidden="false" customHeight="false" outlineLevel="0" collapsed="false">
      <c r="A322" s="14"/>
      <c r="B322" s="9"/>
      <c r="C322" s="9"/>
      <c r="D322" s="9"/>
      <c r="E322" s="9"/>
      <c r="F322" s="17" t="str">
        <f aca="false">IF(AND(A322="",B322="",C322=""),"",IF(NOT(ISNUMBER(A322)),"Enter the date done",IF(SUMPRODUCT(('PM Plan'!$A$5:$A$304=B322)*('PM Plan'!$B$5:$B$304=C322))=0,"No matching asset + task in plan","OK")))</f>
        <v/>
      </c>
    </row>
    <row r="323" customFormat="false" ht="15" hidden="false" customHeight="false" outlineLevel="0" collapsed="false">
      <c r="A323" s="14"/>
      <c r="B323" s="9"/>
      <c r="C323" s="9"/>
      <c r="D323" s="9"/>
      <c r="E323" s="9"/>
      <c r="F323" s="17" t="str">
        <f aca="false">IF(AND(A323="",B323="",C323=""),"",IF(NOT(ISNUMBER(A323)),"Enter the date done",IF(SUMPRODUCT(('PM Plan'!$A$5:$A$304=B323)*('PM Plan'!$B$5:$B$304=C323))=0,"No matching asset + task in plan","OK")))</f>
        <v/>
      </c>
    </row>
    <row r="324" customFormat="false" ht="15" hidden="false" customHeight="false" outlineLevel="0" collapsed="false">
      <c r="A324" s="14"/>
      <c r="B324" s="9"/>
      <c r="C324" s="9"/>
      <c r="D324" s="9"/>
      <c r="E324" s="9"/>
      <c r="F324" s="17" t="str">
        <f aca="false">IF(AND(A324="",B324="",C324=""),"",IF(NOT(ISNUMBER(A324)),"Enter the date done",IF(SUMPRODUCT(('PM Plan'!$A$5:$A$304=B324)*('PM Plan'!$B$5:$B$304=C324))=0,"No matching asset + task in plan","OK")))</f>
        <v/>
      </c>
    </row>
    <row r="325" customFormat="false" ht="15" hidden="false" customHeight="false" outlineLevel="0" collapsed="false">
      <c r="A325" s="14"/>
      <c r="B325" s="9"/>
      <c r="C325" s="9"/>
      <c r="D325" s="9"/>
      <c r="E325" s="9"/>
      <c r="F325" s="17" t="str">
        <f aca="false">IF(AND(A325="",B325="",C325=""),"",IF(NOT(ISNUMBER(A325)),"Enter the date done",IF(SUMPRODUCT(('PM Plan'!$A$5:$A$304=B325)*('PM Plan'!$B$5:$B$304=C325))=0,"No matching asset + task in plan","OK")))</f>
        <v/>
      </c>
    </row>
    <row r="326" customFormat="false" ht="15" hidden="false" customHeight="false" outlineLevel="0" collapsed="false">
      <c r="A326" s="14"/>
      <c r="B326" s="9"/>
      <c r="C326" s="9"/>
      <c r="D326" s="9"/>
      <c r="E326" s="9"/>
      <c r="F326" s="17" t="str">
        <f aca="false">IF(AND(A326="",B326="",C326=""),"",IF(NOT(ISNUMBER(A326)),"Enter the date done",IF(SUMPRODUCT(('PM Plan'!$A$5:$A$304=B326)*('PM Plan'!$B$5:$B$304=C326))=0,"No matching asset + task in plan","OK")))</f>
        <v/>
      </c>
    </row>
    <row r="327" customFormat="false" ht="15" hidden="false" customHeight="false" outlineLevel="0" collapsed="false">
      <c r="A327" s="14"/>
      <c r="B327" s="9"/>
      <c r="C327" s="9"/>
      <c r="D327" s="9"/>
      <c r="E327" s="9"/>
      <c r="F327" s="17" t="str">
        <f aca="false">IF(AND(A327="",B327="",C327=""),"",IF(NOT(ISNUMBER(A327)),"Enter the date done",IF(SUMPRODUCT(('PM Plan'!$A$5:$A$304=B327)*('PM Plan'!$B$5:$B$304=C327))=0,"No matching asset + task in plan","OK")))</f>
        <v/>
      </c>
    </row>
    <row r="328" customFormat="false" ht="15" hidden="false" customHeight="false" outlineLevel="0" collapsed="false">
      <c r="A328" s="14"/>
      <c r="B328" s="9"/>
      <c r="C328" s="9"/>
      <c r="D328" s="9"/>
      <c r="E328" s="9"/>
      <c r="F328" s="17" t="str">
        <f aca="false">IF(AND(A328="",B328="",C328=""),"",IF(NOT(ISNUMBER(A328)),"Enter the date done",IF(SUMPRODUCT(('PM Plan'!$A$5:$A$304=B328)*('PM Plan'!$B$5:$B$304=C328))=0,"No matching asset + task in plan","OK")))</f>
        <v/>
      </c>
    </row>
    <row r="329" customFormat="false" ht="15" hidden="false" customHeight="false" outlineLevel="0" collapsed="false">
      <c r="A329" s="14"/>
      <c r="B329" s="9"/>
      <c r="C329" s="9"/>
      <c r="D329" s="9"/>
      <c r="E329" s="9"/>
      <c r="F329" s="17" t="str">
        <f aca="false">IF(AND(A329="",B329="",C329=""),"",IF(NOT(ISNUMBER(A329)),"Enter the date done",IF(SUMPRODUCT(('PM Plan'!$A$5:$A$304=B329)*('PM Plan'!$B$5:$B$304=C329))=0,"No matching asset + task in plan","OK")))</f>
        <v/>
      </c>
    </row>
    <row r="330" customFormat="false" ht="15" hidden="false" customHeight="false" outlineLevel="0" collapsed="false">
      <c r="A330" s="14"/>
      <c r="B330" s="9"/>
      <c r="C330" s="9"/>
      <c r="D330" s="9"/>
      <c r="E330" s="9"/>
      <c r="F330" s="17" t="str">
        <f aca="false">IF(AND(A330="",B330="",C330=""),"",IF(NOT(ISNUMBER(A330)),"Enter the date done",IF(SUMPRODUCT(('PM Plan'!$A$5:$A$304=B330)*('PM Plan'!$B$5:$B$304=C330))=0,"No matching asset + task in plan","OK")))</f>
        <v/>
      </c>
    </row>
    <row r="331" customFormat="false" ht="15" hidden="false" customHeight="false" outlineLevel="0" collapsed="false">
      <c r="A331" s="14"/>
      <c r="B331" s="9"/>
      <c r="C331" s="9"/>
      <c r="D331" s="9"/>
      <c r="E331" s="9"/>
      <c r="F331" s="17" t="str">
        <f aca="false">IF(AND(A331="",B331="",C331=""),"",IF(NOT(ISNUMBER(A331)),"Enter the date done",IF(SUMPRODUCT(('PM Plan'!$A$5:$A$304=B331)*('PM Plan'!$B$5:$B$304=C331))=0,"No matching asset + task in plan","OK")))</f>
        <v/>
      </c>
    </row>
    <row r="332" customFormat="false" ht="15" hidden="false" customHeight="false" outlineLevel="0" collapsed="false">
      <c r="A332" s="14"/>
      <c r="B332" s="9"/>
      <c r="C332" s="9"/>
      <c r="D332" s="9"/>
      <c r="E332" s="9"/>
      <c r="F332" s="17" t="str">
        <f aca="false">IF(AND(A332="",B332="",C332=""),"",IF(NOT(ISNUMBER(A332)),"Enter the date done",IF(SUMPRODUCT(('PM Plan'!$A$5:$A$304=B332)*('PM Plan'!$B$5:$B$304=C332))=0,"No matching asset + task in plan","OK")))</f>
        <v/>
      </c>
    </row>
    <row r="333" customFormat="false" ht="15" hidden="false" customHeight="false" outlineLevel="0" collapsed="false">
      <c r="A333" s="14"/>
      <c r="B333" s="9"/>
      <c r="C333" s="9"/>
      <c r="D333" s="9"/>
      <c r="E333" s="9"/>
      <c r="F333" s="17" t="str">
        <f aca="false">IF(AND(A333="",B333="",C333=""),"",IF(NOT(ISNUMBER(A333)),"Enter the date done",IF(SUMPRODUCT(('PM Plan'!$A$5:$A$304=B333)*('PM Plan'!$B$5:$B$304=C333))=0,"No matching asset + task in plan","OK")))</f>
        <v/>
      </c>
    </row>
    <row r="334" customFormat="false" ht="15" hidden="false" customHeight="false" outlineLevel="0" collapsed="false">
      <c r="A334" s="14"/>
      <c r="B334" s="9"/>
      <c r="C334" s="9"/>
      <c r="D334" s="9"/>
      <c r="E334" s="9"/>
      <c r="F334" s="17" t="str">
        <f aca="false">IF(AND(A334="",B334="",C334=""),"",IF(NOT(ISNUMBER(A334)),"Enter the date done",IF(SUMPRODUCT(('PM Plan'!$A$5:$A$304=B334)*('PM Plan'!$B$5:$B$304=C334))=0,"No matching asset + task in plan","OK")))</f>
        <v/>
      </c>
    </row>
    <row r="335" customFormat="false" ht="15" hidden="false" customHeight="false" outlineLevel="0" collapsed="false">
      <c r="A335" s="14"/>
      <c r="B335" s="9"/>
      <c r="C335" s="9"/>
      <c r="D335" s="9"/>
      <c r="E335" s="9"/>
      <c r="F335" s="17" t="str">
        <f aca="false">IF(AND(A335="",B335="",C335=""),"",IF(NOT(ISNUMBER(A335)),"Enter the date done",IF(SUMPRODUCT(('PM Plan'!$A$5:$A$304=B335)*('PM Plan'!$B$5:$B$304=C335))=0,"No matching asset + task in plan","OK")))</f>
        <v/>
      </c>
    </row>
    <row r="336" customFormat="false" ht="15" hidden="false" customHeight="false" outlineLevel="0" collapsed="false">
      <c r="A336" s="14"/>
      <c r="B336" s="9"/>
      <c r="C336" s="9"/>
      <c r="D336" s="9"/>
      <c r="E336" s="9"/>
      <c r="F336" s="17" t="str">
        <f aca="false">IF(AND(A336="",B336="",C336=""),"",IF(NOT(ISNUMBER(A336)),"Enter the date done",IF(SUMPRODUCT(('PM Plan'!$A$5:$A$304=B336)*('PM Plan'!$B$5:$B$304=C336))=0,"No matching asset + task in plan","OK")))</f>
        <v/>
      </c>
    </row>
    <row r="337" customFormat="false" ht="15" hidden="false" customHeight="false" outlineLevel="0" collapsed="false">
      <c r="A337" s="14"/>
      <c r="B337" s="9"/>
      <c r="C337" s="9"/>
      <c r="D337" s="9"/>
      <c r="E337" s="9"/>
      <c r="F337" s="17" t="str">
        <f aca="false">IF(AND(A337="",B337="",C337=""),"",IF(NOT(ISNUMBER(A337)),"Enter the date done",IF(SUMPRODUCT(('PM Plan'!$A$5:$A$304=B337)*('PM Plan'!$B$5:$B$304=C337))=0,"No matching asset + task in plan","OK")))</f>
        <v/>
      </c>
    </row>
    <row r="338" customFormat="false" ht="15" hidden="false" customHeight="false" outlineLevel="0" collapsed="false">
      <c r="A338" s="14"/>
      <c r="B338" s="9"/>
      <c r="C338" s="9"/>
      <c r="D338" s="9"/>
      <c r="E338" s="9"/>
      <c r="F338" s="17" t="str">
        <f aca="false">IF(AND(A338="",B338="",C338=""),"",IF(NOT(ISNUMBER(A338)),"Enter the date done",IF(SUMPRODUCT(('PM Plan'!$A$5:$A$304=B338)*('PM Plan'!$B$5:$B$304=C338))=0,"No matching asset + task in plan","OK")))</f>
        <v/>
      </c>
    </row>
    <row r="339" customFormat="false" ht="15" hidden="false" customHeight="false" outlineLevel="0" collapsed="false">
      <c r="A339" s="14"/>
      <c r="B339" s="9"/>
      <c r="C339" s="9"/>
      <c r="D339" s="9"/>
      <c r="E339" s="9"/>
      <c r="F339" s="17" t="str">
        <f aca="false">IF(AND(A339="",B339="",C339=""),"",IF(NOT(ISNUMBER(A339)),"Enter the date done",IF(SUMPRODUCT(('PM Plan'!$A$5:$A$304=B339)*('PM Plan'!$B$5:$B$304=C339))=0,"No matching asset + task in plan","OK")))</f>
        <v/>
      </c>
    </row>
    <row r="340" customFormat="false" ht="15" hidden="false" customHeight="false" outlineLevel="0" collapsed="false">
      <c r="A340" s="14"/>
      <c r="B340" s="9"/>
      <c r="C340" s="9"/>
      <c r="D340" s="9"/>
      <c r="E340" s="9"/>
      <c r="F340" s="17" t="str">
        <f aca="false">IF(AND(A340="",B340="",C340=""),"",IF(NOT(ISNUMBER(A340)),"Enter the date done",IF(SUMPRODUCT(('PM Plan'!$A$5:$A$304=B340)*('PM Plan'!$B$5:$B$304=C340))=0,"No matching asset + task in plan","OK")))</f>
        <v/>
      </c>
    </row>
    <row r="341" customFormat="false" ht="15" hidden="false" customHeight="false" outlineLevel="0" collapsed="false">
      <c r="A341" s="14"/>
      <c r="B341" s="9"/>
      <c r="C341" s="9"/>
      <c r="D341" s="9"/>
      <c r="E341" s="9"/>
      <c r="F341" s="17" t="str">
        <f aca="false">IF(AND(A341="",B341="",C341=""),"",IF(NOT(ISNUMBER(A341)),"Enter the date done",IF(SUMPRODUCT(('PM Plan'!$A$5:$A$304=B341)*('PM Plan'!$B$5:$B$304=C341))=0,"No matching asset + task in plan","OK")))</f>
        <v/>
      </c>
    </row>
    <row r="342" customFormat="false" ht="15" hidden="false" customHeight="false" outlineLevel="0" collapsed="false">
      <c r="A342" s="14"/>
      <c r="B342" s="9"/>
      <c r="C342" s="9"/>
      <c r="D342" s="9"/>
      <c r="E342" s="9"/>
      <c r="F342" s="17" t="str">
        <f aca="false">IF(AND(A342="",B342="",C342=""),"",IF(NOT(ISNUMBER(A342)),"Enter the date done",IF(SUMPRODUCT(('PM Plan'!$A$5:$A$304=B342)*('PM Plan'!$B$5:$B$304=C342))=0,"No matching asset + task in plan","OK")))</f>
        <v/>
      </c>
    </row>
    <row r="343" customFormat="false" ht="15" hidden="false" customHeight="false" outlineLevel="0" collapsed="false">
      <c r="A343" s="14"/>
      <c r="B343" s="9"/>
      <c r="C343" s="9"/>
      <c r="D343" s="9"/>
      <c r="E343" s="9"/>
      <c r="F343" s="17" t="str">
        <f aca="false">IF(AND(A343="",B343="",C343=""),"",IF(NOT(ISNUMBER(A343)),"Enter the date done",IF(SUMPRODUCT(('PM Plan'!$A$5:$A$304=B343)*('PM Plan'!$B$5:$B$304=C343))=0,"No matching asset + task in plan","OK")))</f>
        <v/>
      </c>
    </row>
    <row r="344" customFormat="false" ht="15" hidden="false" customHeight="false" outlineLevel="0" collapsed="false">
      <c r="A344" s="14"/>
      <c r="B344" s="9"/>
      <c r="C344" s="9"/>
      <c r="D344" s="9"/>
      <c r="E344" s="9"/>
      <c r="F344" s="17" t="str">
        <f aca="false">IF(AND(A344="",B344="",C344=""),"",IF(NOT(ISNUMBER(A344)),"Enter the date done",IF(SUMPRODUCT(('PM Plan'!$A$5:$A$304=B344)*('PM Plan'!$B$5:$B$304=C344))=0,"No matching asset + task in plan","OK")))</f>
        <v/>
      </c>
    </row>
    <row r="345" customFormat="false" ht="15" hidden="false" customHeight="false" outlineLevel="0" collapsed="false">
      <c r="A345" s="14"/>
      <c r="B345" s="9"/>
      <c r="C345" s="9"/>
      <c r="D345" s="9"/>
      <c r="E345" s="9"/>
      <c r="F345" s="17" t="str">
        <f aca="false">IF(AND(A345="",B345="",C345=""),"",IF(NOT(ISNUMBER(A345)),"Enter the date done",IF(SUMPRODUCT(('PM Plan'!$A$5:$A$304=B345)*('PM Plan'!$B$5:$B$304=C345))=0,"No matching asset + task in plan","OK")))</f>
        <v/>
      </c>
    </row>
    <row r="346" customFormat="false" ht="15" hidden="false" customHeight="false" outlineLevel="0" collapsed="false">
      <c r="A346" s="14"/>
      <c r="B346" s="9"/>
      <c r="C346" s="9"/>
      <c r="D346" s="9"/>
      <c r="E346" s="9"/>
      <c r="F346" s="17" t="str">
        <f aca="false">IF(AND(A346="",B346="",C346=""),"",IF(NOT(ISNUMBER(A346)),"Enter the date done",IF(SUMPRODUCT(('PM Plan'!$A$5:$A$304=B346)*('PM Plan'!$B$5:$B$304=C346))=0,"No matching asset + task in plan","OK")))</f>
        <v/>
      </c>
    </row>
    <row r="347" customFormat="false" ht="15" hidden="false" customHeight="false" outlineLevel="0" collapsed="false">
      <c r="A347" s="14"/>
      <c r="B347" s="9"/>
      <c r="C347" s="9"/>
      <c r="D347" s="9"/>
      <c r="E347" s="9"/>
      <c r="F347" s="17" t="str">
        <f aca="false">IF(AND(A347="",B347="",C347=""),"",IF(NOT(ISNUMBER(A347)),"Enter the date done",IF(SUMPRODUCT(('PM Plan'!$A$5:$A$304=B347)*('PM Plan'!$B$5:$B$304=C347))=0,"No matching asset + task in plan","OK")))</f>
        <v/>
      </c>
    </row>
    <row r="348" customFormat="false" ht="15" hidden="false" customHeight="false" outlineLevel="0" collapsed="false">
      <c r="A348" s="14"/>
      <c r="B348" s="9"/>
      <c r="C348" s="9"/>
      <c r="D348" s="9"/>
      <c r="E348" s="9"/>
      <c r="F348" s="17" t="str">
        <f aca="false">IF(AND(A348="",B348="",C348=""),"",IF(NOT(ISNUMBER(A348)),"Enter the date done",IF(SUMPRODUCT(('PM Plan'!$A$5:$A$304=B348)*('PM Plan'!$B$5:$B$304=C348))=0,"No matching asset + task in plan","OK")))</f>
        <v/>
      </c>
    </row>
    <row r="349" customFormat="false" ht="15" hidden="false" customHeight="false" outlineLevel="0" collapsed="false">
      <c r="A349" s="14"/>
      <c r="B349" s="9"/>
      <c r="C349" s="9"/>
      <c r="D349" s="9"/>
      <c r="E349" s="9"/>
      <c r="F349" s="17" t="str">
        <f aca="false">IF(AND(A349="",B349="",C349=""),"",IF(NOT(ISNUMBER(A349)),"Enter the date done",IF(SUMPRODUCT(('PM Plan'!$A$5:$A$304=B349)*('PM Plan'!$B$5:$B$304=C349))=0,"No matching asset + task in plan","OK")))</f>
        <v/>
      </c>
    </row>
    <row r="350" customFormat="false" ht="15" hidden="false" customHeight="false" outlineLevel="0" collapsed="false">
      <c r="A350" s="14"/>
      <c r="B350" s="9"/>
      <c r="C350" s="9"/>
      <c r="D350" s="9"/>
      <c r="E350" s="9"/>
      <c r="F350" s="17" t="str">
        <f aca="false">IF(AND(A350="",B350="",C350=""),"",IF(NOT(ISNUMBER(A350)),"Enter the date done",IF(SUMPRODUCT(('PM Plan'!$A$5:$A$304=B350)*('PM Plan'!$B$5:$B$304=C350))=0,"No matching asset + task in plan","OK")))</f>
        <v/>
      </c>
    </row>
    <row r="351" customFormat="false" ht="15" hidden="false" customHeight="false" outlineLevel="0" collapsed="false">
      <c r="A351" s="14"/>
      <c r="B351" s="9"/>
      <c r="C351" s="9"/>
      <c r="D351" s="9"/>
      <c r="E351" s="9"/>
      <c r="F351" s="17" t="str">
        <f aca="false">IF(AND(A351="",B351="",C351=""),"",IF(NOT(ISNUMBER(A351)),"Enter the date done",IF(SUMPRODUCT(('PM Plan'!$A$5:$A$304=B351)*('PM Plan'!$B$5:$B$304=C351))=0,"No matching asset + task in plan","OK")))</f>
        <v/>
      </c>
    </row>
    <row r="352" customFormat="false" ht="15" hidden="false" customHeight="false" outlineLevel="0" collapsed="false">
      <c r="A352" s="14"/>
      <c r="B352" s="9"/>
      <c r="C352" s="9"/>
      <c r="D352" s="9"/>
      <c r="E352" s="9"/>
      <c r="F352" s="17" t="str">
        <f aca="false">IF(AND(A352="",B352="",C352=""),"",IF(NOT(ISNUMBER(A352)),"Enter the date done",IF(SUMPRODUCT(('PM Plan'!$A$5:$A$304=B352)*('PM Plan'!$B$5:$B$304=C352))=0,"No matching asset + task in plan","OK")))</f>
        <v/>
      </c>
    </row>
    <row r="353" customFormat="false" ht="15" hidden="false" customHeight="false" outlineLevel="0" collapsed="false">
      <c r="A353" s="14"/>
      <c r="B353" s="9"/>
      <c r="C353" s="9"/>
      <c r="D353" s="9"/>
      <c r="E353" s="9"/>
      <c r="F353" s="17" t="str">
        <f aca="false">IF(AND(A353="",B353="",C353=""),"",IF(NOT(ISNUMBER(A353)),"Enter the date done",IF(SUMPRODUCT(('PM Plan'!$A$5:$A$304=B353)*('PM Plan'!$B$5:$B$304=C353))=0,"No matching asset + task in plan","OK")))</f>
        <v/>
      </c>
    </row>
    <row r="354" customFormat="false" ht="15" hidden="false" customHeight="false" outlineLevel="0" collapsed="false">
      <c r="A354" s="14"/>
      <c r="B354" s="9"/>
      <c r="C354" s="9"/>
      <c r="D354" s="9"/>
      <c r="E354" s="9"/>
      <c r="F354" s="17" t="str">
        <f aca="false">IF(AND(A354="",B354="",C354=""),"",IF(NOT(ISNUMBER(A354)),"Enter the date done",IF(SUMPRODUCT(('PM Plan'!$A$5:$A$304=B354)*('PM Plan'!$B$5:$B$304=C354))=0,"No matching asset + task in plan","OK")))</f>
        <v/>
      </c>
    </row>
    <row r="355" customFormat="false" ht="15" hidden="false" customHeight="false" outlineLevel="0" collapsed="false">
      <c r="A355" s="14"/>
      <c r="B355" s="9"/>
      <c r="C355" s="9"/>
      <c r="D355" s="9"/>
      <c r="E355" s="9"/>
      <c r="F355" s="17" t="str">
        <f aca="false">IF(AND(A355="",B355="",C355=""),"",IF(NOT(ISNUMBER(A355)),"Enter the date done",IF(SUMPRODUCT(('PM Plan'!$A$5:$A$304=B355)*('PM Plan'!$B$5:$B$304=C355))=0,"No matching asset + task in plan","OK")))</f>
        <v/>
      </c>
    </row>
    <row r="356" customFormat="false" ht="15" hidden="false" customHeight="false" outlineLevel="0" collapsed="false">
      <c r="A356" s="14"/>
      <c r="B356" s="9"/>
      <c r="C356" s="9"/>
      <c r="D356" s="9"/>
      <c r="E356" s="9"/>
      <c r="F356" s="17" t="str">
        <f aca="false">IF(AND(A356="",B356="",C356=""),"",IF(NOT(ISNUMBER(A356)),"Enter the date done",IF(SUMPRODUCT(('PM Plan'!$A$5:$A$304=B356)*('PM Plan'!$B$5:$B$304=C356))=0,"No matching asset + task in plan","OK")))</f>
        <v/>
      </c>
    </row>
    <row r="357" customFormat="false" ht="15" hidden="false" customHeight="false" outlineLevel="0" collapsed="false">
      <c r="A357" s="14"/>
      <c r="B357" s="9"/>
      <c r="C357" s="9"/>
      <c r="D357" s="9"/>
      <c r="E357" s="9"/>
      <c r="F357" s="17" t="str">
        <f aca="false">IF(AND(A357="",B357="",C357=""),"",IF(NOT(ISNUMBER(A357)),"Enter the date done",IF(SUMPRODUCT(('PM Plan'!$A$5:$A$304=B357)*('PM Plan'!$B$5:$B$304=C357))=0,"No matching asset + task in plan","OK")))</f>
        <v/>
      </c>
    </row>
    <row r="358" customFormat="false" ht="15" hidden="false" customHeight="false" outlineLevel="0" collapsed="false">
      <c r="A358" s="14"/>
      <c r="B358" s="9"/>
      <c r="C358" s="9"/>
      <c r="D358" s="9"/>
      <c r="E358" s="9"/>
      <c r="F358" s="17" t="str">
        <f aca="false">IF(AND(A358="",B358="",C358=""),"",IF(NOT(ISNUMBER(A358)),"Enter the date done",IF(SUMPRODUCT(('PM Plan'!$A$5:$A$304=B358)*('PM Plan'!$B$5:$B$304=C358))=0,"No matching asset + task in plan","OK")))</f>
        <v/>
      </c>
    </row>
    <row r="359" customFormat="false" ht="15" hidden="false" customHeight="false" outlineLevel="0" collapsed="false">
      <c r="A359" s="14"/>
      <c r="B359" s="9"/>
      <c r="C359" s="9"/>
      <c r="D359" s="9"/>
      <c r="E359" s="9"/>
      <c r="F359" s="17" t="str">
        <f aca="false">IF(AND(A359="",B359="",C359=""),"",IF(NOT(ISNUMBER(A359)),"Enter the date done",IF(SUMPRODUCT(('PM Plan'!$A$5:$A$304=B359)*('PM Plan'!$B$5:$B$304=C359))=0,"No matching asset + task in plan","OK")))</f>
        <v/>
      </c>
    </row>
    <row r="360" customFormat="false" ht="15" hidden="false" customHeight="false" outlineLevel="0" collapsed="false">
      <c r="A360" s="14"/>
      <c r="B360" s="9"/>
      <c r="C360" s="9"/>
      <c r="D360" s="9"/>
      <c r="E360" s="9"/>
      <c r="F360" s="17" t="str">
        <f aca="false">IF(AND(A360="",B360="",C360=""),"",IF(NOT(ISNUMBER(A360)),"Enter the date done",IF(SUMPRODUCT(('PM Plan'!$A$5:$A$304=B360)*('PM Plan'!$B$5:$B$304=C360))=0,"No matching asset + task in plan","OK")))</f>
        <v/>
      </c>
    </row>
    <row r="361" customFormat="false" ht="15" hidden="false" customHeight="false" outlineLevel="0" collapsed="false">
      <c r="A361" s="14"/>
      <c r="B361" s="9"/>
      <c r="C361" s="9"/>
      <c r="D361" s="9"/>
      <c r="E361" s="9"/>
      <c r="F361" s="17" t="str">
        <f aca="false">IF(AND(A361="",B361="",C361=""),"",IF(NOT(ISNUMBER(A361)),"Enter the date done",IF(SUMPRODUCT(('PM Plan'!$A$5:$A$304=B361)*('PM Plan'!$B$5:$B$304=C361))=0,"No matching asset + task in plan","OK")))</f>
        <v/>
      </c>
    </row>
    <row r="362" customFormat="false" ht="15" hidden="false" customHeight="false" outlineLevel="0" collapsed="false">
      <c r="A362" s="14"/>
      <c r="B362" s="9"/>
      <c r="C362" s="9"/>
      <c r="D362" s="9"/>
      <c r="E362" s="9"/>
      <c r="F362" s="17" t="str">
        <f aca="false">IF(AND(A362="",B362="",C362=""),"",IF(NOT(ISNUMBER(A362)),"Enter the date done",IF(SUMPRODUCT(('PM Plan'!$A$5:$A$304=B362)*('PM Plan'!$B$5:$B$304=C362))=0,"No matching asset + task in plan","OK")))</f>
        <v/>
      </c>
    </row>
    <row r="363" customFormat="false" ht="15" hidden="false" customHeight="false" outlineLevel="0" collapsed="false">
      <c r="A363" s="14"/>
      <c r="B363" s="9"/>
      <c r="C363" s="9"/>
      <c r="D363" s="9"/>
      <c r="E363" s="9"/>
      <c r="F363" s="17" t="str">
        <f aca="false">IF(AND(A363="",B363="",C363=""),"",IF(NOT(ISNUMBER(A363)),"Enter the date done",IF(SUMPRODUCT(('PM Plan'!$A$5:$A$304=B363)*('PM Plan'!$B$5:$B$304=C363))=0,"No matching asset + task in plan","OK")))</f>
        <v/>
      </c>
    </row>
    <row r="364" customFormat="false" ht="15" hidden="false" customHeight="false" outlineLevel="0" collapsed="false">
      <c r="A364" s="14"/>
      <c r="B364" s="9"/>
      <c r="C364" s="9"/>
      <c r="D364" s="9"/>
      <c r="E364" s="9"/>
      <c r="F364" s="17" t="str">
        <f aca="false">IF(AND(A364="",B364="",C364=""),"",IF(NOT(ISNUMBER(A364)),"Enter the date done",IF(SUMPRODUCT(('PM Plan'!$A$5:$A$304=B364)*('PM Plan'!$B$5:$B$304=C364))=0,"No matching asset + task in plan","OK")))</f>
        <v/>
      </c>
    </row>
    <row r="365" customFormat="false" ht="15" hidden="false" customHeight="false" outlineLevel="0" collapsed="false">
      <c r="A365" s="14"/>
      <c r="B365" s="9"/>
      <c r="C365" s="9"/>
      <c r="D365" s="9"/>
      <c r="E365" s="9"/>
      <c r="F365" s="17" t="str">
        <f aca="false">IF(AND(A365="",B365="",C365=""),"",IF(NOT(ISNUMBER(A365)),"Enter the date done",IF(SUMPRODUCT(('PM Plan'!$A$5:$A$304=B365)*('PM Plan'!$B$5:$B$304=C365))=0,"No matching asset + task in plan","OK")))</f>
        <v/>
      </c>
    </row>
    <row r="366" customFormat="false" ht="15" hidden="false" customHeight="false" outlineLevel="0" collapsed="false">
      <c r="A366" s="14"/>
      <c r="B366" s="9"/>
      <c r="C366" s="9"/>
      <c r="D366" s="9"/>
      <c r="E366" s="9"/>
      <c r="F366" s="17" t="str">
        <f aca="false">IF(AND(A366="",B366="",C366=""),"",IF(NOT(ISNUMBER(A366)),"Enter the date done",IF(SUMPRODUCT(('PM Plan'!$A$5:$A$304=B366)*('PM Plan'!$B$5:$B$304=C366))=0,"No matching asset + task in plan","OK")))</f>
        <v/>
      </c>
    </row>
    <row r="367" customFormat="false" ht="15" hidden="false" customHeight="false" outlineLevel="0" collapsed="false">
      <c r="A367" s="14"/>
      <c r="B367" s="9"/>
      <c r="C367" s="9"/>
      <c r="D367" s="9"/>
      <c r="E367" s="9"/>
      <c r="F367" s="17" t="str">
        <f aca="false">IF(AND(A367="",B367="",C367=""),"",IF(NOT(ISNUMBER(A367)),"Enter the date done",IF(SUMPRODUCT(('PM Plan'!$A$5:$A$304=B367)*('PM Plan'!$B$5:$B$304=C367))=0,"No matching asset + task in plan","OK")))</f>
        <v/>
      </c>
    </row>
    <row r="368" customFormat="false" ht="15" hidden="false" customHeight="false" outlineLevel="0" collapsed="false">
      <c r="A368" s="14"/>
      <c r="B368" s="9"/>
      <c r="C368" s="9"/>
      <c r="D368" s="9"/>
      <c r="E368" s="9"/>
      <c r="F368" s="17" t="str">
        <f aca="false">IF(AND(A368="",B368="",C368=""),"",IF(NOT(ISNUMBER(A368)),"Enter the date done",IF(SUMPRODUCT(('PM Plan'!$A$5:$A$304=B368)*('PM Plan'!$B$5:$B$304=C368))=0,"No matching asset + task in plan","OK")))</f>
        <v/>
      </c>
    </row>
    <row r="369" customFormat="false" ht="15" hidden="false" customHeight="false" outlineLevel="0" collapsed="false">
      <c r="A369" s="14"/>
      <c r="B369" s="9"/>
      <c r="C369" s="9"/>
      <c r="D369" s="9"/>
      <c r="E369" s="9"/>
      <c r="F369" s="17" t="str">
        <f aca="false">IF(AND(A369="",B369="",C369=""),"",IF(NOT(ISNUMBER(A369)),"Enter the date done",IF(SUMPRODUCT(('PM Plan'!$A$5:$A$304=B369)*('PM Plan'!$B$5:$B$304=C369))=0,"No matching asset + task in plan","OK")))</f>
        <v/>
      </c>
    </row>
    <row r="370" customFormat="false" ht="15" hidden="false" customHeight="false" outlineLevel="0" collapsed="false">
      <c r="A370" s="14"/>
      <c r="B370" s="9"/>
      <c r="C370" s="9"/>
      <c r="D370" s="9"/>
      <c r="E370" s="9"/>
      <c r="F370" s="17" t="str">
        <f aca="false">IF(AND(A370="",B370="",C370=""),"",IF(NOT(ISNUMBER(A370)),"Enter the date done",IF(SUMPRODUCT(('PM Plan'!$A$5:$A$304=B370)*('PM Plan'!$B$5:$B$304=C370))=0,"No matching asset + task in plan","OK")))</f>
        <v/>
      </c>
    </row>
    <row r="371" customFormat="false" ht="15" hidden="false" customHeight="false" outlineLevel="0" collapsed="false">
      <c r="A371" s="14"/>
      <c r="B371" s="9"/>
      <c r="C371" s="9"/>
      <c r="D371" s="9"/>
      <c r="E371" s="9"/>
      <c r="F371" s="17" t="str">
        <f aca="false">IF(AND(A371="",B371="",C371=""),"",IF(NOT(ISNUMBER(A371)),"Enter the date done",IF(SUMPRODUCT(('PM Plan'!$A$5:$A$304=B371)*('PM Plan'!$B$5:$B$304=C371))=0,"No matching asset + task in plan","OK")))</f>
        <v/>
      </c>
    </row>
    <row r="372" customFormat="false" ht="15" hidden="false" customHeight="false" outlineLevel="0" collapsed="false">
      <c r="A372" s="14"/>
      <c r="B372" s="9"/>
      <c r="C372" s="9"/>
      <c r="D372" s="9"/>
      <c r="E372" s="9"/>
      <c r="F372" s="17" t="str">
        <f aca="false">IF(AND(A372="",B372="",C372=""),"",IF(NOT(ISNUMBER(A372)),"Enter the date done",IF(SUMPRODUCT(('PM Plan'!$A$5:$A$304=B372)*('PM Plan'!$B$5:$B$304=C372))=0,"No matching asset + task in plan","OK")))</f>
        <v/>
      </c>
    </row>
    <row r="373" customFormat="false" ht="15" hidden="false" customHeight="false" outlineLevel="0" collapsed="false">
      <c r="A373" s="14"/>
      <c r="B373" s="9"/>
      <c r="C373" s="9"/>
      <c r="D373" s="9"/>
      <c r="E373" s="9"/>
      <c r="F373" s="17" t="str">
        <f aca="false">IF(AND(A373="",B373="",C373=""),"",IF(NOT(ISNUMBER(A373)),"Enter the date done",IF(SUMPRODUCT(('PM Plan'!$A$5:$A$304=B373)*('PM Plan'!$B$5:$B$304=C373))=0,"No matching asset + task in plan","OK")))</f>
        <v/>
      </c>
    </row>
    <row r="374" customFormat="false" ht="15" hidden="false" customHeight="false" outlineLevel="0" collapsed="false">
      <c r="A374" s="14"/>
      <c r="B374" s="9"/>
      <c r="C374" s="9"/>
      <c r="D374" s="9"/>
      <c r="E374" s="9"/>
      <c r="F374" s="17" t="str">
        <f aca="false">IF(AND(A374="",B374="",C374=""),"",IF(NOT(ISNUMBER(A374)),"Enter the date done",IF(SUMPRODUCT(('PM Plan'!$A$5:$A$304=B374)*('PM Plan'!$B$5:$B$304=C374))=0,"No matching asset + task in plan","OK")))</f>
        <v/>
      </c>
    </row>
    <row r="375" customFormat="false" ht="15" hidden="false" customHeight="false" outlineLevel="0" collapsed="false">
      <c r="A375" s="14"/>
      <c r="B375" s="9"/>
      <c r="C375" s="9"/>
      <c r="D375" s="9"/>
      <c r="E375" s="9"/>
      <c r="F375" s="17" t="str">
        <f aca="false">IF(AND(A375="",B375="",C375=""),"",IF(NOT(ISNUMBER(A375)),"Enter the date done",IF(SUMPRODUCT(('PM Plan'!$A$5:$A$304=B375)*('PM Plan'!$B$5:$B$304=C375))=0,"No matching asset + task in plan","OK")))</f>
        <v/>
      </c>
    </row>
    <row r="376" customFormat="false" ht="15" hidden="false" customHeight="false" outlineLevel="0" collapsed="false">
      <c r="A376" s="14"/>
      <c r="B376" s="9"/>
      <c r="C376" s="9"/>
      <c r="D376" s="9"/>
      <c r="E376" s="9"/>
      <c r="F376" s="17" t="str">
        <f aca="false">IF(AND(A376="",B376="",C376=""),"",IF(NOT(ISNUMBER(A376)),"Enter the date done",IF(SUMPRODUCT(('PM Plan'!$A$5:$A$304=B376)*('PM Plan'!$B$5:$B$304=C376))=0,"No matching asset + task in plan","OK")))</f>
        <v/>
      </c>
    </row>
    <row r="377" customFormat="false" ht="15" hidden="false" customHeight="false" outlineLevel="0" collapsed="false">
      <c r="A377" s="14"/>
      <c r="B377" s="9"/>
      <c r="C377" s="9"/>
      <c r="D377" s="9"/>
      <c r="E377" s="9"/>
      <c r="F377" s="17" t="str">
        <f aca="false">IF(AND(A377="",B377="",C377=""),"",IF(NOT(ISNUMBER(A377)),"Enter the date done",IF(SUMPRODUCT(('PM Plan'!$A$5:$A$304=B377)*('PM Plan'!$B$5:$B$304=C377))=0,"No matching asset + task in plan","OK")))</f>
        <v/>
      </c>
    </row>
    <row r="378" customFormat="false" ht="15" hidden="false" customHeight="false" outlineLevel="0" collapsed="false">
      <c r="A378" s="14"/>
      <c r="B378" s="9"/>
      <c r="C378" s="9"/>
      <c r="D378" s="9"/>
      <c r="E378" s="9"/>
      <c r="F378" s="17" t="str">
        <f aca="false">IF(AND(A378="",B378="",C378=""),"",IF(NOT(ISNUMBER(A378)),"Enter the date done",IF(SUMPRODUCT(('PM Plan'!$A$5:$A$304=B378)*('PM Plan'!$B$5:$B$304=C378))=0,"No matching asset + task in plan","OK")))</f>
        <v/>
      </c>
    </row>
    <row r="379" customFormat="false" ht="15" hidden="false" customHeight="false" outlineLevel="0" collapsed="false">
      <c r="A379" s="14"/>
      <c r="B379" s="9"/>
      <c r="C379" s="9"/>
      <c r="D379" s="9"/>
      <c r="E379" s="9"/>
      <c r="F379" s="17" t="str">
        <f aca="false">IF(AND(A379="",B379="",C379=""),"",IF(NOT(ISNUMBER(A379)),"Enter the date done",IF(SUMPRODUCT(('PM Plan'!$A$5:$A$304=B379)*('PM Plan'!$B$5:$B$304=C379))=0,"No matching asset + task in plan","OK")))</f>
        <v/>
      </c>
    </row>
    <row r="380" customFormat="false" ht="15" hidden="false" customHeight="false" outlineLevel="0" collapsed="false">
      <c r="A380" s="14"/>
      <c r="B380" s="9"/>
      <c r="C380" s="9"/>
      <c r="D380" s="9"/>
      <c r="E380" s="9"/>
      <c r="F380" s="17" t="str">
        <f aca="false">IF(AND(A380="",B380="",C380=""),"",IF(NOT(ISNUMBER(A380)),"Enter the date done",IF(SUMPRODUCT(('PM Plan'!$A$5:$A$304=B380)*('PM Plan'!$B$5:$B$304=C380))=0,"No matching asset + task in plan","OK")))</f>
        <v/>
      </c>
    </row>
    <row r="381" customFormat="false" ht="15" hidden="false" customHeight="false" outlineLevel="0" collapsed="false">
      <c r="A381" s="14"/>
      <c r="B381" s="9"/>
      <c r="C381" s="9"/>
      <c r="D381" s="9"/>
      <c r="E381" s="9"/>
      <c r="F381" s="17" t="str">
        <f aca="false">IF(AND(A381="",B381="",C381=""),"",IF(NOT(ISNUMBER(A381)),"Enter the date done",IF(SUMPRODUCT(('PM Plan'!$A$5:$A$304=B381)*('PM Plan'!$B$5:$B$304=C381))=0,"No matching asset + task in plan","OK")))</f>
        <v/>
      </c>
    </row>
    <row r="382" customFormat="false" ht="15" hidden="false" customHeight="false" outlineLevel="0" collapsed="false">
      <c r="A382" s="14"/>
      <c r="B382" s="9"/>
      <c r="C382" s="9"/>
      <c r="D382" s="9"/>
      <c r="E382" s="9"/>
      <c r="F382" s="17" t="str">
        <f aca="false">IF(AND(A382="",B382="",C382=""),"",IF(NOT(ISNUMBER(A382)),"Enter the date done",IF(SUMPRODUCT(('PM Plan'!$A$5:$A$304=B382)*('PM Plan'!$B$5:$B$304=C382))=0,"No matching asset + task in plan","OK")))</f>
        <v/>
      </c>
    </row>
    <row r="383" customFormat="false" ht="15" hidden="false" customHeight="false" outlineLevel="0" collapsed="false">
      <c r="A383" s="14"/>
      <c r="B383" s="9"/>
      <c r="C383" s="9"/>
      <c r="D383" s="9"/>
      <c r="E383" s="9"/>
      <c r="F383" s="17" t="str">
        <f aca="false">IF(AND(A383="",B383="",C383=""),"",IF(NOT(ISNUMBER(A383)),"Enter the date done",IF(SUMPRODUCT(('PM Plan'!$A$5:$A$304=B383)*('PM Plan'!$B$5:$B$304=C383))=0,"No matching asset + task in plan","OK")))</f>
        <v/>
      </c>
    </row>
    <row r="384" customFormat="false" ht="15" hidden="false" customHeight="false" outlineLevel="0" collapsed="false">
      <c r="A384" s="14"/>
      <c r="B384" s="9"/>
      <c r="C384" s="9"/>
      <c r="D384" s="9"/>
      <c r="E384" s="9"/>
      <c r="F384" s="17" t="str">
        <f aca="false">IF(AND(A384="",B384="",C384=""),"",IF(NOT(ISNUMBER(A384)),"Enter the date done",IF(SUMPRODUCT(('PM Plan'!$A$5:$A$304=B384)*('PM Plan'!$B$5:$B$304=C384))=0,"No matching asset + task in plan","OK")))</f>
        <v/>
      </c>
    </row>
    <row r="385" customFormat="false" ht="15" hidden="false" customHeight="false" outlineLevel="0" collapsed="false">
      <c r="A385" s="14"/>
      <c r="B385" s="9"/>
      <c r="C385" s="9"/>
      <c r="D385" s="9"/>
      <c r="E385" s="9"/>
      <c r="F385" s="17" t="str">
        <f aca="false">IF(AND(A385="",B385="",C385=""),"",IF(NOT(ISNUMBER(A385)),"Enter the date done",IF(SUMPRODUCT(('PM Plan'!$A$5:$A$304=B385)*('PM Plan'!$B$5:$B$304=C385))=0,"No matching asset + task in plan","OK")))</f>
        <v/>
      </c>
    </row>
    <row r="386" customFormat="false" ht="15" hidden="false" customHeight="false" outlineLevel="0" collapsed="false">
      <c r="A386" s="14"/>
      <c r="B386" s="9"/>
      <c r="C386" s="9"/>
      <c r="D386" s="9"/>
      <c r="E386" s="9"/>
      <c r="F386" s="17" t="str">
        <f aca="false">IF(AND(A386="",B386="",C386=""),"",IF(NOT(ISNUMBER(A386)),"Enter the date done",IF(SUMPRODUCT(('PM Plan'!$A$5:$A$304=B386)*('PM Plan'!$B$5:$B$304=C386))=0,"No matching asset + task in plan","OK")))</f>
        <v/>
      </c>
    </row>
    <row r="387" customFormat="false" ht="15" hidden="false" customHeight="false" outlineLevel="0" collapsed="false">
      <c r="A387" s="14"/>
      <c r="B387" s="9"/>
      <c r="C387" s="9"/>
      <c r="D387" s="9"/>
      <c r="E387" s="9"/>
      <c r="F387" s="17" t="str">
        <f aca="false">IF(AND(A387="",B387="",C387=""),"",IF(NOT(ISNUMBER(A387)),"Enter the date done",IF(SUMPRODUCT(('PM Plan'!$A$5:$A$304=B387)*('PM Plan'!$B$5:$B$304=C387))=0,"No matching asset + task in plan","OK")))</f>
        <v/>
      </c>
    </row>
    <row r="388" customFormat="false" ht="15" hidden="false" customHeight="false" outlineLevel="0" collapsed="false">
      <c r="A388" s="14"/>
      <c r="B388" s="9"/>
      <c r="C388" s="9"/>
      <c r="D388" s="9"/>
      <c r="E388" s="9"/>
      <c r="F388" s="17" t="str">
        <f aca="false">IF(AND(A388="",B388="",C388=""),"",IF(NOT(ISNUMBER(A388)),"Enter the date done",IF(SUMPRODUCT(('PM Plan'!$A$5:$A$304=B388)*('PM Plan'!$B$5:$B$304=C388))=0,"No matching asset + task in plan","OK")))</f>
        <v/>
      </c>
    </row>
    <row r="389" customFormat="false" ht="15" hidden="false" customHeight="false" outlineLevel="0" collapsed="false">
      <c r="A389" s="14"/>
      <c r="B389" s="9"/>
      <c r="C389" s="9"/>
      <c r="D389" s="9"/>
      <c r="E389" s="9"/>
      <c r="F389" s="17" t="str">
        <f aca="false">IF(AND(A389="",B389="",C389=""),"",IF(NOT(ISNUMBER(A389)),"Enter the date done",IF(SUMPRODUCT(('PM Plan'!$A$5:$A$304=B389)*('PM Plan'!$B$5:$B$304=C389))=0,"No matching asset + task in plan","OK")))</f>
        <v/>
      </c>
    </row>
    <row r="390" customFormat="false" ht="15" hidden="false" customHeight="false" outlineLevel="0" collapsed="false">
      <c r="A390" s="14"/>
      <c r="B390" s="9"/>
      <c r="C390" s="9"/>
      <c r="D390" s="9"/>
      <c r="E390" s="9"/>
      <c r="F390" s="17" t="str">
        <f aca="false">IF(AND(A390="",B390="",C390=""),"",IF(NOT(ISNUMBER(A390)),"Enter the date done",IF(SUMPRODUCT(('PM Plan'!$A$5:$A$304=B390)*('PM Plan'!$B$5:$B$304=C390))=0,"No matching asset + task in plan","OK")))</f>
        <v/>
      </c>
    </row>
    <row r="391" customFormat="false" ht="15" hidden="false" customHeight="false" outlineLevel="0" collapsed="false">
      <c r="A391" s="14"/>
      <c r="B391" s="9"/>
      <c r="C391" s="9"/>
      <c r="D391" s="9"/>
      <c r="E391" s="9"/>
      <c r="F391" s="17" t="str">
        <f aca="false">IF(AND(A391="",B391="",C391=""),"",IF(NOT(ISNUMBER(A391)),"Enter the date done",IF(SUMPRODUCT(('PM Plan'!$A$5:$A$304=B391)*('PM Plan'!$B$5:$B$304=C391))=0,"No matching asset + task in plan","OK")))</f>
        <v/>
      </c>
    </row>
    <row r="392" customFormat="false" ht="15" hidden="false" customHeight="false" outlineLevel="0" collapsed="false">
      <c r="A392" s="14"/>
      <c r="B392" s="9"/>
      <c r="C392" s="9"/>
      <c r="D392" s="9"/>
      <c r="E392" s="9"/>
      <c r="F392" s="17" t="str">
        <f aca="false">IF(AND(A392="",B392="",C392=""),"",IF(NOT(ISNUMBER(A392)),"Enter the date done",IF(SUMPRODUCT(('PM Plan'!$A$5:$A$304=B392)*('PM Plan'!$B$5:$B$304=C392))=0,"No matching asset + task in plan","OK")))</f>
        <v/>
      </c>
    </row>
    <row r="393" customFormat="false" ht="15" hidden="false" customHeight="false" outlineLevel="0" collapsed="false">
      <c r="A393" s="14"/>
      <c r="B393" s="9"/>
      <c r="C393" s="9"/>
      <c r="D393" s="9"/>
      <c r="E393" s="9"/>
      <c r="F393" s="17" t="str">
        <f aca="false">IF(AND(A393="",B393="",C393=""),"",IF(NOT(ISNUMBER(A393)),"Enter the date done",IF(SUMPRODUCT(('PM Plan'!$A$5:$A$304=B393)*('PM Plan'!$B$5:$B$304=C393))=0,"No matching asset + task in plan","OK")))</f>
        <v/>
      </c>
    </row>
    <row r="394" customFormat="false" ht="15" hidden="false" customHeight="false" outlineLevel="0" collapsed="false">
      <c r="A394" s="14"/>
      <c r="B394" s="9"/>
      <c r="C394" s="9"/>
      <c r="D394" s="9"/>
      <c r="E394" s="9"/>
      <c r="F394" s="17" t="str">
        <f aca="false">IF(AND(A394="",B394="",C394=""),"",IF(NOT(ISNUMBER(A394)),"Enter the date done",IF(SUMPRODUCT(('PM Plan'!$A$5:$A$304=B394)*('PM Plan'!$B$5:$B$304=C394))=0,"No matching asset + task in plan","OK")))</f>
        <v/>
      </c>
    </row>
    <row r="395" customFormat="false" ht="15" hidden="false" customHeight="false" outlineLevel="0" collapsed="false">
      <c r="A395" s="14"/>
      <c r="B395" s="9"/>
      <c r="C395" s="9"/>
      <c r="D395" s="9"/>
      <c r="E395" s="9"/>
      <c r="F395" s="17" t="str">
        <f aca="false">IF(AND(A395="",B395="",C395=""),"",IF(NOT(ISNUMBER(A395)),"Enter the date done",IF(SUMPRODUCT(('PM Plan'!$A$5:$A$304=B395)*('PM Plan'!$B$5:$B$304=C395))=0,"No matching asset + task in plan","OK")))</f>
        <v/>
      </c>
    </row>
    <row r="396" customFormat="false" ht="15" hidden="false" customHeight="false" outlineLevel="0" collapsed="false">
      <c r="A396" s="14"/>
      <c r="B396" s="9"/>
      <c r="C396" s="9"/>
      <c r="D396" s="9"/>
      <c r="E396" s="9"/>
      <c r="F396" s="17" t="str">
        <f aca="false">IF(AND(A396="",B396="",C396=""),"",IF(NOT(ISNUMBER(A396)),"Enter the date done",IF(SUMPRODUCT(('PM Plan'!$A$5:$A$304=B396)*('PM Plan'!$B$5:$B$304=C396))=0,"No matching asset + task in plan","OK")))</f>
        <v/>
      </c>
    </row>
    <row r="397" customFormat="false" ht="15" hidden="false" customHeight="false" outlineLevel="0" collapsed="false">
      <c r="A397" s="14"/>
      <c r="B397" s="9"/>
      <c r="C397" s="9"/>
      <c r="D397" s="9"/>
      <c r="E397" s="9"/>
      <c r="F397" s="17" t="str">
        <f aca="false">IF(AND(A397="",B397="",C397=""),"",IF(NOT(ISNUMBER(A397)),"Enter the date done",IF(SUMPRODUCT(('PM Plan'!$A$5:$A$304=B397)*('PM Plan'!$B$5:$B$304=C397))=0,"No matching asset + task in plan","OK")))</f>
        <v/>
      </c>
    </row>
    <row r="398" customFormat="false" ht="15" hidden="false" customHeight="false" outlineLevel="0" collapsed="false">
      <c r="A398" s="14"/>
      <c r="B398" s="9"/>
      <c r="C398" s="9"/>
      <c r="D398" s="9"/>
      <c r="E398" s="9"/>
      <c r="F398" s="17" t="str">
        <f aca="false">IF(AND(A398="",B398="",C398=""),"",IF(NOT(ISNUMBER(A398)),"Enter the date done",IF(SUMPRODUCT(('PM Plan'!$A$5:$A$304=B398)*('PM Plan'!$B$5:$B$304=C398))=0,"No matching asset + task in plan","OK")))</f>
        <v/>
      </c>
    </row>
    <row r="399" customFormat="false" ht="15" hidden="false" customHeight="false" outlineLevel="0" collapsed="false">
      <c r="A399" s="14"/>
      <c r="B399" s="9"/>
      <c r="C399" s="9"/>
      <c r="D399" s="9"/>
      <c r="E399" s="9"/>
      <c r="F399" s="17" t="str">
        <f aca="false">IF(AND(A399="",B399="",C399=""),"",IF(NOT(ISNUMBER(A399)),"Enter the date done",IF(SUMPRODUCT(('PM Plan'!$A$5:$A$304=B399)*('PM Plan'!$B$5:$B$304=C399))=0,"No matching asset + task in plan","OK")))</f>
        <v/>
      </c>
    </row>
    <row r="400" customFormat="false" ht="15" hidden="false" customHeight="false" outlineLevel="0" collapsed="false">
      <c r="A400" s="14"/>
      <c r="B400" s="9"/>
      <c r="C400" s="9"/>
      <c r="D400" s="9"/>
      <c r="E400" s="9"/>
      <c r="F400" s="17" t="str">
        <f aca="false">IF(AND(A400="",B400="",C400=""),"",IF(NOT(ISNUMBER(A400)),"Enter the date done",IF(SUMPRODUCT(('PM Plan'!$A$5:$A$304=B400)*('PM Plan'!$B$5:$B$304=C400))=0,"No matching asset + task in plan","OK")))</f>
        <v/>
      </c>
    </row>
    <row r="401" customFormat="false" ht="15" hidden="false" customHeight="false" outlineLevel="0" collapsed="false">
      <c r="A401" s="14"/>
      <c r="B401" s="9"/>
      <c r="C401" s="9"/>
      <c r="D401" s="9"/>
      <c r="E401" s="9"/>
      <c r="F401" s="17" t="str">
        <f aca="false">IF(AND(A401="",B401="",C401=""),"",IF(NOT(ISNUMBER(A401)),"Enter the date done",IF(SUMPRODUCT(('PM Plan'!$A$5:$A$304=B401)*('PM Plan'!$B$5:$B$304=C401))=0,"No matching asset + task in plan","OK")))</f>
        <v/>
      </c>
    </row>
    <row r="402" customFormat="false" ht="15" hidden="false" customHeight="false" outlineLevel="0" collapsed="false">
      <c r="A402" s="14"/>
      <c r="B402" s="9"/>
      <c r="C402" s="9"/>
      <c r="D402" s="9"/>
      <c r="E402" s="9"/>
      <c r="F402" s="17" t="str">
        <f aca="false">IF(AND(A402="",B402="",C402=""),"",IF(NOT(ISNUMBER(A402)),"Enter the date done",IF(SUMPRODUCT(('PM Plan'!$A$5:$A$304=B402)*('PM Plan'!$B$5:$B$304=C402))=0,"No matching asset + task in plan","OK")))</f>
        <v/>
      </c>
    </row>
    <row r="403" customFormat="false" ht="15" hidden="false" customHeight="false" outlineLevel="0" collapsed="false">
      <c r="A403" s="14"/>
      <c r="B403" s="9"/>
      <c r="C403" s="9"/>
      <c r="D403" s="9"/>
      <c r="E403" s="9"/>
      <c r="F403" s="17" t="str">
        <f aca="false">IF(AND(A403="",B403="",C403=""),"",IF(NOT(ISNUMBER(A403)),"Enter the date done",IF(SUMPRODUCT(('PM Plan'!$A$5:$A$304=B403)*('PM Plan'!$B$5:$B$304=C403))=0,"No matching asset + task in plan","OK")))</f>
        <v/>
      </c>
    </row>
    <row r="404" customFormat="false" ht="15" hidden="false" customHeight="false" outlineLevel="0" collapsed="false">
      <c r="A404" s="14"/>
      <c r="B404" s="9"/>
      <c r="C404" s="9"/>
      <c r="D404" s="9"/>
      <c r="E404" s="9"/>
      <c r="F404" s="17" t="str">
        <f aca="false">IF(AND(A404="",B404="",C404=""),"",IF(NOT(ISNUMBER(A404)),"Enter the date done",IF(SUMPRODUCT(('PM Plan'!$A$5:$A$304=B404)*('PM Plan'!$B$5:$B$304=C404))=0,"No matching asset + task in plan","OK")))</f>
        <v/>
      </c>
    </row>
    <row r="405" customFormat="false" ht="15" hidden="false" customHeight="false" outlineLevel="0" collapsed="false">
      <c r="A405" s="14"/>
      <c r="B405" s="9"/>
      <c r="C405" s="9"/>
      <c r="D405" s="9"/>
      <c r="E405" s="9"/>
      <c r="F405" s="17" t="str">
        <f aca="false">IF(AND(A405="",B405="",C405=""),"",IF(NOT(ISNUMBER(A405)),"Enter the date done",IF(SUMPRODUCT(('PM Plan'!$A$5:$A$304=B405)*('PM Plan'!$B$5:$B$304=C405))=0,"No matching asset + task in plan","OK")))</f>
        <v/>
      </c>
    </row>
    <row r="406" customFormat="false" ht="15" hidden="false" customHeight="false" outlineLevel="0" collapsed="false">
      <c r="A406" s="14"/>
      <c r="B406" s="9"/>
      <c r="C406" s="9"/>
      <c r="D406" s="9"/>
      <c r="E406" s="9"/>
      <c r="F406" s="17" t="str">
        <f aca="false">IF(AND(A406="",B406="",C406=""),"",IF(NOT(ISNUMBER(A406)),"Enter the date done",IF(SUMPRODUCT(('PM Plan'!$A$5:$A$304=B406)*('PM Plan'!$B$5:$B$304=C406))=0,"No matching asset + task in plan","OK")))</f>
        <v/>
      </c>
    </row>
    <row r="407" customFormat="false" ht="15" hidden="false" customHeight="false" outlineLevel="0" collapsed="false">
      <c r="A407" s="14"/>
      <c r="B407" s="9"/>
      <c r="C407" s="9"/>
      <c r="D407" s="9"/>
      <c r="E407" s="9"/>
      <c r="F407" s="17" t="str">
        <f aca="false">IF(AND(A407="",B407="",C407=""),"",IF(NOT(ISNUMBER(A407)),"Enter the date done",IF(SUMPRODUCT(('PM Plan'!$A$5:$A$304=B407)*('PM Plan'!$B$5:$B$304=C407))=0,"No matching asset + task in plan","OK")))</f>
        <v/>
      </c>
    </row>
    <row r="408" customFormat="false" ht="15" hidden="false" customHeight="false" outlineLevel="0" collapsed="false">
      <c r="A408" s="14"/>
      <c r="B408" s="9"/>
      <c r="C408" s="9"/>
      <c r="D408" s="9"/>
      <c r="E408" s="9"/>
      <c r="F408" s="17" t="str">
        <f aca="false">IF(AND(A408="",B408="",C408=""),"",IF(NOT(ISNUMBER(A408)),"Enter the date done",IF(SUMPRODUCT(('PM Plan'!$A$5:$A$304=B408)*('PM Plan'!$B$5:$B$304=C408))=0,"No matching asset + task in plan","OK")))</f>
        <v/>
      </c>
    </row>
    <row r="409" customFormat="false" ht="15" hidden="false" customHeight="false" outlineLevel="0" collapsed="false">
      <c r="A409" s="14"/>
      <c r="B409" s="9"/>
      <c r="C409" s="9"/>
      <c r="D409" s="9"/>
      <c r="E409" s="9"/>
      <c r="F409" s="17" t="str">
        <f aca="false">IF(AND(A409="",B409="",C409=""),"",IF(NOT(ISNUMBER(A409)),"Enter the date done",IF(SUMPRODUCT(('PM Plan'!$A$5:$A$304=B409)*('PM Plan'!$B$5:$B$304=C409))=0,"No matching asset + task in plan","OK")))</f>
        <v/>
      </c>
    </row>
    <row r="410" customFormat="false" ht="15" hidden="false" customHeight="false" outlineLevel="0" collapsed="false">
      <c r="A410" s="14"/>
      <c r="B410" s="9"/>
      <c r="C410" s="9"/>
      <c r="D410" s="9"/>
      <c r="E410" s="9"/>
      <c r="F410" s="17" t="str">
        <f aca="false">IF(AND(A410="",B410="",C410=""),"",IF(NOT(ISNUMBER(A410)),"Enter the date done",IF(SUMPRODUCT(('PM Plan'!$A$5:$A$304=B410)*('PM Plan'!$B$5:$B$304=C410))=0,"No matching asset + task in plan","OK")))</f>
        <v/>
      </c>
    </row>
    <row r="411" customFormat="false" ht="15" hidden="false" customHeight="false" outlineLevel="0" collapsed="false">
      <c r="A411" s="14"/>
      <c r="B411" s="9"/>
      <c r="C411" s="9"/>
      <c r="D411" s="9"/>
      <c r="E411" s="9"/>
      <c r="F411" s="17" t="str">
        <f aca="false">IF(AND(A411="",B411="",C411=""),"",IF(NOT(ISNUMBER(A411)),"Enter the date done",IF(SUMPRODUCT(('PM Plan'!$A$5:$A$304=B411)*('PM Plan'!$B$5:$B$304=C411))=0,"No matching asset + task in plan","OK")))</f>
        <v/>
      </c>
    </row>
    <row r="412" customFormat="false" ht="15" hidden="false" customHeight="false" outlineLevel="0" collapsed="false">
      <c r="A412" s="14"/>
      <c r="B412" s="9"/>
      <c r="C412" s="9"/>
      <c r="D412" s="9"/>
      <c r="E412" s="9"/>
      <c r="F412" s="17" t="str">
        <f aca="false">IF(AND(A412="",B412="",C412=""),"",IF(NOT(ISNUMBER(A412)),"Enter the date done",IF(SUMPRODUCT(('PM Plan'!$A$5:$A$304=B412)*('PM Plan'!$B$5:$B$304=C412))=0,"No matching asset + task in plan","OK")))</f>
        <v/>
      </c>
    </row>
    <row r="413" customFormat="false" ht="15" hidden="false" customHeight="false" outlineLevel="0" collapsed="false">
      <c r="A413" s="14"/>
      <c r="B413" s="9"/>
      <c r="C413" s="9"/>
      <c r="D413" s="9"/>
      <c r="E413" s="9"/>
      <c r="F413" s="17" t="str">
        <f aca="false">IF(AND(A413="",B413="",C413=""),"",IF(NOT(ISNUMBER(A413)),"Enter the date done",IF(SUMPRODUCT(('PM Plan'!$A$5:$A$304=B413)*('PM Plan'!$B$5:$B$304=C413))=0,"No matching asset + task in plan","OK")))</f>
        <v/>
      </c>
    </row>
    <row r="414" customFormat="false" ht="15" hidden="false" customHeight="false" outlineLevel="0" collapsed="false">
      <c r="A414" s="14"/>
      <c r="B414" s="9"/>
      <c r="C414" s="9"/>
      <c r="D414" s="9"/>
      <c r="E414" s="9"/>
      <c r="F414" s="17" t="str">
        <f aca="false">IF(AND(A414="",B414="",C414=""),"",IF(NOT(ISNUMBER(A414)),"Enter the date done",IF(SUMPRODUCT(('PM Plan'!$A$5:$A$304=B414)*('PM Plan'!$B$5:$B$304=C414))=0,"No matching asset + task in plan","OK")))</f>
        <v/>
      </c>
    </row>
    <row r="415" customFormat="false" ht="15" hidden="false" customHeight="false" outlineLevel="0" collapsed="false">
      <c r="A415" s="14"/>
      <c r="B415" s="9"/>
      <c r="C415" s="9"/>
      <c r="D415" s="9"/>
      <c r="E415" s="9"/>
      <c r="F415" s="17" t="str">
        <f aca="false">IF(AND(A415="",B415="",C415=""),"",IF(NOT(ISNUMBER(A415)),"Enter the date done",IF(SUMPRODUCT(('PM Plan'!$A$5:$A$304=B415)*('PM Plan'!$B$5:$B$304=C415))=0,"No matching asset + task in plan","OK")))</f>
        <v/>
      </c>
    </row>
    <row r="416" customFormat="false" ht="15" hidden="false" customHeight="false" outlineLevel="0" collapsed="false">
      <c r="A416" s="14"/>
      <c r="B416" s="9"/>
      <c r="C416" s="9"/>
      <c r="D416" s="9"/>
      <c r="E416" s="9"/>
      <c r="F416" s="17" t="str">
        <f aca="false">IF(AND(A416="",B416="",C416=""),"",IF(NOT(ISNUMBER(A416)),"Enter the date done",IF(SUMPRODUCT(('PM Plan'!$A$5:$A$304=B416)*('PM Plan'!$B$5:$B$304=C416))=0,"No matching asset + task in plan","OK")))</f>
        <v/>
      </c>
    </row>
    <row r="417" customFormat="false" ht="15" hidden="false" customHeight="false" outlineLevel="0" collapsed="false">
      <c r="A417" s="14"/>
      <c r="B417" s="9"/>
      <c r="C417" s="9"/>
      <c r="D417" s="9"/>
      <c r="E417" s="9"/>
      <c r="F417" s="17" t="str">
        <f aca="false">IF(AND(A417="",B417="",C417=""),"",IF(NOT(ISNUMBER(A417)),"Enter the date done",IF(SUMPRODUCT(('PM Plan'!$A$5:$A$304=B417)*('PM Plan'!$B$5:$B$304=C417))=0,"No matching asset + task in plan","OK")))</f>
        <v/>
      </c>
    </row>
    <row r="418" customFormat="false" ht="15" hidden="false" customHeight="false" outlineLevel="0" collapsed="false">
      <c r="A418" s="14"/>
      <c r="B418" s="9"/>
      <c r="C418" s="9"/>
      <c r="D418" s="9"/>
      <c r="E418" s="9"/>
      <c r="F418" s="17" t="str">
        <f aca="false">IF(AND(A418="",B418="",C418=""),"",IF(NOT(ISNUMBER(A418)),"Enter the date done",IF(SUMPRODUCT(('PM Plan'!$A$5:$A$304=B418)*('PM Plan'!$B$5:$B$304=C418))=0,"No matching asset + task in plan","OK")))</f>
        <v/>
      </c>
    </row>
    <row r="419" customFormat="false" ht="15" hidden="false" customHeight="false" outlineLevel="0" collapsed="false">
      <c r="A419" s="14"/>
      <c r="B419" s="9"/>
      <c r="C419" s="9"/>
      <c r="D419" s="9"/>
      <c r="E419" s="9"/>
      <c r="F419" s="17" t="str">
        <f aca="false">IF(AND(A419="",B419="",C419=""),"",IF(NOT(ISNUMBER(A419)),"Enter the date done",IF(SUMPRODUCT(('PM Plan'!$A$5:$A$304=B419)*('PM Plan'!$B$5:$B$304=C419))=0,"No matching asset + task in plan","OK")))</f>
        <v/>
      </c>
    </row>
    <row r="420" customFormat="false" ht="15" hidden="false" customHeight="false" outlineLevel="0" collapsed="false">
      <c r="A420" s="14"/>
      <c r="B420" s="9"/>
      <c r="C420" s="9"/>
      <c r="D420" s="9"/>
      <c r="E420" s="9"/>
      <c r="F420" s="17" t="str">
        <f aca="false">IF(AND(A420="",B420="",C420=""),"",IF(NOT(ISNUMBER(A420)),"Enter the date done",IF(SUMPRODUCT(('PM Plan'!$A$5:$A$304=B420)*('PM Plan'!$B$5:$B$304=C420))=0,"No matching asset + task in plan","OK")))</f>
        <v/>
      </c>
    </row>
    <row r="421" customFormat="false" ht="15" hidden="false" customHeight="false" outlineLevel="0" collapsed="false">
      <c r="A421" s="14"/>
      <c r="B421" s="9"/>
      <c r="C421" s="9"/>
      <c r="D421" s="9"/>
      <c r="E421" s="9"/>
      <c r="F421" s="17" t="str">
        <f aca="false">IF(AND(A421="",B421="",C421=""),"",IF(NOT(ISNUMBER(A421)),"Enter the date done",IF(SUMPRODUCT(('PM Plan'!$A$5:$A$304=B421)*('PM Plan'!$B$5:$B$304=C421))=0,"No matching asset + task in plan","OK")))</f>
        <v/>
      </c>
    </row>
    <row r="422" customFormat="false" ht="15" hidden="false" customHeight="false" outlineLevel="0" collapsed="false">
      <c r="A422" s="14"/>
      <c r="B422" s="9"/>
      <c r="C422" s="9"/>
      <c r="D422" s="9"/>
      <c r="E422" s="9"/>
      <c r="F422" s="17" t="str">
        <f aca="false">IF(AND(A422="",B422="",C422=""),"",IF(NOT(ISNUMBER(A422)),"Enter the date done",IF(SUMPRODUCT(('PM Plan'!$A$5:$A$304=B422)*('PM Plan'!$B$5:$B$304=C422))=0,"No matching asset + task in plan","OK")))</f>
        <v/>
      </c>
    </row>
    <row r="423" customFormat="false" ht="15" hidden="false" customHeight="false" outlineLevel="0" collapsed="false">
      <c r="A423" s="14"/>
      <c r="B423" s="9"/>
      <c r="C423" s="9"/>
      <c r="D423" s="9"/>
      <c r="E423" s="9"/>
      <c r="F423" s="17" t="str">
        <f aca="false">IF(AND(A423="",B423="",C423=""),"",IF(NOT(ISNUMBER(A423)),"Enter the date done",IF(SUMPRODUCT(('PM Plan'!$A$5:$A$304=B423)*('PM Plan'!$B$5:$B$304=C423))=0,"No matching asset + task in plan","OK")))</f>
        <v/>
      </c>
    </row>
    <row r="424" customFormat="false" ht="15" hidden="false" customHeight="false" outlineLevel="0" collapsed="false">
      <c r="A424" s="14"/>
      <c r="B424" s="9"/>
      <c r="C424" s="9"/>
      <c r="D424" s="9"/>
      <c r="E424" s="9"/>
      <c r="F424" s="17" t="str">
        <f aca="false">IF(AND(A424="",B424="",C424=""),"",IF(NOT(ISNUMBER(A424)),"Enter the date done",IF(SUMPRODUCT(('PM Plan'!$A$5:$A$304=B424)*('PM Plan'!$B$5:$B$304=C424))=0,"No matching asset + task in plan","OK")))</f>
        <v/>
      </c>
    </row>
    <row r="425" customFormat="false" ht="15" hidden="false" customHeight="false" outlineLevel="0" collapsed="false">
      <c r="A425" s="14"/>
      <c r="B425" s="9"/>
      <c r="C425" s="9"/>
      <c r="D425" s="9"/>
      <c r="E425" s="9"/>
      <c r="F425" s="17" t="str">
        <f aca="false">IF(AND(A425="",B425="",C425=""),"",IF(NOT(ISNUMBER(A425)),"Enter the date done",IF(SUMPRODUCT(('PM Plan'!$A$5:$A$304=B425)*('PM Plan'!$B$5:$B$304=C425))=0,"No matching asset + task in plan","OK")))</f>
        <v/>
      </c>
    </row>
    <row r="426" customFormat="false" ht="15" hidden="false" customHeight="false" outlineLevel="0" collapsed="false">
      <c r="A426" s="14"/>
      <c r="B426" s="9"/>
      <c r="C426" s="9"/>
      <c r="D426" s="9"/>
      <c r="E426" s="9"/>
      <c r="F426" s="17" t="str">
        <f aca="false">IF(AND(A426="",B426="",C426=""),"",IF(NOT(ISNUMBER(A426)),"Enter the date done",IF(SUMPRODUCT(('PM Plan'!$A$5:$A$304=B426)*('PM Plan'!$B$5:$B$304=C426))=0,"No matching asset + task in plan","OK")))</f>
        <v/>
      </c>
    </row>
    <row r="427" customFormat="false" ht="15" hidden="false" customHeight="false" outlineLevel="0" collapsed="false">
      <c r="A427" s="14"/>
      <c r="B427" s="9"/>
      <c r="C427" s="9"/>
      <c r="D427" s="9"/>
      <c r="E427" s="9"/>
      <c r="F427" s="17" t="str">
        <f aca="false">IF(AND(A427="",B427="",C427=""),"",IF(NOT(ISNUMBER(A427)),"Enter the date done",IF(SUMPRODUCT(('PM Plan'!$A$5:$A$304=B427)*('PM Plan'!$B$5:$B$304=C427))=0,"No matching asset + task in plan","OK")))</f>
        <v/>
      </c>
    </row>
    <row r="428" customFormat="false" ht="15" hidden="false" customHeight="false" outlineLevel="0" collapsed="false">
      <c r="A428" s="14"/>
      <c r="B428" s="9"/>
      <c r="C428" s="9"/>
      <c r="D428" s="9"/>
      <c r="E428" s="9"/>
      <c r="F428" s="17" t="str">
        <f aca="false">IF(AND(A428="",B428="",C428=""),"",IF(NOT(ISNUMBER(A428)),"Enter the date done",IF(SUMPRODUCT(('PM Plan'!$A$5:$A$304=B428)*('PM Plan'!$B$5:$B$304=C428))=0,"No matching asset + task in plan","OK")))</f>
        <v/>
      </c>
    </row>
    <row r="429" customFormat="false" ht="15" hidden="false" customHeight="false" outlineLevel="0" collapsed="false">
      <c r="A429" s="14"/>
      <c r="B429" s="9"/>
      <c r="C429" s="9"/>
      <c r="D429" s="9"/>
      <c r="E429" s="9"/>
      <c r="F429" s="17" t="str">
        <f aca="false">IF(AND(A429="",B429="",C429=""),"",IF(NOT(ISNUMBER(A429)),"Enter the date done",IF(SUMPRODUCT(('PM Plan'!$A$5:$A$304=B429)*('PM Plan'!$B$5:$B$304=C429))=0,"No matching asset + task in plan","OK")))</f>
        <v/>
      </c>
    </row>
    <row r="430" customFormat="false" ht="15" hidden="false" customHeight="false" outlineLevel="0" collapsed="false">
      <c r="A430" s="14"/>
      <c r="B430" s="9"/>
      <c r="C430" s="9"/>
      <c r="D430" s="9"/>
      <c r="E430" s="9"/>
      <c r="F430" s="17" t="str">
        <f aca="false">IF(AND(A430="",B430="",C430=""),"",IF(NOT(ISNUMBER(A430)),"Enter the date done",IF(SUMPRODUCT(('PM Plan'!$A$5:$A$304=B430)*('PM Plan'!$B$5:$B$304=C430))=0,"No matching asset + task in plan","OK")))</f>
        <v/>
      </c>
    </row>
    <row r="431" customFormat="false" ht="15" hidden="false" customHeight="false" outlineLevel="0" collapsed="false">
      <c r="A431" s="14"/>
      <c r="B431" s="9"/>
      <c r="C431" s="9"/>
      <c r="D431" s="9"/>
      <c r="E431" s="9"/>
      <c r="F431" s="17" t="str">
        <f aca="false">IF(AND(A431="",B431="",C431=""),"",IF(NOT(ISNUMBER(A431)),"Enter the date done",IF(SUMPRODUCT(('PM Plan'!$A$5:$A$304=B431)*('PM Plan'!$B$5:$B$304=C431))=0,"No matching asset + task in plan","OK")))</f>
        <v/>
      </c>
    </row>
    <row r="432" customFormat="false" ht="15" hidden="false" customHeight="false" outlineLevel="0" collapsed="false">
      <c r="A432" s="14"/>
      <c r="B432" s="9"/>
      <c r="C432" s="9"/>
      <c r="D432" s="9"/>
      <c r="E432" s="9"/>
      <c r="F432" s="17" t="str">
        <f aca="false">IF(AND(A432="",B432="",C432=""),"",IF(NOT(ISNUMBER(A432)),"Enter the date done",IF(SUMPRODUCT(('PM Plan'!$A$5:$A$304=B432)*('PM Plan'!$B$5:$B$304=C432))=0,"No matching asset + task in plan","OK")))</f>
        <v/>
      </c>
    </row>
    <row r="433" customFormat="false" ht="15" hidden="false" customHeight="false" outlineLevel="0" collapsed="false">
      <c r="A433" s="14"/>
      <c r="B433" s="9"/>
      <c r="C433" s="9"/>
      <c r="D433" s="9"/>
      <c r="E433" s="9"/>
      <c r="F433" s="17" t="str">
        <f aca="false">IF(AND(A433="",B433="",C433=""),"",IF(NOT(ISNUMBER(A433)),"Enter the date done",IF(SUMPRODUCT(('PM Plan'!$A$5:$A$304=B433)*('PM Plan'!$B$5:$B$304=C433))=0,"No matching asset + task in plan","OK")))</f>
        <v/>
      </c>
    </row>
    <row r="434" customFormat="false" ht="15" hidden="false" customHeight="false" outlineLevel="0" collapsed="false">
      <c r="A434" s="14"/>
      <c r="B434" s="9"/>
      <c r="C434" s="9"/>
      <c r="D434" s="9"/>
      <c r="E434" s="9"/>
      <c r="F434" s="17" t="str">
        <f aca="false">IF(AND(A434="",B434="",C434=""),"",IF(NOT(ISNUMBER(A434)),"Enter the date done",IF(SUMPRODUCT(('PM Plan'!$A$5:$A$304=B434)*('PM Plan'!$B$5:$B$304=C434))=0,"No matching asset + task in plan","OK")))</f>
        <v/>
      </c>
    </row>
    <row r="435" customFormat="false" ht="15" hidden="false" customHeight="false" outlineLevel="0" collapsed="false">
      <c r="A435" s="14"/>
      <c r="B435" s="9"/>
      <c r="C435" s="9"/>
      <c r="D435" s="9"/>
      <c r="E435" s="9"/>
      <c r="F435" s="17" t="str">
        <f aca="false">IF(AND(A435="",B435="",C435=""),"",IF(NOT(ISNUMBER(A435)),"Enter the date done",IF(SUMPRODUCT(('PM Plan'!$A$5:$A$304=B435)*('PM Plan'!$B$5:$B$304=C435))=0,"No matching asset + task in plan","OK")))</f>
        <v/>
      </c>
    </row>
    <row r="436" customFormat="false" ht="15" hidden="false" customHeight="false" outlineLevel="0" collapsed="false">
      <c r="A436" s="14"/>
      <c r="B436" s="9"/>
      <c r="C436" s="9"/>
      <c r="D436" s="9"/>
      <c r="E436" s="9"/>
      <c r="F436" s="17" t="str">
        <f aca="false">IF(AND(A436="",B436="",C436=""),"",IF(NOT(ISNUMBER(A436)),"Enter the date done",IF(SUMPRODUCT(('PM Plan'!$A$5:$A$304=B436)*('PM Plan'!$B$5:$B$304=C436))=0,"No matching asset + task in plan","OK")))</f>
        <v/>
      </c>
    </row>
    <row r="437" customFormat="false" ht="15" hidden="false" customHeight="false" outlineLevel="0" collapsed="false">
      <c r="A437" s="14"/>
      <c r="B437" s="9"/>
      <c r="C437" s="9"/>
      <c r="D437" s="9"/>
      <c r="E437" s="9"/>
      <c r="F437" s="17" t="str">
        <f aca="false">IF(AND(A437="",B437="",C437=""),"",IF(NOT(ISNUMBER(A437)),"Enter the date done",IF(SUMPRODUCT(('PM Plan'!$A$5:$A$304=B437)*('PM Plan'!$B$5:$B$304=C437))=0,"No matching asset + task in plan","OK")))</f>
        <v/>
      </c>
    </row>
    <row r="438" customFormat="false" ht="15" hidden="false" customHeight="false" outlineLevel="0" collapsed="false">
      <c r="A438" s="14"/>
      <c r="B438" s="9"/>
      <c r="C438" s="9"/>
      <c r="D438" s="9"/>
      <c r="E438" s="9"/>
      <c r="F438" s="17" t="str">
        <f aca="false">IF(AND(A438="",B438="",C438=""),"",IF(NOT(ISNUMBER(A438)),"Enter the date done",IF(SUMPRODUCT(('PM Plan'!$A$5:$A$304=B438)*('PM Plan'!$B$5:$B$304=C438))=0,"No matching asset + task in plan","OK")))</f>
        <v/>
      </c>
    </row>
    <row r="439" customFormat="false" ht="15" hidden="false" customHeight="false" outlineLevel="0" collapsed="false">
      <c r="A439" s="14"/>
      <c r="B439" s="9"/>
      <c r="C439" s="9"/>
      <c r="D439" s="9"/>
      <c r="E439" s="9"/>
      <c r="F439" s="17" t="str">
        <f aca="false">IF(AND(A439="",B439="",C439=""),"",IF(NOT(ISNUMBER(A439)),"Enter the date done",IF(SUMPRODUCT(('PM Plan'!$A$5:$A$304=B439)*('PM Plan'!$B$5:$B$304=C439))=0,"No matching asset + task in plan","OK")))</f>
        <v/>
      </c>
    </row>
    <row r="440" customFormat="false" ht="15" hidden="false" customHeight="false" outlineLevel="0" collapsed="false">
      <c r="A440" s="14"/>
      <c r="B440" s="9"/>
      <c r="C440" s="9"/>
      <c r="D440" s="9"/>
      <c r="E440" s="9"/>
      <c r="F440" s="17" t="str">
        <f aca="false">IF(AND(A440="",B440="",C440=""),"",IF(NOT(ISNUMBER(A440)),"Enter the date done",IF(SUMPRODUCT(('PM Plan'!$A$5:$A$304=B440)*('PM Plan'!$B$5:$B$304=C440))=0,"No matching asset + task in plan","OK")))</f>
        <v/>
      </c>
    </row>
    <row r="441" customFormat="false" ht="15" hidden="false" customHeight="false" outlineLevel="0" collapsed="false">
      <c r="A441" s="14"/>
      <c r="B441" s="9"/>
      <c r="C441" s="9"/>
      <c r="D441" s="9"/>
      <c r="E441" s="9"/>
      <c r="F441" s="17" t="str">
        <f aca="false">IF(AND(A441="",B441="",C441=""),"",IF(NOT(ISNUMBER(A441)),"Enter the date done",IF(SUMPRODUCT(('PM Plan'!$A$5:$A$304=B441)*('PM Plan'!$B$5:$B$304=C441))=0,"No matching asset + task in plan","OK")))</f>
        <v/>
      </c>
    </row>
    <row r="442" customFormat="false" ht="15" hidden="false" customHeight="false" outlineLevel="0" collapsed="false">
      <c r="A442" s="14"/>
      <c r="B442" s="9"/>
      <c r="C442" s="9"/>
      <c r="D442" s="9"/>
      <c r="E442" s="9"/>
      <c r="F442" s="17" t="str">
        <f aca="false">IF(AND(A442="",B442="",C442=""),"",IF(NOT(ISNUMBER(A442)),"Enter the date done",IF(SUMPRODUCT(('PM Plan'!$A$5:$A$304=B442)*('PM Plan'!$B$5:$B$304=C442))=0,"No matching asset + task in plan","OK")))</f>
        <v/>
      </c>
    </row>
    <row r="443" customFormat="false" ht="15" hidden="false" customHeight="false" outlineLevel="0" collapsed="false">
      <c r="A443" s="14"/>
      <c r="B443" s="9"/>
      <c r="C443" s="9"/>
      <c r="D443" s="9"/>
      <c r="E443" s="9"/>
      <c r="F443" s="17" t="str">
        <f aca="false">IF(AND(A443="",B443="",C443=""),"",IF(NOT(ISNUMBER(A443)),"Enter the date done",IF(SUMPRODUCT(('PM Plan'!$A$5:$A$304=B443)*('PM Plan'!$B$5:$B$304=C443))=0,"No matching asset + task in plan","OK")))</f>
        <v/>
      </c>
    </row>
    <row r="444" customFormat="false" ht="15" hidden="false" customHeight="false" outlineLevel="0" collapsed="false">
      <c r="A444" s="14"/>
      <c r="B444" s="9"/>
      <c r="C444" s="9"/>
      <c r="D444" s="9"/>
      <c r="E444" s="9"/>
      <c r="F444" s="17" t="str">
        <f aca="false">IF(AND(A444="",B444="",C444=""),"",IF(NOT(ISNUMBER(A444)),"Enter the date done",IF(SUMPRODUCT(('PM Plan'!$A$5:$A$304=B444)*('PM Plan'!$B$5:$B$304=C444))=0,"No matching asset + task in plan","OK")))</f>
        <v/>
      </c>
    </row>
    <row r="445" customFormat="false" ht="15" hidden="false" customHeight="false" outlineLevel="0" collapsed="false">
      <c r="A445" s="14"/>
      <c r="B445" s="9"/>
      <c r="C445" s="9"/>
      <c r="D445" s="9"/>
      <c r="E445" s="9"/>
      <c r="F445" s="17" t="str">
        <f aca="false">IF(AND(A445="",B445="",C445=""),"",IF(NOT(ISNUMBER(A445)),"Enter the date done",IF(SUMPRODUCT(('PM Plan'!$A$5:$A$304=B445)*('PM Plan'!$B$5:$B$304=C445))=0,"No matching asset + task in plan","OK")))</f>
        <v/>
      </c>
    </row>
    <row r="446" customFormat="false" ht="15" hidden="false" customHeight="false" outlineLevel="0" collapsed="false">
      <c r="A446" s="14"/>
      <c r="B446" s="9"/>
      <c r="C446" s="9"/>
      <c r="D446" s="9"/>
      <c r="E446" s="9"/>
      <c r="F446" s="17" t="str">
        <f aca="false">IF(AND(A446="",B446="",C446=""),"",IF(NOT(ISNUMBER(A446)),"Enter the date done",IF(SUMPRODUCT(('PM Plan'!$A$5:$A$304=B446)*('PM Plan'!$B$5:$B$304=C446))=0,"No matching asset + task in plan","OK")))</f>
        <v/>
      </c>
    </row>
    <row r="447" customFormat="false" ht="15" hidden="false" customHeight="false" outlineLevel="0" collapsed="false">
      <c r="A447" s="14"/>
      <c r="B447" s="9"/>
      <c r="C447" s="9"/>
      <c r="D447" s="9"/>
      <c r="E447" s="9"/>
      <c r="F447" s="17" t="str">
        <f aca="false">IF(AND(A447="",B447="",C447=""),"",IF(NOT(ISNUMBER(A447)),"Enter the date done",IF(SUMPRODUCT(('PM Plan'!$A$5:$A$304=B447)*('PM Plan'!$B$5:$B$304=C447))=0,"No matching asset + task in plan","OK")))</f>
        <v/>
      </c>
    </row>
    <row r="448" customFormat="false" ht="15" hidden="false" customHeight="false" outlineLevel="0" collapsed="false">
      <c r="A448" s="14"/>
      <c r="B448" s="9"/>
      <c r="C448" s="9"/>
      <c r="D448" s="9"/>
      <c r="E448" s="9"/>
      <c r="F448" s="17" t="str">
        <f aca="false">IF(AND(A448="",B448="",C448=""),"",IF(NOT(ISNUMBER(A448)),"Enter the date done",IF(SUMPRODUCT(('PM Plan'!$A$5:$A$304=B448)*('PM Plan'!$B$5:$B$304=C448))=0,"No matching asset + task in plan","OK")))</f>
        <v/>
      </c>
    </row>
    <row r="449" customFormat="false" ht="15" hidden="false" customHeight="false" outlineLevel="0" collapsed="false">
      <c r="A449" s="14"/>
      <c r="B449" s="9"/>
      <c r="C449" s="9"/>
      <c r="D449" s="9"/>
      <c r="E449" s="9"/>
      <c r="F449" s="17" t="str">
        <f aca="false">IF(AND(A449="",B449="",C449=""),"",IF(NOT(ISNUMBER(A449)),"Enter the date done",IF(SUMPRODUCT(('PM Plan'!$A$5:$A$304=B449)*('PM Plan'!$B$5:$B$304=C449))=0,"No matching asset + task in plan","OK")))</f>
        <v/>
      </c>
    </row>
    <row r="450" customFormat="false" ht="15" hidden="false" customHeight="false" outlineLevel="0" collapsed="false">
      <c r="A450" s="14"/>
      <c r="B450" s="9"/>
      <c r="C450" s="9"/>
      <c r="D450" s="9"/>
      <c r="E450" s="9"/>
      <c r="F450" s="17" t="str">
        <f aca="false">IF(AND(A450="",B450="",C450=""),"",IF(NOT(ISNUMBER(A450)),"Enter the date done",IF(SUMPRODUCT(('PM Plan'!$A$5:$A$304=B450)*('PM Plan'!$B$5:$B$304=C450))=0,"No matching asset + task in plan","OK")))</f>
        <v/>
      </c>
    </row>
    <row r="451" customFormat="false" ht="15" hidden="false" customHeight="false" outlineLevel="0" collapsed="false">
      <c r="A451" s="14"/>
      <c r="B451" s="9"/>
      <c r="C451" s="9"/>
      <c r="D451" s="9"/>
      <c r="E451" s="9"/>
      <c r="F451" s="17" t="str">
        <f aca="false">IF(AND(A451="",B451="",C451=""),"",IF(NOT(ISNUMBER(A451)),"Enter the date done",IF(SUMPRODUCT(('PM Plan'!$A$5:$A$304=B451)*('PM Plan'!$B$5:$B$304=C451))=0,"No matching asset + task in plan","OK")))</f>
        <v/>
      </c>
    </row>
    <row r="452" customFormat="false" ht="15" hidden="false" customHeight="false" outlineLevel="0" collapsed="false">
      <c r="A452" s="14"/>
      <c r="B452" s="9"/>
      <c r="C452" s="9"/>
      <c r="D452" s="9"/>
      <c r="E452" s="9"/>
      <c r="F452" s="17" t="str">
        <f aca="false">IF(AND(A452="",B452="",C452=""),"",IF(NOT(ISNUMBER(A452)),"Enter the date done",IF(SUMPRODUCT(('PM Plan'!$A$5:$A$304=B452)*('PM Plan'!$B$5:$B$304=C452))=0,"No matching asset + task in plan","OK")))</f>
        <v/>
      </c>
    </row>
    <row r="453" customFormat="false" ht="15" hidden="false" customHeight="false" outlineLevel="0" collapsed="false">
      <c r="A453" s="14"/>
      <c r="B453" s="9"/>
      <c r="C453" s="9"/>
      <c r="D453" s="9"/>
      <c r="E453" s="9"/>
      <c r="F453" s="17" t="str">
        <f aca="false">IF(AND(A453="",B453="",C453=""),"",IF(NOT(ISNUMBER(A453)),"Enter the date done",IF(SUMPRODUCT(('PM Plan'!$A$5:$A$304=B453)*('PM Plan'!$B$5:$B$304=C453))=0,"No matching asset + task in plan","OK")))</f>
        <v/>
      </c>
    </row>
    <row r="454" customFormat="false" ht="15" hidden="false" customHeight="false" outlineLevel="0" collapsed="false">
      <c r="A454" s="14"/>
      <c r="B454" s="9"/>
      <c r="C454" s="9"/>
      <c r="D454" s="9"/>
      <c r="E454" s="9"/>
      <c r="F454" s="17" t="str">
        <f aca="false">IF(AND(A454="",B454="",C454=""),"",IF(NOT(ISNUMBER(A454)),"Enter the date done",IF(SUMPRODUCT(('PM Plan'!$A$5:$A$304=B454)*('PM Plan'!$B$5:$B$304=C454))=0,"No matching asset + task in plan","OK")))</f>
        <v/>
      </c>
    </row>
    <row r="455" customFormat="false" ht="15" hidden="false" customHeight="false" outlineLevel="0" collapsed="false">
      <c r="A455" s="14"/>
      <c r="B455" s="9"/>
      <c r="C455" s="9"/>
      <c r="D455" s="9"/>
      <c r="E455" s="9"/>
      <c r="F455" s="17" t="str">
        <f aca="false">IF(AND(A455="",B455="",C455=""),"",IF(NOT(ISNUMBER(A455)),"Enter the date done",IF(SUMPRODUCT(('PM Plan'!$A$5:$A$304=B455)*('PM Plan'!$B$5:$B$304=C455))=0,"No matching asset + task in plan","OK")))</f>
        <v/>
      </c>
    </row>
    <row r="456" customFormat="false" ht="15" hidden="false" customHeight="false" outlineLevel="0" collapsed="false">
      <c r="A456" s="14"/>
      <c r="B456" s="9"/>
      <c r="C456" s="9"/>
      <c r="D456" s="9"/>
      <c r="E456" s="9"/>
      <c r="F456" s="17" t="str">
        <f aca="false">IF(AND(A456="",B456="",C456=""),"",IF(NOT(ISNUMBER(A456)),"Enter the date done",IF(SUMPRODUCT(('PM Plan'!$A$5:$A$304=B456)*('PM Plan'!$B$5:$B$304=C456))=0,"No matching asset + task in plan","OK")))</f>
        <v/>
      </c>
    </row>
    <row r="457" customFormat="false" ht="15" hidden="false" customHeight="false" outlineLevel="0" collapsed="false">
      <c r="A457" s="14"/>
      <c r="B457" s="9"/>
      <c r="C457" s="9"/>
      <c r="D457" s="9"/>
      <c r="E457" s="9"/>
      <c r="F457" s="17" t="str">
        <f aca="false">IF(AND(A457="",B457="",C457=""),"",IF(NOT(ISNUMBER(A457)),"Enter the date done",IF(SUMPRODUCT(('PM Plan'!$A$5:$A$304=B457)*('PM Plan'!$B$5:$B$304=C457))=0,"No matching asset + task in plan","OK")))</f>
        <v/>
      </c>
    </row>
    <row r="458" customFormat="false" ht="15" hidden="false" customHeight="false" outlineLevel="0" collapsed="false">
      <c r="A458" s="14"/>
      <c r="B458" s="9"/>
      <c r="C458" s="9"/>
      <c r="D458" s="9"/>
      <c r="E458" s="9"/>
      <c r="F458" s="17" t="str">
        <f aca="false">IF(AND(A458="",B458="",C458=""),"",IF(NOT(ISNUMBER(A458)),"Enter the date done",IF(SUMPRODUCT(('PM Plan'!$A$5:$A$304=B458)*('PM Plan'!$B$5:$B$304=C458))=0,"No matching asset + task in plan","OK")))</f>
        <v/>
      </c>
    </row>
    <row r="459" customFormat="false" ht="15" hidden="false" customHeight="false" outlineLevel="0" collapsed="false">
      <c r="A459" s="14"/>
      <c r="B459" s="9"/>
      <c r="C459" s="9"/>
      <c r="D459" s="9"/>
      <c r="E459" s="9"/>
      <c r="F459" s="17" t="str">
        <f aca="false">IF(AND(A459="",B459="",C459=""),"",IF(NOT(ISNUMBER(A459)),"Enter the date done",IF(SUMPRODUCT(('PM Plan'!$A$5:$A$304=B459)*('PM Plan'!$B$5:$B$304=C459))=0,"No matching asset + task in plan","OK")))</f>
        <v/>
      </c>
    </row>
    <row r="460" customFormat="false" ht="15" hidden="false" customHeight="false" outlineLevel="0" collapsed="false">
      <c r="A460" s="14"/>
      <c r="B460" s="9"/>
      <c r="C460" s="9"/>
      <c r="D460" s="9"/>
      <c r="E460" s="9"/>
      <c r="F460" s="17" t="str">
        <f aca="false">IF(AND(A460="",B460="",C460=""),"",IF(NOT(ISNUMBER(A460)),"Enter the date done",IF(SUMPRODUCT(('PM Plan'!$A$5:$A$304=B460)*('PM Plan'!$B$5:$B$304=C460))=0,"No matching asset + task in plan","OK")))</f>
        <v/>
      </c>
    </row>
    <row r="461" customFormat="false" ht="15" hidden="false" customHeight="false" outlineLevel="0" collapsed="false">
      <c r="A461" s="14"/>
      <c r="B461" s="9"/>
      <c r="C461" s="9"/>
      <c r="D461" s="9"/>
      <c r="E461" s="9"/>
      <c r="F461" s="17" t="str">
        <f aca="false">IF(AND(A461="",B461="",C461=""),"",IF(NOT(ISNUMBER(A461)),"Enter the date done",IF(SUMPRODUCT(('PM Plan'!$A$5:$A$304=B461)*('PM Plan'!$B$5:$B$304=C461))=0,"No matching asset + task in plan","OK")))</f>
        <v/>
      </c>
    </row>
    <row r="462" customFormat="false" ht="15" hidden="false" customHeight="false" outlineLevel="0" collapsed="false">
      <c r="A462" s="14"/>
      <c r="B462" s="9"/>
      <c r="C462" s="9"/>
      <c r="D462" s="9"/>
      <c r="E462" s="9"/>
      <c r="F462" s="17" t="str">
        <f aca="false">IF(AND(A462="",B462="",C462=""),"",IF(NOT(ISNUMBER(A462)),"Enter the date done",IF(SUMPRODUCT(('PM Plan'!$A$5:$A$304=B462)*('PM Plan'!$B$5:$B$304=C462))=0,"No matching asset + task in plan","OK")))</f>
        <v/>
      </c>
    </row>
    <row r="463" customFormat="false" ht="15" hidden="false" customHeight="false" outlineLevel="0" collapsed="false">
      <c r="A463" s="14"/>
      <c r="B463" s="9"/>
      <c r="C463" s="9"/>
      <c r="D463" s="9"/>
      <c r="E463" s="9"/>
      <c r="F463" s="17" t="str">
        <f aca="false">IF(AND(A463="",B463="",C463=""),"",IF(NOT(ISNUMBER(A463)),"Enter the date done",IF(SUMPRODUCT(('PM Plan'!$A$5:$A$304=B463)*('PM Plan'!$B$5:$B$304=C463))=0,"No matching asset + task in plan","OK")))</f>
        <v/>
      </c>
    </row>
    <row r="464" customFormat="false" ht="15" hidden="false" customHeight="false" outlineLevel="0" collapsed="false">
      <c r="A464" s="14"/>
      <c r="B464" s="9"/>
      <c r="C464" s="9"/>
      <c r="D464" s="9"/>
      <c r="E464" s="9"/>
      <c r="F464" s="17" t="str">
        <f aca="false">IF(AND(A464="",B464="",C464=""),"",IF(NOT(ISNUMBER(A464)),"Enter the date done",IF(SUMPRODUCT(('PM Plan'!$A$5:$A$304=B464)*('PM Plan'!$B$5:$B$304=C464))=0,"No matching asset + task in plan","OK")))</f>
        <v/>
      </c>
    </row>
    <row r="465" customFormat="false" ht="15" hidden="false" customHeight="false" outlineLevel="0" collapsed="false">
      <c r="A465" s="14"/>
      <c r="B465" s="9"/>
      <c r="C465" s="9"/>
      <c r="D465" s="9"/>
      <c r="E465" s="9"/>
      <c r="F465" s="17" t="str">
        <f aca="false">IF(AND(A465="",B465="",C465=""),"",IF(NOT(ISNUMBER(A465)),"Enter the date done",IF(SUMPRODUCT(('PM Plan'!$A$5:$A$304=B465)*('PM Plan'!$B$5:$B$304=C465))=0,"No matching asset + task in plan","OK")))</f>
        <v/>
      </c>
    </row>
    <row r="466" customFormat="false" ht="15" hidden="false" customHeight="false" outlineLevel="0" collapsed="false">
      <c r="A466" s="14"/>
      <c r="B466" s="9"/>
      <c r="C466" s="9"/>
      <c r="D466" s="9"/>
      <c r="E466" s="9"/>
      <c r="F466" s="17" t="str">
        <f aca="false">IF(AND(A466="",B466="",C466=""),"",IF(NOT(ISNUMBER(A466)),"Enter the date done",IF(SUMPRODUCT(('PM Plan'!$A$5:$A$304=B466)*('PM Plan'!$B$5:$B$304=C466))=0,"No matching asset + task in plan","OK")))</f>
        <v/>
      </c>
    </row>
    <row r="467" customFormat="false" ht="15" hidden="false" customHeight="false" outlineLevel="0" collapsed="false">
      <c r="A467" s="14"/>
      <c r="B467" s="9"/>
      <c r="C467" s="9"/>
      <c r="D467" s="9"/>
      <c r="E467" s="9"/>
      <c r="F467" s="17" t="str">
        <f aca="false">IF(AND(A467="",B467="",C467=""),"",IF(NOT(ISNUMBER(A467)),"Enter the date done",IF(SUMPRODUCT(('PM Plan'!$A$5:$A$304=B467)*('PM Plan'!$B$5:$B$304=C467))=0,"No matching asset + task in plan","OK")))</f>
        <v/>
      </c>
    </row>
    <row r="468" customFormat="false" ht="15" hidden="false" customHeight="false" outlineLevel="0" collapsed="false">
      <c r="A468" s="14"/>
      <c r="B468" s="9"/>
      <c r="C468" s="9"/>
      <c r="D468" s="9"/>
      <c r="E468" s="9"/>
      <c r="F468" s="17" t="str">
        <f aca="false">IF(AND(A468="",B468="",C468=""),"",IF(NOT(ISNUMBER(A468)),"Enter the date done",IF(SUMPRODUCT(('PM Plan'!$A$5:$A$304=B468)*('PM Plan'!$B$5:$B$304=C468))=0,"No matching asset + task in plan","OK")))</f>
        <v/>
      </c>
    </row>
    <row r="469" customFormat="false" ht="15" hidden="false" customHeight="false" outlineLevel="0" collapsed="false">
      <c r="A469" s="14"/>
      <c r="B469" s="9"/>
      <c r="C469" s="9"/>
      <c r="D469" s="9"/>
      <c r="E469" s="9"/>
      <c r="F469" s="17" t="str">
        <f aca="false">IF(AND(A469="",B469="",C469=""),"",IF(NOT(ISNUMBER(A469)),"Enter the date done",IF(SUMPRODUCT(('PM Plan'!$A$5:$A$304=B469)*('PM Plan'!$B$5:$B$304=C469))=0,"No matching asset + task in plan","OK")))</f>
        <v/>
      </c>
    </row>
    <row r="470" customFormat="false" ht="15" hidden="false" customHeight="false" outlineLevel="0" collapsed="false">
      <c r="A470" s="14"/>
      <c r="B470" s="9"/>
      <c r="C470" s="9"/>
      <c r="D470" s="9"/>
      <c r="E470" s="9"/>
      <c r="F470" s="17" t="str">
        <f aca="false">IF(AND(A470="",B470="",C470=""),"",IF(NOT(ISNUMBER(A470)),"Enter the date done",IF(SUMPRODUCT(('PM Plan'!$A$5:$A$304=B470)*('PM Plan'!$B$5:$B$304=C470))=0,"No matching asset + task in plan","OK")))</f>
        <v/>
      </c>
    </row>
    <row r="471" customFormat="false" ht="15" hidden="false" customHeight="false" outlineLevel="0" collapsed="false">
      <c r="A471" s="14"/>
      <c r="B471" s="9"/>
      <c r="C471" s="9"/>
      <c r="D471" s="9"/>
      <c r="E471" s="9"/>
      <c r="F471" s="17" t="str">
        <f aca="false">IF(AND(A471="",B471="",C471=""),"",IF(NOT(ISNUMBER(A471)),"Enter the date done",IF(SUMPRODUCT(('PM Plan'!$A$5:$A$304=B471)*('PM Plan'!$B$5:$B$304=C471))=0,"No matching asset + task in plan","OK")))</f>
        <v/>
      </c>
    </row>
    <row r="472" customFormat="false" ht="15" hidden="false" customHeight="false" outlineLevel="0" collapsed="false">
      <c r="A472" s="14"/>
      <c r="B472" s="9"/>
      <c r="C472" s="9"/>
      <c r="D472" s="9"/>
      <c r="E472" s="9"/>
      <c r="F472" s="17" t="str">
        <f aca="false">IF(AND(A472="",B472="",C472=""),"",IF(NOT(ISNUMBER(A472)),"Enter the date done",IF(SUMPRODUCT(('PM Plan'!$A$5:$A$304=B472)*('PM Plan'!$B$5:$B$304=C472))=0,"No matching asset + task in plan","OK")))</f>
        <v/>
      </c>
    </row>
    <row r="473" customFormat="false" ht="15" hidden="false" customHeight="false" outlineLevel="0" collapsed="false">
      <c r="A473" s="14"/>
      <c r="B473" s="9"/>
      <c r="C473" s="9"/>
      <c r="D473" s="9"/>
      <c r="E473" s="9"/>
      <c r="F473" s="17" t="str">
        <f aca="false">IF(AND(A473="",B473="",C473=""),"",IF(NOT(ISNUMBER(A473)),"Enter the date done",IF(SUMPRODUCT(('PM Plan'!$A$5:$A$304=B473)*('PM Plan'!$B$5:$B$304=C473))=0,"No matching asset + task in plan","OK")))</f>
        <v/>
      </c>
    </row>
    <row r="474" customFormat="false" ht="15" hidden="false" customHeight="false" outlineLevel="0" collapsed="false">
      <c r="A474" s="14"/>
      <c r="B474" s="9"/>
      <c r="C474" s="9"/>
      <c r="D474" s="9"/>
      <c r="E474" s="9"/>
      <c r="F474" s="17" t="str">
        <f aca="false">IF(AND(A474="",B474="",C474=""),"",IF(NOT(ISNUMBER(A474)),"Enter the date done",IF(SUMPRODUCT(('PM Plan'!$A$5:$A$304=B474)*('PM Plan'!$B$5:$B$304=C474))=0,"No matching asset + task in plan","OK")))</f>
        <v/>
      </c>
    </row>
    <row r="475" customFormat="false" ht="15" hidden="false" customHeight="false" outlineLevel="0" collapsed="false">
      <c r="A475" s="14"/>
      <c r="B475" s="9"/>
      <c r="C475" s="9"/>
      <c r="D475" s="9"/>
      <c r="E475" s="9"/>
      <c r="F475" s="17" t="str">
        <f aca="false">IF(AND(A475="",B475="",C475=""),"",IF(NOT(ISNUMBER(A475)),"Enter the date done",IF(SUMPRODUCT(('PM Plan'!$A$5:$A$304=B475)*('PM Plan'!$B$5:$B$304=C475))=0,"No matching asset + task in plan","OK")))</f>
        <v/>
      </c>
    </row>
    <row r="476" customFormat="false" ht="15" hidden="false" customHeight="false" outlineLevel="0" collapsed="false">
      <c r="A476" s="14"/>
      <c r="B476" s="9"/>
      <c r="C476" s="9"/>
      <c r="D476" s="9"/>
      <c r="E476" s="9"/>
      <c r="F476" s="17" t="str">
        <f aca="false">IF(AND(A476="",B476="",C476=""),"",IF(NOT(ISNUMBER(A476)),"Enter the date done",IF(SUMPRODUCT(('PM Plan'!$A$5:$A$304=B476)*('PM Plan'!$B$5:$B$304=C476))=0,"No matching asset + task in plan","OK")))</f>
        <v/>
      </c>
    </row>
    <row r="477" customFormat="false" ht="15" hidden="false" customHeight="false" outlineLevel="0" collapsed="false">
      <c r="A477" s="14"/>
      <c r="B477" s="9"/>
      <c r="C477" s="9"/>
      <c r="D477" s="9"/>
      <c r="E477" s="9"/>
      <c r="F477" s="17" t="str">
        <f aca="false">IF(AND(A477="",B477="",C477=""),"",IF(NOT(ISNUMBER(A477)),"Enter the date done",IF(SUMPRODUCT(('PM Plan'!$A$5:$A$304=B477)*('PM Plan'!$B$5:$B$304=C477))=0,"No matching asset + task in plan","OK")))</f>
        <v/>
      </c>
    </row>
    <row r="478" customFormat="false" ht="15" hidden="false" customHeight="false" outlineLevel="0" collapsed="false">
      <c r="A478" s="14"/>
      <c r="B478" s="9"/>
      <c r="C478" s="9"/>
      <c r="D478" s="9"/>
      <c r="E478" s="9"/>
      <c r="F478" s="17" t="str">
        <f aca="false">IF(AND(A478="",B478="",C478=""),"",IF(NOT(ISNUMBER(A478)),"Enter the date done",IF(SUMPRODUCT(('PM Plan'!$A$5:$A$304=B478)*('PM Plan'!$B$5:$B$304=C478))=0,"No matching asset + task in plan","OK")))</f>
        <v/>
      </c>
    </row>
    <row r="479" customFormat="false" ht="15" hidden="false" customHeight="false" outlineLevel="0" collapsed="false">
      <c r="A479" s="14"/>
      <c r="B479" s="9"/>
      <c r="C479" s="9"/>
      <c r="D479" s="9"/>
      <c r="E479" s="9"/>
      <c r="F479" s="17" t="str">
        <f aca="false">IF(AND(A479="",B479="",C479=""),"",IF(NOT(ISNUMBER(A479)),"Enter the date done",IF(SUMPRODUCT(('PM Plan'!$A$5:$A$304=B479)*('PM Plan'!$B$5:$B$304=C479))=0,"No matching asset + task in plan","OK")))</f>
        <v/>
      </c>
    </row>
    <row r="480" customFormat="false" ht="15" hidden="false" customHeight="false" outlineLevel="0" collapsed="false">
      <c r="A480" s="14"/>
      <c r="B480" s="9"/>
      <c r="C480" s="9"/>
      <c r="D480" s="9"/>
      <c r="E480" s="9"/>
      <c r="F480" s="17" t="str">
        <f aca="false">IF(AND(A480="",B480="",C480=""),"",IF(NOT(ISNUMBER(A480)),"Enter the date done",IF(SUMPRODUCT(('PM Plan'!$A$5:$A$304=B480)*('PM Plan'!$B$5:$B$304=C480))=0,"No matching asset + task in plan","OK")))</f>
        <v/>
      </c>
    </row>
    <row r="481" customFormat="false" ht="15" hidden="false" customHeight="false" outlineLevel="0" collapsed="false">
      <c r="A481" s="14"/>
      <c r="B481" s="9"/>
      <c r="C481" s="9"/>
      <c r="D481" s="9"/>
      <c r="E481" s="9"/>
      <c r="F481" s="17" t="str">
        <f aca="false">IF(AND(A481="",B481="",C481=""),"",IF(NOT(ISNUMBER(A481)),"Enter the date done",IF(SUMPRODUCT(('PM Plan'!$A$5:$A$304=B481)*('PM Plan'!$B$5:$B$304=C481))=0,"No matching asset + task in plan","OK")))</f>
        <v/>
      </c>
    </row>
    <row r="482" customFormat="false" ht="15" hidden="false" customHeight="false" outlineLevel="0" collapsed="false">
      <c r="A482" s="14"/>
      <c r="B482" s="9"/>
      <c r="C482" s="9"/>
      <c r="D482" s="9"/>
      <c r="E482" s="9"/>
      <c r="F482" s="17" t="str">
        <f aca="false">IF(AND(A482="",B482="",C482=""),"",IF(NOT(ISNUMBER(A482)),"Enter the date done",IF(SUMPRODUCT(('PM Plan'!$A$5:$A$304=B482)*('PM Plan'!$B$5:$B$304=C482))=0,"No matching asset + task in plan","OK")))</f>
        <v/>
      </c>
    </row>
    <row r="483" customFormat="false" ht="15" hidden="false" customHeight="false" outlineLevel="0" collapsed="false">
      <c r="A483" s="14"/>
      <c r="B483" s="9"/>
      <c r="C483" s="9"/>
      <c r="D483" s="9"/>
      <c r="E483" s="9"/>
      <c r="F483" s="17" t="str">
        <f aca="false">IF(AND(A483="",B483="",C483=""),"",IF(NOT(ISNUMBER(A483)),"Enter the date done",IF(SUMPRODUCT(('PM Plan'!$A$5:$A$304=B483)*('PM Plan'!$B$5:$B$304=C483))=0,"No matching asset + task in plan","OK")))</f>
        <v/>
      </c>
    </row>
    <row r="484" customFormat="false" ht="15" hidden="false" customHeight="false" outlineLevel="0" collapsed="false">
      <c r="A484" s="14"/>
      <c r="B484" s="9"/>
      <c r="C484" s="9"/>
      <c r="D484" s="9"/>
      <c r="E484" s="9"/>
      <c r="F484" s="17" t="str">
        <f aca="false">IF(AND(A484="",B484="",C484=""),"",IF(NOT(ISNUMBER(A484)),"Enter the date done",IF(SUMPRODUCT(('PM Plan'!$A$5:$A$304=B484)*('PM Plan'!$B$5:$B$304=C484))=0,"No matching asset + task in plan","OK")))</f>
        <v/>
      </c>
    </row>
    <row r="485" customFormat="false" ht="15" hidden="false" customHeight="false" outlineLevel="0" collapsed="false">
      <c r="A485" s="14"/>
      <c r="B485" s="9"/>
      <c r="C485" s="9"/>
      <c r="D485" s="9"/>
      <c r="E485" s="9"/>
      <c r="F485" s="17" t="str">
        <f aca="false">IF(AND(A485="",B485="",C485=""),"",IF(NOT(ISNUMBER(A485)),"Enter the date done",IF(SUMPRODUCT(('PM Plan'!$A$5:$A$304=B485)*('PM Plan'!$B$5:$B$304=C485))=0,"No matching asset + task in plan","OK")))</f>
        <v/>
      </c>
    </row>
    <row r="486" customFormat="false" ht="15" hidden="false" customHeight="false" outlineLevel="0" collapsed="false">
      <c r="A486" s="14"/>
      <c r="B486" s="9"/>
      <c r="C486" s="9"/>
      <c r="D486" s="9"/>
      <c r="E486" s="9"/>
      <c r="F486" s="17" t="str">
        <f aca="false">IF(AND(A486="",B486="",C486=""),"",IF(NOT(ISNUMBER(A486)),"Enter the date done",IF(SUMPRODUCT(('PM Plan'!$A$5:$A$304=B486)*('PM Plan'!$B$5:$B$304=C486))=0,"No matching asset + task in plan","OK")))</f>
        <v/>
      </c>
    </row>
    <row r="487" customFormat="false" ht="15" hidden="false" customHeight="false" outlineLevel="0" collapsed="false">
      <c r="A487" s="14"/>
      <c r="B487" s="9"/>
      <c r="C487" s="9"/>
      <c r="D487" s="9"/>
      <c r="E487" s="9"/>
      <c r="F487" s="17" t="str">
        <f aca="false">IF(AND(A487="",B487="",C487=""),"",IF(NOT(ISNUMBER(A487)),"Enter the date done",IF(SUMPRODUCT(('PM Plan'!$A$5:$A$304=B487)*('PM Plan'!$B$5:$B$304=C487))=0,"No matching asset + task in plan","OK")))</f>
        <v/>
      </c>
    </row>
    <row r="488" customFormat="false" ht="15" hidden="false" customHeight="false" outlineLevel="0" collapsed="false">
      <c r="A488" s="14"/>
      <c r="B488" s="9"/>
      <c r="C488" s="9"/>
      <c r="D488" s="9"/>
      <c r="E488" s="9"/>
      <c r="F488" s="17" t="str">
        <f aca="false">IF(AND(A488="",B488="",C488=""),"",IF(NOT(ISNUMBER(A488)),"Enter the date done",IF(SUMPRODUCT(('PM Plan'!$A$5:$A$304=B488)*('PM Plan'!$B$5:$B$304=C488))=0,"No matching asset + task in plan","OK")))</f>
        <v/>
      </c>
    </row>
    <row r="489" customFormat="false" ht="15" hidden="false" customHeight="false" outlineLevel="0" collapsed="false">
      <c r="A489" s="14"/>
      <c r="B489" s="9"/>
      <c r="C489" s="9"/>
      <c r="D489" s="9"/>
      <c r="E489" s="9"/>
      <c r="F489" s="17" t="str">
        <f aca="false">IF(AND(A489="",B489="",C489=""),"",IF(NOT(ISNUMBER(A489)),"Enter the date done",IF(SUMPRODUCT(('PM Plan'!$A$5:$A$304=B489)*('PM Plan'!$B$5:$B$304=C489))=0,"No matching asset + task in plan","OK")))</f>
        <v/>
      </c>
    </row>
    <row r="490" customFormat="false" ht="15" hidden="false" customHeight="false" outlineLevel="0" collapsed="false">
      <c r="A490" s="14"/>
      <c r="B490" s="9"/>
      <c r="C490" s="9"/>
      <c r="D490" s="9"/>
      <c r="E490" s="9"/>
      <c r="F490" s="17" t="str">
        <f aca="false">IF(AND(A490="",B490="",C490=""),"",IF(NOT(ISNUMBER(A490)),"Enter the date done",IF(SUMPRODUCT(('PM Plan'!$A$5:$A$304=B490)*('PM Plan'!$B$5:$B$304=C490))=0,"No matching asset + task in plan","OK")))</f>
        <v/>
      </c>
    </row>
    <row r="491" customFormat="false" ht="15" hidden="false" customHeight="false" outlineLevel="0" collapsed="false">
      <c r="A491" s="14"/>
      <c r="B491" s="9"/>
      <c r="C491" s="9"/>
      <c r="D491" s="9"/>
      <c r="E491" s="9"/>
      <c r="F491" s="17" t="str">
        <f aca="false">IF(AND(A491="",B491="",C491=""),"",IF(NOT(ISNUMBER(A491)),"Enter the date done",IF(SUMPRODUCT(('PM Plan'!$A$5:$A$304=B491)*('PM Plan'!$B$5:$B$304=C491))=0,"No matching asset + task in plan","OK")))</f>
        <v/>
      </c>
    </row>
    <row r="492" customFormat="false" ht="15" hidden="false" customHeight="false" outlineLevel="0" collapsed="false">
      <c r="A492" s="14"/>
      <c r="B492" s="9"/>
      <c r="C492" s="9"/>
      <c r="D492" s="9"/>
      <c r="E492" s="9"/>
      <c r="F492" s="17" t="str">
        <f aca="false">IF(AND(A492="",B492="",C492=""),"",IF(NOT(ISNUMBER(A492)),"Enter the date done",IF(SUMPRODUCT(('PM Plan'!$A$5:$A$304=B492)*('PM Plan'!$B$5:$B$304=C492))=0,"No matching asset + task in plan","OK")))</f>
        <v/>
      </c>
    </row>
    <row r="493" customFormat="false" ht="15" hidden="false" customHeight="false" outlineLevel="0" collapsed="false">
      <c r="A493" s="14"/>
      <c r="B493" s="9"/>
      <c r="C493" s="9"/>
      <c r="D493" s="9"/>
      <c r="E493" s="9"/>
      <c r="F493" s="17" t="str">
        <f aca="false">IF(AND(A493="",B493="",C493=""),"",IF(NOT(ISNUMBER(A493)),"Enter the date done",IF(SUMPRODUCT(('PM Plan'!$A$5:$A$304=B493)*('PM Plan'!$B$5:$B$304=C493))=0,"No matching asset + task in plan","OK")))</f>
        <v/>
      </c>
    </row>
    <row r="494" customFormat="false" ht="15" hidden="false" customHeight="false" outlineLevel="0" collapsed="false">
      <c r="A494" s="14"/>
      <c r="B494" s="9"/>
      <c r="C494" s="9"/>
      <c r="D494" s="9"/>
      <c r="E494" s="9"/>
      <c r="F494" s="17" t="str">
        <f aca="false">IF(AND(A494="",B494="",C494=""),"",IF(NOT(ISNUMBER(A494)),"Enter the date done",IF(SUMPRODUCT(('PM Plan'!$A$5:$A$304=B494)*('PM Plan'!$B$5:$B$304=C494))=0,"No matching asset + task in plan","OK")))</f>
        <v/>
      </c>
    </row>
    <row r="495" customFormat="false" ht="15" hidden="false" customHeight="false" outlineLevel="0" collapsed="false">
      <c r="A495" s="14"/>
      <c r="B495" s="9"/>
      <c r="C495" s="9"/>
      <c r="D495" s="9"/>
      <c r="E495" s="9"/>
      <c r="F495" s="17" t="str">
        <f aca="false">IF(AND(A495="",B495="",C495=""),"",IF(NOT(ISNUMBER(A495)),"Enter the date done",IF(SUMPRODUCT(('PM Plan'!$A$5:$A$304=B495)*('PM Plan'!$B$5:$B$304=C495))=0,"No matching asset + task in plan","OK")))</f>
        <v/>
      </c>
    </row>
    <row r="496" customFormat="false" ht="15" hidden="false" customHeight="false" outlineLevel="0" collapsed="false">
      <c r="A496" s="14"/>
      <c r="B496" s="9"/>
      <c r="C496" s="9"/>
      <c r="D496" s="9"/>
      <c r="E496" s="9"/>
      <c r="F496" s="17" t="str">
        <f aca="false">IF(AND(A496="",B496="",C496=""),"",IF(NOT(ISNUMBER(A496)),"Enter the date done",IF(SUMPRODUCT(('PM Plan'!$A$5:$A$304=B496)*('PM Plan'!$B$5:$B$304=C496))=0,"No matching asset + task in plan","OK")))</f>
        <v/>
      </c>
    </row>
    <row r="497" customFormat="false" ht="15" hidden="false" customHeight="false" outlineLevel="0" collapsed="false">
      <c r="A497" s="14"/>
      <c r="B497" s="9"/>
      <c r="C497" s="9"/>
      <c r="D497" s="9"/>
      <c r="E497" s="9"/>
      <c r="F497" s="17" t="str">
        <f aca="false">IF(AND(A497="",B497="",C497=""),"",IF(NOT(ISNUMBER(A497)),"Enter the date done",IF(SUMPRODUCT(('PM Plan'!$A$5:$A$304=B497)*('PM Plan'!$B$5:$B$304=C497))=0,"No matching asset + task in plan","OK")))</f>
        <v/>
      </c>
    </row>
    <row r="498" customFormat="false" ht="15" hidden="false" customHeight="false" outlineLevel="0" collapsed="false">
      <c r="A498" s="14"/>
      <c r="B498" s="9"/>
      <c r="C498" s="9"/>
      <c r="D498" s="9"/>
      <c r="E498" s="9"/>
      <c r="F498" s="17" t="str">
        <f aca="false">IF(AND(A498="",B498="",C498=""),"",IF(NOT(ISNUMBER(A498)),"Enter the date done",IF(SUMPRODUCT(('PM Plan'!$A$5:$A$304=B498)*('PM Plan'!$B$5:$B$304=C498))=0,"No matching asset + task in plan","OK")))</f>
        <v/>
      </c>
    </row>
    <row r="499" customFormat="false" ht="15" hidden="false" customHeight="false" outlineLevel="0" collapsed="false">
      <c r="A499" s="14"/>
      <c r="B499" s="9"/>
      <c r="C499" s="9"/>
      <c r="D499" s="9"/>
      <c r="E499" s="9"/>
      <c r="F499" s="17" t="str">
        <f aca="false">IF(AND(A499="",B499="",C499=""),"",IF(NOT(ISNUMBER(A499)),"Enter the date done",IF(SUMPRODUCT(('PM Plan'!$A$5:$A$304=B499)*('PM Plan'!$B$5:$B$304=C499))=0,"No matching asset + task in plan","OK")))</f>
        <v/>
      </c>
    </row>
    <row r="500" customFormat="false" ht="15" hidden="false" customHeight="false" outlineLevel="0" collapsed="false">
      <c r="A500" s="14"/>
      <c r="B500" s="9"/>
      <c r="C500" s="9"/>
      <c r="D500" s="9"/>
      <c r="E500" s="9"/>
      <c r="F500" s="17" t="str">
        <f aca="false">IF(AND(A500="",B500="",C500=""),"",IF(NOT(ISNUMBER(A500)),"Enter the date done",IF(SUMPRODUCT(('PM Plan'!$A$5:$A$304=B500)*('PM Plan'!$B$5:$B$304=C500))=0,"No matching asset + task in plan","OK")))</f>
        <v/>
      </c>
    </row>
    <row r="501" customFormat="false" ht="15" hidden="false" customHeight="false" outlineLevel="0" collapsed="false">
      <c r="A501" s="14"/>
      <c r="B501" s="9"/>
      <c r="C501" s="9"/>
      <c r="D501" s="9"/>
      <c r="E501" s="9"/>
      <c r="F501" s="17" t="str">
        <f aca="false">IF(AND(A501="",B501="",C501=""),"",IF(NOT(ISNUMBER(A501)),"Enter the date done",IF(SUMPRODUCT(('PM Plan'!$A$5:$A$304=B501)*('PM Plan'!$B$5:$B$304=C501))=0,"No matching asset + task in plan","OK")))</f>
        <v/>
      </c>
    </row>
    <row r="502" customFormat="false" ht="15" hidden="false" customHeight="false" outlineLevel="0" collapsed="false">
      <c r="A502" s="14"/>
      <c r="B502" s="9"/>
      <c r="C502" s="9"/>
      <c r="D502" s="9"/>
      <c r="E502" s="9"/>
      <c r="F502" s="17" t="str">
        <f aca="false">IF(AND(A502="",B502="",C502=""),"",IF(NOT(ISNUMBER(A502)),"Enter the date done",IF(SUMPRODUCT(('PM Plan'!$A$5:$A$304=B502)*('PM Plan'!$B$5:$B$304=C502))=0,"No matching asset + task in plan","OK")))</f>
        <v/>
      </c>
    </row>
    <row r="503" customFormat="false" ht="15" hidden="false" customHeight="false" outlineLevel="0" collapsed="false">
      <c r="A503" s="14"/>
      <c r="B503" s="9"/>
      <c r="C503" s="9"/>
      <c r="D503" s="9"/>
      <c r="E503" s="9"/>
      <c r="F503" s="17" t="str">
        <f aca="false">IF(AND(A503="",B503="",C503=""),"",IF(NOT(ISNUMBER(A503)),"Enter the date done",IF(SUMPRODUCT(('PM Plan'!$A$5:$A$304=B503)*('PM Plan'!$B$5:$B$304=C503))=0,"No matching asset + task in plan","OK")))</f>
        <v/>
      </c>
    </row>
    <row r="504" customFormat="false" ht="15" hidden="false" customHeight="false" outlineLevel="0" collapsed="false">
      <c r="A504" s="14"/>
      <c r="B504" s="9"/>
      <c r="C504" s="9"/>
      <c r="D504" s="9"/>
      <c r="E504" s="9"/>
      <c r="F504" s="17" t="str">
        <f aca="false">IF(AND(A504="",B504="",C504=""),"",IF(NOT(ISNUMBER(A504)),"Enter the date done",IF(SUMPRODUCT(('PM Plan'!$A$5:$A$304=B504)*('PM Plan'!$B$5:$B$304=C504))=0,"No matching asset + task in plan","OK")))</f>
        <v/>
      </c>
    </row>
    <row r="505" customFormat="false" ht="15" hidden="false" customHeight="false" outlineLevel="0" collapsed="false">
      <c r="A505" s="14"/>
      <c r="B505" s="9"/>
      <c r="C505" s="9"/>
      <c r="D505" s="9"/>
      <c r="E505" s="9"/>
      <c r="F505" s="17" t="str">
        <f aca="false">IF(AND(A505="",B505="",C505=""),"",IF(NOT(ISNUMBER(A505)),"Enter the date done",IF(SUMPRODUCT(('PM Plan'!$A$5:$A$304=B505)*('PM Plan'!$B$5:$B$304=C505))=0,"No matching asset + task in plan","OK")))</f>
        <v/>
      </c>
    </row>
    <row r="506" customFormat="false" ht="15" hidden="false" customHeight="false" outlineLevel="0" collapsed="false">
      <c r="A506" s="14"/>
      <c r="B506" s="9"/>
      <c r="C506" s="9"/>
      <c r="D506" s="9"/>
      <c r="E506" s="9"/>
      <c r="F506" s="17" t="str">
        <f aca="false">IF(AND(A506="",B506="",C506=""),"",IF(NOT(ISNUMBER(A506)),"Enter the date done",IF(SUMPRODUCT(('PM Plan'!$A$5:$A$304=B506)*('PM Plan'!$B$5:$B$304=C506))=0,"No matching asset + task in plan","OK")))</f>
        <v/>
      </c>
    </row>
    <row r="507" customFormat="false" ht="15" hidden="false" customHeight="false" outlineLevel="0" collapsed="false">
      <c r="A507" s="14"/>
      <c r="B507" s="9"/>
      <c r="C507" s="9"/>
      <c r="D507" s="9"/>
      <c r="E507" s="9"/>
      <c r="F507" s="17" t="str">
        <f aca="false">IF(AND(A507="",B507="",C507=""),"",IF(NOT(ISNUMBER(A507)),"Enter the date done",IF(SUMPRODUCT(('PM Plan'!$A$5:$A$304=B507)*('PM Plan'!$B$5:$B$304=C507))=0,"No matching asset + task in plan","OK")))</f>
        <v/>
      </c>
    </row>
    <row r="508" customFormat="false" ht="15" hidden="false" customHeight="false" outlineLevel="0" collapsed="false">
      <c r="A508" s="14"/>
      <c r="B508" s="9"/>
      <c r="C508" s="9"/>
      <c r="D508" s="9"/>
      <c r="E508" s="9"/>
      <c r="F508" s="17" t="str">
        <f aca="false">IF(AND(A508="",B508="",C508=""),"",IF(NOT(ISNUMBER(A508)),"Enter the date done",IF(SUMPRODUCT(('PM Plan'!$A$5:$A$304=B508)*('PM Plan'!$B$5:$B$304=C508))=0,"No matching asset + task in plan","OK")))</f>
        <v/>
      </c>
    </row>
    <row r="509" customFormat="false" ht="15" hidden="false" customHeight="false" outlineLevel="0" collapsed="false">
      <c r="A509" s="14"/>
      <c r="B509" s="9"/>
      <c r="C509" s="9"/>
      <c r="D509" s="9"/>
      <c r="E509" s="9"/>
      <c r="F509" s="17" t="str">
        <f aca="false">IF(AND(A509="",B509="",C509=""),"",IF(NOT(ISNUMBER(A509)),"Enter the date done",IF(SUMPRODUCT(('PM Plan'!$A$5:$A$304=B509)*('PM Plan'!$B$5:$B$304=C509))=0,"No matching asset + task in plan","OK")))</f>
        <v/>
      </c>
    </row>
    <row r="510" customFormat="false" ht="15" hidden="false" customHeight="false" outlineLevel="0" collapsed="false">
      <c r="A510" s="14"/>
      <c r="B510" s="9"/>
      <c r="C510" s="9"/>
      <c r="D510" s="9"/>
      <c r="E510" s="9"/>
      <c r="F510" s="17" t="str">
        <f aca="false">IF(AND(A510="",B510="",C510=""),"",IF(NOT(ISNUMBER(A510)),"Enter the date done",IF(SUMPRODUCT(('PM Plan'!$A$5:$A$304=B510)*('PM Plan'!$B$5:$B$304=C510))=0,"No matching asset + task in plan","OK")))</f>
        <v/>
      </c>
    </row>
    <row r="511" customFormat="false" ht="15" hidden="false" customHeight="false" outlineLevel="0" collapsed="false">
      <c r="A511" s="14"/>
      <c r="B511" s="9"/>
      <c r="C511" s="9"/>
      <c r="D511" s="9"/>
      <c r="E511" s="9"/>
      <c r="F511" s="17" t="str">
        <f aca="false">IF(AND(A511="",B511="",C511=""),"",IF(NOT(ISNUMBER(A511)),"Enter the date done",IF(SUMPRODUCT(('PM Plan'!$A$5:$A$304=B511)*('PM Plan'!$B$5:$B$304=C511))=0,"No matching asset + task in plan","OK")))</f>
        <v/>
      </c>
    </row>
    <row r="512" customFormat="false" ht="15" hidden="false" customHeight="false" outlineLevel="0" collapsed="false">
      <c r="A512" s="14"/>
      <c r="B512" s="9"/>
      <c r="C512" s="9"/>
      <c r="D512" s="9"/>
      <c r="E512" s="9"/>
      <c r="F512" s="17" t="str">
        <f aca="false">IF(AND(A512="",B512="",C512=""),"",IF(NOT(ISNUMBER(A512)),"Enter the date done",IF(SUMPRODUCT(('PM Plan'!$A$5:$A$304=B512)*('PM Plan'!$B$5:$B$304=C512))=0,"No matching asset + task in plan","OK")))</f>
        <v/>
      </c>
    </row>
    <row r="513" customFormat="false" ht="15" hidden="false" customHeight="false" outlineLevel="0" collapsed="false">
      <c r="A513" s="14"/>
      <c r="B513" s="9"/>
      <c r="C513" s="9"/>
      <c r="D513" s="9"/>
      <c r="E513" s="9"/>
      <c r="F513" s="17" t="str">
        <f aca="false">IF(AND(A513="",B513="",C513=""),"",IF(NOT(ISNUMBER(A513)),"Enter the date done",IF(SUMPRODUCT(('PM Plan'!$A$5:$A$304=B513)*('PM Plan'!$B$5:$B$304=C513))=0,"No matching asset + task in plan","OK")))</f>
        <v/>
      </c>
    </row>
    <row r="514" customFormat="false" ht="15" hidden="false" customHeight="false" outlineLevel="0" collapsed="false">
      <c r="A514" s="14"/>
      <c r="B514" s="9"/>
      <c r="C514" s="9"/>
      <c r="D514" s="9"/>
      <c r="E514" s="9"/>
      <c r="F514" s="17" t="str">
        <f aca="false">IF(AND(A514="",B514="",C514=""),"",IF(NOT(ISNUMBER(A514)),"Enter the date done",IF(SUMPRODUCT(('PM Plan'!$A$5:$A$304=B514)*('PM Plan'!$B$5:$B$304=C514))=0,"No matching asset + task in plan","OK")))</f>
        <v/>
      </c>
    </row>
    <row r="515" customFormat="false" ht="15" hidden="false" customHeight="false" outlineLevel="0" collapsed="false">
      <c r="A515" s="14"/>
      <c r="B515" s="9"/>
      <c r="C515" s="9"/>
      <c r="D515" s="9"/>
      <c r="E515" s="9"/>
      <c r="F515" s="17" t="str">
        <f aca="false">IF(AND(A515="",B515="",C515=""),"",IF(NOT(ISNUMBER(A515)),"Enter the date done",IF(SUMPRODUCT(('PM Plan'!$A$5:$A$304=B515)*('PM Plan'!$B$5:$B$304=C515))=0,"No matching asset + task in plan","OK")))</f>
        <v/>
      </c>
    </row>
    <row r="516" customFormat="false" ht="15" hidden="false" customHeight="false" outlineLevel="0" collapsed="false">
      <c r="A516" s="14"/>
      <c r="B516" s="9"/>
      <c r="C516" s="9"/>
      <c r="D516" s="9"/>
      <c r="E516" s="9"/>
      <c r="F516" s="17" t="str">
        <f aca="false">IF(AND(A516="",B516="",C516=""),"",IF(NOT(ISNUMBER(A516)),"Enter the date done",IF(SUMPRODUCT(('PM Plan'!$A$5:$A$304=B516)*('PM Plan'!$B$5:$B$304=C516))=0,"No matching asset + task in plan","OK")))</f>
        <v/>
      </c>
    </row>
    <row r="517" customFormat="false" ht="15" hidden="false" customHeight="false" outlineLevel="0" collapsed="false">
      <c r="A517" s="14"/>
      <c r="B517" s="9"/>
      <c r="C517" s="9"/>
      <c r="D517" s="9"/>
      <c r="E517" s="9"/>
      <c r="F517" s="17" t="str">
        <f aca="false">IF(AND(A517="",B517="",C517=""),"",IF(NOT(ISNUMBER(A517)),"Enter the date done",IF(SUMPRODUCT(('PM Plan'!$A$5:$A$304=B517)*('PM Plan'!$B$5:$B$304=C517))=0,"No matching asset + task in plan","OK")))</f>
        <v/>
      </c>
    </row>
    <row r="518" customFormat="false" ht="15" hidden="false" customHeight="false" outlineLevel="0" collapsed="false">
      <c r="A518" s="14"/>
      <c r="B518" s="9"/>
      <c r="C518" s="9"/>
      <c r="D518" s="9"/>
      <c r="E518" s="9"/>
      <c r="F518" s="17" t="str">
        <f aca="false">IF(AND(A518="",B518="",C518=""),"",IF(NOT(ISNUMBER(A518)),"Enter the date done",IF(SUMPRODUCT(('PM Plan'!$A$5:$A$304=B518)*('PM Plan'!$B$5:$B$304=C518))=0,"No matching asset + task in plan","OK")))</f>
        <v/>
      </c>
    </row>
    <row r="519" customFormat="false" ht="15" hidden="false" customHeight="false" outlineLevel="0" collapsed="false">
      <c r="A519" s="14"/>
      <c r="B519" s="9"/>
      <c r="C519" s="9"/>
      <c r="D519" s="9"/>
      <c r="E519" s="9"/>
      <c r="F519" s="17" t="str">
        <f aca="false">IF(AND(A519="",B519="",C519=""),"",IF(NOT(ISNUMBER(A519)),"Enter the date done",IF(SUMPRODUCT(('PM Plan'!$A$5:$A$304=B519)*('PM Plan'!$B$5:$B$304=C519))=0,"No matching asset + task in plan","OK")))</f>
        <v/>
      </c>
    </row>
    <row r="520" customFormat="false" ht="15" hidden="false" customHeight="false" outlineLevel="0" collapsed="false">
      <c r="A520" s="14"/>
      <c r="B520" s="9"/>
      <c r="C520" s="9"/>
      <c r="D520" s="9"/>
      <c r="E520" s="9"/>
      <c r="F520" s="17" t="str">
        <f aca="false">IF(AND(A520="",B520="",C520=""),"",IF(NOT(ISNUMBER(A520)),"Enter the date done",IF(SUMPRODUCT(('PM Plan'!$A$5:$A$304=B520)*('PM Plan'!$B$5:$B$304=C520))=0,"No matching asset + task in plan","OK")))</f>
        <v/>
      </c>
    </row>
    <row r="521" customFormat="false" ht="15" hidden="false" customHeight="false" outlineLevel="0" collapsed="false">
      <c r="A521" s="14"/>
      <c r="B521" s="9"/>
      <c r="C521" s="9"/>
      <c r="D521" s="9"/>
      <c r="E521" s="9"/>
      <c r="F521" s="17" t="str">
        <f aca="false">IF(AND(A521="",B521="",C521=""),"",IF(NOT(ISNUMBER(A521)),"Enter the date done",IF(SUMPRODUCT(('PM Plan'!$A$5:$A$304=B521)*('PM Plan'!$B$5:$B$304=C521))=0,"No matching asset + task in plan","OK")))</f>
        <v/>
      </c>
    </row>
    <row r="522" customFormat="false" ht="15" hidden="false" customHeight="false" outlineLevel="0" collapsed="false">
      <c r="A522" s="14"/>
      <c r="B522" s="9"/>
      <c r="C522" s="9"/>
      <c r="D522" s="9"/>
      <c r="E522" s="9"/>
      <c r="F522" s="17" t="str">
        <f aca="false">IF(AND(A522="",B522="",C522=""),"",IF(NOT(ISNUMBER(A522)),"Enter the date done",IF(SUMPRODUCT(('PM Plan'!$A$5:$A$304=B522)*('PM Plan'!$B$5:$B$304=C522))=0,"No matching asset + task in plan","OK")))</f>
        <v/>
      </c>
    </row>
    <row r="523" customFormat="false" ht="15" hidden="false" customHeight="false" outlineLevel="0" collapsed="false">
      <c r="A523" s="14"/>
      <c r="B523" s="9"/>
      <c r="C523" s="9"/>
      <c r="D523" s="9"/>
      <c r="E523" s="9"/>
      <c r="F523" s="17" t="str">
        <f aca="false">IF(AND(A523="",B523="",C523=""),"",IF(NOT(ISNUMBER(A523)),"Enter the date done",IF(SUMPRODUCT(('PM Plan'!$A$5:$A$304=B523)*('PM Plan'!$B$5:$B$304=C523))=0,"No matching asset + task in plan","OK")))</f>
        <v/>
      </c>
    </row>
    <row r="524" customFormat="false" ht="15" hidden="false" customHeight="false" outlineLevel="0" collapsed="false">
      <c r="A524" s="14"/>
      <c r="B524" s="9"/>
      <c r="C524" s="9"/>
      <c r="D524" s="9"/>
      <c r="E524" s="9"/>
      <c r="F524" s="17" t="str">
        <f aca="false">IF(AND(A524="",B524="",C524=""),"",IF(NOT(ISNUMBER(A524)),"Enter the date done",IF(SUMPRODUCT(('PM Plan'!$A$5:$A$304=B524)*('PM Plan'!$B$5:$B$304=C524))=0,"No matching asset + task in plan","OK")))</f>
        <v/>
      </c>
    </row>
    <row r="525" customFormat="false" ht="15" hidden="false" customHeight="false" outlineLevel="0" collapsed="false">
      <c r="A525" s="14"/>
      <c r="B525" s="9"/>
      <c r="C525" s="9"/>
      <c r="D525" s="9"/>
      <c r="E525" s="9"/>
      <c r="F525" s="17" t="str">
        <f aca="false">IF(AND(A525="",B525="",C525=""),"",IF(NOT(ISNUMBER(A525)),"Enter the date done",IF(SUMPRODUCT(('PM Plan'!$A$5:$A$304=B525)*('PM Plan'!$B$5:$B$304=C525))=0,"No matching asset + task in plan","OK")))</f>
        <v/>
      </c>
    </row>
    <row r="526" customFormat="false" ht="15" hidden="false" customHeight="false" outlineLevel="0" collapsed="false">
      <c r="A526" s="14"/>
      <c r="B526" s="9"/>
      <c r="C526" s="9"/>
      <c r="D526" s="9"/>
      <c r="E526" s="9"/>
      <c r="F526" s="17" t="str">
        <f aca="false">IF(AND(A526="",B526="",C526=""),"",IF(NOT(ISNUMBER(A526)),"Enter the date done",IF(SUMPRODUCT(('PM Plan'!$A$5:$A$304=B526)*('PM Plan'!$B$5:$B$304=C526))=0,"No matching asset + task in plan","OK")))</f>
        <v/>
      </c>
    </row>
    <row r="527" customFormat="false" ht="15" hidden="false" customHeight="false" outlineLevel="0" collapsed="false">
      <c r="A527" s="14"/>
      <c r="B527" s="9"/>
      <c r="C527" s="9"/>
      <c r="D527" s="9"/>
      <c r="E527" s="9"/>
      <c r="F527" s="17" t="str">
        <f aca="false">IF(AND(A527="",B527="",C527=""),"",IF(NOT(ISNUMBER(A527)),"Enter the date done",IF(SUMPRODUCT(('PM Plan'!$A$5:$A$304=B527)*('PM Plan'!$B$5:$B$304=C527))=0,"No matching asset + task in plan","OK")))</f>
        <v/>
      </c>
    </row>
    <row r="528" customFormat="false" ht="15" hidden="false" customHeight="false" outlineLevel="0" collapsed="false">
      <c r="A528" s="14"/>
      <c r="B528" s="9"/>
      <c r="C528" s="9"/>
      <c r="D528" s="9"/>
      <c r="E528" s="9"/>
      <c r="F528" s="17" t="str">
        <f aca="false">IF(AND(A528="",B528="",C528=""),"",IF(NOT(ISNUMBER(A528)),"Enter the date done",IF(SUMPRODUCT(('PM Plan'!$A$5:$A$304=B528)*('PM Plan'!$B$5:$B$304=C528))=0,"No matching asset + task in plan","OK")))</f>
        <v/>
      </c>
    </row>
    <row r="529" customFormat="false" ht="15" hidden="false" customHeight="false" outlineLevel="0" collapsed="false">
      <c r="A529" s="14"/>
      <c r="B529" s="9"/>
      <c r="C529" s="9"/>
      <c r="D529" s="9"/>
      <c r="E529" s="9"/>
      <c r="F529" s="17" t="str">
        <f aca="false">IF(AND(A529="",B529="",C529=""),"",IF(NOT(ISNUMBER(A529)),"Enter the date done",IF(SUMPRODUCT(('PM Plan'!$A$5:$A$304=B529)*('PM Plan'!$B$5:$B$304=C529))=0,"No matching asset + task in plan","OK")))</f>
        <v/>
      </c>
    </row>
    <row r="530" customFormat="false" ht="15" hidden="false" customHeight="false" outlineLevel="0" collapsed="false">
      <c r="A530" s="14"/>
      <c r="B530" s="9"/>
      <c r="C530" s="9"/>
      <c r="D530" s="9"/>
      <c r="E530" s="9"/>
      <c r="F530" s="17" t="str">
        <f aca="false">IF(AND(A530="",B530="",C530=""),"",IF(NOT(ISNUMBER(A530)),"Enter the date done",IF(SUMPRODUCT(('PM Plan'!$A$5:$A$304=B530)*('PM Plan'!$B$5:$B$304=C530))=0,"No matching asset + task in plan","OK")))</f>
        <v/>
      </c>
    </row>
    <row r="531" customFormat="false" ht="15" hidden="false" customHeight="false" outlineLevel="0" collapsed="false">
      <c r="A531" s="14"/>
      <c r="B531" s="9"/>
      <c r="C531" s="9"/>
      <c r="D531" s="9"/>
      <c r="E531" s="9"/>
      <c r="F531" s="17" t="str">
        <f aca="false">IF(AND(A531="",B531="",C531=""),"",IF(NOT(ISNUMBER(A531)),"Enter the date done",IF(SUMPRODUCT(('PM Plan'!$A$5:$A$304=B531)*('PM Plan'!$B$5:$B$304=C531))=0,"No matching asset + task in plan","OK")))</f>
        <v/>
      </c>
    </row>
    <row r="532" customFormat="false" ht="15" hidden="false" customHeight="false" outlineLevel="0" collapsed="false">
      <c r="A532" s="14"/>
      <c r="B532" s="9"/>
      <c r="C532" s="9"/>
      <c r="D532" s="9"/>
      <c r="E532" s="9"/>
      <c r="F532" s="17" t="str">
        <f aca="false">IF(AND(A532="",B532="",C532=""),"",IF(NOT(ISNUMBER(A532)),"Enter the date done",IF(SUMPRODUCT(('PM Plan'!$A$5:$A$304=B532)*('PM Plan'!$B$5:$B$304=C532))=0,"No matching asset + task in plan","OK")))</f>
        <v/>
      </c>
    </row>
    <row r="533" customFormat="false" ht="15" hidden="false" customHeight="false" outlineLevel="0" collapsed="false">
      <c r="A533" s="14"/>
      <c r="B533" s="9"/>
      <c r="C533" s="9"/>
      <c r="D533" s="9"/>
      <c r="E533" s="9"/>
      <c r="F533" s="17" t="str">
        <f aca="false">IF(AND(A533="",B533="",C533=""),"",IF(NOT(ISNUMBER(A533)),"Enter the date done",IF(SUMPRODUCT(('PM Plan'!$A$5:$A$304=B533)*('PM Plan'!$B$5:$B$304=C533))=0,"No matching asset + task in plan","OK")))</f>
        <v/>
      </c>
    </row>
    <row r="534" customFormat="false" ht="15" hidden="false" customHeight="false" outlineLevel="0" collapsed="false">
      <c r="A534" s="14"/>
      <c r="B534" s="9"/>
      <c r="C534" s="9"/>
      <c r="D534" s="9"/>
      <c r="E534" s="9"/>
      <c r="F534" s="17" t="str">
        <f aca="false">IF(AND(A534="",B534="",C534=""),"",IF(NOT(ISNUMBER(A534)),"Enter the date done",IF(SUMPRODUCT(('PM Plan'!$A$5:$A$304=B534)*('PM Plan'!$B$5:$B$304=C534))=0,"No matching asset + task in plan","OK")))</f>
        <v/>
      </c>
    </row>
    <row r="535" customFormat="false" ht="15" hidden="false" customHeight="false" outlineLevel="0" collapsed="false">
      <c r="A535" s="14"/>
      <c r="B535" s="9"/>
      <c r="C535" s="9"/>
      <c r="D535" s="9"/>
      <c r="E535" s="9"/>
      <c r="F535" s="17" t="str">
        <f aca="false">IF(AND(A535="",B535="",C535=""),"",IF(NOT(ISNUMBER(A535)),"Enter the date done",IF(SUMPRODUCT(('PM Plan'!$A$5:$A$304=B535)*('PM Plan'!$B$5:$B$304=C535))=0,"No matching asset + task in plan","OK")))</f>
        <v/>
      </c>
    </row>
    <row r="536" customFormat="false" ht="15" hidden="false" customHeight="false" outlineLevel="0" collapsed="false">
      <c r="A536" s="14"/>
      <c r="B536" s="9"/>
      <c r="C536" s="9"/>
      <c r="D536" s="9"/>
      <c r="E536" s="9"/>
      <c r="F536" s="17" t="str">
        <f aca="false">IF(AND(A536="",B536="",C536=""),"",IF(NOT(ISNUMBER(A536)),"Enter the date done",IF(SUMPRODUCT(('PM Plan'!$A$5:$A$304=B536)*('PM Plan'!$B$5:$B$304=C536))=0,"No matching asset + task in plan","OK")))</f>
        <v/>
      </c>
    </row>
    <row r="537" customFormat="false" ht="15" hidden="false" customHeight="false" outlineLevel="0" collapsed="false">
      <c r="A537" s="14"/>
      <c r="B537" s="9"/>
      <c r="C537" s="9"/>
      <c r="D537" s="9"/>
      <c r="E537" s="9"/>
      <c r="F537" s="17" t="str">
        <f aca="false">IF(AND(A537="",B537="",C537=""),"",IF(NOT(ISNUMBER(A537)),"Enter the date done",IF(SUMPRODUCT(('PM Plan'!$A$5:$A$304=B537)*('PM Plan'!$B$5:$B$304=C537))=0,"No matching asset + task in plan","OK")))</f>
        <v/>
      </c>
    </row>
    <row r="538" customFormat="false" ht="15" hidden="false" customHeight="false" outlineLevel="0" collapsed="false">
      <c r="A538" s="14"/>
      <c r="B538" s="9"/>
      <c r="C538" s="9"/>
      <c r="D538" s="9"/>
      <c r="E538" s="9"/>
      <c r="F538" s="17" t="str">
        <f aca="false">IF(AND(A538="",B538="",C538=""),"",IF(NOT(ISNUMBER(A538)),"Enter the date done",IF(SUMPRODUCT(('PM Plan'!$A$5:$A$304=B538)*('PM Plan'!$B$5:$B$304=C538))=0,"No matching asset + task in plan","OK")))</f>
        <v/>
      </c>
    </row>
    <row r="539" customFormat="false" ht="15" hidden="false" customHeight="false" outlineLevel="0" collapsed="false">
      <c r="A539" s="14"/>
      <c r="B539" s="9"/>
      <c r="C539" s="9"/>
      <c r="D539" s="9"/>
      <c r="E539" s="9"/>
      <c r="F539" s="17" t="str">
        <f aca="false">IF(AND(A539="",B539="",C539=""),"",IF(NOT(ISNUMBER(A539)),"Enter the date done",IF(SUMPRODUCT(('PM Plan'!$A$5:$A$304=B539)*('PM Plan'!$B$5:$B$304=C539))=0,"No matching asset + task in plan","OK")))</f>
        <v/>
      </c>
    </row>
    <row r="540" customFormat="false" ht="15" hidden="false" customHeight="false" outlineLevel="0" collapsed="false">
      <c r="A540" s="14"/>
      <c r="B540" s="9"/>
      <c r="C540" s="9"/>
      <c r="D540" s="9"/>
      <c r="E540" s="9"/>
      <c r="F540" s="17" t="str">
        <f aca="false">IF(AND(A540="",B540="",C540=""),"",IF(NOT(ISNUMBER(A540)),"Enter the date done",IF(SUMPRODUCT(('PM Plan'!$A$5:$A$304=B540)*('PM Plan'!$B$5:$B$304=C540))=0,"No matching asset + task in plan","OK")))</f>
        <v/>
      </c>
    </row>
    <row r="541" customFormat="false" ht="15" hidden="false" customHeight="false" outlineLevel="0" collapsed="false">
      <c r="A541" s="14"/>
      <c r="B541" s="9"/>
      <c r="C541" s="9"/>
      <c r="D541" s="9"/>
      <c r="E541" s="9"/>
      <c r="F541" s="17" t="str">
        <f aca="false">IF(AND(A541="",B541="",C541=""),"",IF(NOT(ISNUMBER(A541)),"Enter the date done",IF(SUMPRODUCT(('PM Plan'!$A$5:$A$304=B541)*('PM Plan'!$B$5:$B$304=C541))=0,"No matching asset + task in plan","OK")))</f>
        <v/>
      </c>
    </row>
    <row r="542" customFormat="false" ht="15" hidden="false" customHeight="false" outlineLevel="0" collapsed="false">
      <c r="A542" s="14"/>
      <c r="B542" s="9"/>
      <c r="C542" s="9"/>
      <c r="D542" s="9"/>
      <c r="E542" s="9"/>
      <c r="F542" s="17" t="str">
        <f aca="false">IF(AND(A542="",B542="",C542=""),"",IF(NOT(ISNUMBER(A542)),"Enter the date done",IF(SUMPRODUCT(('PM Plan'!$A$5:$A$304=B542)*('PM Plan'!$B$5:$B$304=C542))=0,"No matching asset + task in plan","OK")))</f>
        <v/>
      </c>
    </row>
    <row r="543" customFormat="false" ht="15" hidden="false" customHeight="false" outlineLevel="0" collapsed="false">
      <c r="A543" s="14"/>
      <c r="B543" s="9"/>
      <c r="C543" s="9"/>
      <c r="D543" s="9"/>
      <c r="E543" s="9"/>
      <c r="F543" s="17" t="str">
        <f aca="false">IF(AND(A543="",B543="",C543=""),"",IF(NOT(ISNUMBER(A543)),"Enter the date done",IF(SUMPRODUCT(('PM Plan'!$A$5:$A$304=B543)*('PM Plan'!$B$5:$B$304=C543))=0,"No matching asset + task in plan","OK")))</f>
        <v/>
      </c>
    </row>
    <row r="544" customFormat="false" ht="15" hidden="false" customHeight="false" outlineLevel="0" collapsed="false">
      <c r="A544" s="14"/>
      <c r="B544" s="9"/>
      <c r="C544" s="9"/>
      <c r="D544" s="9"/>
      <c r="E544" s="9"/>
      <c r="F544" s="17" t="str">
        <f aca="false">IF(AND(A544="",B544="",C544=""),"",IF(NOT(ISNUMBER(A544)),"Enter the date done",IF(SUMPRODUCT(('PM Plan'!$A$5:$A$304=B544)*('PM Plan'!$B$5:$B$304=C544))=0,"No matching asset + task in plan","OK")))</f>
        <v/>
      </c>
    </row>
    <row r="545" customFormat="false" ht="15" hidden="false" customHeight="false" outlineLevel="0" collapsed="false">
      <c r="A545" s="14"/>
      <c r="B545" s="9"/>
      <c r="C545" s="9"/>
      <c r="D545" s="9"/>
      <c r="E545" s="9"/>
      <c r="F545" s="17" t="str">
        <f aca="false">IF(AND(A545="",B545="",C545=""),"",IF(NOT(ISNUMBER(A545)),"Enter the date done",IF(SUMPRODUCT(('PM Plan'!$A$5:$A$304=B545)*('PM Plan'!$B$5:$B$304=C545))=0,"No matching asset + task in plan","OK")))</f>
        <v/>
      </c>
    </row>
    <row r="546" customFormat="false" ht="15" hidden="false" customHeight="false" outlineLevel="0" collapsed="false">
      <c r="A546" s="14"/>
      <c r="B546" s="9"/>
      <c r="C546" s="9"/>
      <c r="D546" s="9"/>
      <c r="E546" s="9"/>
      <c r="F546" s="17" t="str">
        <f aca="false">IF(AND(A546="",B546="",C546=""),"",IF(NOT(ISNUMBER(A546)),"Enter the date done",IF(SUMPRODUCT(('PM Plan'!$A$5:$A$304=B546)*('PM Plan'!$B$5:$B$304=C546))=0,"No matching asset + task in plan","OK")))</f>
        <v/>
      </c>
    </row>
    <row r="547" customFormat="false" ht="15" hidden="false" customHeight="false" outlineLevel="0" collapsed="false">
      <c r="A547" s="14"/>
      <c r="B547" s="9"/>
      <c r="C547" s="9"/>
      <c r="D547" s="9"/>
      <c r="E547" s="9"/>
      <c r="F547" s="17" t="str">
        <f aca="false">IF(AND(A547="",B547="",C547=""),"",IF(NOT(ISNUMBER(A547)),"Enter the date done",IF(SUMPRODUCT(('PM Plan'!$A$5:$A$304=B547)*('PM Plan'!$B$5:$B$304=C547))=0,"No matching asset + task in plan","OK")))</f>
        <v/>
      </c>
    </row>
    <row r="548" customFormat="false" ht="15" hidden="false" customHeight="false" outlineLevel="0" collapsed="false">
      <c r="A548" s="14"/>
      <c r="B548" s="9"/>
      <c r="C548" s="9"/>
      <c r="D548" s="9"/>
      <c r="E548" s="9"/>
      <c r="F548" s="17" t="str">
        <f aca="false">IF(AND(A548="",B548="",C548=""),"",IF(NOT(ISNUMBER(A548)),"Enter the date done",IF(SUMPRODUCT(('PM Plan'!$A$5:$A$304=B548)*('PM Plan'!$B$5:$B$304=C548))=0,"No matching asset + task in plan","OK")))</f>
        <v/>
      </c>
    </row>
    <row r="549" customFormat="false" ht="15" hidden="false" customHeight="false" outlineLevel="0" collapsed="false">
      <c r="A549" s="14"/>
      <c r="B549" s="9"/>
      <c r="C549" s="9"/>
      <c r="D549" s="9"/>
      <c r="E549" s="9"/>
      <c r="F549" s="17" t="str">
        <f aca="false">IF(AND(A549="",B549="",C549=""),"",IF(NOT(ISNUMBER(A549)),"Enter the date done",IF(SUMPRODUCT(('PM Plan'!$A$5:$A$304=B549)*('PM Plan'!$B$5:$B$304=C549))=0,"No matching asset + task in plan","OK")))</f>
        <v/>
      </c>
    </row>
    <row r="550" customFormat="false" ht="15" hidden="false" customHeight="false" outlineLevel="0" collapsed="false">
      <c r="A550" s="14"/>
      <c r="B550" s="9"/>
      <c r="C550" s="9"/>
      <c r="D550" s="9"/>
      <c r="E550" s="9"/>
      <c r="F550" s="17" t="str">
        <f aca="false">IF(AND(A550="",B550="",C550=""),"",IF(NOT(ISNUMBER(A550)),"Enter the date done",IF(SUMPRODUCT(('PM Plan'!$A$5:$A$304=B550)*('PM Plan'!$B$5:$B$304=C550))=0,"No matching asset + task in plan","OK")))</f>
        <v/>
      </c>
    </row>
    <row r="551" customFormat="false" ht="15" hidden="false" customHeight="false" outlineLevel="0" collapsed="false">
      <c r="A551" s="14"/>
      <c r="B551" s="9"/>
      <c r="C551" s="9"/>
      <c r="D551" s="9"/>
      <c r="E551" s="9"/>
      <c r="F551" s="17" t="str">
        <f aca="false">IF(AND(A551="",B551="",C551=""),"",IF(NOT(ISNUMBER(A551)),"Enter the date done",IF(SUMPRODUCT(('PM Plan'!$A$5:$A$304=B551)*('PM Plan'!$B$5:$B$304=C551))=0,"No matching asset + task in plan","OK")))</f>
        <v/>
      </c>
    </row>
    <row r="552" customFormat="false" ht="15" hidden="false" customHeight="false" outlineLevel="0" collapsed="false">
      <c r="A552" s="14"/>
      <c r="B552" s="9"/>
      <c r="C552" s="9"/>
      <c r="D552" s="9"/>
      <c r="E552" s="9"/>
      <c r="F552" s="17" t="str">
        <f aca="false">IF(AND(A552="",B552="",C552=""),"",IF(NOT(ISNUMBER(A552)),"Enter the date done",IF(SUMPRODUCT(('PM Plan'!$A$5:$A$304=B552)*('PM Plan'!$B$5:$B$304=C552))=0,"No matching asset + task in plan","OK")))</f>
        <v/>
      </c>
    </row>
    <row r="553" customFormat="false" ht="15" hidden="false" customHeight="false" outlineLevel="0" collapsed="false">
      <c r="A553" s="14"/>
      <c r="B553" s="9"/>
      <c r="C553" s="9"/>
      <c r="D553" s="9"/>
      <c r="E553" s="9"/>
      <c r="F553" s="17" t="str">
        <f aca="false">IF(AND(A553="",B553="",C553=""),"",IF(NOT(ISNUMBER(A553)),"Enter the date done",IF(SUMPRODUCT(('PM Plan'!$A$5:$A$304=B553)*('PM Plan'!$B$5:$B$304=C553))=0,"No matching asset + task in plan","OK")))</f>
        <v/>
      </c>
    </row>
    <row r="554" customFormat="false" ht="15" hidden="false" customHeight="false" outlineLevel="0" collapsed="false">
      <c r="A554" s="14"/>
      <c r="B554" s="9"/>
      <c r="C554" s="9"/>
      <c r="D554" s="9"/>
      <c r="E554" s="9"/>
      <c r="F554" s="17" t="str">
        <f aca="false">IF(AND(A554="",B554="",C554=""),"",IF(NOT(ISNUMBER(A554)),"Enter the date done",IF(SUMPRODUCT(('PM Plan'!$A$5:$A$304=B554)*('PM Plan'!$B$5:$B$304=C554))=0,"No matching asset + task in plan","OK")))</f>
        <v/>
      </c>
    </row>
    <row r="555" customFormat="false" ht="15" hidden="false" customHeight="false" outlineLevel="0" collapsed="false">
      <c r="A555" s="14"/>
      <c r="B555" s="9"/>
      <c r="C555" s="9"/>
      <c r="D555" s="9"/>
      <c r="E555" s="9"/>
      <c r="F555" s="17" t="str">
        <f aca="false">IF(AND(A555="",B555="",C555=""),"",IF(NOT(ISNUMBER(A555)),"Enter the date done",IF(SUMPRODUCT(('PM Plan'!$A$5:$A$304=B555)*('PM Plan'!$B$5:$B$304=C555))=0,"No matching asset + task in plan","OK")))</f>
        <v/>
      </c>
    </row>
    <row r="556" customFormat="false" ht="15" hidden="false" customHeight="false" outlineLevel="0" collapsed="false">
      <c r="A556" s="14"/>
      <c r="B556" s="9"/>
      <c r="C556" s="9"/>
      <c r="D556" s="9"/>
      <c r="E556" s="9"/>
      <c r="F556" s="17" t="str">
        <f aca="false">IF(AND(A556="",B556="",C556=""),"",IF(NOT(ISNUMBER(A556)),"Enter the date done",IF(SUMPRODUCT(('PM Plan'!$A$5:$A$304=B556)*('PM Plan'!$B$5:$B$304=C556))=0,"No matching asset + task in plan","OK")))</f>
        <v/>
      </c>
    </row>
    <row r="557" customFormat="false" ht="15" hidden="false" customHeight="false" outlineLevel="0" collapsed="false">
      <c r="A557" s="14"/>
      <c r="B557" s="9"/>
      <c r="C557" s="9"/>
      <c r="D557" s="9"/>
      <c r="E557" s="9"/>
      <c r="F557" s="17" t="str">
        <f aca="false">IF(AND(A557="",B557="",C557=""),"",IF(NOT(ISNUMBER(A557)),"Enter the date done",IF(SUMPRODUCT(('PM Plan'!$A$5:$A$304=B557)*('PM Plan'!$B$5:$B$304=C557))=0,"No matching asset + task in plan","OK")))</f>
        <v/>
      </c>
    </row>
    <row r="558" customFormat="false" ht="15" hidden="false" customHeight="false" outlineLevel="0" collapsed="false">
      <c r="A558" s="14"/>
      <c r="B558" s="9"/>
      <c r="C558" s="9"/>
      <c r="D558" s="9"/>
      <c r="E558" s="9"/>
      <c r="F558" s="17" t="str">
        <f aca="false">IF(AND(A558="",B558="",C558=""),"",IF(NOT(ISNUMBER(A558)),"Enter the date done",IF(SUMPRODUCT(('PM Plan'!$A$5:$A$304=B558)*('PM Plan'!$B$5:$B$304=C558))=0,"No matching asset + task in plan","OK")))</f>
        <v/>
      </c>
    </row>
    <row r="559" customFormat="false" ht="15" hidden="false" customHeight="false" outlineLevel="0" collapsed="false">
      <c r="A559" s="14"/>
      <c r="B559" s="9"/>
      <c r="C559" s="9"/>
      <c r="D559" s="9"/>
      <c r="E559" s="9"/>
      <c r="F559" s="17" t="str">
        <f aca="false">IF(AND(A559="",B559="",C559=""),"",IF(NOT(ISNUMBER(A559)),"Enter the date done",IF(SUMPRODUCT(('PM Plan'!$A$5:$A$304=B559)*('PM Plan'!$B$5:$B$304=C559))=0,"No matching asset + task in plan","OK")))</f>
        <v/>
      </c>
    </row>
    <row r="560" customFormat="false" ht="15" hidden="false" customHeight="false" outlineLevel="0" collapsed="false">
      <c r="A560" s="14"/>
      <c r="B560" s="9"/>
      <c r="C560" s="9"/>
      <c r="D560" s="9"/>
      <c r="E560" s="9"/>
      <c r="F560" s="17" t="str">
        <f aca="false">IF(AND(A560="",B560="",C560=""),"",IF(NOT(ISNUMBER(A560)),"Enter the date done",IF(SUMPRODUCT(('PM Plan'!$A$5:$A$304=B560)*('PM Plan'!$B$5:$B$304=C560))=0,"No matching asset + task in plan","OK")))</f>
        <v/>
      </c>
    </row>
    <row r="561" customFormat="false" ht="15" hidden="false" customHeight="false" outlineLevel="0" collapsed="false">
      <c r="A561" s="14"/>
      <c r="B561" s="9"/>
      <c r="C561" s="9"/>
      <c r="D561" s="9"/>
      <c r="E561" s="9"/>
      <c r="F561" s="17" t="str">
        <f aca="false">IF(AND(A561="",B561="",C561=""),"",IF(NOT(ISNUMBER(A561)),"Enter the date done",IF(SUMPRODUCT(('PM Plan'!$A$5:$A$304=B561)*('PM Plan'!$B$5:$B$304=C561))=0,"No matching asset + task in plan","OK")))</f>
        <v/>
      </c>
    </row>
    <row r="562" customFormat="false" ht="15" hidden="false" customHeight="false" outlineLevel="0" collapsed="false">
      <c r="A562" s="14"/>
      <c r="B562" s="9"/>
      <c r="C562" s="9"/>
      <c r="D562" s="9"/>
      <c r="E562" s="9"/>
      <c r="F562" s="17" t="str">
        <f aca="false">IF(AND(A562="",B562="",C562=""),"",IF(NOT(ISNUMBER(A562)),"Enter the date done",IF(SUMPRODUCT(('PM Plan'!$A$5:$A$304=B562)*('PM Plan'!$B$5:$B$304=C562))=0,"No matching asset + task in plan","OK")))</f>
        <v/>
      </c>
    </row>
    <row r="563" customFormat="false" ht="15" hidden="false" customHeight="false" outlineLevel="0" collapsed="false">
      <c r="A563" s="14"/>
      <c r="B563" s="9"/>
      <c r="C563" s="9"/>
      <c r="D563" s="9"/>
      <c r="E563" s="9"/>
      <c r="F563" s="17" t="str">
        <f aca="false">IF(AND(A563="",B563="",C563=""),"",IF(NOT(ISNUMBER(A563)),"Enter the date done",IF(SUMPRODUCT(('PM Plan'!$A$5:$A$304=B563)*('PM Plan'!$B$5:$B$304=C563))=0,"No matching asset + task in plan","OK")))</f>
        <v/>
      </c>
    </row>
    <row r="564" customFormat="false" ht="15" hidden="false" customHeight="false" outlineLevel="0" collapsed="false">
      <c r="A564" s="14"/>
      <c r="B564" s="9"/>
      <c r="C564" s="9"/>
      <c r="D564" s="9"/>
      <c r="E564" s="9"/>
      <c r="F564" s="17" t="str">
        <f aca="false">IF(AND(A564="",B564="",C564=""),"",IF(NOT(ISNUMBER(A564)),"Enter the date done",IF(SUMPRODUCT(('PM Plan'!$A$5:$A$304=B564)*('PM Plan'!$B$5:$B$304=C564))=0,"No matching asset + task in plan","OK")))</f>
        <v/>
      </c>
    </row>
    <row r="565" customFormat="false" ht="15" hidden="false" customHeight="false" outlineLevel="0" collapsed="false">
      <c r="A565" s="14"/>
      <c r="B565" s="9"/>
      <c r="C565" s="9"/>
      <c r="D565" s="9"/>
      <c r="E565" s="9"/>
      <c r="F565" s="17" t="str">
        <f aca="false">IF(AND(A565="",B565="",C565=""),"",IF(NOT(ISNUMBER(A565)),"Enter the date done",IF(SUMPRODUCT(('PM Plan'!$A$5:$A$304=B565)*('PM Plan'!$B$5:$B$304=C565))=0,"No matching asset + task in plan","OK")))</f>
        <v/>
      </c>
    </row>
    <row r="566" customFormat="false" ht="15" hidden="false" customHeight="false" outlineLevel="0" collapsed="false">
      <c r="A566" s="14"/>
      <c r="B566" s="9"/>
      <c r="C566" s="9"/>
      <c r="D566" s="9"/>
      <c r="E566" s="9"/>
      <c r="F566" s="17" t="str">
        <f aca="false">IF(AND(A566="",B566="",C566=""),"",IF(NOT(ISNUMBER(A566)),"Enter the date done",IF(SUMPRODUCT(('PM Plan'!$A$5:$A$304=B566)*('PM Plan'!$B$5:$B$304=C566))=0,"No matching asset + task in plan","OK")))</f>
        <v/>
      </c>
    </row>
    <row r="567" customFormat="false" ht="15" hidden="false" customHeight="false" outlineLevel="0" collapsed="false">
      <c r="A567" s="14"/>
      <c r="B567" s="9"/>
      <c r="C567" s="9"/>
      <c r="D567" s="9"/>
      <c r="E567" s="9"/>
      <c r="F567" s="17" t="str">
        <f aca="false">IF(AND(A567="",B567="",C567=""),"",IF(NOT(ISNUMBER(A567)),"Enter the date done",IF(SUMPRODUCT(('PM Plan'!$A$5:$A$304=B567)*('PM Plan'!$B$5:$B$304=C567))=0,"No matching asset + task in plan","OK")))</f>
        <v/>
      </c>
    </row>
    <row r="568" customFormat="false" ht="15" hidden="false" customHeight="false" outlineLevel="0" collapsed="false">
      <c r="A568" s="14"/>
      <c r="B568" s="9"/>
      <c r="C568" s="9"/>
      <c r="D568" s="9"/>
      <c r="E568" s="9"/>
      <c r="F568" s="17" t="str">
        <f aca="false">IF(AND(A568="",B568="",C568=""),"",IF(NOT(ISNUMBER(A568)),"Enter the date done",IF(SUMPRODUCT(('PM Plan'!$A$5:$A$304=B568)*('PM Plan'!$B$5:$B$304=C568))=0,"No matching asset + task in plan","OK")))</f>
        <v/>
      </c>
    </row>
    <row r="569" customFormat="false" ht="15" hidden="false" customHeight="false" outlineLevel="0" collapsed="false">
      <c r="A569" s="14"/>
      <c r="B569" s="9"/>
      <c r="C569" s="9"/>
      <c r="D569" s="9"/>
      <c r="E569" s="9"/>
      <c r="F569" s="17" t="str">
        <f aca="false">IF(AND(A569="",B569="",C569=""),"",IF(NOT(ISNUMBER(A569)),"Enter the date done",IF(SUMPRODUCT(('PM Plan'!$A$5:$A$304=B569)*('PM Plan'!$B$5:$B$304=C569))=0,"No matching asset + task in plan","OK")))</f>
        <v/>
      </c>
    </row>
    <row r="570" customFormat="false" ht="15" hidden="false" customHeight="false" outlineLevel="0" collapsed="false">
      <c r="A570" s="14"/>
      <c r="B570" s="9"/>
      <c r="C570" s="9"/>
      <c r="D570" s="9"/>
      <c r="E570" s="9"/>
      <c r="F570" s="17" t="str">
        <f aca="false">IF(AND(A570="",B570="",C570=""),"",IF(NOT(ISNUMBER(A570)),"Enter the date done",IF(SUMPRODUCT(('PM Plan'!$A$5:$A$304=B570)*('PM Plan'!$B$5:$B$304=C570))=0,"No matching asset + task in plan","OK")))</f>
        <v/>
      </c>
    </row>
    <row r="571" customFormat="false" ht="15" hidden="false" customHeight="false" outlineLevel="0" collapsed="false">
      <c r="A571" s="14"/>
      <c r="B571" s="9"/>
      <c r="C571" s="9"/>
      <c r="D571" s="9"/>
      <c r="E571" s="9"/>
      <c r="F571" s="17" t="str">
        <f aca="false">IF(AND(A571="",B571="",C571=""),"",IF(NOT(ISNUMBER(A571)),"Enter the date done",IF(SUMPRODUCT(('PM Plan'!$A$5:$A$304=B571)*('PM Plan'!$B$5:$B$304=C571))=0,"No matching asset + task in plan","OK")))</f>
        <v/>
      </c>
    </row>
    <row r="572" customFormat="false" ht="15" hidden="false" customHeight="false" outlineLevel="0" collapsed="false">
      <c r="A572" s="14"/>
      <c r="B572" s="9"/>
      <c r="C572" s="9"/>
      <c r="D572" s="9"/>
      <c r="E572" s="9"/>
      <c r="F572" s="17" t="str">
        <f aca="false">IF(AND(A572="",B572="",C572=""),"",IF(NOT(ISNUMBER(A572)),"Enter the date done",IF(SUMPRODUCT(('PM Plan'!$A$5:$A$304=B572)*('PM Plan'!$B$5:$B$304=C572))=0,"No matching asset + task in plan","OK")))</f>
        <v/>
      </c>
    </row>
    <row r="573" customFormat="false" ht="15" hidden="false" customHeight="false" outlineLevel="0" collapsed="false">
      <c r="A573" s="14"/>
      <c r="B573" s="9"/>
      <c r="C573" s="9"/>
      <c r="D573" s="9"/>
      <c r="E573" s="9"/>
      <c r="F573" s="17" t="str">
        <f aca="false">IF(AND(A573="",B573="",C573=""),"",IF(NOT(ISNUMBER(A573)),"Enter the date done",IF(SUMPRODUCT(('PM Plan'!$A$5:$A$304=B573)*('PM Plan'!$B$5:$B$304=C573))=0,"No matching asset + task in plan","OK")))</f>
        <v/>
      </c>
    </row>
    <row r="574" customFormat="false" ht="15" hidden="false" customHeight="false" outlineLevel="0" collapsed="false">
      <c r="A574" s="14"/>
      <c r="B574" s="9"/>
      <c r="C574" s="9"/>
      <c r="D574" s="9"/>
      <c r="E574" s="9"/>
      <c r="F574" s="17" t="str">
        <f aca="false">IF(AND(A574="",B574="",C574=""),"",IF(NOT(ISNUMBER(A574)),"Enter the date done",IF(SUMPRODUCT(('PM Plan'!$A$5:$A$304=B574)*('PM Plan'!$B$5:$B$304=C574))=0,"No matching asset + task in plan","OK")))</f>
        <v/>
      </c>
    </row>
    <row r="575" customFormat="false" ht="15" hidden="false" customHeight="false" outlineLevel="0" collapsed="false">
      <c r="A575" s="14"/>
      <c r="B575" s="9"/>
      <c r="C575" s="9"/>
      <c r="D575" s="9"/>
      <c r="E575" s="9"/>
      <c r="F575" s="17" t="str">
        <f aca="false">IF(AND(A575="",B575="",C575=""),"",IF(NOT(ISNUMBER(A575)),"Enter the date done",IF(SUMPRODUCT(('PM Plan'!$A$5:$A$304=B575)*('PM Plan'!$B$5:$B$304=C575))=0,"No matching asset + task in plan","OK")))</f>
        <v/>
      </c>
    </row>
    <row r="576" customFormat="false" ht="15" hidden="false" customHeight="false" outlineLevel="0" collapsed="false">
      <c r="A576" s="14"/>
      <c r="B576" s="9"/>
      <c r="C576" s="9"/>
      <c r="D576" s="9"/>
      <c r="E576" s="9"/>
      <c r="F576" s="17" t="str">
        <f aca="false">IF(AND(A576="",B576="",C576=""),"",IF(NOT(ISNUMBER(A576)),"Enter the date done",IF(SUMPRODUCT(('PM Plan'!$A$5:$A$304=B576)*('PM Plan'!$B$5:$B$304=C576))=0,"No matching asset + task in plan","OK")))</f>
        <v/>
      </c>
    </row>
    <row r="577" customFormat="false" ht="15" hidden="false" customHeight="false" outlineLevel="0" collapsed="false">
      <c r="A577" s="14"/>
      <c r="B577" s="9"/>
      <c r="C577" s="9"/>
      <c r="D577" s="9"/>
      <c r="E577" s="9"/>
      <c r="F577" s="17" t="str">
        <f aca="false">IF(AND(A577="",B577="",C577=""),"",IF(NOT(ISNUMBER(A577)),"Enter the date done",IF(SUMPRODUCT(('PM Plan'!$A$5:$A$304=B577)*('PM Plan'!$B$5:$B$304=C577))=0,"No matching asset + task in plan","OK")))</f>
        <v/>
      </c>
    </row>
    <row r="578" customFormat="false" ht="15" hidden="false" customHeight="false" outlineLevel="0" collapsed="false">
      <c r="A578" s="14"/>
      <c r="B578" s="9"/>
      <c r="C578" s="9"/>
      <c r="D578" s="9"/>
      <c r="E578" s="9"/>
      <c r="F578" s="17" t="str">
        <f aca="false">IF(AND(A578="",B578="",C578=""),"",IF(NOT(ISNUMBER(A578)),"Enter the date done",IF(SUMPRODUCT(('PM Plan'!$A$5:$A$304=B578)*('PM Plan'!$B$5:$B$304=C578))=0,"No matching asset + task in plan","OK")))</f>
        <v/>
      </c>
    </row>
    <row r="579" customFormat="false" ht="15" hidden="false" customHeight="false" outlineLevel="0" collapsed="false">
      <c r="A579" s="14"/>
      <c r="B579" s="9"/>
      <c r="C579" s="9"/>
      <c r="D579" s="9"/>
      <c r="E579" s="9"/>
      <c r="F579" s="17" t="str">
        <f aca="false">IF(AND(A579="",B579="",C579=""),"",IF(NOT(ISNUMBER(A579)),"Enter the date done",IF(SUMPRODUCT(('PM Plan'!$A$5:$A$304=B579)*('PM Plan'!$B$5:$B$304=C579))=0,"No matching asset + task in plan","OK")))</f>
        <v/>
      </c>
    </row>
    <row r="580" customFormat="false" ht="15" hidden="false" customHeight="false" outlineLevel="0" collapsed="false">
      <c r="A580" s="14"/>
      <c r="B580" s="9"/>
      <c r="C580" s="9"/>
      <c r="D580" s="9"/>
      <c r="E580" s="9"/>
      <c r="F580" s="17" t="str">
        <f aca="false">IF(AND(A580="",B580="",C580=""),"",IF(NOT(ISNUMBER(A580)),"Enter the date done",IF(SUMPRODUCT(('PM Plan'!$A$5:$A$304=B580)*('PM Plan'!$B$5:$B$304=C580))=0,"No matching asset + task in plan","OK")))</f>
        <v/>
      </c>
    </row>
    <row r="581" customFormat="false" ht="15" hidden="false" customHeight="false" outlineLevel="0" collapsed="false">
      <c r="A581" s="14"/>
      <c r="B581" s="9"/>
      <c r="C581" s="9"/>
      <c r="D581" s="9"/>
      <c r="E581" s="9"/>
      <c r="F581" s="17" t="str">
        <f aca="false">IF(AND(A581="",B581="",C581=""),"",IF(NOT(ISNUMBER(A581)),"Enter the date done",IF(SUMPRODUCT(('PM Plan'!$A$5:$A$304=B581)*('PM Plan'!$B$5:$B$304=C581))=0,"No matching asset + task in plan","OK")))</f>
        <v/>
      </c>
    </row>
    <row r="582" customFormat="false" ht="15" hidden="false" customHeight="false" outlineLevel="0" collapsed="false">
      <c r="A582" s="14"/>
      <c r="B582" s="9"/>
      <c r="C582" s="9"/>
      <c r="D582" s="9"/>
      <c r="E582" s="9"/>
      <c r="F582" s="17" t="str">
        <f aca="false">IF(AND(A582="",B582="",C582=""),"",IF(NOT(ISNUMBER(A582)),"Enter the date done",IF(SUMPRODUCT(('PM Plan'!$A$5:$A$304=B582)*('PM Plan'!$B$5:$B$304=C582))=0,"No matching asset + task in plan","OK")))</f>
        <v/>
      </c>
    </row>
    <row r="583" customFormat="false" ht="15" hidden="false" customHeight="false" outlineLevel="0" collapsed="false">
      <c r="A583" s="14"/>
      <c r="B583" s="9"/>
      <c r="C583" s="9"/>
      <c r="D583" s="9"/>
      <c r="E583" s="9"/>
      <c r="F583" s="17" t="str">
        <f aca="false">IF(AND(A583="",B583="",C583=""),"",IF(NOT(ISNUMBER(A583)),"Enter the date done",IF(SUMPRODUCT(('PM Plan'!$A$5:$A$304=B583)*('PM Plan'!$B$5:$B$304=C583))=0,"No matching asset + task in plan","OK")))</f>
        <v/>
      </c>
    </row>
    <row r="584" customFormat="false" ht="15" hidden="false" customHeight="false" outlineLevel="0" collapsed="false">
      <c r="A584" s="14"/>
      <c r="B584" s="9"/>
      <c r="C584" s="9"/>
      <c r="D584" s="9"/>
      <c r="E584" s="9"/>
      <c r="F584" s="17" t="str">
        <f aca="false">IF(AND(A584="",B584="",C584=""),"",IF(NOT(ISNUMBER(A584)),"Enter the date done",IF(SUMPRODUCT(('PM Plan'!$A$5:$A$304=B584)*('PM Plan'!$B$5:$B$304=C584))=0,"No matching asset + task in plan","OK")))</f>
        <v/>
      </c>
    </row>
    <row r="585" customFormat="false" ht="15" hidden="false" customHeight="false" outlineLevel="0" collapsed="false">
      <c r="A585" s="14"/>
      <c r="B585" s="9"/>
      <c r="C585" s="9"/>
      <c r="D585" s="9"/>
      <c r="E585" s="9"/>
      <c r="F585" s="17" t="str">
        <f aca="false">IF(AND(A585="",B585="",C585=""),"",IF(NOT(ISNUMBER(A585)),"Enter the date done",IF(SUMPRODUCT(('PM Plan'!$A$5:$A$304=B585)*('PM Plan'!$B$5:$B$304=C585))=0,"No matching asset + task in plan","OK")))</f>
        <v/>
      </c>
    </row>
    <row r="586" customFormat="false" ht="15" hidden="false" customHeight="false" outlineLevel="0" collapsed="false">
      <c r="A586" s="14"/>
      <c r="B586" s="9"/>
      <c r="C586" s="9"/>
      <c r="D586" s="9"/>
      <c r="E586" s="9"/>
      <c r="F586" s="17" t="str">
        <f aca="false">IF(AND(A586="",B586="",C586=""),"",IF(NOT(ISNUMBER(A586)),"Enter the date done",IF(SUMPRODUCT(('PM Plan'!$A$5:$A$304=B586)*('PM Plan'!$B$5:$B$304=C586))=0,"No matching asset + task in plan","OK")))</f>
        <v/>
      </c>
    </row>
    <row r="587" customFormat="false" ht="15" hidden="false" customHeight="false" outlineLevel="0" collapsed="false">
      <c r="A587" s="14"/>
      <c r="B587" s="9"/>
      <c r="C587" s="9"/>
      <c r="D587" s="9"/>
      <c r="E587" s="9"/>
      <c r="F587" s="17" t="str">
        <f aca="false">IF(AND(A587="",B587="",C587=""),"",IF(NOT(ISNUMBER(A587)),"Enter the date done",IF(SUMPRODUCT(('PM Plan'!$A$5:$A$304=B587)*('PM Plan'!$B$5:$B$304=C587))=0,"No matching asset + task in plan","OK")))</f>
        <v/>
      </c>
    </row>
    <row r="588" customFormat="false" ht="15" hidden="false" customHeight="false" outlineLevel="0" collapsed="false">
      <c r="A588" s="14"/>
      <c r="B588" s="9"/>
      <c r="C588" s="9"/>
      <c r="D588" s="9"/>
      <c r="E588" s="9"/>
      <c r="F588" s="17" t="str">
        <f aca="false">IF(AND(A588="",B588="",C588=""),"",IF(NOT(ISNUMBER(A588)),"Enter the date done",IF(SUMPRODUCT(('PM Plan'!$A$5:$A$304=B588)*('PM Plan'!$B$5:$B$304=C588))=0,"No matching asset + task in plan","OK")))</f>
        <v/>
      </c>
    </row>
    <row r="589" customFormat="false" ht="15" hidden="false" customHeight="false" outlineLevel="0" collapsed="false">
      <c r="A589" s="14"/>
      <c r="B589" s="9"/>
      <c r="C589" s="9"/>
      <c r="D589" s="9"/>
      <c r="E589" s="9"/>
      <c r="F589" s="17" t="str">
        <f aca="false">IF(AND(A589="",B589="",C589=""),"",IF(NOT(ISNUMBER(A589)),"Enter the date done",IF(SUMPRODUCT(('PM Plan'!$A$5:$A$304=B589)*('PM Plan'!$B$5:$B$304=C589))=0,"No matching asset + task in plan","OK")))</f>
        <v/>
      </c>
    </row>
    <row r="590" customFormat="false" ht="15" hidden="false" customHeight="false" outlineLevel="0" collapsed="false">
      <c r="A590" s="14"/>
      <c r="B590" s="9"/>
      <c r="C590" s="9"/>
      <c r="D590" s="9"/>
      <c r="E590" s="9"/>
      <c r="F590" s="17" t="str">
        <f aca="false">IF(AND(A590="",B590="",C590=""),"",IF(NOT(ISNUMBER(A590)),"Enter the date done",IF(SUMPRODUCT(('PM Plan'!$A$5:$A$304=B590)*('PM Plan'!$B$5:$B$304=C590))=0,"No matching asset + task in plan","OK")))</f>
        <v/>
      </c>
    </row>
    <row r="591" customFormat="false" ht="15" hidden="false" customHeight="false" outlineLevel="0" collapsed="false">
      <c r="A591" s="14"/>
      <c r="B591" s="9"/>
      <c r="C591" s="9"/>
      <c r="D591" s="9"/>
      <c r="E591" s="9"/>
      <c r="F591" s="17" t="str">
        <f aca="false">IF(AND(A591="",B591="",C591=""),"",IF(NOT(ISNUMBER(A591)),"Enter the date done",IF(SUMPRODUCT(('PM Plan'!$A$5:$A$304=B591)*('PM Plan'!$B$5:$B$304=C591))=0,"No matching asset + task in plan","OK")))</f>
        <v/>
      </c>
    </row>
    <row r="592" customFormat="false" ht="15" hidden="false" customHeight="false" outlineLevel="0" collapsed="false">
      <c r="A592" s="14"/>
      <c r="B592" s="9"/>
      <c r="C592" s="9"/>
      <c r="D592" s="9"/>
      <c r="E592" s="9"/>
      <c r="F592" s="17" t="str">
        <f aca="false">IF(AND(A592="",B592="",C592=""),"",IF(NOT(ISNUMBER(A592)),"Enter the date done",IF(SUMPRODUCT(('PM Plan'!$A$5:$A$304=B592)*('PM Plan'!$B$5:$B$304=C592))=0,"No matching asset + task in plan","OK")))</f>
        <v/>
      </c>
    </row>
    <row r="593" customFormat="false" ht="15" hidden="false" customHeight="false" outlineLevel="0" collapsed="false">
      <c r="A593" s="14"/>
      <c r="B593" s="9"/>
      <c r="C593" s="9"/>
      <c r="D593" s="9"/>
      <c r="E593" s="9"/>
      <c r="F593" s="17" t="str">
        <f aca="false">IF(AND(A593="",B593="",C593=""),"",IF(NOT(ISNUMBER(A593)),"Enter the date done",IF(SUMPRODUCT(('PM Plan'!$A$5:$A$304=B593)*('PM Plan'!$B$5:$B$304=C593))=0,"No matching asset + task in plan","OK")))</f>
        <v/>
      </c>
    </row>
    <row r="594" customFormat="false" ht="15" hidden="false" customHeight="false" outlineLevel="0" collapsed="false">
      <c r="A594" s="14"/>
      <c r="B594" s="9"/>
      <c r="C594" s="9"/>
      <c r="D594" s="9"/>
      <c r="E594" s="9"/>
      <c r="F594" s="17" t="str">
        <f aca="false">IF(AND(A594="",B594="",C594=""),"",IF(NOT(ISNUMBER(A594)),"Enter the date done",IF(SUMPRODUCT(('PM Plan'!$A$5:$A$304=B594)*('PM Plan'!$B$5:$B$304=C594))=0,"No matching asset + task in plan","OK")))</f>
        <v/>
      </c>
    </row>
    <row r="595" customFormat="false" ht="15" hidden="false" customHeight="false" outlineLevel="0" collapsed="false">
      <c r="A595" s="14"/>
      <c r="B595" s="9"/>
      <c r="C595" s="9"/>
      <c r="D595" s="9"/>
      <c r="E595" s="9"/>
      <c r="F595" s="17" t="str">
        <f aca="false">IF(AND(A595="",B595="",C595=""),"",IF(NOT(ISNUMBER(A595)),"Enter the date done",IF(SUMPRODUCT(('PM Plan'!$A$5:$A$304=B595)*('PM Plan'!$B$5:$B$304=C595))=0,"No matching asset + task in plan","OK")))</f>
        <v/>
      </c>
    </row>
    <row r="596" customFormat="false" ht="15" hidden="false" customHeight="false" outlineLevel="0" collapsed="false">
      <c r="A596" s="14"/>
      <c r="B596" s="9"/>
      <c r="C596" s="9"/>
      <c r="D596" s="9"/>
      <c r="E596" s="9"/>
      <c r="F596" s="17" t="str">
        <f aca="false">IF(AND(A596="",B596="",C596=""),"",IF(NOT(ISNUMBER(A596)),"Enter the date done",IF(SUMPRODUCT(('PM Plan'!$A$5:$A$304=B596)*('PM Plan'!$B$5:$B$304=C596))=0,"No matching asset + task in plan","OK")))</f>
        <v/>
      </c>
    </row>
    <row r="597" customFormat="false" ht="15" hidden="false" customHeight="false" outlineLevel="0" collapsed="false">
      <c r="A597" s="14"/>
      <c r="B597" s="9"/>
      <c r="C597" s="9"/>
      <c r="D597" s="9"/>
      <c r="E597" s="9"/>
      <c r="F597" s="17" t="str">
        <f aca="false">IF(AND(A597="",B597="",C597=""),"",IF(NOT(ISNUMBER(A597)),"Enter the date done",IF(SUMPRODUCT(('PM Plan'!$A$5:$A$304=B597)*('PM Plan'!$B$5:$B$304=C597))=0,"No matching asset + task in plan","OK")))</f>
        <v/>
      </c>
    </row>
    <row r="598" customFormat="false" ht="15" hidden="false" customHeight="false" outlineLevel="0" collapsed="false">
      <c r="A598" s="14"/>
      <c r="B598" s="9"/>
      <c r="C598" s="9"/>
      <c r="D598" s="9"/>
      <c r="E598" s="9"/>
      <c r="F598" s="17" t="str">
        <f aca="false">IF(AND(A598="",B598="",C598=""),"",IF(NOT(ISNUMBER(A598)),"Enter the date done",IF(SUMPRODUCT(('PM Plan'!$A$5:$A$304=B598)*('PM Plan'!$B$5:$B$304=C598))=0,"No matching asset + task in plan","OK")))</f>
        <v/>
      </c>
    </row>
    <row r="599" customFormat="false" ht="15" hidden="false" customHeight="false" outlineLevel="0" collapsed="false">
      <c r="A599" s="14"/>
      <c r="B599" s="9"/>
      <c r="C599" s="9"/>
      <c r="D599" s="9"/>
      <c r="E599" s="9"/>
      <c r="F599" s="17" t="str">
        <f aca="false">IF(AND(A599="",B599="",C599=""),"",IF(NOT(ISNUMBER(A599)),"Enter the date done",IF(SUMPRODUCT(('PM Plan'!$A$5:$A$304=B599)*('PM Plan'!$B$5:$B$304=C599))=0,"No matching asset + task in plan","OK")))</f>
        <v/>
      </c>
    </row>
    <row r="600" customFormat="false" ht="15" hidden="false" customHeight="false" outlineLevel="0" collapsed="false">
      <c r="A600" s="14"/>
      <c r="B600" s="9"/>
      <c r="C600" s="9"/>
      <c r="D600" s="9"/>
      <c r="E600" s="9"/>
      <c r="F600" s="17" t="str">
        <f aca="false">IF(AND(A600="",B600="",C600=""),"",IF(NOT(ISNUMBER(A600)),"Enter the date done",IF(SUMPRODUCT(('PM Plan'!$A$5:$A$304=B600)*('PM Plan'!$B$5:$B$304=C600))=0,"No matching asset + task in plan","OK")))</f>
        <v/>
      </c>
    </row>
    <row r="601" customFormat="false" ht="15" hidden="false" customHeight="false" outlineLevel="0" collapsed="false">
      <c r="A601" s="14"/>
      <c r="B601" s="9"/>
      <c r="C601" s="9"/>
      <c r="D601" s="9"/>
      <c r="E601" s="9"/>
      <c r="F601" s="17" t="str">
        <f aca="false">IF(AND(A601="",B601="",C601=""),"",IF(NOT(ISNUMBER(A601)),"Enter the date done",IF(SUMPRODUCT(('PM Plan'!$A$5:$A$304=B601)*('PM Plan'!$B$5:$B$304=C601))=0,"No matching asset + task in plan","OK")))</f>
        <v/>
      </c>
    </row>
    <row r="602" customFormat="false" ht="15" hidden="false" customHeight="false" outlineLevel="0" collapsed="false">
      <c r="A602" s="14"/>
      <c r="B602" s="9"/>
      <c r="C602" s="9"/>
      <c r="D602" s="9"/>
      <c r="E602" s="9"/>
      <c r="F602" s="17" t="str">
        <f aca="false">IF(AND(A602="",B602="",C602=""),"",IF(NOT(ISNUMBER(A602)),"Enter the date done",IF(SUMPRODUCT(('PM Plan'!$A$5:$A$304=B602)*('PM Plan'!$B$5:$B$304=C602))=0,"No matching asset + task in plan","OK")))</f>
        <v/>
      </c>
    </row>
    <row r="603" customFormat="false" ht="15" hidden="false" customHeight="false" outlineLevel="0" collapsed="false">
      <c r="A603" s="14"/>
      <c r="B603" s="9"/>
      <c r="C603" s="9"/>
      <c r="D603" s="9"/>
      <c r="E603" s="9"/>
      <c r="F603" s="17" t="str">
        <f aca="false">IF(AND(A603="",B603="",C603=""),"",IF(NOT(ISNUMBER(A603)),"Enter the date done",IF(SUMPRODUCT(('PM Plan'!$A$5:$A$304=B603)*('PM Plan'!$B$5:$B$304=C603))=0,"No matching asset + task in plan","OK")))</f>
        <v/>
      </c>
    </row>
    <row r="604" customFormat="false" ht="15" hidden="false" customHeight="false" outlineLevel="0" collapsed="false">
      <c r="A604" s="14"/>
      <c r="B604" s="9"/>
      <c r="C604" s="9"/>
      <c r="D604" s="9"/>
      <c r="E604" s="9"/>
      <c r="F604" s="17" t="str">
        <f aca="false">IF(AND(A604="",B604="",C604=""),"",IF(NOT(ISNUMBER(A604)),"Enter the date done",IF(SUMPRODUCT(('PM Plan'!$A$5:$A$304=B604)*('PM Plan'!$B$5:$B$304=C604))=0,"No matching asset + task in plan","OK")))</f>
        <v/>
      </c>
    </row>
    <row r="605" customFormat="false" ht="15" hidden="false" customHeight="false" outlineLevel="0" collapsed="false">
      <c r="A605" s="14"/>
      <c r="B605" s="9"/>
      <c r="C605" s="9"/>
      <c r="D605" s="9"/>
      <c r="E605" s="9"/>
      <c r="F605" s="17" t="str">
        <f aca="false">IF(AND(A605="",B605="",C605=""),"",IF(NOT(ISNUMBER(A605)),"Enter the date done",IF(SUMPRODUCT(('PM Plan'!$A$5:$A$304=B605)*('PM Plan'!$B$5:$B$304=C605))=0,"No matching asset + task in plan","OK")))</f>
        <v/>
      </c>
    </row>
    <row r="606" customFormat="false" ht="15" hidden="false" customHeight="false" outlineLevel="0" collapsed="false">
      <c r="A606" s="14"/>
      <c r="B606" s="9"/>
      <c r="C606" s="9"/>
      <c r="D606" s="9"/>
      <c r="E606" s="9"/>
      <c r="F606" s="17" t="str">
        <f aca="false">IF(AND(A606="",B606="",C606=""),"",IF(NOT(ISNUMBER(A606)),"Enter the date done",IF(SUMPRODUCT(('PM Plan'!$A$5:$A$304=B606)*('PM Plan'!$B$5:$B$304=C606))=0,"No matching asset + task in plan","OK")))</f>
        <v/>
      </c>
    </row>
    <row r="607" customFormat="false" ht="15" hidden="false" customHeight="false" outlineLevel="0" collapsed="false">
      <c r="A607" s="14"/>
      <c r="B607" s="9"/>
      <c r="C607" s="9"/>
      <c r="D607" s="9"/>
      <c r="E607" s="9"/>
      <c r="F607" s="17" t="str">
        <f aca="false">IF(AND(A607="",B607="",C607=""),"",IF(NOT(ISNUMBER(A607)),"Enter the date done",IF(SUMPRODUCT(('PM Plan'!$A$5:$A$304=B607)*('PM Plan'!$B$5:$B$304=C607))=0,"No matching asset + task in plan","OK")))</f>
        <v/>
      </c>
    </row>
    <row r="608" customFormat="false" ht="15" hidden="false" customHeight="false" outlineLevel="0" collapsed="false">
      <c r="A608" s="14"/>
      <c r="B608" s="9"/>
      <c r="C608" s="9"/>
      <c r="D608" s="9"/>
      <c r="E608" s="9"/>
      <c r="F608" s="17" t="str">
        <f aca="false">IF(AND(A608="",B608="",C608=""),"",IF(NOT(ISNUMBER(A608)),"Enter the date done",IF(SUMPRODUCT(('PM Plan'!$A$5:$A$304=B608)*('PM Plan'!$B$5:$B$304=C608))=0,"No matching asset + task in plan","OK")))</f>
        <v/>
      </c>
    </row>
    <row r="609" customFormat="false" ht="15" hidden="false" customHeight="false" outlineLevel="0" collapsed="false">
      <c r="A609" s="14"/>
      <c r="B609" s="9"/>
      <c r="C609" s="9"/>
      <c r="D609" s="9"/>
      <c r="E609" s="9"/>
      <c r="F609" s="17" t="str">
        <f aca="false">IF(AND(A609="",B609="",C609=""),"",IF(NOT(ISNUMBER(A609)),"Enter the date done",IF(SUMPRODUCT(('PM Plan'!$A$5:$A$304=B609)*('PM Plan'!$B$5:$B$304=C609))=0,"No matching asset + task in plan","OK")))</f>
        <v/>
      </c>
    </row>
    <row r="610" customFormat="false" ht="15" hidden="false" customHeight="false" outlineLevel="0" collapsed="false">
      <c r="A610" s="14"/>
      <c r="B610" s="9"/>
      <c r="C610" s="9"/>
      <c r="D610" s="9"/>
      <c r="E610" s="9"/>
      <c r="F610" s="17" t="str">
        <f aca="false">IF(AND(A610="",B610="",C610=""),"",IF(NOT(ISNUMBER(A610)),"Enter the date done",IF(SUMPRODUCT(('PM Plan'!$A$5:$A$304=B610)*('PM Plan'!$B$5:$B$304=C610))=0,"No matching asset + task in plan","OK")))</f>
        <v/>
      </c>
    </row>
    <row r="611" customFormat="false" ht="15" hidden="false" customHeight="false" outlineLevel="0" collapsed="false">
      <c r="A611" s="14"/>
      <c r="B611" s="9"/>
      <c r="C611" s="9"/>
      <c r="D611" s="9"/>
      <c r="E611" s="9"/>
      <c r="F611" s="17" t="str">
        <f aca="false">IF(AND(A611="",B611="",C611=""),"",IF(NOT(ISNUMBER(A611)),"Enter the date done",IF(SUMPRODUCT(('PM Plan'!$A$5:$A$304=B611)*('PM Plan'!$B$5:$B$304=C611))=0,"No matching asset + task in plan","OK")))</f>
        <v/>
      </c>
    </row>
    <row r="612" customFormat="false" ht="15" hidden="false" customHeight="false" outlineLevel="0" collapsed="false">
      <c r="A612" s="14"/>
      <c r="B612" s="9"/>
      <c r="C612" s="9"/>
      <c r="D612" s="9"/>
      <c r="E612" s="9"/>
      <c r="F612" s="17" t="str">
        <f aca="false">IF(AND(A612="",B612="",C612=""),"",IF(NOT(ISNUMBER(A612)),"Enter the date done",IF(SUMPRODUCT(('PM Plan'!$A$5:$A$304=B612)*('PM Plan'!$B$5:$B$304=C612))=0,"No matching asset + task in plan","OK")))</f>
        <v/>
      </c>
    </row>
    <row r="613" customFormat="false" ht="15" hidden="false" customHeight="false" outlineLevel="0" collapsed="false">
      <c r="A613" s="14"/>
      <c r="B613" s="9"/>
      <c r="C613" s="9"/>
      <c r="D613" s="9"/>
      <c r="E613" s="9"/>
      <c r="F613" s="17" t="str">
        <f aca="false">IF(AND(A613="",B613="",C613=""),"",IF(NOT(ISNUMBER(A613)),"Enter the date done",IF(SUMPRODUCT(('PM Plan'!$A$5:$A$304=B613)*('PM Plan'!$B$5:$B$304=C613))=0,"No matching asset + task in plan","OK")))</f>
        <v/>
      </c>
    </row>
    <row r="614" customFormat="false" ht="15" hidden="false" customHeight="false" outlineLevel="0" collapsed="false">
      <c r="A614" s="14"/>
      <c r="B614" s="9"/>
      <c r="C614" s="9"/>
      <c r="D614" s="9"/>
      <c r="E614" s="9"/>
      <c r="F614" s="17" t="str">
        <f aca="false">IF(AND(A614="",B614="",C614=""),"",IF(NOT(ISNUMBER(A614)),"Enter the date done",IF(SUMPRODUCT(('PM Plan'!$A$5:$A$304=B614)*('PM Plan'!$B$5:$B$304=C614))=0,"No matching asset + task in plan","OK")))</f>
        <v/>
      </c>
    </row>
    <row r="615" customFormat="false" ht="15" hidden="false" customHeight="false" outlineLevel="0" collapsed="false">
      <c r="A615" s="14"/>
      <c r="B615" s="9"/>
      <c r="C615" s="9"/>
      <c r="D615" s="9"/>
      <c r="E615" s="9"/>
      <c r="F615" s="17" t="str">
        <f aca="false">IF(AND(A615="",B615="",C615=""),"",IF(NOT(ISNUMBER(A615)),"Enter the date done",IF(SUMPRODUCT(('PM Plan'!$A$5:$A$304=B615)*('PM Plan'!$B$5:$B$304=C615))=0,"No matching asset + task in plan","OK")))</f>
        <v/>
      </c>
    </row>
    <row r="616" customFormat="false" ht="15" hidden="false" customHeight="false" outlineLevel="0" collapsed="false">
      <c r="A616" s="14"/>
      <c r="B616" s="9"/>
      <c r="C616" s="9"/>
      <c r="D616" s="9"/>
      <c r="E616" s="9"/>
      <c r="F616" s="17" t="str">
        <f aca="false">IF(AND(A616="",B616="",C616=""),"",IF(NOT(ISNUMBER(A616)),"Enter the date done",IF(SUMPRODUCT(('PM Plan'!$A$5:$A$304=B616)*('PM Plan'!$B$5:$B$304=C616))=0,"No matching asset + task in plan","OK")))</f>
        <v/>
      </c>
    </row>
    <row r="617" customFormat="false" ht="15" hidden="false" customHeight="false" outlineLevel="0" collapsed="false">
      <c r="A617" s="14"/>
      <c r="B617" s="9"/>
      <c r="C617" s="9"/>
      <c r="D617" s="9"/>
      <c r="E617" s="9"/>
      <c r="F617" s="17" t="str">
        <f aca="false">IF(AND(A617="",B617="",C617=""),"",IF(NOT(ISNUMBER(A617)),"Enter the date done",IF(SUMPRODUCT(('PM Plan'!$A$5:$A$304=B617)*('PM Plan'!$B$5:$B$304=C617))=0,"No matching asset + task in plan","OK")))</f>
        <v/>
      </c>
    </row>
    <row r="618" customFormat="false" ht="15" hidden="false" customHeight="false" outlineLevel="0" collapsed="false">
      <c r="A618" s="14"/>
      <c r="B618" s="9"/>
      <c r="C618" s="9"/>
      <c r="D618" s="9"/>
      <c r="E618" s="9"/>
      <c r="F618" s="17" t="str">
        <f aca="false">IF(AND(A618="",B618="",C618=""),"",IF(NOT(ISNUMBER(A618)),"Enter the date done",IF(SUMPRODUCT(('PM Plan'!$A$5:$A$304=B618)*('PM Plan'!$B$5:$B$304=C618))=0,"No matching asset + task in plan","OK")))</f>
        <v/>
      </c>
    </row>
    <row r="619" customFormat="false" ht="15" hidden="false" customHeight="false" outlineLevel="0" collapsed="false">
      <c r="A619" s="14"/>
      <c r="B619" s="9"/>
      <c r="C619" s="9"/>
      <c r="D619" s="9"/>
      <c r="E619" s="9"/>
      <c r="F619" s="17" t="str">
        <f aca="false">IF(AND(A619="",B619="",C619=""),"",IF(NOT(ISNUMBER(A619)),"Enter the date done",IF(SUMPRODUCT(('PM Plan'!$A$5:$A$304=B619)*('PM Plan'!$B$5:$B$304=C619))=0,"No matching asset + task in plan","OK")))</f>
        <v/>
      </c>
    </row>
    <row r="620" customFormat="false" ht="15" hidden="false" customHeight="false" outlineLevel="0" collapsed="false">
      <c r="A620" s="14"/>
      <c r="B620" s="9"/>
      <c r="C620" s="9"/>
      <c r="D620" s="9"/>
      <c r="E620" s="9"/>
      <c r="F620" s="17" t="str">
        <f aca="false">IF(AND(A620="",B620="",C620=""),"",IF(NOT(ISNUMBER(A620)),"Enter the date done",IF(SUMPRODUCT(('PM Plan'!$A$5:$A$304=B620)*('PM Plan'!$B$5:$B$304=C620))=0,"No matching asset + task in plan","OK")))</f>
        <v/>
      </c>
    </row>
    <row r="621" customFormat="false" ht="15" hidden="false" customHeight="false" outlineLevel="0" collapsed="false">
      <c r="A621" s="14"/>
      <c r="B621" s="9"/>
      <c r="C621" s="9"/>
      <c r="D621" s="9"/>
      <c r="E621" s="9"/>
      <c r="F621" s="17" t="str">
        <f aca="false">IF(AND(A621="",B621="",C621=""),"",IF(NOT(ISNUMBER(A621)),"Enter the date done",IF(SUMPRODUCT(('PM Plan'!$A$5:$A$304=B621)*('PM Plan'!$B$5:$B$304=C621))=0,"No matching asset + task in plan","OK")))</f>
        <v/>
      </c>
    </row>
    <row r="622" customFormat="false" ht="15" hidden="false" customHeight="false" outlineLevel="0" collapsed="false">
      <c r="A622" s="14"/>
      <c r="B622" s="9"/>
      <c r="C622" s="9"/>
      <c r="D622" s="9"/>
      <c r="E622" s="9"/>
      <c r="F622" s="17" t="str">
        <f aca="false">IF(AND(A622="",B622="",C622=""),"",IF(NOT(ISNUMBER(A622)),"Enter the date done",IF(SUMPRODUCT(('PM Plan'!$A$5:$A$304=B622)*('PM Plan'!$B$5:$B$304=C622))=0,"No matching asset + task in plan","OK")))</f>
        <v/>
      </c>
    </row>
    <row r="623" customFormat="false" ht="15" hidden="false" customHeight="false" outlineLevel="0" collapsed="false">
      <c r="A623" s="14"/>
      <c r="B623" s="9"/>
      <c r="C623" s="9"/>
      <c r="D623" s="9"/>
      <c r="E623" s="9"/>
      <c r="F623" s="17" t="str">
        <f aca="false">IF(AND(A623="",B623="",C623=""),"",IF(NOT(ISNUMBER(A623)),"Enter the date done",IF(SUMPRODUCT(('PM Plan'!$A$5:$A$304=B623)*('PM Plan'!$B$5:$B$304=C623))=0,"No matching asset + task in plan","OK")))</f>
        <v/>
      </c>
    </row>
    <row r="624" customFormat="false" ht="15" hidden="false" customHeight="false" outlineLevel="0" collapsed="false">
      <c r="A624" s="14"/>
      <c r="B624" s="9"/>
      <c r="C624" s="9"/>
      <c r="D624" s="9"/>
      <c r="E624" s="9"/>
      <c r="F624" s="17" t="str">
        <f aca="false">IF(AND(A624="",B624="",C624=""),"",IF(NOT(ISNUMBER(A624)),"Enter the date done",IF(SUMPRODUCT(('PM Plan'!$A$5:$A$304=B624)*('PM Plan'!$B$5:$B$304=C624))=0,"No matching asset + task in plan","OK")))</f>
        <v/>
      </c>
    </row>
    <row r="625" customFormat="false" ht="15" hidden="false" customHeight="false" outlineLevel="0" collapsed="false">
      <c r="A625" s="14"/>
      <c r="B625" s="9"/>
      <c r="C625" s="9"/>
      <c r="D625" s="9"/>
      <c r="E625" s="9"/>
      <c r="F625" s="17" t="str">
        <f aca="false">IF(AND(A625="",B625="",C625=""),"",IF(NOT(ISNUMBER(A625)),"Enter the date done",IF(SUMPRODUCT(('PM Plan'!$A$5:$A$304=B625)*('PM Plan'!$B$5:$B$304=C625))=0,"No matching asset + task in plan","OK")))</f>
        <v/>
      </c>
    </row>
    <row r="626" customFormat="false" ht="15" hidden="false" customHeight="false" outlineLevel="0" collapsed="false">
      <c r="A626" s="14"/>
      <c r="B626" s="9"/>
      <c r="C626" s="9"/>
      <c r="D626" s="9"/>
      <c r="E626" s="9"/>
      <c r="F626" s="17" t="str">
        <f aca="false">IF(AND(A626="",B626="",C626=""),"",IF(NOT(ISNUMBER(A626)),"Enter the date done",IF(SUMPRODUCT(('PM Plan'!$A$5:$A$304=B626)*('PM Plan'!$B$5:$B$304=C626))=0,"No matching asset + task in plan","OK")))</f>
        <v/>
      </c>
    </row>
    <row r="627" customFormat="false" ht="15" hidden="false" customHeight="false" outlineLevel="0" collapsed="false">
      <c r="A627" s="14"/>
      <c r="B627" s="9"/>
      <c r="C627" s="9"/>
      <c r="D627" s="9"/>
      <c r="E627" s="9"/>
      <c r="F627" s="17" t="str">
        <f aca="false">IF(AND(A627="",B627="",C627=""),"",IF(NOT(ISNUMBER(A627)),"Enter the date done",IF(SUMPRODUCT(('PM Plan'!$A$5:$A$304=B627)*('PM Plan'!$B$5:$B$304=C627))=0,"No matching asset + task in plan","OK")))</f>
        <v/>
      </c>
    </row>
    <row r="628" customFormat="false" ht="15" hidden="false" customHeight="false" outlineLevel="0" collapsed="false">
      <c r="A628" s="14"/>
      <c r="B628" s="9"/>
      <c r="C628" s="9"/>
      <c r="D628" s="9"/>
      <c r="E628" s="9"/>
      <c r="F628" s="17" t="str">
        <f aca="false">IF(AND(A628="",B628="",C628=""),"",IF(NOT(ISNUMBER(A628)),"Enter the date done",IF(SUMPRODUCT(('PM Plan'!$A$5:$A$304=B628)*('PM Plan'!$B$5:$B$304=C628))=0,"No matching asset + task in plan","OK")))</f>
        <v/>
      </c>
    </row>
    <row r="629" customFormat="false" ht="15" hidden="false" customHeight="false" outlineLevel="0" collapsed="false">
      <c r="A629" s="14"/>
      <c r="B629" s="9"/>
      <c r="C629" s="9"/>
      <c r="D629" s="9"/>
      <c r="E629" s="9"/>
      <c r="F629" s="17" t="str">
        <f aca="false">IF(AND(A629="",B629="",C629=""),"",IF(NOT(ISNUMBER(A629)),"Enter the date done",IF(SUMPRODUCT(('PM Plan'!$A$5:$A$304=B629)*('PM Plan'!$B$5:$B$304=C629))=0,"No matching asset + task in plan","OK")))</f>
        <v/>
      </c>
    </row>
    <row r="630" customFormat="false" ht="15" hidden="false" customHeight="false" outlineLevel="0" collapsed="false">
      <c r="A630" s="14"/>
      <c r="B630" s="9"/>
      <c r="C630" s="9"/>
      <c r="D630" s="9"/>
      <c r="E630" s="9"/>
      <c r="F630" s="17" t="str">
        <f aca="false">IF(AND(A630="",B630="",C630=""),"",IF(NOT(ISNUMBER(A630)),"Enter the date done",IF(SUMPRODUCT(('PM Plan'!$A$5:$A$304=B630)*('PM Plan'!$B$5:$B$304=C630))=0,"No matching asset + task in plan","OK")))</f>
        <v/>
      </c>
    </row>
    <row r="631" customFormat="false" ht="15" hidden="false" customHeight="false" outlineLevel="0" collapsed="false">
      <c r="A631" s="14"/>
      <c r="B631" s="9"/>
      <c r="C631" s="9"/>
      <c r="D631" s="9"/>
      <c r="E631" s="9"/>
      <c r="F631" s="17" t="str">
        <f aca="false">IF(AND(A631="",B631="",C631=""),"",IF(NOT(ISNUMBER(A631)),"Enter the date done",IF(SUMPRODUCT(('PM Plan'!$A$5:$A$304=B631)*('PM Plan'!$B$5:$B$304=C631))=0,"No matching asset + task in plan","OK")))</f>
        <v/>
      </c>
    </row>
    <row r="632" customFormat="false" ht="15" hidden="false" customHeight="false" outlineLevel="0" collapsed="false">
      <c r="A632" s="14"/>
      <c r="B632" s="9"/>
      <c r="C632" s="9"/>
      <c r="D632" s="9"/>
      <c r="E632" s="9"/>
      <c r="F632" s="17" t="str">
        <f aca="false">IF(AND(A632="",B632="",C632=""),"",IF(NOT(ISNUMBER(A632)),"Enter the date done",IF(SUMPRODUCT(('PM Plan'!$A$5:$A$304=B632)*('PM Plan'!$B$5:$B$304=C632))=0,"No matching asset + task in plan","OK")))</f>
        <v/>
      </c>
    </row>
    <row r="633" customFormat="false" ht="15" hidden="false" customHeight="false" outlineLevel="0" collapsed="false">
      <c r="A633" s="14"/>
      <c r="B633" s="9"/>
      <c r="C633" s="9"/>
      <c r="D633" s="9"/>
      <c r="E633" s="9"/>
      <c r="F633" s="17" t="str">
        <f aca="false">IF(AND(A633="",B633="",C633=""),"",IF(NOT(ISNUMBER(A633)),"Enter the date done",IF(SUMPRODUCT(('PM Plan'!$A$5:$A$304=B633)*('PM Plan'!$B$5:$B$304=C633))=0,"No matching asset + task in plan","OK")))</f>
        <v/>
      </c>
    </row>
    <row r="634" customFormat="false" ht="15" hidden="false" customHeight="false" outlineLevel="0" collapsed="false">
      <c r="A634" s="14"/>
      <c r="B634" s="9"/>
      <c r="C634" s="9"/>
      <c r="D634" s="9"/>
      <c r="E634" s="9"/>
      <c r="F634" s="17" t="str">
        <f aca="false">IF(AND(A634="",B634="",C634=""),"",IF(NOT(ISNUMBER(A634)),"Enter the date done",IF(SUMPRODUCT(('PM Plan'!$A$5:$A$304=B634)*('PM Plan'!$B$5:$B$304=C634))=0,"No matching asset + task in plan","OK")))</f>
        <v/>
      </c>
    </row>
    <row r="635" customFormat="false" ht="15" hidden="false" customHeight="false" outlineLevel="0" collapsed="false">
      <c r="A635" s="14"/>
      <c r="B635" s="9"/>
      <c r="C635" s="9"/>
      <c r="D635" s="9"/>
      <c r="E635" s="9"/>
      <c r="F635" s="17" t="str">
        <f aca="false">IF(AND(A635="",B635="",C635=""),"",IF(NOT(ISNUMBER(A635)),"Enter the date done",IF(SUMPRODUCT(('PM Plan'!$A$5:$A$304=B635)*('PM Plan'!$B$5:$B$304=C635))=0,"No matching asset + task in plan","OK")))</f>
        <v/>
      </c>
    </row>
    <row r="636" customFormat="false" ht="15" hidden="false" customHeight="false" outlineLevel="0" collapsed="false">
      <c r="A636" s="14"/>
      <c r="B636" s="9"/>
      <c r="C636" s="9"/>
      <c r="D636" s="9"/>
      <c r="E636" s="9"/>
      <c r="F636" s="17" t="str">
        <f aca="false">IF(AND(A636="",B636="",C636=""),"",IF(NOT(ISNUMBER(A636)),"Enter the date done",IF(SUMPRODUCT(('PM Plan'!$A$5:$A$304=B636)*('PM Plan'!$B$5:$B$304=C636))=0,"No matching asset + task in plan","OK")))</f>
        <v/>
      </c>
    </row>
    <row r="637" customFormat="false" ht="15" hidden="false" customHeight="false" outlineLevel="0" collapsed="false">
      <c r="A637" s="14"/>
      <c r="B637" s="9"/>
      <c r="C637" s="9"/>
      <c r="D637" s="9"/>
      <c r="E637" s="9"/>
      <c r="F637" s="17" t="str">
        <f aca="false">IF(AND(A637="",B637="",C637=""),"",IF(NOT(ISNUMBER(A637)),"Enter the date done",IF(SUMPRODUCT(('PM Plan'!$A$5:$A$304=B637)*('PM Plan'!$B$5:$B$304=C637))=0,"No matching asset + task in plan","OK")))</f>
        <v/>
      </c>
    </row>
    <row r="638" customFormat="false" ht="15" hidden="false" customHeight="false" outlineLevel="0" collapsed="false">
      <c r="A638" s="14"/>
      <c r="B638" s="9"/>
      <c r="C638" s="9"/>
      <c r="D638" s="9"/>
      <c r="E638" s="9"/>
      <c r="F638" s="17" t="str">
        <f aca="false">IF(AND(A638="",B638="",C638=""),"",IF(NOT(ISNUMBER(A638)),"Enter the date done",IF(SUMPRODUCT(('PM Plan'!$A$5:$A$304=B638)*('PM Plan'!$B$5:$B$304=C638))=0,"No matching asset + task in plan","OK")))</f>
        <v/>
      </c>
    </row>
    <row r="639" customFormat="false" ht="15" hidden="false" customHeight="false" outlineLevel="0" collapsed="false">
      <c r="A639" s="14"/>
      <c r="B639" s="9"/>
      <c r="C639" s="9"/>
      <c r="D639" s="9"/>
      <c r="E639" s="9"/>
      <c r="F639" s="17" t="str">
        <f aca="false">IF(AND(A639="",B639="",C639=""),"",IF(NOT(ISNUMBER(A639)),"Enter the date done",IF(SUMPRODUCT(('PM Plan'!$A$5:$A$304=B639)*('PM Plan'!$B$5:$B$304=C639))=0,"No matching asset + task in plan","OK")))</f>
        <v/>
      </c>
    </row>
    <row r="640" customFormat="false" ht="15" hidden="false" customHeight="false" outlineLevel="0" collapsed="false">
      <c r="A640" s="14"/>
      <c r="B640" s="9"/>
      <c r="C640" s="9"/>
      <c r="D640" s="9"/>
      <c r="E640" s="9"/>
      <c r="F640" s="17" t="str">
        <f aca="false">IF(AND(A640="",B640="",C640=""),"",IF(NOT(ISNUMBER(A640)),"Enter the date done",IF(SUMPRODUCT(('PM Plan'!$A$5:$A$304=B640)*('PM Plan'!$B$5:$B$304=C640))=0,"No matching asset + task in plan","OK")))</f>
        <v/>
      </c>
    </row>
    <row r="641" customFormat="false" ht="15" hidden="false" customHeight="false" outlineLevel="0" collapsed="false">
      <c r="A641" s="14"/>
      <c r="B641" s="9"/>
      <c r="C641" s="9"/>
      <c r="D641" s="9"/>
      <c r="E641" s="9"/>
      <c r="F641" s="17" t="str">
        <f aca="false">IF(AND(A641="",B641="",C641=""),"",IF(NOT(ISNUMBER(A641)),"Enter the date done",IF(SUMPRODUCT(('PM Plan'!$A$5:$A$304=B641)*('PM Plan'!$B$5:$B$304=C641))=0,"No matching asset + task in plan","OK")))</f>
        <v/>
      </c>
    </row>
    <row r="642" customFormat="false" ht="15" hidden="false" customHeight="false" outlineLevel="0" collapsed="false">
      <c r="A642" s="14"/>
      <c r="B642" s="9"/>
      <c r="C642" s="9"/>
      <c r="D642" s="9"/>
      <c r="E642" s="9"/>
      <c r="F642" s="17" t="str">
        <f aca="false">IF(AND(A642="",B642="",C642=""),"",IF(NOT(ISNUMBER(A642)),"Enter the date done",IF(SUMPRODUCT(('PM Plan'!$A$5:$A$304=B642)*('PM Plan'!$B$5:$B$304=C642))=0,"No matching asset + task in plan","OK")))</f>
        <v/>
      </c>
    </row>
    <row r="643" customFormat="false" ht="15" hidden="false" customHeight="false" outlineLevel="0" collapsed="false">
      <c r="A643" s="14"/>
      <c r="B643" s="9"/>
      <c r="C643" s="9"/>
      <c r="D643" s="9"/>
      <c r="E643" s="9"/>
      <c r="F643" s="17" t="str">
        <f aca="false">IF(AND(A643="",B643="",C643=""),"",IF(NOT(ISNUMBER(A643)),"Enter the date done",IF(SUMPRODUCT(('PM Plan'!$A$5:$A$304=B643)*('PM Plan'!$B$5:$B$304=C643))=0,"No matching asset + task in plan","OK")))</f>
        <v/>
      </c>
    </row>
    <row r="644" customFormat="false" ht="15" hidden="false" customHeight="false" outlineLevel="0" collapsed="false">
      <c r="A644" s="14"/>
      <c r="B644" s="9"/>
      <c r="C644" s="9"/>
      <c r="D644" s="9"/>
      <c r="E644" s="9"/>
      <c r="F644" s="17" t="str">
        <f aca="false">IF(AND(A644="",B644="",C644=""),"",IF(NOT(ISNUMBER(A644)),"Enter the date done",IF(SUMPRODUCT(('PM Plan'!$A$5:$A$304=B644)*('PM Plan'!$B$5:$B$304=C644))=0,"No matching asset + task in plan","OK")))</f>
        <v/>
      </c>
    </row>
    <row r="645" customFormat="false" ht="15" hidden="false" customHeight="false" outlineLevel="0" collapsed="false">
      <c r="A645" s="14"/>
      <c r="B645" s="9"/>
      <c r="C645" s="9"/>
      <c r="D645" s="9"/>
      <c r="E645" s="9"/>
      <c r="F645" s="17" t="str">
        <f aca="false">IF(AND(A645="",B645="",C645=""),"",IF(NOT(ISNUMBER(A645)),"Enter the date done",IF(SUMPRODUCT(('PM Plan'!$A$5:$A$304=B645)*('PM Plan'!$B$5:$B$304=C645))=0,"No matching asset + task in plan","OK")))</f>
        <v/>
      </c>
    </row>
    <row r="646" customFormat="false" ht="15" hidden="false" customHeight="false" outlineLevel="0" collapsed="false">
      <c r="A646" s="14"/>
      <c r="B646" s="9"/>
      <c r="C646" s="9"/>
      <c r="D646" s="9"/>
      <c r="E646" s="9"/>
      <c r="F646" s="17" t="str">
        <f aca="false">IF(AND(A646="",B646="",C646=""),"",IF(NOT(ISNUMBER(A646)),"Enter the date done",IF(SUMPRODUCT(('PM Plan'!$A$5:$A$304=B646)*('PM Plan'!$B$5:$B$304=C646))=0,"No matching asset + task in plan","OK")))</f>
        <v/>
      </c>
    </row>
    <row r="647" customFormat="false" ht="15" hidden="false" customHeight="false" outlineLevel="0" collapsed="false">
      <c r="A647" s="14"/>
      <c r="B647" s="9"/>
      <c r="C647" s="9"/>
      <c r="D647" s="9"/>
      <c r="E647" s="9"/>
      <c r="F647" s="17" t="str">
        <f aca="false">IF(AND(A647="",B647="",C647=""),"",IF(NOT(ISNUMBER(A647)),"Enter the date done",IF(SUMPRODUCT(('PM Plan'!$A$5:$A$304=B647)*('PM Plan'!$B$5:$B$304=C647))=0,"No matching asset + task in plan","OK")))</f>
        <v/>
      </c>
    </row>
    <row r="648" customFormat="false" ht="15" hidden="false" customHeight="false" outlineLevel="0" collapsed="false">
      <c r="A648" s="14"/>
      <c r="B648" s="9"/>
      <c r="C648" s="9"/>
      <c r="D648" s="9"/>
      <c r="E648" s="9"/>
      <c r="F648" s="17" t="str">
        <f aca="false">IF(AND(A648="",B648="",C648=""),"",IF(NOT(ISNUMBER(A648)),"Enter the date done",IF(SUMPRODUCT(('PM Plan'!$A$5:$A$304=B648)*('PM Plan'!$B$5:$B$304=C648))=0,"No matching asset + task in plan","OK")))</f>
        <v/>
      </c>
    </row>
    <row r="649" customFormat="false" ht="15" hidden="false" customHeight="false" outlineLevel="0" collapsed="false">
      <c r="A649" s="14"/>
      <c r="B649" s="9"/>
      <c r="C649" s="9"/>
      <c r="D649" s="9"/>
      <c r="E649" s="9"/>
      <c r="F649" s="17" t="str">
        <f aca="false">IF(AND(A649="",B649="",C649=""),"",IF(NOT(ISNUMBER(A649)),"Enter the date done",IF(SUMPRODUCT(('PM Plan'!$A$5:$A$304=B649)*('PM Plan'!$B$5:$B$304=C649))=0,"No matching asset + task in plan","OK")))</f>
        <v/>
      </c>
    </row>
    <row r="650" customFormat="false" ht="15" hidden="false" customHeight="false" outlineLevel="0" collapsed="false">
      <c r="A650" s="14"/>
      <c r="B650" s="9"/>
      <c r="C650" s="9"/>
      <c r="D650" s="9"/>
      <c r="E650" s="9"/>
      <c r="F650" s="17" t="str">
        <f aca="false">IF(AND(A650="",B650="",C650=""),"",IF(NOT(ISNUMBER(A650)),"Enter the date done",IF(SUMPRODUCT(('PM Plan'!$A$5:$A$304=B650)*('PM Plan'!$B$5:$B$304=C650))=0,"No matching asset + task in plan","OK")))</f>
        <v/>
      </c>
    </row>
    <row r="651" customFormat="false" ht="15" hidden="false" customHeight="false" outlineLevel="0" collapsed="false">
      <c r="A651" s="14"/>
      <c r="B651" s="9"/>
      <c r="C651" s="9"/>
      <c r="D651" s="9"/>
      <c r="E651" s="9"/>
      <c r="F651" s="17" t="str">
        <f aca="false">IF(AND(A651="",B651="",C651=""),"",IF(NOT(ISNUMBER(A651)),"Enter the date done",IF(SUMPRODUCT(('PM Plan'!$A$5:$A$304=B651)*('PM Plan'!$B$5:$B$304=C651))=0,"No matching asset + task in plan","OK")))</f>
        <v/>
      </c>
    </row>
    <row r="652" customFormat="false" ht="15" hidden="false" customHeight="false" outlineLevel="0" collapsed="false">
      <c r="A652" s="14"/>
      <c r="B652" s="9"/>
      <c r="C652" s="9"/>
      <c r="D652" s="9"/>
      <c r="E652" s="9"/>
      <c r="F652" s="17" t="str">
        <f aca="false">IF(AND(A652="",B652="",C652=""),"",IF(NOT(ISNUMBER(A652)),"Enter the date done",IF(SUMPRODUCT(('PM Plan'!$A$5:$A$304=B652)*('PM Plan'!$B$5:$B$304=C652))=0,"No matching asset + task in plan","OK")))</f>
        <v/>
      </c>
    </row>
    <row r="653" customFormat="false" ht="15" hidden="false" customHeight="false" outlineLevel="0" collapsed="false">
      <c r="A653" s="14"/>
      <c r="B653" s="9"/>
      <c r="C653" s="9"/>
      <c r="D653" s="9"/>
      <c r="E653" s="9"/>
      <c r="F653" s="17" t="str">
        <f aca="false">IF(AND(A653="",B653="",C653=""),"",IF(NOT(ISNUMBER(A653)),"Enter the date done",IF(SUMPRODUCT(('PM Plan'!$A$5:$A$304=B653)*('PM Plan'!$B$5:$B$304=C653))=0,"No matching asset + task in plan","OK")))</f>
        <v/>
      </c>
    </row>
    <row r="654" customFormat="false" ht="15" hidden="false" customHeight="false" outlineLevel="0" collapsed="false">
      <c r="A654" s="14"/>
      <c r="B654" s="9"/>
      <c r="C654" s="9"/>
      <c r="D654" s="9"/>
      <c r="E654" s="9"/>
      <c r="F654" s="17" t="str">
        <f aca="false">IF(AND(A654="",B654="",C654=""),"",IF(NOT(ISNUMBER(A654)),"Enter the date done",IF(SUMPRODUCT(('PM Plan'!$A$5:$A$304=B654)*('PM Plan'!$B$5:$B$304=C654))=0,"No matching asset + task in plan","OK")))</f>
        <v/>
      </c>
    </row>
    <row r="655" customFormat="false" ht="15" hidden="false" customHeight="false" outlineLevel="0" collapsed="false">
      <c r="A655" s="14"/>
      <c r="B655" s="9"/>
      <c r="C655" s="9"/>
      <c r="D655" s="9"/>
      <c r="E655" s="9"/>
      <c r="F655" s="17" t="str">
        <f aca="false">IF(AND(A655="",B655="",C655=""),"",IF(NOT(ISNUMBER(A655)),"Enter the date done",IF(SUMPRODUCT(('PM Plan'!$A$5:$A$304=B655)*('PM Plan'!$B$5:$B$304=C655))=0,"No matching asset + task in plan","OK")))</f>
        <v/>
      </c>
    </row>
    <row r="656" customFormat="false" ht="15" hidden="false" customHeight="false" outlineLevel="0" collapsed="false">
      <c r="A656" s="14"/>
      <c r="B656" s="9"/>
      <c r="C656" s="9"/>
      <c r="D656" s="9"/>
      <c r="E656" s="9"/>
      <c r="F656" s="17" t="str">
        <f aca="false">IF(AND(A656="",B656="",C656=""),"",IF(NOT(ISNUMBER(A656)),"Enter the date done",IF(SUMPRODUCT(('PM Plan'!$A$5:$A$304=B656)*('PM Plan'!$B$5:$B$304=C656))=0,"No matching asset + task in plan","OK")))</f>
        <v/>
      </c>
    </row>
    <row r="657" customFormat="false" ht="15" hidden="false" customHeight="false" outlineLevel="0" collapsed="false">
      <c r="A657" s="14"/>
      <c r="B657" s="9"/>
      <c r="C657" s="9"/>
      <c r="D657" s="9"/>
      <c r="E657" s="9"/>
      <c r="F657" s="17" t="str">
        <f aca="false">IF(AND(A657="",B657="",C657=""),"",IF(NOT(ISNUMBER(A657)),"Enter the date done",IF(SUMPRODUCT(('PM Plan'!$A$5:$A$304=B657)*('PM Plan'!$B$5:$B$304=C657))=0,"No matching asset + task in plan","OK")))</f>
        <v/>
      </c>
    </row>
    <row r="658" customFormat="false" ht="15" hidden="false" customHeight="false" outlineLevel="0" collapsed="false">
      <c r="A658" s="14"/>
      <c r="B658" s="9"/>
      <c r="C658" s="9"/>
      <c r="D658" s="9"/>
      <c r="E658" s="9"/>
      <c r="F658" s="17" t="str">
        <f aca="false">IF(AND(A658="",B658="",C658=""),"",IF(NOT(ISNUMBER(A658)),"Enter the date done",IF(SUMPRODUCT(('PM Plan'!$A$5:$A$304=B658)*('PM Plan'!$B$5:$B$304=C658))=0,"No matching asset + task in plan","OK")))</f>
        <v/>
      </c>
    </row>
    <row r="659" customFormat="false" ht="15" hidden="false" customHeight="false" outlineLevel="0" collapsed="false">
      <c r="A659" s="14"/>
      <c r="B659" s="9"/>
      <c r="C659" s="9"/>
      <c r="D659" s="9"/>
      <c r="E659" s="9"/>
      <c r="F659" s="17" t="str">
        <f aca="false">IF(AND(A659="",B659="",C659=""),"",IF(NOT(ISNUMBER(A659)),"Enter the date done",IF(SUMPRODUCT(('PM Plan'!$A$5:$A$304=B659)*('PM Plan'!$B$5:$B$304=C659))=0,"No matching asset + task in plan","OK")))</f>
        <v/>
      </c>
    </row>
    <row r="660" customFormat="false" ht="15" hidden="false" customHeight="false" outlineLevel="0" collapsed="false">
      <c r="A660" s="14"/>
      <c r="B660" s="9"/>
      <c r="C660" s="9"/>
      <c r="D660" s="9"/>
      <c r="E660" s="9"/>
      <c r="F660" s="17" t="str">
        <f aca="false">IF(AND(A660="",B660="",C660=""),"",IF(NOT(ISNUMBER(A660)),"Enter the date done",IF(SUMPRODUCT(('PM Plan'!$A$5:$A$304=B660)*('PM Plan'!$B$5:$B$304=C660))=0,"No matching asset + task in plan","OK")))</f>
        <v/>
      </c>
    </row>
    <row r="661" customFormat="false" ht="15" hidden="false" customHeight="false" outlineLevel="0" collapsed="false">
      <c r="A661" s="14"/>
      <c r="B661" s="9"/>
      <c r="C661" s="9"/>
      <c r="D661" s="9"/>
      <c r="E661" s="9"/>
      <c r="F661" s="17" t="str">
        <f aca="false">IF(AND(A661="",B661="",C661=""),"",IF(NOT(ISNUMBER(A661)),"Enter the date done",IF(SUMPRODUCT(('PM Plan'!$A$5:$A$304=B661)*('PM Plan'!$B$5:$B$304=C661))=0,"No matching asset + task in plan","OK")))</f>
        <v/>
      </c>
    </row>
    <row r="662" customFormat="false" ht="15" hidden="false" customHeight="false" outlineLevel="0" collapsed="false">
      <c r="A662" s="14"/>
      <c r="B662" s="9"/>
      <c r="C662" s="9"/>
      <c r="D662" s="9"/>
      <c r="E662" s="9"/>
      <c r="F662" s="17" t="str">
        <f aca="false">IF(AND(A662="",B662="",C662=""),"",IF(NOT(ISNUMBER(A662)),"Enter the date done",IF(SUMPRODUCT(('PM Plan'!$A$5:$A$304=B662)*('PM Plan'!$B$5:$B$304=C662))=0,"No matching asset + task in plan","OK")))</f>
        <v/>
      </c>
    </row>
    <row r="663" customFormat="false" ht="15" hidden="false" customHeight="false" outlineLevel="0" collapsed="false">
      <c r="A663" s="14"/>
      <c r="B663" s="9"/>
      <c r="C663" s="9"/>
      <c r="D663" s="9"/>
      <c r="E663" s="9"/>
      <c r="F663" s="17" t="str">
        <f aca="false">IF(AND(A663="",B663="",C663=""),"",IF(NOT(ISNUMBER(A663)),"Enter the date done",IF(SUMPRODUCT(('PM Plan'!$A$5:$A$304=B663)*('PM Plan'!$B$5:$B$304=C663))=0,"No matching asset + task in plan","OK")))</f>
        <v/>
      </c>
    </row>
    <row r="664" customFormat="false" ht="15" hidden="false" customHeight="false" outlineLevel="0" collapsed="false">
      <c r="A664" s="14"/>
      <c r="B664" s="9"/>
      <c r="C664" s="9"/>
      <c r="D664" s="9"/>
      <c r="E664" s="9"/>
      <c r="F664" s="17" t="str">
        <f aca="false">IF(AND(A664="",B664="",C664=""),"",IF(NOT(ISNUMBER(A664)),"Enter the date done",IF(SUMPRODUCT(('PM Plan'!$A$5:$A$304=B664)*('PM Plan'!$B$5:$B$304=C664))=0,"No matching asset + task in plan","OK")))</f>
        <v/>
      </c>
    </row>
    <row r="665" customFormat="false" ht="15" hidden="false" customHeight="false" outlineLevel="0" collapsed="false">
      <c r="A665" s="14"/>
      <c r="B665" s="9"/>
      <c r="C665" s="9"/>
      <c r="D665" s="9"/>
      <c r="E665" s="9"/>
      <c r="F665" s="17" t="str">
        <f aca="false">IF(AND(A665="",B665="",C665=""),"",IF(NOT(ISNUMBER(A665)),"Enter the date done",IF(SUMPRODUCT(('PM Plan'!$A$5:$A$304=B665)*('PM Plan'!$B$5:$B$304=C665))=0,"No matching asset + task in plan","OK")))</f>
        <v/>
      </c>
    </row>
    <row r="666" customFormat="false" ht="15" hidden="false" customHeight="false" outlineLevel="0" collapsed="false">
      <c r="A666" s="14"/>
      <c r="B666" s="9"/>
      <c r="C666" s="9"/>
      <c r="D666" s="9"/>
      <c r="E666" s="9"/>
      <c r="F666" s="17" t="str">
        <f aca="false">IF(AND(A666="",B666="",C666=""),"",IF(NOT(ISNUMBER(A666)),"Enter the date done",IF(SUMPRODUCT(('PM Plan'!$A$5:$A$304=B666)*('PM Plan'!$B$5:$B$304=C666))=0,"No matching asset + task in plan","OK")))</f>
        <v/>
      </c>
    </row>
    <row r="667" customFormat="false" ht="15" hidden="false" customHeight="false" outlineLevel="0" collapsed="false">
      <c r="A667" s="14"/>
      <c r="B667" s="9"/>
      <c r="C667" s="9"/>
      <c r="D667" s="9"/>
      <c r="E667" s="9"/>
      <c r="F667" s="17" t="str">
        <f aca="false">IF(AND(A667="",B667="",C667=""),"",IF(NOT(ISNUMBER(A667)),"Enter the date done",IF(SUMPRODUCT(('PM Plan'!$A$5:$A$304=B667)*('PM Plan'!$B$5:$B$304=C667))=0,"No matching asset + task in plan","OK")))</f>
        <v/>
      </c>
    </row>
    <row r="668" customFormat="false" ht="15" hidden="false" customHeight="false" outlineLevel="0" collapsed="false">
      <c r="A668" s="14"/>
      <c r="B668" s="9"/>
      <c r="C668" s="9"/>
      <c r="D668" s="9"/>
      <c r="E668" s="9"/>
      <c r="F668" s="17" t="str">
        <f aca="false">IF(AND(A668="",B668="",C668=""),"",IF(NOT(ISNUMBER(A668)),"Enter the date done",IF(SUMPRODUCT(('PM Plan'!$A$5:$A$304=B668)*('PM Plan'!$B$5:$B$304=C668))=0,"No matching asset + task in plan","OK")))</f>
        <v/>
      </c>
    </row>
    <row r="669" customFormat="false" ht="15" hidden="false" customHeight="false" outlineLevel="0" collapsed="false">
      <c r="A669" s="14"/>
      <c r="B669" s="9"/>
      <c r="C669" s="9"/>
      <c r="D669" s="9"/>
      <c r="E669" s="9"/>
      <c r="F669" s="17" t="str">
        <f aca="false">IF(AND(A669="",B669="",C669=""),"",IF(NOT(ISNUMBER(A669)),"Enter the date done",IF(SUMPRODUCT(('PM Plan'!$A$5:$A$304=B669)*('PM Plan'!$B$5:$B$304=C669))=0,"No matching asset + task in plan","OK")))</f>
        <v/>
      </c>
    </row>
    <row r="670" customFormat="false" ht="15" hidden="false" customHeight="false" outlineLevel="0" collapsed="false">
      <c r="A670" s="14"/>
      <c r="B670" s="9"/>
      <c r="C670" s="9"/>
      <c r="D670" s="9"/>
      <c r="E670" s="9"/>
      <c r="F670" s="17" t="str">
        <f aca="false">IF(AND(A670="",B670="",C670=""),"",IF(NOT(ISNUMBER(A670)),"Enter the date done",IF(SUMPRODUCT(('PM Plan'!$A$5:$A$304=B670)*('PM Plan'!$B$5:$B$304=C670))=0,"No matching asset + task in plan","OK")))</f>
        <v/>
      </c>
    </row>
    <row r="671" customFormat="false" ht="15" hidden="false" customHeight="false" outlineLevel="0" collapsed="false">
      <c r="A671" s="14"/>
      <c r="B671" s="9"/>
      <c r="C671" s="9"/>
      <c r="D671" s="9"/>
      <c r="E671" s="9"/>
      <c r="F671" s="17" t="str">
        <f aca="false">IF(AND(A671="",B671="",C671=""),"",IF(NOT(ISNUMBER(A671)),"Enter the date done",IF(SUMPRODUCT(('PM Plan'!$A$5:$A$304=B671)*('PM Plan'!$B$5:$B$304=C671))=0,"No matching asset + task in plan","OK")))</f>
        <v/>
      </c>
    </row>
    <row r="672" customFormat="false" ht="15" hidden="false" customHeight="false" outlineLevel="0" collapsed="false">
      <c r="A672" s="14"/>
      <c r="B672" s="9"/>
      <c r="C672" s="9"/>
      <c r="D672" s="9"/>
      <c r="E672" s="9"/>
      <c r="F672" s="17" t="str">
        <f aca="false">IF(AND(A672="",B672="",C672=""),"",IF(NOT(ISNUMBER(A672)),"Enter the date done",IF(SUMPRODUCT(('PM Plan'!$A$5:$A$304=B672)*('PM Plan'!$B$5:$B$304=C672))=0,"No matching asset + task in plan","OK")))</f>
        <v/>
      </c>
    </row>
    <row r="673" customFormat="false" ht="15" hidden="false" customHeight="false" outlineLevel="0" collapsed="false">
      <c r="A673" s="14"/>
      <c r="B673" s="9"/>
      <c r="C673" s="9"/>
      <c r="D673" s="9"/>
      <c r="E673" s="9"/>
      <c r="F673" s="17" t="str">
        <f aca="false">IF(AND(A673="",B673="",C673=""),"",IF(NOT(ISNUMBER(A673)),"Enter the date done",IF(SUMPRODUCT(('PM Plan'!$A$5:$A$304=B673)*('PM Plan'!$B$5:$B$304=C673))=0,"No matching asset + task in plan","OK")))</f>
        <v/>
      </c>
    </row>
    <row r="674" customFormat="false" ht="15" hidden="false" customHeight="false" outlineLevel="0" collapsed="false">
      <c r="A674" s="14"/>
      <c r="B674" s="9"/>
      <c r="C674" s="9"/>
      <c r="D674" s="9"/>
      <c r="E674" s="9"/>
      <c r="F674" s="17" t="str">
        <f aca="false">IF(AND(A674="",B674="",C674=""),"",IF(NOT(ISNUMBER(A674)),"Enter the date done",IF(SUMPRODUCT(('PM Plan'!$A$5:$A$304=B674)*('PM Plan'!$B$5:$B$304=C674))=0,"No matching asset + task in plan","OK")))</f>
        <v/>
      </c>
    </row>
    <row r="675" customFormat="false" ht="15" hidden="false" customHeight="false" outlineLevel="0" collapsed="false">
      <c r="A675" s="14"/>
      <c r="B675" s="9"/>
      <c r="C675" s="9"/>
      <c r="D675" s="9"/>
      <c r="E675" s="9"/>
      <c r="F675" s="17" t="str">
        <f aca="false">IF(AND(A675="",B675="",C675=""),"",IF(NOT(ISNUMBER(A675)),"Enter the date done",IF(SUMPRODUCT(('PM Plan'!$A$5:$A$304=B675)*('PM Plan'!$B$5:$B$304=C675))=0,"No matching asset + task in plan","OK")))</f>
        <v/>
      </c>
    </row>
    <row r="676" customFormat="false" ht="15" hidden="false" customHeight="false" outlineLevel="0" collapsed="false">
      <c r="A676" s="14"/>
      <c r="B676" s="9"/>
      <c r="C676" s="9"/>
      <c r="D676" s="9"/>
      <c r="E676" s="9"/>
      <c r="F676" s="17" t="str">
        <f aca="false">IF(AND(A676="",B676="",C676=""),"",IF(NOT(ISNUMBER(A676)),"Enter the date done",IF(SUMPRODUCT(('PM Plan'!$A$5:$A$304=B676)*('PM Plan'!$B$5:$B$304=C676))=0,"No matching asset + task in plan","OK")))</f>
        <v/>
      </c>
    </row>
    <row r="677" customFormat="false" ht="15" hidden="false" customHeight="false" outlineLevel="0" collapsed="false">
      <c r="A677" s="14"/>
      <c r="B677" s="9"/>
      <c r="C677" s="9"/>
      <c r="D677" s="9"/>
      <c r="E677" s="9"/>
      <c r="F677" s="17" t="str">
        <f aca="false">IF(AND(A677="",B677="",C677=""),"",IF(NOT(ISNUMBER(A677)),"Enter the date done",IF(SUMPRODUCT(('PM Plan'!$A$5:$A$304=B677)*('PM Plan'!$B$5:$B$304=C677))=0,"No matching asset + task in plan","OK")))</f>
        <v/>
      </c>
    </row>
    <row r="678" customFormat="false" ht="15" hidden="false" customHeight="false" outlineLevel="0" collapsed="false">
      <c r="A678" s="14"/>
      <c r="B678" s="9"/>
      <c r="C678" s="9"/>
      <c r="D678" s="9"/>
      <c r="E678" s="9"/>
      <c r="F678" s="17" t="str">
        <f aca="false">IF(AND(A678="",B678="",C678=""),"",IF(NOT(ISNUMBER(A678)),"Enter the date done",IF(SUMPRODUCT(('PM Plan'!$A$5:$A$304=B678)*('PM Plan'!$B$5:$B$304=C678))=0,"No matching asset + task in plan","OK")))</f>
        <v/>
      </c>
    </row>
    <row r="679" customFormat="false" ht="15" hidden="false" customHeight="false" outlineLevel="0" collapsed="false">
      <c r="A679" s="14"/>
      <c r="B679" s="9"/>
      <c r="C679" s="9"/>
      <c r="D679" s="9"/>
      <c r="E679" s="9"/>
      <c r="F679" s="17" t="str">
        <f aca="false">IF(AND(A679="",B679="",C679=""),"",IF(NOT(ISNUMBER(A679)),"Enter the date done",IF(SUMPRODUCT(('PM Plan'!$A$5:$A$304=B679)*('PM Plan'!$B$5:$B$304=C679))=0,"No matching asset + task in plan","OK")))</f>
        <v/>
      </c>
    </row>
    <row r="680" customFormat="false" ht="15" hidden="false" customHeight="false" outlineLevel="0" collapsed="false">
      <c r="A680" s="14"/>
      <c r="B680" s="9"/>
      <c r="C680" s="9"/>
      <c r="D680" s="9"/>
      <c r="E680" s="9"/>
      <c r="F680" s="17" t="str">
        <f aca="false">IF(AND(A680="",B680="",C680=""),"",IF(NOT(ISNUMBER(A680)),"Enter the date done",IF(SUMPRODUCT(('PM Plan'!$A$5:$A$304=B680)*('PM Plan'!$B$5:$B$304=C680))=0,"No matching asset + task in plan","OK")))</f>
        <v/>
      </c>
    </row>
    <row r="681" customFormat="false" ht="15" hidden="false" customHeight="false" outlineLevel="0" collapsed="false">
      <c r="A681" s="14"/>
      <c r="B681" s="9"/>
      <c r="C681" s="9"/>
      <c r="D681" s="9"/>
      <c r="E681" s="9"/>
      <c r="F681" s="17" t="str">
        <f aca="false">IF(AND(A681="",B681="",C681=""),"",IF(NOT(ISNUMBER(A681)),"Enter the date done",IF(SUMPRODUCT(('PM Plan'!$A$5:$A$304=B681)*('PM Plan'!$B$5:$B$304=C681))=0,"No matching asset + task in plan","OK")))</f>
        <v/>
      </c>
    </row>
    <row r="682" customFormat="false" ht="15" hidden="false" customHeight="false" outlineLevel="0" collapsed="false">
      <c r="A682" s="14"/>
      <c r="B682" s="9"/>
      <c r="C682" s="9"/>
      <c r="D682" s="9"/>
      <c r="E682" s="9"/>
      <c r="F682" s="17" t="str">
        <f aca="false">IF(AND(A682="",B682="",C682=""),"",IF(NOT(ISNUMBER(A682)),"Enter the date done",IF(SUMPRODUCT(('PM Plan'!$A$5:$A$304=B682)*('PM Plan'!$B$5:$B$304=C682))=0,"No matching asset + task in plan","OK")))</f>
        <v/>
      </c>
    </row>
    <row r="683" customFormat="false" ht="15" hidden="false" customHeight="false" outlineLevel="0" collapsed="false">
      <c r="A683" s="14"/>
      <c r="B683" s="9"/>
      <c r="C683" s="9"/>
      <c r="D683" s="9"/>
      <c r="E683" s="9"/>
      <c r="F683" s="17" t="str">
        <f aca="false">IF(AND(A683="",B683="",C683=""),"",IF(NOT(ISNUMBER(A683)),"Enter the date done",IF(SUMPRODUCT(('PM Plan'!$A$5:$A$304=B683)*('PM Plan'!$B$5:$B$304=C683))=0,"No matching asset + task in plan","OK")))</f>
        <v/>
      </c>
    </row>
    <row r="684" customFormat="false" ht="15" hidden="false" customHeight="false" outlineLevel="0" collapsed="false">
      <c r="A684" s="14"/>
      <c r="B684" s="9"/>
      <c r="C684" s="9"/>
      <c r="D684" s="9"/>
      <c r="E684" s="9"/>
      <c r="F684" s="17" t="str">
        <f aca="false">IF(AND(A684="",B684="",C684=""),"",IF(NOT(ISNUMBER(A684)),"Enter the date done",IF(SUMPRODUCT(('PM Plan'!$A$5:$A$304=B684)*('PM Plan'!$B$5:$B$304=C684))=0,"No matching asset + task in plan","OK")))</f>
        <v/>
      </c>
    </row>
    <row r="685" customFormat="false" ht="15" hidden="false" customHeight="false" outlineLevel="0" collapsed="false">
      <c r="A685" s="14"/>
      <c r="B685" s="9"/>
      <c r="C685" s="9"/>
      <c r="D685" s="9"/>
      <c r="E685" s="9"/>
      <c r="F685" s="17" t="str">
        <f aca="false">IF(AND(A685="",B685="",C685=""),"",IF(NOT(ISNUMBER(A685)),"Enter the date done",IF(SUMPRODUCT(('PM Plan'!$A$5:$A$304=B685)*('PM Plan'!$B$5:$B$304=C685))=0,"No matching asset + task in plan","OK")))</f>
        <v/>
      </c>
    </row>
    <row r="686" customFormat="false" ht="15" hidden="false" customHeight="false" outlineLevel="0" collapsed="false">
      <c r="A686" s="14"/>
      <c r="B686" s="9"/>
      <c r="C686" s="9"/>
      <c r="D686" s="9"/>
      <c r="E686" s="9"/>
      <c r="F686" s="17" t="str">
        <f aca="false">IF(AND(A686="",B686="",C686=""),"",IF(NOT(ISNUMBER(A686)),"Enter the date done",IF(SUMPRODUCT(('PM Plan'!$A$5:$A$304=B686)*('PM Plan'!$B$5:$B$304=C686))=0,"No matching asset + task in plan","OK")))</f>
        <v/>
      </c>
    </row>
    <row r="687" customFormat="false" ht="15" hidden="false" customHeight="false" outlineLevel="0" collapsed="false">
      <c r="A687" s="14"/>
      <c r="B687" s="9"/>
      <c r="C687" s="9"/>
      <c r="D687" s="9"/>
      <c r="E687" s="9"/>
      <c r="F687" s="17" t="str">
        <f aca="false">IF(AND(A687="",B687="",C687=""),"",IF(NOT(ISNUMBER(A687)),"Enter the date done",IF(SUMPRODUCT(('PM Plan'!$A$5:$A$304=B687)*('PM Plan'!$B$5:$B$304=C687))=0,"No matching asset + task in plan","OK")))</f>
        <v/>
      </c>
    </row>
    <row r="688" customFormat="false" ht="15" hidden="false" customHeight="false" outlineLevel="0" collapsed="false">
      <c r="A688" s="14"/>
      <c r="B688" s="9"/>
      <c r="C688" s="9"/>
      <c r="D688" s="9"/>
      <c r="E688" s="9"/>
      <c r="F688" s="17" t="str">
        <f aca="false">IF(AND(A688="",B688="",C688=""),"",IF(NOT(ISNUMBER(A688)),"Enter the date done",IF(SUMPRODUCT(('PM Plan'!$A$5:$A$304=B688)*('PM Plan'!$B$5:$B$304=C688))=0,"No matching asset + task in plan","OK")))</f>
        <v/>
      </c>
    </row>
    <row r="689" customFormat="false" ht="15" hidden="false" customHeight="false" outlineLevel="0" collapsed="false">
      <c r="A689" s="14"/>
      <c r="B689" s="9"/>
      <c r="C689" s="9"/>
      <c r="D689" s="9"/>
      <c r="E689" s="9"/>
      <c r="F689" s="17" t="str">
        <f aca="false">IF(AND(A689="",B689="",C689=""),"",IF(NOT(ISNUMBER(A689)),"Enter the date done",IF(SUMPRODUCT(('PM Plan'!$A$5:$A$304=B689)*('PM Plan'!$B$5:$B$304=C689))=0,"No matching asset + task in plan","OK")))</f>
        <v/>
      </c>
    </row>
    <row r="690" customFormat="false" ht="15" hidden="false" customHeight="false" outlineLevel="0" collapsed="false">
      <c r="A690" s="14"/>
      <c r="B690" s="9"/>
      <c r="C690" s="9"/>
      <c r="D690" s="9"/>
      <c r="E690" s="9"/>
      <c r="F690" s="17" t="str">
        <f aca="false">IF(AND(A690="",B690="",C690=""),"",IF(NOT(ISNUMBER(A690)),"Enter the date done",IF(SUMPRODUCT(('PM Plan'!$A$5:$A$304=B690)*('PM Plan'!$B$5:$B$304=C690))=0,"No matching asset + task in plan","OK")))</f>
        <v/>
      </c>
    </row>
    <row r="691" customFormat="false" ht="15" hidden="false" customHeight="false" outlineLevel="0" collapsed="false">
      <c r="A691" s="14"/>
      <c r="B691" s="9"/>
      <c r="C691" s="9"/>
      <c r="D691" s="9"/>
      <c r="E691" s="9"/>
      <c r="F691" s="17" t="str">
        <f aca="false">IF(AND(A691="",B691="",C691=""),"",IF(NOT(ISNUMBER(A691)),"Enter the date done",IF(SUMPRODUCT(('PM Plan'!$A$5:$A$304=B691)*('PM Plan'!$B$5:$B$304=C691))=0,"No matching asset + task in plan","OK")))</f>
        <v/>
      </c>
    </row>
    <row r="692" customFormat="false" ht="15" hidden="false" customHeight="false" outlineLevel="0" collapsed="false">
      <c r="A692" s="14"/>
      <c r="B692" s="9"/>
      <c r="C692" s="9"/>
      <c r="D692" s="9"/>
      <c r="E692" s="9"/>
      <c r="F692" s="17" t="str">
        <f aca="false">IF(AND(A692="",B692="",C692=""),"",IF(NOT(ISNUMBER(A692)),"Enter the date done",IF(SUMPRODUCT(('PM Plan'!$A$5:$A$304=B692)*('PM Plan'!$B$5:$B$304=C692))=0,"No matching asset + task in plan","OK")))</f>
        <v/>
      </c>
    </row>
    <row r="693" customFormat="false" ht="15" hidden="false" customHeight="false" outlineLevel="0" collapsed="false">
      <c r="A693" s="14"/>
      <c r="B693" s="9"/>
      <c r="C693" s="9"/>
      <c r="D693" s="9"/>
      <c r="E693" s="9"/>
      <c r="F693" s="17" t="str">
        <f aca="false">IF(AND(A693="",B693="",C693=""),"",IF(NOT(ISNUMBER(A693)),"Enter the date done",IF(SUMPRODUCT(('PM Plan'!$A$5:$A$304=B693)*('PM Plan'!$B$5:$B$304=C693))=0,"No matching asset + task in plan","OK")))</f>
        <v/>
      </c>
    </row>
    <row r="694" customFormat="false" ht="15" hidden="false" customHeight="false" outlineLevel="0" collapsed="false">
      <c r="A694" s="14"/>
      <c r="B694" s="9"/>
      <c r="C694" s="9"/>
      <c r="D694" s="9"/>
      <c r="E694" s="9"/>
      <c r="F694" s="17" t="str">
        <f aca="false">IF(AND(A694="",B694="",C694=""),"",IF(NOT(ISNUMBER(A694)),"Enter the date done",IF(SUMPRODUCT(('PM Plan'!$A$5:$A$304=B694)*('PM Plan'!$B$5:$B$304=C694))=0,"No matching asset + task in plan","OK")))</f>
        <v/>
      </c>
    </row>
    <row r="695" customFormat="false" ht="15" hidden="false" customHeight="false" outlineLevel="0" collapsed="false">
      <c r="A695" s="14"/>
      <c r="B695" s="9"/>
      <c r="C695" s="9"/>
      <c r="D695" s="9"/>
      <c r="E695" s="9"/>
      <c r="F695" s="17" t="str">
        <f aca="false">IF(AND(A695="",B695="",C695=""),"",IF(NOT(ISNUMBER(A695)),"Enter the date done",IF(SUMPRODUCT(('PM Plan'!$A$5:$A$304=B695)*('PM Plan'!$B$5:$B$304=C695))=0,"No matching asset + task in plan","OK")))</f>
        <v/>
      </c>
    </row>
    <row r="696" customFormat="false" ht="15" hidden="false" customHeight="false" outlineLevel="0" collapsed="false">
      <c r="A696" s="14"/>
      <c r="B696" s="9"/>
      <c r="C696" s="9"/>
      <c r="D696" s="9"/>
      <c r="E696" s="9"/>
      <c r="F696" s="17" t="str">
        <f aca="false">IF(AND(A696="",B696="",C696=""),"",IF(NOT(ISNUMBER(A696)),"Enter the date done",IF(SUMPRODUCT(('PM Plan'!$A$5:$A$304=B696)*('PM Plan'!$B$5:$B$304=C696))=0,"No matching asset + task in plan","OK")))</f>
        <v/>
      </c>
    </row>
    <row r="697" customFormat="false" ht="15" hidden="false" customHeight="false" outlineLevel="0" collapsed="false">
      <c r="A697" s="14"/>
      <c r="B697" s="9"/>
      <c r="C697" s="9"/>
      <c r="D697" s="9"/>
      <c r="E697" s="9"/>
      <c r="F697" s="17" t="str">
        <f aca="false">IF(AND(A697="",B697="",C697=""),"",IF(NOT(ISNUMBER(A697)),"Enter the date done",IF(SUMPRODUCT(('PM Plan'!$A$5:$A$304=B697)*('PM Plan'!$B$5:$B$304=C697))=0,"No matching asset + task in plan","OK")))</f>
        <v/>
      </c>
    </row>
    <row r="698" customFormat="false" ht="15" hidden="false" customHeight="false" outlineLevel="0" collapsed="false">
      <c r="A698" s="14"/>
      <c r="B698" s="9"/>
      <c r="C698" s="9"/>
      <c r="D698" s="9"/>
      <c r="E698" s="9"/>
      <c r="F698" s="17" t="str">
        <f aca="false">IF(AND(A698="",B698="",C698=""),"",IF(NOT(ISNUMBER(A698)),"Enter the date done",IF(SUMPRODUCT(('PM Plan'!$A$5:$A$304=B698)*('PM Plan'!$B$5:$B$304=C698))=0,"No matching asset + task in plan","OK")))</f>
        <v/>
      </c>
    </row>
    <row r="699" customFormat="false" ht="15" hidden="false" customHeight="false" outlineLevel="0" collapsed="false">
      <c r="A699" s="14"/>
      <c r="B699" s="9"/>
      <c r="C699" s="9"/>
      <c r="D699" s="9"/>
      <c r="E699" s="9"/>
      <c r="F699" s="17" t="str">
        <f aca="false">IF(AND(A699="",B699="",C699=""),"",IF(NOT(ISNUMBER(A699)),"Enter the date done",IF(SUMPRODUCT(('PM Plan'!$A$5:$A$304=B699)*('PM Plan'!$B$5:$B$304=C699))=0,"No matching asset + task in plan","OK")))</f>
        <v/>
      </c>
    </row>
    <row r="700" customFormat="false" ht="15" hidden="false" customHeight="false" outlineLevel="0" collapsed="false">
      <c r="A700" s="14"/>
      <c r="B700" s="9"/>
      <c r="C700" s="9"/>
      <c r="D700" s="9"/>
      <c r="E700" s="9"/>
      <c r="F700" s="17" t="str">
        <f aca="false">IF(AND(A700="",B700="",C700=""),"",IF(NOT(ISNUMBER(A700)),"Enter the date done",IF(SUMPRODUCT(('PM Plan'!$A$5:$A$304=B700)*('PM Plan'!$B$5:$B$304=C700))=0,"No matching asset + task in plan","OK")))</f>
        <v/>
      </c>
    </row>
    <row r="701" customFormat="false" ht="15" hidden="false" customHeight="false" outlineLevel="0" collapsed="false">
      <c r="A701" s="14"/>
      <c r="B701" s="9"/>
      <c r="C701" s="9"/>
      <c r="D701" s="9"/>
      <c r="E701" s="9"/>
      <c r="F701" s="17" t="str">
        <f aca="false">IF(AND(A701="",B701="",C701=""),"",IF(NOT(ISNUMBER(A701)),"Enter the date done",IF(SUMPRODUCT(('PM Plan'!$A$5:$A$304=B701)*('PM Plan'!$B$5:$B$304=C701))=0,"No matching asset + task in plan","OK")))</f>
        <v/>
      </c>
    </row>
    <row r="702" customFormat="false" ht="15" hidden="false" customHeight="false" outlineLevel="0" collapsed="false">
      <c r="A702" s="14"/>
      <c r="B702" s="9"/>
      <c r="C702" s="9"/>
      <c r="D702" s="9"/>
      <c r="E702" s="9"/>
      <c r="F702" s="17" t="str">
        <f aca="false">IF(AND(A702="",B702="",C702=""),"",IF(NOT(ISNUMBER(A702)),"Enter the date done",IF(SUMPRODUCT(('PM Plan'!$A$5:$A$304=B702)*('PM Plan'!$B$5:$B$304=C702))=0,"No matching asset + task in plan","OK")))</f>
        <v/>
      </c>
    </row>
    <row r="703" customFormat="false" ht="15" hidden="false" customHeight="false" outlineLevel="0" collapsed="false">
      <c r="A703" s="14"/>
      <c r="B703" s="9"/>
      <c r="C703" s="9"/>
      <c r="D703" s="9"/>
      <c r="E703" s="9"/>
      <c r="F703" s="17" t="str">
        <f aca="false">IF(AND(A703="",B703="",C703=""),"",IF(NOT(ISNUMBER(A703)),"Enter the date done",IF(SUMPRODUCT(('PM Plan'!$A$5:$A$304=B703)*('PM Plan'!$B$5:$B$304=C703))=0,"No matching asset + task in plan","OK")))</f>
        <v/>
      </c>
    </row>
    <row r="704" customFormat="false" ht="15" hidden="false" customHeight="false" outlineLevel="0" collapsed="false">
      <c r="A704" s="14"/>
      <c r="B704" s="9"/>
      <c r="C704" s="9"/>
      <c r="D704" s="9"/>
      <c r="E704" s="9"/>
      <c r="F704" s="17" t="str">
        <f aca="false">IF(AND(A704="",B704="",C704=""),"",IF(NOT(ISNUMBER(A704)),"Enter the date done",IF(SUMPRODUCT(('PM Plan'!$A$5:$A$304=B704)*('PM Plan'!$B$5:$B$304=C704))=0,"No matching asset + task in plan","OK")))</f>
        <v/>
      </c>
    </row>
    <row r="705" customFormat="false" ht="15" hidden="false" customHeight="false" outlineLevel="0" collapsed="false">
      <c r="A705" s="14"/>
      <c r="B705" s="9"/>
      <c r="C705" s="9"/>
      <c r="D705" s="9"/>
      <c r="E705" s="9"/>
      <c r="F705" s="17" t="str">
        <f aca="false">IF(AND(A705="",B705="",C705=""),"",IF(NOT(ISNUMBER(A705)),"Enter the date done",IF(SUMPRODUCT(('PM Plan'!$A$5:$A$304=B705)*('PM Plan'!$B$5:$B$304=C705))=0,"No matching asset + task in plan","OK")))</f>
        <v/>
      </c>
    </row>
    <row r="706" customFormat="false" ht="15" hidden="false" customHeight="false" outlineLevel="0" collapsed="false">
      <c r="A706" s="14"/>
      <c r="B706" s="9"/>
      <c r="C706" s="9"/>
      <c r="D706" s="9"/>
      <c r="E706" s="9"/>
      <c r="F706" s="17" t="str">
        <f aca="false">IF(AND(A706="",B706="",C706=""),"",IF(NOT(ISNUMBER(A706)),"Enter the date done",IF(SUMPRODUCT(('PM Plan'!$A$5:$A$304=B706)*('PM Plan'!$B$5:$B$304=C706))=0,"No matching asset + task in plan","OK")))</f>
        <v/>
      </c>
    </row>
    <row r="707" customFormat="false" ht="15" hidden="false" customHeight="false" outlineLevel="0" collapsed="false">
      <c r="A707" s="14"/>
      <c r="B707" s="9"/>
      <c r="C707" s="9"/>
      <c r="D707" s="9"/>
      <c r="E707" s="9"/>
      <c r="F707" s="17" t="str">
        <f aca="false">IF(AND(A707="",B707="",C707=""),"",IF(NOT(ISNUMBER(A707)),"Enter the date done",IF(SUMPRODUCT(('PM Plan'!$A$5:$A$304=B707)*('PM Plan'!$B$5:$B$304=C707))=0,"No matching asset + task in plan","OK")))</f>
        <v/>
      </c>
    </row>
    <row r="708" customFormat="false" ht="15" hidden="false" customHeight="false" outlineLevel="0" collapsed="false">
      <c r="A708" s="14"/>
      <c r="B708" s="9"/>
      <c r="C708" s="9"/>
      <c r="D708" s="9"/>
      <c r="E708" s="9"/>
      <c r="F708" s="17" t="str">
        <f aca="false">IF(AND(A708="",B708="",C708=""),"",IF(NOT(ISNUMBER(A708)),"Enter the date done",IF(SUMPRODUCT(('PM Plan'!$A$5:$A$304=B708)*('PM Plan'!$B$5:$B$304=C708))=0,"No matching asset + task in plan","OK")))</f>
        <v/>
      </c>
    </row>
    <row r="709" customFormat="false" ht="15" hidden="false" customHeight="false" outlineLevel="0" collapsed="false">
      <c r="A709" s="14"/>
      <c r="B709" s="9"/>
      <c r="C709" s="9"/>
      <c r="D709" s="9"/>
      <c r="E709" s="9"/>
      <c r="F709" s="17" t="str">
        <f aca="false">IF(AND(A709="",B709="",C709=""),"",IF(NOT(ISNUMBER(A709)),"Enter the date done",IF(SUMPRODUCT(('PM Plan'!$A$5:$A$304=B709)*('PM Plan'!$B$5:$B$304=C709))=0,"No matching asset + task in plan","OK")))</f>
        <v/>
      </c>
    </row>
    <row r="710" customFormat="false" ht="15" hidden="false" customHeight="false" outlineLevel="0" collapsed="false">
      <c r="A710" s="14"/>
      <c r="B710" s="9"/>
      <c r="C710" s="9"/>
      <c r="D710" s="9"/>
      <c r="E710" s="9"/>
      <c r="F710" s="17" t="str">
        <f aca="false">IF(AND(A710="",B710="",C710=""),"",IF(NOT(ISNUMBER(A710)),"Enter the date done",IF(SUMPRODUCT(('PM Plan'!$A$5:$A$304=B710)*('PM Plan'!$B$5:$B$304=C710))=0,"No matching asset + task in plan","OK")))</f>
        <v/>
      </c>
    </row>
    <row r="711" customFormat="false" ht="15" hidden="false" customHeight="false" outlineLevel="0" collapsed="false">
      <c r="A711" s="14"/>
      <c r="B711" s="9"/>
      <c r="C711" s="9"/>
      <c r="D711" s="9"/>
      <c r="E711" s="9"/>
      <c r="F711" s="17" t="str">
        <f aca="false">IF(AND(A711="",B711="",C711=""),"",IF(NOT(ISNUMBER(A711)),"Enter the date done",IF(SUMPRODUCT(('PM Plan'!$A$5:$A$304=B711)*('PM Plan'!$B$5:$B$304=C711))=0,"No matching asset + task in plan","OK")))</f>
        <v/>
      </c>
    </row>
    <row r="712" customFormat="false" ht="15" hidden="false" customHeight="false" outlineLevel="0" collapsed="false">
      <c r="A712" s="14"/>
      <c r="B712" s="9"/>
      <c r="C712" s="9"/>
      <c r="D712" s="9"/>
      <c r="E712" s="9"/>
      <c r="F712" s="17" t="str">
        <f aca="false">IF(AND(A712="",B712="",C712=""),"",IF(NOT(ISNUMBER(A712)),"Enter the date done",IF(SUMPRODUCT(('PM Plan'!$A$5:$A$304=B712)*('PM Plan'!$B$5:$B$304=C712))=0,"No matching asset + task in plan","OK")))</f>
        <v/>
      </c>
    </row>
    <row r="713" customFormat="false" ht="15" hidden="false" customHeight="false" outlineLevel="0" collapsed="false">
      <c r="A713" s="14"/>
      <c r="B713" s="9"/>
      <c r="C713" s="9"/>
      <c r="D713" s="9"/>
      <c r="E713" s="9"/>
      <c r="F713" s="17" t="str">
        <f aca="false">IF(AND(A713="",B713="",C713=""),"",IF(NOT(ISNUMBER(A713)),"Enter the date done",IF(SUMPRODUCT(('PM Plan'!$A$5:$A$304=B713)*('PM Plan'!$B$5:$B$304=C713))=0,"No matching asset + task in plan","OK")))</f>
        <v/>
      </c>
    </row>
    <row r="714" customFormat="false" ht="15" hidden="false" customHeight="false" outlineLevel="0" collapsed="false">
      <c r="A714" s="14"/>
      <c r="B714" s="9"/>
      <c r="C714" s="9"/>
      <c r="D714" s="9"/>
      <c r="E714" s="9"/>
      <c r="F714" s="17" t="str">
        <f aca="false">IF(AND(A714="",B714="",C714=""),"",IF(NOT(ISNUMBER(A714)),"Enter the date done",IF(SUMPRODUCT(('PM Plan'!$A$5:$A$304=B714)*('PM Plan'!$B$5:$B$304=C714))=0,"No matching asset + task in plan","OK")))</f>
        <v/>
      </c>
    </row>
    <row r="715" customFormat="false" ht="15" hidden="false" customHeight="false" outlineLevel="0" collapsed="false">
      <c r="A715" s="14"/>
      <c r="B715" s="9"/>
      <c r="C715" s="9"/>
      <c r="D715" s="9"/>
      <c r="E715" s="9"/>
      <c r="F715" s="17" t="str">
        <f aca="false">IF(AND(A715="",B715="",C715=""),"",IF(NOT(ISNUMBER(A715)),"Enter the date done",IF(SUMPRODUCT(('PM Plan'!$A$5:$A$304=B715)*('PM Plan'!$B$5:$B$304=C715))=0,"No matching asset + task in plan","OK")))</f>
        <v/>
      </c>
    </row>
    <row r="716" customFormat="false" ht="15" hidden="false" customHeight="false" outlineLevel="0" collapsed="false">
      <c r="A716" s="14"/>
      <c r="B716" s="9"/>
      <c r="C716" s="9"/>
      <c r="D716" s="9"/>
      <c r="E716" s="9"/>
      <c r="F716" s="17" t="str">
        <f aca="false">IF(AND(A716="",B716="",C716=""),"",IF(NOT(ISNUMBER(A716)),"Enter the date done",IF(SUMPRODUCT(('PM Plan'!$A$5:$A$304=B716)*('PM Plan'!$B$5:$B$304=C716))=0,"No matching asset + task in plan","OK")))</f>
        <v/>
      </c>
    </row>
    <row r="717" customFormat="false" ht="15" hidden="false" customHeight="false" outlineLevel="0" collapsed="false">
      <c r="A717" s="14"/>
      <c r="B717" s="9"/>
      <c r="C717" s="9"/>
      <c r="D717" s="9"/>
      <c r="E717" s="9"/>
      <c r="F717" s="17" t="str">
        <f aca="false">IF(AND(A717="",B717="",C717=""),"",IF(NOT(ISNUMBER(A717)),"Enter the date done",IF(SUMPRODUCT(('PM Plan'!$A$5:$A$304=B717)*('PM Plan'!$B$5:$B$304=C717))=0,"No matching asset + task in plan","OK")))</f>
        <v/>
      </c>
    </row>
    <row r="718" customFormat="false" ht="15" hidden="false" customHeight="false" outlineLevel="0" collapsed="false">
      <c r="A718" s="14"/>
      <c r="B718" s="9"/>
      <c r="C718" s="9"/>
      <c r="D718" s="9"/>
      <c r="E718" s="9"/>
      <c r="F718" s="17" t="str">
        <f aca="false">IF(AND(A718="",B718="",C718=""),"",IF(NOT(ISNUMBER(A718)),"Enter the date done",IF(SUMPRODUCT(('PM Plan'!$A$5:$A$304=B718)*('PM Plan'!$B$5:$B$304=C718))=0,"No matching asset + task in plan","OK")))</f>
        <v/>
      </c>
    </row>
    <row r="719" customFormat="false" ht="15" hidden="false" customHeight="false" outlineLevel="0" collapsed="false">
      <c r="A719" s="14"/>
      <c r="B719" s="9"/>
      <c r="C719" s="9"/>
      <c r="D719" s="9"/>
      <c r="E719" s="9"/>
      <c r="F719" s="17" t="str">
        <f aca="false">IF(AND(A719="",B719="",C719=""),"",IF(NOT(ISNUMBER(A719)),"Enter the date done",IF(SUMPRODUCT(('PM Plan'!$A$5:$A$304=B719)*('PM Plan'!$B$5:$B$304=C719))=0,"No matching asset + task in plan","OK")))</f>
        <v/>
      </c>
    </row>
    <row r="720" customFormat="false" ht="15" hidden="false" customHeight="false" outlineLevel="0" collapsed="false">
      <c r="A720" s="14"/>
      <c r="B720" s="9"/>
      <c r="C720" s="9"/>
      <c r="D720" s="9"/>
      <c r="E720" s="9"/>
      <c r="F720" s="17" t="str">
        <f aca="false">IF(AND(A720="",B720="",C720=""),"",IF(NOT(ISNUMBER(A720)),"Enter the date done",IF(SUMPRODUCT(('PM Plan'!$A$5:$A$304=B720)*('PM Plan'!$B$5:$B$304=C720))=0,"No matching asset + task in plan","OK")))</f>
        <v/>
      </c>
    </row>
    <row r="721" customFormat="false" ht="15" hidden="false" customHeight="false" outlineLevel="0" collapsed="false">
      <c r="A721" s="14"/>
      <c r="B721" s="9"/>
      <c r="C721" s="9"/>
      <c r="D721" s="9"/>
      <c r="E721" s="9"/>
      <c r="F721" s="17" t="str">
        <f aca="false">IF(AND(A721="",B721="",C721=""),"",IF(NOT(ISNUMBER(A721)),"Enter the date done",IF(SUMPRODUCT(('PM Plan'!$A$5:$A$304=B721)*('PM Plan'!$B$5:$B$304=C721))=0,"No matching asset + task in plan","OK")))</f>
        <v/>
      </c>
    </row>
    <row r="722" customFormat="false" ht="15" hidden="false" customHeight="false" outlineLevel="0" collapsed="false">
      <c r="A722" s="14"/>
      <c r="B722" s="9"/>
      <c r="C722" s="9"/>
      <c r="D722" s="9"/>
      <c r="E722" s="9"/>
      <c r="F722" s="17" t="str">
        <f aca="false">IF(AND(A722="",B722="",C722=""),"",IF(NOT(ISNUMBER(A722)),"Enter the date done",IF(SUMPRODUCT(('PM Plan'!$A$5:$A$304=B722)*('PM Plan'!$B$5:$B$304=C722))=0,"No matching asset + task in plan","OK")))</f>
        <v/>
      </c>
    </row>
    <row r="723" customFormat="false" ht="15" hidden="false" customHeight="false" outlineLevel="0" collapsed="false">
      <c r="A723" s="14"/>
      <c r="B723" s="9"/>
      <c r="C723" s="9"/>
      <c r="D723" s="9"/>
      <c r="E723" s="9"/>
      <c r="F723" s="17" t="str">
        <f aca="false">IF(AND(A723="",B723="",C723=""),"",IF(NOT(ISNUMBER(A723)),"Enter the date done",IF(SUMPRODUCT(('PM Plan'!$A$5:$A$304=B723)*('PM Plan'!$B$5:$B$304=C723))=0,"No matching asset + task in plan","OK")))</f>
        <v/>
      </c>
    </row>
    <row r="724" customFormat="false" ht="15" hidden="false" customHeight="false" outlineLevel="0" collapsed="false">
      <c r="A724" s="14"/>
      <c r="B724" s="9"/>
      <c r="C724" s="9"/>
      <c r="D724" s="9"/>
      <c r="E724" s="9"/>
      <c r="F724" s="17" t="str">
        <f aca="false">IF(AND(A724="",B724="",C724=""),"",IF(NOT(ISNUMBER(A724)),"Enter the date done",IF(SUMPRODUCT(('PM Plan'!$A$5:$A$304=B724)*('PM Plan'!$B$5:$B$304=C724))=0,"No matching asset + task in plan","OK")))</f>
        <v/>
      </c>
    </row>
    <row r="725" customFormat="false" ht="15" hidden="false" customHeight="false" outlineLevel="0" collapsed="false">
      <c r="A725" s="14"/>
      <c r="B725" s="9"/>
      <c r="C725" s="9"/>
      <c r="D725" s="9"/>
      <c r="E725" s="9"/>
      <c r="F725" s="17" t="str">
        <f aca="false">IF(AND(A725="",B725="",C725=""),"",IF(NOT(ISNUMBER(A725)),"Enter the date done",IF(SUMPRODUCT(('PM Plan'!$A$5:$A$304=B725)*('PM Plan'!$B$5:$B$304=C725))=0,"No matching asset + task in plan","OK")))</f>
        <v/>
      </c>
    </row>
    <row r="726" customFormat="false" ht="15" hidden="false" customHeight="false" outlineLevel="0" collapsed="false">
      <c r="A726" s="14"/>
      <c r="B726" s="9"/>
      <c r="C726" s="9"/>
      <c r="D726" s="9"/>
      <c r="E726" s="9"/>
      <c r="F726" s="17" t="str">
        <f aca="false">IF(AND(A726="",B726="",C726=""),"",IF(NOT(ISNUMBER(A726)),"Enter the date done",IF(SUMPRODUCT(('PM Plan'!$A$5:$A$304=B726)*('PM Plan'!$B$5:$B$304=C726))=0,"No matching asset + task in plan","OK")))</f>
        <v/>
      </c>
    </row>
    <row r="727" customFormat="false" ht="15" hidden="false" customHeight="false" outlineLevel="0" collapsed="false">
      <c r="A727" s="14"/>
      <c r="B727" s="9"/>
      <c r="C727" s="9"/>
      <c r="D727" s="9"/>
      <c r="E727" s="9"/>
      <c r="F727" s="17" t="str">
        <f aca="false">IF(AND(A727="",B727="",C727=""),"",IF(NOT(ISNUMBER(A727)),"Enter the date done",IF(SUMPRODUCT(('PM Plan'!$A$5:$A$304=B727)*('PM Plan'!$B$5:$B$304=C727))=0,"No matching asset + task in plan","OK")))</f>
        <v/>
      </c>
    </row>
    <row r="728" customFormat="false" ht="15" hidden="false" customHeight="false" outlineLevel="0" collapsed="false">
      <c r="A728" s="14"/>
      <c r="B728" s="9"/>
      <c r="C728" s="9"/>
      <c r="D728" s="9"/>
      <c r="E728" s="9"/>
      <c r="F728" s="17" t="str">
        <f aca="false">IF(AND(A728="",B728="",C728=""),"",IF(NOT(ISNUMBER(A728)),"Enter the date done",IF(SUMPRODUCT(('PM Plan'!$A$5:$A$304=B728)*('PM Plan'!$B$5:$B$304=C728))=0,"No matching asset + task in plan","OK")))</f>
        <v/>
      </c>
    </row>
    <row r="729" customFormat="false" ht="15" hidden="false" customHeight="false" outlineLevel="0" collapsed="false">
      <c r="A729" s="14"/>
      <c r="B729" s="9"/>
      <c r="C729" s="9"/>
      <c r="D729" s="9"/>
      <c r="E729" s="9"/>
      <c r="F729" s="17" t="str">
        <f aca="false">IF(AND(A729="",B729="",C729=""),"",IF(NOT(ISNUMBER(A729)),"Enter the date done",IF(SUMPRODUCT(('PM Plan'!$A$5:$A$304=B729)*('PM Plan'!$B$5:$B$304=C729))=0,"No matching asset + task in plan","OK")))</f>
        <v/>
      </c>
    </row>
    <row r="730" customFormat="false" ht="15" hidden="false" customHeight="false" outlineLevel="0" collapsed="false">
      <c r="A730" s="14"/>
      <c r="B730" s="9"/>
      <c r="C730" s="9"/>
      <c r="D730" s="9"/>
      <c r="E730" s="9"/>
      <c r="F730" s="17" t="str">
        <f aca="false">IF(AND(A730="",B730="",C730=""),"",IF(NOT(ISNUMBER(A730)),"Enter the date done",IF(SUMPRODUCT(('PM Plan'!$A$5:$A$304=B730)*('PM Plan'!$B$5:$B$304=C730))=0,"No matching asset + task in plan","OK")))</f>
        <v/>
      </c>
    </row>
    <row r="731" customFormat="false" ht="15" hidden="false" customHeight="false" outlineLevel="0" collapsed="false">
      <c r="A731" s="14"/>
      <c r="B731" s="9"/>
      <c r="C731" s="9"/>
      <c r="D731" s="9"/>
      <c r="E731" s="9"/>
      <c r="F731" s="17" t="str">
        <f aca="false">IF(AND(A731="",B731="",C731=""),"",IF(NOT(ISNUMBER(A731)),"Enter the date done",IF(SUMPRODUCT(('PM Plan'!$A$5:$A$304=B731)*('PM Plan'!$B$5:$B$304=C731))=0,"No matching asset + task in plan","OK")))</f>
        <v/>
      </c>
    </row>
    <row r="732" customFormat="false" ht="15" hidden="false" customHeight="false" outlineLevel="0" collapsed="false">
      <c r="A732" s="14"/>
      <c r="B732" s="9"/>
      <c r="C732" s="9"/>
      <c r="D732" s="9"/>
      <c r="E732" s="9"/>
      <c r="F732" s="17" t="str">
        <f aca="false">IF(AND(A732="",B732="",C732=""),"",IF(NOT(ISNUMBER(A732)),"Enter the date done",IF(SUMPRODUCT(('PM Plan'!$A$5:$A$304=B732)*('PM Plan'!$B$5:$B$304=C732))=0,"No matching asset + task in plan","OK")))</f>
        <v/>
      </c>
    </row>
    <row r="733" customFormat="false" ht="15" hidden="false" customHeight="false" outlineLevel="0" collapsed="false">
      <c r="A733" s="14"/>
      <c r="B733" s="9"/>
      <c r="C733" s="9"/>
      <c r="D733" s="9"/>
      <c r="E733" s="9"/>
      <c r="F733" s="17" t="str">
        <f aca="false">IF(AND(A733="",B733="",C733=""),"",IF(NOT(ISNUMBER(A733)),"Enter the date done",IF(SUMPRODUCT(('PM Plan'!$A$5:$A$304=B733)*('PM Plan'!$B$5:$B$304=C733))=0,"No matching asset + task in plan","OK")))</f>
        <v/>
      </c>
    </row>
    <row r="734" customFormat="false" ht="15" hidden="false" customHeight="false" outlineLevel="0" collapsed="false">
      <c r="A734" s="14"/>
      <c r="B734" s="9"/>
      <c r="C734" s="9"/>
      <c r="D734" s="9"/>
      <c r="E734" s="9"/>
      <c r="F734" s="17" t="str">
        <f aca="false">IF(AND(A734="",B734="",C734=""),"",IF(NOT(ISNUMBER(A734)),"Enter the date done",IF(SUMPRODUCT(('PM Plan'!$A$5:$A$304=B734)*('PM Plan'!$B$5:$B$304=C734))=0,"No matching asset + task in plan","OK")))</f>
        <v/>
      </c>
    </row>
    <row r="735" customFormat="false" ht="15" hidden="false" customHeight="false" outlineLevel="0" collapsed="false">
      <c r="A735" s="14"/>
      <c r="B735" s="9"/>
      <c r="C735" s="9"/>
      <c r="D735" s="9"/>
      <c r="E735" s="9"/>
      <c r="F735" s="17" t="str">
        <f aca="false">IF(AND(A735="",B735="",C735=""),"",IF(NOT(ISNUMBER(A735)),"Enter the date done",IF(SUMPRODUCT(('PM Plan'!$A$5:$A$304=B735)*('PM Plan'!$B$5:$B$304=C735))=0,"No matching asset + task in plan","OK")))</f>
        <v/>
      </c>
    </row>
    <row r="736" customFormat="false" ht="15" hidden="false" customHeight="false" outlineLevel="0" collapsed="false">
      <c r="A736" s="14"/>
      <c r="B736" s="9"/>
      <c r="C736" s="9"/>
      <c r="D736" s="9"/>
      <c r="E736" s="9"/>
      <c r="F736" s="17" t="str">
        <f aca="false">IF(AND(A736="",B736="",C736=""),"",IF(NOT(ISNUMBER(A736)),"Enter the date done",IF(SUMPRODUCT(('PM Plan'!$A$5:$A$304=B736)*('PM Plan'!$B$5:$B$304=C736))=0,"No matching asset + task in plan","OK")))</f>
        <v/>
      </c>
    </row>
    <row r="737" customFormat="false" ht="15" hidden="false" customHeight="false" outlineLevel="0" collapsed="false">
      <c r="A737" s="14"/>
      <c r="B737" s="9"/>
      <c r="C737" s="9"/>
      <c r="D737" s="9"/>
      <c r="E737" s="9"/>
      <c r="F737" s="17" t="str">
        <f aca="false">IF(AND(A737="",B737="",C737=""),"",IF(NOT(ISNUMBER(A737)),"Enter the date done",IF(SUMPRODUCT(('PM Plan'!$A$5:$A$304=B737)*('PM Plan'!$B$5:$B$304=C737))=0,"No matching asset + task in plan","OK")))</f>
        <v/>
      </c>
    </row>
    <row r="738" customFormat="false" ht="15" hidden="false" customHeight="false" outlineLevel="0" collapsed="false">
      <c r="A738" s="14"/>
      <c r="B738" s="9"/>
      <c r="C738" s="9"/>
      <c r="D738" s="9"/>
      <c r="E738" s="9"/>
      <c r="F738" s="17" t="str">
        <f aca="false">IF(AND(A738="",B738="",C738=""),"",IF(NOT(ISNUMBER(A738)),"Enter the date done",IF(SUMPRODUCT(('PM Plan'!$A$5:$A$304=B738)*('PM Plan'!$B$5:$B$304=C738))=0,"No matching asset + task in plan","OK")))</f>
        <v/>
      </c>
    </row>
    <row r="739" customFormat="false" ht="15" hidden="false" customHeight="false" outlineLevel="0" collapsed="false">
      <c r="A739" s="14"/>
      <c r="B739" s="9"/>
      <c r="C739" s="9"/>
      <c r="D739" s="9"/>
      <c r="E739" s="9"/>
      <c r="F739" s="17" t="str">
        <f aca="false">IF(AND(A739="",B739="",C739=""),"",IF(NOT(ISNUMBER(A739)),"Enter the date done",IF(SUMPRODUCT(('PM Plan'!$A$5:$A$304=B739)*('PM Plan'!$B$5:$B$304=C739))=0,"No matching asset + task in plan","OK")))</f>
        <v/>
      </c>
    </row>
    <row r="740" customFormat="false" ht="15" hidden="false" customHeight="false" outlineLevel="0" collapsed="false">
      <c r="A740" s="14"/>
      <c r="B740" s="9"/>
      <c r="C740" s="9"/>
      <c r="D740" s="9"/>
      <c r="E740" s="9"/>
      <c r="F740" s="17" t="str">
        <f aca="false">IF(AND(A740="",B740="",C740=""),"",IF(NOT(ISNUMBER(A740)),"Enter the date done",IF(SUMPRODUCT(('PM Plan'!$A$5:$A$304=B740)*('PM Plan'!$B$5:$B$304=C740))=0,"No matching asset + task in plan","OK")))</f>
        <v/>
      </c>
    </row>
    <row r="741" customFormat="false" ht="15" hidden="false" customHeight="false" outlineLevel="0" collapsed="false">
      <c r="A741" s="14"/>
      <c r="B741" s="9"/>
      <c r="C741" s="9"/>
      <c r="D741" s="9"/>
      <c r="E741" s="9"/>
      <c r="F741" s="17" t="str">
        <f aca="false">IF(AND(A741="",B741="",C741=""),"",IF(NOT(ISNUMBER(A741)),"Enter the date done",IF(SUMPRODUCT(('PM Plan'!$A$5:$A$304=B741)*('PM Plan'!$B$5:$B$304=C741))=0,"No matching asset + task in plan","OK")))</f>
        <v/>
      </c>
    </row>
    <row r="742" customFormat="false" ht="15" hidden="false" customHeight="false" outlineLevel="0" collapsed="false">
      <c r="A742" s="14"/>
      <c r="B742" s="9"/>
      <c r="C742" s="9"/>
      <c r="D742" s="9"/>
      <c r="E742" s="9"/>
      <c r="F742" s="17" t="str">
        <f aca="false">IF(AND(A742="",B742="",C742=""),"",IF(NOT(ISNUMBER(A742)),"Enter the date done",IF(SUMPRODUCT(('PM Plan'!$A$5:$A$304=B742)*('PM Plan'!$B$5:$B$304=C742))=0,"No matching asset + task in plan","OK")))</f>
        <v/>
      </c>
    </row>
    <row r="743" customFormat="false" ht="15" hidden="false" customHeight="false" outlineLevel="0" collapsed="false">
      <c r="A743" s="14"/>
      <c r="B743" s="9"/>
      <c r="C743" s="9"/>
      <c r="D743" s="9"/>
      <c r="E743" s="9"/>
      <c r="F743" s="17" t="str">
        <f aca="false">IF(AND(A743="",B743="",C743=""),"",IF(NOT(ISNUMBER(A743)),"Enter the date done",IF(SUMPRODUCT(('PM Plan'!$A$5:$A$304=B743)*('PM Plan'!$B$5:$B$304=C743))=0,"No matching asset + task in plan","OK")))</f>
        <v/>
      </c>
    </row>
    <row r="744" customFormat="false" ht="15" hidden="false" customHeight="false" outlineLevel="0" collapsed="false">
      <c r="A744" s="14"/>
      <c r="B744" s="9"/>
      <c r="C744" s="9"/>
      <c r="D744" s="9"/>
      <c r="E744" s="9"/>
      <c r="F744" s="17" t="str">
        <f aca="false">IF(AND(A744="",B744="",C744=""),"",IF(NOT(ISNUMBER(A744)),"Enter the date done",IF(SUMPRODUCT(('PM Plan'!$A$5:$A$304=B744)*('PM Plan'!$B$5:$B$304=C744))=0,"No matching asset + task in plan","OK")))</f>
        <v/>
      </c>
    </row>
    <row r="745" customFormat="false" ht="15" hidden="false" customHeight="false" outlineLevel="0" collapsed="false">
      <c r="A745" s="14"/>
      <c r="B745" s="9"/>
      <c r="C745" s="9"/>
      <c r="D745" s="9"/>
      <c r="E745" s="9"/>
      <c r="F745" s="17" t="str">
        <f aca="false">IF(AND(A745="",B745="",C745=""),"",IF(NOT(ISNUMBER(A745)),"Enter the date done",IF(SUMPRODUCT(('PM Plan'!$A$5:$A$304=B745)*('PM Plan'!$B$5:$B$304=C745))=0,"No matching asset + task in plan","OK")))</f>
        <v/>
      </c>
    </row>
    <row r="746" customFormat="false" ht="15" hidden="false" customHeight="false" outlineLevel="0" collapsed="false">
      <c r="A746" s="14"/>
      <c r="B746" s="9"/>
      <c r="C746" s="9"/>
      <c r="D746" s="9"/>
      <c r="E746" s="9"/>
      <c r="F746" s="17" t="str">
        <f aca="false">IF(AND(A746="",B746="",C746=""),"",IF(NOT(ISNUMBER(A746)),"Enter the date done",IF(SUMPRODUCT(('PM Plan'!$A$5:$A$304=B746)*('PM Plan'!$B$5:$B$304=C746))=0,"No matching asset + task in plan","OK")))</f>
        <v/>
      </c>
    </row>
    <row r="747" customFormat="false" ht="15" hidden="false" customHeight="false" outlineLevel="0" collapsed="false">
      <c r="A747" s="14"/>
      <c r="B747" s="9"/>
      <c r="C747" s="9"/>
      <c r="D747" s="9"/>
      <c r="E747" s="9"/>
      <c r="F747" s="17" t="str">
        <f aca="false">IF(AND(A747="",B747="",C747=""),"",IF(NOT(ISNUMBER(A747)),"Enter the date done",IF(SUMPRODUCT(('PM Plan'!$A$5:$A$304=B747)*('PM Plan'!$B$5:$B$304=C747))=0,"No matching asset + task in plan","OK")))</f>
        <v/>
      </c>
    </row>
    <row r="748" customFormat="false" ht="15" hidden="false" customHeight="false" outlineLevel="0" collapsed="false">
      <c r="A748" s="14"/>
      <c r="B748" s="9"/>
      <c r="C748" s="9"/>
      <c r="D748" s="9"/>
      <c r="E748" s="9"/>
      <c r="F748" s="17" t="str">
        <f aca="false">IF(AND(A748="",B748="",C748=""),"",IF(NOT(ISNUMBER(A748)),"Enter the date done",IF(SUMPRODUCT(('PM Plan'!$A$5:$A$304=B748)*('PM Plan'!$B$5:$B$304=C748))=0,"No matching asset + task in plan","OK")))</f>
        <v/>
      </c>
    </row>
    <row r="749" customFormat="false" ht="15" hidden="false" customHeight="false" outlineLevel="0" collapsed="false">
      <c r="A749" s="14"/>
      <c r="B749" s="9"/>
      <c r="C749" s="9"/>
      <c r="D749" s="9"/>
      <c r="E749" s="9"/>
      <c r="F749" s="17" t="str">
        <f aca="false">IF(AND(A749="",B749="",C749=""),"",IF(NOT(ISNUMBER(A749)),"Enter the date done",IF(SUMPRODUCT(('PM Plan'!$A$5:$A$304=B749)*('PM Plan'!$B$5:$B$304=C749))=0,"No matching asset + task in plan","OK")))</f>
        <v/>
      </c>
    </row>
    <row r="750" customFormat="false" ht="15" hidden="false" customHeight="false" outlineLevel="0" collapsed="false">
      <c r="A750" s="14"/>
      <c r="B750" s="9"/>
      <c r="C750" s="9"/>
      <c r="D750" s="9"/>
      <c r="E750" s="9"/>
      <c r="F750" s="17" t="str">
        <f aca="false">IF(AND(A750="",B750="",C750=""),"",IF(NOT(ISNUMBER(A750)),"Enter the date done",IF(SUMPRODUCT(('PM Plan'!$A$5:$A$304=B750)*('PM Plan'!$B$5:$B$304=C750))=0,"No matching asset + task in plan","OK")))</f>
        <v/>
      </c>
    </row>
    <row r="751" customFormat="false" ht="15" hidden="false" customHeight="false" outlineLevel="0" collapsed="false">
      <c r="A751" s="14"/>
      <c r="B751" s="9"/>
      <c r="C751" s="9"/>
      <c r="D751" s="9"/>
      <c r="E751" s="9"/>
      <c r="F751" s="17" t="str">
        <f aca="false">IF(AND(A751="",B751="",C751=""),"",IF(NOT(ISNUMBER(A751)),"Enter the date done",IF(SUMPRODUCT(('PM Plan'!$A$5:$A$304=B751)*('PM Plan'!$B$5:$B$304=C751))=0,"No matching asset + task in plan","OK")))</f>
        <v/>
      </c>
    </row>
    <row r="752" customFormat="false" ht="15" hidden="false" customHeight="false" outlineLevel="0" collapsed="false">
      <c r="A752" s="14"/>
      <c r="B752" s="9"/>
      <c r="C752" s="9"/>
      <c r="D752" s="9"/>
      <c r="E752" s="9"/>
      <c r="F752" s="17" t="str">
        <f aca="false">IF(AND(A752="",B752="",C752=""),"",IF(NOT(ISNUMBER(A752)),"Enter the date done",IF(SUMPRODUCT(('PM Plan'!$A$5:$A$304=B752)*('PM Plan'!$B$5:$B$304=C752))=0,"No matching asset + task in plan","OK")))</f>
        <v/>
      </c>
    </row>
    <row r="753" customFormat="false" ht="15" hidden="false" customHeight="false" outlineLevel="0" collapsed="false">
      <c r="A753" s="14"/>
      <c r="B753" s="9"/>
      <c r="C753" s="9"/>
      <c r="D753" s="9"/>
      <c r="E753" s="9"/>
      <c r="F753" s="17" t="str">
        <f aca="false">IF(AND(A753="",B753="",C753=""),"",IF(NOT(ISNUMBER(A753)),"Enter the date done",IF(SUMPRODUCT(('PM Plan'!$A$5:$A$304=B753)*('PM Plan'!$B$5:$B$304=C753))=0,"No matching asset + task in plan","OK")))</f>
        <v/>
      </c>
    </row>
    <row r="754" customFormat="false" ht="15" hidden="false" customHeight="false" outlineLevel="0" collapsed="false">
      <c r="A754" s="14"/>
      <c r="B754" s="9"/>
      <c r="C754" s="9"/>
      <c r="D754" s="9"/>
      <c r="E754" s="9"/>
      <c r="F754" s="17" t="str">
        <f aca="false">IF(AND(A754="",B754="",C754=""),"",IF(NOT(ISNUMBER(A754)),"Enter the date done",IF(SUMPRODUCT(('PM Plan'!$A$5:$A$304=B754)*('PM Plan'!$B$5:$B$304=C754))=0,"No matching asset + task in plan","OK")))</f>
        <v/>
      </c>
    </row>
    <row r="755" customFormat="false" ht="15" hidden="false" customHeight="false" outlineLevel="0" collapsed="false">
      <c r="A755" s="14"/>
      <c r="B755" s="9"/>
      <c r="C755" s="9"/>
      <c r="D755" s="9"/>
      <c r="E755" s="9"/>
      <c r="F755" s="17" t="str">
        <f aca="false">IF(AND(A755="",B755="",C755=""),"",IF(NOT(ISNUMBER(A755)),"Enter the date done",IF(SUMPRODUCT(('PM Plan'!$A$5:$A$304=B755)*('PM Plan'!$B$5:$B$304=C755))=0,"No matching asset + task in plan","OK")))</f>
        <v/>
      </c>
    </row>
    <row r="756" customFormat="false" ht="15" hidden="false" customHeight="false" outlineLevel="0" collapsed="false">
      <c r="A756" s="14"/>
      <c r="B756" s="9"/>
      <c r="C756" s="9"/>
      <c r="D756" s="9"/>
      <c r="E756" s="9"/>
      <c r="F756" s="17" t="str">
        <f aca="false">IF(AND(A756="",B756="",C756=""),"",IF(NOT(ISNUMBER(A756)),"Enter the date done",IF(SUMPRODUCT(('PM Plan'!$A$5:$A$304=B756)*('PM Plan'!$B$5:$B$304=C756))=0,"No matching asset + task in plan","OK")))</f>
        <v/>
      </c>
    </row>
    <row r="757" customFormat="false" ht="15" hidden="false" customHeight="false" outlineLevel="0" collapsed="false">
      <c r="A757" s="14"/>
      <c r="B757" s="9"/>
      <c r="C757" s="9"/>
      <c r="D757" s="9"/>
      <c r="E757" s="9"/>
      <c r="F757" s="17" t="str">
        <f aca="false">IF(AND(A757="",B757="",C757=""),"",IF(NOT(ISNUMBER(A757)),"Enter the date done",IF(SUMPRODUCT(('PM Plan'!$A$5:$A$304=B757)*('PM Plan'!$B$5:$B$304=C757))=0,"No matching asset + task in plan","OK")))</f>
        <v/>
      </c>
    </row>
    <row r="758" customFormat="false" ht="15" hidden="false" customHeight="false" outlineLevel="0" collapsed="false">
      <c r="A758" s="14"/>
      <c r="B758" s="9"/>
      <c r="C758" s="9"/>
      <c r="D758" s="9"/>
      <c r="E758" s="9"/>
      <c r="F758" s="17" t="str">
        <f aca="false">IF(AND(A758="",B758="",C758=""),"",IF(NOT(ISNUMBER(A758)),"Enter the date done",IF(SUMPRODUCT(('PM Plan'!$A$5:$A$304=B758)*('PM Plan'!$B$5:$B$304=C758))=0,"No matching asset + task in plan","OK")))</f>
        <v/>
      </c>
    </row>
    <row r="759" customFormat="false" ht="15" hidden="false" customHeight="false" outlineLevel="0" collapsed="false">
      <c r="A759" s="14"/>
      <c r="B759" s="9"/>
      <c r="C759" s="9"/>
      <c r="D759" s="9"/>
      <c r="E759" s="9"/>
      <c r="F759" s="17" t="str">
        <f aca="false">IF(AND(A759="",B759="",C759=""),"",IF(NOT(ISNUMBER(A759)),"Enter the date done",IF(SUMPRODUCT(('PM Plan'!$A$5:$A$304=B759)*('PM Plan'!$B$5:$B$304=C759))=0,"No matching asset + task in plan","OK")))</f>
        <v/>
      </c>
    </row>
    <row r="760" customFormat="false" ht="15" hidden="false" customHeight="false" outlineLevel="0" collapsed="false">
      <c r="A760" s="14"/>
      <c r="B760" s="9"/>
      <c r="C760" s="9"/>
      <c r="D760" s="9"/>
      <c r="E760" s="9"/>
      <c r="F760" s="17" t="str">
        <f aca="false">IF(AND(A760="",B760="",C760=""),"",IF(NOT(ISNUMBER(A760)),"Enter the date done",IF(SUMPRODUCT(('PM Plan'!$A$5:$A$304=B760)*('PM Plan'!$B$5:$B$304=C760))=0,"No matching asset + task in plan","OK")))</f>
        <v/>
      </c>
    </row>
    <row r="761" customFormat="false" ht="15" hidden="false" customHeight="false" outlineLevel="0" collapsed="false">
      <c r="A761" s="14"/>
      <c r="B761" s="9"/>
      <c r="C761" s="9"/>
      <c r="D761" s="9"/>
      <c r="E761" s="9"/>
      <c r="F761" s="17" t="str">
        <f aca="false">IF(AND(A761="",B761="",C761=""),"",IF(NOT(ISNUMBER(A761)),"Enter the date done",IF(SUMPRODUCT(('PM Plan'!$A$5:$A$304=B761)*('PM Plan'!$B$5:$B$304=C761))=0,"No matching asset + task in plan","OK")))</f>
        <v/>
      </c>
    </row>
    <row r="762" customFormat="false" ht="15" hidden="false" customHeight="false" outlineLevel="0" collapsed="false">
      <c r="A762" s="14"/>
      <c r="B762" s="9"/>
      <c r="C762" s="9"/>
      <c r="D762" s="9"/>
      <c r="E762" s="9"/>
      <c r="F762" s="17" t="str">
        <f aca="false">IF(AND(A762="",B762="",C762=""),"",IF(NOT(ISNUMBER(A762)),"Enter the date done",IF(SUMPRODUCT(('PM Plan'!$A$5:$A$304=B762)*('PM Plan'!$B$5:$B$304=C762))=0,"No matching asset + task in plan","OK")))</f>
        <v/>
      </c>
    </row>
    <row r="763" customFormat="false" ht="15" hidden="false" customHeight="false" outlineLevel="0" collapsed="false">
      <c r="A763" s="14"/>
      <c r="B763" s="9"/>
      <c r="C763" s="9"/>
      <c r="D763" s="9"/>
      <c r="E763" s="9"/>
      <c r="F763" s="17" t="str">
        <f aca="false">IF(AND(A763="",B763="",C763=""),"",IF(NOT(ISNUMBER(A763)),"Enter the date done",IF(SUMPRODUCT(('PM Plan'!$A$5:$A$304=B763)*('PM Plan'!$B$5:$B$304=C763))=0,"No matching asset + task in plan","OK")))</f>
        <v/>
      </c>
    </row>
    <row r="764" customFormat="false" ht="15" hidden="false" customHeight="false" outlineLevel="0" collapsed="false">
      <c r="A764" s="14"/>
      <c r="B764" s="9"/>
      <c r="C764" s="9"/>
      <c r="D764" s="9"/>
      <c r="E764" s="9"/>
      <c r="F764" s="17" t="str">
        <f aca="false">IF(AND(A764="",B764="",C764=""),"",IF(NOT(ISNUMBER(A764)),"Enter the date done",IF(SUMPRODUCT(('PM Plan'!$A$5:$A$304=B764)*('PM Plan'!$B$5:$B$304=C764))=0,"No matching asset + task in plan","OK")))</f>
        <v/>
      </c>
    </row>
    <row r="765" customFormat="false" ht="15" hidden="false" customHeight="false" outlineLevel="0" collapsed="false">
      <c r="A765" s="14"/>
      <c r="B765" s="9"/>
      <c r="C765" s="9"/>
      <c r="D765" s="9"/>
      <c r="E765" s="9"/>
      <c r="F765" s="17" t="str">
        <f aca="false">IF(AND(A765="",B765="",C765=""),"",IF(NOT(ISNUMBER(A765)),"Enter the date done",IF(SUMPRODUCT(('PM Plan'!$A$5:$A$304=B765)*('PM Plan'!$B$5:$B$304=C765))=0,"No matching asset + task in plan","OK")))</f>
        <v/>
      </c>
    </row>
    <row r="766" customFormat="false" ht="15" hidden="false" customHeight="false" outlineLevel="0" collapsed="false">
      <c r="A766" s="14"/>
      <c r="B766" s="9"/>
      <c r="C766" s="9"/>
      <c r="D766" s="9"/>
      <c r="E766" s="9"/>
      <c r="F766" s="17" t="str">
        <f aca="false">IF(AND(A766="",B766="",C766=""),"",IF(NOT(ISNUMBER(A766)),"Enter the date done",IF(SUMPRODUCT(('PM Plan'!$A$5:$A$304=B766)*('PM Plan'!$B$5:$B$304=C766))=0,"No matching asset + task in plan","OK")))</f>
        <v/>
      </c>
    </row>
    <row r="767" customFormat="false" ht="15" hidden="false" customHeight="false" outlineLevel="0" collapsed="false">
      <c r="A767" s="14"/>
      <c r="B767" s="9"/>
      <c r="C767" s="9"/>
      <c r="D767" s="9"/>
      <c r="E767" s="9"/>
      <c r="F767" s="17" t="str">
        <f aca="false">IF(AND(A767="",B767="",C767=""),"",IF(NOT(ISNUMBER(A767)),"Enter the date done",IF(SUMPRODUCT(('PM Plan'!$A$5:$A$304=B767)*('PM Plan'!$B$5:$B$304=C767))=0,"No matching asset + task in plan","OK")))</f>
        <v/>
      </c>
    </row>
    <row r="768" customFormat="false" ht="15" hidden="false" customHeight="false" outlineLevel="0" collapsed="false">
      <c r="A768" s="14"/>
      <c r="B768" s="9"/>
      <c r="C768" s="9"/>
      <c r="D768" s="9"/>
      <c r="E768" s="9"/>
      <c r="F768" s="17" t="str">
        <f aca="false">IF(AND(A768="",B768="",C768=""),"",IF(NOT(ISNUMBER(A768)),"Enter the date done",IF(SUMPRODUCT(('PM Plan'!$A$5:$A$304=B768)*('PM Plan'!$B$5:$B$304=C768))=0,"No matching asset + task in plan","OK")))</f>
        <v/>
      </c>
    </row>
    <row r="769" customFormat="false" ht="15" hidden="false" customHeight="false" outlineLevel="0" collapsed="false">
      <c r="A769" s="14"/>
      <c r="B769" s="9"/>
      <c r="C769" s="9"/>
      <c r="D769" s="9"/>
      <c r="E769" s="9"/>
      <c r="F769" s="17" t="str">
        <f aca="false">IF(AND(A769="",B769="",C769=""),"",IF(NOT(ISNUMBER(A769)),"Enter the date done",IF(SUMPRODUCT(('PM Plan'!$A$5:$A$304=B769)*('PM Plan'!$B$5:$B$304=C769))=0,"No matching asset + task in plan","OK")))</f>
        <v/>
      </c>
    </row>
    <row r="770" customFormat="false" ht="15" hidden="false" customHeight="false" outlineLevel="0" collapsed="false">
      <c r="A770" s="14"/>
      <c r="B770" s="9"/>
      <c r="C770" s="9"/>
      <c r="D770" s="9"/>
      <c r="E770" s="9"/>
      <c r="F770" s="17" t="str">
        <f aca="false">IF(AND(A770="",B770="",C770=""),"",IF(NOT(ISNUMBER(A770)),"Enter the date done",IF(SUMPRODUCT(('PM Plan'!$A$5:$A$304=B770)*('PM Plan'!$B$5:$B$304=C770))=0,"No matching asset + task in plan","OK")))</f>
        <v/>
      </c>
    </row>
    <row r="771" customFormat="false" ht="15" hidden="false" customHeight="false" outlineLevel="0" collapsed="false">
      <c r="A771" s="14"/>
      <c r="B771" s="9"/>
      <c r="C771" s="9"/>
      <c r="D771" s="9"/>
      <c r="E771" s="9"/>
      <c r="F771" s="17" t="str">
        <f aca="false">IF(AND(A771="",B771="",C771=""),"",IF(NOT(ISNUMBER(A771)),"Enter the date done",IF(SUMPRODUCT(('PM Plan'!$A$5:$A$304=B771)*('PM Plan'!$B$5:$B$304=C771))=0,"No matching asset + task in plan","OK")))</f>
        <v/>
      </c>
    </row>
    <row r="772" customFormat="false" ht="15" hidden="false" customHeight="false" outlineLevel="0" collapsed="false">
      <c r="A772" s="14"/>
      <c r="B772" s="9"/>
      <c r="C772" s="9"/>
      <c r="D772" s="9"/>
      <c r="E772" s="9"/>
      <c r="F772" s="17" t="str">
        <f aca="false">IF(AND(A772="",B772="",C772=""),"",IF(NOT(ISNUMBER(A772)),"Enter the date done",IF(SUMPRODUCT(('PM Plan'!$A$5:$A$304=B772)*('PM Plan'!$B$5:$B$304=C772))=0,"No matching asset + task in plan","OK")))</f>
        <v/>
      </c>
    </row>
    <row r="773" customFormat="false" ht="15" hidden="false" customHeight="false" outlineLevel="0" collapsed="false">
      <c r="A773" s="14"/>
      <c r="B773" s="9"/>
      <c r="C773" s="9"/>
      <c r="D773" s="9"/>
      <c r="E773" s="9"/>
      <c r="F773" s="17" t="str">
        <f aca="false">IF(AND(A773="",B773="",C773=""),"",IF(NOT(ISNUMBER(A773)),"Enter the date done",IF(SUMPRODUCT(('PM Plan'!$A$5:$A$304=B773)*('PM Plan'!$B$5:$B$304=C773))=0,"No matching asset + task in plan","OK")))</f>
        <v/>
      </c>
    </row>
    <row r="774" customFormat="false" ht="15" hidden="false" customHeight="false" outlineLevel="0" collapsed="false">
      <c r="A774" s="14"/>
      <c r="B774" s="9"/>
      <c r="C774" s="9"/>
      <c r="D774" s="9"/>
      <c r="E774" s="9"/>
      <c r="F774" s="17" t="str">
        <f aca="false">IF(AND(A774="",B774="",C774=""),"",IF(NOT(ISNUMBER(A774)),"Enter the date done",IF(SUMPRODUCT(('PM Plan'!$A$5:$A$304=B774)*('PM Plan'!$B$5:$B$304=C774))=0,"No matching asset + task in plan","OK")))</f>
        <v/>
      </c>
    </row>
    <row r="775" customFormat="false" ht="15" hidden="false" customHeight="false" outlineLevel="0" collapsed="false">
      <c r="A775" s="14"/>
      <c r="B775" s="9"/>
      <c r="C775" s="9"/>
      <c r="D775" s="9"/>
      <c r="E775" s="9"/>
      <c r="F775" s="17" t="str">
        <f aca="false">IF(AND(A775="",B775="",C775=""),"",IF(NOT(ISNUMBER(A775)),"Enter the date done",IF(SUMPRODUCT(('PM Plan'!$A$5:$A$304=B775)*('PM Plan'!$B$5:$B$304=C775))=0,"No matching asset + task in plan","OK")))</f>
        <v/>
      </c>
    </row>
    <row r="776" customFormat="false" ht="15" hidden="false" customHeight="false" outlineLevel="0" collapsed="false">
      <c r="A776" s="14"/>
      <c r="B776" s="9"/>
      <c r="C776" s="9"/>
      <c r="D776" s="9"/>
      <c r="E776" s="9"/>
      <c r="F776" s="17" t="str">
        <f aca="false">IF(AND(A776="",B776="",C776=""),"",IF(NOT(ISNUMBER(A776)),"Enter the date done",IF(SUMPRODUCT(('PM Plan'!$A$5:$A$304=B776)*('PM Plan'!$B$5:$B$304=C776))=0,"No matching asset + task in plan","OK")))</f>
        <v/>
      </c>
    </row>
    <row r="777" customFormat="false" ht="15" hidden="false" customHeight="false" outlineLevel="0" collapsed="false">
      <c r="A777" s="14"/>
      <c r="B777" s="9"/>
      <c r="C777" s="9"/>
      <c r="D777" s="9"/>
      <c r="E777" s="9"/>
      <c r="F777" s="17" t="str">
        <f aca="false">IF(AND(A777="",B777="",C777=""),"",IF(NOT(ISNUMBER(A777)),"Enter the date done",IF(SUMPRODUCT(('PM Plan'!$A$5:$A$304=B777)*('PM Plan'!$B$5:$B$304=C777))=0,"No matching asset + task in plan","OK")))</f>
        <v/>
      </c>
    </row>
    <row r="778" customFormat="false" ht="15" hidden="false" customHeight="false" outlineLevel="0" collapsed="false">
      <c r="A778" s="14"/>
      <c r="B778" s="9"/>
      <c r="C778" s="9"/>
      <c r="D778" s="9"/>
      <c r="E778" s="9"/>
      <c r="F778" s="17" t="str">
        <f aca="false">IF(AND(A778="",B778="",C778=""),"",IF(NOT(ISNUMBER(A778)),"Enter the date done",IF(SUMPRODUCT(('PM Plan'!$A$5:$A$304=B778)*('PM Plan'!$B$5:$B$304=C778))=0,"No matching asset + task in plan","OK")))</f>
        <v/>
      </c>
    </row>
    <row r="779" customFormat="false" ht="15" hidden="false" customHeight="false" outlineLevel="0" collapsed="false">
      <c r="A779" s="14"/>
      <c r="B779" s="9"/>
      <c r="C779" s="9"/>
      <c r="D779" s="9"/>
      <c r="E779" s="9"/>
      <c r="F779" s="17" t="str">
        <f aca="false">IF(AND(A779="",B779="",C779=""),"",IF(NOT(ISNUMBER(A779)),"Enter the date done",IF(SUMPRODUCT(('PM Plan'!$A$5:$A$304=B779)*('PM Plan'!$B$5:$B$304=C779))=0,"No matching asset + task in plan","OK")))</f>
        <v/>
      </c>
    </row>
    <row r="780" customFormat="false" ht="15" hidden="false" customHeight="false" outlineLevel="0" collapsed="false">
      <c r="A780" s="14"/>
      <c r="B780" s="9"/>
      <c r="C780" s="9"/>
      <c r="D780" s="9"/>
      <c r="E780" s="9"/>
      <c r="F780" s="17" t="str">
        <f aca="false">IF(AND(A780="",B780="",C780=""),"",IF(NOT(ISNUMBER(A780)),"Enter the date done",IF(SUMPRODUCT(('PM Plan'!$A$5:$A$304=B780)*('PM Plan'!$B$5:$B$304=C780))=0,"No matching asset + task in plan","OK")))</f>
        <v/>
      </c>
    </row>
    <row r="781" customFormat="false" ht="15" hidden="false" customHeight="false" outlineLevel="0" collapsed="false">
      <c r="A781" s="14"/>
      <c r="B781" s="9"/>
      <c r="C781" s="9"/>
      <c r="D781" s="9"/>
      <c r="E781" s="9"/>
      <c r="F781" s="17" t="str">
        <f aca="false">IF(AND(A781="",B781="",C781=""),"",IF(NOT(ISNUMBER(A781)),"Enter the date done",IF(SUMPRODUCT(('PM Plan'!$A$5:$A$304=B781)*('PM Plan'!$B$5:$B$304=C781))=0,"No matching asset + task in plan","OK")))</f>
        <v/>
      </c>
    </row>
    <row r="782" customFormat="false" ht="15" hidden="false" customHeight="false" outlineLevel="0" collapsed="false">
      <c r="A782" s="14"/>
      <c r="B782" s="9"/>
      <c r="C782" s="9"/>
      <c r="D782" s="9"/>
      <c r="E782" s="9"/>
      <c r="F782" s="17" t="str">
        <f aca="false">IF(AND(A782="",B782="",C782=""),"",IF(NOT(ISNUMBER(A782)),"Enter the date done",IF(SUMPRODUCT(('PM Plan'!$A$5:$A$304=B782)*('PM Plan'!$B$5:$B$304=C782))=0,"No matching asset + task in plan","OK")))</f>
        <v/>
      </c>
    </row>
    <row r="783" customFormat="false" ht="15" hidden="false" customHeight="false" outlineLevel="0" collapsed="false">
      <c r="A783" s="14"/>
      <c r="B783" s="9"/>
      <c r="C783" s="9"/>
      <c r="D783" s="9"/>
      <c r="E783" s="9"/>
      <c r="F783" s="17" t="str">
        <f aca="false">IF(AND(A783="",B783="",C783=""),"",IF(NOT(ISNUMBER(A783)),"Enter the date done",IF(SUMPRODUCT(('PM Plan'!$A$5:$A$304=B783)*('PM Plan'!$B$5:$B$304=C783))=0,"No matching asset + task in plan","OK")))</f>
        <v/>
      </c>
    </row>
    <row r="784" customFormat="false" ht="15" hidden="false" customHeight="false" outlineLevel="0" collapsed="false">
      <c r="A784" s="14"/>
      <c r="B784" s="9"/>
      <c r="C784" s="9"/>
      <c r="D784" s="9"/>
      <c r="E784" s="9"/>
      <c r="F784" s="17" t="str">
        <f aca="false">IF(AND(A784="",B784="",C784=""),"",IF(NOT(ISNUMBER(A784)),"Enter the date done",IF(SUMPRODUCT(('PM Plan'!$A$5:$A$304=B784)*('PM Plan'!$B$5:$B$304=C784))=0,"No matching asset + task in plan","OK")))</f>
        <v/>
      </c>
    </row>
    <row r="785" customFormat="false" ht="15" hidden="false" customHeight="false" outlineLevel="0" collapsed="false">
      <c r="A785" s="14"/>
      <c r="B785" s="9"/>
      <c r="C785" s="9"/>
      <c r="D785" s="9"/>
      <c r="E785" s="9"/>
      <c r="F785" s="17" t="str">
        <f aca="false">IF(AND(A785="",B785="",C785=""),"",IF(NOT(ISNUMBER(A785)),"Enter the date done",IF(SUMPRODUCT(('PM Plan'!$A$5:$A$304=B785)*('PM Plan'!$B$5:$B$304=C785))=0,"No matching asset + task in plan","OK")))</f>
        <v/>
      </c>
    </row>
    <row r="786" customFormat="false" ht="15" hidden="false" customHeight="false" outlineLevel="0" collapsed="false">
      <c r="A786" s="14"/>
      <c r="B786" s="9"/>
      <c r="C786" s="9"/>
      <c r="D786" s="9"/>
      <c r="E786" s="9"/>
      <c r="F786" s="17" t="str">
        <f aca="false">IF(AND(A786="",B786="",C786=""),"",IF(NOT(ISNUMBER(A786)),"Enter the date done",IF(SUMPRODUCT(('PM Plan'!$A$5:$A$304=B786)*('PM Plan'!$B$5:$B$304=C786))=0,"No matching asset + task in plan","OK")))</f>
        <v/>
      </c>
    </row>
    <row r="787" customFormat="false" ht="15" hidden="false" customHeight="false" outlineLevel="0" collapsed="false">
      <c r="A787" s="14"/>
      <c r="B787" s="9"/>
      <c r="C787" s="9"/>
      <c r="D787" s="9"/>
      <c r="E787" s="9"/>
      <c r="F787" s="17" t="str">
        <f aca="false">IF(AND(A787="",B787="",C787=""),"",IF(NOT(ISNUMBER(A787)),"Enter the date done",IF(SUMPRODUCT(('PM Plan'!$A$5:$A$304=B787)*('PM Plan'!$B$5:$B$304=C787))=0,"No matching asset + task in plan","OK")))</f>
        <v/>
      </c>
    </row>
    <row r="788" customFormat="false" ht="15" hidden="false" customHeight="false" outlineLevel="0" collapsed="false">
      <c r="A788" s="14"/>
      <c r="B788" s="9"/>
      <c r="C788" s="9"/>
      <c r="D788" s="9"/>
      <c r="E788" s="9"/>
      <c r="F788" s="17" t="str">
        <f aca="false">IF(AND(A788="",B788="",C788=""),"",IF(NOT(ISNUMBER(A788)),"Enter the date done",IF(SUMPRODUCT(('PM Plan'!$A$5:$A$304=B788)*('PM Plan'!$B$5:$B$304=C788))=0,"No matching asset + task in plan","OK")))</f>
        <v/>
      </c>
    </row>
    <row r="789" customFormat="false" ht="15" hidden="false" customHeight="false" outlineLevel="0" collapsed="false">
      <c r="A789" s="14"/>
      <c r="B789" s="9"/>
      <c r="C789" s="9"/>
      <c r="D789" s="9"/>
      <c r="E789" s="9"/>
      <c r="F789" s="17" t="str">
        <f aca="false">IF(AND(A789="",B789="",C789=""),"",IF(NOT(ISNUMBER(A789)),"Enter the date done",IF(SUMPRODUCT(('PM Plan'!$A$5:$A$304=B789)*('PM Plan'!$B$5:$B$304=C789))=0,"No matching asset + task in plan","OK")))</f>
        <v/>
      </c>
    </row>
    <row r="790" customFormat="false" ht="15" hidden="false" customHeight="false" outlineLevel="0" collapsed="false">
      <c r="A790" s="14"/>
      <c r="B790" s="9"/>
      <c r="C790" s="9"/>
      <c r="D790" s="9"/>
      <c r="E790" s="9"/>
      <c r="F790" s="17" t="str">
        <f aca="false">IF(AND(A790="",B790="",C790=""),"",IF(NOT(ISNUMBER(A790)),"Enter the date done",IF(SUMPRODUCT(('PM Plan'!$A$5:$A$304=B790)*('PM Plan'!$B$5:$B$304=C790))=0,"No matching asset + task in plan","OK")))</f>
        <v/>
      </c>
    </row>
    <row r="791" customFormat="false" ht="15" hidden="false" customHeight="false" outlineLevel="0" collapsed="false">
      <c r="A791" s="14"/>
      <c r="B791" s="9"/>
      <c r="C791" s="9"/>
      <c r="D791" s="9"/>
      <c r="E791" s="9"/>
      <c r="F791" s="17" t="str">
        <f aca="false">IF(AND(A791="",B791="",C791=""),"",IF(NOT(ISNUMBER(A791)),"Enter the date done",IF(SUMPRODUCT(('PM Plan'!$A$5:$A$304=B791)*('PM Plan'!$B$5:$B$304=C791))=0,"No matching asset + task in plan","OK")))</f>
        <v/>
      </c>
    </row>
    <row r="792" customFormat="false" ht="15" hidden="false" customHeight="false" outlineLevel="0" collapsed="false">
      <c r="A792" s="14"/>
      <c r="B792" s="9"/>
      <c r="C792" s="9"/>
      <c r="D792" s="9"/>
      <c r="E792" s="9"/>
      <c r="F792" s="17" t="str">
        <f aca="false">IF(AND(A792="",B792="",C792=""),"",IF(NOT(ISNUMBER(A792)),"Enter the date done",IF(SUMPRODUCT(('PM Plan'!$A$5:$A$304=B792)*('PM Plan'!$B$5:$B$304=C792))=0,"No matching asset + task in plan","OK")))</f>
        <v/>
      </c>
    </row>
    <row r="793" customFormat="false" ht="15" hidden="false" customHeight="false" outlineLevel="0" collapsed="false">
      <c r="A793" s="14"/>
      <c r="B793" s="9"/>
      <c r="C793" s="9"/>
      <c r="D793" s="9"/>
      <c r="E793" s="9"/>
      <c r="F793" s="17" t="str">
        <f aca="false">IF(AND(A793="",B793="",C793=""),"",IF(NOT(ISNUMBER(A793)),"Enter the date done",IF(SUMPRODUCT(('PM Plan'!$A$5:$A$304=B793)*('PM Plan'!$B$5:$B$304=C793))=0,"No matching asset + task in plan","OK")))</f>
        <v/>
      </c>
    </row>
    <row r="794" customFormat="false" ht="15" hidden="false" customHeight="false" outlineLevel="0" collapsed="false">
      <c r="A794" s="14"/>
      <c r="B794" s="9"/>
      <c r="C794" s="9"/>
      <c r="D794" s="9"/>
      <c r="E794" s="9"/>
      <c r="F794" s="17" t="str">
        <f aca="false">IF(AND(A794="",B794="",C794=""),"",IF(NOT(ISNUMBER(A794)),"Enter the date done",IF(SUMPRODUCT(('PM Plan'!$A$5:$A$304=B794)*('PM Plan'!$B$5:$B$304=C794))=0,"No matching asset + task in plan","OK")))</f>
        <v/>
      </c>
    </row>
    <row r="795" customFormat="false" ht="15" hidden="false" customHeight="false" outlineLevel="0" collapsed="false">
      <c r="A795" s="14"/>
      <c r="B795" s="9"/>
      <c r="C795" s="9"/>
      <c r="D795" s="9"/>
      <c r="E795" s="9"/>
      <c r="F795" s="17" t="str">
        <f aca="false">IF(AND(A795="",B795="",C795=""),"",IF(NOT(ISNUMBER(A795)),"Enter the date done",IF(SUMPRODUCT(('PM Plan'!$A$5:$A$304=B795)*('PM Plan'!$B$5:$B$304=C795))=0,"No matching asset + task in plan","OK")))</f>
        <v/>
      </c>
    </row>
    <row r="796" customFormat="false" ht="15" hidden="false" customHeight="false" outlineLevel="0" collapsed="false">
      <c r="A796" s="14"/>
      <c r="B796" s="9"/>
      <c r="C796" s="9"/>
      <c r="D796" s="9"/>
      <c r="E796" s="9"/>
      <c r="F796" s="17" t="str">
        <f aca="false">IF(AND(A796="",B796="",C796=""),"",IF(NOT(ISNUMBER(A796)),"Enter the date done",IF(SUMPRODUCT(('PM Plan'!$A$5:$A$304=B796)*('PM Plan'!$B$5:$B$304=C796))=0,"No matching asset + task in plan","OK")))</f>
        <v/>
      </c>
    </row>
    <row r="797" customFormat="false" ht="15" hidden="false" customHeight="false" outlineLevel="0" collapsed="false">
      <c r="A797" s="14"/>
      <c r="B797" s="9"/>
      <c r="C797" s="9"/>
      <c r="D797" s="9"/>
      <c r="E797" s="9"/>
      <c r="F797" s="17" t="str">
        <f aca="false">IF(AND(A797="",B797="",C797=""),"",IF(NOT(ISNUMBER(A797)),"Enter the date done",IF(SUMPRODUCT(('PM Plan'!$A$5:$A$304=B797)*('PM Plan'!$B$5:$B$304=C797))=0,"No matching asset + task in plan","OK")))</f>
        <v/>
      </c>
    </row>
    <row r="798" customFormat="false" ht="15" hidden="false" customHeight="false" outlineLevel="0" collapsed="false">
      <c r="A798" s="14"/>
      <c r="B798" s="9"/>
      <c r="C798" s="9"/>
      <c r="D798" s="9"/>
      <c r="E798" s="9"/>
      <c r="F798" s="17" t="str">
        <f aca="false">IF(AND(A798="",B798="",C798=""),"",IF(NOT(ISNUMBER(A798)),"Enter the date done",IF(SUMPRODUCT(('PM Plan'!$A$5:$A$304=B798)*('PM Plan'!$B$5:$B$304=C798))=0,"No matching asset + task in plan","OK")))</f>
        <v/>
      </c>
    </row>
    <row r="799" customFormat="false" ht="15" hidden="false" customHeight="false" outlineLevel="0" collapsed="false">
      <c r="A799" s="14"/>
      <c r="B799" s="9"/>
      <c r="C799" s="9"/>
      <c r="D799" s="9"/>
      <c r="E799" s="9"/>
      <c r="F799" s="17" t="str">
        <f aca="false">IF(AND(A799="",B799="",C799=""),"",IF(NOT(ISNUMBER(A799)),"Enter the date done",IF(SUMPRODUCT(('PM Plan'!$A$5:$A$304=B799)*('PM Plan'!$B$5:$B$304=C799))=0,"No matching asset + task in plan","OK")))</f>
        <v/>
      </c>
    </row>
    <row r="800" customFormat="false" ht="15" hidden="false" customHeight="false" outlineLevel="0" collapsed="false">
      <c r="A800" s="14"/>
      <c r="B800" s="9"/>
      <c r="C800" s="9"/>
      <c r="D800" s="9"/>
      <c r="E800" s="9"/>
      <c r="F800" s="17" t="str">
        <f aca="false">IF(AND(A800="",B800="",C800=""),"",IF(NOT(ISNUMBER(A800)),"Enter the date done",IF(SUMPRODUCT(('PM Plan'!$A$5:$A$304=B800)*('PM Plan'!$B$5:$B$304=C800))=0,"No matching asset + task in plan","OK")))</f>
        <v/>
      </c>
    </row>
    <row r="801" customFormat="false" ht="15" hidden="false" customHeight="false" outlineLevel="0" collapsed="false">
      <c r="A801" s="14"/>
      <c r="B801" s="9"/>
      <c r="C801" s="9"/>
      <c r="D801" s="9"/>
      <c r="E801" s="9"/>
      <c r="F801" s="17" t="str">
        <f aca="false">IF(AND(A801="",B801="",C801=""),"",IF(NOT(ISNUMBER(A801)),"Enter the date done",IF(SUMPRODUCT(('PM Plan'!$A$5:$A$304=B801)*('PM Plan'!$B$5:$B$304=C801))=0,"No matching asset + task in plan","OK")))</f>
        <v/>
      </c>
    </row>
    <row r="802" customFormat="false" ht="15" hidden="false" customHeight="false" outlineLevel="0" collapsed="false">
      <c r="A802" s="14"/>
      <c r="B802" s="9"/>
      <c r="C802" s="9"/>
      <c r="D802" s="9"/>
      <c r="E802" s="9"/>
      <c r="F802" s="17" t="str">
        <f aca="false">IF(AND(A802="",B802="",C802=""),"",IF(NOT(ISNUMBER(A802)),"Enter the date done",IF(SUMPRODUCT(('PM Plan'!$A$5:$A$304=B802)*('PM Plan'!$B$5:$B$304=C802))=0,"No matching asset + task in plan","OK")))</f>
        <v/>
      </c>
    </row>
    <row r="803" customFormat="false" ht="15" hidden="false" customHeight="false" outlineLevel="0" collapsed="false">
      <c r="A803" s="14"/>
      <c r="B803" s="9"/>
      <c r="C803" s="9"/>
      <c r="D803" s="9"/>
      <c r="E803" s="9"/>
      <c r="F803" s="17" t="str">
        <f aca="false">IF(AND(A803="",B803="",C803=""),"",IF(NOT(ISNUMBER(A803)),"Enter the date done",IF(SUMPRODUCT(('PM Plan'!$A$5:$A$304=B803)*('PM Plan'!$B$5:$B$304=C803))=0,"No matching asset + task in plan","OK")))</f>
        <v/>
      </c>
    </row>
    <row r="804" customFormat="false" ht="15" hidden="false" customHeight="false" outlineLevel="0" collapsed="false">
      <c r="A804" s="14"/>
      <c r="B804" s="9"/>
      <c r="C804" s="9"/>
      <c r="D804" s="9"/>
      <c r="E804" s="9"/>
      <c r="F804" s="17" t="str">
        <f aca="false">IF(AND(A804="",B804="",C804=""),"",IF(NOT(ISNUMBER(A804)),"Enter the date done",IF(SUMPRODUCT(('PM Plan'!$A$5:$A$304=B804)*('PM Plan'!$B$5:$B$304=C804))=0,"No matching asset + task in plan","OK")))</f>
        <v/>
      </c>
    </row>
    <row r="805" customFormat="false" ht="15" hidden="false" customHeight="false" outlineLevel="0" collapsed="false">
      <c r="A805" s="14"/>
      <c r="B805" s="9"/>
      <c r="C805" s="9"/>
      <c r="D805" s="9"/>
      <c r="E805" s="9"/>
      <c r="F805" s="17" t="str">
        <f aca="false">IF(AND(A805="",B805="",C805=""),"",IF(NOT(ISNUMBER(A805)),"Enter the date done",IF(SUMPRODUCT(('PM Plan'!$A$5:$A$304=B805)*('PM Plan'!$B$5:$B$304=C805))=0,"No matching asset + task in plan","OK")))</f>
        <v/>
      </c>
    </row>
    <row r="806" customFormat="false" ht="15" hidden="false" customHeight="false" outlineLevel="0" collapsed="false">
      <c r="A806" s="14"/>
      <c r="B806" s="9"/>
      <c r="C806" s="9"/>
      <c r="D806" s="9"/>
      <c r="E806" s="9"/>
      <c r="F806" s="17" t="str">
        <f aca="false">IF(AND(A806="",B806="",C806=""),"",IF(NOT(ISNUMBER(A806)),"Enter the date done",IF(SUMPRODUCT(('PM Plan'!$A$5:$A$304=B806)*('PM Plan'!$B$5:$B$304=C806))=0,"No matching asset + task in plan","OK")))</f>
        <v/>
      </c>
    </row>
    <row r="807" customFormat="false" ht="15" hidden="false" customHeight="false" outlineLevel="0" collapsed="false">
      <c r="A807" s="14"/>
      <c r="B807" s="9"/>
      <c r="C807" s="9"/>
      <c r="D807" s="9"/>
      <c r="E807" s="9"/>
      <c r="F807" s="17" t="str">
        <f aca="false">IF(AND(A807="",B807="",C807=""),"",IF(NOT(ISNUMBER(A807)),"Enter the date done",IF(SUMPRODUCT(('PM Plan'!$A$5:$A$304=B807)*('PM Plan'!$B$5:$B$304=C807))=0,"No matching asset + task in plan","OK")))</f>
        <v/>
      </c>
    </row>
    <row r="808" customFormat="false" ht="15" hidden="false" customHeight="false" outlineLevel="0" collapsed="false">
      <c r="A808" s="14"/>
      <c r="B808" s="9"/>
      <c r="C808" s="9"/>
      <c r="D808" s="9"/>
      <c r="E808" s="9"/>
      <c r="F808" s="17" t="str">
        <f aca="false">IF(AND(A808="",B808="",C808=""),"",IF(NOT(ISNUMBER(A808)),"Enter the date done",IF(SUMPRODUCT(('PM Plan'!$A$5:$A$304=B808)*('PM Plan'!$B$5:$B$304=C808))=0,"No matching asset + task in plan","OK")))</f>
        <v/>
      </c>
    </row>
    <row r="809" customFormat="false" ht="15" hidden="false" customHeight="false" outlineLevel="0" collapsed="false">
      <c r="A809" s="14"/>
      <c r="B809" s="9"/>
      <c r="C809" s="9"/>
      <c r="D809" s="9"/>
      <c r="E809" s="9"/>
      <c r="F809" s="17" t="str">
        <f aca="false">IF(AND(A809="",B809="",C809=""),"",IF(NOT(ISNUMBER(A809)),"Enter the date done",IF(SUMPRODUCT(('PM Plan'!$A$5:$A$304=B809)*('PM Plan'!$B$5:$B$304=C809))=0,"No matching asset + task in plan","OK")))</f>
        <v/>
      </c>
    </row>
    <row r="810" customFormat="false" ht="15" hidden="false" customHeight="false" outlineLevel="0" collapsed="false">
      <c r="A810" s="14"/>
      <c r="B810" s="9"/>
      <c r="C810" s="9"/>
      <c r="D810" s="9"/>
      <c r="E810" s="9"/>
      <c r="F810" s="17" t="str">
        <f aca="false">IF(AND(A810="",B810="",C810=""),"",IF(NOT(ISNUMBER(A810)),"Enter the date done",IF(SUMPRODUCT(('PM Plan'!$A$5:$A$304=B810)*('PM Plan'!$B$5:$B$304=C810))=0,"No matching asset + task in plan","OK")))</f>
        <v/>
      </c>
    </row>
    <row r="811" customFormat="false" ht="15" hidden="false" customHeight="false" outlineLevel="0" collapsed="false">
      <c r="A811" s="14"/>
      <c r="B811" s="9"/>
      <c r="C811" s="9"/>
      <c r="D811" s="9"/>
      <c r="E811" s="9"/>
      <c r="F811" s="17" t="str">
        <f aca="false">IF(AND(A811="",B811="",C811=""),"",IF(NOT(ISNUMBER(A811)),"Enter the date done",IF(SUMPRODUCT(('PM Plan'!$A$5:$A$304=B811)*('PM Plan'!$B$5:$B$304=C811))=0,"No matching asset + task in plan","OK")))</f>
        <v/>
      </c>
    </row>
    <row r="812" customFormat="false" ht="15" hidden="false" customHeight="false" outlineLevel="0" collapsed="false">
      <c r="A812" s="14"/>
      <c r="B812" s="9"/>
      <c r="C812" s="9"/>
      <c r="D812" s="9"/>
      <c r="E812" s="9"/>
      <c r="F812" s="17" t="str">
        <f aca="false">IF(AND(A812="",B812="",C812=""),"",IF(NOT(ISNUMBER(A812)),"Enter the date done",IF(SUMPRODUCT(('PM Plan'!$A$5:$A$304=B812)*('PM Plan'!$B$5:$B$304=C812))=0,"No matching asset + task in plan","OK")))</f>
        <v/>
      </c>
    </row>
    <row r="813" customFormat="false" ht="15" hidden="false" customHeight="false" outlineLevel="0" collapsed="false">
      <c r="A813" s="14"/>
      <c r="B813" s="9"/>
      <c r="C813" s="9"/>
      <c r="D813" s="9"/>
      <c r="E813" s="9"/>
      <c r="F813" s="17" t="str">
        <f aca="false">IF(AND(A813="",B813="",C813=""),"",IF(NOT(ISNUMBER(A813)),"Enter the date done",IF(SUMPRODUCT(('PM Plan'!$A$5:$A$304=B813)*('PM Plan'!$B$5:$B$304=C813))=0,"No matching asset + task in plan","OK")))</f>
        <v/>
      </c>
    </row>
    <row r="814" customFormat="false" ht="15" hidden="false" customHeight="false" outlineLevel="0" collapsed="false">
      <c r="A814" s="14"/>
      <c r="B814" s="9"/>
      <c r="C814" s="9"/>
      <c r="D814" s="9"/>
      <c r="E814" s="9"/>
      <c r="F814" s="17" t="str">
        <f aca="false">IF(AND(A814="",B814="",C814=""),"",IF(NOT(ISNUMBER(A814)),"Enter the date done",IF(SUMPRODUCT(('PM Plan'!$A$5:$A$304=B814)*('PM Plan'!$B$5:$B$304=C814))=0,"No matching asset + task in plan","OK")))</f>
        <v/>
      </c>
    </row>
    <row r="815" customFormat="false" ht="15" hidden="false" customHeight="false" outlineLevel="0" collapsed="false">
      <c r="A815" s="14"/>
      <c r="B815" s="9"/>
      <c r="C815" s="9"/>
      <c r="D815" s="9"/>
      <c r="E815" s="9"/>
      <c r="F815" s="17" t="str">
        <f aca="false">IF(AND(A815="",B815="",C815=""),"",IF(NOT(ISNUMBER(A815)),"Enter the date done",IF(SUMPRODUCT(('PM Plan'!$A$5:$A$304=B815)*('PM Plan'!$B$5:$B$304=C815))=0,"No matching asset + task in plan","OK")))</f>
        <v/>
      </c>
    </row>
    <row r="816" customFormat="false" ht="15" hidden="false" customHeight="false" outlineLevel="0" collapsed="false">
      <c r="A816" s="14"/>
      <c r="B816" s="9"/>
      <c r="C816" s="9"/>
      <c r="D816" s="9"/>
      <c r="E816" s="9"/>
      <c r="F816" s="17" t="str">
        <f aca="false">IF(AND(A816="",B816="",C816=""),"",IF(NOT(ISNUMBER(A816)),"Enter the date done",IF(SUMPRODUCT(('PM Plan'!$A$5:$A$304=B816)*('PM Plan'!$B$5:$B$304=C816))=0,"No matching asset + task in plan","OK")))</f>
        <v/>
      </c>
    </row>
    <row r="817" customFormat="false" ht="15" hidden="false" customHeight="false" outlineLevel="0" collapsed="false">
      <c r="A817" s="14"/>
      <c r="B817" s="9"/>
      <c r="C817" s="9"/>
      <c r="D817" s="9"/>
      <c r="E817" s="9"/>
      <c r="F817" s="17" t="str">
        <f aca="false">IF(AND(A817="",B817="",C817=""),"",IF(NOT(ISNUMBER(A817)),"Enter the date done",IF(SUMPRODUCT(('PM Plan'!$A$5:$A$304=B817)*('PM Plan'!$B$5:$B$304=C817))=0,"No matching asset + task in plan","OK")))</f>
        <v/>
      </c>
    </row>
    <row r="818" customFormat="false" ht="15" hidden="false" customHeight="false" outlineLevel="0" collapsed="false">
      <c r="A818" s="14"/>
      <c r="B818" s="9"/>
      <c r="C818" s="9"/>
      <c r="D818" s="9"/>
      <c r="E818" s="9"/>
      <c r="F818" s="17" t="str">
        <f aca="false">IF(AND(A818="",B818="",C818=""),"",IF(NOT(ISNUMBER(A818)),"Enter the date done",IF(SUMPRODUCT(('PM Plan'!$A$5:$A$304=B818)*('PM Plan'!$B$5:$B$304=C818))=0,"No matching asset + task in plan","OK")))</f>
        <v/>
      </c>
    </row>
    <row r="819" customFormat="false" ht="15" hidden="false" customHeight="false" outlineLevel="0" collapsed="false">
      <c r="A819" s="14"/>
      <c r="B819" s="9"/>
      <c r="C819" s="9"/>
      <c r="D819" s="9"/>
      <c r="E819" s="9"/>
      <c r="F819" s="17" t="str">
        <f aca="false">IF(AND(A819="",B819="",C819=""),"",IF(NOT(ISNUMBER(A819)),"Enter the date done",IF(SUMPRODUCT(('PM Plan'!$A$5:$A$304=B819)*('PM Plan'!$B$5:$B$304=C819))=0,"No matching asset + task in plan","OK")))</f>
        <v/>
      </c>
    </row>
    <row r="820" customFormat="false" ht="15" hidden="false" customHeight="false" outlineLevel="0" collapsed="false">
      <c r="A820" s="14"/>
      <c r="B820" s="9"/>
      <c r="C820" s="9"/>
      <c r="D820" s="9"/>
      <c r="E820" s="9"/>
      <c r="F820" s="17" t="str">
        <f aca="false">IF(AND(A820="",B820="",C820=""),"",IF(NOT(ISNUMBER(A820)),"Enter the date done",IF(SUMPRODUCT(('PM Plan'!$A$5:$A$304=B820)*('PM Plan'!$B$5:$B$304=C820))=0,"No matching asset + task in plan","OK")))</f>
        <v/>
      </c>
    </row>
    <row r="821" customFormat="false" ht="15" hidden="false" customHeight="false" outlineLevel="0" collapsed="false">
      <c r="A821" s="14"/>
      <c r="B821" s="9"/>
      <c r="C821" s="9"/>
      <c r="D821" s="9"/>
      <c r="E821" s="9"/>
      <c r="F821" s="17" t="str">
        <f aca="false">IF(AND(A821="",B821="",C821=""),"",IF(NOT(ISNUMBER(A821)),"Enter the date done",IF(SUMPRODUCT(('PM Plan'!$A$5:$A$304=B821)*('PM Plan'!$B$5:$B$304=C821))=0,"No matching asset + task in plan","OK")))</f>
        <v/>
      </c>
    </row>
    <row r="822" customFormat="false" ht="15" hidden="false" customHeight="false" outlineLevel="0" collapsed="false">
      <c r="A822" s="14"/>
      <c r="B822" s="9"/>
      <c r="C822" s="9"/>
      <c r="D822" s="9"/>
      <c r="E822" s="9"/>
      <c r="F822" s="17" t="str">
        <f aca="false">IF(AND(A822="",B822="",C822=""),"",IF(NOT(ISNUMBER(A822)),"Enter the date done",IF(SUMPRODUCT(('PM Plan'!$A$5:$A$304=B822)*('PM Plan'!$B$5:$B$304=C822))=0,"No matching asset + task in plan","OK")))</f>
        <v/>
      </c>
    </row>
    <row r="823" customFormat="false" ht="15" hidden="false" customHeight="false" outlineLevel="0" collapsed="false">
      <c r="A823" s="14"/>
      <c r="B823" s="9"/>
      <c r="C823" s="9"/>
      <c r="D823" s="9"/>
      <c r="E823" s="9"/>
      <c r="F823" s="17" t="str">
        <f aca="false">IF(AND(A823="",B823="",C823=""),"",IF(NOT(ISNUMBER(A823)),"Enter the date done",IF(SUMPRODUCT(('PM Plan'!$A$5:$A$304=B823)*('PM Plan'!$B$5:$B$304=C823))=0,"No matching asset + task in plan","OK")))</f>
        <v/>
      </c>
    </row>
    <row r="824" customFormat="false" ht="15" hidden="false" customHeight="false" outlineLevel="0" collapsed="false">
      <c r="A824" s="14"/>
      <c r="B824" s="9"/>
      <c r="C824" s="9"/>
      <c r="D824" s="9"/>
      <c r="E824" s="9"/>
      <c r="F824" s="17" t="str">
        <f aca="false">IF(AND(A824="",B824="",C824=""),"",IF(NOT(ISNUMBER(A824)),"Enter the date done",IF(SUMPRODUCT(('PM Plan'!$A$5:$A$304=B824)*('PM Plan'!$B$5:$B$304=C824))=0,"No matching asset + task in plan","OK")))</f>
        <v/>
      </c>
    </row>
    <row r="825" customFormat="false" ht="15" hidden="false" customHeight="false" outlineLevel="0" collapsed="false">
      <c r="A825" s="14"/>
      <c r="B825" s="9"/>
      <c r="C825" s="9"/>
      <c r="D825" s="9"/>
      <c r="E825" s="9"/>
      <c r="F825" s="17" t="str">
        <f aca="false">IF(AND(A825="",B825="",C825=""),"",IF(NOT(ISNUMBER(A825)),"Enter the date done",IF(SUMPRODUCT(('PM Plan'!$A$5:$A$304=B825)*('PM Plan'!$B$5:$B$304=C825))=0,"No matching asset + task in plan","OK")))</f>
        <v/>
      </c>
    </row>
    <row r="826" customFormat="false" ht="15" hidden="false" customHeight="false" outlineLevel="0" collapsed="false">
      <c r="A826" s="14"/>
      <c r="B826" s="9"/>
      <c r="C826" s="9"/>
      <c r="D826" s="9"/>
      <c r="E826" s="9"/>
      <c r="F826" s="17" t="str">
        <f aca="false">IF(AND(A826="",B826="",C826=""),"",IF(NOT(ISNUMBER(A826)),"Enter the date done",IF(SUMPRODUCT(('PM Plan'!$A$5:$A$304=B826)*('PM Plan'!$B$5:$B$304=C826))=0,"No matching asset + task in plan","OK")))</f>
        <v/>
      </c>
    </row>
    <row r="827" customFormat="false" ht="15" hidden="false" customHeight="false" outlineLevel="0" collapsed="false">
      <c r="A827" s="14"/>
      <c r="B827" s="9"/>
      <c r="C827" s="9"/>
      <c r="D827" s="9"/>
      <c r="E827" s="9"/>
      <c r="F827" s="17" t="str">
        <f aca="false">IF(AND(A827="",B827="",C827=""),"",IF(NOT(ISNUMBER(A827)),"Enter the date done",IF(SUMPRODUCT(('PM Plan'!$A$5:$A$304=B827)*('PM Plan'!$B$5:$B$304=C827))=0,"No matching asset + task in plan","OK")))</f>
        <v/>
      </c>
    </row>
    <row r="828" customFormat="false" ht="15" hidden="false" customHeight="false" outlineLevel="0" collapsed="false">
      <c r="A828" s="14"/>
      <c r="B828" s="9"/>
      <c r="C828" s="9"/>
      <c r="D828" s="9"/>
      <c r="E828" s="9"/>
      <c r="F828" s="17" t="str">
        <f aca="false">IF(AND(A828="",B828="",C828=""),"",IF(NOT(ISNUMBER(A828)),"Enter the date done",IF(SUMPRODUCT(('PM Plan'!$A$5:$A$304=B828)*('PM Plan'!$B$5:$B$304=C828))=0,"No matching asset + task in plan","OK")))</f>
        <v/>
      </c>
    </row>
    <row r="829" customFormat="false" ht="15" hidden="false" customHeight="false" outlineLevel="0" collapsed="false">
      <c r="A829" s="14"/>
      <c r="B829" s="9"/>
      <c r="C829" s="9"/>
      <c r="D829" s="9"/>
      <c r="E829" s="9"/>
      <c r="F829" s="17" t="str">
        <f aca="false">IF(AND(A829="",B829="",C829=""),"",IF(NOT(ISNUMBER(A829)),"Enter the date done",IF(SUMPRODUCT(('PM Plan'!$A$5:$A$304=B829)*('PM Plan'!$B$5:$B$304=C829))=0,"No matching asset + task in plan","OK")))</f>
        <v/>
      </c>
    </row>
    <row r="830" customFormat="false" ht="15" hidden="false" customHeight="false" outlineLevel="0" collapsed="false">
      <c r="A830" s="14"/>
      <c r="B830" s="9"/>
      <c r="C830" s="9"/>
      <c r="D830" s="9"/>
      <c r="E830" s="9"/>
      <c r="F830" s="17" t="str">
        <f aca="false">IF(AND(A830="",B830="",C830=""),"",IF(NOT(ISNUMBER(A830)),"Enter the date done",IF(SUMPRODUCT(('PM Plan'!$A$5:$A$304=B830)*('PM Plan'!$B$5:$B$304=C830))=0,"No matching asset + task in plan","OK")))</f>
        <v/>
      </c>
    </row>
    <row r="831" customFormat="false" ht="15" hidden="false" customHeight="false" outlineLevel="0" collapsed="false">
      <c r="A831" s="14"/>
      <c r="B831" s="9"/>
      <c r="C831" s="9"/>
      <c r="D831" s="9"/>
      <c r="E831" s="9"/>
      <c r="F831" s="17" t="str">
        <f aca="false">IF(AND(A831="",B831="",C831=""),"",IF(NOT(ISNUMBER(A831)),"Enter the date done",IF(SUMPRODUCT(('PM Plan'!$A$5:$A$304=B831)*('PM Plan'!$B$5:$B$304=C831))=0,"No matching asset + task in plan","OK")))</f>
        <v/>
      </c>
    </row>
    <row r="832" customFormat="false" ht="15" hidden="false" customHeight="false" outlineLevel="0" collapsed="false">
      <c r="A832" s="14"/>
      <c r="B832" s="9"/>
      <c r="C832" s="9"/>
      <c r="D832" s="9"/>
      <c r="E832" s="9"/>
      <c r="F832" s="17" t="str">
        <f aca="false">IF(AND(A832="",B832="",C832=""),"",IF(NOT(ISNUMBER(A832)),"Enter the date done",IF(SUMPRODUCT(('PM Plan'!$A$5:$A$304=B832)*('PM Plan'!$B$5:$B$304=C832))=0,"No matching asset + task in plan","OK")))</f>
        <v/>
      </c>
    </row>
    <row r="833" customFormat="false" ht="15" hidden="false" customHeight="false" outlineLevel="0" collapsed="false">
      <c r="A833" s="14"/>
      <c r="B833" s="9"/>
      <c r="C833" s="9"/>
      <c r="D833" s="9"/>
      <c r="E833" s="9"/>
      <c r="F833" s="17" t="str">
        <f aca="false">IF(AND(A833="",B833="",C833=""),"",IF(NOT(ISNUMBER(A833)),"Enter the date done",IF(SUMPRODUCT(('PM Plan'!$A$5:$A$304=B833)*('PM Plan'!$B$5:$B$304=C833))=0,"No matching asset + task in plan","OK")))</f>
        <v/>
      </c>
    </row>
    <row r="834" customFormat="false" ht="15" hidden="false" customHeight="false" outlineLevel="0" collapsed="false">
      <c r="A834" s="14"/>
      <c r="B834" s="9"/>
      <c r="C834" s="9"/>
      <c r="D834" s="9"/>
      <c r="E834" s="9"/>
      <c r="F834" s="17" t="str">
        <f aca="false">IF(AND(A834="",B834="",C834=""),"",IF(NOT(ISNUMBER(A834)),"Enter the date done",IF(SUMPRODUCT(('PM Plan'!$A$5:$A$304=B834)*('PM Plan'!$B$5:$B$304=C834))=0,"No matching asset + task in plan","OK")))</f>
        <v/>
      </c>
    </row>
    <row r="835" customFormat="false" ht="15" hidden="false" customHeight="false" outlineLevel="0" collapsed="false">
      <c r="A835" s="14"/>
      <c r="B835" s="9"/>
      <c r="C835" s="9"/>
      <c r="D835" s="9"/>
      <c r="E835" s="9"/>
      <c r="F835" s="17" t="str">
        <f aca="false">IF(AND(A835="",B835="",C835=""),"",IF(NOT(ISNUMBER(A835)),"Enter the date done",IF(SUMPRODUCT(('PM Plan'!$A$5:$A$304=B835)*('PM Plan'!$B$5:$B$304=C835))=0,"No matching asset + task in plan","OK")))</f>
        <v/>
      </c>
    </row>
    <row r="836" customFormat="false" ht="15" hidden="false" customHeight="false" outlineLevel="0" collapsed="false">
      <c r="A836" s="14"/>
      <c r="B836" s="9"/>
      <c r="C836" s="9"/>
      <c r="D836" s="9"/>
      <c r="E836" s="9"/>
      <c r="F836" s="17" t="str">
        <f aca="false">IF(AND(A836="",B836="",C836=""),"",IF(NOT(ISNUMBER(A836)),"Enter the date done",IF(SUMPRODUCT(('PM Plan'!$A$5:$A$304=B836)*('PM Plan'!$B$5:$B$304=C836))=0,"No matching asset + task in plan","OK")))</f>
        <v/>
      </c>
    </row>
    <row r="837" customFormat="false" ht="15" hidden="false" customHeight="false" outlineLevel="0" collapsed="false">
      <c r="A837" s="14"/>
      <c r="B837" s="9"/>
      <c r="C837" s="9"/>
      <c r="D837" s="9"/>
      <c r="E837" s="9"/>
      <c r="F837" s="17" t="str">
        <f aca="false">IF(AND(A837="",B837="",C837=""),"",IF(NOT(ISNUMBER(A837)),"Enter the date done",IF(SUMPRODUCT(('PM Plan'!$A$5:$A$304=B837)*('PM Plan'!$B$5:$B$304=C837))=0,"No matching asset + task in plan","OK")))</f>
        <v/>
      </c>
    </row>
    <row r="838" customFormat="false" ht="15" hidden="false" customHeight="false" outlineLevel="0" collapsed="false">
      <c r="A838" s="14"/>
      <c r="B838" s="9"/>
      <c r="C838" s="9"/>
      <c r="D838" s="9"/>
      <c r="E838" s="9"/>
      <c r="F838" s="17" t="str">
        <f aca="false">IF(AND(A838="",B838="",C838=""),"",IF(NOT(ISNUMBER(A838)),"Enter the date done",IF(SUMPRODUCT(('PM Plan'!$A$5:$A$304=B838)*('PM Plan'!$B$5:$B$304=C838))=0,"No matching asset + task in plan","OK")))</f>
        <v/>
      </c>
    </row>
    <row r="839" customFormat="false" ht="15" hidden="false" customHeight="false" outlineLevel="0" collapsed="false">
      <c r="A839" s="14"/>
      <c r="B839" s="9"/>
      <c r="C839" s="9"/>
      <c r="D839" s="9"/>
      <c r="E839" s="9"/>
      <c r="F839" s="17" t="str">
        <f aca="false">IF(AND(A839="",B839="",C839=""),"",IF(NOT(ISNUMBER(A839)),"Enter the date done",IF(SUMPRODUCT(('PM Plan'!$A$5:$A$304=B839)*('PM Plan'!$B$5:$B$304=C839))=0,"No matching asset + task in plan","OK")))</f>
        <v/>
      </c>
    </row>
    <row r="840" customFormat="false" ht="15" hidden="false" customHeight="false" outlineLevel="0" collapsed="false">
      <c r="A840" s="14"/>
      <c r="B840" s="9"/>
      <c r="C840" s="9"/>
      <c r="D840" s="9"/>
      <c r="E840" s="9"/>
      <c r="F840" s="17" t="str">
        <f aca="false">IF(AND(A840="",B840="",C840=""),"",IF(NOT(ISNUMBER(A840)),"Enter the date done",IF(SUMPRODUCT(('PM Plan'!$A$5:$A$304=B840)*('PM Plan'!$B$5:$B$304=C840))=0,"No matching asset + task in plan","OK")))</f>
        <v/>
      </c>
    </row>
    <row r="841" customFormat="false" ht="15" hidden="false" customHeight="false" outlineLevel="0" collapsed="false">
      <c r="A841" s="14"/>
      <c r="B841" s="9"/>
      <c r="C841" s="9"/>
      <c r="D841" s="9"/>
      <c r="E841" s="9"/>
      <c r="F841" s="17" t="str">
        <f aca="false">IF(AND(A841="",B841="",C841=""),"",IF(NOT(ISNUMBER(A841)),"Enter the date done",IF(SUMPRODUCT(('PM Plan'!$A$5:$A$304=B841)*('PM Plan'!$B$5:$B$304=C841))=0,"No matching asset + task in plan","OK")))</f>
        <v/>
      </c>
    </row>
    <row r="842" customFormat="false" ht="15" hidden="false" customHeight="false" outlineLevel="0" collapsed="false">
      <c r="A842" s="14"/>
      <c r="B842" s="9"/>
      <c r="C842" s="9"/>
      <c r="D842" s="9"/>
      <c r="E842" s="9"/>
      <c r="F842" s="17" t="str">
        <f aca="false">IF(AND(A842="",B842="",C842=""),"",IF(NOT(ISNUMBER(A842)),"Enter the date done",IF(SUMPRODUCT(('PM Plan'!$A$5:$A$304=B842)*('PM Plan'!$B$5:$B$304=C842))=0,"No matching asset + task in plan","OK")))</f>
        <v/>
      </c>
    </row>
    <row r="843" customFormat="false" ht="15" hidden="false" customHeight="false" outlineLevel="0" collapsed="false">
      <c r="A843" s="14"/>
      <c r="B843" s="9"/>
      <c r="C843" s="9"/>
      <c r="D843" s="9"/>
      <c r="E843" s="9"/>
      <c r="F843" s="17" t="str">
        <f aca="false">IF(AND(A843="",B843="",C843=""),"",IF(NOT(ISNUMBER(A843)),"Enter the date done",IF(SUMPRODUCT(('PM Plan'!$A$5:$A$304=B843)*('PM Plan'!$B$5:$B$304=C843))=0,"No matching asset + task in plan","OK")))</f>
        <v/>
      </c>
    </row>
    <row r="844" customFormat="false" ht="15" hidden="false" customHeight="false" outlineLevel="0" collapsed="false">
      <c r="A844" s="14"/>
      <c r="B844" s="9"/>
      <c r="C844" s="9"/>
      <c r="D844" s="9"/>
      <c r="E844" s="9"/>
      <c r="F844" s="17" t="str">
        <f aca="false">IF(AND(A844="",B844="",C844=""),"",IF(NOT(ISNUMBER(A844)),"Enter the date done",IF(SUMPRODUCT(('PM Plan'!$A$5:$A$304=B844)*('PM Plan'!$B$5:$B$304=C844))=0,"No matching asset + task in plan","OK")))</f>
        <v/>
      </c>
    </row>
    <row r="845" customFormat="false" ht="15" hidden="false" customHeight="false" outlineLevel="0" collapsed="false">
      <c r="A845" s="14"/>
      <c r="B845" s="9"/>
      <c r="C845" s="9"/>
      <c r="D845" s="9"/>
      <c r="E845" s="9"/>
      <c r="F845" s="17" t="str">
        <f aca="false">IF(AND(A845="",B845="",C845=""),"",IF(NOT(ISNUMBER(A845)),"Enter the date done",IF(SUMPRODUCT(('PM Plan'!$A$5:$A$304=B845)*('PM Plan'!$B$5:$B$304=C845))=0,"No matching asset + task in plan","OK")))</f>
        <v/>
      </c>
    </row>
    <row r="846" customFormat="false" ht="15" hidden="false" customHeight="false" outlineLevel="0" collapsed="false">
      <c r="A846" s="14"/>
      <c r="B846" s="9"/>
      <c r="C846" s="9"/>
      <c r="D846" s="9"/>
      <c r="E846" s="9"/>
      <c r="F846" s="17" t="str">
        <f aca="false">IF(AND(A846="",B846="",C846=""),"",IF(NOT(ISNUMBER(A846)),"Enter the date done",IF(SUMPRODUCT(('PM Plan'!$A$5:$A$304=B846)*('PM Plan'!$B$5:$B$304=C846))=0,"No matching asset + task in plan","OK")))</f>
        <v/>
      </c>
    </row>
    <row r="847" customFormat="false" ht="15" hidden="false" customHeight="false" outlineLevel="0" collapsed="false">
      <c r="A847" s="14"/>
      <c r="B847" s="9"/>
      <c r="C847" s="9"/>
      <c r="D847" s="9"/>
      <c r="E847" s="9"/>
      <c r="F847" s="17" t="str">
        <f aca="false">IF(AND(A847="",B847="",C847=""),"",IF(NOT(ISNUMBER(A847)),"Enter the date done",IF(SUMPRODUCT(('PM Plan'!$A$5:$A$304=B847)*('PM Plan'!$B$5:$B$304=C847))=0,"No matching asset + task in plan","OK")))</f>
        <v/>
      </c>
    </row>
    <row r="848" customFormat="false" ht="15" hidden="false" customHeight="false" outlineLevel="0" collapsed="false">
      <c r="A848" s="14"/>
      <c r="B848" s="9"/>
      <c r="C848" s="9"/>
      <c r="D848" s="9"/>
      <c r="E848" s="9"/>
      <c r="F848" s="17" t="str">
        <f aca="false">IF(AND(A848="",B848="",C848=""),"",IF(NOT(ISNUMBER(A848)),"Enter the date done",IF(SUMPRODUCT(('PM Plan'!$A$5:$A$304=B848)*('PM Plan'!$B$5:$B$304=C848))=0,"No matching asset + task in plan","OK")))</f>
        <v/>
      </c>
    </row>
    <row r="849" customFormat="false" ht="15" hidden="false" customHeight="false" outlineLevel="0" collapsed="false">
      <c r="A849" s="14"/>
      <c r="B849" s="9"/>
      <c r="C849" s="9"/>
      <c r="D849" s="9"/>
      <c r="E849" s="9"/>
      <c r="F849" s="17" t="str">
        <f aca="false">IF(AND(A849="",B849="",C849=""),"",IF(NOT(ISNUMBER(A849)),"Enter the date done",IF(SUMPRODUCT(('PM Plan'!$A$5:$A$304=B849)*('PM Plan'!$B$5:$B$304=C849))=0,"No matching asset + task in plan","OK")))</f>
        <v/>
      </c>
    </row>
    <row r="850" customFormat="false" ht="15" hidden="false" customHeight="false" outlineLevel="0" collapsed="false">
      <c r="A850" s="14"/>
      <c r="B850" s="9"/>
      <c r="C850" s="9"/>
      <c r="D850" s="9"/>
      <c r="E850" s="9"/>
      <c r="F850" s="17" t="str">
        <f aca="false">IF(AND(A850="",B850="",C850=""),"",IF(NOT(ISNUMBER(A850)),"Enter the date done",IF(SUMPRODUCT(('PM Plan'!$A$5:$A$304=B850)*('PM Plan'!$B$5:$B$304=C850))=0,"No matching asset + task in plan","OK")))</f>
        <v/>
      </c>
    </row>
    <row r="851" customFormat="false" ht="15" hidden="false" customHeight="false" outlineLevel="0" collapsed="false">
      <c r="A851" s="14"/>
      <c r="B851" s="9"/>
      <c r="C851" s="9"/>
      <c r="D851" s="9"/>
      <c r="E851" s="9"/>
      <c r="F851" s="17" t="str">
        <f aca="false">IF(AND(A851="",B851="",C851=""),"",IF(NOT(ISNUMBER(A851)),"Enter the date done",IF(SUMPRODUCT(('PM Plan'!$A$5:$A$304=B851)*('PM Plan'!$B$5:$B$304=C851))=0,"No matching asset + task in plan","OK")))</f>
        <v/>
      </c>
    </row>
    <row r="852" customFormat="false" ht="15" hidden="false" customHeight="false" outlineLevel="0" collapsed="false">
      <c r="A852" s="14"/>
      <c r="B852" s="9"/>
      <c r="C852" s="9"/>
      <c r="D852" s="9"/>
      <c r="E852" s="9"/>
      <c r="F852" s="17" t="str">
        <f aca="false">IF(AND(A852="",B852="",C852=""),"",IF(NOT(ISNUMBER(A852)),"Enter the date done",IF(SUMPRODUCT(('PM Plan'!$A$5:$A$304=B852)*('PM Plan'!$B$5:$B$304=C852))=0,"No matching asset + task in plan","OK")))</f>
        <v/>
      </c>
    </row>
    <row r="853" customFormat="false" ht="15" hidden="false" customHeight="false" outlineLevel="0" collapsed="false">
      <c r="A853" s="14"/>
      <c r="B853" s="9"/>
      <c r="C853" s="9"/>
      <c r="D853" s="9"/>
      <c r="E853" s="9"/>
      <c r="F853" s="17" t="str">
        <f aca="false">IF(AND(A853="",B853="",C853=""),"",IF(NOT(ISNUMBER(A853)),"Enter the date done",IF(SUMPRODUCT(('PM Plan'!$A$5:$A$304=B853)*('PM Plan'!$B$5:$B$304=C853))=0,"No matching asset + task in plan","OK")))</f>
        <v/>
      </c>
    </row>
    <row r="854" customFormat="false" ht="15" hidden="false" customHeight="false" outlineLevel="0" collapsed="false">
      <c r="A854" s="14"/>
      <c r="B854" s="9"/>
      <c r="C854" s="9"/>
      <c r="D854" s="9"/>
      <c r="E854" s="9"/>
      <c r="F854" s="17" t="str">
        <f aca="false">IF(AND(A854="",B854="",C854=""),"",IF(NOT(ISNUMBER(A854)),"Enter the date done",IF(SUMPRODUCT(('PM Plan'!$A$5:$A$304=B854)*('PM Plan'!$B$5:$B$304=C854))=0,"No matching asset + task in plan","OK")))</f>
        <v/>
      </c>
    </row>
    <row r="855" customFormat="false" ht="15" hidden="false" customHeight="false" outlineLevel="0" collapsed="false">
      <c r="A855" s="14"/>
      <c r="B855" s="9"/>
      <c r="C855" s="9"/>
      <c r="D855" s="9"/>
      <c r="E855" s="9"/>
      <c r="F855" s="17" t="str">
        <f aca="false">IF(AND(A855="",B855="",C855=""),"",IF(NOT(ISNUMBER(A855)),"Enter the date done",IF(SUMPRODUCT(('PM Plan'!$A$5:$A$304=B855)*('PM Plan'!$B$5:$B$304=C855))=0,"No matching asset + task in plan","OK")))</f>
        <v/>
      </c>
    </row>
    <row r="856" customFormat="false" ht="15" hidden="false" customHeight="false" outlineLevel="0" collapsed="false">
      <c r="A856" s="14"/>
      <c r="B856" s="9"/>
      <c r="C856" s="9"/>
      <c r="D856" s="9"/>
      <c r="E856" s="9"/>
      <c r="F856" s="17" t="str">
        <f aca="false">IF(AND(A856="",B856="",C856=""),"",IF(NOT(ISNUMBER(A856)),"Enter the date done",IF(SUMPRODUCT(('PM Plan'!$A$5:$A$304=B856)*('PM Plan'!$B$5:$B$304=C856))=0,"No matching asset + task in plan","OK")))</f>
        <v/>
      </c>
    </row>
    <row r="857" customFormat="false" ht="15" hidden="false" customHeight="false" outlineLevel="0" collapsed="false">
      <c r="A857" s="14"/>
      <c r="B857" s="9"/>
      <c r="C857" s="9"/>
      <c r="D857" s="9"/>
      <c r="E857" s="9"/>
      <c r="F857" s="17" t="str">
        <f aca="false">IF(AND(A857="",B857="",C857=""),"",IF(NOT(ISNUMBER(A857)),"Enter the date done",IF(SUMPRODUCT(('PM Plan'!$A$5:$A$304=B857)*('PM Plan'!$B$5:$B$304=C857))=0,"No matching asset + task in plan","OK")))</f>
        <v/>
      </c>
    </row>
    <row r="858" customFormat="false" ht="15" hidden="false" customHeight="false" outlineLevel="0" collapsed="false">
      <c r="A858" s="14"/>
      <c r="B858" s="9"/>
      <c r="C858" s="9"/>
      <c r="D858" s="9"/>
      <c r="E858" s="9"/>
      <c r="F858" s="17" t="str">
        <f aca="false">IF(AND(A858="",B858="",C858=""),"",IF(NOT(ISNUMBER(A858)),"Enter the date done",IF(SUMPRODUCT(('PM Plan'!$A$5:$A$304=B858)*('PM Plan'!$B$5:$B$304=C858))=0,"No matching asset + task in plan","OK")))</f>
        <v/>
      </c>
    </row>
    <row r="859" customFormat="false" ht="15" hidden="false" customHeight="false" outlineLevel="0" collapsed="false">
      <c r="A859" s="14"/>
      <c r="B859" s="9"/>
      <c r="C859" s="9"/>
      <c r="D859" s="9"/>
      <c r="E859" s="9"/>
      <c r="F859" s="17" t="str">
        <f aca="false">IF(AND(A859="",B859="",C859=""),"",IF(NOT(ISNUMBER(A859)),"Enter the date done",IF(SUMPRODUCT(('PM Plan'!$A$5:$A$304=B859)*('PM Plan'!$B$5:$B$304=C859))=0,"No matching asset + task in plan","OK")))</f>
        <v/>
      </c>
    </row>
    <row r="860" customFormat="false" ht="15" hidden="false" customHeight="false" outlineLevel="0" collapsed="false">
      <c r="A860" s="14"/>
      <c r="B860" s="9"/>
      <c r="C860" s="9"/>
      <c r="D860" s="9"/>
      <c r="E860" s="9"/>
      <c r="F860" s="17" t="str">
        <f aca="false">IF(AND(A860="",B860="",C860=""),"",IF(NOT(ISNUMBER(A860)),"Enter the date done",IF(SUMPRODUCT(('PM Plan'!$A$5:$A$304=B860)*('PM Plan'!$B$5:$B$304=C860))=0,"No matching asset + task in plan","OK")))</f>
        <v/>
      </c>
    </row>
    <row r="861" customFormat="false" ht="15" hidden="false" customHeight="false" outlineLevel="0" collapsed="false">
      <c r="A861" s="14"/>
      <c r="B861" s="9"/>
      <c r="C861" s="9"/>
      <c r="D861" s="9"/>
      <c r="E861" s="9"/>
      <c r="F861" s="17" t="str">
        <f aca="false">IF(AND(A861="",B861="",C861=""),"",IF(NOT(ISNUMBER(A861)),"Enter the date done",IF(SUMPRODUCT(('PM Plan'!$A$5:$A$304=B861)*('PM Plan'!$B$5:$B$304=C861))=0,"No matching asset + task in plan","OK")))</f>
        <v/>
      </c>
    </row>
    <row r="862" customFormat="false" ht="15" hidden="false" customHeight="false" outlineLevel="0" collapsed="false">
      <c r="A862" s="14"/>
      <c r="B862" s="9"/>
      <c r="C862" s="9"/>
      <c r="D862" s="9"/>
      <c r="E862" s="9"/>
      <c r="F862" s="17" t="str">
        <f aca="false">IF(AND(A862="",B862="",C862=""),"",IF(NOT(ISNUMBER(A862)),"Enter the date done",IF(SUMPRODUCT(('PM Plan'!$A$5:$A$304=B862)*('PM Plan'!$B$5:$B$304=C862))=0,"No matching asset + task in plan","OK")))</f>
        <v/>
      </c>
    </row>
    <row r="863" customFormat="false" ht="15" hidden="false" customHeight="false" outlineLevel="0" collapsed="false">
      <c r="A863" s="14"/>
      <c r="B863" s="9"/>
      <c r="C863" s="9"/>
      <c r="D863" s="9"/>
      <c r="E863" s="9"/>
      <c r="F863" s="17" t="str">
        <f aca="false">IF(AND(A863="",B863="",C863=""),"",IF(NOT(ISNUMBER(A863)),"Enter the date done",IF(SUMPRODUCT(('PM Plan'!$A$5:$A$304=B863)*('PM Plan'!$B$5:$B$304=C863))=0,"No matching asset + task in plan","OK")))</f>
        <v/>
      </c>
    </row>
    <row r="864" customFormat="false" ht="15" hidden="false" customHeight="false" outlineLevel="0" collapsed="false">
      <c r="A864" s="14"/>
      <c r="B864" s="9"/>
      <c r="C864" s="9"/>
      <c r="D864" s="9"/>
      <c r="E864" s="9"/>
      <c r="F864" s="17" t="str">
        <f aca="false">IF(AND(A864="",B864="",C864=""),"",IF(NOT(ISNUMBER(A864)),"Enter the date done",IF(SUMPRODUCT(('PM Plan'!$A$5:$A$304=B864)*('PM Plan'!$B$5:$B$304=C864))=0,"No matching asset + task in plan","OK")))</f>
        <v/>
      </c>
    </row>
    <row r="865" customFormat="false" ht="15" hidden="false" customHeight="false" outlineLevel="0" collapsed="false">
      <c r="A865" s="14"/>
      <c r="B865" s="9"/>
      <c r="C865" s="9"/>
      <c r="D865" s="9"/>
      <c r="E865" s="9"/>
      <c r="F865" s="17" t="str">
        <f aca="false">IF(AND(A865="",B865="",C865=""),"",IF(NOT(ISNUMBER(A865)),"Enter the date done",IF(SUMPRODUCT(('PM Plan'!$A$5:$A$304=B865)*('PM Plan'!$B$5:$B$304=C865))=0,"No matching asset + task in plan","OK")))</f>
        <v/>
      </c>
    </row>
    <row r="866" customFormat="false" ht="15" hidden="false" customHeight="false" outlineLevel="0" collapsed="false">
      <c r="A866" s="14"/>
      <c r="B866" s="9"/>
      <c r="C866" s="9"/>
      <c r="D866" s="9"/>
      <c r="E866" s="9"/>
      <c r="F866" s="17" t="str">
        <f aca="false">IF(AND(A866="",B866="",C866=""),"",IF(NOT(ISNUMBER(A866)),"Enter the date done",IF(SUMPRODUCT(('PM Plan'!$A$5:$A$304=B866)*('PM Plan'!$B$5:$B$304=C866))=0,"No matching asset + task in plan","OK")))</f>
        <v/>
      </c>
    </row>
    <row r="867" customFormat="false" ht="15" hidden="false" customHeight="false" outlineLevel="0" collapsed="false">
      <c r="A867" s="14"/>
      <c r="B867" s="9"/>
      <c r="C867" s="9"/>
      <c r="D867" s="9"/>
      <c r="E867" s="9"/>
      <c r="F867" s="17" t="str">
        <f aca="false">IF(AND(A867="",B867="",C867=""),"",IF(NOT(ISNUMBER(A867)),"Enter the date done",IF(SUMPRODUCT(('PM Plan'!$A$5:$A$304=B867)*('PM Plan'!$B$5:$B$304=C867))=0,"No matching asset + task in plan","OK")))</f>
        <v/>
      </c>
    </row>
    <row r="868" customFormat="false" ht="15" hidden="false" customHeight="false" outlineLevel="0" collapsed="false">
      <c r="A868" s="14"/>
      <c r="B868" s="9"/>
      <c r="C868" s="9"/>
      <c r="D868" s="9"/>
      <c r="E868" s="9"/>
      <c r="F868" s="17" t="str">
        <f aca="false">IF(AND(A868="",B868="",C868=""),"",IF(NOT(ISNUMBER(A868)),"Enter the date done",IF(SUMPRODUCT(('PM Plan'!$A$5:$A$304=B868)*('PM Plan'!$B$5:$B$304=C868))=0,"No matching asset + task in plan","OK")))</f>
        <v/>
      </c>
    </row>
    <row r="869" customFormat="false" ht="15" hidden="false" customHeight="false" outlineLevel="0" collapsed="false">
      <c r="A869" s="14"/>
      <c r="B869" s="9"/>
      <c r="C869" s="9"/>
      <c r="D869" s="9"/>
      <c r="E869" s="9"/>
      <c r="F869" s="17" t="str">
        <f aca="false">IF(AND(A869="",B869="",C869=""),"",IF(NOT(ISNUMBER(A869)),"Enter the date done",IF(SUMPRODUCT(('PM Plan'!$A$5:$A$304=B869)*('PM Plan'!$B$5:$B$304=C869))=0,"No matching asset + task in plan","OK")))</f>
        <v/>
      </c>
    </row>
    <row r="870" customFormat="false" ht="15" hidden="false" customHeight="false" outlineLevel="0" collapsed="false">
      <c r="A870" s="14"/>
      <c r="B870" s="9"/>
      <c r="C870" s="9"/>
      <c r="D870" s="9"/>
      <c r="E870" s="9"/>
      <c r="F870" s="17" t="str">
        <f aca="false">IF(AND(A870="",B870="",C870=""),"",IF(NOT(ISNUMBER(A870)),"Enter the date done",IF(SUMPRODUCT(('PM Plan'!$A$5:$A$304=B870)*('PM Plan'!$B$5:$B$304=C870))=0,"No matching asset + task in plan","OK")))</f>
        <v/>
      </c>
    </row>
    <row r="871" customFormat="false" ht="15" hidden="false" customHeight="false" outlineLevel="0" collapsed="false">
      <c r="A871" s="14"/>
      <c r="B871" s="9"/>
      <c r="C871" s="9"/>
      <c r="D871" s="9"/>
      <c r="E871" s="9"/>
      <c r="F871" s="17" t="str">
        <f aca="false">IF(AND(A871="",B871="",C871=""),"",IF(NOT(ISNUMBER(A871)),"Enter the date done",IF(SUMPRODUCT(('PM Plan'!$A$5:$A$304=B871)*('PM Plan'!$B$5:$B$304=C871))=0,"No matching asset + task in plan","OK")))</f>
        <v/>
      </c>
    </row>
    <row r="872" customFormat="false" ht="15" hidden="false" customHeight="false" outlineLevel="0" collapsed="false">
      <c r="A872" s="14"/>
      <c r="B872" s="9"/>
      <c r="C872" s="9"/>
      <c r="D872" s="9"/>
      <c r="E872" s="9"/>
      <c r="F872" s="17" t="str">
        <f aca="false">IF(AND(A872="",B872="",C872=""),"",IF(NOT(ISNUMBER(A872)),"Enter the date done",IF(SUMPRODUCT(('PM Plan'!$A$5:$A$304=B872)*('PM Plan'!$B$5:$B$304=C872))=0,"No matching asset + task in plan","OK")))</f>
        <v/>
      </c>
    </row>
    <row r="873" customFormat="false" ht="15" hidden="false" customHeight="false" outlineLevel="0" collapsed="false">
      <c r="A873" s="14"/>
      <c r="B873" s="9"/>
      <c r="C873" s="9"/>
      <c r="D873" s="9"/>
      <c r="E873" s="9"/>
      <c r="F873" s="17" t="str">
        <f aca="false">IF(AND(A873="",B873="",C873=""),"",IF(NOT(ISNUMBER(A873)),"Enter the date done",IF(SUMPRODUCT(('PM Plan'!$A$5:$A$304=B873)*('PM Plan'!$B$5:$B$304=C873))=0,"No matching asset + task in plan","OK")))</f>
        <v/>
      </c>
    </row>
    <row r="874" customFormat="false" ht="15" hidden="false" customHeight="false" outlineLevel="0" collapsed="false">
      <c r="A874" s="14"/>
      <c r="B874" s="9"/>
      <c r="C874" s="9"/>
      <c r="D874" s="9"/>
      <c r="E874" s="9"/>
      <c r="F874" s="17" t="str">
        <f aca="false">IF(AND(A874="",B874="",C874=""),"",IF(NOT(ISNUMBER(A874)),"Enter the date done",IF(SUMPRODUCT(('PM Plan'!$A$5:$A$304=B874)*('PM Plan'!$B$5:$B$304=C874))=0,"No matching asset + task in plan","OK")))</f>
        <v/>
      </c>
    </row>
    <row r="875" customFormat="false" ht="15" hidden="false" customHeight="false" outlineLevel="0" collapsed="false">
      <c r="A875" s="14"/>
      <c r="B875" s="9"/>
      <c r="C875" s="9"/>
      <c r="D875" s="9"/>
      <c r="E875" s="9"/>
      <c r="F875" s="17" t="str">
        <f aca="false">IF(AND(A875="",B875="",C875=""),"",IF(NOT(ISNUMBER(A875)),"Enter the date done",IF(SUMPRODUCT(('PM Plan'!$A$5:$A$304=B875)*('PM Plan'!$B$5:$B$304=C875))=0,"No matching asset + task in plan","OK")))</f>
        <v/>
      </c>
    </row>
    <row r="876" customFormat="false" ht="15" hidden="false" customHeight="false" outlineLevel="0" collapsed="false">
      <c r="A876" s="14"/>
      <c r="B876" s="9"/>
      <c r="C876" s="9"/>
      <c r="D876" s="9"/>
      <c r="E876" s="9"/>
      <c r="F876" s="17" t="str">
        <f aca="false">IF(AND(A876="",B876="",C876=""),"",IF(NOT(ISNUMBER(A876)),"Enter the date done",IF(SUMPRODUCT(('PM Plan'!$A$5:$A$304=B876)*('PM Plan'!$B$5:$B$304=C876))=0,"No matching asset + task in plan","OK")))</f>
        <v/>
      </c>
    </row>
    <row r="877" customFormat="false" ht="15" hidden="false" customHeight="false" outlineLevel="0" collapsed="false">
      <c r="A877" s="14"/>
      <c r="B877" s="9"/>
      <c r="C877" s="9"/>
      <c r="D877" s="9"/>
      <c r="E877" s="9"/>
      <c r="F877" s="17" t="str">
        <f aca="false">IF(AND(A877="",B877="",C877=""),"",IF(NOT(ISNUMBER(A877)),"Enter the date done",IF(SUMPRODUCT(('PM Plan'!$A$5:$A$304=B877)*('PM Plan'!$B$5:$B$304=C877))=0,"No matching asset + task in plan","OK")))</f>
        <v/>
      </c>
    </row>
    <row r="878" customFormat="false" ht="15" hidden="false" customHeight="false" outlineLevel="0" collapsed="false">
      <c r="A878" s="14"/>
      <c r="B878" s="9"/>
      <c r="C878" s="9"/>
      <c r="D878" s="9"/>
      <c r="E878" s="9"/>
      <c r="F878" s="17" t="str">
        <f aca="false">IF(AND(A878="",B878="",C878=""),"",IF(NOT(ISNUMBER(A878)),"Enter the date done",IF(SUMPRODUCT(('PM Plan'!$A$5:$A$304=B878)*('PM Plan'!$B$5:$B$304=C878))=0,"No matching asset + task in plan","OK")))</f>
        <v/>
      </c>
    </row>
    <row r="879" customFormat="false" ht="15" hidden="false" customHeight="false" outlineLevel="0" collapsed="false">
      <c r="A879" s="14"/>
      <c r="B879" s="9"/>
      <c r="C879" s="9"/>
      <c r="D879" s="9"/>
      <c r="E879" s="9"/>
      <c r="F879" s="17" t="str">
        <f aca="false">IF(AND(A879="",B879="",C879=""),"",IF(NOT(ISNUMBER(A879)),"Enter the date done",IF(SUMPRODUCT(('PM Plan'!$A$5:$A$304=B879)*('PM Plan'!$B$5:$B$304=C879))=0,"No matching asset + task in plan","OK")))</f>
        <v/>
      </c>
    </row>
    <row r="880" customFormat="false" ht="15" hidden="false" customHeight="false" outlineLevel="0" collapsed="false">
      <c r="A880" s="14"/>
      <c r="B880" s="9"/>
      <c r="C880" s="9"/>
      <c r="D880" s="9"/>
      <c r="E880" s="9"/>
      <c r="F880" s="17" t="str">
        <f aca="false">IF(AND(A880="",B880="",C880=""),"",IF(NOT(ISNUMBER(A880)),"Enter the date done",IF(SUMPRODUCT(('PM Plan'!$A$5:$A$304=B880)*('PM Plan'!$B$5:$B$304=C880))=0,"No matching asset + task in plan","OK")))</f>
        <v/>
      </c>
    </row>
    <row r="881" customFormat="false" ht="15" hidden="false" customHeight="false" outlineLevel="0" collapsed="false">
      <c r="A881" s="14"/>
      <c r="B881" s="9"/>
      <c r="C881" s="9"/>
      <c r="D881" s="9"/>
      <c r="E881" s="9"/>
      <c r="F881" s="17" t="str">
        <f aca="false">IF(AND(A881="",B881="",C881=""),"",IF(NOT(ISNUMBER(A881)),"Enter the date done",IF(SUMPRODUCT(('PM Plan'!$A$5:$A$304=B881)*('PM Plan'!$B$5:$B$304=C881))=0,"No matching asset + task in plan","OK")))</f>
        <v/>
      </c>
    </row>
    <row r="882" customFormat="false" ht="15" hidden="false" customHeight="false" outlineLevel="0" collapsed="false">
      <c r="A882" s="14"/>
      <c r="B882" s="9"/>
      <c r="C882" s="9"/>
      <c r="D882" s="9"/>
      <c r="E882" s="9"/>
      <c r="F882" s="17" t="str">
        <f aca="false">IF(AND(A882="",B882="",C882=""),"",IF(NOT(ISNUMBER(A882)),"Enter the date done",IF(SUMPRODUCT(('PM Plan'!$A$5:$A$304=B882)*('PM Plan'!$B$5:$B$304=C882))=0,"No matching asset + task in plan","OK")))</f>
        <v/>
      </c>
    </row>
    <row r="883" customFormat="false" ht="15" hidden="false" customHeight="false" outlineLevel="0" collapsed="false">
      <c r="A883" s="14"/>
      <c r="B883" s="9"/>
      <c r="C883" s="9"/>
      <c r="D883" s="9"/>
      <c r="E883" s="9"/>
      <c r="F883" s="17" t="str">
        <f aca="false">IF(AND(A883="",B883="",C883=""),"",IF(NOT(ISNUMBER(A883)),"Enter the date done",IF(SUMPRODUCT(('PM Plan'!$A$5:$A$304=B883)*('PM Plan'!$B$5:$B$304=C883))=0,"No matching asset + task in plan","OK")))</f>
        <v/>
      </c>
    </row>
    <row r="884" customFormat="false" ht="15" hidden="false" customHeight="false" outlineLevel="0" collapsed="false">
      <c r="A884" s="14"/>
      <c r="B884" s="9"/>
      <c r="C884" s="9"/>
      <c r="D884" s="9"/>
      <c r="E884" s="9"/>
      <c r="F884" s="17" t="str">
        <f aca="false">IF(AND(A884="",B884="",C884=""),"",IF(NOT(ISNUMBER(A884)),"Enter the date done",IF(SUMPRODUCT(('PM Plan'!$A$5:$A$304=B884)*('PM Plan'!$B$5:$B$304=C884))=0,"No matching asset + task in plan","OK")))</f>
        <v/>
      </c>
    </row>
    <row r="885" customFormat="false" ht="15" hidden="false" customHeight="false" outlineLevel="0" collapsed="false">
      <c r="A885" s="14"/>
      <c r="B885" s="9"/>
      <c r="C885" s="9"/>
      <c r="D885" s="9"/>
      <c r="E885" s="9"/>
      <c r="F885" s="17" t="str">
        <f aca="false">IF(AND(A885="",B885="",C885=""),"",IF(NOT(ISNUMBER(A885)),"Enter the date done",IF(SUMPRODUCT(('PM Plan'!$A$5:$A$304=B885)*('PM Plan'!$B$5:$B$304=C885))=0,"No matching asset + task in plan","OK")))</f>
        <v/>
      </c>
    </row>
    <row r="886" customFormat="false" ht="15" hidden="false" customHeight="false" outlineLevel="0" collapsed="false">
      <c r="A886" s="14"/>
      <c r="B886" s="9"/>
      <c r="C886" s="9"/>
      <c r="D886" s="9"/>
      <c r="E886" s="9"/>
      <c r="F886" s="17" t="str">
        <f aca="false">IF(AND(A886="",B886="",C886=""),"",IF(NOT(ISNUMBER(A886)),"Enter the date done",IF(SUMPRODUCT(('PM Plan'!$A$5:$A$304=B886)*('PM Plan'!$B$5:$B$304=C886))=0,"No matching asset + task in plan","OK")))</f>
        <v/>
      </c>
    </row>
    <row r="887" customFormat="false" ht="15" hidden="false" customHeight="false" outlineLevel="0" collapsed="false">
      <c r="A887" s="14"/>
      <c r="B887" s="9"/>
      <c r="C887" s="9"/>
      <c r="D887" s="9"/>
      <c r="E887" s="9"/>
      <c r="F887" s="17" t="str">
        <f aca="false">IF(AND(A887="",B887="",C887=""),"",IF(NOT(ISNUMBER(A887)),"Enter the date done",IF(SUMPRODUCT(('PM Plan'!$A$5:$A$304=B887)*('PM Plan'!$B$5:$B$304=C887))=0,"No matching asset + task in plan","OK")))</f>
        <v/>
      </c>
    </row>
    <row r="888" customFormat="false" ht="15" hidden="false" customHeight="false" outlineLevel="0" collapsed="false">
      <c r="A888" s="14"/>
      <c r="B888" s="9"/>
      <c r="C888" s="9"/>
      <c r="D888" s="9"/>
      <c r="E888" s="9"/>
      <c r="F888" s="17" t="str">
        <f aca="false">IF(AND(A888="",B888="",C888=""),"",IF(NOT(ISNUMBER(A888)),"Enter the date done",IF(SUMPRODUCT(('PM Plan'!$A$5:$A$304=B888)*('PM Plan'!$B$5:$B$304=C888))=0,"No matching asset + task in plan","OK")))</f>
        <v/>
      </c>
    </row>
    <row r="889" customFormat="false" ht="15" hidden="false" customHeight="false" outlineLevel="0" collapsed="false">
      <c r="A889" s="14"/>
      <c r="B889" s="9"/>
      <c r="C889" s="9"/>
      <c r="D889" s="9"/>
      <c r="E889" s="9"/>
      <c r="F889" s="17" t="str">
        <f aca="false">IF(AND(A889="",B889="",C889=""),"",IF(NOT(ISNUMBER(A889)),"Enter the date done",IF(SUMPRODUCT(('PM Plan'!$A$5:$A$304=B889)*('PM Plan'!$B$5:$B$304=C889))=0,"No matching asset + task in plan","OK")))</f>
        <v/>
      </c>
    </row>
    <row r="890" customFormat="false" ht="15" hidden="false" customHeight="false" outlineLevel="0" collapsed="false">
      <c r="A890" s="14"/>
      <c r="B890" s="9"/>
      <c r="C890" s="9"/>
      <c r="D890" s="9"/>
      <c r="E890" s="9"/>
      <c r="F890" s="17" t="str">
        <f aca="false">IF(AND(A890="",B890="",C890=""),"",IF(NOT(ISNUMBER(A890)),"Enter the date done",IF(SUMPRODUCT(('PM Plan'!$A$5:$A$304=B890)*('PM Plan'!$B$5:$B$304=C890))=0,"No matching asset + task in plan","OK")))</f>
        <v/>
      </c>
    </row>
    <row r="891" customFormat="false" ht="15" hidden="false" customHeight="false" outlineLevel="0" collapsed="false">
      <c r="A891" s="14"/>
      <c r="B891" s="9"/>
      <c r="C891" s="9"/>
      <c r="D891" s="9"/>
      <c r="E891" s="9"/>
      <c r="F891" s="17" t="str">
        <f aca="false">IF(AND(A891="",B891="",C891=""),"",IF(NOT(ISNUMBER(A891)),"Enter the date done",IF(SUMPRODUCT(('PM Plan'!$A$5:$A$304=B891)*('PM Plan'!$B$5:$B$304=C891))=0,"No matching asset + task in plan","OK")))</f>
        <v/>
      </c>
    </row>
    <row r="892" customFormat="false" ht="15" hidden="false" customHeight="false" outlineLevel="0" collapsed="false">
      <c r="A892" s="14"/>
      <c r="B892" s="9"/>
      <c r="C892" s="9"/>
      <c r="D892" s="9"/>
      <c r="E892" s="9"/>
      <c r="F892" s="17" t="str">
        <f aca="false">IF(AND(A892="",B892="",C892=""),"",IF(NOT(ISNUMBER(A892)),"Enter the date done",IF(SUMPRODUCT(('PM Plan'!$A$5:$A$304=B892)*('PM Plan'!$B$5:$B$304=C892))=0,"No matching asset + task in plan","OK")))</f>
        <v/>
      </c>
    </row>
    <row r="893" customFormat="false" ht="15" hidden="false" customHeight="false" outlineLevel="0" collapsed="false">
      <c r="A893" s="14"/>
      <c r="B893" s="9"/>
      <c r="C893" s="9"/>
      <c r="D893" s="9"/>
      <c r="E893" s="9"/>
      <c r="F893" s="17" t="str">
        <f aca="false">IF(AND(A893="",B893="",C893=""),"",IF(NOT(ISNUMBER(A893)),"Enter the date done",IF(SUMPRODUCT(('PM Plan'!$A$5:$A$304=B893)*('PM Plan'!$B$5:$B$304=C893))=0,"No matching asset + task in plan","OK")))</f>
        <v/>
      </c>
    </row>
    <row r="894" customFormat="false" ht="15" hidden="false" customHeight="false" outlineLevel="0" collapsed="false">
      <c r="A894" s="14"/>
      <c r="B894" s="9"/>
      <c r="C894" s="9"/>
      <c r="D894" s="9"/>
      <c r="E894" s="9"/>
      <c r="F894" s="17" t="str">
        <f aca="false">IF(AND(A894="",B894="",C894=""),"",IF(NOT(ISNUMBER(A894)),"Enter the date done",IF(SUMPRODUCT(('PM Plan'!$A$5:$A$304=B894)*('PM Plan'!$B$5:$B$304=C894))=0,"No matching asset + task in plan","OK")))</f>
        <v/>
      </c>
    </row>
    <row r="895" customFormat="false" ht="15" hidden="false" customHeight="false" outlineLevel="0" collapsed="false">
      <c r="A895" s="14"/>
      <c r="B895" s="9"/>
      <c r="C895" s="9"/>
      <c r="D895" s="9"/>
      <c r="E895" s="9"/>
      <c r="F895" s="17" t="str">
        <f aca="false">IF(AND(A895="",B895="",C895=""),"",IF(NOT(ISNUMBER(A895)),"Enter the date done",IF(SUMPRODUCT(('PM Plan'!$A$5:$A$304=B895)*('PM Plan'!$B$5:$B$304=C895))=0,"No matching asset + task in plan","OK")))</f>
        <v/>
      </c>
    </row>
    <row r="896" customFormat="false" ht="15" hidden="false" customHeight="false" outlineLevel="0" collapsed="false">
      <c r="A896" s="14"/>
      <c r="B896" s="9"/>
      <c r="C896" s="9"/>
      <c r="D896" s="9"/>
      <c r="E896" s="9"/>
      <c r="F896" s="17" t="str">
        <f aca="false">IF(AND(A896="",B896="",C896=""),"",IF(NOT(ISNUMBER(A896)),"Enter the date done",IF(SUMPRODUCT(('PM Plan'!$A$5:$A$304=B896)*('PM Plan'!$B$5:$B$304=C896))=0,"No matching asset + task in plan","OK")))</f>
        <v/>
      </c>
    </row>
    <row r="897" customFormat="false" ht="15" hidden="false" customHeight="false" outlineLevel="0" collapsed="false">
      <c r="A897" s="14"/>
      <c r="B897" s="9"/>
      <c r="C897" s="9"/>
      <c r="D897" s="9"/>
      <c r="E897" s="9"/>
      <c r="F897" s="17" t="str">
        <f aca="false">IF(AND(A897="",B897="",C897=""),"",IF(NOT(ISNUMBER(A897)),"Enter the date done",IF(SUMPRODUCT(('PM Plan'!$A$5:$A$304=B897)*('PM Plan'!$B$5:$B$304=C897))=0,"No matching asset + task in plan","OK")))</f>
        <v/>
      </c>
    </row>
    <row r="898" customFormat="false" ht="15" hidden="false" customHeight="false" outlineLevel="0" collapsed="false">
      <c r="A898" s="14"/>
      <c r="B898" s="9"/>
      <c r="C898" s="9"/>
      <c r="D898" s="9"/>
      <c r="E898" s="9"/>
      <c r="F898" s="17" t="str">
        <f aca="false">IF(AND(A898="",B898="",C898=""),"",IF(NOT(ISNUMBER(A898)),"Enter the date done",IF(SUMPRODUCT(('PM Plan'!$A$5:$A$304=B898)*('PM Plan'!$B$5:$B$304=C898))=0,"No matching asset + task in plan","OK")))</f>
        <v/>
      </c>
    </row>
    <row r="899" customFormat="false" ht="15" hidden="false" customHeight="false" outlineLevel="0" collapsed="false">
      <c r="A899" s="14"/>
      <c r="B899" s="9"/>
      <c r="C899" s="9"/>
      <c r="D899" s="9"/>
      <c r="E899" s="9"/>
      <c r="F899" s="17" t="str">
        <f aca="false">IF(AND(A899="",B899="",C899=""),"",IF(NOT(ISNUMBER(A899)),"Enter the date done",IF(SUMPRODUCT(('PM Plan'!$A$5:$A$304=B899)*('PM Plan'!$B$5:$B$304=C899))=0,"No matching asset + task in plan","OK")))</f>
        <v/>
      </c>
    </row>
    <row r="900" customFormat="false" ht="15" hidden="false" customHeight="false" outlineLevel="0" collapsed="false">
      <c r="A900" s="14"/>
      <c r="B900" s="9"/>
      <c r="C900" s="9"/>
      <c r="D900" s="9"/>
      <c r="E900" s="9"/>
      <c r="F900" s="17" t="str">
        <f aca="false">IF(AND(A900="",B900="",C900=""),"",IF(NOT(ISNUMBER(A900)),"Enter the date done",IF(SUMPRODUCT(('PM Plan'!$A$5:$A$304=B900)*('PM Plan'!$B$5:$B$304=C900))=0,"No matching asset + task in plan","OK")))</f>
        <v/>
      </c>
    </row>
    <row r="901" customFormat="false" ht="15" hidden="false" customHeight="false" outlineLevel="0" collapsed="false">
      <c r="A901" s="14"/>
      <c r="B901" s="9"/>
      <c r="C901" s="9"/>
      <c r="D901" s="9"/>
      <c r="E901" s="9"/>
      <c r="F901" s="17" t="str">
        <f aca="false">IF(AND(A901="",B901="",C901=""),"",IF(NOT(ISNUMBER(A901)),"Enter the date done",IF(SUMPRODUCT(('PM Plan'!$A$5:$A$304=B901)*('PM Plan'!$B$5:$B$304=C901))=0,"No matching asset + task in plan","OK")))</f>
        <v/>
      </c>
    </row>
    <row r="902" customFormat="false" ht="15" hidden="false" customHeight="false" outlineLevel="0" collapsed="false">
      <c r="A902" s="14"/>
      <c r="B902" s="9"/>
      <c r="C902" s="9"/>
      <c r="D902" s="9"/>
      <c r="E902" s="9"/>
      <c r="F902" s="17" t="str">
        <f aca="false">IF(AND(A902="",B902="",C902=""),"",IF(NOT(ISNUMBER(A902)),"Enter the date done",IF(SUMPRODUCT(('PM Plan'!$A$5:$A$304=B902)*('PM Plan'!$B$5:$B$304=C902))=0,"No matching asset + task in plan","OK")))</f>
        <v/>
      </c>
    </row>
    <row r="903" customFormat="false" ht="15" hidden="false" customHeight="false" outlineLevel="0" collapsed="false">
      <c r="A903" s="14"/>
      <c r="B903" s="9"/>
      <c r="C903" s="9"/>
      <c r="D903" s="9"/>
      <c r="E903" s="9"/>
      <c r="F903" s="17" t="str">
        <f aca="false">IF(AND(A903="",B903="",C903=""),"",IF(NOT(ISNUMBER(A903)),"Enter the date done",IF(SUMPRODUCT(('PM Plan'!$A$5:$A$304=B903)*('PM Plan'!$B$5:$B$304=C903))=0,"No matching asset + task in plan","OK")))</f>
        <v/>
      </c>
    </row>
    <row r="904" customFormat="false" ht="15" hidden="false" customHeight="false" outlineLevel="0" collapsed="false">
      <c r="A904" s="14"/>
      <c r="B904" s="9"/>
      <c r="C904" s="9"/>
      <c r="D904" s="9"/>
      <c r="E904" s="9"/>
      <c r="F904" s="17" t="str">
        <f aca="false">IF(AND(A904="",B904="",C904=""),"",IF(NOT(ISNUMBER(A904)),"Enter the date done",IF(SUMPRODUCT(('PM Plan'!$A$5:$A$304=B904)*('PM Plan'!$B$5:$B$304=C904))=0,"No matching asset + task in plan","OK")))</f>
        <v/>
      </c>
    </row>
    <row r="905" customFormat="false" ht="15" hidden="false" customHeight="false" outlineLevel="0" collapsed="false">
      <c r="A905" s="14"/>
      <c r="B905" s="9"/>
      <c r="C905" s="9"/>
      <c r="D905" s="9"/>
      <c r="E905" s="9"/>
      <c r="F905" s="17" t="str">
        <f aca="false">IF(AND(A905="",B905="",C905=""),"",IF(NOT(ISNUMBER(A905)),"Enter the date done",IF(SUMPRODUCT(('PM Plan'!$A$5:$A$304=B905)*('PM Plan'!$B$5:$B$304=C905))=0,"No matching asset + task in plan","OK")))</f>
        <v/>
      </c>
    </row>
    <row r="906" customFormat="false" ht="15" hidden="false" customHeight="false" outlineLevel="0" collapsed="false">
      <c r="A906" s="14"/>
      <c r="B906" s="9"/>
      <c r="C906" s="9"/>
      <c r="D906" s="9"/>
      <c r="E906" s="9"/>
      <c r="F906" s="17" t="str">
        <f aca="false">IF(AND(A906="",B906="",C906=""),"",IF(NOT(ISNUMBER(A906)),"Enter the date done",IF(SUMPRODUCT(('PM Plan'!$A$5:$A$304=B906)*('PM Plan'!$B$5:$B$304=C906))=0,"No matching asset + task in plan","OK")))</f>
        <v/>
      </c>
    </row>
    <row r="907" customFormat="false" ht="15" hidden="false" customHeight="false" outlineLevel="0" collapsed="false">
      <c r="A907" s="14"/>
      <c r="B907" s="9"/>
      <c r="C907" s="9"/>
      <c r="D907" s="9"/>
      <c r="E907" s="9"/>
      <c r="F907" s="17" t="str">
        <f aca="false">IF(AND(A907="",B907="",C907=""),"",IF(NOT(ISNUMBER(A907)),"Enter the date done",IF(SUMPRODUCT(('PM Plan'!$A$5:$A$304=B907)*('PM Plan'!$B$5:$B$304=C907))=0,"No matching asset + task in plan","OK")))</f>
        <v/>
      </c>
    </row>
    <row r="908" customFormat="false" ht="15" hidden="false" customHeight="false" outlineLevel="0" collapsed="false">
      <c r="A908" s="14"/>
      <c r="B908" s="9"/>
      <c r="C908" s="9"/>
      <c r="D908" s="9"/>
      <c r="E908" s="9"/>
      <c r="F908" s="17" t="str">
        <f aca="false">IF(AND(A908="",B908="",C908=""),"",IF(NOT(ISNUMBER(A908)),"Enter the date done",IF(SUMPRODUCT(('PM Plan'!$A$5:$A$304=B908)*('PM Plan'!$B$5:$B$304=C908))=0,"No matching asset + task in plan","OK")))</f>
        <v/>
      </c>
    </row>
    <row r="909" customFormat="false" ht="15" hidden="false" customHeight="false" outlineLevel="0" collapsed="false">
      <c r="A909" s="14"/>
      <c r="B909" s="9"/>
      <c r="C909" s="9"/>
      <c r="D909" s="9"/>
      <c r="E909" s="9"/>
      <c r="F909" s="17" t="str">
        <f aca="false">IF(AND(A909="",B909="",C909=""),"",IF(NOT(ISNUMBER(A909)),"Enter the date done",IF(SUMPRODUCT(('PM Plan'!$A$5:$A$304=B909)*('PM Plan'!$B$5:$B$304=C909))=0,"No matching asset + task in plan","OK")))</f>
        <v/>
      </c>
    </row>
    <row r="910" customFormat="false" ht="15" hidden="false" customHeight="false" outlineLevel="0" collapsed="false">
      <c r="A910" s="14"/>
      <c r="B910" s="9"/>
      <c r="C910" s="9"/>
      <c r="D910" s="9"/>
      <c r="E910" s="9"/>
      <c r="F910" s="17" t="str">
        <f aca="false">IF(AND(A910="",B910="",C910=""),"",IF(NOT(ISNUMBER(A910)),"Enter the date done",IF(SUMPRODUCT(('PM Plan'!$A$5:$A$304=B910)*('PM Plan'!$B$5:$B$304=C910))=0,"No matching asset + task in plan","OK")))</f>
        <v/>
      </c>
    </row>
    <row r="911" customFormat="false" ht="15" hidden="false" customHeight="false" outlineLevel="0" collapsed="false">
      <c r="A911" s="14"/>
      <c r="B911" s="9"/>
      <c r="C911" s="9"/>
      <c r="D911" s="9"/>
      <c r="E911" s="9"/>
      <c r="F911" s="17" t="str">
        <f aca="false">IF(AND(A911="",B911="",C911=""),"",IF(NOT(ISNUMBER(A911)),"Enter the date done",IF(SUMPRODUCT(('PM Plan'!$A$5:$A$304=B911)*('PM Plan'!$B$5:$B$304=C911))=0,"No matching asset + task in plan","OK")))</f>
        <v/>
      </c>
    </row>
    <row r="912" customFormat="false" ht="15" hidden="false" customHeight="false" outlineLevel="0" collapsed="false">
      <c r="A912" s="14"/>
      <c r="B912" s="9"/>
      <c r="C912" s="9"/>
      <c r="D912" s="9"/>
      <c r="E912" s="9"/>
      <c r="F912" s="17" t="str">
        <f aca="false">IF(AND(A912="",B912="",C912=""),"",IF(NOT(ISNUMBER(A912)),"Enter the date done",IF(SUMPRODUCT(('PM Plan'!$A$5:$A$304=B912)*('PM Plan'!$B$5:$B$304=C912))=0,"No matching asset + task in plan","OK")))</f>
        <v/>
      </c>
    </row>
    <row r="913" customFormat="false" ht="15" hidden="false" customHeight="false" outlineLevel="0" collapsed="false">
      <c r="A913" s="14"/>
      <c r="B913" s="9"/>
      <c r="C913" s="9"/>
      <c r="D913" s="9"/>
      <c r="E913" s="9"/>
      <c r="F913" s="17" t="str">
        <f aca="false">IF(AND(A913="",B913="",C913=""),"",IF(NOT(ISNUMBER(A913)),"Enter the date done",IF(SUMPRODUCT(('PM Plan'!$A$5:$A$304=B913)*('PM Plan'!$B$5:$B$304=C913))=0,"No matching asset + task in plan","OK")))</f>
        <v/>
      </c>
    </row>
    <row r="914" customFormat="false" ht="15" hidden="false" customHeight="false" outlineLevel="0" collapsed="false">
      <c r="A914" s="14"/>
      <c r="B914" s="9"/>
      <c r="C914" s="9"/>
      <c r="D914" s="9"/>
      <c r="E914" s="9"/>
      <c r="F914" s="17" t="str">
        <f aca="false">IF(AND(A914="",B914="",C914=""),"",IF(NOT(ISNUMBER(A914)),"Enter the date done",IF(SUMPRODUCT(('PM Plan'!$A$5:$A$304=B914)*('PM Plan'!$B$5:$B$304=C914))=0,"No matching asset + task in plan","OK")))</f>
        <v/>
      </c>
    </row>
    <row r="915" customFormat="false" ht="15" hidden="false" customHeight="false" outlineLevel="0" collapsed="false">
      <c r="A915" s="14"/>
      <c r="B915" s="9"/>
      <c r="C915" s="9"/>
      <c r="D915" s="9"/>
      <c r="E915" s="9"/>
      <c r="F915" s="17" t="str">
        <f aca="false">IF(AND(A915="",B915="",C915=""),"",IF(NOT(ISNUMBER(A915)),"Enter the date done",IF(SUMPRODUCT(('PM Plan'!$A$5:$A$304=B915)*('PM Plan'!$B$5:$B$304=C915))=0,"No matching asset + task in plan","OK")))</f>
        <v/>
      </c>
    </row>
    <row r="916" customFormat="false" ht="15" hidden="false" customHeight="false" outlineLevel="0" collapsed="false">
      <c r="A916" s="14"/>
      <c r="B916" s="9"/>
      <c r="C916" s="9"/>
      <c r="D916" s="9"/>
      <c r="E916" s="9"/>
      <c r="F916" s="17" t="str">
        <f aca="false">IF(AND(A916="",B916="",C916=""),"",IF(NOT(ISNUMBER(A916)),"Enter the date done",IF(SUMPRODUCT(('PM Plan'!$A$5:$A$304=B916)*('PM Plan'!$B$5:$B$304=C916))=0,"No matching asset + task in plan","OK")))</f>
        <v/>
      </c>
    </row>
    <row r="917" customFormat="false" ht="15" hidden="false" customHeight="false" outlineLevel="0" collapsed="false">
      <c r="A917" s="14"/>
      <c r="B917" s="9"/>
      <c r="C917" s="9"/>
      <c r="D917" s="9"/>
      <c r="E917" s="9"/>
      <c r="F917" s="17" t="str">
        <f aca="false">IF(AND(A917="",B917="",C917=""),"",IF(NOT(ISNUMBER(A917)),"Enter the date done",IF(SUMPRODUCT(('PM Plan'!$A$5:$A$304=B917)*('PM Plan'!$B$5:$B$304=C917))=0,"No matching asset + task in plan","OK")))</f>
        <v/>
      </c>
    </row>
    <row r="918" customFormat="false" ht="15" hidden="false" customHeight="false" outlineLevel="0" collapsed="false">
      <c r="A918" s="14"/>
      <c r="B918" s="9"/>
      <c r="C918" s="9"/>
      <c r="D918" s="9"/>
      <c r="E918" s="9"/>
      <c r="F918" s="17" t="str">
        <f aca="false">IF(AND(A918="",B918="",C918=""),"",IF(NOT(ISNUMBER(A918)),"Enter the date done",IF(SUMPRODUCT(('PM Plan'!$A$5:$A$304=B918)*('PM Plan'!$B$5:$B$304=C918))=0,"No matching asset + task in plan","OK")))</f>
        <v/>
      </c>
    </row>
    <row r="919" customFormat="false" ht="15" hidden="false" customHeight="false" outlineLevel="0" collapsed="false">
      <c r="A919" s="14"/>
      <c r="B919" s="9"/>
      <c r="C919" s="9"/>
      <c r="D919" s="9"/>
      <c r="E919" s="9"/>
      <c r="F919" s="17" t="str">
        <f aca="false">IF(AND(A919="",B919="",C919=""),"",IF(NOT(ISNUMBER(A919)),"Enter the date done",IF(SUMPRODUCT(('PM Plan'!$A$5:$A$304=B919)*('PM Plan'!$B$5:$B$304=C919))=0,"No matching asset + task in plan","OK")))</f>
        <v/>
      </c>
    </row>
    <row r="920" customFormat="false" ht="15" hidden="false" customHeight="false" outlineLevel="0" collapsed="false">
      <c r="A920" s="14"/>
      <c r="B920" s="9"/>
      <c r="C920" s="9"/>
      <c r="D920" s="9"/>
      <c r="E920" s="9"/>
      <c r="F920" s="17" t="str">
        <f aca="false">IF(AND(A920="",B920="",C920=""),"",IF(NOT(ISNUMBER(A920)),"Enter the date done",IF(SUMPRODUCT(('PM Plan'!$A$5:$A$304=B920)*('PM Plan'!$B$5:$B$304=C920))=0,"No matching asset + task in plan","OK")))</f>
        <v/>
      </c>
    </row>
    <row r="921" customFormat="false" ht="15" hidden="false" customHeight="false" outlineLevel="0" collapsed="false">
      <c r="A921" s="14"/>
      <c r="B921" s="9"/>
      <c r="C921" s="9"/>
      <c r="D921" s="9"/>
      <c r="E921" s="9"/>
      <c r="F921" s="17" t="str">
        <f aca="false">IF(AND(A921="",B921="",C921=""),"",IF(NOT(ISNUMBER(A921)),"Enter the date done",IF(SUMPRODUCT(('PM Plan'!$A$5:$A$304=B921)*('PM Plan'!$B$5:$B$304=C921))=0,"No matching asset + task in plan","OK")))</f>
        <v/>
      </c>
    </row>
    <row r="922" customFormat="false" ht="15" hidden="false" customHeight="false" outlineLevel="0" collapsed="false">
      <c r="A922" s="14"/>
      <c r="B922" s="9"/>
      <c r="C922" s="9"/>
      <c r="D922" s="9"/>
      <c r="E922" s="9"/>
      <c r="F922" s="17" t="str">
        <f aca="false">IF(AND(A922="",B922="",C922=""),"",IF(NOT(ISNUMBER(A922)),"Enter the date done",IF(SUMPRODUCT(('PM Plan'!$A$5:$A$304=B922)*('PM Plan'!$B$5:$B$304=C922))=0,"No matching asset + task in plan","OK")))</f>
        <v/>
      </c>
    </row>
    <row r="923" customFormat="false" ht="15" hidden="false" customHeight="false" outlineLevel="0" collapsed="false">
      <c r="A923" s="14"/>
      <c r="B923" s="9"/>
      <c r="C923" s="9"/>
      <c r="D923" s="9"/>
      <c r="E923" s="9"/>
      <c r="F923" s="17" t="str">
        <f aca="false">IF(AND(A923="",B923="",C923=""),"",IF(NOT(ISNUMBER(A923)),"Enter the date done",IF(SUMPRODUCT(('PM Plan'!$A$5:$A$304=B923)*('PM Plan'!$B$5:$B$304=C923))=0,"No matching asset + task in plan","OK")))</f>
        <v/>
      </c>
    </row>
    <row r="924" customFormat="false" ht="15" hidden="false" customHeight="false" outlineLevel="0" collapsed="false">
      <c r="A924" s="14"/>
      <c r="B924" s="9"/>
      <c r="C924" s="9"/>
      <c r="D924" s="9"/>
      <c r="E924" s="9"/>
      <c r="F924" s="17" t="str">
        <f aca="false">IF(AND(A924="",B924="",C924=""),"",IF(NOT(ISNUMBER(A924)),"Enter the date done",IF(SUMPRODUCT(('PM Plan'!$A$5:$A$304=B924)*('PM Plan'!$B$5:$B$304=C924))=0,"No matching asset + task in plan","OK")))</f>
        <v/>
      </c>
    </row>
    <row r="925" customFormat="false" ht="15" hidden="false" customHeight="false" outlineLevel="0" collapsed="false">
      <c r="A925" s="14"/>
      <c r="B925" s="9"/>
      <c r="C925" s="9"/>
      <c r="D925" s="9"/>
      <c r="E925" s="9"/>
      <c r="F925" s="17" t="str">
        <f aca="false">IF(AND(A925="",B925="",C925=""),"",IF(NOT(ISNUMBER(A925)),"Enter the date done",IF(SUMPRODUCT(('PM Plan'!$A$5:$A$304=B925)*('PM Plan'!$B$5:$B$304=C925))=0,"No matching asset + task in plan","OK")))</f>
        <v/>
      </c>
    </row>
    <row r="926" customFormat="false" ht="15" hidden="false" customHeight="false" outlineLevel="0" collapsed="false">
      <c r="A926" s="14"/>
      <c r="B926" s="9"/>
      <c r="C926" s="9"/>
      <c r="D926" s="9"/>
      <c r="E926" s="9"/>
      <c r="F926" s="17" t="str">
        <f aca="false">IF(AND(A926="",B926="",C926=""),"",IF(NOT(ISNUMBER(A926)),"Enter the date done",IF(SUMPRODUCT(('PM Plan'!$A$5:$A$304=B926)*('PM Plan'!$B$5:$B$304=C926))=0,"No matching asset + task in plan","OK")))</f>
        <v/>
      </c>
    </row>
    <row r="927" customFormat="false" ht="15" hidden="false" customHeight="false" outlineLevel="0" collapsed="false">
      <c r="A927" s="14"/>
      <c r="B927" s="9"/>
      <c r="C927" s="9"/>
      <c r="D927" s="9"/>
      <c r="E927" s="9"/>
      <c r="F927" s="17" t="str">
        <f aca="false">IF(AND(A927="",B927="",C927=""),"",IF(NOT(ISNUMBER(A927)),"Enter the date done",IF(SUMPRODUCT(('PM Plan'!$A$5:$A$304=B927)*('PM Plan'!$B$5:$B$304=C927))=0,"No matching asset + task in plan","OK")))</f>
        <v/>
      </c>
    </row>
    <row r="928" customFormat="false" ht="15" hidden="false" customHeight="false" outlineLevel="0" collapsed="false">
      <c r="A928" s="14"/>
      <c r="B928" s="9"/>
      <c r="C928" s="9"/>
      <c r="D928" s="9"/>
      <c r="E928" s="9"/>
      <c r="F928" s="17" t="str">
        <f aca="false">IF(AND(A928="",B928="",C928=""),"",IF(NOT(ISNUMBER(A928)),"Enter the date done",IF(SUMPRODUCT(('PM Plan'!$A$5:$A$304=B928)*('PM Plan'!$B$5:$B$304=C928))=0,"No matching asset + task in plan","OK")))</f>
        <v/>
      </c>
    </row>
    <row r="929" customFormat="false" ht="15" hidden="false" customHeight="false" outlineLevel="0" collapsed="false">
      <c r="A929" s="14"/>
      <c r="B929" s="9"/>
      <c r="C929" s="9"/>
      <c r="D929" s="9"/>
      <c r="E929" s="9"/>
      <c r="F929" s="17" t="str">
        <f aca="false">IF(AND(A929="",B929="",C929=""),"",IF(NOT(ISNUMBER(A929)),"Enter the date done",IF(SUMPRODUCT(('PM Plan'!$A$5:$A$304=B929)*('PM Plan'!$B$5:$B$304=C929))=0,"No matching asset + task in plan","OK")))</f>
        <v/>
      </c>
    </row>
    <row r="930" customFormat="false" ht="15" hidden="false" customHeight="false" outlineLevel="0" collapsed="false">
      <c r="A930" s="14"/>
      <c r="B930" s="9"/>
      <c r="C930" s="9"/>
      <c r="D930" s="9"/>
      <c r="E930" s="9"/>
      <c r="F930" s="17" t="str">
        <f aca="false">IF(AND(A930="",B930="",C930=""),"",IF(NOT(ISNUMBER(A930)),"Enter the date done",IF(SUMPRODUCT(('PM Plan'!$A$5:$A$304=B930)*('PM Plan'!$B$5:$B$304=C930))=0,"No matching asset + task in plan","OK")))</f>
        <v/>
      </c>
    </row>
    <row r="931" customFormat="false" ht="15" hidden="false" customHeight="false" outlineLevel="0" collapsed="false">
      <c r="A931" s="14"/>
      <c r="B931" s="9"/>
      <c r="C931" s="9"/>
      <c r="D931" s="9"/>
      <c r="E931" s="9"/>
      <c r="F931" s="17" t="str">
        <f aca="false">IF(AND(A931="",B931="",C931=""),"",IF(NOT(ISNUMBER(A931)),"Enter the date done",IF(SUMPRODUCT(('PM Plan'!$A$5:$A$304=B931)*('PM Plan'!$B$5:$B$304=C931))=0,"No matching asset + task in plan","OK")))</f>
        <v/>
      </c>
    </row>
    <row r="932" customFormat="false" ht="15" hidden="false" customHeight="false" outlineLevel="0" collapsed="false">
      <c r="A932" s="14"/>
      <c r="B932" s="9"/>
      <c r="C932" s="9"/>
      <c r="D932" s="9"/>
      <c r="E932" s="9"/>
      <c r="F932" s="17" t="str">
        <f aca="false">IF(AND(A932="",B932="",C932=""),"",IF(NOT(ISNUMBER(A932)),"Enter the date done",IF(SUMPRODUCT(('PM Plan'!$A$5:$A$304=B932)*('PM Plan'!$B$5:$B$304=C932))=0,"No matching asset + task in plan","OK")))</f>
        <v/>
      </c>
    </row>
    <row r="933" customFormat="false" ht="15" hidden="false" customHeight="false" outlineLevel="0" collapsed="false">
      <c r="A933" s="14"/>
      <c r="B933" s="9"/>
      <c r="C933" s="9"/>
      <c r="D933" s="9"/>
      <c r="E933" s="9"/>
      <c r="F933" s="17" t="str">
        <f aca="false">IF(AND(A933="",B933="",C933=""),"",IF(NOT(ISNUMBER(A933)),"Enter the date done",IF(SUMPRODUCT(('PM Plan'!$A$5:$A$304=B933)*('PM Plan'!$B$5:$B$304=C933))=0,"No matching asset + task in plan","OK")))</f>
        <v/>
      </c>
    </row>
    <row r="934" customFormat="false" ht="15" hidden="false" customHeight="false" outlineLevel="0" collapsed="false">
      <c r="A934" s="14"/>
      <c r="B934" s="9"/>
      <c r="C934" s="9"/>
      <c r="D934" s="9"/>
      <c r="E934" s="9"/>
      <c r="F934" s="17" t="str">
        <f aca="false">IF(AND(A934="",B934="",C934=""),"",IF(NOT(ISNUMBER(A934)),"Enter the date done",IF(SUMPRODUCT(('PM Plan'!$A$5:$A$304=B934)*('PM Plan'!$B$5:$B$304=C934))=0,"No matching asset + task in plan","OK")))</f>
        <v/>
      </c>
    </row>
    <row r="935" customFormat="false" ht="15" hidden="false" customHeight="false" outlineLevel="0" collapsed="false">
      <c r="A935" s="14"/>
      <c r="B935" s="9"/>
      <c r="C935" s="9"/>
      <c r="D935" s="9"/>
      <c r="E935" s="9"/>
      <c r="F935" s="17" t="str">
        <f aca="false">IF(AND(A935="",B935="",C935=""),"",IF(NOT(ISNUMBER(A935)),"Enter the date done",IF(SUMPRODUCT(('PM Plan'!$A$5:$A$304=B935)*('PM Plan'!$B$5:$B$304=C935))=0,"No matching asset + task in plan","OK")))</f>
        <v/>
      </c>
    </row>
    <row r="936" customFormat="false" ht="15" hidden="false" customHeight="false" outlineLevel="0" collapsed="false">
      <c r="A936" s="14"/>
      <c r="B936" s="9"/>
      <c r="C936" s="9"/>
      <c r="D936" s="9"/>
      <c r="E936" s="9"/>
      <c r="F936" s="17" t="str">
        <f aca="false">IF(AND(A936="",B936="",C936=""),"",IF(NOT(ISNUMBER(A936)),"Enter the date done",IF(SUMPRODUCT(('PM Plan'!$A$5:$A$304=B936)*('PM Plan'!$B$5:$B$304=C936))=0,"No matching asset + task in plan","OK")))</f>
        <v/>
      </c>
    </row>
    <row r="937" customFormat="false" ht="15" hidden="false" customHeight="false" outlineLevel="0" collapsed="false">
      <c r="A937" s="14"/>
      <c r="B937" s="9"/>
      <c r="C937" s="9"/>
      <c r="D937" s="9"/>
      <c r="E937" s="9"/>
      <c r="F937" s="17" t="str">
        <f aca="false">IF(AND(A937="",B937="",C937=""),"",IF(NOT(ISNUMBER(A937)),"Enter the date done",IF(SUMPRODUCT(('PM Plan'!$A$5:$A$304=B937)*('PM Plan'!$B$5:$B$304=C937))=0,"No matching asset + task in plan","OK")))</f>
        <v/>
      </c>
    </row>
    <row r="938" customFormat="false" ht="15" hidden="false" customHeight="false" outlineLevel="0" collapsed="false">
      <c r="A938" s="14"/>
      <c r="B938" s="9"/>
      <c r="C938" s="9"/>
      <c r="D938" s="9"/>
      <c r="E938" s="9"/>
      <c r="F938" s="17" t="str">
        <f aca="false">IF(AND(A938="",B938="",C938=""),"",IF(NOT(ISNUMBER(A938)),"Enter the date done",IF(SUMPRODUCT(('PM Plan'!$A$5:$A$304=B938)*('PM Plan'!$B$5:$B$304=C938))=0,"No matching asset + task in plan","OK")))</f>
        <v/>
      </c>
    </row>
    <row r="939" customFormat="false" ht="15" hidden="false" customHeight="false" outlineLevel="0" collapsed="false">
      <c r="A939" s="14"/>
      <c r="B939" s="9"/>
      <c r="C939" s="9"/>
      <c r="D939" s="9"/>
      <c r="E939" s="9"/>
      <c r="F939" s="17" t="str">
        <f aca="false">IF(AND(A939="",B939="",C939=""),"",IF(NOT(ISNUMBER(A939)),"Enter the date done",IF(SUMPRODUCT(('PM Plan'!$A$5:$A$304=B939)*('PM Plan'!$B$5:$B$304=C939))=0,"No matching asset + task in plan","OK")))</f>
        <v/>
      </c>
    </row>
    <row r="940" customFormat="false" ht="15" hidden="false" customHeight="false" outlineLevel="0" collapsed="false">
      <c r="A940" s="14"/>
      <c r="B940" s="9"/>
      <c r="C940" s="9"/>
      <c r="D940" s="9"/>
      <c r="E940" s="9"/>
      <c r="F940" s="17" t="str">
        <f aca="false">IF(AND(A940="",B940="",C940=""),"",IF(NOT(ISNUMBER(A940)),"Enter the date done",IF(SUMPRODUCT(('PM Plan'!$A$5:$A$304=B940)*('PM Plan'!$B$5:$B$304=C940))=0,"No matching asset + task in plan","OK")))</f>
        <v/>
      </c>
    </row>
    <row r="941" customFormat="false" ht="15" hidden="false" customHeight="false" outlineLevel="0" collapsed="false">
      <c r="A941" s="14"/>
      <c r="B941" s="9"/>
      <c r="C941" s="9"/>
      <c r="D941" s="9"/>
      <c r="E941" s="9"/>
      <c r="F941" s="17" t="str">
        <f aca="false">IF(AND(A941="",B941="",C941=""),"",IF(NOT(ISNUMBER(A941)),"Enter the date done",IF(SUMPRODUCT(('PM Plan'!$A$5:$A$304=B941)*('PM Plan'!$B$5:$B$304=C941))=0,"No matching asset + task in plan","OK")))</f>
        <v/>
      </c>
    </row>
    <row r="942" customFormat="false" ht="15" hidden="false" customHeight="false" outlineLevel="0" collapsed="false">
      <c r="A942" s="14"/>
      <c r="B942" s="9"/>
      <c r="C942" s="9"/>
      <c r="D942" s="9"/>
      <c r="E942" s="9"/>
      <c r="F942" s="17" t="str">
        <f aca="false">IF(AND(A942="",B942="",C942=""),"",IF(NOT(ISNUMBER(A942)),"Enter the date done",IF(SUMPRODUCT(('PM Plan'!$A$5:$A$304=B942)*('PM Plan'!$B$5:$B$304=C942))=0,"No matching asset + task in plan","OK")))</f>
        <v/>
      </c>
    </row>
    <row r="943" customFormat="false" ht="15" hidden="false" customHeight="false" outlineLevel="0" collapsed="false">
      <c r="A943" s="14"/>
      <c r="B943" s="9"/>
      <c r="C943" s="9"/>
      <c r="D943" s="9"/>
      <c r="E943" s="9"/>
      <c r="F943" s="17" t="str">
        <f aca="false">IF(AND(A943="",B943="",C943=""),"",IF(NOT(ISNUMBER(A943)),"Enter the date done",IF(SUMPRODUCT(('PM Plan'!$A$5:$A$304=B943)*('PM Plan'!$B$5:$B$304=C943))=0,"No matching asset + task in plan","OK")))</f>
        <v/>
      </c>
    </row>
    <row r="944" customFormat="false" ht="15" hidden="false" customHeight="false" outlineLevel="0" collapsed="false">
      <c r="A944" s="14"/>
      <c r="B944" s="9"/>
      <c r="C944" s="9"/>
      <c r="D944" s="9"/>
      <c r="E944" s="9"/>
      <c r="F944" s="17" t="str">
        <f aca="false">IF(AND(A944="",B944="",C944=""),"",IF(NOT(ISNUMBER(A944)),"Enter the date done",IF(SUMPRODUCT(('PM Plan'!$A$5:$A$304=B944)*('PM Plan'!$B$5:$B$304=C944))=0,"No matching asset + task in plan","OK")))</f>
        <v/>
      </c>
    </row>
    <row r="945" customFormat="false" ht="15" hidden="false" customHeight="false" outlineLevel="0" collapsed="false">
      <c r="A945" s="14"/>
      <c r="B945" s="9"/>
      <c r="C945" s="9"/>
      <c r="D945" s="9"/>
      <c r="E945" s="9"/>
      <c r="F945" s="17" t="str">
        <f aca="false">IF(AND(A945="",B945="",C945=""),"",IF(NOT(ISNUMBER(A945)),"Enter the date done",IF(SUMPRODUCT(('PM Plan'!$A$5:$A$304=B945)*('PM Plan'!$B$5:$B$304=C945))=0,"No matching asset + task in plan","OK")))</f>
        <v/>
      </c>
    </row>
    <row r="946" customFormat="false" ht="15" hidden="false" customHeight="false" outlineLevel="0" collapsed="false">
      <c r="A946" s="14"/>
      <c r="B946" s="9"/>
      <c r="C946" s="9"/>
      <c r="D946" s="9"/>
      <c r="E946" s="9"/>
      <c r="F946" s="17" t="str">
        <f aca="false">IF(AND(A946="",B946="",C946=""),"",IF(NOT(ISNUMBER(A946)),"Enter the date done",IF(SUMPRODUCT(('PM Plan'!$A$5:$A$304=B946)*('PM Plan'!$B$5:$B$304=C946))=0,"No matching asset + task in plan","OK")))</f>
        <v/>
      </c>
    </row>
    <row r="947" customFormat="false" ht="15" hidden="false" customHeight="false" outlineLevel="0" collapsed="false">
      <c r="A947" s="14"/>
      <c r="B947" s="9"/>
      <c r="C947" s="9"/>
      <c r="D947" s="9"/>
      <c r="E947" s="9"/>
      <c r="F947" s="17" t="str">
        <f aca="false">IF(AND(A947="",B947="",C947=""),"",IF(NOT(ISNUMBER(A947)),"Enter the date done",IF(SUMPRODUCT(('PM Plan'!$A$5:$A$304=B947)*('PM Plan'!$B$5:$B$304=C947))=0,"No matching asset + task in plan","OK")))</f>
        <v/>
      </c>
    </row>
    <row r="948" customFormat="false" ht="15" hidden="false" customHeight="false" outlineLevel="0" collapsed="false">
      <c r="A948" s="14"/>
      <c r="B948" s="9"/>
      <c r="C948" s="9"/>
      <c r="D948" s="9"/>
      <c r="E948" s="9"/>
      <c r="F948" s="17" t="str">
        <f aca="false">IF(AND(A948="",B948="",C948=""),"",IF(NOT(ISNUMBER(A948)),"Enter the date done",IF(SUMPRODUCT(('PM Plan'!$A$5:$A$304=B948)*('PM Plan'!$B$5:$B$304=C948))=0,"No matching asset + task in plan","OK")))</f>
        <v/>
      </c>
    </row>
    <row r="949" customFormat="false" ht="15" hidden="false" customHeight="false" outlineLevel="0" collapsed="false">
      <c r="A949" s="14"/>
      <c r="B949" s="9"/>
      <c r="C949" s="9"/>
      <c r="D949" s="9"/>
      <c r="E949" s="9"/>
      <c r="F949" s="17" t="str">
        <f aca="false">IF(AND(A949="",B949="",C949=""),"",IF(NOT(ISNUMBER(A949)),"Enter the date done",IF(SUMPRODUCT(('PM Plan'!$A$5:$A$304=B949)*('PM Plan'!$B$5:$B$304=C949))=0,"No matching asset + task in plan","OK")))</f>
        <v/>
      </c>
    </row>
    <row r="950" customFormat="false" ht="15" hidden="false" customHeight="false" outlineLevel="0" collapsed="false">
      <c r="A950" s="14"/>
      <c r="B950" s="9"/>
      <c r="C950" s="9"/>
      <c r="D950" s="9"/>
      <c r="E950" s="9"/>
      <c r="F950" s="17" t="str">
        <f aca="false">IF(AND(A950="",B950="",C950=""),"",IF(NOT(ISNUMBER(A950)),"Enter the date done",IF(SUMPRODUCT(('PM Plan'!$A$5:$A$304=B950)*('PM Plan'!$B$5:$B$304=C950))=0,"No matching asset + task in plan","OK")))</f>
        <v/>
      </c>
    </row>
    <row r="951" customFormat="false" ht="15" hidden="false" customHeight="false" outlineLevel="0" collapsed="false">
      <c r="A951" s="14"/>
      <c r="B951" s="9"/>
      <c r="C951" s="9"/>
      <c r="D951" s="9"/>
      <c r="E951" s="9"/>
      <c r="F951" s="17" t="str">
        <f aca="false">IF(AND(A951="",B951="",C951=""),"",IF(NOT(ISNUMBER(A951)),"Enter the date done",IF(SUMPRODUCT(('PM Plan'!$A$5:$A$304=B951)*('PM Plan'!$B$5:$B$304=C951))=0,"No matching asset + task in plan","OK")))</f>
        <v/>
      </c>
    </row>
    <row r="952" customFormat="false" ht="15" hidden="false" customHeight="false" outlineLevel="0" collapsed="false">
      <c r="A952" s="14"/>
      <c r="B952" s="9"/>
      <c r="C952" s="9"/>
      <c r="D952" s="9"/>
      <c r="E952" s="9"/>
      <c r="F952" s="17" t="str">
        <f aca="false">IF(AND(A952="",B952="",C952=""),"",IF(NOT(ISNUMBER(A952)),"Enter the date done",IF(SUMPRODUCT(('PM Plan'!$A$5:$A$304=B952)*('PM Plan'!$B$5:$B$304=C952))=0,"No matching asset + task in plan","OK")))</f>
        <v/>
      </c>
    </row>
    <row r="953" customFormat="false" ht="15" hidden="false" customHeight="false" outlineLevel="0" collapsed="false">
      <c r="A953" s="14"/>
      <c r="B953" s="9"/>
      <c r="C953" s="9"/>
      <c r="D953" s="9"/>
      <c r="E953" s="9"/>
      <c r="F953" s="17" t="str">
        <f aca="false">IF(AND(A953="",B953="",C953=""),"",IF(NOT(ISNUMBER(A953)),"Enter the date done",IF(SUMPRODUCT(('PM Plan'!$A$5:$A$304=B953)*('PM Plan'!$B$5:$B$304=C953))=0,"No matching asset + task in plan","OK")))</f>
        <v/>
      </c>
    </row>
    <row r="954" customFormat="false" ht="15" hidden="false" customHeight="false" outlineLevel="0" collapsed="false">
      <c r="A954" s="14"/>
      <c r="B954" s="9"/>
      <c r="C954" s="9"/>
      <c r="D954" s="9"/>
      <c r="E954" s="9"/>
      <c r="F954" s="17" t="str">
        <f aca="false">IF(AND(A954="",B954="",C954=""),"",IF(NOT(ISNUMBER(A954)),"Enter the date done",IF(SUMPRODUCT(('PM Plan'!$A$5:$A$304=B954)*('PM Plan'!$B$5:$B$304=C954))=0,"No matching asset + task in plan","OK")))</f>
        <v/>
      </c>
    </row>
    <row r="955" customFormat="false" ht="15" hidden="false" customHeight="false" outlineLevel="0" collapsed="false">
      <c r="A955" s="14"/>
      <c r="B955" s="9"/>
      <c r="C955" s="9"/>
      <c r="D955" s="9"/>
      <c r="E955" s="9"/>
      <c r="F955" s="17" t="str">
        <f aca="false">IF(AND(A955="",B955="",C955=""),"",IF(NOT(ISNUMBER(A955)),"Enter the date done",IF(SUMPRODUCT(('PM Plan'!$A$5:$A$304=B955)*('PM Plan'!$B$5:$B$304=C955))=0,"No matching asset + task in plan","OK")))</f>
        <v/>
      </c>
    </row>
    <row r="956" customFormat="false" ht="15" hidden="false" customHeight="false" outlineLevel="0" collapsed="false">
      <c r="A956" s="14"/>
      <c r="B956" s="9"/>
      <c r="C956" s="9"/>
      <c r="D956" s="9"/>
      <c r="E956" s="9"/>
      <c r="F956" s="17" t="str">
        <f aca="false">IF(AND(A956="",B956="",C956=""),"",IF(NOT(ISNUMBER(A956)),"Enter the date done",IF(SUMPRODUCT(('PM Plan'!$A$5:$A$304=B956)*('PM Plan'!$B$5:$B$304=C956))=0,"No matching asset + task in plan","OK")))</f>
        <v/>
      </c>
    </row>
    <row r="957" customFormat="false" ht="15" hidden="false" customHeight="false" outlineLevel="0" collapsed="false">
      <c r="A957" s="14"/>
      <c r="B957" s="9"/>
      <c r="C957" s="9"/>
      <c r="D957" s="9"/>
      <c r="E957" s="9"/>
      <c r="F957" s="17" t="str">
        <f aca="false">IF(AND(A957="",B957="",C957=""),"",IF(NOT(ISNUMBER(A957)),"Enter the date done",IF(SUMPRODUCT(('PM Plan'!$A$5:$A$304=B957)*('PM Plan'!$B$5:$B$304=C957))=0,"No matching asset + task in plan","OK")))</f>
        <v/>
      </c>
    </row>
    <row r="958" customFormat="false" ht="15" hidden="false" customHeight="false" outlineLevel="0" collapsed="false">
      <c r="A958" s="14"/>
      <c r="B958" s="9"/>
      <c r="C958" s="9"/>
      <c r="D958" s="9"/>
      <c r="E958" s="9"/>
      <c r="F958" s="17" t="str">
        <f aca="false">IF(AND(A958="",B958="",C958=""),"",IF(NOT(ISNUMBER(A958)),"Enter the date done",IF(SUMPRODUCT(('PM Plan'!$A$5:$A$304=B958)*('PM Plan'!$B$5:$B$304=C958))=0,"No matching asset + task in plan","OK")))</f>
        <v/>
      </c>
    </row>
    <row r="959" customFormat="false" ht="15" hidden="false" customHeight="false" outlineLevel="0" collapsed="false">
      <c r="A959" s="14"/>
      <c r="B959" s="9"/>
      <c r="C959" s="9"/>
      <c r="D959" s="9"/>
      <c r="E959" s="9"/>
      <c r="F959" s="17" t="str">
        <f aca="false">IF(AND(A959="",B959="",C959=""),"",IF(NOT(ISNUMBER(A959)),"Enter the date done",IF(SUMPRODUCT(('PM Plan'!$A$5:$A$304=B959)*('PM Plan'!$B$5:$B$304=C959))=0,"No matching asset + task in plan","OK")))</f>
        <v/>
      </c>
    </row>
    <row r="960" customFormat="false" ht="15" hidden="false" customHeight="false" outlineLevel="0" collapsed="false">
      <c r="A960" s="14"/>
      <c r="B960" s="9"/>
      <c r="C960" s="9"/>
      <c r="D960" s="9"/>
      <c r="E960" s="9"/>
      <c r="F960" s="17" t="str">
        <f aca="false">IF(AND(A960="",B960="",C960=""),"",IF(NOT(ISNUMBER(A960)),"Enter the date done",IF(SUMPRODUCT(('PM Plan'!$A$5:$A$304=B960)*('PM Plan'!$B$5:$B$304=C960))=0,"No matching asset + task in plan","OK")))</f>
        <v/>
      </c>
    </row>
    <row r="961" customFormat="false" ht="15" hidden="false" customHeight="false" outlineLevel="0" collapsed="false">
      <c r="A961" s="14"/>
      <c r="B961" s="9"/>
      <c r="C961" s="9"/>
      <c r="D961" s="9"/>
      <c r="E961" s="9"/>
      <c r="F961" s="17" t="str">
        <f aca="false">IF(AND(A961="",B961="",C961=""),"",IF(NOT(ISNUMBER(A961)),"Enter the date done",IF(SUMPRODUCT(('PM Plan'!$A$5:$A$304=B961)*('PM Plan'!$B$5:$B$304=C961))=0,"No matching asset + task in plan","OK")))</f>
        <v/>
      </c>
    </row>
    <row r="962" customFormat="false" ht="15" hidden="false" customHeight="false" outlineLevel="0" collapsed="false">
      <c r="A962" s="14"/>
      <c r="B962" s="9"/>
      <c r="C962" s="9"/>
      <c r="D962" s="9"/>
      <c r="E962" s="9"/>
      <c r="F962" s="17" t="str">
        <f aca="false">IF(AND(A962="",B962="",C962=""),"",IF(NOT(ISNUMBER(A962)),"Enter the date done",IF(SUMPRODUCT(('PM Plan'!$A$5:$A$304=B962)*('PM Plan'!$B$5:$B$304=C962))=0,"No matching asset + task in plan","OK")))</f>
        <v/>
      </c>
    </row>
    <row r="963" customFormat="false" ht="15" hidden="false" customHeight="false" outlineLevel="0" collapsed="false">
      <c r="A963" s="14"/>
      <c r="B963" s="9"/>
      <c r="C963" s="9"/>
      <c r="D963" s="9"/>
      <c r="E963" s="9"/>
      <c r="F963" s="17" t="str">
        <f aca="false">IF(AND(A963="",B963="",C963=""),"",IF(NOT(ISNUMBER(A963)),"Enter the date done",IF(SUMPRODUCT(('PM Plan'!$A$5:$A$304=B963)*('PM Plan'!$B$5:$B$304=C963))=0,"No matching asset + task in plan","OK")))</f>
        <v/>
      </c>
    </row>
    <row r="964" customFormat="false" ht="15" hidden="false" customHeight="false" outlineLevel="0" collapsed="false">
      <c r="A964" s="14"/>
      <c r="B964" s="9"/>
      <c r="C964" s="9"/>
      <c r="D964" s="9"/>
      <c r="E964" s="9"/>
      <c r="F964" s="17" t="str">
        <f aca="false">IF(AND(A964="",B964="",C964=""),"",IF(NOT(ISNUMBER(A964)),"Enter the date done",IF(SUMPRODUCT(('PM Plan'!$A$5:$A$304=B964)*('PM Plan'!$B$5:$B$304=C964))=0,"No matching asset + task in plan","OK")))</f>
        <v/>
      </c>
    </row>
    <row r="965" customFormat="false" ht="15" hidden="false" customHeight="false" outlineLevel="0" collapsed="false">
      <c r="A965" s="14"/>
      <c r="B965" s="9"/>
      <c r="C965" s="9"/>
      <c r="D965" s="9"/>
      <c r="E965" s="9"/>
      <c r="F965" s="17" t="str">
        <f aca="false">IF(AND(A965="",B965="",C965=""),"",IF(NOT(ISNUMBER(A965)),"Enter the date done",IF(SUMPRODUCT(('PM Plan'!$A$5:$A$304=B965)*('PM Plan'!$B$5:$B$304=C965))=0,"No matching asset + task in plan","OK")))</f>
        <v/>
      </c>
    </row>
    <row r="966" customFormat="false" ht="15" hidden="false" customHeight="false" outlineLevel="0" collapsed="false">
      <c r="A966" s="14"/>
      <c r="B966" s="9"/>
      <c r="C966" s="9"/>
      <c r="D966" s="9"/>
      <c r="E966" s="9"/>
      <c r="F966" s="17" t="str">
        <f aca="false">IF(AND(A966="",B966="",C966=""),"",IF(NOT(ISNUMBER(A966)),"Enter the date done",IF(SUMPRODUCT(('PM Plan'!$A$5:$A$304=B966)*('PM Plan'!$B$5:$B$304=C966))=0,"No matching asset + task in plan","OK")))</f>
        <v/>
      </c>
    </row>
    <row r="967" customFormat="false" ht="15" hidden="false" customHeight="false" outlineLevel="0" collapsed="false">
      <c r="A967" s="14"/>
      <c r="B967" s="9"/>
      <c r="C967" s="9"/>
      <c r="D967" s="9"/>
      <c r="E967" s="9"/>
      <c r="F967" s="17" t="str">
        <f aca="false">IF(AND(A967="",B967="",C967=""),"",IF(NOT(ISNUMBER(A967)),"Enter the date done",IF(SUMPRODUCT(('PM Plan'!$A$5:$A$304=B967)*('PM Plan'!$B$5:$B$304=C967))=0,"No matching asset + task in plan","OK")))</f>
        <v/>
      </c>
    </row>
    <row r="968" customFormat="false" ht="15" hidden="false" customHeight="false" outlineLevel="0" collapsed="false">
      <c r="A968" s="14"/>
      <c r="B968" s="9"/>
      <c r="C968" s="9"/>
      <c r="D968" s="9"/>
      <c r="E968" s="9"/>
      <c r="F968" s="17" t="str">
        <f aca="false">IF(AND(A968="",B968="",C968=""),"",IF(NOT(ISNUMBER(A968)),"Enter the date done",IF(SUMPRODUCT(('PM Plan'!$A$5:$A$304=B968)*('PM Plan'!$B$5:$B$304=C968))=0,"No matching asset + task in plan","OK")))</f>
        <v/>
      </c>
    </row>
    <row r="969" customFormat="false" ht="15" hidden="false" customHeight="false" outlineLevel="0" collapsed="false">
      <c r="A969" s="14"/>
      <c r="B969" s="9"/>
      <c r="C969" s="9"/>
      <c r="D969" s="9"/>
      <c r="E969" s="9"/>
      <c r="F969" s="17" t="str">
        <f aca="false">IF(AND(A969="",B969="",C969=""),"",IF(NOT(ISNUMBER(A969)),"Enter the date done",IF(SUMPRODUCT(('PM Plan'!$A$5:$A$304=B969)*('PM Plan'!$B$5:$B$304=C969))=0,"No matching asset + task in plan","OK")))</f>
        <v/>
      </c>
    </row>
    <row r="970" customFormat="false" ht="15" hidden="false" customHeight="false" outlineLevel="0" collapsed="false">
      <c r="A970" s="14"/>
      <c r="B970" s="9"/>
      <c r="C970" s="9"/>
      <c r="D970" s="9"/>
      <c r="E970" s="9"/>
      <c r="F970" s="17" t="str">
        <f aca="false">IF(AND(A970="",B970="",C970=""),"",IF(NOT(ISNUMBER(A970)),"Enter the date done",IF(SUMPRODUCT(('PM Plan'!$A$5:$A$304=B970)*('PM Plan'!$B$5:$B$304=C970))=0,"No matching asset + task in plan","OK")))</f>
        <v/>
      </c>
    </row>
    <row r="971" customFormat="false" ht="15" hidden="false" customHeight="false" outlineLevel="0" collapsed="false">
      <c r="A971" s="14"/>
      <c r="B971" s="9"/>
      <c r="C971" s="9"/>
      <c r="D971" s="9"/>
      <c r="E971" s="9"/>
      <c r="F971" s="17" t="str">
        <f aca="false">IF(AND(A971="",B971="",C971=""),"",IF(NOT(ISNUMBER(A971)),"Enter the date done",IF(SUMPRODUCT(('PM Plan'!$A$5:$A$304=B971)*('PM Plan'!$B$5:$B$304=C971))=0,"No matching asset + task in plan","OK")))</f>
        <v/>
      </c>
    </row>
    <row r="972" customFormat="false" ht="15" hidden="false" customHeight="false" outlineLevel="0" collapsed="false">
      <c r="A972" s="14"/>
      <c r="B972" s="9"/>
      <c r="C972" s="9"/>
      <c r="D972" s="9"/>
      <c r="E972" s="9"/>
      <c r="F972" s="17" t="str">
        <f aca="false">IF(AND(A972="",B972="",C972=""),"",IF(NOT(ISNUMBER(A972)),"Enter the date done",IF(SUMPRODUCT(('PM Plan'!$A$5:$A$304=B972)*('PM Plan'!$B$5:$B$304=C972))=0,"No matching asset + task in plan","OK")))</f>
        <v/>
      </c>
    </row>
    <row r="973" customFormat="false" ht="15" hidden="false" customHeight="false" outlineLevel="0" collapsed="false">
      <c r="A973" s="14"/>
      <c r="B973" s="9"/>
      <c r="C973" s="9"/>
      <c r="D973" s="9"/>
      <c r="E973" s="9"/>
      <c r="F973" s="17" t="str">
        <f aca="false">IF(AND(A973="",B973="",C973=""),"",IF(NOT(ISNUMBER(A973)),"Enter the date done",IF(SUMPRODUCT(('PM Plan'!$A$5:$A$304=B973)*('PM Plan'!$B$5:$B$304=C973))=0,"No matching asset + task in plan","OK")))</f>
        <v/>
      </c>
    </row>
    <row r="974" customFormat="false" ht="15" hidden="false" customHeight="false" outlineLevel="0" collapsed="false">
      <c r="A974" s="14"/>
      <c r="B974" s="9"/>
      <c r="C974" s="9"/>
      <c r="D974" s="9"/>
      <c r="E974" s="9"/>
      <c r="F974" s="17" t="str">
        <f aca="false">IF(AND(A974="",B974="",C974=""),"",IF(NOT(ISNUMBER(A974)),"Enter the date done",IF(SUMPRODUCT(('PM Plan'!$A$5:$A$304=B974)*('PM Plan'!$B$5:$B$304=C974))=0,"No matching asset + task in plan","OK")))</f>
        <v/>
      </c>
    </row>
    <row r="975" customFormat="false" ht="15" hidden="false" customHeight="false" outlineLevel="0" collapsed="false">
      <c r="A975" s="14"/>
      <c r="B975" s="9"/>
      <c r="C975" s="9"/>
      <c r="D975" s="9"/>
      <c r="E975" s="9"/>
      <c r="F975" s="17" t="str">
        <f aca="false">IF(AND(A975="",B975="",C975=""),"",IF(NOT(ISNUMBER(A975)),"Enter the date done",IF(SUMPRODUCT(('PM Plan'!$A$5:$A$304=B975)*('PM Plan'!$B$5:$B$304=C975))=0,"No matching asset + task in plan","OK")))</f>
        <v/>
      </c>
    </row>
    <row r="976" customFormat="false" ht="15" hidden="false" customHeight="false" outlineLevel="0" collapsed="false">
      <c r="A976" s="14"/>
      <c r="B976" s="9"/>
      <c r="C976" s="9"/>
      <c r="D976" s="9"/>
      <c r="E976" s="9"/>
      <c r="F976" s="17" t="str">
        <f aca="false">IF(AND(A976="",B976="",C976=""),"",IF(NOT(ISNUMBER(A976)),"Enter the date done",IF(SUMPRODUCT(('PM Plan'!$A$5:$A$304=B976)*('PM Plan'!$B$5:$B$304=C976))=0,"No matching asset + task in plan","OK")))</f>
        <v/>
      </c>
    </row>
    <row r="977" customFormat="false" ht="15" hidden="false" customHeight="false" outlineLevel="0" collapsed="false">
      <c r="A977" s="14"/>
      <c r="B977" s="9"/>
      <c r="C977" s="9"/>
      <c r="D977" s="9"/>
      <c r="E977" s="9"/>
      <c r="F977" s="17" t="str">
        <f aca="false">IF(AND(A977="",B977="",C977=""),"",IF(NOT(ISNUMBER(A977)),"Enter the date done",IF(SUMPRODUCT(('PM Plan'!$A$5:$A$304=B977)*('PM Plan'!$B$5:$B$304=C977))=0,"No matching asset + task in plan","OK")))</f>
        <v/>
      </c>
    </row>
    <row r="978" customFormat="false" ht="15" hidden="false" customHeight="false" outlineLevel="0" collapsed="false">
      <c r="A978" s="14"/>
      <c r="B978" s="9"/>
      <c r="C978" s="9"/>
      <c r="D978" s="9"/>
      <c r="E978" s="9"/>
      <c r="F978" s="17" t="str">
        <f aca="false">IF(AND(A978="",B978="",C978=""),"",IF(NOT(ISNUMBER(A978)),"Enter the date done",IF(SUMPRODUCT(('PM Plan'!$A$5:$A$304=B978)*('PM Plan'!$B$5:$B$304=C978))=0,"No matching asset + task in plan","OK")))</f>
        <v/>
      </c>
    </row>
    <row r="979" customFormat="false" ht="15" hidden="false" customHeight="false" outlineLevel="0" collapsed="false">
      <c r="A979" s="14"/>
      <c r="B979" s="9"/>
      <c r="C979" s="9"/>
      <c r="D979" s="9"/>
      <c r="E979" s="9"/>
      <c r="F979" s="17" t="str">
        <f aca="false">IF(AND(A979="",B979="",C979=""),"",IF(NOT(ISNUMBER(A979)),"Enter the date done",IF(SUMPRODUCT(('PM Plan'!$A$5:$A$304=B979)*('PM Plan'!$B$5:$B$304=C979))=0,"No matching asset + task in plan","OK")))</f>
        <v/>
      </c>
    </row>
    <row r="980" customFormat="false" ht="15" hidden="false" customHeight="false" outlineLevel="0" collapsed="false">
      <c r="A980" s="14"/>
      <c r="B980" s="9"/>
      <c r="C980" s="9"/>
      <c r="D980" s="9"/>
      <c r="E980" s="9"/>
      <c r="F980" s="17" t="str">
        <f aca="false">IF(AND(A980="",B980="",C980=""),"",IF(NOT(ISNUMBER(A980)),"Enter the date done",IF(SUMPRODUCT(('PM Plan'!$A$5:$A$304=B980)*('PM Plan'!$B$5:$B$304=C980))=0,"No matching asset + task in plan","OK")))</f>
        <v/>
      </c>
    </row>
    <row r="981" customFormat="false" ht="15" hidden="false" customHeight="false" outlineLevel="0" collapsed="false">
      <c r="A981" s="14"/>
      <c r="B981" s="9"/>
      <c r="C981" s="9"/>
      <c r="D981" s="9"/>
      <c r="E981" s="9"/>
      <c r="F981" s="17" t="str">
        <f aca="false">IF(AND(A981="",B981="",C981=""),"",IF(NOT(ISNUMBER(A981)),"Enter the date done",IF(SUMPRODUCT(('PM Plan'!$A$5:$A$304=B981)*('PM Plan'!$B$5:$B$304=C981))=0,"No matching asset + task in plan","OK")))</f>
        <v/>
      </c>
    </row>
    <row r="982" customFormat="false" ht="15" hidden="false" customHeight="false" outlineLevel="0" collapsed="false">
      <c r="A982" s="14"/>
      <c r="B982" s="9"/>
      <c r="C982" s="9"/>
      <c r="D982" s="9"/>
      <c r="E982" s="9"/>
      <c r="F982" s="17" t="str">
        <f aca="false">IF(AND(A982="",B982="",C982=""),"",IF(NOT(ISNUMBER(A982)),"Enter the date done",IF(SUMPRODUCT(('PM Plan'!$A$5:$A$304=B982)*('PM Plan'!$B$5:$B$304=C982))=0,"No matching asset + task in plan","OK")))</f>
        <v/>
      </c>
    </row>
    <row r="983" customFormat="false" ht="15" hidden="false" customHeight="false" outlineLevel="0" collapsed="false">
      <c r="A983" s="14"/>
      <c r="B983" s="9"/>
      <c r="C983" s="9"/>
      <c r="D983" s="9"/>
      <c r="E983" s="9"/>
      <c r="F983" s="17" t="str">
        <f aca="false">IF(AND(A983="",B983="",C983=""),"",IF(NOT(ISNUMBER(A983)),"Enter the date done",IF(SUMPRODUCT(('PM Plan'!$A$5:$A$304=B983)*('PM Plan'!$B$5:$B$304=C983))=0,"No matching asset + task in plan","OK")))</f>
        <v/>
      </c>
    </row>
    <row r="984" customFormat="false" ht="15" hidden="false" customHeight="false" outlineLevel="0" collapsed="false">
      <c r="A984" s="14"/>
      <c r="B984" s="9"/>
      <c r="C984" s="9"/>
      <c r="D984" s="9"/>
      <c r="E984" s="9"/>
      <c r="F984" s="17" t="str">
        <f aca="false">IF(AND(A984="",B984="",C984=""),"",IF(NOT(ISNUMBER(A984)),"Enter the date done",IF(SUMPRODUCT(('PM Plan'!$A$5:$A$304=B984)*('PM Plan'!$B$5:$B$304=C984))=0,"No matching asset + task in plan","OK")))</f>
        <v/>
      </c>
    </row>
    <row r="985" customFormat="false" ht="15" hidden="false" customHeight="false" outlineLevel="0" collapsed="false">
      <c r="A985" s="14"/>
      <c r="B985" s="9"/>
      <c r="C985" s="9"/>
      <c r="D985" s="9"/>
      <c r="E985" s="9"/>
      <c r="F985" s="17" t="str">
        <f aca="false">IF(AND(A985="",B985="",C985=""),"",IF(NOT(ISNUMBER(A985)),"Enter the date done",IF(SUMPRODUCT(('PM Plan'!$A$5:$A$304=B985)*('PM Plan'!$B$5:$B$304=C985))=0,"No matching asset + task in plan","OK")))</f>
        <v/>
      </c>
    </row>
    <row r="986" customFormat="false" ht="15" hidden="false" customHeight="false" outlineLevel="0" collapsed="false">
      <c r="A986" s="14"/>
      <c r="B986" s="9"/>
      <c r="C986" s="9"/>
      <c r="D986" s="9"/>
      <c r="E986" s="9"/>
      <c r="F986" s="17" t="str">
        <f aca="false">IF(AND(A986="",B986="",C986=""),"",IF(NOT(ISNUMBER(A986)),"Enter the date done",IF(SUMPRODUCT(('PM Plan'!$A$5:$A$304=B986)*('PM Plan'!$B$5:$B$304=C986))=0,"No matching asset + task in plan","OK")))</f>
        <v/>
      </c>
    </row>
    <row r="987" customFormat="false" ht="15" hidden="false" customHeight="false" outlineLevel="0" collapsed="false">
      <c r="A987" s="14"/>
      <c r="B987" s="9"/>
      <c r="C987" s="9"/>
      <c r="D987" s="9"/>
      <c r="E987" s="9"/>
      <c r="F987" s="17" t="str">
        <f aca="false">IF(AND(A987="",B987="",C987=""),"",IF(NOT(ISNUMBER(A987)),"Enter the date done",IF(SUMPRODUCT(('PM Plan'!$A$5:$A$304=B987)*('PM Plan'!$B$5:$B$304=C987))=0,"No matching asset + task in plan","OK")))</f>
        <v/>
      </c>
    </row>
    <row r="988" customFormat="false" ht="15" hidden="false" customHeight="false" outlineLevel="0" collapsed="false">
      <c r="A988" s="14"/>
      <c r="B988" s="9"/>
      <c r="C988" s="9"/>
      <c r="D988" s="9"/>
      <c r="E988" s="9"/>
      <c r="F988" s="17" t="str">
        <f aca="false">IF(AND(A988="",B988="",C988=""),"",IF(NOT(ISNUMBER(A988)),"Enter the date done",IF(SUMPRODUCT(('PM Plan'!$A$5:$A$304=B988)*('PM Plan'!$B$5:$B$304=C988))=0,"No matching asset + task in plan","OK")))</f>
        <v/>
      </c>
    </row>
    <row r="989" customFormat="false" ht="15" hidden="false" customHeight="false" outlineLevel="0" collapsed="false">
      <c r="A989" s="14"/>
      <c r="B989" s="9"/>
      <c r="C989" s="9"/>
      <c r="D989" s="9"/>
      <c r="E989" s="9"/>
      <c r="F989" s="17" t="str">
        <f aca="false">IF(AND(A989="",B989="",C989=""),"",IF(NOT(ISNUMBER(A989)),"Enter the date done",IF(SUMPRODUCT(('PM Plan'!$A$5:$A$304=B989)*('PM Plan'!$B$5:$B$304=C989))=0,"No matching asset + task in plan","OK")))</f>
        <v/>
      </c>
    </row>
    <row r="990" customFormat="false" ht="15" hidden="false" customHeight="false" outlineLevel="0" collapsed="false">
      <c r="A990" s="14"/>
      <c r="B990" s="9"/>
      <c r="C990" s="9"/>
      <c r="D990" s="9"/>
      <c r="E990" s="9"/>
      <c r="F990" s="17" t="str">
        <f aca="false">IF(AND(A990="",B990="",C990=""),"",IF(NOT(ISNUMBER(A990)),"Enter the date done",IF(SUMPRODUCT(('PM Plan'!$A$5:$A$304=B990)*('PM Plan'!$B$5:$B$304=C990))=0,"No matching asset + task in plan","OK")))</f>
        <v/>
      </c>
    </row>
    <row r="991" customFormat="false" ht="15" hidden="false" customHeight="false" outlineLevel="0" collapsed="false">
      <c r="A991" s="14"/>
      <c r="B991" s="9"/>
      <c r="C991" s="9"/>
      <c r="D991" s="9"/>
      <c r="E991" s="9"/>
      <c r="F991" s="17" t="str">
        <f aca="false">IF(AND(A991="",B991="",C991=""),"",IF(NOT(ISNUMBER(A991)),"Enter the date done",IF(SUMPRODUCT(('PM Plan'!$A$5:$A$304=B991)*('PM Plan'!$B$5:$B$304=C991))=0,"No matching asset + task in plan","OK")))</f>
        <v/>
      </c>
    </row>
    <row r="992" customFormat="false" ht="15" hidden="false" customHeight="false" outlineLevel="0" collapsed="false">
      <c r="A992" s="14"/>
      <c r="B992" s="9"/>
      <c r="C992" s="9"/>
      <c r="D992" s="9"/>
      <c r="E992" s="9"/>
      <c r="F992" s="17" t="str">
        <f aca="false">IF(AND(A992="",B992="",C992=""),"",IF(NOT(ISNUMBER(A992)),"Enter the date done",IF(SUMPRODUCT(('PM Plan'!$A$5:$A$304=B992)*('PM Plan'!$B$5:$B$304=C992))=0,"No matching asset + task in plan","OK")))</f>
        <v/>
      </c>
    </row>
    <row r="993" customFormat="false" ht="15" hidden="false" customHeight="false" outlineLevel="0" collapsed="false">
      <c r="A993" s="14"/>
      <c r="B993" s="9"/>
      <c r="C993" s="9"/>
      <c r="D993" s="9"/>
      <c r="E993" s="9"/>
      <c r="F993" s="17" t="str">
        <f aca="false">IF(AND(A993="",B993="",C993=""),"",IF(NOT(ISNUMBER(A993)),"Enter the date done",IF(SUMPRODUCT(('PM Plan'!$A$5:$A$304=B993)*('PM Plan'!$B$5:$B$304=C993))=0,"No matching asset + task in plan","OK")))</f>
        <v/>
      </c>
    </row>
    <row r="994" customFormat="false" ht="15" hidden="false" customHeight="false" outlineLevel="0" collapsed="false">
      <c r="A994" s="14"/>
      <c r="B994" s="9"/>
      <c r="C994" s="9"/>
      <c r="D994" s="9"/>
      <c r="E994" s="9"/>
      <c r="F994" s="17" t="str">
        <f aca="false">IF(AND(A994="",B994="",C994=""),"",IF(NOT(ISNUMBER(A994)),"Enter the date done",IF(SUMPRODUCT(('PM Plan'!$A$5:$A$304=B994)*('PM Plan'!$B$5:$B$304=C994))=0,"No matching asset + task in plan","OK")))</f>
        <v/>
      </c>
    </row>
    <row r="995" customFormat="false" ht="15" hidden="false" customHeight="false" outlineLevel="0" collapsed="false">
      <c r="A995" s="14"/>
      <c r="B995" s="9"/>
      <c r="C995" s="9"/>
      <c r="D995" s="9"/>
      <c r="E995" s="9"/>
      <c r="F995" s="17" t="str">
        <f aca="false">IF(AND(A995="",B995="",C995=""),"",IF(NOT(ISNUMBER(A995)),"Enter the date done",IF(SUMPRODUCT(('PM Plan'!$A$5:$A$304=B995)*('PM Plan'!$B$5:$B$304=C995))=0,"No matching asset + task in plan","OK")))</f>
        <v/>
      </c>
    </row>
    <row r="996" customFormat="false" ht="15" hidden="false" customHeight="false" outlineLevel="0" collapsed="false">
      <c r="A996" s="14"/>
      <c r="B996" s="9"/>
      <c r="C996" s="9"/>
      <c r="D996" s="9"/>
      <c r="E996" s="9"/>
      <c r="F996" s="17" t="str">
        <f aca="false">IF(AND(A996="",B996="",C996=""),"",IF(NOT(ISNUMBER(A996)),"Enter the date done",IF(SUMPRODUCT(('PM Plan'!$A$5:$A$304=B996)*('PM Plan'!$B$5:$B$304=C996))=0,"No matching asset + task in plan","OK")))</f>
        <v/>
      </c>
    </row>
    <row r="997" customFormat="false" ht="15" hidden="false" customHeight="false" outlineLevel="0" collapsed="false">
      <c r="A997" s="14"/>
      <c r="B997" s="9"/>
      <c r="C997" s="9"/>
      <c r="D997" s="9"/>
      <c r="E997" s="9"/>
      <c r="F997" s="17" t="str">
        <f aca="false">IF(AND(A997="",B997="",C997=""),"",IF(NOT(ISNUMBER(A997)),"Enter the date done",IF(SUMPRODUCT(('PM Plan'!$A$5:$A$304=B997)*('PM Plan'!$B$5:$B$304=C997))=0,"No matching asset + task in plan","OK")))</f>
        <v/>
      </c>
    </row>
    <row r="998" customFormat="false" ht="15" hidden="false" customHeight="false" outlineLevel="0" collapsed="false">
      <c r="A998" s="14"/>
      <c r="B998" s="9"/>
      <c r="C998" s="9"/>
      <c r="D998" s="9"/>
      <c r="E998" s="9"/>
      <c r="F998" s="17" t="str">
        <f aca="false">IF(AND(A998="",B998="",C998=""),"",IF(NOT(ISNUMBER(A998)),"Enter the date done",IF(SUMPRODUCT(('PM Plan'!$A$5:$A$304=B998)*('PM Plan'!$B$5:$B$304=C998))=0,"No matching asset + task in plan","OK")))</f>
        <v/>
      </c>
    </row>
    <row r="999" customFormat="false" ht="15" hidden="false" customHeight="false" outlineLevel="0" collapsed="false">
      <c r="A999" s="14"/>
      <c r="B999" s="9"/>
      <c r="C999" s="9"/>
      <c r="D999" s="9"/>
      <c r="E999" s="9"/>
      <c r="F999" s="17" t="str">
        <f aca="false">IF(AND(A999="",B999="",C999=""),"",IF(NOT(ISNUMBER(A999)),"Enter the date done",IF(SUMPRODUCT(('PM Plan'!$A$5:$A$304=B999)*('PM Plan'!$B$5:$B$304=C999))=0,"No matching asset + task in plan","OK")))</f>
        <v/>
      </c>
    </row>
    <row r="1000" customFormat="false" ht="15" hidden="false" customHeight="false" outlineLevel="0" collapsed="false">
      <c r="A1000" s="14"/>
      <c r="B1000" s="9"/>
      <c r="C1000" s="9"/>
      <c r="D1000" s="9"/>
      <c r="E1000" s="9"/>
      <c r="F1000" s="17" t="str">
        <f aca="false">IF(AND(A1000="",B1000="",C1000=""),"",IF(NOT(ISNUMBER(A1000)),"Enter the date done",IF(SUMPRODUCT(('PM Plan'!$A$5:$A$304=B1000)*('PM Plan'!$B$5:$B$304=C1000))=0,"No matching asset + task in plan","OK")))</f>
        <v/>
      </c>
    </row>
    <row r="1001" customFormat="false" ht="15" hidden="false" customHeight="false" outlineLevel="0" collapsed="false">
      <c r="A1001" s="14"/>
      <c r="B1001" s="9"/>
      <c r="C1001" s="9"/>
      <c r="D1001" s="9"/>
      <c r="E1001" s="9"/>
      <c r="F1001" s="17" t="str">
        <f aca="false">IF(AND(A1001="",B1001="",C1001=""),"",IF(NOT(ISNUMBER(A1001)),"Enter the date done",IF(SUMPRODUCT(('PM Plan'!$A$5:$A$304=B1001)*('PM Plan'!$B$5:$B$304=C1001))=0,"No matching asset + task in plan","OK")))</f>
        <v/>
      </c>
    </row>
    <row r="1002" customFormat="false" ht="15" hidden="false" customHeight="false" outlineLevel="0" collapsed="false">
      <c r="A1002" s="14"/>
      <c r="B1002" s="9"/>
      <c r="C1002" s="9"/>
      <c r="D1002" s="9"/>
      <c r="E1002" s="9"/>
      <c r="F1002" s="17" t="str">
        <f aca="false">IF(AND(A1002="",B1002="",C1002=""),"",IF(NOT(ISNUMBER(A1002)),"Enter the date done",IF(SUMPRODUCT(('PM Plan'!$A$5:$A$304=B1002)*('PM Plan'!$B$5:$B$304=C1002))=0,"No matching asset + task in plan","OK")))</f>
        <v/>
      </c>
    </row>
    <row r="1003" customFormat="false" ht="15" hidden="false" customHeight="false" outlineLevel="0" collapsed="false">
      <c r="A1003" s="14"/>
      <c r="B1003" s="9"/>
      <c r="C1003" s="9"/>
      <c r="D1003" s="9"/>
      <c r="E1003" s="9"/>
      <c r="F1003" s="17" t="str">
        <f aca="false">IF(AND(A1003="",B1003="",C1003=""),"",IF(NOT(ISNUMBER(A1003)),"Enter the date done",IF(SUMPRODUCT(('PM Plan'!$A$5:$A$304=B1003)*('PM Plan'!$B$5:$B$304=C1003))=0,"No matching asset + task in plan","OK")))</f>
        <v/>
      </c>
    </row>
    <row r="1004" customFormat="false" ht="15" hidden="false" customHeight="false" outlineLevel="0" collapsed="false">
      <c r="A1004" s="14"/>
      <c r="B1004" s="9"/>
      <c r="C1004" s="9"/>
      <c r="D1004" s="9"/>
      <c r="E1004" s="9"/>
      <c r="F1004" s="17" t="str">
        <f aca="false">IF(AND(A1004="",B1004="",C1004=""),"",IF(NOT(ISNUMBER(A1004)),"Enter the date done",IF(SUMPRODUCT(('PM Plan'!$A$5:$A$304=B1004)*('PM Plan'!$B$5:$B$304=C1004))=0,"No matching asset + task in plan","OK")))</f>
        <v/>
      </c>
    </row>
    <row r="1005" customFormat="false" ht="15" hidden="false" customHeight="false" outlineLevel="0" collapsed="false">
      <c r="A1005" s="14"/>
      <c r="B1005" s="9"/>
      <c r="C1005" s="9"/>
      <c r="D1005" s="9"/>
      <c r="E1005" s="9"/>
      <c r="F1005" s="17" t="str">
        <f aca="false">IF(AND(A1005="",B1005="",C1005=""),"",IF(NOT(ISNUMBER(A1005)),"Enter the date done",IF(SUMPRODUCT(('PM Plan'!$A$5:$A$304=B1005)*('PM Plan'!$B$5:$B$304=C1005))=0,"No matching asset + task in plan","OK")))</f>
        <v/>
      </c>
    </row>
    <row r="1006" customFormat="false" ht="15" hidden="false" customHeight="false" outlineLevel="0" collapsed="false">
      <c r="A1006" s="14"/>
      <c r="B1006" s="9"/>
      <c r="C1006" s="9"/>
      <c r="D1006" s="9"/>
      <c r="E1006" s="9"/>
      <c r="F1006" s="17" t="str">
        <f aca="false">IF(AND(A1006="",B1006="",C1006=""),"",IF(NOT(ISNUMBER(A1006)),"Enter the date done",IF(SUMPRODUCT(('PM Plan'!$A$5:$A$304=B1006)*('PM Plan'!$B$5:$B$304=C1006))=0,"No matching asset + task in plan","OK")))</f>
        <v/>
      </c>
    </row>
    <row r="1007" customFormat="false" ht="15" hidden="false" customHeight="false" outlineLevel="0" collapsed="false">
      <c r="A1007" s="14"/>
      <c r="B1007" s="9"/>
      <c r="C1007" s="9"/>
      <c r="D1007" s="9"/>
      <c r="E1007" s="9"/>
      <c r="F1007" s="17" t="str">
        <f aca="false">IF(AND(A1007="",B1007="",C1007=""),"",IF(NOT(ISNUMBER(A1007)),"Enter the date done",IF(SUMPRODUCT(('PM Plan'!$A$5:$A$304=B1007)*('PM Plan'!$B$5:$B$304=C1007))=0,"No matching asset + task in plan","OK")))</f>
        <v/>
      </c>
    </row>
    <row r="1008" customFormat="false" ht="15" hidden="false" customHeight="false" outlineLevel="0" collapsed="false">
      <c r="A1008" s="14"/>
      <c r="B1008" s="9"/>
      <c r="C1008" s="9"/>
      <c r="D1008" s="9"/>
      <c r="E1008" s="9"/>
      <c r="F1008" s="17" t="str">
        <f aca="false">IF(AND(A1008="",B1008="",C1008=""),"",IF(NOT(ISNUMBER(A1008)),"Enter the date done",IF(SUMPRODUCT(('PM Plan'!$A$5:$A$304=B1008)*('PM Plan'!$B$5:$B$304=C1008))=0,"No matching asset + task in plan","OK")))</f>
        <v/>
      </c>
    </row>
    <row r="1009" customFormat="false" ht="15" hidden="false" customHeight="false" outlineLevel="0" collapsed="false">
      <c r="A1009" s="14"/>
      <c r="B1009" s="9"/>
      <c r="C1009" s="9"/>
      <c r="D1009" s="9"/>
      <c r="E1009" s="9"/>
      <c r="F1009" s="17" t="str">
        <f aca="false">IF(AND(A1009="",B1009="",C1009=""),"",IF(NOT(ISNUMBER(A1009)),"Enter the date done",IF(SUMPRODUCT(('PM Plan'!$A$5:$A$304=B1009)*('PM Plan'!$B$5:$B$304=C1009))=0,"No matching asset + task in plan","OK")))</f>
        <v/>
      </c>
    </row>
    <row r="1010" customFormat="false" ht="15" hidden="false" customHeight="false" outlineLevel="0" collapsed="false">
      <c r="A1010" s="14"/>
      <c r="B1010" s="9"/>
      <c r="C1010" s="9"/>
      <c r="D1010" s="9"/>
      <c r="E1010" s="9"/>
      <c r="F1010" s="17" t="str">
        <f aca="false">IF(AND(A1010="",B1010="",C1010=""),"",IF(NOT(ISNUMBER(A1010)),"Enter the date done",IF(SUMPRODUCT(('PM Plan'!$A$5:$A$304=B1010)*('PM Plan'!$B$5:$B$304=C1010))=0,"No matching asset + task in plan","OK")))</f>
        <v/>
      </c>
    </row>
    <row r="1011" customFormat="false" ht="15" hidden="false" customHeight="false" outlineLevel="0" collapsed="false">
      <c r="A1011" s="14"/>
      <c r="B1011" s="9"/>
      <c r="C1011" s="9"/>
      <c r="D1011" s="9"/>
      <c r="E1011" s="9"/>
      <c r="F1011" s="17" t="str">
        <f aca="false">IF(AND(A1011="",B1011="",C1011=""),"",IF(NOT(ISNUMBER(A1011)),"Enter the date done",IF(SUMPRODUCT(('PM Plan'!$A$5:$A$304=B1011)*('PM Plan'!$B$5:$B$304=C1011))=0,"No matching asset + task in plan","OK")))</f>
        <v/>
      </c>
    </row>
    <row r="1012" customFormat="false" ht="15" hidden="false" customHeight="false" outlineLevel="0" collapsed="false">
      <c r="A1012" s="14"/>
      <c r="B1012" s="9"/>
      <c r="C1012" s="9"/>
      <c r="D1012" s="9"/>
      <c r="E1012" s="9"/>
      <c r="F1012" s="17" t="str">
        <f aca="false">IF(AND(A1012="",B1012="",C1012=""),"",IF(NOT(ISNUMBER(A1012)),"Enter the date done",IF(SUMPRODUCT(('PM Plan'!$A$5:$A$304=B1012)*('PM Plan'!$B$5:$B$304=C1012))=0,"No matching asset + task in plan","OK")))</f>
        <v/>
      </c>
    </row>
    <row r="1013" customFormat="false" ht="15" hidden="false" customHeight="false" outlineLevel="0" collapsed="false">
      <c r="A1013" s="14"/>
      <c r="B1013" s="9"/>
      <c r="C1013" s="9"/>
      <c r="D1013" s="9"/>
      <c r="E1013" s="9"/>
      <c r="F1013" s="17" t="str">
        <f aca="false">IF(AND(A1013="",B1013="",C1013=""),"",IF(NOT(ISNUMBER(A1013)),"Enter the date done",IF(SUMPRODUCT(('PM Plan'!$A$5:$A$304=B1013)*('PM Plan'!$B$5:$B$304=C1013))=0,"No matching asset + task in plan","OK")))</f>
        <v/>
      </c>
    </row>
    <row r="1014" customFormat="false" ht="15" hidden="false" customHeight="false" outlineLevel="0" collapsed="false">
      <c r="A1014" s="14"/>
      <c r="B1014" s="9"/>
      <c r="C1014" s="9"/>
      <c r="D1014" s="9"/>
      <c r="E1014" s="9"/>
      <c r="F1014" s="17" t="str">
        <f aca="false">IF(AND(A1014="",B1014="",C1014=""),"",IF(NOT(ISNUMBER(A1014)),"Enter the date done",IF(SUMPRODUCT(('PM Plan'!$A$5:$A$304=B1014)*('PM Plan'!$B$5:$B$304=C1014))=0,"No matching asset + task in plan","OK")))</f>
        <v/>
      </c>
    </row>
    <row r="1015" customFormat="false" ht="15" hidden="false" customHeight="false" outlineLevel="0" collapsed="false">
      <c r="A1015" s="14"/>
      <c r="B1015" s="9"/>
      <c r="C1015" s="9"/>
      <c r="D1015" s="9"/>
      <c r="E1015" s="9"/>
      <c r="F1015" s="17" t="str">
        <f aca="false">IF(AND(A1015="",B1015="",C1015=""),"",IF(NOT(ISNUMBER(A1015)),"Enter the date done",IF(SUMPRODUCT(('PM Plan'!$A$5:$A$304=B1015)*('PM Plan'!$B$5:$B$304=C1015))=0,"No matching asset + task in plan","OK")))</f>
        <v/>
      </c>
    </row>
    <row r="1016" customFormat="false" ht="15" hidden="false" customHeight="false" outlineLevel="0" collapsed="false">
      <c r="A1016" s="14"/>
      <c r="B1016" s="9"/>
      <c r="C1016" s="9"/>
      <c r="D1016" s="9"/>
      <c r="E1016" s="9"/>
      <c r="F1016" s="17" t="str">
        <f aca="false">IF(AND(A1016="",B1016="",C1016=""),"",IF(NOT(ISNUMBER(A1016)),"Enter the date done",IF(SUMPRODUCT(('PM Plan'!$A$5:$A$304=B1016)*('PM Plan'!$B$5:$B$304=C1016))=0,"No matching asset + task in plan","OK")))</f>
        <v/>
      </c>
    </row>
    <row r="1017" customFormat="false" ht="15" hidden="false" customHeight="false" outlineLevel="0" collapsed="false">
      <c r="A1017" s="14"/>
      <c r="B1017" s="9"/>
      <c r="C1017" s="9"/>
      <c r="D1017" s="9"/>
      <c r="E1017" s="9"/>
      <c r="F1017" s="17" t="str">
        <f aca="false">IF(AND(A1017="",B1017="",C1017=""),"",IF(NOT(ISNUMBER(A1017)),"Enter the date done",IF(SUMPRODUCT(('PM Plan'!$A$5:$A$304=B1017)*('PM Plan'!$B$5:$B$304=C1017))=0,"No matching asset + task in plan","OK")))</f>
        <v/>
      </c>
    </row>
    <row r="1018" customFormat="false" ht="15" hidden="false" customHeight="false" outlineLevel="0" collapsed="false">
      <c r="A1018" s="14"/>
      <c r="B1018" s="9"/>
      <c r="C1018" s="9"/>
      <c r="D1018" s="9"/>
      <c r="E1018" s="9"/>
      <c r="F1018" s="17" t="str">
        <f aca="false">IF(AND(A1018="",B1018="",C1018=""),"",IF(NOT(ISNUMBER(A1018)),"Enter the date done",IF(SUMPRODUCT(('PM Plan'!$A$5:$A$304=B1018)*('PM Plan'!$B$5:$B$304=C1018))=0,"No matching asset + task in plan","OK")))</f>
        <v/>
      </c>
    </row>
    <row r="1019" customFormat="false" ht="15" hidden="false" customHeight="false" outlineLevel="0" collapsed="false">
      <c r="A1019" s="14"/>
      <c r="B1019" s="9"/>
      <c r="C1019" s="9"/>
      <c r="D1019" s="9"/>
      <c r="E1019" s="9"/>
      <c r="F1019" s="17" t="str">
        <f aca="false">IF(AND(A1019="",B1019="",C1019=""),"",IF(NOT(ISNUMBER(A1019)),"Enter the date done",IF(SUMPRODUCT(('PM Plan'!$A$5:$A$304=B1019)*('PM Plan'!$B$5:$B$304=C1019))=0,"No matching asset + task in plan","OK")))</f>
        <v/>
      </c>
    </row>
    <row r="1020" customFormat="false" ht="15" hidden="false" customHeight="false" outlineLevel="0" collapsed="false">
      <c r="A1020" s="14"/>
      <c r="B1020" s="9"/>
      <c r="C1020" s="9"/>
      <c r="D1020" s="9"/>
      <c r="E1020" s="9"/>
      <c r="F1020" s="17" t="str">
        <f aca="false">IF(AND(A1020="",B1020="",C1020=""),"",IF(NOT(ISNUMBER(A1020)),"Enter the date done",IF(SUMPRODUCT(('PM Plan'!$A$5:$A$304=B1020)*('PM Plan'!$B$5:$B$304=C1020))=0,"No matching asset + task in plan","OK")))</f>
        <v/>
      </c>
    </row>
    <row r="1021" customFormat="false" ht="15" hidden="false" customHeight="false" outlineLevel="0" collapsed="false">
      <c r="A1021" s="14"/>
      <c r="B1021" s="9"/>
      <c r="C1021" s="9"/>
      <c r="D1021" s="9"/>
      <c r="E1021" s="9"/>
      <c r="F1021" s="17" t="str">
        <f aca="false">IF(AND(A1021="",B1021="",C1021=""),"",IF(NOT(ISNUMBER(A1021)),"Enter the date done",IF(SUMPRODUCT(('PM Plan'!$A$5:$A$304=B1021)*('PM Plan'!$B$5:$B$304=C1021))=0,"No matching asset + task in plan","OK")))</f>
        <v/>
      </c>
    </row>
    <row r="1022" customFormat="false" ht="15" hidden="false" customHeight="false" outlineLevel="0" collapsed="false">
      <c r="A1022" s="14"/>
      <c r="B1022" s="9"/>
      <c r="C1022" s="9"/>
      <c r="D1022" s="9"/>
      <c r="E1022" s="9"/>
      <c r="F1022" s="17" t="str">
        <f aca="false">IF(AND(A1022="",B1022="",C1022=""),"",IF(NOT(ISNUMBER(A1022)),"Enter the date done",IF(SUMPRODUCT(('PM Plan'!$A$5:$A$304=B1022)*('PM Plan'!$B$5:$B$304=C1022))=0,"No matching asset + task in plan","OK")))</f>
        <v/>
      </c>
    </row>
    <row r="1023" customFormat="false" ht="15" hidden="false" customHeight="false" outlineLevel="0" collapsed="false">
      <c r="A1023" s="14"/>
      <c r="B1023" s="9"/>
      <c r="C1023" s="9"/>
      <c r="D1023" s="9"/>
      <c r="E1023" s="9"/>
      <c r="F1023" s="17" t="str">
        <f aca="false">IF(AND(A1023="",B1023="",C1023=""),"",IF(NOT(ISNUMBER(A1023)),"Enter the date done",IF(SUMPRODUCT(('PM Plan'!$A$5:$A$304=B1023)*('PM Plan'!$B$5:$B$304=C1023))=0,"No matching asset + task in plan","OK")))</f>
        <v/>
      </c>
    </row>
    <row r="1024" customFormat="false" ht="15" hidden="false" customHeight="false" outlineLevel="0" collapsed="false">
      <c r="A1024" s="14"/>
      <c r="B1024" s="9"/>
      <c r="C1024" s="9"/>
      <c r="D1024" s="9"/>
      <c r="E1024" s="9"/>
      <c r="F1024" s="17" t="str">
        <f aca="false">IF(AND(A1024="",B1024="",C1024=""),"",IF(NOT(ISNUMBER(A1024)),"Enter the date done",IF(SUMPRODUCT(('PM Plan'!$A$5:$A$304=B1024)*('PM Plan'!$B$5:$B$304=C1024))=0,"No matching asset + task in plan","OK")))</f>
        <v/>
      </c>
    </row>
    <row r="1025" customFormat="false" ht="15" hidden="false" customHeight="false" outlineLevel="0" collapsed="false">
      <c r="A1025" s="14"/>
      <c r="B1025" s="9"/>
      <c r="C1025" s="9"/>
      <c r="D1025" s="9"/>
      <c r="E1025" s="9"/>
      <c r="F1025" s="17" t="str">
        <f aca="false">IF(AND(A1025="",B1025="",C1025=""),"",IF(NOT(ISNUMBER(A1025)),"Enter the date done",IF(SUMPRODUCT(('PM Plan'!$A$5:$A$304=B1025)*('PM Plan'!$B$5:$B$304=C1025))=0,"No matching asset + task in plan","OK")))</f>
        <v/>
      </c>
    </row>
    <row r="1026" customFormat="false" ht="15" hidden="false" customHeight="false" outlineLevel="0" collapsed="false">
      <c r="A1026" s="14"/>
      <c r="B1026" s="9"/>
      <c r="C1026" s="9"/>
      <c r="D1026" s="9"/>
      <c r="E1026" s="9"/>
      <c r="F1026" s="17" t="str">
        <f aca="false">IF(AND(A1026="",B1026="",C1026=""),"",IF(NOT(ISNUMBER(A1026)),"Enter the date done",IF(SUMPRODUCT(('PM Plan'!$A$5:$A$304=B1026)*('PM Plan'!$B$5:$B$304=C1026))=0,"No matching asset + task in plan","OK")))</f>
        <v/>
      </c>
    </row>
    <row r="1027" customFormat="false" ht="15" hidden="false" customHeight="false" outlineLevel="0" collapsed="false">
      <c r="A1027" s="14"/>
      <c r="B1027" s="9"/>
      <c r="C1027" s="9"/>
      <c r="D1027" s="9"/>
      <c r="E1027" s="9"/>
      <c r="F1027" s="17" t="str">
        <f aca="false">IF(AND(A1027="",B1027="",C1027=""),"",IF(NOT(ISNUMBER(A1027)),"Enter the date done",IF(SUMPRODUCT(('PM Plan'!$A$5:$A$304=B1027)*('PM Plan'!$B$5:$B$304=C1027))=0,"No matching asset + task in plan","OK")))</f>
        <v/>
      </c>
    </row>
    <row r="1028" customFormat="false" ht="15" hidden="false" customHeight="false" outlineLevel="0" collapsed="false">
      <c r="A1028" s="14"/>
      <c r="B1028" s="9"/>
      <c r="C1028" s="9"/>
      <c r="D1028" s="9"/>
      <c r="E1028" s="9"/>
      <c r="F1028" s="17" t="str">
        <f aca="false">IF(AND(A1028="",B1028="",C1028=""),"",IF(NOT(ISNUMBER(A1028)),"Enter the date done",IF(SUMPRODUCT(('PM Plan'!$A$5:$A$304=B1028)*('PM Plan'!$B$5:$B$304=C1028))=0,"No matching asset + task in plan","OK")))</f>
        <v/>
      </c>
    </row>
    <row r="1029" customFormat="false" ht="15" hidden="false" customHeight="false" outlineLevel="0" collapsed="false">
      <c r="A1029" s="14"/>
      <c r="B1029" s="9"/>
      <c r="C1029" s="9"/>
      <c r="D1029" s="9"/>
      <c r="E1029" s="9"/>
      <c r="F1029" s="17" t="str">
        <f aca="false">IF(AND(A1029="",B1029="",C1029=""),"",IF(NOT(ISNUMBER(A1029)),"Enter the date done",IF(SUMPRODUCT(('PM Plan'!$A$5:$A$304=B1029)*('PM Plan'!$B$5:$B$304=C1029))=0,"No matching asset + task in plan","OK")))</f>
        <v/>
      </c>
    </row>
    <row r="1030" customFormat="false" ht="15" hidden="false" customHeight="false" outlineLevel="0" collapsed="false">
      <c r="A1030" s="14"/>
      <c r="B1030" s="9"/>
      <c r="C1030" s="9"/>
      <c r="D1030" s="9"/>
      <c r="E1030" s="9"/>
      <c r="F1030" s="17" t="str">
        <f aca="false">IF(AND(A1030="",B1030="",C1030=""),"",IF(NOT(ISNUMBER(A1030)),"Enter the date done",IF(SUMPRODUCT(('PM Plan'!$A$5:$A$304=B1030)*('PM Plan'!$B$5:$B$304=C1030))=0,"No matching asset + task in plan","OK")))</f>
        <v/>
      </c>
    </row>
    <row r="1031" customFormat="false" ht="15" hidden="false" customHeight="false" outlineLevel="0" collapsed="false">
      <c r="A1031" s="14"/>
      <c r="B1031" s="9"/>
      <c r="C1031" s="9"/>
      <c r="D1031" s="9"/>
      <c r="E1031" s="9"/>
      <c r="F1031" s="17" t="str">
        <f aca="false">IF(AND(A1031="",B1031="",C1031=""),"",IF(NOT(ISNUMBER(A1031)),"Enter the date done",IF(SUMPRODUCT(('PM Plan'!$A$5:$A$304=B1031)*('PM Plan'!$B$5:$B$304=C1031))=0,"No matching asset + task in plan","OK")))</f>
        <v/>
      </c>
    </row>
    <row r="1032" customFormat="false" ht="15" hidden="false" customHeight="false" outlineLevel="0" collapsed="false">
      <c r="A1032" s="14"/>
      <c r="B1032" s="9"/>
      <c r="C1032" s="9"/>
      <c r="D1032" s="9"/>
      <c r="E1032" s="9"/>
      <c r="F1032" s="17" t="str">
        <f aca="false">IF(AND(A1032="",B1032="",C1032=""),"",IF(NOT(ISNUMBER(A1032)),"Enter the date done",IF(SUMPRODUCT(('PM Plan'!$A$5:$A$304=B1032)*('PM Plan'!$B$5:$B$304=C1032))=0,"No matching asset + task in plan","OK")))</f>
        <v/>
      </c>
    </row>
    <row r="1033" customFormat="false" ht="15" hidden="false" customHeight="false" outlineLevel="0" collapsed="false">
      <c r="A1033" s="14"/>
      <c r="B1033" s="9"/>
      <c r="C1033" s="9"/>
      <c r="D1033" s="9"/>
      <c r="E1033" s="9"/>
      <c r="F1033" s="17" t="str">
        <f aca="false">IF(AND(A1033="",B1033="",C1033=""),"",IF(NOT(ISNUMBER(A1033)),"Enter the date done",IF(SUMPRODUCT(('PM Plan'!$A$5:$A$304=B1033)*('PM Plan'!$B$5:$B$304=C1033))=0,"No matching asset + task in plan","OK")))</f>
        <v/>
      </c>
    </row>
    <row r="1034" customFormat="false" ht="15" hidden="false" customHeight="false" outlineLevel="0" collapsed="false">
      <c r="A1034" s="14"/>
      <c r="B1034" s="9"/>
      <c r="C1034" s="9"/>
      <c r="D1034" s="9"/>
      <c r="E1034" s="9"/>
      <c r="F1034" s="17" t="str">
        <f aca="false">IF(AND(A1034="",B1034="",C1034=""),"",IF(NOT(ISNUMBER(A1034)),"Enter the date done",IF(SUMPRODUCT(('PM Plan'!$A$5:$A$304=B1034)*('PM Plan'!$B$5:$B$304=C1034))=0,"No matching asset + task in plan","OK")))</f>
        <v/>
      </c>
    </row>
    <row r="1035" customFormat="false" ht="15" hidden="false" customHeight="false" outlineLevel="0" collapsed="false">
      <c r="A1035" s="14"/>
      <c r="B1035" s="9"/>
      <c r="C1035" s="9"/>
      <c r="D1035" s="9"/>
      <c r="E1035" s="9"/>
      <c r="F1035" s="17" t="str">
        <f aca="false">IF(AND(A1035="",B1035="",C1035=""),"",IF(NOT(ISNUMBER(A1035)),"Enter the date done",IF(SUMPRODUCT(('PM Plan'!$A$5:$A$304=B1035)*('PM Plan'!$B$5:$B$304=C1035))=0,"No matching asset + task in plan","OK")))</f>
        <v/>
      </c>
    </row>
    <row r="1036" customFormat="false" ht="15" hidden="false" customHeight="false" outlineLevel="0" collapsed="false">
      <c r="A1036" s="14"/>
      <c r="B1036" s="9"/>
      <c r="C1036" s="9"/>
      <c r="D1036" s="9"/>
      <c r="E1036" s="9"/>
      <c r="F1036" s="17" t="str">
        <f aca="false">IF(AND(A1036="",B1036="",C1036=""),"",IF(NOT(ISNUMBER(A1036)),"Enter the date done",IF(SUMPRODUCT(('PM Plan'!$A$5:$A$304=B1036)*('PM Plan'!$B$5:$B$304=C1036))=0,"No matching asset + task in plan","OK")))</f>
        <v/>
      </c>
    </row>
    <row r="1037" customFormat="false" ht="15" hidden="false" customHeight="false" outlineLevel="0" collapsed="false">
      <c r="A1037" s="14"/>
      <c r="B1037" s="9"/>
      <c r="C1037" s="9"/>
      <c r="D1037" s="9"/>
      <c r="E1037" s="9"/>
      <c r="F1037" s="17" t="str">
        <f aca="false">IF(AND(A1037="",B1037="",C1037=""),"",IF(NOT(ISNUMBER(A1037)),"Enter the date done",IF(SUMPRODUCT(('PM Plan'!$A$5:$A$304=B1037)*('PM Plan'!$B$5:$B$304=C1037))=0,"No matching asset + task in plan","OK")))</f>
        <v/>
      </c>
    </row>
    <row r="1038" customFormat="false" ht="15" hidden="false" customHeight="false" outlineLevel="0" collapsed="false">
      <c r="A1038" s="14"/>
      <c r="B1038" s="9"/>
      <c r="C1038" s="9"/>
      <c r="D1038" s="9"/>
      <c r="E1038" s="9"/>
      <c r="F1038" s="17" t="str">
        <f aca="false">IF(AND(A1038="",B1038="",C1038=""),"",IF(NOT(ISNUMBER(A1038)),"Enter the date done",IF(SUMPRODUCT(('PM Plan'!$A$5:$A$304=B1038)*('PM Plan'!$B$5:$B$304=C1038))=0,"No matching asset + task in plan","OK")))</f>
        <v/>
      </c>
    </row>
    <row r="1039" customFormat="false" ht="15" hidden="false" customHeight="false" outlineLevel="0" collapsed="false">
      <c r="A1039" s="14"/>
      <c r="B1039" s="9"/>
      <c r="C1039" s="9"/>
      <c r="D1039" s="9"/>
      <c r="E1039" s="9"/>
      <c r="F1039" s="17" t="str">
        <f aca="false">IF(AND(A1039="",B1039="",C1039=""),"",IF(NOT(ISNUMBER(A1039)),"Enter the date done",IF(SUMPRODUCT(('PM Plan'!$A$5:$A$304=B1039)*('PM Plan'!$B$5:$B$304=C1039))=0,"No matching asset + task in plan","OK")))</f>
        <v/>
      </c>
    </row>
    <row r="1040" customFormat="false" ht="15" hidden="false" customHeight="false" outlineLevel="0" collapsed="false">
      <c r="A1040" s="14"/>
      <c r="B1040" s="9"/>
      <c r="C1040" s="9"/>
      <c r="D1040" s="9"/>
      <c r="E1040" s="9"/>
      <c r="F1040" s="17" t="str">
        <f aca="false">IF(AND(A1040="",B1040="",C1040=""),"",IF(NOT(ISNUMBER(A1040)),"Enter the date done",IF(SUMPRODUCT(('PM Plan'!$A$5:$A$304=B1040)*('PM Plan'!$B$5:$B$304=C1040))=0,"No matching asset + task in plan","OK")))</f>
        <v/>
      </c>
    </row>
    <row r="1041" customFormat="false" ht="15" hidden="false" customHeight="false" outlineLevel="0" collapsed="false">
      <c r="A1041" s="14"/>
      <c r="B1041" s="9"/>
      <c r="C1041" s="9"/>
      <c r="D1041" s="9"/>
      <c r="E1041" s="9"/>
      <c r="F1041" s="17" t="str">
        <f aca="false">IF(AND(A1041="",B1041="",C1041=""),"",IF(NOT(ISNUMBER(A1041)),"Enter the date done",IF(SUMPRODUCT(('PM Plan'!$A$5:$A$304=B1041)*('PM Plan'!$B$5:$B$304=C1041))=0,"No matching asset + task in plan","OK")))</f>
        <v/>
      </c>
    </row>
    <row r="1042" customFormat="false" ht="15" hidden="false" customHeight="false" outlineLevel="0" collapsed="false">
      <c r="A1042" s="14"/>
      <c r="B1042" s="9"/>
      <c r="C1042" s="9"/>
      <c r="D1042" s="9"/>
      <c r="E1042" s="9"/>
      <c r="F1042" s="17" t="str">
        <f aca="false">IF(AND(A1042="",B1042="",C1042=""),"",IF(NOT(ISNUMBER(A1042)),"Enter the date done",IF(SUMPRODUCT(('PM Plan'!$A$5:$A$304=B1042)*('PM Plan'!$B$5:$B$304=C1042))=0,"No matching asset + task in plan","OK")))</f>
        <v/>
      </c>
    </row>
    <row r="1043" customFormat="false" ht="15" hidden="false" customHeight="false" outlineLevel="0" collapsed="false">
      <c r="A1043" s="14"/>
      <c r="B1043" s="9"/>
      <c r="C1043" s="9"/>
      <c r="D1043" s="9"/>
      <c r="E1043" s="9"/>
      <c r="F1043" s="17" t="str">
        <f aca="false">IF(AND(A1043="",B1043="",C1043=""),"",IF(NOT(ISNUMBER(A1043)),"Enter the date done",IF(SUMPRODUCT(('PM Plan'!$A$5:$A$304=B1043)*('PM Plan'!$B$5:$B$304=C1043))=0,"No matching asset + task in plan","OK")))</f>
        <v/>
      </c>
    </row>
    <row r="1044" customFormat="false" ht="15" hidden="false" customHeight="false" outlineLevel="0" collapsed="false">
      <c r="A1044" s="14"/>
      <c r="B1044" s="9"/>
      <c r="C1044" s="9"/>
      <c r="D1044" s="9"/>
      <c r="E1044" s="9"/>
      <c r="F1044" s="17" t="str">
        <f aca="false">IF(AND(A1044="",B1044="",C1044=""),"",IF(NOT(ISNUMBER(A1044)),"Enter the date done",IF(SUMPRODUCT(('PM Plan'!$A$5:$A$304=B1044)*('PM Plan'!$B$5:$B$304=C1044))=0,"No matching asset + task in plan","OK")))</f>
        <v/>
      </c>
    </row>
    <row r="1045" customFormat="false" ht="15" hidden="false" customHeight="false" outlineLevel="0" collapsed="false">
      <c r="A1045" s="14"/>
      <c r="B1045" s="9"/>
      <c r="C1045" s="9"/>
      <c r="D1045" s="9"/>
      <c r="E1045" s="9"/>
      <c r="F1045" s="17" t="str">
        <f aca="false">IF(AND(A1045="",B1045="",C1045=""),"",IF(NOT(ISNUMBER(A1045)),"Enter the date done",IF(SUMPRODUCT(('PM Plan'!$A$5:$A$304=B1045)*('PM Plan'!$B$5:$B$304=C1045))=0,"No matching asset + task in plan","OK")))</f>
        <v/>
      </c>
    </row>
    <row r="1046" customFormat="false" ht="15" hidden="false" customHeight="false" outlineLevel="0" collapsed="false">
      <c r="A1046" s="14"/>
      <c r="B1046" s="9"/>
      <c r="C1046" s="9"/>
      <c r="D1046" s="9"/>
      <c r="E1046" s="9"/>
      <c r="F1046" s="17" t="str">
        <f aca="false">IF(AND(A1046="",B1046="",C1046=""),"",IF(NOT(ISNUMBER(A1046)),"Enter the date done",IF(SUMPRODUCT(('PM Plan'!$A$5:$A$304=B1046)*('PM Plan'!$B$5:$B$304=C1046))=0,"No matching asset + task in plan","OK")))</f>
        <v/>
      </c>
    </row>
    <row r="1047" customFormat="false" ht="15" hidden="false" customHeight="false" outlineLevel="0" collapsed="false">
      <c r="A1047" s="14"/>
      <c r="B1047" s="9"/>
      <c r="C1047" s="9"/>
      <c r="D1047" s="9"/>
      <c r="E1047" s="9"/>
      <c r="F1047" s="17" t="str">
        <f aca="false">IF(AND(A1047="",B1047="",C1047=""),"",IF(NOT(ISNUMBER(A1047)),"Enter the date done",IF(SUMPRODUCT(('PM Plan'!$A$5:$A$304=B1047)*('PM Plan'!$B$5:$B$304=C1047))=0,"No matching asset + task in plan","OK")))</f>
        <v/>
      </c>
    </row>
    <row r="1048" customFormat="false" ht="15" hidden="false" customHeight="false" outlineLevel="0" collapsed="false">
      <c r="A1048" s="14"/>
      <c r="B1048" s="9"/>
      <c r="C1048" s="9"/>
      <c r="D1048" s="9"/>
      <c r="E1048" s="9"/>
      <c r="F1048" s="17" t="str">
        <f aca="false">IF(AND(A1048="",B1048="",C1048=""),"",IF(NOT(ISNUMBER(A1048)),"Enter the date done",IF(SUMPRODUCT(('PM Plan'!$A$5:$A$304=B1048)*('PM Plan'!$B$5:$B$304=C1048))=0,"No matching asset + task in plan","OK")))</f>
        <v/>
      </c>
    </row>
    <row r="1049" customFormat="false" ht="15" hidden="false" customHeight="false" outlineLevel="0" collapsed="false">
      <c r="A1049" s="14"/>
      <c r="B1049" s="9"/>
      <c r="C1049" s="9"/>
      <c r="D1049" s="9"/>
      <c r="E1049" s="9"/>
      <c r="F1049" s="17" t="str">
        <f aca="false">IF(AND(A1049="",B1049="",C1049=""),"",IF(NOT(ISNUMBER(A1049)),"Enter the date done",IF(SUMPRODUCT(('PM Plan'!$A$5:$A$304=B1049)*('PM Plan'!$B$5:$B$304=C1049))=0,"No matching asset + task in plan","OK")))</f>
        <v/>
      </c>
    </row>
    <row r="1050" customFormat="false" ht="15" hidden="false" customHeight="false" outlineLevel="0" collapsed="false">
      <c r="A1050" s="14"/>
      <c r="B1050" s="9"/>
      <c r="C1050" s="9"/>
      <c r="D1050" s="9"/>
      <c r="E1050" s="9"/>
      <c r="F1050" s="17" t="str">
        <f aca="false">IF(AND(A1050="",B1050="",C1050=""),"",IF(NOT(ISNUMBER(A1050)),"Enter the date done",IF(SUMPRODUCT(('PM Plan'!$A$5:$A$304=B1050)*('PM Plan'!$B$5:$B$304=C1050))=0,"No matching asset + task in plan","OK")))</f>
        <v/>
      </c>
    </row>
    <row r="1051" customFormat="false" ht="15" hidden="false" customHeight="false" outlineLevel="0" collapsed="false">
      <c r="A1051" s="14"/>
      <c r="B1051" s="9"/>
      <c r="C1051" s="9"/>
      <c r="D1051" s="9"/>
      <c r="E1051" s="9"/>
      <c r="F1051" s="17" t="str">
        <f aca="false">IF(AND(A1051="",B1051="",C1051=""),"",IF(NOT(ISNUMBER(A1051)),"Enter the date done",IF(SUMPRODUCT(('PM Plan'!$A$5:$A$304=B1051)*('PM Plan'!$B$5:$B$304=C1051))=0,"No matching asset + task in plan","OK")))</f>
        <v/>
      </c>
    </row>
    <row r="1052" customFormat="false" ht="15" hidden="false" customHeight="false" outlineLevel="0" collapsed="false">
      <c r="A1052" s="14"/>
      <c r="B1052" s="9"/>
      <c r="C1052" s="9"/>
      <c r="D1052" s="9"/>
      <c r="E1052" s="9"/>
      <c r="F1052" s="17" t="str">
        <f aca="false">IF(AND(A1052="",B1052="",C1052=""),"",IF(NOT(ISNUMBER(A1052)),"Enter the date done",IF(SUMPRODUCT(('PM Plan'!$A$5:$A$304=B1052)*('PM Plan'!$B$5:$B$304=C1052))=0,"No matching asset + task in plan","OK")))</f>
        <v/>
      </c>
    </row>
    <row r="1053" customFormat="false" ht="15" hidden="false" customHeight="false" outlineLevel="0" collapsed="false">
      <c r="A1053" s="14"/>
      <c r="B1053" s="9"/>
      <c r="C1053" s="9"/>
      <c r="D1053" s="9"/>
      <c r="E1053" s="9"/>
      <c r="F1053" s="17" t="str">
        <f aca="false">IF(AND(A1053="",B1053="",C1053=""),"",IF(NOT(ISNUMBER(A1053)),"Enter the date done",IF(SUMPRODUCT(('PM Plan'!$A$5:$A$304=B1053)*('PM Plan'!$B$5:$B$304=C1053))=0,"No matching asset + task in plan","OK")))</f>
        <v/>
      </c>
    </row>
    <row r="1054" customFormat="false" ht="15" hidden="false" customHeight="false" outlineLevel="0" collapsed="false">
      <c r="A1054" s="14"/>
      <c r="B1054" s="9"/>
      <c r="C1054" s="9"/>
      <c r="D1054" s="9"/>
      <c r="E1054" s="9"/>
      <c r="F1054" s="17" t="str">
        <f aca="false">IF(AND(A1054="",B1054="",C1054=""),"",IF(NOT(ISNUMBER(A1054)),"Enter the date done",IF(SUMPRODUCT(('PM Plan'!$A$5:$A$304=B1054)*('PM Plan'!$B$5:$B$304=C1054))=0,"No matching asset + task in plan","OK")))</f>
        <v/>
      </c>
    </row>
    <row r="1055" customFormat="false" ht="15" hidden="false" customHeight="false" outlineLevel="0" collapsed="false">
      <c r="A1055" s="14"/>
      <c r="B1055" s="9"/>
      <c r="C1055" s="9"/>
      <c r="D1055" s="9"/>
      <c r="E1055" s="9"/>
      <c r="F1055" s="17" t="str">
        <f aca="false">IF(AND(A1055="",B1055="",C1055=""),"",IF(NOT(ISNUMBER(A1055)),"Enter the date done",IF(SUMPRODUCT(('PM Plan'!$A$5:$A$304=B1055)*('PM Plan'!$B$5:$B$304=C1055))=0,"No matching asset + task in plan","OK")))</f>
        <v/>
      </c>
    </row>
    <row r="1056" customFormat="false" ht="15" hidden="false" customHeight="false" outlineLevel="0" collapsed="false">
      <c r="A1056" s="14"/>
      <c r="B1056" s="9"/>
      <c r="C1056" s="9"/>
      <c r="D1056" s="9"/>
      <c r="E1056" s="9"/>
      <c r="F1056" s="17" t="str">
        <f aca="false">IF(AND(A1056="",B1056="",C1056=""),"",IF(NOT(ISNUMBER(A1056)),"Enter the date done",IF(SUMPRODUCT(('PM Plan'!$A$5:$A$304=B1056)*('PM Plan'!$B$5:$B$304=C1056))=0,"No matching asset + task in plan","OK")))</f>
        <v/>
      </c>
    </row>
    <row r="1057" customFormat="false" ht="15" hidden="false" customHeight="false" outlineLevel="0" collapsed="false">
      <c r="A1057" s="14"/>
      <c r="B1057" s="9"/>
      <c r="C1057" s="9"/>
      <c r="D1057" s="9"/>
      <c r="E1057" s="9"/>
      <c r="F1057" s="17" t="str">
        <f aca="false">IF(AND(A1057="",B1057="",C1057=""),"",IF(NOT(ISNUMBER(A1057)),"Enter the date done",IF(SUMPRODUCT(('PM Plan'!$A$5:$A$304=B1057)*('PM Plan'!$B$5:$B$304=C1057))=0,"No matching asset + task in plan","OK")))</f>
        <v/>
      </c>
    </row>
    <row r="1058" customFormat="false" ht="15" hidden="false" customHeight="false" outlineLevel="0" collapsed="false">
      <c r="A1058" s="14"/>
      <c r="B1058" s="9"/>
      <c r="C1058" s="9"/>
      <c r="D1058" s="9"/>
      <c r="E1058" s="9"/>
      <c r="F1058" s="17" t="str">
        <f aca="false">IF(AND(A1058="",B1058="",C1058=""),"",IF(NOT(ISNUMBER(A1058)),"Enter the date done",IF(SUMPRODUCT(('PM Plan'!$A$5:$A$304=B1058)*('PM Plan'!$B$5:$B$304=C1058))=0,"No matching asset + task in plan","OK")))</f>
        <v/>
      </c>
    </row>
    <row r="1059" customFormat="false" ht="15" hidden="false" customHeight="false" outlineLevel="0" collapsed="false">
      <c r="A1059" s="14"/>
      <c r="B1059" s="9"/>
      <c r="C1059" s="9"/>
      <c r="D1059" s="9"/>
      <c r="E1059" s="9"/>
      <c r="F1059" s="17" t="str">
        <f aca="false">IF(AND(A1059="",B1059="",C1059=""),"",IF(NOT(ISNUMBER(A1059)),"Enter the date done",IF(SUMPRODUCT(('PM Plan'!$A$5:$A$304=B1059)*('PM Plan'!$B$5:$B$304=C1059))=0,"No matching asset + task in plan","OK")))</f>
        <v/>
      </c>
    </row>
    <row r="1060" customFormat="false" ht="15" hidden="false" customHeight="false" outlineLevel="0" collapsed="false">
      <c r="A1060" s="14"/>
      <c r="B1060" s="9"/>
      <c r="C1060" s="9"/>
      <c r="D1060" s="9"/>
      <c r="E1060" s="9"/>
      <c r="F1060" s="17" t="str">
        <f aca="false">IF(AND(A1060="",B1060="",C1060=""),"",IF(NOT(ISNUMBER(A1060)),"Enter the date done",IF(SUMPRODUCT(('PM Plan'!$A$5:$A$304=B1060)*('PM Plan'!$B$5:$B$304=C1060))=0,"No matching asset + task in plan","OK")))</f>
        <v/>
      </c>
    </row>
    <row r="1061" customFormat="false" ht="15" hidden="false" customHeight="false" outlineLevel="0" collapsed="false">
      <c r="A1061" s="14"/>
      <c r="B1061" s="9"/>
      <c r="C1061" s="9"/>
      <c r="D1061" s="9"/>
      <c r="E1061" s="9"/>
      <c r="F1061" s="17" t="str">
        <f aca="false">IF(AND(A1061="",B1061="",C1061=""),"",IF(NOT(ISNUMBER(A1061)),"Enter the date done",IF(SUMPRODUCT(('PM Plan'!$A$5:$A$304=B1061)*('PM Plan'!$B$5:$B$304=C1061))=0,"No matching asset + task in plan","OK")))</f>
        <v/>
      </c>
    </row>
    <row r="1062" customFormat="false" ht="15" hidden="false" customHeight="false" outlineLevel="0" collapsed="false">
      <c r="A1062" s="14"/>
      <c r="B1062" s="9"/>
      <c r="C1062" s="9"/>
      <c r="D1062" s="9"/>
      <c r="E1062" s="9"/>
      <c r="F1062" s="17" t="str">
        <f aca="false">IF(AND(A1062="",B1062="",C1062=""),"",IF(NOT(ISNUMBER(A1062)),"Enter the date done",IF(SUMPRODUCT(('PM Plan'!$A$5:$A$304=B1062)*('PM Plan'!$B$5:$B$304=C1062))=0,"No matching asset + task in plan","OK")))</f>
        <v/>
      </c>
    </row>
    <row r="1063" customFormat="false" ht="15" hidden="false" customHeight="false" outlineLevel="0" collapsed="false">
      <c r="A1063" s="14"/>
      <c r="B1063" s="9"/>
      <c r="C1063" s="9"/>
      <c r="D1063" s="9"/>
      <c r="E1063" s="9"/>
      <c r="F1063" s="17" t="str">
        <f aca="false">IF(AND(A1063="",B1063="",C1063=""),"",IF(NOT(ISNUMBER(A1063)),"Enter the date done",IF(SUMPRODUCT(('PM Plan'!$A$5:$A$304=B1063)*('PM Plan'!$B$5:$B$304=C1063))=0,"No matching asset + task in plan","OK")))</f>
        <v/>
      </c>
    </row>
    <row r="1064" customFormat="false" ht="15" hidden="false" customHeight="false" outlineLevel="0" collapsed="false">
      <c r="A1064" s="14"/>
      <c r="B1064" s="9"/>
      <c r="C1064" s="9"/>
      <c r="D1064" s="9"/>
      <c r="E1064" s="9"/>
      <c r="F1064" s="17" t="str">
        <f aca="false">IF(AND(A1064="",B1064="",C1064=""),"",IF(NOT(ISNUMBER(A1064)),"Enter the date done",IF(SUMPRODUCT(('PM Plan'!$A$5:$A$304=B1064)*('PM Plan'!$B$5:$B$304=C1064))=0,"No matching asset + task in plan","OK")))</f>
        <v/>
      </c>
    </row>
    <row r="1065" customFormat="false" ht="15" hidden="false" customHeight="false" outlineLevel="0" collapsed="false">
      <c r="A1065" s="14"/>
      <c r="B1065" s="9"/>
      <c r="C1065" s="9"/>
      <c r="D1065" s="9"/>
      <c r="E1065" s="9"/>
      <c r="F1065" s="17" t="str">
        <f aca="false">IF(AND(A1065="",B1065="",C1065=""),"",IF(NOT(ISNUMBER(A1065)),"Enter the date done",IF(SUMPRODUCT(('PM Plan'!$A$5:$A$304=B1065)*('PM Plan'!$B$5:$B$304=C1065))=0,"No matching asset + task in plan","OK")))</f>
        <v/>
      </c>
    </row>
    <row r="1066" customFormat="false" ht="15" hidden="false" customHeight="false" outlineLevel="0" collapsed="false">
      <c r="A1066" s="14"/>
      <c r="B1066" s="9"/>
      <c r="C1066" s="9"/>
      <c r="D1066" s="9"/>
      <c r="E1066" s="9"/>
      <c r="F1066" s="17" t="str">
        <f aca="false">IF(AND(A1066="",B1066="",C1066=""),"",IF(NOT(ISNUMBER(A1066)),"Enter the date done",IF(SUMPRODUCT(('PM Plan'!$A$5:$A$304=B1066)*('PM Plan'!$B$5:$B$304=C1066))=0,"No matching asset + task in plan","OK")))</f>
        <v/>
      </c>
    </row>
    <row r="1067" customFormat="false" ht="15" hidden="false" customHeight="false" outlineLevel="0" collapsed="false">
      <c r="A1067" s="14"/>
      <c r="B1067" s="9"/>
      <c r="C1067" s="9"/>
      <c r="D1067" s="9"/>
      <c r="E1067" s="9"/>
      <c r="F1067" s="17" t="str">
        <f aca="false">IF(AND(A1067="",B1067="",C1067=""),"",IF(NOT(ISNUMBER(A1067)),"Enter the date done",IF(SUMPRODUCT(('PM Plan'!$A$5:$A$304=B1067)*('PM Plan'!$B$5:$B$304=C1067))=0,"No matching asset + task in plan","OK")))</f>
        <v/>
      </c>
    </row>
    <row r="1068" customFormat="false" ht="15" hidden="false" customHeight="false" outlineLevel="0" collapsed="false">
      <c r="A1068" s="14"/>
      <c r="B1068" s="9"/>
      <c r="C1068" s="9"/>
      <c r="D1068" s="9"/>
      <c r="E1068" s="9"/>
      <c r="F1068" s="17" t="str">
        <f aca="false">IF(AND(A1068="",B1068="",C1068=""),"",IF(NOT(ISNUMBER(A1068)),"Enter the date done",IF(SUMPRODUCT(('PM Plan'!$A$5:$A$304=B1068)*('PM Plan'!$B$5:$B$304=C1068))=0,"No matching asset + task in plan","OK")))</f>
        <v/>
      </c>
    </row>
    <row r="1069" customFormat="false" ht="15" hidden="false" customHeight="false" outlineLevel="0" collapsed="false">
      <c r="A1069" s="14"/>
      <c r="B1069" s="9"/>
      <c r="C1069" s="9"/>
      <c r="D1069" s="9"/>
      <c r="E1069" s="9"/>
      <c r="F1069" s="17" t="str">
        <f aca="false">IF(AND(A1069="",B1069="",C1069=""),"",IF(NOT(ISNUMBER(A1069)),"Enter the date done",IF(SUMPRODUCT(('PM Plan'!$A$5:$A$304=B1069)*('PM Plan'!$B$5:$B$304=C1069))=0,"No matching asset + task in plan","OK")))</f>
        <v/>
      </c>
    </row>
    <row r="1070" customFormat="false" ht="15" hidden="false" customHeight="false" outlineLevel="0" collapsed="false">
      <c r="A1070" s="14"/>
      <c r="B1070" s="9"/>
      <c r="C1070" s="9"/>
      <c r="D1070" s="9"/>
      <c r="E1070" s="9"/>
      <c r="F1070" s="17" t="str">
        <f aca="false">IF(AND(A1070="",B1070="",C1070=""),"",IF(NOT(ISNUMBER(A1070)),"Enter the date done",IF(SUMPRODUCT(('PM Plan'!$A$5:$A$304=B1070)*('PM Plan'!$B$5:$B$304=C1070))=0,"No matching asset + task in plan","OK")))</f>
        <v/>
      </c>
    </row>
    <row r="1071" customFormat="false" ht="15" hidden="false" customHeight="false" outlineLevel="0" collapsed="false">
      <c r="A1071" s="14"/>
      <c r="B1071" s="9"/>
      <c r="C1071" s="9"/>
      <c r="D1071" s="9"/>
      <c r="E1071" s="9"/>
      <c r="F1071" s="17" t="str">
        <f aca="false">IF(AND(A1071="",B1071="",C1071=""),"",IF(NOT(ISNUMBER(A1071)),"Enter the date done",IF(SUMPRODUCT(('PM Plan'!$A$5:$A$304=B1071)*('PM Plan'!$B$5:$B$304=C1071))=0,"No matching asset + task in plan","OK")))</f>
        <v/>
      </c>
    </row>
    <row r="1072" customFormat="false" ht="15" hidden="false" customHeight="false" outlineLevel="0" collapsed="false">
      <c r="A1072" s="14"/>
      <c r="B1072" s="9"/>
      <c r="C1072" s="9"/>
      <c r="D1072" s="9"/>
      <c r="E1072" s="9"/>
      <c r="F1072" s="17" t="str">
        <f aca="false">IF(AND(A1072="",B1072="",C1072=""),"",IF(NOT(ISNUMBER(A1072)),"Enter the date done",IF(SUMPRODUCT(('PM Plan'!$A$5:$A$304=B1072)*('PM Plan'!$B$5:$B$304=C1072))=0,"No matching asset + task in plan","OK")))</f>
        <v/>
      </c>
    </row>
    <row r="1073" customFormat="false" ht="15" hidden="false" customHeight="false" outlineLevel="0" collapsed="false">
      <c r="A1073" s="14"/>
      <c r="B1073" s="9"/>
      <c r="C1073" s="9"/>
      <c r="D1073" s="9"/>
      <c r="E1073" s="9"/>
      <c r="F1073" s="17" t="str">
        <f aca="false">IF(AND(A1073="",B1073="",C1073=""),"",IF(NOT(ISNUMBER(A1073)),"Enter the date done",IF(SUMPRODUCT(('PM Plan'!$A$5:$A$304=B1073)*('PM Plan'!$B$5:$B$304=C1073))=0,"No matching asset + task in plan","OK")))</f>
        <v/>
      </c>
    </row>
    <row r="1074" customFormat="false" ht="15" hidden="false" customHeight="false" outlineLevel="0" collapsed="false">
      <c r="A1074" s="14"/>
      <c r="B1074" s="9"/>
      <c r="C1074" s="9"/>
      <c r="D1074" s="9"/>
      <c r="E1074" s="9"/>
      <c r="F1074" s="17" t="str">
        <f aca="false">IF(AND(A1074="",B1074="",C1074=""),"",IF(NOT(ISNUMBER(A1074)),"Enter the date done",IF(SUMPRODUCT(('PM Plan'!$A$5:$A$304=B1074)*('PM Plan'!$B$5:$B$304=C1074))=0,"No matching asset + task in plan","OK")))</f>
        <v/>
      </c>
    </row>
    <row r="1075" customFormat="false" ht="15" hidden="false" customHeight="false" outlineLevel="0" collapsed="false">
      <c r="A1075" s="14"/>
      <c r="B1075" s="9"/>
      <c r="C1075" s="9"/>
      <c r="D1075" s="9"/>
      <c r="E1075" s="9"/>
      <c r="F1075" s="17" t="str">
        <f aca="false">IF(AND(A1075="",B1075="",C1075=""),"",IF(NOT(ISNUMBER(A1075)),"Enter the date done",IF(SUMPRODUCT(('PM Plan'!$A$5:$A$304=B1075)*('PM Plan'!$B$5:$B$304=C1075))=0,"No matching asset + task in plan","OK")))</f>
        <v/>
      </c>
    </row>
    <row r="1076" customFormat="false" ht="15" hidden="false" customHeight="false" outlineLevel="0" collapsed="false">
      <c r="A1076" s="14"/>
      <c r="B1076" s="9"/>
      <c r="C1076" s="9"/>
      <c r="D1076" s="9"/>
      <c r="E1076" s="9"/>
      <c r="F1076" s="17" t="str">
        <f aca="false">IF(AND(A1076="",B1076="",C1076=""),"",IF(NOT(ISNUMBER(A1076)),"Enter the date done",IF(SUMPRODUCT(('PM Plan'!$A$5:$A$304=B1076)*('PM Plan'!$B$5:$B$304=C1076))=0,"No matching asset + task in plan","OK")))</f>
        <v/>
      </c>
    </row>
    <row r="1077" customFormat="false" ht="15" hidden="false" customHeight="false" outlineLevel="0" collapsed="false">
      <c r="A1077" s="14"/>
      <c r="B1077" s="9"/>
      <c r="C1077" s="9"/>
      <c r="D1077" s="9"/>
      <c r="E1077" s="9"/>
      <c r="F1077" s="17" t="str">
        <f aca="false">IF(AND(A1077="",B1077="",C1077=""),"",IF(NOT(ISNUMBER(A1077)),"Enter the date done",IF(SUMPRODUCT(('PM Plan'!$A$5:$A$304=B1077)*('PM Plan'!$B$5:$B$304=C1077))=0,"No matching asset + task in plan","OK")))</f>
        <v/>
      </c>
    </row>
    <row r="1078" customFormat="false" ht="15" hidden="false" customHeight="false" outlineLevel="0" collapsed="false">
      <c r="A1078" s="14"/>
      <c r="B1078" s="9"/>
      <c r="C1078" s="9"/>
      <c r="D1078" s="9"/>
      <c r="E1078" s="9"/>
      <c r="F1078" s="17" t="str">
        <f aca="false">IF(AND(A1078="",B1078="",C1078=""),"",IF(NOT(ISNUMBER(A1078)),"Enter the date done",IF(SUMPRODUCT(('PM Plan'!$A$5:$A$304=B1078)*('PM Plan'!$B$5:$B$304=C1078))=0,"No matching asset + task in plan","OK")))</f>
        <v/>
      </c>
    </row>
    <row r="1079" customFormat="false" ht="15" hidden="false" customHeight="false" outlineLevel="0" collapsed="false">
      <c r="A1079" s="14"/>
      <c r="B1079" s="9"/>
      <c r="C1079" s="9"/>
      <c r="D1079" s="9"/>
      <c r="E1079" s="9"/>
      <c r="F1079" s="17" t="str">
        <f aca="false">IF(AND(A1079="",B1079="",C1079=""),"",IF(NOT(ISNUMBER(A1079)),"Enter the date done",IF(SUMPRODUCT(('PM Plan'!$A$5:$A$304=B1079)*('PM Plan'!$B$5:$B$304=C1079))=0,"No matching asset + task in plan","OK")))</f>
        <v/>
      </c>
    </row>
    <row r="1080" customFormat="false" ht="15" hidden="false" customHeight="false" outlineLevel="0" collapsed="false">
      <c r="A1080" s="14"/>
      <c r="B1080" s="9"/>
      <c r="C1080" s="9"/>
      <c r="D1080" s="9"/>
      <c r="E1080" s="9"/>
      <c r="F1080" s="17" t="str">
        <f aca="false">IF(AND(A1080="",B1080="",C1080=""),"",IF(NOT(ISNUMBER(A1080)),"Enter the date done",IF(SUMPRODUCT(('PM Plan'!$A$5:$A$304=B1080)*('PM Plan'!$B$5:$B$304=C1080))=0,"No matching asset + task in plan","OK")))</f>
        <v/>
      </c>
    </row>
    <row r="1081" customFormat="false" ht="15" hidden="false" customHeight="false" outlineLevel="0" collapsed="false">
      <c r="A1081" s="14"/>
      <c r="B1081" s="9"/>
      <c r="C1081" s="9"/>
      <c r="D1081" s="9"/>
      <c r="E1081" s="9"/>
      <c r="F1081" s="17" t="str">
        <f aca="false">IF(AND(A1081="",B1081="",C1081=""),"",IF(NOT(ISNUMBER(A1081)),"Enter the date done",IF(SUMPRODUCT(('PM Plan'!$A$5:$A$304=B1081)*('PM Plan'!$B$5:$B$304=C1081))=0,"No matching asset + task in plan","OK")))</f>
        <v/>
      </c>
    </row>
    <row r="1082" customFormat="false" ht="15" hidden="false" customHeight="false" outlineLevel="0" collapsed="false">
      <c r="A1082" s="14"/>
      <c r="B1082" s="9"/>
      <c r="C1082" s="9"/>
      <c r="D1082" s="9"/>
      <c r="E1082" s="9"/>
      <c r="F1082" s="17" t="str">
        <f aca="false">IF(AND(A1082="",B1082="",C1082=""),"",IF(NOT(ISNUMBER(A1082)),"Enter the date done",IF(SUMPRODUCT(('PM Plan'!$A$5:$A$304=B1082)*('PM Plan'!$B$5:$B$304=C1082))=0,"No matching asset + task in plan","OK")))</f>
        <v/>
      </c>
    </row>
    <row r="1083" customFormat="false" ht="15" hidden="false" customHeight="false" outlineLevel="0" collapsed="false">
      <c r="A1083" s="14"/>
      <c r="B1083" s="9"/>
      <c r="C1083" s="9"/>
      <c r="D1083" s="9"/>
      <c r="E1083" s="9"/>
      <c r="F1083" s="17" t="str">
        <f aca="false">IF(AND(A1083="",B1083="",C1083=""),"",IF(NOT(ISNUMBER(A1083)),"Enter the date done",IF(SUMPRODUCT(('PM Plan'!$A$5:$A$304=B1083)*('PM Plan'!$B$5:$B$304=C1083))=0,"No matching asset + task in plan","OK")))</f>
        <v/>
      </c>
    </row>
    <row r="1084" customFormat="false" ht="15" hidden="false" customHeight="false" outlineLevel="0" collapsed="false">
      <c r="A1084" s="14"/>
      <c r="B1084" s="9"/>
      <c r="C1084" s="9"/>
      <c r="D1084" s="9"/>
      <c r="E1084" s="9"/>
      <c r="F1084" s="17" t="str">
        <f aca="false">IF(AND(A1084="",B1084="",C1084=""),"",IF(NOT(ISNUMBER(A1084)),"Enter the date done",IF(SUMPRODUCT(('PM Plan'!$A$5:$A$304=B1084)*('PM Plan'!$B$5:$B$304=C1084))=0,"No matching asset + task in plan","OK")))</f>
        <v/>
      </c>
    </row>
    <row r="1085" customFormat="false" ht="15" hidden="false" customHeight="false" outlineLevel="0" collapsed="false">
      <c r="A1085" s="14"/>
      <c r="B1085" s="9"/>
      <c r="C1085" s="9"/>
      <c r="D1085" s="9"/>
      <c r="E1085" s="9"/>
      <c r="F1085" s="17" t="str">
        <f aca="false">IF(AND(A1085="",B1085="",C1085=""),"",IF(NOT(ISNUMBER(A1085)),"Enter the date done",IF(SUMPRODUCT(('PM Plan'!$A$5:$A$304=B1085)*('PM Plan'!$B$5:$B$304=C1085))=0,"No matching asset + task in plan","OK")))</f>
        <v/>
      </c>
    </row>
    <row r="1086" customFormat="false" ht="15" hidden="false" customHeight="false" outlineLevel="0" collapsed="false">
      <c r="A1086" s="14"/>
      <c r="B1086" s="9"/>
      <c r="C1086" s="9"/>
      <c r="D1086" s="9"/>
      <c r="E1086" s="9"/>
      <c r="F1086" s="17" t="str">
        <f aca="false">IF(AND(A1086="",B1086="",C1086=""),"",IF(NOT(ISNUMBER(A1086)),"Enter the date done",IF(SUMPRODUCT(('PM Plan'!$A$5:$A$304=B1086)*('PM Plan'!$B$5:$B$304=C1086))=0,"No matching asset + task in plan","OK")))</f>
        <v/>
      </c>
    </row>
    <row r="1087" customFormat="false" ht="15" hidden="false" customHeight="false" outlineLevel="0" collapsed="false">
      <c r="A1087" s="14"/>
      <c r="B1087" s="9"/>
      <c r="C1087" s="9"/>
      <c r="D1087" s="9"/>
      <c r="E1087" s="9"/>
      <c r="F1087" s="17" t="str">
        <f aca="false">IF(AND(A1087="",B1087="",C1087=""),"",IF(NOT(ISNUMBER(A1087)),"Enter the date done",IF(SUMPRODUCT(('PM Plan'!$A$5:$A$304=B1087)*('PM Plan'!$B$5:$B$304=C1087))=0,"No matching asset + task in plan","OK")))</f>
        <v/>
      </c>
    </row>
    <row r="1088" customFormat="false" ht="15" hidden="false" customHeight="false" outlineLevel="0" collapsed="false">
      <c r="A1088" s="14"/>
      <c r="B1088" s="9"/>
      <c r="C1088" s="9"/>
      <c r="D1088" s="9"/>
      <c r="E1088" s="9"/>
      <c r="F1088" s="17" t="str">
        <f aca="false">IF(AND(A1088="",B1088="",C1088=""),"",IF(NOT(ISNUMBER(A1088)),"Enter the date done",IF(SUMPRODUCT(('PM Plan'!$A$5:$A$304=B1088)*('PM Plan'!$B$5:$B$304=C1088))=0,"No matching asset + task in plan","OK")))</f>
        <v/>
      </c>
    </row>
    <row r="1089" customFormat="false" ht="15" hidden="false" customHeight="false" outlineLevel="0" collapsed="false">
      <c r="A1089" s="14"/>
      <c r="B1089" s="9"/>
      <c r="C1089" s="9"/>
      <c r="D1089" s="9"/>
      <c r="E1089" s="9"/>
      <c r="F1089" s="17" t="str">
        <f aca="false">IF(AND(A1089="",B1089="",C1089=""),"",IF(NOT(ISNUMBER(A1089)),"Enter the date done",IF(SUMPRODUCT(('PM Plan'!$A$5:$A$304=B1089)*('PM Plan'!$B$5:$B$304=C1089))=0,"No matching asset + task in plan","OK")))</f>
        <v/>
      </c>
    </row>
    <row r="1090" customFormat="false" ht="15" hidden="false" customHeight="false" outlineLevel="0" collapsed="false">
      <c r="A1090" s="14"/>
      <c r="B1090" s="9"/>
      <c r="C1090" s="9"/>
      <c r="D1090" s="9"/>
      <c r="E1090" s="9"/>
      <c r="F1090" s="17" t="str">
        <f aca="false">IF(AND(A1090="",B1090="",C1090=""),"",IF(NOT(ISNUMBER(A1090)),"Enter the date done",IF(SUMPRODUCT(('PM Plan'!$A$5:$A$304=B1090)*('PM Plan'!$B$5:$B$304=C1090))=0,"No matching asset + task in plan","OK")))</f>
        <v/>
      </c>
    </row>
    <row r="1091" customFormat="false" ht="15" hidden="false" customHeight="false" outlineLevel="0" collapsed="false">
      <c r="A1091" s="14"/>
      <c r="B1091" s="9"/>
      <c r="C1091" s="9"/>
      <c r="D1091" s="9"/>
      <c r="E1091" s="9"/>
      <c r="F1091" s="17" t="str">
        <f aca="false">IF(AND(A1091="",B1091="",C1091=""),"",IF(NOT(ISNUMBER(A1091)),"Enter the date done",IF(SUMPRODUCT(('PM Plan'!$A$5:$A$304=B1091)*('PM Plan'!$B$5:$B$304=C1091))=0,"No matching asset + task in plan","OK")))</f>
        <v/>
      </c>
    </row>
    <row r="1092" customFormat="false" ht="15" hidden="false" customHeight="false" outlineLevel="0" collapsed="false">
      <c r="A1092" s="14"/>
      <c r="B1092" s="9"/>
      <c r="C1092" s="9"/>
      <c r="D1092" s="9"/>
      <c r="E1092" s="9"/>
      <c r="F1092" s="17" t="str">
        <f aca="false">IF(AND(A1092="",B1092="",C1092=""),"",IF(NOT(ISNUMBER(A1092)),"Enter the date done",IF(SUMPRODUCT(('PM Plan'!$A$5:$A$304=B1092)*('PM Plan'!$B$5:$B$304=C1092))=0,"No matching asset + task in plan","OK")))</f>
        <v/>
      </c>
    </row>
    <row r="1093" customFormat="false" ht="15" hidden="false" customHeight="false" outlineLevel="0" collapsed="false">
      <c r="A1093" s="14"/>
      <c r="B1093" s="9"/>
      <c r="C1093" s="9"/>
      <c r="D1093" s="9"/>
      <c r="E1093" s="9"/>
      <c r="F1093" s="17" t="str">
        <f aca="false">IF(AND(A1093="",B1093="",C1093=""),"",IF(NOT(ISNUMBER(A1093)),"Enter the date done",IF(SUMPRODUCT(('PM Plan'!$A$5:$A$304=B1093)*('PM Plan'!$B$5:$B$304=C1093))=0,"No matching asset + task in plan","OK")))</f>
        <v/>
      </c>
    </row>
    <row r="1094" customFormat="false" ht="15" hidden="false" customHeight="false" outlineLevel="0" collapsed="false">
      <c r="A1094" s="14"/>
      <c r="B1094" s="9"/>
      <c r="C1094" s="9"/>
      <c r="D1094" s="9"/>
      <c r="E1094" s="9"/>
      <c r="F1094" s="17" t="str">
        <f aca="false">IF(AND(A1094="",B1094="",C1094=""),"",IF(NOT(ISNUMBER(A1094)),"Enter the date done",IF(SUMPRODUCT(('PM Plan'!$A$5:$A$304=B1094)*('PM Plan'!$B$5:$B$304=C1094))=0,"No matching asset + task in plan","OK")))</f>
        <v/>
      </c>
    </row>
    <row r="1095" customFormat="false" ht="15" hidden="false" customHeight="false" outlineLevel="0" collapsed="false">
      <c r="A1095" s="14"/>
      <c r="B1095" s="9"/>
      <c r="C1095" s="9"/>
      <c r="D1095" s="9"/>
      <c r="E1095" s="9"/>
      <c r="F1095" s="17" t="str">
        <f aca="false">IF(AND(A1095="",B1095="",C1095=""),"",IF(NOT(ISNUMBER(A1095)),"Enter the date done",IF(SUMPRODUCT(('PM Plan'!$A$5:$A$304=B1095)*('PM Plan'!$B$5:$B$304=C1095))=0,"No matching asset + task in plan","OK")))</f>
        <v/>
      </c>
    </row>
    <row r="1096" customFormat="false" ht="15" hidden="false" customHeight="false" outlineLevel="0" collapsed="false">
      <c r="A1096" s="14"/>
      <c r="B1096" s="9"/>
      <c r="C1096" s="9"/>
      <c r="D1096" s="9"/>
      <c r="E1096" s="9"/>
      <c r="F1096" s="17" t="str">
        <f aca="false">IF(AND(A1096="",B1096="",C1096=""),"",IF(NOT(ISNUMBER(A1096)),"Enter the date done",IF(SUMPRODUCT(('PM Plan'!$A$5:$A$304=B1096)*('PM Plan'!$B$5:$B$304=C1096))=0,"No matching asset + task in plan","OK")))</f>
        <v/>
      </c>
    </row>
    <row r="1097" customFormat="false" ht="15" hidden="false" customHeight="false" outlineLevel="0" collapsed="false">
      <c r="A1097" s="14"/>
      <c r="B1097" s="9"/>
      <c r="C1097" s="9"/>
      <c r="D1097" s="9"/>
      <c r="E1097" s="9"/>
      <c r="F1097" s="17" t="str">
        <f aca="false">IF(AND(A1097="",B1097="",C1097=""),"",IF(NOT(ISNUMBER(A1097)),"Enter the date done",IF(SUMPRODUCT(('PM Plan'!$A$5:$A$304=B1097)*('PM Plan'!$B$5:$B$304=C1097))=0,"No matching asset + task in plan","OK")))</f>
        <v/>
      </c>
    </row>
    <row r="1098" customFormat="false" ht="15" hidden="false" customHeight="false" outlineLevel="0" collapsed="false">
      <c r="A1098" s="14"/>
      <c r="B1098" s="9"/>
      <c r="C1098" s="9"/>
      <c r="D1098" s="9"/>
      <c r="E1098" s="9"/>
      <c r="F1098" s="17" t="str">
        <f aca="false">IF(AND(A1098="",B1098="",C1098=""),"",IF(NOT(ISNUMBER(A1098)),"Enter the date done",IF(SUMPRODUCT(('PM Plan'!$A$5:$A$304=B1098)*('PM Plan'!$B$5:$B$304=C1098))=0,"No matching asset + task in plan","OK")))</f>
        <v/>
      </c>
    </row>
    <row r="1099" customFormat="false" ht="15" hidden="false" customHeight="false" outlineLevel="0" collapsed="false">
      <c r="A1099" s="14"/>
      <c r="B1099" s="9"/>
      <c r="C1099" s="9"/>
      <c r="D1099" s="9"/>
      <c r="E1099" s="9"/>
      <c r="F1099" s="17" t="str">
        <f aca="false">IF(AND(A1099="",B1099="",C1099=""),"",IF(NOT(ISNUMBER(A1099)),"Enter the date done",IF(SUMPRODUCT(('PM Plan'!$A$5:$A$304=B1099)*('PM Plan'!$B$5:$B$304=C1099))=0,"No matching asset + task in plan","OK")))</f>
        <v/>
      </c>
    </row>
    <row r="1100" customFormat="false" ht="15" hidden="false" customHeight="false" outlineLevel="0" collapsed="false">
      <c r="A1100" s="14"/>
      <c r="B1100" s="9"/>
      <c r="C1100" s="9"/>
      <c r="D1100" s="9"/>
      <c r="E1100" s="9"/>
      <c r="F1100" s="17" t="str">
        <f aca="false">IF(AND(A1100="",B1100="",C1100=""),"",IF(NOT(ISNUMBER(A1100)),"Enter the date done",IF(SUMPRODUCT(('PM Plan'!$A$5:$A$304=B1100)*('PM Plan'!$B$5:$B$304=C1100))=0,"No matching asset + task in plan","OK")))</f>
        <v/>
      </c>
    </row>
    <row r="1101" customFormat="false" ht="15" hidden="false" customHeight="false" outlineLevel="0" collapsed="false">
      <c r="A1101" s="14"/>
      <c r="B1101" s="9"/>
      <c r="C1101" s="9"/>
      <c r="D1101" s="9"/>
      <c r="E1101" s="9"/>
      <c r="F1101" s="17" t="str">
        <f aca="false">IF(AND(A1101="",B1101="",C1101=""),"",IF(NOT(ISNUMBER(A1101)),"Enter the date done",IF(SUMPRODUCT(('PM Plan'!$A$5:$A$304=B1101)*('PM Plan'!$B$5:$B$304=C1101))=0,"No matching asset + task in plan","OK")))</f>
        <v/>
      </c>
    </row>
    <row r="1102" customFormat="false" ht="15" hidden="false" customHeight="false" outlineLevel="0" collapsed="false">
      <c r="A1102" s="14"/>
      <c r="B1102" s="9"/>
      <c r="C1102" s="9"/>
      <c r="D1102" s="9"/>
      <c r="E1102" s="9"/>
      <c r="F1102" s="17" t="str">
        <f aca="false">IF(AND(A1102="",B1102="",C1102=""),"",IF(NOT(ISNUMBER(A1102)),"Enter the date done",IF(SUMPRODUCT(('PM Plan'!$A$5:$A$304=B1102)*('PM Plan'!$B$5:$B$304=C1102))=0,"No matching asset + task in plan","OK")))</f>
        <v/>
      </c>
    </row>
    <row r="1103" customFormat="false" ht="15" hidden="false" customHeight="false" outlineLevel="0" collapsed="false">
      <c r="A1103" s="14"/>
      <c r="B1103" s="9"/>
      <c r="C1103" s="9"/>
      <c r="D1103" s="9"/>
      <c r="E1103" s="9"/>
      <c r="F1103" s="17" t="str">
        <f aca="false">IF(AND(A1103="",B1103="",C1103=""),"",IF(NOT(ISNUMBER(A1103)),"Enter the date done",IF(SUMPRODUCT(('PM Plan'!$A$5:$A$304=B1103)*('PM Plan'!$B$5:$B$304=C1103))=0,"No matching asset + task in plan","OK")))</f>
        <v/>
      </c>
    </row>
    <row r="1104" customFormat="false" ht="15" hidden="false" customHeight="false" outlineLevel="0" collapsed="false">
      <c r="A1104" s="14"/>
      <c r="B1104" s="9"/>
      <c r="C1104" s="9"/>
      <c r="D1104" s="9"/>
      <c r="E1104" s="9"/>
      <c r="F1104" s="17" t="str">
        <f aca="false">IF(AND(A1104="",B1104="",C1104=""),"",IF(NOT(ISNUMBER(A1104)),"Enter the date done",IF(SUMPRODUCT(('PM Plan'!$A$5:$A$304=B1104)*('PM Plan'!$B$5:$B$304=C1104))=0,"No matching asset + task in plan","OK")))</f>
        <v/>
      </c>
    </row>
    <row r="1105" customFormat="false" ht="15" hidden="false" customHeight="false" outlineLevel="0" collapsed="false">
      <c r="A1105" s="14"/>
      <c r="B1105" s="9"/>
      <c r="C1105" s="9"/>
      <c r="D1105" s="9"/>
      <c r="E1105" s="9"/>
      <c r="F1105" s="17" t="str">
        <f aca="false">IF(AND(A1105="",B1105="",C1105=""),"",IF(NOT(ISNUMBER(A1105)),"Enter the date done",IF(SUMPRODUCT(('PM Plan'!$A$5:$A$304=B1105)*('PM Plan'!$B$5:$B$304=C1105))=0,"No matching asset + task in plan","OK")))</f>
        <v/>
      </c>
    </row>
    <row r="1106" customFormat="false" ht="15" hidden="false" customHeight="false" outlineLevel="0" collapsed="false">
      <c r="A1106" s="14"/>
      <c r="B1106" s="9"/>
      <c r="C1106" s="9"/>
      <c r="D1106" s="9"/>
      <c r="E1106" s="9"/>
      <c r="F1106" s="17" t="str">
        <f aca="false">IF(AND(A1106="",B1106="",C1106=""),"",IF(NOT(ISNUMBER(A1106)),"Enter the date done",IF(SUMPRODUCT(('PM Plan'!$A$5:$A$304=B1106)*('PM Plan'!$B$5:$B$304=C1106))=0,"No matching asset + task in plan","OK")))</f>
        <v/>
      </c>
    </row>
    <row r="1107" customFormat="false" ht="15" hidden="false" customHeight="false" outlineLevel="0" collapsed="false">
      <c r="A1107" s="14"/>
      <c r="B1107" s="9"/>
      <c r="C1107" s="9"/>
      <c r="D1107" s="9"/>
      <c r="E1107" s="9"/>
      <c r="F1107" s="17" t="str">
        <f aca="false">IF(AND(A1107="",B1107="",C1107=""),"",IF(NOT(ISNUMBER(A1107)),"Enter the date done",IF(SUMPRODUCT(('PM Plan'!$A$5:$A$304=B1107)*('PM Plan'!$B$5:$B$304=C1107))=0,"No matching asset + task in plan","OK")))</f>
        <v/>
      </c>
    </row>
    <row r="1108" customFormat="false" ht="15" hidden="false" customHeight="false" outlineLevel="0" collapsed="false">
      <c r="A1108" s="14"/>
      <c r="B1108" s="9"/>
      <c r="C1108" s="9"/>
      <c r="D1108" s="9"/>
      <c r="E1108" s="9"/>
      <c r="F1108" s="17" t="str">
        <f aca="false">IF(AND(A1108="",B1108="",C1108=""),"",IF(NOT(ISNUMBER(A1108)),"Enter the date done",IF(SUMPRODUCT(('PM Plan'!$A$5:$A$304=B1108)*('PM Plan'!$B$5:$B$304=C1108))=0,"No matching asset + task in plan","OK")))</f>
        <v/>
      </c>
    </row>
    <row r="1109" customFormat="false" ht="15" hidden="false" customHeight="false" outlineLevel="0" collapsed="false">
      <c r="A1109" s="14"/>
      <c r="B1109" s="9"/>
      <c r="C1109" s="9"/>
      <c r="D1109" s="9"/>
      <c r="E1109" s="9"/>
      <c r="F1109" s="17" t="str">
        <f aca="false">IF(AND(A1109="",B1109="",C1109=""),"",IF(NOT(ISNUMBER(A1109)),"Enter the date done",IF(SUMPRODUCT(('PM Plan'!$A$5:$A$304=B1109)*('PM Plan'!$B$5:$B$304=C1109))=0,"No matching asset + task in plan","OK")))</f>
        <v/>
      </c>
    </row>
    <row r="1110" customFormat="false" ht="15" hidden="false" customHeight="false" outlineLevel="0" collapsed="false">
      <c r="A1110" s="14"/>
      <c r="B1110" s="9"/>
      <c r="C1110" s="9"/>
      <c r="D1110" s="9"/>
      <c r="E1110" s="9"/>
      <c r="F1110" s="17" t="str">
        <f aca="false">IF(AND(A1110="",B1110="",C1110=""),"",IF(NOT(ISNUMBER(A1110)),"Enter the date done",IF(SUMPRODUCT(('PM Plan'!$A$5:$A$304=B1110)*('PM Plan'!$B$5:$B$304=C1110))=0,"No matching asset + task in plan","OK")))</f>
        <v/>
      </c>
    </row>
    <row r="1111" customFormat="false" ht="15" hidden="false" customHeight="false" outlineLevel="0" collapsed="false">
      <c r="A1111" s="14"/>
      <c r="B1111" s="9"/>
      <c r="C1111" s="9"/>
      <c r="D1111" s="9"/>
      <c r="E1111" s="9"/>
      <c r="F1111" s="17" t="str">
        <f aca="false">IF(AND(A1111="",B1111="",C1111=""),"",IF(NOT(ISNUMBER(A1111)),"Enter the date done",IF(SUMPRODUCT(('PM Plan'!$A$5:$A$304=B1111)*('PM Plan'!$B$5:$B$304=C1111))=0,"No matching asset + task in plan","OK")))</f>
        <v/>
      </c>
    </row>
    <row r="1112" customFormat="false" ht="15" hidden="false" customHeight="false" outlineLevel="0" collapsed="false">
      <c r="A1112" s="14"/>
      <c r="B1112" s="9"/>
      <c r="C1112" s="9"/>
      <c r="D1112" s="9"/>
      <c r="E1112" s="9"/>
      <c r="F1112" s="17" t="str">
        <f aca="false">IF(AND(A1112="",B1112="",C1112=""),"",IF(NOT(ISNUMBER(A1112)),"Enter the date done",IF(SUMPRODUCT(('PM Plan'!$A$5:$A$304=B1112)*('PM Plan'!$B$5:$B$304=C1112))=0,"No matching asset + task in plan","OK")))</f>
        <v/>
      </c>
    </row>
    <row r="1113" customFormat="false" ht="15" hidden="false" customHeight="false" outlineLevel="0" collapsed="false">
      <c r="A1113" s="14"/>
      <c r="B1113" s="9"/>
      <c r="C1113" s="9"/>
      <c r="D1113" s="9"/>
      <c r="E1113" s="9"/>
      <c r="F1113" s="17" t="str">
        <f aca="false">IF(AND(A1113="",B1113="",C1113=""),"",IF(NOT(ISNUMBER(A1113)),"Enter the date done",IF(SUMPRODUCT(('PM Plan'!$A$5:$A$304=B1113)*('PM Plan'!$B$5:$B$304=C1113))=0,"No matching asset + task in plan","OK")))</f>
        <v/>
      </c>
    </row>
    <row r="1114" customFormat="false" ht="15" hidden="false" customHeight="false" outlineLevel="0" collapsed="false">
      <c r="A1114" s="14"/>
      <c r="B1114" s="9"/>
      <c r="C1114" s="9"/>
      <c r="D1114" s="9"/>
      <c r="E1114" s="9"/>
      <c r="F1114" s="17" t="str">
        <f aca="false">IF(AND(A1114="",B1114="",C1114=""),"",IF(NOT(ISNUMBER(A1114)),"Enter the date done",IF(SUMPRODUCT(('PM Plan'!$A$5:$A$304=B1114)*('PM Plan'!$B$5:$B$304=C1114))=0,"No matching asset + task in plan","OK")))</f>
        <v/>
      </c>
    </row>
    <row r="1115" customFormat="false" ht="15" hidden="false" customHeight="false" outlineLevel="0" collapsed="false">
      <c r="A1115" s="14"/>
      <c r="B1115" s="9"/>
      <c r="C1115" s="9"/>
      <c r="D1115" s="9"/>
      <c r="E1115" s="9"/>
      <c r="F1115" s="17" t="str">
        <f aca="false">IF(AND(A1115="",B1115="",C1115=""),"",IF(NOT(ISNUMBER(A1115)),"Enter the date done",IF(SUMPRODUCT(('PM Plan'!$A$5:$A$304=B1115)*('PM Plan'!$B$5:$B$304=C1115))=0,"No matching asset + task in plan","OK")))</f>
        <v/>
      </c>
    </row>
    <row r="1116" customFormat="false" ht="15" hidden="false" customHeight="false" outlineLevel="0" collapsed="false">
      <c r="A1116" s="14"/>
      <c r="B1116" s="9"/>
      <c r="C1116" s="9"/>
      <c r="D1116" s="9"/>
      <c r="E1116" s="9"/>
      <c r="F1116" s="17" t="str">
        <f aca="false">IF(AND(A1116="",B1116="",C1116=""),"",IF(NOT(ISNUMBER(A1116)),"Enter the date done",IF(SUMPRODUCT(('PM Plan'!$A$5:$A$304=B1116)*('PM Plan'!$B$5:$B$304=C1116))=0,"No matching asset + task in plan","OK")))</f>
        <v/>
      </c>
    </row>
    <row r="1117" customFormat="false" ht="15" hidden="false" customHeight="false" outlineLevel="0" collapsed="false">
      <c r="A1117" s="14"/>
      <c r="B1117" s="9"/>
      <c r="C1117" s="9"/>
      <c r="D1117" s="9"/>
      <c r="E1117" s="9"/>
      <c r="F1117" s="17" t="str">
        <f aca="false">IF(AND(A1117="",B1117="",C1117=""),"",IF(NOT(ISNUMBER(A1117)),"Enter the date done",IF(SUMPRODUCT(('PM Plan'!$A$5:$A$304=B1117)*('PM Plan'!$B$5:$B$304=C1117))=0,"No matching asset + task in plan","OK")))</f>
        <v/>
      </c>
    </row>
    <row r="1118" customFormat="false" ht="15" hidden="false" customHeight="false" outlineLevel="0" collapsed="false">
      <c r="A1118" s="14"/>
      <c r="B1118" s="9"/>
      <c r="C1118" s="9"/>
      <c r="D1118" s="9"/>
      <c r="E1118" s="9"/>
      <c r="F1118" s="17" t="str">
        <f aca="false">IF(AND(A1118="",B1118="",C1118=""),"",IF(NOT(ISNUMBER(A1118)),"Enter the date done",IF(SUMPRODUCT(('PM Plan'!$A$5:$A$304=B1118)*('PM Plan'!$B$5:$B$304=C1118))=0,"No matching asset + task in plan","OK")))</f>
        <v/>
      </c>
    </row>
    <row r="1119" customFormat="false" ht="15" hidden="false" customHeight="false" outlineLevel="0" collapsed="false">
      <c r="A1119" s="14"/>
      <c r="B1119" s="9"/>
      <c r="C1119" s="9"/>
      <c r="D1119" s="9"/>
      <c r="E1119" s="9"/>
      <c r="F1119" s="17" t="str">
        <f aca="false">IF(AND(A1119="",B1119="",C1119=""),"",IF(NOT(ISNUMBER(A1119)),"Enter the date done",IF(SUMPRODUCT(('PM Plan'!$A$5:$A$304=B1119)*('PM Plan'!$B$5:$B$304=C1119))=0,"No matching asset + task in plan","OK")))</f>
        <v/>
      </c>
    </row>
    <row r="1120" customFormat="false" ht="15" hidden="false" customHeight="false" outlineLevel="0" collapsed="false">
      <c r="A1120" s="14"/>
      <c r="B1120" s="9"/>
      <c r="C1120" s="9"/>
      <c r="D1120" s="9"/>
      <c r="E1120" s="9"/>
      <c r="F1120" s="17" t="str">
        <f aca="false">IF(AND(A1120="",B1120="",C1120=""),"",IF(NOT(ISNUMBER(A1120)),"Enter the date done",IF(SUMPRODUCT(('PM Plan'!$A$5:$A$304=B1120)*('PM Plan'!$B$5:$B$304=C1120))=0,"No matching asset + task in plan","OK")))</f>
        <v/>
      </c>
    </row>
    <row r="1121" customFormat="false" ht="15" hidden="false" customHeight="false" outlineLevel="0" collapsed="false">
      <c r="A1121" s="14"/>
      <c r="B1121" s="9"/>
      <c r="C1121" s="9"/>
      <c r="D1121" s="9"/>
      <c r="E1121" s="9"/>
      <c r="F1121" s="17" t="str">
        <f aca="false">IF(AND(A1121="",B1121="",C1121=""),"",IF(NOT(ISNUMBER(A1121)),"Enter the date done",IF(SUMPRODUCT(('PM Plan'!$A$5:$A$304=B1121)*('PM Plan'!$B$5:$B$304=C1121))=0,"No matching asset + task in plan","OK")))</f>
        <v/>
      </c>
    </row>
    <row r="1122" customFormat="false" ht="15" hidden="false" customHeight="false" outlineLevel="0" collapsed="false">
      <c r="A1122" s="14"/>
      <c r="B1122" s="9"/>
      <c r="C1122" s="9"/>
      <c r="D1122" s="9"/>
      <c r="E1122" s="9"/>
      <c r="F1122" s="17" t="str">
        <f aca="false">IF(AND(A1122="",B1122="",C1122=""),"",IF(NOT(ISNUMBER(A1122)),"Enter the date done",IF(SUMPRODUCT(('PM Plan'!$A$5:$A$304=B1122)*('PM Plan'!$B$5:$B$304=C1122))=0,"No matching asset + task in plan","OK")))</f>
        <v/>
      </c>
    </row>
    <row r="1123" customFormat="false" ht="15" hidden="false" customHeight="false" outlineLevel="0" collapsed="false">
      <c r="A1123" s="14"/>
      <c r="B1123" s="9"/>
      <c r="C1123" s="9"/>
      <c r="D1123" s="9"/>
      <c r="E1123" s="9"/>
      <c r="F1123" s="17" t="str">
        <f aca="false">IF(AND(A1123="",B1123="",C1123=""),"",IF(NOT(ISNUMBER(A1123)),"Enter the date done",IF(SUMPRODUCT(('PM Plan'!$A$5:$A$304=B1123)*('PM Plan'!$B$5:$B$304=C1123))=0,"No matching asset + task in plan","OK")))</f>
        <v/>
      </c>
    </row>
    <row r="1124" customFormat="false" ht="15" hidden="false" customHeight="false" outlineLevel="0" collapsed="false">
      <c r="A1124" s="14"/>
      <c r="B1124" s="9"/>
      <c r="C1124" s="9"/>
      <c r="D1124" s="9"/>
      <c r="E1124" s="9"/>
      <c r="F1124" s="17" t="str">
        <f aca="false">IF(AND(A1124="",B1124="",C1124=""),"",IF(NOT(ISNUMBER(A1124)),"Enter the date done",IF(SUMPRODUCT(('PM Plan'!$A$5:$A$304=B1124)*('PM Plan'!$B$5:$B$304=C1124))=0,"No matching asset + task in plan","OK")))</f>
        <v/>
      </c>
    </row>
    <row r="1125" customFormat="false" ht="15" hidden="false" customHeight="false" outlineLevel="0" collapsed="false">
      <c r="A1125" s="14"/>
      <c r="B1125" s="9"/>
      <c r="C1125" s="9"/>
      <c r="D1125" s="9"/>
      <c r="E1125" s="9"/>
      <c r="F1125" s="17" t="str">
        <f aca="false">IF(AND(A1125="",B1125="",C1125=""),"",IF(NOT(ISNUMBER(A1125)),"Enter the date done",IF(SUMPRODUCT(('PM Plan'!$A$5:$A$304=B1125)*('PM Plan'!$B$5:$B$304=C1125))=0,"No matching asset + task in plan","OK")))</f>
        <v/>
      </c>
    </row>
    <row r="1126" customFormat="false" ht="15" hidden="false" customHeight="false" outlineLevel="0" collapsed="false">
      <c r="A1126" s="14"/>
      <c r="B1126" s="9"/>
      <c r="C1126" s="9"/>
      <c r="D1126" s="9"/>
      <c r="E1126" s="9"/>
      <c r="F1126" s="17" t="str">
        <f aca="false">IF(AND(A1126="",B1126="",C1126=""),"",IF(NOT(ISNUMBER(A1126)),"Enter the date done",IF(SUMPRODUCT(('PM Plan'!$A$5:$A$304=B1126)*('PM Plan'!$B$5:$B$304=C1126))=0,"No matching asset + task in plan","OK")))</f>
        <v/>
      </c>
    </row>
    <row r="1127" customFormat="false" ht="15" hidden="false" customHeight="false" outlineLevel="0" collapsed="false">
      <c r="A1127" s="14"/>
      <c r="B1127" s="9"/>
      <c r="C1127" s="9"/>
      <c r="D1127" s="9"/>
      <c r="E1127" s="9"/>
      <c r="F1127" s="17" t="str">
        <f aca="false">IF(AND(A1127="",B1127="",C1127=""),"",IF(NOT(ISNUMBER(A1127)),"Enter the date done",IF(SUMPRODUCT(('PM Plan'!$A$5:$A$304=B1127)*('PM Plan'!$B$5:$B$304=C1127))=0,"No matching asset + task in plan","OK")))</f>
        <v/>
      </c>
    </row>
    <row r="1128" customFormat="false" ht="15" hidden="false" customHeight="false" outlineLevel="0" collapsed="false">
      <c r="A1128" s="14"/>
      <c r="B1128" s="9"/>
      <c r="C1128" s="9"/>
      <c r="D1128" s="9"/>
      <c r="E1128" s="9"/>
      <c r="F1128" s="17" t="str">
        <f aca="false">IF(AND(A1128="",B1128="",C1128=""),"",IF(NOT(ISNUMBER(A1128)),"Enter the date done",IF(SUMPRODUCT(('PM Plan'!$A$5:$A$304=B1128)*('PM Plan'!$B$5:$B$304=C1128))=0,"No matching asset + task in plan","OK")))</f>
        <v/>
      </c>
    </row>
    <row r="1129" customFormat="false" ht="15" hidden="false" customHeight="false" outlineLevel="0" collapsed="false">
      <c r="A1129" s="14"/>
      <c r="B1129" s="9"/>
      <c r="C1129" s="9"/>
      <c r="D1129" s="9"/>
      <c r="E1129" s="9"/>
      <c r="F1129" s="17" t="str">
        <f aca="false">IF(AND(A1129="",B1129="",C1129=""),"",IF(NOT(ISNUMBER(A1129)),"Enter the date done",IF(SUMPRODUCT(('PM Plan'!$A$5:$A$304=B1129)*('PM Plan'!$B$5:$B$304=C1129))=0,"No matching asset + task in plan","OK")))</f>
        <v/>
      </c>
    </row>
    <row r="1130" customFormat="false" ht="15" hidden="false" customHeight="false" outlineLevel="0" collapsed="false">
      <c r="A1130" s="14"/>
      <c r="B1130" s="9"/>
      <c r="C1130" s="9"/>
      <c r="D1130" s="9"/>
      <c r="E1130" s="9"/>
      <c r="F1130" s="17" t="str">
        <f aca="false">IF(AND(A1130="",B1130="",C1130=""),"",IF(NOT(ISNUMBER(A1130)),"Enter the date done",IF(SUMPRODUCT(('PM Plan'!$A$5:$A$304=B1130)*('PM Plan'!$B$5:$B$304=C1130))=0,"No matching asset + task in plan","OK")))</f>
        <v/>
      </c>
    </row>
    <row r="1131" customFormat="false" ht="15" hidden="false" customHeight="false" outlineLevel="0" collapsed="false">
      <c r="A1131" s="14"/>
      <c r="B1131" s="9"/>
      <c r="C1131" s="9"/>
      <c r="D1131" s="9"/>
      <c r="E1131" s="9"/>
      <c r="F1131" s="17" t="str">
        <f aca="false">IF(AND(A1131="",B1131="",C1131=""),"",IF(NOT(ISNUMBER(A1131)),"Enter the date done",IF(SUMPRODUCT(('PM Plan'!$A$5:$A$304=B1131)*('PM Plan'!$B$5:$B$304=C1131))=0,"No matching asset + task in plan","OK")))</f>
        <v/>
      </c>
    </row>
    <row r="1132" customFormat="false" ht="15" hidden="false" customHeight="false" outlineLevel="0" collapsed="false">
      <c r="A1132" s="14"/>
      <c r="B1132" s="9"/>
      <c r="C1132" s="9"/>
      <c r="D1132" s="9"/>
      <c r="E1132" s="9"/>
      <c r="F1132" s="17" t="str">
        <f aca="false">IF(AND(A1132="",B1132="",C1132=""),"",IF(NOT(ISNUMBER(A1132)),"Enter the date done",IF(SUMPRODUCT(('PM Plan'!$A$5:$A$304=B1132)*('PM Plan'!$B$5:$B$304=C1132))=0,"No matching asset + task in plan","OK")))</f>
        <v/>
      </c>
    </row>
    <row r="1133" customFormat="false" ht="15" hidden="false" customHeight="false" outlineLevel="0" collapsed="false">
      <c r="A1133" s="14"/>
      <c r="B1133" s="9"/>
      <c r="C1133" s="9"/>
      <c r="D1133" s="9"/>
      <c r="E1133" s="9"/>
      <c r="F1133" s="17" t="str">
        <f aca="false">IF(AND(A1133="",B1133="",C1133=""),"",IF(NOT(ISNUMBER(A1133)),"Enter the date done",IF(SUMPRODUCT(('PM Plan'!$A$5:$A$304=B1133)*('PM Plan'!$B$5:$B$304=C1133))=0,"No matching asset + task in plan","OK")))</f>
        <v/>
      </c>
    </row>
    <row r="1134" customFormat="false" ht="15" hidden="false" customHeight="false" outlineLevel="0" collapsed="false">
      <c r="A1134" s="14"/>
      <c r="B1134" s="9"/>
      <c r="C1134" s="9"/>
      <c r="D1134" s="9"/>
      <c r="E1134" s="9"/>
      <c r="F1134" s="17" t="str">
        <f aca="false">IF(AND(A1134="",B1134="",C1134=""),"",IF(NOT(ISNUMBER(A1134)),"Enter the date done",IF(SUMPRODUCT(('PM Plan'!$A$5:$A$304=B1134)*('PM Plan'!$B$5:$B$304=C1134))=0,"No matching asset + task in plan","OK")))</f>
        <v/>
      </c>
    </row>
    <row r="1135" customFormat="false" ht="15" hidden="false" customHeight="false" outlineLevel="0" collapsed="false">
      <c r="A1135" s="14"/>
      <c r="B1135" s="9"/>
      <c r="C1135" s="9"/>
      <c r="D1135" s="9"/>
      <c r="E1135" s="9"/>
      <c r="F1135" s="17" t="str">
        <f aca="false">IF(AND(A1135="",B1135="",C1135=""),"",IF(NOT(ISNUMBER(A1135)),"Enter the date done",IF(SUMPRODUCT(('PM Plan'!$A$5:$A$304=B1135)*('PM Plan'!$B$5:$B$304=C1135))=0,"No matching asset + task in plan","OK")))</f>
        <v/>
      </c>
    </row>
    <row r="1136" customFormat="false" ht="15" hidden="false" customHeight="false" outlineLevel="0" collapsed="false">
      <c r="A1136" s="14"/>
      <c r="B1136" s="9"/>
      <c r="C1136" s="9"/>
      <c r="D1136" s="9"/>
      <c r="E1136" s="9"/>
      <c r="F1136" s="17" t="str">
        <f aca="false">IF(AND(A1136="",B1136="",C1136=""),"",IF(NOT(ISNUMBER(A1136)),"Enter the date done",IF(SUMPRODUCT(('PM Plan'!$A$5:$A$304=B1136)*('PM Plan'!$B$5:$B$304=C1136))=0,"No matching asset + task in plan","OK")))</f>
        <v/>
      </c>
    </row>
    <row r="1137" customFormat="false" ht="15" hidden="false" customHeight="false" outlineLevel="0" collapsed="false">
      <c r="A1137" s="14"/>
      <c r="B1137" s="9"/>
      <c r="C1137" s="9"/>
      <c r="D1137" s="9"/>
      <c r="E1137" s="9"/>
      <c r="F1137" s="17" t="str">
        <f aca="false">IF(AND(A1137="",B1137="",C1137=""),"",IF(NOT(ISNUMBER(A1137)),"Enter the date done",IF(SUMPRODUCT(('PM Plan'!$A$5:$A$304=B1137)*('PM Plan'!$B$5:$B$304=C1137))=0,"No matching asset + task in plan","OK")))</f>
        <v/>
      </c>
    </row>
    <row r="1138" customFormat="false" ht="15" hidden="false" customHeight="false" outlineLevel="0" collapsed="false">
      <c r="A1138" s="14"/>
      <c r="B1138" s="9"/>
      <c r="C1138" s="9"/>
      <c r="D1138" s="9"/>
      <c r="E1138" s="9"/>
      <c r="F1138" s="17" t="str">
        <f aca="false">IF(AND(A1138="",B1138="",C1138=""),"",IF(NOT(ISNUMBER(A1138)),"Enter the date done",IF(SUMPRODUCT(('PM Plan'!$A$5:$A$304=B1138)*('PM Plan'!$B$5:$B$304=C1138))=0,"No matching asset + task in plan","OK")))</f>
        <v/>
      </c>
    </row>
    <row r="1139" customFormat="false" ht="15" hidden="false" customHeight="false" outlineLevel="0" collapsed="false">
      <c r="A1139" s="14"/>
      <c r="B1139" s="9"/>
      <c r="C1139" s="9"/>
      <c r="D1139" s="9"/>
      <c r="E1139" s="9"/>
      <c r="F1139" s="17" t="str">
        <f aca="false">IF(AND(A1139="",B1139="",C1139=""),"",IF(NOT(ISNUMBER(A1139)),"Enter the date done",IF(SUMPRODUCT(('PM Plan'!$A$5:$A$304=B1139)*('PM Plan'!$B$5:$B$304=C1139))=0,"No matching asset + task in plan","OK")))</f>
        <v/>
      </c>
    </row>
    <row r="1140" customFormat="false" ht="15" hidden="false" customHeight="false" outlineLevel="0" collapsed="false">
      <c r="A1140" s="14"/>
      <c r="B1140" s="9"/>
      <c r="C1140" s="9"/>
      <c r="D1140" s="9"/>
      <c r="E1140" s="9"/>
      <c r="F1140" s="17" t="str">
        <f aca="false">IF(AND(A1140="",B1140="",C1140=""),"",IF(NOT(ISNUMBER(A1140)),"Enter the date done",IF(SUMPRODUCT(('PM Plan'!$A$5:$A$304=B1140)*('PM Plan'!$B$5:$B$304=C1140))=0,"No matching asset + task in plan","OK")))</f>
        <v/>
      </c>
    </row>
    <row r="1141" customFormat="false" ht="15" hidden="false" customHeight="false" outlineLevel="0" collapsed="false">
      <c r="A1141" s="14"/>
      <c r="B1141" s="9"/>
      <c r="C1141" s="9"/>
      <c r="D1141" s="9"/>
      <c r="E1141" s="9"/>
      <c r="F1141" s="17" t="str">
        <f aca="false">IF(AND(A1141="",B1141="",C1141=""),"",IF(NOT(ISNUMBER(A1141)),"Enter the date done",IF(SUMPRODUCT(('PM Plan'!$A$5:$A$304=B1141)*('PM Plan'!$B$5:$B$304=C1141))=0,"No matching asset + task in plan","OK")))</f>
        <v/>
      </c>
    </row>
    <row r="1142" customFormat="false" ht="15" hidden="false" customHeight="false" outlineLevel="0" collapsed="false">
      <c r="A1142" s="14"/>
      <c r="B1142" s="9"/>
      <c r="C1142" s="9"/>
      <c r="D1142" s="9"/>
      <c r="E1142" s="9"/>
      <c r="F1142" s="17" t="str">
        <f aca="false">IF(AND(A1142="",B1142="",C1142=""),"",IF(NOT(ISNUMBER(A1142)),"Enter the date done",IF(SUMPRODUCT(('PM Plan'!$A$5:$A$304=B1142)*('PM Plan'!$B$5:$B$304=C1142))=0,"No matching asset + task in plan","OK")))</f>
        <v/>
      </c>
    </row>
    <row r="1143" customFormat="false" ht="15" hidden="false" customHeight="false" outlineLevel="0" collapsed="false">
      <c r="A1143" s="14"/>
      <c r="B1143" s="9"/>
      <c r="C1143" s="9"/>
      <c r="D1143" s="9"/>
      <c r="E1143" s="9"/>
      <c r="F1143" s="17" t="str">
        <f aca="false">IF(AND(A1143="",B1143="",C1143=""),"",IF(NOT(ISNUMBER(A1143)),"Enter the date done",IF(SUMPRODUCT(('PM Plan'!$A$5:$A$304=B1143)*('PM Plan'!$B$5:$B$304=C1143))=0,"No matching asset + task in plan","OK")))</f>
        <v/>
      </c>
    </row>
    <row r="1144" customFormat="false" ht="15" hidden="false" customHeight="false" outlineLevel="0" collapsed="false">
      <c r="A1144" s="14"/>
      <c r="B1144" s="9"/>
      <c r="C1144" s="9"/>
      <c r="D1144" s="9"/>
      <c r="E1144" s="9"/>
      <c r="F1144" s="17" t="str">
        <f aca="false">IF(AND(A1144="",B1144="",C1144=""),"",IF(NOT(ISNUMBER(A1144)),"Enter the date done",IF(SUMPRODUCT(('PM Plan'!$A$5:$A$304=B1144)*('PM Plan'!$B$5:$B$304=C1144))=0,"No matching asset + task in plan","OK")))</f>
        <v/>
      </c>
    </row>
    <row r="1145" customFormat="false" ht="15" hidden="false" customHeight="false" outlineLevel="0" collapsed="false">
      <c r="A1145" s="14"/>
      <c r="B1145" s="9"/>
      <c r="C1145" s="9"/>
      <c r="D1145" s="9"/>
      <c r="E1145" s="9"/>
      <c r="F1145" s="17" t="str">
        <f aca="false">IF(AND(A1145="",B1145="",C1145=""),"",IF(NOT(ISNUMBER(A1145)),"Enter the date done",IF(SUMPRODUCT(('PM Plan'!$A$5:$A$304=B1145)*('PM Plan'!$B$5:$B$304=C1145))=0,"No matching asset + task in plan","OK")))</f>
        <v/>
      </c>
    </row>
    <row r="1146" customFormat="false" ht="15" hidden="false" customHeight="false" outlineLevel="0" collapsed="false">
      <c r="A1146" s="14"/>
      <c r="B1146" s="9"/>
      <c r="C1146" s="9"/>
      <c r="D1146" s="9"/>
      <c r="E1146" s="9"/>
      <c r="F1146" s="17" t="str">
        <f aca="false">IF(AND(A1146="",B1146="",C1146=""),"",IF(NOT(ISNUMBER(A1146)),"Enter the date done",IF(SUMPRODUCT(('PM Plan'!$A$5:$A$304=B1146)*('PM Plan'!$B$5:$B$304=C1146))=0,"No matching asset + task in plan","OK")))</f>
        <v/>
      </c>
    </row>
    <row r="1147" customFormat="false" ht="15" hidden="false" customHeight="false" outlineLevel="0" collapsed="false">
      <c r="A1147" s="14"/>
      <c r="B1147" s="9"/>
      <c r="C1147" s="9"/>
      <c r="D1147" s="9"/>
      <c r="E1147" s="9"/>
      <c r="F1147" s="17" t="str">
        <f aca="false">IF(AND(A1147="",B1147="",C1147=""),"",IF(NOT(ISNUMBER(A1147)),"Enter the date done",IF(SUMPRODUCT(('PM Plan'!$A$5:$A$304=B1147)*('PM Plan'!$B$5:$B$304=C1147))=0,"No matching asset + task in plan","OK")))</f>
        <v/>
      </c>
    </row>
    <row r="1148" customFormat="false" ht="15" hidden="false" customHeight="false" outlineLevel="0" collapsed="false">
      <c r="A1148" s="14"/>
      <c r="B1148" s="9"/>
      <c r="C1148" s="9"/>
      <c r="D1148" s="9"/>
      <c r="E1148" s="9"/>
      <c r="F1148" s="17" t="str">
        <f aca="false">IF(AND(A1148="",B1148="",C1148=""),"",IF(NOT(ISNUMBER(A1148)),"Enter the date done",IF(SUMPRODUCT(('PM Plan'!$A$5:$A$304=B1148)*('PM Plan'!$B$5:$B$304=C1148))=0,"No matching asset + task in plan","OK")))</f>
        <v/>
      </c>
    </row>
    <row r="1149" customFormat="false" ht="15" hidden="false" customHeight="false" outlineLevel="0" collapsed="false">
      <c r="A1149" s="14"/>
      <c r="B1149" s="9"/>
      <c r="C1149" s="9"/>
      <c r="D1149" s="9"/>
      <c r="E1149" s="9"/>
      <c r="F1149" s="17" t="str">
        <f aca="false">IF(AND(A1149="",B1149="",C1149=""),"",IF(NOT(ISNUMBER(A1149)),"Enter the date done",IF(SUMPRODUCT(('PM Plan'!$A$5:$A$304=B1149)*('PM Plan'!$B$5:$B$304=C1149))=0,"No matching asset + task in plan","OK")))</f>
        <v/>
      </c>
    </row>
    <row r="1150" customFormat="false" ht="15" hidden="false" customHeight="false" outlineLevel="0" collapsed="false">
      <c r="A1150" s="14"/>
      <c r="B1150" s="9"/>
      <c r="C1150" s="9"/>
      <c r="D1150" s="9"/>
      <c r="E1150" s="9"/>
      <c r="F1150" s="17" t="str">
        <f aca="false">IF(AND(A1150="",B1150="",C1150=""),"",IF(NOT(ISNUMBER(A1150)),"Enter the date done",IF(SUMPRODUCT(('PM Plan'!$A$5:$A$304=B1150)*('PM Plan'!$B$5:$B$304=C1150))=0,"No matching asset + task in plan","OK")))</f>
        <v/>
      </c>
    </row>
    <row r="1151" customFormat="false" ht="15" hidden="false" customHeight="false" outlineLevel="0" collapsed="false">
      <c r="A1151" s="14"/>
      <c r="B1151" s="9"/>
      <c r="C1151" s="9"/>
      <c r="D1151" s="9"/>
      <c r="E1151" s="9"/>
      <c r="F1151" s="17" t="str">
        <f aca="false">IF(AND(A1151="",B1151="",C1151=""),"",IF(NOT(ISNUMBER(A1151)),"Enter the date done",IF(SUMPRODUCT(('PM Plan'!$A$5:$A$304=B1151)*('PM Plan'!$B$5:$B$304=C1151))=0,"No matching asset + task in plan","OK")))</f>
        <v/>
      </c>
    </row>
    <row r="1152" customFormat="false" ht="15" hidden="false" customHeight="false" outlineLevel="0" collapsed="false">
      <c r="A1152" s="14"/>
      <c r="B1152" s="9"/>
      <c r="C1152" s="9"/>
      <c r="D1152" s="9"/>
      <c r="E1152" s="9"/>
      <c r="F1152" s="17" t="str">
        <f aca="false">IF(AND(A1152="",B1152="",C1152=""),"",IF(NOT(ISNUMBER(A1152)),"Enter the date done",IF(SUMPRODUCT(('PM Plan'!$A$5:$A$304=B1152)*('PM Plan'!$B$5:$B$304=C1152))=0,"No matching asset + task in plan","OK")))</f>
        <v/>
      </c>
    </row>
    <row r="1153" customFormat="false" ht="15" hidden="false" customHeight="false" outlineLevel="0" collapsed="false">
      <c r="A1153" s="14"/>
      <c r="B1153" s="9"/>
      <c r="C1153" s="9"/>
      <c r="D1153" s="9"/>
      <c r="E1153" s="9"/>
      <c r="F1153" s="17" t="str">
        <f aca="false">IF(AND(A1153="",B1153="",C1153=""),"",IF(NOT(ISNUMBER(A1153)),"Enter the date done",IF(SUMPRODUCT(('PM Plan'!$A$5:$A$304=B1153)*('PM Plan'!$B$5:$B$304=C1153))=0,"No matching asset + task in plan","OK")))</f>
        <v/>
      </c>
    </row>
    <row r="1154" customFormat="false" ht="15" hidden="false" customHeight="false" outlineLevel="0" collapsed="false">
      <c r="A1154" s="14"/>
      <c r="B1154" s="9"/>
      <c r="C1154" s="9"/>
      <c r="D1154" s="9"/>
      <c r="E1154" s="9"/>
      <c r="F1154" s="17" t="str">
        <f aca="false">IF(AND(A1154="",B1154="",C1154=""),"",IF(NOT(ISNUMBER(A1154)),"Enter the date done",IF(SUMPRODUCT(('PM Plan'!$A$5:$A$304=B1154)*('PM Plan'!$B$5:$B$304=C1154))=0,"No matching asset + task in plan","OK")))</f>
        <v/>
      </c>
    </row>
    <row r="1155" customFormat="false" ht="15" hidden="false" customHeight="false" outlineLevel="0" collapsed="false">
      <c r="A1155" s="14"/>
      <c r="B1155" s="9"/>
      <c r="C1155" s="9"/>
      <c r="D1155" s="9"/>
      <c r="E1155" s="9"/>
      <c r="F1155" s="17" t="str">
        <f aca="false">IF(AND(A1155="",B1155="",C1155=""),"",IF(NOT(ISNUMBER(A1155)),"Enter the date done",IF(SUMPRODUCT(('PM Plan'!$A$5:$A$304=B1155)*('PM Plan'!$B$5:$B$304=C1155))=0,"No matching asset + task in plan","OK")))</f>
        <v/>
      </c>
    </row>
    <row r="1156" customFormat="false" ht="15" hidden="false" customHeight="false" outlineLevel="0" collapsed="false">
      <c r="A1156" s="14"/>
      <c r="B1156" s="9"/>
      <c r="C1156" s="9"/>
      <c r="D1156" s="9"/>
      <c r="E1156" s="9"/>
      <c r="F1156" s="17" t="str">
        <f aca="false">IF(AND(A1156="",B1156="",C1156=""),"",IF(NOT(ISNUMBER(A1156)),"Enter the date done",IF(SUMPRODUCT(('PM Plan'!$A$5:$A$304=B1156)*('PM Plan'!$B$5:$B$304=C1156))=0,"No matching asset + task in plan","OK")))</f>
        <v/>
      </c>
    </row>
    <row r="1157" customFormat="false" ht="15" hidden="false" customHeight="false" outlineLevel="0" collapsed="false">
      <c r="A1157" s="14"/>
      <c r="B1157" s="9"/>
      <c r="C1157" s="9"/>
      <c r="D1157" s="9"/>
      <c r="E1157" s="9"/>
      <c r="F1157" s="17" t="str">
        <f aca="false">IF(AND(A1157="",B1157="",C1157=""),"",IF(NOT(ISNUMBER(A1157)),"Enter the date done",IF(SUMPRODUCT(('PM Plan'!$A$5:$A$304=B1157)*('PM Plan'!$B$5:$B$304=C1157))=0,"No matching asset + task in plan","OK")))</f>
        <v/>
      </c>
    </row>
    <row r="1158" customFormat="false" ht="15" hidden="false" customHeight="false" outlineLevel="0" collapsed="false">
      <c r="A1158" s="14"/>
      <c r="B1158" s="9"/>
      <c r="C1158" s="9"/>
      <c r="D1158" s="9"/>
      <c r="E1158" s="9"/>
      <c r="F1158" s="17" t="str">
        <f aca="false">IF(AND(A1158="",B1158="",C1158=""),"",IF(NOT(ISNUMBER(A1158)),"Enter the date done",IF(SUMPRODUCT(('PM Plan'!$A$5:$A$304=B1158)*('PM Plan'!$B$5:$B$304=C1158))=0,"No matching asset + task in plan","OK")))</f>
        <v/>
      </c>
    </row>
    <row r="1159" customFormat="false" ht="15" hidden="false" customHeight="false" outlineLevel="0" collapsed="false">
      <c r="A1159" s="14"/>
      <c r="B1159" s="9"/>
      <c r="C1159" s="9"/>
      <c r="D1159" s="9"/>
      <c r="E1159" s="9"/>
      <c r="F1159" s="17" t="str">
        <f aca="false">IF(AND(A1159="",B1159="",C1159=""),"",IF(NOT(ISNUMBER(A1159)),"Enter the date done",IF(SUMPRODUCT(('PM Plan'!$A$5:$A$304=B1159)*('PM Plan'!$B$5:$B$304=C1159))=0,"No matching asset + task in plan","OK")))</f>
        <v/>
      </c>
    </row>
    <row r="1160" customFormat="false" ht="15" hidden="false" customHeight="false" outlineLevel="0" collapsed="false">
      <c r="A1160" s="14"/>
      <c r="B1160" s="9"/>
      <c r="C1160" s="9"/>
      <c r="D1160" s="9"/>
      <c r="E1160" s="9"/>
      <c r="F1160" s="17" t="str">
        <f aca="false">IF(AND(A1160="",B1160="",C1160=""),"",IF(NOT(ISNUMBER(A1160)),"Enter the date done",IF(SUMPRODUCT(('PM Plan'!$A$5:$A$304=B1160)*('PM Plan'!$B$5:$B$304=C1160))=0,"No matching asset + task in plan","OK")))</f>
        <v/>
      </c>
    </row>
    <row r="1161" customFormat="false" ht="15" hidden="false" customHeight="false" outlineLevel="0" collapsed="false">
      <c r="A1161" s="14"/>
      <c r="B1161" s="9"/>
      <c r="C1161" s="9"/>
      <c r="D1161" s="9"/>
      <c r="E1161" s="9"/>
      <c r="F1161" s="17" t="str">
        <f aca="false">IF(AND(A1161="",B1161="",C1161=""),"",IF(NOT(ISNUMBER(A1161)),"Enter the date done",IF(SUMPRODUCT(('PM Plan'!$A$5:$A$304=B1161)*('PM Plan'!$B$5:$B$304=C1161))=0,"No matching asset + task in plan","OK")))</f>
        <v/>
      </c>
    </row>
    <row r="1162" customFormat="false" ht="15" hidden="false" customHeight="false" outlineLevel="0" collapsed="false">
      <c r="A1162" s="14"/>
      <c r="B1162" s="9"/>
      <c r="C1162" s="9"/>
      <c r="D1162" s="9"/>
      <c r="E1162" s="9"/>
      <c r="F1162" s="17" t="str">
        <f aca="false">IF(AND(A1162="",B1162="",C1162=""),"",IF(NOT(ISNUMBER(A1162)),"Enter the date done",IF(SUMPRODUCT(('PM Plan'!$A$5:$A$304=B1162)*('PM Plan'!$B$5:$B$304=C1162))=0,"No matching asset + task in plan","OK")))</f>
        <v/>
      </c>
    </row>
    <row r="1163" customFormat="false" ht="15" hidden="false" customHeight="false" outlineLevel="0" collapsed="false">
      <c r="A1163" s="14"/>
      <c r="B1163" s="9"/>
      <c r="C1163" s="9"/>
      <c r="D1163" s="9"/>
      <c r="E1163" s="9"/>
      <c r="F1163" s="17" t="str">
        <f aca="false">IF(AND(A1163="",B1163="",C1163=""),"",IF(NOT(ISNUMBER(A1163)),"Enter the date done",IF(SUMPRODUCT(('PM Plan'!$A$5:$A$304=B1163)*('PM Plan'!$B$5:$B$304=C1163))=0,"No matching asset + task in plan","OK")))</f>
        <v/>
      </c>
    </row>
    <row r="1164" customFormat="false" ht="15" hidden="false" customHeight="false" outlineLevel="0" collapsed="false">
      <c r="A1164" s="14"/>
      <c r="B1164" s="9"/>
      <c r="C1164" s="9"/>
      <c r="D1164" s="9"/>
      <c r="E1164" s="9"/>
      <c r="F1164" s="17" t="str">
        <f aca="false">IF(AND(A1164="",B1164="",C1164=""),"",IF(NOT(ISNUMBER(A1164)),"Enter the date done",IF(SUMPRODUCT(('PM Plan'!$A$5:$A$304=B1164)*('PM Plan'!$B$5:$B$304=C1164))=0,"No matching asset + task in plan","OK")))</f>
        <v/>
      </c>
    </row>
    <row r="1165" customFormat="false" ht="15" hidden="false" customHeight="false" outlineLevel="0" collapsed="false">
      <c r="A1165" s="14"/>
      <c r="B1165" s="9"/>
      <c r="C1165" s="9"/>
      <c r="D1165" s="9"/>
      <c r="E1165" s="9"/>
      <c r="F1165" s="17" t="str">
        <f aca="false">IF(AND(A1165="",B1165="",C1165=""),"",IF(NOT(ISNUMBER(A1165)),"Enter the date done",IF(SUMPRODUCT(('PM Plan'!$A$5:$A$304=B1165)*('PM Plan'!$B$5:$B$304=C1165))=0,"No matching asset + task in plan","OK")))</f>
        <v/>
      </c>
    </row>
    <row r="1166" customFormat="false" ht="15" hidden="false" customHeight="false" outlineLevel="0" collapsed="false">
      <c r="A1166" s="14"/>
      <c r="B1166" s="9"/>
      <c r="C1166" s="9"/>
      <c r="D1166" s="9"/>
      <c r="E1166" s="9"/>
      <c r="F1166" s="17" t="str">
        <f aca="false">IF(AND(A1166="",B1166="",C1166=""),"",IF(NOT(ISNUMBER(A1166)),"Enter the date done",IF(SUMPRODUCT(('PM Plan'!$A$5:$A$304=B1166)*('PM Plan'!$B$5:$B$304=C1166))=0,"No matching asset + task in plan","OK")))</f>
        <v/>
      </c>
    </row>
    <row r="1167" customFormat="false" ht="15" hidden="false" customHeight="false" outlineLevel="0" collapsed="false">
      <c r="A1167" s="14"/>
      <c r="B1167" s="9"/>
      <c r="C1167" s="9"/>
      <c r="D1167" s="9"/>
      <c r="E1167" s="9"/>
      <c r="F1167" s="17" t="str">
        <f aca="false">IF(AND(A1167="",B1167="",C1167=""),"",IF(NOT(ISNUMBER(A1167)),"Enter the date done",IF(SUMPRODUCT(('PM Plan'!$A$5:$A$304=B1167)*('PM Plan'!$B$5:$B$304=C1167))=0,"No matching asset + task in plan","OK")))</f>
        <v/>
      </c>
    </row>
    <row r="1168" customFormat="false" ht="15" hidden="false" customHeight="false" outlineLevel="0" collapsed="false">
      <c r="A1168" s="14"/>
      <c r="B1168" s="9"/>
      <c r="C1168" s="9"/>
      <c r="D1168" s="9"/>
      <c r="E1168" s="9"/>
      <c r="F1168" s="17" t="str">
        <f aca="false">IF(AND(A1168="",B1168="",C1168=""),"",IF(NOT(ISNUMBER(A1168)),"Enter the date done",IF(SUMPRODUCT(('PM Plan'!$A$5:$A$304=B1168)*('PM Plan'!$B$5:$B$304=C1168))=0,"No matching asset + task in plan","OK")))</f>
        <v/>
      </c>
    </row>
    <row r="1169" customFormat="false" ht="15" hidden="false" customHeight="false" outlineLevel="0" collapsed="false">
      <c r="A1169" s="14"/>
      <c r="B1169" s="9"/>
      <c r="C1169" s="9"/>
      <c r="D1169" s="9"/>
      <c r="E1169" s="9"/>
      <c r="F1169" s="17" t="str">
        <f aca="false">IF(AND(A1169="",B1169="",C1169=""),"",IF(NOT(ISNUMBER(A1169)),"Enter the date done",IF(SUMPRODUCT(('PM Plan'!$A$5:$A$304=B1169)*('PM Plan'!$B$5:$B$304=C1169))=0,"No matching asset + task in plan","OK")))</f>
        <v/>
      </c>
    </row>
    <row r="1170" customFormat="false" ht="15" hidden="false" customHeight="false" outlineLevel="0" collapsed="false">
      <c r="A1170" s="14"/>
      <c r="B1170" s="9"/>
      <c r="C1170" s="9"/>
      <c r="D1170" s="9"/>
      <c r="E1170" s="9"/>
      <c r="F1170" s="17" t="str">
        <f aca="false">IF(AND(A1170="",B1170="",C1170=""),"",IF(NOT(ISNUMBER(A1170)),"Enter the date done",IF(SUMPRODUCT(('PM Plan'!$A$5:$A$304=B1170)*('PM Plan'!$B$5:$B$304=C1170))=0,"No matching asset + task in plan","OK")))</f>
        <v/>
      </c>
    </row>
    <row r="1171" customFormat="false" ht="15" hidden="false" customHeight="false" outlineLevel="0" collapsed="false">
      <c r="A1171" s="14"/>
      <c r="B1171" s="9"/>
      <c r="C1171" s="9"/>
      <c r="D1171" s="9"/>
      <c r="E1171" s="9"/>
      <c r="F1171" s="17" t="str">
        <f aca="false">IF(AND(A1171="",B1171="",C1171=""),"",IF(NOT(ISNUMBER(A1171)),"Enter the date done",IF(SUMPRODUCT(('PM Plan'!$A$5:$A$304=B1171)*('PM Plan'!$B$5:$B$304=C1171))=0,"No matching asset + task in plan","OK")))</f>
        <v/>
      </c>
    </row>
    <row r="1172" customFormat="false" ht="15" hidden="false" customHeight="false" outlineLevel="0" collapsed="false">
      <c r="A1172" s="14"/>
      <c r="B1172" s="9"/>
      <c r="C1172" s="9"/>
      <c r="D1172" s="9"/>
      <c r="E1172" s="9"/>
      <c r="F1172" s="17" t="str">
        <f aca="false">IF(AND(A1172="",B1172="",C1172=""),"",IF(NOT(ISNUMBER(A1172)),"Enter the date done",IF(SUMPRODUCT(('PM Plan'!$A$5:$A$304=B1172)*('PM Plan'!$B$5:$B$304=C1172))=0,"No matching asset + task in plan","OK")))</f>
        <v/>
      </c>
    </row>
    <row r="1173" customFormat="false" ht="15" hidden="false" customHeight="false" outlineLevel="0" collapsed="false">
      <c r="A1173" s="14"/>
      <c r="B1173" s="9"/>
      <c r="C1173" s="9"/>
      <c r="D1173" s="9"/>
      <c r="E1173" s="9"/>
      <c r="F1173" s="17" t="str">
        <f aca="false">IF(AND(A1173="",B1173="",C1173=""),"",IF(NOT(ISNUMBER(A1173)),"Enter the date done",IF(SUMPRODUCT(('PM Plan'!$A$5:$A$304=B1173)*('PM Plan'!$B$5:$B$304=C1173))=0,"No matching asset + task in plan","OK")))</f>
        <v/>
      </c>
    </row>
    <row r="1174" customFormat="false" ht="15" hidden="false" customHeight="false" outlineLevel="0" collapsed="false">
      <c r="A1174" s="14"/>
      <c r="B1174" s="9"/>
      <c r="C1174" s="9"/>
      <c r="D1174" s="9"/>
      <c r="E1174" s="9"/>
      <c r="F1174" s="17" t="str">
        <f aca="false">IF(AND(A1174="",B1174="",C1174=""),"",IF(NOT(ISNUMBER(A1174)),"Enter the date done",IF(SUMPRODUCT(('PM Plan'!$A$5:$A$304=B1174)*('PM Plan'!$B$5:$B$304=C1174))=0,"No matching asset + task in plan","OK")))</f>
        <v/>
      </c>
    </row>
    <row r="1175" customFormat="false" ht="15" hidden="false" customHeight="false" outlineLevel="0" collapsed="false">
      <c r="A1175" s="14"/>
      <c r="B1175" s="9"/>
      <c r="C1175" s="9"/>
      <c r="D1175" s="9"/>
      <c r="E1175" s="9"/>
      <c r="F1175" s="17" t="str">
        <f aca="false">IF(AND(A1175="",B1175="",C1175=""),"",IF(NOT(ISNUMBER(A1175)),"Enter the date done",IF(SUMPRODUCT(('PM Plan'!$A$5:$A$304=B1175)*('PM Plan'!$B$5:$B$304=C1175))=0,"No matching asset + task in plan","OK")))</f>
        <v/>
      </c>
    </row>
    <row r="1176" customFormat="false" ht="15" hidden="false" customHeight="false" outlineLevel="0" collapsed="false">
      <c r="A1176" s="14"/>
      <c r="B1176" s="9"/>
      <c r="C1176" s="9"/>
      <c r="D1176" s="9"/>
      <c r="E1176" s="9"/>
      <c r="F1176" s="17" t="str">
        <f aca="false">IF(AND(A1176="",B1176="",C1176=""),"",IF(NOT(ISNUMBER(A1176)),"Enter the date done",IF(SUMPRODUCT(('PM Plan'!$A$5:$A$304=B1176)*('PM Plan'!$B$5:$B$304=C1176))=0,"No matching asset + task in plan","OK")))</f>
        <v/>
      </c>
    </row>
    <row r="1177" customFormat="false" ht="15" hidden="false" customHeight="false" outlineLevel="0" collapsed="false">
      <c r="A1177" s="14"/>
      <c r="B1177" s="9"/>
      <c r="C1177" s="9"/>
      <c r="D1177" s="9"/>
      <c r="E1177" s="9"/>
      <c r="F1177" s="17" t="str">
        <f aca="false">IF(AND(A1177="",B1177="",C1177=""),"",IF(NOT(ISNUMBER(A1177)),"Enter the date done",IF(SUMPRODUCT(('PM Plan'!$A$5:$A$304=B1177)*('PM Plan'!$B$5:$B$304=C1177))=0,"No matching asset + task in plan","OK")))</f>
        <v/>
      </c>
    </row>
    <row r="1178" customFormat="false" ht="15" hidden="false" customHeight="false" outlineLevel="0" collapsed="false">
      <c r="A1178" s="14"/>
      <c r="B1178" s="9"/>
      <c r="C1178" s="9"/>
      <c r="D1178" s="9"/>
      <c r="E1178" s="9"/>
      <c r="F1178" s="17" t="str">
        <f aca="false">IF(AND(A1178="",B1178="",C1178=""),"",IF(NOT(ISNUMBER(A1178)),"Enter the date done",IF(SUMPRODUCT(('PM Plan'!$A$5:$A$304=B1178)*('PM Plan'!$B$5:$B$304=C1178))=0,"No matching asset + task in plan","OK")))</f>
        <v/>
      </c>
    </row>
    <row r="1179" customFormat="false" ht="15" hidden="false" customHeight="false" outlineLevel="0" collapsed="false">
      <c r="A1179" s="14"/>
      <c r="B1179" s="9"/>
      <c r="C1179" s="9"/>
      <c r="D1179" s="9"/>
      <c r="E1179" s="9"/>
      <c r="F1179" s="17" t="str">
        <f aca="false">IF(AND(A1179="",B1179="",C1179=""),"",IF(NOT(ISNUMBER(A1179)),"Enter the date done",IF(SUMPRODUCT(('PM Plan'!$A$5:$A$304=B1179)*('PM Plan'!$B$5:$B$304=C1179))=0,"No matching asset + task in plan","OK")))</f>
        <v/>
      </c>
    </row>
    <row r="1180" customFormat="false" ht="15" hidden="false" customHeight="false" outlineLevel="0" collapsed="false">
      <c r="A1180" s="14"/>
      <c r="B1180" s="9"/>
      <c r="C1180" s="9"/>
      <c r="D1180" s="9"/>
      <c r="E1180" s="9"/>
      <c r="F1180" s="17" t="str">
        <f aca="false">IF(AND(A1180="",B1180="",C1180=""),"",IF(NOT(ISNUMBER(A1180)),"Enter the date done",IF(SUMPRODUCT(('PM Plan'!$A$5:$A$304=B1180)*('PM Plan'!$B$5:$B$304=C1180))=0,"No matching asset + task in plan","OK")))</f>
        <v/>
      </c>
    </row>
    <row r="1181" customFormat="false" ht="15" hidden="false" customHeight="false" outlineLevel="0" collapsed="false">
      <c r="A1181" s="14"/>
      <c r="B1181" s="9"/>
      <c r="C1181" s="9"/>
      <c r="D1181" s="9"/>
      <c r="E1181" s="9"/>
      <c r="F1181" s="17" t="str">
        <f aca="false">IF(AND(A1181="",B1181="",C1181=""),"",IF(NOT(ISNUMBER(A1181)),"Enter the date done",IF(SUMPRODUCT(('PM Plan'!$A$5:$A$304=B1181)*('PM Plan'!$B$5:$B$304=C1181))=0,"No matching asset + task in plan","OK")))</f>
        <v/>
      </c>
    </row>
    <row r="1182" customFormat="false" ht="15" hidden="false" customHeight="false" outlineLevel="0" collapsed="false">
      <c r="A1182" s="14"/>
      <c r="B1182" s="9"/>
      <c r="C1182" s="9"/>
      <c r="D1182" s="9"/>
      <c r="E1182" s="9"/>
      <c r="F1182" s="17" t="str">
        <f aca="false">IF(AND(A1182="",B1182="",C1182=""),"",IF(NOT(ISNUMBER(A1182)),"Enter the date done",IF(SUMPRODUCT(('PM Plan'!$A$5:$A$304=B1182)*('PM Plan'!$B$5:$B$304=C1182))=0,"No matching asset + task in plan","OK")))</f>
        <v/>
      </c>
    </row>
    <row r="1183" customFormat="false" ht="15" hidden="false" customHeight="false" outlineLevel="0" collapsed="false">
      <c r="A1183" s="14"/>
      <c r="B1183" s="9"/>
      <c r="C1183" s="9"/>
      <c r="D1183" s="9"/>
      <c r="E1183" s="9"/>
      <c r="F1183" s="17" t="str">
        <f aca="false">IF(AND(A1183="",B1183="",C1183=""),"",IF(NOT(ISNUMBER(A1183)),"Enter the date done",IF(SUMPRODUCT(('PM Plan'!$A$5:$A$304=B1183)*('PM Plan'!$B$5:$B$304=C1183))=0,"No matching asset + task in plan","OK")))</f>
        <v/>
      </c>
    </row>
    <row r="1184" customFormat="false" ht="15" hidden="false" customHeight="false" outlineLevel="0" collapsed="false">
      <c r="A1184" s="14"/>
      <c r="B1184" s="9"/>
      <c r="C1184" s="9"/>
      <c r="D1184" s="9"/>
      <c r="E1184" s="9"/>
      <c r="F1184" s="17" t="str">
        <f aca="false">IF(AND(A1184="",B1184="",C1184=""),"",IF(NOT(ISNUMBER(A1184)),"Enter the date done",IF(SUMPRODUCT(('PM Plan'!$A$5:$A$304=B1184)*('PM Plan'!$B$5:$B$304=C1184))=0,"No matching asset + task in plan","OK")))</f>
        <v/>
      </c>
    </row>
    <row r="1185" customFormat="false" ht="15" hidden="false" customHeight="false" outlineLevel="0" collapsed="false">
      <c r="A1185" s="14"/>
      <c r="B1185" s="9"/>
      <c r="C1185" s="9"/>
      <c r="D1185" s="9"/>
      <c r="E1185" s="9"/>
      <c r="F1185" s="17" t="str">
        <f aca="false">IF(AND(A1185="",B1185="",C1185=""),"",IF(NOT(ISNUMBER(A1185)),"Enter the date done",IF(SUMPRODUCT(('PM Plan'!$A$5:$A$304=B1185)*('PM Plan'!$B$5:$B$304=C1185))=0,"No matching asset + task in plan","OK")))</f>
        <v/>
      </c>
    </row>
    <row r="1186" customFormat="false" ht="15" hidden="false" customHeight="false" outlineLevel="0" collapsed="false">
      <c r="A1186" s="14"/>
      <c r="B1186" s="9"/>
      <c r="C1186" s="9"/>
      <c r="D1186" s="9"/>
      <c r="E1186" s="9"/>
      <c r="F1186" s="17" t="str">
        <f aca="false">IF(AND(A1186="",B1186="",C1186=""),"",IF(NOT(ISNUMBER(A1186)),"Enter the date done",IF(SUMPRODUCT(('PM Plan'!$A$5:$A$304=B1186)*('PM Plan'!$B$5:$B$304=C1186))=0,"No matching asset + task in plan","OK")))</f>
        <v/>
      </c>
    </row>
    <row r="1187" customFormat="false" ht="15" hidden="false" customHeight="false" outlineLevel="0" collapsed="false">
      <c r="A1187" s="14"/>
      <c r="B1187" s="9"/>
      <c r="C1187" s="9"/>
      <c r="D1187" s="9"/>
      <c r="E1187" s="9"/>
      <c r="F1187" s="17" t="str">
        <f aca="false">IF(AND(A1187="",B1187="",C1187=""),"",IF(NOT(ISNUMBER(A1187)),"Enter the date done",IF(SUMPRODUCT(('PM Plan'!$A$5:$A$304=B1187)*('PM Plan'!$B$5:$B$304=C1187))=0,"No matching asset + task in plan","OK")))</f>
        <v/>
      </c>
    </row>
    <row r="1188" customFormat="false" ht="15" hidden="false" customHeight="false" outlineLevel="0" collapsed="false">
      <c r="A1188" s="14"/>
      <c r="B1188" s="9"/>
      <c r="C1188" s="9"/>
      <c r="D1188" s="9"/>
      <c r="E1188" s="9"/>
      <c r="F1188" s="17" t="str">
        <f aca="false">IF(AND(A1188="",B1188="",C1188=""),"",IF(NOT(ISNUMBER(A1188)),"Enter the date done",IF(SUMPRODUCT(('PM Plan'!$A$5:$A$304=B1188)*('PM Plan'!$B$5:$B$304=C1188))=0,"No matching asset + task in plan","OK")))</f>
        <v/>
      </c>
    </row>
    <row r="1189" customFormat="false" ht="15" hidden="false" customHeight="false" outlineLevel="0" collapsed="false">
      <c r="A1189" s="14"/>
      <c r="B1189" s="9"/>
      <c r="C1189" s="9"/>
      <c r="D1189" s="9"/>
      <c r="E1189" s="9"/>
      <c r="F1189" s="17" t="str">
        <f aca="false">IF(AND(A1189="",B1189="",C1189=""),"",IF(NOT(ISNUMBER(A1189)),"Enter the date done",IF(SUMPRODUCT(('PM Plan'!$A$5:$A$304=B1189)*('PM Plan'!$B$5:$B$304=C1189))=0,"No matching asset + task in plan","OK")))</f>
        <v/>
      </c>
    </row>
    <row r="1190" customFormat="false" ht="15" hidden="false" customHeight="false" outlineLevel="0" collapsed="false">
      <c r="A1190" s="14"/>
      <c r="B1190" s="9"/>
      <c r="C1190" s="9"/>
      <c r="D1190" s="9"/>
      <c r="E1190" s="9"/>
      <c r="F1190" s="17" t="str">
        <f aca="false">IF(AND(A1190="",B1190="",C1190=""),"",IF(NOT(ISNUMBER(A1190)),"Enter the date done",IF(SUMPRODUCT(('PM Plan'!$A$5:$A$304=B1190)*('PM Plan'!$B$5:$B$304=C1190))=0,"No matching asset + task in plan","OK")))</f>
        <v/>
      </c>
    </row>
    <row r="1191" customFormat="false" ht="15" hidden="false" customHeight="false" outlineLevel="0" collapsed="false">
      <c r="A1191" s="14"/>
      <c r="B1191" s="9"/>
      <c r="C1191" s="9"/>
      <c r="D1191" s="9"/>
      <c r="E1191" s="9"/>
      <c r="F1191" s="17" t="str">
        <f aca="false">IF(AND(A1191="",B1191="",C1191=""),"",IF(NOT(ISNUMBER(A1191)),"Enter the date done",IF(SUMPRODUCT(('PM Plan'!$A$5:$A$304=B1191)*('PM Plan'!$B$5:$B$304=C1191))=0,"No matching asset + task in plan","OK")))</f>
        <v/>
      </c>
    </row>
    <row r="1192" customFormat="false" ht="15" hidden="false" customHeight="false" outlineLevel="0" collapsed="false">
      <c r="A1192" s="14"/>
      <c r="B1192" s="9"/>
      <c r="C1192" s="9"/>
      <c r="D1192" s="9"/>
      <c r="E1192" s="9"/>
      <c r="F1192" s="17" t="str">
        <f aca="false">IF(AND(A1192="",B1192="",C1192=""),"",IF(NOT(ISNUMBER(A1192)),"Enter the date done",IF(SUMPRODUCT(('PM Plan'!$A$5:$A$304=B1192)*('PM Plan'!$B$5:$B$304=C1192))=0,"No matching asset + task in plan","OK")))</f>
        <v/>
      </c>
    </row>
    <row r="1193" customFormat="false" ht="15" hidden="false" customHeight="false" outlineLevel="0" collapsed="false">
      <c r="A1193" s="14"/>
      <c r="B1193" s="9"/>
      <c r="C1193" s="9"/>
      <c r="D1193" s="9"/>
      <c r="E1193" s="9"/>
      <c r="F1193" s="17" t="str">
        <f aca="false">IF(AND(A1193="",B1193="",C1193=""),"",IF(NOT(ISNUMBER(A1193)),"Enter the date done",IF(SUMPRODUCT(('PM Plan'!$A$5:$A$304=B1193)*('PM Plan'!$B$5:$B$304=C1193))=0,"No matching asset + task in plan","OK")))</f>
        <v/>
      </c>
    </row>
    <row r="1194" customFormat="false" ht="15" hidden="false" customHeight="false" outlineLevel="0" collapsed="false">
      <c r="A1194" s="14"/>
      <c r="B1194" s="9"/>
      <c r="C1194" s="9"/>
      <c r="D1194" s="9"/>
      <c r="E1194" s="9"/>
      <c r="F1194" s="17" t="str">
        <f aca="false">IF(AND(A1194="",B1194="",C1194=""),"",IF(NOT(ISNUMBER(A1194)),"Enter the date done",IF(SUMPRODUCT(('PM Plan'!$A$5:$A$304=B1194)*('PM Plan'!$B$5:$B$304=C1194))=0,"No matching asset + task in plan","OK")))</f>
        <v/>
      </c>
    </row>
    <row r="1195" customFormat="false" ht="15" hidden="false" customHeight="false" outlineLevel="0" collapsed="false">
      <c r="A1195" s="14"/>
      <c r="B1195" s="9"/>
      <c r="C1195" s="9"/>
      <c r="D1195" s="9"/>
      <c r="E1195" s="9"/>
      <c r="F1195" s="17" t="str">
        <f aca="false">IF(AND(A1195="",B1195="",C1195=""),"",IF(NOT(ISNUMBER(A1195)),"Enter the date done",IF(SUMPRODUCT(('PM Plan'!$A$5:$A$304=B1195)*('PM Plan'!$B$5:$B$304=C1195))=0,"No matching asset + task in plan","OK")))</f>
        <v/>
      </c>
    </row>
    <row r="1196" customFormat="false" ht="15" hidden="false" customHeight="false" outlineLevel="0" collapsed="false">
      <c r="A1196" s="14"/>
      <c r="B1196" s="9"/>
      <c r="C1196" s="9"/>
      <c r="D1196" s="9"/>
      <c r="E1196" s="9"/>
      <c r="F1196" s="17" t="str">
        <f aca="false">IF(AND(A1196="",B1196="",C1196=""),"",IF(NOT(ISNUMBER(A1196)),"Enter the date done",IF(SUMPRODUCT(('PM Plan'!$A$5:$A$304=B1196)*('PM Plan'!$B$5:$B$304=C1196))=0,"No matching asset + task in plan","OK")))</f>
        <v/>
      </c>
    </row>
    <row r="1197" customFormat="false" ht="15" hidden="false" customHeight="false" outlineLevel="0" collapsed="false">
      <c r="A1197" s="14"/>
      <c r="B1197" s="9"/>
      <c r="C1197" s="9"/>
      <c r="D1197" s="9"/>
      <c r="E1197" s="9"/>
      <c r="F1197" s="17" t="str">
        <f aca="false">IF(AND(A1197="",B1197="",C1197=""),"",IF(NOT(ISNUMBER(A1197)),"Enter the date done",IF(SUMPRODUCT(('PM Plan'!$A$5:$A$304=B1197)*('PM Plan'!$B$5:$B$304=C1197))=0,"No matching asset + task in plan","OK")))</f>
        <v/>
      </c>
    </row>
    <row r="1198" customFormat="false" ht="15" hidden="false" customHeight="false" outlineLevel="0" collapsed="false">
      <c r="A1198" s="14"/>
      <c r="B1198" s="9"/>
      <c r="C1198" s="9"/>
      <c r="D1198" s="9"/>
      <c r="E1198" s="9"/>
      <c r="F1198" s="17" t="str">
        <f aca="false">IF(AND(A1198="",B1198="",C1198=""),"",IF(NOT(ISNUMBER(A1198)),"Enter the date done",IF(SUMPRODUCT(('PM Plan'!$A$5:$A$304=B1198)*('PM Plan'!$B$5:$B$304=C1198))=0,"No matching asset + task in plan","OK")))</f>
        <v/>
      </c>
    </row>
    <row r="1199" customFormat="false" ht="15" hidden="false" customHeight="false" outlineLevel="0" collapsed="false">
      <c r="A1199" s="14"/>
      <c r="B1199" s="9"/>
      <c r="C1199" s="9"/>
      <c r="D1199" s="9"/>
      <c r="E1199" s="9"/>
      <c r="F1199" s="17" t="str">
        <f aca="false">IF(AND(A1199="",B1199="",C1199=""),"",IF(NOT(ISNUMBER(A1199)),"Enter the date done",IF(SUMPRODUCT(('PM Plan'!$A$5:$A$304=B1199)*('PM Plan'!$B$5:$B$304=C1199))=0,"No matching asset + task in plan","OK")))</f>
        <v/>
      </c>
    </row>
    <row r="1200" customFormat="false" ht="15" hidden="false" customHeight="false" outlineLevel="0" collapsed="false">
      <c r="A1200" s="14"/>
      <c r="B1200" s="9"/>
      <c r="C1200" s="9"/>
      <c r="D1200" s="9"/>
      <c r="E1200" s="9"/>
      <c r="F1200" s="17" t="str">
        <f aca="false">IF(AND(A1200="",B1200="",C1200=""),"",IF(NOT(ISNUMBER(A1200)),"Enter the date done",IF(SUMPRODUCT(('PM Plan'!$A$5:$A$304=B1200)*('PM Plan'!$B$5:$B$304=C1200))=0,"No matching asset + task in plan","OK")))</f>
        <v/>
      </c>
    </row>
    <row r="1201" customFormat="false" ht="15" hidden="false" customHeight="false" outlineLevel="0" collapsed="false">
      <c r="A1201" s="14"/>
      <c r="B1201" s="9"/>
      <c r="C1201" s="9"/>
      <c r="D1201" s="9"/>
      <c r="E1201" s="9"/>
      <c r="F1201" s="17" t="str">
        <f aca="false">IF(AND(A1201="",B1201="",C1201=""),"",IF(NOT(ISNUMBER(A1201)),"Enter the date done",IF(SUMPRODUCT(('PM Plan'!$A$5:$A$304=B1201)*('PM Plan'!$B$5:$B$304=C1201))=0,"No matching asset + task in plan","OK")))</f>
        <v/>
      </c>
    </row>
    <row r="1202" customFormat="false" ht="15" hidden="false" customHeight="false" outlineLevel="0" collapsed="false">
      <c r="A1202" s="14"/>
      <c r="B1202" s="9"/>
      <c r="C1202" s="9"/>
      <c r="D1202" s="9"/>
      <c r="E1202" s="9"/>
      <c r="F1202" s="17" t="str">
        <f aca="false">IF(AND(A1202="",B1202="",C1202=""),"",IF(NOT(ISNUMBER(A1202)),"Enter the date done",IF(SUMPRODUCT(('PM Plan'!$A$5:$A$304=B1202)*('PM Plan'!$B$5:$B$304=C1202))=0,"No matching asset + task in plan","OK")))</f>
        <v/>
      </c>
    </row>
    <row r="1203" customFormat="false" ht="15" hidden="false" customHeight="false" outlineLevel="0" collapsed="false">
      <c r="A1203" s="14"/>
      <c r="B1203" s="9"/>
      <c r="C1203" s="9"/>
      <c r="D1203" s="9"/>
      <c r="E1203" s="9"/>
      <c r="F1203" s="17" t="str">
        <f aca="false">IF(AND(A1203="",B1203="",C1203=""),"",IF(NOT(ISNUMBER(A1203)),"Enter the date done",IF(SUMPRODUCT(('PM Plan'!$A$5:$A$304=B1203)*('PM Plan'!$B$5:$B$304=C1203))=0,"No matching asset + task in plan","OK")))</f>
        <v/>
      </c>
    </row>
    <row r="1204" customFormat="false" ht="15" hidden="false" customHeight="false" outlineLevel="0" collapsed="false">
      <c r="A1204" s="14"/>
      <c r="B1204" s="9"/>
      <c r="C1204" s="9"/>
      <c r="D1204" s="9"/>
      <c r="E1204" s="9"/>
      <c r="F1204" s="17" t="str">
        <f aca="false">IF(AND(A1204="",B1204="",C1204=""),"",IF(NOT(ISNUMBER(A1204)),"Enter the date done",IF(SUMPRODUCT(('PM Plan'!$A$5:$A$304=B1204)*('PM Plan'!$B$5:$B$304=C1204))=0,"No matching asset + task in plan","OK")))</f>
        <v/>
      </c>
    </row>
    <row r="1205" customFormat="false" ht="15" hidden="false" customHeight="false" outlineLevel="0" collapsed="false">
      <c r="A1205" s="14"/>
      <c r="B1205" s="9"/>
      <c r="C1205" s="9"/>
      <c r="D1205" s="9"/>
      <c r="E1205" s="9"/>
      <c r="F1205" s="17" t="str">
        <f aca="false">IF(AND(A1205="",B1205="",C1205=""),"",IF(NOT(ISNUMBER(A1205)),"Enter the date done",IF(SUMPRODUCT(('PM Plan'!$A$5:$A$304=B1205)*('PM Plan'!$B$5:$B$304=C1205))=0,"No matching asset + task in plan","OK")))</f>
        <v/>
      </c>
    </row>
    <row r="1206" customFormat="false" ht="15" hidden="false" customHeight="false" outlineLevel="0" collapsed="false">
      <c r="A1206" s="14"/>
      <c r="B1206" s="9"/>
      <c r="C1206" s="9"/>
      <c r="D1206" s="9"/>
      <c r="E1206" s="9"/>
      <c r="F1206" s="17" t="str">
        <f aca="false">IF(AND(A1206="",B1206="",C1206=""),"",IF(NOT(ISNUMBER(A1206)),"Enter the date done",IF(SUMPRODUCT(('PM Plan'!$A$5:$A$304=B1206)*('PM Plan'!$B$5:$B$304=C1206))=0,"No matching asset + task in plan","OK")))</f>
        <v/>
      </c>
    </row>
    <row r="1207" customFormat="false" ht="15" hidden="false" customHeight="false" outlineLevel="0" collapsed="false">
      <c r="A1207" s="14"/>
      <c r="B1207" s="9"/>
      <c r="C1207" s="9"/>
      <c r="D1207" s="9"/>
      <c r="E1207" s="9"/>
      <c r="F1207" s="17" t="str">
        <f aca="false">IF(AND(A1207="",B1207="",C1207=""),"",IF(NOT(ISNUMBER(A1207)),"Enter the date done",IF(SUMPRODUCT(('PM Plan'!$A$5:$A$304=B1207)*('PM Plan'!$B$5:$B$304=C1207))=0,"No matching asset + task in plan","OK")))</f>
        <v/>
      </c>
    </row>
    <row r="1208" customFormat="false" ht="15" hidden="false" customHeight="false" outlineLevel="0" collapsed="false">
      <c r="A1208" s="14"/>
      <c r="B1208" s="9"/>
      <c r="C1208" s="9"/>
      <c r="D1208" s="9"/>
      <c r="E1208" s="9"/>
      <c r="F1208" s="17" t="str">
        <f aca="false">IF(AND(A1208="",B1208="",C1208=""),"",IF(NOT(ISNUMBER(A1208)),"Enter the date done",IF(SUMPRODUCT(('PM Plan'!$A$5:$A$304=B1208)*('PM Plan'!$B$5:$B$304=C1208))=0,"No matching asset + task in plan","OK")))</f>
        <v/>
      </c>
    </row>
    <row r="1209" customFormat="false" ht="15" hidden="false" customHeight="false" outlineLevel="0" collapsed="false">
      <c r="A1209" s="14"/>
      <c r="B1209" s="9"/>
      <c r="C1209" s="9"/>
      <c r="D1209" s="9"/>
      <c r="E1209" s="9"/>
      <c r="F1209" s="17" t="str">
        <f aca="false">IF(AND(A1209="",B1209="",C1209=""),"",IF(NOT(ISNUMBER(A1209)),"Enter the date done",IF(SUMPRODUCT(('PM Plan'!$A$5:$A$304=B1209)*('PM Plan'!$B$5:$B$304=C1209))=0,"No matching asset + task in plan","OK")))</f>
        <v/>
      </c>
    </row>
    <row r="1210" customFormat="false" ht="15" hidden="false" customHeight="false" outlineLevel="0" collapsed="false">
      <c r="A1210" s="14"/>
      <c r="B1210" s="9"/>
      <c r="C1210" s="9"/>
      <c r="D1210" s="9"/>
      <c r="E1210" s="9"/>
      <c r="F1210" s="17" t="str">
        <f aca="false">IF(AND(A1210="",B1210="",C1210=""),"",IF(NOT(ISNUMBER(A1210)),"Enter the date done",IF(SUMPRODUCT(('PM Plan'!$A$5:$A$304=B1210)*('PM Plan'!$B$5:$B$304=C1210))=0,"No matching asset + task in plan","OK")))</f>
        <v/>
      </c>
    </row>
    <row r="1211" customFormat="false" ht="15" hidden="false" customHeight="false" outlineLevel="0" collapsed="false">
      <c r="A1211" s="14"/>
      <c r="B1211" s="9"/>
      <c r="C1211" s="9"/>
      <c r="D1211" s="9"/>
      <c r="E1211" s="9"/>
      <c r="F1211" s="17" t="str">
        <f aca="false">IF(AND(A1211="",B1211="",C1211=""),"",IF(NOT(ISNUMBER(A1211)),"Enter the date done",IF(SUMPRODUCT(('PM Plan'!$A$5:$A$304=B1211)*('PM Plan'!$B$5:$B$304=C1211))=0,"No matching asset + task in plan","OK")))</f>
        <v/>
      </c>
    </row>
    <row r="1212" customFormat="false" ht="15" hidden="false" customHeight="false" outlineLevel="0" collapsed="false">
      <c r="A1212" s="14"/>
      <c r="B1212" s="9"/>
      <c r="C1212" s="9"/>
      <c r="D1212" s="9"/>
      <c r="E1212" s="9"/>
      <c r="F1212" s="17" t="str">
        <f aca="false">IF(AND(A1212="",B1212="",C1212=""),"",IF(NOT(ISNUMBER(A1212)),"Enter the date done",IF(SUMPRODUCT(('PM Plan'!$A$5:$A$304=B1212)*('PM Plan'!$B$5:$B$304=C1212))=0,"No matching asset + task in plan","OK")))</f>
        <v/>
      </c>
    </row>
    <row r="1213" customFormat="false" ht="15" hidden="false" customHeight="false" outlineLevel="0" collapsed="false">
      <c r="A1213" s="14"/>
      <c r="B1213" s="9"/>
      <c r="C1213" s="9"/>
      <c r="D1213" s="9"/>
      <c r="E1213" s="9"/>
      <c r="F1213" s="17" t="str">
        <f aca="false">IF(AND(A1213="",B1213="",C1213=""),"",IF(NOT(ISNUMBER(A1213)),"Enter the date done",IF(SUMPRODUCT(('PM Plan'!$A$5:$A$304=B1213)*('PM Plan'!$B$5:$B$304=C1213))=0,"No matching asset + task in plan","OK")))</f>
        <v/>
      </c>
    </row>
    <row r="1214" customFormat="false" ht="15" hidden="false" customHeight="false" outlineLevel="0" collapsed="false">
      <c r="A1214" s="14"/>
      <c r="B1214" s="9"/>
      <c r="C1214" s="9"/>
      <c r="D1214" s="9"/>
      <c r="E1214" s="9"/>
      <c r="F1214" s="17" t="str">
        <f aca="false">IF(AND(A1214="",B1214="",C1214=""),"",IF(NOT(ISNUMBER(A1214)),"Enter the date done",IF(SUMPRODUCT(('PM Plan'!$A$5:$A$304=B1214)*('PM Plan'!$B$5:$B$304=C1214))=0,"No matching asset + task in plan","OK")))</f>
        <v/>
      </c>
    </row>
    <row r="1215" customFormat="false" ht="15" hidden="false" customHeight="false" outlineLevel="0" collapsed="false">
      <c r="A1215" s="14"/>
      <c r="B1215" s="9"/>
      <c r="C1215" s="9"/>
      <c r="D1215" s="9"/>
      <c r="E1215" s="9"/>
      <c r="F1215" s="17" t="str">
        <f aca="false">IF(AND(A1215="",B1215="",C1215=""),"",IF(NOT(ISNUMBER(A1215)),"Enter the date done",IF(SUMPRODUCT(('PM Plan'!$A$5:$A$304=B1215)*('PM Plan'!$B$5:$B$304=C1215))=0,"No matching asset + task in plan","OK")))</f>
        <v/>
      </c>
    </row>
    <row r="1216" customFormat="false" ht="15" hidden="false" customHeight="false" outlineLevel="0" collapsed="false">
      <c r="A1216" s="14"/>
      <c r="B1216" s="9"/>
      <c r="C1216" s="9"/>
      <c r="D1216" s="9"/>
      <c r="E1216" s="9"/>
      <c r="F1216" s="17" t="str">
        <f aca="false">IF(AND(A1216="",B1216="",C1216=""),"",IF(NOT(ISNUMBER(A1216)),"Enter the date done",IF(SUMPRODUCT(('PM Plan'!$A$5:$A$304=B1216)*('PM Plan'!$B$5:$B$304=C1216))=0,"No matching asset + task in plan","OK")))</f>
        <v/>
      </c>
    </row>
    <row r="1217" customFormat="false" ht="15" hidden="false" customHeight="false" outlineLevel="0" collapsed="false">
      <c r="A1217" s="14"/>
      <c r="B1217" s="9"/>
      <c r="C1217" s="9"/>
      <c r="D1217" s="9"/>
      <c r="E1217" s="9"/>
      <c r="F1217" s="17" t="str">
        <f aca="false">IF(AND(A1217="",B1217="",C1217=""),"",IF(NOT(ISNUMBER(A1217)),"Enter the date done",IF(SUMPRODUCT(('PM Plan'!$A$5:$A$304=B1217)*('PM Plan'!$B$5:$B$304=C1217))=0,"No matching asset + task in plan","OK")))</f>
        <v/>
      </c>
    </row>
    <row r="1218" customFormat="false" ht="15" hidden="false" customHeight="false" outlineLevel="0" collapsed="false">
      <c r="A1218" s="14"/>
      <c r="B1218" s="9"/>
      <c r="C1218" s="9"/>
      <c r="D1218" s="9"/>
      <c r="E1218" s="9"/>
      <c r="F1218" s="17" t="str">
        <f aca="false">IF(AND(A1218="",B1218="",C1218=""),"",IF(NOT(ISNUMBER(A1218)),"Enter the date done",IF(SUMPRODUCT(('PM Plan'!$A$5:$A$304=B1218)*('PM Plan'!$B$5:$B$304=C1218))=0,"No matching asset + task in plan","OK")))</f>
        <v/>
      </c>
    </row>
    <row r="1219" customFormat="false" ht="15" hidden="false" customHeight="false" outlineLevel="0" collapsed="false">
      <c r="A1219" s="14"/>
      <c r="B1219" s="9"/>
      <c r="C1219" s="9"/>
      <c r="D1219" s="9"/>
      <c r="E1219" s="9"/>
      <c r="F1219" s="17" t="str">
        <f aca="false">IF(AND(A1219="",B1219="",C1219=""),"",IF(NOT(ISNUMBER(A1219)),"Enter the date done",IF(SUMPRODUCT(('PM Plan'!$A$5:$A$304=B1219)*('PM Plan'!$B$5:$B$304=C1219))=0,"No matching asset + task in plan","OK")))</f>
        <v/>
      </c>
    </row>
    <row r="1220" customFormat="false" ht="15" hidden="false" customHeight="false" outlineLevel="0" collapsed="false">
      <c r="A1220" s="14"/>
      <c r="B1220" s="9"/>
      <c r="C1220" s="9"/>
      <c r="D1220" s="9"/>
      <c r="E1220" s="9"/>
      <c r="F1220" s="17" t="str">
        <f aca="false">IF(AND(A1220="",B1220="",C1220=""),"",IF(NOT(ISNUMBER(A1220)),"Enter the date done",IF(SUMPRODUCT(('PM Plan'!$A$5:$A$304=B1220)*('PM Plan'!$B$5:$B$304=C1220))=0,"No matching asset + task in plan","OK")))</f>
        <v/>
      </c>
    </row>
    <row r="1221" customFormat="false" ht="15" hidden="false" customHeight="false" outlineLevel="0" collapsed="false">
      <c r="A1221" s="14"/>
      <c r="B1221" s="9"/>
      <c r="C1221" s="9"/>
      <c r="D1221" s="9"/>
      <c r="E1221" s="9"/>
      <c r="F1221" s="17" t="str">
        <f aca="false">IF(AND(A1221="",B1221="",C1221=""),"",IF(NOT(ISNUMBER(A1221)),"Enter the date done",IF(SUMPRODUCT(('PM Plan'!$A$5:$A$304=B1221)*('PM Plan'!$B$5:$B$304=C1221))=0,"No matching asset + task in plan","OK")))</f>
        <v/>
      </c>
    </row>
    <row r="1222" customFormat="false" ht="15" hidden="false" customHeight="false" outlineLevel="0" collapsed="false">
      <c r="A1222" s="14"/>
      <c r="B1222" s="9"/>
      <c r="C1222" s="9"/>
      <c r="D1222" s="9"/>
      <c r="E1222" s="9"/>
      <c r="F1222" s="17" t="str">
        <f aca="false">IF(AND(A1222="",B1222="",C1222=""),"",IF(NOT(ISNUMBER(A1222)),"Enter the date done",IF(SUMPRODUCT(('PM Plan'!$A$5:$A$304=B1222)*('PM Plan'!$B$5:$B$304=C1222))=0,"No matching asset + task in plan","OK")))</f>
        <v/>
      </c>
    </row>
    <row r="1223" customFormat="false" ht="15" hidden="false" customHeight="false" outlineLevel="0" collapsed="false">
      <c r="A1223" s="14"/>
      <c r="B1223" s="9"/>
      <c r="C1223" s="9"/>
      <c r="D1223" s="9"/>
      <c r="E1223" s="9"/>
      <c r="F1223" s="17" t="str">
        <f aca="false">IF(AND(A1223="",B1223="",C1223=""),"",IF(NOT(ISNUMBER(A1223)),"Enter the date done",IF(SUMPRODUCT(('PM Plan'!$A$5:$A$304=B1223)*('PM Plan'!$B$5:$B$304=C1223))=0,"No matching asset + task in plan","OK")))</f>
        <v/>
      </c>
    </row>
    <row r="1224" customFormat="false" ht="15" hidden="false" customHeight="false" outlineLevel="0" collapsed="false">
      <c r="A1224" s="14"/>
      <c r="B1224" s="9"/>
      <c r="C1224" s="9"/>
      <c r="D1224" s="9"/>
      <c r="E1224" s="9"/>
      <c r="F1224" s="17" t="str">
        <f aca="false">IF(AND(A1224="",B1224="",C1224=""),"",IF(NOT(ISNUMBER(A1224)),"Enter the date done",IF(SUMPRODUCT(('PM Plan'!$A$5:$A$304=B1224)*('PM Plan'!$B$5:$B$304=C1224))=0,"No matching asset + task in plan","OK")))</f>
        <v/>
      </c>
    </row>
    <row r="1225" customFormat="false" ht="15" hidden="false" customHeight="false" outlineLevel="0" collapsed="false">
      <c r="A1225" s="14"/>
      <c r="B1225" s="9"/>
      <c r="C1225" s="9"/>
      <c r="D1225" s="9"/>
      <c r="E1225" s="9"/>
      <c r="F1225" s="17" t="str">
        <f aca="false">IF(AND(A1225="",B1225="",C1225=""),"",IF(NOT(ISNUMBER(A1225)),"Enter the date done",IF(SUMPRODUCT(('PM Plan'!$A$5:$A$304=B1225)*('PM Plan'!$B$5:$B$304=C1225))=0,"No matching asset + task in plan","OK")))</f>
        <v/>
      </c>
    </row>
    <row r="1226" customFormat="false" ht="15" hidden="false" customHeight="false" outlineLevel="0" collapsed="false">
      <c r="A1226" s="14"/>
      <c r="B1226" s="9"/>
      <c r="C1226" s="9"/>
      <c r="D1226" s="9"/>
      <c r="E1226" s="9"/>
      <c r="F1226" s="17" t="str">
        <f aca="false">IF(AND(A1226="",B1226="",C1226=""),"",IF(NOT(ISNUMBER(A1226)),"Enter the date done",IF(SUMPRODUCT(('PM Plan'!$A$5:$A$304=B1226)*('PM Plan'!$B$5:$B$304=C1226))=0,"No matching asset + task in plan","OK")))</f>
        <v/>
      </c>
    </row>
    <row r="1227" customFormat="false" ht="15" hidden="false" customHeight="false" outlineLevel="0" collapsed="false">
      <c r="A1227" s="14"/>
      <c r="B1227" s="9"/>
      <c r="C1227" s="9"/>
      <c r="D1227" s="9"/>
      <c r="E1227" s="9"/>
      <c r="F1227" s="17" t="str">
        <f aca="false">IF(AND(A1227="",B1227="",C1227=""),"",IF(NOT(ISNUMBER(A1227)),"Enter the date done",IF(SUMPRODUCT(('PM Plan'!$A$5:$A$304=B1227)*('PM Plan'!$B$5:$B$304=C1227))=0,"No matching asset + task in plan","OK")))</f>
        <v/>
      </c>
    </row>
    <row r="1228" customFormat="false" ht="15" hidden="false" customHeight="false" outlineLevel="0" collapsed="false">
      <c r="A1228" s="14"/>
      <c r="B1228" s="9"/>
      <c r="C1228" s="9"/>
      <c r="D1228" s="9"/>
      <c r="E1228" s="9"/>
      <c r="F1228" s="17" t="str">
        <f aca="false">IF(AND(A1228="",B1228="",C1228=""),"",IF(NOT(ISNUMBER(A1228)),"Enter the date done",IF(SUMPRODUCT(('PM Plan'!$A$5:$A$304=B1228)*('PM Plan'!$B$5:$B$304=C1228))=0,"No matching asset + task in plan","OK")))</f>
        <v/>
      </c>
    </row>
    <row r="1229" customFormat="false" ht="15" hidden="false" customHeight="false" outlineLevel="0" collapsed="false">
      <c r="A1229" s="14"/>
      <c r="B1229" s="9"/>
      <c r="C1229" s="9"/>
      <c r="D1229" s="9"/>
      <c r="E1229" s="9"/>
      <c r="F1229" s="17" t="str">
        <f aca="false">IF(AND(A1229="",B1229="",C1229=""),"",IF(NOT(ISNUMBER(A1229)),"Enter the date done",IF(SUMPRODUCT(('PM Plan'!$A$5:$A$304=B1229)*('PM Plan'!$B$5:$B$304=C1229))=0,"No matching asset + task in plan","OK")))</f>
        <v/>
      </c>
    </row>
    <row r="1230" customFormat="false" ht="15" hidden="false" customHeight="false" outlineLevel="0" collapsed="false">
      <c r="A1230" s="14"/>
      <c r="B1230" s="9"/>
      <c r="C1230" s="9"/>
      <c r="D1230" s="9"/>
      <c r="E1230" s="9"/>
      <c r="F1230" s="17" t="str">
        <f aca="false">IF(AND(A1230="",B1230="",C1230=""),"",IF(NOT(ISNUMBER(A1230)),"Enter the date done",IF(SUMPRODUCT(('PM Plan'!$A$5:$A$304=B1230)*('PM Plan'!$B$5:$B$304=C1230))=0,"No matching asset + task in plan","OK")))</f>
        <v/>
      </c>
    </row>
    <row r="1231" customFormat="false" ht="15" hidden="false" customHeight="false" outlineLevel="0" collapsed="false">
      <c r="A1231" s="14"/>
      <c r="B1231" s="9"/>
      <c r="C1231" s="9"/>
      <c r="D1231" s="9"/>
      <c r="E1231" s="9"/>
      <c r="F1231" s="17" t="str">
        <f aca="false">IF(AND(A1231="",B1231="",C1231=""),"",IF(NOT(ISNUMBER(A1231)),"Enter the date done",IF(SUMPRODUCT(('PM Plan'!$A$5:$A$304=B1231)*('PM Plan'!$B$5:$B$304=C1231))=0,"No matching asset + task in plan","OK")))</f>
        <v/>
      </c>
    </row>
    <row r="1232" customFormat="false" ht="15" hidden="false" customHeight="false" outlineLevel="0" collapsed="false">
      <c r="A1232" s="14"/>
      <c r="B1232" s="9"/>
      <c r="C1232" s="9"/>
      <c r="D1232" s="9"/>
      <c r="E1232" s="9"/>
      <c r="F1232" s="17" t="str">
        <f aca="false">IF(AND(A1232="",B1232="",C1232=""),"",IF(NOT(ISNUMBER(A1232)),"Enter the date done",IF(SUMPRODUCT(('PM Plan'!$A$5:$A$304=B1232)*('PM Plan'!$B$5:$B$304=C1232))=0,"No matching asset + task in plan","OK")))</f>
        <v/>
      </c>
    </row>
    <row r="1233" customFormat="false" ht="15" hidden="false" customHeight="false" outlineLevel="0" collapsed="false">
      <c r="A1233" s="14"/>
      <c r="B1233" s="9"/>
      <c r="C1233" s="9"/>
      <c r="D1233" s="9"/>
      <c r="E1233" s="9"/>
      <c r="F1233" s="17" t="str">
        <f aca="false">IF(AND(A1233="",B1233="",C1233=""),"",IF(NOT(ISNUMBER(A1233)),"Enter the date done",IF(SUMPRODUCT(('PM Plan'!$A$5:$A$304=B1233)*('PM Plan'!$B$5:$B$304=C1233))=0,"No matching asset + task in plan","OK")))</f>
        <v/>
      </c>
    </row>
    <row r="1234" customFormat="false" ht="15" hidden="false" customHeight="false" outlineLevel="0" collapsed="false">
      <c r="A1234" s="14"/>
      <c r="B1234" s="9"/>
      <c r="C1234" s="9"/>
      <c r="D1234" s="9"/>
      <c r="E1234" s="9"/>
      <c r="F1234" s="17" t="str">
        <f aca="false">IF(AND(A1234="",B1234="",C1234=""),"",IF(NOT(ISNUMBER(A1234)),"Enter the date done",IF(SUMPRODUCT(('PM Plan'!$A$5:$A$304=B1234)*('PM Plan'!$B$5:$B$304=C1234))=0,"No matching asset + task in plan","OK")))</f>
        <v/>
      </c>
    </row>
    <row r="1235" customFormat="false" ht="15" hidden="false" customHeight="false" outlineLevel="0" collapsed="false">
      <c r="A1235" s="14"/>
      <c r="B1235" s="9"/>
      <c r="C1235" s="9"/>
      <c r="D1235" s="9"/>
      <c r="E1235" s="9"/>
      <c r="F1235" s="17" t="str">
        <f aca="false">IF(AND(A1235="",B1235="",C1235=""),"",IF(NOT(ISNUMBER(A1235)),"Enter the date done",IF(SUMPRODUCT(('PM Plan'!$A$5:$A$304=B1235)*('PM Plan'!$B$5:$B$304=C1235))=0,"No matching asset + task in plan","OK")))</f>
        <v/>
      </c>
    </row>
    <row r="1236" customFormat="false" ht="15" hidden="false" customHeight="false" outlineLevel="0" collapsed="false">
      <c r="A1236" s="14"/>
      <c r="B1236" s="9"/>
      <c r="C1236" s="9"/>
      <c r="D1236" s="9"/>
      <c r="E1236" s="9"/>
      <c r="F1236" s="17" t="str">
        <f aca="false">IF(AND(A1236="",B1236="",C1236=""),"",IF(NOT(ISNUMBER(A1236)),"Enter the date done",IF(SUMPRODUCT(('PM Plan'!$A$5:$A$304=B1236)*('PM Plan'!$B$5:$B$304=C1236))=0,"No matching asset + task in plan","OK")))</f>
        <v/>
      </c>
    </row>
    <row r="1237" customFormat="false" ht="15" hidden="false" customHeight="false" outlineLevel="0" collapsed="false">
      <c r="A1237" s="14"/>
      <c r="B1237" s="9"/>
      <c r="C1237" s="9"/>
      <c r="D1237" s="9"/>
      <c r="E1237" s="9"/>
      <c r="F1237" s="17" t="str">
        <f aca="false">IF(AND(A1237="",B1237="",C1237=""),"",IF(NOT(ISNUMBER(A1237)),"Enter the date done",IF(SUMPRODUCT(('PM Plan'!$A$5:$A$304=B1237)*('PM Plan'!$B$5:$B$304=C1237))=0,"No matching asset + task in plan","OK")))</f>
        <v/>
      </c>
    </row>
    <row r="1238" customFormat="false" ht="15" hidden="false" customHeight="false" outlineLevel="0" collapsed="false">
      <c r="A1238" s="14"/>
      <c r="B1238" s="9"/>
      <c r="C1238" s="9"/>
      <c r="D1238" s="9"/>
      <c r="E1238" s="9"/>
      <c r="F1238" s="17" t="str">
        <f aca="false">IF(AND(A1238="",B1238="",C1238=""),"",IF(NOT(ISNUMBER(A1238)),"Enter the date done",IF(SUMPRODUCT(('PM Plan'!$A$5:$A$304=B1238)*('PM Plan'!$B$5:$B$304=C1238))=0,"No matching asset + task in plan","OK")))</f>
        <v/>
      </c>
    </row>
    <row r="1239" customFormat="false" ht="15" hidden="false" customHeight="false" outlineLevel="0" collapsed="false">
      <c r="A1239" s="14"/>
      <c r="B1239" s="9"/>
      <c r="C1239" s="9"/>
      <c r="D1239" s="9"/>
      <c r="E1239" s="9"/>
      <c r="F1239" s="17" t="str">
        <f aca="false">IF(AND(A1239="",B1239="",C1239=""),"",IF(NOT(ISNUMBER(A1239)),"Enter the date done",IF(SUMPRODUCT(('PM Plan'!$A$5:$A$304=B1239)*('PM Plan'!$B$5:$B$304=C1239))=0,"No matching asset + task in plan","OK")))</f>
        <v/>
      </c>
    </row>
    <row r="1240" customFormat="false" ht="15" hidden="false" customHeight="false" outlineLevel="0" collapsed="false">
      <c r="A1240" s="14"/>
      <c r="B1240" s="9"/>
      <c r="C1240" s="9"/>
      <c r="D1240" s="9"/>
      <c r="E1240" s="9"/>
      <c r="F1240" s="17" t="str">
        <f aca="false">IF(AND(A1240="",B1240="",C1240=""),"",IF(NOT(ISNUMBER(A1240)),"Enter the date done",IF(SUMPRODUCT(('PM Plan'!$A$5:$A$304=B1240)*('PM Plan'!$B$5:$B$304=C1240))=0,"No matching asset + task in plan","OK")))</f>
        <v/>
      </c>
    </row>
    <row r="1241" customFormat="false" ht="15" hidden="false" customHeight="false" outlineLevel="0" collapsed="false">
      <c r="A1241" s="14"/>
      <c r="B1241" s="9"/>
      <c r="C1241" s="9"/>
      <c r="D1241" s="9"/>
      <c r="E1241" s="9"/>
      <c r="F1241" s="17" t="str">
        <f aca="false">IF(AND(A1241="",B1241="",C1241=""),"",IF(NOT(ISNUMBER(A1241)),"Enter the date done",IF(SUMPRODUCT(('PM Plan'!$A$5:$A$304=B1241)*('PM Plan'!$B$5:$B$304=C1241))=0,"No matching asset + task in plan","OK")))</f>
        <v/>
      </c>
    </row>
    <row r="1242" customFormat="false" ht="15" hidden="false" customHeight="false" outlineLevel="0" collapsed="false">
      <c r="A1242" s="14"/>
      <c r="B1242" s="9"/>
      <c r="C1242" s="9"/>
      <c r="D1242" s="9"/>
      <c r="E1242" s="9"/>
      <c r="F1242" s="17" t="str">
        <f aca="false">IF(AND(A1242="",B1242="",C1242=""),"",IF(NOT(ISNUMBER(A1242)),"Enter the date done",IF(SUMPRODUCT(('PM Plan'!$A$5:$A$304=B1242)*('PM Plan'!$B$5:$B$304=C1242))=0,"No matching asset + task in plan","OK")))</f>
        <v/>
      </c>
    </row>
    <row r="1243" customFormat="false" ht="15" hidden="false" customHeight="false" outlineLevel="0" collapsed="false">
      <c r="A1243" s="14"/>
      <c r="B1243" s="9"/>
      <c r="C1243" s="9"/>
      <c r="D1243" s="9"/>
      <c r="E1243" s="9"/>
      <c r="F1243" s="17" t="str">
        <f aca="false">IF(AND(A1243="",B1243="",C1243=""),"",IF(NOT(ISNUMBER(A1243)),"Enter the date done",IF(SUMPRODUCT(('PM Plan'!$A$5:$A$304=B1243)*('PM Plan'!$B$5:$B$304=C1243))=0,"No matching asset + task in plan","OK")))</f>
        <v/>
      </c>
    </row>
    <row r="1244" customFormat="false" ht="15" hidden="false" customHeight="false" outlineLevel="0" collapsed="false">
      <c r="A1244" s="14"/>
      <c r="B1244" s="9"/>
      <c r="C1244" s="9"/>
      <c r="D1244" s="9"/>
      <c r="E1244" s="9"/>
      <c r="F1244" s="17" t="str">
        <f aca="false">IF(AND(A1244="",B1244="",C1244=""),"",IF(NOT(ISNUMBER(A1244)),"Enter the date done",IF(SUMPRODUCT(('PM Plan'!$A$5:$A$304=B1244)*('PM Plan'!$B$5:$B$304=C1244))=0,"No matching asset + task in plan","OK")))</f>
        <v/>
      </c>
    </row>
    <row r="1245" customFormat="false" ht="15" hidden="false" customHeight="false" outlineLevel="0" collapsed="false">
      <c r="A1245" s="14"/>
      <c r="B1245" s="9"/>
      <c r="C1245" s="9"/>
      <c r="D1245" s="9"/>
      <c r="E1245" s="9"/>
      <c r="F1245" s="17" t="str">
        <f aca="false">IF(AND(A1245="",B1245="",C1245=""),"",IF(NOT(ISNUMBER(A1245)),"Enter the date done",IF(SUMPRODUCT(('PM Plan'!$A$5:$A$304=B1245)*('PM Plan'!$B$5:$B$304=C1245))=0,"No matching asset + task in plan","OK")))</f>
        <v/>
      </c>
    </row>
    <row r="1246" customFormat="false" ht="15" hidden="false" customHeight="false" outlineLevel="0" collapsed="false">
      <c r="A1246" s="14"/>
      <c r="B1246" s="9"/>
      <c r="C1246" s="9"/>
      <c r="D1246" s="9"/>
      <c r="E1246" s="9"/>
      <c r="F1246" s="17" t="str">
        <f aca="false">IF(AND(A1246="",B1246="",C1246=""),"",IF(NOT(ISNUMBER(A1246)),"Enter the date done",IF(SUMPRODUCT(('PM Plan'!$A$5:$A$304=B1246)*('PM Plan'!$B$5:$B$304=C1246))=0,"No matching asset + task in plan","OK")))</f>
        <v/>
      </c>
    </row>
    <row r="1247" customFormat="false" ht="15" hidden="false" customHeight="false" outlineLevel="0" collapsed="false">
      <c r="A1247" s="14"/>
      <c r="B1247" s="9"/>
      <c r="C1247" s="9"/>
      <c r="D1247" s="9"/>
      <c r="E1247" s="9"/>
      <c r="F1247" s="17" t="str">
        <f aca="false">IF(AND(A1247="",B1247="",C1247=""),"",IF(NOT(ISNUMBER(A1247)),"Enter the date done",IF(SUMPRODUCT(('PM Plan'!$A$5:$A$304=B1247)*('PM Plan'!$B$5:$B$304=C1247))=0,"No matching asset + task in plan","OK")))</f>
        <v/>
      </c>
    </row>
    <row r="1248" customFormat="false" ht="15" hidden="false" customHeight="false" outlineLevel="0" collapsed="false">
      <c r="A1248" s="14"/>
      <c r="B1248" s="9"/>
      <c r="C1248" s="9"/>
      <c r="D1248" s="9"/>
      <c r="E1248" s="9"/>
      <c r="F1248" s="17" t="str">
        <f aca="false">IF(AND(A1248="",B1248="",C1248=""),"",IF(NOT(ISNUMBER(A1248)),"Enter the date done",IF(SUMPRODUCT(('PM Plan'!$A$5:$A$304=B1248)*('PM Plan'!$B$5:$B$304=C1248))=0,"No matching asset + task in plan","OK")))</f>
        <v/>
      </c>
    </row>
    <row r="1249" customFormat="false" ht="15" hidden="false" customHeight="false" outlineLevel="0" collapsed="false">
      <c r="A1249" s="14"/>
      <c r="B1249" s="9"/>
      <c r="C1249" s="9"/>
      <c r="D1249" s="9"/>
      <c r="E1249" s="9"/>
      <c r="F1249" s="17" t="str">
        <f aca="false">IF(AND(A1249="",B1249="",C1249=""),"",IF(NOT(ISNUMBER(A1249)),"Enter the date done",IF(SUMPRODUCT(('PM Plan'!$A$5:$A$304=B1249)*('PM Plan'!$B$5:$B$304=C1249))=0,"No matching asset + task in plan","OK")))</f>
        <v/>
      </c>
    </row>
    <row r="1250" customFormat="false" ht="15" hidden="false" customHeight="false" outlineLevel="0" collapsed="false">
      <c r="A1250" s="14"/>
      <c r="B1250" s="9"/>
      <c r="C1250" s="9"/>
      <c r="D1250" s="9"/>
      <c r="E1250" s="9"/>
      <c r="F1250" s="17" t="str">
        <f aca="false">IF(AND(A1250="",B1250="",C1250=""),"",IF(NOT(ISNUMBER(A1250)),"Enter the date done",IF(SUMPRODUCT(('PM Plan'!$A$5:$A$304=B1250)*('PM Plan'!$B$5:$B$304=C1250))=0,"No matching asset + task in plan","OK")))</f>
        <v/>
      </c>
    </row>
    <row r="1251" customFormat="false" ht="15" hidden="false" customHeight="false" outlineLevel="0" collapsed="false">
      <c r="A1251" s="14"/>
      <c r="B1251" s="9"/>
      <c r="C1251" s="9"/>
      <c r="D1251" s="9"/>
      <c r="E1251" s="9"/>
      <c r="F1251" s="17" t="str">
        <f aca="false">IF(AND(A1251="",B1251="",C1251=""),"",IF(NOT(ISNUMBER(A1251)),"Enter the date done",IF(SUMPRODUCT(('PM Plan'!$A$5:$A$304=B1251)*('PM Plan'!$B$5:$B$304=C1251))=0,"No matching asset + task in plan","OK")))</f>
        <v/>
      </c>
    </row>
    <row r="1252" customFormat="false" ht="15" hidden="false" customHeight="false" outlineLevel="0" collapsed="false">
      <c r="A1252" s="14"/>
      <c r="B1252" s="9"/>
      <c r="C1252" s="9"/>
      <c r="D1252" s="9"/>
      <c r="E1252" s="9"/>
      <c r="F1252" s="17" t="str">
        <f aca="false">IF(AND(A1252="",B1252="",C1252=""),"",IF(NOT(ISNUMBER(A1252)),"Enter the date done",IF(SUMPRODUCT(('PM Plan'!$A$5:$A$304=B1252)*('PM Plan'!$B$5:$B$304=C1252))=0,"No matching asset + task in plan","OK")))</f>
        <v/>
      </c>
    </row>
    <row r="1253" customFormat="false" ht="15" hidden="false" customHeight="false" outlineLevel="0" collapsed="false">
      <c r="A1253" s="14"/>
      <c r="B1253" s="9"/>
      <c r="C1253" s="9"/>
      <c r="D1253" s="9"/>
      <c r="E1253" s="9"/>
      <c r="F1253" s="17" t="str">
        <f aca="false">IF(AND(A1253="",B1253="",C1253=""),"",IF(NOT(ISNUMBER(A1253)),"Enter the date done",IF(SUMPRODUCT(('PM Plan'!$A$5:$A$304=B1253)*('PM Plan'!$B$5:$B$304=C1253))=0,"No matching asset + task in plan","OK")))</f>
        <v/>
      </c>
    </row>
    <row r="1254" customFormat="false" ht="15" hidden="false" customHeight="false" outlineLevel="0" collapsed="false">
      <c r="A1254" s="14"/>
      <c r="B1254" s="9"/>
      <c r="C1254" s="9"/>
      <c r="D1254" s="9"/>
      <c r="E1254" s="9"/>
      <c r="F1254" s="17" t="str">
        <f aca="false">IF(AND(A1254="",B1254="",C1254=""),"",IF(NOT(ISNUMBER(A1254)),"Enter the date done",IF(SUMPRODUCT(('PM Plan'!$A$5:$A$304=B1254)*('PM Plan'!$B$5:$B$304=C1254))=0,"No matching asset + task in plan","OK")))</f>
        <v/>
      </c>
    </row>
    <row r="1255" customFormat="false" ht="15" hidden="false" customHeight="false" outlineLevel="0" collapsed="false">
      <c r="A1255" s="14"/>
      <c r="B1255" s="9"/>
      <c r="C1255" s="9"/>
      <c r="D1255" s="9"/>
      <c r="E1255" s="9"/>
      <c r="F1255" s="17" t="str">
        <f aca="false">IF(AND(A1255="",B1255="",C1255=""),"",IF(NOT(ISNUMBER(A1255)),"Enter the date done",IF(SUMPRODUCT(('PM Plan'!$A$5:$A$304=B1255)*('PM Plan'!$B$5:$B$304=C1255))=0,"No matching asset + task in plan","OK")))</f>
        <v/>
      </c>
    </row>
    <row r="1256" customFormat="false" ht="15" hidden="false" customHeight="false" outlineLevel="0" collapsed="false">
      <c r="A1256" s="14"/>
      <c r="B1256" s="9"/>
      <c r="C1256" s="9"/>
      <c r="D1256" s="9"/>
      <c r="E1256" s="9"/>
      <c r="F1256" s="17" t="str">
        <f aca="false">IF(AND(A1256="",B1256="",C1256=""),"",IF(NOT(ISNUMBER(A1256)),"Enter the date done",IF(SUMPRODUCT(('PM Plan'!$A$5:$A$304=B1256)*('PM Plan'!$B$5:$B$304=C1256))=0,"No matching asset + task in plan","OK")))</f>
        <v/>
      </c>
    </row>
    <row r="1257" customFormat="false" ht="15" hidden="false" customHeight="false" outlineLevel="0" collapsed="false">
      <c r="A1257" s="14"/>
      <c r="B1257" s="9"/>
      <c r="C1257" s="9"/>
      <c r="D1257" s="9"/>
      <c r="E1257" s="9"/>
      <c r="F1257" s="17" t="str">
        <f aca="false">IF(AND(A1257="",B1257="",C1257=""),"",IF(NOT(ISNUMBER(A1257)),"Enter the date done",IF(SUMPRODUCT(('PM Plan'!$A$5:$A$304=B1257)*('PM Plan'!$B$5:$B$304=C1257))=0,"No matching asset + task in plan","OK")))</f>
        <v/>
      </c>
    </row>
    <row r="1258" customFormat="false" ht="15" hidden="false" customHeight="false" outlineLevel="0" collapsed="false">
      <c r="A1258" s="14"/>
      <c r="B1258" s="9"/>
      <c r="C1258" s="9"/>
      <c r="D1258" s="9"/>
      <c r="E1258" s="9"/>
      <c r="F1258" s="17" t="str">
        <f aca="false">IF(AND(A1258="",B1258="",C1258=""),"",IF(NOT(ISNUMBER(A1258)),"Enter the date done",IF(SUMPRODUCT(('PM Plan'!$A$5:$A$304=B1258)*('PM Plan'!$B$5:$B$304=C1258))=0,"No matching asset + task in plan","OK")))</f>
        <v/>
      </c>
    </row>
    <row r="1259" customFormat="false" ht="15" hidden="false" customHeight="false" outlineLevel="0" collapsed="false">
      <c r="A1259" s="14"/>
      <c r="B1259" s="9"/>
      <c r="C1259" s="9"/>
      <c r="D1259" s="9"/>
      <c r="E1259" s="9"/>
      <c r="F1259" s="17" t="str">
        <f aca="false">IF(AND(A1259="",B1259="",C1259=""),"",IF(NOT(ISNUMBER(A1259)),"Enter the date done",IF(SUMPRODUCT(('PM Plan'!$A$5:$A$304=B1259)*('PM Plan'!$B$5:$B$304=C1259))=0,"No matching asset + task in plan","OK")))</f>
        <v/>
      </c>
    </row>
    <row r="1260" customFormat="false" ht="15" hidden="false" customHeight="false" outlineLevel="0" collapsed="false">
      <c r="A1260" s="14"/>
      <c r="B1260" s="9"/>
      <c r="C1260" s="9"/>
      <c r="D1260" s="9"/>
      <c r="E1260" s="9"/>
      <c r="F1260" s="17" t="str">
        <f aca="false">IF(AND(A1260="",B1260="",C1260=""),"",IF(NOT(ISNUMBER(A1260)),"Enter the date done",IF(SUMPRODUCT(('PM Plan'!$A$5:$A$304=B1260)*('PM Plan'!$B$5:$B$304=C1260))=0,"No matching asset + task in plan","OK")))</f>
        <v/>
      </c>
    </row>
    <row r="1261" customFormat="false" ht="15" hidden="false" customHeight="false" outlineLevel="0" collapsed="false">
      <c r="A1261" s="14"/>
      <c r="B1261" s="9"/>
      <c r="C1261" s="9"/>
      <c r="D1261" s="9"/>
      <c r="E1261" s="9"/>
      <c r="F1261" s="17" t="str">
        <f aca="false">IF(AND(A1261="",B1261="",C1261=""),"",IF(NOT(ISNUMBER(A1261)),"Enter the date done",IF(SUMPRODUCT(('PM Plan'!$A$5:$A$304=B1261)*('PM Plan'!$B$5:$B$304=C1261))=0,"No matching asset + task in plan","OK")))</f>
        <v/>
      </c>
    </row>
    <row r="1262" customFormat="false" ht="15" hidden="false" customHeight="false" outlineLevel="0" collapsed="false">
      <c r="A1262" s="14"/>
      <c r="B1262" s="9"/>
      <c r="C1262" s="9"/>
      <c r="D1262" s="9"/>
      <c r="E1262" s="9"/>
      <c r="F1262" s="17" t="str">
        <f aca="false">IF(AND(A1262="",B1262="",C1262=""),"",IF(NOT(ISNUMBER(A1262)),"Enter the date done",IF(SUMPRODUCT(('PM Plan'!$A$5:$A$304=B1262)*('PM Plan'!$B$5:$B$304=C1262))=0,"No matching asset + task in plan","OK")))</f>
        <v/>
      </c>
    </row>
    <row r="1263" customFormat="false" ht="15" hidden="false" customHeight="false" outlineLevel="0" collapsed="false">
      <c r="A1263" s="14"/>
      <c r="B1263" s="9"/>
      <c r="C1263" s="9"/>
      <c r="D1263" s="9"/>
      <c r="E1263" s="9"/>
      <c r="F1263" s="17" t="str">
        <f aca="false">IF(AND(A1263="",B1263="",C1263=""),"",IF(NOT(ISNUMBER(A1263)),"Enter the date done",IF(SUMPRODUCT(('PM Plan'!$A$5:$A$304=B1263)*('PM Plan'!$B$5:$B$304=C1263))=0,"No matching asset + task in plan","OK")))</f>
        <v/>
      </c>
    </row>
    <row r="1264" customFormat="false" ht="15" hidden="false" customHeight="false" outlineLevel="0" collapsed="false">
      <c r="A1264" s="14"/>
      <c r="B1264" s="9"/>
      <c r="C1264" s="9"/>
      <c r="D1264" s="9"/>
      <c r="E1264" s="9"/>
      <c r="F1264" s="17" t="str">
        <f aca="false">IF(AND(A1264="",B1264="",C1264=""),"",IF(NOT(ISNUMBER(A1264)),"Enter the date done",IF(SUMPRODUCT(('PM Plan'!$A$5:$A$304=B1264)*('PM Plan'!$B$5:$B$304=C1264))=0,"No matching asset + task in plan","OK")))</f>
        <v/>
      </c>
    </row>
    <row r="1265" customFormat="false" ht="15" hidden="false" customHeight="false" outlineLevel="0" collapsed="false">
      <c r="A1265" s="14"/>
      <c r="B1265" s="9"/>
      <c r="C1265" s="9"/>
      <c r="D1265" s="9"/>
      <c r="E1265" s="9"/>
      <c r="F1265" s="17" t="str">
        <f aca="false">IF(AND(A1265="",B1265="",C1265=""),"",IF(NOT(ISNUMBER(A1265)),"Enter the date done",IF(SUMPRODUCT(('PM Plan'!$A$5:$A$304=B1265)*('PM Plan'!$B$5:$B$304=C1265))=0,"No matching asset + task in plan","OK")))</f>
        <v/>
      </c>
    </row>
    <row r="1266" customFormat="false" ht="15" hidden="false" customHeight="false" outlineLevel="0" collapsed="false">
      <c r="A1266" s="14"/>
      <c r="B1266" s="9"/>
      <c r="C1266" s="9"/>
      <c r="D1266" s="9"/>
      <c r="E1266" s="9"/>
      <c r="F1266" s="17" t="str">
        <f aca="false">IF(AND(A1266="",B1266="",C1266=""),"",IF(NOT(ISNUMBER(A1266)),"Enter the date done",IF(SUMPRODUCT(('PM Plan'!$A$5:$A$304=B1266)*('PM Plan'!$B$5:$B$304=C1266))=0,"No matching asset + task in plan","OK")))</f>
        <v/>
      </c>
    </row>
    <row r="1267" customFormat="false" ht="15" hidden="false" customHeight="false" outlineLevel="0" collapsed="false">
      <c r="A1267" s="14"/>
      <c r="B1267" s="9"/>
      <c r="C1267" s="9"/>
      <c r="D1267" s="9"/>
      <c r="E1267" s="9"/>
      <c r="F1267" s="17" t="str">
        <f aca="false">IF(AND(A1267="",B1267="",C1267=""),"",IF(NOT(ISNUMBER(A1267)),"Enter the date done",IF(SUMPRODUCT(('PM Plan'!$A$5:$A$304=B1267)*('PM Plan'!$B$5:$B$304=C1267))=0,"No matching asset + task in plan","OK")))</f>
        <v/>
      </c>
    </row>
    <row r="1268" customFormat="false" ht="15" hidden="false" customHeight="false" outlineLevel="0" collapsed="false">
      <c r="A1268" s="14"/>
      <c r="B1268" s="9"/>
      <c r="C1268" s="9"/>
      <c r="D1268" s="9"/>
      <c r="E1268" s="9"/>
      <c r="F1268" s="17" t="str">
        <f aca="false">IF(AND(A1268="",B1268="",C1268=""),"",IF(NOT(ISNUMBER(A1268)),"Enter the date done",IF(SUMPRODUCT(('PM Plan'!$A$5:$A$304=B1268)*('PM Plan'!$B$5:$B$304=C1268))=0,"No matching asset + task in plan","OK")))</f>
        <v/>
      </c>
    </row>
    <row r="1269" customFormat="false" ht="15" hidden="false" customHeight="false" outlineLevel="0" collapsed="false">
      <c r="A1269" s="14"/>
      <c r="B1269" s="9"/>
      <c r="C1269" s="9"/>
      <c r="D1269" s="9"/>
      <c r="E1269" s="9"/>
      <c r="F1269" s="17" t="str">
        <f aca="false">IF(AND(A1269="",B1269="",C1269=""),"",IF(NOT(ISNUMBER(A1269)),"Enter the date done",IF(SUMPRODUCT(('PM Plan'!$A$5:$A$304=B1269)*('PM Plan'!$B$5:$B$304=C1269))=0,"No matching asset + task in plan","OK")))</f>
        <v/>
      </c>
    </row>
    <row r="1270" customFormat="false" ht="15" hidden="false" customHeight="false" outlineLevel="0" collapsed="false">
      <c r="A1270" s="14"/>
      <c r="B1270" s="9"/>
      <c r="C1270" s="9"/>
      <c r="D1270" s="9"/>
      <c r="E1270" s="9"/>
      <c r="F1270" s="17" t="str">
        <f aca="false">IF(AND(A1270="",B1270="",C1270=""),"",IF(NOT(ISNUMBER(A1270)),"Enter the date done",IF(SUMPRODUCT(('PM Plan'!$A$5:$A$304=B1270)*('PM Plan'!$B$5:$B$304=C1270))=0,"No matching asset + task in plan","OK")))</f>
        <v/>
      </c>
    </row>
    <row r="1271" customFormat="false" ht="15" hidden="false" customHeight="false" outlineLevel="0" collapsed="false">
      <c r="A1271" s="14"/>
      <c r="B1271" s="9"/>
      <c r="C1271" s="9"/>
      <c r="D1271" s="9"/>
      <c r="E1271" s="9"/>
      <c r="F1271" s="17" t="str">
        <f aca="false">IF(AND(A1271="",B1271="",C1271=""),"",IF(NOT(ISNUMBER(A1271)),"Enter the date done",IF(SUMPRODUCT(('PM Plan'!$A$5:$A$304=B1271)*('PM Plan'!$B$5:$B$304=C1271))=0,"No matching asset + task in plan","OK")))</f>
        <v/>
      </c>
    </row>
    <row r="1272" customFormat="false" ht="15" hidden="false" customHeight="false" outlineLevel="0" collapsed="false">
      <c r="A1272" s="14"/>
      <c r="B1272" s="9"/>
      <c r="C1272" s="9"/>
      <c r="D1272" s="9"/>
      <c r="E1272" s="9"/>
      <c r="F1272" s="17" t="str">
        <f aca="false">IF(AND(A1272="",B1272="",C1272=""),"",IF(NOT(ISNUMBER(A1272)),"Enter the date done",IF(SUMPRODUCT(('PM Plan'!$A$5:$A$304=B1272)*('PM Plan'!$B$5:$B$304=C1272))=0,"No matching asset + task in plan","OK")))</f>
        <v/>
      </c>
    </row>
    <row r="1273" customFormat="false" ht="15" hidden="false" customHeight="false" outlineLevel="0" collapsed="false">
      <c r="A1273" s="14"/>
      <c r="B1273" s="9"/>
      <c r="C1273" s="9"/>
      <c r="D1273" s="9"/>
      <c r="E1273" s="9"/>
      <c r="F1273" s="17" t="str">
        <f aca="false">IF(AND(A1273="",B1273="",C1273=""),"",IF(NOT(ISNUMBER(A1273)),"Enter the date done",IF(SUMPRODUCT(('PM Plan'!$A$5:$A$304=B1273)*('PM Plan'!$B$5:$B$304=C1273))=0,"No matching asset + task in plan","OK")))</f>
        <v/>
      </c>
    </row>
    <row r="1274" customFormat="false" ht="15" hidden="false" customHeight="false" outlineLevel="0" collapsed="false">
      <c r="A1274" s="14"/>
      <c r="B1274" s="9"/>
      <c r="C1274" s="9"/>
      <c r="D1274" s="9"/>
      <c r="E1274" s="9"/>
      <c r="F1274" s="17" t="str">
        <f aca="false">IF(AND(A1274="",B1274="",C1274=""),"",IF(NOT(ISNUMBER(A1274)),"Enter the date done",IF(SUMPRODUCT(('PM Plan'!$A$5:$A$304=B1274)*('PM Plan'!$B$5:$B$304=C1274))=0,"No matching asset + task in plan","OK")))</f>
        <v/>
      </c>
    </row>
    <row r="1275" customFormat="false" ht="15" hidden="false" customHeight="false" outlineLevel="0" collapsed="false">
      <c r="A1275" s="14"/>
      <c r="B1275" s="9"/>
      <c r="C1275" s="9"/>
      <c r="D1275" s="9"/>
      <c r="E1275" s="9"/>
      <c r="F1275" s="17" t="str">
        <f aca="false">IF(AND(A1275="",B1275="",C1275=""),"",IF(NOT(ISNUMBER(A1275)),"Enter the date done",IF(SUMPRODUCT(('PM Plan'!$A$5:$A$304=B1275)*('PM Plan'!$B$5:$B$304=C1275))=0,"No matching asset + task in plan","OK")))</f>
        <v/>
      </c>
    </row>
    <row r="1276" customFormat="false" ht="15" hidden="false" customHeight="false" outlineLevel="0" collapsed="false">
      <c r="A1276" s="14"/>
      <c r="B1276" s="9"/>
      <c r="C1276" s="9"/>
      <c r="D1276" s="9"/>
      <c r="E1276" s="9"/>
      <c r="F1276" s="17" t="str">
        <f aca="false">IF(AND(A1276="",B1276="",C1276=""),"",IF(NOT(ISNUMBER(A1276)),"Enter the date done",IF(SUMPRODUCT(('PM Plan'!$A$5:$A$304=B1276)*('PM Plan'!$B$5:$B$304=C1276))=0,"No matching asset + task in plan","OK")))</f>
        <v/>
      </c>
    </row>
    <row r="1277" customFormat="false" ht="15" hidden="false" customHeight="false" outlineLevel="0" collapsed="false">
      <c r="A1277" s="14"/>
      <c r="B1277" s="9"/>
      <c r="C1277" s="9"/>
      <c r="D1277" s="9"/>
      <c r="E1277" s="9"/>
      <c r="F1277" s="17" t="str">
        <f aca="false">IF(AND(A1277="",B1277="",C1277=""),"",IF(NOT(ISNUMBER(A1277)),"Enter the date done",IF(SUMPRODUCT(('PM Plan'!$A$5:$A$304=B1277)*('PM Plan'!$B$5:$B$304=C1277))=0,"No matching asset + task in plan","OK")))</f>
        <v/>
      </c>
    </row>
    <row r="1278" customFormat="false" ht="15" hidden="false" customHeight="false" outlineLevel="0" collapsed="false">
      <c r="A1278" s="14"/>
      <c r="B1278" s="9"/>
      <c r="C1278" s="9"/>
      <c r="D1278" s="9"/>
      <c r="E1278" s="9"/>
      <c r="F1278" s="17" t="str">
        <f aca="false">IF(AND(A1278="",B1278="",C1278=""),"",IF(NOT(ISNUMBER(A1278)),"Enter the date done",IF(SUMPRODUCT(('PM Plan'!$A$5:$A$304=B1278)*('PM Plan'!$B$5:$B$304=C1278))=0,"No matching asset + task in plan","OK")))</f>
        <v/>
      </c>
    </row>
    <row r="1279" customFormat="false" ht="15" hidden="false" customHeight="false" outlineLevel="0" collapsed="false">
      <c r="A1279" s="14"/>
      <c r="B1279" s="9"/>
      <c r="C1279" s="9"/>
      <c r="D1279" s="9"/>
      <c r="E1279" s="9"/>
      <c r="F1279" s="17" t="str">
        <f aca="false">IF(AND(A1279="",B1279="",C1279=""),"",IF(NOT(ISNUMBER(A1279)),"Enter the date done",IF(SUMPRODUCT(('PM Plan'!$A$5:$A$304=B1279)*('PM Plan'!$B$5:$B$304=C1279))=0,"No matching asset + task in plan","OK")))</f>
        <v/>
      </c>
    </row>
    <row r="1280" customFormat="false" ht="15" hidden="false" customHeight="false" outlineLevel="0" collapsed="false">
      <c r="A1280" s="14"/>
      <c r="B1280" s="9"/>
      <c r="C1280" s="9"/>
      <c r="D1280" s="9"/>
      <c r="E1280" s="9"/>
      <c r="F1280" s="17" t="str">
        <f aca="false">IF(AND(A1280="",B1280="",C1280=""),"",IF(NOT(ISNUMBER(A1280)),"Enter the date done",IF(SUMPRODUCT(('PM Plan'!$A$5:$A$304=B1280)*('PM Plan'!$B$5:$B$304=C1280))=0,"No matching asset + task in plan","OK")))</f>
        <v/>
      </c>
    </row>
    <row r="1281" customFormat="false" ht="15" hidden="false" customHeight="false" outlineLevel="0" collapsed="false">
      <c r="A1281" s="14"/>
      <c r="B1281" s="9"/>
      <c r="C1281" s="9"/>
      <c r="D1281" s="9"/>
      <c r="E1281" s="9"/>
      <c r="F1281" s="17" t="str">
        <f aca="false">IF(AND(A1281="",B1281="",C1281=""),"",IF(NOT(ISNUMBER(A1281)),"Enter the date done",IF(SUMPRODUCT(('PM Plan'!$A$5:$A$304=B1281)*('PM Plan'!$B$5:$B$304=C1281))=0,"No matching asset + task in plan","OK")))</f>
        <v/>
      </c>
    </row>
    <row r="1282" customFormat="false" ht="15" hidden="false" customHeight="false" outlineLevel="0" collapsed="false">
      <c r="A1282" s="14"/>
      <c r="B1282" s="9"/>
      <c r="C1282" s="9"/>
      <c r="D1282" s="9"/>
      <c r="E1282" s="9"/>
      <c r="F1282" s="17" t="str">
        <f aca="false">IF(AND(A1282="",B1282="",C1282=""),"",IF(NOT(ISNUMBER(A1282)),"Enter the date done",IF(SUMPRODUCT(('PM Plan'!$A$5:$A$304=B1282)*('PM Plan'!$B$5:$B$304=C1282))=0,"No matching asset + task in plan","OK")))</f>
        <v/>
      </c>
    </row>
    <row r="1283" customFormat="false" ht="15" hidden="false" customHeight="false" outlineLevel="0" collapsed="false">
      <c r="A1283" s="14"/>
      <c r="B1283" s="9"/>
      <c r="C1283" s="9"/>
      <c r="D1283" s="9"/>
      <c r="E1283" s="9"/>
      <c r="F1283" s="17" t="str">
        <f aca="false">IF(AND(A1283="",B1283="",C1283=""),"",IF(NOT(ISNUMBER(A1283)),"Enter the date done",IF(SUMPRODUCT(('PM Plan'!$A$5:$A$304=B1283)*('PM Plan'!$B$5:$B$304=C1283))=0,"No matching asset + task in plan","OK")))</f>
        <v/>
      </c>
    </row>
    <row r="1284" customFormat="false" ht="15" hidden="false" customHeight="false" outlineLevel="0" collapsed="false">
      <c r="A1284" s="14"/>
      <c r="B1284" s="9"/>
      <c r="C1284" s="9"/>
      <c r="D1284" s="9"/>
      <c r="E1284" s="9"/>
      <c r="F1284" s="17" t="str">
        <f aca="false">IF(AND(A1284="",B1284="",C1284=""),"",IF(NOT(ISNUMBER(A1284)),"Enter the date done",IF(SUMPRODUCT(('PM Plan'!$A$5:$A$304=B1284)*('PM Plan'!$B$5:$B$304=C1284))=0,"No matching asset + task in plan","OK")))</f>
        <v/>
      </c>
    </row>
    <row r="1285" customFormat="false" ht="15" hidden="false" customHeight="false" outlineLevel="0" collapsed="false">
      <c r="A1285" s="14"/>
      <c r="B1285" s="9"/>
      <c r="C1285" s="9"/>
      <c r="D1285" s="9"/>
      <c r="E1285" s="9"/>
      <c r="F1285" s="17" t="str">
        <f aca="false">IF(AND(A1285="",B1285="",C1285=""),"",IF(NOT(ISNUMBER(A1285)),"Enter the date done",IF(SUMPRODUCT(('PM Plan'!$A$5:$A$304=B1285)*('PM Plan'!$B$5:$B$304=C1285))=0,"No matching asset + task in plan","OK")))</f>
        <v/>
      </c>
    </row>
    <row r="1286" customFormat="false" ht="15" hidden="false" customHeight="false" outlineLevel="0" collapsed="false">
      <c r="A1286" s="14"/>
      <c r="B1286" s="9"/>
      <c r="C1286" s="9"/>
      <c r="D1286" s="9"/>
      <c r="E1286" s="9"/>
      <c r="F1286" s="17" t="str">
        <f aca="false">IF(AND(A1286="",B1286="",C1286=""),"",IF(NOT(ISNUMBER(A1286)),"Enter the date done",IF(SUMPRODUCT(('PM Plan'!$A$5:$A$304=B1286)*('PM Plan'!$B$5:$B$304=C1286))=0,"No matching asset + task in plan","OK")))</f>
        <v/>
      </c>
    </row>
    <row r="1287" customFormat="false" ht="15" hidden="false" customHeight="false" outlineLevel="0" collapsed="false">
      <c r="A1287" s="14"/>
      <c r="B1287" s="9"/>
      <c r="C1287" s="9"/>
      <c r="D1287" s="9"/>
      <c r="E1287" s="9"/>
      <c r="F1287" s="17" t="str">
        <f aca="false">IF(AND(A1287="",B1287="",C1287=""),"",IF(NOT(ISNUMBER(A1287)),"Enter the date done",IF(SUMPRODUCT(('PM Plan'!$A$5:$A$304=B1287)*('PM Plan'!$B$5:$B$304=C1287))=0,"No matching asset + task in plan","OK")))</f>
        <v/>
      </c>
    </row>
    <row r="1288" customFormat="false" ht="15" hidden="false" customHeight="false" outlineLevel="0" collapsed="false">
      <c r="A1288" s="14"/>
      <c r="B1288" s="9"/>
      <c r="C1288" s="9"/>
      <c r="D1288" s="9"/>
      <c r="E1288" s="9"/>
      <c r="F1288" s="17" t="str">
        <f aca="false">IF(AND(A1288="",B1288="",C1288=""),"",IF(NOT(ISNUMBER(A1288)),"Enter the date done",IF(SUMPRODUCT(('PM Plan'!$A$5:$A$304=B1288)*('PM Plan'!$B$5:$B$304=C1288))=0,"No matching asset + task in plan","OK")))</f>
        <v/>
      </c>
    </row>
    <row r="1289" customFormat="false" ht="15" hidden="false" customHeight="false" outlineLevel="0" collapsed="false">
      <c r="A1289" s="14"/>
      <c r="B1289" s="9"/>
      <c r="C1289" s="9"/>
      <c r="D1289" s="9"/>
      <c r="E1289" s="9"/>
      <c r="F1289" s="17" t="str">
        <f aca="false">IF(AND(A1289="",B1289="",C1289=""),"",IF(NOT(ISNUMBER(A1289)),"Enter the date done",IF(SUMPRODUCT(('PM Plan'!$A$5:$A$304=B1289)*('PM Plan'!$B$5:$B$304=C1289))=0,"No matching asset + task in plan","OK")))</f>
        <v/>
      </c>
    </row>
    <row r="1290" customFormat="false" ht="15" hidden="false" customHeight="false" outlineLevel="0" collapsed="false">
      <c r="A1290" s="14"/>
      <c r="B1290" s="9"/>
      <c r="C1290" s="9"/>
      <c r="D1290" s="9"/>
      <c r="E1290" s="9"/>
      <c r="F1290" s="17" t="str">
        <f aca="false">IF(AND(A1290="",B1290="",C1290=""),"",IF(NOT(ISNUMBER(A1290)),"Enter the date done",IF(SUMPRODUCT(('PM Plan'!$A$5:$A$304=B1290)*('PM Plan'!$B$5:$B$304=C1290))=0,"No matching asset + task in plan","OK")))</f>
        <v/>
      </c>
    </row>
    <row r="1291" customFormat="false" ht="15" hidden="false" customHeight="false" outlineLevel="0" collapsed="false">
      <c r="A1291" s="14"/>
      <c r="B1291" s="9"/>
      <c r="C1291" s="9"/>
      <c r="D1291" s="9"/>
      <c r="E1291" s="9"/>
      <c r="F1291" s="17" t="str">
        <f aca="false">IF(AND(A1291="",B1291="",C1291=""),"",IF(NOT(ISNUMBER(A1291)),"Enter the date done",IF(SUMPRODUCT(('PM Plan'!$A$5:$A$304=B1291)*('PM Plan'!$B$5:$B$304=C1291))=0,"No matching asset + task in plan","OK")))</f>
        <v/>
      </c>
    </row>
    <row r="1292" customFormat="false" ht="15" hidden="false" customHeight="false" outlineLevel="0" collapsed="false">
      <c r="A1292" s="14"/>
      <c r="B1292" s="9"/>
      <c r="C1292" s="9"/>
      <c r="D1292" s="9"/>
      <c r="E1292" s="9"/>
      <c r="F1292" s="17" t="str">
        <f aca="false">IF(AND(A1292="",B1292="",C1292=""),"",IF(NOT(ISNUMBER(A1292)),"Enter the date done",IF(SUMPRODUCT(('PM Plan'!$A$5:$A$304=B1292)*('PM Plan'!$B$5:$B$304=C1292))=0,"No matching asset + task in plan","OK")))</f>
        <v/>
      </c>
    </row>
    <row r="1293" customFormat="false" ht="15" hidden="false" customHeight="false" outlineLevel="0" collapsed="false">
      <c r="A1293" s="14"/>
      <c r="B1293" s="9"/>
      <c r="C1293" s="9"/>
      <c r="D1293" s="9"/>
      <c r="E1293" s="9"/>
      <c r="F1293" s="17" t="str">
        <f aca="false">IF(AND(A1293="",B1293="",C1293=""),"",IF(NOT(ISNUMBER(A1293)),"Enter the date done",IF(SUMPRODUCT(('PM Plan'!$A$5:$A$304=B1293)*('PM Plan'!$B$5:$B$304=C1293))=0,"No matching asset + task in plan","OK")))</f>
        <v/>
      </c>
    </row>
    <row r="1294" customFormat="false" ht="15" hidden="false" customHeight="false" outlineLevel="0" collapsed="false">
      <c r="A1294" s="14"/>
      <c r="B1294" s="9"/>
      <c r="C1294" s="9"/>
      <c r="D1294" s="9"/>
      <c r="E1294" s="9"/>
      <c r="F1294" s="17" t="str">
        <f aca="false">IF(AND(A1294="",B1294="",C1294=""),"",IF(NOT(ISNUMBER(A1294)),"Enter the date done",IF(SUMPRODUCT(('PM Plan'!$A$5:$A$304=B1294)*('PM Plan'!$B$5:$B$304=C1294))=0,"No matching asset + task in plan","OK")))</f>
        <v/>
      </c>
    </row>
    <row r="1295" customFormat="false" ht="15" hidden="false" customHeight="false" outlineLevel="0" collapsed="false">
      <c r="A1295" s="14"/>
      <c r="B1295" s="9"/>
      <c r="C1295" s="9"/>
      <c r="D1295" s="9"/>
      <c r="E1295" s="9"/>
      <c r="F1295" s="17" t="str">
        <f aca="false">IF(AND(A1295="",B1295="",C1295=""),"",IF(NOT(ISNUMBER(A1295)),"Enter the date done",IF(SUMPRODUCT(('PM Plan'!$A$5:$A$304=B1295)*('PM Plan'!$B$5:$B$304=C1295))=0,"No matching asset + task in plan","OK")))</f>
        <v/>
      </c>
    </row>
    <row r="1296" customFormat="false" ht="15" hidden="false" customHeight="false" outlineLevel="0" collapsed="false">
      <c r="A1296" s="14"/>
      <c r="B1296" s="9"/>
      <c r="C1296" s="9"/>
      <c r="D1296" s="9"/>
      <c r="E1296" s="9"/>
      <c r="F1296" s="17" t="str">
        <f aca="false">IF(AND(A1296="",B1296="",C1296=""),"",IF(NOT(ISNUMBER(A1296)),"Enter the date done",IF(SUMPRODUCT(('PM Plan'!$A$5:$A$304=B1296)*('PM Plan'!$B$5:$B$304=C1296))=0,"No matching asset + task in plan","OK")))</f>
        <v/>
      </c>
    </row>
    <row r="1297" customFormat="false" ht="15" hidden="false" customHeight="false" outlineLevel="0" collapsed="false">
      <c r="A1297" s="14"/>
      <c r="B1297" s="9"/>
      <c r="C1297" s="9"/>
      <c r="D1297" s="9"/>
      <c r="E1297" s="9"/>
      <c r="F1297" s="17" t="str">
        <f aca="false">IF(AND(A1297="",B1297="",C1297=""),"",IF(NOT(ISNUMBER(A1297)),"Enter the date done",IF(SUMPRODUCT(('PM Plan'!$A$5:$A$304=B1297)*('PM Plan'!$B$5:$B$304=C1297))=0,"No matching asset + task in plan","OK")))</f>
        <v/>
      </c>
    </row>
    <row r="1298" customFormat="false" ht="15" hidden="false" customHeight="false" outlineLevel="0" collapsed="false">
      <c r="A1298" s="14"/>
      <c r="B1298" s="9"/>
      <c r="C1298" s="9"/>
      <c r="D1298" s="9"/>
      <c r="E1298" s="9"/>
      <c r="F1298" s="17" t="str">
        <f aca="false">IF(AND(A1298="",B1298="",C1298=""),"",IF(NOT(ISNUMBER(A1298)),"Enter the date done",IF(SUMPRODUCT(('PM Plan'!$A$5:$A$304=B1298)*('PM Plan'!$B$5:$B$304=C1298))=0,"No matching asset + task in plan","OK")))</f>
        <v/>
      </c>
    </row>
    <row r="1299" customFormat="false" ht="15" hidden="false" customHeight="false" outlineLevel="0" collapsed="false">
      <c r="A1299" s="14"/>
      <c r="B1299" s="9"/>
      <c r="C1299" s="9"/>
      <c r="D1299" s="9"/>
      <c r="E1299" s="9"/>
      <c r="F1299" s="17" t="str">
        <f aca="false">IF(AND(A1299="",B1299="",C1299=""),"",IF(NOT(ISNUMBER(A1299)),"Enter the date done",IF(SUMPRODUCT(('PM Plan'!$A$5:$A$304=B1299)*('PM Plan'!$B$5:$B$304=C1299))=0,"No matching asset + task in plan","OK")))</f>
        <v/>
      </c>
    </row>
    <row r="1300" customFormat="false" ht="15" hidden="false" customHeight="false" outlineLevel="0" collapsed="false">
      <c r="A1300" s="14"/>
      <c r="B1300" s="9"/>
      <c r="C1300" s="9"/>
      <c r="D1300" s="9"/>
      <c r="E1300" s="9"/>
      <c r="F1300" s="17" t="str">
        <f aca="false">IF(AND(A1300="",B1300="",C1300=""),"",IF(NOT(ISNUMBER(A1300)),"Enter the date done",IF(SUMPRODUCT(('PM Plan'!$A$5:$A$304=B1300)*('PM Plan'!$B$5:$B$304=C1300))=0,"No matching asset + task in plan","OK")))</f>
        <v/>
      </c>
    </row>
    <row r="1301" customFormat="false" ht="15" hidden="false" customHeight="false" outlineLevel="0" collapsed="false">
      <c r="A1301" s="14"/>
      <c r="B1301" s="9"/>
      <c r="C1301" s="9"/>
      <c r="D1301" s="9"/>
      <c r="E1301" s="9"/>
      <c r="F1301" s="17" t="str">
        <f aca="false">IF(AND(A1301="",B1301="",C1301=""),"",IF(NOT(ISNUMBER(A1301)),"Enter the date done",IF(SUMPRODUCT(('PM Plan'!$A$5:$A$304=B1301)*('PM Plan'!$B$5:$B$304=C1301))=0,"No matching asset + task in plan","OK")))</f>
        <v/>
      </c>
    </row>
    <row r="1302" customFormat="false" ht="15" hidden="false" customHeight="false" outlineLevel="0" collapsed="false">
      <c r="A1302" s="14"/>
      <c r="B1302" s="9"/>
      <c r="C1302" s="9"/>
      <c r="D1302" s="9"/>
      <c r="E1302" s="9"/>
      <c r="F1302" s="17" t="str">
        <f aca="false">IF(AND(A1302="",B1302="",C1302=""),"",IF(NOT(ISNUMBER(A1302)),"Enter the date done",IF(SUMPRODUCT(('PM Plan'!$A$5:$A$304=B1302)*('PM Plan'!$B$5:$B$304=C1302))=0,"No matching asset + task in plan","OK")))</f>
        <v/>
      </c>
    </row>
    <row r="1303" customFormat="false" ht="15" hidden="false" customHeight="false" outlineLevel="0" collapsed="false">
      <c r="A1303" s="14"/>
      <c r="B1303" s="9"/>
      <c r="C1303" s="9"/>
      <c r="D1303" s="9"/>
      <c r="E1303" s="9"/>
      <c r="F1303" s="17" t="str">
        <f aca="false">IF(AND(A1303="",B1303="",C1303=""),"",IF(NOT(ISNUMBER(A1303)),"Enter the date done",IF(SUMPRODUCT(('PM Plan'!$A$5:$A$304=B1303)*('PM Plan'!$B$5:$B$304=C1303))=0,"No matching asset + task in plan","OK")))</f>
        <v/>
      </c>
    </row>
    <row r="1304" customFormat="false" ht="15" hidden="false" customHeight="false" outlineLevel="0" collapsed="false">
      <c r="A1304" s="14"/>
      <c r="B1304" s="9"/>
      <c r="C1304" s="9"/>
      <c r="D1304" s="9"/>
      <c r="E1304" s="9"/>
      <c r="F1304" s="17" t="str">
        <f aca="false">IF(AND(A1304="",B1304="",C1304=""),"",IF(NOT(ISNUMBER(A1304)),"Enter the date done",IF(SUMPRODUCT(('PM Plan'!$A$5:$A$304=B1304)*('PM Plan'!$B$5:$B$304=C1304))=0,"No matching asset + task in plan","OK")))</f>
        <v/>
      </c>
    </row>
    <row r="1305" customFormat="false" ht="15" hidden="false" customHeight="false" outlineLevel="0" collapsed="false">
      <c r="A1305" s="14"/>
      <c r="B1305" s="9"/>
      <c r="C1305" s="9"/>
      <c r="D1305" s="9"/>
      <c r="E1305" s="9"/>
      <c r="F1305" s="17" t="str">
        <f aca="false">IF(AND(A1305="",B1305="",C1305=""),"",IF(NOT(ISNUMBER(A1305)),"Enter the date done",IF(SUMPRODUCT(('PM Plan'!$A$5:$A$304=B1305)*('PM Plan'!$B$5:$B$304=C1305))=0,"No matching asset + task in plan","OK")))</f>
        <v/>
      </c>
    </row>
    <row r="1306" customFormat="false" ht="15" hidden="false" customHeight="false" outlineLevel="0" collapsed="false">
      <c r="A1306" s="14"/>
      <c r="B1306" s="9"/>
      <c r="C1306" s="9"/>
      <c r="D1306" s="9"/>
      <c r="E1306" s="9"/>
      <c r="F1306" s="17" t="str">
        <f aca="false">IF(AND(A1306="",B1306="",C1306=""),"",IF(NOT(ISNUMBER(A1306)),"Enter the date done",IF(SUMPRODUCT(('PM Plan'!$A$5:$A$304=B1306)*('PM Plan'!$B$5:$B$304=C1306))=0,"No matching asset + task in plan","OK")))</f>
        <v/>
      </c>
    </row>
    <row r="1307" customFormat="false" ht="15" hidden="false" customHeight="false" outlineLevel="0" collapsed="false">
      <c r="A1307" s="14"/>
      <c r="B1307" s="9"/>
      <c r="C1307" s="9"/>
      <c r="D1307" s="9"/>
      <c r="E1307" s="9"/>
      <c r="F1307" s="17" t="str">
        <f aca="false">IF(AND(A1307="",B1307="",C1307=""),"",IF(NOT(ISNUMBER(A1307)),"Enter the date done",IF(SUMPRODUCT(('PM Plan'!$A$5:$A$304=B1307)*('PM Plan'!$B$5:$B$304=C1307))=0,"No matching asset + task in plan","OK")))</f>
        <v/>
      </c>
    </row>
    <row r="1308" customFormat="false" ht="15" hidden="false" customHeight="false" outlineLevel="0" collapsed="false">
      <c r="A1308" s="14"/>
      <c r="B1308" s="9"/>
      <c r="C1308" s="9"/>
      <c r="D1308" s="9"/>
      <c r="E1308" s="9"/>
      <c r="F1308" s="17" t="str">
        <f aca="false">IF(AND(A1308="",B1308="",C1308=""),"",IF(NOT(ISNUMBER(A1308)),"Enter the date done",IF(SUMPRODUCT(('PM Plan'!$A$5:$A$304=B1308)*('PM Plan'!$B$5:$B$304=C1308))=0,"No matching asset + task in plan","OK")))</f>
        <v/>
      </c>
    </row>
    <row r="1309" customFormat="false" ht="15" hidden="false" customHeight="false" outlineLevel="0" collapsed="false">
      <c r="A1309" s="14"/>
      <c r="B1309" s="9"/>
      <c r="C1309" s="9"/>
      <c r="D1309" s="9"/>
      <c r="E1309" s="9"/>
      <c r="F1309" s="17" t="str">
        <f aca="false">IF(AND(A1309="",B1309="",C1309=""),"",IF(NOT(ISNUMBER(A1309)),"Enter the date done",IF(SUMPRODUCT(('PM Plan'!$A$5:$A$304=B1309)*('PM Plan'!$B$5:$B$304=C1309))=0,"No matching asset + task in plan","OK")))</f>
        <v/>
      </c>
    </row>
    <row r="1310" customFormat="false" ht="15" hidden="false" customHeight="false" outlineLevel="0" collapsed="false">
      <c r="A1310" s="14"/>
      <c r="B1310" s="9"/>
      <c r="C1310" s="9"/>
      <c r="D1310" s="9"/>
      <c r="E1310" s="9"/>
      <c r="F1310" s="17" t="str">
        <f aca="false">IF(AND(A1310="",B1310="",C1310=""),"",IF(NOT(ISNUMBER(A1310)),"Enter the date done",IF(SUMPRODUCT(('PM Plan'!$A$5:$A$304=B1310)*('PM Plan'!$B$5:$B$304=C1310))=0,"No matching asset + task in plan","OK")))</f>
        <v/>
      </c>
    </row>
    <row r="1311" customFormat="false" ht="15" hidden="false" customHeight="false" outlineLevel="0" collapsed="false">
      <c r="A1311" s="14"/>
      <c r="B1311" s="9"/>
      <c r="C1311" s="9"/>
      <c r="D1311" s="9"/>
      <c r="E1311" s="9"/>
      <c r="F1311" s="17" t="str">
        <f aca="false">IF(AND(A1311="",B1311="",C1311=""),"",IF(NOT(ISNUMBER(A1311)),"Enter the date done",IF(SUMPRODUCT(('PM Plan'!$A$5:$A$304=B1311)*('PM Plan'!$B$5:$B$304=C1311))=0,"No matching asset + task in plan","OK")))</f>
        <v/>
      </c>
    </row>
    <row r="1312" customFormat="false" ht="15" hidden="false" customHeight="false" outlineLevel="0" collapsed="false">
      <c r="A1312" s="14"/>
      <c r="B1312" s="9"/>
      <c r="C1312" s="9"/>
      <c r="D1312" s="9"/>
      <c r="E1312" s="9"/>
      <c r="F1312" s="17" t="str">
        <f aca="false">IF(AND(A1312="",B1312="",C1312=""),"",IF(NOT(ISNUMBER(A1312)),"Enter the date done",IF(SUMPRODUCT(('PM Plan'!$A$5:$A$304=B1312)*('PM Plan'!$B$5:$B$304=C1312))=0,"No matching asset + task in plan","OK")))</f>
        <v/>
      </c>
    </row>
    <row r="1313" customFormat="false" ht="15" hidden="false" customHeight="false" outlineLevel="0" collapsed="false">
      <c r="A1313" s="14"/>
      <c r="B1313" s="9"/>
      <c r="C1313" s="9"/>
      <c r="D1313" s="9"/>
      <c r="E1313" s="9"/>
      <c r="F1313" s="17" t="str">
        <f aca="false">IF(AND(A1313="",B1313="",C1313=""),"",IF(NOT(ISNUMBER(A1313)),"Enter the date done",IF(SUMPRODUCT(('PM Plan'!$A$5:$A$304=B1313)*('PM Plan'!$B$5:$B$304=C1313))=0,"No matching asset + task in plan","OK")))</f>
        <v/>
      </c>
    </row>
    <row r="1314" customFormat="false" ht="15" hidden="false" customHeight="false" outlineLevel="0" collapsed="false">
      <c r="A1314" s="14"/>
      <c r="B1314" s="9"/>
      <c r="C1314" s="9"/>
      <c r="D1314" s="9"/>
      <c r="E1314" s="9"/>
      <c r="F1314" s="17" t="str">
        <f aca="false">IF(AND(A1314="",B1314="",C1314=""),"",IF(NOT(ISNUMBER(A1314)),"Enter the date done",IF(SUMPRODUCT(('PM Plan'!$A$5:$A$304=B1314)*('PM Plan'!$B$5:$B$304=C1314))=0,"No matching asset + task in plan","OK")))</f>
        <v/>
      </c>
    </row>
    <row r="1315" customFormat="false" ht="15" hidden="false" customHeight="false" outlineLevel="0" collapsed="false">
      <c r="A1315" s="14"/>
      <c r="B1315" s="9"/>
      <c r="C1315" s="9"/>
      <c r="D1315" s="9"/>
      <c r="E1315" s="9"/>
      <c r="F1315" s="17" t="str">
        <f aca="false">IF(AND(A1315="",B1315="",C1315=""),"",IF(NOT(ISNUMBER(A1315)),"Enter the date done",IF(SUMPRODUCT(('PM Plan'!$A$5:$A$304=B1315)*('PM Plan'!$B$5:$B$304=C1315))=0,"No matching asset + task in plan","OK")))</f>
        <v/>
      </c>
    </row>
    <row r="1316" customFormat="false" ht="15" hidden="false" customHeight="false" outlineLevel="0" collapsed="false">
      <c r="A1316" s="14"/>
      <c r="B1316" s="9"/>
      <c r="C1316" s="9"/>
      <c r="D1316" s="9"/>
      <c r="E1316" s="9"/>
      <c r="F1316" s="17" t="str">
        <f aca="false">IF(AND(A1316="",B1316="",C1316=""),"",IF(NOT(ISNUMBER(A1316)),"Enter the date done",IF(SUMPRODUCT(('PM Plan'!$A$5:$A$304=B1316)*('PM Plan'!$B$5:$B$304=C1316))=0,"No matching asset + task in plan","OK")))</f>
        <v/>
      </c>
    </row>
    <row r="1317" customFormat="false" ht="15" hidden="false" customHeight="false" outlineLevel="0" collapsed="false">
      <c r="A1317" s="14"/>
      <c r="B1317" s="9"/>
      <c r="C1317" s="9"/>
      <c r="D1317" s="9"/>
      <c r="E1317" s="9"/>
      <c r="F1317" s="17" t="str">
        <f aca="false">IF(AND(A1317="",B1317="",C1317=""),"",IF(NOT(ISNUMBER(A1317)),"Enter the date done",IF(SUMPRODUCT(('PM Plan'!$A$5:$A$304=B1317)*('PM Plan'!$B$5:$B$304=C1317))=0,"No matching asset + task in plan","OK")))</f>
        <v/>
      </c>
    </row>
    <row r="1318" customFormat="false" ht="15" hidden="false" customHeight="false" outlineLevel="0" collapsed="false">
      <c r="A1318" s="14"/>
      <c r="B1318" s="9"/>
      <c r="C1318" s="9"/>
      <c r="D1318" s="9"/>
      <c r="E1318" s="9"/>
      <c r="F1318" s="17" t="str">
        <f aca="false">IF(AND(A1318="",B1318="",C1318=""),"",IF(NOT(ISNUMBER(A1318)),"Enter the date done",IF(SUMPRODUCT(('PM Plan'!$A$5:$A$304=B1318)*('PM Plan'!$B$5:$B$304=C1318))=0,"No matching asset + task in plan","OK")))</f>
        <v/>
      </c>
    </row>
    <row r="1319" customFormat="false" ht="15" hidden="false" customHeight="false" outlineLevel="0" collapsed="false">
      <c r="A1319" s="14"/>
      <c r="B1319" s="9"/>
      <c r="C1319" s="9"/>
      <c r="D1319" s="9"/>
      <c r="E1319" s="9"/>
      <c r="F1319" s="17" t="str">
        <f aca="false">IF(AND(A1319="",B1319="",C1319=""),"",IF(NOT(ISNUMBER(A1319)),"Enter the date done",IF(SUMPRODUCT(('PM Plan'!$A$5:$A$304=B1319)*('PM Plan'!$B$5:$B$304=C1319))=0,"No matching asset + task in plan","OK")))</f>
        <v/>
      </c>
    </row>
    <row r="1320" customFormat="false" ht="15" hidden="false" customHeight="false" outlineLevel="0" collapsed="false">
      <c r="A1320" s="14"/>
      <c r="B1320" s="9"/>
      <c r="C1320" s="9"/>
      <c r="D1320" s="9"/>
      <c r="E1320" s="9"/>
      <c r="F1320" s="17" t="str">
        <f aca="false">IF(AND(A1320="",B1320="",C1320=""),"",IF(NOT(ISNUMBER(A1320)),"Enter the date done",IF(SUMPRODUCT(('PM Plan'!$A$5:$A$304=B1320)*('PM Plan'!$B$5:$B$304=C1320))=0,"No matching asset + task in plan","OK")))</f>
        <v/>
      </c>
    </row>
    <row r="1321" customFormat="false" ht="15" hidden="false" customHeight="false" outlineLevel="0" collapsed="false">
      <c r="A1321" s="14"/>
      <c r="B1321" s="9"/>
      <c r="C1321" s="9"/>
      <c r="D1321" s="9"/>
      <c r="E1321" s="9"/>
      <c r="F1321" s="17" t="str">
        <f aca="false">IF(AND(A1321="",B1321="",C1321=""),"",IF(NOT(ISNUMBER(A1321)),"Enter the date done",IF(SUMPRODUCT(('PM Plan'!$A$5:$A$304=B1321)*('PM Plan'!$B$5:$B$304=C1321))=0,"No matching asset + task in plan","OK")))</f>
        <v/>
      </c>
    </row>
    <row r="1322" customFormat="false" ht="15" hidden="false" customHeight="false" outlineLevel="0" collapsed="false">
      <c r="A1322" s="14"/>
      <c r="B1322" s="9"/>
      <c r="C1322" s="9"/>
      <c r="D1322" s="9"/>
      <c r="E1322" s="9"/>
      <c r="F1322" s="17" t="str">
        <f aca="false">IF(AND(A1322="",B1322="",C1322=""),"",IF(NOT(ISNUMBER(A1322)),"Enter the date done",IF(SUMPRODUCT(('PM Plan'!$A$5:$A$304=B1322)*('PM Plan'!$B$5:$B$304=C1322))=0,"No matching asset + task in plan","OK")))</f>
        <v/>
      </c>
    </row>
    <row r="1323" customFormat="false" ht="15" hidden="false" customHeight="false" outlineLevel="0" collapsed="false">
      <c r="A1323" s="14"/>
      <c r="B1323" s="9"/>
      <c r="C1323" s="9"/>
      <c r="D1323" s="9"/>
      <c r="E1323" s="9"/>
      <c r="F1323" s="17" t="str">
        <f aca="false">IF(AND(A1323="",B1323="",C1323=""),"",IF(NOT(ISNUMBER(A1323)),"Enter the date done",IF(SUMPRODUCT(('PM Plan'!$A$5:$A$304=B1323)*('PM Plan'!$B$5:$B$304=C1323))=0,"No matching asset + task in plan","OK")))</f>
        <v/>
      </c>
    </row>
    <row r="1324" customFormat="false" ht="15" hidden="false" customHeight="false" outlineLevel="0" collapsed="false">
      <c r="A1324" s="14"/>
      <c r="B1324" s="9"/>
      <c r="C1324" s="9"/>
      <c r="D1324" s="9"/>
      <c r="E1324" s="9"/>
      <c r="F1324" s="17" t="str">
        <f aca="false">IF(AND(A1324="",B1324="",C1324=""),"",IF(NOT(ISNUMBER(A1324)),"Enter the date done",IF(SUMPRODUCT(('PM Plan'!$A$5:$A$304=B1324)*('PM Plan'!$B$5:$B$304=C1324))=0,"No matching asset + task in plan","OK")))</f>
        <v/>
      </c>
    </row>
    <row r="1325" customFormat="false" ht="15" hidden="false" customHeight="false" outlineLevel="0" collapsed="false">
      <c r="A1325" s="14"/>
      <c r="B1325" s="9"/>
      <c r="C1325" s="9"/>
      <c r="D1325" s="9"/>
      <c r="E1325" s="9"/>
      <c r="F1325" s="17" t="str">
        <f aca="false">IF(AND(A1325="",B1325="",C1325=""),"",IF(NOT(ISNUMBER(A1325)),"Enter the date done",IF(SUMPRODUCT(('PM Plan'!$A$5:$A$304=B1325)*('PM Plan'!$B$5:$B$304=C1325))=0,"No matching asset + task in plan","OK")))</f>
        <v/>
      </c>
    </row>
    <row r="1326" customFormat="false" ht="15" hidden="false" customHeight="false" outlineLevel="0" collapsed="false">
      <c r="A1326" s="14"/>
      <c r="B1326" s="9"/>
      <c r="C1326" s="9"/>
      <c r="D1326" s="9"/>
      <c r="E1326" s="9"/>
      <c r="F1326" s="17" t="str">
        <f aca="false">IF(AND(A1326="",B1326="",C1326=""),"",IF(NOT(ISNUMBER(A1326)),"Enter the date done",IF(SUMPRODUCT(('PM Plan'!$A$5:$A$304=B1326)*('PM Plan'!$B$5:$B$304=C1326))=0,"No matching asset + task in plan","OK")))</f>
        <v/>
      </c>
    </row>
    <row r="1327" customFormat="false" ht="15" hidden="false" customHeight="false" outlineLevel="0" collapsed="false">
      <c r="A1327" s="14"/>
      <c r="B1327" s="9"/>
      <c r="C1327" s="9"/>
      <c r="D1327" s="9"/>
      <c r="E1327" s="9"/>
      <c r="F1327" s="17" t="str">
        <f aca="false">IF(AND(A1327="",B1327="",C1327=""),"",IF(NOT(ISNUMBER(A1327)),"Enter the date done",IF(SUMPRODUCT(('PM Plan'!$A$5:$A$304=B1327)*('PM Plan'!$B$5:$B$304=C1327))=0,"No matching asset + task in plan","OK")))</f>
        <v/>
      </c>
    </row>
    <row r="1328" customFormat="false" ht="15" hidden="false" customHeight="false" outlineLevel="0" collapsed="false">
      <c r="A1328" s="14"/>
      <c r="B1328" s="9"/>
      <c r="C1328" s="9"/>
      <c r="D1328" s="9"/>
      <c r="E1328" s="9"/>
      <c r="F1328" s="17" t="str">
        <f aca="false">IF(AND(A1328="",B1328="",C1328=""),"",IF(NOT(ISNUMBER(A1328)),"Enter the date done",IF(SUMPRODUCT(('PM Plan'!$A$5:$A$304=B1328)*('PM Plan'!$B$5:$B$304=C1328))=0,"No matching asset + task in plan","OK")))</f>
        <v/>
      </c>
    </row>
    <row r="1329" customFormat="false" ht="15" hidden="false" customHeight="false" outlineLevel="0" collapsed="false">
      <c r="A1329" s="14"/>
      <c r="B1329" s="9"/>
      <c r="C1329" s="9"/>
      <c r="D1329" s="9"/>
      <c r="E1329" s="9"/>
      <c r="F1329" s="17" t="str">
        <f aca="false">IF(AND(A1329="",B1329="",C1329=""),"",IF(NOT(ISNUMBER(A1329)),"Enter the date done",IF(SUMPRODUCT(('PM Plan'!$A$5:$A$304=B1329)*('PM Plan'!$B$5:$B$304=C1329))=0,"No matching asset + task in plan","OK")))</f>
        <v/>
      </c>
    </row>
    <row r="1330" customFormat="false" ht="15" hidden="false" customHeight="false" outlineLevel="0" collapsed="false">
      <c r="A1330" s="14"/>
      <c r="B1330" s="9"/>
      <c r="C1330" s="9"/>
      <c r="D1330" s="9"/>
      <c r="E1330" s="9"/>
      <c r="F1330" s="17" t="str">
        <f aca="false">IF(AND(A1330="",B1330="",C1330=""),"",IF(NOT(ISNUMBER(A1330)),"Enter the date done",IF(SUMPRODUCT(('PM Plan'!$A$5:$A$304=B1330)*('PM Plan'!$B$5:$B$304=C1330))=0,"No matching asset + task in plan","OK")))</f>
        <v/>
      </c>
    </row>
    <row r="1331" customFormat="false" ht="15" hidden="false" customHeight="false" outlineLevel="0" collapsed="false">
      <c r="A1331" s="14"/>
      <c r="B1331" s="9"/>
      <c r="C1331" s="9"/>
      <c r="D1331" s="9"/>
      <c r="E1331" s="9"/>
      <c r="F1331" s="17" t="str">
        <f aca="false">IF(AND(A1331="",B1331="",C1331=""),"",IF(NOT(ISNUMBER(A1331)),"Enter the date done",IF(SUMPRODUCT(('PM Plan'!$A$5:$A$304=B1331)*('PM Plan'!$B$5:$B$304=C1331))=0,"No matching asset + task in plan","OK")))</f>
        <v/>
      </c>
    </row>
    <row r="1332" customFormat="false" ht="15" hidden="false" customHeight="false" outlineLevel="0" collapsed="false">
      <c r="A1332" s="14"/>
      <c r="B1332" s="9"/>
      <c r="C1332" s="9"/>
      <c r="D1332" s="9"/>
      <c r="E1332" s="9"/>
      <c r="F1332" s="17" t="str">
        <f aca="false">IF(AND(A1332="",B1332="",C1332=""),"",IF(NOT(ISNUMBER(A1332)),"Enter the date done",IF(SUMPRODUCT(('PM Plan'!$A$5:$A$304=B1332)*('PM Plan'!$B$5:$B$304=C1332))=0,"No matching asset + task in plan","OK")))</f>
        <v/>
      </c>
    </row>
    <row r="1333" customFormat="false" ht="15" hidden="false" customHeight="false" outlineLevel="0" collapsed="false">
      <c r="A1333" s="14"/>
      <c r="B1333" s="9"/>
      <c r="C1333" s="9"/>
      <c r="D1333" s="9"/>
      <c r="E1333" s="9"/>
      <c r="F1333" s="17" t="str">
        <f aca="false">IF(AND(A1333="",B1333="",C1333=""),"",IF(NOT(ISNUMBER(A1333)),"Enter the date done",IF(SUMPRODUCT(('PM Plan'!$A$5:$A$304=B1333)*('PM Plan'!$B$5:$B$304=C1333))=0,"No matching asset + task in plan","OK")))</f>
        <v/>
      </c>
    </row>
    <row r="1334" customFormat="false" ht="15" hidden="false" customHeight="false" outlineLevel="0" collapsed="false">
      <c r="A1334" s="14"/>
      <c r="B1334" s="9"/>
      <c r="C1334" s="9"/>
      <c r="D1334" s="9"/>
      <c r="E1334" s="9"/>
      <c r="F1334" s="17" t="str">
        <f aca="false">IF(AND(A1334="",B1334="",C1334=""),"",IF(NOT(ISNUMBER(A1334)),"Enter the date done",IF(SUMPRODUCT(('PM Plan'!$A$5:$A$304=B1334)*('PM Plan'!$B$5:$B$304=C1334))=0,"No matching asset + task in plan","OK")))</f>
        <v/>
      </c>
    </row>
    <row r="1335" customFormat="false" ht="15" hidden="false" customHeight="false" outlineLevel="0" collapsed="false">
      <c r="A1335" s="14"/>
      <c r="B1335" s="9"/>
      <c r="C1335" s="9"/>
      <c r="D1335" s="9"/>
      <c r="E1335" s="9"/>
      <c r="F1335" s="17" t="str">
        <f aca="false">IF(AND(A1335="",B1335="",C1335=""),"",IF(NOT(ISNUMBER(A1335)),"Enter the date done",IF(SUMPRODUCT(('PM Plan'!$A$5:$A$304=B1335)*('PM Plan'!$B$5:$B$304=C1335))=0,"No matching asset + task in plan","OK")))</f>
        <v/>
      </c>
    </row>
    <row r="1336" customFormat="false" ht="15" hidden="false" customHeight="false" outlineLevel="0" collapsed="false">
      <c r="A1336" s="14"/>
      <c r="B1336" s="9"/>
      <c r="C1336" s="9"/>
      <c r="D1336" s="9"/>
      <c r="E1336" s="9"/>
      <c r="F1336" s="17" t="str">
        <f aca="false">IF(AND(A1336="",B1336="",C1336=""),"",IF(NOT(ISNUMBER(A1336)),"Enter the date done",IF(SUMPRODUCT(('PM Plan'!$A$5:$A$304=B1336)*('PM Plan'!$B$5:$B$304=C1336))=0,"No matching asset + task in plan","OK")))</f>
        <v/>
      </c>
    </row>
    <row r="1337" customFormat="false" ht="15" hidden="false" customHeight="false" outlineLevel="0" collapsed="false">
      <c r="A1337" s="14"/>
      <c r="B1337" s="9"/>
      <c r="C1337" s="9"/>
      <c r="D1337" s="9"/>
      <c r="E1337" s="9"/>
      <c r="F1337" s="17" t="str">
        <f aca="false">IF(AND(A1337="",B1337="",C1337=""),"",IF(NOT(ISNUMBER(A1337)),"Enter the date done",IF(SUMPRODUCT(('PM Plan'!$A$5:$A$304=B1337)*('PM Plan'!$B$5:$B$304=C1337))=0,"No matching asset + task in plan","OK")))</f>
        <v/>
      </c>
    </row>
    <row r="1338" customFormat="false" ht="15" hidden="false" customHeight="false" outlineLevel="0" collapsed="false">
      <c r="A1338" s="14"/>
      <c r="B1338" s="9"/>
      <c r="C1338" s="9"/>
      <c r="D1338" s="9"/>
      <c r="E1338" s="9"/>
      <c r="F1338" s="17" t="str">
        <f aca="false">IF(AND(A1338="",B1338="",C1338=""),"",IF(NOT(ISNUMBER(A1338)),"Enter the date done",IF(SUMPRODUCT(('PM Plan'!$A$5:$A$304=B1338)*('PM Plan'!$B$5:$B$304=C1338))=0,"No matching asset + task in plan","OK")))</f>
        <v/>
      </c>
    </row>
    <row r="1339" customFormat="false" ht="15" hidden="false" customHeight="false" outlineLevel="0" collapsed="false">
      <c r="A1339" s="14"/>
      <c r="B1339" s="9"/>
      <c r="C1339" s="9"/>
      <c r="D1339" s="9"/>
      <c r="E1339" s="9"/>
      <c r="F1339" s="17" t="str">
        <f aca="false">IF(AND(A1339="",B1339="",C1339=""),"",IF(NOT(ISNUMBER(A1339)),"Enter the date done",IF(SUMPRODUCT(('PM Plan'!$A$5:$A$304=B1339)*('PM Plan'!$B$5:$B$304=C1339))=0,"No matching asset + task in plan","OK")))</f>
        <v/>
      </c>
    </row>
    <row r="1340" customFormat="false" ht="15" hidden="false" customHeight="false" outlineLevel="0" collapsed="false">
      <c r="A1340" s="14"/>
      <c r="B1340" s="9"/>
      <c r="C1340" s="9"/>
      <c r="D1340" s="9"/>
      <c r="E1340" s="9"/>
      <c r="F1340" s="17" t="str">
        <f aca="false">IF(AND(A1340="",B1340="",C1340=""),"",IF(NOT(ISNUMBER(A1340)),"Enter the date done",IF(SUMPRODUCT(('PM Plan'!$A$5:$A$304=B1340)*('PM Plan'!$B$5:$B$304=C1340))=0,"No matching asset + task in plan","OK")))</f>
        <v/>
      </c>
    </row>
    <row r="1341" customFormat="false" ht="15" hidden="false" customHeight="false" outlineLevel="0" collapsed="false">
      <c r="A1341" s="14"/>
      <c r="B1341" s="9"/>
      <c r="C1341" s="9"/>
      <c r="D1341" s="9"/>
      <c r="E1341" s="9"/>
      <c r="F1341" s="17" t="str">
        <f aca="false">IF(AND(A1341="",B1341="",C1341=""),"",IF(NOT(ISNUMBER(A1341)),"Enter the date done",IF(SUMPRODUCT(('PM Plan'!$A$5:$A$304=B1341)*('PM Plan'!$B$5:$B$304=C1341))=0,"No matching asset + task in plan","OK")))</f>
        <v/>
      </c>
    </row>
    <row r="1342" customFormat="false" ht="15" hidden="false" customHeight="false" outlineLevel="0" collapsed="false">
      <c r="A1342" s="14"/>
      <c r="B1342" s="9"/>
      <c r="C1342" s="9"/>
      <c r="D1342" s="9"/>
      <c r="E1342" s="9"/>
      <c r="F1342" s="17" t="str">
        <f aca="false">IF(AND(A1342="",B1342="",C1342=""),"",IF(NOT(ISNUMBER(A1342)),"Enter the date done",IF(SUMPRODUCT(('PM Plan'!$A$5:$A$304=B1342)*('PM Plan'!$B$5:$B$304=C1342))=0,"No matching asset + task in plan","OK")))</f>
        <v/>
      </c>
    </row>
    <row r="1343" customFormat="false" ht="15" hidden="false" customHeight="false" outlineLevel="0" collapsed="false">
      <c r="A1343" s="14"/>
      <c r="B1343" s="9"/>
      <c r="C1343" s="9"/>
      <c r="D1343" s="9"/>
      <c r="E1343" s="9"/>
      <c r="F1343" s="17" t="str">
        <f aca="false">IF(AND(A1343="",B1343="",C1343=""),"",IF(NOT(ISNUMBER(A1343)),"Enter the date done",IF(SUMPRODUCT(('PM Plan'!$A$5:$A$304=B1343)*('PM Plan'!$B$5:$B$304=C1343))=0,"No matching asset + task in plan","OK")))</f>
        <v/>
      </c>
    </row>
    <row r="1344" customFormat="false" ht="15" hidden="false" customHeight="false" outlineLevel="0" collapsed="false">
      <c r="A1344" s="14"/>
      <c r="B1344" s="9"/>
      <c r="C1344" s="9"/>
      <c r="D1344" s="9"/>
      <c r="E1344" s="9"/>
      <c r="F1344" s="17" t="str">
        <f aca="false">IF(AND(A1344="",B1344="",C1344=""),"",IF(NOT(ISNUMBER(A1344)),"Enter the date done",IF(SUMPRODUCT(('PM Plan'!$A$5:$A$304=B1344)*('PM Plan'!$B$5:$B$304=C1344))=0,"No matching asset + task in plan","OK")))</f>
        <v/>
      </c>
    </row>
    <row r="1345" customFormat="false" ht="15" hidden="false" customHeight="false" outlineLevel="0" collapsed="false">
      <c r="A1345" s="14"/>
      <c r="B1345" s="9"/>
      <c r="C1345" s="9"/>
      <c r="D1345" s="9"/>
      <c r="E1345" s="9"/>
      <c r="F1345" s="17" t="str">
        <f aca="false">IF(AND(A1345="",B1345="",C1345=""),"",IF(NOT(ISNUMBER(A1345)),"Enter the date done",IF(SUMPRODUCT(('PM Plan'!$A$5:$A$304=B1345)*('PM Plan'!$B$5:$B$304=C1345))=0,"No matching asset + task in plan","OK")))</f>
        <v/>
      </c>
    </row>
    <row r="1346" customFormat="false" ht="15" hidden="false" customHeight="false" outlineLevel="0" collapsed="false">
      <c r="A1346" s="14"/>
      <c r="B1346" s="9"/>
      <c r="C1346" s="9"/>
      <c r="D1346" s="9"/>
      <c r="E1346" s="9"/>
      <c r="F1346" s="17" t="str">
        <f aca="false">IF(AND(A1346="",B1346="",C1346=""),"",IF(NOT(ISNUMBER(A1346)),"Enter the date done",IF(SUMPRODUCT(('PM Plan'!$A$5:$A$304=B1346)*('PM Plan'!$B$5:$B$304=C1346))=0,"No matching asset + task in plan","OK")))</f>
        <v/>
      </c>
    </row>
    <row r="1347" customFormat="false" ht="15" hidden="false" customHeight="false" outlineLevel="0" collapsed="false">
      <c r="A1347" s="14"/>
      <c r="B1347" s="9"/>
      <c r="C1347" s="9"/>
      <c r="D1347" s="9"/>
      <c r="E1347" s="9"/>
      <c r="F1347" s="17" t="str">
        <f aca="false">IF(AND(A1347="",B1347="",C1347=""),"",IF(NOT(ISNUMBER(A1347)),"Enter the date done",IF(SUMPRODUCT(('PM Plan'!$A$5:$A$304=B1347)*('PM Plan'!$B$5:$B$304=C1347))=0,"No matching asset + task in plan","OK")))</f>
        <v/>
      </c>
    </row>
    <row r="1348" customFormat="false" ht="15" hidden="false" customHeight="false" outlineLevel="0" collapsed="false">
      <c r="A1348" s="14"/>
      <c r="B1348" s="9"/>
      <c r="C1348" s="9"/>
      <c r="D1348" s="9"/>
      <c r="E1348" s="9"/>
      <c r="F1348" s="17" t="str">
        <f aca="false">IF(AND(A1348="",B1348="",C1348=""),"",IF(NOT(ISNUMBER(A1348)),"Enter the date done",IF(SUMPRODUCT(('PM Plan'!$A$5:$A$304=B1348)*('PM Plan'!$B$5:$B$304=C1348))=0,"No matching asset + task in plan","OK")))</f>
        <v/>
      </c>
    </row>
    <row r="1349" customFormat="false" ht="15" hidden="false" customHeight="false" outlineLevel="0" collapsed="false">
      <c r="A1349" s="14"/>
      <c r="B1349" s="9"/>
      <c r="C1349" s="9"/>
      <c r="D1349" s="9"/>
      <c r="E1349" s="9"/>
      <c r="F1349" s="17" t="str">
        <f aca="false">IF(AND(A1349="",B1349="",C1349=""),"",IF(NOT(ISNUMBER(A1349)),"Enter the date done",IF(SUMPRODUCT(('PM Plan'!$A$5:$A$304=B1349)*('PM Plan'!$B$5:$B$304=C1349))=0,"No matching asset + task in plan","OK")))</f>
        <v/>
      </c>
    </row>
    <row r="1350" customFormat="false" ht="15" hidden="false" customHeight="false" outlineLevel="0" collapsed="false">
      <c r="A1350" s="14"/>
      <c r="B1350" s="9"/>
      <c r="C1350" s="9"/>
      <c r="D1350" s="9"/>
      <c r="E1350" s="9"/>
      <c r="F1350" s="17" t="str">
        <f aca="false">IF(AND(A1350="",B1350="",C1350=""),"",IF(NOT(ISNUMBER(A1350)),"Enter the date done",IF(SUMPRODUCT(('PM Plan'!$A$5:$A$304=B1350)*('PM Plan'!$B$5:$B$304=C1350))=0,"No matching asset + task in plan","OK")))</f>
        <v/>
      </c>
    </row>
    <row r="1351" customFormat="false" ht="15" hidden="false" customHeight="false" outlineLevel="0" collapsed="false">
      <c r="A1351" s="14"/>
      <c r="B1351" s="9"/>
      <c r="C1351" s="9"/>
      <c r="D1351" s="9"/>
      <c r="E1351" s="9"/>
      <c r="F1351" s="17" t="str">
        <f aca="false">IF(AND(A1351="",B1351="",C1351=""),"",IF(NOT(ISNUMBER(A1351)),"Enter the date done",IF(SUMPRODUCT(('PM Plan'!$A$5:$A$304=B1351)*('PM Plan'!$B$5:$B$304=C1351))=0,"No matching asset + task in plan","OK")))</f>
        <v/>
      </c>
    </row>
    <row r="1352" customFormat="false" ht="15" hidden="false" customHeight="false" outlineLevel="0" collapsed="false">
      <c r="A1352" s="14"/>
      <c r="B1352" s="9"/>
      <c r="C1352" s="9"/>
      <c r="D1352" s="9"/>
      <c r="E1352" s="9"/>
      <c r="F1352" s="17" t="str">
        <f aca="false">IF(AND(A1352="",B1352="",C1352=""),"",IF(NOT(ISNUMBER(A1352)),"Enter the date done",IF(SUMPRODUCT(('PM Plan'!$A$5:$A$304=B1352)*('PM Plan'!$B$5:$B$304=C1352))=0,"No matching asset + task in plan","OK")))</f>
        <v/>
      </c>
    </row>
    <row r="1353" customFormat="false" ht="15" hidden="false" customHeight="false" outlineLevel="0" collapsed="false">
      <c r="A1353" s="14"/>
      <c r="B1353" s="9"/>
      <c r="C1353" s="9"/>
      <c r="D1353" s="9"/>
      <c r="E1353" s="9"/>
      <c r="F1353" s="17" t="str">
        <f aca="false">IF(AND(A1353="",B1353="",C1353=""),"",IF(NOT(ISNUMBER(A1353)),"Enter the date done",IF(SUMPRODUCT(('PM Plan'!$A$5:$A$304=B1353)*('PM Plan'!$B$5:$B$304=C1353))=0,"No matching asset + task in plan","OK")))</f>
        <v/>
      </c>
    </row>
    <row r="1354" customFormat="false" ht="15" hidden="false" customHeight="false" outlineLevel="0" collapsed="false">
      <c r="A1354" s="14"/>
      <c r="B1354" s="9"/>
      <c r="C1354" s="9"/>
      <c r="D1354" s="9"/>
      <c r="E1354" s="9"/>
      <c r="F1354" s="17" t="str">
        <f aca="false">IF(AND(A1354="",B1354="",C1354=""),"",IF(NOT(ISNUMBER(A1354)),"Enter the date done",IF(SUMPRODUCT(('PM Plan'!$A$5:$A$304=B1354)*('PM Plan'!$B$5:$B$304=C1354))=0,"No matching asset + task in plan","OK")))</f>
        <v/>
      </c>
    </row>
    <row r="1355" customFormat="false" ht="15" hidden="false" customHeight="false" outlineLevel="0" collapsed="false">
      <c r="A1355" s="14"/>
      <c r="B1355" s="9"/>
      <c r="C1355" s="9"/>
      <c r="D1355" s="9"/>
      <c r="E1355" s="9"/>
      <c r="F1355" s="17" t="str">
        <f aca="false">IF(AND(A1355="",B1355="",C1355=""),"",IF(NOT(ISNUMBER(A1355)),"Enter the date done",IF(SUMPRODUCT(('PM Plan'!$A$5:$A$304=B1355)*('PM Plan'!$B$5:$B$304=C1355))=0,"No matching asset + task in plan","OK")))</f>
        <v/>
      </c>
    </row>
    <row r="1356" customFormat="false" ht="15" hidden="false" customHeight="false" outlineLevel="0" collapsed="false">
      <c r="A1356" s="14"/>
      <c r="B1356" s="9"/>
      <c r="C1356" s="9"/>
      <c r="D1356" s="9"/>
      <c r="E1356" s="9"/>
      <c r="F1356" s="17" t="str">
        <f aca="false">IF(AND(A1356="",B1356="",C1356=""),"",IF(NOT(ISNUMBER(A1356)),"Enter the date done",IF(SUMPRODUCT(('PM Plan'!$A$5:$A$304=B1356)*('PM Plan'!$B$5:$B$304=C1356))=0,"No matching asset + task in plan","OK")))</f>
        <v/>
      </c>
    </row>
    <row r="1357" customFormat="false" ht="15" hidden="false" customHeight="false" outlineLevel="0" collapsed="false">
      <c r="A1357" s="14"/>
      <c r="B1357" s="9"/>
      <c r="C1357" s="9"/>
      <c r="D1357" s="9"/>
      <c r="E1357" s="9"/>
      <c r="F1357" s="17" t="str">
        <f aca="false">IF(AND(A1357="",B1357="",C1357=""),"",IF(NOT(ISNUMBER(A1357)),"Enter the date done",IF(SUMPRODUCT(('PM Plan'!$A$5:$A$304=B1357)*('PM Plan'!$B$5:$B$304=C1357))=0,"No matching asset + task in plan","OK")))</f>
        <v/>
      </c>
    </row>
    <row r="1358" customFormat="false" ht="15" hidden="false" customHeight="false" outlineLevel="0" collapsed="false">
      <c r="A1358" s="14"/>
      <c r="B1358" s="9"/>
      <c r="C1358" s="9"/>
      <c r="D1358" s="9"/>
      <c r="E1358" s="9"/>
      <c r="F1358" s="17" t="str">
        <f aca="false">IF(AND(A1358="",B1358="",C1358=""),"",IF(NOT(ISNUMBER(A1358)),"Enter the date done",IF(SUMPRODUCT(('PM Plan'!$A$5:$A$304=B1358)*('PM Plan'!$B$5:$B$304=C1358))=0,"No matching asset + task in plan","OK")))</f>
        <v/>
      </c>
    </row>
    <row r="1359" customFormat="false" ht="15" hidden="false" customHeight="false" outlineLevel="0" collapsed="false">
      <c r="A1359" s="14"/>
      <c r="B1359" s="9"/>
      <c r="C1359" s="9"/>
      <c r="D1359" s="9"/>
      <c r="E1359" s="9"/>
      <c r="F1359" s="17" t="str">
        <f aca="false">IF(AND(A1359="",B1359="",C1359=""),"",IF(NOT(ISNUMBER(A1359)),"Enter the date done",IF(SUMPRODUCT(('PM Plan'!$A$5:$A$304=B1359)*('PM Plan'!$B$5:$B$304=C1359))=0,"No matching asset + task in plan","OK")))</f>
        <v/>
      </c>
    </row>
    <row r="1360" customFormat="false" ht="15" hidden="false" customHeight="false" outlineLevel="0" collapsed="false">
      <c r="A1360" s="14"/>
      <c r="B1360" s="9"/>
      <c r="C1360" s="9"/>
      <c r="D1360" s="9"/>
      <c r="E1360" s="9"/>
      <c r="F1360" s="17" t="str">
        <f aca="false">IF(AND(A1360="",B1360="",C1360=""),"",IF(NOT(ISNUMBER(A1360)),"Enter the date done",IF(SUMPRODUCT(('PM Plan'!$A$5:$A$304=B1360)*('PM Plan'!$B$5:$B$304=C1360))=0,"No matching asset + task in plan","OK")))</f>
        <v/>
      </c>
    </row>
    <row r="1361" customFormat="false" ht="15" hidden="false" customHeight="false" outlineLevel="0" collapsed="false">
      <c r="A1361" s="14"/>
      <c r="B1361" s="9"/>
      <c r="C1361" s="9"/>
      <c r="D1361" s="9"/>
      <c r="E1361" s="9"/>
      <c r="F1361" s="17" t="str">
        <f aca="false">IF(AND(A1361="",B1361="",C1361=""),"",IF(NOT(ISNUMBER(A1361)),"Enter the date done",IF(SUMPRODUCT(('PM Plan'!$A$5:$A$304=B1361)*('PM Plan'!$B$5:$B$304=C1361))=0,"No matching asset + task in plan","OK")))</f>
        <v/>
      </c>
    </row>
    <row r="1362" customFormat="false" ht="15" hidden="false" customHeight="false" outlineLevel="0" collapsed="false">
      <c r="A1362" s="14"/>
      <c r="B1362" s="9"/>
      <c r="C1362" s="9"/>
      <c r="D1362" s="9"/>
      <c r="E1362" s="9"/>
      <c r="F1362" s="17" t="str">
        <f aca="false">IF(AND(A1362="",B1362="",C1362=""),"",IF(NOT(ISNUMBER(A1362)),"Enter the date done",IF(SUMPRODUCT(('PM Plan'!$A$5:$A$304=B1362)*('PM Plan'!$B$5:$B$304=C1362))=0,"No matching asset + task in plan","OK")))</f>
        <v/>
      </c>
    </row>
    <row r="1363" customFormat="false" ht="15" hidden="false" customHeight="false" outlineLevel="0" collapsed="false">
      <c r="A1363" s="14"/>
      <c r="B1363" s="9"/>
      <c r="C1363" s="9"/>
      <c r="D1363" s="9"/>
      <c r="E1363" s="9"/>
      <c r="F1363" s="17" t="str">
        <f aca="false">IF(AND(A1363="",B1363="",C1363=""),"",IF(NOT(ISNUMBER(A1363)),"Enter the date done",IF(SUMPRODUCT(('PM Plan'!$A$5:$A$304=B1363)*('PM Plan'!$B$5:$B$304=C1363))=0,"No matching asset + task in plan","OK")))</f>
        <v/>
      </c>
    </row>
    <row r="1364" customFormat="false" ht="15" hidden="false" customHeight="false" outlineLevel="0" collapsed="false">
      <c r="A1364" s="14"/>
      <c r="B1364" s="9"/>
      <c r="C1364" s="9"/>
      <c r="D1364" s="9"/>
      <c r="E1364" s="9"/>
      <c r="F1364" s="17" t="str">
        <f aca="false">IF(AND(A1364="",B1364="",C1364=""),"",IF(NOT(ISNUMBER(A1364)),"Enter the date done",IF(SUMPRODUCT(('PM Plan'!$A$5:$A$304=B1364)*('PM Plan'!$B$5:$B$304=C1364))=0,"No matching asset + task in plan","OK")))</f>
        <v/>
      </c>
    </row>
    <row r="1365" customFormat="false" ht="15" hidden="false" customHeight="false" outlineLevel="0" collapsed="false">
      <c r="A1365" s="14"/>
      <c r="B1365" s="9"/>
      <c r="C1365" s="9"/>
      <c r="D1365" s="9"/>
      <c r="E1365" s="9"/>
      <c r="F1365" s="17" t="str">
        <f aca="false">IF(AND(A1365="",B1365="",C1365=""),"",IF(NOT(ISNUMBER(A1365)),"Enter the date done",IF(SUMPRODUCT(('PM Plan'!$A$5:$A$304=B1365)*('PM Plan'!$B$5:$B$304=C1365))=0,"No matching asset + task in plan","OK")))</f>
        <v/>
      </c>
    </row>
    <row r="1366" customFormat="false" ht="15" hidden="false" customHeight="false" outlineLevel="0" collapsed="false">
      <c r="A1366" s="14"/>
      <c r="B1366" s="9"/>
      <c r="C1366" s="9"/>
      <c r="D1366" s="9"/>
      <c r="E1366" s="9"/>
      <c r="F1366" s="17" t="str">
        <f aca="false">IF(AND(A1366="",B1366="",C1366=""),"",IF(NOT(ISNUMBER(A1366)),"Enter the date done",IF(SUMPRODUCT(('PM Plan'!$A$5:$A$304=B1366)*('PM Plan'!$B$5:$B$304=C1366))=0,"No matching asset + task in plan","OK")))</f>
        <v/>
      </c>
    </row>
    <row r="1367" customFormat="false" ht="15" hidden="false" customHeight="false" outlineLevel="0" collapsed="false">
      <c r="A1367" s="14"/>
      <c r="B1367" s="9"/>
      <c r="C1367" s="9"/>
      <c r="D1367" s="9"/>
      <c r="E1367" s="9"/>
      <c r="F1367" s="17" t="str">
        <f aca="false">IF(AND(A1367="",B1367="",C1367=""),"",IF(NOT(ISNUMBER(A1367)),"Enter the date done",IF(SUMPRODUCT(('PM Plan'!$A$5:$A$304=B1367)*('PM Plan'!$B$5:$B$304=C1367))=0,"No matching asset + task in plan","OK")))</f>
        <v/>
      </c>
    </row>
    <row r="1368" customFormat="false" ht="15" hidden="false" customHeight="false" outlineLevel="0" collapsed="false">
      <c r="A1368" s="14"/>
      <c r="B1368" s="9"/>
      <c r="C1368" s="9"/>
      <c r="D1368" s="9"/>
      <c r="E1368" s="9"/>
      <c r="F1368" s="17" t="str">
        <f aca="false">IF(AND(A1368="",B1368="",C1368=""),"",IF(NOT(ISNUMBER(A1368)),"Enter the date done",IF(SUMPRODUCT(('PM Plan'!$A$5:$A$304=B1368)*('PM Plan'!$B$5:$B$304=C1368))=0,"No matching asset + task in plan","OK")))</f>
        <v/>
      </c>
    </row>
    <row r="1369" customFormat="false" ht="15" hidden="false" customHeight="false" outlineLevel="0" collapsed="false">
      <c r="A1369" s="14"/>
      <c r="B1369" s="9"/>
      <c r="C1369" s="9"/>
      <c r="D1369" s="9"/>
      <c r="E1369" s="9"/>
      <c r="F1369" s="17" t="str">
        <f aca="false">IF(AND(A1369="",B1369="",C1369=""),"",IF(NOT(ISNUMBER(A1369)),"Enter the date done",IF(SUMPRODUCT(('PM Plan'!$A$5:$A$304=B1369)*('PM Plan'!$B$5:$B$304=C1369))=0,"No matching asset + task in plan","OK")))</f>
        <v/>
      </c>
    </row>
    <row r="1370" customFormat="false" ht="15" hidden="false" customHeight="false" outlineLevel="0" collapsed="false">
      <c r="A1370" s="14"/>
      <c r="B1370" s="9"/>
      <c r="C1370" s="9"/>
      <c r="D1370" s="9"/>
      <c r="E1370" s="9"/>
      <c r="F1370" s="17" t="str">
        <f aca="false">IF(AND(A1370="",B1370="",C1370=""),"",IF(NOT(ISNUMBER(A1370)),"Enter the date done",IF(SUMPRODUCT(('PM Plan'!$A$5:$A$304=B1370)*('PM Plan'!$B$5:$B$304=C1370))=0,"No matching asset + task in plan","OK")))</f>
        <v/>
      </c>
    </row>
    <row r="1371" customFormat="false" ht="15" hidden="false" customHeight="false" outlineLevel="0" collapsed="false">
      <c r="A1371" s="14"/>
      <c r="B1371" s="9"/>
      <c r="C1371" s="9"/>
      <c r="D1371" s="9"/>
      <c r="E1371" s="9"/>
      <c r="F1371" s="17" t="str">
        <f aca="false">IF(AND(A1371="",B1371="",C1371=""),"",IF(NOT(ISNUMBER(A1371)),"Enter the date done",IF(SUMPRODUCT(('PM Plan'!$A$5:$A$304=B1371)*('PM Plan'!$B$5:$B$304=C1371))=0,"No matching asset + task in plan","OK")))</f>
        <v/>
      </c>
    </row>
    <row r="1372" customFormat="false" ht="15" hidden="false" customHeight="false" outlineLevel="0" collapsed="false">
      <c r="A1372" s="14"/>
      <c r="B1372" s="9"/>
      <c r="C1372" s="9"/>
      <c r="D1372" s="9"/>
      <c r="E1372" s="9"/>
      <c r="F1372" s="17" t="str">
        <f aca="false">IF(AND(A1372="",B1372="",C1372=""),"",IF(NOT(ISNUMBER(A1372)),"Enter the date done",IF(SUMPRODUCT(('PM Plan'!$A$5:$A$304=B1372)*('PM Plan'!$B$5:$B$304=C1372))=0,"No matching asset + task in plan","OK")))</f>
        <v/>
      </c>
    </row>
    <row r="1373" customFormat="false" ht="15" hidden="false" customHeight="false" outlineLevel="0" collapsed="false">
      <c r="A1373" s="14"/>
      <c r="B1373" s="9"/>
      <c r="C1373" s="9"/>
      <c r="D1373" s="9"/>
      <c r="E1373" s="9"/>
      <c r="F1373" s="17" t="str">
        <f aca="false">IF(AND(A1373="",B1373="",C1373=""),"",IF(NOT(ISNUMBER(A1373)),"Enter the date done",IF(SUMPRODUCT(('PM Plan'!$A$5:$A$304=B1373)*('PM Plan'!$B$5:$B$304=C1373))=0,"No matching asset + task in plan","OK")))</f>
        <v/>
      </c>
    </row>
    <row r="1374" customFormat="false" ht="15" hidden="false" customHeight="false" outlineLevel="0" collapsed="false">
      <c r="A1374" s="14"/>
      <c r="B1374" s="9"/>
      <c r="C1374" s="9"/>
      <c r="D1374" s="9"/>
      <c r="E1374" s="9"/>
      <c r="F1374" s="17" t="str">
        <f aca="false">IF(AND(A1374="",B1374="",C1374=""),"",IF(NOT(ISNUMBER(A1374)),"Enter the date done",IF(SUMPRODUCT(('PM Plan'!$A$5:$A$304=B1374)*('PM Plan'!$B$5:$B$304=C1374))=0,"No matching asset + task in plan","OK")))</f>
        <v/>
      </c>
    </row>
    <row r="1375" customFormat="false" ht="15" hidden="false" customHeight="false" outlineLevel="0" collapsed="false">
      <c r="A1375" s="14"/>
      <c r="B1375" s="9"/>
      <c r="C1375" s="9"/>
      <c r="D1375" s="9"/>
      <c r="E1375" s="9"/>
      <c r="F1375" s="17" t="str">
        <f aca="false">IF(AND(A1375="",B1375="",C1375=""),"",IF(NOT(ISNUMBER(A1375)),"Enter the date done",IF(SUMPRODUCT(('PM Plan'!$A$5:$A$304=B1375)*('PM Plan'!$B$5:$B$304=C1375))=0,"No matching asset + task in plan","OK")))</f>
        <v/>
      </c>
    </row>
    <row r="1376" customFormat="false" ht="15" hidden="false" customHeight="false" outlineLevel="0" collapsed="false">
      <c r="A1376" s="14"/>
      <c r="B1376" s="9"/>
      <c r="C1376" s="9"/>
      <c r="D1376" s="9"/>
      <c r="E1376" s="9"/>
      <c r="F1376" s="17" t="str">
        <f aca="false">IF(AND(A1376="",B1376="",C1376=""),"",IF(NOT(ISNUMBER(A1376)),"Enter the date done",IF(SUMPRODUCT(('PM Plan'!$A$5:$A$304=B1376)*('PM Plan'!$B$5:$B$304=C1376))=0,"No matching asset + task in plan","OK")))</f>
        <v/>
      </c>
    </row>
    <row r="1377" customFormat="false" ht="15" hidden="false" customHeight="false" outlineLevel="0" collapsed="false">
      <c r="A1377" s="14"/>
      <c r="B1377" s="9"/>
      <c r="C1377" s="9"/>
      <c r="D1377" s="9"/>
      <c r="E1377" s="9"/>
      <c r="F1377" s="17" t="str">
        <f aca="false">IF(AND(A1377="",B1377="",C1377=""),"",IF(NOT(ISNUMBER(A1377)),"Enter the date done",IF(SUMPRODUCT(('PM Plan'!$A$5:$A$304=B1377)*('PM Plan'!$B$5:$B$304=C1377))=0,"No matching asset + task in plan","OK")))</f>
        <v/>
      </c>
    </row>
    <row r="1378" customFormat="false" ht="15" hidden="false" customHeight="false" outlineLevel="0" collapsed="false">
      <c r="A1378" s="14"/>
      <c r="B1378" s="9"/>
      <c r="C1378" s="9"/>
      <c r="D1378" s="9"/>
      <c r="E1378" s="9"/>
      <c r="F1378" s="17" t="str">
        <f aca="false">IF(AND(A1378="",B1378="",C1378=""),"",IF(NOT(ISNUMBER(A1378)),"Enter the date done",IF(SUMPRODUCT(('PM Plan'!$A$5:$A$304=B1378)*('PM Plan'!$B$5:$B$304=C1378))=0,"No matching asset + task in plan","OK")))</f>
        <v/>
      </c>
    </row>
    <row r="1379" customFormat="false" ht="15" hidden="false" customHeight="false" outlineLevel="0" collapsed="false">
      <c r="A1379" s="14"/>
      <c r="B1379" s="9"/>
      <c r="C1379" s="9"/>
      <c r="D1379" s="9"/>
      <c r="E1379" s="9"/>
      <c r="F1379" s="17" t="str">
        <f aca="false">IF(AND(A1379="",B1379="",C1379=""),"",IF(NOT(ISNUMBER(A1379)),"Enter the date done",IF(SUMPRODUCT(('PM Plan'!$A$5:$A$304=B1379)*('PM Plan'!$B$5:$B$304=C1379))=0,"No matching asset + task in plan","OK")))</f>
        <v/>
      </c>
    </row>
    <row r="1380" customFormat="false" ht="15" hidden="false" customHeight="false" outlineLevel="0" collapsed="false">
      <c r="A1380" s="14"/>
      <c r="B1380" s="9"/>
      <c r="C1380" s="9"/>
      <c r="D1380" s="9"/>
      <c r="E1380" s="9"/>
      <c r="F1380" s="17" t="str">
        <f aca="false">IF(AND(A1380="",B1380="",C1380=""),"",IF(NOT(ISNUMBER(A1380)),"Enter the date done",IF(SUMPRODUCT(('PM Plan'!$A$5:$A$304=B1380)*('PM Plan'!$B$5:$B$304=C1380))=0,"No matching asset + task in plan","OK")))</f>
        <v/>
      </c>
    </row>
    <row r="1381" customFormat="false" ht="15" hidden="false" customHeight="false" outlineLevel="0" collapsed="false">
      <c r="A1381" s="14"/>
      <c r="B1381" s="9"/>
      <c r="C1381" s="9"/>
      <c r="D1381" s="9"/>
      <c r="E1381" s="9"/>
      <c r="F1381" s="17" t="str">
        <f aca="false">IF(AND(A1381="",B1381="",C1381=""),"",IF(NOT(ISNUMBER(A1381)),"Enter the date done",IF(SUMPRODUCT(('PM Plan'!$A$5:$A$304=B1381)*('PM Plan'!$B$5:$B$304=C1381))=0,"No matching asset + task in plan","OK")))</f>
        <v/>
      </c>
    </row>
    <row r="1382" customFormat="false" ht="15" hidden="false" customHeight="false" outlineLevel="0" collapsed="false">
      <c r="A1382" s="14"/>
      <c r="B1382" s="9"/>
      <c r="C1382" s="9"/>
      <c r="D1382" s="9"/>
      <c r="E1382" s="9"/>
      <c r="F1382" s="17" t="str">
        <f aca="false">IF(AND(A1382="",B1382="",C1382=""),"",IF(NOT(ISNUMBER(A1382)),"Enter the date done",IF(SUMPRODUCT(('PM Plan'!$A$5:$A$304=B1382)*('PM Plan'!$B$5:$B$304=C1382))=0,"No matching asset + task in plan","OK")))</f>
        <v/>
      </c>
    </row>
    <row r="1383" customFormat="false" ht="15" hidden="false" customHeight="false" outlineLevel="0" collapsed="false">
      <c r="A1383" s="14"/>
      <c r="B1383" s="9"/>
      <c r="C1383" s="9"/>
      <c r="D1383" s="9"/>
      <c r="E1383" s="9"/>
      <c r="F1383" s="17" t="str">
        <f aca="false">IF(AND(A1383="",B1383="",C1383=""),"",IF(NOT(ISNUMBER(A1383)),"Enter the date done",IF(SUMPRODUCT(('PM Plan'!$A$5:$A$304=B1383)*('PM Plan'!$B$5:$B$304=C1383))=0,"No matching asset + task in plan","OK")))</f>
        <v/>
      </c>
    </row>
    <row r="1384" customFormat="false" ht="15" hidden="false" customHeight="false" outlineLevel="0" collapsed="false">
      <c r="A1384" s="14"/>
      <c r="B1384" s="9"/>
      <c r="C1384" s="9"/>
      <c r="D1384" s="9"/>
      <c r="E1384" s="9"/>
      <c r="F1384" s="17" t="str">
        <f aca="false">IF(AND(A1384="",B1384="",C1384=""),"",IF(NOT(ISNUMBER(A1384)),"Enter the date done",IF(SUMPRODUCT(('PM Plan'!$A$5:$A$304=B1384)*('PM Plan'!$B$5:$B$304=C1384))=0,"No matching asset + task in plan","OK")))</f>
        <v/>
      </c>
    </row>
    <row r="1385" customFormat="false" ht="15" hidden="false" customHeight="false" outlineLevel="0" collapsed="false">
      <c r="A1385" s="14"/>
      <c r="B1385" s="9"/>
      <c r="C1385" s="9"/>
      <c r="D1385" s="9"/>
      <c r="E1385" s="9"/>
      <c r="F1385" s="17" t="str">
        <f aca="false">IF(AND(A1385="",B1385="",C1385=""),"",IF(NOT(ISNUMBER(A1385)),"Enter the date done",IF(SUMPRODUCT(('PM Plan'!$A$5:$A$304=B1385)*('PM Plan'!$B$5:$B$304=C1385))=0,"No matching asset + task in plan","OK")))</f>
        <v/>
      </c>
    </row>
    <row r="1386" customFormat="false" ht="15" hidden="false" customHeight="false" outlineLevel="0" collapsed="false">
      <c r="A1386" s="14"/>
      <c r="B1386" s="9"/>
      <c r="C1386" s="9"/>
      <c r="D1386" s="9"/>
      <c r="E1386" s="9"/>
      <c r="F1386" s="17" t="str">
        <f aca="false">IF(AND(A1386="",B1386="",C1386=""),"",IF(NOT(ISNUMBER(A1386)),"Enter the date done",IF(SUMPRODUCT(('PM Plan'!$A$5:$A$304=B1386)*('PM Plan'!$B$5:$B$304=C1386))=0,"No matching asset + task in plan","OK")))</f>
        <v/>
      </c>
    </row>
    <row r="1387" customFormat="false" ht="15" hidden="false" customHeight="false" outlineLevel="0" collapsed="false">
      <c r="A1387" s="14"/>
      <c r="B1387" s="9"/>
      <c r="C1387" s="9"/>
      <c r="D1387" s="9"/>
      <c r="E1387" s="9"/>
      <c r="F1387" s="17" t="str">
        <f aca="false">IF(AND(A1387="",B1387="",C1387=""),"",IF(NOT(ISNUMBER(A1387)),"Enter the date done",IF(SUMPRODUCT(('PM Plan'!$A$5:$A$304=B1387)*('PM Plan'!$B$5:$B$304=C1387))=0,"No matching asset + task in plan","OK")))</f>
        <v/>
      </c>
    </row>
    <row r="1388" customFormat="false" ht="15" hidden="false" customHeight="false" outlineLevel="0" collapsed="false">
      <c r="A1388" s="14"/>
      <c r="B1388" s="9"/>
      <c r="C1388" s="9"/>
      <c r="D1388" s="9"/>
      <c r="E1388" s="9"/>
      <c r="F1388" s="17" t="str">
        <f aca="false">IF(AND(A1388="",B1388="",C1388=""),"",IF(NOT(ISNUMBER(A1388)),"Enter the date done",IF(SUMPRODUCT(('PM Plan'!$A$5:$A$304=B1388)*('PM Plan'!$B$5:$B$304=C1388))=0,"No matching asset + task in plan","OK")))</f>
        <v/>
      </c>
    </row>
    <row r="1389" customFormat="false" ht="15" hidden="false" customHeight="false" outlineLevel="0" collapsed="false">
      <c r="A1389" s="14"/>
      <c r="B1389" s="9"/>
      <c r="C1389" s="9"/>
      <c r="D1389" s="9"/>
      <c r="E1389" s="9"/>
      <c r="F1389" s="17" t="str">
        <f aca="false">IF(AND(A1389="",B1389="",C1389=""),"",IF(NOT(ISNUMBER(A1389)),"Enter the date done",IF(SUMPRODUCT(('PM Plan'!$A$5:$A$304=B1389)*('PM Plan'!$B$5:$B$304=C1389))=0,"No matching asset + task in plan","OK")))</f>
        <v/>
      </c>
    </row>
    <row r="1390" customFormat="false" ht="15" hidden="false" customHeight="false" outlineLevel="0" collapsed="false">
      <c r="A1390" s="14"/>
      <c r="B1390" s="9"/>
      <c r="C1390" s="9"/>
      <c r="D1390" s="9"/>
      <c r="E1390" s="9"/>
      <c r="F1390" s="17" t="str">
        <f aca="false">IF(AND(A1390="",B1390="",C1390=""),"",IF(NOT(ISNUMBER(A1390)),"Enter the date done",IF(SUMPRODUCT(('PM Plan'!$A$5:$A$304=B1390)*('PM Plan'!$B$5:$B$304=C1390))=0,"No matching asset + task in plan","OK")))</f>
        <v/>
      </c>
    </row>
    <row r="1391" customFormat="false" ht="15" hidden="false" customHeight="false" outlineLevel="0" collapsed="false">
      <c r="A1391" s="14"/>
      <c r="B1391" s="9"/>
      <c r="C1391" s="9"/>
      <c r="D1391" s="9"/>
      <c r="E1391" s="9"/>
      <c r="F1391" s="17" t="str">
        <f aca="false">IF(AND(A1391="",B1391="",C1391=""),"",IF(NOT(ISNUMBER(A1391)),"Enter the date done",IF(SUMPRODUCT(('PM Plan'!$A$5:$A$304=B1391)*('PM Plan'!$B$5:$B$304=C1391))=0,"No matching asset + task in plan","OK")))</f>
        <v/>
      </c>
    </row>
    <row r="1392" customFormat="false" ht="15" hidden="false" customHeight="false" outlineLevel="0" collapsed="false">
      <c r="A1392" s="14"/>
      <c r="B1392" s="9"/>
      <c r="C1392" s="9"/>
      <c r="D1392" s="9"/>
      <c r="E1392" s="9"/>
      <c r="F1392" s="17" t="str">
        <f aca="false">IF(AND(A1392="",B1392="",C1392=""),"",IF(NOT(ISNUMBER(A1392)),"Enter the date done",IF(SUMPRODUCT(('PM Plan'!$A$5:$A$304=B1392)*('PM Plan'!$B$5:$B$304=C1392))=0,"No matching asset + task in plan","OK")))</f>
        <v/>
      </c>
    </row>
    <row r="1393" customFormat="false" ht="15" hidden="false" customHeight="false" outlineLevel="0" collapsed="false">
      <c r="A1393" s="14"/>
      <c r="B1393" s="9"/>
      <c r="C1393" s="9"/>
      <c r="D1393" s="9"/>
      <c r="E1393" s="9"/>
      <c r="F1393" s="17" t="str">
        <f aca="false">IF(AND(A1393="",B1393="",C1393=""),"",IF(NOT(ISNUMBER(A1393)),"Enter the date done",IF(SUMPRODUCT(('PM Plan'!$A$5:$A$304=B1393)*('PM Plan'!$B$5:$B$304=C1393))=0,"No matching asset + task in plan","OK")))</f>
        <v/>
      </c>
    </row>
    <row r="1394" customFormat="false" ht="15" hidden="false" customHeight="false" outlineLevel="0" collapsed="false">
      <c r="A1394" s="14"/>
      <c r="B1394" s="9"/>
      <c r="C1394" s="9"/>
      <c r="D1394" s="9"/>
      <c r="E1394" s="9"/>
      <c r="F1394" s="17" t="str">
        <f aca="false">IF(AND(A1394="",B1394="",C1394=""),"",IF(NOT(ISNUMBER(A1394)),"Enter the date done",IF(SUMPRODUCT(('PM Plan'!$A$5:$A$304=B1394)*('PM Plan'!$B$5:$B$304=C1394))=0,"No matching asset + task in plan","OK")))</f>
        <v/>
      </c>
    </row>
    <row r="1395" customFormat="false" ht="15" hidden="false" customHeight="false" outlineLevel="0" collapsed="false">
      <c r="A1395" s="14"/>
      <c r="B1395" s="9"/>
      <c r="C1395" s="9"/>
      <c r="D1395" s="9"/>
      <c r="E1395" s="9"/>
      <c r="F1395" s="17" t="str">
        <f aca="false">IF(AND(A1395="",B1395="",C1395=""),"",IF(NOT(ISNUMBER(A1395)),"Enter the date done",IF(SUMPRODUCT(('PM Plan'!$A$5:$A$304=B1395)*('PM Plan'!$B$5:$B$304=C1395))=0,"No matching asset + task in plan","OK")))</f>
        <v/>
      </c>
    </row>
    <row r="1396" customFormat="false" ht="15" hidden="false" customHeight="false" outlineLevel="0" collapsed="false">
      <c r="A1396" s="14"/>
      <c r="B1396" s="9"/>
      <c r="C1396" s="9"/>
      <c r="D1396" s="9"/>
      <c r="E1396" s="9"/>
      <c r="F1396" s="17" t="str">
        <f aca="false">IF(AND(A1396="",B1396="",C1396=""),"",IF(NOT(ISNUMBER(A1396)),"Enter the date done",IF(SUMPRODUCT(('PM Plan'!$A$5:$A$304=B1396)*('PM Plan'!$B$5:$B$304=C1396))=0,"No matching asset + task in plan","OK")))</f>
        <v/>
      </c>
    </row>
    <row r="1397" customFormat="false" ht="15" hidden="false" customHeight="false" outlineLevel="0" collapsed="false">
      <c r="A1397" s="14"/>
      <c r="B1397" s="9"/>
      <c r="C1397" s="9"/>
      <c r="D1397" s="9"/>
      <c r="E1397" s="9"/>
      <c r="F1397" s="17" t="str">
        <f aca="false">IF(AND(A1397="",B1397="",C1397=""),"",IF(NOT(ISNUMBER(A1397)),"Enter the date done",IF(SUMPRODUCT(('PM Plan'!$A$5:$A$304=B1397)*('PM Plan'!$B$5:$B$304=C1397))=0,"No matching asset + task in plan","OK")))</f>
        <v/>
      </c>
    </row>
    <row r="1398" customFormat="false" ht="15" hidden="false" customHeight="false" outlineLevel="0" collapsed="false">
      <c r="A1398" s="14"/>
      <c r="B1398" s="9"/>
      <c r="C1398" s="9"/>
      <c r="D1398" s="9"/>
      <c r="E1398" s="9"/>
      <c r="F1398" s="17" t="str">
        <f aca="false">IF(AND(A1398="",B1398="",C1398=""),"",IF(NOT(ISNUMBER(A1398)),"Enter the date done",IF(SUMPRODUCT(('PM Plan'!$A$5:$A$304=B1398)*('PM Plan'!$B$5:$B$304=C1398))=0,"No matching asset + task in plan","OK")))</f>
        <v/>
      </c>
    </row>
    <row r="1399" customFormat="false" ht="15" hidden="false" customHeight="false" outlineLevel="0" collapsed="false">
      <c r="A1399" s="14"/>
      <c r="B1399" s="9"/>
      <c r="C1399" s="9"/>
      <c r="D1399" s="9"/>
      <c r="E1399" s="9"/>
      <c r="F1399" s="17" t="str">
        <f aca="false">IF(AND(A1399="",B1399="",C1399=""),"",IF(NOT(ISNUMBER(A1399)),"Enter the date done",IF(SUMPRODUCT(('PM Plan'!$A$5:$A$304=B1399)*('PM Plan'!$B$5:$B$304=C1399))=0,"No matching asset + task in plan","OK")))</f>
        <v/>
      </c>
    </row>
    <row r="1400" customFormat="false" ht="15" hidden="false" customHeight="false" outlineLevel="0" collapsed="false">
      <c r="A1400" s="14"/>
      <c r="B1400" s="9"/>
      <c r="C1400" s="9"/>
      <c r="D1400" s="9"/>
      <c r="E1400" s="9"/>
      <c r="F1400" s="17" t="str">
        <f aca="false">IF(AND(A1400="",B1400="",C1400=""),"",IF(NOT(ISNUMBER(A1400)),"Enter the date done",IF(SUMPRODUCT(('PM Plan'!$A$5:$A$304=B1400)*('PM Plan'!$B$5:$B$304=C1400))=0,"No matching asset + task in plan","OK")))</f>
        <v/>
      </c>
    </row>
    <row r="1401" customFormat="false" ht="15" hidden="false" customHeight="false" outlineLevel="0" collapsed="false">
      <c r="A1401" s="14"/>
      <c r="B1401" s="9"/>
      <c r="C1401" s="9"/>
      <c r="D1401" s="9"/>
      <c r="E1401" s="9"/>
      <c r="F1401" s="17" t="str">
        <f aca="false">IF(AND(A1401="",B1401="",C1401=""),"",IF(NOT(ISNUMBER(A1401)),"Enter the date done",IF(SUMPRODUCT(('PM Plan'!$A$5:$A$304=B1401)*('PM Plan'!$B$5:$B$304=C1401))=0,"No matching asset + task in plan","OK")))</f>
        <v/>
      </c>
    </row>
    <row r="1402" customFormat="false" ht="15" hidden="false" customHeight="false" outlineLevel="0" collapsed="false">
      <c r="A1402" s="14"/>
      <c r="B1402" s="9"/>
      <c r="C1402" s="9"/>
      <c r="D1402" s="9"/>
      <c r="E1402" s="9"/>
      <c r="F1402" s="17" t="str">
        <f aca="false">IF(AND(A1402="",B1402="",C1402=""),"",IF(NOT(ISNUMBER(A1402)),"Enter the date done",IF(SUMPRODUCT(('PM Plan'!$A$5:$A$304=B1402)*('PM Plan'!$B$5:$B$304=C1402))=0,"No matching asset + task in plan","OK")))</f>
        <v/>
      </c>
    </row>
    <row r="1403" customFormat="false" ht="15" hidden="false" customHeight="false" outlineLevel="0" collapsed="false">
      <c r="A1403" s="14"/>
      <c r="B1403" s="9"/>
      <c r="C1403" s="9"/>
      <c r="D1403" s="9"/>
      <c r="E1403" s="9"/>
      <c r="F1403" s="17" t="str">
        <f aca="false">IF(AND(A1403="",B1403="",C1403=""),"",IF(NOT(ISNUMBER(A1403)),"Enter the date done",IF(SUMPRODUCT(('PM Plan'!$A$5:$A$304=B1403)*('PM Plan'!$B$5:$B$304=C1403))=0,"No matching asset + task in plan","OK")))</f>
        <v/>
      </c>
    </row>
    <row r="1404" customFormat="false" ht="15" hidden="false" customHeight="false" outlineLevel="0" collapsed="false">
      <c r="A1404" s="14"/>
      <c r="B1404" s="9"/>
      <c r="C1404" s="9"/>
      <c r="D1404" s="9"/>
      <c r="E1404" s="9"/>
      <c r="F1404" s="17" t="str">
        <f aca="false">IF(AND(A1404="",B1404="",C1404=""),"",IF(NOT(ISNUMBER(A1404)),"Enter the date done",IF(SUMPRODUCT(('PM Plan'!$A$5:$A$304=B1404)*('PM Plan'!$B$5:$B$304=C1404))=0,"No matching asset + task in plan","OK")))</f>
        <v/>
      </c>
    </row>
    <row r="1405" customFormat="false" ht="15" hidden="false" customHeight="false" outlineLevel="0" collapsed="false">
      <c r="A1405" s="14"/>
      <c r="B1405" s="9"/>
      <c r="C1405" s="9"/>
      <c r="D1405" s="9"/>
      <c r="E1405" s="9"/>
      <c r="F1405" s="17" t="str">
        <f aca="false">IF(AND(A1405="",B1405="",C1405=""),"",IF(NOT(ISNUMBER(A1405)),"Enter the date done",IF(SUMPRODUCT(('PM Plan'!$A$5:$A$304=B1405)*('PM Plan'!$B$5:$B$304=C1405))=0,"No matching asset + task in plan","OK")))</f>
        <v/>
      </c>
    </row>
    <row r="1406" customFormat="false" ht="15" hidden="false" customHeight="false" outlineLevel="0" collapsed="false">
      <c r="A1406" s="14"/>
      <c r="B1406" s="9"/>
      <c r="C1406" s="9"/>
      <c r="D1406" s="9"/>
      <c r="E1406" s="9"/>
      <c r="F1406" s="17" t="str">
        <f aca="false">IF(AND(A1406="",B1406="",C1406=""),"",IF(NOT(ISNUMBER(A1406)),"Enter the date done",IF(SUMPRODUCT(('PM Plan'!$A$5:$A$304=B1406)*('PM Plan'!$B$5:$B$304=C1406))=0,"No matching asset + task in plan","OK")))</f>
        <v/>
      </c>
    </row>
    <row r="1407" customFormat="false" ht="15" hidden="false" customHeight="false" outlineLevel="0" collapsed="false">
      <c r="A1407" s="14"/>
      <c r="B1407" s="9"/>
      <c r="C1407" s="9"/>
      <c r="D1407" s="9"/>
      <c r="E1407" s="9"/>
      <c r="F1407" s="17" t="str">
        <f aca="false">IF(AND(A1407="",B1407="",C1407=""),"",IF(NOT(ISNUMBER(A1407)),"Enter the date done",IF(SUMPRODUCT(('PM Plan'!$A$5:$A$304=B1407)*('PM Plan'!$B$5:$B$304=C1407))=0,"No matching asset + task in plan","OK")))</f>
        <v/>
      </c>
    </row>
    <row r="1408" customFormat="false" ht="15" hidden="false" customHeight="false" outlineLevel="0" collapsed="false">
      <c r="A1408" s="14"/>
      <c r="B1408" s="9"/>
      <c r="C1408" s="9"/>
      <c r="D1408" s="9"/>
      <c r="E1408" s="9"/>
      <c r="F1408" s="17" t="str">
        <f aca="false">IF(AND(A1408="",B1408="",C1408=""),"",IF(NOT(ISNUMBER(A1408)),"Enter the date done",IF(SUMPRODUCT(('PM Plan'!$A$5:$A$304=B1408)*('PM Plan'!$B$5:$B$304=C1408))=0,"No matching asset + task in plan","OK")))</f>
        <v/>
      </c>
    </row>
    <row r="1409" customFormat="false" ht="15" hidden="false" customHeight="false" outlineLevel="0" collapsed="false">
      <c r="A1409" s="14"/>
      <c r="B1409" s="9"/>
      <c r="C1409" s="9"/>
      <c r="D1409" s="9"/>
      <c r="E1409" s="9"/>
      <c r="F1409" s="17" t="str">
        <f aca="false">IF(AND(A1409="",B1409="",C1409=""),"",IF(NOT(ISNUMBER(A1409)),"Enter the date done",IF(SUMPRODUCT(('PM Plan'!$A$5:$A$304=B1409)*('PM Plan'!$B$5:$B$304=C1409))=0,"No matching asset + task in plan","OK")))</f>
        <v/>
      </c>
    </row>
    <row r="1410" customFormat="false" ht="15" hidden="false" customHeight="false" outlineLevel="0" collapsed="false">
      <c r="A1410" s="14"/>
      <c r="B1410" s="9"/>
      <c r="C1410" s="9"/>
      <c r="D1410" s="9"/>
      <c r="E1410" s="9"/>
      <c r="F1410" s="17" t="str">
        <f aca="false">IF(AND(A1410="",B1410="",C1410=""),"",IF(NOT(ISNUMBER(A1410)),"Enter the date done",IF(SUMPRODUCT(('PM Plan'!$A$5:$A$304=B1410)*('PM Plan'!$B$5:$B$304=C1410))=0,"No matching asset + task in plan","OK")))</f>
        <v/>
      </c>
    </row>
    <row r="1411" customFormat="false" ht="15" hidden="false" customHeight="false" outlineLevel="0" collapsed="false">
      <c r="A1411" s="14"/>
      <c r="B1411" s="9"/>
      <c r="C1411" s="9"/>
      <c r="D1411" s="9"/>
      <c r="E1411" s="9"/>
      <c r="F1411" s="17" t="str">
        <f aca="false">IF(AND(A1411="",B1411="",C1411=""),"",IF(NOT(ISNUMBER(A1411)),"Enter the date done",IF(SUMPRODUCT(('PM Plan'!$A$5:$A$304=B1411)*('PM Plan'!$B$5:$B$304=C1411))=0,"No matching asset + task in plan","OK")))</f>
        <v/>
      </c>
    </row>
    <row r="1412" customFormat="false" ht="15" hidden="false" customHeight="false" outlineLevel="0" collapsed="false">
      <c r="A1412" s="14"/>
      <c r="B1412" s="9"/>
      <c r="C1412" s="9"/>
      <c r="D1412" s="9"/>
      <c r="E1412" s="9"/>
      <c r="F1412" s="17" t="str">
        <f aca="false">IF(AND(A1412="",B1412="",C1412=""),"",IF(NOT(ISNUMBER(A1412)),"Enter the date done",IF(SUMPRODUCT(('PM Plan'!$A$5:$A$304=B1412)*('PM Plan'!$B$5:$B$304=C1412))=0,"No matching asset + task in plan","OK")))</f>
        <v/>
      </c>
    </row>
    <row r="1413" customFormat="false" ht="15" hidden="false" customHeight="false" outlineLevel="0" collapsed="false">
      <c r="A1413" s="14"/>
      <c r="B1413" s="9"/>
      <c r="C1413" s="9"/>
      <c r="D1413" s="9"/>
      <c r="E1413" s="9"/>
      <c r="F1413" s="17" t="str">
        <f aca="false">IF(AND(A1413="",B1413="",C1413=""),"",IF(NOT(ISNUMBER(A1413)),"Enter the date done",IF(SUMPRODUCT(('PM Plan'!$A$5:$A$304=B1413)*('PM Plan'!$B$5:$B$304=C1413))=0,"No matching asset + task in plan","OK")))</f>
        <v/>
      </c>
    </row>
    <row r="1414" customFormat="false" ht="15" hidden="false" customHeight="false" outlineLevel="0" collapsed="false">
      <c r="A1414" s="14"/>
      <c r="B1414" s="9"/>
      <c r="C1414" s="9"/>
      <c r="D1414" s="9"/>
      <c r="E1414" s="9"/>
      <c r="F1414" s="17" t="str">
        <f aca="false">IF(AND(A1414="",B1414="",C1414=""),"",IF(NOT(ISNUMBER(A1414)),"Enter the date done",IF(SUMPRODUCT(('PM Plan'!$A$5:$A$304=B1414)*('PM Plan'!$B$5:$B$304=C1414))=0,"No matching asset + task in plan","OK")))</f>
        <v/>
      </c>
    </row>
    <row r="1415" customFormat="false" ht="15" hidden="false" customHeight="false" outlineLevel="0" collapsed="false">
      <c r="A1415" s="14"/>
      <c r="B1415" s="9"/>
      <c r="C1415" s="9"/>
      <c r="D1415" s="9"/>
      <c r="E1415" s="9"/>
      <c r="F1415" s="17" t="str">
        <f aca="false">IF(AND(A1415="",B1415="",C1415=""),"",IF(NOT(ISNUMBER(A1415)),"Enter the date done",IF(SUMPRODUCT(('PM Plan'!$A$5:$A$304=B1415)*('PM Plan'!$B$5:$B$304=C1415))=0,"No matching asset + task in plan","OK")))</f>
        <v/>
      </c>
    </row>
    <row r="1416" customFormat="false" ht="15" hidden="false" customHeight="false" outlineLevel="0" collapsed="false">
      <c r="A1416" s="14"/>
      <c r="B1416" s="9"/>
      <c r="C1416" s="9"/>
      <c r="D1416" s="9"/>
      <c r="E1416" s="9"/>
      <c r="F1416" s="17" t="str">
        <f aca="false">IF(AND(A1416="",B1416="",C1416=""),"",IF(NOT(ISNUMBER(A1416)),"Enter the date done",IF(SUMPRODUCT(('PM Plan'!$A$5:$A$304=B1416)*('PM Plan'!$B$5:$B$304=C1416))=0,"No matching asset + task in plan","OK")))</f>
        <v/>
      </c>
    </row>
    <row r="1417" customFormat="false" ht="15" hidden="false" customHeight="false" outlineLevel="0" collapsed="false">
      <c r="A1417" s="14"/>
      <c r="B1417" s="9"/>
      <c r="C1417" s="9"/>
      <c r="D1417" s="9"/>
      <c r="E1417" s="9"/>
      <c r="F1417" s="17" t="str">
        <f aca="false">IF(AND(A1417="",B1417="",C1417=""),"",IF(NOT(ISNUMBER(A1417)),"Enter the date done",IF(SUMPRODUCT(('PM Plan'!$A$5:$A$304=B1417)*('PM Plan'!$B$5:$B$304=C1417))=0,"No matching asset + task in plan","OK")))</f>
        <v/>
      </c>
    </row>
    <row r="1418" customFormat="false" ht="15" hidden="false" customHeight="false" outlineLevel="0" collapsed="false">
      <c r="A1418" s="14"/>
      <c r="B1418" s="9"/>
      <c r="C1418" s="9"/>
      <c r="D1418" s="9"/>
      <c r="E1418" s="9"/>
      <c r="F1418" s="17" t="str">
        <f aca="false">IF(AND(A1418="",B1418="",C1418=""),"",IF(NOT(ISNUMBER(A1418)),"Enter the date done",IF(SUMPRODUCT(('PM Plan'!$A$5:$A$304=B1418)*('PM Plan'!$B$5:$B$304=C1418))=0,"No matching asset + task in plan","OK")))</f>
        <v/>
      </c>
    </row>
    <row r="1419" customFormat="false" ht="15" hidden="false" customHeight="false" outlineLevel="0" collapsed="false">
      <c r="A1419" s="14"/>
      <c r="B1419" s="9"/>
      <c r="C1419" s="9"/>
      <c r="D1419" s="9"/>
      <c r="E1419" s="9"/>
      <c r="F1419" s="17" t="str">
        <f aca="false">IF(AND(A1419="",B1419="",C1419=""),"",IF(NOT(ISNUMBER(A1419)),"Enter the date done",IF(SUMPRODUCT(('PM Plan'!$A$5:$A$304=B1419)*('PM Plan'!$B$5:$B$304=C1419))=0,"No matching asset + task in plan","OK")))</f>
        <v/>
      </c>
    </row>
    <row r="1420" customFormat="false" ht="15" hidden="false" customHeight="false" outlineLevel="0" collapsed="false">
      <c r="A1420" s="14"/>
      <c r="B1420" s="9"/>
      <c r="C1420" s="9"/>
      <c r="D1420" s="9"/>
      <c r="E1420" s="9"/>
      <c r="F1420" s="17" t="str">
        <f aca="false">IF(AND(A1420="",B1420="",C1420=""),"",IF(NOT(ISNUMBER(A1420)),"Enter the date done",IF(SUMPRODUCT(('PM Plan'!$A$5:$A$304=B1420)*('PM Plan'!$B$5:$B$304=C1420))=0,"No matching asset + task in plan","OK")))</f>
        <v/>
      </c>
    </row>
    <row r="1421" customFormat="false" ht="15" hidden="false" customHeight="false" outlineLevel="0" collapsed="false">
      <c r="A1421" s="14"/>
      <c r="B1421" s="9"/>
      <c r="C1421" s="9"/>
      <c r="D1421" s="9"/>
      <c r="E1421" s="9"/>
      <c r="F1421" s="17" t="str">
        <f aca="false">IF(AND(A1421="",B1421="",C1421=""),"",IF(NOT(ISNUMBER(A1421)),"Enter the date done",IF(SUMPRODUCT(('PM Plan'!$A$5:$A$304=B1421)*('PM Plan'!$B$5:$B$304=C1421))=0,"No matching asset + task in plan","OK")))</f>
        <v/>
      </c>
    </row>
    <row r="1422" customFormat="false" ht="15" hidden="false" customHeight="false" outlineLevel="0" collapsed="false">
      <c r="A1422" s="14"/>
      <c r="B1422" s="9"/>
      <c r="C1422" s="9"/>
      <c r="D1422" s="9"/>
      <c r="E1422" s="9"/>
      <c r="F1422" s="17" t="str">
        <f aca="false">IF(AND(A1422="",B1422="",C1422=""),"",IF(NOT(ISNUMBER(A1422)),"Enter the date done",IF(SUMPRODUCT(('PM Plan'!$A$5:$A$304=B1422)*('PM Plan'!$B$5:$B$304=C1422))=0,"No matching asset + task in plan","OK")))</f>
        <v/>
      </c>
    </row>
    <row r="1423" customFormat="false" ht="15" hidden="false" customHeight="false" outlineLevel="0" collapsed="false">
      <c r="A1423" s="14"/>
      <c r="B1423" s="9"/>
      <c r="C1423" s="9"/>
      <c r="D1423" s="9"/>
      <c r="E1423" s="9"/>
      <c r="F1423" s="17" t="str">
        <f aca="false">IF(AND(A1423="",B1423="",C1423=""),"",IF(NOT(ISNUMBER(A1423)),"Enter the date done",IF(SUMPRODUCT(('PM Plan'!$A$5:$A$304=B1423)*('PM Plan'!$B$5:$B$304=C1423))=0,"No matching asset + task in plan","OK")))</f>
        <v/>
      </c>
    </row>
    <row r="1424" customFormat="false" ht="15" hidden="false" customHeight="false" outlineLevel="0" collapsed="false">
      <c r="A1424" s="14"/>
      <c r="B1424" s="9"/>
      <c r="C1424" s="9"/>
      <c r="D1424" s="9"/>
      <c r="E1424" s="9"/>
      <c r="F1424" s="17" t="str">
        <f aca="false">IF(AND(A1424="",B1424="",C1424=""),"",IF(NOT(ISNUMBER(A1424)),"Enter the date done",IF(SUMPRODUCT(('PM Plan'!$A$5:$A$304=B1424)*('PM Plan'!$B$5:$B$304=C1424))=0,"No matching asset + task in plan","OK")))</f>
        <v/>
      </c>
    </row>
    <row r="1425" customFormat="false" ht="15" hidden="false" customHeight="false" outlineLevel="0" collapsed="false">
      <c r="A1425" s="14"/>
      <c r="B1425" s="9"/>
      <c r="C1425" s="9"/>
      <c r="D1425" s="9"/>
      <c r="E1425" s="9"/>
      <c r="F1425" s="17" t="str">
        <f aca="false">IF(AND(A1425="",B1425="",C1425=""),"",IF(NOT(ISNUMBER(A1425)),"Enter the date done",IF(SUMPRODUCT(('PM Plan'!$A$5:$A$304=B1425)*('PM Plan'!$B$5:$B$304=C1425))=0,"No matching asset + task in plan","OK")))</f>
        <v/>
      </c>
    </row>
    <row r="1426" customFormat="false" ht="15" hidden="false" customHeight="false" outlineLevel="0" collapsed="false">
      <c r="A1426" s="14"/>
      <c r="B1426" s="9"/>
      <c r="C1426" s="9"/>
      <c r="D1426" s="9"/>
      <c r="E1426" s="9"/>
      <c r="F1426" s="17" t="str">
        <f aca="false">IF(AND(A1426="",B1426="",C1426=""),"",IF(NOT(ISNUMBER(A1426)),"Enter the date done",IF(SUMPRODUCT(('PM Plan'!$A$5:$A$304=B1426)*('PM Plan'!$B$5:$B$304=C1426))=0,"No matching asset + task in plan","OK")))</f>
        <v/>
      </c>
    </row>
    <row r="1427" customFormat="false" ht="15" hidden="false" customHeight="false" outlineLevel="0" collapsed="false">
      <c r="A1427" s="14"/>
      <c r="B1427" s="9"/>
      <c r="C1427" s="9"/>
      <c r="D1427" s="9"/>
      <c r="E1427" s="9"/>
      <c r="F1427" s="17" t="str">
        <f aca="false">IF(AND(A1427="",B1427="",C1427=""),"",IF(NOT(ISNUMBER(A1427)),"Enter the date done",IF(SUMPRODUCT(('PM Plan'!$A$5:$A$304=B1427)*('PM Plan'!$B$5:$B$304=C1427))=0,"No matching asset + task in plan","OK")))</f>
        <v/>
      </c>
    </row>
    <row r="1428" customFormat="false" ht="15" hidden="false" customHeight="false" outlineLevel="0" collapsed="false">
      <c r="A1428" s="14"/>
      <c r="B1428" s="9"/>
      <c r="C1428" s="9"/>
      <c r="D1428" s="9"/>
      <c r="E1428" s="9"/>
      <c r="F1428" s="17" t="str">
        <f aca="false">IF(AND(A1428="",B1428="",C1428=""),"",IF(NOT(ISNUMBER(A1428)),"Enter the date done",IF(SUMPRODUCT(('PM Plan'!$A$5:$A$304=B1428)*('PM Plan'!$B$5:$B$304=C1428))=0,"No matching asset + task in plan","OK")))</f>
        <v/>
      </c>
    </row>
    <row r="1429" customFormat="false" ht="15" hidden="false" customHeight="false" outlineLevel="0" collapsed="false">
      <c r="A1429" s="14"/>
      <c r="B1429" s="9"/>
      <c r="C1429" s="9"/>
      <c r="D1429" s="9"/>
      <c r="E1429" s="9"/>
      <c r="F1429" s="17" t="str">
        <f aca="false">IF(AND(A1429="",B1429="",C1429=""),"",IF(NOT(ISNUMBER(A1429)),"Enter the date done",IF(SUMPRODUCT(('PM Plan'!$A$5:$A$304=B1429)*('PM Plan'!$B$5:$B$304=C1429))=0,"No matching asset + task in plan","OK")))</f>
        <v/>
      </c>
    </row>
    <row r="1430" customFormat="false" ht="15" hidden="false" customHeight="false" outlineLevel="0" collapsed="false">
      <c r="A1430" s="14"/>
      <c r="B1430" s="9"/>
      <c r="C1430" s="9"/>
      <c r="D1430" s="9"/>
      <c r="E1430" s="9"/>
      <c r="F1430" s="17" t="str">
        <f aca="false">IF(AND(A1430="",B1430="",C1430=""),"",IF(NOT(ISNUMBER(A1430)),"Enter the date done",IF(SUMPRODUCT(('PM Plan'!$A$5:$A$304=B1430)*('PM Plan'!$B$5:$B$304=C1430))=0,"No matching asset + task in plan","OK")))</f>
        <v/>
      </c>
    </row>
    <row r="1431" customFormat="false" ht="15" hidden="false" customHeight="false" outlineLevel="0" collapsed="false">
      <c r="A1431" s="14"/>
      <c r="B1431" s="9"/>
      <c r="C1431" s="9"/>
      <c r="D1431" s="9"/>
      <c r="E1431" s="9"/>
      <c r="F1431" s="17" t="str">
        <f aca="false">IF(AND(A1431="",B1431="",C1431=""),"",IF(NOT(ISNUMBER(A1431)),"Enter the date done",IF(SUMPRODUCT(('PM Plan'!$A$5:$A$304=B1431)*('PM Plan'!$B$5:$B$304=C1431))=0,"No matching asset + task in plan","OK")))</f>
        <v/>
      </c>
    </row>
    <row r="1432" customFormat="false" ht="15" hidden="false" customHeight="false" outlineLevel="0" collapsed="false">
      <c r="A1432" s="14"/>
      <c r="B1432" s="9"/>
      <c r="C1432" s="9"/>
      <c r="D1432" s="9"/>
      <c r="E1432" s="9"/>
      <c r="F1432" s="17" t="str">
        <f aca="false">IF(AND(A1432="",B1432="",C1432=""),"",IF(NOT(ISNUMBER(A1432)),"Enter the date done",IF(SUMPRODUCT(('PM Plan'!$A$5:$A$304=B1432)*('PM Plan'!$B$5:$B$304=C1432))=0,"No matching asset + task in plan","OK")))</f>
        <v/>
      </c>
    </row>
    <row r="1433" customFormat="false" ht="15" hidden="false" customHeight="false" outlineLevel="0" collapsed="false">
      <c r="A1433" s="14"/>
      <c r="B1433" s="9"/>
      <c r="C1433" s="9"/>
      <c r="D1433" s="9"/>
      <c r="E1433" s="9"/>
      <c r="F1433" s="17" t="str">
        <f aca="false">IF(AND(A1433="",B1433="",C1433=""),"",IF(NOT(ISNUMBER(A1433)),"Enter the date done",IF(SUMPRODUCT(('PM Plan'!$A$5:$A$304=B1433)*('PM Plan'!$B$5:$B$304=C1433))=0,"No matching asset + task in plan","OK")))</f>
        <v/>
      </c>
    </row>
    <row r="1434" customFormat="false" ht="15" hidden="false" customHeight="false" outlineLevel="0" collapsed="false">
      <c r="A1434" s="14"/>
      <c r="B1434" s="9"/>
      <c r="C1434" s="9"/>
      <c r="D1434" s="9"/>
      <c r="E1434" s="9"/>
      <c r="F1434" s="17" t="str">
        <f aca="false">IF(AND(A1434="",B1434="",C1434=""),"",IF(NOT(ISNUMBER(A1434)),"Enter the date done",IF(SUMPRODUCT(('PM Plan'!$A$5:$A$304=B1434)*('PM Plan'!$B$5:$B$304=C1434))=0,"No matching asset + task in plan","OK")))</f>
        <v/>
      </c>
    </row>
    <row r="1435" customFormat="false" ht="15" hidden="false" customHeight="false" outlineLevel="0" collapsed="false">
      <c r="A1435" s="14"/>
      <c r="B1435" s="9"/>
      <c r="C1435" s="9"/>
      <c r="D1435" s="9"/>
      <c r="E1435" s="9"/>
      <c r="F1435" s="17" t="str">
        <f aca="false">IF(AND(A1435="",B1435="",C1435=""),"",IF(NOT(ISNUMBER(A1435)),"Enter the date done",IF(SUMPRODUCT(('PM Plan'!$A$5:$A$304=B1435)*('PM Plan'!$B$5:$B$304=C1435))=0,"No matching asset + task in plan","OK")))</f>
        <v/>
      </c>
    </row>
    <row r="1436" customFormat="false" ht="15" hidden="false" customHeight="false" outlineLevel="0" collapsed="false">
      <c r="A1436" s="14"/>
      <c r="B1436" s="9"/>
      <c r="C1436" s="9"/>
      <c r="D1436" s="9"/>
      <c r="E1436" s="9"/>
      <c r="F1436" s="17" t="str">
        <f aca="false">IF(AND(A1436="",B1436="",C1436=""),"",IF(NOT(ISNUMBER(A1436)),"Enter the date done",IF(SUMPRODUCT(('PM Plan'!$A$5:$A$304=B1436)*('PM Plan'!$B$5:$B$304=C1436))=0,"No matching asset + task in plan","OK")))</f>
        <v/>
      </c>
    </row>
    <row r="1437" customFormat="false" ht="15" hidden="false" customHeight="false" outlineLevel="0" collapsed="false">
      <c r="A1437" s="14"/>
      <c r="B1437" s="9"/>
      <c r="C1437" s="9"/>
      <c r="D1437" s="9"/>
      <c r="E1437" s="9"/>
      <c r="F1437" s="17" t="str">
        <f aca="false">IF(AND(A1437="",B1437="",C1437=""),"",IF(NOT(ISNUMBER(A1437)),"Enter the date done",IF(SUMPRODUCT(('PM Plan'!$A$5:$A$304=B1437)*('PM Plan'!$B$5:$B$304=C1437))=0,"No matching asset + task in plan","OK")))</f>
        <v/>
      </c>
    </row>
    <row r="1438" customFormat="false" ht="15" hidden="false" customHeight="false" outlineLevel="0" collapsed="false">
      <c r="A1438" s="14"/>
      <c r="B1438" s="9"/>
      <c r="C1438" s="9"/>
      <c r="D1438" s="9"/>
      <c r="E1438" s="9"/>
      <c r="F1438" s="17" t="str">
        <f aca="false">IF(AND(A1438="",B1438="",C1438=""),"",IF(NOT(ISNUMBER(A1438)),"Enter the date done",IF(SUMPRODUCT(('PM Plan'!$A$5:$A$304=B1438)*('PM Plan'!$B$5:$B$304=C1438))=0,"No matching asset + task in plan","OK")))</f>
        <v/>
      </c>
    </row>
    <row r="1439" customFormat="false" ht="15" hidden="false" customHeight="false" outlineLevel="0" collapsed="false">
      <c r="A1439" s="14"/>
      <c r="B1439" s="9"/>
      <c r="C1439" s="9"/>
      <c r="D1439" s="9"/>
      <c r="E1439" s="9"/>
      <c r="F1439" s="17" t="str">
        <f aca="false">IF(AND(A1439="",B1439="",C1439=""),"",IF(NOT(ISNUMBER(A1439)),"Enter the date done",IF(SUMPRODUCT(('PM Plan'!$A$5:$A$304=B1439)*('PM Plan'!$B$5:$B$304=C1439))=0,"No matching asset + task in plan","OK")))</f>
        <v/>
      </c>
    </row>
    <row r="1440" customFormat="false" ht="15" hidden="false" customHeight="false" outlineLevel="0" collapsed="false">
      <c r="A1440" s="14"/>
      <c r="B1440" s="9"/>
      <c r="C1440" s="9"/>
      <c r="D1440" s="9"/>
      <c r="E1440" s="9"/>
      <c r="F1440" s="17" t="str">
        <f aca="false">IF(AND(A1440="",B1440="",C1440=""),"",IF(NOT(ISNUMBER(A1440)),"Enter the date done",IF(SUMPRODUCT(('PM Plan'!$A$5:$A$304=B1440)*('PM Plan'!$B$5:$B$304=C1440))=0,"No matching asset + task in plan","OK")))</f>
        <v/>
      </c>
    </row>
    <row r="1441" customFormat="false" ht="15" hidden="false" customHeight="false" outlineLevel="0" collapsed="false">
      <c r="A1441" s="14"/>
      <c r="B1441" s="9"/>
      <c r="C1441" s="9"/>
      <c r="D1441" s="9"/>
      <c r="E1441" s="9"/>
      <c r="F1441" s="17" t="str">
        <f aca="false">IF(AND(A1441="",B1441="",C1441=""),"",IF(NOT(ISNUMBER(A1441)),"Enter the date done",IF(SUMPRODUCT(('PM Plan'!$A$5:$A$304=B1441)*('PM Plan'!$B$5:$B$304=C1441))=0,"No matching asset + task in plan","OK")))</f>
        <v/>
      </c>
    </row>
    <row r="1442" customFormat="false" ht="15" hidden="false" customHeight="false" outlineLevel="0" collapsed="false">
      <c r="A1442" s="14"/>
      <c r="B1442" s="9"/>
      <c r="C1442" s="9"/>
      <c r="D1442" s="9"/>
      <c r="E1442" s="9"/>
      <c r="F1442" s="17" t="str">
        <f aca="false">IF(AND(A1442="",B1442="",C1442=""),"",IF(NOT(ISNUMBER(A1442)),"Enter the date done",IF(SUMPRODUCT(('PM Plan'!$A$5:$A$304=B1442)*('PM Plan'!$B$5:$B$304=C1442))=0,"No matching asset + task in plan","OK")))</f>
        <v/>
      </c>
    </row>
    <row r="1443" customFormat="false" ht="15" hidden="false" customHeight="false" outlineLevel="0" collapsed="false">
      <c r="A1443" s="14"/>
      <c r="B1443" s="9"/>
      <c r="C1443" s="9"/>
      <c r="D1443" s="9"/>
      <c r="E1443" s="9"/>
      <c r="F1443" s="17" t="str">
        <f aca="false">IF(AND(A1443="",B1443="",C1443=""),"",IF(NOT(ISNUMBER(A1443)),"Enter the date done",IF(SUMPRODUCT(('PM Plan'!$A$5:$A$304=B1443)*('PM Plan'!$B$5:$B$304=C1443))=0,"No matching asset + task in plan","OK")))</f>
        <v/>
      </c>
    </row>
    <row r="1444" customFormat="false" ht="15" hidden="false" customHeight="false" outlineLevel="0" collapsed="false">
      <c r="A1444" s="14"/>
      <c r="B1444" s="9"/>
      <c r="C1444" s="9"/>
      <c r="D1444" s="9"/>
      <c r="E1444" s="9"/>
      <c r="F1444" s="17" t="str">
        <f aca="false">IF(AND(A1444="",B1444="",C1444=""),"",IF(NOT(ISNUMBER(A1444)),"Enter the date done",IF(SUMPRODUCT(('PM Plan'!$A$5:$A$304=B1444)*('PM Plan'!$B$5:$B$304=C1444))=0,"No matching asset + task in plan","OK")))</f>
        <v/>
      </c>
    </row>
    <row r="1445" customFormat="false" ht="15" hidden="false" customHeight="false" outlineLevel="0" collapsed="false">
      <c r="A1445" s="14"/>
      <c r="B1445" s="9"/>
      <c r="C1445" s="9"/>
      <c r="D1445" s="9"/>
      <c r="E1445" s="9"/>
      <c r="F1445" s="17" t="str">
        <f aca="false">IF(AND(A1445="",B1445="",C1445=""),"",IF(NOT(ISNUMBER(A1445)),"Enter the date done",IF(SUMPRODUCT(('PM Plan'!$A$5:$A$304=B1445)*('PM Plan'!$B$5:$B$304=C1445))=0,"No matching asset + task in plan","OK")))</f>
        <v/>
      </c>
    </row>
    <row r="1446" customFormat="false" ht="15" hidden="false" customHeight="false" outlineLevel="0" collapsed="false">
      <c r="A1446" s="14"/>
      <c r="B1446" s="9"/>
      <c r="C1446" s="9"/>
      <c r="D1446" s="9"/>
      <c r="E1446" s="9"/>
      <c r="F1446" s="17" t="str">
        <f aca="false">IF(AND(A1446="",B1446="",C1446=""),"",IF(NOT(ISNUMBER(A1446)),"Enter the date done",IF(SUMPRODUCT(('PM Plan'!$A$5:$A$304=B1446)*('PM Plan'!$B$5:$B$304=C1446))=0,"No matching asset + task in plan","OK")))</f>
        <v/>
      </c>
    </row>
    <row r="1447" customFormat="false" ht="15" hidden="false" customHeight="false" outlineLevel="0" collapsed="false">
      <c r="A1447" s="14"/>
      <c r="B1447" s="9"/>
      <c r="C1447" s="9"/>
      <c r="D1447" s="9"/>
      <c r="E1447" s="9"/>
      <c r="F1447" s="17" t="str">
        <f aca="false">IF(AND(A1447="",B1447="",C1447=""),"",IF(NOT(ISNUMBER(A1447)),"Enter the date done",IF(SUMPRODUCT(('PM Plan'!$A$5:$A$304=B1447)*('PM Plan'!$B$5:$B$304=C1447))=0,"No matching asset + task in plan","OK")))</f>
        <v/>
      </c>
    </row>
    <row r="1448" customFormat="false" ht="15" hidden="false" customHeight="false" outlineLevel="0" collapsed="false">
      <c r="A1448" s="14"/>
      <c r="B1448" s="9"/>
      <c r="C1448" s="9"/>
      <c r="D1448" s="9"/>
      <c r="E1448" s="9"/>
      <c r="F1448" s="17" t="str">
        <f aca="false">IF(AND(A1448="",B1448="",C1448=""),"",IF(NOT(ISNUMBER(A1448)),"Enter the date done",IF(SUMPRODUCT(('PM Plan'!$A$5:$A$304=B1448)*('PM Plan'!$B$5:$B$304=C1448))=0,"No matching asset + task in plan","OK")))</f>
        <v/>
      </c>
    </row>
    <row r="1449" customFormat="false" ht="15" hidden="false" customHeight="false" outlineLevel="0" collapsed="false">
      <c r="A1449" s="14"/>
      <c r="B1449" s="9"/>
      <c r="C1449" s="9"/>
      <c r="D1449" s="9"/>
      <c r="E1449" s="9"/>
      <c r="F1449" s="17" t="str">
        <f aca="false">IF(AND(A1449="",B1449="",C1449=""),"",IF(NOT(ISNUMBER(A1449)),"Enter the date done",IF(SUMPRODUCT(('PM Plan'!$A$5:$A$304=B1449)*('PM Plan'!$B$5:$B$304=C1449))=0,"No matching asset + task in plan","OK")))</f>
        <v/>
      </c>
    </row>
    <row r="1450" customFormat="false" ht="15" hidden="false" customHeight="false" outlineLevel="0" collapsed="false">
      <c r="A1450" s="14"/>
      <c r="B1450" s="9"/>
      <c r="C1450" s="9"/>
      <c r="D1450" s="9"/>
      <c r="E1450" s="9"/>
      <c r="F1450" s="17" t="str">
        <f aca="false">IF(AND(A1450="",B1450="",C1450=""),"",IF(NOT(ISNUMBER(A1450)),"Enter the date done",IF(SUMPRODUCT(('PM Plan'!$A$5:$A$304=B1450)*('PM Plan'!$B$5:$B$304=C1450))=0,"No matching asset + task in plan","OK")))</f>
        <v/>
      </c>
    </row>
    <row r="1451" customFormat="false" ht="15" hidden="false" customHeight="false" outlineLevel="0" collapsed="false">
      <c r="A1451" s="14"/>
      <c r="B1451" s="9"/>
      <c r="C1451" s="9"/>
      <c r="D1451" s="9"/>
      <c r="E1451" s="9"/>
      <c r="F1451" s="17" t="str">
        <f aca="false">IF(AND(A1451="",B1451="",C1451=""),"",IF(NOT(ISNUMBER(A1451)),"Enter the date done",IF(SUMPRODUCT(('PM Plan'!$A$5:$A$304=B1451)*('PM Plan'!$B$5:$B$304=C1451))=0,"No matching asset + task in plan","OK")))</f>
        <v/>
      </c>
    </row>
    <row r="1452" customFormat="false" ht="15" hidden="false" customHeight="false" outlineLevel="0" collapsed="false">
      <c r="A1452" s="14"/>
      <c r="B1452" s="9"/>
      <c r="C1452" s="9"/>
      <c r="D1452" s="9"/>
      <c r="E1452" s="9"/>
      <c r="F1452" s="17" t="str">
        <f aca="false">IF(AND(A1452="",B1452="",C1452=""),"",IF(NOT(ISNUMBER(A1452)),"Enter the date done",IF(SUMPRODUCT(('PM Plan'!$A$5:$A$304=B1452)*('PM Plan'!$B$5:$B$304=C1452))=0,"No matching asset + task in plan","OK")))</f>
        <v/>
      </c>
    </row>
    <row r="1453" customFormat="false" ht="15" hidden="false" customHeight="false" outlineLevel="0" collapsed="false">
      <c r="A1453" s="14"/>
      <c r="B1453" s="9"/>
      <c r="C1453" s="9"/>
      <c r="D1453" s="9"/>
      <c r="E1453" s="9"/>
      <c r="F1453" s="17" t="str">
        <f aca="false">IF(AND(A1453="",B1453="",C1453=""),"",IF(NOT(ISNUMBER(A1453)),"Enter the date done",IF(SUMPRODUCT(('PM Plan'!$A$5:$A$304=B1453)*('PM Plan'!$B$5:$B$304=C1453))=0,"No matching asset + task in plan","OK")))</f>
        <v/>
      </c>
    </row>
    <row r="1454" customFormat="false" ht="15" hidden="false" customHeight="false" outlineLevel="0" collapsed="false">
      <c r="A1454" s="14"/>
      <c r="B1454" s="9"/>
      <c r="C1454" s="9"/>
      <c r="D1454" s="9"/>
      <c r="E1454" s="9"/>
      <c r="F1454" s="17" t="str">
        <f aca="false">IF(AND(A1454="",B1454="",C1454=""),"",IF(NOT(ISNUMBER(A1454)),"Enter the date done",IF(SUMPRODUCT(('PM Plan'!$A$5:$A$304=B1454)*('PM Plan'!$B$5:$B$304=C1454))=0,"No matching asset + task in plan","OK")))</f>
        <v/>
      </c>
    </row>
    <row r="1455" customFormat="false" ht="15" hidden="false" customHeight="false" outlineLevel="0" collapsed="false">
      <c r="A1455" s="14"/>
      <c r="B1455" s="9"/>
      <c r="C1455" s="9"/>
      <c r="D1455" s="9"/>
      <c r="E1455" s="9"/>
      <c r="F1455" s="17" t="str">
        <f aca="false">IF(AND(A1455="",B1455="",C1455=""),"",IF(NOT(ISNUMBER(A1455)),"Enter the date done",IF(SUMPRODUCT(('PM Plan'!$A$5:$A$304=B1455)*('PM Plan'!$B$5:$B$304=C1455))=0,"No matching asset + task in plan","OK")))</f>
        <v/>
      </c>
    </row>
    <row r="1456" customFormat="false" ht="15" hidden="false" customHeight="false" outlineLevel="0" collapsed="false">
      <c r="A1456" s="14"/>
      <c r="B1456" s="9"/>
      <c r="C1456" s="9"/>
      <c r="D1456" s="9"/>
      <c r="E1456" s="9"/>
      <c r="F1456" s="17" t="str">
        <f aca="false">IF(AND(A1456="",B1456="",C1456=""),"",IF(NOT(ISNUMBER(A1456)),"Enter the date done",IF(SUMPRODUCT(('PM Plan'!$A$5:$A$304=B1456)*('PM Plan'!$B$5:$B$304=C1456))=0,"No matching asset + task in plan","OK")))</f>
        <v/>
      </c>
    </row>
    <row r="1457" customFormat="false" ht="15" hidden="false" customHeight="false" outlineLevel="0" collapsed="false">
      <c r="A1457" s="14"/>
      <c r="B1457" s="9"/>
      <c r="C1457" s="9"/>
      <c r="D1457" s="9"/>
      <c r="E1457" s="9"/>
      <c r="F1457" s="17" t="str">
        <f aca="false">IF(AND(A1457="",B1457="",C1457=""),"",IF(NOT(ISNUMBER(A1457)),"Enter the date done",IF(SUMPRODUCT(('PM Plan'!$A$5:$A$304=B1457)*('PM Plan'!$B$5:$B$304=C1457))=0,"No matching asset + task in plan","OK")))</f>
        <v/>
      </c>
    </row>
    <row r="1458" customFormat="false" ht="15" hidden="false" customHeight="false" outlineLevel="0" collapsed="false">
      <c r="A1458" s="14"/>
      <c r="B1458" s="9"/>
      <c r="C1458" s="9"/>
      <c r="D1458" s="9"/>
      <c r="E1458" s="9"/>
      <c r="F1458" s="17" t="str">
        <f aca="false">IF(AND(A1458="",B1458="",C1458=""),"",IF(NOT(ISNUMBER(A1458)),"Enter the date done",IF(SUMPRODUCT(('PM Plan'!$A$5:$A$304=B1458)*('PM Plan'!$B$5:$B$304=C1458))=0,"No matching asset + task in plan","OK")))</f>
        <v/>
      </c>
    </row>
    <row r="1459" customFormat="false" ht="15" hidden="false" customHeight="false" outlineLevel="0" collapsed="false">
      <c r="A1459" s="14"/>
      <c r="B1459" s="9"/>
      <c r="C1459" s="9"/>
      <c r="D1459" s="9"/>
      <c r="E1459" s="9"/>
      <c r="F1459" s="17" t="str">
        <f aca="false">IF(AND(A1459="",B1459="",C1459=""),"",IF(NOT(ISNUMBER(A1459)),"Enter the date done",IF(SUMPRODUCT(('PM Plan'!$A$5:$A$304=B1459)*('PM Plan'!$B$5:$B$304=C1459))=0,"No matching asset + task in plan","OK")))</f>
        <v/>
      </c>
    </row>
    <row r="1460" customFormat="false" ht="15" hidden="false" customHeight="false" outlineLevel="0" collapsed="false">
      <c r="A1460" s="14"/>
      <c r="B1460" s="9"/>
      <c r="C1460" s="9"/>
      <c r="D1460" s="9"/>
      <c r="E1460" s="9"/>
      <c r="F1460" s="17" t="str">
        <f aca="false">IF(AND(A1460="",B1460="",C1460=""),"",IF(NOT(ISNUMBER(A1460)),"Enter the date done",IF(SUMPRODUCT(('PM Plan'!$A$5:$A$304=B1460)*('PM Plan'!$B$5:$B$304=C1460))=0,"No matching asset + task in plan","OK")))</f>
        <v/>
      </c>
    </row>
    <row r="1461" customFormat="false" ht="15" hidden="false" customHeight="false" outlineLevel="0" collapsed="false">
      <c r="A1461" s="14"/>
      <c r="B1461" s="9"/>
      <c r="C1461" s="9"/>
      <c r="D1461" s="9"/>
      <c r="E1461" s="9"/>
      <c r="F1461" s="17" t="str">
        <f aca="false">IF(AND(A1461="",B1461="",C1461=""),"",IF(NOT(ISNUMBER(A1461)),"Enter the date done",IF(SUMPRODUCT(('PM Plan'!$A$5:$A$304=B1461)*('PM Plan'!$B$5:$B$304=C1461))=0,"No matching asset + task in plan","OK")))</f>
        <v/>
      </c>
    </row>
    <row r="1462" customFormat="false" ht="15" hidden="false" customHeight="false" outlineLevel="0" collapsed="false">
      <c r="A1462" s="14"/>
      <c r="B1462" s="9"/>
      <c r="C1462" s="9"/>
      <c r="D1462" s="9"/>
      <c r="E1462" s="9"/>
      <c r="F1462" s="17" t="str">
        <f aca="false">IF(AND(A1462="",B1462="",C1462=""),"",IF(NOT(ISNUMBER(A1462)),"Enter the date done",IF(SUMPRODUCT(('PM Plan'!$A$5:$A$304=B1462)*('PM Plan'!$B$5:$B$304=C1462))=0,"No matching asset + task in plan","OK")))</f>
        <v/>
      </c>
    </row>
    <row r="1463" customFormat="false" ht="15" hidden="false" customHeight="false" outlineLevel="0" collapsed="false">
      <c r="A1463" s="14"/>
      <c r="B1463" s="9"/>
      <c r="C1463" s="9"/>
      <c r="D1463" s="9"/>
      <c r="E1463" s="9"/>
      <c r="F1463" s="17" t="str">
        <f aca="false">IF(AND(A1463="",B1463="",C1463=""),"",IF(NOT(ISNUMBER(A1463)),"Enter the date done",IF(SUMPRODUCT(('PM Plan'!$A$5:$A$304=B1463)*('PM Plan'!$B$5:$B$304=C1463))=0,"No matching asset + task in plan","OK")))</f>
        <v/>
      </c>
    </row>
    <row r="1464" customFormat="false" ht="15" hidden="false" customHeight="false" outlineLevel="0" collapsed="false">
      <c r="A1464" s="14"/>
      <c r="B1464" s="9"/>
      <c r="C1464" s="9"/>
      <c r="D1464" s="9"/>
      <c r="E1464" s="9"/>
      <c r="F1464" s="17" t="str">
        <f aca="false">IF(AND(A1464="",B1464="",C1464=""),"",IF(NOT(ISNUMBER(A1464)),"Enter the date done",IF(SUMPRODUCT(('PM Plan'!$A$5:$A$304=B1464)*('PM Plan'!$B$5:$B$304=C1464))=0,"No matching asset + task in plan","OK")))</f>
        <v/>
      </c>
    </row>
    <row r="1465" customFormat="false" ht="15" hidden="false" customHeight="false" outlineLevel="0" collapsed="false">
      <c r="A1465" s="14"/>
      <c r="B1465" s="9"/>
      <c r="C1465" s="9"/>
      <c r="D1465" s="9"/>
      <c r="E1465" s="9"/>
      <c r="F1465" s="17" t="str">
        <f aca="false">IF(AND(A1465="",B1465="",C1465=""),"",IF(NOT(ISNUMBER(A1465)),"Enter the date done",IF(SUMPRODUCT(('PM Plan'!$A$5:$A$304=B1465)*('PM Plan'!$B$5:$B$304=C1465))=0,"No matching asset + task in plan","OK")))</f>
        <v/>
      </c>
    </row>
    <row r="1466" customFormat="false" ht="15" hidden="false" customHeight="false" outlineLevel="0" collapsed="false">
      <c r="A1466" s="14"/>
      <c r="B1466" s="9"/>
      <c r="C1466" s="9"/>
      <c r="D1466" s="9"/>
      <c r="E1466" s="9"/>
      <c r="F1466" s="17" t="str">
        <f aca="false">IF(AND(A1466="",B1466="",C1466=""),"",IF(NOT(ISNUMBER(A1466)),"Enter the date done",IF(SUMPRODUCT(('PM Plan'!$A$5:$A$304=B1466)*('PM Plan'!$B$5:$B$304=C1466))=0,"No matching asset + task in plan","OK")))</f>
        <v/>
      </c>
    </row>
    <row r="1467" customFormat="false" ht="15" hidden="false" customHeight="false" outlineLevel="0" collapsed="false">
      <c r="A1467" s="14"/>
      <c r="B1467" s="9"/>
      <c r="C1467" s="9"/>
      <c r="D1467" s="9"/>
      <c r="E1467" s="9"/>
      <c r="F1467" s="17" t="str">
        <f aca="false">IF(AND(A1467="",B1467="",C1467=""),"",IF(NOT(ISNUMBER(A1467)),"Enter the date done",IF(SUMPRODUCT(('PM Plan'!$A$5:$A$304=B1467)*('PM Plan'!$B$5:$B$304=C1467))=0,"No matching asset + task in plan","OK")))</f>
        <v/>
      </c>
    </row>
    <row r="1468" customFormat="false" ht="15" hidden="false" customHeight="false" outlineLevel="0" collapsed="false">
      <c r="A1468" s="14"/>
      <c r="B1468" s="9"/>
      <c r="C1468" s="9"/>
      <c r="D1468" s="9"/>
      <c r="E1468" s="9"/>
      <c r="F1468" s="17" t="str">
        <f aca="false">IF(AND(A1468="",B1468="",C1468=""),"",IF(NOT(ISNUMBER(A1468)),"Enter the date done",IF(SUMPRODUCT(('PM Plan'!$A$5:$A$304=B1468)*('PM Plan'!$B$5:$B$304=C1468))=0,"No matching asset + task in plan","OK")))</f>
        <v/>
      </c>
    </row>
    <row r="1469" customFormat="false" ht="15" hidden="false" customHeight="false" outlineLevel="0" collapsed="false">
      <c r="A1469" s="14"/>
      <c r="B1469" s="9"/>
      <c r="C1469" s="9"/>
      <c r="D1469" s="9"/>
      <c r="E1469" s="9"/>
      <c r="F1469" s="17" t="str">
        <f aca="false">IF(AND(A1469="",B1469="",C1469=""),"",IF(NOT(ISNUMBER(A1469)),"Enter the date done",IF(SUMPRODUCT(('PM Plan'!$A$5:$A$304=B1469)*('PM Plan'!$B$5:$B$304=C1469))=0,"No matching asset + task in plan","OK")))</f>
        <v/>
      </c>
    </row>
    <row r="1470" customFormat="false" ht="15" hidden="false" customHeight="false" outlineLevel="0" collapsed="false">
      <c r="A1470" s="14"/>
      <c r="B1470" s="9"/>
      <c r="C1470" s="9"/>
      <c r="D1470" s="9"/>
      <c r="E1470" s="9"/>
      <c r="F1470" s="17" t="str">
        <f aca="false">IF(AND(A1470="",B1470="",C1470=""),"",IF(NOT(ISNUMBER(A1470)),"Enter the date done",IF(SUMPRODUCT(('PM Plan'!$A$5:$A$304=B1470)*('PM Plan'!$B$5:$B$304=C1470))=0,"No matching asset + task in plan","OK")))</f>
        <v/>
      </c>
    </row>
    <row r="1471" customFormat="false" ht="15" hidden="false" customHeight="false" outlineLevel="0" collapsed="false">
      <c r="A1471" s="14"/>
      <c r="B1471" s="9"/>
      <c r="C1471" s="9"/>
      <c r="D1471" s="9"/>
      <c r="E1471" s="9"/>
      <c r="F1471" s="17" t="str">
        <f aca="false">IF(AND(A1471="",B1471="",C1471=""),"",IF(NOT(ISNUMBER(A1471)),"Enter the date done",IF(SUMPRODUCT(('PM Plan'!$A$5:$A$304=B1471)*('PM Plan'!$B$5:$B$304=C1471))=0,"No matching asset + task in plan","OK")))</f>
        <v/>
      </c>
    </row>
    <row r="1472" customFormat="false" ht="15" hidden="false" customHeight="false" outlineLevel="0" collapsed="false">
      <c r="A1472" s="14"/>
      <c r="B1472" s="9"/>
      <c r="C1472" s="9"/>
      <c r="D1472" s="9"/>
      <c r="E1472" s="9"/>
      <c r="F1472" s="17" t="str">
        <f aca="false">IF(AND(A1472="",B1472="",C1472=""),"",IF(NOT(ISNUMBER(A1472)),"Enter the date done",IF(SUMPRODUCT(('PM Plan'!$A$5:$A$304=B1472)*('PM Plan'!$B$5:$B$304=C1472))=0,"No matching asset + task in plan","OK")))</f>
        <v/>
      </c>
    </row>
    <row r="1473" customFormat="false" ht="15" hidden="false" customHeight="false" outlineLevel="0" collapsed="false">
      <c r="A1473" s="14"/>
      <c r="B1473" s="9"/>
      <c r="C1473" s="9"/>
      <c r="D1473" s="9"/>
      <c r="E1473" s="9"/>
      <c r="F1473" s="17" t="str">
        <f aca="false">IF(AND(A1473="",B1473="",C1473=""),"",IF(NOT(ISNUMBER(A1473)),"Enter the date done",IF(SUMPRODUCT(('PM Plan'!$A$5:$A$304=B1473)*('PM Plan'!$B$5:$B$304=C1473))=0,"No matching asset + task in plan","OK")))</f>
        <v/>
      </c>
    </row>
    <row r="1474" customFormat="false" ht="15" hidden="false" customHeight="false" outlineLevel="0" collapsed="false">
      <c r="A1474" s="14"/>
      <c r="B1474" s="9"/>
      <c r="C1474" s="9"/>
      <c r="D1474" s="9"/>
      <c r="E1474" s="9"/>
      <c r="F1474" s="17" t="str">
        <f aca="false">IF(AND(A1474="",B1474="",C1474=""),"",IF(NOT(ISNUMBER(A1474)),"Enter the date done",IF(SUMPRODUCT(('PM Plan'!$A$5:$A$304=B1474)*('PM Plan'!$B$5:$B$304=C1474))=0,"No matching asset + task in plan","OK")))</f>
        <v/>
      </c>
    </row>
    <row r="1475" customFormat="false" ht="15" hidden="false" customHeight="false" outlineLevel="0" collapsed="false">
      <c r="A1475" s="14"/>
      <c r="B1475" s="9"/>
      <c r="C1475" s="9"/>
      <c r="D1475" s="9"/>
      <c r="E1475" s="9"/>
      <c r="F1475" s="17" t="str">
        <f aca="false">IF(AND(A1475="",B1475="",C1475=""),"",IF(NOT(ISNUMBER(A1475)),"Enter the date done",IF(SUMPRODUCT(('PM Plan'!$A$5:$A$304=B1475)*('PM Plan'!$B$5:$B$304=C1475))=0,"No matching asset + task in plan","OK")))</f>
        <v/>
      </c>
    </row>
    <row r="1476" customFormat="false" ht="15" hidden="false" customHeight="false" outlineLevel="0" collapsed="false">
      <c r="A1476" s="14"/>
      <c r="B1476" s="9"/>
      <c r="C1476" s="9"/>
      <c r="D1476" s="9"/>
      <c r="E1476" s="9"/>
      <c r="F1476" s="17" t="str">
        <f aca="false">IF(AND(A1476="",B1476="",C1476=""),"",IF(NOT(ISNUMBER(A1476)),"Enter the date done",IF(SUMPRODUCT(('PM Plan'!$A$5:$A$304=B1476)*('PM Plan'!$B$5:$B$304=C1476))=0,"No matching asset + task in plan","OK")))</f>
        <v/>
      </c>
    </row>
    <row r="1477" customFormat="false" ht="15" hidden="false" customHeight="false" outlineLevel="0" collapsed="false">
      <c r="A1477" s="14"/>
      <c r="B1477" s="9"/>
      <c r="C1477" s="9"/>
      <c r="D1477" s="9"/>
      <c r="E1477" s="9"/>
      <c r="F1477" s="17" t="str">
        <f aca="false">IF(AND(A1477="",B1477="",C1477=""),"",IF(NOT(ISNUMBER(A1477)),"Enter the date done",IF(SUMPRODUCT(('PM Plan'!$A$5:$A$304=B1477)*('PM Plan'!$B$5:$B$304=C1477))=0,"No matching asset + task in plan","OK")))</f>
        <v/>
      </c>
    </row>
    <row r="1478" customFormat="false" ht="15" hidden="false" customHeight="false" outlineLevel="0" collapsed="false">
      <c r="A1478" s="14"/>
      <c r="B1478" s="9"/>
      <c r="C1478" s="9"/>
      <c r="D1478" s="9"/>
      <c r="E1478" s="9"/>
      <c r="F1478" s="17" t="str">
        <f aca="false">IF(AND(A1478="",B1478="",C1478=""),"",IF(NOT(ISNUMBER(A1478)),"Enter the date done",IF(SUMPRODUCT(('PM Plan'!$A$5:$A$304=B1478)*('PM Plan'!$B$5:$B$304=C1478))=0,"No matching asset + task in plan","OK")))</f>
        <v/>
      </c>
    </row>
    <row r="1479" customFormat="false" ht="15" hidden="false" customHeight="false" outlineLevel="0" collapsed="false">
      <c r="A1479" s="14"/>
      <c r="B1479" s="9"/>
      <c r="C1479" s="9"/>
      <c r="D1479" s="9"/>
      <c r="E1479" s="9"/>
      <c r="F1479" s="17" t="str">
        <f aca="false">IF(AND(A1479="",B1479="",C1479=""),"",IF(NOT(ISNUMBER(A1479)),"Enter the date done",IF(SUMPRODUCT(('PM Plan'!$A$5:$A$304=B1479)*('PM Plan'!$B$5:$B$304=C1479))=0,"No matching asset + task in plan","OK")))</f>
        <v/>
      </c>
    </row>
    <row r="1480" customFormat="false" ht="15" hidden="false" customHeight="false" outlineLevel="0" collapsed="false">
      <c r="A1480" s="14"/>
      <c r="B1480" s="9"/>
      <c r="C1480" s="9"/>
      <c r="D1480" s="9"/>
      <c r="E1480" s="9"/>
      <c r="F1480" s="17" t="str">
        <f aca="false">IF(AND(A1480="",B1480="",C1480=""),"",IF(NOT(ISNUMBER(A1480)),"Enter the date done",IF(SUMPRODUCT(('PM Plan'!$A$5:$A$304=B1480)*('PM Plan'!$B$5:$B$304=C1480))=0,"No matching asset + task in plan","OK")))</f>
        <v/>
      </c>
    </row>
    <row r="1481" customFormat="false" ht="15" hidden="false" customHeight="false" outlineLevel="0" collapsed="false">
      <c r="A1481" s="14"/>
      <c r="B1481" s="9"/>
      <c r="C1481" s="9"/>
      <c r="D1481" s="9"/>
      <c r="E1481" s="9"/>
      <c r="F1481" s="17" t="str">
        <f aca="false">IF(AND(A1481="",B1481="",C1481=""),"",IF(NOT(ISNUMBER(A1481)),"Enter the date done",IF(SUMPRODUCT(('PM Plan'!$A$5:$A$304=B1481)*('PM Plan'!$B$5:$B$304=C1481))=0,"No matching asset + task in plan","OK")))</f>
        <v/>
      </c>
    </row>
    <row r="1482" customFormat="false" ht="15" hidden="false" customHeight="false" outlineLevel="0" collapsed="false">
      <c r="A1482" s="14"/>
      <c r="B1482" s="9"/>
      <c r="C1482" s="9"/>
      <c r="D1482" s="9"/>
      <c r="E1482" s="9"/>
      <c r="F1482" s="17" t="str">
        <f aca="false">IF(AND(A1482="",B1482="",C1482=""),"",IF(NOT(ISNUMBER(A1482)),"Enter the date done",IF(SUMPRODUCT(('PM Plan'!$A$5:$A$304=B1482)*('PM Plan'!$B$5:$B$304=C1482))=0,"No matching asset + task in plan","OK")))</f>
        <v/>
      </c>
    </row>
    <row r="1483" customFormat="false" ht="15" hidden="false" customHeight="false" outlineLevel="0" collapsed="false">
      <c r="A1483" s="14"/>
      <c r="B1483" s="9"/>
      <c r="C1483" s="9"/>
      <c r="D1483" s="9"/>
      <c r="E1483" s="9"/>
      <c r="F1483" s="17" t="str">
        <f aca="false">IF(AND(A1483="",B1483="",C1483=""),"",IF(NOT(ISNUMBER(A1483)),"Enter the date done",IF(SUMPRODUCT(('PM Plan'!$A$5:$A$304=B1483)*('PM Plan'!$B$5:$B$304=C1483))=0,"No matching asset + task in plan","OK")))</f>
        <v/>
      </c>
    </row>
    <row r="1484" customFormat="false" ht="15" hidden="false" customHeight="false" outlineLevel="0" collapsed="false">
      <c r="A1484" s="14"/>
      <c r="B1484" s="9"/>
      <c r="C1484" s="9"/>
      <c r="D1484" s="9"/>
      <c r="E1484" s="9"/>
      <c r="F1484" s="17" t="str">
        <f aca="false">IF(AND(A1484="",B1484="",C1484=""),"",IF(NOT(ISNUMBER(A1484)),"Enter the date done",IF(SUMPRODUCT(('PM Plan'!$A$5:$A$304=B1484)*('PM Plan'!$B$5:$B$304=C1484))=0,"No matching asset + task in plan","OK")))</f>
        <v/>
      </c>
    </row>
    <row r="1485" customFormat="false" ht="15" hidden="false" customHeight="false" outlineLevel="0" collapsed="false">
      <c r="A1485" s="14"/>
      <c r="B1485" s="9"/>
      <c r="C1485" s="9"/>
      <c r="D1485" s="9"/>
      <c r="E1485" s="9"/>
      <c r="F1485" s="17" t="str">
        <f aca="false">IF(AND(A1485="",B1485="",C1485=""),"",IF(NOT(ISNUMBER(A1485)),"Enter the date done",IF(SUMPRODUCT(('PM Plan'!$A$5:$A$304=B1485)*('PM Plan'!$B$5:$B$304=C1485))=0,"No matching asset + task in plan","OK")))</f>
        <v/>
      </c>
    </row>
    <row r="1486" customFormat="false" ht="15" hidden="false" customHeight="false" outlineLevel="0" collapsed="false">
      <c r="A1486" s="14"/>
      <c r="B1486" s="9"/>
      <c r="C1486" s="9"/>
      <c r="D1486" s="9"/>
      <c r="E1486" s="9"/>
      <c r="F1486" s="17" t="str">
        <f aca="false">IF(AND(A1486="",B1486="",C1486=""),"",IF(NOT(ISNUMBER(A1486)),"Enter the date done",IF(SUMPRODUCT(('PM Plan'!$A$5:$A$304=B1486)*('PM Plan'!$B$5:$B$304=C1486))=0,"No matching asset + task in plan","OK")))</f>
        <v/>
      </c>
    </row>
    <row r="1487" customFormat="false" ht="15" hidden="false" customHeight="false" outlineLevel="0" collapsed="false">
      <c r="A1487" s="14"/>
      <c r="B1487" s="9"/>
      <c r="C1487" s="9"/>
      <c r="D1487" s="9"/>
      <c r="E1487" s="9"/>
      <c r="F1487" s="17" t="str">
        <f aca="false">IF(AND(A1487="",B1487="",C1487=""),"",IF(NOT(ISNUMBER(A1487)),"Enter the date done",IF(SUMPRODUCT(('PM Plan'!$A$5:$A$304=B1487)*('PM Plan'!$B$5:$B$304=C1487))=0,"No matching asset + task in plan","OK")))</f>
        <v/>
      </c>
    </row>
    <row r="1488" customFormat="false" ht="15" hidden="false" customHeight="false" outlineLevel="0" collapsed="false">
      <c r="A1488" s="14"/>
      <c r="B1488" s="9"/>
      <c r="C1488" s="9"/>
      <c r="D1488" s="9"/>
      <c r="E1488" s="9"/>
      <c r="F1488" s="17" t="str">
        <f aca="false">IF(AND(A1488="",B1488="",C1488=""),"",IF(NOT(ISNUMBER(A1488)),"Enter the date done",IF(SUMPRODUCT(('PM Plan'!$A$5:$A$304=B1488)*('PM Plan'!$B$5:$B$304=C1488))=0,"No matching asset + task in plan","OK")))</f>
        <v/>
      </c>
    </row>
    <row r="1489" customFormat="false" ht="15" hidden="false" customHeight="false" outlineLevel="0" collapsed="false">
      <c r="A1489" s="14"/>
      <c r="B1489" s="9"/>
      <c r="C1489" s="9"/>
      <c r="D1489" s="9"/>
      <c r="E1489" s="9"/>
      <c r="F1489" s="17" t="str">
        <f aca="false">IF(AND(A1489="",B1489="",C1489=""),"",IF(NOT(ISNUMBER(A1489)),"Enter the date done",IF(SUMPRODUCT(('PM Plan'!$A$5:$A$304=B1489)*('PM Plan'!$B$5:$B$304=C1489))=0,"No matching asset + task in plan","OK")))</f>
        <v/>
      </c>
    </row>
    <row r="1490" customFormat="false" ht="15" hidden="false" customHeight="false" outlineLevel="0" collapsed="false">
      <c r="A1490" s="14"/>
      <c r="B1490" s="9"/>
      <c r="C1490" s="9"/>
      <c r="D1490" s="9"/>
      <c r="E1490" s="9"/>
      <c r="F1490" s="17" t="str">
        <f aca="false">IF(AND(A1490="",B1490="",C1490=""),"",IF(NOT(ISNUMBER(A1490)),"Enter the date done",IF(SUMPRODUCT(('PM Plan'!$A$5:$A$304=B1490)*('PM Plan'!$B$5:$B$304=C1490))=0,"No matching asset + task in plan","OK")))</f>
        <v/>
      </c>
    </row>
    <row r="1491" customFormat="false" ht="15" hidden="false" customHeight="false" outlineLevel="0" collapsed="false">
      <c r="A1491" s="14"/>
      <c r="B1491" s="9"/>
      <c r="C1491" s="9"/>
      <c r="D1491" s="9"/>
      <c r="E1491" s="9"/>
      <c r="F1491" s="17" t="str">
        <f aca="false">IF(AND(A1491="",B1491="",C1491=""),"",IF(NOT(ISNUMBER(A1491)),"Enter the date done",IF(SUMPRODUCT(('PM Plan'!$A$5:$A$304=B1491)*('PM Plan'!$B$5:$B$304=C1491))=0,"No matching asset + task in plan","OK")))</f>
        <v/>
      </c>
    </row>
    <row r="1492" customFormat="false" ht="15" hidden="false" customHeight="false" outlineLevel="0" collapsed="false">
      <c r="A1492" s="14"/>
      <c r="B1492" s="9"/>
      <c r="C1492" s="9"/>
      <c r="D1492" s="9"/>
      <c r="E1492" s="9"/>
      <c r="F1492" s="17" t="str">
        <f aca="false">IF(AND(A1492="",B1492="",C1492=""),"",IF(NOT(ISNUMBER(A1492)),"Enter the date done",IF(SUMPRODUCT(('PM Plan'!$A$5:$A$304=B1492)*('PM Plan'!$B$5:$B$304=C1492))=0,"No matching asset + task in plan","OK")))</f>
        <v/>
      </c>
    </row>
    <row r="1493" customFormat="false" ht="15" hidden="false" customHeight="false" outlineLevel="0" collapsed="false">
      <c r="A1493" s="14"/>
      <c r="B1493" s="9"/>
      <c r="C1493" s="9"/>
      <c r="D1493" s="9"/>
      <c r="E1493" s="9"/>
      <c r="F1493" s="17" t="str">
        <f aca="false">IF(AND(A1493="",B1493="",C1493=""),"",IF(NOT(ISNUMBER(A1493)),"Enter the date done",IF(SUMPRODUCT(('PM Plan'!$A$5:$A$304=B1493)*('PM Plan'!$B$5:$B$304=C1493))=0,"No matching asset + task in plan","OK")))</f>
        <v/>
      </c>
    </row>
    <row r="1494" customFormat="false" ht="15" hidden="false" customHeight="false" outlineLevel="0" collapsed="false">
      <c r="A1494" s="14"/>
      <c r="B1494" s="9"/>
      <c r="C1494" s="9"/>
      <c r="D1494" s="9"/>
      <c r="E1494" s="9"/>
      <c r="F1494" s="17" t="str">
        <f aca="false">IF(AND(A1494="",B1494="",C1494=""),"",IF(NOT(ISNUMBER(A1494)),"Enter the date done",IF(SUMPRODUCT(('PM Plan'!$A$5:$A$304=B1494)*('PM Plan'!$B$5:$B$304=C1494))=0,"No matching asset + task in plan","OK")))</f>
        <v/>
      </c>
    </row>
    <row r="1495" customFormat="false" ht="15" hidden="false" customHeight="false" outlineLevel="0" collapsed="false">
      <c r="A1495" s="14"/>
      <c r="B1495" s="9"/>
      <c r="C1495" s="9"/>
      <c r="D1495" s="9"/>
      <c r="E1495" s="9"/>
      <c r="F1495" s="17" t="str">
        <f aca="false">IF(AND(A1495="",B1495="",C1495=""),"",IF(NOT(ISNUMBER(A1495)),"Enter the date done",IF(SUMPRODUCT(('PM Plan'!$A$5:$A$304=B1495)*('PM Plan'!$B$5:$B$304=C1495))=0,"No matching asset + task in plan","OK")))</f>
        <v/>
      </c>
    </row>
    <row r="1496" customFormat="false" ht="15" hidden="false" customHeight="false" outlineLevel="0" collapsed="false">
      <c r="A1496" s="14"/>
      <c r="B1496" s="9"/>
      <c r="C1496" s="9"/>
      <c r="D1496" s="9"/>
      <c r="E1496" s="9"/>
      <c r="F1496" s="17" t="str">
        <f aca="false">IF(AND(A1496="",B1496="",C1496=""),"",IF(NOT(ISNUMBER(A1496)),"Enter the date done",IF(SUMPRODUCT(('PM Plan'!$A$5:$A$304=B1496)*('PM Plan'!$B$5:$B$304=C1496))=0,"No matching asset + task in plan","OK")))</f>
        <v/>
      </c>
    </row>
    <row r="1497" customFormat="false" ht="15" hidden="false" customHeight="false" outlineLevel="0" collapsed="false">
      <c r="A1497" s="14"/>
      <c r="B1497" s="9"/>
      <c r="C1497" s="9"/>
      <c r="D1497" s="9"/>
      <c r="E1497" s="9"/>
      <c r="F1497" s="17" t="str">
        <f aca="false">IF(AND(A1497="",B1497="",C1497=""),"",IF(NOT(ISNUMBER(A1497)),"Enter the date done",IF(SUMPRODUCT(('PM Plan'!$A$5:$A$304=B1497)*('PM Plan'!$B$5:$B$304=C1497))=0,"No matching asset + task in plan","OK")))</f>
        <v/>
      </c>
    </row>
    <row r="1498" customFormat="false" ht="15" hidden="false" customHeight="false" outlineLevel="0" collapsed="false">
      <c r="A1498" s="14"/>
      <c r="B1498" s="9"/>
      <c r="C1498" s="9"/>
      <c r="D1498" s="9"/>
      <c r="E1498" s="9"/>
      <c r="F1498" s="17" t="str">
        <f aca="false">IF(AND(A1498="",B1498="",C1498=""),"",IF(NOT(ISNUMBER(A1498)),"Enter the date done",IF(SUMPRODUCT(('PM Plan'!$A$5:$A$304=B1498)*('PM Plan'!$B$5:$B$304=C1498))=0,"No matching asset + task in plan","OK")))</f>
        <v/>
      </c>
    </row>
    <row r="1499" customFormat="false" ht="15" hidden="false" customHeight="false" outlineLevel="0" collapsed="false">
      <c r="A1499" s="14"/>
      <c r="B1499" s="9"/>
      <c r="C1499" s="9"/>
      <c r="D1499" s="9"/>
      <c r="E1499" s="9"/>
      <c r="F1499" s="17" t="str">
        <f aca="false">IF(AND(A1499="",B1499="",C1499=""),"",IF(NOT(ISNUMBER(A1499)),"Enter the date done",IF(SUMPRODUCT(('PM Plan'!$A$5:$A$304=B1499)*('PM Plan'!$B$5:$B$304=C1499))=0,"No matching asset + task in plan","OK")))</f>
        <v/>
      </c>
    </row>
    <row r="1500" customFormat="false" ht="15" hidden="false" customHeight="false" outlineLevel="0" collapsed="false">
      <c r="A1500" s="14"/>
      <c r="B1500" s="9"/>
      <c r="C1500" s="9"/>
      <c r="D1500" s="9"/>
      <c r="E1500" s="9"/>
      <c r="F1500" s="17" t="str">
        <f aca="false">IF(AND(A1500="",B1500="",C1500=""),"",IF(NOT(ISNUMBER(A1500)),"Enter the date done",IF(SUMPRODUCT(('PM Plan'!$A$5:$A$304=B1500)*('PM Plan'!$B$5:$B$304=C1500))=0,"No matching asset + task in plan","OK")))</f>
        <v/>
      </c>
    </row>
    <row r="1501" customFormat="false" ht="15" hidden="false" customHeight="false" outlineLevel="0" collapsed="false">
      <c r="A1501" s="14"/>
      <c r="B1501" s="9"/>
      <c r="C1501" s="9"/>
      <c r="D1501" s="9"/>
      <c r="E1501" s="9"/>
      <c r="F1501" s="17" t="str">
        <f aca="false">IF(AND(A1501="",B1501="",C1501=""),"",IF(NOT(ISNUMBER(A1501)),"Enter the date done",IF(SUMPRODUCT(('PM Plan'!$A$5:$A$304=B1501)*('PM Plan'!$B$5:$B$304=C1501))=0,"No matching asset + task in plan","OK")))</f>
        <v/>
      </c>
    </row>
    <row r="1502" customFormat="false" ht="15" hidden="false" customHeight="false" outlineLevel="0" collapsed="false">
      <c r="A1502" s="14"/>
      <c r="B1502" s="9"/>
      <c r="C1502" s="9"/>
      <c r="D1502" s="9"/>
      <c r="E1502" s="9"/>
      <c r="F1502" s="17" t="str">
        <f aca="false">IF(AND(A1502="",B1502="",C1502=""),"",IF(NOT(ISNUMBER(A1502)),"Enter the date done",IF(SUMPRODUCT(('PM Plan'!$A$5:$A$304=B1502)*('PM Plan'!$B$5:$B$304=C1502))=0,"No matching asset + task in plan","OK")))</f>
        <v/>
      </c>
    </row>
    <row r="1503" customFormat="false" ht="15" hidden="false" customHeight="false" outlineLevel="0" collapsed="false">
      <c r="A1503" s="14"/>
      <c r="B1503" s="9"/>
      <c r="C1503" s="9"/>
      <c r="D1503" s="9"/>
      <c r="E1503" s="9"/>
      <c r="F1503" s="17" t="str">
        <f aca="false">IF(AND(A1503="",B1503="",C1503=""),"",IF(NOT(ISNUMBER(A1503)),"Enter the date done",IF(SUMPRODUCT(('PM Plan'!$A$5:$A$304=B1503)*('PM Plan'!$B$5:$B$304=C1503))=0,"No matching asset + task in plan","OK")))</f>
        <v/>
      </c>
    </row>
    <row r="1504" customFormat="false" ht="15" hidden="false" customHeight="false" outlineLevel="0" collapsed="false">
      <c r="A1504" s="14"/>
      <c r="B1504" s="9"/>
      <c r="C1504" s="9"/>
      <c r="D1504" s="9"/>
      <c r="E1504" s="9"/>
      <c r="F1504" s="17" t="str">
        <f aca="false">IF(AND(A1504="",B1504="",C1504=""),"",IF(NOT(ISNUMBER(A1504)),"Enter the date done",IF(SUMPRODUCT(('PM Plan'!$A$5:$A$304=B1504)*('PM Plan'!$B$5:$B$304=C1504))=0,"No matching asset + task in plan","OK")))</f>
        <v/>
      </c>
    </row>
    <row r="1505" customFormat="false" ht="15" hidden="false" customHeight="false" outlineLevel="0" collapsed="false">
      <c r="A1505" s="14"/>
      <c r="B1505" s="9"/>
      <c r="C1505" s="9"/>
      <c r="D1505" s="9"/>
      <c r="E1505" s="9"/>
      <c r="F1505" s="17" t="str">
        <f aca="false">IF(AND(A1505="",B1505="",C1505=""),"",IF(NOT(ISNUMBER(A1505)),"Enter the date done",IF(SUMPRODUCT(('PM Plan'!$A$5:$A$304=B1505)*('PM Plan'!$B$5:$B$304=C1505))=0,"No matching asset + task in plan","OK")))</f>
        <v/>
      </c>
    </row>
    <row r="1506" customFormat="false" ht="15" hidden="false" customHeight="false" outlineLevel="0" collapsed="false">
      <c r="A1506" s="14"/>
      <c r="B1506" s="9"/>
      <c r="C1506" s="9"/>
      <c r="D1506" s="9"/>
      <c r="E1506" s="9"/>
      <c r="F1506" s="17" t="str">
        <f aca="false">IF(AND(A1506="",B1506="",C1506=""),"",IF(NOT(ISNUMBER(A1506)),"Enter the date done",IF(SUMPRODUCT(('PM Plan'!$A$5:$A$304=B1506)*('PM Plan'!$B$5:$B$304=C1506))=0,"No matching asset + task in plan","OK")))</f>
        <v/>
      </c>
    </row>
    <row r="1507" customFormat="false" ht="15" hidden="false" customHeight="false" outlineLevel="0" collapsed="false">
      <c r="A1507" s="14"/>
      <c r="B1507" s="9"/>
      <c r="C1507" s="9"/>
      <c r="D1507" s="9"/>
      <c r="E1507" s="9"/>
      <c r="F1507" s="17" t="str">
        <f aca="false">IF(AND(A1507="",B1507="",C1507=""),"",IF(NOT(ISNUMBER(A1507)),"Enter the date done",IF(SUMPRODUCT(('PM Plan'!$A$5:$A$304=B1507)*('PM Plan'!$B$5:$B$304=C1507))=0,"No matching asset + task in plan","OK")))</f>
        <v/>
      </c>
    </row>
    <row r="1508" customFormat="false" ht="15" hidden="false" customHeight="false" outlineLevel="0" collapsed="false">
      <c r="A1508" s="14"/>
      <c r="B1508" s="9"/>
      <c r="C1508" s="9"/>
      <c r="D1508" s="9"/>
      <c r="E1508" s="9"/>
      <c r="F1508" s="17" t="str">
        <f aca="false">IF(AND(A1508="",B1508="",C1508=""),"",IF(NOT(ISNUMBER(A1508)),"Enter the date done",IF(SUMPRODUCT(('PM Plan'!$A$5:$A$304=B1508)*('PM Plan'!$B$5:$B$304=C1508))=0,"No matching asset + task in plan","OK")))</f>
        <v/>
      </c>
    </row>
    <row r="1509" customFormat="false" ht="15" hidden="false" customHeight="false" outlineLevel="0" collapsed="false">
      <c r="A1509" s="14"/>
      <c r="B1509" s="9"/>
      <c r="C1509" s="9"/>
      <c r="D1509" s="9"/>
      <c r="E1509" s="9"/>
      <c r="F1509" s="17" t="str">
        <f aca="false">IF(AND(A1509="",B1509="",C1509=""),"",IF(NOT(ISNUMBER(A1509)),"Enter the date done",IF(SUMPRODUCT(('PM Plan'!$A$5:$A$304=B1509)*('PM Plan'!$B$5:$B$304=C1509))=0,"No matching asset + task in plan","OK")))</f>
        <v/>
      </c>
    </row>
    <row r="1510" customFormat="false" ht="15" hidden="false" customHeight="false" outlineLevel="0" collapsed="false">
      <c r="A1510" s="14"/>
      <c r="B1510" s="9"/>
      <c r="C1510" s="9"/>
      <c r="D1510" s="9"/>
      <c r="E1510" s="9"/>
      <c r="F1510" s="17" t="str">
        <f aca="false">IF(AND(A1510="",B1510="",C1510=""),"",IF(NOT(ISNUMBER(A1510)),"Enter the date done",IF(SUMPRODUCT(('PM Plan'!$A$5:$A$304=B1510)*('PM Plan'!$B$5:$B$304=C1510))=0,"No matching asset + task in plan","OK")))</f>
        <v/>
      </c>
    </row>
    <row r="1511" customFormat="false" ht="15" hidden="false" customHeight="false" outlineLevel="0" collapsed="false">
      <c r="A1511" s="14"/>
      <c r="B1511" s="9"/>
      <c r="C1511" s="9"/>
      <c r="D1511" s="9"/>
      <c r="E1511" s="9"/>
      <c r="F1511" s="17" t="str">
        <f aca="false">IF(AND(A1511="",B1511="",C1511=""),"",IF(NOT(ISNUMBER(A1511)),"Enter the date done",IF(SUMPRODUCT(('PM Plan'!$A$5:$A$304=B1511)*('PM Plan'!$B$5:$B$304=C1511))=0,"No matching asset + task in plan","OK")))</f>
        <v/>
      </c>
    </row>
    <row r="1512" customFormat="false" ht="15" hidden="false" customHeight="false" outlineLevel="0" collapsed="false">
      <c r="A1512" s="14"/>
      <c r="B1512" s="9"/>
      <c r="C1512" s="9"/>
      <c r="D1512" s="9"/>
      <c r="E1512" s="9"/>
      <c r="F1512" s="17" t="str">
        <f aca="false">IF(AND(A1512="",B1512="",C1512=""),"",IF(NOT(ISNUMBER(A1512)),"Enter the date done",IF(SUMPRODUCT(('PM Plan'!$A$5:$A$304=B1512)*('PM Plan'!$B$5:$B$304=C1512))=0,"No matching asset + task in plan","OK")))</f>
        <v/>
      </c>
    </row>
    <row r="1513" customFormat="false" ht="15" hidden="false" customHeight="false" outlineLevel="0" collapsed="false">
      <c r="A1513" s="14"/>
      <c r="B1513" s="9"/>
      <c r="C1513" s="9"/>
      <c r="D1513" s="9"/>
      <c r="E1513" s="9"/>
      <c r="F1513" s="17" t="str">
        <f aca="false">IF(AND(A1513="",B1513="",C1513=""),"",IF(NOT(ISNUMBER(A1513)),"Enter the date done",IF(SUMPRODUCT(('PM Plan'!$A$5:$A$304=B1513)*('PM Plan'!$B$5:$B$304=C1513))=0,"No matching asset + task in plan","OK")))</f>
        <v/>
      </c>
    </row>
    <row r="1514" customFormat="false" ht="15" hidden="false" customHeight="false" outlineLevel="0" collapsed="false">
      <c r="A1514" s="14"/>
      <c r="B1514" s="9"/>
      <c r="C1514" s="9"/>
      <c r="D1514" s="9"/>
      <c r="E1514" s="9"/>
      <c r="F1514" s="17" t="str">
        <f aca="false">IF(AND(A1514="",B1514="",C1514=""),"",IF(NOT(ISNUMBER(A1514)),"Enter the date done",IF(SUMPRODUCT(('PM Plan'!$A$5:$A$304=B1514)*('PM Plan'!$B$5:$B$304=C1514))=0,"No matching asset + task in plan","OK")))</f>
        <v/>
      </c>
    </row>
    <row r="1515" customFormat="false" ht="15" hidden="false" customHeight="false" outlineLevel="0" collapsed="false">
      <c r="A1515" s="14"/>
      <c r="B1515" s="9"/>
      <c r="C1515" s="9"/>
      <c r="D1515" s="9"/>
      <c r="E1515" s="9"/>
      <c r="F1515" s="17" t="str">
        <f aca="false">IF(AND(A1515="",B1515="",C1515=""),"",IF(NOT(ISNUMBER(A1515)),"Enter the date done",IF(SUMPRODUCT(('PM Plan'!$A$5:$A$304=B1515)*('PM Plan'!$B$5:$B$304=C1515))=0,"No matching asset + task in plan","OK")))</f>
        <v/>
      </c>
    </row>
    <row r="1516" customFormat="false" ht="15" hidden="false" customHeight="false" outlineLevel="0" collapsed="false">
      <c r="A1516" s="14"/>
      <c r="B1516" s="9"/>
      <c r="C1516" s="9"/>
      <c r="D1516" s="9"/>
      <c r="E1516" s="9"/>
      <c r="F1516" s="17" t="str">
        <f aca="false">IF(AND(A1516="",B1516="",C1516=""),"",IF(NOT(ISNUMBER(A1516)),"Enter the date done",IF(SUMPRODUCT(('PM Plan'!$A$5:$A$304=B1516)*('PM Plan'!$B$5:$B$304=C1516))=0,"No matching asset + task in plan","OK")))</f>
        <v/>
      </c>
    </row>
    <row r="1517" customFormat="false" ht="15" hidden="false" customHeight="false" outlineLevel="0" collapsed="false">
      <c r="A1517" s="14"/>
      <c r="B1517" s="9"/>
      <c r="C1517" s="9"/>
      <c r="D1517" s="9"/>
      <c r="E1517" s="9"/>
      <c r="F1517" s="17" t="str">
        <f aca="false">IF(AND(A1517="",B1517="",C1517=""),"",IF(NOT(ISNUMBER(A1517)),"Enter the date done",IF(SUMPRODUCT(('PM Plan'!$A$5:$A$304=B1517)*('PM Plan'!$B$5:$B$304=C1517))=0,"No matching asset + task in plan","OK")))</f>
        <v/>
      </c>
    </row>
    <row r="1518" customFormat="false" ht="15" hidden="false" customHeight="false" outlineLevel="0" collapsed="false">
      <c r="A1518" s="14"/>
      <c r="B1518" s="9"/>
      <c r="C1518" s="9"/>
      <c r="D1518" s="9"/>
      <c r="E1518" s="9"/>
      <c r="F1518" s="17" t="str">
        <f aca="false">IF(AND(A1518="",B1518="",C1518=""),"",IF(NOT(ISNUMBER(A1518)),"Enter the date done",IF(SUMPRODUCT(('PM Plan'!$A$5:$A$304=B1518)*('PM Plan'!$B$5:$B$304=C1518))=0,"No matching asset + task in plan","OK")))</f>
        <v/>
      </c>
    </row>
    <row r="1519" customFormat="false" ht="15" hidden="false" customHeight="false" outlineLevel="0" collapsed="false">
      <c r="A1519" s="14"/>
      <c r="B1519" s="9"/>
      <c r="C1519" s="9"/>
      <c r="D1519" s="9"/>
      <c r="E1519" s="9"/>
      <c r="F1519" s="17" t="str">
        <f aca="false">IF(AND(A1519="",B1519="",C1519=""),"",IF(NOT(ISNUMBER(A1519)),"Enter the date done",IF(SUMPRODUCT(('PM Plan'!$A$5:$A$304=B1519)*('PM Plan'!$B$5:$B$304=C1519))=0,"No matching asset + task in plan","OK")))</f>
        <v/>
      </c>
    </row>
    <row r="1520" customFormat="false" ht="15" hidden="false" customHeight="false" outlineLevel="0" collapsed="false">
      <c r="A1520" s="14"/>
      <c r="B1520" s="9"/>
      <c r="C1520" s="9"/>
      <c r="D1520" s="9"/>
      <c r="E1520" s="9"/>
      <c r="F1520" s="17" t="str">
        <f aca="false">IF(AND(A1520="",B1520="",C1520=""),"",IF(NOT(ISNUMBER(A1520)),"Enter the date done",IF(SUMPRODUCT(('PM Plan'!$A$5:$A$304=B1520)*('PM Plan'!$B$5:$B$304=C1520))=0,"No matching asset + task in plan","OK")))</f>
        <v/>
      </c>
    </row>
    <row r="1521" customFormat="false" ht="15" hidden="false" customHeight="false" outlineLevel="0" collapsed="false">
      <c r="A1521" s="14"/>
      <c r="B1521" s="9"/>
      <c r="C1521" s="9"/>
      <c r="D1521" s="9"/>
      <c r="E1521" s="9"/>
      <c r="F1521" s="17" t="str">
        <f aca="false">IF(AND(A1521="",B1521="",C1521=""),"",IF(NOT(ISNUMBER(A1521)),"Enter the date done",IF(SUMPRODUCT(('PM Plan'!$A$5:$A$304=B1521)*('PM Plan'!$B$5:$B$304=C1521))=0,"No matching asset + task in plan","OK")))</f>
        <v/>
      </c>
    </row>
    <row r="1522" customFormat="false" ht="15" hidden="false" customHeight="false" outlineLevel="0" collapsed="false">
      <c r="A1522" s="14"/>
      <c r="B1522" s="9"/>
      <c r="C1522" s="9"/>
      <c r="D1522" s="9"/>
      <c r="E1522" s="9"/>
      <c r="F1522" s="17" t="str">
        <f aca="false">IF(AND(A1522="",B1522="",C1522=""),"",IF(NOT(ISNUMBER(A1522)),"Enter the date done",IF(SUMPRODUCT(('PM Plan'!$A$5:$A$304=B1522)*('PM Plan'!$B$5:$B$304=C1522))=0,"No matching asset + task in plan","OK")))</f>
        <v/>
      </c>
    </row>
    <row r="1523" customFormat="false" ht="15" hidden="false" customHeight="false" outlineLevel="0" collapsed="false">
      <c r="A1523" s="14"/>
      <c r="B1523" s="9"/>
      <c r="C1523" s="9"/>
      <c r="D1523" s="9"/>
      <c r="E1523" s="9"/>
      <c r="F1523" s="17" t="str">
        <f aca="false">IF(AND(A1523="",B1523="",C1523=""),"",IF(NOT(ISNUMBER(A1523)),"Enter the date done",IF(SUMPRODUCT(('PM Plan'!$A$5:$A$304=B1523)*('PM Plan'!$B$5:$B$304=C1523))=0,"No matching asset + task in plan","OK")))</f>
        <v/>
      </c>
    </row>
    <row r="1524" customFormat="false" ht="15" hidden="false" customHeight="false" outlineLevel="0" collapsed="false">
      <c r="A1524" s="14"/>
      <c r="B1524" s="9"/>
      <c r="C1524" s="9"/>
      <c r="D1524" s="9"/>
      <c r="E1524" s="9"/>
      <c r="F1524" s="17" t="str">
        <f aca="false">IF(AND(A1524="",B1524="",C1524=""),"",IF(NOT(ISNUMBER(A1524)),"Enter the date done",IF(SUMPRODUCT(('PM Plan'!$A$5:$A$304=B1524)*('PM Plan'!$B$5:$B$304=C1524))=0,"No matching asset + task in plan","OK")))</f>
        <v/>
      </c>
    </row>
    <row r="1525" customFormat="false" ht="15" hidden="false" customHeight="false" outlineLevel="0" collapsed="false">
      <c r="A1525" s="14"/>
      <c r="B1525" s="9"/>
      <c r="C1525" s="9"/>
      <c r="D1525" s="9"/>
      <c r="E1525" s="9"/>
      <c r="F1525" s="17" t="str">
        <f aca="false">IF(AND(A1525="",B1525="",C1525=""),"",IF(NOT(ISNUMBER(A1525)),"Enter the date done",IF(SUMPRODUCT(('PM Plan'!$A$5:$A$304=B1525)*('PM Plan'!$B$5:$B$304=C1525))=0,"No matching asset + task in plan","OK")))</f>
        <v/>
      </c>
    </row>
    <row r="1526" customFormat="false" ht="15" hidden="false" customHeight="false" outlineLevel="0" collapsed="false">
      <c r="A1526" s="14"/>
      <c r="B1526" s="9"/>
      <c r="C1526" s="9"/>
      <c r="D1526" s="9"/>
      <c r="E1526" s="9"/>
      <c r="F1526" s="17" t="str">
        <f aca="false">IF(AND(A1526="",B1526="",C1526=""),"",IF(NOT(ISNUMBER(A1526)),"Enter the date done",IF(SUMPRODUCT(('PM Plan'!$A$5:$A$304=B1526)*('PM Plan'!$B$5:$B$304=C1526))=0,"No matching asset + task in plan","OK")))</f>
        <v/>
      </c>
    </row>
    <row r="1527" customFormat="false" ht="15" hidden="false" customHeight="false" outlineLevel="0" collapsed="false">
      <c r="A1527" s="14"/>
      <c r="B1527" s="9"/>
      <c r="C1527" s="9"/>
      <c r="D1527" s="9"/>
      <c r="E1527" s="9"/>
      <c r="F1527" s="17" t="str">
        <f aca="false">IF(AND(A1527="",B1527="",C1527=""),"",IF(NOT(ISNUMBER(A1527)),"Enter the date done",IF(SUMPRODUCT(('PM Plan'!$A$5:$A$304=B1527)*('PM Plan'!$B$5:$B$304=C1527))=0,"No matching asset + task in plan","OK")))</f>
        <v/>
      </c>
    </row>
    <row r="1528" customFormat="false" ht="15" hidden="false" customHeight="false" outlineLevel="0" collapsed="false">
      <c r="A1528" s="14"/>
      <c r="B1528" s="9"/>
      <c r="C1528" s="9"/>
      <c r="D1528" s="9"/>
      <c r="E1528" s="9"/>
      <c r="F1528" s="17" t="str">
        <f aca="false">IF(AND(A1528="",B1528="",C1528=""),"",IF(NOT(ISNUMBER(A1528)),"Enter the date done",IF(SUMPRODUCT(('PM Plan'!$A$5:$A$304=B1528)*('PM Plan'!$B$5:$B$304=C1528))=0,"No matching asset + task in plan","OK")))</f>
        <v/>
      </c>
    </row>
    <row r="1529" customFormat="false" ht="15" hidden="false" customHeight="false" outlineLevel="0" collapsed="false">
      <c r="A1529" s="14"/>
      <c r="B1529" s="9"/>
      <c r="C1529" s="9"/>
      <c r="D1529" s="9"/>
      <c r="E1529" s="9"/>
      <c r="F1529" s="17" t="str">
        <f aca="false">IF(AND(A1529="",B1529="",C1529=""),"",IF(NOT(ISNUMBER(A1529)),"Enter the date done",IF(SUMPRODUCT(('PM Plan'!$A$5:$A$304=B1529)*('PM Plan'!$B$5:$B$304=C1529))=0,"No matching asset + task in plan","OK")))</f>
        <v/>
      </c>
    </row>
    <row r="1530" customFormat="false" ht="15" hidden="false" customHeight="false" outlineLevel="0" collapsed="false">
      <c r="A1530" s="14"/>
      <c r="B1530" s="9"/>
      <c r="C1530" s="9"/>
      <c r="D1530" s="9"/>
      <c r="E1530" s="9"/>
      <c r="F1530" s="17" t="str">
        <f aca="false">IF(AND(A1530="",B1530="",C1530=""),"",IF(NOT(ISNUMBER(A1530)),"Enter the date done",IF(SUMPRODUCT(('PM Plan'!$A$5:$A$304=B1530)*('PM Plan'!$B$5:$B$304=C1530))=0,"No matching asset + task in plan","OK")))</f>
        <v/>
      </c>
    </row>
    <row r="1531" customFormat="false" ht="15" hidden="false" customHeight="false" outlineLevel="0" collapsed="false">
      <c r="A1531" s="14"/>
      <c r="B1531" s="9"/>
      <c r="C1531" s="9"/>
      <c r="D1531" s="9"/>
      <c r="E1531" s="9"/>
      <c r="F1531" s="17" t="str">
        <f aca="false">IF(AND(A1531="",B1531="",C1531=""),"",IF(NOT(ISNUMBER(A1531)),"Enter the date done",IF(SUMPRODUCT(('PM Plan'!$A$5:$A$304=B1531)*('PM Plan'!$B$5:$B$304=C1531))=0,"No matching asset + task in plan","OK")))</f>
        <v/>
      </c>
    </row>
    <row r="1532" customFormat="false" ht="15" hidden="false" customHeight="false" outlineLevel="0" collapsed="false">
      <c r="A1532" s="14"/>
      <c r="B1532" s="9"/>
      <c r="C1532" s="9"/>
      <c r="D1532" s="9"/>
      <c r="E1532" s="9"/>
      <c r="F1532" s="17" t="str">
        <f aca="false">IF(AND(A1532="",B1532="",C1532=""),"",IF(NOT(ISNUMBER(A1532)),"Enter the date done",IF(SUMPRODUCT(('PM Plan'!$A$5:$A$304=B1532)*('PM Plan'!$B$5:$B$304=C1532))=0,"No matching asset + task in plan","OK")))</f>
        <v/>
      </c>
    </row>
    <row r="1533" customFormat="false" ht="15" hidden="false" customHeight="false" outlineLevel="0" collapsed="false">
      <c r="A1533" s="14"/>
      <c r="B1533" s="9"/>
      <c r="C1533" s="9"/>
      <c r="D1533" s="9"/>
      <c r="E1533" s="9"/>
      <c r="F1533" s="17" t="str">
        <f aca="false">IF(AND(A1533="",B1533="",C1533=""),"",IF(NOT(ISNUMBER(A1533)),"Enter the date done",IF(SUMPRODUCT(('PM Plan'!$A$5:$A$304=B1533)*('PM Plan'!$B$5:$B$304=C1533))=0,"No matching asset + task in plan","OK")))</f>
        <v/>
      </c>
    </row>
    <row r="1534" customFormat="false" ht="15" hidden="false" customHeight="false" outlineLevel="0" collapsed="false">
      <c r="A1534" s="14"/>
      <c r="B1534" s="9"/>
      <c r="C1534" s="9"/>
      <c r="D1534" s="9"/>
      <c r="E1534" s="9"/>
      <c r="F1534" s="17" t="str">
        <f aca="false">IF(AND(A1534="",B1534="",C1534=""),"",IF(NOT(ISNUMBER(A1534)),"Enter the date done",IF(SUMPRODUCT(('PM Plan'!$A$5:$A$304=B1534)*('PM Plan'!$B$5:$B$304=C1534))=0,"No matching asset + task in plan","OK")))</f>
        <v/>
      </c>
    </row>
    <row r="1535" customFormat="false" ht="15" hidden="false" customHeight="false" outlineLevel="0" collapsed="false">
      <c r="A1535" s="14"/>
      <c r="B1535" s="9"/>
      <c r="C1535" s="9"/>
      <c r="D1535" s="9"/>
      <c r="E1535" s="9"/>
      <c r="F1535" s="17" t="str">
        <f aca="false">IF(AND(A1535="",B1535="",C1535=""),"",IF(NOT(ISNUMBER(A1535)),"Enter the date done",IF(SUMPRODUCT(('PM Plan'!$A$5:$A$304=B1535)*('PM Plan'!$B$5:$B$304=C1535))=0,"No matching asset + task in plan","OK")))</f>
        <v/>
      </c>
    </row>
    <row r="1536" customFormat="false" ht="15" hidden="false" customHeight="false" outlineLevel="0" collapsed="false">
      <c r="A1536" s="14"/>
      <c r="B1536" s="9"/>
      <c r="C1536" s="9"/>
      <c r="D1536" s="9"/>
      <c r="E1536" s="9"/>
      <c r="F1536" s="17" t="str">
        <f aca="false">IF(AND(A1536="",B1536="",C1536=""),"",IF(NOT(ISNUMBER(A1536)),"Enter the date done",IF(SUMPRODUCT(('PM Plan'!$A$5:$A$304=B1536)*('PM Plan'!$B$5:$B$304=C1536))=0,"No matching asset + task in plan","OK")))</f>
        <v/>
      </c>
    </row>
    <row r="1537" customFormat="false" ht="15" hidden="false" customHeight="false" outlineLevel="0" collapsed="false">
      <c r="A1537" s="14"/>
      <c r="B1537" s="9"/>
      <c r="C1537" s="9"/>
      <c r="D1537" s="9"/>
      <c r="E1537" s="9"/>
      <c r="F1537" s="17" t="str">
        <f aca="false">IF(AND(A1537="",B1537="",C1537=""),"",IF(NOT(ISNUMBER(A1537)),"Enter the date done",IF(SUMPRODUCT(('PM Plan'!$A$5:$A$304=B1537)*('PM Plan'!$B$5:$B$304=C1537))=0,"No matching asset + task in plan","OK")))</f>
        <v/>
      </c>
    </row>
    <row r="1538" customFormat="false" ht="15" hidden="false" customHeight="false" outlineLevel="0" collapsed="false">
      <c r="A1538" s="14"/>
      <c r="B1538" s="9"/>
      <c r="C1538" s="9"/>
      <c r="D1538" s="9"/>
      <c r="E1538" s="9"/>
      <c r="F1538" s="17" t="str">
        <f aca="false">IF(AND(A1538="",B1538="",C1538=""),"",IF(NOT(ISNUMBER(A1538)),"Enter the date done",IF(SUMPRODUCT(('PM Plan'!$A$5:$A$304=B1538)*('PM Plan'!$B$5:$B$304=C1538))=0,"No matching asset + task in plan","OK")))</f>
        <v/>
      </c>
    </row>
    <row r="1539" customFormat="false" ht="15" hidden="false" customHeight="false" outlineLevel="0" collapsed="false">
      <c r="A1539" s="14"/>
      <c r="B1539" s="9"/>
      <c r="C1539" s="9"/>
      <c r="D1539" s="9"/>
      <c r="E1539" s="9"/>
      <c r="F1539" s="17" t="str">
        <f aca="false">IF(AND(A1539="",B1539="",C1539=""),"",IF(NOT(ISNUMBER(A1539)),"Enter the date done",IF(SUMPRODUCT(('PM Plan'!$A$5:$A$304=B1539)*('PM Plan'!$B$5:$B$304=C1539))=0,"No matching asset + task in plan","OK")))</f>
        <v/>
      </c>
    </row>
    <row r="1540" customFormat="false" ht="15" hidden="false" customHeight="false" outlineLevel="0" collapsed="false">
      <c r="A1540" s="14"/>
      <c r="B1540" s="9"/>
      <c r="C1540" s="9"/>
      <c r="D1540" s="9"/>
      <c r="E1540" s="9"/>
      <c r="F1540" s="17" t="str">
        <f aca="false">IF(AND(A1540="",B1540="",C1540=""),"",IF(NOT(ISNUMBER(A1540)),"Enter the date done",IF(SUMPRODUCT(('PM Plan'!$A$5:$A$304=B1540)*('PM Plan'!$B$5:$B$304=C1540))=0,"No matching asset + task in plan","OK")))</f>
        <v/>
      </c>
    </row>
    <row r="1541" customFormat="false" ht="15" hidden="false" customHeight="false" outlineLevel="0" collapsed="false">
      <c r="A1541" s="14"/>
      <c r="B1541" s="9"/>
      <c r="C1541" s="9"/>
      <c r="D1541" s="9"/>
      <c r="E1541" s="9"/>
      <c r="F1541" s="17" t="str">
        <f aca="false">IF(AND(A1541="",B1541="",C1541=""),"",IF(NOT(ISNUMBER(A1541)),"Enter the date done",IF(SUMPRODUCT(('PM Plan'!$A$5:$A$304=B1541)*('PM Plan'!$B$5:$B$304=C1541))=0,"No matching asset + task in plan","OK")))</f>
        <v/>
      </c>
    </row>
    <row r="1542" customFormat="false" ht="15" hidden="false" customHeight="false" outlineLevel="0" collapsed="false">
      <c r="A1542" s="14"/>
      <c r="B1542" s="9"/>
      <c r="C1542" s="9"/>
      <c r="D1542" s="9"/>
      <c r="E1542" s="9"/>
      <c r="F1542" s="17" t="str">
        <f aca="false">IF(AND(A1542="",B1542="",C1542=""),"",IF(NOT(ISNUMBER(A1542)),"Enter the date done",IF(SUMPRODUCT(('PM Plan'!$A$5:$A$304=B1542)*('PM Plan'!$B$5:$B$304=C1542))=0,"No matching asset + task in plan","OK")))</f>
        <v/>
      </c>
    </row>
    <row r="1543" customFormat="false" ht="15" hidden="false" customHeight="false" outlineLevel="0" collapsed="false">
      <c r="A1543" s="14"/>
      <c r="B1543" s="9"/>
      <c r="C1543" s="9"/>
      <c r="D1543" s="9"/>
      <c r="E1543" s="9"/>
      <c r="F1543" s="17" t="str">
        <f aca="false">IF(AND(A1543="",B1543="",C1543=""),"",IF(NOT(ISNUMBER(A1543)),"Enter the date done",IF(SUMPRODUCT(('PM Plan'!$A$5:$A$304=B1543)*('PM Plan'!$B$5:$B$304=C1543))=0,"No matching asset + task in plan","OK")))</f>
        <v/>
      </c>
    </row>
    <row r="1544" customFormat="false" ht="15" hidden="false" customHeight="false" outlineLevel="0" collapsed="false">
      <c r="A1544" s="14"/>
      <c r="B1544" s="9"/>
      <c r="C1544" s="9"/>
      <c r="D1544" s="9"/>
      <c r="E1544" s="9"/>
      <c r="F1544" s="17" t="str">
        <f aca="false">IF(AND(A1544="",B1544="",C1544=""),"",IF(NOT(ISNUMBER(A1544)),"Enter the date done",IF(SUMPRODUCT(('PM Plan'!$A$5:$A$304=B1544)*('PM Plan'!$B$5:$B$304=C1544))=0,"No matching asset + task in plan","OK")))</f>
        <v/>
      </c>
    </row>
    <row r="1545" customFormat="false" ht="15" hidden="false" customHeight="false" outlineLevel="0" collapsed="false">
      <c r="A1545" s="14"/>
      <c r="B1545" s="9"/>
      <c r="C1545" s="9"/>
      <c r="D1545" s="9"/>
      <c r="E1545" s="9"/>
      <c r="F1545" s="17" t="str">
        <f aca="false">IF(AND(A1545="",B1545="",C1545=""),"",IF(NOT(ISNUMBER(A1545)),"Enter the date done",IF(SUMPRODUCT(('PM Plan'!$A$5:$A$304=B1545)*('PM Plan'!$B$5:$B$304=C1545))=0,"No matching asset + task in plan","OK")))</f>
        <v/>
      </c>
    </row>
    <row r="1546" customFormat="false" ht="15" hidden="false" customHeight="false" outlineLevel="0" collapsed="false">
      <c r="A1546" s="14"/>
      <c r="B1546" s="9"/>
      <c r="C1546" s="9"/>
      <c r="D1546" s="9"/>
      <c r="E1546" s="9"/>
      <c r="F1546" s="17" t="str">
        <f aca="false">IF(AND(A1546="",B1546="",C1546=""),"",IF(NOT(ISNUMBER(A1546)),"Enter the date done",IF(SUMPRODUCT(('PM Plan'!$A$5:$A$304=B1546)*('PM Plan'!$B$5:$B$304=C1546))=0,"No matching asset + task in plan","OK")))</f>
        <v/>
      </c>
    </row>
    <row r="1547" customFormat="false" ht="15" hidden="false" customHeight="false" outlineLevel="0" collapsed="false">
      <c r="A1547" s="14"/>
      <c r="B1547" s="9"/>
      <c r="C1547" s="9"/>
      <c r="D1547" s="9"/>
      <c r="E1547" s="9"/>
      <c r="F1547" s="17" t="str">
        <f aca="false">IF(AND(A1547="",B1547="",C1547=""),"",IF(NOT(ISNUMBER(A1547)),"Enter the date done",IF(SUMPRODUCT(('PM Plan'!$A$5:$A$304=B1547)*('PM Plan'!$B$5:$B$304=C1547))=0,"No matching asset + task in plan","OK")))</f>
        <v/>
      </c>
    </row>
    <row r="1548" customFormat="false" ht="15" hidden="false" customHeight="false" outlineLevel="0" collapsed="false">
      <c r="A1548" s="14"/>
      <c r="B1548" s="9"/>
      <c r="C1548" s="9"/>
      <c r="D1548" s="9"/>
      <c r="E1548" s="9"/>
      <c r="F1548" s="17" t="str">
        <f aca="false">IF(AND(A1548="",B1548="",C1548=""),"",IF(NOT(ISNUMBER(A1548)),"Enter the date done",IF(SUMPRODUCT(('PM Plan'!$A$5:$A$304=B1548)*('PM Plan'!$B$5:$B$304=C1548))=0,"No matching asset + task in plan","OK")))</f>
        <v/>
      </c>
    </row>
    <row r="1549" customFormat="false" ht="15" hidden="false" customHeight="false" outlineLevel="0" collapsed="false">
      <c r="A1549" s="14"/>
      <c r="B1549" s="9"/>
      <c r="C1549" s="9"/>
      <c r="D1549" s="9"/>
      <c r="E1549" s="9"/>
      <c r="F1549" s="17" t="str">
        <f aca="false">IF(AND(A1549="",B1549="",C1549=""),"",IF(NOT(ISNUMBER(A1549)),"Enter the date done",IF(SUMPRODUCT(('PM Plan'!$A$5:$A$304=B1549)*('PM Plan'!$B$5:$B$304=C1549))=0,"No matching asset + task in plan","OK")))</f>
        <v/>
      </c>
    </row>
    <row r="1550" customFormat="false" ht="15" hidden="false" customHeight="false" outlineLevel="0" collapsed="false">
      <c r="A1550" s="14"/>
      <c r="B1550" s="9"/>
      <c r="C1550" s="9"/>
      <c r="D1550" s="9"/>
      <c r="E1550" s="9"/>
      <c r="F1550" s="17" t="str">
        <f aca="false">IF(AND(A1550="",B1550="",C1550=""),"",IF(NOT(ISNUMBER(A1550)),"Enter the date done",IF(SUMPRODUCT(('PM Plan'!$A$5:$A$304=B1550)*('PM Plan'!$B$5:$B$304=C1550))=0,"No matching asset + task in plan","OK")))</f>
        <v/>
      </c>
    </row>
    <row r="1551" customFormat="false" ht="15" hidden="false" customHeight="false" outlineLevel="0" collapsed="false">
      <c r="A1551" s="14"/>
      <c r="B1551" s="9"/>
      <c r="C1551" s="9"/>
      <c r="D1551" s="9"/>
      <c r="E1551" s="9"/>
      <c r="F1551" s="17" t="str">
        <f aca="false">IF(AND(A1551="",B1551="",C1551=""),"",IF(NOT(ISNUMBER(A1551)),"Enter the date done",IF(SUMPRODUCT(('PM Plan'!$A$5:$A$304=B1551)*('PM Plan'!$B$5:$B$304=C1551))=0,"No matching asset + task in plan","OK")))</f>
        <v/>
      </c>
    </row>
    <row r="1552" customFormat="false" ht="15" hidden="false" customHeight="false" outlineLevel="0" collapsed="false">
      <c r="A1552" s="14"/>
      <c r="B1552" s="9"/>
      <c r="C1552" s="9"/>
      <c r="D1552" s="9"/>
      <c r="E1552" s="9"/>
      <c r="F1552" s="17" t="str">
        <f aca="false">IF(AND(A1552="",B1552="",C1552=""),"",IF(NOT(ISNUMBER(A1552)),"Enter the date done",IF(SUMPRODUCT(('PM Plan'!$A$5:$A$304=B1552)*('PM Plan'!$B$5:$B$304=C1552))=0,"No matching asset + task in plan","OK")))</f>
        <v/>
      </c>
    </row>
    <row r="1553" customFormat="false" ht="15" hidden="false" customHeight="false" outlineLevel="0" collapsed="false">
      <c r="A1553" s="14"/>
      <c r="B1553" s="9"/>
      <c r="C1553" s="9"/>
      <c r="D1553" s="9"/>
      <c r="E1553" s="9"/>
      <c r="F1553" s="17" t="str">
        <f aca="false">IF(AND(A1553="",B1553="",C1553=""),"",IF(NOT(ISNUMBER(A1553)),"Enter the date done",IF(SUMPRODUCT(('PM Plan'!$A$5:$A$304=B1553)*('PM Plan'!$B$5:$B$304=C1553))=0,"No matching asset + task in plan","OK")))</f>
        <v/>
      </c>
    </row>
    <row r="1554" customFormat="false" ht="15" hidden="false" customHeight="false" outlineLevel="0" collapsed="false">
      <c r="A1554" s="14"/>
      <c r="B1554" s="9"/>
      <c r="C1554" s="9"/>
      <c r="D1554" s="9"/>
      <c r="E1554" s="9"/>
      <c r="F1554" s="17" t="str">
        <f aca="false">IF(AND(A1554="",B1554="",C1554=""),"",IF(NOT(ISNUMBER(A1554)),"Enter the date done",IF(SUMPRODUCT(('PM Plan'!$A$5:$A$304=B1554)*('PM Plan'!$B$5:$B$304=C1554))=0,"No matching asset + task in plan","OK")))</f>
        <v/>
      </c>
    </row>
    <row r="1555" customFormat="false" ht="15" hidden="false" customHeight="false" outlineLevel="0" collapsed="false">
      <c r="A1555" s="14"/>
      <c r="B1555" s="9"/>
      <c r="C1555" s="9"/>
      <c r="D1555" s="9"/>
      <c r="E1555" s="9"/>
      <c r="F1555" s="17" t="str">
        <f aca="false">IF(AND(A1555="",B1555="",C1555=""),"",IF(NOT(ISNUMBER(A1555)),"Enter the date done",IF(SUMPRODUCT(('PM Plan'!$A$5:$A$304=B1555)*('PM Plan'!$B$5:$B$304=C1555))=0,"No matching asset + task in plan","OK")))</f>
        <v/>
      </c>
    </row>
    <row r="1556" customFormat="false" ht="15" hidden="false" customHeight="false" outlineLevel="0" collapsed="false">
      <c r="A1556" s="14"/>
      <c r="B1556" s="9"/>
      <c r="C1556" s="9"/>
      <c r="D1556" s="9"/>
      <c r="E1556" s="9"/>
      <c r="F1556" s="17" t="str">
        <f aca="false">IF(AND(A1556="",B1556="",C1556=""),"",IF(NOT(ISNUMBER(A1556)),"Enter the date done",IF(SUMPRODUCT(('PM Plan'!$A$5:$A$304=B1556)*('PM Plan'!$B$5:$B$304=C1556))=0,"No matching asset + task in plan","OK")))</f>
        <v/>
      </c>
    </row>
    <row r="1557" customFormat="false" ht="15" hidden="false" customHeight="false" outlineLevel="0" collapsed="false">
      <c r="A1557" s="14"/>
      <c r="B1557" s="9"/>
      <c r="C1557" s="9"/>
      <c r="D1557" s="9"/>
      <c r="E1557" s="9"/>
      <c r="F1557" s="17" t="str">
        <f aca="false">IF(AND(A1557="",B1557="",C1557=""),"",IF(NOT(ISNUMBER(A1557)),"Enter the date done",IF(SUMPRODUCT(('PM Plan'!$A$5:$A$304=B1557)*('PM Plan'!$B$5:$B$304=C1557))=0,"No matching asset + task in plan","OK")))</f>
        <v/>
      </c>
    </row>
    <row r="1558" customFormat="false" ht="15" hidden="false" customHeight="false" outlineLevel="0" collapsed="false">
      <c r="A1558" s="14"/>
      <c r="B1558" s="9"/>
      <c r="C1558" s="9"/>
      <c r="D1558" s="9"/>
      <c r="E1558" s="9"/>
      <c r="F1558" s="17" t="str">
        <f aca="false">IF(AND(A1558="",B1558="",C1558=""),"",IF(NOT(ISNUMBER(A1558)),"Enter the date done",IF(SUMPRODUCT(('PM Plan'!$A$5:$A$304=B1558)*('PM Plan'!$B$5:$B$304=C1558))=0,"No matching asset + task in plan","OK")))</f>
        <v/>
      </c>
    </row>
    <row r="1559" customFormat="false" ht="15" hidden="false" customHeight="false" outlineLevel="0" collapsed="false">
      <c r="A1559" s="14"/>
      <c r="B1559" s="9"/>
      <c r="C1559" s="9"/>
      <c r="D1559" s="9"/>
      <c r="E1559" s="9"/>
      <c r="F1559" s="17" t="str">
        <f aca="false">IF(AND(A1559="",B1559="",C1559=""),"",IF(NOT(ISNUMBER(A1559)),"Enter the date done",IF(SUMPRODUCT(('PM Plan'!$A$5:$A$304=B1559)*('PM Plan'!$B$5:$B$304=C1559))=0,"No matching asset + task in plan","OK")))</f>
        <v/>
      </c>
    </row>
    <row r="1560" customFormat="false" ht="15" hidden="false" customHeight="false" outlineLevel="0" collapsed="false">
      <c r="A1560" s="14"/>
      <c r="B1560" s="9"/>
      <c r="C1560" s="9"/>
      <c r="D1560" s="9"/>
      <c r="E1560" s="9"/>
      <c r="F1560" s="17" t="str">
        <f aca="false">IF(AND(A1560="",B1560="",C1560=""),"",IF(NOT(ISNUMBER(A1560)),"Enter the date done",IF(SUMPRODUCT(('PM Plan'!$A$5:$A$304=B1560)*('PM Plan'!$B$5:$B$304=C1560))=0,"No matching asset + task in plan","OK")))</f>
        <v/>
      </c>
    </row>
    <row r="1561" customFormat="false" ht="15" hidden="false" customHeight="false" outlineLevel="0" collapsed="false">
      <c r="A1561" s="14"/>
      <c r="B1561" s="9"/>
      <c r="C1561" s="9"/>
      <c r="D1561" s="9"/>
      <c r="E1561" s="9"/>
      <c r="F1561" s="17" t="str">
        <f aca="false">IF(AND(A1561="",B1561="",C1561=""),"",IF(NOT(ISNUMBER(A1561)),"Enter the date done",IF(SUMPRODUCT(('PM Plan'!$A$5:$A$304=B1561)*('PM Plan'!$B$5:$B$304=C1561))=0,"No matching asset + task in plan","OK")))</f>
        <v/>
      </c>
    </row>
    <row r="1562" customFormat="false" ht="15" hidden="false" customHeight="false" outlineLevel="0" collapsed="false">
      <c r="A1562" s="14"/>
      <c r="B1562" s="9"/>
      <c r="C1562" s="9"/>
      <c r="D1562" s="9"/>
      <c r="E1562" s="9"/>
      <c r="F1562" s="17" t="str">
        <f aca="false">IF(AND(A1562="",B1562="",C1562=""),"",IF(NOT(ISNUMBER(A1562)),"Enter the date done",IF(SUMPRODUCT(('PM Plan'!$A$5:$A$304=B1562)*('PM Plan'!$B$5:$B$304=C1562))=0,"No matching asset + task in plan","OK")))</f>
        <v/>
      </c>
    </row>
    <row r="1563" customFormat="false" ht="15" hidden="false" customHeight="false" outlineLevel="0" collapsed="false">
      <c r="A1563" s="14"/>
      <c r="B1563" s="9"/>
      <c r="C1563" s="9"/>
      <c r="D1563" s="9"/>
      <c r="E1563" s="9"/>
      <c r="F1563" s="17" t="str">
        <f aca="false">IF(AND(A1563="",B1563="",C1563=""),"",IF(NOT(ISNUMBER(A1563)),"Enter the date done",IF(SUMPRODUCT(('PM Plan'!$A$5:$A$304=B1563)*('PM Plan'!$B$5:$B$304=C1563))=0,"No matching asset + task in plan","OK")))</f>
        <v/>
      </c>
    </row>
    <row r="1564" customFormat="false" ht="15" hidden="false" customHeight="false" outlineLevel="0" collapsed="false">
      <c r="A1564" s="14"/>
      <c r="B1564" s="9"/>
      <c r="C1564" s="9"/>
      <c r="D1564" s="9"/>
      <c r="E1564" s="9"/>
      <c r="F1564" s="17" t="str">
        <f aca="false">IF(AND(A1564="",B1564="",C1564=""),"",IF(NOT(ISNUMBER(A1564)),"Enter the date done",IF(SUMPRODUCT(('PM Plan'!$A$5:$A$304=B1564)*('PM Plan'!$B$5:$B$304=C1564))=0,"No matching asset + task in plan","OK")))</f>
        <v/>
      </c>
    </row>
    <row r="1565" customFormat="false" ht="15" hidden="false" customHeight="false" outlineLevel="0" collapsed="false">
      <c r="A1565" s="14"/>
      <c r="B1565" s="9"/>
      <c r="C1565" s="9"/>
      <c r="D1565" s="9"/>
      <c r="E1565" s="9"/>
      <c r="F1565" s="17" t="str">
        <f aca="false">IF(AND(A1565="",B1565="",C1565=""),"",IF(NOT(ISNUMBER(A1565)),"Enter the date done",IF(SUMPRODUCT(('PM Plan'!$A$5:$A$304=B1565)*('PM Plan'!$B$5:$B$304=C1565))=0,"No matching asset + task in plan","OK")))</f>
        <v/>
      </c>
    </row>
    <row r="1566" customFormat="false" ht="15" hidden="false" customHeight="false" outlineLevel="0" collapsed="false">
      <c r="A1566" s="14"/>
      <c r="B1566" s="9"/>
      <c r="C1566" s="9"/>
      <c r="D1566" s="9"/>
      <c r="E1566" s="9"/>
      <c r="F1566" s="17" t="str">
        <f aca="false">IF(AND(A1566="",B1566="",C1566=""),"",IF(NOT(ISNUMBER(A1566)),"Enter the date done",IF(SUMPRODUCT(('PM Plan'!$A$5:$A$304=B1566)*('PM Plan'!$B$5:$B$304=C1566))=0,"No matching asset + task in plan","OK")))</f>
        <v/>
      </c>
    </row>
    <row r="1567" customFormat="false" ht="15" hidden="false" customHeight="false" outlineLevel="0" collapsed="false">
      <c r="A1567" s="14"/>
      <c r="B1567" s="9"/>
      <c r="C1567" s="9"/>
      <c r="D1567" s="9"/>
      <c r="E1567" s="9"/>
      <c r="F1567" s="17" t="str">
        <f aca="false">IF(AND(A1567="",B1567="",C1567=""),"",IF(NOT(ISNUMBER(A1567)),"Enter the date done",IF(SUMPRODUCT(('PM Plan'!$A$5:$A$304=B1567)*('PM Plan'!$B$5:$B$304=C1567))=0,"No matching asset + task in plan","OK")))</f>
        <v/>
      </c>
    </row>
    <row r="1568" customFormat="false" ht="15" hidden="false" customHeight="false" outlineLevel="0" collapsed="false">
      <c r="A1568" s="14"/>
      <c r="B1568" s="9"/>
      <c r="C1568" s="9"/>
      <c r="D1568" s="9"/>
      <c r="E1568" s="9"/>
      <c r="F1568" s="17" t="str">
        <f aca="false">IF(AND(A1568="",B1568="",C1568=""),"",IF(NOT(ISNUMBER(A1568)),"Enter the date done",IF(SUMPRODUCT(('PM Plan'!$A$5:$A$304=B1568)*('PM Plan'!$B$5:$B$304=C1568))=0,"No matching asset + task in plan","OK")))</f>
        <v/>
      </c>
    </row>
    <row r="1569" customFormat="false" ht="15" hidden="false" customHeight="false" outlineLevel="0" collapsed="false">
      <c r="A1569" s="14"/>
      <c r="B1569" s="9"/>
      <c r="C1569" s="9"/>
      <c r="D1569" s="9"/>
      <c r="E1569" s="9"/>
      <c r="F1569" s="17" t="str">
        <f aca="false">IF(AND(A1569="",B1569="",C1569=""),"",IF(NOT(ISNUMBER(A1569)),"Enter the date done",IF(SUMPRODUCT(('PM Plan'!$A$5:$A$304=B1569)*('PM Plan'!$B$5:$B$304=C1569))=0,"No matching asset + task in plan","OK")))</f>
        <v/>
      </c>
    </row>
    <row r="1570" customFormat="false" ht="15" hidden="false" customHeight="false" outlineLevel="0" collapsed="false">
      <c r="A1570" s="14"/>
      <c r="B1570" s="9"/>
      <c r="C1570" s="9"/>
      <c r="D1570" s="9"/>
      <c r="E1570" s="9"/>
      <c r="F1570" s="17" t="str">
        <f aca="false">IF(AND(A1570="",B1570="",C1570=""),"",IF(NOT(ISNUMBER(A1570)),"Enter the date done",IF(SUMPRODUCT(('PM Plan'!$A$5:$A$304=B1570)*('PM Plan'!$B$5:$B$304=C1570))=0,"No matching asset + task in plan","OK")))</f>
        <v/>
      </c>
    </row>
    <row r="1571" customFormat="false" ht="15" hidden="false" customHeight="false" outlineLevel="0" collapsed="false">
      <c r="A1571" s="14"/>
      <c r="B1571" s="9"/>
      <c r="C1571" s="9"/>
      <c r="D1571" s="9"/>
      <c r="E1571" s="9"/>
      <c r="F1571" s="17" t="str">
        <f aca="false">IF(AND(A1571="",B1571="",C1571=""),"",IF(NOT(ISNUMBER(A1571)),"Enter the date done",IF(SUMPRODUCT(('PM Plan'!$A$5:$A$304=B1571)*('PM Plan'!$B$5:$B$304=C1571))=0,"No matching asset + task in plan","OK")))</f>
        <v/>
      </c>
    </row>
    <row r="1572" customFormat="false" ht="15" hidden="false" customHeight="false" outlineLevel="0" collapsed="false">
      <c r="A1572" s="14"/>
      <c r="B1572" s="9"/>
      <c r="C1572" s="9"/>
      <c r="D1572" s="9"/>
      <c r="E1572" s="9"/>
      <c r="F1572" s="17" t="str">
        <f aca="false">IF(AND(A1572="",B1572="",C1572=""),"",IF(NOT(ISNUMBER(A1572)),"Enter the date done",IF(SUMPRODUCT(('PM Plan'!$A$5:$A$304=B1572)*('PM Plan'!$B$5:$B$304=C1572))=0,"No matching asset + task in plan","OK")))</f>
        <v/>
      </c>
    </row>
    <row r="1573" customFormat="false" ht="15" hidden="false" customHeight="false" outlineLevel="0" collapsed="false">
      <c r="A1573" s="14"/>
      <c r="B1573" s="9"/>
      <c r="C1573" s="9"/>
      <c r="D1573" s="9"/>
      <c r="E1573" s="9"/>
      <c r="F1573" s="17" t="str">
        <f aca="false">IF(AND(A1573="",B1573="",C1573=""),"",IF(NOT(ISNUMBER(A1573)),"Enter the date done",IF(SUMPRODUCT(('PM Plan'!$A$5:$A$304=B1573)*('PM Plan'!$B$5:$B$304=C1573))=0,"No matching asset + task in plan","OK")))</f>
        <v/>
      </c>
    </row>
    <row r="1574" customFormat="false" ht="15" hidden="false" customHeight="false" outlineLevel="0" collapsed="false">
      <c r="A1574" s="14"/>
      <c r="B1574" s="9"/>
      <c r="C1574" s="9"/>
      <c r="D1574" s="9"/>
      <c r="E1574" s="9"/>
      <c r="F1574" s="17" t="str">
        <f aca="false">IF(AND(A1574="",B1574="",C1574=""),"",IF(NOT(ISNUMBER(A1574)),"Enter the date done",IF(SUMPRODUCT(('PM Plan'!$A$5:$A$304=B1574)*('PM Plan'!$B$5:$B$304=C1574))=0,"No matching asset + task in plan","OK")))</f>
        <v/>
      </c>
    </row>
    <row r="1575" customFormat="false" ht="15" hidden="false" customHeight="false" outlineLevel="0" collapsed="false">
      <c r="A1575" s="14"/>
      <c r="B1575" s="9"/>
      <c r="C1575" s="9"/>
      <c r="D1575" s="9"/>
      <c r="E1575" s="9"/>
      <c r="F1575" s="17" t="str">
        <f aca="false">IF(AND(A1575="",B1575="",C1575=""),"",IF(NOT(ISNUMBER(A1575)),"Enter the date done",IF(SUMPRODUCT(('PM Plan'!$A$5:$A$304=B1575)*('PM Plan'!$B$5:$B$304=C1575))=0,"No matching asset + task in plan","OK")))</f>
        <v/>
      </c>
    </row>
    <row r="1576" customFormat="false" ht="15" hidden="false" customHeight="false" outlineLevel="0" collapsed="false">
      <c r="A1576" s="14"/>
      <c r="B1576" s="9"/>
      <c r="C1576" s="9"/>
      <c r="D1576" s="9"/>
      <c r="E1576" s="9"/>
      <c r="F1576" s="17" t="str">
        <f aca="false">IF(AND(A1576="",B1576="",C1576=""),"",IF(NOT(ISNUMBER(A1576)),"Enter the date done",IF(SUMPRODUCT(('PM Plan'!$A$5:$A$304=B1576)*('PM Plan'!$B$5:$B$304=C1576))=0,"No matching asset + task in plan","OK")))</f>
        <v/>
      </c>
    </row>
    <row r="1577" customFormat="false" ht="15" hidden="false" customHeight="false" outlineLevel="0" collapsed="false">
      <c r="A1577" s="14"/>
      <c r="B1577" s="9"/>
      <c r="C1577" s="9"/>
      <c r="D1577" s="9"/>
      <c r="E1577" s="9"/>
      <c r="F1577" s="17" t="str">
        <f aca="false">IF(AND(A1577="",B1577="",C1577=""),"",IF(NOT(ISNUMBER(A1577)),"Enter the date done",IF(SUMPRODUCT(('PM Plan'!$A$5:$A$304=B1577)*('PM Plan'!$B$5:$B$304=C1577))=0,"No matching asset + task in plan","OK")))</f>
        <v/>
      </c>
    </row>
    <row r="1578" customFormat="false" ht="15" hidden="false" customHeight="false" outlineLevel="0" collapsed="false">
      <c r="A1578" s="14"/>
      <c r="B1578" s="9"/>
      <c r="C1578" s="9"/>
      <c r="D1578" s="9"/>
      <c r="E1578" s="9"/>
      <c r="F1578" s="17" t="str">
        <f aca="false">IF(AND(A1578="",B1578="",C1578=""),"",IF(NOT(ISNUMBER(A1578)),"Enter the date done",IF(SUMPRODUCT(('PM Plan'!$A$5:$A$304=B1578)*('PM Plan'!$B$5:$B$304=C1578))=0,"No matching asset + task in plan","OK")))</f>
        <v/>
      </c>
    </row>
    <row r="1579" customFormat="false" ht="15" hidden="false" customHeight="false" outlineLevel="0" collapsed="false">
      <c r="A1579" s="14"/>
      <c r="B1579" s="9"/>
      <c r="C1579" s="9"/>
      <c r="D1579" s="9"/>
      <c r="E1579" s="9"/>
      <c r="F1579" s="17" t="str">
        <f aca="false">IF(AND(A1579="",B1579="",C1579=""),"",IF(NOT(ISNUMBER(A1579)),"Enter the date done",IF(SUMPRODUCT(('PM Plan'!$A$5:$A$304=B1579)*('PM Plan'!$B$5:$B$304=C1579))=0,"No matching asset + task in plan","OK")))</f>
        <v/>
      </c>
    </row>
    <row r="1580" customFormat="false" ht="15" hidden="false" customHeight="false" outlineLevel="0" collapsed="false">
      <c r="A1580" s="14"/>
      <c r="B1580" s="9"/>
      <c r="C1580" s="9"/>
      <c r="D1580" s="9"/>
      <c r="E1580" s="9"/>
      <c r="F1580" s="17" t="str">
        <f aca="false">IF(AND(A1580="",B1580="",C1580=""),"",IF(NOT(ISNUMBER(A1580)),"Enter the date done",IF(SUMPRODUCT(('PM Plan'!$A$5:$A$304=B1580)*('PM Plan'!$B$5:$B$304=C1580))=0,"No matching asset + task in plan","OK")))</f>
        <v/>
      </c>
    </row>
    <row r="1581" customFormat="false" ht="15" hidden="false" customHeight="false" outlineLevel="0" collapsed="false">
      <c r="A1581" s="14"/>
      <c r="B1581" s="9"/>
      <c r="C1581" s="9"/>
      <c r="D1581" s="9"/>
      <c r="E1581" s="9"/>
      <c r="F1581" s="17" t="str">
        <f aca="false">IF(AND(A1581="",B1581="",C1581=""),"",IF(NOT(ISNUMBER(A1581)),"Enter the date done",IF(SUMPRODUCT(('PM Plan'!$A$5:$A$304=B1581)*('PM Plan'!$B$5:$B$304=C1581))=0,"No matching asset + task in plan","OK")))</f>
        <v/>
      </c>
    </row>
    <row r="1582" customFormat="false" ht="15" hidden="false" customHeight="false" outlineLevel="0" collapsed="false">
      <c r="A1582" s="14"/>
      <c r="B1582" s="9"/>
      <c r="C1582" s="9"/>
      <c r="D1582" s="9"/>
      <c r="E1582" s="9"/>
      <c r="F1582" s="17" t="str">
        <f aca="false">IF(AND(A1582="",B1582="",C1582=""),"",IF(NOT(ISNUMBER(A1582)),"Enter the date done",IF(SUMPRODUCT(('PM Plan'!$A$5:$A$304=B1582)*('PM Plan'!$B$5:$B$304=C1582))=0,"No matching asset + task in plan","OK")))</f>
        <v/>
      </c>
    </row>
    <row r="1583" customFormat="false" ht="15" hidden="false" customHeight="false" outlineLevel="0" collapsed="false">
      <c r="A1583" s="14"/>
      <c r="B1583" s="9"/>
      <c r="C1583" s="9"/>
      <c r="D1583" s="9"/>
      <c r="E1583" s="9"/>
      <c r="F1583" s="17" t="str">
        <f aca="false">IF(AND(A1583="",B1583="",C1583=""),"",IF(NOT(ISNUMBER(A1583)),"Enter the date done",IF(SUMPRODUCT(('PM Plan'!$A$5:$A$304=B1583)*('PM Plan'!$B$5:$B$304=C1583))=0,"No matching asset + task in plan","OK")))</f>
        <v/>
      </c>
    </row>
    <row r="1584" customFormat="false" ht="15" hidden="false" customHeight="false" outlineLevel="0" collapsed="false">
      <c r="A1584" s="14"/>
      <c r="B1584" s="9"/>
      <c r="C1584" s="9"/>
      <c r="D1584" s="9"/>
      <c r="E1584" s="9"/>
      <c r="F1584" s="17" t="str">
        <f aca="false">IF(AND(A1584="",B1584="",C1584=""),"",IF(NOT(ISNUMBER(A1584)),"Enter the date done",IF(SUMPRODUCT(('PM Plan'!$A$5:$A$304=B1584)*('PM Plan'!$B$5:$B$304=C1584))=0,"No matching asset + task in plan","OK")))</f>
        <v/>
      </c>
    </row>
    <row r="1585" customFormat="false" ht="15" hidden="false" customHeight="false" outlineLevel="0" collapsed="false">
      <c r="A1585" s="14"/>
      <c r="B1585" s="9"/>
      <c r="C1585" s="9"/>
      <c r="D1585" s="9"/>
      <c r="E1585" s="9"/>
      <c r="F1585" s="17" t="str">
        <f aca="false">IF(AND(A1585="",B1585="",C1585=""),"",IF(NOT(ISNUMBER(A1585)),"Enter the date done",IF(SUMPRODUCT(('PM Plan'!$A$5:$A$304=B1585)*('PM Plan'!$B$5:$B$304=C1585))=0,"No matching asset + task in plan","OK")))</f>
        <v/>
      </c>
    </row>
    <row r="1586" customFormat="false" ht="15" hidden="false" customHeight="false" outlineLevel="0" collapsed="false">
      <c r="A1586" s="14"/>
      <c r="B1586" s="9"/>
      <c r="C1586" s="9"/>
      <c r="D1586" s="9"/>
      <c r="E1586" s="9"/>
      <c r="F1586" s="17" t="str">
        <f aca="false">IF(AND(A1586="",B1586="",C1586=""),"",IF(NOT(ISNUMBER(A1586)),"Enter the date done",IF(SUMPRODUCT(('PM Plan'!$A$5:$A$304=B1586)*('PM Plan'!$B$5:$B$304=C1586))=0,"No matching asset + task in plan","OK")))</f>
        <v/>
      </c>
    </row>
    <row r="1587" customFormat="false" ht="15" hidden="false" customHeight="false" outlineLevel="0" collapsed="false">
      <c r="A1587" s="14"/>
      <c r="B1587" s="9"/>
      <c r="C1587" s="9"/>
      <c r="D1587" s="9"/>
      <c r="E1587" s="9"/>
      <c r="F1587" s="17" t="str">
        <f aca="false">IF(AND(A1587="",B1587="",C1587=""),"",IF(NOT(ISNUMBER(A1587)),"Enter the date done",IF(SUMPRODUCT(('PM Plan'!$A$5:$A$304=B1587)*('PM Plan'!$B$5:$B$304=C1587))=0,"No matching asset + task in plan","OK")))</f>
        <v/>
      </c>
    </row>
    <row r="1588" customFormat="false" ht="15" hidden="false" customHeight="false" outlineLevel="0" collapsed="false">
      <c r="A1588" s="14"/>
      <c r="B1588" s="9"/>
      <c r="C1588" s="9"/>
      <c r="D1588" s="9"/>
      <c r="E1588" s="9"/>
      <c r="F1588" s="17" t="str">
        <f aca="false">IF(AND(A1588="",B1588="",C1588=""),"",IF(NOT(ISNUMBER(A1588)),"Enter the date done",IF(SUMPRODUCT(('PM Plan'!$A$5:$A$304=B1588)*('PM Plan'!$B$5:$B$304=C1588))=0,"No matching asset + task in plan","OK")))</f>
        <v/>
      </c>
    </row>
    <row r="1589" customFormat="false" ht="15" hidden="false" customHeight="false" outlineLevel="0" collapsed="false">
      <c r="A1589" s="14"/>
      <c r="B1589" s="9"/>
      <c r="C1589" s="9"/>
      <c r="D1589" s="9"/>
      <c r="E1589" s="9"/>
      <c r="F1589" s="17" t="str">
        <f aca="false">IF(AND(A1589="",B1589="",C1589=""),"",IF(NOT(ISNUMBER(A1589)),"Enter the date done",IF(SUMPRODUCT(('PM Plan'!$A$5:$A$304=B1589)*('PM Plan'!$B$5:$B$304=C1589))=0,"No matching asset + task in plan","OK")))</f>
        <v/>
      </c>
    </row>
    <row r="1590" customFormat="false" ht="15" hidden="false" customHeight="false" outlineLevel="0" collapsed="false">
      <c r="A1590" s="14"/>
      <c r="B1590" s="9"/>
      <c r="C1590" s="9"/>
      <c r="D1590" s="9"/>
      <c r="E1590" s="9"/>
      <c r="F1590" s="17" t="str">
        <f aca="false">IF(AND(A1590="",B1590="",C1590=""),"",IF(NOT(ISNUMBER(A1590)),"Enter the date done",IF(SUMPRODUCT(('PM Plan'!$A$5:$A$304=B1590)*('PM Plan'!$B$5:$B$304=C1590))=0,"No matching asset + task in plan","OK")))</f>
        <v/>
      </c>
    </row>
    <row r="1591" customFormat="false" ht="15" hidden="false" customHeight="false" outlineLevel="0" collapsed="false">
      <c r="A1591" s="14"/>
      <c r="B1591" s="9"/>
      <c r="C1591" s="9"/>
      <c r="D1591" s="9"/>
      <c r="E1591" s="9"/>
      <c r="F1591" s="17" t="str">
        <f aca="false">IF(AND(A1591="",B1591="",C1591=""),"",IF(NOT(ISNUMBER(A1591)),"Enter the date done",IF(SUMPRODUCT(('PM Plan'!$A$5:$A$304=B1591)*('PM Plan'!$B$5:$B$304=C1591))=0,"No matching asset + task in plan","OK")))</f>
        <v/>
      </c>
    </row>
    <row r="1592" customFormat="false" ht="15" hidden="false" customHeight="false" outlineLevel="0" collapsed="false">
      <c r="A1592" s="14"/>
      <c r="B1592" s="9"/>
      <c r="C1592" s="9"/>
      <c r="D1592" s="9"/>
      <c r="E1592" s="9"/>
      <c r="F1592" s="17" t="str">
        <f aca="false">IF(AND(A1592="",B1592="",C1592=""),"",IF(NOT(ISNUMBER(A1592)),"Enter the date done",IF(SUMPRODUCT(('PM Plan'!$A$5:$A$304=B1592)*('PM Plan'!$B$5:$B$304=C1592))=0,"No matching asset + task in plan","OK")))</f>
        <v/>
      </c>
    </row>
    <row r="1593" customFormat="false" ht="15" hidden="false" customHeight="false" outlineLevel="0" collapsed="false">
      <c r="A1593" s="14"/>
      <c r="B1593" s="9"/>
      <c r="C1593" s="9"/>
      <c r="D1593" s="9"/>
      <c r="E1593" s="9"/>
      <c r="F1593" s="17" t="str">
        <f aca="false">IF(AND(A1593="",B1593="",C1593=""),"",IF(NOT(ISNUMBER(A1593)),"Enter the date done",IF(SUMPRODUCT(('PM Plan'!$A$5:$A$304=B1593)*('PM Plan'!$B$5:$B$304=C1593))=0,"No matching asset + task in plan","OK")))</f>
        <v/>
      </c>
    </row>
    <row r="1594" customFormat="false" ht="15" hidden="false" customHeight="false" outlineLevel="0" collapsed="false">
      <c r="A1594" s="14"/>
      <c r="B1594" s="9"/>
      <c r="C1594" s="9"/>
      <c r="D1594" s="9"/>
      <c r="E1594" s="9"/>
      <c r="F1594" s="17" t="str">
        <f aca="false">IF(AND(A1594="",B1594="",C1594=""),"",IF(NOT(ISNUMBER(A1594)),"Enter the date done",IF(SUMPRODUCT(('PM Plan'!$A$5:$A$304=B1594)*('PM Plan'!$B$5:$B$304=C1594))=0,"No matching asset + task in plan","OK")))</f>
        <v/>
      </c>
    </row>
    <row r="1595" customFormat="false" ht="15" hidden="false" customHeight="false" outlineLevel="0" collapsed="false">
      <c r="A1595" s="14"/>
      <c r="B1595" s="9"/>
      <c r="C1595" s="9"/>
      <c r="D1595" s="9"/>
      <c r="E1595" s="9"/>
      <c r="F1595" s="17" t="str">
        <f aca="false">IF(AND(A1595="",B1595="",C1595=""),"",IF(NOT(ISNUMBER(A1595)),"Enter the date done",IF(SUMPRODUCT(('PM Plan'!$A$5:$A$304=B1595)*('PM Plan'!$B$5:$B$304=C1595))=0,"No matching asset + task in plan","OK")))</f>
        <v/>
      </c>
    </row>
    <row r="1596" customFormat="false" ht="15" hidden="false" customHeight="false" outlineLevel="0" collapsed="false">
      <c r="A1596" s="14"/>
      <c r="B1596" s="9"/>
      <c r="C1596" s="9"/>
      <c r="D1596" s="9"/>
      <c r="E1596" s="9"/>
      <c r="F1596" s="17" t="str">
        <f aca="false">IF(AND(A1596="",B1596="",C1596=""),"",IF(NOT(ISNUMBER(A1596)),"Enter the date done",IF(SUMPRODUCT(('PM Plan'!$A$5:$A$304=B1596)*('PM Plan'!$B$5:$B$304=C1596))=0,"No matching asset + task in plan","OK")))</f>
        <v/>
      </c>
    </row>
    <row r="1597" customFormat="false" ht="15" hidden="false" customHeight="false" outlineLevel="0" collapsed="false">
      <c r="A1597" s="14"/>
      <c r="B1597" s="9"/>
      <c r="C1597" s="9"/>
      <c r="D1597" s="9"/>
      <c r="E1597" s="9"/>
      <c r="F1597" s="17" t="str">
        <f aca="false">IF(AND(A1597="",B1597="",C1597=""),"",IF(NOT(ISNUMBER(A1597)),"Enter the date done",IF(SUMPRODUCT(('PM Plan'!$A$5:$A$304=B1597)*('PM Plan'!$B$5:$B$304=C1597))=0,"No matching asset + task in plan","OK")))</f>
        <v/>
      </c>
    </row>
    <row r="1598" customFormat="false" ht="15" hidden="false" customHeight="false" outlineLevel="0" collapsed="false">
      <c r="A1598" s="14"/>
      <c r="B1598" s="9"/>
      <c r="C1598" s="9"/>
      <c r="D1598" s="9"/>
      <c r="E1598" s="9"/>
      <c r="F1598" s="17" t="str">
        <f aca="false">IF(AND(A1598="",B1598="",C1598=""),"",IF(NOT(ISNUMBER(A1598)),"Enter the date done",IF(SUMPRODUCT(('PM Plan'!$A$5:$A$304=B1598)*('PM Plan'!$B$5:$B$304=C1598))=0,"No matching asset + task in plan","OK")))</f>
        <v/>
      </c>
    </row>
    <row r="1599" customFormat="false" ht="15" hidden="false" customHeight="false" outlineLevel="0" collapsed="false">
      <c r="A1599" s="14"/>
      <c r="B1599" s="9"/>
      <c r="C1599" s="9"/>
      <c r="D1599" s="9"/>
      <c r="E1599" s="9"/>
      <c r="F1599" s="17" t="str">
        <f aca="false">IF(AND(A1599="",B1599="",C1599=""),"",IF(NOT(ISNUMBER(A1599)),"Enter the date done",IF(SUMPRODUCT(('PM Plan'!$A$5:$A$304=B1599)*('PM Plan'!$B$5:$B$304=C1599))=0,"No matching asset + task in plan","OK")))</f>
        <v/>
      </c>
    </row>
    <row r="1600" customFormat="false" ht="15" hidden="false" customHeight="false" outlineLevel="0" collapsed="false">
      <c r="A1600" s="14"/>
      <c r="B1600" s="9"/>
      <c r="C1600" s="9"/>
      <c r="D1600" s="9"/>
      <c r="E1600" s="9"/>
      <c r="F1600" s="17" t="str">
        <f aca="false">IF(AND(A1600="",B1600="",C1600=""),"",IF(NOT(ISNUMBER(A1600)),"Enter the date done",IF(SUMPRODUCT(('PM Plan'!$A$5:$A$304=B1600)*('PM Plan'!$B$5:$B$304=C1600))=0,"No matching asset + task in plan","OK")))</f>
        <v/>
      </c>
    </row>
    <row r="1601" customFormat="false" ht="15" hidden="false" customHeight="false" outlineLevel="0" collapsed="false">
      <c r="A1601" s="14"/>
      <c r="B1601" s="9"/>
      <c r="C1601" s="9"/>
      <c r="D1601" s="9"/>
      <c r="E1601" s="9"/>
      <c r="F1601" s="17" t="str">
        <f aca="false">IF(AND(A1601="",B1601="",C1601=""),"",IF(NOT(ISNUMBER(A1601)),"Enter the date done",IF(SUMPRODUCT(('PM Plan'!$A$5:$A$304=B1601)*('PM Plan'!$B$5:$B$304=C1601))=0,"No matching asset + task in plan","OK")))</f>
        <v/>
      </c>
    </row>
    <row r="1602" customFormat="false" ht="15" hidden="false" customHeight="false" outlineLevel="0" collapsed="false">
      <c r="A1602" s="14"/>
      <c r="B1602" s="9"/>
      <c r="C1602" s="9"/>
      <c r="D1602" s="9"/>
      <c r="E1602" s="9"/>
      <c r="F1602" s="17" t="str">
        <f aca="false">IF(AND(A1602="",B1602="",C1602=""),"",IF(NOT(ISNUMBER(A1602)),"Enter the date done",IF(SUMPRODUCT(('PM Plan'!$A$5:$A$304=B1602)*('PM Plan'!$B$5:$B$304=C1602))=0,"No matching asset + task in plan","OK")))</f>
        <v/>
      </c>
    </row>
    <row r="1603" customFormat="false" ht="15" hidden="false" customHeight="false" outlineLevel="0" collapsed="false">
      <c r="A1603" s="14"/>
      <c r="B1603" s="9"/>
      <c r="C1603" s="9"/>
      <c r="D1603" s="9"/>
      <c r="E1603" s="9"/>
      <c r="F1603" s="17" t="str">
        <f aca="false">IF(AND(A1603="",B1603="",C1603=""),"",IF(NOT(ISNUMBER(A1603)),"Enter the date done",IF(SUMPRODUCT(('PM Plan'!$A$5:$A$304=B1603)*('PM Plan'!$B$5:$B$304=C1603))=0,"No matching asset + task in plan","OK")))</f>
        <v/>
      </c>
    </row>
    <row r="1604" customFormat="false" ht="15" hidden="false" customHeight="false" outlineLevel="0" collapsed="false">
      <c r="A1604" s="14"/>
      <c r="B1604" s="9"/>
      <c r="C1604" s="9"/>
      <c r="D1604" s="9"/>
      <c r="E1604" s="9"/>
      <c r="F1604" s="17" t="str">
        <f aca="false">IF(AND(A1604="",B1604="",C1604=""),"",IF(NOT(ISNUMBER(A1604)),"Enter the date done",IF(SUMPRODUCT(('PM Plan'!$A$5:$A$304=B1604)*('PM Plan'!$B$5:$B$304=C1604))=0,"No matching asset + task in plan","OK")))</f>
        <v/>
      </c>
    </row>
    <row r="1605" customFormat="false" ht="15" hidden="false" customHeight="false" outlineLevel="0" collapsed="false">
      <c r="A1605" s="14"/>
      <c r="B1605" s="9"/>
      <c r="C1605" s="9"/>
      <c r="D1605" s="9"/>
      <c r="E1605" s="9"/>
      <c r="F1605" s="17" t="str">
        <f aca="false">IF(AND(A1605="",B1605="",C1605=""),"",IF(NOT(ISNUMBER(A1605)),"Enter the date done",IF(SUMPRODUCT(('PM Plan'!$A$5:$A$304=B1605)*('PM Plan'!$B$5:$B$304=C1605))=0,"No matching asset + task in plan","OK")))</f>
        <v/>
      </c>
    </row>
    <row r="1606" customFormat="false" ht="15" hidden="false" customHeight="false" outlineLevel="0" collapsed="false">
      <c r="A1606" s="14"/>
      <c r="B1606" s="9"/>
      <c r="C1606" s="9"/>
      <c r="D1606" s="9"/>
      <c r="E1606" s="9"/>
      <c r="F1606" s="17" t="str">
        <f aca="false">IF(AND(A1606="",B1606="",C1606=""),"",IF(NOT(ISNUMBER(A1606)),"Enter the date done",IF(SUMPRODUCT(('PM Plan'!$A$5:$A$304=B1606)*('PM Plan'!$B$5:$B$304=C1606))=0,"No matching asset + task in plan","OK")))</f>
        <v/>
      </c>
    </row>
    <row r="1607" customFormat="false" ht="15" hidden="false" customHeight="false" outlineLevel="0" collapsed="false">
      <c r="A1607" s="14"/>
      <c r="B1607" s="9"/>
      <c r="C1607" s="9"/>
      <c r="D1607" s="9"/>
      <c r="E1607" s="9"/>
      <c r="F1607" s="17" t="str">
        <f aca="false">IF(AND(A1607="",B1607="",C1607=""),"",IF(NOT(ISNUMBER(A1607)),"Enter the date done",IF(SUMPRODUCT(('PM Plan'!$A$5:$A$304=B1607)*('PM Plan'!$B$5:$B$304=C1607))=0,"No matching asset + task in plan","OK")))</f>
        <v/>
      </c>
    </row>
    <row r="1608" customFormat="false" ht="15" hidden="false" customHeight="false" outlineLevel="0" collapsed="false">
      <c r="A1608" s="14"/>
      <c r="B1608" s="9"/>
      <c r="C1608" s="9"/>
      <c r="D1608" s="9"/>
      <c r="E1608" s="9"/>
      <c r="F1608" s="17" t="str">
        <f aca="false">IF(AND(A1608="",B1608="",C1608=""),"",IF(NOT(ISNUMBER(A1608)),"Enter the date done",IF(SUMPRODUCT(('PM Plan'!$A$5:$A$304=B1608)*('PM Plan'!$B$5:$B$304=C1608))=0,"No matching asset + task in plan","OK")))</f>
        <v/>
      </c>
    </row>
    <row r="1609" customFormat="false" ht="15" hidden="false" customHeight="false" outlineLevel="0" collapsed="false">
      <c r="A1609" s="14"/>
      <c r="B1609" s="9"/>
      <c r="C1609" s="9"/>
      <c r="D1609" s="9"/>
      <c r="E1609" s="9"/>
      <c r="F1609" s="17" t="str">
        <f aca="false">IF(AND(A1609="",B1609="",C1609=""),"",IF(NOT(ISNUMBER(A1609)),"Enter the date done",IF(SUMPRODUCT(('PM Plan'!$A$5:$A$304=B1609)*('PM Plan'!$B$5:$B$304=C1609))=0,"No matching asset + task in plan","OK")))</f>
        <v/>
      </c>
    </row>
    <row r="1610" customFormat="false" ht="15" hidden="false" customHeight="false" outlineLevel="0" collapsed="false">
      <c r="A1610" s="14"/>
      <c r="B1610" s="9"/>
      <c r="C1610" s="9"/>
      <c r="D1610" s="9"/>
      <c r="E1610" s="9"/>
      <c r="F1610" s="17" t="str">
        <f aca="false">IF(AND(A1610="",B1610="",C1610=""),"",IF(NOT(ISNUMBER(A1610)),"Enter the date done",IF(SUMPRODUCT(('PM Plan'!$A$5:$A$304=B1610)*('PM Plan'!$B$5:$B$304=C1610))=0,"No matching asset + task in plan","OK")))</f>
        <v/>
      </c>
    </row>
    <row r="1611" customFormat="false" ht="15" hidden="false" customHeight="false" outlineLevel="0" collapsed="false">
      <c r="A1611" s="14"/>
      <c r="B1611" s="9"/>
      <c r="C1611" s="9"/>
      <c r="D1611" s="9"/>
      <c r="E1611" s="9"/>
      <c r="F1611" s="17" t="str">
        <f aca="false">IF(AND(A1611="",B1611="",C1611=""),"",IF(NOT(ISNUMBER(A1611)),"Enter the date done",IF(SUMPRODUCT(('PM Plan'!$A$5:$A$304=B1611)*('PM Plan'!$B$5:$B$304=C1611))=0,"No matching asset + task in plan","OK")))</f>
        <v/>
      </c>
    </row>
    <row r="1612" customFormat="false" ht="15" hidden="false" customHeight="false" outlineLevel="0" collapsed="false">
      <c r="A1612" s="14"/>
      <c r="B1612" s="9"/>
      <c r="C1612" s="9"/>
      <c r="D1612" s="9"/>
      <c r="E1612" s="9"/>
      <c r="F1612" s="17" t="str">
        <f aca="false">IF(AND(A1612="",B1612="",C1612=""),"",IF(NOT(ISNUMBER(A1612)),"Enter the date done",IF(SUMPRODUCT(('PM Plan'!$A$5:$A$304=B1612)*('PM Plan'!$B$5:$B$304=C1612))=0,"No matching asset + task in plan","OK")))</f>
        <v/>
      </c>
    </row>
    <row r="1613" customFormat="false" ht="15" hidden="false" customHeight="false" outlineLevel="0" collapsed="false">
      <c r="A1613" s="14"/>
      <c r="B1613" s="9"/>
      <c r="C1613" s="9"/>
      <c r="D1613" s="9"/>
      <c r="E1613" s="9"/>
      <c r="F1613" s="17" t="str">
        <f aca="false">IF(AND(A1613="",B1613="",C1613=""),"",IF(NOT(ISNUMBER(A1613)),"Enter the date done",IF(SUMPRODUCT(('PM Plan'!$A$5:$A$304=B1613)*('PM Plan'!$B$5:$B$304=C1613))=0,"No matching asset + task in plan","OK")))</f>
        <v/>
      </c>
    </row>
    <row r="1614" customFormat="false" ht="15" hidden="false" customHeight="false" outlineLevel="0" collapsed="false">
      <c r="A1614" s="14"/>
      <c r="B1614" s="9"/>
      <c r="C1614" s="9"/>
      <c r="D1614" s="9"/>
      <c r="E1614" s="9"/>
      <c r="F1614" s="17" t="str">
        <f aca="false">IF(AND(A1614="",B1614="",C1614=""),"",IF(NOT(ISNUMBER(A1614)),"Enter the date done",IF(SUMPRODUCT(('PM Plan'!$A$5:$A$304=B1614)*('PM Plan'!$B$5:$B$304=C1614))=0,"No matching asset + task in plan","OK")))</f>
        <v/>
      </c>
    </row>
    <row r="1615" customFormat="false" ht="15" hidden="false" customHeight="false" outlineLevel="0" collapsed="false">
      <c r="A1615" s="14"/>
      <c r="B1615" s="9"/>
      <c r="C1615" s="9"/>
      <c r="D1615" s="9"/>
      <c r="E1615" s="9"/>
      <c r="F1615" s="17" t="str">
        <f aca="false">IF(AND(A1615="",B1615="",C1615=""),"",IF(NOT(ISNUMBER(A1615)),"Enter the date done",IF(SUMPRODUCT(('PM Plan'!$A$5:$A$304=B1615)*('PM Plan'!$B$5:$B$304=C1615))=0,"No matching asset + task in plan","OK")))</f>
        <v/>
      </c>
    </row>
    <row r="1616" customFormat="false" ht="15" hidden="false" customHeight="false" outlineLevel="0" collapsed="false">
      <c r="A1616" s="14"/>
      <c r="B1616" s="9"/>
      <c r="C1616" s="9"/>
      <c r="D1616" s="9"/>
      <c r="E1616" s="9"/>
      <c r="F1616" s="17" t="str">
        <f aca="false">IF(AND(A1616="",B1616="",C1616=""),"",IF(NOT(ISNUMBER(A1616)),"Enter the date done",IF(SUMPRODUCT(('PM Plan'!$A$5:$A$304=B1616)*('PM Plan'!$B$5:$B$304=C1616))=0,"No matching asset + task in plan","OK")))</f>
        <v/>
      </c>
    </row>
    <row r="1617" customFormat="false" ht="15" hidden="false" customHeight="false" outlineLevel="0" collapsed="false">
      <c r="A1617" s="14"/>
      <c r="B1617" s="9"/>
      <c r="C1617" s="9"/>
      <c r="D1617" s="9"/>
      <c r="E1617" s="9"/>
      <c r="F1617" s="17" t="str">
        <f aca="false">IF(AND(A1617="",B1617="",C1617=""),"",IF(NOT(ISNUMBER(A1617)),"Enter the date done",IF(SUMPRODUCT(('PM Plan'!$A$5:$A$304=B1617)*('PM Plan'!$B$5:$B$304=C1617))=0,"No matching asset + task in plan","OK")))</f>
        <v/>
      </c>
    </row>
    <row r="1618" customFormat="false" ht="15" hidden="false" customHeight="false" outlineLevel="0" collapsed="false">
      <c r="A1618" s="14"/>
      <c r="B1618" s="9"/>
      <c r="C1618" s="9"/>
      <c r="D1618" s="9"/>
      <c r="E1618" s="9"/>
      <c r="F1618" s="17" t="str">
        <f aca="false">IF(AND(A1618="",B1618="",C1618=""),"",IF(NOT(ISNUMBER(A1618)),"Enter the date done",IF(SUMPRODUCT(('PM Plan'!$A$5:$A$304=B1618)*('PM Plan'!$B$5:$B$304=C1618))=0,"No matching asset + task in plan","OK")))</f>
        <v/>
      </c>
    </row>
    <row r="1619" customFormat="false" ht="15" hidden="false" customHeight="false" outlineLevel="0" collapsed="false">
      <c r="A1619" s="14"/>
      <c r="B1619" s="9"/>
      <c r="C1619" s="9"/>
      <c r="D1619" s="9"/>
      <c r="E1619" s="9"/>
      <c r="F1619" s="17" t="str">
        <f aca="false">IF(AND(A1619="",B1619="",C1619=""),"",IF(NOT(ISNUMBER(A1619)),"Enter the date done",IF(SUMPRODUCT(('PM Plan'!$A$5:$A$304=B1619)*('PM Plan'!$B$5:$B$304=C1619))=0,"No matching asset + task in plan","OK")))</f>
        <v/>
      </c>
    </row>
    <row r="1620" customFormat="false" ht="15" hidden="false" customHeight="false" outlineLevel="0" collapsed="false">
      <c r="A1620" s="14"/>
      <c r="B1620" s="9"/>
      <c r="C1620" s="9"/>
      <c r="D1620" s="9"/>
      <c r="E1620" s="9"/>
      <c r="F1620" s="17" t="str">
        <f aca="false">IF(AND(A1620="",B1620="",C1620=""),"",IF(NOT(ISNUMBER(A1620)),"Enter the date done",IF(SUMPRODUCT(('PM Plan'!$A$5:$A$304=B1620)*('PM Plan'!$B$5:$B$304=C1620))=0,"No matching asset + task in plan","OK")))</f>
        <v/>
      </c>
    </row>
    <row r="1621" customFormat="false" ht="15" hidden="false" customHeight="false" outlineLevel="0" collapsed="false">
      <c r="A1621" s="14"/>
      <c r="B1621" s="9"/>
      <c r="C1621" s="9"/>
      <c r="D1621" s="9"/>
      <c r="E1621" s="9"/>
      <c r="F1621" s="17" t="str">
        <f aca="false">IF(AND(A1621="",B1621="",C1621=""),"",IF(NOT(ISNUMBER(A1621)),"Enter the date done",IF(SUMPRODUCT(('PM Plan'!$A$5:$A$304=B1621)*('PM Plan'!$B$5:$B$304=C1621))=0,"No matching asset + task in plan","OK")))</f>
        <v/>
      </c>
    </row>
    <row r="1622" customFormat="false" ht="15" hidden="false" customHeight="false" outlineLevel="0" collapsed="false">
      <c r="A1622" s="14"/>
      <c r="B1622" s="9"/>
      <c r="C1622" s="9"/>
      <c r="D1622" s="9"/>
      <c r="E1622" s="9"/>
      <c r="F1622" s="17" t="str">
        <f aca="false">IF(AND(A1622="",B1622="",C1622=""),"",IF(NOT(ISNUMBER(A1622)),"Enter the date done",IF(SUMPRODUCT(('PM Plan'!$A$5:$A$304=B1622)*('PM Plan'!$B$5:$B$304=C1622))=0,"No matching asset + task in plan","OK")))</f>
        <v/>
      </c>
    </row>
    <row r="1623" customFormat="false" ht="15" hidden="false" customHeight="false" outlineLevel="0" collapsed="false">
      <c r="A1623" s="14"/>
      <c r="B1623" s="9"/>
      <c r="C1623" s="9"/>
      <c r="D1623" s="9"/>
      <c r="E1623" s="9"/>
      <c r="F1623" s="17" t="str">
        <f aca="false">IF(AND(A1623="",B1623="",C1623=""),"",IF(NOT(ISNUMBER(A1623)),"Enter the date done",IF(SUMPRODUCT(('PM Plan'!$A$5:$A$304=B1623)*('PM Plan'!$B$5:$B$304=C1623))=0,"No matching asset + task in plan","OK")))</f>
        <v/>
      </c>
    </row>
    <row r="1624" customFormat="false" ht="15" hidden="false" customHeight="false" outlineLevel="0" collapsed="false">
      <c r="A1624" s="14"/>
      <c r="B1624" s="9"/>
      <c r="C1624" s="9"/>
      <c r="D1624" s="9"/>
      <c r="E1624" s="9"/>
      <c r="F1624" s="17" t="str">
        <f aca="false">IF(AND(A1624="",B1624="",C1624=""),"",IF(NOT(ISNUMBER(A1624)),"Enter the date done",IF(SUMPRODUCT(('PM Plan'!$A$5:$A$304=B1624)*('PM Plan'!$B$5:$B$304=C1624))=0,"No matching asset + task in plan","OK")))</f>
        <v/>
      </c>
    </row>
    <row r="1625" customFormat="false" ht="15" hidden="false" customHeight="false" outlineLevel="0" collapsed="false">
      <c r="A1625" s="14"/>
      <c r="B1625" s="9"/>
      <c r="C1625" s="9"/>
      <c r="D1625" s="9"/>
      <c r="E1625" s="9"/>
      <c r="F1625" s="17" t="str">
        <f aca="false">IF(AND(A1625="",B1625="",C1625=""),"",IF(NOT(ISNUMBER(A1625)),"Enter the date done",IF(SUMPRODUCT(('PM Plan'!$A$5:$A$304=B1625)*('PM Plan'!$B$5:$B$304=C1625))=0,"No matching asset + task in plan","OK")))</f>
        <v/>
      </c>
    </row>
    <row r="1626" customFormat="false" ht="15" hidden="false" customHeight="false" outlineLevel="0" collapsed="false">
      <c r="A1626" s="14"/>
      <c r="B1626" s="9"/>
      <c r="C1626" s="9"/>
      <c r="D1626" s="9"/>
      <c r="E1626" s="9"/>
      <c r="F1626" s="17" t="str">
        <f aca="false">IF(AND(A1626="",B1626="",C1626=""),"",IF(NOT(ISNUMBER(A1626)),"Enter the date done",IF(SUMPRODUCT(('PM Plan'!$A$5:$A$304=B1626)*('PM Plan'!$B$5:$B$304=C1626))=0,"No matching asset + task in plan","OK")))</f>
        <v/>
      </c>
    </row>
    <row r="1627" customFormat="false" ht="15" hidden="false" customHeight="false" outlineLevel="0" collapsed="false">
      <c r="A1627" s="14"/>
      <c r="B1627" s="9"/>
      <c r="C1627" s="9"/>
      <c r="D1627" s="9"/>
      <c r="E1627" s="9"/>
      <c r="F1627" s="17" t="str">
        <f aca="false">IF(AND(A1627="",B1627="",C1627=""),"",IF(NOT(ISNUMBER(A1627)),"Enter the date done",IF(SUMPRODUCT(('PM Plan'!$A$5:$A$304=B1627)*('PM Plan'!$B$5:$B$304=C1627))=0,"No matching asset + task in plan","OK")))</f>
        <v/>
      </c>
    </row>
    <row r="1628" customFormat="false" ht="15" hidden="false" customHeight="false" outlineLevel="0" collapsed="false">
      <c r="A1628" s="14"/>
      <c r="B1628" s="9"/>
      <c r="C1628" s="9"/>
      <c r="D1628" s="9"/>
      <c r="E1628" s="9"/>
      <c r="F1628" s="17" t="str">
        <f aca="false">IF(AND(A1628="",B1628="",C1628=""),"",IF(NOT(ISNUMBER(A1628)),"Enter the date done",IF(SUMPRODUCT(('PM Plan'!$A$5:$A$304=B1628)*('PM Plan'!$B$5:$B$304=C1628))=0,"No matching asset + task in plan","OK")))</f>
        <v/>
      </c>
    </row>
    <row r="1629" customFormat="false" ht="15" hidden="false" customHeight="false" outlineLevel="0" collapsed="false">
      <c r="A1629" s="14"/>
      <c r="B1629" s="9"/>
      <c r="C1629" s="9"/>
      <c r="D1629" s="9"/>
      <c r="E1629" s="9"/>
      <c r="F1629" s="17" t="str">
        <f aca="false">IF(AND(A1629="",B1629="",C1629=""),"",IF(NOT(ISNUMBER(A1629)),"Enter the date done",IF(SUMPRODUCT(('PM Plan'!$A$5:$A$304=B1629)*('PM Plan'!$B$5:$B$304=C1629))=0,"No matching asset + task in plan","OK")))</f>
        <v/>
      </c>
    </row>
    <row r="1630" customFormat="false" ht="15" hidden="false" customHeight="false" outlineLevel="0" collapsed="false">
      <c r="A1630" s="14"/>
      <c r="B1630" s="9"/>
      <c r="C1630" s="9"/>
      <c r="D1630" s="9"/>
      <c r="E1630" s="9"/>
      <c r="F1630" s="17" t="str">
        <f aca="false">IF(AND(A1630="",B1630="",C1630=""),"",IF(NOT(ISNUMBER(A1630)),"Enter the date done",IF(SUMPRODUCT(('PM Plan'!$A$5:$A$304=B1630)*('PM Plan'!$B$5:$B$304=C1630))=0,"No matching asset + task in plan","OK")))</f>
        <v/>
      </c>
    </row>
    <row r="1631" customFormat="false" ht="15" hidden="false" customHeight="false" outlineLevel="0" collapsed="false">
      <c r="A1631" s="14"/>
      <c r="B1631" s="9"/>
      <c r="C1631" s="9"/>
      <c r="D1631" s="9"/>
      <c r="E1631" s="9"/>
      <c r="F1631" s="17" t="str">
        <f aca="false">IF(AND(A1631="",B1631="",C1631=""),"",IF(NOT(ISNUMBER(A1631)),"Enter the date done",IF(SUMPRODUCT(('PM Plan'!$A$5:$A$304=B1631)*('PM Plan'!$B$5:$B$304=C1631))=0,"No matching asset + task in plan","OK")))</f>
        <v/>
      </c>
    </row>
    <row r="1632" customFormat="false" ht="15" hidden="false" customHeight="false" outlineLevel="0" collapsed="false">
      <c r="A1632" s="14"/>
      <c r="B1632" s="9"/>
      <c r="C1632" s="9"/>
      <c r="D1632" s="9"/>
      <c r="E1632" s="9"/>
      <c r="F1632" s="17" t="str">
        <f aca="false">IF(AND(A1632="",B1632="",C1632=""),"",IF(NOT(ISNUMBER(A1632)),"Enter the date done",IF(SUMPRODUCT(('PM Plan'!$A$5:$A$304=B1632)*('PM Plan'!$B$5:$B$304=C1632))=0,"No matching asset + task in plan","OK")))</f>
        <v/>
      </c>
    </row>
    <row r="1633" customFormat="false" ht="15" hidden="false" customHeight="false" outlineLevel="0" collapsed="false">
      <c r="A1633" s="14"/>
      <c r="B1633" s="9"/>
      <c r="C1633" s="9"/>
      <c r="D1633" s="9"/>
      <c r="E1633" s="9"/>
      <c r="F1633" s="17" t="str">
        <f aca="false">IF(AND(A1633="",B1633="",C1633=""),"",IF(NOT(ISNUMBER(A1633)),"Enter the date done",IF(SUMPRODUCT(('PM Plan'!$A$5:$A$304=B1633)*('PM Plan'!$B$5:$B$304=C1633))=0,"No matching asset + task in plan","OK")))</f>
        <v/>
      </c>
    </row>
    <row r="1634" customFormat="false" ht="15" hidden="false" customHeight="false" outlineLevel="0" collapsed="false">
      <c r="A1634" s="14"/>
      <c r="B1634" s="9"/>
      <c r="C1634" s="9"/>
      <c r="D1634" s="9"/>
      <c r="E1634" s="9"/>
      <c r="F1634" s="17" t="str">
        <f aca="false">IF(AND(A1634="",B1634="",C1634=""),"",IF(NOT(ISNUMBER(A1634)),"Enter the date done",IF(SUMPRODUCT(('PM Plan'!$A$5:$A$304=B1634)*('PM Plan'!$B$5:$B$304=C1634))=0,"No matching asset + task in plan","OK")))</f>
        <v/>
      </c>
    </row>
    <row r="1635" customFormat="false" ht="15" hidden="false" customHeight="false" outlineLevel="0" collapsed="false">
      <c r="A1635" s="14"/>
      <c r="B1635" s="9"/>
      <c r="C1635" s="9"/>
      <c r="D1635" s="9"/>
      <c r="E1635" s="9"/>
      <c r="F1635" s="17" t="str">
        <f aca="false">IF(AND(A1635="",B1635="",C1635=""),"",IF(NOT(ISNUMBER(A1635)),"Enter the date done",IF(SUMPRODUCT(('PM Plan'!$A$5:$A$304=B1635)*('PM Plan'!$B$5:$B$304=C1635))=0,"No matching asset + task in plan","OK")))</f>
        <v/>
      </c>
    </row>
    <row r="1636" customFormat="false" ht="15" hidden="false" customHeight="false" outlineLevel="0" collapsed="false">
      <c r="A1636" s="14"/>
      <c r="B1636" s="9"/>
      <c r="C1636" s="9"/>
      <c r="D1636" s="9"/>
      <c r="E1636" s="9"/>
      <c r="F1636" s="17" t="str">
        <f aca="false">IF(AND(A1636="",B1636="",C1636=""),"",IF(NOT(ISNUMBER(A1636)),"Enter the date done",IF(SUMPRODUCT(('PM Plan'!$A$5:$A$304=B1636)*('PM Plan'!$B$5:$B$304=C1636))=0,"No matching asset + task in plan","OK")))</f>
        <v/>
      </c>
    </row>
    <row r="1637" customFormat="false" ht="15" hidden="false" customHeight="false" outlineLevel="0" collapsed="false">
      <c r="A1637" s="14"/>
      <c r="B1637" s="9"/>
      <c r="C1637" s="9"/>
      <c r="D1637" s="9"/>
      <c r="E1637" s="9"/>
      <c r="F1637" s="17" t="str">
        <f aca="false">IF(AND(A1637="",B1637="",C1637=""),"",IF(NOT(ISNUMBER(A1637)),"Enter the date done",IF(SUMPRODUCT(('PM Plan'!$A$5:$A$304=B1637)*('PM Plan'!$B$5:$B$304=C1637))=0,"No matching asset + task in plan","OK")))</f>
        <v/>
      </c>
    </row>
    <row r="1638" customFormat="false" ht="15" hidden="false" customHeight="false" outlineLevel="0" collapsed="false">
      <c r="A1638" s="14"/>
      <c r="B1638" s="9"/>
      <c r="C1638" s="9"/>
      <c r="D1638" s="9"/>
      <c r="E1638" s="9"/>
      <c r="F1638" s="17" t="str">
        <f aca="false">IF(AND(A1638="",B1638="",C1638=""),"",IF(NOT(ISNUMBER(A1638)),"Enter the date done",IF(SUMPRODUCT(('PM Plan'!$A$5:$A$304=B1638)*('PM Plan'!$B$5:$B$304=C1638))=0,"No matching asset + task in plan","OK")))</f>
        <v/>
      </c>
    </row>
    <row r="1639" customFormat="false" ht="15" hidden="false" customHeight="false" outlineLevel="0" collapsed="false">
      <c r="A1639" s="14"/>
      <c r="B1639" s="9"/>
      <c r="C1639" s="9"/>
      <c r="D1639" s="9"/>
      <c r="E1639" s="9"/>
      <c r="F1639" s="17" t="str">
        <f aca="false">IF(AND(A1639="",B1639="",C1639=""),"",IF(NOT(ISNUMBER(A1639)),"Enter the date done",IF(SUMPRODUCT(('PM Plan'!$A$5:$A$304=B1639)*('PM Plan'!$B$5:$B$304=C1639))=0,"No matching asset + task in plan","OK")))</f>
        <v/>
      </c>
    </row>
    <row r="1640" customFormat="false" ht="15" hidden="false" customHeight="false" outlineLevel="0" collapsed="false">
      <c r="A1640" s="14"/>
      <c r="B1640" s="9"/>
      <c r="C1640" s="9"/>
      <c r="D1640" s="9"/>
      <c r="E1640" s="9"/>
      <c r="F1640" s="17" t="str">
        <f aca="false">IF(AND(A1640="",B1640="",C1640=""),"",IF(NOT(ISNUMBER(A1640)),"Enter the date done",IF(SUMPRODUCT(('PM Plan'!$A$5:$A$304=B1640)*('PM Plan'!$B$5:$B$304=C1640))=0,"No matching asset + task in plan","OK")))</f>
        <v/>
      </c>
    </row>
    <row r="1641" customFormat="false" ht="15" hidden="false" customHeight="false" outlineLevel="0" collapsed="false">
      <c r="A1641" s="14"/>
      <c r="B1641" s="9"/>
      <c r="C1641" s="9"/>
      <c r="D1641" s="9"/>
      <c r="E1641" s="9"/>
      <c r="F1641" s="17" t="str">
        <f aca="false">IF(AND(A1641="",B1641="",C1641=""),"",IF(NOT(ISNUMBER(A1641)),"Enter the date done",IF(SUMPRODUCT(('PM Plan'!$A$5:$A$304=B1641)*('PM Plan'!$B$5:$B$304=C1641))=0,"No matching asset + task in plan","OK")))</f>
        <v/>
      </c>
    </row>
    <row r="1642" customFormat="false" ht="15" hidden="false" customHeight="false" outlineLevel="0" collapsed="false">
      <c r="A1642" s="14"/>
      <c r="B1642" s="9"/>
      <c r="C1642" s="9"/>
      <c r="D1642" s="9"/>
      <c r="E1642" s="9"/>
      <c r="F1642" s="17" t="str">
        <f aca="false">IF(AND(A1642="",B1642="",C1642=""),"",IF(NOT(ISNUMBER(A1642)),"Enter the date done",IF(SUMPRODUCT(('PM Plan'!$A$5:$A$304=B1642)*('PM Plan'!$B$5:$B$304=C1642))=0,"No matching asset + task in plan","OK")))</f>
        <v/>
      </c>
    </row>
    <row r="1643" customFormat="false" ht="15" hidden="false" customHeight="false" outlineLevel="0" collapsed="false">
      <c r="A1643" s="14"/>
      <c r="B1643" s="9"/>
      <c r="C1643" s="9"/>
      <c r="D1643" s="9"/>
      <c r="E1643" s="9"/>
      <c r="F1643" s="17" t="str">
        <f aca="false">IF(AND(A1643="",B1643="",C1643=""),"",IF(NOT(ISNUMBER(A1643)),"Enter the date done",IF(SUMPRODUCT(('PM Plan'!$A$5:$A$304=B1643)*('PM Plan'!$B$5:$B$304=C1643))=0,"No matching asset + task in plan","OK")))</f>
        <v/>
      </c>
    </row>
    <row r="1644" customFormat="false" ht="15" hidden="false" customHeight="false" outlineLevel="0" collapsed="false">
      <c r="A1644" s="14"/>
      <c r="B1644" s="9"/>
      <c r="C1644" s="9"/>
      <c r="D1644" s="9"/>
      <c r="E1644" s="9"/>
      <c r="F1644" s="17" t="str">
        <f aca="false">IF(AND(A1644="",B1644="",C1644=""),"",IF(NOT(ISNUMBER(A1644)),"Enter the date done",IF(SUMPRODUCT(('PM Plan'!$A$5:$A$304=B1644)*('PM Plan'!$B$5:$B$304=C1644))=0,"No matching asset + task in plan","OK")))</f>
        <v/>
      </c>
    </row>
    <row r="1645" customFormat="false" ht="15" hidden="false" customHeight="false" outlineLevel="0" collapsed="false">
      <c r="A1645" s="14"/>
      <c r="B1645" s="9"/>
      <c r="C1645" s="9"/>
      <c r="D1645" s="9"/>
      <c r="E1645" s="9"/>
      <c r="F1645" s="17" t="str">
        <f aca="false">IF(AND(A1645="",B1645="",C1645=""),"",IF(NOT(ISNUMBER(A1645)),"Enter the date done",IF(SUMPRODUCT(('PM Plan'!$A$5:$A$304=B1645)*('PM Plan'!$B$5:$B$304=C1645))=0,"No matching asset + task in plan","OK")))</f>
        <v/>
      </c>
    </row>
    <row r="1646" customFormat="false" ht="15" hidden="false" customHeight="false" outlineLevel="0" collapsed="false">
      <c r="A1646" s="14"/>
      <c r="B1646" s="9"/>
      <c r="C1646" s="9"/>
      <c r="D1646" s="9"/>
      <c r="E1646" s="9"/>
      <c r="F1646" s="17" t="str">
        <f aca="false">IF(AND(A1646="",B1646="",C1646=""),"",IF(NOT(ISNUMBER(A1646)),"Enter the date done",IF(SUMPRODUCT(('PM Plan'!$A$5:$A$304=B1646)*('PM Plan'!$B$5:$B$304=C1646))=0,"No matching asset + task in plan","OK")))</f>
        <v/>
      </c>
    </row>
    <row r="1647" customFormat="false" ht="15" hidden="false" customHeight="false" outlineLevel="0" collapsed="false">
      <c r="A1647" s="14"/>
      <c r="B1647" s="9"/>
      <c r="C1647" s="9"/>
      <c r="D1647" s="9"/>
      <c r="E1647" s="9"/>
      <c r="F1647" s="17" t="str">
        <f aca="false">IF(AND(A1647="",B1647="",C1647=""),"",IF(NOT(ISNUMBER(A1647)),"Enter the date done",IF(SUMPRODUCT(('PM Plan'!$A$5:$A$304=B1647)*('PM Plan'!$B$5:$B$304=C1647))=0,"No matching asset + task in plan","OK")))</f>
        <v/>
      </c>
    </row>
    <row r="1648" customFormat="false" ht="15" hidden="false" customHeight="false" outlineLevel="0" collapsed="false">
      <c r="A1648" s="14"/>
      <c r="B1648" s="9"/>
      <c r="C1648" s="9"/>
      <c r="D1648" s="9"/>
      <c r="E1648" s="9"/>
      <c r="F1648" s="17" t="str">
        <f aca="false">IF(AND(A1648="",B1648="",C1648=""),"",IF(NOT(ISNUMBER(A1648)),"Enter the date done",IF(SUMPRODUCT(('PM Plan'!$A$5:$A$304=B1648)*('PM Plan'!$B$5:$B$304=C1648))=0,"No matching asset + task in plan","OK")))</f>
        <v/>
      </c>
    </row>
    <row r="1649" customFormat="false" ht="15" hidden="false" customHeight="false" outlineLevel="0" collapsed="false">
      <c r="A1649" s="14"/>
      <c r="B1649" s="9"/>
      <c r="C1649" s="9"/>
      <c r="D1649" s="9"/>
      <c r="E1649" s="9"/>
      <c r="F1649" s="17" t="str">
        <f aca="false">IF(AND(A1649="",B1649="",C1649=""),"",IF(NOT(ISNUMBER(A1649)),"Enter the date done",IF(SUMPRODUCT(('PM Plan'!$A$5:$A$304=B1649)*('PM Plan'!$B$5:$B$304=C1649))=0,"No matching asset + task in plan","OK")))</f>
        <v/>
      </c>
    </row>
    <row r="1650" customFormat="false" ht="15" hidden="false" customHeight="false" outlineLevel="0" collapsed="false">
      <c r="A1650" s="14"/>
      <c r="B1650" s="9"/>
      <c r="C1650" s="9"/>
      <c r="D1650" s="9"/>
      <c r="E1650" s="9"/>
      <c r="F1650" s="17" t="str">
        <f aca="false">IF(AND(A1650="",B1650="",C1650=""),"",IF(NOT(ISNUMBER(A1650)),"Enter the date done",IF(SUMPRODUCT(('PM Plan'!$A$5:$A$304=B1650)*('PM Plan'!$B$5:$B$304=C1650))=0,"No matching asset + task in plan","OK")))</f>
        <v/>
      </c>
    </row>
    <row r="1651" customFormat="false" ht="15" hidden="false" customHeight="false" outlineLevel="0" collapsed="false">
      <c r="A1651" s="14"/>
      <c r="B1651" s="9"/>
      <c r="C1651" s="9"/>
      <c r="D1651" s="9"/>
      <c r="E1651" s="9"/>
      <c r="F1651" s="17" t="str">
        <f aca="false">IF(AND(A1651="",B1651="",C1651=""),"",IF(NOT(ISNUMBER(A1651)),"Enter the date done",IF(SUMPRODUCT(('PM Plan'!$A$5:$A$304=B1651)*('PM Plan'!$B$5:$B$304=C1651))=0,"No matching asset + task in plan","OK")))</f>
        <v/>
      </c>
    </row>
    <row r="1652" customFormat="false" ht="15" hidden="false" customHeight="false" outlineLevel="0" collapsed="false">
      <c r="A1652" s="14"/>
      <c r="B1652" s="9"/>
      <c r="C1652" s="9"/>
      <c r="D1652" s="9"/>
      <c r="E1652" s="9"/>
      <c r="F1652" s="17" t="str">
        <f aca="false">IF(AND(A1652="",B1652="",C1652=""),"",IF(NOT(ISNUMBER(A1652)),"Enter the date done",IF(SUMPRODUCT(('PM Plan'!$A$5:$A$304=B1652)*('PM Plan'!$B$5:$B$304=C1652))=0,"No matching asset + task in plan","OK")))</f>
        <v/>
      </c>
    </row>
    <row r="1653" customFormat="false" ht="15" hidden="false" customHeight="false" outlineLevel="0" collapsed="false">
      <c r="A1653" s="14"/>
      <c r="B1653" s="9"/>
      <c r="C1653" s="9"/>
      <c r="D1653" s="9"/>
      <c r="E1653" s="9"/>
      <c r="F1653" s="17" t="str">
        <f aca="false">IF(AND(A1653="",B1653="",C1653=""),"",IF(NOT(ISNUMBER(A1653)),"Enter the date done",IF(SUMPRODUCT(('PM Plan'!$A$5:$A$304=B1653)*('PM Plan'!$B$5:$B$304=C1653))=0,"No matching asset + task in plan","OK")))</f>
        <v/>
      </c>
    </row>
    <row r="1654" customFormat="false" ht="15" hidden="false" customHeight="false" outlineLevel="0" collapsed="false">
      <c r="A1654" s="14"/>
      <c r="B1654" s="9"/>
      <c r="C1654" s="9"/>
      <c r="D1654" s="9"/>
      <c r="E1654" s="9"/>
      <c r="F1654" s="17" t="str">
        <f aca="false">IF(AND(A1654="",B1654="",C1654=""),"",IF(NOT(ISNUMBER(A1654)),"Enter the date done",IF(SUMPRODUCT(('PM Plan'!$A$5:$A$304=B1654)*('PM Plan'!$B$5:$B$304=C1654))=0,"No matching asset + task in plan","OK")))</f>
        <v/>
      </c>
    </row>
    <row r="1655" customFormat="false" ht="15" hidden="false" customHeight="false" outlineLevel="0" collapsed="false">
      <c r="A1655" s="14"/>
      <c r="B1655" s="9"/>
      <c r="C1655" s="9"/>
      <c r="D1655" s="9"/>
      <c r="E1655" s="9"/>
      <c r="F1655" s="17" t="str">
        <f aca="false">IF(AND(A1655="",B1655="",C1655=""),"",IF(NOT(ISNUMBER(A1655)),"Enter the date done",IF(SUMPRODUCT(('PM Plan'!$A$5:$A$304=B1655)*('PM Plan'!$B$5:$B$304=C1655))=0,"No matching asset + task in plan","OK")))</f>
        <v/>
      </c>
    </row>
    <row r="1656" customFormat="false" ht="15" hidden="false" customHeight="false" outlineLevel="0" collapsed="false">
      <c r="A1656" s="14"/>
      <c r="B1656" s="9"/>
      <c r="C1656" s="9"/>
      <c r="D1656" s="9"/>
      <c r="E1656" s="9"/>
      <c r="F1656" s="17" t="str">
        <f aca="false">IF(AND(A1656="",B1656="",C1656=""),"",IF(NOT(ISNUMBER(A1656)),"Enter the date done",IF(SUMPRODUCT(('PM Plan'!$A$5:$A$304=B1656)*('PM Plan'!$B$5:$B$304=C1656))=0,"No matching asset + task in plan","OK")))</f>
        <v/>
      </c>
    </row>
    <row r="1657" customFormat="false" ht="15" hidden="false" customHeight="false" outlineLevel="0" collapsed="false">
      <c r="A1657" s="14"/>
      <c r="B1657" s="9"/>
      <c r="C1657" s="9"/>
      <c r="D1657" s="9"/>
      <c r="E1657" s="9"/>
      <c r="F1657" s="17" t="str">
        <f aca="false">IF(AND(A1657="",B1657="",C1657=""),"",IF(NOT(ISNUMBER(A1657)),"Enter the date done",IF(SUMPRODUCT(('PM Plan'!$A$5:$A$304=B1657)*('PM Plan'!$B$5:$B$304=C1657))=0,"No matching asset + task in plan","OK")))</f>
        <v/>
      </c>
    </row>
    <row r="1658" customFormat="false" ht="15" hidden="false" customHeight="false" outlineLevel="0" collapsed="false">
      <c r="A1658" s="14"/>
      <c r="B1658" s="9"/>
      <c r="C1658" s="9"/>
      <c r="D1658" s="9"/>
      <c r="E1658" s="9"/>
      <c r="F1658" s="17" t="str">
        <f aca="false">IF(AND(A1658="",B1658="",C1658=""),"",IF(NOT(ISNUMBER(A1658)),"Enter the date done",IF(SUMPRODUCT(('PM Plan'!$A$5:$A$304=B1658)*('PM Plan'!$B$5:$B$304=C1658))=0,"No matching asset + task in plan","OK")))</f>
        <v/>
      </c>
    </row>
    <row r="1659" customFormat="false" ht="15" hidden="false" customHeight="false" outlineLevel="0" collapsed="false">
      <c r="A1659" s="14"/>
      <c r="B1659" s="9"/>
      <c r="C1659" s="9"/>
      <c r="D1659" s="9"/>
      <c r="E1659" s="9"/>
      <c r="F1659" s="17" t="str">
        <f aca="false">IF(AND(A1659="",B1659="",C1659=""),"",IF(NOT(ISNUMBER(A1659)),"Enter the date done",IF(SUMPRODUCT(('PM Plan'!$A$5:$A$304=B1659)*('PM Plan'!$B$5:$B$304=C1659))=0,"No matching asset + task in plan","OK")))</f>
        <v/>
      </c>
    </row>
    <row r="1660" customFormat="false" ht="15" hidden="false" customHeight="false" outlineLevel="0" collapsed="false">
      <c r="A1660" s="14"/>
      <c r="B1660" s="9"/>
      <c r="C1660" s="9"/>
      <c r="D1660" s="9"/>
      <c r="E1660" s="9"/>
      <c r="F1660" s="17" t="str">
        <f aca="false">IF(AND(A1660="",B1660="",C1660=""),"",IF(NOT(ISNUMBER(A1660)),"Enter the date done",IF(SUMPRODUCT(('PM Plan'!$A$5:$A$304=B1660)*('PM Plan'!$B$5:$B$304=C1660))=0,"No matching asset + task in plan","OK")))</f>
        <v/>
      </c>
    </row>
    <row r="1661" customFormat="false" ht="15" hidden="false" customHeight="false" outlineLevel="0" collapsed="false">
      <c r="A1661" s="14"/>
      <c r="B1661" s="9"/>
      <c r="C1661" s="9"/>
      <c r="D1661" s="9"/>
      <c r="E1661" s="9"/>
      <c r="F1661" s="17" t="str">
        <f aca="false">IF(AND(A1661="",B1661="",C1661=""),"",IF(NOT(ISNUMBER(A1661)),"Enter the date done",IF(SUMPRODUCT(('PM Plan'!$A$5:$A$304=B1661)*('PM Plan'!$B$5:$B$304=C1661))=0,"No matching asset + task in plan","OK")))</f>
        <v/>
      </c>
    </row>
    <row r="1662" customFormat="false" ht="15" hidden="false" customHeight="false" outlineLevel="0" collapsed="false">
      <c r="A1662" s="14"/>
      <c r="B1662" s="9"/>
      <c r="C1662" s="9"/>
      <c r="D1662" s="9"/>
      <c r="E1662" s="9"/>
      <c r="F1662" s="17" t="str">
        <f aca="false">IF(AND(A1662="",B1662="",C1662=""),"",IF(NOT(ISNUMBER(A1662)),"Enter the date done",IF(SUMPRODUCT(('PM Plan'!$A$5:$A$304=B1662)*('PM Plan'!$B$5:$B$304=C1662))=0,"No matching asset + task in plan","OK")))</f>
        <v/>
      </c>
    </row>
    <row r="1663" customFormat="false" ht="15" hidden="false" customHeight="false" outlineLevel="0" collapsed="false">
      <c r="A1663" s="14"/>
      <c r="B1663" s="9"/>
      <c r="C1663" s="9"/>
      <c r="D1663" s="9"/>
      <c r="E1663" s="9"/>
      <c r="F1663" s="17" t="str">
        <f aca="false">IF(AND(A1663="",B1663="",C1663=""),"",IF(NOT(ISNUMBER(A1663)),"Enter the date done",IF(SUMPRODUCT(('PM Plan'!$A$5:$A$304=B1663)*('PM Plan'!$B$5:$B$304=C1663))=0,"No matching asset + task in plan","OK")))</f>
        <v/>
      </c>
    </row>
    <row r="1664" customFormat="false" ht="15" hidden="false" customHeight="false" outlineLevel="0" collapsed="false">
      <c r="A1664" s="14"/>
      <c r="B1664" s="9"/>
      <c r="C1664" s="9"/>
      <c r="D1664" s="9"/>
      <c r="E1664" s="9"/>
      <c r="F1664" s="17" t="str">
        <f aca="false">IF(AND(A1664="",B1664="",C1664=""),"",IF(NOT(ISNUMBER(A1664)),"Enter the date done",IF(SUMPRODUCT(('PM Plan'!$A$5:$A$304=B1664)*('PM Plan'!$B$5:$B$304=C1664))=0,"No matching asset + task in plan","OK")))</f>
        <v/>
      </c>
    </row>
    <row r="1665" customFormat="false" ht="15" hidden="false" customHeight="false" outlineLevel="0" collapsed="false">
      <c r="A1665" s="14"/>
      <c r="B1665" s="9"/>
      <c r="C1665" s="9"/>
      <c r="D1665" s="9"/>
      <c r="E1665" s="9"/>
      <c r="F1665" s="17" t="str">
        <f aca="false">IF(AND(A1665="",B1665="",C1665=""),"",IF(NOT(ISNUMBER(A1665)),"Enter the date done",IF(SUMPRODUCT(('PM Plan'!$A$5:$A$304=B1665)*('PM Plan'!$B$5:$B$304=C1665))=0,"No matching asset + task in plan","OK")))</f>
        <v/>
      </c>
    </row>
    <row r="1666" customFormat="false" ht="15" hidden="false" customHeight="false" outlineLevel="0" collapsed="false">
      <c r="A1666" s="14"/>
      <c r="B1666" s="9"/>
      <c r="C1666" s="9"/>
      <c r="D1666" s="9"/>
      <c r="E1666" s="9"/>
      <c r="F1666" s="17" t="str">
        <f aca="false">IF(AND(A1666="",B1666="",C1666=""),"",IF(NOT(ISNUMBER(A1666)),"Enter the date done",IF(SUMPRODUCT(('PM Plan'!$A$5:$A$304=B1666)*('PM Plan'!$B$5:$B$304=C1666))=0,"No matching asset + task in plan","OK")))</f>
        <v/>
      </c>
    </row>
    <row r="1667" customFormat="false" ht="15" hidden="false" customHeight="false" outlineLevel="0" collapsed="false">
      <c r="A1667" s="14"/>
      <c r="B1667" s="9"/>
      <c r="C1667" s="9"/>
      <c r="D1667" s="9"/>
      <c r="E1667" s="9"/>
      <c r="F1667" s="17" t="str">
        <f aca="false">IF(AND(A1667="",B1667="",C1667=""),"",IF(NOT(ISNUMBER(A1667)),"Enter the date done",IF(SUMPRODUCT(('PM Plan'!$A$5:$A$304=B1667)*('PM Plan'!$B$5:$B$304=C1667))=0,"No matching asset + task in plan","OK")))</f>
        <v/>
      </c>
    </row>
    <row r="1668" customFormat="false" ht="15" hidden="false" customHeight="false" outlineLevel="0" collapsed="false">
      <c r="A1668" s="14"/>
      <c r="B1668" s="9"/>
      <c r="C1668" s="9"/>
      <c r="D1668" s="9"/>
      <c r="E1668" s="9"/>
      <c r="F1668" s="17" t="str">
        <f aca="false">IF(AND(A1668="",B1668="",C1668=""),"",IF(NOT(ISNUMBER(A1668)),"Enter the date done",IF(SUMPRODUCT(('PM Plan'!$A$5:$A$304=B1668)*('PM Plan'!$B$5:$B$304=C1668))=0,"No matching asset + task in plan","OK")))</f>
        <v/>
      </c>
    </row>
    <row r="1669" customFormat="false" ht="15" hidden="false" customHeight="false" outlineLevel="0" collapsed="false">
      <c r="A1669" s="14"/>
      <c r="B1669" s="9"/>
      <c r="C1669" s="9"/>
      <c r="D1669" s="9"/>
      <c r="E1669" s="9"/>
      <c r="F1669" s="17" t="str">
        <f aca="false">IF(AND(A1669="",B1669="",C1669=""),"",IF(NOT(ISNUMBER(A1669)),"Enter the date done",IF(SUMPRODUCT(('PM Plan'!$A$5:$A$304=B1669)*('PM Plan'!$B$5:$B$304=C1669))=0,"No matching asset + task in plan","OK")))</f>
        <v/>
      </c>
    </row>
    <row r="1670" customFormat="false" ht="15" hidden="false" customHeight="false" outlineLevel="0" collapsed="false">
      <c r="A1670" s="14"/>
      <c r="B1670" s="9"/>
      <c r="C1670" s="9"/>
      <c r="D1670" s="9"/>
      <c r="E1670" s="9"/>
      <c r="F1670" s="17" t="str">
        <f aca="false">IF(AND(A1670="",B1670="",C1670=""),"",IF(NOT(ISNUMBER(A1670)),"Enter the date done",IF(SUMPRODUCT(('PM Plan'!$A$5:$A$304=B1670)*('PM Plan'!$B$5:$B$304=C1670))=0,"No matching asset + task in plan","OK")))</f>
        <v/>
      </c>
    </row>
    <row r="1671" customFormat="false" ht="15" hidden="false" customHeight="false" outlineLevel="0" collapsed="false">
      <c r="A1671" s="14"/>
      <c r="B1671" s="9"/>
      <c r="C1671" s="9"/>
      <c r="D1671" s="9"/>
      <c r="E1671" s="9"/>
      <c r="F1671" s="17" t="str">
        <f aca="false">IF(AND(A1671="",B1671="",C1671=""),"",IF(NOT(ISNUMBER(A1671)),"Enter the date done",IF(SUMPRODUCT(('PM Plan'!$A$5:$A$304=B1671)*('PM Plan'!$B$5:$B$304=C1671))=0,"No matching asset + task in plan","OK")))</f>
        <v/>
      </c>
    </row>
    <row r="1672" customFormat="false" ht="15" hidden="false" customHeight="false" outlineLevel="0" collapsed="false">
      <c r="A1672" s="14"/>
      <c r="B1672" s="9"/>
      <c r="C1672" s="9"/>
      <c r="D1672" s="9"/>
      <c r="E1672" s="9"/>
      <c r="F1672" s="17" t="str">
        <f aca="false">IF(AND(A1672="",B1672="",C1672=""),"",IF(NOT(ISNUMBER(A1672)),"Enter the date done",IF(SUMPRODUCT(('PM Plan'!$A$5:$A$304=B1672)*('PM Plan'!$B$5:$B$304=C1672))=0,"No matching asset + task in plan","OK")))</f>
        <v/>
      </c>
    </row>
    <row r="1673" customFormat="false" ht="15" hidden="false" customHeight="false" outlineLevel="0" collapsed="false">
      <c r="A1673" s="14"/>
      <c r="B1673" s="9"/>
      <c r="C1673" s="9"/>
      <c r="D1673" s="9"/>
      <c r="E1673" s="9"/>
      <c r="F1673" s="17" t="str">
        <f aca="false">IF(AND(A1673="",B1673="",C1673=""),"",IF(NOT(ISNUMBER(A1673)),"Enter the date done",IF(SUMPRODUCT(('PM Plan'!$A$5:$A$304=B1673)*('PM Plan'!$B$5:$B$304=C1673))=0,"No matching asset + task in plan","OK")))</f>
        <v/>
      </c>
    </row>
    <row r="1674" customFormat="false" ht="15" hidden="false" customHeight="false" outlineLevel="0" collapsed="false">
      <c r="A1674" s="14"/>
      <c r="B1674" s="9"/>
      <c r="C1674" s="9"/>
      <c r="D1674" s="9"/>
      <c r="E1674" s="9"/>
      <c r="F1674" s="17" t="str">
        <f aca="false">IF(AND(A1674="",B1674="",C1674=""),"",IF(NOT(ISNUMBER(A1674)),"Enter the date done",IF(SUMPRODUCT(('PM Plan'!$A$5:$A$304=B1674)*('PM Plan'!$B$5:$B$304=C1674))=0,"No matching asset + task in plan","OK")))</f>
        <v/>
      </c>
    </row>
    <row r="1675" customFormat="false" ht="15" hidden="false" customHeight="false" outlineLevel="0" collapsed="false">
      <c r="A1675" s="14"/>
      <c r="B1675" s="9"/>
      <c r="C1675" s="9"/>
      <c r="D1675" s="9"/>
      <c r="E1675" s="9"/>
      <c r="F1675" s="17" t="str">
        <f aca="false">IF(AND(A1675="",B1675="",C1675=""),"",IF(NOT(ISNUMBER(A1675)),"Enter the date done",IF(SUMPRODUCT(('PM Plan'!$A$5:$A$304=B1675)*('PM Plan'!$B$5:$B$304=C1675))=0,"No matching asset + task in plan","OK")))</f>
        <v/>
      </c>
    </row>
    <row r="1676" customFormat="false" ht="15" hidden="false" customHeight="false" outlineLevel="0" collapsed="false">
      <c r="A1676" s="14"/>
      <c r="B1676" s="9"/>
      <c r="C1676" s="9"/>
      <c r="D1676" s="9"/>
      <c r="E1676" s="9"/>
      <c r="F1676" s="17" t="str">
        <f aca="false">IF(AND(A1676="",B1676="",C1676=""),"",IF(NOT(ISNUMBER(A1676)),"Enter the date done",IF(SUMPRODUCT(('PM Plan'!$A$5:$A$304=B1676)*('PM Plan'!$B$5:$B$304=C1676))=0,"No matching asset + task in plan","OK")))</f>
        <v/>
      </c>
    </row>
    <row r="1677" customFormat="false" ht="15" hidden="false" customHeight="false" outlineLevel="0" collapsed="false">
      <c r="A1677" s="14"/>
      <c r="B1677" s="9"/>
      <c r="C1677" s="9"/>
      <c r="D1677" s="9"/>
      <c r="E1677" s="9"/>
      <c r="F1677" s="17" t="str">
        <f aca="false">IF(AND(A1677="",B1677="",C1677=""),"",IF(NOT(ISNUMBER(A1677)),"Enter the date done",IF(SUMPRODUCT(('PM Plan'!$A$5:$A$304=B1677)*('PM Plan'!$B$5:$B$304=C1677))=0,"No matching asset + task in plan","OK")))</f>
        <v/>
      </c>
    </row>
    <row r="1678" customFormat="false" ht="15" hidden="false" customHeight="false" outlineLevel="0" collapsed="false">
      <c r="A1678" s="14"/>
      <c r="B1678" s="9"/>
      <c r="C1678" s="9"/>
      <c r="D1678" s="9"/>
      <c r="E1678" s="9"/>
      <c r="F1678" s="17" t="str">
        <f aca="false">IF(AND(A1678="",B1678="",C1678=""),"",IF(NOT(ISNUMBER(A1678)),"Enter the date done",IF(SUMPRODUCT(('PM Plan'!$A$5:$A$304=B1678)*('PM Plan'!$B$5:$B$304=C1678))=0,"No matching asset + task in plan","OK")))</f>
        <v/>
      </c>
    </row>
    <row r="1679" customFormat="false" ht="15" hidden="false" customHeight="false" outlineLevel="0" collapsed="false">
      <c r="A1679" s="14"/>
      <c r="B1679" s="9"/>
      <c r="C1679" s="9"/>
      <c r="D1679" s="9"/>
      <c r="E1679" s="9"/>
      <c r="F1679" s="17" t="str">
        <f aca="false">IF(AND(A1679="",B1679="",C1679=""),"",IF(NOT(ISNUMBER(A1679)),"Enter the date done",IF(SUMPRODUCT(('PM Plan'!$A$5:$A$304=B1679)*('PM Plan'!$B$5:$B$304=C1679))=0,"No matching asset + task in plan","OK")))</f>
        <v/>
      </c>
    </row>
    <row r="1680" customFormat="false" ht="15" hidden="false" customHeight="false" outlineLevel="0" collapsed="false">
      <c r="A1680" s="14"/>
      <c r="B1680" s="9"/>
      <c r="C1680" s="9"/>
      <c r="D1680" s="9"/>
      <c r="E1680" s="9"/>
      <c r="F1680" s="17" t="str">
        <f aca="false">IF(AND(A1680="",B1680="",C1680=""),"",IF(NOT(ISNUMBER(A1680)),"Enter the date done",IF(SUMPRODUCT(('PM Plan'!$A$5:$A$304=B1680)*('PM Plan'!$B$5:$B$304=C1680))=0,"No matching asset + task in plan","OK")))</f>
        <v/>
      </c>
    </row>
    <row r="1681" customFormat="false" ht="15" hidden="false" customHeight="false" outlineLevel="0" collapsed="false">
      <c r="A1681" s="14"/>
      <c r="B1681" s="9"/>
      <c r="C1681" s="9"/>
      <c r="D1681" s="9"/>
      <c r="E1681" s="9"/>
      <c r="F1681" s="17" t="str">
        <f aca="false">IF(AND(A1681="",B1681="",C1681=""),"",IF(NOT(ISNUMBER(A1681)),"Enter the date done",IF(SUMPRODUCT(('PM Plan'!$A$5:$A$304=B1681)*('PM Plan'!$B$5:$B$304=C1681))=0,"No matching asset + task in plan","OK")))</f>
        <v/>
      </c>
    </row>
    <row r="1682" customFormat="false" ht="15" hidden="false" customHeight="false" outlineLevel="0" collapsed="false">
      <c r="A1682" s="14"/>
      <c r="B1682" s="9"/>
      <c r="C1682" s="9"/>
      <c r="D1682" s="9"/>
      <c r="E1682" s="9"/>
      <c r="F1682" s="17" t="str">
        <f aca="false">IF(AND(A1682="",B1682="",C1682=""),"",IF(NOT(ISNUMBER(A1682)),"Enter the date done",IF(SUMPRODUCT(('PM Plan'!$A$5:$A$304=B1682)*('PM Plan'!$B$5:$B$304=C1682))=0,"No matching asset + task in plan","OK")))</f>
        <v/>
      </c>
    </row>
    <row r="1683" customFormat="false" ht="15" hidden="false" customHeight="false" outlineLevel="0" collapsed="false">
      <c r="A1683" s="14"/>
      <c r="B1683" s="9"/>
      <c r="C1683" s="9"/>
      <c r="D1683" s="9"/>
      <c r="E1683" s="9"/>
      <c r="F1683" s="17" t="str">
        <f aca="false">IF(AND(A1683="",B1683="",C1683=""),"",IF(NOT(ISNUMBER(A1683)),"Enter the date done",IF(SUMPRODUCT(('PM Plan'!$A$5:$A$304=B1683)*('PM Plan'!$B$5:$B$304=C1683))=0,"No matching asset + task in plan","OK")))</f>
        <v/>
      </c>
    </row>
    <row r="1684" customFormat="false" ht="15" hidden="false" customHeight="false" outlineLevel="0" collapsed="false">
      <c r="A1684" s="14"/>
      <c r="B1684" s="9"/>
      <c r="C1684" s="9"/>
      <c r="D1684" s="9"/>
      <c r="E1684" s="9"/>
      <c r="F1684" s="17" t="str">
        <f aca="false">IF(AND(A1684="",B1684="",C1684=""),"",IF(NOT(ISNUMBER(A1684)),"Enter the date done",IF(SUMPRODUCT(('PM Plan'!$A$5:$A$304=B1684)*('PM Plan'!$B$5:$B$304=C1684))=0,"No matching asset + task in plan","OK")))</f>
        <v/>
      </c>
    </row>
    <row r="1685" customFormat="false" ht="15" hidden="false" customHeight="false" outlineLevel="0" collapsed="false">
      <c r="A1685" s="14"/>
      <c r="B1685" s="9"/>
      <c r="C1685" s="9"/>
      <c r="D1685" s="9"/>
      <c r="E1685" s="9"/>
      <c r="F1685" s="17" t="str">
        <f aca="false">IF(AND(A1685="",B1685="",C1685=""),"",IF(NOT(ISNUMBER(A1685)),"Enter the date done",IF(SUMPRODUCT(('PM Plan'!$A$5:$A$304=B1685)*('PM Plan'!$B$5:$B$304=C1685))=0,"No matching asset + task in plan","OK")))</f>
        <v/>
      </c>
    </row>
    <row r="1686" customFormat="false" ht="15" hidden="false" customHeight="false" outlineLevel="0" collapsed="false">
      <c r="A1686" s="14"/>
      <c r="B1686" s="9"/>
      <c r="C1686" s="9"/>
      <c r="D1686" s="9"/>
      <c r="E1686" s="9"/>
      <c r="F1686" s="17" t="str">
        <f aca="false">IF(AND(A1686="",B1686="",C1686=""),"",IF(NOT(ISNUMBER(A1686)),"Enter the date done",IF(SUMPRODUCT(('PM Plan'!$A$5:$A$304=B1686)*('PM Plan'!$B$5:$B$304=C1686))=0,"No matching asset + task in plan","OK")))</f>
        <v/>
      </c>
    </row>
    <row r="1687" customFormat="false" ht="15" hidden="false" customHeight="false" outlineLevel="0" collapsed="false">
      <c r="A1687" s="14"/>
      <c r="B1687" s="9"/>
      <c r="C1687" s="9"/>
      <c r="D1687" s="9"/>
      <c r="E1687" s="9"/>
      <c r="F1687" s="17" t="str">
        <f aca="false">IF(AND(A1687="",B1687="",C1687=""),"",IF(NOT(ISNUMBER(A1687)),"Enter the date done",IF(SUMPRODUCT(('PM Plan'!$A$5:$A$304=B1687)*('PM Plan'!$B$5:$B$304=C1687))=0,"No matching asset + task in plan","OK")))</f>
        <v/>
      </c>
    </row>
    <row r="1688" customFormat="false" ht="15" hidden="false" customHeight="false" outlineLevel="0" collapsed="false">
      <c r="A1688" s="14"/>
      <c r="B1688" s="9"/>
      <c r="C1688" s="9"/>
      <c r="D1688" s="9"/>
      <c r="E1688" s="9"/>
      <c r="F1688" s="17" t="str">
        <f aca="false">IF(AND(A1688="",B1688="",C1688=""),"",IF(NOT(ISNUMBER(A1688)),"Enter the date done",IF(SUMPRODUCT(('PM Plan'!$A$5:$A$304=B1688)*('PM Plan'!$B$5:$B$304=C1688))=0,"No matching asset + task in plan","OK")))</f>
        <v/>
      </c>
    </row>
    <row r="1689" customFormat="false" ht="15" hidden="false" customHeight="false" outlineLevel="0" collapsed="false">
      <c r="A1689" s="14"/>
      <c r="B1689" s="9"/>
      <c r="C1689" s="9"/>
      <c r="D1689" s="9"/>
      <c r="E1689" s="9"/>
      <c r="F1689" s="17" t="str">
        <f aca="false">IF(AND(A1689="",B1689="",C1689=""),"",IF(NOT(ISNUMBER(A1689)),"Enter the date done",IF(SUMPRODUCT(('PM Plan'!$A$5:$A$304=B1689)*('PM Plan'!$B$5:$B$304=C1689))=0,"No matching asset + task in plan","OK")))</f>
        <v/>
      </c>
    </row>
    <row r="1690" customFormat="false" ht="15" hidden="false" customHeight="false" outlineLevel="0" collapsed="false">
      <c r="A1690" s="14"/>
      <c r="B1690" s="9"/>
      <c r="C1690" s="9"/>
      <c r="D1690" s="9"/>
      <c r="E1690" s="9"/>
      <c r="F1690" s="17" t="str">
        <f aca="false">IF(AND(A1690="",B1690="",C1690=""),"",IF(NOT(ISNUMBER(A1690)),"Enter the date done",IF(SUMPRODUCT(('PM Plan'!$A$5:$A$304=B1690)*('PM Plan'!$B$5:$B$304=C1690))=0,"No matching asset + task in plan","OK")))</f>
        <v/>
      </c>
    </row>
    <row r="1691" customFormat="false" ht="15" hidden="false" customHeight="false" outlineLevel="0" collapsed="false">
      <c r="A1691" s="14"/>
      <c r="B1691" s="9"/>
      <c r="C1691" s="9"/>
      <c r="D1691" s="9"/>
      <c r="E1691" s="9"/>
      <c r="F1691" s="17" t="str">
        <f aca="false">IF(AND(A1691="",B1691="",C1691=""),"",IF(NOT(ISNUMBER(A1691)),"Enter the date done",IF(SUMPRODUCT(('PM Plan'!$A$5:$A$304=B1691)*('PM Plan'!$B$5:$B$304=C1691))=0,"No matching asset + task in plan","OK")))</f>
        <v/>
      </c>
    </row>
    <row r="1692" customFormat="false" ht="15" hidden="false" customHeight="false" outlineLevel="0" collapsed="false">
      <c r="A1692" s="14"/>
      <c r="B1692" s="9"/>
      <c r="C1692" s="9"/>
      <c r="D1692" s="9"/>
      <c r="E1692" s="9"/>
      <c r="F1692" s="17" t="str">
        <f aca="false">IF(AND(A1692="",B1692="",C1692=""),"",IF(NOT(ISNUMBER(A1692)),"Enter the date done",IF(SUMPRODUCT(('PM Plan'!$A$5:$A$304=B1692)*('PM Plan'!$B$5:$B$304=C1692))=0,"No matching asset + task in plan","OK")))</f>
        <v/>
      </c>
    </row>
    <row r="1693" customFormat="false" ht="15" hidden="false" customHeight="false" outlineLevel="0" collapsed="false">
      <c r="A1693" s="14"/>
      <c r="B1693" s="9"/>
      <c r="C1693" s="9"/>
      <c r="D1693" s="9"/>
      <c r="E1693" s="9"/>
      <c r="F1693" s="17" t="str">
        <f aca="false">IF(AND(A1693="",B1693="",C1693=""),"",IF(NOT(ISNUMBER(A1693)),"Enter the date done",IF(SUMPRODUCT(('PM Plan'!$A$5:$A$304=B1693)*('PM Plan'!$B$5:$B$304=C1693))=0,"No matching asset + task in plan","OK")))</f>
        <v/>
      </c>
    </row>
    <row r="1694" customFormat="false" ht="15" hidden="false" customHeight="false" outlineLevel="0" collapsed="false">
      <c r="A1694" s="14"/>
      <c r="B1694" s="9"/>
      <c r="C1694" s="9"/>
      <c r="D1694" s="9"/>
      <c r="E1694" s="9"/>
      <c r="F1694" s="17" t="str">
        <f aca="false">IF(AND(A1694="",B1694="",C1694=""),"",IF(NOT(ISNUMBER(A1694)),"Enter the date done",IF(SUMPRODUCT(('PM Plan'!$A$5:$A$304=B1694)*('PM Plan'!$B$5:$B$304=C1694))=0,"No matching asset + task in plan","OK")))</f>
        <v/>
      </c>
    </row>
    <row r="1695" customFormat="false" ht="15" hidden="false" customHeight="false" outlineLevel="0" collapsed="false">
      <c r="A1695" s="14"/>
      <c r="B1695" s="9"/>
      <c r="C1695" s="9"/>
      <c r="D1695" s="9"/>
      <c r="E1695" s="9"/>
      <c r="F1695" s="17" t="str">
        <f aca="false">IF(AND(A1695="",B1695="",C1695=""),"",IF(NOT(ISNUMBER(A1695)),"Enter the date done",IF(SUMPRODUCT(('PM Plan'!$A$5:$A$304=B1695)*('PM Plan'!$B$5:$B$304=C1695))=0,"No matching asset + task in plan","OK")))</f>
        <v/>
      </c>
    </row>
    <row r="1696" customFormat="false" ht="15" hidden="false" customHeight="false" outlineLevel="0" collapsed="false">
      <c r="A1696" s="14"/>
      <c r="B1696" s="9"/>
      <c r="C1696" s="9"/>
      <c r="D1696" s="9"/>
      <c r="E1696" s="9"/>
      <c r="F1696" s="17" t="str">
        <f aca="false">IF(AND(A1696="",B1696="",C1696=""),"",IF(NOT(ISNUMBER(A1696)),"Enter the date done",IF(SUMPRODUCT(('PM Plan'!$A$5:$A$304=B1696)*('PM Plan'!$B$5:$B$304=C1696))=0,"No matching asset + task in plan","OK")))</f>
        <v/>
      </c>
    </row>
    <row r="1697" customFormat="false" ht="15" hidden="false" customHeight="false" outlineLevel="0" collapsed="false">
      <c r="A1697" s="14"/>
      <c r="B1697" s="9"/>
      <c r="C1697" s="9"/>
      <c r="D1697" s="9"/>
      <c r="E1697" s="9"/>
      <c r="F1697" s="17" t="str">
        <f aca="false">IF(AND(A1697="",B1697="",C1697=""),"",IF(NOT(ISNUMBER(A1697)),"Enter the date done",IF(SUMPRODUCT(('PM Plan'!$A$5:$A$304=B1697)*('PM Plan'!$B$5:$B$304=C1697))=0,"No matching asset + task in plan","OK")))</f>
        <v/>
      </c>
    </row>
    <row r="1698" customFormat="false" ht="15" hidden="false" customHeight="false" outlineLevel="0" collapsed="false">
      <c r="A1698" s="14"/>
      <c r="B1698" s="9"/>
      <c r="C1698" s="9"/>
      <c r="D1698" s="9"/>
      <c r="E1698" s="9"/>
      <c r="F1698" s="17" t="str">
        <f aca="false">IF(AND(A1698="",B1698="",C1698=""),"",IF(NOT(ISNUMBER(A1698)),"Enter the date done",IF(SUMPRODUCT(('PM Plan'!$A$5:$A$304=B1698)*('PM Plan'!$B$5:$B$304=C1698))=0,"No matching asset + task in plan","OK")))</f>
        <v/>
      </c>
    </row>
    <row r="1699" customFormat="false" ht="15" hidden="false" customHeight="false" outlineLevel="0" collapsed="false">
      <c r="A1699" s="14"/>
      <c r="B1699" s="9"/>
      <c r="C1699" s="9"/>
      <c r="D1699" s="9"/>
      <c r="E1699" s="9"/>
      <c r="F1699" s="17" t="str">
        <f aca="false">IF(AND(A1699="",B1699="",C1699=""),"",IF(NOT(ISNUMBER(A1699)),"Enter the date done",IF(SUMPRODUCT(('PM Plan'!$A$5:$A$304=B1699)*('PM Plan'!$B$5:$B$304=C1699))=0,"No matching asset + task in plan","OK")))</f>
        <v/>
      </c>
    </row>
    <row r="1700" customFormat="false" ht="15" hidden="false" customHeight="false" outlineLevel="0" collapsed="false">
      <c r="A1700" s="14"/>
      <c r="B1700" s="9"/>
      <c r="C1700" s="9"/>
      <c r="D1700" s="9"/>
      <c r="E1700" s="9"/>
      <c r="F1700" s="17" t="str">
        <f aca="false">IF(AND(A1700="",B1700="",C1700=""),"",IF(NOT(ISNUMBER(A1700)),"Enter the date done",IF(SUMPRODUCT(('PM Plan'!$A$5:$A$304=B1700)*('PM Plan'!$B$5:$B$304=C1700))=0,"No matching asset + task in plan","OK")))</f>
        <v/>
      </c>
    </row>
    <row r="1701" customFormat="false" ht="15" hidden="false" customHeight="false" outlineLevel="0" collapsed="false">
      <c r="A1701" s="14"/>
      <c r="B1701" s="9"/>
      <c r="C1701" s="9"/>
      <c r="D1701" s="9"/>
      <c r="E1701" s="9"/>
      <c r="F1701" s="17" t="str">
        <f aca="false">IF(AND(A1701="",B1701="",C1701=""),"",IF(NOT(ISNUMBER(A1701)),"Enter the date done",IF(SUMPRODUCT(('PM Plan'!$A$5:$A$304=B1701)*('PM Plan'!$B$5:$B$304=C1701))=0,"No matching asset + task in plan","OK")))</f>
        <v/>
      </c>
    </row>
    <row r="1702" customFormat="false" ht="15" hidden="false" customHeight="false" outlineLevel="0" collapsed="false">
      <c r="A1702" s="14"/>
      <c r="B1702" s="9"/>
      <c r="C1702" s="9"/>
      <c r="D1702" s="9"/>
      <c r="E1702" s="9"/>
      <c r="F1702" s="17" t="str">
        <f aca="false">IF(AND(A1702="",B1702="",C1702=""),"",IF(NOT(ISNUMBER(A1702)),"Enter the date done",IF(SUMPRODUCT(('PM Plan'!$A$5:$A$304=B1702)*('PM Plan'!$B$5:$B$304=C1702))=0,"No matching asset + task in plan","OK")))</f>
        <v/>
      </c>
    </row>
    <row r="1703" customFormat="false" ht="15" hidden="false" customHeight="false" outlineLevel="0" collapsed="false">
      <c r="A1703" s="14"/>
      <c r="B1703" s="9"/>
      <c r="C1703" s="9"/>
      <c r="D1703" s="9"/>
      <c r="E1703" s="9"/>
      <c r="F1703" s="17" t="str">
        <f aca="false">IF(AND(A1703="",B1703="",C1703=""),"",IF(NOT(ISNUMBER(A1703)),"Enter the date done",IF(SUMPRODUCT(('PM Plan'!$A$5:$A$304=B1703)*('PM Plan'!$B$5:$B$304=C1703))=0,"No matching asset + task in plan","OK")))</f>
        <v/>
      </c>
    </row>
    <row r="1704" customFormat="false" ht="15" hidden="false" customHeight="false" outlineLevel="0" collapsed="false">
      <c r="A1704" s="14"/>
      <c r="B1704" s="9"/>
      <c r="C1704" s="9"/>
      <c r="D1704" s="9"/>
      <c r="E1704" s="9"/>
      <c r="F1704" s="17" t="str">
        <f aca="false">IF(AND(A1704="",B1704="",C1704=""),"",IF(NOT(ISNUMBER(A1704)),"Enter the date done",IF(SUMPRODUCT(('PM Plan'!$A$5:$A$304=B1704)*('PM Plan'!$B$5:$B$304=C1704))=0,"No matching asset + task in plan","OK")))</f>
        <v/>
      </c>
    </row>
    <row r="1705" customFormat="false" ht="15" hidden="false" customHeight="false" outlineLevel="0" collapsed="false">
      <c r="A1705" s="14"/>
      <c r="B1705" s="9"/>
      <c r="C1705" s="9"/>
      <c r="D1705" s="9"/>
      <c r="E1705" s="9"/>
      <c r="F1705" s="17" t="str">
        <f aca="false">IF(AND(A1705="",B1705="",C1705=""),"",IF(NOT(ISNUMBER(A1705)),"Enter the date done",IF(SUMPRODUCT(('PM Plan'!$A$5:$A$304=B1705)*('PM Plan'!$B$5:$B$304=C1705))=0,"No matching asset + task in plan","OK")))</f>
        <v/>
      </c>
    </row>
    <row r="1706" customFormat="false" ht="15" hidden="false" customHeight="false" outlineLevel="0" collapsed="false">
      <c r="A1706" s="14"/>
      <c r="B1706" s="9"/>
      <c r="C1706" s="9"/>
      <c r="D1706" s="9"/>
      <c r="E1706" s="9"/>
      <c r="F1706" s="17" t="str">
        <f aca="false">IF(AND(A1706="",B1706="",C1706=""),"",IF(NOT(ISNUMBER(A1706)),"Enter the date done",IF(SUMPRODUCT(('PM Plan'!$A$5:$A$304=B1706)*('PM Plan'!$B$5:$B$304=C1706))=0,"No matching asset + task in plan","OK")))</f>
        <v/>
      </c>
    </row>
    <row r="1707" customFormat="false" ht="15" hidden="false" customHeight="false" outlineLevel="0" collapsed="false">
      <c r="A1707" s="14"/>
      <c r="B1707" s="9"/>
      <c r="C1707" s="9"/>
      <c r="D1707" s="9"/>
      <c r="E1707" s="9"/>
      <c r="F1707" s="17" t="str">
        <f aca="false">IF(AND(A1707="",B1707="",C1707=""),"",IF(NOT(ISNUMBER(A1707)),"Enter the date done",IF(SUMPRODUCT(('PM Plan'!$A$5:$A$304=B1707)*('PM Plan'!$B$5:$B$304=C1707))=0,"No matching asset + task in plan","OK")))</f>
        <v/>
      </c>
    </row>
    <row r="1708" customFormat="false" ht="15" hidden="false" customHeight="false" outlineLevel="0" collapsed="false">
      <c r="A1708" s="14"/>
      <c r="B1708" s="9"/>
      <c r="C1708" s="9"/>
      <c r="D1708" s="9"/>
      <c r="E1708" s="9"/>
      <c r="F1708" s="17" t="str">
        <f aca="false">IF(AND(A1708="",B1708="",C1708=""),"",IF(NOT(ISNUMBER(A1708)),"Enter the date done",IF(SUMPRODUCT(('PM Plan'!$A$5:$A$304=B1708)*('PM Plan'!$B$5:$B$304=C1708))=0,"No matching asset + task in plan","OK")))</f>
        <v/>
      </c>
    </row>
    <row r="1709" customFormat="false" ht="15" hidden="false" customHeight="false" outlineLevel="0" collapsed="false">
      <c r="A1709" s="14"/>
      <c r="B1709" s="9"/>
      <c r="C1709" s="9"/>
      <c r="D1709" s="9"/>
      <c r="E1709" s="9"/>
      <c r="F1709" s="17" t="str">
        <f aca="false">IF(AND(A1709="",B1709="",C1709=""),"",IF(NOT(ISNUMBER(A1709)),"Enter the date done",IF(SUMPRODUCT(('PM Plan'!$A$5:$A$304=B1709)*('PM Plan'!$B$5:$B$304=C1709))=0,"No matching asset + task in plan","OK")))</f>
        <v/>
      </c>
    </row>
    <row r="1710" customFormat="false" ht="15" hidden="false" customHeight="false" outlineLevel="0" collapsed="false">
      <c r="A1710" s="14"/>
      <c r="B1710" s="9"/>
      <c r="C1710" s="9"/>
      <c r="D1710" s="9"/>
      <c r="E1710" s="9"/>
      <c r="F1710" s="17" t="str">
        <f aca="false">IF(AND(A1710="",B1710="",C1710=""),"",IF(NOT(ISNUMBER(A1710)),"Enter the date done",IF(SUMPRODUCT(('PM Plan'!$A$5:$A$304=B1710)*('PM Plan'!$B$5:$B$304=C1710))=0,"No matching asset + task in plan","OK")))</f>
        <v/>
      </c>
    </row>
    <row r="1711" customFormat="false" ht="15" hidden="false" customHeight="false" outlineLevel="0" collapsed="false">
      <c r="A1711" s="14"/>
      <c r="B1711" s="9"/>
      <c r="C1711" s="9"/>
      <c r="D1711" s="9"/>
      <c r="E1711" s="9"/>
      <c r="F1711" s="17" t="str">
        <f aca="false">IF(AND(A1711="",B1711="",C1711=""),"",IF(NOT(ISNUMBER(A1711)),"Enter the date done",IF(SUMPRODUCT(('PM Plan'!$A$5:$A$304=B1711)*('PM Plan'!$B$5:$B$304=C1711))=0,"No matching asset + task in plan","OK")))</f>
        <v/>
      </c>
    </row>
    <row r="1712" customFormat="false" ht="15" hidden="false" customHeight="false" outlineLevel="0" collapsed="false">
      <c r="A1712" s="14"/>
      <c r="B1712" s="9"/>
      <c r="C1712" s="9"/>
      <c r="D1712" s="9"/>
      <c r="E1712" s="9"/>
      <c r="F1712" s="17" t="str">
        <f aca="false">IF(AND(A1712="",B1712="",C1712=""),"",IF(NOT(ISNUMBER(A1712)),"Enter the date done",IF(SUMPRODUCT(('PM Plan'!$A$5:$A$304=B1712)*('PM Plan'!$B$5:$B$304=C1712))=0,"No matching asset + task in plan","OK")))</f>
        <v/>
      </c>
    </row>
    <row r="1713" customFormat="false" ht="15" hidden="false" customHeight="false" outlineLevel="0" collapsed="false">
      <c r="A1713" s="14"/>
      <c r="B1713" s="9"/>
      <c r="C1713" s="9"/>
      <c r="D1713" s="9"/>
      <c r="E1713" s="9"/>
      <c r="F1713" s="17" t="str">
        <f aca="false">IF(AND(A1713="",B1713="",C1713=""),"",IF(NOT(ISNUMBER(A1713)),"Enter the date done",IF(SUMPRODUCT(('PM Plan'!$A$5:$A$304=B1713)*('PM Plan'!$B$5:$B$304=C1713))=0,"No matching asset + task in plan","OK")))</f>
        <v/>
      </c>
    </row>
    <row r="1714" customFormat="false" ht="15" hidden="false" customHeight="false" outlineLevel="0" collapsed="false">
      <c r="A1714" s="14"/>
      <c r="B1714" s="9"/>
      <c r="C1714" s="9"/>
      <c r="D1714" s="9"/>
      <c r="E1714" s="9"/>
      <c r="F1714" s="17" t="str">
        <f aca="false">IF(AND(A1714="",B1714="",C1714=""),"",IF(NOT(ISNUMBER(A1714)),"Enter the date done",IF(SUMPRODUCT(('PM Plan'!$A$5:$A$304=B1714)*('PM Plan'!$B$5:$B$304=C1714))=0,"No matching asset + task in plan","OK")))</f>
        <v/>
      </c>
    </row>
    <row r="1715" customFormat="false" ht="15" hidden="false" customHeight="false" outlineLevel="0" collapsed="false">
      <c r="A1715" s="14"/>
      <c r="B1715" s="9"/>
      <c r="C1715" s="9"/>
      <c r="D1715" s="9"/>
      <c r="E1715" s="9"/>
      <c r="F1715" s="17" t="str">
        <f aca="false">IF(AND(A1715="",B1715="",C1715=""),"",IF(NOT(ISNUMBER(A1715)),"Enter the date done",IF(SUMPRODUCT(('PM Plan'!$A$5:$A$304=B1715)*('PM Plan'!$B$5:$B$304=C1715))=0,"No matching asset + task in plan","OK")))</f>
        <v/>
      </c>
    </row>
    <row r="1716" customFormat="false" ht="15" hidden="false" customHeight="false" outlineLevel="0" collapsed="false">
      <c r="A1716" s="14"/>
      <c r="B1716" s="9"/>
      <c r="C1716" s="9"/>
      <c r="D1716" s="9"/>
      <c r="E1716" s="9"/>
      <c r="F1716" s="17" t="str">
        <f aca="false">IF(AND(A1716="",B1716="",C1716=""),"",IF(NOT(ISNUMBER(A1716)),"Enter the date done",IF(SUMPRODUCT(('PM Plan'!$A$5:$A$304=B1716)*('PM Plan'!$B$5:$B$304=C1716))=0,"No matching asset + task in plan","OK")))</f>
        <v/>
      </c>
    </row>
    <row r="1717" customFormat="false" ht="15" hidden="false" customHeight="false" outlineLevel="0" collapsed="false">
      <c r="A1717" s="14"/>
      <c r="B1717" s="9"/>
      <c r="C1717" s="9"/>
      <c r="D1717" s="9"/>
      <c r="E1717" s="9"/>
      <c r="F1717" s="17" t="str">
        <f aca="false">IF(AND(A1717="",B1717="",C1717=""),"",IF(NOT(ISNUMBER(A1717)),"Enter the date done",IF(SUMPRODUCT(('PM Plan'!$A$5:$A$304=B1717)*('PM Plan'!$B$5:$B$304=C1717))=0,"No matching asset + task in plan","OK")))</f>
        <v/>
      </c>
    </row>
    <row r="1718" customFormat="false" ht="15" hidden="false" customHeight="false" outlineLevel="0" collapsed="false">
      <c r="A1718" s="14"/>
      <c r="B1718" s="9"/>
      <c r="C1718" s="9"/>
      <c r="D1718" s="9"/>
      <c r="E1718" s="9"/>
      <c r="F1718" s="17" t="str">
        <f aca="false">IF(AND(A1718="",B1718="",C1718=""),"",IF(NOT(ISNUMBER(A1718)),"Enter the date done",IF(SUMPRODUCT(('PM Plan'!$A$5:$A$304=B1718)*('PM Plan'!$B$5:$B$304=C1718))=0,"No matching asset + task in plan","OK")))</f>
        <v/>
      </c>
    </row>
    <row r="1719" customFormat="false" ht="15" hidden="false" customHeight="false" outlineLevel="0" collapsed="false">
      <c r="A1719" s="14"/>
      <c r="B1719" s="9"/>
      <c r="C1719" s="9"/>
      <c r="D1719" s="9"/>
      <c r="E1719" s="9"/>
      <c r="F1719" s="17" t="str">
        <f aca="false">IF(AND(A1719="",B1719="",C1719=""),"",IF(NOT(ISNUMBER(A1719)),"Enter the date done",IF(SUMPRODUCT(('PM Plan'!$A$5:$A$304=B1719)*('PM Plan'!$B$5:$B$304=C1719))=0,"No matching asset + task in plan","OK")))</f>
        <v/>
      </c>
    </row>
    <row r="1720" customFormat="false" ht="15" hidden="false" customHeight="false" outlineLevel="0" collapsed="false">
      <c r="A1720" s="14"/>
      <c r="B1720" s="9"/>
      <c r="C1720" s="9"/>
      <c r="D1720" s="9"/>
      <c r="E1720" s="9"/>
      <c r="F1720" s="17" t="str">
        <f aca="false">IF(AND(A1720="",B1720="",C1720=""),"",IF(NOT(ISNUMBER(A1720)),"Enter the date done",IF(SUMPRODUCT(('PM Plan'!$A$5:$A$304=B1720)*('PM Plan'!$B$5:$B$304=C1720))=0,"No matching asset + task in plan","OK")))</f>
        <v/>
      </c>
    </row>
    <row r="1721" customFormat="false" ht="15" hidden="false" customHeight="false" outlineLevel="0" collapsed="false">
      <c r="A1721" s="14"/>
      <c r="B1721" s="9"/>
      <c r="C1721" s="9"/>
      <c r="D1721" s="9"/>
      <c r="E1721" s="9"/>
      <c r="F1721" s="17" t="str">
        <f aca="false">IF(AND(A1721="",B1721="",C1721=""),"",IF(NOT(ISNUMBER(A1721)),"Enter the date done",IF(SUMPRODUCT(('PM Plan'!$A$5:$A$304=B1721)*('PM Plan'!$B$5:$B$304=C1721))=0,"No matching asset + task in plan","OK")))</f>
        <v/>
      </c>
    </row>
    <row r="1722" customFormat="false" ht="15" hidden="false" customHeight="false" outlineLevel="0" collapsed="false">
      <c r="A1722" s="14"/>
      <c r="B1722" s="9"/>
      <c r="C1722" s="9"/>
      <c r="D1722" s="9"/>
      <c r="E1722" s="9"/>
      <c r="F1722" s="17" t="str">
        <f aca="false">IF(AND(A1722="",B1722="",C1722=""),"",IF(NOT(ISNUMBER(A1722)),"Enter the date done",IF(SUMPRODUCT(('PM Plan'!$A$5:$A$304=B1722)*('PM Plan'!$B$5:$B$304=C1722))=0,"No matching asset + task in plan","OK")))</f>
        <v/>
      </c>
    </row>
    <row r="1723" customFormat="false" ht="15" hidden="false" customHeight="false" outlineLevel="0" collapsed="false">
      <c r="A1723" s="14"/>
      <c r="B1723" s="9"/>
      <c r="C1723" s="9"/>
      <c r="D1723" s="9"/>
      <c r="E1723" s="9"/>
      <c r="F1723" s="17" t="str">
        <f aca="false">IF(AND(A1723="",B1723="",C1723=""),"",IF(NOT(ISNUMBER(A1723)),"Enter the date done",IF(SUMPRODUCT(('PM Plan'!$A$5:$A$304=B1723)*('PM Plan'!$B$5:$B$304=C1723))=0,"No matching asset + task in plan","OK")))</f>
        <v/>
      </c>
    </row>
    <row r="1724" customFormat="false" ht="15" hidden="false" customHeight="false" outlineLevel="0" collapsed="false">
      <c r="A1724" s="14"/>
      <c r="B1724" s="9"/>
      <c r="C1724" s="9"/>
      <c r="D1724" s="9"/>
      <c r="E1724" s="9"/>
      <c r="F1724" s="17" t="str">
        <f aca="false">IF(AND(A1724="",B1724="",C1724=""),"",IF(NOT(ISNUMBER(A1724)),"Enter the date done",IF(SUMPRODUCT(('PM Plan'!$A$5:$A$304=B1724)*('PM Plan'!$B$5:$B$304=C1724))=0,"No matching asset + task in plan","OK")))</f>
        <v/>
      </c>
    </row>
    <row r="1725" customFormat="false" ht="15" hidden="false" customHeight="false" outlineLevel="0" collapsed="false">
      <c r="A1725" s="14"/>
      <c r="B1725" s="9"/>
      <c r="C1725" s="9"/>
      <c r="D1725" s="9"/>
      <c r="E1725" s="9"/>
      <c r="F1725" s="17" t="str">
        <f aca="false">IF(AND(A1725="",B1725="",C1725=""),"",IF(NOT(ISNUMBER(A1725)),"Enter the date done",IF(SUMPRODUCT(('PM Plan'!$A$5:$A$304=B1725)*('PM Plan'!$B$5:$B$304=C1725))=0,"No matching asset + task in plan","OK")))</f>
        <v/>
      </c>
    </row>
    <row r="1726" customFormat="false" ht="15" hidden="false" customHeight="false" outlineLevel="0" collapsed="false">
      <c r="A1726" s="14"/>
      <c r="B1726" s="9"/>
      <c r="C1726" s="9"/>
      <c r="D1726" s="9"/>
      <c r="E1726" s="9"/>
      <c r="F1726" s="17" t="str">
        <f aca="false">IF(AND(A1726="",B1726="",C1726=""),"",IF(NOT(ISNUMBER(A1726)),"Enter the date done",IF(SUMPRODUCT(('PM Plan'!$A$5:$A$304=B1726)*('PM Plan'!$B$5:$B$304=C1726))=0,"No matching asset + task in plan","OK")))</f>
        <v/>
      </c>
    </row>
    <row r="1727" customFormat="false" ht="15" hidden="false" customHeight="false" outlineLevel="0" collapsed="false">
      <c r="A1727" s="14"/>
      <c r="B1727" s="9"/>
      <c r="C1727" s="9"/>
      <c r="D1727" s="9"/>
      <c r="E1727" s="9"/>
      <c r="F1727" s="17" t="str">
        <f aca="false">IF(AND(A1727="",B1727="",C1727=""),"",IF(NOT(ISNUMBER(A1727)),"Enter the date done",IF(SUMPRODUCT(('PM Plan'!$A$5:$A$304=B1727)*('PM Plan'!$B$5:$B$304=C1727))=0,"No matching asset + task in plan","OK")))</f>
        <v/>
      </c>
    </row>
    <row r="1728" customFormat="false" ht="15" hidden="false" customHeight="false" outlineLevel="0" collapsed="false">
      <c r="A1728" s="14"/>
      <c r="B1728" s="9"/>
      <c r="C1728" s="9"/>
      <c r="D1728" s="9"/>
      <c r="E1728" s="9"/>
      <c r="F1728" s="17" t="str">
        <f aca="false">IF(AND(A1728="",B1728="",C1728=""),"",IF(NOT(ISNUMBER(A1728)),"Enter the date done",IF(SUMPRODUCT(('PM Plan'!$A$5:$A$304=B1728)*('PM Plan'!$B$5:$B$304=C1728))=0,"No matching asset + task in plan","OK")))</f>
        <v/>
      </c>
    </row>
    <row r="1729" customFormat="false" ht="15" hidden="false" customHeight="false" outlineLevel="0" collapsed="false">
      <c r="A1729" s="14"/>
      <c r="B1729" s="9"/>
      <c r="C1729" s="9"/>
      <c r="D1729" s="9"/>
      <c r="E1729" s="9"/>
      <c r="F1729" s="17" t="str">
        <f aca="false">IF(AND(A1729="",B1729="",C1729=""),"",IF(NOT(ISNUMBER(A1729)),"Enter the date done",IF(SUMPRODUCT(('PM Plan'!$A$5:$A$304=B1729)*('PM Plan'!$B$5:$B$304=C1729))=0,"No matching asset + task in plan","OK")))</f>
        <v/>
      </c>
    </row>
    <row r="1730" customFormat="false" ht="15" hidden="false" customHeight="false" outlineLevel="0" collapsed="false">
      <c r="A1730" s="14"/>
      <c r="B1730" s="9"/>
      <c r="C1730" s="9"/>
      <c r="D1730" s="9"/>
      <c r="E1730" s="9"/>
      <c r="F1730" s="17" t="str">
        <f aca="false">IF(AND(A1730="",B1730="",C1730=""),"",IF(NOT(ISNUMBER(A1730)),"Enter the date done",IF(SUMPRODUCT(('PM Plan'!$A$5:$A$304=B1730)*('PM Plan'!$B$5:$B$304=C1730))=0,"No matching asset + task in plan","OK")))</f>
        <v/>
      </c>
    </row>
    <row r="1731" customFormat="false" ht="15" hidden="false" customHeight="false" outlineLevel="0" collapsed="false">
      <c r="A1731" s="14"/>
      <c r="B1731" s="9"/>
      <c r="C1731" s="9"/>
      <c r="D1731" s="9"/>
      <c r="E1731" s="9"/>
      <c r="F1731" s="17" t="str">
        <f aca="false">IF(AND(A1731="",B1731="",C1731=""),"",IF(NOT(ISNUMBER(A1731)),"Enter the date done",IF(SUMPRODUCT(('PM Plan'!$A$5:$A$304=B1731)*('PM Plan'!$B$5:$B$304=C1731))=0,"No matching asset + task in plan","OK")))</f>
        <v/>
      </c>
    </row>
    <row r="1732" customFormat="false" ht="15" hidden="false" customHeight="false" outlineLevel="0" collapsed="false">
      <c r="A1732" s="14"/>
      <c r="B1732" s="9"/>
      <c r="C1732" s="9"/>
      <c r="D1732" s="9"/>
      <c r="E1732" s="9"/>
      <c r="F1732" s="17" t="str">
        <f aca="false">IF(AND(A1732="",B1732="",C1732=""),"",IF(NOT(ISNUMBER(A1732)),"Enter the date done",IF(SUMPRODUCT(('PM Plan'!$A$5:$A$304=B1732)*('PM Plan'!$B$5:$B$304=C1732))=0,"No matching asset + task in plan","OK")))</f>
        <v/>
      </c>
    </row>
    <row r="1733" customFormat="false" ht="15" hidden="false" customHeight="false" outlineLevel="0" collapsed="false">
      <c r="A1733" s="14"/>
      <c r="B1733" s="9"/>
      <c r="C1733" s="9"/>
      <c r="D1733" s="9"/>
      <c r="E1733" s="9"/>
      <c r="F1733" s="17" t="str">
        <f aca="false">IF(AND(A1733="",B1733="",C1733=""),"",IF(NOT(ISNUMBER(A1733)),"Enter the date done",IF(SUMPRODUCT(('PM Plan'!$A$5:$A$304=B1733)*('PM Plan'!$B$5:$B$304=C1733))=0,"No matching asset + task in plan","OK")))</f>
        <v/>
      </c>
    </row>
    <row r="1734" customFormat="false" ht="15" hidden="false" customHeight="false" outlineLevel="0" collapsed="false">
      <c r="A1734" s="14"/>
      <c r="B1734" s="9"/>
      <c r="C1734" s="9"/>
      <c r="D1734" s="9"/>
      <c r="E1734" s="9"/>
      <c r="F1734" s="17" t="str">
        <f aca="false">IF(AND(A1734="",B1734="",C1734=""),"",IF(NOT(ISNUMBER(A1734)),"Enter the date done",IF(SUMPRODUCT(('PM Plan'!$A$5:$A$304=B1734)*('PM Plan'!$B$5:$B$304=C1734))=0,"No matching asset + task in plan","OK")))</f>
        <v/>
      </c>
    </row>
    <row r="1735" customFormat="false" ht="15" hidden="false" customHeight="false" outlineLevel="0" collapsed="false">
      <c r="A1735" s="14"/>
      <c r="B1735" s="9"/>
      <c r="C1735" s="9"/>
      <c r="D1735" s="9"/>
      <c r="E1735" s="9"/>
      <c r="F1735" s="17" t="str">
        <f aca="false">IF(AND(A1735="",B1735="",C1735=""),"",IF(NOT(ISNUMBER(A1735)),"Enter the date done",IF(SUMPRODUCT(('PM Plan'!$A$5:$A$304=B1735)*('PM Plan'!$B$5:$B$304=C1735))=0,"No matching asset + task in plan","OK")))</f>
        <v/>
      </c>
    </row>
    <row r="1736" customFormat="false" ht="15" hidden="false" customHeight="false" outlineLevel="0" collapsed="false">
      <c r="A1736" s="14"/>
      <c r="B1736" s="9"/>
      <c r="C1736" s="9"/>
      <c r="D1736" s="9"/>
      <c r="E1736" s="9"/>
      <c r="F1736" s="17" t="str">
        <f aca="false">IF(AND(A1736="",B1736="",C1736=""),"",IF(NOT(ISNUMBER(A1736)),"Enter the date done",IF(SUMPRODUCT(('PM Plan'!$A$5:$A$304=B1736)*('PM Plan'!$B$5:$B$304=C1736))=0,"No matching asset + task in plan","OK")))</f>
        <v/>
      </c>
    </row>
    <row r="1737" customFormat="false" ht="15" hidden="false" customHeight="false" outlineLevel="0" collapsed="false">
      <c r="A1737" s="14"/>
      <c r="B1737" s="9"/>
      <c r="C1737" s="9"/>
      <c r="D1737" s="9"/>
      <c r="E1737" s="9"/>
      <c r="F1737" s="17" t="str">
        <f aca="false">IF(AND(A1737="",B1737="",C1737=""),"",IF(NOT(ISNUMBER(A1737)),"Enter the date done",IF(SUMPRODUCT(('PM Plan'!$A$5:$A$304=B1737)*('PM Plan'!$B$5:$B$304=C1737))=0,"No matching asset + task in plan","OK")))</f>
        <v/>
      </c>
    </row>
    <row r="1738" customFormat="false" ht="15" hidden="false" customHeight="false" outlineLevel="0" collapsed="false">
      <c r="A1738" s="14"/>
      <c r="B1738" s="9"/>
      <c r="C1738" s="9"/>
      <c r="D1738" s="9"/>
      <c r="E1738" s="9"/>
      <c r="F1738" s="17" t="str">
        <f aca="false">IF(AND(A1738="",B1738="",C1738=""),"",IF(NOT(ISNUMBER(A1738)),"Enter the date done",IF(SUMPRODUCT(('PM Plan'!$A$5:$A$304=B1738)*('PM Plan'!$B$5:$B$304=C1738))=0,"No matching asset + task in plan","OK")))</f>
        <v/>
      </c>
    </row>
    <row r="1739" customFormat="false" ht="15" hidden="false" customHeight="false" outlineLevel="0" collapsed="false">
      <c r="A1739" s="14"/>
      <c r="B1739" s="9"/>
      <c r="C1739" s="9"/>
      <c r="D1739" s="9"/>
      <c r="E1739" s="9"/>
      <c r="F1739" s="17" t="str">
        <f aca="false">IF(AND(A1739="",B1739="",C1739=""),"",IF(NOT(ISNUMBER(A1739)),"Enter the date done",IF(SUMPRODUCT(('PM Plan'!$A$5:$A$304=B1739)*('PM Plan'!$B$5:$B$304=C1739))=0,"No matching asset + task in plan","OK")))</f>
        <v/>
      </c>
    </row>
    <row r="1740" customFormat="false" ht="15" hidden="false" customHeight="false" outlineLevel="0" collapsed="false">
      <c r="A1740" s="14"/>
      <c r="B1740" s="9"/>
      <c r="C1740" s="9"/>
      <c r="D1740" s="9"/>
      <c r="E1740" s="9"/>
      <c r="F1740" s="17" t="str">
        <f aca="false">IF(AND(A1740="",B1740="",C1740=""),"",IF(NOT(ISNUMBER(A1740)),"Enter the date done",IF(SUMPRODUCT(('PM Plan'!$A$5:$A$304=B1740)*('PM Plan'!$B$5:$B$304=C1740))=0,"No matching asset + task in plan","OK")))</f>
        <v/>
      </c>
    </row>
    <row r="1741" customFormat="false" ht="15" hidden="false" customHeight="false" outlineLevel="0" collapsed="false">
      <c r="A1741" s="14"/>
      <c r="B1741" s="9"/>
      <c r="C1741" s="9"/>
      <c r="D1741" s="9"/>
      <c r="E1741" s="9"/>
      <c r="F1741" s="17" t="str">
        <f aca="false">IF(AND(A1741="",B1741="",C1741=""),"",IF(NOT(ISNUMBER(A1741)),"Enter the date done",IF(SUMPRODUCT(('PM Plan'!$A$5:$A$304=B1741)*('PM Plan'!$B$5:$B$304=C1741))=0,"No matching asset + task in plan","OK")))</f>
        <v/>
      </c>
    </row>
    <row r="1742" customFormat="false" ht="15" hidden="false" customHeight="false" outlineLevel="0" collapsed="false">
      <c r="A1742" s="14"/>
      <c r="B1742" s="9"/>
      <c r="C1742" s="9"/>
      <c r="D1742" s="9"/>
      <c r="E1742" s="9"/>
      <c r="F1742" s="17" t="str">
        <f aca="false">IF(AND(A1742="",B1742="",C1742=""),"",IF(NOT(ISNUMBER(A1742)),"Enter the date done",IF(SUMPRODUCT(('PM Plan'!$A$5:$A$304=B1742)*('PM Plan'!$B$5:$B$304=C1742))=0,"No matching asset + task in plan","OK")))</f>
        <v/>
      </c>
    </row>
    <row r="1743" customFormat="false" ht="15" hidden="false" customHeight="false" outlineLevel="0" collapsed="false">
      <c r="A1743" s="14"/>
      <c r="B1743" s="9"/>
      <c r="C1743" s="9"/>
      <c r="D1743" s="9"/>
      <c r="E1743" s="9"/>
      <c r="F1743" s="17" t="str">
        <f aca="false">IF(AND(A1743="",B1743="",C1743=""),"",IF(NOT(ISNUMBER(A1743)),"Enter the date done",IF(SUMPRODUCT(('PM Plan'!$A$5:$A$304=B1743)*('PM Plan'!$B$5:$B$304=C1743))=0,"No matching asset + task in plan","OK")))</f>
        <v/>
      </c>
    </row>
    <row r="1744" customFormat="false" ht="15" hidden="false" customHeight="false" outlineLevel="0" collapsed="false">
      <c r="A1744" s="14"/>
      <c r="B1744" s="9"/>
      <c r="C1744" s="9"/>
      <c r="D1744" s="9"/>
      <c r="E1744" s="9"/>
      <c r="F1744" s="17" t="str">
        <f aca="false">IF(AND(A1744="",B1744="",C1744=""),"",IF(NOT(ISNUMBER(A1744)),"Enter the date done",IF(SUMPRODUCT(('PM Plan'!$A$5:$A$304=B1744)*('PM Plan'!$B$5:$B$304=C1744))=0,"No matching asset + task in plan","OK")))</f>
        <v/>
      </c>
    </row>
    <row r="1745" customFormat="false" ht="15" hidden="false" customHeight="false" outlineLevel="0" collapsed="false">
      <c r="A1745" s="14"/>
      <c r="B1745" s="9"/>
      <c r="C1745" s="9"/>
      <c r="D1745" s="9"/>
      <c r="E1745" s="9"/>
      <c r="F1745" s="17" t="str">
        <f aca="false">IF(AND(A1745="",B1745="",C1745=""),"",IF(NOT(ISNUMBER(A1745)),"Enter the date done",IF(SUMPRODUCT(('PM Plan'!$A$5:$A$304=B1745)*('PM Plan'!$B$5:$B$304=C1745))=0,"No matching asset + task in plan","OK")))</f>
        <v/>
      </c>
    </row>
    <row r="1746" customFormat="false" ht="15" hidden="false" customHeight="false" outlineLevel="0" collapsed="false">
      <c r="A1746" s="14"/>
      <c r="B1746" s="9"/>
      <c r="C1746" s="9"/>
      <c r="D1746" s="9"/>
      <c r="E1746" s="9"/>
      <c r="F1746" s="17" t="str">
        <f aca="false">IF(AND(A1746="",B1746="",C1746=""),"",IF(NOT(ISNUMBER(A1746)),"Enter the date done",IF(SUMPRODUCT(('PM Plan'!$A$5:$A$304=B1746)*('PM Plan'!$B$5:$B$304=C1746))=0,"No matching asset + task in plan","OK")))</f>
        <v/>
      </c>
    </row>
    <row r="1747" customFormat="false" ht="15" hidden="false" customHeight="false" outlineLevel="0" collapsed="false">
      <c r="A1747" s="14"/>
      <c r="B1747" s="9"/>
      <c r="C1747" s="9"/>
      <c r="D1747" s="9"/>
      <c r="E1747" s="9"/>
      <c r="F1747" s="17" t="str">
        <f aca="false">IF(AND(A1747="",B1747="",C1747=""),"",IF(NOT(ISNUMBER(A1747)),"Enter the date done",IF(SUMPRODUCT(('PM Plan'!$A$5:$A$304=B1747)*('PM Plan'!$B$5:$B$304=C1747))=0,"No matching asset + task in plan","OK")))</f>
        <v/>
      </c>
    </row>
    <row r="1748" customFormat="false" ht="15" hidden="false" customHeight="false" outlineLevel="0" collapsed="false">
      <c r="A1748" s="14"/>
      <c r="B1748" s="9"/>
      <c r="C1748" s="9"/>
      <c r="D1748" s="9"/>
      <c r="E1748" s="9"/>
      <c r="F1748" s="17" t="str">
        <f aca="false">IF(AND(A1748="",B1748="",C1748=""),"",IF(NOT(ISNUMBER(A1748)),"Enter the date done",IF(SUMPRODUCT(('PM Plan'!$A$5:$A$304=B1748)*('PM Plan'!$B$5:$B$304=C1748))=0,"No matching asset + task in plan","OK")))</f>
        <v/>
      </c>
    </row>
    <row r="1749" customFormat="false" ht="15" hidden="false" customHeight="false" outlineLevel="0" collapsed="false">
      <c r="A1749" s="14"/>
      <c r="B1749" s="9"/>
      <c r="C1749" s="9"/>
      <c r="D1749" s="9"/>
      <c r="E1749" s="9"/>
      <c r="F1749" s="17" t="str">
        <f aca="false">IF(AND(A1749="",B1749="",C1749=""),"",IF(NOT(ISNUMBER(A1749)),"Enter the date done",IF(SUMPRODUCT(('PM Plan'!$A$5:$A$304=B1749)*('PM Plan'!$B$5:$B$304=C1749))=0,"No matching asset + task in plan","OK")))</f>
        <v/>
      </c>
    </row>
    <row r="1750" customFormat="false" ht="15" hidden="false" customHeight="false" outlineLevel="0" collapsed="false">
      <c r="A1750" s="14"/>
      <c r="B1750" s="9"/>
      <c r="C1750" s="9"/>
      <c r="D1750" s="9"/>
      <c r="E1750" s="9"/>
      <c r="F1750" s="17" t="str">
        <f aca="false">IF(AND(A1750="",B1750="",C1750=""),"",IF(NOT(ISNUMBER(A1750)),"Enter the date done",IF(SUMPRODUCT(('PM Plan'!$A$5:$A$304=B1750)*('PM Plan'!$B$5:$B$304=C1750))=0,"No matching asset + task in plan","OK")))</f>
        <v/>
      </c>
    </row>
    <row r="1751" customFormat="false" ht="15" hidden="false" customHeight="false" outlineLevel="0" collapsed="false">
      <c r="A1751" s="14"/>
      <c r="B1751" s="9"/>
      <c r="C1751" s="9"/>
      <c r="D1751" s="9"/>
      <c r="E1751" s="9"/>
      <c r="F1751" s="17" t="str">
        <f aca="false">IF(AND(A1751="",B1751="",C1751=""),"",IF(NOT(ISNUMBER(A1751)),"Enter the date done",IF(SUMPRODUCT(('PM Plan'!$A$5:$A$304=B1751)*('PM Plan'!$B$5:$B$304=C1751))=0,"No matching asset + task in plan","OK")))</f>
        <v/>
      </c>
    </row>
    <row r="1752" customFormat="false" ht="15" hidden="false" customHeight="false" outlineLevel="0" collapsed="false">
      <c r="A1752" s="14"/>
      <c r="B1752" s="9"/>
      <c r="C1752" s="9"/>
      <c r="D1752" s="9"/>
      <c r="E1752" s="9"/>
      <c r="F1752" s="17" t="str">
        <f aca="false">IF(AND(A1752="",B1752="",C1752=""),"",IF(NOT(ISNUMBER(A1752)),"Enter the date done",IF(SUMPRODUCT(('PM Plan'!$A$5:$A$304=B1752)*('PM Plan'!$B$5:$B$304=C1752))=0,"No matching asset + task in plan","OK")))</f>
        <v/>
      </c>
    </row>
    <row r="1753" customFormat="false" ht="15" hidden="false" customHeight="false" outlineLevel="0" collapsed="false">
      <c r="A1753" s="14"/>
      <c r="B1753" s="9"/>
      <c r="C1753" s="9"/>
      <c r="D1753" s="9"/>
      <c r="E1753" s="9"/>
      <c r="F1753" s="17" t="str">
        <f aca="false">IF(AND(A1753="",B1753="",C1753=""),"",IF(NOT(ISNUMBER(A1753)),"Enter the date done",IF(SUMPRODUCT(('PM Plan'!$A$5:$A$304=B1753)*('PM Plan'!$B$5:$B$304=C1753))=0,"No matching asset + task in plan","OK")))</f>
        <v/>
      </c>
    </row>
    <row r="1754" customFormat="false" ht="15" hidden="false" customHeight="false" outlineLevel="0" collapsed="false">
      <c r="A1754" s="14"/>
      <c r="B1754" s="9"/>
      <c r="C1754" s="9"/>
      <c r="D1754" s="9"/>
      <c r="E1754" s="9"/>
      <c r="F1754" s="17" t="str">
        <f aca="false">IF(AND(A1754="",B1754="",C1754=""),"",IF(NOT(ISNUMBER(A1754)),"Enter the date done",IF(SUMPRODUCT(('PM Plan'!$A$5:$A$304=B1754)*('PM Plan'!$B$5:$B$304=C1754))=0,"No matching asset + task in plan","OK")))</f>
        <v/>
      </c>
    </row>
    <row r="1755" customFormat="false" ht="15" hidden="false" customHeight="false" outlineLevel="0" collapsed="false">
      <c r="A1755" s="14"/>
      <c r="B1755" s="9"/>
      <c r="C1755" s="9"/>
      <c r="D1755" s="9"/>
      <c r="E1755" s="9"/>
      <c r="F1755" s="17" t="str">
        <f aca="false">IF(AND(A1755="",B1755="",C1755=""),"",IF(NOT(ISNUMBER(A1755)),"Enter the date done",IF(SUMPRODUCT(('PM Plan'!$A$5:$A$304=B1755)*('PM Plan'!$B$5:$B$304=C1755))=0,"No matching asset + task in plan","OK")))</f>
        <v/>
      </c>
    </row>
    <row r="1756" customFormat="false" ht="15" hidden="false" customHeight="false" outlineLevel="0" collapsed="false">
      <c r="A1756" s="14"/>
      <c r="B1756" s="9"/>
      <c r="C1756" s="9"/>
      <c r="D1756" s="9"/>
      <c r="E1756" s="9"/>
      <c r="F1756" s="17" t="str">
        <f aca="false">IF(AND(A1756="",B1756="",C1756=""),"",IF(NOT(ISNUMBER(A1756)),"Enter the date done",IF(SUMPRODUCT(('PM Plan'!$A$5:$A$304=B1756)*('PM Plan'!$B$5:$B$304=C1756))=0,"No matching asset + task in plan","OK")))</f>
        <v/>
      </c>
    </row>
    <row r="1757" customFormat="false" ht="15" hidden="false" customHeight="false" outlineLevel="0" collapsed="false">
      <c r="A1757" s="14"/>
      <c r="B1757" s="9"/>
      <c r="C1757" s="9"/>
      <c r="D1757" s="9"/>
      <c r="E1757" s="9"/>
      <c r="F1757" s="17" t="str">
        <f aca="false">IF(AND(A1757="",B1757="",C1757=""),"",IF(NOT(ISNUMBER(A1757)),"Enter the date done",IF(SUMPRODUCT(('PM Plan'!$A$5:$A$304=B1757)*('PM Plan'!$B$5:$B$304=C1757))=0,"No matching asset + task in plan","OK")))</f>
        <v/>
      </c>
    </row>
    <row r="1758" customFormat="false" ht="15" hidden="false" customHeight="false" outlineLevel="0" collapsed="false">
      <c r="A1758" s="14"/>
      <c r="B1758" s="9"/>
      <c r="C1758" s="9"/>
      <c r="D1758" s="9"/>
      <c r="E1758" s="9"/>
      <c r="F1758" s="17" t="str">
        <f aca="false">IF(AND(A1758="",B1758="",C1758=""),"",IF(NOT(ISNUMBER(A1758)),"Enter the date done",IF(SUMPRODUCT(('PM Plan'!$A$5:$A$304=B1758)*('PM Plan'!$B$5:$B$304=C1758))=0,"No matching asset + task in plan","OK")))</f>
        <v/>
      </c>
    </row>
    <row r="1759" customFormat="false" ht="15" hidden="false" customHeight="false" outlineLevel="0" collapsed="false">
      <c r="A1759" s="14"/>
      <c r="B1759" s="9"/>
      <c r="C1759" s="9"/>
      <c r="D1759" s="9"/>
      <c r="E1759" s="9"/>
      <c r="F1759" s="17" t="str">
        <f aca="false">IF(AND(A1759="",B1759="",C1759=""),"",IF(NOT(ISNUMBER(A1759)),"Enter the date done",IF(SUMPRODUCT(('PM Plan'!$A$5:$A$304=B1759)*('PM Plan'!$B$5:$B$304=C1759))=0,"No matching asset + task in plan","OK")))</f>
        <v/>
      </c>
    </row>
    <row r="1760" customFormat="false" ht="15" hidden="false" customHeight="false" outlineLevel="0" collapsed="false">
      <c r="A1760" s="14"/>
      <c r="B1760" s="9"/>
      <c r="C1760" s="9"/>
      <c r="D1760" s="9"/>
      <c r="E1760" s="9"/>
      <c r="F1760" s="17" t="str">
        <f aca="false">IF(AND(A1760="",B1760="",C1760=""),"",IF(NOT(ISNUMBER(A1760)),"Enter the date done",IF(SUMPRODUCT(('PM Plan'!$A$5:$A$304=B1760)*('PM Plan'!$B$5:$B$304=C1760))=0,"No matching asset + task in plan","OK")))</f>
        <v/>
      </c>
    </row>
    <row r="1761" customFormat="false" ht="15" hidden="false" customHeight="false" outlineLevel="0" collapsed="false">
      <c r="A1761" s="14"/>
      <c r="B1761" s="9"/>
      <c r="C1761" s="9"/>
      <c r="D1761" s="9"/>
      <c r="E1761" s="9"/>
      <c r="F1761" s="17" t="str">
        <f aca="false">IF(AND(A1761="",B1761="",C1761=""),"",IF(NOT(ISNUMBER(A1761)),"Enter the date done",IF(SUMPRODUCT(('PM Plan'!$A$5:$A$304=B1761)*('PM Plan'!$B$5:$B$304=C1761))=0,"No matching asset + task in plan","OK")))</f>
        <v/>
      </c>
    </row>
    <row r="1762" customFormat="false" ht="15" hidden="false" customHeight="false" outlineLevel="0" collapsed="false">
      <c r="A1762" s="14"/>
      <c r="B1762" s="9"/>
      <c r="C1762" s="9"/>
      <c r="D1762" s="9"/>
      <c r="E1762" s="9"/>
      <c r="F1762" s="17" t="str">
        <f aca="false">IF(AND(A1762="",B1762="",C1762=""),"",IF(NOT(ISNUMBER(A1762)),"Enter the date done",IF(SUMPRODUCT(('PM Plan'!$A$5:$A$304=B1762)*('PM Plan'!$B$5:$B$304=C1762))=0,"No matching asset + task in plan","OK")))</f>
        <v/>
      </c>
    </row>
    <row r="1763" customFormat="false" ht="15" hidden="false" customHeight="false" outlineLevel="0" collapsed="false">
      <c r="A1763" s="14"/>
      <c r="B1763" s="9"/>
      <c r="C1763" s="9"/>
      <c r="D1763" s="9"/>
      <c r="E1763" s="9"/>
      <c r="F1763" s="17" t="str">
        <f aca="false">IF(AND(A1763="",B1763="",C1763=""),"",IF(NOT(ISNUMBER(A1763)),"Enter the date done",IF(SUMPRODUCT(('PM Plan'!$A$5:$A$304=B1763)*('PM Plan'!$B$5:$B$304=C1763))=0,"No matching asset + task in plan","OK")))</f>
        <v/>
      </c>
    </row>
    <row r="1764" customFormat="false" ht="15" hidden="false" customHeight="false" outlineLevel="0" collapsed="false">
      <c r="A1764" s="14"/>
      <c r="B1764" s="9"/>
      <c r="C1764" s="9"/>
      <c r="D1764" s="9"/>
      <c r="E1764" s="9"/>
      <c r="F1764" s="17" t="str">
        <f aca="false">IF(AND(A1764="",B1764="",C1764=""),"",IF(NOT(ISNUMBER(A1764)),"Enter the date done",IF(SUMPRODUCT(('PM Plan'!$A$5:$A$304=B1764)*('PM Plan'!$B$5:$B$304=C1764))=0,"No matching asset + task in plan","OK")))</f>
        <v/>
      </c>
    </row>
    <row r="1765" customFormat="false" ht="15" hidden="false" customHeight="false" outlineLevel="0" collapsed="false">
      <c r="A1765" s="14"/>
      <c r="B1765" s="9"/>
      <c r="C1765" s="9"/>
      <c r="D1765" s="9"/>
      <c r="E1765" s="9"/>
      <c r="F1765" s="17" t="str">
        <f aca="false">IF(AND(A1765="",B1765="",C1765=""),"",IF(NOT(ISNUMBER(A1765)),"Enter the date done",IF(SUMPRODUCT(('PM Plan'!$A$5:$A$304=B1765)*('PM Plan'!$B$5:$B$304=C1765))=0,"No matching asset + task in plan","OK")))</f>
        <v/>
      </c>
    </row>
    <row r="1766" customFormat="false" ht="15" hidden="false" customHeight="false" outlineLevel="0" collapsed="false">
      <c r="A1766" s="14"/>
      <c r="B1766" s="9"/>
      <c r="C1766" s="9"/>
      <c r="D1766" s="9"/>
      <c r="E1766" s="9"/>
      <c r="F1766" s="17" t="str">
        <f aca="false">IF(AND(A1766="",B1766="",C1766=""),"",IF(NOT(ISNUMBER(A1766)),"Enter the date done",IF(SUMPRODUCT(('PM Plan'!$A$5:$A$304=B1766)*('PM Plan'!$B$5:$B$304=C1766))=0,"No matching asset + task in plan","OK")))</f>
        <v/>
      </c>
    </row>
    <row r="1767" customFormat="false" ht="15" hidden="false" customHeight="false" outlineLevel="0" collapsed="false">
      <c r="A1767" s="14"/>
      <c r="B1767" s="9"/>
      <c r="C1767" s="9"/>
      <c r="D1767" s="9"/>
      <c r="E1767" s="9"/>
      <c r="F1767" s="17" t="str">
        <f aca="false">IF(AND(A1767="",B1767="",C1767=""),"",IF(NOT(ISNUMBER(A1767)),"Enter the date done",IF(SUMPRODUCT(('PM Plan'!$A$5:$A$304=B1767)*('PM Plan'!$B$5:$B$304=C1767))=0,"No matching asset + task in plan","OK")))</f>
        <v/>
      </c>
    </row>
    <row r="1768" customFormat="false" ht="15" hidden="false" customHeight="false" outlineLevel="0" collapsed="false">
      <c r="A1768" s="14"/>
      <c r="B1768" s="9"/>
      <c r="C1768" s="9"/>
      <c r="D1768" s="9"/>
      <c r="E1768" s="9"/>
      <c r="F1768" s="17" t="str">
        <f aca="false">IF(AND(A1768="",B1768="",C1768=""),"",IF(NOT(ISNUMBER(A1768)),"Enter the date done",IF(SUMPRODUCT(('PM Plan'!$A$5:$A$304=B1768)*('PM Plan'!$B$5:$B$304=C1768))=0,"No matching asset + task in plan","OK")))</f>
        <v/>
      </c>
    </row>
    <row r="1769" customFormat="false" ht="15" hidden="false" customHeight="false" outlineLevel="0" collapsed="false">
      <c r="A1769" s="14"/>
      <c r="B1769" s="9"/>
      <c r="C1769" s="9"/>
      <c r="D1769" s="9"/>
      <c r="E1769" s="9"/>
      <c r="F1769" s="17" t="str">
        <f aca="false">IF(AND(A1769="",B1769="",C1769=""),"",IF(NOT(ISNUMBER(A1769)),"Enter the date done",IF(SUMPRODUCT(('PM Plan'!$A$5:$A$304=B1769)*('PM Plan'!$B$5:$B$304=C1769))=0,"No matching asset + task in plan","OK")))</f>
        <v/>
      </c>
    </row>
    <row r="1770" customFormat="false" ht="15" hidden="false" customHeight="false" outlineLevel="0" collapsed="false">
      <c r="A1770" s="14"/>
      <c r="B1770" s="9"/>
      <c r="C1770" s="9"/>
      <c r="D1770" s="9"/>
      <c r="E1770" s="9"/>
      <c r="F1770" s="17" t="str">
        <f aca="false">IF(AND(A1770="",B1770="",C1770=""),"",IF(NOT(ISNUMBER(A1770)),"Enter the date done",IF(SUMPRODUCT(('PM Plan'!$A$5:$A$304=B1770)*('PM Plan'!$B$5:$B$304=C1770))=0,"No matching asset + task in plan","OK")))</f>
        <v/>
      </c>
    </row>
    <row r="1771" customFormat="false" ht="15" hidden="false" customHeight="false" outlineLevel="0" collapsed="false">
      <c r="A1771" s="14"/>
      <c r="B1771" s="9"/>
      <c r="C1771" s="9"/>
      <c r="D1771" s="9"/>
      <c r="E1771" s="9"/>
      <c r="F1771" s="17" t="str">
        <f aca="false">IF(AND(A1771="",B1771="",C1771=""),"",IF(NOT(ISNUMBER(A1771)),"Enter the date done",IF(SUMPRODUCT(('PM Plan'!$A$5:$A$304=B1771)*('PM Plan'!$B$5:$B$304=C1771))=0,"No matching asset + task in plan","OK")))</f>
        <v/>
      </c>
    </row>
    <row r="1772" customFormat="false" ht="15" hidden="false" customHeight="false" outlineLevel="0" collapsed="false">
      <c r="A1772" s="14"/>
      <c r="B1772" s="9"/>
      <c r="C1772" s="9"/>
      <c r="D1772" s="9"/>
      <c r="E1772" s="9"/>
      <c r="F1772" s="17" t="str">
        <f aca="false">IF(AND(A1772="",B1772="",C1772=""),"",IF(NOT(ISNUMBER(A1772)),"Enter the date done",IF(SUMPRODUCT(('PM Plan'!$A$5:$A$304=B1772)*('PM Plan'!$B$5:$B$304=C1772))=0,"No matching asset + task in plan","OK")))</f>
        <v/>
      </c>
    </row>
    <row r="1773" customFormat="false" ht="15" hidden="false" customHeight="false" outlineLevel="0" collapsed="false">
      <c r="A1773" s="14"/>
      <c r="B1773" s="9"/>
      <c r="C1773" s="9"/>
      <c r="D1773" s="9"/>
      <c r="E1773" s="9"/>
      <c r="F1773" s="17" t="str">
        <f aca="false">IF(AND(A1773="",B1773="",C1773=""),"",IF(NOT(ISNUMBER(A1773)),"Enter the date done",IF(SUMPRODUCT(('PM Plan'!$A$5:$A$304=B1773)*('PM Plan'!$B$5:$B$304=C1773))=0,"No matching asset + task in plan","OK")))</f>
        <v/>
      </c>
    </row>
    <row r="1774" customFormat="false" ht="15" hidden="false" customHeight="false" outlineLevel="0" collapsed="false">
      <c r="A1774" s="14"/>
      <c r="B1774" s="9"/>
      <c r="C1774" s="9"/>
      <c r="D1774" s="9"/>
      <c r="E1774" s="9"/>
      <c r="F1774" s="17" t="str">
        <f aca="false">IF(AND(A1774="",B1774="",C1774=""),"",IF(NOT(ISNUMBER(A1774)),"Enter the date done",IF(SUMPRODUCT(('PM Plan'!$A$5:$A$304=B1774)*('PM Plan'!$B$5:$B$304=C1774))=0,"No matching asset + task in plan","OK")))</f>
        <v/>
      </c>
    </row>
    <row r="1775" customFormat="false" ht="15" hidden="false" customHeight="false" outlineLevel="0" collapsed="false">
      <c r="A1775" s="14"/>
      <c r="B1775" s="9"/>
      <c r="C1775" s="9"/>
      <c r="D1775" s="9"/>
      <c r="E1775" s="9"/>
      <c r="F1775" s="17" t="str">
        <f aca="false">IF(AND(A1775="",B1775="",C1775=""),"",IF(NOT(ISNUMBER(A1775)),"Enter the date done",IF(SUMPRODUCT(('PM Plan'!$A$5:$A$304=B1775)*('PM Plan'!$B$5:$B$304=C1775))=0,"No matching asset + task in plan","OK")))</f>
        <v/>
      </c>
    </row>
    <row r="1776" customFormat="false" ht="15" hidden="false" customHeight="false" outlineLevel="0" collapsed="false">
      <c r="A1776" s="14"/>
      <c r="B1776" s="9"/>
      <c r="C1776" s="9"/>
      <c r="D1776" s="9"/>
      <c r="E1776" s="9"/>
      <c r="F1776" s="17" t="str">
        <f aca="false">IF(AND(A1776="",B1776="",C1776=""),"",IF(NOT(ISNUMBER(A1776)),"Enter the date done",IF(SUMPRODUCT(('PM Plan'!$A$5:$A$304=B1776)*('PM Plan'!$B$5:$B$304=C1776))=0,"No matching asset + task in plan","OK")))</f>
        <v/>
      </c>
    </row>
    <row r="1777" customFormat="false" ht="15" hidden="false" customHeight="false" outlineLevel="0" collapsed="false">
      <c r="A1777" s="14"/>
      <c r="B1777" s="9"/>
      <c r="C1777" s="9"/>
      <c r="D1777" s="9"/>
      <c r="E1777" s="9"/>
      <c r="F1777" s="17" t="str">
        <f aca="false">IF(AND(A1777="",B1777="",C1777=""),"",IF(NOT(ISNUMBER(A1777)),"Enter the date done",IF(SUMPRODUCT(('PM Plan'!$A$5:$A$304=B1777)*('PM Plan'!$B$5:$B$304=C1777))=0,"No matching asset + task in plan","OK")))</f>
        <v/>
      </c>
    </row>
    <row r="1778" customFormat="false" ht="15" hidden="false" customHeight="false" outlineLevel="0" collapsed="false">
      <c r="A1778" s="14"/>
      <c r="B1778" s="9"/>
      <c r="C1778" s="9"/>
      <c r="D1778" s="9"/>
      <c r="E1778" s="9"/>
      <c r="F1778" s="17" t="str">
        <f aca="false">IF(AND(A1778="",B1778="",C1778=""),"",IF(NOT(ISNUMBER(A1778)),"Enter the date done",IF(SUMPRODUCT(('PM Plan'!$A$5:$A$304=B1778)*('PM Plan'!$B$5:$B$304=C1778))=0,"No matching asset + task in plan","OK")))</f>
        <v/>
      </c>
    </row>
    <row r="1779" customFormat="false" ht="15" hidden="false" customHeight="false" outlineLevel="0" collapsed="false">
      <c r="A1779" s="14"/>
      <c r="B1779" s="9"/>
      <c r="C1779" s="9"/>
      <c r="D1779" s="9"/>
      <c r="E1779" s="9"/>
      <c r="F1779" s="17" t="str">
        <f aca="false">IF(AND(A1779="",B1779="",C1779=""),"",IF(NOT(ISNUMBER(A1779)),"Enter the date done",IF(SUMPRODUCT(('PM Plan'!$A$5:$A$304=B1779)*('PM Plan'!$B$5:$B$304=C1779))=0,"No matching asset + task in plan","OK")))</f>
        <v/>
      </c>
    </row>
    <row r="1780" customFormat="false" ht="15" hidden="false" customHeight="false" outlineLevel="0" collapsed="false">
      <c r="A1780" s="14"/>
      <c r="B1780" s="9"/>
      <c r="C1780" s="9"/>
      <c r="D1780" s="9"/>
      <c r="E1780" s="9"/>
      <c r="F1780" s="17" t="str">
        <f aca="false">IF(AND(A1780="",B1780="",C1780=""),"",IF(NOT(ISNUMBER(A1780)),"Enter the date done",IF(SUMPRODUCT(('PM Plan'!$A$5:$A$304=B1780)*('PM Plan'!$B$5:$B$304=C1780))=0,"No matching asset + task in plan","OK")))</f>
        <v/>
      </c>
    </row>
    <row r="1781" customFormat="false" ht="15" hidden="false" customHeight="false" outlineLevel="0" collapsed="false">
      <c r="A1781" s="14"/>
      <c r="B1781" s="9"/>
      <c r="C1781" s="9"/>
      <c r="D1781" s="9"/>
      <c r="E1781" s="9"/>
      <c r="F1781" s="17" t="str">
        <f aca="false">IF(AND(A1781="",B1781="",C1781=""),"",IF(NOT(ISNUMBER(A1781)),"Enter the date done",IF(SUMPRODUCT(('PM Plan'!$A$5:$A$304=B1781)*('PM Plan'!$B$5:$B$304=C1781))=0,"No matching asset + task in plan","OK")))</f>
        <v/>
      </c>
    </row>
    <row r="1782" customFormat="false" ht="15" hidden="false" customHeight="false" outlineLevel="0" collapsed="false">
      <c r="A1782" s="14"/>
      <c r="B1782" s="9"/>
      <c r="C1782" s="9"/>
      <c r="D1782" s="9"/>
      <c r="E1782" s="9"/>
      <c r="F1782" s="17" t="str">
        <f aca="false">IF(AND(A1782="",B1782="",C1782=""),"",IF(NOT(ISNUMBER(A1782)),"Enter the date done",IF(SUMPRODUCT(('PM Plan'!$A$5:$A$304=B1782)*('PM Plan'!$B$5:$B$304=C1782))=0,"No matching asset + task in plan","OK")))</f>
        <v/>
      </c>
    </row>
    <row r="1783" customFormat="false" ht="15" hidden="false" customHeight="false" outlineLevel="0" collapsed="false">
      <c r="A1783" s="14"/>
      <c r="B1783" s="9"/>
      <c r="C1783" s="9"/>
      <c r="D1783" s="9"/>
      <c r="E1783" s="9"/>
      <c r="F1783" s="17" t="str">
        <f aca="false">IF(AND(A1783="",B1783="",C1783=""),"",IF(NOT(ISNUMBER(A1783)),"Enter the date done",IF(SUMPRODUCT(('PM Plan'!$A$5:$A$304=B1783)*('PM Plan'!$B$5:$B$304=C1783))=0,"No matching asset + task in plan","OK")))</f>
        <v/>
      </c>
    </row>
    <row r="1784" customFormat="false" ht="15" hidden="false" customHeight="false" outlineLevel="0" collapsed="false">
      <c r="A1784" s="14"/>
      <c r="B1784" s="9"/>
      <c r="C1784" s="9"/>
      <c r="D1784" s="9"/>
      <c r="E1784" s="9"/>
      <c r="F1784" s="17" t="str">
        <f aca="false">IF(AND(A1784="",B1784="",C1784=""),"",IF(NOT(ISNUMBER(A1784)),"Enter the date done",IF(SUMPRODUCT(('PM Plan'!$A$5:$A$304=B1784)*('PM Plan'!$B$5:$B$304=C1784))=0,"No matching asset + task in plan","OK")))</f>
        <v/>
      </c>
    </row>
    <row r="1785" customFormat="false" ht="15" hidden="false" customHeight="false" outlineLevel="0" collapsed="false">
      <c r="A1785" s="14"/>
      <c r="B1785" s="9"/>
      <c r="C1785" s="9"/>
      <c r="D1785" s="9"/>
      <c r="E1785" s="9"/>
      <c r="F1785" s="17" t="str">
        <f aca="false">IF(AND(A1785="",B1785="",C1785=""),"",IF(NOT(ISNUMBER(A1785)),"Enter the date done",IF(SUMPRODUCT(('PM Plan'!$A$5:$A$304=B1785)*('PM Plan'!$B$5:$B$304=C1785))=0,"No matching asset + task in plan","OK")))</f>
        <v/>
      </c>
    </row>
    <row r="1786" customFormat="false" ht="15" hidden="false" customHeight="false" outlineLevel="0" collapsed="false">
      <c r="A1786" s="14"/>
      <c r="B1786" s="9"/>
      <c r="C1786" s="9"/>
      <c r="D1786" s="9"/>
      <c r="E1786" s="9"/>
      <c r="F1786" s="17" t="str">
        <f aca="false">IF(AND(A1786="",B1786="",C1786=""),"",IF(NOT(ISNUMBER(A1786)),"Enter the date done",IF(SUMPRODUCT(('PM Plan'!$A$5:$A$304=B1786)*('PM Plan'!$B$5:$B$304=C1786))=0,"No matching asset + task in plan","OK")))</f>
        <v/>
      </c>
    </row>
    <row r="1787" customFormat="false" ht="15" hidden="false" customHeight="false" outlineLevel="0" collapsed="false">
      <c r="A1787" s="14"/>
      <c r="B1787" s="9"/>
      <c r="C1787" s="9"/>
      <c r="D1787" s="9"/>
      <c r="E1787" s="9"/>
      <c r="F1787" s="17" t="str">
        <f aca="false">IF(AND(A1787="",B1787="",C1787=""),"",IF(NOT(ISNUMBER(A1787)),"Enter the date done",IF(SUMPRODUCT(('PM Plan'!$A$5:$A$304=B1787)*('PM Plan'!$B$5:$B$304=C1787))=0,"No matching asset + task in plan","OK")))</f>
        <v/>
      </c>
    </row>
    <row r="1788" customFormat="false" ht="15" hidden="false" customHeight="false" outlineLevel="0" collapsed="false">
      <c r="A1788" s="14"/>
      <c r="B1788" s="9"/>
      <c r="C1788" s="9"/>
      <c r="D1788" s="9"/>
      <c r="E1788" s="9"/>
      <c r="F1788" s="17" t="str">
        <f aca="false">IF(AND(A1788="",B1788="",C1788=""),"",IF(NOT(ISNUMBER(A1788)),"Enter the date done",IF(SUMPRODUCT(('PM Plan'!$A$5:$A$304=B1788)*('PM Plan'!$B$5:$B$304=C1788))=0,"No matching asset + task in plan","OK")))</f>
        <v/>
      </c>
    </row>
    <row r="1789" customFormat="false" ht="15" hidden="false" customHeight="false" outlineLevel="0" collapsed="false">
      <c r="A1789" s="14"/>
      <c r="B1789" s="9"/>
      <c r="C1789" s="9"/>
      <c r="D1789" s="9"/>
      <c r="E1789" s="9"/>
      <c r="F1789" s="17" t="str">
        <f aca="false">IF(AND(A1789="",B1789="",C1789=""),"",IF(NOT(ISNUMBER(A1789)),"Enter the date done",IF(SUMPRODUCT(('PM Plan'!$A$5:$A$304=B1789)*('PM Plan'!$B$5:$B$304=C1789))=0,"No matching asset + task in plan","OK")))</f>
        <v/>
      </c>
    </row>
    <row r="1790" customFormat="false" ht="15" hidden="false" customHeight="false" outlineLevel="0" collapsed="false">
      <c r="A1790" s="14"/>
      <c r="B1790" s="9"/>
      <c r="C1790" s="9"/>
      <c r="D1790" s="9"/>
      <c r="E1790" s="9"/>
      <c r="F1790" s="17" t="str">
        <f aca="false">IF(AND(A1790="",B1790="",C1790=""),"",IF(NOT(ISNUMBER(A1790)),"Enter the date done",IF(SUMPRODUCT(('PM Plan'!$A$5:$A$304=B1790)*('PM Plan'!$B$5:$B$304=C1790))=0,"No matching asset + task in plan","OK")))</f>
        <v/>
      </c>
    </row>
    <row r="1791" customFormat="false" ht="15" hidden="false" customHeight="false" outlineLevel="0" collapsed="false">
      <c r="A1791" s="14"/>
      <c r="B1791" s="9"/>
      <c r="C1791" s="9"/>
      <c r="D1791" s="9"/>
      <c r="E1791" s="9"/>
      <c r="F1791" s="17" t="str">
        <f aca="false">IF(AND(A1791="",B1791="",C1791=""),"",IF(NOT(ISNUMBER(A1791)),"Enter the date done",IF(SUMPRODUCT(('PM Plan'!$A$5:$A$304=B1791)*('PM Plan'!$B$5:$B$304=C1791))=0,"No matching asset + task in plan","OK")))</f>
        <v/>
      </c>
    </row>
    <row r="1792" customFormat="false" ht="15" hidden="false" customHeight="false" outlineLevel="0" collapsed="false">
      <c r="A1792" s="14"/>
      <c r="B1792" s="9"/>
      <c r="C1792" s="9"/>
      <c r="D1792" s="9"/>
      <c r="E1792" s="9"/>
      <c r="F1792" s="17" t="str">
        <f aca="false">IF(AND(A1792="",B1792="",C1792=""),"",IF(NOT(ISNUMBER(A1792)),"Enter the date done",IF(SUMPRODUCT(('PM Plan'!$A$5:$A$304=B1792)*('PM Plan'!$B$5:$B$304=C1792))=0,"No matching asset + task in plan","OK")))</f>
        <v/>
      </c>
    </row>
    <row r="1793" customFormat="false" ht="15" hidden="false" customHeight="false" outlineLevel="0" collapsed="false">
      <c r="A1793" s="14"/>
      <c r="B1793" s="9"/>
      <c r="C1793" s="9"/>
      <c r="D1793" s="9"/>
      <c r="E1793" s="9"/>
      <c r="F1793" s="17" t="str">
        <f aca="false">IF(AND(A1793="",B1793="",C1793=""),"",IF(NOT(ISNUMBER(A1793)),"Enter the date done",IF(SUMPRODUCT(('PM Plan'!$A$5:$A$304=B1793)*('PM Plan'!$B$5:$B$304=C1793))=0,"No matching asset + task in plan","OK")))</f>
        <v/>
      </c>
    </row>
    <row r="1794" customFormat="false" ht="15" hidden="false" customHeight="false" outlineLevel="0" collapsed="false">
      <c r="A1794" s="14"/>
      <c r="B1794" s="9"/>
      <c r="C1794" s="9"/>
      <c r="D1794" s="9"/>
      <c r="E1794" s="9"/>
      <c r="F1794" s="17" t="str">
        <f aca="false">IF(AND(A1794="",B1794="",C1794=""),"",IF(NOT(ISNUMBER(A1794)),"Enter the date done",IF(SUMPRODUCT(('PM Plan'!$A$5:$A$304=B1794)*('PM Plan'!$B$5:$B$304=C1794))=0,"No matching asset + task in plan","OK")))</f>
        <v/>
      </c>
    </row>
    <row r="1795" customFormat="false" ht="15" hidden="false" customHeight="false" outlineLevel="0" collapsed="false">
      <c r="A1795" s="14"/>
      <c r="B1795" s="9"/>
      <c r="C1795" s="9"/>
      <c r="D1795" s="9"/>
      <c r="E1795" s="9"/>
      <c r="F1795" s="17" t="str">
        <f aca="false">IF(AND(A1795="",B1795="",C1795=""),"",IF(NOT(ISNUMBER(A1795)),"Enter the date done",IF(SUMPRODUCT(('PM Plan'!$A$5:$A$304=B1795)*('PM Plan'!$B$5:$B$304=C1795))=0,"No matching asset + task in plan","OK")))</f>
        <v/>
      </c>
    </row>
    <row r="1796" customFormat="false" ht="15" hidden="false" customHeight="false" outlineLevel="0" collapsed="false">
      <c r="A1796" s="14"/>
      <c r="B1796" s="9"/>
      <c r="C1796" s="9"/>
      <c r="D1796" s="9"/>
      <c r="E1796" s="9"/>
      <c r="F1796" s="17" t="str">
        <f aca="false">IF(AND(A1796="",B1796="",C1796=""),"",IF(NOT(ISNUMBER(A1796)),"Enter the date done",IF(SUMPRODUCT(('PM Plan'!$A$5:$A$304=B1796)*('PM Plan'!$B$5:$B$304=C1796))=0,"No matching asset + task in plan","OK")))</f>
        <v/>
      </c>
    </row>
    <row r="1797" customFormat="false" ht="15" hidden="false" customHeight="false" outlineLevel="0" collapsed="false">
      <c r="A1797" s="14"/>
      <c r="B1797" s="9"/>
      <c r="C1797" s="9"/>
      <c r="D1797" s="9"/>
      <c r="E1797" s="9"/>
      <c r="F1797" s="17" t="str">
        <f aca="false">IF(AND(A1797="",B1797="",C1797=""),"",IF(NOT(ISNUMBER(A1797)),"Enter the date done",IF(SUMPRODUCT(('PM Plan'!$A$5:$A$304=B1797)*('PM Plan'!$B$5:$B$304=C1797))=0,"No matching asset + task in plan","OK")))</f>
        <v/>
      </c>
    </row>
    <row r="1798" customFormat="false" ht="15" hidden="false" customHeight="false" outlineLevel="0" collapsed="false">
      <c r="A1798" s="14"/>
      <c r="B1798" s="9"/>
      <c r="C1798" s="9"/>
      <c r="D1798" s="9"/>
      <c r="E1798" s="9"/>
      <c r="F1798" s="17" t="str">
        <f aca="false">IF(AND(A1798="",B1798="",C1798=""),"",IF(NOT(ISNUMBER(A1798)),"Enter the date done",IF(SUMPRODUCT(('PM Plan'!$A$5:$A$304=B1798)*('PM Plan'!$B$5:$B$304=C1798))=0,"No matching asset + task in plan","OK")))</f>
        <v/>
      </c>
    </row>
    <row r="1799" customFormat="false" ht="15" hidden="false" customHeight="false" outlineLevel="0" collapsed="false">
      <c r="A1799" s="14"/>
      <c r="B1799" s="9"/>
      <c r="C1799" s="9"/>
      <c r="D1799" s="9"/>
      <c r="E1799" s="9"/>
      <c r="F1799" s="17" t="str">
        <f aca="false">IF(AND(A1799="",B1799="",C1799=""),"",IF(NOT(ISNUMBER(A1799)),"Enter the date done",IF(SUMPRODUCT(('PM Plan'!$A$5:$A$304=B1799)*('PM Plan'!$B$5:$B$304=C1799))=0,"No matching asset + task in plan","OK")))</f>
        <v/>
      </c>
    </row>
    <row r="1800" customFormat="false" ht="15" hidden="false" customHeight="false" outlineLevel="0" collapsed="false">
      <c r="A1800" s="14"/>
      <c r="B1800" s="9"/>
      <c r="C1800" s="9"/>
      <c r="D1800" s="9"/>
      <c r="E1800" s="9"/>
      <c r="F1800" s="17" t="str">
        <f aca="false">IF(AND(A1800="",B1800="",C1800=""),"",IF(NOT(ISNUMBER(A1800)),"Enter the date done",IF(SUMPRODUCT(('PM Plan'!$A$5:$A$304=B1800)*('PM Plan'!$B$5:$B$304=C1800))=0,"No matching asset + task in plan","OK")))</f>
        <v/>
      </c>
    </row>
    <row r="1801" customFormat="false" ht="15" hidden="false" customHeight="false" outlineLevel="0" collapsed="false">
      <c r="A1801" s="14"/>
      <c r="B1801" s="9"/>
      <c r="C1801" s="9"/>
      <c r="D1801" s="9"/>
      <c r="E1801" s="9"/>
      <c r="F1801" s="17" t="str">
        <f aca="false">IF(AND(A1801="",B1801="",C1801=""),"",IF(NOT(ISNUMBER(A1801)),"Enter the date done",IF(SUMPRODUCT(('PM Plan'!$A$5:$A$304=B1801)*('PM Plan'!$B$5:$B$304=C1801))=0,"No matching asset + task in plan","OK")))</f>
        <v/>
      </c>
    </row>
    <row r="1802" customFormat="false" ht="15" hidden="false" customHeight="false" outlineLevel="0" collapsed="false">
      <c r="A1802" s="14"/>
      <c r="B1802" s="9"/>
      <c r="C1802" s="9"/>
      <c r="D1802" s="9"/>
      <c r="E1802" s="9"/>
      <c r="F1802" s="17" t="str">
        <f aca="false">IF(AND(A1802="",B1802="",C1802=""),"",IF(NOT(ISNUMBER(A1802)),"Enter the date done",IF(SUMPRODUCT(('PM Plan'!$A$5:$A$304=B1802)*('PM Plan'!$B$5:$B$304=C1802))=0,"No matching asset + task in plan","OK")))</f>
        <v/>
      </c>
    </row>
    <row r="1803" customFormat="false" ht="15" hidden="false" customHeight="false" outlineLevel="0" collapsed="false">
      <c r="A1803" s="14"/>
      <c r="B1803" s="9"/>
      <c r="C1803" s="9"/>
      <c r="D1803" s="9"/>
      <c r="E1803" s="9"/>
      <c r="F1803" s="17" t="str">
        <f aca="false">IF(AND(A1803="",B1803="",C1803=""),"",IF(NOT(ISNUMBER(A1803)),"Enter the date done",IF(SUMPRODUCT(('PM Plan'!$A$5:$A$304=B1803)*('PM Plan'!$B$5:$B$304=C1803))=0,"No matching asset + task in plan","OK")))</f>
        <v/>
      </c>
    </row>
    <row r="1804" customFormat="false" ht="15" hidden="false" customHeight="false" outlineLevel="0" collapsed="false">
      <c r="A1804" s="14"/>
      <c r="B1804" s="9"/>
      <c r="C1804" s="9"/>
      <c r="D1804" s="9"/>
      <c r="E1804" s="9"/>
      <c r="F1804" s="17" t="str">
        <f aca="false">IF(AND(A1804="",B1804="",C1804=""),"",IF(NOT(ISNUMBER(A1804)),"Enter the date done",IF(SUMPRODUCT(('PM Plan'!$A$5:$A$304=B1804)*('PM Plan'!$B$5:$B$304=C1804))=0,"No matching asset + task in plan","OK")))</f>
        <v/>
      </c>
    </row>
    <row r="1805" customFormat="false" ht="15" hidden="false" customHeight="false" outlineLevel="0" collapsed="false">
      <c r="A1805" s="14"/>
      <c r="B1805" s="9"/>
      <c r="C1805" s="9"/>
      <c r="D1805" s="9"/>
      <c r="E1805" s="9"/>
      <c r="F1805" s="17" t="str">
        <f aca="false">IF(AND(A1805="",B1805="",C1805=""),"",IF(NOT(ISNUMBER(A1805)),"Enter the date done",IF(SUMPRODUCT(('PM Plan'!$A$5:$A$304=B1805)*('PM Plan'!$B$5:$B$304=C1805))=0,"No matching asset + task in plan","OK")))</f>
        <v/>
      </c>
    </row>
    <row r="1806" customFormat="false" ht="15" hidden="false" customHeight="false" outlineLevel="0" collapsed="false">
      <c r="A1806" s="14"/>
      <c r="B1806" s="9"/>
      <c r="C1806" s="9"/>
      <c r="D1806" s="9"/>
      <c r="E1806" s="9"/>
      <c r="F1806" s="17" t="str">
        <f aca="false">IF(AND(A1806="",B1806="",C1806=""),"",IF(NOT(ISNUMBER(A1806)),"Enter the date done",IF(SUMPRODUCT(('PM Plan'!$A$5:$A$304=B1806)*('PM Plan'!$B$5:$B$304=C1806))=0,"No matching asset + task in plan","OK")))</f>
        <v/>
      </c>
    </row>
    <row r="1807" customFormat="false" ht="15" hidden="false" customHeight="false" outlineLevel="0" collapsed="false">
      <c r="A1807" s="14"/>
      <c r="B1807" s="9"/>
      <c r="C1807" s="9"/>
      <c r="D1807" s="9"/>
      <c r="E1807" s="9"/>
      <c r="F1807" s="17" t="str">
        <f aca="false">IF(AND(A1807="",B1807="",C1807=""),"",IF(NOT(ISNUMBER(A1807)),"Enter the date done",IF(SUMPRODUCT(('PM Plan'!$A$5:$A$304=B1807)*('PM Plan'!$B$5:$B$304=C1807))=0,"No matching asset + task in plan","OK")))</f>
        <v/>
      </c>
    </row>
    <row r="1808" customFormat="false" ht="15" hidden="false" customHeight="false" outlineLevel="0" collapsed="false">
      <c r="A1808" s="14"/>
      <c r="B1808" s="9"/>
      <c r="C1808" s="9"/>
      <c r="D1808" s="9"/>
      <c r="E1808" s="9"/>
      <c r="F1808" s="17" t="str">
        <f aca="false">IF(AND(A1808="",B1808="",C1808=""),"",IF(NOT(ISNUMBER(A1808)),"Enter the date done",IF(SUMPRODUCT(('PM Plan'!$A$5:$A$304=B1808)*('PM Plan'!$B$5:$B$304=C1808))=0,"No matching asset + task in plan","OK")))</f>
        <v/>
      </c>
    </row>
    <row r="1809" customFormat="false" ht="15" hidden="false" customHeight="false" outlineLevel="0" collapsed="false">
      <c r="A1809" s="14"/>
      <c r="B1809" s="9"/>
      <c r="C1809" s="9"/>
      <c r="D1809" s="9"/>
      <c r="E1809" s="9"/>
      <c r="F1809" s="17" t="str">
        <f aca="false">IF(AND(A1809="",B1809="",C1809=""),"",IF(NOT(ISNUMBER(A1809)),"Enter the date done",IF(SUMPRODUCT(('PM Plan'!$A$5:$A$304=B1809)*('PM Plan'!$B$5:$B$304=C1809))=0,"No matching asset + task in plan","OK")))</f>
        <v/>
      </c>
    </row>
    <row r="1810" customFormat="false" ht="15" hidden="false" customHeight="false" outlineLevel="0" collapsed="false">
      <c r="A1810" s="14"/>
      <c r="B1810" s="9"/>
      <c r="C1810" s="9"/>
      <c r="D1810" s="9"/>
      <c r="E1810" s="9"/>
      <c r="F1810" s="17" t="str">
        <f aca="false">IF(AND(A1810="",B1810="",C1810=""),"",IF(NOT(ISNUMBER(A1810)),"Enter the date done",IF(SUMPRODUCT(('PM Plan'!$A$5:$A$304=B1810)*('PM Plan'!$B$5:$B$304=C1810))=0,"No matching asset + task in plan","OK")))</f>
        <v/>
      </c>
    </row>
    <row r="1811" customFormat="false" ht="15" hidden="false" customHeight="false" outlineLevel="0" collapsed="false">
      <c r="A1811" s="14"/>
      <c r="B1811" s="9"/>
      <c r="C1811" s="9"/>
      <c r="D1811" s="9"/>
      <c r="E1811" s="9"/>
      <c r="F1811" s="17" t="str">
        <f aca="false">IF(AND(A1811="",B1811="",C1811=""),"",IF(NOT(ISNUMBER(A1811)),"Enter the date done",IF(SUMPRODUCT(('PM Plan'!$A$5:$A$304=B1811)*('PM Plan'!$B$5:$B$304=C1811))=0,"No matching asset + task in plan","OK")))</f>
        <v/>
      </c>
    </row>
    <row r="1812" customFormat="false" ht="15" hidden="false" customHeight="false" outlineLevel="0" collapsed="false">
      <c r="A1812" s="14"/>
      <c r="B1812" s="9"/>
      <c r="C1812" s="9"/>
      <c r="D1812" s="9"/>
      <c r="E1812" s="9"/>
      <c r="F1812" s="17" t="str">
        <f aca="false">IF(AND(A1812="",B1812="",C1812=""),"",IF(NOT(ISNUMBER(A1812)),"Enter the date done",IF(SUMPRODUCT(('PM Plan'!$A$5:$A$304=B1812)*('PM Plan'!$B$5:$B$304=C1812))=0,"No matching asset + task in plan","OK")))</f>
        <v/>
      </c>
    </row>
    <row r="1813" customFormat="false" ht="15" hidden="false" customHeight="false" outlineLevel="0" collapsed="false">
      <c r="A1813" s="14"/>
      <c r="B1813" s="9"/>
      <c r="C1813" s="9"/>
      <c r="D1813" s="9"/>
      <c r="E1813" s="9"/>
      <c r="F1813" s="17" t="str">
        <f aca="false">IF(AND(A1813="",B1813="",C1813=""),"",IF(NOT(ISNUMBER(A1813)),"Enter the date done",IF(SUMPRODUCT(('PM Plan'!$A$5:$A$304=B1813)*('PM Plan'!$B$5:$B$304=C1813))=0,"No matching asset + task in plan","OK")))</f>
        <v/>
      </c>
    </row>
    <row r="1814" customFormat="false" ht="15" hidden="false" customHeight="false" outlineLevel="0" collapsed="false">
      <c r="A1814" s="14"/>
      <c r="B1814" s="9"/>
      <c r="C1814" s="9"/>
      <c r="D1814" s="9"/>
      <c r="E1814" s="9"/>
      <c r="F1814" s="17" t="str">
        <f aca="false">IF(AND(A1814="",B1814="",C1814=""),"",IF(NOT(ISNUMBER(A1814)),"Enter the date done",IF(SUMPRODUCT(('PM Plan'!$A$5:$A$304=B1814)*('PM Plan'!$B$5:$B$304=C1814))=0,"No matching asset + task in plan","OK")))</f>
        <v/>
      </c>
    </row>
    <row r="1815" customFormat="false" ht="15" hidden="false" customHeight="false" outlineLevel="0" collapsed="false">
      <c r="A1815" s="14"/>
      <c r="B1815" s="9"/>
      <c r="C1815" s="9"/>
      <c r="D1815" s="9"/>
      <c r="E1815" s="9"/>
      <c r="F1815" s="17" t="str">
        <f aca="false">IF(AND(A1815="",B1815="",C1815=""),"",IF(NOT(ISNUMBER(A1815)),"Enter the date done",IF(SUMPRODUCT(('PM Plan'!$A$5:$A$304=B1815)*('PM Plan'!$B$5:$B$304=C1815))=0,"No matching asset + task in plan","OK")))</f>
        <v/>
      </c>
    </row>
    <row r="1816" customFormat="false" ht="15" hidden="false" customHeight="false" outlineLevel="0" collapsed="false">
      <c r="A1816" s="14"/>
      <c r="B1816" s="9"/>
      <c r="C1816" s="9"/>
      <c r="D1816" s="9"/>
      <c r="E1816" s="9"/>
      <c r="F1816" s="17" t="str">
        <f aca="false">IF(AND(A1816="",B1816="",C1816=""),"",IF(NOT(ISNUMBER(A1816)),"Enter the date done",IF(SUMPRODUCT(('PM Plan'!$A$5:$A$304=B1816)*('PM Plan'!$B$5:$B$304=C1816))=0,"No matching asset + task in plan","OK")))</f>
        <v/>
      </c>
    </row>
    <row r="1817" customFormat="false" ht="15" hidden="false" customHeight="false" outlineLevel="0" collapsed="false">
      <c r="A1817" s="14"/>
      <c r="B1817" s="9"/>
      <c r="C1817" s="9"/>
      <c r="D1817" s="9"/>
      <c r="E1817" s="9"/>
      <c r="F1817" s="17" t="str">
        <f aca="false">IF(AND(A1817="",B1817="",C1817=""),"",IF(NOT(ISNUMBER(A1817)),"Enter the date done",IF(SUMPRODUCT(('PM Plan'!$A$5:$A$304=B1817)*('PM Plan'!$B$5:$B$304=C1817))=0,"No matching asset + task in plan","OK")))</f>
        <v/>
      </c>
    </row>
    <row r="1818" customFormat="false" ht="15" hidden="false" customHeight="false" outlineLevel="0" collapsed="false">
      <c r="A1818" s="14"/>
      <c r="B1818" s="9"/>
      <c r="C1818" s="9"/>
      <c r="D1818" s="9"/>
      <c r="E1818" s="9"/>
      <c r="F1818" s="17" t="str">
        <f aca="false">IF(AND(A1818="",B1818="",C1818=""),"",IF(NOT(ISNUMBER(A1818)),"Enter the date done",IF(SUMPRODUCT(('PM Plan'!$A$5:$A$304=B1818)*('PM Plan'!$B$5:$B$304=C1818))=0,"No matching asset + task in plan","OK")))</f>
        <v/>
      </c>
    </row>
    <row r="1819" customFormat="false" ht="15" hidden="false" customHeight="false" outlineLevel="0" collapsed="false">
      <c r="A1819" s="14"/>
      <c r="B1819" s="9"/>
      <c r="C1819" s="9"/>
      <c r="D1819" s="9"/>
      <c r="E1819" s="9"/>
      <c r="F1819" s="17" t="str">
        <f aca="false">IF(AND(A1819="",B1819="",C1819=""),"",IF(NOT(ISNUMBER(A1819)),"Enter the date done",IF(SUMPRODUCT(('PM Plan'!$A$5:$A$304=B1819)*('PM Plan'!$B$5:$B$304=C1819))=0,"No matching asset + task in plan","OK")))</f>
        <v/>
      </c>
    </row>
    <row r="1820" customFormat="false" ht="15" hidden="false" customHeight="false" outlineLevel="0" collapsed="false">
      <c r="A1820" s="14"/>
      <c r="B1820" s="9"/>
      <c r="C1820" s="9"/>
      <c r="D1820" s="9"/>
      <c r="E1820" s="9"/>
      <c r="F1820" s="17" t="str">
        <f aca="false">IF(AND(A1820="",B1820="",C1820=""),"",IF(NOT(ISNUMBER(A1820)),"Enter the date done",IF(SUMPRODUCT(('PM Plan'!$A$5:$A$304=B1820)*('PM Plan'!$B$5:$B$304=C1820))=0,"No matching asset + task in plan","OK")))</f>
        <v/>
      </c>
    </row>
    <row r="1821" customFormat="false" ht="15" hidden="false" customHeight="false" outlineLevel="0" collapsed="false">
      <c r="A1821" s="14"/>
      <c r="B1821" s="9"/>
      <c r="C1821" s="9"/>
      <c r="D1821" s="9"/>
      <c r="E1821" s="9"/>
      <c r="F1821" s="17" t="str">
        <f aca="false">IF(AND(A1821="",B1821="",C1821=""),"",IF(NOT(ISNUMBER(A1821)),"Enter the date done",IF(SUMPRODUCT(('PM Plan'!$A$5:$A$304=B1821)*('PM Plan'!$B$5:$B$304=C1821))=0,"No matching asset + task in plan","OK")))</f>
        <v/>
      </c>
    </row>
    <row r="1822" customFormat="false" ht="15" hidden="false" customHeight="false" outlineLevel="0" collapsed="false">
      <c r="A1822" s="14"/>
      <c r="B1822" s="9"/>
      <c r="C1822" s="9"/>
      <c r="D1822" s="9"/>
      <c r="E1822" s="9"/>
      <c r="F1822" s="17" t="str">
        <f aca="false">IF(AND(A1822="",B1822="",C1822=""),"",IF(NOT(ISNUMBER(A1822)),"Enter the date done",IF(SUMPRODUCT(('PM Plan'!$A$5:$A$304=B1822)*('PM Plan'!$B$5:$B$304=C1822))=0,"No matching asset + task in plan","OK")))</f>
        <v/>
      </c>
    </row>
    <row r="1823" customFormat="false" ht="15" hidden="false" customHeight="false" outlineLevel="0" collapsed="false">
      <c r="A1823" s="14"/>
      <c r="B1823" s="9"/>
      <c r="C1823" s="9"/>
      <c r="D1823" s="9"/>
      <c r="E1823" s="9"/>
      <c r="F1823" s="17" t="str">
        <f aca="false">IF(AND(A1823="",B1823="",C1823=""),"",IF(NOT(ISNUMBER(A1823)),"Enter the date done",IF(SUMPRODUCT(('PM Plan'!$A$5:$A$304=B1823)*('PM Plan'!$B$5:$B$304=C1823))=0,"No matching asset + task in plan","OK")))</f>
        <v/>
      </c>
    </row>
    <row r="1824" customFormat="false" ht="15" hidden="false" customHeight="false" outlineLevel="0" collapsed="false">
      <c r="A1824" s="14"/>
      <c r="B1824" s="9"/>
      <c r="C1824" s="9"/>
      <c r="D1824" s="9"/>
      <c r="E1824" s="9"/>
      <c r="F1824" s="17" t="str">
        <f aca="false">IF(AND(A1824="",B1824="",C1824=""),"",IF(NOT(ISNUMBER(A1824)),"Enter the date done",IF(SUMPRODUCT(('PM Plan'!$A$5:$A$304=B1824)*('PM Plan'!$B$5:$B$304=C1824))=0,"No matching asset + task in plan","OK")))</f>
        <v/>
      </c>
    </row>
    <row r="1825" customFormat="false" ht="15" hidden="false" customHeight="false" outlineLevel="0" collapsed="false">
      <c r="A1825" s="14"/>
      <c r="B1825" s="9"/>
      <c r="C1825" s="9"/>
      <c r="D1825" s="9"/>
      <c r="E1825" s="9"/>
      <c r="F1825" s="17" t="str">
        <f aca="false">IF(AND(A1825="",B1825="",C1825=""),"",IF(NOT(ISNUMBER(A1825)),"Enter the date done",IF(SUMPRODUCT(('PM Plan'!$A$5:$A$304=B1825)*('PM Plan'!$B$5:$B$304=C1825))=0,"No matching asset + task in plan","OK")))</f>
        <v/>
      </c>
    </row>
    <row r="1826" customFormat="false" ht="15" hidden="false" customHeight="false" outlineLevel="0" collapsed="false">
      <c r="A1826" s="14"/>
      <c r="B1826" s="9"/>
      <c r="C1826" s="9"/>
      <c r="D1826" s="9"/>
      <c r="E1826" s="9"/>
      <c r="F1826" s="17" t="str">
        <f aca="false">IF(AND(A1826="",B1826="",C1826=""),"",IF(NOT(ISNUMBER(A1826)),"Enter the date done",IF(SUMPRODUCT(('PM Plan'!$A$5:$A$304=B1826)*('PM Plan'!$B$5:$B$304=C1826))=0,"No matching asset + task in plan","OK")))</f>
        <v/>
      </c>
    </row>
    <row r="1827" customFormat="false" ht="15" hidden="false" customHeight="false" outlineLevel="0" collapsed="false">
      <c r="A1827" s="14"/>
      <c r="B1827" s="9"/>
      <c r="C1827" s="9"/>
      <c r="D1827" s="9"/>
      <c r="E1827" s="9"/>
      <c r="F1827" s="17" t="str">
        <f aca="false">IF(AND(A1827="",B1827="",C1827=""),"",IF(NOT(ISNUMBER(A1827)),"Enter the date done",IF(SUMPRODUCT(('PM Plan'!$A$5:$A$304=B1827)*('PM Plan'!$B$5:$B$304=C1827))=0,"No matching asset + task in plan","OK")))</f>
        <v/>
      </c>
    </row>
    <row r="1828" customFormat="false" ht="15" hidden="false" customHeight="false" outlineLevel="0" collapsed="false">
      <c r="A1828" s="14"/>
      <c r="B1828" s="9"/>
      <c r="C1828" s="9"/>
      <c r="D1828" s="9"/>
      <c r="E1828" s="9"/>
      <c r="F1828" s="17" t="str">
        <f aca="false">IF(AND(A1828="",B1828="",C1828=""),"",IF(NOT(ISNUMBER(A1828)),"Enter the date done",IF(SUMPRODUCT(('PM Plan'!$A$5:$A$304=B1828)*('PM Plan'!$B$5:$B$304=C1828))=0,"No matching asset + task in plan","OK")))</f>
        <v/>
      </c>
    </row>
    <row r="1829" customFormat="false" ht="15" hidden="false" customHeight="false" outlineLevel="0" collapsed="false">
      <c r="A1829" s="14"/>
      <c r="B1829" s="9"/>
      <c r="C1829" s="9"/>
      <c r="D1829" s="9"/>
      <c r="E1829" s="9"/>
      <c r="F1829" s="17" t="str">
        <f aca="false">IF(AND(A1829="",B1829="",C1829=""),"",IF(NOT(ISNUMBER(A1829)),"Enter the date done",IF(SUMPRODUCT(('PM Plan'!$A$5:$A$304=B1829)*('PM Plan'!$B$5:$B$304=C1829))=0,"No matching asset + task in plan","OK")))</f>
        <v/>
      </c>
    </row>
    <row r="1830" customFormat="false" ht="15" hidden="false" customHeight="false" outlineLevel="0" collapsed="false">
      <c r="A1830" s="14"/>
      <c r="B1830" s="9"/>
      <c r="C1830" s="9"/>
      <c r="D1830" s="9"/>
      <c r="E1830" s="9"/>
      <c r="F1830" s="17" t="str">
        <f aca="false">IF(AND(A1830="",B1830="",C1830=""),"",IF(NOT(ISNUMBER(A1830)),"Enter the date done",IF(SUMPRODUCT(('PM Plan'!$A$5:$A$304=B1830)*('PM Plan'!$B$5:$B$304=C1830))=0,"No matching asset + task in plan","OK")))</f>
        <v/>
      </c>
    </row>
    <row r="1831" customFormat="false" ht="15" hidden="false" customHeight="false" outlineLevel="0" collapsed="false">
      <c r="A1831" s="14"/>
      <c r="B1831" s="9"/>
      <c r="C1831" s="9"/>
      <c r="D1831" s="9"/>
      <c r="E1831" s="9"/>
      <c r="F1831" s="17" t="str">
        <f aca="false">IF(AND(A1831="",B1831="",C1831=""),"",IF(NOT(ISNUMBER(A1831)),"Enter the date done",IF(SUMPRODUCT(('PM Plan'!$A$5:$A$304=B1831)*('PM Plan'!$B$5:$B$304=C1831))=0,"No matching asset + task in plan","OK")))</f>
        <v/>
      </c>
    </row>
    <row r="1832" customFormat="false" ht="15" hidden="false" customHeight="false" outlineLevel="0" collapsed="false">
      <c r="A1832" s="14"/>
      <c r="B1832" s="9"/>
      <c r="C1832" s="9"/>
      <c r="D1832" s="9"/>
      <c r="E1832" s="9"/>
      <c r="F1832" s="17" t="str">
        <f aca="false">IF(AND(A1832="",B1832="",C1832=""),"",IF(NOT(ISNUMBER(A1832)),"Enter the date done",IF(SUMPRODUCT(('PM Plan'!$A$5:$A$304=B1832)*('PM Plan'!$B$5:$B$304=C1832))=0,"No matching asset + task in plan","OK")))</f>
        <v/>
      </c>
    </row>
    <row r="1833" customFormat="false" ht="15" hidden="false" customHeight="false" outlineLevel="0" collapsed="false">
      <c r="A1833" s="14"/>
      <c r="B1833" s="9"/>
      <c r="C1833" s="9"/>
      <c r="D1833" s="9"/>
      <c r="E1833" s="9"/>
      <c r="F1833" s="17" t="str">
        <f aca="false">IF(AND(A1833="",B1833="",C1833=""),"",IF(NOT(ISNUMBER(A1833)),"Enter the date done",IF(SUMPRODUCT(('PM Plan'!$A$5:$A$304=B1833)*('PM Plan'!$B$5:$B$304=C1833))=0,"No matching asset + task in plan","OK")))</f>
        <v/>
      </c>
    </row>
    <row r="1834" customFormat="false" ht="15" hidden="false" customHeight="false" outlineLevel="0" collapsed="false">
      <c r="A1834" s="14"/>
      <c r="B1834" s="9"/>
      <c r="C1834" s="9"/>
      <c r="D1834" s="9"/>
      <c r="E1834" s="9"/>
      <c r="F1834" s="17" t="str">
        <f aca="false">IF(AND(A1834="",B1834="",C1834=""),"",IF(NOT(ISNUMBER(A1834)),"Enter the date done",IF(SUMPRODUCT(('PM Plan'!$A$5:$A$304=B1834)*('PM Plan'!$B$5:$B$304=C1834))=0,"No matching asset + task in plan","OK")))</f>
        <v/>
      </c>
    </row>
    <row r="1835" customFormat="false" ht="15" hidden="false" customHeight="false" outlineLevel="0" collapsed="false">
      <c r="A1835" s="14"/>
      <c r="B1835" s="9"/>
      <c r="C1835" s="9"/>
      <c r="D1835" s="9"/>
      <c r="E1835" s="9"/>
      <c r="F1835" s="17" t="str">
        <f aca="false">IF(AND(A1835="",B1835="",C1835=""),"",IF(NOT(ISNUMBER(A1835)),"Enter the date done",IF(SUMPRODUCT(('PM Plan'!$A$5:$A$304=B1835)*('PM Plan'!$B$5:$B$304=C1835))=0,"No matching asset + task in plan","OK")))</f>
        <v/>
      </c>
    </row>
    <row r="1836" customFormat="false" ht="15" hidden="false" customHeight="false" outlineLevel="0" collapsed="false">
      <c r="A1836" s="14"/>
      <c r="B1836" s="9"/>
      <c r="C1836" s="9"/>
      <c r="D1836" s="9"/>
      <c r="E1836" s="9"/>
      <c r="F1836" s="17" t="str">
        <f aca="false">IF(AND(A1836="",B1836="",C1836=""),"",IF(NOT(ISNUMBER(A1836)),"Enter the date done",IF(SUMPRODUCT(('PM Plan'!$A$5:$A$304=B1836)*('PM Plan'!$B$5:$B$304=C1836))=0,"No matching asset + task in plan","OK")))</f>
        <v/>
      </c>
    </row>
    <row r="1837" customFormat="false" ht="15" hidden="false" customHeight="false" outlineLevel="0" collapsed="false">
      <c r="A1837" s="14"/>
      <c r="B1837" s="9"/>
      <c r="C1837" s="9"/>
      <c r="D1837" s="9"/>
      <c r="E1837" s="9"/>
      <c r="F1837" s="17" t="str">
        <f aca="false">IF(AND(A1837="",B1837="",C1837=""),"",IF(NOT(ISNUMBER(A1837)),"Enter the date done",IF(SUMPRODUCT(('PM Plan'!$A$5:$A$304=B1837)*('PM Plan'!$B$5:$B$304=C1837))=0,"No matching asset + task in plan","OK")))</f>
        <v/>
      </c>
    </row>
    <row r="1838" customFormat="false" ht="15" hidden="false" customHeight="false" outlineLevel="0" collapsed="false">
      <c r="A1838" s="14"/>
      <c r="B1838" s="9"/>
      <c r="C1838" s="9"/>
      <c r="D1838" s="9"/>
      <c r="E1838" s="9"/>
      <c r="F1838" s="17" t="str">
        <f aca="false">IF(AND(A1838="",B1838="",C1838=""),"",IF(NOT(ISNUMBER(A1838)),"Enter the date done",IF(SUMPRODUCT(('PM Plan'!$A$5:$A$304=B1838)*('PM Plan'!$B$5:$B$304=C1838))=0,"No matching asset + task in plan","OK")))</f>
        <v/>
      </c>
    </row>
    <row r="1839" customFormat="false" ht="15" hidden="false" customHeight="false" outlineLevel="0" collapsed="false">
      <c r="A1839" s="14"/>
      <c r="B1839" s="9"/>
      <c r="C1839" s="9"/>
      <c r="D1839" s="9"/>
      <c r="E1839" s="9"/>
      <c r="F1839" s="17" t="str">
        <f aca="false">IF(AND(A1839="",B1839="",C1839=""),"",IF(NOT(ISNUMBER(A1839)),"Enter the date done",IF(SUMPRODUCT(('PM Plan'!$A$5:$A$304=B1839)*('PM Plan'!$B$5:$B$304=C1839))=0,"No matching asset + task in plan","OK")))</f>
        <v/>
      </c>
    </row>
    <row r="1840" customFormat="false" ht="15" hidden="false" customHeight="false" outlineLevel="0" collapsed="false">
      <c r="A1840" s="14"/>
      <c r="B1840" s="9"/>
      <c r="C1840" s="9"/>
      <c r="D1840" s="9"/>
      <c r="E1840" s="9"/>
      <c r="F1840" s="17" t="str">
        <f aca="false">IF(AND(A1840="",B1840="",C1840=""),"",IF(NOT(ISNUMBER(A1840)),"Enter the date done",IF(SUMPRODUCT(('PM Plan'!$A$5:$A$304=B1840)*('PM Plan'!$B$5:$B$304=C1840))=0,"No matching asset + task in plan","OK")))</f>
        <v/>
      </c>
    </row>
    <row r="1841" customFormat="false" ht="15" hidden="false" customHeight="false" outlineLevel="0" collapsed="false">
      <c r="A1841" s="14"/>
      <c r="B1841" s="9"/>
      <c r="C1841" s="9"/>
      <c r="D1841" s="9"/>
      <c r="E1841" s="9"/>
      <c r="F1841" s="17" t="str">
        <f aca="false">IF(AND(A1841="",B1841="",C1841=""),"",IF(NOT(ISNUMBER(A1841)),"Enter the date done",IF(SUMPRODUCT(('PM Plan'!$A$5:$A$304=B1841)*('PM Plan'!$B$5:$B$304=C1841))=0,"No matching asset + task in plan","OK")))</f>
        <v/>
      </c>
    </row>
    <row r="1842" customFormat="false" ht="15" hidden="false" customHeight="false" outlineLevel="0" collapsed="false">
      <c r="A1842" s="14"/>
      <c r="B1842" s="9"/>
      <c r="C1842" s="9"/>
      <c r="D1842" s="9"/>
      <c r="E1842" s="9"/>
      <c r="F1842" s="17" t="str">
        <f aca="false">IF(AND(A1842="",B1842="",C1842=""),"",IF(NOT(ISNUMBER(A1842)),"Enter the date done",IF(SUMPRODUCT(('PM Plan'!$A$5:$A$304=B1842)*('PM Plan'!$B$5:$B$304=C1842))=0,"No matching asset + task in plan","OK")))</f>
        <v/>
      </c>
    </row>
    <row r="1843" customFormat="false" ht="15" hidden="false" customHeight="false" outlineLevel="0" collapsed="false">
      <c r="A1843" s="14"/>
      <c r="B1843" s="9"/>
      <c r="C1843" s="9"/>
      <c r="D1843" s="9"/>
      <c r="E1843" s="9"/>
      <c r="F1843" s="17" t="str">
        <f aca="false">IF(AND(A1843="",B1843="",C1843=""),"",IF(NOT(ISNUMBER(A1843)),"Enter the date done",IF(SUMPRODUCT(('PM Plan'!$A$5:$A$304=B1843)*('PM Plan'!$B$5:$B$304=C1843))=0,"No matching asset + task in plan","OK")))</f>
        <v/>
      </c>
    </row>
    <row r="1844" customFormat="false" ht="15" hidden="false" customHeight="false" outlineLevel="0" collapsed="false">
      <c r="A1844" s="14"/>
      <c r="B1844" s="9"/>
      <c r="C1844" s="9"/>
      <c r="D1844" s="9"/>
      <c r="E1844" s="9"/>
      <c r="F1844" s="17" t="str">
        <f aca="false">IF(AND(A1844="",B1844="",C1844=""),"",IF(NOT(ISNUMBER(A1844)),"Enter the date done",IF(SUMPRODUCT(('PM Plan'!$A$5:$A$304=B1844)*('PM Plan'!$B$5:$B$304=C1844))=0,"No matching asset + task in plan","OK")))</f>
        <v/>
      </c>
    </row>
    <row r="1845" customFormat="false" ht="15" hidden="false" customHeight="false" outlineLevel="0" collapsed="false">
      <c r="A1845" s="14"/>
      <c r="B1845" s="9"/>
      <c r="C1845" s="9"/>
      <c r="D1845" s="9"/>
      <c r="E1845" s="9"/>
      <c r="F1845" s="17" t="str">
        <f aca="false">IF(AND(A1845="",B1845="",C1845=""),"",IF(NOT(ISNUMBER(A1845)),"Enter the date done",IF(SUMPRODUCT(('PM Plan'!$A$5:$A$304=B1845)*('PM Plan'!$B$5:$B$304=C1845))=0,"No matching asset + task in plan","OK")))</f>
        <v/>
      </c>
    </row>
    <row r="1846" customFormat="false" ht="15" hidden="false" customHeight="false" outlineLevel="0" collapsed="false">
      <c r="A1846" s="14"/>
      <c r="B1846" s="9"/>
      <c r="C1846" s="9"/>
      <c r="D1846" s="9"/>
      <c r="E1846" s="9"/>
      <c r="F1846" s="17" t="str">
        <f aca="false">IF(AND(A1846="",B1846="",C1846=""),"",IF(NOT(ISNUMBER(A1846)),"Enter the date done",IF(SUMPRODUCT(('PM Plan'!$A$5:$A$304=B1846)*('PM Plan'!$B$5:$B$304=C1846))=0,"No matching asset + task in plan","OK")))</f>
        <v/>
      </c>
    </row>
    <row r="1847" customFormat="false" ht="15" hidden="false" customHeight="false" outlineLevel="0" collapsed="false">
      <c r="A1847" s="14"/>
      <c r="B1847" s="9"/>
      <c r="C1847" s="9"/>
      <c r="D1847" s="9"/>
      <c r="E1847" s="9"/>
      <c r="F1847" s="17" t="str">
        <f aca="false">IF(AND(A1847="",B1847="",C1847=""),"",IF(NOT(ISNUMBER(A1847)),"Enter the date done",IF(SUMPRODUCT(('PM Plan'!$A$5:$A$304=B1847)*('PM Plan'!$B$5:$B$304=C1847))=0,"No matching asset + task in plan","OK")))</f>
        <v/>
      </c>
    </row>
    <row r="1848" customFormat="false" ht="15" hidden="false" customHeight="false" outlineLevel="0" collapsed="false">
      <c r="A1848" s="14"/>
      <c r="B1848" s="9"/>
      <c r="C1848" s="9"/>
      <c r="D1848" s="9"/>
      <c r="E1848" s="9"/>
      <c r="F1848" s="17" t="str">
        <f aca="false">IF(AND(A1848="",B1848="",C1848=""),"",IF(NOT(ISNUMBER(A1848)),"Enter the date done",IF(SUMPRODUCT(('PM Plan'!$A$5:$A$304=B1848)*('PM Plan'!$B$5:$B$304=C1848))=0,"No matching asset + task in plan","OK")))</f>
        <v/>
      </c>
    </row>
    <row r="1849" customFormat="false" ht="15" hidden="false" customHeight="false" outlineLevel="0" collapsed="false">
      <c r="A1849" s="14"/>
      <c r="B1849" s="9"/>
      <c r="C1849" s="9"/>
      <c r="D1849" s="9"/>
      <c r="E1849" s="9"/>
      <c r="F1849" s="17" t="str">
        <f aca="false">IF(AND(A1849="",B1849="",C1849=""),"",IF(NOT(ISNUMBER(A1849)),"Enter the date done",IF(SUMPRODUCT(('PM Plan'!$A$5:$A$304=B1849)*('PM Plan'!$B$5:$B$304=C1849))=0,"No matching asset + task in plan","OK")))</f>
        <v/>
      </c>
    </row>
    <row r="1850" customFormat="false" ht="15" hidden="false" customHeight="false" outlineLevel="0" collapsed="false">
      <c r="A1850" s="14"/>
      <c r="B1850" s="9"/>
      <c r="C1850" s="9"/>
      <c r="D1850" s="9"/>
      <c r="E1850" s="9"/>
      <c r="F1850" s="17" t="str">
        <f aca="false">IF(AND(A1850="",B1850="",C1850=""),"",IF(NOT(ISNUMBER(A1850)),"Enter the date done",IF(SUMPRODUCT(('PM Plan'!$A$5:$A$304=B1850)*('PM Plan'!$B$5:$B$304=C1850))=0,"No matching asset + task in plan","OK")))</f>
        <v/>
      </c>
    </row>
    <row r="1851" customFormat="false" ht="15" hidden="false" customHeight="false" outlineLevel="0" collapsed="false">
      <c r="A1851" s="14"/>
      <c r="B1851" s="9"/>
      <c r="C1851" s="9"/>
      <c r="D1851" s="9"/>
      <c r="E1851" s="9"/>
      <c r="F1851" s="17" t="str">
        <f aca="false">IF(AND(A1851="",B1851="",C1851=""),"",IF(NOT(ISNUMBER(A1851)),"Enter the date done",IF(SUMPRODUCT(('PM Plan'!$A$5:$A$304=B1851)*('PM Plan'!$B$5:$B$304=C1851))=0,"No matching asset + task in plan","OK")))</f>
        <v/>
      </c>
    </row>
    <row r="1852" customFormat="false" ht="15" hidden="false" customHeight="false" outlineLevel="0" collapsed="false">
      <c r="A1852" s="14"/>
      <c r="B1852" s="9"/>
      <c r="C1852" s="9"/>
      <c r="D1852" s="9"/>
      <c r="E1852" s="9"/>
      <c r="F1852" s="17" t="str">
        <f aca="false">IF(AND(A1852="",B1852="",C1852=""),"",IF(NOT(ISNUMBER(A1852)),"Enter the date done",IF(SUMPRODUCT(('PM Plan'!$A$5:$A$304=B1852)*('PM Plan'!$B$5:$B$304=C1852))=0,"No matching asset + task in plan","OK")))</f>
        <v/>
      </c>
    </row>
    <row r="1853" customFormat="false" ht="15" hidden="false" customHeight="false" outlineLevel="0" collapsed="false">
      <c r="A1853" s="14"/>
      <c r="B1853" s="9"/>
      <c r="C1853" s="9"/>
      <c r="D1853" s="9"/>
      <c r="E1853" s="9"/>
      <c r="F1853" s="17" t="str">
        <f aca="false">IF(AND(A1853="",B1853="",C1853=""),"",IF(NOT(ISNUMBER(A1853)),"Enter the date done",IF(SUMPRODUCT(('PM Plan'!$A$5:$A$304=B1853)*('PM Plan'!$B$5:$B$304=C1853))=0,"No matching asset + task in plan","OK")))</f>
        <v/>
      </c>
    </row>
    <row r="1854" customFormat="false" ht="15" hidden="false" customHeight="false" outlineLevel="0" collapsed="false">
      <c r="A1854" s="14"/>
      <c r="B1854" s="9"/>
      <c r="C1854" s="9"/>
      <c r="D1854" s="9"/>
      <c r="E1854" s="9"/>
      <c r="F1854" s="17" t="str">
        <f aca="false">IF(AND(A1854="",B1854="",C1854=""),"",IF(NOT(ISNUMBER(A1854)),"Enter the date done",IF(SUMPRODUCT(('PM Plan'!$A$5:$A$304=B1854)*('PM Plan'!$B$5:$B$304=C1854))=0,"No matching asset + task in plan","OK")))</f>
        <v/>
      </c>
    </row>
    <row r="1855" customFormat="false" ht="15" hidden="false" customHeight="false" outlineLevel="0" collapsed="false">
      <c r="A1855" s="14"/>
      <c r="B1855" s="9"/>
      <c r="C1855" s="9"/>
      <c r="D1855" s="9"/>
      <c r="E1855" s="9"/>
      <c r="F1855" s="17" t="str">
        <f aca="false">IF(AND(A1855="",B1855="",C1855=""),"",IF(NOT(ISNUMBER(A1855)),"Enter the date done",IF(SUMPRODUCT(('PM Plan'!$A$5:$A$304=B1855)*('PM Plan'!$B$5:$B$304=C1855))=0,"No matching asset + task in plan","OK")))</f>
        <v/>
      </c>
    </row>
    <row r="1856" customFormat="false" ht="15" hidden="false" customHeight="false" outlineLevel="0" collapsed="false">
      <c r="A1856" s="14"/>
      <c r="B1856" s="9"/>
      <c r="C1856" s="9"/>
      <c r="D1856" s="9"/>
      <c r="E1856" s="9"/>
      <c r="F1856" s="17" t="str">
        <f aca="false">IF(AND(A1856="",B1856="",C1856=""),"",IF(NOT(ISNUMBER(A1856)),"Enter the date done",IF(SUMPRODUCT(('PM Plan'!$A$5:$A$304=B1856)*('PM Plan'!$B$5:$B$304=C1856))=0,"No matching asset + task in plan","OK")))</f>
        <v/>
      </c>
    </row>
    <row r="1857" customFormat="false" ht="15" hidden="false" customHeight="false" outlineLevel="0" collapsed="false">
      <c r="A1857" s="14"/>
      <c r="B1857" s="9"/>
      <c r="C1857" s="9"/>
      <c r="D1857" s="9"/>
      <c r="E1857" s="9"/>
      <c r="F1857" s="17" t="str">
        <f aca="false">IF(AND(A1857="",B1857="",C1857=""),"",IF(NOT(ISNUMBER(A1857)),"Enter the date done",IF(SUMPRODUCT(('PM Plan'!$A$5:$A$304=B1857)*('PM Plan'!$B$5:$B$304=C1857))=0,"No matching asset + task in plan","OK")))</f>
        <v/>
      </c>
    </row>
    <row r="1858" customFormat="false" ht="15" hidden="false" customHeight="false" outlineLevel="0" collapsed="false">
      <c r="A1858" s="14"/>
      <c r="B1858" s="9"/>
      <c r="C1858" s="9"/>
      <c r="D1858" s="9"/>
      <c r="E1858" s="9"/>
      <c r="F1858" s="17" t="str">
        <f aca="false">IF(AND(A1858="",B1858="",C1858=""),"",IF(NOT(ISNUMBER(A1858)),"Enter the date done",IF(SUMPRODUCT(('PM Plan'!$A$5:$A$304=B1858)*('PM Plan'!$B$5:$B$304=C1858))=0,"No matching asset + task in plan","OK")))</f>
        <v/>
      </c>
    </row>
    <row r="1859" customFormat="false" ht="15" hidden="false" customHeight="false" outlineLevel="0" collapsed="false">
      <c r="A1859" s="14"/>
      <c r="B1859" s="9"/>
      <c r="C1859" s="9"/>
      <c r="D1859" s="9"/>
      <c r="E1859" s="9"/>
      <c r="F1859" s="17" t="str">
        <f aca="false">IF(AND(A1859="",B1859="",C1859=""),"",IF(NOT(ISNUMBER(A1859)),"Enter the date done",IF(SUMPRODUCT(('PM Plan'!$A$5:$A$304=B1859)*('PM Plan'!$B$5:$B$304=C1859))=0,"No matching asset + task in plan","OK")))</f>
        <v/>
      </c>
    </row>
    <row r="1860" customFormat="false" ht="15" hidden="false" customHeight="false" outlineLevel="0" collapsed="false">
      <c r="A1860" s="14"/>
      <c r="B1860" s="9"/>
      <c r="C1860" s="9"/>
      <c r="D1860" s="9"/>
      <c r="E1860" s="9"/>
      <c r="F1860" s="17" t="str">
        <f aca="false">IF(AND(A1860="",B1860="",C1860=""),"",IF(NOT(ISNUMBER(A1860)),"Enter the date done",IF(SUMPRODUCT(('PM Plan'!$A$5:$A$304=B1860)*('PM Plan'!$B$5:$B$304=C1860))=0,"No matching asset + task in plan","OK")))</f>
        <v/>
      </c>
    </row>
    <row r="1861" customFormat="false" ht="15" hidden="false" customHeight="false" outlineLevel="0" collapsed="false">
      <c r="A1861" s="14"/>
      <c r="B1861" s="9"/>
      <c r="C1861" s="9"/>
      <c r="D1861" s="9"/>
      <c r="E1861" s="9"/>
      <c r="F1861" s="17" t="str">
        <f aca="false">IF(AND(A1861="",B1861="",C1861=""),"",IF(NOT(ISNUMBER(A1861)),"Enter the date done",IF(SUMPRODUCT(('PM Plan'!$A$5:$A$304=B1861)*('PM Plan'!$B$5:$B$304=C1861))=0,"No matching asset + task in plan","OK")))</f>
        <v/>
      </c>
    </row>
    <row r="1862" customFormat="false" ht="15" hidden="false" customHeight="false" outlineLevel="0" collapsed="false">
      <c r="A1862" s="14"/>
      <c r="B1862" s="9"/>
      <c r="C1862" s="9"/>
      <c r="D1862" s="9"/>
      <c r="E1862" s="9"/>
      <c r="F1862" s="17" t="str">
        <f aca="false">IF(AND(A1862="",B1862="",C1862=""),"",IF(NOT(ISNUMBER(A1862)),"Enter the date done",IF(SUMPRODUCT(('PM Plan'!$A$5:$A$304=B1862)*('PM Plan'!$B$5:$B$304=C1862))=0,"No matching asset + task in plan","OK")))</f>
        <v/>
      </c>
    </row>
    <row r="1863" customFormat="false" ht="15" hidden="false" customHeight="false" outlineLevel="0" collapsed="false">
      <c r="A1863" s="14"/>
      <c r="B1863" s="9"/>
      <c r="C1863" s="9"/>
      <c r="D1863" s="9"/>
      <c r="E1863" s="9"/>
      <c r="F1863" s="17" t="str">
        <f aca="false">IF(AND(A1863="",B1863="",C1863=""),"",IF(NOT(ISNUMBER(A1863)),"Enter the date done",IF(SUMPRODUCT(('PM Plan'!$A$5:$A$304=B1863)*('PM Plan'!$B$5:$B$304=C1863))=0,"No matching asset + task in plan","OK")))</f>
        <v/>
      </c>
    </row>
    <row r="1864" customFormat="false" ht="15" hidden="false" customHeight="false" outlineLevel="0" collapsed="false">
      <c r="A1864" s="14"/>
      <c r="B1864" s="9"/>
      <c r="C1864" s="9"/>
      <c r="D1864" s="9"/>
      <c r="E1864" s="9"/>
      <c r="F1864" s="17" t="str">
        <f aca="false">IF(AND(A1864="",B1864="",C1864=""),"",IF(NOT(ISNUMBER(A1864)),"Enter the date done",IF(SUMPRODUCT(('PM Plan'!$A$5:$A$304=B1864)*('PM Plan'!$B$5:$B$304=C1864))=0,"No matching asset + task in plan","OK")))</f>
        <v/>
      </c>
    </row>
    <row r="1865" customFormat="false" ht="15" hidden="false" customHeight="false" outlineLevel="0" collapsed="false">
      <c r="A1865" s="14"/>
      <c r="B1865" s="9"/>
      <c r="C1865" s="9"/>
      <c r="D1865" s="9"/>
      <c r="E1865" s="9"/>
      <c r="F1865" s="17" t="str">
        <f aca="false">IF(AND(A1865="",B1865="",C1865=""),"",IF(NOT(ISNUMBER(A1865)),"Enter the date done",IF(SUMPRODUCT(('PM Plan'!$A$5:$A$304=B1865)*('PM Plan'!$B$5:$B$304=C1865))=0,"No matching asset + task in plan","OK")))</f>
        <v/>
      </c>
    </row>
    <row r="1866" customFormat="false" ht="15" hidden="false" customHeight="false" outlineLevel="0" collapsed="false">
      <c r="A1866" s="14"/>
      <c r="B1866" s="9"/>
      <c r="C1866" s="9"/>
      <c r="D1866" s="9"/>
      <c r="E1866" s="9"/>
      <c r="F1866" s="17" t="str">
        <f aca="false">IF(AND(A1866="",B1866="",C1866=""),"",IF(NOT(ISNUMBER(A1866)),"Enter the date done",IF(SUMPRODUCT(('PM Plan'!$A$5:$A$304=B1866)*('PM Plan'!$B$5:$B$304=C1866))=0,"No matching asset + task in plan","OK")))</f>
        <v/>
      </c>
    </row>
    <row r="1867" customFormat="false" ht="15" hidden="false" customHeight="false" outlineLevel="0" collapsed="false">
      <c r="A1867" s="14"/>
      <c r="B1867" s="9"/>
      <c r="C1867" s="9"/>
      <c r="D1867" s="9"/>
      <c r="E1867" s="9"/>
      <c r="F1867" s="17" t="str">
        <f aca="false">IF(AND(A1867="",B1867="",C1867=""),"",IF(NOT(ISNUMBER(A1867)),"Enter the date done",IF(SUMPRODUCT(('PM Plan'!$A$5:$A$304=B1867)*('PM Plan'!$B$5:$B$304=C1867))=0,"No matching asset + task in plan","OK")))</f>
        <v/>
      </c>
    </row>
    <row r="1868" customFormat="false" ht="15" hidden="false" customHeight="false" outlineLevel="0" collapsed="false">
      <c r="A1868" s="14"/>
      <c r="B1868" s="9"/>
      <c r="C1868" s="9"/>
      <c r="D1868" s="9"/>
      <c r="E1868" s="9"/>
      <c r="F1868" s="17" t="str">
        <f aca="false">IF(AND(A1868="",B1868="",C1868=""),"",IF(NOT(ISNUMBER(A1868)),"Enter the date done",IF(SUMPRODUCT(('PM Plan'!$A$5:$A$304=B1868)*('PM Plan'!$B$5:$B$304=C1868))=0,"No matching asset + task in plan","OK")))</f>
        <v/>
      </c>
    </row>
    <row r="1869" customFormat="false" ht="15" hidden="false" customHeight="false" outlineLevel="0" collapsed="false">
      <c r="A1869" s="14"/>
      <c r="B1869" s="9"/>
      <c r="C1869" s="9"/>
      <c r="D1869" s="9"/>
      <c r="E1869" s="9"/>
      <c r="F1869" s="17" t="str">
        <f aca="false">IF(AND(A1869="",B1869="",C1869=""),"",IF(NOT(ISNUMBER(A1869)),"Enter the date done",IF(SUMPRODUCT(('PM Plan'!$A$5:$A$304=B1869)*('PM Plan'!$B$5:$B$304=C1869))=0,"No matching asset + task in plan","OK")))</f>
        <v/>
      </c>
    </row>
    <row r="1870" customFormat="false" ht="15" hidden="false" customHeight="false" outlineLevel="0" collapsed="false">
      <c r="A1870" s="14"/>
      <c r="B1870" s="9"/>
      <c r="C1870" s="9"/>
      <c r="D1870" s="9"/>
      <c r="E1870" s="9"/>
      <c r="F1870" s="17" t="str">
        <f aca="false">IF(AND(A1870="",B1870="",C1870=""),"",IF(NOT(ISNUMBER(A1870)),"Enter the date done",IF(SUMPRODUCT(('PM Plan'!$A$5:$A$304=B1870)*('PM Plan'!$B$5:$B$304=C1870))=0,"No matching asset + task in plan","OK")))</f>
        <v/>
      </c>
    </row>
    <row r="1871" customFormat="false" ht="15" hidden="false" customHeight="false" outlineLevel="0" collapsed="false">
      <c r="A1871" s="14"/>
      <c r="B1871" s="9"/>
      <c r="C1871" s="9"/>
      <c r="D1871" s="9"/>
      <c r="E1871" s="9"/>
      <c r="F1871" s="17" t="str">
        <f aca="false">IF(AND(A1871="",B1871="",C1871=""),"",IF(NOT(ISNUMBER(A1871)),"Enter the date done",IF(SUMPRODUCT(('PM Plan'!$A$5:$A$304=B1871)*('PM Plan'!$B$5:$B$304=C1871))=0,"No matching asset + task in plan","OK")))</f>
        <v/>
      </c>
    </row>
    <row r="1872" customFormat="false" ht="15" hidden="false" customHeight="false" outlineLevel="0" collapsed="false">
      <c r="A1872" s="14"/>
      <c r="B1872" s="9"/>
      <c r="C1872" s="9"/>
      <c r="D1872" s="9"/>
      <c r="E1872" s="9"/>
      <c r="F1872" s="17" t="str">
        <f aca="false">IF(AND(A1872="",B1872="",C1872=""),"",IF(NOT(ISNUMBER(A1872)),"Enter the date done",IF(SUMPRODUCT(('PM Plan'!$A$5:$A$304=B1872)*('PM Plan'!$B$5:$B$304=C1872))=0,"No matching asset + task in plan","OK")))</f>
        <v/>
      </c>
    </row>
    <row r="1873" customFormat="false" ht="15" hidden="false" customHeight="false" outlineLevel="0" collapsed="false">
      <c r="A1873" s="14"/>
      <c r="B1873" s="9"/>
      <c r="C1873" s="9"/>
      <c r="D1873" s="9"/>
      <c r="E1873" s="9"/>
      <c r="F1873" s="17" t="str">
        <f aca="false">IF(AND(A1873="",B1873="",C1873=""),"",IF(NOT(ISNUMBER(A1873)),"Enter the date done",IF(SUMPRODUCT(('PM Plan'!$A$5:$A$304=B1873)*('PM Plan'!$B$5:$B$304=C1873))=0,"No matching asset + task in plan","OK")))</f>
        <v/>
      </c>
    </row>
    <row r="1874" customFormat="false" ht="15" hidden="false" customHeight="false" outlineLevel="0" collapsed="false">
      <c r="A1874" s="14"/>
      <c r="B1874" s="9"/>
      <c r="C1874" s="9"/>
      <c r="D1874" s="9"/>
      <c r="E1874" s="9"/>
      <c r="F1874" s="17" t="str">
        <f aca="false">IF(AND(A1874="",B1874="",C1874=""),"",IF(NOT(ISNUMBER(A1874)),"Enter the date done",IF(SUMPRODUCT(('PM Plan'!$A$5:$A$304=B1874)*('PM Plan'!$B$5:$B$304=C1874))=0,"No matching asset + task in plan","OK")))</f>
        <v/>
      </c>
    </row>
    <row r="1875" customFormat="false" ht="15" hidden="false" customHeight="false" outlineLevel="0" collapsed="false">
      <c r="A1875" s="14"/>
      <c r="B1875" s="9"/>
      <c r="C1875" s="9"/>
      <c r="D1875" s="9"/>
      <c r="E1875" s="9"/>
      <c r="F1875" s="17" t="str">
        <f aca="false">IF(AND(A1875="",B1875="",C1875=""),"",IF(NOT(ISNUMBER(A1875)),"Enter the date done",IF(SUMPRODUCT(('PM Plan'!$A$5:$A$304=B1875)*('PM Plan'!$B$5:$B$304=C1875))=0,"No matching asset + task in plan","OK")))</f>
        <v/>
      </c>
    </row>
    <row r="1876" customFormat="false" ht="15" hidden="false" customHeight="false" outlineLevel="0" collapsed="false">
      <c r="A1876" s="14"/>
      <c r="B1876" s="9"/>
      <c r="C1876" s="9"/>
      <c r="D1876" s="9"/>
      <c r="E1876" s="9"/>
      <c r="F1876" s="17" t="str">
        <f aca="false">IF(AND(A1876="",B1876="",C1876=""),"",IF(NOT(ISNUMBER(A1876)),"Enter the date done",IF(SUMPRODUCT(('PM Plan'!$A$5:$A$304=B1876)*('PM Plan'!$B$5:$B$304=C1876))=0,"No matching asset + task in plan","OK")))</f>
        <v/>
      </c>
    </row>
    <row r="1877" customFormat="false" ht="15" hidden="false" customHeight="false" outlineLevel="0" collapsed="false">
      <c r="A1877" s="14"/>
      <c r="B1877" s="9"/>
      <c r="C1877" s="9"/>
      <c r="D1877" s="9"/>
      <c r="E1877" s="9"/>
      <c r="F1877" s="17" t="str">
        <f aca="false">IF(AND(A1877="",B1877="",C1877=""),"",IF(NOT(ISNUMBER(A1877)),"Enter the date done",IF(SUMPRODUCT(('PM Plan'!$A$5:$A$304=B1877)*('PM Plan'!$B$5:$B$304=C1877))=0,"No matching asset + task in plan","OK")))</f>
        <v/>
      </c>
    </row>
    <row r="1878" customFormat="false" ht="15" hidden="false" customHeight="false" outlineLevel="0" collapsed="false">
      <c r="A1878" s="14"/>
      <c r="B1878" s="9"/>
      <c r="C1878" s="9"/>
      <c r="D1878" s="9"/>
      <c r="E1878" s="9"/>
      <c r="F1878" s="17" t="str">
        <f aca="false">IF(AND(A1878="",B1878="",C1878=""),"",IF(NOT(ISNUMBER(A1878)),"Enter the date done",IF(SUMPRODUCT(('PM Plan'!$A$5:$A$304=B1878)*('PM Plan'!$B$5:$B$304=C1878))=0,"No matching asset + task in plan","OK")))</f>
        <v/>
      </c>
    </row>
    <row r="1879" customFormat="false" ht="15" hidden="false" customHeight="false" outlineLevel="0" collapsed="false">
      <c r="A1879" s="14"/>
      <c r="B1879" s="9"/>
      <c r="C1879" s="9"/>
      <c r="D1879" s="9"/>
      <c r="E1879" s="9"/>
      <c r="F1879" s="17" t="str">
        <f aca="false">IF(AND(A1879="",B1879="",C1879=""),"",IF(NOT(ISNUMBER(A1879)),"Enter the date done",IF(SUMPRODUCT(('PM Plan'!$A$5:$A$304=B1879)*('PM Plan'!$B$5:$B$304=C1879))=0,"No matching asset + task in plan","OK")))</f>
        <v/>
      </c>
    </row>
    <row r="1880" customFormat="false" ht="15" hidden="false" customHeight="false" outlineLevel="0" collapsed="false">
      <c r="A1880" s="14"/>
      <c r="B1880" s="9"/>
      <c r="C1880" s="9"/>
      <c r="D1880" s="9"/>
      <c r="E1880" s="9"/>
      <c r="F1880" s="17" t="str">
        <f aca="false">IF(AND(A1880="",B1880="",C1880=""),"",IF(NOT(ISNUMBER(A1880)),"Enter the date done",IF(SUMPRODUCT(('PM Plan'!$A$5:$A$304=B1880)*('PM Plan'!$B$5:$B$304=C1880))=0,"No matching asset + task in plan","OK")))</f>
        <v/>
      </c>
    </row>
    <row r="1881" customFormat="false" ht="15" hidden="false" customHeight="false" outlineLevel="0" collapsed="false">
      <c r="A1881" s="14"/>
      <c r="B1881" s="9"/>
      <c r="C1881" s="9"/>
      <c r="D1881" s="9"/>
      <c r="E1881" s="9"/>
      <c r="F1881" s="17" t="str">
        <f aca="false">IF(AND(A1881="",B1881="",C1881=""),"",IF(NOT(ISNUMBER(A1881)),"Enter the date done",IF(SUMPRODUCT(('PM Plan'!$A$5:$A$304=B1881)*('PM Plan'!$B$5:$B$304=C1881))=0,"No matching asset + task in plan","OK")))</f>
        <v/>
      </c>
    </row>
    <row r="1882" customFormat="false" ht="15" hidden="false" customHeight="false" outlineLevel="0" collapsed="false">
      <c r="A1882" s="14"/>
      <c r="B1882" s="9"/>
      <c r="C1882" s="9"/>
      <c r="D1882" s="9"/>
      <c r="E1882" s="9"/>
      <c r="F1882" s="17" t="str">
        <f aca="false">IF(AND(A1882="",B1882="",C1882=""),"",IF(NOT(ISNUMBER(A1882)),"Enter the date done",IF(SUMPRODUCT(('PM Plan'!$A$5:$A$304=B1882)*('PM Plan'!$B$5:$B$304=C1882))=0,"No matching asset + task in plan","OK")))</f>
        <v/>
      </c>
    </row>
    <row r="1883" customFormat="false" ht="15" hidden="false" customHeight="false" outlineLevel="0" collapsed="false">
      <c r="A1883" s="14"/>
      <c r="B1883" s="9"/>
      <c r="C1883" s="9"/>
      <c r="D1883" s="9"/>
      <c r="E1883" s="9"/>
      <c r="F1883" s="17" t="str">
        <f aca="false">IF(AND(A1883="",B1883="",C1883=""),"",IF(NOT(ISNUMBER(A1883)),"Enter the date done",IF(SUMPRODUCT(('PM Plan'!$A$5:$A$304=B1883)*('PM Plan'!$B$5:$B$304=C1883))=0,"No matching asset + task in plan","OK")))</f>
        <v/>
      </c>
    </row>
    <row r="1884" customFormat="false" ht="15" hidden="false" customHeight="false" outlineLevel="0" collapsed="false">
      <c r="A1884" s="14"/>
      <c r="B1884" s="9"/>
      <c r="C1884" s="9"/>
      <c r="D1884" s="9"/>
      <c r="E1884" s="9"/>
      <c r="F1884" s="17" t="str">
        <f aca="false">IF(AND(A1884="",B1884="",C1884=""),"",IF(NOT(ISNUMBER(A1884)),"Enter the date done",IF(SUMPRODUCT(('PM Plan'!$A$5:$A$304=B1884)*('PM Plan'!$B$5:$B$304=C1884))=0,"No matching asset + task in plan","OK")))</f>
        <v/>
      </c>
    </row>
    <row r="1885" customFormat="false" ht="15" hidden="false" customHeight="false" outlineLevel="0" collapsed="false">
      <c r="A1885" s="14"/>
      <c r="B1885" s="9"/>
      <c r="C1885" s="9"/>
      <c r="D1885" s="9"/>
      <c r="E1885" s="9"/>
      <c r="F1885" s="17" t="str">
        <f aca="false">IF(AND(A1885="",B1885="",C1885=""),"",IF(NOT(ISNUMBER(A1885)),"Enter the date done",IF(SUMPRODUCT(('PM Plan'!$A$5:$A$304=B1885)*('PM Plan'!$B$5:$B$304=C1885))=0,"No matching asset + task in plan","OK")))</f>
        <v/>
      </c>
    </row>
    <row r="1886" customFormat="false" ht="15" hidden="false" customHeight="false" outlineLevel="0" collapsed="false">
      <c r="A1886" s="14"/>
      <c r="B1886" s="9"/>
      <c r="C1886" s="9"/>
      <c r="D1886" s="9"/>
      <c r="E1886" s="9"/>
      <c r="F1886" s="17" t="str">
        <f aca="false">IF(AND(A1886="",B1886="",C1886=""),"",IF(NOT(ISNUMBER(A1886)),"Enter the date done",IF(SUMPRODUCT(('PM Plan'!$A$5:$A$304=B1886)*('PM Plan'!$B$5:$B$304=C1886))=0,"No matching asset + task in plan","OK")))</f>
        <v/>
      </c>
    </row>
    <row r="1887" customFormat="false" ht="15" hidden="false" customHeight="false" outlineLevel="0" collapsed="false">
      <c r="A1887" s="14"/>
      <c r="B1887" s="9"/>
      <c r="C1887" s="9"/>
      <c r="D1887" s="9"/>
      <c r="E1887" s="9"/>
      <c r="F1887" s="17" t="str">
        <f aca="false">IF(AND(A1887="",B1887="",C1887=""),"",IF(NOT(ISNUMBER(A1887)),"Enter the date done",IF(SUMPRODUCT(('PM Plan'!$A$5:$A$304=B1887)*('PM Plan'!$B$5:$B$304=C1887))=0,"No matching asset + task in plan","OK")))</f>
        <v/>
      </c>
    </row>
    <row r="1888" customFormat="false" ht="15" hidden="false" customHeight="false" outlineLevel="0" collapsed="false">
      <c r="A1888" s="14"/>
      <c r="B1888" s="9"/>
      <c r="C1888" s="9"/>
      <c r="D1888" s="9"/>
      <c r="E1888" s="9"/>
      <c r="F1888" s="17" t="str">
        <f aca="false">IF(AND(A1888="",B1888="",C1888=""),"",IF(NOT(ISNUMBER(A1888)),"Enter the date done",IF(SUMPRODUCT(('PM Plan'!$A$5:$A$304=B1888)*('PM Plan'!$B$5:$B$304=C1888))=0,"No matching asset + task in plan","OK")))</f>
        <v/>
      </c>
    </row>
    <row r="1889" customFormat="false" ht="15" hidden="false" customHeight="false" outlineLevel="0" collapsed="false">
      <c r="A1889" s="14"/>
      <c r="B1889" s="9"/>
      <c r="C1889" s="9"/>
      <c r="D1889" s="9"/>
      <c r="E1889" s="9"/>
      <c r="F1889" s="17" t="str">
        <f aca="false">IF(AND(A1889="",B1889="",C1889=""),"",IF(NOT(ISNUMBER(A1889)),"Enter the date done",IF(SUMPRODUCT(('PM Plan'!$A$5:$A$304=B1889)*('PM Plan'!$B$5:$B$304=C1889))=0,"No matching asset + task in plan","OK")))</f>
        <v/>
      </c>
    </row>
    <row r="1890" customFormat="false" ht="15" hidden="false" customHeight="false" outlineLevel="0" collapsed="false">
      <c r="A1890" s="14"/>
      <c r="B1890" s="9"/>
      <c r="C1890" s="9"/>
      <c r="D1890" s="9"/>
      <c r="E1890" s="9"/>
      <c r="F1890" s="17" t="str">
        <f aca="false">IF(AND(A1890="",B1890="",C1890=""),"",IF(NOT(ISNUMBER(A1890)),"Enter the date done",IF(SUMPRODUCT(('PM Plan'!$A$5:$A$304=B1890)*('PM Plan'!$B$5:$B$304=C1890))=0,"No matching asset + task in plan","OK")))</f>
        <v/>
      </c>
    </row>
    <row r="1891" customFormat="false" ht="15" hidden="false" customHeight="false" outlineLevel="0" collapsed="false">
      <c r="A1891" s="14"/>
      <c r="B1891" s="9"/>
      <c r="C1891" s="9"/>
      <c r="D1891" s="9"/>
      <c r="E1891" s="9"/>
      <c r="F1891" s="17" t="str">
        <f aca="false">IF(AND(A1891="",B1891="",C1891=""),"",IF(NOT(ISNUMBER(A1891)),"Enter the date done",IF(SUMPRODUCT(('PM Plan'!$A$5:$A$304=B1891)*('PM Plan'!$B$5:$B$304=C1891))=0,"No matching asset + task in plan","OK")))</f>
        <v/>
      </c>
    </row>
    <row r="1892" customFormat="false" ht="15" hidden="false" customHeight="false" outlineLevel="0" collapsed="false">
      <c r="A1892" s="14"/>
      <c r="B1892" s="9"/>
      <c r="C1892" s="9"/>
      <c r="D1892" s="9"/>
      <c r="E1892" s="9"/>
      <c r="F1892" s="17" t="str">
        <f aca="false">IF(AND(A1892="",B1892="",C1892=""),"",IF(NOT(ISNUMBER(A1892)),"Enter the date done",IF(SUMPRODUCT(('PM Plan'!$A$5:$A$304=B1892)*('PM Plan'!$B$5:$B$304=C1892))=0,"No matching asset + task in plan","OK")))</f>
        <v/>
      </c>
    </row>
    <row r="1893" customFormat="false" ht="15" hidden="false" customHeight="false" outlineLevel="0" collapsed="false">
      <c r="A1893" s="14"/>
      <c r="B1893" s="9"/>
      <c r="C1893" s="9"/>
      <c r="D1893" s="9"/>
      <c r="E1893" s="9"/>
      <c r="F1893" s="17" t="str">
        <f aca="false">IF(AND(A1893="",B1893="",C1893=""),"",IF(NOT(ISNUMBER(A1893)),"Enter the date done",IF(SUMPRODUCT(('PM Plan'!$A$5:$A$304=B1893)*('PM Plan'!$B$5:$B$304=C1893))=0,"No matching asset + task in plan","OK")))</f>
        <v/>
      </c>
    </row>
    <row r="1894" customFormat="false" ht="15" hidden="false" customHeight="false" outlineLevel="0" collapsed="false">
      <c r="A1894" s="14"/>
      <c r="B1894" s="9"/>
      <c r="C1894" s="9"/>
      <c r="D1894" s="9"/>
      <c r="E1894" s="9"/>
      <c r="F1894" s="17" t="str">
        <f aca="false">IF(AND(A1894="",B1894="",C1894=""),"",IF(NOT(ISNUMBER(A1894)),"Enter the date done",IF(SUMPRODUCT(('PM Plan'!$A$5:$A$304=B1894)*('PM Plan'!$B$5:$B$304=C1894))=0,"No matching asset + task in plan","OK")))</f>
        <v/>
      </c>
    </row>
    <row r="1895" customFormat="false" ht="15" hidden="false" customHeight="false" outlineLevel="0" collapsed="false">
      <c r="A1895" s="14"/>
      <c r="B1895" s="9"/>
      <c r="C1895" s="9"/>
      <c r="D1895" s="9"/>
      <c r="E1895" s="9"/>
      <c r="F1895" s="17" t="str">
        <f aca="false">IF(AND(A1895="",B1895="",C1895=""),"",IF(NOT(ISNUMBER(A1895)),"Enter the date done",IF(SUMPRODUCT(('PM Plan'!$A$5:$A$304=B1895)*('PM Plan'!$B$5:$B$304=C1895))=0,"No matching asset + task in plan","OK")))</f>
        <v/>
      </c>
    </row>
    <row r="1896" customFormat="false" ht="15" hidden="false" customHeight="false" outlineLevel="0" collapsed="false">
      <c r="A1896" s="14"/>
      <c r="B1896" s="9"/>
      <c r="C1896" s="9"/>
      <c r="D1896" s="9"/>
      <c r="E1896" s="9"/>
      <c r="F1896" s="17" t="str">
        <f aca="false">IF(AND(A1896="",B1896="",C1896=""),"",IF(NOT(ISNUMBER(A1896)),"Enter the date done",IF(SUMPRODUCT(('PM Plan'!$A$5:$A$304=B1896)*('PM Plan'!$B$5:$B$304=C1896))=0,"No matching asset + task in plan","OK")))</f>
        <v/>
      </c>
    </row>
    <row r="1897" customFormat="false" ht="15" hidden="false" customHeight="false" outlineLevel="0" collapsed="false">
      <c r="A1897" s="14"/>
      <c r="B1897" s="9"/>
      <c r="C1897" s="9"/>
      <c r="D1897" s="9"/>
      <c r="E1897" s="9"/>
      <c r="F1897" s="17" t="str">
        <f aca="false">IF(AND(A1897="",B1897="",C1897=""),"",IF(NOT(ISNUMBER(A1897)),"Enter the date done",IF(SUMPRODUCT(('PM Plan'!$A$5:$A$304=B1897)*('PM Plan'!$B$5:$B$304=C1897))=0,"No matching asset + task in plan","OK")))</f>
        <v/>
      </c>
    </row>
    <row r="1898" customFormat="false" ht="15" hidden="false" customHeight="false" outlineLevel="0" collapsed="false">
      <c r="A1898" s="14"/>
      <c r="B1898" s="9"/>
      <c r="C1898" s="9"/>
      <c r="D1898" s="9"/>
      <c r="E1898" s="9"/>
      <c r="F1898" s="17" t="str">
        <f aca="false">IF(AND(A1898="",B1898="",C1898=""),"",IF(NOT(ISNUMBER(A1898)),"Enter the date done",IF(SUMPRODUCT(('PM Plan'!$A$5:$A$304=B1898)*('PM Plan'!$B$5:$B$304=C1898))=0,"No matching asset + task in plan","OK")))</f>
        <v/>
      </c>
    </row>
    <row r="1899" customFormat="false" ht="15" hidden="false" customHeight="false" outlineLevel="0" collapsed="false">
      <c r="A1899" s="14"/>
      <c r="B1899" s="9"/>
      <c r="C1899" s="9"/>
      <c r="D1899" s="9"/>
      <c r="E1899" s="9"/>
      <c r="F1899" s="17" t="str">
        <f aca="false">IF(AND(A1899="",B1899="",C1899=""),"",IF(NOT(ISNUMBER(A1899)),"Enter the date done",IF(SUMPRODUCT(('PM Plan'!$A$5:$A$304=B1899)*('PM Plan'!$B$5:$B$304=C1899))=0,"No matching asset + task in plan","OK")))</f>
        <v/>
      </c>
    </row>
    <row r="1900" customFormat="false" ht="15" hidden="false" customHeight="false" outlineLevel="0" collapsed="false">
      <c r="A1900" s="14"/>
      <c r="B1900" s="9"/>
      <c r="C1900" s="9"/>
      <c r="D1900" s="9"/>
      <c r="E1900" s="9"/>
      <c r="F1900" s="17" t="str">
        <f aca="false">IF(AND(A1900="",B1900="",C1900=""),"",IF(NOT(ISNUMBER(A1900)),"Enter the date done",IF(SUMPRODUCT(('PM Plan'!$A$5:$A$304=B1900)*('PM Plan'!$B$5:$B$304=C1900))=0,"No matching asset + task in plan","OK")))</f>
        <v/>
      </c>
    </row>
    <row r="1901" customFormat="false" ht="15" hidden="false" customHeight="false" outlineLevel="0" collapsed="false">
      <c r="A1901" s="14"/>
      <c r="B1901" s="9"/>
      <c r="C1901" s="9"/>
      <c r="D1901" s="9"/>
      <c r="E1901" s="9"/>
      <c r="F1901" s="17" t="str">
        <f aca="false">IF(AND(A1901="",B1901="",C1901=""),"",IF(NOT(ISNUMBER(A1901)),"Enter the date done",IF(SUMPRODUCT(('PM Plan'!$A$5:$A$304=B1901)*('PM Plan'!$B$5:$B$304=C1901))=0,"No matching asset + task in plan","OK")))</f>
        <v/>
      </c>
    </row>
    <row r="1902" customFormat="false" ht="15" hidden="false" customHeight="false" outlineLevel="0" collapsed="false">
      <c r="A1902" s="14"/>
      <c r="B1902" s="9"/>
      <c r="C1902" s="9"/>
      <c r="D1902" s="9"/>
      <c r="E1902" s="9"/>
      <c r="F1902" s="17" t="str">
        <f aca="false">IF(AND(A1902="",B1902="",C1902=""),"",IF(NOT(ISNUMBER(A1902)),"Enter the date done",IF(SUMPRODUCT(('PM Plan'!$A$5:$A$304=B1902)*('PM Plan'!$B$5:$B$304=C1902))=0,"No matching asset + task in plan","OK")))</f>
        <v/>
      </c>
    </row>
    <row r="1903" customFormat="false" ht="15" hidden="false" customHeight="false" outlineLevel="0" collapsed="false">
      <c r="A1903" s="14"/>
      <c r="B1903" s="9"/>
      <c r="C1903" s="9"/>
      <c r="D1903" s="9"/>
      <c r="E1903" s="9"/>
      <c r="F1903" s="17" t="str">
        <f aca="false">IF(AND(A1903="",B1903="",C1903=""),"",IF(NOT(ISNUMBER(A1903)),"Enter the date done",IF(SUMPRODUCT(('PM Plan'!$A$5:$A$304=B1903)*('PM Plan'!$B$5:$B$304=C1903))=0,"No matching asset + task in plan","OK")))</f>
        <v/>
      </c>
    </row>
    <row r="1904" customFormat="false" ht="15" hidden="false" customHeight="false" outlineLevel="0" collapsed="false">
      <c r="A1904" s="14"/>
      <c r="B1904" s="9"/>
      <c r="C1904" s="9"/>
      <c r="D1904" s="9"/>
      <c r="E1904" s="9"/>
      <c r="F1904" s="17" t="str">
        <f aca="false">IF(AND(A1904="",B1904="",C1904=""),"",IF(NOT(ISNUMBER(A1904)),"Enter the date done",IF(SUMPRODUCT(('PM Plan'!$A$5:$A$304=B1904)*('PM Plan'!$B$5:$B$304=C1904))=0,"No matching asset + task in plan","OK")))</f>
        <v/>
      </c>
    </row>
    <row r="1905" customFormat="false" ht="15" hidden="false" customHeight="false" outlineLevel="0" collapsed="false">
      <c r="A1905" s="14"/>
      <c r="B1905" s="9"/>
      <c r="C1905" s="9"/>
      <c r="D1905" s="9"/>
      <c r="E1905" s="9"/>
      <c r="F1905" s="17" t="str">
        <f aca="false">IF(AND(A1905="",B1905="",C1905=""),"",IF(NOT(ISNUMBER(A1905)),"Enter the date done",IF(SUMPRODUCT(('PM Plan'!$A$5:$A$304=B1905)*('PM Plan'!$B$5:$B$304=C1905))=0,"No matching asset + task in plan","OK")))</f>
        <v/>
      </c>
    </row>
    <row r="1906" customFormat="false" ht="15" hidden="false" customHeight="false" outlineLevel="0" collapsed="false">
      <c r="A1906" s="14"/>
      <c r="B1906" s="9"/>
      <c r="C1906" s="9"/>
      <c r="D1906" s="9"/>
      <c r="E1906" s="9"/>
      <c r="F1906" s="17" t="str">
        <f aca="false">IF(AND(A1906="",B1906="",C1906=""),"",IF(NOT(ISNUMBER(A1906)),"Enter the date done",IF(SUMPRODUCT(('PM Plan'!$A$5:$A$304=B1906)*('PM Plan'!$B$5:$B$304=C1906))=0,"No matching asset + task in plan","OK")))</f>
        <v/>
      </c>
    </row>
    <row r="1907" customFormat="false" ht="15" hidden="false" customHeight="false" outlineLevel="0" collapsed="false">
      <c r="A1907" s="14"/>
      <c r="B1907" s="9"/>
      <c r="C1907" s="9"/>
      <c r="D1907" s="9"/>
      <c r="E1907" s="9"/>
      <c r="F1907" s="17" t="str">
        <f aca="false">IF(AND(A1907="",B1907="",C1907=""),"",IF(NOT(ISNUMBER(A1907)),"Enter the date done",IF(SUMPRODUCT(('PM Plan'!$A$5:$A$304=B1907)*('PM Plan'!$B$5:$B$304=C1907))=0,"No matching asset + task in plan","OK")))</f>
        <v/>
      </c>
    </row>
    <row r="1908" customFormat="false" ht="15" hidden="false" customHeight="false" outlineLevel="0" collapsed="false">
      <c r="A1908" s="14"/>
      <c r="B1908" s="9"/>
      <c r="C1908" s="9"/>
      <c r="D1908" s="9"/>
      <c r="E1908" s="9"/>
      <c r="F1908" s="17" t="str">
        <f aca="false">IF(AND(A1908="",B1908="",C1908=""),"",IF(NOT(ISNUMBER(A1908)),"Enter the date done",IF(SUMPRODUCT(('PM Plan'!$A$5:$A$304=B1908)*('PM Plan'!$B$5:$B$304=C1908))=0,"No matching asset + task in plan","OK")))</f>
        <v/>
      </c>
    </row>
    <row r="1909" customFormat="false" ht="15" hidden="false" customHeight="false" outlineLevel="0" collapsed="false">
      <c r="A1909" s="14"/>
      <c r="B1909" s="9"/>
      <c r="C1909" s="9"/>
      <c r="D1909" s="9"/>
      <c r="E1909" s="9"/>
      <c r="F1909" s="17" t="str">
        <f aca="false">IF(AND(A1909="",B1909="",C1909=""),"",IF(NOT(ISNUMBER(A1909)),"Enter the date done",IF(SUMPRODUCT(('PM Plan'!$A$5:$A$304=B1909)*('PM Plan'!$B$5:$B$304=C1909))=0,"No matching asset + task in plan","OK")))</f>
        <v/>
      </c>
    </row>
    <row r="1910" customFormat="false" ht="15" hidden="false" customHeight="false" outlineLevel="0" collapsed="false">
      <c r="A1910" s="14"/>
      <c r="B1910" s="9"/>
      <c r="C1910" s="9"/>
      <c r="D1910" s="9"/>
      <c r="E1910" s="9"/>
      <c r="F1910" s="17" t="str">
        <f aca="false">IF(AND(A1910="",B1910="",C1910=""),"",IF(NOT(ISNUMBER(A1910)),"Enter the date done",IF(SUMPRODUCT(('PM Plan'!$A$5:$A$304=B1910)*('PM Plan'!$B$5:$B$304=C1910))=0,"No matching asset + task in plan","OK")))</f>
        <v/>
      </c>
    </row>
    <row r="1911" customFormat="false" ht="15" hidden="false" customHeight="false" outlineLevel="0" collapsed="false">
      <c r="A1911" s="14"/>
      <c r="B1911" s="9"/>
      <c r="C1911" s="9"/>
      <c r="D1911" s="9"/>
      <c r="E1911" s="9"/>
      <c r="F1911" s="17" t="str">
        <f aca="false">IF(AND(A1911="",B1911="",C1911=""),"",IF(NOT(ISNUMBER(A1911)),"Enter the date done",IF(SUMPRODUCT(('PM Plan'!$A$5:$A$304=B1911)*('PM Plan'!$B$5:$B$304=C1911))=0,"No matching asset + task in plan","OK")))</f>
        <v/>
      </c>
    </row>
    <row r="1912" customFormat="false" ht="15" hidden="false" customHeight="false" outlineLevel="0" collapsed="false">
      <c r="A1912" s="14"/>
      <c r="B1912" s="9"/>
      <c r="C1912" s="9"/>
      <c r="D1912" s="9"/>
      <c r="E1912" s="9"/>
      <c r="F1912" s="17" t="str">
        <f aca="false">IF(AND(A1912="",B1912="",C1912=""),"",IF(NOT(ISNUMBER(A1912)),"Enter the date done",IF(SUMPRODUCT(('PM Plan'!$A$5:$A$304=B1912)*('PM Plan'!$B$5:$B$304=C1912))=0,"No matching asset + task in plan","OK")))</f>
        <v/>
      </c>
    </row>
    <row r="1913" customFormat="false" ht="15" hidden="false" customHeight="false" outlineLevel="0" collapsed="false">
      <c r="A1913" s="14"/>
      <c r="B1913" s="9"/>
      <c r="C1913" s="9"/>
      <c r="D1913" s="9"/>
      <c r="E1913" s="9"/>
      <c r="F1913" s="17" t="str">
        <f aca="false">IF(AND(A1913="",B1913="",C1913=""),"",IF(NOT(ISNUMBER(A1913)),"Enter the date done",IF(SUMPRODUCT(('PM Plan'!$A$5:$A$304=B1913)*('PM Plan'!$B$5:$B$304=C1913))=0,"No matching asset + task in plan","OK")))</f>
        <v/>
      </c>
    </row>
    <row r="1914" customFormat="false" ht="15" hidden="false" customHeight="false" outlineLevel="0" collapsed="false">
      <c r="A1914" s="14"/>
      <c r="B1914" s="9"/>
      <c r="C1914" s="9"/>
      <c r="D1914" s="9"/>
      <c r="E1914" s="9"/>
      <c r="F1914" s="17" t="str">
        <f aca="false">IF(AND(A1914="",B1914="",C1914=""),"",IF(NOT(ISNUMBER(A1914)),"Enter the date done",IF(SUMPRODUCT(('PM Plan'!$A$5:$A$304=B1914)*('PM Plan'!$B$5:$B$304=C1914))=0,"No matching asset + task in plan","OK")))</f>
        <v/>
      </c>
    </row>
    <row r="1915" customFormat="false" ht="15" hidden="false" customHeight="false" outlineLevel="0" collapsed="false">
      <c r="A1915" s="14"/>
      <c r="B1915" s="9"/>
      <c r="C1915" s="9"/>
      <c r="D1915" s="9"/>
      <c r="E1915" s="9"/>
      <c r="F1915" s="17" t="str">
        <f aca="false">IF(AND(A1915="",B1915="",C1915=""),"",IF(NOT(ISNUMBER(A1915)),"Enter the date done",IF(SUMPRODUCT(('PM Plan'!$A$5:$A$304=B1915)*('PM Plan'!$B$5:$B$304=C1915))=0,"No matching asset + task in plan","OK")))</f>
        <v/>
      </c>
    </row>
    <row r="1916" customFormat="false" ht="15" hidden="false" customHeight="false" outlineLevel="0" collapsed="false">
      <c r="A1916" s="14"/>
      <c r="B1916" s="9"/>
      <c r="C1916" s="9"/>
      <c r="D1916" s="9"/>
      <c r="E1916" s="9"/>
      <c r="F1916" s="17" t="str">
        <f aca="false">IF(AND(A1916="",B1916="",C1916=""),"",IF(NOT(ISNUMBER(A1916)),"Enter the date done",IF(SUMPRODUCT(('PM Plan'!$A$5:$A$304=B1916)*('PM Plan'!$B$5:$B$304=C1916))=0,"No matching asset + task in plan","OK")))</f>
        <v/>
      </c>
    </row>
    <row r="1917" customFormat="false" ht="15" hidden="false" customHeight="false" outlineLevel="0" collapsed="false">
      <c r="A1917" s="14"/>
      <c r="B1917" s="9"/>
      <c r="C1917" s="9"/>
      <c r="D1917" s="9"/>
      <c r="E1917" s="9"/>
      <c r="F1917" s="17" t="str">
        <f aca="false">IF(AND(A1917="",B1917="",C1917=""),"",IF(NOT(ISNUMBER(A1917)),"Enter the date done",IF(SUMPRODUCT(('PM Plan'!$A$5:$A$304=B1917)*('PM Plan'!$B$5:$B$304=C1917))=0,"No matching asset + task in plan","OK")))</f>
        <v/>
      </c>
    </row>
    <row r="1918" customFormat="false" ht="15" hidden="false" customHeight="false" outlineLevel="0" collapsed="false">
      <c r="A1918" s="14"/>
      <c r="B1918" s="9"/>
      <c r="C1918" s="9"/>
      <c r="D1918" s="9"/>
      <c r="E1918" s="9"/>
      <c r="F1918" s="17" t="str">
        <f aca="false">IF(AND(A1918="",B1918="",C1918=""),"",IF(NOT(ISNUMBER(A1918)),"Enter the date done",IF(SUMPRODUCT(('PM Plan'!$A$5:$A$304=B1918)*('PM Plan'!$B$5:$B$304=C1918))=0,"No matching asset + task in plan","OK")))</f>
        <v/>
      </c>
    </row>
    <row r="1919" customFormat="false" ht="15" hidden="false" customHeight="false" outlineLevel="0" collapsed="false">
      <c r="A1919" s="14"/>
      <c r="B1919" s="9"/>
      <c r="C1919" s="9"/>
      <c r="D1919" s="9"/>
      <c r="E1919" s="9"/>
      <c r="F1919" s="17" t="str">
        <f aca="false">IF(AND(A1919="",B1919="",C1919=""),"",IF(NOT(ISNUMBER(A1919)),"Enter the date done",IF(SUMPRODUCT(('PM Plan'!$A$5:$A$304=B1919)*('PM Plan'!$B$5:$B$304=C1919))=0,"No matching asset + task in plan","OK")))</f>
        <v/>
      </c>
    </row>
    <row r="1920" customFormat="false" ht="15" hidden="false" customHeight="false" outlineLevel="0" collapsed="false">
      <c r="A1920" s="14"/>
      <c r="B1920" s="9"/>
      <c r="C1920" s="9"/>
      <c r="D1920" s="9"/>
      <c r="E1920" s="9"/>
      <c r="F1920" s="17" t="str">
        <f aca="false">IF(AND(A1920="",B1920="",C1920=""),"",IF(NOT(ISNUMBER(A1920)),"Enter the date done",IF(SUMPRODUCT(('PM Plan'!$A$5:$A$304=B1920)*('PM Plan'!$B$5:$B$304=C1920))=0,"No matching asset + task in plan","OK")))</f>
        <v/>
      </c>
    </row>
    <row r="1921" customFormat="false" ht="15" hidden="false" customHeight="false" outlineLevel="0" collapsed="false">
      <c r="A1921" s="14"/>
      <c r="B1921" s="9"/>
      <c r="C1921" s="9"/>
      <c r="D1921" s="9"/>
      <c r="E1921" s="9"/>
      <c r="F1921" s="17" t="str">
        <f aca="false">IF(AND(A1921="",B1921="",C1921=""),"",IF(NOT(ISNUMBER(A1921)),"Enter the date done",IF(SUMPRODUCT(('PM Plan'!$A$5:$A$304=B1921)*('PM Plan'!$B$5:$B$304=C1921))=0,"No matching asset + task in plan","OK")))</f>
        <v/>
      </c>
    </row>
    <row r="1922" customFormat="false" ht="15" hidden="false" customHeight="false" outlineLevel="0" collapsed="false">
      <c r="A1922" s="14"/>
      <c r="B1922" s="9"/>
      <c r="C1922" s="9"/>
      <c r="D1922" s="9"/>
      <c r="E1922" s="9"/>
      <c r="F1922" s="17" t="str">
        <f aca="false">IF(AND(A1922="",B1922="",C1922=""),"",IF(NOT(ISNUMBER(A1922)),"Enter the date done",IF(SUMPRODUCT(('PM Plan'!$A$5:$A$304=B1922)*('PM Plan'!$B$5:$B$304=C1922))=0,"No matching asset + task in plan","OK")))</f>
        <v/>
      </c>
    </row>
    <row r="1923" customFormat="false" ht="15" hidden="false" customHeight="false" outlineLevel="0" collapsed="false">
      <c r="A1923" s="14"/>
      <c r="B1923" s="9"/>
      <c r="C1923" s="9"/>
      <c r="D1923" s="9"/>
      <c r="E1923" s="9"/>
      <c r="F1923" s="17" t="str">
        <f aca="false">IF(AND(A1923="",B1923="",C1923=""),"",IF(NOT(ISNUMBER(A1923)),"Enter the date done",IF(SUMPRODUCT(('PM Plan'!$A$5:$A$304=B1923)*('PM Plan'!$B$5:$B$304=C1923))=0,"No matching asset + task in plan","OK")))</f>
        <v/>
      </c>
    </row>
    <row r="1924" customFormat="false" ht="15" hidden="false" customHeight="false" outlineLevel="0" collapsed="false">
      <c r="A1924" s="14"/>
      <c r="B1924" s="9"/>
      <c r="C1924" s="9"/>
      <c r="D1924" s="9"/>
      <c r="E1924" s="9"/>
      <c r="F1924" s="17" t="str">
        <f aca="false">IF(AND(A1924="",B1924="",C1924=""),"",IF(NOT(ISNUMBER(A1924)),"Enter the date done",IF(SUMPRODUCT(('PM Plan'!$A$5:$A$304=B1924)*('PM Plan'!$B$5:$B$304=C1924))=0,"No matching asset + task in plan","OK")))</f>
        <v/>
      </c>
    </row>
    <row r="1925" customFormat="false" ht="15" hidden="false" customHeight="false" outlineLevel="0" collapsed="false">
      <c r="A1925" s="14"/>
      <c r="B1925" s="9"/>
      <c r="C1925" s="9"/>
      <c r="D1925" s="9"/>
      <c r="E1925" s="9"/>
      <c r="F1925" s="17" t="str">
        <f aca="false">IF(AND(A1925="",B1925="",C1925=""),"",IF(NOT(ISNUMBER(A1925)),"Enter the date done",IF(SUMPRODUCT(('PM Plan'!$A$5:$A$304=B1925)*('PM Plan'!$B$5:$B$304=C1925))=0,"No matching asset + task in plan","OK")))</f>
        <v/>
      </c>
    </row>
    <row r="1926" customFormat="false" ht="15" hidden="false" customHeight="false" outlineLevel="0" collapsed="false">
      <c r="A1926" s="14"/>
      <c r="B1926" s="9"/>
      <c r="C1926" s="9"/>
      <c r="D1926" s="9"/>
      <c r="E1926" s="9"/>
      <c r="F1926" s="17" t="str">
        <f aca="false">IF(AND(A1926="",B1926="",C1926=""),"",IF(NOT(ISNUMBER(A1926)),"Enter the date done",IF(SUMPRODUCT(('PM Plan'!$A$5:$A$304=B1926)*('PM Plan'!$B$5:$B$304=C1926))=0,"No matching asset + task in plan","OK")))</f>
        <v/>
      </c>
    </row>
    <row r="1927" customFormat="false" ht="15" hidden="false" customHeight="false" outlineLevel="0" collapsed="false">
      <c r="A1927" s="14"/>
      <c r="B1927" s="9"/>
      <c r="C1927" s="9"/>
      <c r="D1927" s="9"/>
      <c r="E1927" s="9"/>
      <c r="F1927" s="17" t="str">
        <f aca="false">IF(AND(A1927="",B1927="",C1927=""),"",IF(NOT(ISNUMBER(A1927)),"Enter the date done",IF(SUMPRODUCT(('PM Plan'!$A$5:$A$304=B1927)*('PM Plan'!$B$5:$B$304=C1927))=0,"No matching asset + task in plan","OK")))</f>
        <v/>
      </c>
    </row>
    <row r="1928" customFormat="false" ht="15" hidden="false" customHeight="false" outlineLevel="0" collapsed="false">
      <c r="A1928" s="14"/>
      <c r="B1928" s="9"/>
      <c r="C1928" s="9"/>
      <c r="D1928" s="9"/>
      <c r="E1928" s="9"/>
      <c r="F1928" s="17" t="str">
        <f aca="false">IF(AND(A1928="",B1928="",C1928=""),"",IF(NOT(ISNUMBER(A1928)),"Enter the date done",IF(SUMPRODUCT(('PM Plan'!$A$5:$A$304=B1928)*('PM Plan'!$B$5:$B$304=C1928))=0,"No matching asset + task in plan","OK")))</f>
        <v/>
      </c>
    </row>
    <row r="1929" customFormat="false" ht="15" hidden="false" customHeight="false" outlineLevel="0" collapsed="false">
      <c r="A1929" s="14"/>
      <c r="B1929" s="9"/>
      <c r="C1929" s="9"/>
      <c r="D1929" s="9"/>
      <c r="E1929" s="9"/>
      <c r="F1929" s="17" t="str">
        <f aca="false">IF(AND(A1929="",B1929="",C1929=""),"",IF(NOT(ISNUMBER(A1929)),"Enter the date done",IF(SUMPRODUCT(('PM Plan'!$A$5:$A$304=B1929)*('PM Plan'!$B$5:$B$304=C1929))=0,"No matching asset + task in plan","OK")))</f>
        <v/>
      </c>
    </row>
    <row r="1930" customFormat="false" ht="15" hidden="false" customHeight="false" outlineLevel="0" collapsed="false">
      <c r="A1930" s="14"/>
      <c r="B1930" s="9"/>
      <c r="C1930" s="9"/>
      <c r="D1930" s="9"/>
      <c r="E1930" s="9"/>
      <c r="F1930" s="17" t="str">
        <f aca="false">IF(AND(A1930="",B1930="",C1930=""),"",IF(NOT(ISNUMBER(A1930)),"Enter the date done",IF(SUMPRODUCT(('PM Plan'!$A$5:$A$304=B1930)*('PM Plan'!$B$5:$B$304=C1930))=0,"No matching asset + task in plan","OK")))</f>
        <v/>
      </c>
    </row>
    <row r="1931" customFormat="false" ht="15" hidden="false" customHeight="false" outlineLevel="0" collapsed="false">
      <c r="A1931" s="14"/>
      <c r="B1931" s="9"/>
      <c r="C1931" s="9"/>
      <c r="D1931" s="9"/>
      <c r="E1931" s="9"/>
      <c r="F1931" s="17" t="str">
        <f aca="false">IF(AND(A1931="",B1931="",C1931=""),"",IF(NOT(ISNUMBER(A1931)),"Enter the date done",IF(SUMPRODUCT(('PM Plan'!$A$5:$A$304=B1931)*('PM Plan'!$B$5:$B$304=C1931))=0,"No matching asset + task in plan","OK")))</f>
        <v/>
      </c>
    </row>
    <row r="1932" customFormat="false" ht="15" hidden="false" customHeight="false" outlineLevel="0" collapsed="false">
      <c r="A1932" s="14"/>
      <c r="B1932" s="9"/>
      <c r="C1932" s="9"/>
      <c r="D1932" s="9"/>
      <c r="E1932" s="9"/>
      <c r="F1932" s="17" t="str">
        <f aca="false">IF(AND(A1932="",B1932="",C1932=""),"",IF(NOT(ISNUMBER(A1932)),"Enter the date done",IF(SUMPRODUCT(('PM Plan'!$A$5:$A$304=B1932)*('PM Plan'!$B$5:$B$304=C1932))=0,"No matching asset + task in plan","OK")))</f>
        <v/>
      </c>
    </row>
    <row r="1933" customFormat="false" ht="15" hidden="false" customHeight="false" outlineLevel="0" collapsed="false">
      <c r="A1933" s="14"/>
      <c r="B1933" s="9"/>
      <c r="C1933" s="9"/>
      <c r="D1933" s="9"/>
      <c r="E1933" s="9"/>
      <c r="F1933" s="17" t="str">
        <f aca="false">IF(AND(A1933="",B1933="",C1933=""),"",IF(NOT(ISNUMBER(A1933)),"Enter the date done",IF(SUMPRODUCT(('PM Plan'!$A$5:$A$304=B1933)*('PM Plan'!$B$5:$B$304=C1933))=0,"No matching asset + task in plan","OK")))</f>
        <v/>
      </c>
    </row>
    <row r="1934" customFormat="false" ht="15" hidden="false" customHeight="false" outlineLevel="0" collapsed="false">
      <c r="A1934" s="14"/>
      <c r="B1934" s="9"/>
      <c r="C1934" s="9"/>
      <c r="D1934" s="9"/>
      <c r="E1934" s="9"/>
      <c r="F1934" s="17" t="str">
        <f aca="false">IF(AND(A1934="",B1934="",C1934=""),"",IF(NOT(ISNUMBER(A1934)),"Enter the date done",IF(SUMPRODUCT(('PM Plan'!$A$5:$A$304=B1934)*('PM Plan'!$B$5:$B$304=C1934))=0,"No matching asset + task in plan","OK")))</f>
        <v/>
      </c>
    </row>
    <row r="1935" customFormat="false" ht="15" hidden="false" customHeight="false" outlineLevel="0" collapsed="false">
      <c r="A1935" s="14"/>
      <c r="B1935" s="9"/>
      <c r="C1935" s="9"/>
      <c r="D1935" s="9"/>
      <c r="E1935" s="9"/>
      <c r="F1935" s="17" t="str">
        <f aca="false">IF(AND(A1935="",B1935="",C1935=""),"",IF(NOT(ISNUMBER(A1935)),"Enter the date done",IF(SUMPRODUCT(('PM Plan'!$A$5:$A$304=B1935)*('PM Plan'!$B$5:$B$304=C1935))=0,"No matching asset + task in plan","OK")))</f>
        <v/>
      </c>
    </row>
    <row r="1936" customFormat="false" ht="15" hidden="false" customHeight="false" outlineLevel="0" collapsed="false">
      <c r="A1936" s="14"/>
      <c r="B1936" s="9"/>
      <c r="C1936" s="9"/>
      <c r="D1936" s="9"/>
      <c r="E1936" s="9"/>
      <c r="F1936" s="17" t="str">
        <f aca="false">IF(AND(A1936="",B1936="",C1936=""),"",IF(NOT(ISNUMBER(A1936)),"Enter the date done",IF(SUMPRODUCT(('PM Plan'!$A$5:$A$304=B1936)*('PM Plan'!$B$5:$B$304=C1936))=0,"No matching asset + task in plan","OK")))</f>
        <v/>
      </c>
    </row>
    <row r="1937" customFormat="false" ht="15" hidden="false" customHeight="false" outlineLevel="0" collapsed="false">
      <c r="A1937" s="14"/>
      <c r="B1937" s="9"/>
      <c r="C1937" s="9"/>
      <c r="D1937" s="9"/>
      <c r="E1937" s="9"/>
      <c r="F1937" s="17" t="str">
        <f aca="false">IF(AND(A1937="",B1937="",C1937=""),"",IF(NOT(ISNUMBER(A1937)),"Enter the date done",IF(SUMPRODUCT(('PM Plan'!$A$5:$A$304=B1937)*('PM Plan'!$B$5:$B$304=C1937))=0,"No matching asset + task in plan","OK")))</f>
        <v/>
      </c>
    </row>
    <row r="1938" customFormat="false" ht="15" hidden="false" customHeight="false" outlineLevel="0" collapsed="false">
      <c r="A1938" s="14"/>
      <c r="B1938" s="9"/>
      <c r="C1938" s="9"/>
      <c r="D1938" s="9"/>
      <c r="E1938" s="9"/>
      <c r="F1938" s="17" t="str">
        <f aca="false">IF(AND(A1938="",B1938="",C1938=""),"",IF(NOT(ISNUMBER(A1938)),"Enter the date done",IF(SUMPRODUCT(('PM Plan'!$A$5:$A$304=B1938)*('PM Plan'!$B$5:$B$304=C1938))=0,"No matching asset + task in plan","OK")))</f>
        <v/>
      </c>
    </row>
    <row r="1939" customFormat="false" ht="15" hidden="false" customHeight="false" outlineLevel="0" collapsed="false">
      <c r="A1939" s="14"/>
      <c r="B1939" s="9"/>
      <c r="C1939" s="9"/>
      <c r="D1939" s="9"/>
      <c r="E1939" s="9"/>
      <c r="F1939" s="17" t="str">
        <f aca="false">IF(AND(A1939="",B1939="",C1939=""),"",IF(NOT(ISNUMBER(A1939)),"Enter the date done",IF(SUMPRODUCT(('PM Plan'!$A$5:$A$304=B1939)*('PM Plan'!$B$5:$B$304=C1939))=0,"No matching asset + task in plan","OK")))</f>
        <v/>
      </c>
    </row>
    <row r="1940" customFormat="false" ht="15" hidden="false" customHeight="false" outlineLevel="0" collapsed="false">
      <c r="A1940" s="14"/>
      <c r="B1940" s="9"/>
      <c r="C1940" s="9"/>
      <c r="D1940" s="9"/>
      <c r="E1940" s="9"/>
      <c r="F1940" s="17" t="str">
        <f aca="false">IF(AND(A1940="",B1940="",C1940=""),"",IF(NOT(ISNUMBER(A1940)),"Enter the date done",IF(SUMPRODUCT(('PM Plan'!$A$5:$A$304=B1940)*('PM Plan'!$B$5:$B$304=C1940))=0,"No matching asset + task in plan","OK")))</f>
        <v/>
      </c>
    </row>
    <row r="1941" customFormat="false" ht="15" hidden="false" customHeight="false" outlineLevel="0" collapsed="false">
      <c r="A1941" s="14"/>
      <c r="B1941" s="9"/>
      <c r="C1941" s="9"/>
      <c r="D1941" s="9"/>
      <c r="E1941" s="9"/>
      <c r="F1941" s="17" t="str">
        <f aca="false">IF(AND(A1941="",B1941="",C1941=""),"",IF(NOT(ISNUMBER(A1941)),"Enter the date done",IF(SUMPRODUCT(('PM Plan'!$A$5:$A$304=B1941)*('PM Plan'!$B$5:$B$304=C1941))=0,"No matching asset + task in plan","OK")))</f>
        <v/>
      </c>
    </row>
    <row r="1942" customFormat="false" ht="15" hidden="false" customHeight="false" outlineLevel="0" collapsed="false">
      <c r="A1942" s="14"/>
      <c r="B1942" s="9"/>
      <c r="C1942" s="9"/>
      <c r="D1942" s="9"/>
      <c r="E1942" s="9"/>
      <c r="F1942" s="17" t="str">
        <f aca="false">IF(AND(A1942="",B1942="",C1942=""),"",IF(NOT(ISNUMBER(A1942)),"Enter the date done",IF(SUMPRODUCT(('PM Plan'!$A$5:$A$304=B1942)*('PM Plan'!$B$5:$B$304=C1942))=0,"No matching asset + task in plan","OK")))</f>
        <v/>
      </c>
    </row>
    <row r="1943" customFormat="false" ht="15" hidden="false" customHeight="false" outlineLevel="0" collapsed="false">
      <c r="A1943" s="14"/>
      <c r="B1943" s="9"/>
      <c r="C1943" s="9"/>
      <c r="D1943" s="9"/>
      <c r="E1943" s="9"/>
      <c r="F1943" s="17" t="str">
        <f aca="false">IF(AND(A1943="",B1943="",C1943=""),"",IF(NOT(ISNUMBER(A1943)),"Enter the date done",IF(SUMPRODUCT(('PM Plan'!$A$5:$A$304=B1943)*('PM Plan'!$B$5:$B$304=C1943))=0,"No matching asset + task in plan","OK")))</f>
        <v/>
      </c>
    </row>
    <row r="1944" customFormat="false" ht="15" hidden="false" customHeight="false" outlineLevel="0" collapsed="false">
      <c r="A1944" s="14"/>
      <c r="B1944" s="9"/>
      <c r="C1944" s="9"/>
      <c r="D1944" s="9"/>
      <c r="E1944" s="9"/>
      <c r="F1944" s="17" t="str">
        <f aca="false">IF(AND(A1944="",B1944="",C1944=""),"",IF(NOT(ISNUMBER(A1944)),"Enter the date done",IF(SUMPRODUCT(('PM Plan'!$A$5:$A$304=B1944)*('PM Plan'!$B$5:$B$304=C1944))=0,"No matching asset + task in plan","OK")))</f>
        <v/>
      </c>
    </row>
    <row r="1945" customFormat="false" ht="15" hidden="false" customHeight="false" outlineLevel="0" collapsed="false">
      <c r="A1945" s="14"/>
      <c r="B1945" s="9"/>
      <c r="C1945" s="9"/>
      <c r="D1945" s="9"/>
      <c r="E1945" s="9"/>
      <c r="F1945" s="17" t="str">
        <f aca="false">IF(AND(A1945="",B1945="",C1945=""),"",IF(NOT(ISNUMBER(A1945)),"Enter the date done",IF(SUMPRODUCT(('PM Plan'!$A$5:$A$304=B1945)*('PM Plan'!$B$5:$B$304=C1945))=0,"No matching asset + task in plan","OK")))</f>
        <v/>
      </c>
    </row>
    <row r="1946" customFormat="false" ht="15" hidden="false" customHeight="false" outlineLevel="0" collapsed="false">
      <c r="A1946" s="14"/>
      <c r="B1946" s="9"/>
      <c r="C1946" s="9"/>
      <c r="D1946" s="9"/>
      <c r="E1946" s="9"/>
      <c r="F1946" s="17" t="str">
        <f aca="false">IF(AND(A1946="",B1946="",C1946=""),"",IF(NOT(ISNUMBER(A1946)),"Enter the date done",IF(SUMPRODUCT(('PM Plan'!$A$5:$A$304=B1946)*('PM Plan'!$B$5:$B$304=C1946))=0,"No matching asset + task in plan","OK")))</f>
        <v/>
      </c>
    </row>
    <row r="1947" customFormat="false" ht="15" hidden="false" customHeight="false" outlineLevel="0" collapsed="false">
      <c r="A1947" s="14"/>
      <c r="B1947" s="9"/>
      <c r="C1947" s="9"/>
      <c r="D1947" s="9"/>
      <c r="E1947" s="9"/>
      <c r="F1947" s="17" t="str">
        <f aca="false">IF(AND(A1947="",B1947="",C1947=""),"",IF(NOT(ISNUMBER(A1947)),"Enter the date done",IF(SUMPRODUCT(('PM Plan'!$A$5:$A$304=B1947)*('PM Plan'!$B$5:$B$304=C1947))=0,"No matching asset + task in plan","OK")))</f>
        <v/>
      </c>
    </row>
    <row r="1948" customFormat="false" ht="15" hidden="false" customHeight="false" outlineLevel="0" collapsed="false">
      <c r="A1948" s="14"/>
      <c r="B1948" s="9"/>
      <c r="C1948" s="9"/>
      <c r="D1948" s="9"/>
      <c r="E1948" s="9"/>
      <c r="F1948" s="17" t="str">
        <f aca="false">IF(AND(A1948="",B1948="",C1948=""),"",IF(NOT(ISNUMBER(A1948)),"Enter the date done",IF(SUMPRODUCT(('PM Plan'!$A$5:$A$304=B1948)*('PM Plan'!$B$5:$B$304=C1948))=0,"No matching asset + task in plan","OK")))</f>
        <v/>
      </c>
    </row>
    <row r="1949" customFormat="false" ht="15" hidden="false" customHeight="false" outlineLevel="0" collapsed="false">
      <c r="A1949" s="14"/>
      <c r="B1949" s="9"/>
      <c r="C1949" s="9"/>
      <c r="D1949" s="9"/>
      <c r="E1949" s="9"/>
      <c r="F1949" s="17" t="str">
        <f aca="false">IF(AND(A1949="",B1949="",C1949=""),"",IF(NOT(ISNUMBER(A1949)),"Enter the date done",IF(SUMPRODUCT(('PM Plan'!$A$5:$A$304=B1949)*('PM Plan'!$B$5:$B$304=C1949))=0,"No matching asset + task in plan","OK")))</f>
        <v/>
      </c>
    </row>
    <row r="1950" customFormat="false" ht="15" hidden="false" customHeight="false" outlineLevel="0" collapsed="false">
      <c r="A1950" s="14"/>
      <c r="B1950" s="9"/>
      <c r="C1950" s="9"/>
      <c r="D1950" s="9"/>
      <c r="E1950" s="9"/>
      <c r="F1950" s="17" t="str">
        <f aca="false">IF(AND(A1950="",B1950="",C1950=""),"",IF(NOT(ISNUMBER(A1950)),"Enter the date done",IF(SUMPRODUCT(('PM Plan'!$A$5:$A$304=B1950)*('PM Plan'!$B$5:$B$304=C1950))=0,"No matching asset + task in plan","OK")))</f>
        <v/>
      </c>
    </row>
    <row r="1951" customFormat="false" ht="15" hidden="false" customHeight="false" outlineLevel="0" collapsed="false">
      <c r="A1951" s="14"/>
      <c r="B1951" s="9"/>
      <c r="C1951" s="9"/>
      <c r="D1951" s="9"/>
      <c r="E1951" s="9"/>
      <c r="F1951" s="17" t="str">
        <f aca="false">IF(AND(A1951="",B1951="",C1951=""),"",IF(NOT(ISNUMBER(A1951)),"Enter the date done",IF(SUMPRODUCT(('PM Plan'!$A$5:$A$304=B1951)*('PM Plan'!$B$5:$B$304=C1951))=0,"No matching asset + task in plan","OK")))</f>
        <v/>
      </c>
    </row>
    <row r="1952" customFormat="false" ht="15" hidden="false" customHeight="false" outlineLevel="0" collapsed="false">
      <c r="A1952" s="14"/>
      <c r="B1952" s="9"/>
      <c r="C1952" s="9"/>
      <c r="D1952" s="9"/>
      <c r="E1952" s="9"/>
      <c r="F1952" s="17" t="str">
        <f aca="false">IF(AND(A1952="",B1952="",C1952=""),"",IF(NOT(ISNUMBER(A1952)),"Enter the date done",IF(SUMPRODUCT(('PM Plan'!$A$5:$A$304=B1952)*('PM Plan'!$B$5:$B$304=C1952))=0,"No matching asset + task in plan","OK")))</f>
        <v/>
      </c>
    </row>
    <row r="1953" customFormat="false" ht="15" hidden="false" customHeight="false" outlineLevel="0" collapsed="false">
      <c r="A1953" s="14"/>
      <c r="B1953" s="9"/>
      <c r="C1953" s="9"/>
      <c r="D1953" s="9"/>
      <c r="E1953" s="9"/>
      <c r="F1953" s="17" t="str">
        <f aca="false">IF(AND(A1953="",B1953="",C1953=""),"",IF(NOT(ISNUMBER(A1953)),"Enter the date done",IF(SUMPRODUCT(('PM Plan'!$A$5:$A$304=B1953)*('PM Plan'!$B$5:$B$304=C1953))=0,"No matching asset + task in plan","OK")))</f>
        <v/>
      </c>
    </row>
    <row r="1954" customFormat="false" ht="15" hidden="false" customHeight="false" outlineLevel="0" collapsed="false">
      <c r="A1954" s="14"/>
      <c r="B1954" s="9"/>
      <c r="C1954" s="9"/>
      <c r="D1954" s="9"/>
      <c r="E1954" s="9"/>
      <c r="F1954" s="17" t="str">
        <f aca="false">IF(AND(A1954="",B1954="",C1954=""),"",IF(NOT(ISNUMBER(A1954)),"Enter the date done",IF(SUMPRODUCT(('PM Plan'!$A$5:$A$304=B1954)*('PM Plan'!$B$5:$B$304=C1954))=0,"No matching asset + task in plan","OK")))</f>
        <v/>
      </c>
    </row>
    <row r="1955" customFormat="false" ht="15" hidden="false" customHeight="false" outlineLevel="0" collapsed="false">
      <c r="A1955" s="14"/>
      <c r="B1955" s="9"/>
      <c r="C1955" s="9"/>
      <c r="D1955" s="9"/>
      <c r="E1955" s="9"/>
      <c r="F1955" s="17" t="str">
        <f aca="false">IF(AND(A1955="",B1955="",C1955=""),"",IF(NOT(ISNUMBER(A1955)),"Enter the date done",IF(SUMPRODUCT(('PM Plan'!$A$5:$A$304=B1955)*('PM Plan'!$B$5:$B$304=C1955))=0,"No matching asset + task in plan","OK")))</f>
        <v/>
      </c>
    </row>
    <row r="1956" customFormat="false" ht="15" hidden="false" customHeight="false" outlineLevel="0" collapsed="false">
      <c r="A1956" s="14"/>
      <c r="B1956" s="9"/>
      <c r="C1956" s="9"/>
      <c r="D1956" s="9"/>
      <c r="E1956" s="9"/>
      <c r="F1956" s="17" t="str">
        <f aca="false">IF(AND(A1956="",B1956="",C1956=""),"",IF(NOT(ISNUMBER(A1956)),"Enter the date done",IF(SUMPRODUCT(('PM Plan'!$A$5:$A$304=B1956)*('PM Plan'!$B$5:$B$304=C1956))=0,"No matching asset + task in plan","OK")))</f>
        <v/>
      </c>
    </row>
    <row r="1957" customFormat="false" ht="15" hidden="false" customHeight="false" outlineLevel="0" collapsed="false">
      <c r="A1957" s="14"/>
      <c r="B1957" s="9"/>
      <c r="C1957" s="9"/>
      <c r="D1957" s="9"/>
      <c r="E1957" s="9"/>
      <c r="F1957" s="17" t="str">
        <f aca="false">IF(AND(A1957="",B1957="",C1957=""),"",IF(NOT(ISNUMBER(A1957)),"Enter the date done",IF(SUMPRODUCT(('PM Plan'!$A$5:$A$304=B1957)*('PM Plan'!$B$5:$B$304=C1957))=0,"No matching asset + task in plan","OK")))</f>
        <v/>
      </c>
    </row>
    <row r="1958" customFormat="false" ht="15" hidden="false" customHeight="false" outlineLevel="0" collapsed="false">
      <c r="A1958" s="14"/>
      <c r="B1958" s="9"/>
      <c r="C1958" s="9"/>
      <c r="D1958" s="9"/>
      <c r="E1958" s="9"/>
      <c r="F1958" s="17" t="str">
        <f aca="false">IF(AND(A1958="",B1958="",C1958=""),"",IF(NOT(ISNUMBER(A1958)),"Enter the date done",IF(SUMPRODUCT(('PM Plan'!$A$5:$A$304=B1958)*('PM Plan'!$B$5:$B$304=C1958))=0,"No matching asset + task in plan","OK")))</f>
        <v/>
      </c>
    </row>
    <row r="1959" customFormat="false" ht="15" hidden="false" customHeight="false" outlineLevel="0" collapsed="false">
      <c r="A1959" s="14"/>
      <c r="B1959" s="9"/>
      <c r="C1959" s="9"/>
      <c r="D1959" s="9"/>
      <c r="E1959" s="9"/>
      <c r="F1959" s="17" t="str">
        <f aca="false">IF(AND(A1959="",B1959="",C1959=""),"",IF(NOT(ISNUMBER(A1959)),"Enter the date done",IF(SUMPRODUCT(('PM Plan'!$A$5:$A$304=B1959)*('PM Plan'!$B$5:$B$304=C1959))=0,"No matching asset + task in plan","OK")))</f>
        <v/>
      </c>
    </row>
    <row r="1960" customFormat="false" ht="15" hidden="false" customHeight="false" outlineLevel="0" collapsed="false">
      <c r="A1960" s="14"/>
      <c r="B1960" s="9"/>
      <c r="C1960" s="9"/>
      <c r="D1960" s="9"/>
      <c r="E1960" s="9"/>
      <c r="F1960" s="17" t="str">
        <f aca="false">IF(AND(A1960="",B1960="",C1960=""),"",IF(NOT(ISNUMBER(A1960)),"Enter the date done",IF(SUMPRODUCT(('PM Plan'!$A$5:$A$304=B1960)*('PM Plan'!$B$5:$B$304=C1960))=0,"No matching asset + task in plan","OK")))</f>
        <v/>
      </c>
    </row>
    <row r="1961" customFormat="false" ht="15" hidden="false" customHeight="false" outlineLevel="0" collapsed="false">
      <c r="A1961" s="14"/>
      <c r="B1961" s="9"/>
      <c r="C1961" s="9"/>
      <c r="D1961" s="9"/>
      <c r="E1961" s="9"/>
      <c r="F1961" s="17" t="str">
        <f aca="false">IF(AND(A1961="",B1961="",C1961=""),"",IF(NOT(ISNUMBER(A1961)),"Enter the date done",IF(SUMPRODUCT(('PM Plan'!$A$5:$A$304=B1961)*('PM Plan'!$B$5:$B$304=C1961))=0,"No matching asset + task in plan","OK")))</f>
        <v/>
      </c>
    </row>
    <row r="1962" customFormat="false" ht="15" hidden="false" customHeight="false" outlineLevel="0" collapsed="false">
      <c r="A1962" s="14"/>
      <c r="B1962" s="9"/>
      <c r="C1962" s="9"/>
      <c r="D1962" s="9"/>
      <c r="E1962" s="9"/>
      <c r="F1962" s="17" t="str">
        <f aca="false">IF(AND(A1962="",B1962="",C1962=""),"",IF(NOT(ISNUMBER(A1962)),"Enter the date done",IF(SUMPRODUCT(('PM Plan'!$A$5:$A$304=B1962)*('PM Plan'!$B$5:$B$304=C1962))=0,"No matching asset + task in plan","OK")))</f>
        <v/>
      </c>
    </row>
    <row r="1963" customFormat="false" ht="15" hidden="false" customHeight="false" outlineLevel="0" collapsed="false">
      <c r="A1963" s="14"/>
      <c r="B1963" s="9"/>
      <c r="C1963" s="9"/>
      <c r="D1963" s="9"/>
      <c r="E1963" s="9"/>
      <c r="F1963" s="17" t="str">
        <f aca="false">IF(AND(A1963="",B1963="",C1963=""),"",IF(NOT(ISNUMBER(A1963)),"Enter the date done",IF(SUMPRODUCT(('PM Plan'!$A$5:$A$304=B1963)*('PM Plan'!$B$5:$B$304=C1963))=0,"No matching asset + task in plan","OK")))</f>
        <v/>
      </c>
    </row>
    <row r="1964" customFormat="false" ht="15" hidden="false" customHeight="false" outlineLevel="0" collapsed="false">
      <c r="A1964" s="14"/>
      <c r="B1964" s="9"/>
      <c r="C1964" s="9"/>
      <c r="D1964" s="9"/>
      <c r="E1964" s="9"/>
      <c r="F1964" s="17" t="str">
        <f aca="false">IF(AND(A1964="",B1964="",C1964=""),"",IF(NOT(ISNUMBER(A1964)),"Enter the date done",IF(SUMPRODUCT(('PM Plan'!$A$5:$A$304=B1964)*('PM Plan'!$B$5:$B$304=C1964))=0,"No matching asset + task in plan","OK")))</f>
        <v/>
      </c>
    </row>
    <row r="1965" customFormat="false" ht="15" hidden="false" customHeight="false" outlineLevel="0" collapsed="false">
      <c r="A1965" s="14"/>
      <c r="B1965" s="9"/>
      <c r="C1965" s="9"/>
      <c r="D1965" s="9"/>
      <c r="E1965" s="9"/>
      <c r="F1965" s="17" t="str">
        <f aca="false">IF(AND(A1965="",B1965="",C1965=""),"",IF(NOT(ISNUMBER(A1965)),"Enter the date done",IF(SUMPRODUCT(('PM Plan'!$A$5:$A$304=B1965)*('PM Plan'!$B$5:$B$304=C1965))=0,"No matching asset + task in plan","OK")))</f>
        <v/>
      </c>
    </row>
    <row r="1966" customFormat="false" ht="15" hidden="false" customHeight="false" outlineLevel="0" collapsed="false">
      <c r="A1966" s="14"/>
      <c r="B1966" s="9"/>
      <c r="C1966" s="9"/>
      <c r="D1966" s="9"/>
      <c r="E1966" s="9"/>
      <c r="F1966" s="17" t="str">
        <f aca="false">IF(AND(A1966="",B1966="",C1966=""),"",IF(NOT(ISNUMBER(A1966)),"Enter the date done",IF(SUMPRODUCT(('PM Plan'!$A$5:$A$304=B1966)*('PM Plan'!$B$5:$B$304=C1966))=0,"No matching asset + task in plan","OK")))</f>
        <v/>
      </c>
    </row>
    <row r="1967" customFormat="false" ht="15" hidden="false" customHeight="false" outlineLevel="0" collapsed="false">
      <c r="A1967" s="14"/>
      <c r="B1967" s="9"/>
      <c r="C1967" s="9"/>
      <c r="D1967" s="9"/>
      <c r="E1967" s="9"/>
      <c r="F1967" s="17" t="str">
        <f aca="false">IF(AND(A1967="",B1967="",C1967=""),"",IF(NOT(ISNUMBER(A1967)),"Enter the date done",IF(SUMPRODUCT(('PM Plan'!$A$5:$A$304=B1967)*('PM Plan'!$B$5:$B$304=C1967))=0,"No matching asset + task in plan","OK")))</f>
        <v/>
      </c>
    </row>
    <row r="1968" customFormat="false" ht="15" hidden="false" customHeight="false" outlineLevel="0" collapsed="false">
      <c r="A1968" s="14"/>
      <c r="B1968" s="9"/>
      <c r="C1968" s="9"/>
      <c r="D1968" s="9"/>
      <c r="E1968" s="9"/>
      <c r="F1968" s="17" t="str">
        <f aca="false">IF(AND(A1968="",B1968="",C1968=""),"",IF(NOT(ISNUMBER(A1968)),"Enter the date done",IF(SUMPRODUCT(('PM Plan'!$A$5:$A$304=B1968)*('PM Plan'!$B$5:$B$304=C1968))=0,"No matching asset + task in plan","OK")))</f>
        <v/>
      </c>
    </row>
    <row r="1969" customFormat="false" ht="15" hidden="false" customHeight="false" outlineLevel="0" collapsed="false">
      <c r="A1969" s="14"/>
      <c r="B1969" s="9"/>
      <c r="C1969" s="9"/>
      <c r="D1969" s="9"/>
      <c r="E1969" s="9"/>
      <c r="F1969" s="17" t="str">
        <f aca="false">IF(AND(A1969="",B1969="",C1969=""),"",IF(NOT(ISNUMBER(A1969)),"Enter the date done",IF(SUMPRODUCT(('PM Plan'!$A$5:$A$304=B1969)*('PM Plan'!$B$5:$B$304=C1969))=0,"No matching asset + task in plan","OK")))</f>
        <v/>
      </c>
    </row>
    <row r="1970" customFormat="false" ht="15" hidden="false" customHeight="false" outlineLevel="0" collapsed="false">
      <c r="A1970" s="14"/>
      <c r="B1970" s="9"/>
      <c r="C1970" s="9"/>
      <c r="D1970" s="9"/>
      <c r="E1970" s="9"/>
      <c r="F1970" s="17" t="str">
        <f aca="false">IF(AND(A1970="",B1970="",C1970=""),"",IF(NOT(ISNUMBER(A1970)),"Enter the date done",IF(SUMPRODUCT(('PM Plan'!$A$5:$A$304=B1970)*('PM Plan'!$B$5:$B$304=C1970))=0,"No matching asset + task in plan","OK")))</f>
        <v/>
      </c>
    </row>
    <row r="1971" customFormat="false" ht="15" hidden="false" customHeight="false" outlineLevel="0" collapsed="false">
      <c r="A1971" s="14"/>
      <c r="B1971" s="9"/>
      <c r="C1971" s="9"/>
      <c r="D1971" s="9"/>
      <c r="E1971" s="9"/>
      <c r="F1971" s="17" t="str">
        <f aca="false">IF(AND(A1971="",B1971="",C1971=""),"",IF(NOT(ISNUMBER(A1971)),"Enter the date done",IF(SUMPRODUCT(('PM Plan'!$A$5:$A$304=B1971)*('PM Plan'!$B$5:$B$304=C1971))=0,"No matching asset + task in plan","OK")))</f>
        <v/>
      </c>
    </row>
    <row r="1972" customFormat="false" ht="15" hidden="false" customHeight="false" outlineLevel="0" collapsed="false">
      <c r="A1972" s="14"/>
      <c r="B1972" s="9"/>
      <c r="C1972" s="9"/>
      <c r="D1972" s="9"/>
      <c r="E1972" s="9"/>
      <c r="F1972" s="17" t="str">
        <f aca="false">IF(AND(A1972="",B1972="",C1972=""),"",IF(NOT(ISNUMBER(A1972)),"Enter the date done",IF(SUMPRODUCT(('PM Plan'!$A$5:$A$304=B1972)*('PM Plan'!$B$5:$B$304=C1972))=0,"No matching asset + task in plan","OK")))</f>
        <v/>
      </c>
    </row>
    <row r="1973" customFormat="false" ht="15" hidden="false" customHeight="false" outlineLevel="0" collapsed="false">
      <c r="A1973" s="14"/>
      <c r="B1973" s="9"/>
      <c r="C1973" s="9"/>
      <c r="D1973" s="9"/>
      <c r="E1973" s="9"/>
      <c r="F1973" s="17" t="str">
        <f aca="false">IF(AND(A1973="",B1973="",C1973=""),"",IF(NOT(ISNUMBER(A1973)),"Enter the date done",IF(SUMPRODUCT(('PM Plan'!$A$5:$A$304=B1973)*('PM Plan'!$B$5:$B$304=C1973))=0,"No matching asset + task in plan","OK")))</f>
        <v/>
      </c>
    </row>
    <row r="1974" customFormat="false" ht="15" hidden="false" customHeight="false" outlineLevel="0" collapsed="false">
      <c r="A1974" s="14"/>
      <c r="B1974" s="9"/>
      <c r="C1974" s="9"/>
      <c r="D1974" s="9"/>
      <c r="E1974" s="9"/>
      <c r="F1974" s="17" t="str">
        <f aca="false">IF(AND(A1974="",B1974="",C1974=""),"",IF(NOT(ISNUMBER(A1974)),"Enter the date done",IF(SUMPRODUCT(('PM Plan'!$A$5:$A$304=B1974)*('PM Plan'!$B$5:$B$304=C1974))=0,"No matching asset + task in plan","OK")))</f>
        <v/>
      </c>
    </row>
    <row r="1975" customFormat="false" ht="15" hidden="false" customHeight="false" outlineLevel="0" collapsed="false">
      <c r="A1975" s="14"/>
      <c r="B1975" s="9"/>
      <c r="C1975" s="9"/>
      <c r="D1975" s="9"/>
      <c r="E1975" s="9"/>
      <c r="F1975" s="17" t="str">
        <f aca="false">IF(AND(A1975="",B1975="",C1975=""),"",IF(NOT(ISNUMBER(A1975)),"Enter the date done",IF(SUMPRODUCT(('PM Plan'!$A$5:$A$304=B1975)*('PM Plan'!$B$5:$B$304=C1975))=0,"No matching asset + task in plan","OK")))</f>
        <v/>
      </c>
    </row>
    <row r="1976" customFormat="false" ht="15" hidden="false" customHeight="false" outlineLevel="0" collapsed="false">
      <c r="A1976" s="14"/>
      <c r="B1976" s="9"/>
      <c r="C1976" s="9"/>
      <c r="D1976" s="9"/>
      <c r="E1976" s="9"/>
      <c r="F1976" s="17" t="str">
        <f aca="false">IF(AND(A1976="",B1976="",C1976=""),"",IF(NOT(ISNUMBER(A1976)),"Enter the date done",IF(SUMPRODUCT(('PM Plan'!$A$5:$A$304=B1976)*('PM Plan'!$B$5:$B$304=C1976))=0,"No matching asset + task in plan","OK")))</f>
        <v/>
      </c>
    </row>
    <row r="1977" customFormat="false" ht="15" hidden="false" customHeight="false" outlineLevel="0" collapsed="false">
      <c r="A1977" s="14"/>
      <c r="B1977" s="9"/>
      <c r="C1977" s="9"/>
      <c r="D1977" s="9"/>
      <c r="E1977" s="9"/>
      <c r="F1977" s="17" t="str">
        <f aca="false">IF(AND(A1977="",B1977="",C1977=""),"",IF(NOT(ISNUMBER(A1977)),"Enter the date done",IF(SUMPRODUCT(('PM Plan'!$A$5:$A$304=B1977)*('PM Plan'!$B$5:$B$304=C1977))=0,"No matching asset + task in plan","OK")))</f>
        <v/>
      </c>
    </row>
    <row r="1978" customFormat="false" ht="15" hidden="false" customHeight="false" outlineLevel="0" collapsed="false">
      <c r="A1978" s="14"/>
      <c r="B1978" s="9"/>
      <c r="C1978" s="9"/>
      <c r="D1978" s="9"/>
      <c r="E1978" s="9"/>
      <c r="F1978" s="17" t="str">
        <f aca="false">IF(AND(A1978="",B1978="",C1978=""),"",IF(NOT(ISNUMBER(A1978)),"Enter the date done",IF(SUMPRODUCT(('PM Plan'!$A$5:$A$304=B1978)*('PM Plan'!$B$5:$B$304=C1978))=0,"No matching asset + task in plan","OK")))</f>
        <v/>
      </c>
    </row>
    <row r="1979" customFormat="false" ht="15" hidden="false" customHeight="false" outlineLevel="0" collapsed="false">
      <c r="A1979" s="14"/>
      <c r="B1979" s="9"/>
      <c r="C1979" s="9"/>
      <c r="D1979" s="9"/>
      <c r="E1979" s="9"/>
      <c r="F1979" s="17" t="str">
        <f aca="false">IF(AND(A1979="",B1979="",C1979=""),"",IF(NOT(ISNUMBER(A1979)),"Enter the date done",IF(SUMPRODUCT(('PM Plan'!$A$5:$A$304=B1979)*('PM Plan'!$B$5:$B$304=C1979))=0,"No matching asset + task in plan","OK")))</f>
        <v/>
      </c>
    </row>
    <row r="1980" customFormat="false" ht="15" hidden="false" customHeight="false" outlineLevel="0" collapsed="false">
      <c r="A1980" s="14"/>
      <c r="B1980" s="9"/>
      <c r="C1980" s="9"/>
      <c r="D1980" s="9"/>
      <c r="E1980" s="9"/>
      <c r="F1980" s="17" t="str">
        <f aca="false">IF(AND(A1980="",B1980="",C1980=""),"",IF(NOT(ISNUMBER(A1980)),"Enter the date done",IF(SUMPRODUCT(('PM Plan'!$A$5:$A$304=B1980)*('PM Plan'!$B$5:$B$304=C1980))=0,"No matching asset + task in plan","OK")))</f>
        <v/>
      </c>
    </row>
    <row r="1981" customFormat="false" ht="15" hidden="false" customHeight="false" outlineLevel="0" collapsed="false">
      <c r="A1981" s="14"/>
      <c r="B1981" s="9"/>
      <c r="C1981" s="9"/>
      <c r="D1981" s="9"/>
      <c r="E1981" s="9"/>
      <c r="F1981" s="17" t="str">
        <f aca="false">IF(AND(A1981="",B1981="",C1981=""),"",IF(NOT(ISNUMBER(A1981)),"Enter the date done",IF(SUMPRODUCT(('PM Plan'!$A$5:$A$304=B1981)*('PM Plan'!$B$5:$B$304=C1981))=0,"No matching asset + task in plan","OK")))</f>
        <v/>
      </c>
    </row>
    <row r="1982" customFormat="false" ht="15" hidden="false" customHeight="false" outlineLevel="0" collapsed="false">
      <c r="A1982" s="14"/>
      <c r="B1982" s="9"/>
      <c r="C1982" s="9"/>
      <c r="D1982" s="9"/>
      <c r="E1982" s="9"/>
      <c r="F1982" s="17" t="str">
        <f aca="false">IF(AND(A1982="",B1982="",C1982=""),"",IF(NOT(ISNUMBER(A1982)),"Enter the date done",IF(SUMPRODUCT(('PM Plan'!$A$5:$A$304=B1982)*('PM Plan'!$B$5:$B$304=C1982))=0,"No matching asset + task in plan","OK")))</f>
        <v/>
      </c>
    </row>
    <row r="1983" customFormat="false" ht="15" hidden="false" customHeight="false" outlineLevel="0" collapsed="false">
      <c r="A1983" s="14"/>
      <c r="B1983" s="9"/>
      <c r="C1983" s="9"/>
      <c r="D1983" s="9"/>
      <c r="E1983" s="9"/>
      <c r="F1983" s="17" t="str">
        <f aca="false">IF(AND(A1983="",B1983="",C1983=""),"",IF(NOT(ISNUMBER(A1983)),"Enter the date done",IF(SUMPRODUCT(('PM Plan'!$A$5:$A$304=B1983)*('PM Plan'!$B$5:$B$304=C1983))=0,"No matching asset + task in plan","OK")))</f>
        <v/>
      </c>
    </row>
    <row r="1984" customFormat="false" ht="15" hidden="false" customHeight="false" outlineLevel="0" collapsed="false">
      <c r="A1984" s="14"/>
      <c r="B1984" s="9"/>
      <c r="C1984" s="9"/>
      <c r="D1984" s="9"/>
      <c r="E1984" s="9"/>
      <c r="F1984" s="17" t="str">
        <f aca="false">IF(AND(A1984="",B1984="",C1984=""),"",IF(NOT(ISNUMBER(A1984)),"Enter the date done",IF(SUMPRODUCT(('PM Plan'!$A$5:$A$304=B1984)*('PM Plan'!$B$5:$B$304=C1984))=0,"No matching asset + task in plan","OK")))</f>
        <v/>
      </c>
    </row>
    <row r="1985" customFormat="false" ht="15" hidden="false" customHeight="false" outlineLevel="0" collapsed="false">
      <c r="A1985" s="14"/>
      <c r="B1985" s="9"/>
      <c r="C1985" s="9"/>
      <c r="D1985" s="9"/>
      <c r="E1985" s="9"/>
      <c r="F1985" s="17" t="str">
        <f aca="false">IF(AND(A1985="",B1985="",C1985=""),"",IF(NOT(ISNUMBER(A1985)),"Enter the date done",IF(SUMPRODUCT(('PM Plan'!$A$5:$A$304=B1985)*('PM Plan'!$B$5:$B$304=C1985))=0,"No matching asset + task in plan","OK")))</f>
        <v/>
      </c>
    </row>
    <row r="1986" customFormat="false" ht="15" hidden="false" customHeight="false" outlineLevel="0" collapsed="false">
      <c r="A1986" s="14"/>
      <c r="B1986" s="9"/>
      <c r="C1986" s="9"/>
      <c r="D1986" s="9"/>
      <c r="E1986" s="9"/>
      <c r="F1986" s="17" t="str">
        <f aca="false">IF(AND(A1986="",B1986="",C1986=""),"",IF(NOT(ISNUMBER(A1986)),"Enter the date done",IF(SUMPRODUCT(('PM Plan'!$A$5:$A$304=B1986)*('PM Plan'!$B$5:$B$304=C1986))=0,"No matching asset + task in plan","OK")))</f>
        <v/>
      </c>
    </row>
    <row r="1987" customFormat="false" ht="15" hidden="false" customHeight="false" outlineLevel="0" collapsed="false">
      <c r="A1987" s="14"/>
      <c r="B1987" s="9"/>
      <c r="C1987" s="9"/>
      <c r="D1987" s="9"/>
      <c r="E1987" s="9"/>
      <c r="F1987" s="17" t="str">
        <f aca="false">IF(AND(A1987="",B1987="",C1987=""),"",IF(NOT(ISNUMBER(A1987)),"Enter the date done",IF(SUMPRODUCT(('PM Plan'!$A$5:$A$304=B1987)*('PM Plan'!$B$5:$B$304=C1987))=0,"No matching asset + task in plan","OK")))</f>
        <v/>
      </c>
    </row>
    <row r="1988" customFormat="false" ht="15" hidden="false" customHeight="false" outlineLevel="0" collapsed="false">
      <c r="A1988" s="14"/>
      <c r="B1988" s="9"/>
      <c r="C1988" s="9"/>
      <c r="D1988" s="9"/>
      <c r="E1988" s="9"/>
      <c r="F1988" s="17" t="str">
        <f aca="false">IF(AND(A1988="",B1988="",C1988=""),"",IF(NOT(ISNUMBER(A1988)),"Enter the date done",IF(SUMPRODUCT(('PM Plan'!$A$5:$A$304=B1988)*('PM Plan'!$B$5:$B$304=C1988))=0,"No matching asset + task in plan","OK")))</f>
        <v/>
      </c>
    </row>
    <row r="1989" customFormat="false" ht="15" hidden="false" customHeight="false" outlineLevel="0" collapsed="false">
      <c r="A1989" s="14"/>
      <c r="B1989" s="9"/>
      <c r="C1989" s="9"/>
      <c r="D1989" s="9"/>
      <c r="E1989" s="9"/>
      <c r="F1989" s="17" t="str">
        <f aca="false">IF(AND(A1989="",B1989="",C1989=""),"",IF(NOT(ISNUMBER(A1989)),"Enter the date done",IF(SUMPRODUCT(('PM Plan'!$A$5:$A$304=B1989)*('PM Plan'!$B$5:$B$304=C1989))=0,"No matching asset + task in plan","OK")))</f>
        <v/>
      </c>
    </row>
    <row r="1990" customFormat="false" ht="15" hidden="false" customHeight="false" outlineLevel="0" collapsed="false">
      <c r="A1990" s="14"/>
      <c r="B1990" s="9"/>
      <c r="C1990" s="9"/>
      <c r="D1990" s="9"/>
      <c r="E1990" s="9"/>
      <c r="F1990" s="17" t="str">
        <f aca="false">IF(AND(A1990="",B1990="",C1990=""),"",IF(NOT(ISNUMBER(A1990)),"Enter the date done",IF(SUMPRODUCT(('PM Plan'!$A$5:$A$304=B1990)*('PM Plan'!$B$5:$B$304=C1990))=0,"No matching asset + task in plan","OK")))</f>
        <v/>
      </c>
    </row>
    <row r="1991" customFormat="false" ht="15" hidden="false" customHeight="false" outlineLevel="0" collapsed="false">
      <c r="A1991" s="14"/>
      <c r="B1991" s="9"/>
      <c r="C1991" s="9"/>
      <c r="D1991" s="9"/>
      <c r="E1991" s="9"/>
      <c r="F1991" s="17" t="str">
        <f aca="false">IF(AND(A1991="",B1991="",C1991=""),"",IF(NOT(ISNUMBER(A1991)),"Enter the date done",IF(SUMPRODUCT(('PM Plan'!$A$5:$A$304=B1991)*('PM Plan'!$B$5:$B$304=C1991))=0,"No matching asset + task in plan","OK")))</f>
        <v/>
      </c>
    </row>
    <row r="1992" customFormat="false" ht="15" hidden="false" customHeight="false" outlineLevel="0" collapsed="false">
      <c r="A1992" s="14"/>
      <c r="B1992" s="9"/>
      <c r="C1992" s="9"/>
      <c r="D1992" s="9"/>
      <c r="E1992" s="9"/>
      <c r="F1992" s="17" t="str">
        <f aca="false">IF(AND(A1992="",B1992="",C1992=""),"",IF(NOT(ISNUMBER(A1992)),"Enter the date done",IF(SUMPRODUCT(('PM Plan'!$A$5:$A$304=B1992)*('PM Plan'!$B$5:$B$304=C1992))=0,"No matching asset + task in plan","OK")))</f>
        <v/>
      </c>
    </row>
    <row r="1993" customFormat="false" ht="15" hidden="false" customHeight="false" outlineLevel="0" collapsed="false">
      <c r="A1993" s="14"/>
      <c r="B1993" s="9"/>
      <c r="C1993" s="9"/>
      <c r="D1993" s="9"/>
      <c r="E1993" s="9"/>
      <c r="F1993" s="17" t="str">
        <f aca="false">IF(AND(A1993="",B1993="",C1993=""),"",IF(NOT(ISNUMBER(A1993)),"Enter the date done",IF(SUMPRODUCT(('PM Plan'!$A$5:$A$304=B1993)*('PM Plan'!$B$5:$B$304=C1993))=0,"No matching asset + task in plan","OK")))</f>
        <v/>
      </c>
    </row>
    <row r="1994" customFormat="false" ht="15" hidden="false" customHeight="false" outlineLevel="0" collapsed="false">
      <c r="A1994" s="14"/>
      <c r="B1994" s="9"/>
      <c r="C1994" s="9"/>
      <c r="D1994" s="9"/>
      <c r="E1994" s="9"/>
      <c r="F1994" s="17" t="str">
        <f aca="false">IF(AND(A1994="",B1994="",C1994=""),"",IF(NOT(ISNUMBER(A1994)),"Enter the date done",IF(SUMPRODUCT(('PM Plan'!$A$5:$A$304=B1994)*('PM Plan'!$B$5:$B$304=C1994))=0,"No matching asset + task in plan","OK")))</f>
        <v/>
      </c>
    </row>
    <row r="1995" customFormat="false" ht="15" hidden="false" customHeight="false" outlineLevel="0" collapsed="false">
      <c r="A1995" s="14"/>
      <c r="B1995" s="9"/>
      <c r="C1995" s="9"/>
      <c r="D1995" s="9"/>
      <c r="E1995" s="9"/>
      <c r="F1995" s="17" t="str">
        <f aca="false">IF(AND(A1995="",B1995="",C1995=""),"",IF(NOT(ISNUMBER(A1995)),"Enter the date done",IF(SUMPRODUCT(('PM Plan'!$A$5:$A$304=B1995)*('PM Plan'!$B$5:$B$304=C1995))=0,"No matching asset + task in plan","OK")))</f>
        <v/>
      </c>
    </row>
    <row r="1996" customFormat="false" ht="15" hidden="false" customHeight="false" outlineLevel="0" collapsed="false">
      <c r="A1996" s="14"/>
      <c r="B1996" s="9"/>
      <c r="C1996" s="9"/>
      <c r="D1996" s="9"/>
      <c r="E1996" s="9"/>
      <c r="F1996" s="17" t="str">
        <f aca="false">IF(AND(A1996="",B1996="",C1996=""),"",IF(NOT(ISNUMBER(A1996)),"Enter the date done",IF(SUMPRODUCT(('PM Plan'!$A$5:$A$304=B1996)*('PM Plan'!$B$5:$B$304=C1996))=0,"No matching asset + task in plan","OK")))</f>
        <v/>
      </c>
    </row>
    <row r="1997" customFormat="false" ht="15" hidden="false" customHeight="false" outlineLevel="0" collapsed="false">
      <c r="A1997" s="14"/>
      <c r="B1997" s="9"/>
      <c r="C1997" s="9"/>
      <c r="D1997" s="9"/>
      <c r="E1997" s="9"/>
      <c r="F1997" s="17" t="str">
        <f aca="false">IF(AND(A1997="",B1997="",C1997=""),"",IF(NOT(ISNUMBER(A1997)),"Enter the date done",IF(SUMPRODUCT(('PM Plan'!$A$5:$A$304=B1997)*('PM Plan'!$B$5:$B$304=C1997))=0,"No matching asset + task in plan","OK")))</f>
        <v/>
      </c>
    </row>
    <row r="1998" customFormat="false" ht="15" hidden="false" customHeight="false" outlineLevel="0" collapsed="false">
      <c r="A1998" s="14"/>
      <c r="B1998" s="9"/>
      <c r="C1998" s="9"/>
      <c r="D1998" s="9"/>
      <c r="E1998" s="9"/>
      <c r="F1998" s="17" t="str">
        <f aca="false">IF(AND(A1998="",B1998="",C1998=""),"",IF(NOT(ISNUMBER(A1998)),"Enter the date done",IF(SUMPRODUCT(('PM Plan'!$A$5:$A$304=B1998)*('PM Plan'!$B$5:$B$304=C1998))=0,"No matching asset + task in plan","OK")))</f>
        <v/>
      </c>
    </row>
    <row r="1999" customFormat="false" ht="15" hidden="false" customHeight="false" outlineLevel="0" collapsed="false">
      <c r="A1999" s="14"/>
      <c r="B1999" s="9"/>
      <c r="C1999" s="9"/>
      <c r="D1999" s="9"/>
      <c r="E1999" s="9"/>
      <c r="F1999" s="17" t="str">
        <f aca="false">IF(AND(A1999="",B1999="",C1999=""),"",IF(NOT(ISNUMBER(A1999)),"Enter the date done",IF(SUMPRODUCT(('PM Plan'!$A$5:$A$304=B1999)*('PM Plan'!$B$5:$B$304=C1999))=0,"No matching asset + task in plan","OK")))</f>
        <v/>
      </c>
    </row>
    <row r="2000" customFormat="false" ht="15" hidden="false" customHeight="false" outlineLevel="0" collapsed="false">
      <c r="A2000" s="14"/>
      <c r="B2000" s="9"/>
      <c r="C2000" s="9"/>
      <c r="D2000" s="9"/>
      <c r="E2000" s="9"/>
      <c r="F2000" s="17" t="str">
        <f aca="false">IF(AND(A2000="",B2000="",C2000=""),"",IF(NOT(ISNUMBER(A2000)),"Enter the date done",IF(SUMPRODUCT(('PM Plan'!$A$5:$A$304=B2000)*('PM Plan'!$B$5:$B$304=C2000))=0,"No matching asset + task in plan","OK")))</f>
        <v/>
      </c>
    </row>
    <row r="2001" customFormat="false" ht="15" hidden="false" customHeight="false" outlineLevel="0" collapsed="false">
      <c r="A2001" s="14"/>
      <c r="B2001" s="9"/>
      <c r="C2001" s="9"/>
      <c r="D2001" s="9"/>
      <c r="E2001" s="9"/>
      <c r="F2001" s="17" t="str">
        <f aca="false">IF(AND(A2001="",B2001="",C2001=""),"",IF(NOT(ISNUMBER(A2001)),"Enter the date done",IF(SUMPRODUCT(('PM Plan'!$A$5:$A$304=B2001)*('PM Plan'!$B$5:$B$304=C2001))=0,"No matching asset + task in plan","OK")))</f>
        <v/>
      </c>
    </row>
    <row r="2002" customFormat="false" ht="15" hidden="false" customHeight="false" outlineLevel="0" collapsed="false">
      <c r="A2002" s="14"/>
      <c r="B2002" s="9"/>
      <c r="C2002" s="9"/>
      <c r="D2002" s="9"/>
      <c r="E2002" s="9"/>
      <c r="F2002" s="17" t="str">
        <f aca="false">IF(AND(A2002="",B2002="",C2002=""),"",IF(NOT(ISNUMBER(A2002)),"Enter the date done",IF(SUMPRODUCT(('PM Plan'!$A$5:$A$304=B2002)*('PM Plan'!$B$5:$B$304=C2002))=0,"No matching asset + task in plan","OK")))</f>
        <v/>
      </c>
    </row>
    <row r="2003" customFormat="false" ht="15" hidden="false" customHeight="false" outlineLevel="0" collapsed="false">
      <c r="A2003" s="14"/>
      <c r="B2003" s="9"/>
      <c r="C2003" s="9"/>
      <c r="D2003" s="9"/>
      <c r="E2003" s="9"/>
      <c r="F2003" s="17" t="str">
        <f aca="false">IF(AND(A2003="",B2003="",C2003=""),"",IF(NOT(ISNUMBER(A2003)),"Enter the date done",IF(SUMPRODUCT(('PM Plan'!$A$5:$A$304=B2003)*('PM Plan'!$B$5:$B$304=C2003))=0,"No matching asset + task in plan","OK")))</f>
        <v/>
      </c>
    </row>
    <row r="2004" customFormat="false" ht="15" hidden="false" customHeight="false" outlineLevel="0" collapsed="false">
      <c r="A2004" s="14"/>
      <c r="B2004" s="9"/>
      <c r="C2004" s="9"/>
      <c r="D2004" s="9"/>
      <c r="E2004" s="9"/>
      <c r="F2004" s="17" t="str">
        <f aca="false">IF(AND(A2004="",B2004="",C2004=""),"",IF(NOT(ISNUMBER(A2004)),"Enter the date done",IF(SUMPRODUCT(('PM Plan'!$A$5:$A$304=B2004)*('PM Plan'!$B$5:$B$304=C2004))=0,"No matching asset + task in plan","OK")))</f>
        <v/>
      </c>
    </row>
  </sheetData>
  <dataValidations count="3">
    <dataValidation allowBlank="true" errorStyle="stop" operator="between" showDropDown="false" showErrorMessage="false" showInputMessage="false" sqref="B5:B2004" type="list">
      <formula1>'PM Plan'!$A$5:$A$304</formula1>
      <formula2>0</formula2>
    </dataValidation>
    <dataValidation allowBlank="true" errorStyle="stop" operator="between" showDropDown="false" showErrorMessage="false" showInputMessage="false" sqref="C5:C2004" type="list">
      <formula1>'PM Plan'!$B$5:$B$304</formula1>
      <formula2>0</formula2>
    </dataValidation>
    <dataValidation allowBlank="true" error="Enter the date the task was done." errorStyle="stop" operator="greaterThan" showDropDown="false" showErrorMessage="false" showInputMessage="false" sqref="A5:A2004" type="dat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2026-10-10T21:52:16Z</dcterms:created>
  <dc:creator>openpyxl</dc:creator>
  <dc:description/>
  <dc:language>en-US</dc:language>
  <cp:lastModifiedBy/>
  <dcterms:modified xsi:type="dcterms:W3CDTF">2026-10-10T21:52:18Z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