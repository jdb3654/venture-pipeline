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ow to use" sheetId="1" state="visible" r:id="rId3"/>
    <sheet name="PM Plan" sheetId="2" state="visible" r:id="rId4"/>
    <sheet name="Completion Lo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<sst xmlns="http://schemas.openxmlformats.org/spreadsheetml/2006/main" count="64" uniqueCount="51">
  <si>
    <t xml:space="preserve">Preventive Maintenance Schedule</t>
  </si>
  <si>
    <t xml:space="preserve">Version 1.0</t>
  </si>
  <si>
    <t xml:space="preserve">What this does</t>
  </si>
  <si>
    <t xml:space="preserve">List every recurring maintenance task with how often it's due. Log completions as they happen, and the plan shows each task's next due date and whether it is overdue, due soon or OK.</t>
  </si>
  <si>
    <t xml:space="preserve">Colour key</t>
  </si>
  <si>
    <t xml:space="preserve">Yellow cells are for you to fill in.</t>
  </si>
  <si>
    <t xml:space="preserve">Grey cells are calculated. Don't type over them.</t>
  </si>
  <si>
    <t xml:space="preserve">Steps</t>
  </si>
  <si>
    <t xml:space="preserve">1. PM Plan: one row per asset + task, with the frequency in days (7 = weekly, 30 = monthly, 90 = quarterly, 365 = yearly). If you know when a task was last done before you started using this workbook, enter it under 'Last done before log'.</t>
  </si>
  <si>
    <t xml:space="preserve">2. Completion Log: each time a task is done, add a row with the date, the asset and the task, picked from the drop-downs so they match the plan exactly. The 'Matches plan?' column warns you if they don't.</t>
  </si>
  <si>
    <t xml:space="preserve">3. The plan updates automatically: last completed date, next due date, days left and status.</t>
  </si>
  <si>
    <t xml:space="preserve">4. Change the 'Due soon' window at the top of the PM Plan (default 7 days).</t>
  </si>
  <si>
    <t xml:space="preserve">5. Tasks never done and with no earlier date are shown as due today, so nothing is silently missed.</t>
  </si>
  <si>
    <t xml:space="preserve">6. The rows marked EXAMPLE show the expected format. Delete them before you start.</t>
  </si>
  <si>
    <t xml:space="preserve">Tip</t>
  </si>
  <si>
    <t xml:space="preserve">Sort or filter the PM Plan by Status to get this week's work list. Excel: Data &gt; Filter.</t>
  </si>
  <si>
    <t xml:space="preserve">PM Plan</t>
  </si>
  <si>
    <t xml:space="preserve">Overdue</t>
  </si>
  <si>
    <t xml:space="preserve">One row per asset and task.</t>
  </si>
  <si>
    <t xml:space="preserve">Due soon window (days)</t>
  </si>
  <si>
    <t xml:space="preserve">Due soon</t>
  </si>
  <si>
    <t xml:space="preserve">OK</t>
  </si>
  <si>
    <t xml:space="preserve">Asset</t>
  </si>
  <si>
    <t xml:space="preserve">Task</t>
  </si>
  <si>
    <t xml:space="preserve">Frequency
(days)</t>
  </si>
  <si>
    <t xml:space="preserve">Assigned to</t>
  </si>
  <si>
    <t xml:space="preserve">Last done
before log</t>
  </si>
  <si>
    <t xml:space="preserve">Last completed</t>
  </si>
  <si>
    <t xml:space="preserve">Next due</t>
  </si>
  <si>
    <t xml:space="preserve">Days until due</t>
  </si>
  <si>
    <t xml:space="preserve">Status</t>
  </si>
  <si>
    <t xml:space="preserve">Notes</t>
  </si>
  <si>
    <t xml:space="preserve">Air compressor 1</t>
  </si>
  <si>
    <t xml:space="preserve">Change oil filter</t>
  </si>
  <si>
    <t xml:space="preserve">Maintenance</t>
  </si>
  <si>
    <t xml:space="preserve">EXAMPLE</t>
  </si>
  <si>
    <t xml:space="preserve">Press 01</t>
  </si>
  <si>
    <t xml:space="preserve">Lubricate slides and gibs</t>
  </si>
  <si>
    <t xml:space="preserve">Operator</t>
  </si>
  <si>
    <t xml:space="preserve">Forklift 2</t>
  </si>
  <si>
    <t xml:space="preserve">Inspect forks, chains and hydraulics</t>
  </si>
  <si>
    <t xml:space="preserve">CNC Lathe 02</t>
  </si>
  <si>
    <t xml:space="preserve">Clean chip conveyor and coolant filter</t>
  </si>
  <si>
    <t xml:space="preserve">Dust collector</t>
  </si>
  <si>
    <t xml:space="preserve">Replace filter cartridges</t>
  </si>
  <si>
    <t xml:space="preserve">Completion Log</t>
  </si>
  <si>
    <t xml:space="preserve">Add a row each time a task is completed. Pick asset and task from the drop-downs.</t>
  </si>
  <si>
    <t xml:space="preserve">Date done</t>
  </si>
  <si>
    <t xml:space="preserve">Done by</t>
  </si>
  <si>
    <t xml:space="preserve">Matches plan?</t>
  </si>
  <si>
    <t xml:space="preserve">J. Smith</t>
  </si>
</sst>
</file>

<file path=xl/styles.xml><?xml version="1.0" encoding="utf-8"?>
<styleSheet xmlns="http://schemas.openxmlformats.org/spreadsheetml/2006/main">
  <numFmts count="3">
    <numFmt numFmtId="164" formatCode="General"/>
    <numFmt numFmtId="165" formatCode="yyyy\-mm\-dd"/>
    <numFmt numFmtId="166" formatCode="0"/>
  </numFmts>
  <fonts count="10">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9"/>
      <color rgb="FF595959"/>
      <name val="Arial"/>
      <family val="0"/>
      <charset val="1"/>
    </font>
    <font>
      <b val="true"/>
      <sz val="12"/>
      <color rgb="FF1F3A5F"/>
      <name val="Arial"/>
      <family val="0"/>
      <charset val="1"/>
    </font>
    <font>
      <sz val="10"/>
      <color rgb="FF000000"/>
      <name val="Arial"/>
      <family val="0"/>
      <charset val="1"/>
    </font>
    <font>
      <b val="true"/>
      <sz val="10"/>
      <color rgb="FF000000"/>
      <name val="Arial"/>
      <family val="0"/>
      <charset val="1"/>
    </font>
    <font>
      <b val="true"/>
      <sz val="10"/>
      <color rgb="FFFFFFFF"/>
      <name val="Arial"/>
      <family val="0"/>
      <charset val="1"/>
    </font>
  </fonts>
  <fills count="8">
    <fill>
      <patternFill patternType="none"/>
    </fill>
    <fill>
      <patternFill patternType="gray125"/>
    </fill>
    <fill>
      <patternFill patternType="solid">
        <fgColor rgb="FFFFF2CC"/>
        <bgColor rgb="FFF2F2F2"/>
      </patternFill>
    </fill>
    <fill>
      <patternFill patternType="solid">
        <fgColor rgb="FFF2F2F2"/>
        <bgColor rgb="FFFFFFFF"/>
      </patternFill>
    </fill>
    <fill>
      <patternFill patternType="solid">
        <fgColor rgb="FFF8CBAD"/>
        <bgColor rgb="FFFFE699"/>
      </patternFill>
    </fill>
    <fill>
      <patternFill patternType="solid">
        <fgColor rgb="FFFFE699"/>
        <bgColor rgb="FFFFF2CC"/>
      </patternFill>
    </fill>
    <fill>
      <patternFill patternType="solid">
        <fgColor rgb="FFC6EFCE"/>
        <bgColor rgb="FFD9D9D9"/>
      </patternFill>
    </fill>
    <fill>
      <patternFill patternType="solid">
        <fgColor rgb="FF1F3A5F"/>
        <bgColor rgb="FF33333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right"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F8CBAD"/>
        </patternFill>
      </fill>
    </dxf>
    <dxf>
      <fill>
        <patternFill>
          <bgColor rgb="FFFFE699"/>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6" customFormat="false" ht="23.85" hidden="false" customHeight="false" outlineLevel="0" collapsed="false">
      <c r="B6" s="4" t="s">
        <v>3</v>
      </c>
    </row>
    <row r="7" customFormat="false" ht="15" hidden="false" customHeight="false" outlineLevel="0" collapsed="false">
      <c r="B7" s="3" t="s">
        <v>4</v>
      </c>
    </row>
    <row r="9" customFormat="false" ht="15" hidden="false" customHeight="false" outlineLevel="0" collapsed="false">
      <c r="B9" s="5" t="s">
        <v>5</v>
      </c>
    </row>
    <row r="10" customFormat="false" ht="15" hidden="false" customHeight="false" outlineLevel="0" collapsed="false">
      <c r="B10" s="6" t="s">
        <v>6</v>
      </c>
    </row>
    <row r="11" customFormat="false" ht="15" hidden="false" customHeight="false" outlineLevel="0" collapsed="false">
      <c r="B11" s="3" t="s">
        <v>7</v>
      </c>
    </row>
    <row r="13" customFormat="false" ht="23.85" hidden="false" customHeight="false" outlineLevel="0" collapsed="false">
      <c r="B13" s="4" t="s">
        <v>8</v>
      </c>
    </row>
    <row r="14" customFormat="false" ht="23.85" hidden="false" customHeight="false" outlineLevel="0" collapsed="false">
      <c r="B14" s="4" t="s">
        <v>9</v>
      </c>
    </row>
    <row r="15" customFormat="false" ht="15" hidden="false" customHeight="false" outlineLevel="0" collapsed="false">
      <c r="B15" s="4" t="s">
        <v>10</v>
      </c>
    </row>
    <row r="16" customFormat="false" ht="15" hidden="false" customHeight="false" outlineLevel="0" collapsed="false">
      <c r="B16" s="4" t="s">
        <v>11</v>
      </c>
    </row>
    <row r="17" customFormat="false" ht="15" hidden="false" customHeight="false" outlineLevel="0" collapsed="false">
      <c r="B17" s="4" t="s">
        <v>12</v>
      </c>
    </row>
    <row r="18" customFormat="false" ht="15" hidden="false" customHeight="false" outlineLevel="0" collapsed="false">
      <c r="B18" s="4" t="s">
        <v>13</v>
      </c>
    </row>
    <row r="19" customFormat="false" ht="15" hidden="false" customHeight="false" outlineLevel="0" collapsed="false">
      <c r="B19" s="3" t="s">
        <v>14</v>
      </c>
    </row>
    <row r="21" customFormat="false" ht="15" hidden="false" customHeight="false" outlineLevel="0" collapsed="false">
      <c r="B21" s="4"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11"/>
    <col collapsed="false" customWidth="true" hidden="false" outlineLevel="0" max="4" min="4" style="0" width="16"/>
    <col collapsed="false" customWidth="true" hidden="false" outlineLevel="0" max="5" min="5" style="0" width="13"/>
    <col collapsed="false" customWidth="true" hidden="false" outlineLevel="0" max="6" min="6" style="0" width="14"/>
    <col collapsed="false" customWidth="true" hidden="false" outlineLevel="0" max="9" min="7" style="0" width="12"/>
    <col collapsed="false" customWidth="true" hidden="false" outlineLevel="0" max="10" min="10" style="0" width="30"/>
  </cols>
  <sheetData>
    <row r="1" customFormat="false" ht="19.7" hidden="false" customHeight="false" outlineLevel="0" collapsed="false">
      <c r="A1" s="1" t="s">
        <v>16</v>
      </c>
      <c r="K1" s="7" t="s">
        <v>17</v>
      </c>
      <c r="L1" s="7" t="n">
        <f aca="false">COUNTIF($I$5:$I$304,"OVERDUE")</f>
        <v>1</v>
      </c>
    </row>
    <row r="2" customFormat="false" ht="15" hidden="false" customHeight="false" outlineLevel="0" collapsed="false">
      <c r="A2" s="2" t="s">
        <v>18</v>
      </c>
      <c r="G2" s="8" t="s">
        <v>19</v>
      </c>
      <c r="H2" s="8"/>
      <c r="I2" s="9" t="n">
        <v>7</v>
      </c>
      <c r="K2" s="10" t="s">
        <v>20</v>
      </c>
      <c r="L2" s="10" t="n">
        <f aca="false">COUNTIF($I$5:$I$304,"Due soon")</f>
        <v>2</v>
      </c>
    </row>
    <row r="3" customFormat="false" ht="15" hidden="false" customHeight="false" outlineLevel="0" collapsed="false">
      <c r="K3" s="11" t="s">
        <v>21</v>
      </c>
      <c r="L3" s="11" t="n">
        <f aca="false">COUNTIF($I$5:$I$304,"OK")</f>
        <v>2</v>
      </c>
    </row>
    <row r="4" customFormat="false" ht="31.5" hidden="false" customHeight="true" outlineLevel="0" collapsed="false">
      <c r="A4" s="12" t="s">
        <v>22</v>
      </c>
      <c r="B4" s="12" t="s">
        <v>23</v>
      </c>
      <c r="C4" s="12" t="s">
        <v>24</v>
      </c>
      <c r="D4" s="12" t="s">
        <v>25</v>
      </c>
      <c r="E4" s="12" t="s">
        <v>26</v>
      </c>
      <c r="F4" s="12" t="s">
        <v>27</v>
      </c>
      <c r="G4" s="12" t="s">
        <v>28</v>
      </c>
      <c r="H4" s="12" t="s">
        <v>29</v>
      </c>
      <c r="I4" s="12" t="s">
        <v>30</v>
      </c>
      <c r="J4" s="12" t="s">
        <v>31</v>
      </c>
    </row>
    <row r="5" customFormat="false" ht="15" hidden="false" customHeight="false" outlineLevel="0" collapsed="false">
      <c r="A5" s="9" t="s">
        <v>32</v>
      </c>
      <c r="B5" s="9" t="s">
        <v>33</v>
      </c>
      <c r="C5" s="9" t="n">
        <v>90</v>
      </c>
      <c r="D5" s="9" t="s">
        <v>34</v>
      </c>
      <c r="E5" s="13" t="n">
        <f aca="true">TODAY()-100</f>
        <v>46205</v>
      </c>
      <c r="F5" s="14" t="n">
        <f aca="false">IF(OR(A5="",B5=""),"",IF(MAX(N(E5),SUMPRODUCT(MAX(('Completion Log'!$B$5:$B$2004=A5)*('Completion Log'!$C$5:$C$2004=B5)*'Completion Log'!$A$5:$A$2004)))=0,"",MAX(N(E5),SUMPRODUCT(MAX(('Completion Log'!$B$5:$B$2004=A5)*('Completion Log'!$C$5:$C$2004=B5)*'Completion Log'!$A$5:$A$2004)))))</f>
        <v>46205</v>
      </c>
      <c r="G5" s="14" t="n">
        <f aca="true">IF(OR(A5="",B5="",C5=""),"",IF(F5="",TODAY(),F5+C5))</f>
        <v>46295</v>
      </c>
      <c r="H5" s="15" t="n">
        <f aca="true">IF(G5="","",G5-TODAY())</f>
        <v>-10</v>
      </c>
      <c r="I5" s="16" t="str">
        <f aca="false">IF(H5="","",IF(H5&lt;0,"OVERDUE",IF(H5&lt;=$I$2,"Due soon","OK")))</f>
        <v>OVERDUE</v>
      </c>
      <c r="J5" s="9" t="s">
        <v>35</v>
      </c>
    </row>
    <row r="6" customFormat="false" ht="15" hidden="false" customHeight="false" outlineLevel="0" collapsed="false">
      <c r="A6" s="9" t="s">
        <v>36</v>
      </c>
      <c r="B6" s="9" t="s">
        <v>37</v>
      </c>
      <c r="C6" s="9" t="n">
        <v>7</v>
      </c>
      <c r="D6" s="9" t="s">
        <v>38</v>
      </c>
      <c r="E6" s="13" t="n">
        <f aca="true">TODAY()-3</f>
        <v>46302</v>
      </c>
      <c r="F6" s="14" t="n">
        <f aca="false">IF(OR(A6="",B6=""),"",IF(MAX(N(E6),SUMPRODUCT(MAX(('Completion Log'!$B$5:$B$2004=A6)*('Completion Log'!$C$5:$C$2004=B6)*'Completion Log'!$A$5:$A$2004)))=0,"",MAX(N(E6),SUMPRODUCT(MAX(('Completion Log'!$B$5:$B$2004=A6)*('Completion Log'!$C$5:$C$2004=B6)*'Completion Log'!$A$5:$A$2004)))))</f>
        <v>46302</v>
      </c>
      <c r="G6" s="14" t="n">
        <f aca="true">IF(OR(A6="",B6="",C6=""),"",IF(F6="",TODAY(),F6+C6))</f>
        <v>46309</v>
      </c>
      <c r="H6" s="15" t="n">
        <f aca="true">IF(G6="","",G6-TODAY())</f>
        <v>4</v>
      </c>
      <c r="I6" s="16" t="str">
        <f aca="false">IF(H6="","",IF(H6&lt;0,"OVERDUE",IF(H6&lt;=$I$2,"Due soon","OK")))</f>
        <v>Due soon</v>
      </c>
      <c r="J6" s="9" t="s">
        <v>35</v>
      </c>
    </row>
    <row r="7" customFormat="false" ht="15" hidden="false" customHeight="false" outlineLevel="0" collapsed="false">
      <c r="A7" s="9" t="s">
        <v>39</v>
      </c>
      <c r="B7" s="9" t="s">
        <v>40</v>
      </c>
      <c r="C7" s="9" t="n">
        <v>30</v>
      </c>
      <c r="D7" s="9" t="s">
        <v>34</v>
      </c>
      <c r="E7" s="13" t="n">
        <f aca="true">TODAY()-27</f>
        <v>46278</v>
      </c>
      <c r="F7" s="14" t="n">
        <f aca="false">IF(OR(A7="",B7=""),"",IF(MAX(N(E7),SUMPRODUCT(MAX(('Completion Log'!$B$5:$B$2004=A7)*('Completion Log'!$C$5:$C$2004=B7)*'Completion Log'!$A$5:$A$2004)))=0,"",MAX(N(E7),SUMPRODUCT(MAX(('Completion Log'!$B$5:$B$2004=A7)*('Completion Log'!$C$5:$C$2004=B7)*'Completion Log'!$A$5:$A$2004)))))</f>
        <v>46278</v>
      </c>
      <c r="G7" s="14" t="n">
        <f aca="true">IF(OR(A7="",B7="",C7=""),"",IF(F7="",TODAY(),F7+C7))</f>
        <v>46308</v>
      </c>
      <c r="H7" s="15" t="n">
        <f aca="true">IF(G7="","",G7-TODAY())</f>
        <v>3</v>
      </c>
      <c r="I7" s="16" t="str">
        <f aca="false">IF(H7="","",IF(H7&lt;0,"OVERDUE",IF(H7&lt;=$I$2,"Due soon","OK")))</f>
        <v>Due soon</v>
      </c>
      <c r="J7" s="9" t="s">
        <v>35</v>
      </c>
    </row>
    <row r="8" customFormat="false" ht="15" hidden="false" customHeight="false" outlineLevel="0" collapsed="false">
      <c r="A8" s="9" t="s">
        <v>41</v>
      </c>
      <c r="B8" s="9" t="s">
        <v>42</v>
      </c>
      <c r="C8" s="9" t="n">
        <v>14</v>
      </c>
      <c r="D8" s="9" t="s">
        <v>38</v>
      </c>
      <c r="E8" s="13"/>
      <c r="F8" s="14" t="n">
        <f aca="false">IF(OR(A8="",B8=""),"",IF(MAX(N(E8),SUMPRODUCT(MAX(('Completion Log'!$B$5:$B$2004=A8)*('Completion Log'!$C$5:$C$2004=B8)*'Completion Log'!$A$5:$A$2004)))=0,"",MAX(N(E8),SUMPRODUCT(MAX(('Completion Log'!$B$5:$B$2004=A8)*('Completion Log'!$C$5:$C$2004=B8)*'Completion Log'!$A$5:$A$2004)))))</f>
        <v>46303</v>
      </c>
      <c r="G8" s="14" t="n">
        <f aca="true">IF(OR(A8="",B8="",C8=""),"",IF(F8="",TODAY(),F8+C8))</f>
        <v>46317</v>
      </c>
      <c r="H8" s="15" t="n">
        <f aca="true">IF(G8="","",G8-TODAY())</f>
        <v>12</v>
      </c>
      <c r="I8" s="16" t="str">
        <f aca="false">IF(H8="","",IF(H8&lt;0,"OVERDUE",IF(H8&lt;=$I$2,"Due soon","OK")))</f>
        <v>OK</v>
      </c>
      <c r="J8" s="9" t="s">
        <v>35</v>
      </c>
    </row>
    <row r="9" customFormat="false" ht="15" hidden="false" customHeight="false" outlineLevel="0" collapsed="false">
      <c r="A9" s="9" t="s">
        <v>43</v>
      </c>
      <c r="B9" s="9" t="s">
        <v>44</v>
      </c>
      <c r="C9" s="9" t="n">
        <v>180</v>
      </c>
      <c r="D9" s="9" t="s">
        <v>34</v>
      </c>
      <c r="E9" s="13" t="n">
        <f aca="true">TODAY()-20</f>
        <v>46285</v>
      </c>
      <c r="F9" s="14" t="n">
        <f aca="false">IF(OR(A9="",B9=""),"",IF(MAX(N(E9),SUMPRODUCT(MAX(('Completion Log'!$B$5:$B$2004=A9)*('Completion Log'!$C$5:$C$2004=B9)*'Completion Log'!$A$5:$A$2004)))=0,"",MAX(N(E9),SUMPRODUCT(MAX(('Completion Log'!$B$5:$B$2004=A9)*('Completion Log'!$C$5:$C$2004=B9)*'Completion Log'!$A$5:$A$2004)))))</f>
        <v>46285</v>
      </c>
      <c r="G9" s="14" t="n">
        <f aca="true">IF(OR(A9="",B9="",C9=""),"",IF(F9="",TODAY(),F9+C9))</f>
        <v>46465</v>
      </c>
      <c r="H9" s="15" t="n">
        <f aca="true">IF(G9="","",G9-TODAY())</f>
        <v>160</v>
      </c>
      <c r="I9" s="16" t="str">
        <f aca="false">IF(H9="","",IF(H9&lt;0,"OVERDUE",IF(H9&lt;=$I$2,"Due soon","OK")))</f>
        <v>OK</v>
      </c>
      <c r="J9" s="9" t="s">
        <v>35</v>
      </c>
    </row>
    <row r="10" customFormat="false" ht="15" hidden="false" customHeight="false" outlineLevel="0" collapsed="false">
      <c r="A10" s="9"/>
      <c r="B10" s="9"/>
      <c r="C10" s="9"/>
      <c r="D10" s="9"/>
      <c r="E10" s="13"/>
      <c r="F10" s="14" t="str">
        <f aca="false">IF(OR(A10="",B10=""),"",IF(MAX(N(E10),SUMPRODUCT(MAX(('Completion Log'!$B$5:$B$2004=A10)*('Completion Log'!$C$5:$C$2004=B10)*'Completion Log'!$A$5:$A$2004)))=0,"",MAX(N(E10),SUMPRODUCT(MAX(('Completion Log'!$B$5:$B$2004=A10)*('Completion Log'!$C$5:$C$2004=B10)*'Completion Log'!$A$5:$A$2004)))))</f>
        <v/>
      </c>
      <c r="G10" s="14" t="str">
        <f aca="true">IF(OR(A10="",B10="",C10=""),"",IF(F10="",TODAY(),F10+C10))</f>
        <v/>
      </c>
      <c r="H10" s="15" t="str">
        <f aca="true">IF(G10="","",G10-TODAY())</f>
        <v/>
      </c>
      <c r="I10" s="16" t="str">
        <f aca="false">IF(H10="","",IF(H10&lt;0,"OVERDUE",IF(H10&lt;=$I$2,"Due soon","OK")))</f>
        <v/>
      </c>
      <c r="J10" s="9"/>
    </row>
    <row r="11" customFormat="false" ht="15" hidden="false" customHeight="false" outlineLevel="0" collapsed="false">
      <c r="A11" s="9"/>
      <c r="B11" s="9"/>
      <c r="C11" s="9"/>
      <c r="D11" s="9"/>
      <c r="E11" s="13"/>
      <c r="F11" s="14" t="str">
        <f aca="false">IF(OR(A11="",B11=""),"",IF(MAX(N(E11),SUMPRODUCT(MAX(('Completion Log'!$B$5:$B$2004=A11)*('Completion Log'!$C$5:$C$2004=B11)*'Completion Log'!$A$5:$A$2004)))=0,"",MAX(N(E11),SUMPRODUCT(MAX(('Completion Log'!$B$5:$B$2004=A11)*('Completion Log'!$C$5:$C$2004=B11)*'Completion Log'!$A$5:$A$2004)))))</f>
        <v/>
      </c>
      <c r="G11" s="14" t="str">
        <f aca="true">IF(OR(A11="",B11="",C11=""),"",IF(F11="",TODAY(),F11+C11))</f>
        <v/>
      </c>
      <c r="H11" s="15" t="str">
        <f aca="true">IF(G11="","",G11-TODAY())</f>
        <v/>
      </c>
      <c r="I11" s="16" t="str">
        <f aca="false">IF(H11="","",IF(H11&lt;0,"OVERDUE",IF(H11&lt;=$I$2,"Due soon","OK")))</f>
        <v/>
      </c>
      <c r="J11" s="9"/>
    </row>
    <row r="12" customFormat="false" ht="15" hidden="false" customHeight="false" outlineLevel="0" collapsed="false">
      <c r="A12" s="9"/>
      <c r="B12" s="9"/>
      <c r="C12" s="9"/>
      <c r="D12" s="9"/>
      <c r="E12" s="13"/>
      <c r="F12" s="14" t="str">
        <f aca="false">IF(OR(A12="",B12=""),"",IF(MAX(N(E12),SUMPRODUCT(MAX(('Completion Log'!$B$5:$B$2004=A12)*('Completion Log'!$C$5:$C$2004=B12)*'Completion Log'!$A$5:$A$2004)))=0,"",MAX(N(E12),SUMPRODUCT(MAX(('Completion Log'!$B$5:$B$2004=A12)*('Completion Log'!$C$5:$C$2004=B12)*'Completion Log'!$A$5:$A$2004)))))</f>
        <v/>
      </c>
      <c r="G12" s="14" t="str">
        <f aca="true">IF(OR(A12="",B12="",C12=""),"",IF(F12="",TODAY(),F12+C12))</f>
        <v/>
      </c>
      <c r="H12" s="15" t="str">
        <f aca="true">IF(G12="","",G12-TODAY())</f>
        <v/>
      </c>
      <c r="I12" s="16" t="str">
        <f aca="false">IF(H12="","",IF(H12&lt;0,"OVERDUE",IF(H12&lt;=$I$2,"Due soon","OK")))</f>
        <v/>
      </c>
      <c r="J12" s="9"/>
    </row>
    <row r="13" customFormat="false" ht="15" hidden="false" customHeight="false" outlineLevel="0" collapsed="false">
      <c r="A13" s="9"/>
      <c r="B13" s="9"/>
      <c r="C13" s="9"/>
      <c r="D13" s="9"/>
      <c r="E13" s="13"/>
      <c r="F13" s="14" t="str">
        <f aca="false">IF(OR(A13="",B13=""),"",IF(MAX(N(E13),SUMPRODUCT(MAX(('Completion Log'!$B$5:$B$2004=A13)*('Completion Log'!$C$5:$C$2004=B13)*'Completion Log'!$A$5:$A$2004)))=0,"",MAX(N(E13),SUMPRODUCT(MAX(('Completion Log'!$B$5:$B$2004=A13)*('Completion Log'!$C$5:$C$2004=B13)*'Completion Log'!$A$5:$A$2004)))))</f>
        <v/>
      </c>
      <c r="G13" s="14" t="str">
        <f aca="true">IF(OR(A13="",B13="",C13=""),"",IF(F13="",TODAY(),F13+C13))</f>
        <v/>
      </c>
      <c r="H13" s="15" t="str">
        <f aca="true">IF(G13="","",G13-TODAY())</f>
        <v/>
      </c>
      <c r="I13" s="16" t="str">
        <f aca="false">IF(H13="","",IF(H13&lt;0,"OVERDUE",IF(H13&lt;=$I$2,"Due soon","OK")))</f>
        <v/>
      </c>
      <c r="J13" s="9"/>
    </row>
    <row r="14" customFormat="false" ht="15" hidden="false" customHeight="false" outlineLevel="0" collapsed="false">
      <c r="A14" s="9"/>
      <c r="B14" s="9"/>
      <c r="C14" s="9"/>
      <c r="D14" s="9"/>
      <c r="E14" s="13"/>
      <c r="F14" s="14" t="str">
        <f aca="false">IF(OR(A14="",B14=""),"",IF(MAX(N(E14),SUMPRODUCT(MAX(('Completion Log'!$B$5:$B$2004=A14)*('Completion Log'!$C$5:$C$2004=B14)*'Completion Log'!$A$5:$A$2004)))=0,"",MAX(N(E14),SUMPRODUCT(MAX(('Completion Log'!$B$5:$B$2004=A14)*('Completion Log'!$C$5:$C$2004=B14)*'Completion Log'!$A$5:$A$2004)))))</f>
        <v/>
      </c>
      <c r="G14" s="14" t="str">
        <f aca="true">IF(OR(A14="",B14="",C14=""),"",IF(F14="",TODAY(),F14+C14))</f>
        <v/>
      </c>
      <c r="H14" s="15" t="str">
        <f aca="true">IF(G14="","",G14-TODAY())</f>
        <v/>
      </c>
      <c r="I14" s="16" t="str">
        <f aca="false">IF(H14="","",IF(H14&lt;0,"OVERDUE",IF(H14&lt;=$I$2,"Due soon","OK")))</f>
        <v/>
      </c>
      <c r="J14" s="9"/>
    </row>
    <row r="15" customFormat="false" ht="15" hidden="false" customHeight="false" outlineLevel="0" collapsed="false">
      <c r="A15" s="9"/>
      <c r="B15" s="9"/>
      <c r="C15" s="9"/>
      <c r="D15" s="9"/>
      <c r="E15" s="13"/>
      <c r="F15" s="14" t="str">
        <f aca="false">IF(OR(A15="",B15=""),"",IF(MAX(N(E15),SUMPRODUCT(MAX(('Completion Log'!$B$5:$B$2004=A15)*('Completion Log'!$C$5:$C$2004=B15)*'Completion Log'!$A$5:$A$2004)))=0,"",MAX(N(E15),SUMPRODUCT(MAX(('Completion Log'!$B$5:$B$2004=A15)*('Completion Log'!$C$5:$C$2004=B15)*'Completion Log'!$A$5:$A$2004)))))</f>
        <v/>
      </c>
      <c r="G15" s="14" t="str">
        <f aca="true">IF(OR(A15="",B15="",C15=""),"",IF(F15="",TODAY(),F15+C15))</f>
        <v/>
      </c>
      <c r="H15" s="15" t="str">
        <f aca="true">IF(G15="","",G15-TODAY())</f>
        <v/>
      </c>
      <c r="I15" s="16" t="str">
        <f aca="false">IF(H15="","",IF(H15&lt;0,"OVERDUE",IF(H15&lt;=$I$2,"Due soon","OK")))</f>
        <v/>
      </c>
      <c r="J15" s="9"/>
    </row>
    <row r="16" customFormat="false" ht="15" hidden="false" customHeight="false" outlineLevel="0" collapsed="false">
      <c r="A16" s="9"/>
      <c r="B16" s="9"/>
      <c r="C16" s="9"/>
      <c r="D16" s="9"/>
      <c r="E16" s="13"/>
      <c r="F16" s="14" t="str">
        <f aca="false">IF(OR(A16="",B16=""),"",IF(MAX(N(E16),SUMPRODUCT(MAX(('Completion Log'!$B$5:$B$2004=A16)*('Completion Log'!$C$5:$C$2004=B16)*'Completion Log'!$A$5:$A$2004)))=0,"",MAX(N(E16),SUMPRODUCT(MAX(('Completion Log'!$B$5:$B$2004=A16)*('Completion Log'!$C$5:$C$2004=B16)*'Completion Log'!$A$5:$A$2004)))))</f>
        <v/>
      </c>
      <c r="G16" s="14" t="str">
        <f aca="true">IF(OR(A16="",B16="",C16=""),"",IF(F16="",TODAY(),F16+C16))</f>
        <v/>
      </c>
      <c r="H16" s="15" t="str">
        <f aca="true">IF(G16="","",G16-TODAY())</f>
        <v/>
      </c>
      <c r="I16" s="16" t="str">
        <f aca="false">IF(H16="","",IF(H16&lt;0,"OVERDUE",IF(H16&lt;=$I$2,"Due soon","OK")))</f>
        <v/>
      </c>
      <c r="J16" s="9"/>
    </row>
    <row r="17" customFormat="false" ht="15" hidden="false" customHeight="false" outlineLevel="0" collapsed="false">
      <c r="A17" s="9"/>
      <c r="B17" s="9"/>
      <c r="C17" s="9"/>
      <c r="D17" s="9"/>
      <c r="E17" s="13"/>
      <c r="F17" s="14" t="str">
        <f aca="false">IF(OR(A17="",B17=""),"",IF(MAX(N(E17),SUMPRODUCT(MAX(('Completion Log'!$B$5:$B$2004=A17)*('Completion Log'!$C$5:$C$2004=B17)*'Completion Log'!$A$5:$A$2004)))=0,"",MAX(N(E17),SUMPRODUCT(MAX(('Completion Log'!$B$5:$B$2004=A17)*('Completion Log'!$C$5:$C$2004=B17)*'Completion Log'!$A$5:$A$2004)))))</f>
        <v/>
      </c>
      <c r="G17" s="14" t="str">
        <f aca="true">IF(OR(A17="",B17="",C17=""),"",IF(F17="",TODAY(),F17+C17))</f>
        <v/>
      </c>
      <c r="H17" s="15" t="str">
        <f aca="true">IF(G17="","",G17-TODAY())</f>
        <v/>
      </c>
      <c r="I17" s="16" t="str">
        <f aca="false">IF(H17="","",IF(H17&lt;0,"OVERDUE",IF(H17&lt;=$I$2,"Due soon","OK")))</f>
        <v/>
      </c>
      <c r="J17" s="9"/>
    </row>
    <row r="18" customFormat="false" ht="15" hidden="false" customHeight="false" outlineLevel="0" collapsed="false">
      <c r="A18" s="9"/>
      <c r="B18" s="9"/>
      <c r="C18" s="9"/>
      <c r="D18" s="9"/>
      <c r="E18" s="13"/>
      <c r="F18" s="14" t="str">
        <f aca="false">IF(OR(A18="",B18=""),"",IF(MAX(N(E18),SUMPRODUCT(MAX(('Completion Log'!$B$5:$B$2004=A18)*('Completion Log'!$C$5:$C$2004=B18)*'Completion Log'!$A$5:$A$2004)))=0,"",MAX(N(E18),SUMPRODUCT(MAX(('Completion Log'!$B$5:$B$2004=A18)*('Completion Log'!$C$5:$C$2004=B18)*'Completion Log'!$A$5:$A$2004)))))</f>
        <v/>
      </c>
      <c r="G18" s="14" t="str">
        <f aca="true">IF(OR(A18="",B18="",C18=""),"",IF(F18="",TODAY(),F18+C18))</f>
        <v/>
      </c>
      <c r="H18" s="15" t="str">
        <f aca="true">IF(G18="","",G18-TODAY())</f>
        <v/>
      </c>
      <c r="I18" s="16" t="str">
        <f aca="false">IF(H18="","",IF(H18&lt;0,"OVERDUE",IF(H18&lt;=$I$2,"Due soon","OK")))</f>
        <v/>
      </c>
      <c r="J18" s="9"/>
    </row>
    <row r="19" customFormat="false" ht="15" hidden="false" customHeight="false" outlineLevel="0" collapsed="false">
      <c r="A19" s="9"/>
      <c r="B19" s="9"/>
      <c r="C19" s="9"/>
      <c r="D19" s="9"/>
      <c r="E19" s="13"/>
      <c r="F19" s="14" t="str">
        <f aca="false">IF(OR(A19="",B19=""),"",IF(MAX(N(E19),SUMPRODUCT(MAX(('Completion Log'!$B$5:$B$2004=A19)*('Completion Log'!$C$5:$C$2004=B19)*'Completion Log'!$A$5:$A$2004)))=0,"",MAX(N(E19),SUMPRODUCT(MAX(('Completion Log'!$B$5:$B$2004=A19)*('Completion Log'!$C$5:$C$2004=B19)*'Completion Log'!$A$5:$A$2004)))))</f>
        <v/>
      </c>
      <c r="G19" s="14" t="str">
        <f aca="true">IF(OR(A19="",B19="",C19=""),"",IF(F19="",TODAY(),F19+C19))</f>
        <v/>
      </c>
      <c r="H19" s="15" t="str">
        <f aca="true">IF(G19="","",G19-TODAY())</f>
        <v/>
      </c>
      <c r="I19" s="16" t="str">
        <f aca="false">IF(H19="","",IF(H19&lt;0,"OVERDUE",IF(H19&lt;=$I$2,"Due soon","OK")))</f>
        <v/>
      </c>
      <c r="J19" s="9"/>
    </row>
    <row r="20" customFormat="false" ht="15" hidden="false" customHeight="false" outlineLevel="0" collapsed="false">
      <c r="A20" s="9"/>
      <c r="B20" s="9"/>
      <c r="C20" s="9"/>
      <c r="D20" s="9"/>
      <c r="E20" s="13"/>
      <c r="F20" s="14" t="str">
        <f aca="false">IF(OR(A20="",B20=""),"",IF(MAX(N(E20),SUMPRODUCT(MAX(('Completion Log'!$B$5:$B$2004=A20)*('Completion Log'!$C$5:$C$2004=B20)*'Completion Log'!$A$5:$A$2004)))=0,"",MAX(N(E20),SUMPRODUCT(MAX(('Completion Log'!$B$5:$B$2004=A20)*('Completion Log'!$C$5:$C$2004=B20)*'Completion Log'!$A$5:$A$2004)))))</f>
        <v/>
      </c>
      <c r="G20" s="14" t="str">
        <f aca="true">IF(OR(A20="",B20="",C20=""),"",IF(F20="",TODAY(),F20+C20))</f>
        <v/>
      </c>
      <c r="H20" s="15" t="str">
        <f aca="true">IF(G20="","",G20-TODAY())</f>
        <v/>
      </c>
      <c r="I20" s="16" t="str">
        <f aca="false">IF(H20="","",IF(H20&lt;0,"OVERDUE",IF(H20&lt;=$I$2,"Due soon","OK")))</f>
        <v/>
      </c>
      <c r="J20" s="9"/>
    </row>
    <row r="21" customFormat="false" ht="15" hidden="false" customHeight="false" outlineLevel="0" collapsed="false">
      <c r="A21" s="9"/>
      <c r="B21" s="9"/>
      <c r="C21" s="9"/>
      <c r="D21" s="9"/>
      <c r="E21" s="13"/>
      <c r="F21" s="14" t="str">
        <f aca="false">IF(OR(A21="",B21=""),"",IF(MAX(N(E21),SUMPRODUCT(MAX(('Completion Log'!$B$5:$B$2004=A21)*('Completion Log'!$C$5:$C$2004=B21)*'Completion Log'!$A$5:$A$2004)))=0,"",MAX(N(E21),SUMPRODUCT(MAX(('Completion Log'!$B$5:$B$2004=A21)*('Completion Log'!$C$5:$C$2004=B21)*'Completion Log'!$A$5:$A$2004)))))</f>
        <v/>
      </c>
      <c r="G21" s="14" t="str">
        <f aca="true">IF(OR(A21="",B21="",C21=""),"",IF(F21="",TODAY(),F21+C21))</f>
        <v/>
      </c>
      <c r="H21" s="15" t="str">
        <f aca="true">IF(G21="","",G21-TODAY())</f>
        <v/>
      </c>
      <c r="I21" s="16" t="str">
        <f aca="false">IF(H21="","",IF(H21&lt;0,"OVERDUE",IF(H21&lt;=$I$2,"Due soon","OK")))</f>
        <v/>
      </c>
      <c r="J21" s="9"/>
    </row>
    <row r="22" customFormat="false" ht="15" hidden="false" customHeight="false" outlineLevel="0" collapsed="false">
      <c r="A22" s="9"/>
      <c r="B22" s="9"/>
      <c r="C22" s="9"/>
      <c r="D22" s="9"/>
      <c r="E22" s="13"/>
      <c r="F22" s="14" t="str">
        <f aca="false">IF(OR(A22="",B22=""),"",IF(MAX(N(E22),SUMPRODUCT(MAX(('Completion Log'!$B$5:$B$2004=A22)*('Completion Log'!$C$5:$C$2004=B22)*'Completion Log'!$A$5:$A$2004)))=0,"",MAX(N(E22),SUMPRODUCT(MAX(('Completion Log'!$B$5:$B$2004=A22)*('Completion Log'!$C$5:$C$2004=B22)*'Completion Log'!$A$5:$A$2004)))))</f>
        <v/>
      </c>
      <c r="G22" s="14" t="str">
        <f aca="true">IF(OR(A22="",B22="",C22=""),"",IF(F22="",TODAY(),F22+C22))</f>
        <v/>
      </c>
      <c r="H22" s="15" t="str">
        <f aca="true">IF(G22="","",G22-TODAY())</f>
        <v/>
      </c>
      <c r="I22" s="16" t="str">
        <f aca="false">IF(H22="","",IF(H22&lt;0,"OVERDUE",IF(H22&lt;=$I$2,"Due soon","OK")))</f>
        <v/>
      </c>
      <c r="J22" s="9"/>
    </row>
    <row r="23" customFormat="false" ht="15" hidden="false" customHeight="false" outlineLevel="0" collapsed="false">
      <c r="A23" s="9"/>
      <c r="B23" s="9"/>
      <c r="C23" s="9"/>
      <c r="D23" s="9"/>
      <c r="E23" s="13"/>
      <c r="F23" s="14" t="str">
        <f aca="false">IF(OR(A23="",B23=""),"",IF(MAX(N(E23),SUMPRODUCT(MAX(('Completion Log'!$B$5:$B$2004=A23)*('Completion Log'!$C$5:$C$2004=B23)*'Completion Log'!$A$5:$A$2004)))=0,"",MAX(N(E23),SUMPRODUCT(MAX(('Completion Log'!$B$5:$B$2004=A23)*('Completion Log'!$C$5:$C$2004=B23)*'Completion Log'!$A$5:$A$2004)))))</f>
        <v/>
      </c>
      <c r="G23" s="14" t="str">
        <f aca="true">IF(OR(A23="",B23="",C23=""),"",IF(F23="",TODAY(),F23+C23))</f>
        <v/>
      </c>
      <c r="H23" s="15" t="str">
        <f aca="true">IF(G23="","",G23-TODAY())</f>
        <v/>
      </c>
      <c r="I23" s="16" t="str">
        <f aca="false">IF(H23="","",IF(H23&lt;0,"OVERDUE",IF(H23&lt;=$I$2,"Due soon","OK")))</f>
        <v/>
      </c>
      <c r="J23" s="9"/>
    </row>
    <row r="24" customFormat="false" ht="15" hidden="false" customHeight="false" outlineLevel="0" collapsed="false">
      <c r="A24" s="9"/>
      <c r="B24" s="9"/>
      <c r="C24" s="9"/>
      <c r="D24" s="9"/>
      <c r="E24" s="13"/>
      <c r="F24" s="14" t="str">
        <f aca="false">IF(OR(A24="",B24=""),"",IF(MAX(N(E24),SUMPRODUCT(MAX(('Completion Log'!$B$5:$B$2004=A24)*('Completion Log'!$C$5:$C$2004=B24)*'Completion Log'!$A$5:$A$2004)))=0,"",MAX(N(E24),SUMPRODUCT(MAX(('Completion Log'!$B$5:$B$2004=A24)*('Completion Log'!$C$5:$C$2004=B24)*'Completion Log'!$A$5:$A$2004)))))</f>
        <v/>
      </c>
      <c r="G24" s="14" t="str">
        <f aca="true">IF(OR(A24="",B24="",C24=""),"",IF(F24="",TODAY(),F24+C24))</f>
        <v/>
      </c>
      <c r="H24" s="15" t="str">
        <f aca="true">IF(G24="","",G24-TODAY())</f>
        <v/>
      </c>
      <c r="I24" s="16" t="str">
        <f aca="false">IF(H24="","",IF(H24&lt;0,"OVERDUE",IF(H24&lt;=$I$2,"Due soon","OK")))</f>
        <v/>
      </c>
      <c r="J24" s="9"/>
    </row>
    <row r="25" customFormat="false" ht="15" hidden="false" customHeight="false" outlineLevel="0" collapsed="false">
      <c r="A25" s="9"/>
      <c r="B25" s="9"/>
      <c r="C25" s="9"/>
      <c r="D25" s="9"/>
      <c r="E25" s="13"/>
      <c r="F25" s="14" t="str">
        <f aca="false">IF(OR(A25="",B25=""),"",IF(MAX(N(E25),SUMPRODUCT(MAX(('Completion Log'!$B$5:$B$2004=A25)*('Completion Log'!$C$5:$C$2004=B25)*'Completion Log'!$A$5:$A$2004)))=0,"",MAX(N(E25),SUMPRODUCT(MAX(('Completion Log'!$B$5:$B$2004=A25)*('Completion Log'!$C$5:$C$2004=B25)*'Completion Log'!$A$5:$A$2004)))))</f>
        <v/>
      </c>
      <c r="G25" s="14" t="str">
        <f aca="true">IF(OR(A25="",B25="",C25=""),"",IF(F25="",TODAY(),F25+C25))</f>
        <v/>
      </c>
      <c r="H25" s="15" t="str">
        <f aca="true">IF(G25="","",G25-TODAY())</f>
        <v/>
      </c>
      <c r="I25" s="16" t="str">
        <f aca="false">IF(H25="","",IF(H25&lt;0,"OVERDUE",IF(H25&lt;=$I$2,"Due soon","OK")))</f>
        <v/>
      </c>
      <c r="J25" s="9"/>
    </row>
    <row r="26" customFormat="false" ht="15" hidden="false" customHeight="false" outlineLevel="0" collapsed="false">
      <c r="A26" s="9"/>
      <c r="B26" s="9"/>
      <c r="C26" s="9"/>
      <c r="D26" s="9"/>
      <c r="E26" s="13"/>
      <c r="F26" s="14" t="str">
        <f aca="false">IF(OR(A26="",B26=""),"",IF(MAX(N(E26),SUMPRODUCT(MAX(('Completion Log'!$B$5:$B$2004=A26)*('Completion Log'!$C$5:$C$2004=B26)*'Completion Log'!$A$5:$A$2004)))=0,"",MAX(N(E26),SUMPRODUCT(MAX(('Completion Log'!$B$5:$B$2004=A26)*('Completion Log'!$C$5:$C$2004=B26)*'Completion Log'!$A$5:$A$2004)))))</f>
        <v/>
      </c>
      <c r="G26" s="14" t="str">
        <f aca="true">IF(OR(A26="",B26="",C26=""),"",IF(F26="",TODAY(),F26+C26))</f>
        <v/>
      </c>
      <c r="H26" s="15" t="str">
        <f aca="true">IF(G26="","",G26-TODAY())</f>
        <v/>
      </c>
      <c r="I26" s="16" t="str">
        <f aca="false">IF(H26="","",IF(H26&lt;0,"OVERDUE",IF(H26&lt;=$I$2,"Due soon","OK")))</f>
        <v/>
      </c>
      <c r="J26" s="9"/>
    </row>
    <row r="27" customFormat="false" ht="15" hidden="false" customHeight="false" outlineLevel="0" collapsed="false">
      <c r="A27" s="9"/>
      <c r="B27" s="9"/>
      <c r="C27" s="9"/>
      <c r="D27" s="9"/>
      <c r="E27" s="13"/>
      <c r="F27" s="14" t="str">
        <f aca="false">IF(OR(A27="",B27=""),"",IF(MAX(N(E27),SUMPRODUCT(MAX(('Completion Log'!$B$5:$B$2004=A27)*('Completion Log'!$C$5:$C$2004=B27)*'Completion Log'!$A$5:$A$2004)))=0,"",MAX(N(E27),SUMPRODUCT(MAX(('Completion Log'!$B$5:$B$2004=A27)*('Completion Log'!$C$5:$C$2004=B27)*'Completion Log'!$A$5:$A$2004)))))</f>
        <v/>
      </c>
      <c r="G27" s="14" t="str">
        <f aca="true">IF(OR(A27="",B27="",C27=""),"",IF(F27="",TODAY(),F27+C27))</f>
        <v/>
      </c>
      <c r="H27" s="15" t="str">
        <f aca="true">IF(G27="","",G27-TODAY())</f>
        <v/>
      </c>
      <c r="I27" s="16" t="str">
        <f aca="false">IF(H27="","",IF(H27&lt;0,"OVERDUE",IF(H27&lt;=$I$2,"Due soon","OK")))</f>
        <v/>
      </c>
      <c r="J27" s="9"/>
    </row>
    <row r="28" customFormat="false" ht="15" hidden="false" customHeight="false" outlineLevel="0" collapsed="false">
      <c r="A28" s="9"/>
      <c r="B28" s="9"/>
      <c r="C28" s="9"/>
      <c r="D28" s="9"/>
      <c r="E28" s="13"/>
      <c r="F28" s="14" t="str">
        <f aca="false">IF(OR(A28="",B28=""),"",IF(MAX(N(E28),SUMPRODUCT(MAX(('Completion Log'!$B$5:$B$2004=A28)*('Completion Log'!$C$5:$C$2004=B28)*'Completion Log'!$A$5:$A$2004)))=0,"",MAX(N(E28),SUMPRODUCT(MAX(('Completion Log'!$B$5:$B$2004=A28)*('Completion Log'!$C$5:$C$2004=B28)*'Completion Log'!$A$5:$A$2004)))))</f>
        <v/>
      </c>
      <c r="G28" s="14" t="str">
        <f aca="true">IF(OR(A28="",B28="",C28=""),"",IF(F28="",TODAY(),F28+C28))</f>
        <v/>
      </c>
      <c r="H28" s="15" t="str">
        <f aca="true">IF(G28="","",G28-TODAY())</f>
        <v/>
      </c>
      <c r="I28" s="16" t="str">
        <f aca="false">IF(H28="","",IF(H28&lt;0,"OVERDUE",IF(H28&lt;=$I$2,"Due soon","OK")))</f>
        <v/>
      </c>
      <c r="J28" s="9"/>
    </row>
    <row r="29" customFormat="false" ht="15" hidden="false" customHeight="false" outlineLevel="0" collapsed="false">
      <c r="A29" s="9"/>
      <c r="B29" s="9"/>
      <c r="C29" s="9"/>
      <c r="D29" s="9"/>
      <c r="E29" s="13"/>
      <c r="F29" s="14" t="str">
        <f aca="false">IF(OR(A29="",B29=""),"",IF(MAX(N(E29),SUMPRODUCT(MAX(('Completion Log'!$B$5:$B$2004=A29)*('Completion Log'!$C$5:$C$2004=B29)*'Completion Log'!$A$5:$A$2004)))=0,"",MAX(N(E29),SUMPRODUCT(MAX(('Completion Log'!$B$5:$B$2004=A29)*('Completion Log'!$C$5:$C$2004=B29)*'Completion Log'!$A$5:$A$2004)))))</f>
        <v/>
      </c>
      <c r="G29" s="14" t="str">
        <f aca="true">IF(OR(A29="",B29="",C29=""),"",IF(F29="",TODAY(),F29+C29))</f>
        <v/>
      </c>
      <c r="H29" s="15" t="str">
        <f aca="true">IF(G29="","",G29-TODAY())</f>
        <v/>
      </c>
      <c r="I29" s="16" t="str">
        <f aca="false">IF(H29="","",IF(H29&lt;0,"OVERDUE",IF(H29&lt;=$I$2,"Due soon","OK")))</f>
        <v/>
      </c>
      <c r="J29" s="9"/>
    </row>
    <row r="30" customFormat="false" ht="15" hidden="false" customHeight="false" outlineLevel="0" collapsed="false">
      <c r="A30" s="9"/>
      <c r="B30" s="9"/>
      <c r="C30" s="9"/>
      <c r="D30" s="9"/>
      <c r="E30" s="13"/>
      <c r="F30" s="14" t="str">
        <f aca="false">IF(OR(A30="",B30=""),"",IF(MAX(N(E30),SUMPRODUCT(MAX(('Completion Log'!$B$5:$B$2004=A30)*('Completion Log'!$C$5:$C$2004=B30)*'Completion Log'!$A$5:$A$2004)))=0,"",MAX(N(E30),SUMPRODUCT(MAX(('Completion Log'!$B$5:$B$2004=A30)*('Completion Log'!$C$5:$C$2004=B30)*'Completion Log'!$A$5:$A$2004)))))</f>
        <v/>
      </c>
      <c r="G30" s="14" t="str">
        <f aca="true">IF(OR(A30="",B30="",C30=""),"",IF(F30="",TODAY(),F30+C30))</f>
        <v/>
      </c>
      <c r="H30" s="15" t="str">
        <f aca="true">IF(G30="","",G30-TODAY())</f>
        <v/>
      </c>
      <c r="I30" s="16" t="str">
        <f aca="false">IF(H30="","",IF(H30&lt;0,"OVERDUE",IF(H30&lt;=$I$2,"Due soon","OK")))</f>
        <v/>
      </c>
      <c r="J30" s="9"/>
    </row>
    <row r="31" customFormat="false" ht="15" hidden="false" customHeight="false" outlineLevel="0" collapsed="false">
      <c r="A31" s="9"/>
      <c r="B31" s="9"/>
      <c r="C31" s="9"/>
      <c r="D31" s="9"/>
      <c r="E31" s="13"/>
      <c r="F31" s="14" t="str">
        <f aca="false">IF(OR(A31="",B31=""),"",IF(MAX(N(E31),SUMPRODUCT(MAX(('Completion Log'!$B$5:$B$2004=A31)*('Completion Log'!$C$5:$C$2004=B31)*'Completion Log'!$A$5:$A$2004)))=0,"",MAX(N(E31),SUMPRODUCT(MAX(('Completion Log'!$B$5:$B$2004=A31)*('Completion Log'!$C$5:$C$2004=B31)*'Completion Log'!$A$5:$A$2004)))))</f>
        <v/>
      </c>
      <c r="G31" s="14" t="str">
        <f aca="true">IF(OR(A31="",B31="",C31=""),"",IF(F31="",TODAY(),F31+C31))</f>
        <v/>
      </c>
      <c r="H31" s="15" t="str">
        <f aca="true">IF(G31="","",G31-TODAY())</f>
        <v/>
      </c>
      <c r="I31" s="16" t="str">
        <f aca="false">IF(H31="","",IF(H31&lt;0,"OVERDUE",IF(H31&lt;=$I$2,"Due soon","OK")))</f>
        <v/>
      </c>
      <c r="J31" s="9"/>
    </row>
    <row r="32" customFormat="false" ht="15" hidden="false" customHeight="false" outlineLevel="0" collapsed="false">
      <c r="A32" s="9"/>
      <c r="B32" s="9"/>
      <c r="C32" s="9"/>
      <c r="D32" s="9"/>
      <c r="E32" s="13"/>
      <c r="F32" s="14" t="str">
        <f aca="false">IF(OR(A32="",B32=""),"",IF(MAX(N(E32),SUMPRODUCT(MAX(('Completion Log'!$B$5:$B$2004=A32)*('Completion Log'!$C$5:$C$2004=B32)*'Completion Log'!$A$5:$A$2004)))=0,"",MAX(N(E32),SUMPRODUCT(MAX(('Completion Log'!$B$5:$B$2004=A32)*('Completion Log'!$C$5:$C$2004=B32)*'Completion Log'!$A$5:$A$2004)))))</f>
        <v/>
      </c>
      <c r="G32" s="14" t="str">
        <f aca="true">IF(OR(A32="",B32="",C32=""),"",IF(F32="",TODAY(),F32+C32))</f>
        <v/>
      </c>
      <c r="H32" s="15" t="str">
        <f aca="true">IF(G32="","",G32-TODAY())</f>
        <v/>
      </c>
      <c r="I32" s="16" t="str">
        <f aca="false">IF(H32="","",IF(H32&lt;0,"OVERDUE",IF(H32&lt;=$I$2,"Due soon","OK")))</f>
        <v/>
      </c>
      <c r="J32" s="9"/>
    </row>
    <row r="33" customFormat="false" ht="15" hidden="false" customHeight="false" outlineLevel="0" collapsed="false">
      <c r="A33" s="9"/>
      <c r="B33" s="9"/>
      <c r="C33" s="9"/>
      <c r="D33" s="9"/>
      <c r="E33" s="13"/>
      <c r="F33" s="14" t="str">
        <f aca="false">IF(OR(A33="",B33=""),"",IF(MAX(N(E33),SUMPRODUCT(MAX(('Completion Log'!$B$5:$B$2004=A33)*('Completion Log'!$C$5:$C$2004=B33)*'Completion Log'!$A$5:$A$2004)))=0,"",MAX(N(E33),SUMPRODUCT(MAX(('Completion Log'!$B$5:$B$2004=A33)*('Completion Log'!$C$5:$C$2004=B33)*'Completion Log'!$A$5:$A$2004)))))</f>
        <v/>
      </c>
      <c r="G33" s="14" t="str">
        <f aca="true">IF(OR(A33="",B33="",C33=""),"",IF(F33="",TODAY(),F33+C33))</f>
        <v/>
      </c>
      <c r="H33" s="15" t="str">
        <f aca="true">IF(G33="","",G33-TODAY())</f>
        <v/>
      </c>
      <c r="I33" s="16" t="str">
        <f aca="false">IF(H33="","",IF(H33&lt;0,"OVERDUE",IF(H33&lt;=$I$2,"Due soon","OK")))</f>
        <v/>
      </c>
      <c r="J33" s="9"/>
    </row>
    <row r="34" customFormat="false" ht="15" hidden="false" customHeight="false" outlineLevel="0" collapsed="false">
      <c r="A34" s="9"/>
      <c r="B34" s="9"/>
      <c r="C34" s="9"/>
      <c r="D34" s="9"/>
      <c r="E34" s="13"/>
      <c r="F34" s="14" t="str">
        <f aca="false">IF(OR(A34="",B34=""),"",IF(MAX(N(E34),SUMPRODUCT(MAX(('Completion Log'!$B$5:$B$2004=A34)*('Completion Log'!$C$5:$C$2004=B34)*'Completion Log'!$A$5:$A$2004)))=0,"",MAX(N(E34),SUMPRODUCT(MAX(('Completion Log'!$B$5:$B$2004=A34)*('Completion Log'!$C$5:$C$2004=B34)*'Completion Log'!$A$5:$A$2004)))))</f>
        <v/>
      </c>
      <c r="G34" s="14" t="str">
        <f aca="true">IF(OR(A34="",B34="",C34=""),"",IF(F34="",TODAY(),F34+C34))</f>
        <v/>
      </c>
      <c r="H34" s="15" t="str">
        <f aca="true">IF(G34="","",G34-TODAY())</f>
        <v/>
      </c>
      <c r="I34" s="16" t="str">
        <f aca="false">IF(H34="","",IF(H34&lt;0,"OVERDUE",IF(H34&lt;=$I$2,"Due soon","OK")))</f>
        <v/>
      </c>
      <c r="J34" s="9"/>
    </row>
    <row r="35" customFormat="false" ht="15" hidden="false" customHeight="false" outlineLevel="0" collapsed="false">
      <c r="A35" s="9"/>
      <c r="B35" s="9"/>
      <c r="C35" s="9"/>
      <c r="D35" s="9"/>
      <c r="E35" s="13"/>
      <c r="F35" s="14" t="str">
        <f aca="false">IF(OR(A35="",B35=""),"",IF(MAX(N(E35),SUMPRODUCT(MAX(('Completion Log'!$B$5:$B$2004=A35)*('Completion Log'!$C$5:$C$2004=B35)*'Completion Log'!$A$5:$A$2004)))=0,"",MAX(N(E35),SUMPRODUCT(MAX(('Completion Log'!$B$5:$B$2004=A35)*('Completion Log'!$C$5:$C$2004=B35)*'Completion Log'!$A$5:$A$2004)))))</f>
        <v/>
      </c>
      <c r="G35" s="14" t="str">
        <f aca="true">IF(OR(A35="",B35="",C35=""),"",IF(F35="",TODAY(),F35+C35))</f>
        <v/>
      </c>
      <c r="H35" s="15" t="str">
        <f aca="true">IF(G35="","",G35-TODAY())</f>
        <v/>
      </c>
      <c r="I35" s="16" t="str">
        <f aca="false">IF(H35="","",IF(H35&lt;0,"OVERDUE",IF(H35&lt;=$I$2,"Due soon","OK")))</f>
        <v/>
      </c>
      <c r="J35" s="9"/>
    </row>
    <row r="36" customFormat="false" ht="15" hidden="false" customHeight="false" outlineLevel="0" collapsed="false">
      <c r="A36" s="9"/>
      <c r="B36" s="9"/>
      <c r="C36" s="9"/>
      <c r="D36" s="9"/>
      <c r="E36" s="13"/>
      <c r="F36" s="14" t="str">
        <f aca="false">IF(OR(A36="",B36=""),"",IF(MAX(N(E36),SUMPRODUCT(MAX(('Completion Log'!$B$5:$B$2004=A36)*('Completion Log'!$C$5:$C$2004=B36)*'Completion Log'!$A$5:$A$2004)))=0,"",MAX(N(E36),SUMPRODUCT(MAX(('Completion Log'!$B$5:$B$2004=A36)*('Completion Log'!$C$5:$C$2004=B36)*'Completion Log'!$A$5:$A$2004)))))</f>
        <v/>
      </c>
      <c r="G36" s="14" t="str">
        <f aca="true">IF(OR(A36="",B36="",C36=""),"",IF(F36="",TODAY(),F36+C36))</f>
        <v/>
      </c>
      <c r="H36" s="15" t="str">
        <f aca="true">IF(G36="","",G36-TODAY())</f>
        <v/>
      </c>
      <c r="I36" s="16" t="str">
        <f aca="false">IF(H36="","",IF(H36&lt;0,"OVERDUE",IF(H36&lt;=$I$2,"Due soon","OK")))</f>
        <v/>
      </c>
      <c r="J36" s="9"/>
    </row>
    <row r="37" customFormat="false" ht="15" hidden="false" customHeight="false" outlineLevel="0" collapsed="false">
      <c r="A37" s="9"/>
      <c r="B37" s="9"/>
      <c r="C37" s="9"/>
      <c r="D37" s="9"/>
      <c r="E37" s="13"/>
      <c r="F37" s="14" t="str">
        <f aca="false">IF(OR(A37="",B37=""),"",IF(MAX(N(E37),SUMPRODUCT(MAX(('Completion Log'!$B$5:$B$2004=A37)*('Completion Log'!$C$5:$C$2004=B37)*'Completion Log'!$A$5:$A$2004)))=0,"",MAX(N(E37),SUMPRODUCT(MAX(('Completion Log'!$B$5:$B$2004=A37)*('Completion Log'!$C$5:$C$2004=B37)*'Completion Log'!$A$5:$A$2004)))))</f>
        <v/>
      </c>
      <c r="G37" s="14" t="str">
        <f aca="true">IF(OR(A37="",B37="",C37=""),"",IF(F37="",TODAY(),F37+C37))</f>
        <v/>
      </c>
      <c r="H37" s="15" t="str">
        <f aca="true">IF(G37="","",G37-TODAY())</f>
        <v/>
      </c>
      <c r="I37" s="16" t="str">
        <f aca="false">IF(H37="","",IF(H37&lt;0,"OVERDUE",IF(H37&lt;=$I$2,"Due soon","OK")))</f>
        <v/>
      </c>
      <c r="J37" s="9"/>
    </row>
    <row r="38" customFormat="false" ht="15" hidden="false" customHeight="false" outlineLevel="0" collapsed="false">
      <c r="A38" s="9"/>
      <c r="B38" s="9"/>
      <c r="C38" s="9"/>
      <c r="D38" s="9"/>
      <c r="E38" s="13"/>
      <c r="F38" s="14" t="str">
        <f aca="false">IF(OR(A38="",B38=""),"",IF(MAX(N(E38),SUMPRODUCT(MAX(('Completion Log'!$B$5:$B$2004=A38)*('Completion Log'!$C$5:$C$2004=B38)*'Completion Log'!$A$5:$A$2004)))=0,"",MAX(N(E38),SUMPRODUCT(MAX(('Completion Log'!$B$5:$B$2004=A38)*('Completion Log'!$C$5:$C$2004=B38)*'Completion Log'!$A$5:$A$2004)))))</f>
        <v/>
      </c>
      <c r="G38" s="14" t="str">
        <f aca="true">IF(OR(A38="",B38="",C38=""),"",IF(F38="",TODAY(),F38+C38))</f>
        <v/>
      </c>
      <c r="H38" s="15" t="str">
        <f aca="true">IF(G38="","",G38-TODAY())</f>
        <v/>
      </c>
      <c r="I38" s="16" t="str">
        <f aca="false">IF(H38="","",IF(H38&lt;0,"OVERDUE",IF(H38&lt;=$I$2,"Due soon","OK")))</f>
        <v/>
      </c>
      <c r="J38" s="9"/>
    </row>
    <row r="39" customFormat="false" ht="15" hidden="false" customHeight="false" outlineLevel="0" collapsed="false">
      <c r="A39" s="9"/>
      <c r="B39" s="9"/>
      <c r="C39" s="9"/>
      <c r="D39" s="9"/>
      <c r="E39" s="13"/>
      <c r="F39" s="14" t="str">
        <f aca="false">IF(OR(A39="",B39=""),"",IF(MAX(N(E39),SUMPRODUCT(MAX(('Completion Log'!$B$5:$B$2004=A39)*('Completion Log'!$C$5:$C$2004=B39)*'Completion Log'!$A$5:$A$2004)))=0,"",MAX(N(E39),SUMPRODUCT(MAX(('Completion Log'!$B$5:$B$2004=A39)*('Completion Log'!$C$5:$C$2004=B39)*'Completion Log'!$A$5:$A$2004)))))</f>
        <v/>
      </c>
      <c r="G39" s="14" t="str">
        <f aca="true">IF(OR(A39="",B39="",C39=""),"",IF(F39="",TODAY(),F39+C39))</f>
        <v/>
      </c>
      <c r="H39" s="15" t="str">
        <f aca="true">IF(G39="","",G39-TODAY())</f>
        <v/>
      </c>
      <c r="I39" s="16" t="str">
        <f aca="false">IF(H39="","",IF(H39&lt;0,"OVERDUE",IF(H39&lt;=$I$2,"Due soon","OK")))</f>
        <v/>
      </c>
      <c r="J39" s="9"/>
    </row>
    <row r="40" customFormat="false" ht="15" hidden="false" customHeight="false" outlineLevel="0" collapsed="false">
      <c r="A40" s="9"/>
      <c r="B40" s="9"/>
      <c r="C40" s="9"/>
      <c r="D40" s="9"/>
      <c r="E40" s="13"/>
      <c r="F40" s="14" t="str">
        <f aca="false">IF(OR(A40="",B40=""),"",IF(MAX(N(E40),SUMPRODUCT(MAX(('Completion Log'!$B$5:$B$2004=A40)*('Completion Log'!$C$5:$C$2004=B40)*'Completion Log'!$A$5:$A$2004)))=0,"",MAX(N(E40),SUMPRODUCT(MAX(('Completion Log'!$B$5:$B$2004=A40)*('Completion Log'!$C$5:$C$2004=B40)*'Completion Log'!$A$5:$A$2004)))))</f>
        <v/>
      </c>
      <c r="G40" s="14" t="str">
        <f aca="true">IF(OR(A40="",B40="",C40=""),"",IF(F40="",TODAY(),F40+C40))</f>
        <v/>
      </c>
      <c r="H40" s="15" t="str">
        <f aca="true">IF(G40="","",G40-TODAY())</f>
        <v/>
      </c>
      <c r="I40" s="16" t="str">
        <f aca="false">IF(H40="","",IF(H40&lt;0,"OVERDUE",IF(H40&lt;=$I$2,"Due soon","OK")))</f>
        <v/>
      </c>
      <c r="J40" s="9"/>
    </row>
    <row r="41" customFormat="false" ht="15" hidden="false" customHeight="false" outlineLevel="0" collapsed="false">
      <c r="A41" s="9"/>
      <c r="B41" s="9"/>
      <c r="C41" s="9"/>
      <c r="D41" s="9"/>
      <c r="E41" s="13"/>
      <c r="F41" s="14" t="str">
        <f aca="false">IF(OR(A41="",B41=""),"",IF(MAX(N(E41),SUMPRODUCT(MAX(('Completion Log'!$B$5:$B$2004=A41)*('Completion Log'!$C$5:$C$2004=B41)*'Completion Log'!$A$5:$A$2004)))=0,"",MAX(N(E41),SUMPRODUCT(MAX(('Completion Log'!$B$5:$B$2004=A41)*('Completion Log'!$C$5:$C$2004=B41)*'Completion Log'!$A$5:$A$2004)))))</f>
        <v/>
      </c>
      <c r="G41" s="14" t="str">
        <f aca="true">IF(OR(A41="",B41="",C41=""),"",IF(F41="",TODAY(),F41+C41))</f>
        <v/>
      </c>
      <c r="H41" s="15" t="str">
        <f aca="true">IF(G41="","",G41-TODAY())</f>
        <v/>
      </c>
      <c r="I41" s="16" t="str">
        <f aca="false">IF(H41="","",IF(H41&lt;0,"OVERDUE",IF(H41&lt;=$I$2,"Due soon","OK")))</f>
        <v/>
      </c>
      <c r="J41" s="9"/>
    </row>
    <row r="42" customFormat="false" ht="15" hidden="false" customHeight="false" outlineLevel="0" collapsed="false">
      <c r="A42" s="9"/>
      <c r="B42" s="9"/>
      <c r="C42" s="9"/>
      <c r="D42" s="9"/>
      <c r="E42" s="13"/>
      <c r="F42" s="14" t="str">
        <f aca="false">IF(OR(A42="",B42=""),"",IF(MAX(N(E42),SUMPRODUCT(MAX(('Completion Log'!$B$5:$B$2004=A42)*('Completion Log'!$C$5:$C$2004=B42)*'Completion Log'!$A$5:$A$2004)))=0,"",MAX(N(E42),SUMPRODUCT(MAX(('Completion Log'!$B$5:$B$2004=A42)*('Completion Log'!$C$5:$C$2004=B42)*'Completion Log'!$A$5:$A$2004)))))</f>
        <v/>
      </c>
      <c r="G42" s="14" t="str">
        <f aca="true">IF(OR(A42="",B42="",C42=""),"",IF(F42="",TODAY(),F42+C42))</f>
        <v/>
      </c>
      <c r="H42" s="15" t="str">
        <f aca="true">IF(G42="","",G42-TODAY())</f>
        <v/>
      </c>
      <c r="I42" s="16" t="str">
        <f aca="false">IF(H42="","",IF(H42&lt;0,"OVERDUE",IF(H42&lt;=$I$2,"Due soon","OK")))</f>
        <v/>
      </c>
      <c r="J42" s="9"/>
    </row>
    <row r="43" customFormat="false" ht="15" hidden="false" customHeight="false" outlineLevel="0" collapsed="false">
      <c r="A43" s="9"/>
      <c r="B43" s="9"/>
      <c r="C43" s="9"/>
      <c r="D43" s="9"/>
      <c r="E43" s="13"/>
      <c r="F43" s="14" t="str">
        <f aca="false">IF(OR(A43="",B43=""),"",IF(MAX(N(E43),SUMPRODUCT(MAX(('Completion Log'!$B$5:$B$2004=A43)*('Completion Log'!$C$5:$C$2004=B43)*'Completion Log'!$A$5:$A$2004)))=0,"",MAX(N(E43),SUMPRODUCT(MAX(('Completion Log'!$B$5:$B$2004=A43)*('Completion Log'!$C$5:$C$2004=B43)*'Completion Log'!$A$5:$A$2004)))))</f>
        <v/>
      </c>
      <c r="G43" s="14" t="str">
        <f aca="true">IF(OR(A43="",B43="",C43=""),"",IF(F43="",TODAY(),F43+C43))</f>
        <v/>
      </c>
      <c r="H43" s="15" t="str">
        <f aca="true">IF(G43="","",G43-TODAY())</f>
        <v/>
      </c>
      <c r="I43" s="16" t="str">
        <f aca="false">IF(H43="","",IF(H43&lt;0,"OVERDUE",IF(H43&lt;=$I$2,"Due soon","OK")))</f>
        <v/>
      </c>
      <c r="J43" s="9"/>
    </row>
    <row r="44" customFormat="false" ht="15" hidden="false" customHeight="false" outlineLevel="0" collapsed="false">
      <c r="A44" s="9"/>
      <c r="B44" s="9"/>
      <c r="C44" s="9"/>
      <c r="D44" s="9"/>
      <c r="E44" s="13"/>
      <c r="F44" s="14" t="str">
        <f aca="false">IF(OR(A44="",B44=""),"",IF(MAX(N(E44),SUMPRODUCT(MAX(('Completion Log'!$B$5:$B$2004=A44)*('Completion Log'!$C$5:$C$2004=B44)*'Completion Log'!$A$5:$A$2004)))=0,"",MAX(N(E44),SUMPRODUCT(MAX(('Completion Log'!$B$5:$B$2004=A44)*('Completion Log'!$C$5:$C$2004=B44)*'Completion Log'!$A$5:$A$2004)))))</f>
        <v/>
      </c>
      <c r="G44" s="14" t="str">
        <f aca="true">IF(OR(A44="",B44="",C44=""),"",IF(F44="",TODAY(),F44+C44))</f>
        <v/>
      </c>
      <c r="H44" s="15" t="str">
        <f aca="true">IF(G44="","",G44-TODAY())</f>
        <v/>
      </c>
      <c r="I44" s="16" t="str">
        <f aca="false">IF(H44="","",IF(H44&lt;0,"OVERDUE",IF(H44&lt;=$I$2,"Due soon","OK")))</f>
        <v/>
      </c>
      <c r="J44" s="9"/>
    </row>
    <row r="45" customFormat="false" ht="15" hidden="false" customHeight="false" outlineLevel="0" collapsed="false">
      <c r="A45" s="9"/>
      <c r="B45" s="9"/>
      <c r="C45" s="9"/>
      <c r="D45" s="9"/>
      <c r="E45" s="13"/>
      <c r="F45" s="14" t="str">
        <f aca="false">IF(OR(A45="",B45=""),"",IF(MAX(N(E45),SUMPRODUCT(MAX(('Completion Log'!$B$5:$B$2004=A45)*('Completion Log'!$C$5:$C$2004=B45)*'Completion Log'!$A$5:$A$2004)))=0,"",MAX(N(E45),SUMPRODUCT(MAX(('Completion Log'!$B$5:$B$2004=A45)*('Completion Log'!$C$5:$C$2004=B45)*'Completion Log'!$A$5:$A$2004)))))</f>
        <v/>
      </c>
      <c r="G45" s="14" t="str">
        <f aca="true">IF(OR(A45="",B45="",C45=""),"",IF(F45="",TODAY(),F45+C45))</f>
        <v/>
      </c>
      <c r="H45" s="15" t="str">
        <f aca="true">IF(G45="","",G45-TODAY())</f>
        <v/>
      </c>
      <c r="I45" s="16" t="str">
        <f aca="false">IF(H45="","",IF(H45&lt;0,"OVERDUE",IF(H45&lt;=$I$2,"Due soon","OK")))</f>
        <v/>
      </c>
      <c r="J45" s="9"/>
    </row>
    <row r="46" customFormat="false" ht="15" hidden="false" customHeight="false" outlineLevel="0" collapsed="false">
      <c r="A46" s="9"/>
      <c r="B46" s="9"/>
      <c r="C46" s="9"/>
      <c r="D46" s="9"/>
      <c r="E46" s="13"/>
      <c r="F46" s="14" t="str">
        <f aca="false">IF(OR(A46="",B46=""),"",IF(MAX(N(E46),SUMPRODUCT(MAX(('Completion Log'!$B$5:$B$2004=A46)*('Completion Log'!$C$5:$C$2004=B46)*'Completion Log'!$A$5:$A$2004)))=0,"",MAX(N(E46),SUMPRODUCT(MAX(('Completion Log'!$B$5:$B$2004=A46)*('Completion Log'!$C$5:$C$2004=B46)*'Completion Log'!$A$5:$A$2004)))))</f>
        <v/>
      </c>
      <c r="G46" s="14" t="str">
        <f aca="true">IF(OR(A46="",B46="",C46=""),"",IF(F46="",TODAY(),F46+C46))</f>
        <v/>
      </c>
      <c r="H46" s="15" t="str">
        <f aca="true">IF(G46="","",G46-TODAY())</f>
        <v/>
      </c>
      <c r="I46" s="16" t="str">
        <f aca="false">IF(H46="","",IF(H46&lt;0,"OVERDUE",IF(H46&lt;=$I$2,"Due soon","OK")))</f>
        <v/>
      </c>
      <c r="J46" s="9"/>
    </row>
    <row r="47" customFormat="false" ht="15" hidden="false" customHeight="false" outlineLevel="0" collapsed="false">
      <c r="A47" s="9"/>
      <c r="B47" s="9"/>
      <c r="C47" s="9"/>
      <c r="D47" s="9"/>
      <c r="E47" s="13"/>
      <c r="F47" s="14" t="str">
        <f aca="false">IF(OR(A47="",B47=""),"",IF(MAX(N(E47),SUMPRODUCT(MAX(('Completion Log'!$B$5:$B$2004=A47)*('Completion Log'!$C$5:$C$2004=B47)*'Completion Log'!$A$5:$A$2004)))=0,"",MAX(N(E47),SUMPRODUCT(MAX(('Completion Log'!$B$5:$B$2004=A47)*('Completion Log'!$C$5:$C$2004=B47)*'Completion Log'!$A$5:$A$2004)))))</f>
        <v/>
      </c>
      <c r="G47" s="14" t="str">
        <f aca="true">IF(OR(A47="",B47="",C47=""),"",IF(F47="",TODAY(),F47+C47))</f>
        <v/>
      </c>
      <c r="H47" s="15" t="str">
        <f aca="true">IF(G47="","",G47-TODAY())</f>
        <v/>
      </c>
      <c r="I47" s="16" t="str">
        <f aca="false">IF(H47="","",IF(H47&lt;0,"OVERDUE",IF(H47&lt;=$I$2,"Due soon","OK")))</f>
        <v/>
      </c>
      <c r="J47" s="9"/>
    </row>
    <row r="48" customFormat="false" ht="15" hidden="false" customHeight="false" outlineLevel="0" collapsed="false">
      <c r="A48" s="9"/>
      <c r="B48" s="9"/>
      <c r="C48" s="9"/>
      <c r="D48" s="9"/>
      <c r="E48" s="13"/>
      <c r="F48" s="14" t="str">
        <f aca="false">IF(OR(A48="",B48=""),"",IF(MAX(N(E48),SUMPRODUCT(MAX(('Completion Log'!$B$5:$B$2004=A48)*('Completion Log'!$C$5:$C$2004=B48)*'Completion Log'!$A$5:$A$2004)))=0,"",MAX(N(E48),SUMPRODUCT(MAX(('Completion Log'!$B$5:$B$2004=A48)*('Completion Log'!$C$5:$C$2004=B48)*'Completion Log'!$A$5:$A$2004)))))</f>
        <v/>
      </c>
      <c r="G48" s="14" t="str">
        <f aca="true">IF(OR(A48="",B48="",C48=""),"",IF(F48="",TODAY(),F48+C48))</f>
        <v/>
      </c>
      <c r="H48" s="15" t="str">
        <f aca="true">IF(G48="","",G48-TODAY())</f>
        <v/>
      </c>
      <c r="I48" s="16" t="str">
        <f aca="false">IF(H48="","",IF(H48&lt;0,"OVERDUE",IF(H48&lt;=$I$2,"Due soon","OK")))</f>
        <v/>
      </c>
      <c r="J48" s="9"/>
    </row>
    <row r="49" customFormat="false" ht="15" hidden="false" customHeight="false" outlineLevel="0" collapsed="false">
      <c r="A49" s="9"/>
      <c r="B49" s="9"/>
      <c r="C49" s="9"/>
      <c r="D49" s="9"/>
      <c r="E49" s="13"/>
      <c r="F49" s="14" t="str">
        <f aca="false">IF(OR(A49="",B49=""),"",IF(MAX(N(E49),SUMPRODUCT(MAX(('Completion Log'!$B$5:$B$2004=A49)*('Completion Log'!$C$5:$C$2004=B49)*'Completion Log'!$A$5:$A$2004)))=0,"",MAX(N(E49),SUMPRODUCT(MAX(('Completion Log'!$B$5:$B$2004=A49)*('Completion Log'!$C$5:$C$2004=B49)*'Completion Log'!$A$5:$A$2004)))))</f>
        <v/>
      </c>
      <c r="G49" s="14" t="str">
        <f aca="true">IF(OR(A49="",B49="",C49=""),"",IF(F49="",TODAY(),F49+C49))</f>
        <v/>
      </c>
      <c r="H49" s="15" t="str">
        <f aca="true">IF(G49="","",G49-TODAY())</f>
        <v/>
      </c>
      <c r="I49" s="16" t="str">
        <f aca="false">IF(H49="","",IF(H49&lt;0,"OVERDUE",IF(H49&lt;=$I$2,"Due soon","OK")))</f>
        <v/>
      </c>
      <c r="J49" s="9"/>
    </row>
    <row r="50" customFormat="false" ht="15" hidden="false" customHeight="false" outlineLevel="0" collapsed="false">
      <c r="A50" s="9"/>
      <c r="B50" s="9"/>
      <c r="C50" s="9"/>
      <c r="D50" s="9"/>
      <c r="E50" s="13"/>
      <c r="F50" s="14" t="str">
        <f aca="false">IF(OR(A50="",B50=""),"",IF(MAX(N(E50),SUMPRODUCT(MAX(('Completion Log'!$B$5:$B$2004=A50)*('Completion Log'!$C$5:$C$2004=B50)*'Completion Log'!$A$5:$A$2004)))=0,"",MAX(N(E50),SUMPRODUCT(MAX(('Completion Log'!$B$5:$B$2004=A50)*('Completion Log'!$C$5:$C$2004=B50)*'Completion Log'!$A$5:$A$2004)))))</f>
        <v/>
      </c>
      <c r="G50" s="14" t="str">
        <f aca="true">IF(OR(A50="",B50="",C50=""),"",IF(F50="",TODAY(),F50+C50))</f>
        <v/>
      </c>
      <c r="H50" s="15" t="str">
        <f aca="true">IF(G50="","",G50-TODAY())</f>
        <v/>
      </c>
      <c r="I50" s="16" t="str">
        <f aca="false">IF(H50="","",IF(H50&lt;0,"OVERDUE",IF(H50&lt;=$I$2,"Due soon","OK")))</f>
        <v/>
      </c>
      <c r="J50" s="9"/>
    </row>
    <row r="51" customFormat="false" ht="15" hidden="false" customHeight="false" outlineLevel="0" collapsed="false">
      <c r="A51" s="9"/>
      <c r="B51" s="9"/>
      <c r="C51" s="9"/>
      <c r="D51" s="9"/>
      <c r="E51" s="13"/>
      <c r="F51" s="14" t="str">
        <f aca="false">IF(OR(A51="",B51=""),"",IF(MAX(N(E51),SUMPRODUCT(MAX(('Completion Log'!$B$5:$B$2004=A51)*('Completion Log'!$C$5:$C$2004=B51)*'Completion Log'!$A$5:$A$2004)))=0,"",MAX(N(E51),SUMPRODUCT(MAX(('Completion Log'!$B$5:$B$2004=A51)*('Completion Log'!$C$5:$C$2004=B51)*'Completion Log'!$A$5:$A$2004)))))</f>
        <v/>
      </c>
      <c r="G51" s="14" t="str">
        <f aca="true">IF(OR(A51="",B51="",C51=""),"",IF(F51="",TODAY(),F51+C51))</f>
        <v/>
      </c>
      <c r="H51" s="15" t="str">
        <f aca="true">IF(G51="","",G51-TODAY())</f>
        <v/>
      </c>
      <c r="I51" s="16" t="str">
        <f aca="false">IF(H51="","",IF(H51&lt;0,"OVERDUE",IF(H51&lt;=$I$2,"Due soon","OK")))</f>
        <v/>
      </c>
      <c r="J51" s="9"/>
    </row>
    <row r="52" customFormat="false" ht="15" hidden="false" customHeight="false" outlineLevel="0" collapsed="false">
      <c r="A52" s="9"/>
      <c r="B52" s="9"/>
      <c r="C52" s="9"/>
      <c r="D52" s="9"/>
      <c r="E52" s="13"/>
      <c r="F52" s="14" t="str">
        <f aca="false">IF(OR(A52="",B52=""),"",IF(MAX(N(E52),SUMPRODUCT(MAX(('Completion Log'!$B$5:$B$2004=A52)*('Completion Log'!$C$5:$C$2004=B52)*'Completion Log'!$A$5:$A$2004)))=0,"",MAX(N(E52),SUMPRODUCT(MAX(('Completion Log'!$B$5:$B$2004=A52)*('Completion Log'!$C$5:$C$2004=B52)*'Completion Log'!$A$5:$A$2004)))))</f>
        <v/>
      </c>
      <c r="G52" s="14" t="str">
        <f aca="true">IF(OR(A52="",B52="",C52=""),"",IF(F52="",TODAY(),F52+C52))</f>
        <v/>
      </c>
      <c r="H52" s="15" t="str">
        <f aca="true">IF(G52="","",G52-TODAY())</f>
        <v/>
      </c>
      <c r="I52" s="16" t="str">
        <f aca="false">IF(H52="","",IF(H52&lt;0,"OVERDUE",IF(H52&lt;=$I$2,"Due soon","OK")))</f>
        <v/>
      </c>
      <c r="J52" s="9"/>
    </row>
    <row r="53" customFormat="false" ht="15" hidden="false" customHeight="false" outlineLevel="0" collapsed="false">
      <c r="A53" s="9"/>
      <c r="B53" s="9"/>
      <c r="C53" s="9"/>
      <c r="D53" s="9"/>
      <c r="E53" s="13"/>
      <c r="F53" s="14" t="str">
        <f aca="false">IF(OR(A53="",B53=""),"",IF(MAX(N(E53),SUMPRODUCT(MAX(('Completion Log'!$B$5:$B$2004=A53)*('Completion Log'!$C$5:$C$2004=B53)*'Completion Log'!$A$5:$A$2004)))=0,"",MAX(N(E53),SUMPRODUCT(MAX(('Completion Log'!$B$5:$B$2004=A53)*('Completion Log'!$C$5:$C$2004=B53)*'Completion Log'!$A$5:$A$2004)))))</f>
        <v/>
      </c>
      <c r="G53" s="14" t="str">
        <f aca="true">IF(OR(A53="",B53="",C53=""),"",IF(F53="",TODAY(),F53+C53))</f>
        <v/>
      </c>
      <c r="H53" s="15" t="str">
        <f aca="true">IF(G53="","",G53-TODAY())</f>
        <v/>
      </c>
      <c r="I53" s="16" t="str">
        <f aca="false">IF(H53="","",IF(H53&lt;0,"OVERDUE",IF(H53&lt;=$I$2,"Due soon","OK")))</f>
        <v/>
      </c>
      <c r="J53" s="9"/>
    </row>
    <row r="54" customFormat="false" ht="15" hidden="false" customHeight="false" outlineLevel="0" collapsed="false">
      <c r="A54" s="9"/>
      <c r="B54" s="9"/>
      <c r="C54" s="9"/>
      <c r="D54" s="9"/>
      <c r="E54" s="13"/>
      <c r="F54" s="14" t="str">
        <f aca="false">IF(OR(A54="",B54=""),"",IF(MAX(N(E54),SUMPRODUCT(MAX(('Completion Log'!$B$5:$B$2004=A54)*('Completion Log'!$C$5:$C$2004=B54)*'Completion Log'!$A$5:$A$2004)))=0,"",MAX(N(E54),SUMPRODUCT(MAX(('Completion Log'!$B$5:$B$2004=A54)*('Completion Log'!$C$5:$C$2004=B54)*'Completion Log'!$A$5:$A$2004)))))</f>
        <v/>
      </c>
      <c r="G54" s="14" t="str">
        <f aca="true">IF(OR(A54="",B54="",C54=""),"",IF(F54="",TODAY(),F54+C54))</f>
        <v/>
      </c>
      <c r="H54" s="15" t="str">
        <f aca="true">IF(G54="","",G54-TODAY())</f>
        <v/>
      </c>
      <c r="I54" s="16" t="str">
        <f aca="false">IF(H54="","",IF(H54&lt;0,"OVERDUE",IF(H54&lt;=$I$2,"Due soon","OK")))</f>
        <v/>
      </c>
      <c r="J54" s="9"/>
    </row>
    <row r="55" customFormat="false" ht="15" hidden="false" customHeight="false" outlineLevel="0" collapsed="false">
      <c r="A55" s="9"/>
      <c r="B55" s="9"/>
      <c r="C55" s="9"/>
      <c r="D55" s="9"/>
      <c r="E55" s="13"/>
      <c r="F55" s="14" t="str">
        <f aca="false">IF(OR(A55="",B55=""),"",IF(MAX(N(E55),SUMPRODUCT(MAX(('Completion Log'!$B$5:$B$2004=A55)*('Completion Log'!$C$5:$C$2004=B55)*'Completion Log'!$A$5:$A$2004)))=0,"",MAX(N(E55),SUMPRODUCT(MAX(('Completion Log'!$B$5:$B$2004=A55)*('Completion Log'!$C$5:$C$2004=B55)*'Completion Log'!$A$5:$A$2004)))))</f>
        <v/>
      </c>
      <c r="G55" s="14" t="str">
        <f aca="true">IF(OR(A55="",B55="",C55=""),"",IF(F55="",TODAY(),F55+C55))</f>
        <v/>
      </c>
      <c r="H55" s="15" t="str">
        <f aca="true">IF(G55="","",G55-TODAY())</f>
        <v/>
      </c>
      <c r="I55" s="16" t="str">
        <f aca="false">IF(H55="","",IF(H55&lt;0,"OVERDUE",IF(H55&lt;=$I$2,"Due soon","OK")))</f>
        <v/>
      </c>
      <c r="J55" s="9"/>
    </row>
    <row r="56" customFormat="false" ht="15" hidden="false" customHeight="false" outlineLevel="0" collapsed="false">
      <c r="A56" s="9"/>
      <c r="B56" s="9"/>
      <c r="C56" s="9"/>
      <c r="D56" s="9"/>
      <c r="E56" s="13"/>
      <c r="F56" s="14" t="str">
        <f aca="false">IF(OR(A56="",B56=""),"",IF(MAX(N(E56),SUMPRODUCT(MAX(('Completion Log'!$B$5:$B$2004=A56)*('Completion Log'!$C$5:$C$2004=B56)*'Completion Log'!$A$5:$A$2004)))=0,"",MAX(N(E56),SUMPRODUCT(MAX(('Completion Log'!$B$5:$B$2004=A56)*('Completion Log'!$C$5:$C$2004=B56)*'Completion Log'!$A$5:$A$2004)))))</f>
        <v/>
      </c>
      <c r="G56" s="14" t="str">
        <f aca="true">IF(OR(A56="",B56="",C56=""),"",IF(F56="",TODAY(),F56+C56))</f>
        <v/>
      </c>
      <c r="H56" s="15" t="str">
        <f aca="true">IF(G56="","",G56-TODAY())</f>
        <v/>
      </c>
      <c r="I56" s="16" t="str">
        <f aca="false">IF(H56="","",IF(H56&lt;0,"OVERDUE",IF(H56&lt;=$I$2,"Due soon","OK")))</f>
        <v/>
      </c>
      <c r="J56" s="9"/>
    </row>
    <row r="57" customFormat="false" ht="15" hidden="false" customHeight="false" outlineLevel="0" collapsed="false">
      <c r="A57" s="9"/>
      <c r="B57" s="9"/>
      <c r="C57" s="9"/>
      <c r="D57" s="9"/>
      <c r="E57" s="13"/>
      <c r="F57" s="14" t="str">
        <f aca="false">IF(OR(A57="",B57=""),"",IF(MAX(N(E57),SUMPRODUCT(MAX(('Completion Log'!$B$5:$B$2004=A57)*('Completion Log'!$C$5:$C$2004=B57)*'Completion Log'!$A$5:$A$2004)))=0,"",MAX(N(E57),SUMPRODUCT(MAX(('Completion Log'!$B$5:$B$2004=A57)*('Completion Log'!$C$5:$C$2004=B57)*'Completion Log'!$A$5:$A$2004)))))</f>
        <v/>
      </c>
      <c r="G57" s="14" t="str">
        <f aca="true">IF(OR(A57="",B57="",C57=""),"",IF(F57="",TODAY(),F57+C57))</f>
        <v/>
      </c>
      <c r="H57" s="15" t="str">
        <f aca="true">IF(G57="","",G57-TODAY())</f>
        <v/>
      </c>
      <c r="I57" s="16" t="str">
        <f aca="false">IF(H57="","",IF(H57&lt;0,"OVERDUE",IF(H57&lt;=$I$2,"Due soon","OK")))</f>
        <v/>
      </c>
      <c r="J57" s="9"/>
    </row>
    <row r="58" customFormat="false" ht="15" hidden="false" customHeight="false" outlineLevel="0" collapsed="false">
      <c r="A58" s="9"/>
      <c r="B58" s="9"/>
      <c r="C58" s="9"/>
      <c r="D58" s="9"/>
      <c r="E58" s="13"/>
      <c r="F58" s="14" t="str">
        <f aca="false">IF(OR(A58="",B58=""),"",IF(MAX(N(E58),SUMPRODUCT(MAX(('Completion Log'!$B$5:$B$2004=A58)*('Completion Log'!$C$5:$C$2004=B58)*'Completion Log'!$A$5:$A$2004)))=0,"",MAX(N(E58),SUMPRODUCT(MAX(('Completion Log'!$B$5:$B$2004=A58)*('Completion Log'!$C$5:$C$2004=B58)*'Completion Log'!$A$5:$A$2004)))))</f>
        <v/>
      </c>
      <c r="G58" s="14" t="str">
        <f aca="true">IF(OR(A58="",B58="",C58=""),"",IF(F58="",TODAY(),F58+C58))</f>
        <v/>
      </c>
      <c r="H58" s="15" t="str">
        <f aca="true">IF(G58="","",G58-TODAY())</f>
        <v/>
      </c>
      <c r="I58" s="16" t="str">
        <f aca="false">IF(H58="","",IF(H58&lt;0,"OVERDUE",IF(H58&lt;=$I$2,"Due soon","OK")))</f>
        <v/>
      </c>
      <c r="J58" s="9"/>
    </row>
    <row r="59" customFormat="false" ht="15" hidden="false" customHeight="false" outlineLevel="0" collapsed="false">
      <c r="A59" s="9"/>
      <c r="B59" s="9"/>
      <c r="C59" s="9"/>
      <c r="D59" s="9"/>
      <c r="E59" s="13"/>
      <c r="F59" s="14" t="str">
        <f aca="false">IF(OR(A59="",B59=""),"",IF(MAX(N(E59),SUMPRODUCT(MAX(('Completion Log'!$B$5:$B$2004=A59)*('Completion Log'!$C$5:$C$2004=B59)*'Completion Log'!$A$5:$A$2004)))=0,"",MAX(N(E59),SUMPRODUCT(MAX(('Completion Log'!$B$5:$B$2004=A59)*('Completion Log'!$C$5:$C$2004=B59)*'Completion Log'!$A$5:$A$2004)))))</f>
        <v/>
      </c>
      <c r="G59" s="14" t="str">
        <f aca="true">IF(OR(A59="",B59="",C59=""),"",IF(F59="",TODAY(),F59+C59))</f>
        <v/>
      </c>
      <c r="H59" s="15" t="str">
        <f aca="true">IF(G59="","",G59-TODAY())</f>
        <v/>
      </c>
      <c r="I59" s="16" t="str">
        <f aca="false">IF(H59="","",IF(H59&lt;0,"OVERDUE",IF(H59&lt;=$I$2,"Due soon","OK")))</f>
        <v/>
      </c>
      <c r="J59" s="9"/>
    </row>
    <row r="60" customFormat="false" ht="15" hidden="false" customHeight="false" outlineLevel="0" collapsed="false">
      <c r="A60" s="9"/>
      <c r="B60" s="9"/>
      <c r="C60" s="9"/>
      <c r="D60" s="9"/>
      <c r="E60" s="13"/>
      <c r="F60" s="14" t="str">
        <f aca="false">IF(OR(A60="",B60=""),"",IF(MAX(N(E60),SUMPRODUCT(MAX(('Completion Log'!$B$5:$B$2004=A60)*('Completion Log'!$C$5:$C$2004=B60)*'Completion Log'!$A$5:$A$2004)))=0,"",MAX(N(E60),SUMPRODUCT(MAX(('Completion Log'!$B$5:$B$2004=A60)*('Completion Log'!$C$5:$C$2004=B60)*'Completion Log'!$A$5:$A$2004)))))</f>
        <v/>
      </c>
      <c r="G60" s="14" t="str">
        <f aca="true">IF(OR(A60="",B60="",C60=""),"",IF(F60="",TODAY(),F60+C60))</f>
        <v/>
      </c>
      <c r="H60" s="15" t="str">
        <f aca="true">IF(G60="","",G60-TODAY())</f>
        <v/>
      </c>
      <c r="I60" s="16" t="str">
        <f aca="false">IF(H60="","",IF(H60&lt;0,"OVERDUE",IF(H60&lt;=$I$2,"Due soon","OK")))</f>
        <v/>
      </c>
      <c r="J60" s="9"/>
    </row>
    <row r="61" customFormat="false" ht="15" hidden="false" customHeight="false" outlineLevel="0" collapsed="false">
      <c r="A61" s="9"/>
      <c r="B61" s="9"/>
      <c r="C61" s="9"/>
      <c r="D61" s="9"/>
      <c r="E61" s="13"/>
      <c r="F61" s="14" t="str">
        <f aca="false">IF(OR(A61="",B61=""),"",IF(MAX(N(E61),SUMPRODUCT(MAX(('Completion Log'!$B$5:$B$2004=A61)*('Completion Log'!$C$5:$C$2004=B61)*'Completion Log'!$A$5:$A$2004)))=0,"",MAX(N(E61),SUMPRODUCT(MAX(('Completion Log'!$B$5:$B$2004=A61)*('Completion Log'!$C$5:$C$2004=B61)*'Completion Log'!$A$5:$A$2004)))))</f>
        <v/>
      </c>
      <c r="G61" s="14" t="str">
        <f aca="true">IF(OR(A61="",B61="",C61=""),"",IF(F61="",TODAY(),F61+C61))</f>
        <v/>
      </c>
      <c r="H61" s="15" t="str">
        <f aca="true">IF(G61="","",G61-TODAY())</f>
        <v/>
      </c>
      <c r="I61" s="16" t="str">
        <f aca="false">IF(H61="","",IF(H61&lt;0,"OVERDUE",IF(H61&lt;=$I$2,"Due soon","OK")))</f>
        <v/>
      </c>
      <c r="J61" s="9"/>
    </row>
    <row r="62" customFormat="false" ht="15" hidden="false" customHeight="false" outlineLevel="0" collapsed="false">
      <c r="A62" s="9"/>
      <c r="B62" s="9"/>
      <c r="C62" s="9"/>
      <c r="D62" s="9"/>
      <c r="E62" s="13"/>
      <c r="F62" s="14" t="str">
        <f aca="false">IF(OR(A62="",B62=""),"",IF(MAX(N(E62),SUMPRODUCT(MAX(('Completion Log'!$B$5:$B$2004=A62)*('Completion Log'!$C$5:$C$2004=B62)*'Completion Log'!$A$5:$A$2004)))=0,"",MAX(N(E62),SUMPRODUCT(MAX(('Completion Log'!$B$5:$B$2004=A62)*('Completion Log'!$C$5:$C$2004=B62)*'Completion Log'!$A$5:$A$2004)))))</f>
        <v/>
      </c>
      <c r="G62" s="14" t="str">
        <f aca="true">IF(OR(A62="",B62="",C62=""),"",IF(F62="",TODAY(),F62+C62))</f>
        <v/>
      </c>
      <c r="H62" s="15" t="str">
        <f aca="true">IF(G62="","",G62-TODAY())</f>
        <v/>
      </c>
      <c r="I62" s="16" t="str">
        <f aca="false">IF(H62="","",IF(H62&lt;0,"OVERDUE",IF(H62&lt;=$I$2,"Due soon","OK")))</f>
        <v/>
      </c>
      <c r="J62" s="9"/>
    </row>
    <row r="63" customFormat="false" ht="15" hidden="false" customHeight="false" outlineLevel="0" collapsed="false">
      <c r="A63" s="9"/>
      <c r="B63" s="9"/>
      <c r="C63" s="9"/>
      <c r="D63" s="9"/>
      <c r="E63" s="13"/>
      <c r="F63" s="14" t="str">
        <f aca="false">IF(OR(A63="",B63=""),"",IF(MAX(N(E63),SUMPRODUCT(MAX(('Completion Log'!$B$5:$B$2004=A63)*('Completion Log'!$C$5:$C$2004=B63)*'Completion Log'!$A$5:$A$2004)))=0,"",MAX(N(E63),SUMPRODUCT(MAX(('Completion Log'!$B$5:$B$2004=A63)*('Completion Log'!$C$5:$C$2004=B63)*'Completion Log'!$A$5:$A$2004)))))</f>
        <v/>
      </c>
      <c r="G63" s="14" t="str">
        <f aca="true">IF(OR(A63="",B63="",C63=""),"",IF(F63="",TODAY(),F63+C63))</f>
        <v/>
      </c>
      <c r="H63" s="15" t="str">
        <f aca="true">IF(G63="","",G63-TODAY())</f>
        <v/>
      </c>
      <c r="I63" s="16" t="str">
        <f aca="false">IF(H63="","",IF(H63&lt;0,"OVERDUE",IF(H63&lt;=$I$2,"Due soon","OK")))</f>
        <v/>
      </c>
      <c r="J63" s="9"/>
    </row>
    <row r="64" customFormat="false" ht="15" hidden="false" customHeight="false" outlineLevel="0" collapsed="false">
      <c r="A64" s="9"/>
      <c r="B64" s="9"/>
      <c r="C64" s="9"/>
      <c r="D64" s="9"/>
      <c r="E64" s="13"/>
      <c r="F64" s="14" t="str">
        <f aca="false">IF(OR(A64="",B64=""),"",IF(MAX(N(E64),SUMPRODUCT(MAX(('Completion Log'!$B$5:$B$2004=A64)*('Completion Log'!$C$5:$C$2004=B64)*'Completion Log'!$A$5:$A$2004)))=0,"",MAX(N(E64),SUMPRODUCT(MAX(('Completion Log'!$B$5:$B$2004=A64)*('Completion Log'!$C$5:$C$2004=B64)*'Completion Log'!$A$5:$A$2004)))))</f>
        <v/>
      </c>
      <c r="G64" s="14" t="str">
        <f aca="true">IF(OR(A64="",B64="",C64=""),"",IF(F64="",TODAY(),F64+C64))</f>
        <v/>
      </c>
      <c r="H64" s="15" t="str">
        <f aca="true">IF(G64="","",G64-TODAY())</f>
        <v/>
      </c>
      <c r="I64" s="16" t="str">
        <f aca="false">IF(H64="","",IF(H64&lt;0,"OVERDUE",IF(H64&lt;=$I$2,"Due soon","OK")))</f>
        <v/>
      </c>
      <c r="J64" s="9"/>
    </row>
    <row r="65" customFormat="false" ht="15" hidden="false" customHeight="false" outlineLevel="0" collapsed="false">
      <c r="A65" s="9"/>
      <c r="B65" s="9"/>
      <c r="C65" s="9"/>
      <c r="D65" s="9"/>
      <c r="E65" s="13"/>
      <c r="F65" s="14" t="str">
        <f aca="false">IF(OR(A65="",B65=""),"",IF(MAX(N(E65),SUMPRODUCT(MAX(('Completion Log'!$B$5:$B$2004=A65)*('Completion Log'!$C$5:$C$2004=B65)*'Completion Log'!$A$5:$A$2004)))=0,"",MAX(N(E65),SUMPRODUCT(MAX(('Completion Log'!$B$5:$B$2004=A65)*('Completion Log'!$C$5:$C$2004=B65)*'Completion Log'!$A$5:$A$2004)))))</f>
        <v/>
      </c>
      <c r="G65" s="14" t="str">
        <f aca="true">IF(OR(A65="",B65="",C65=""),"",IF(F65="",TODAY(),F65+C65))</f>
        <v/>
      </c>
      <c r="H65" s="15" t="str">
        <f aca="true">IF(G65="","",G65-TODAY())</f>
        <v/>
      </c>
      <c r="I65" s="16" t="str">
        <f aca="false">IF(H65="","",IF(H65&lt;0,"OVERDUE",IF(H65&lt;=$I$2,"Due soon","OK")))</f>
        <v/>
      </c>
      <c r="J65" s="9"/>
    </row>
    <row r="66" customFormat="false" ht="15" hidden="false" customHeight="false" outlineLevel="0" collapsed="false">
      <c r="A66" s="9"/>
      <c r="B66" s="9"/>
      <c r="C66" s="9"/>
      <c r="D66" s="9"/>
      <c r="E66" s="13"/>
      <c r="F66" s="14" t="str">
        <f aca="false">IF(OR(A66="",B66=""),"",IF(MAX(N(E66),SUMPRODUCT(MAX(('Completion Log'!$B$5:$B$2004=A66)*('Completion Log'!$C$5:$C$2004=B66)*'Completion Log'!$A$5:$A$2004)))=0,"",MAX(N(E66),SUMPRODUCT(MAX(('Completion Log'!$B$5:$B$2004=A66)*('Completion Log'!$C$5:$C$2004=B66)*'Completion Log'!$A$5:$A$2004)))))</f>
        <v/>
      </c>
      <c r="G66" s="14" t="str">
        <f aca="true">IF(OR(A66="",B66="",C66=""),"",IF(F66="",TODAY(),F66+C66))</f>
        <v/>
      </c>
      <c r="H66" s="15" t="str">
        <f aca="true">IF(G66="","",G66-TODAY())</f>
        <v/>
      </c>
      <c r="I66" s="16" t="str">
        <f aca="false">IF(H66="","",IF(H66&lt;0,"OVERDUE",IF(H66&lt;=$I$2,"Due soon","OK")))</f>
        <v/>
      </c>
      <c r="J66" s="9"/>
    </row>
    <row r="67" customFormat="false" ht="15" hidden="false" customHeight="false" outlineLevel="0" collapsed="false">
      <c r="A67" s="9"/>
      <c r="B67" s="9"/>
      <c r="C67" s="9"/>
      <c r="D67" s="9"/>
      <c r="E67" s="13"/>
      <c r="F67" s="14" t="str">
        <f aca="false">IF(OR(A67="",B67=""),"",IF(MAX(N(E67),SUMPRODUCT(MAX(('Completion Log'!$B$5:$B$2004=A67)*('Completion Log'!$C$5:$C$2004=B67)*'Completion Log'!$A$5:$A$2004)))=0,"",MAX(N(E67),SUMPRODUCT(MAX(('Completion Log'!$B$5:$B$2004=A67)*('Completion Log'!$C$5:$C$2004=B67)*'Completion Log'!$A$5:$A$2004)))))</f>
        <v/>
      </c>
      <c r="G67" s="14" t="str">
        <f aca="true">IF(OR(A67="",B67="",C67=""),"",IF(F67="",TODAY(),F67+C67))</f>
        <v/>
      </c>
      <c r="H67" s="15" t="str">
        <f aca="true">IF(G67="","",G67-TODAY())</f>
        <v/>
      </c>
      <c r="I67" s="16" t="str">
        <f aca="false">IF(H67="","",IF(H67&lt;0,"OVERDUE",IF(H67&lt;=$I$2,"Due soon","OK")))</f>
        <v/>
      </c>
      <c r="J67" s="9"/>
    </row>
    <row r="68" customFormat="false" ht="15" hidden="false" customHeight="false" outlineLevel="0" collapsed="false">
      <c r="A68" s="9"/>
      <c r="B68" s="9"/>
      <c r="C68" s="9"/>
      <c r="D68" s="9"/>
      <c r="E68" s="13"/>
      <c r="F68" s="14" t="str">
        <f aca="false">IF(OR(A68="",B68=""),"",IF(MAX(N(E68),SUMPRODUCT(MAX(('Completion Log'!$B$5:$B$2004=A68)*('Completion Log'!$C$5:$C$2004=B68)*'Completion Log'!$A$5:$A$2004)))=0,"",MAX(N(E68),SUMPRODUCT(MAX(('Completion Log'!$B$5:$B$2004=A68)*('Completion Log'!$C$5:$C$2004=B68)*'Completion Log'!$A$5:$A$2004)))))</f>
        <v/>
      </c>
      <c r="G68" s="14" t="str">
        <f aca="true">IF(OR(A68="",B68="",C68=""),"",IF(F68="",TODAY(),F68+C68))</f>
        <v/>
      </c>
      <c r="H68" s="15" t="str">
        <f aca="true">IF(G68="","",G68-TODAY())</f>
        <v/>
      </c>
      <c r="I68" s="16" t="str">
        <f aca="false">IF(H68="","",IF(H68&lt;0,"OVERDUE",IF(H68&lt;=$I$2,"Due soon","OK")))</f>
        <v/>
      </c>
      <c r="J68" s="9"/>
    </row>
    <row r="69" customFormat="false" ht="15" hidden="false" customHeight="false" outlineLevel="0" collapsed="false">
      <c r="A69" s="9"/>
      <c r="B69" s="9"/>
      <c r="C69" s="9"/>
      <c r="D69" s="9"/>
      <c r="E69" s="13"/>
      <c r="F69" s="14" t="str">
        <f aca="false">IF(OR(A69="",B69=""),"",IF(MAX(N(E69),SUMPRODUCT(MAX(('Completion Log'!$B$5:$B$2004=A69)*('Completion Log'!$C$5:$C$2004=B69)*'Completion Log'!$A$5:$A$2004)))=0,"",MAX(N(E69),SUMPRODUCT(MAX(('Completion Log'!$B$5:$B$2004=A69)*('Completion Log'!$C$5:$C$2004=B69)*'Completion Log'!$A$5:$A$2004)))))</f>
        <v/>
      </c>
      <c r="G69" s="14" t="str">
        <f aca="true">IF(OR(A69="",B69="",C69=""),"",IF(F69="",TODAY(),F69+C69))</f>
        <v/>
      </c>
      <c r="H69" s="15" t="str">
        <f aca="true">IF(G69="","",G69-TODAY())</f>
        <v/>
      </c>
      <c r="I69" s="16" t="str">
        <f aca="false">IF(H69="","",IF(H69&lt;0,"OVERDUE",IF(H69&lt;=$I$2,"Due soon","OK")))</f>
        <v/>
      </c>
      <c r="J69" s="9"/>
    </row>
    <row r="70" customFormat="false" ht="15" hidden="false" customHeight="false" outlineLevel="0" collapsed="false">
      <c r="A70" s="9"/>
      <c r="B70" s="9"/>
      <c r="C70" s="9"/>
      <c r="D70" s="9"/>
      <c r="E70" s="13"/>
      <c r="F70" s="14" t="str">
        <f aca="false">IF(OR(A70="",B70=""),"",IF(MAX(N(E70),SUMPRODUCT(MAX(('Completion Log'!$B$5:$B$2004=A70)*('Completion Log'!$C$5:$C$2004=B70)*'Completion Log'!$A$5:$A$2004)))=0,"",MAX(N(E70),SUMPRODUCT(MAX(('Completion Log'!$B$5:$B$2004=A70)*('Completion Log'!$C$5:$C$2004=B70)*'Completion Log'!$A$5:$A$2004)))))</f>
        <v/>
      </c>
      <c r="G70" s="14" t="str">
        <f aca="true">IF(OR(A70="",B70="",C70=""),"",IF(F70="",TODAY(),F70+C70))</f>
        <v/>
      </c>
      <c r="H70" s="15" t="str">
        <f aca="true">IF(G70="","",G70-TODAY())</f>
        <v/>
      </c>
      <c r="I70" s="16" t="str">
        <f aca="false">IF(H70="","",IF(H70&lt;0,"OVERDUE",IF(H70&lt;=$I$2,"Due soon","OK")))</f>
        <v/>
      </c>
      <c r="J70" s="9"/>
    </row>
    <row r="71" customFormat="false" ht="15" hidden="false" customHeight="false" outlineLevel="0" collapsed="false">
      <c r="A71" s="9"/>
      <c r="B71" s="9"/>
      <c r="C71" s="9"/>
      <c r="D71" s="9"/>
      <c r="E71" s="13"/>
      <c r="F71" s="14" t="str">
        <f aca="false">IF(OR(A71="",B71=""),"",IF(MAX(N(E71),SUMPRODUCT(MAX(('Completion Log'!$B$5:$B$2004=A71)*('Completion Log'!$C$5:$C$2004=B71)*'Completion Log'!$A$5:$A$2004)))=0,"",MAX(N(E71),SUMPRODUCT(MAX(('Completion Log'!$B$5:$B$2004=A71)*('Completion Log'!$C$5:$C$2004=B71)*'Completion Log'!$A$5:$A$2004)))))</f>
        <v/>
      </c>
      <c r="G71" s="14" t="str">
        <f aca="true">IF(OR(A71="",B71="",C71=""),"",IF(F71="",TODAY(),F71+C71))</f>
        <v/>
      </c>
      <c r="H71" s="15" t="str">
        <f aca="true">IF(G71="","",G71-TODAY())</f>
        <v/>
      </c>
      <c r="I71" s="16" t="str">
        <f aca="false">IF(H71="","",IF(H71&lt;0,"OVERDUE",IF(H71&lt;=$I$2,"Due soon","OK")))</f>
        <v/>
      </c>
      <c r="J71" s="9"/>
    </row>
    <row r="72" customFormat="false" ht="15" hidden="false" customHeight="false" outlineLevel="0" collapsed="false">
      <c r="A72" s="9"/>
      <c r="B72" s="9"/>
      <c r="C72" s="9"/>
      <c r="D72" s="9"/>
      <c r="E72" s="13"/>
      <c r="F72" s="14" t="str">
        <f aca="false">IF(OR(A72="",B72=""),"",IF(MAX(N(E72),SUMPRODUCT(MAX(('Completion Log'!$B$5:$B$2004=A72)*('Completion Log'!$C$5:$C$2004=B72)*'Completion Log'!$A$5:$A$2004)))=0,"",MAX(N(E72),SUMPRODUCT(MAX(('Completion Log'!$B$5:$B$2004=A72)*('Completion Log'!$C$5:$C$2004=B72)*'Completion Log'!$A$5:$A$2004)))))</f>
        <v/>
      </c>
      <c r="G72" s="14" t="str">
        <f aca="true">IF(OR(A72="",B72="",C72=""),"",IF(F72="",TODAY(),F72+C72))</f>
        <v/>
      </c>
      <c r="H72" s="15" t="str">
        <f aca="true">IF(G72="","",G72-TODAY())</f>
        <v/>
      </c>
      <c r="I72" s="16" t="str">
        <f aca="false">IF(H72="","",IF(H72&lt;0,"OVERDUE",IF(H72&lt;=$I$2,"Due soon","OK")))</f>
        <v/>
      </c>
      <c r="J72" s="9"/>
    </row>
    <row r="73" customFormat="false" ht="15" hidden="false" customHeight="false" outlineLevel="0" collapsed="false">
      <c r="A73" s="9"/>
      <c r="B73" s="9"/>
      <c r="C73" s="9"/>
      <c r="D73" s="9"/>
      <c r="E73" s="13"/>
      <c r="F73" s="14" t="str">
        <f aca="false">IF(OR(A73="",B73=""),"",IF(MAX(N(E73),SUMPRODUCT(MAX(('Completion Log'!$B$5:$B$2004=A73)*('Completion Log'!$C$5:$C$2004=B73)*'Completion Log'!$A$5:$A$2004)))=0,"",MAX(N(E73),SUMPRODUCT(MAX(('Completion Log'!$B$5:$B$2004=A73)*('Completion Log'!$C$5:$C$2004=B73)*'Completion Log'!$A$5:$A$2004)))))</f>
        <v/>
      </c>
      <c r="G73" s="14" t="str">
        <f aca="true">IF(OR(A73="",B73="",C73=""),"",IF(F73="",TODAY(),F73+C73))</f>
        <v/>
      </c>
      <c r="H73" s="15" t="str">
        <f aca="true">IF(G73="","",G73-TODAY())</f>
        <v/>
      </c>
      <c r="I73" s="16" t="str">
        <f aca="false">IF(H73="","",IF(H73&lt;0,"OVERDUE",IF(H73&lt;=$I$2,"Due soon","OK")))</f>
        <v/>
      </c>
      <c r="J73" s="9"/>
    </row>
    <row r="74" customFormat="false" ht="15" hidden="false" customHeight="false" outlineLevel="0" collapsed="false">
      <c r="A74" s="9"/>
      <c r="B74" s="9"/>
      <c r="C74" s="9"/>
      <c r="D74" s="9"/>
      <c r="E74" s="13"/>
      <c r="F74" s="14" t="str">
        <f aca="false">IF(OR(A74="",B74=""),"",IF(MAX(N(E74),SUMPRODUCT(MAX(('Completion Log'!$B$5:$B$2004=A74)*('Completion Log'!$C$5:$C$2004=B74)*'Completion Log'!$A$5:$A$2004)))=0,"",MAX(N(E74),SUMPRODUCT(MAX(('Completion Log'!$B$5:$B$2004=A74)*('Completion Log'!$C$5:$C$2004=B74)*'Completion Log'!$A$5:$A$2004)))))</f>
        <v/>
      </c>
      <c r="G74" s="14" t="str">
        <f aca="true">IF(OR(A74="",B74="",C74=""),"",IF(F74="",TODAY(),F74+C74))</f>
        <v/>
      </c>
      <c r="H74" s="15" t="str">
        <f aca="true">IF(G74="","",G74-TODAY())</f>
        <v/>
      </c>
      <c r="I74" s="16" t="str">
        <f aca="false">IF(H74="","",IF(H74&lt;0,"OVERDUE",IF(H74&lt;=$I$2,"Due soon","OK")))</f>
        <v/>
      </c>
      <c r="J74" s="9"/>
    </row>
    <row r="75" customFormat="false" ht="15" hidden="false" customHeight="false" outlineLevel="0" collapsed="false">
      <c r="A75" s="9"/>
      <c r="B75" s="9"/>
      <c r="C75" s="9"/>
      <c r="D75" s="9"/>
      <c r="E75" s="13"/>
      <c r="F75" s="14" t="str">
        <f aca="false">IF(OR(A75="",B75=""),"",IF(MAX(N(E75),SUMPRODUCT(MAX(('Completion Log'!$B$5:$B$2004=A75)*('Completion Log'!$C$5:$C$2004=B75)*'Completion Log'!$A$5:$A$2004)))=0,"",MAX(N(E75),SUMPRODUCT(MAX(('Completion Log'!$B$5:$B$2004=A75)*('Completion Log'!$C$5:$C$2004=B75)*'Completion Log'!$A$5:$A$2004)))))</f>
        <v/>
      </c>
      <c r="G75" s="14" t="str">
        <f aca="true">IF(OR(A75="",B75="",C75=""),"",IF(F75="",TODAY(),F75+C75))</f>
        <v/>
      </c>
      <c r="H75" s="15" t="str">
        <f aca="true">IF(G75="","",G75-TODAY())</f>
        <v/>
      </c>
      <c r="I75" s="16" t="str">
        <f aca="false">IF(H75="","",IF(H75&lt;0,"OVERDUE",IF(H75&lt;=$I$2,"Due soon","OK")))</f>
        <v/>
      </c>
      <c r="J75" s="9"/>
    </row>
    <row r="76" customFormat="false" ht="15" hidden="false" customHeight="false" outlineLevel="0" collapsed="false">
      <c r="A76" s="9"/>
      <c r="B76" s="9"/>
      <c r="C76" s="9"/>
      <c r="D76" s="9"/>
      <c r="E76" s="13"/>
      <c r="F76" s="14" t="str">
        <f aca="false">IF(OR(A76="",B76=""),"",IF(MAX(N(E76),SUMPRODUCT(MAX(('Completion Log'!$B$5:$B$2004=A76)*('Completion Log'!$C$5:$C$2004=B76)*'Completion Log'!$A$5:$A$2004)))=0,"",MAX(N(E76),SUMPRODUCT(MAX(('Completion Log'!$B$5:$B$2004=A76)*('Completion Log'!$C$5:$C$2004=B76)*'Completion Log'!$A$5:$A$2004)))))</f>
        <v/>
      </c>
      <c r="G76" s="14" t="str">
        <f aca="true">IF(OR(A76="",B76="",C76=""),"",IF(F76="",TODAY(),F76+C76))</f>
        <v/>
      </c>
      <c r="H76" s="15" t="str">
        <f aca="true">IF(G76="","",G76-TODAY())</f>
        <v/>
      </c>
      <c r="I76" s="16" t="str">
        <f aca="false">IF(H76="","",IF(H76&lt;0,"OVERDUE",IF(H76&lt;=$I$2,"Due soon","OK")))</f>
        <v/>
      </c>
      <c r="J76" s="9"/>
    </row>
    <row r="77" customFormat="false" ht="15" hidden="false" customHeight="false" outlineLevel="0" collapsed="false">
      <c r="A77" s="9"/>
      <c r="B77" s="9"/>
      <c r="C77" s="9"/>
      <c r="D77" s="9"/>
      <c r="E77" s="13"/>
      <c r="F77" s="14" t="str">
        <f aca="false">IF(OR(A77="",B77=""),"",IF(MAX(N(E77),SUMPRODUCT(MAX(('Completion Log'!$B$5:$B$2004=A77)*('Completion Log'!$C$5:$C$2004=B77)*'Completion Log'!$A$5:$A$2004)))=0,"",MAX(N(E77),SUMPRODUCT(MAX(('Completion Log'!$B$5:$B$2004=A77)*('Completion Log'!$C$5:$C$2004=B77)*'Completion Log'!$A$5:$A$2004)))))</f>
        <v/>
      </c>
      <c r="G77" s="14" t="str">
        <f aca="true">IF(OR(A77="",B77="",C77=""),"",IF(F77="",TODAY(),F77+C77))</f>
        <v/>
      </c>
      <c r="H77" s="15" t="str">
        <f aca="true">IF(G77="","",G77-TODAY())</f>
        <v/>
      </c>
      <c r="I77" s="16" t="str">
        <f aca="false">IF(H77="","",IF(H77&lt;0,"OVERDUE",IF(H77&lt;=$I$2,"Due soon","OK")))</f>
        <v/>
      </c>
      <c r="J77" s="9"/>
    </row>
    <row r="78" customFormat="false" ht="15" hidden="false" customHeight="false" outlineLevel="0" collapsed="false">
      <c r="A78" s="9"/>
      <c r="B78" s="9"/>
      <c r="C78" s="9"/>
      <c r="D78" s="9"/>
      <c r="E78" s="13"/>
      <c r="F78" s="14" t="str">
        <f aca="false">IF(OR(A78="",B78=""),"",IF(MAX(N(E78),SUMPRODUCT(MAX(('Completion Log'!$B$5:$B$2004=A78)*('Completion Log'!$C$5:$C$2004=B78)*'Completion Log'!$A$5:$A$2004)))=0,"",MAX(N(E78),SUMPRODUCT(MAX(('Completion Log'!$B$5:$B$2004=A78)*('Completion Log'!$C$5:$C$2004=B78)*'Completion Log'!$A$5:$A$2004)))))</f>
        <v/>
      </c>
      <c r="G78" s="14" t="str">
        <f aca="true">IF(OR(A78="",B78="",C78=""),"",IF(F78="",TODAY(),F78+C78))</f>
        <v/>
      </c>
      <c r="H78" s="15" t="str">
        <f aca="true">IF(G78="","",G78-TODAY())</f>
        <v/>
      </c>
      <c r="I78" s="16" t="str">
        <f aca="false">IF(H78="","",IF(H78&lt;0,"OVERDUE",IF(H78&lt;=$I$2,"Due soon","OK")))</f>
        <v/>
      </c>
      <c r="J78" s="9"/>
    </row>
    <row r="79" customFormat="false" ht="15" hidden="false" customHeight="false" outlineLevel="0" collapsed="false">
      <c r="A79" s="9"/>
      <c r="B79" s="9"/>
      <c r="C79" s="9"/>
      <c r="D79" s="9"/>
      <c r="E79" s="13"/>
      <c r="F79" s="14" t="str">
        <f aca="false">IF(OR(A79="",B79=""),"",IF(MAX(N(E79),SUMPRODUCT(MAX(('Completion Log'!$B$5:$B$2004=A79)*('Completion Log'!$C$5:$C$2004=B79)*'Completion Log'!$A$5:$A$2004)))=0,"",MAX(N(E79),SUMPRODUCT(MAX(('Completion Log'!$B$5:$B$2004=A79)*('Completion Log'!$C$5:$C$2004=B79)*'Completion Log'!$A$5:$A$2004)))))</f>
        <v/>
      </c>
      <c r="G79" s="14" t="str">
        <f aca="true">IF(OR(A79="",B79="",C79=""),"",IF(F79="",TODAY(),F79+C79))</f>
        <v/>
      </c>
      <c r="H79" s="15" t="str">
        <f aca="true">IF(G79="","",G79-TODAY())</f>
        <v/>
      </c>
      <c r="I79" s="16" t="str">
        <f aca="false">IF(H79="","",IF(H79&lt;0,"OVERDUE",IF(H79&lt;=$I$2,"Due soon","OK")))</f>
        <v/>
      </c>
      <c r="J79" s="9"/>
    </row>
    <row r="80" customFormat="false" ht="15" hidden="false" customHeight="false" outlineLevel="0" collapsed="false">
      <c r="A80" s="9"/>
      <c r="B80" s="9"/>
      <c r="C80" s="9"/>
      <c r="D80" s="9"/>
      <c r="E80" s="13"/>
      <c r="F80" s="14" t="str">
        <f aca="false">IF(OR(A80="",B80=""),"",IF(MAX(N(E80),SUMPRODUCT(MAX(('Completion Log'!$B$5:$B$2004=A80)*('Completion Log'!$C$5:$C$2004=B80)*'Completion Log'!$A$5:$A$2004)))=0,"",MAX(N(E80),SUMPRODUCT(MAX(('Completion Log'!$B$5:$B$2004=A80)*('Completion Log'!$C$5:$C$2004=B80)*'Completion Log'!$A$5:$A$2004)))))</f>
        <v/>
      </c>
      <c r="G80" s="14" t="str">
        <f aca="true">IF(OR(A80="",B80="",C80=""),"",IF(F80="",TODAY(),F80+C80))</f>
        <v/>
      </c>
      <c r="H80" s="15" t="str">
        <f aca="true">IF(G80="","",G80-TODAY())</f>
        <v/>
      </c>
      <c r="I80" s="16" t="str">
        <f aca="false">IF(H80="","",IF(H80&lt;0,"OVERDUE",IF(H80&lt;=$I$2,"Due soon","OK")))</f>
        <v/>
      </c>
      <c r="J80" s="9"/>
    </row>
    <row r="81" customFormat="false" ht="15" hidden="false" customHeight="false" outlineLevel="0" collapsed="false">
      <c r="A81" s="9"/>
      <c r="B81" s="9"/>
      <c r="C81" s="9"/>
      <c r="D81" s="9"/>
      <c r="E81" s="13"/>
      <c r="F81" s="14" t="str">
        <f aca="false">IF(OR(A81="",B81=""),"",IF(MAX(N(E81),SUMPRODUCT(MAX(('Completion Log'!$B$5:$B$2004=A81)*('Completion Log'!$C$5:$C$2004=B81)*'Completion Log'!$A$5:$A$2004)))=0,"",MAX(N(E81),SUMPRODUCT(MAX(('Completion Log'!$B$5:$B$2004=A81)*('Completion Log'!$C$5:$C$2004=B81)*'Completion Log'!$A$5:$A$2004)))))</f>
        <v/>
      </c>
      <c r="G81" s="14" t="str">
        <f aca="true">IF(OR(A81="",B81="",C81=""),"",IF(F81="",TODAY(),F81+C81))</f>
        <v/>
      </c>
      <c r="H81" s="15" t="str">
        <f aca="true">IF(G81="","",G81-TODAY())</f>
        <v/>
      </c>
      <c r="I81" s="16" t="str">
        <f aca="false">IF(H81="","",IF(H81&lt;0,"OVERDUE",IF(H81&lt;=$I$2,"Due soon","OK")))</f>
        <v/>
      </c>
      <c r="J81" s="9"/>
    </row>
    <row r="82" customFormat="false" ht="15" hidden="false" customHeight="false" outlineLevel="0" collapsed="false">
      <c r="A82" s="9"/>
      <c r="B82" s="9"/>
      <c r="C82" s="9"/>
      <c r="D82" s="9"/>
      <c r="E82" s="13"/>
      <c r="F82" s="14" t="str">
        <f aca="false">IF(OR(A82="",B82=""),"",IF(MAX(N(E82),SUMPRODUCT(MAX(('Completion Log'!$B$5:$B$2004=A82)*('Completion Log'!$C$5:$C$2004=B82)*'Completion Log'!$A$5:$A$2004)))=0,"",MAX(N(E82),SUMPRODUCT(MAX(('Completion Log'!$B$5:$B$2004=A82)*('Completion Log'!$C$5:$C$2004=B82)*'Completion Log'!$A$5:$A$2004)))))</f>
        <v/>
      </c>
      <c r="G82" s="14" t="str">
        <f aca="true">IF(OR(A82="",B82="",C82=""),"",IF(F82="",TODAY(),F82+C82))</f>
        <v/>
      </c>
      <c r="H82" s="15" t="str">
        <f aca="true">IF(G82="","",G82-TODAY())</f>
        <v/>
      </c>
      <c r="I82" s="16" t="str">
        <f aca="false">IF(H82="","",IF(H82&lt;0,"OVERDUE",IF(H82&lt;=$I$2,"Due soon","OK")))</f>
        <v/>
      </c>
      <c r="J82" s="9"/>
    </row>
    <row r="83" customFormat="false" ht="15" hidden="false" customHeight="false" outlineLevel="0" collapsed="false">
      <c r="A83" s="9"/>
      <c r="B83" s="9"/>
      <c r="C83" s="9"/>
      <c r="D83" s="9"/>
      <c r="E83" s="13"/>
      <c r="F83" s="14" t="str">
        <f aca="false">IF(OR(A83="",B83=""),"",IF(MAX(N(E83),SUMPRODUCT(MAX(('Completion Log'!$B$5:$B$2004=A83)*('Completion Log'!$C$5:$C$2004=B83)*'Completion Log'!$A$5:$A$2004)))=0,"",MAX(N(E83),SUMPRODUCT(MAX(('Completion Log'!$B$5:$B$2004=A83)*('Completion Log'!$C$5:$C$2004=B83)*'Completion Log'!$A$5:$A$2004)))))</f>
        <v/>
      </c>
      <c r="G83" s="14" t="str">
        <f aca="true">IF(OR(A83="",B83="",C83=""),"",IF(F83="",TODAY(),F83+C83))</f>
        <v/>
      </c>
      <c r="H83" s="15" t="str">
        <f aca="true">IF(G83="","",G83-TODAY())</f>
        <v/>
      </c>
      <c r="I83" s="16" t="str">
        <f aca="false">IF(H83="","",IF(H83&lt;0,"OVERDUE",IF(H83&lt;=$I$2,"Due soon","OK")))</f>
        <v/>
      </c>
      <c r="J83" s="9"/>
    </row>
    <row r="84" customFormat="false" ht="15" hidden="false" customHeight="false" outlineLevel="0" collapsed="false">
      <c r="A84" s="9"/>
      <c r="B84" s="9"/>
      <c r="C84" s="9"/>
      <c r="D84" s="9"/>
      <c r="E84" s="13"/>
      <c r="F84" s="14" t="str">
        <f aca="false">IF(OR(A84="",B84=""),"",IF(MAX(N(E84),SUMPRODUCT(MAX(('Completion Log'!$B$5:$B$2004=A84)*('Completion Log'!$C$5:$C$2004=B84)*'Completion Log'!$A$5:$A$2004)))=0,"",MAX(N(E84),SUMPRODUCT(MAX(('Completion Log'!$B$5:$B$2004=A84)*('Completion Log'!$C$5:$C$2004=B84)*'Completion Log'!$A$5:$A$2004)))))</f>
        <v/>
      </c>
      <c r="G84" s="14" t="str">
        <f aca="true">IF(OR(A84="",B84="",C84=""),"",IF(F84="",TODAY(),F84+C84))</f>
        <v/>
      </c>
      <c r="H84" s="15" t="str">
        <f aca="true">IF(G84="","",G84-TODAY())</f>
        <v/>
      </c>
      <c r="I84" s="16" t="str">
        <f aca="false">IF(H84="","",IF(H84&lt;0,"OVERDUE",IF(H84&lt;=$I$2,"Due soon","OK")))</f>
        <v/>
      </c>
      <c r="J84" s="9"/>
    </row>
    <row r="85" customFormat="false" ht="15" hidden="false" customHeight="false" outlineLevel="0" collapsed="false">
      <c r="A85" s="9"/>
      <c r="B85" s="9"/>
      <c r="C85" s="9"/>
      <c r="D85" s="9"/>
      <c r="E85" s="13"/>
      <c r="F85" s="14" t="str">
        <f aca="false">IF(OR(A85="",B85=""),"",IF(MAX(N(E85),SUMPRODUCT(MAX(('Completion Log'!$B$5:$B$2004=A85)*('Completion Log'!$C$5:$C$2004=B85)*'Completion Log'!$A$5:$A$2004)))=0,"",MAX(N(E85),SUMPRODUCT(MAX(('Completion Log'!$B$5:$B$2004=A85)*('Completion Log'!$C$5:$C$2004=B85)*'Completion Log'!$A$5:$A$2004)))))</f>
        <v/>
      </c>
      <c r="G85" s="14" t="str">
        <f aca="true">IF(OR(A85="",B85="",C85=""),"",IF(F85="",TODAY(),F85+C85))</f>
        <v/>
      </c>
      <c r="H85" s="15" t="str">
        <f aca="true">IF(G85="","",G85-TODAY())</f>
        <v/>
      </c>
      <c r="I85" s="16" t="str">
        <f aca="false">IF(H85="","",IF(H85&lt;0,"OVERDUE",IF(H85&lt;=$I$2,"Due soon","OK")))</f>
        <v/>
      </c>
      <c r="J85" s="9"/>
    </row>
    <row r="86" customFormat="false" ht="15" hidden="false" customHeight="false" outlineLevel="0" collapsed="false">
      <c r="A86" s="9"/>
      <c r="B86" s="9"/>
      <c r="C86" s="9"/>
      <c r="D86" s="9"/>
      <c r="E86" s="13"/>
      <c r="F86" s="14" t="str">
        <f aca="false">IF(OR(A86="",B86=""),"",IF(MAX(N(E86),SUMPRODUCT(MAX(('Completion Log'!$B$5:$B$2004=A86)*('Completion Log'!$C$5:$C$2004=B86)*'Completion Log'!$A$5:$A$2004)))=0,"",MAX(N(E86),SUMPRODUCT(MAX(('Completion Log'!$B$5:$B$2004=A86)*('Completion Log'!$C$5:$C$2004=B86)*'Completion Log'!$A$5:$A$2004)))))</f>
        <v/>
      </c>
      <c r="G86" s="14" t="str">
        <f aca="true">IF(OR(A86="",B86="",C86=""),"",IF(F86="",TODAY(),F86+C86))</f>
        <v/>
      </c>
      <c r="H86" s="15" t="str">
        <f aca="true">IF(G86="","",G86-TODAY())</f>
        <v/>
      </c>
      <c r="I86" s="16" t="str">
        <f aca="false">IF(H86="","",IF(H86&lt;0,"OVERDUE",IF(H86&lt;=$I$2,"Due soon","OK")))</f>
        <v/>
      </c>
      <c r="J86" s="9"/>
    </row>
    <row r="87" customFormat="false" ht="15" hidden="false" customHeight="false" outlineLevel="0" collapsed="false">
      <c r="A87" s="9"/>
      <c r="B87" s="9"/>
      <c r="C87" s="9"/>
      <c r="D87" s="9"/>
      <c r="E87" s="13"/>
      <c r="F87" s="14" t="str">
        <f aca="false">IF(OR(A87="",B87=""),"",IF(MAX(N(E87),SUMPRODUCT(MAX(('Completion Log'!$B$5:$B$2004=A87)*('Completion Log'!$C$5:$C$2004=B87)*'Completion Log'!$A$5:$A$2004)))=0,"",MAX(N(E87),SUMPRODUCT(MAX(('Completion Log'!$B$5:$B$2004=A87)*('Completion Log'!$C$5:$C$2004=B87)*'Completion Log'!$A$5:$A$2004)))))</f>
        <v/>
      </c>
      <c r="G87" s="14" t="str">
        <f aca="true">IF(OR(A87="",B87="",C87=""),"",IF(F87="",TODAY(),F87+C87))</f>
        <v/>
      </c>
      <c r="H87" s="15" t="str">
        <f aca="true">IF(G87="","",G87-TODAY())</f>
        <v/>
      </c>
      <c r="I87" s="16" t="str">
        <f aca="false">IF(H87="","",IF(H87&lt;0,"OVERDUE",IF(H87&lt;=$I$2,"Due soon","OK")))</f>
        <v/>
      </c>
      <c r="J87" s="9"/>
    </row>
    <row r="88" customFormat="false" ht="15" hidden="false" customHeight="false" outlineLevel="0" collapsed="false">
      <c r="A88" s="9"/>
      <c r="B88" s="9"/>
      <c r="C88" s="9"/>
      <c r="D88" s="9"/>
      <c r="E88" s="13"/>
      <c r="F88" s="14" t="str">
        <f aca="false">IF(OR(A88="",B88=""),"",IF(MAX(N(E88),SUMPRODUCT(MAX(('Completion Log'!$B$5:$B$2004=A88)*('Completion Log'!$C$5:$C$2004=B88)*'Completion Log'!$A$5:$A$2004)))=0,"",MAX(N(E88),SUMPRODUCT(MAX(('Completion Log'!$B$5:$B$2004=A88)*('Completion Log'!$C$5:$C$2004=B88)*'Completion Log'!$A$5:$A$2004)))))</f>
        <v/>
      </c>
      <c r="G88" s="14" t="str">
        <f aca="true">IF(OR(A88="",B88="",C88=""),"",IF(F88="",TODAY(),F88+C88))</f>
        <v/>
      </c>
      <c r="H88" s="15" t="str">
        <f aca="true">IF(G88="","",G88-TODAY())</f>
        <v/>
      </c>
      <c r="I88" s="16" t="str">
        <f aca="false">IF(H88="","",IF(H88&lt;0,"OVERDUE",IF(H88&lt;=$I$2,"Due soon","OK")))</f>
        <v/>
      </c>
      <c r="J88" s="9"/>
    </row>
    <row r="89" customFormat="false" ht="15" hidden="false" customHeight="false" outlineLevel="0" collapsed="false">
      <c r="A89" s="9"/>
      <c r="B89" s="9"/>
      <c r="C89" s="9"/>
      <c r="D89" s="9"/>
      <c r="E89" s="13"/>
      <c r="F89" s="14" t="str">
        <f aca="false">IF(OR(A89="",B89=""),"",IF(MAX(N(E89),SUMPRODUCT(MAX(('Completion Log'!$B$5:$B$2004=A89)*('Completion Log'!$C$5:$C$2004=B89)*'Completion Log'!$A$5:$A$2004)))=0,"",MAX(N(E89),SUMPRODUCT(MAX(('Completion Log'!$B$5:$B$2004=A89)*('Completion Log'!$C$5:$C$2004=B89)*'Completion Log'!$A$5:$A$2004)))))</f>
        <v/>
      </c>
      <c r="G89" s="14" t="str">
        <f aca="true">IF(OR(A89="",B89="",C89=""),"",IF(F89="",TODAY(),F89+C89))</f>
        <v/>
      </c>
      <c r="H89" s="15" t="str">
        <f aca="true">IF(G89="","",G89-TODAY())</f>
        <v/>
      </c>
      <c r="I89" s="16" t="str">
        <f aca="false">IF(H89="","",IF(H89&lt;0,"OVERDUE",IF(H89&lt;=$I$2,"Due soon","OK")))</f>
        <v/>
      </c>
      <c r="J89" s="9"/>
    </row>
    <row r="90" customFormat="false" ht="15" hidden="false" customHeight="false" outlineLevel="0" collapsed="false">
      <c r="A90" s="9"/>
      <c r="B90" s="9"/>
      <c r="C90" s="9"/>
      <c r="D90" s="9"/>
      <c r="E90" s="13"/>
      <c r="F90" s="14" t="str">
        <f aca="false">IF(OR(A90="",B90=""),"",IF(MAX(N(E90),SUMPRODUCT(MAX(('Completion Log'!$B$5:$B$2004=A90)*('Completion Log'!$C$5:$C$2004=B90)*'Completion Log'!$A$5:$A$2004)))=0,"",MAX(N(E90),SUMPRODUCT(MAX(('Completion Log'!$B$5:$B$2004=A90)*('Completion Log'!$C$5:$C$2004=B90)*'Completion Log'!$A$5:$A$2004)))))</f>
        <v/>
      </c>
      <c r="G90" s="14" t="str">
        <f aca="true">IF(OR(A90="",B90="",C90=""),"",IF(F90="",TODAY(),F90+C90))</f>
        <v/>
      </c>
      <c r="H90" s="15" t="str">
        <f aca="true">IF(G90="","",G90-TODAY())</f>
        <v/>
      </c>
      <c r="I90" s="16" t="str">
        <f aca="false">IF(H90="","",IF(H90&lt;0,"OVERDUE",IF(H90&lt;=$I$2,"Due soon","OK")))</f>
        <v/>
      </c>
      <c r="J90" s="9"/>
    </row>
    <row r="91" customFormat="false" ht="15" hidden="false" customHeight="false" outlineLevel="0" collapsed="false">
      <c r="A91" s="9"/>
      <c r="B91" s="9"/>
      <c r="C91" s="9"/>
      <c r="D91" s="9"/>
      <c r="E91" s="13"/>
      <c r="F91" s="14" t="str">
        <f aca="false">IF(OR(A91="",B91=""),"",IF(MAX(N(E91),SUMPRODUCT(MAX(('Completion Log'!$B$5:$B$2004=A91)*('Completion Log'!$C$5:$C$2004=B91)*'Completion Log'!$A$5:$A$2004)))=0,"",MAX(N(E91),SUMPRODUCT(MAX(('Completion Log'!$B$5:$B$2004=A91)*('Completion Log'!$C$5:$C$2004=B91)*'Completion Log'!$A$5:$A$2004)))))</f>
        <v/>
      </c>
      <c r="G91" s="14" t="str">
        <f aca="true">IF(OR(A91="",B91="",C91=""),"",IF(F91="",TODAY(),F91+C91))</f>
        <v/>
      </c>
      <c r="H91" s="15" t="str">
        <f aca="true">IF(G91="","",G91-TODAY())</f>
        <v/>
      </c>
      <c r="I91" s="16" t="str">
        <f aca="false">IF(H91="","",IF(H91&lt;0,"OVERDUE",IF(H91&lt;=$I$2,"Due soon","OK")))</f>
        <v/>
      </c>
      <c r="J91" s="9"/>
    </row>
    <row r="92" customFormat="false" ht="15" hidden="false" customHeight="false" outlineLevel="0" collapsed="false">
      <c r="A92" s="9"/>
      <c r="B92" s="9"/>
      <c r="C92" s="9"/>
      <c r="D92" s="9"/>
      <c r="E92" s="13"/>
      <c r="F92" s="14" t="str">
        <f aca="false">IF(OR(A92="",B92=""),"",IF(MAX(N(E92),SUMPRODUCT(MAX(('Completion Log'!$B$5:$B$2004=A92)*('Completion Log'!$C$5:$C$2004=B92)*'Completion Log'!$A$5:$A$2004)))=0,"",MAX(N(E92),SUMPRODUCT(MAX(('Completion Log'!$B$5:$B$2004=A92)*('Completion Log'!$C$5:$C$2004=B92)*'Completion Log'!$A$5:$A$2004)))))</f>
        <v/>
      </c>
      <c r="G92" s="14" t="str">
        <f aca="true">IF(OR(A92="",B92="",C92=""),"",IF(F92="",TODAY(),F92+C92))</f>
        <v/>
      </c>
      <c r="H92" s="15" t="str">
        <f aca="true">IF(G92="","",G92-TODAY())</f>
        <v/>
      </c>
      <c r="I92" s="16" t="str">
        <f aca="false">IF(H92="","",IF(H92&lt;0,"OVERDUE",IF(H92&lt;=$I$2,"Due soon","OK")))</f>
        <v/>
      </c>
      <c r="J92" s="9"/>
    </row>
    <row r="93" customFormat="false" ht="15" hidden="false" customHeight="false" outlineLevel="0" collapsed="false">
      <c r="A93" s="9"/>
      <c r="B93" s="9"/>
      <c r="C93" s="9"/>
      <c r="D93" s="9"/>
      <c r="E93" s="13"/>
      <c r="F93" s="14" t="str">
        <f aca="false">IF(OR(A93="",B93=""),"",IF(MAX(N(E93),SUMPRODUCT(MAX(('Completion Log'!$B$5:$B$2004=A93)*('Completion Log'!$C$5:$C$2004=B93)*'Completion Log'!$A$5:$A$2004)))=0,"",MAX(N(E93),SUMPRODUCT(MAX(('Completion Log'!$B$5:$B$2004=A93)*('Completion Log'!$C$5:$C$2004=B93)*'Completion Log'!$A$5:$A$2004)))))</f>
        <v/>
      </c>
      <c r="G93" s="14" t="str">
        <f aca="true">IF(OR(A93="",B93="",C93=""),"",IF(F93="",TODAY(),F93+C93))</f>
        <v/>
      </c>
      <c r="H93" s="15" t="str">
        <f aca="true">IF(G93="","",G93-TODAY())</f>
        <v/>
      </c>
      <c r="I93" s="16" t="str">
        <f aca="false">IF(H93="","",IF(H93&lt;0,"OVERDUE",IF(H93&lt;=$I$2,"Due soon","OK")))</f>
        <v/>
      </c>
      <c r="J93" s="9"/>
    </row>
    <row r="94" customFormat="false" ht="15" hidden="false" customHeight="false" outlineLevel="0" collapsed="false">
      <c r="A94" s="9"/>
      <c r="B94" s="9"/>
      <c r="C94" s="9"/>
      <c r="D94" s="9"/>
      <c r="E94" s="13"/>
      <c r="F94" s="14" t="str">
        <f aca="false">IF(OR(A94="",B94=""),"",IF(MAX(N(E94),SUMPRODUCT(MAX(('Completion Log'!$B$5:$B$2004=A94)*('Completion Log'!$C$5:$C$2004=B94)*'Completion Log'!$A$5:$A$2004)))=0,"",MAX(N(E94),SUMPRODUCT(MAX(('Completion Log'!$B$5:$B$2004=A94)*('Completion Log'!$C$5:$C$2004=B94)*'Completion Log'!$A$5:$A$2004)))))</f>
        <v/>
      </c>
      <c r="G94" s="14" t="str">
        <f aca="true">IF(OR(A94="",B94="",C94=""),"",IF(F94="",TODAY(),F94+C94))</f>
        <v/>
      </c>
      <c r="H94" s="15" t="str">
        <f aca="true">IF(G94="","",G94-TODAY())</f>
        <v/>
      </c>
      <c r="I94" s="16" t="str">
        <f aca="false">IF(H94="","",IF(H94&lt;0,"OVERDUE",IF(H94&lt;=$I$2,"Due soon","OK")))</f>
        <v/>
      </c>
      <c r="J94" s="9"/>
    </row>
    <row r="95" customFormat="false" ht="15" hidden="false" customHeight="false" outlineLevel="0" collapsed="false">
      <c r="A95" s="9"/>
      <c r="B95" s="9"/>
      <c r="C95" s="9"/>
      <c r="D95" s="9"/>
      <c r="E95" s="13"/>
      <c r="F95" s="14" t="str">
        <f aca="false">IF(OR(A95="",B95=""),"",IF(MAX(N(E95),SUMPRODUCT(MAX(('Completion Log'!$B$5:$B$2004=A95)*('Completion Log'!$C$5:$C$2004=B95)*'Completion Log'!$A$5:$A$2004)))=0,"",MAX(N(E95),SUMPRODUCT(MAX(('Completion Log'!$B$5:$B$2004=A95)*('Completion Log'!$C$5:$C$2004=B95)*'Completion Log'!$A$5:$A$2004)))))</f>
        <v/>
      </c>
      <c r="G95" s="14" t="str">
        <f aca="true">IF(OR(A95="",B95="",C95=""),"",IF(F95="",TODAY(),F95+C95))</f>
        <v/>
      </c>
      <c r="H95" s="15" t="str">
        <f aca="true">IF(G95="","",G95-TODAY())</f>
        <v/>
      </c>
      <c r="I95" s="16" t="str">
        <f aca="false">IF(H95="","",IF(H95&lt;0,"OVERDUE",IF(H95&lt;=$I$2,"Due soon","OK")))</f>
        <v/>
      </c>
      <c r="J95" s="9"/>
    </row>
    <row r="96" customFormat="false" ht="15" hidden="false" customHeight="false" outlineLevel="0" collapsed="false">
      <c r="A96" s="9"/>
      <c r="B96" s="9"/>
      <c r="C96" s="9"/>
      <c r="D96" s="9"/>
      <c r="E96" s="13"/>
      <c r="F96" s="14" t="str">
        <f aca="false">IF(OR(A96="",B96=""),"",IF(MAX(N(E96),SUMPRODUCT(MAX(('Completion Log'!$B$5:$B$2004=A96)*('Completion Log'!$C$5:$C$2004=B96)*'Completion Log'!$A$5:$A$2004)))=0,"",MAX(N(E96),SUMPRODUCT(MAX(('Completion Log'!$B$5:$B$2004=A96)*('Completion Log'!$C$5:$C$2004=B96)*'Completion Log'!$A$5:$A$2004)))))</f>
        <v/>
      </c>
      <c r="G96" s="14" t="str">
        <f aca="true">IF(OR(A96="",B96="",C96=""),"",IF(F96="",TODAY(),F96+C96))</f>
        <v/>
      </c>
      <c r="H96" s="15" t="str">
        <f aca="true">IF(G96="","",G96-TODAY())</f>
        <v/>
      </c>
      <c r="I96" s="16" t="str">
        <f aca="false">IF(H96="","",IF(H96&lt;0,"OVERDUE",IF(H96&lt;=$I$2,"Due soon","OK")))</f>
        <v/>
      </c>
      <c r="J96" s="9"/>
    </row>
    <row r="97" customFormat="false" ht="15" hidden="false" customHeight="false" outlineLevel="0" collapsed="false">
      <c r="A97" s="9"/>
      <c r="B97" s="9"/>
      <c r="C97" s="9"/>
      <c r="D97" s="9"/>
      <c r="E97" s="13"/>
      <c r="F97" s="14" t="str">
        <f aca="false">IF(OR(A97="",B97=""),"",IF(MAX(N(E97),SUMPRODUCT(MAX(('Completion Log'!$B$5:$B$2004=A97)*('Completion Log'!$C$5:$C$2004=B97)*'Completion Log'!$A$5:$A$2004)))=0,"",MAX(N(E97),SUMPRODUCT(MAX(('Completion Log'!$B$5:$B$2004=A97)*('Completion Log'!$C$5:$C$2004=B97)*'Completion Log'!$A$5:$A$2004)))))</f>
        <v/>
      </c>
      <c r="G97" s="14" t="str">
        <f aca="true">IF(OR(A97="",B97="",C97=""),"",IF(F97="",TODAY(),F97+C97))</f>
        <v/>
      </c>
      <c r="H97" s="15" t="str">
        <f aca="true">IF(G97="","",G97-TODAY())</f>
        <v/>
      </c>
      <c r="I97" s="16" t="str">
        <f aca="false">IF(H97="","",IF(H97&lt;0,"OVERDUE",IF(H97&lt;=$I$2,"Due soon","OK")))</f>
        <v/>
      </c>
      <c r="J97" s="9"/>
    </row>
    <row r="98" customFormat="false" ht="15" hidden="false" customHeight="false" outlineLevel="0" collapsed="false">
      <c r="A98" s="9"/>
      <c r="B98" s="9"/>
      <c r="C98" s="9"/>
      <c r="D98" s="9"/>
      <c r="E98" s="13"/>
      <c r="F98" s="14" t="str">
        <f aca="false">IF(OR(A98="",B98=""),"",IF(MAX(N(E98),SUMPRODUCT(MAX(('Completion Log'!$B$5:$B$2004=A98)*('Completion Log'!$C$5:$C$2004=B98)*'Completion Log'!$A$5:$A$2004)))=0,"",MAX(N(E98),SUMPRODUCT(MAX(('Completion Log'!$B$5:$B$2004=A98)*('Completion Log'!$C$5:$C$2004=B98)*'Completion Log'!$A$5:$A$2004)))))</f>
        <v/>
      </c>
      <c r="G98" s="14" t="str">
        <f aca="true">IF(OR(A98="",B98="",C98=""),"",IF(F98="",TODAY(),F98+C98))</f>
        <v/>
      </c>
      <c r="H98" s="15" t="str">
        <f aca="true">IF(G98="","",G98-TODAY())</f>
        <v/>
      </c>
      <c r="I98" s="16" t="str">
        <f aca="false">IF(H98="","",IF(H98&lt;0,"OVERDUE",IF(H98&lt;=$I$2,"Due soon","OK")))</f>
        <v/>
      </c>
      <c r="J98" s="9"/>
    </row>
    <row r="99" customFormat="false" ht="15" hidden="false" customHeight="false" outlineLevel="0" collapsed="false">
      <c r="A99" s="9"/>
      <c r="B99" s="9"/>
      <c r="C99" s="9"/>
      <c r="D99" s="9"/>
      <c r="E99" s="13"/>
      <c r="F99" s="14" t="str">
        <f aca="false">IF(OR(A99="",B99=""),"",IF(MAX(N(E99),SUMPRODUCT(MAX(('Completion Log'!$B$5:$B$2004=A99)*('Completion Log'!$C$5:$C$2004=B99)*'Completion Log'!$A$5:$A$2004)))=0,"",MAX(N(E99),SUMPRODUCT(MAX(('Completion Log'!$B$5:$B$2004=A99)*('Completion Log'!$C$5:$C$2004=B99)*'Completion Log'!$A$5:$A$2004)))))</f>
        <v/>
      </c>
      <c r="G99" s="14" t="str">
        <f aca="true">IF(OR(A99="",B99="",C99=""),"",IF(F99="",TODAY(),F99+C99))</f>
        <v/>
      </c>
      <c r="H99" s="15" t="str">
        <f aca="true">IF(G99="","",G99-TODAY())</f>
        <v/>
      </c>
      <c r="I99" s="16" t="str">
        <f aca="false">IF(H99="","",IF(H99&lt;0,"OVERDUE",IF(H99&lt;=$I$2,"Due soon","OK")))</f>
        <v/>
      </c>
      <c r="J99" s="9"/>
    </row>
    <row r="100" customFormat="false" ht="15" hidden="false" customHeight="false" outlineLevel="0" collapsed="false">
      <c r="A100" s="9"/>
      <c r="B100" s="9"/>
      <c r="C100" s="9"/>
      <c r="D100" s="9"/>
      <c r="E100" s="13"/>
      <c r="F100" s="14" t="str">
        <f aca="false">IF(OR(A100="",B100=""),"",IF(MAX(N(E100),SUMPRODUCT(MAX(('Completion Log'!$B$5:$B$2004=A100)*('Completion Log'!$C$5:$C$2004=B100)*'Completion Log'!$A$5:$A$2004)))=0,"",MAX(N(E100),SUMPRODUCT(MAX(('Completion Log'!$B$5:$B$2004=A100)*('Completion Log'!$C$5:$C$2004=B100)*'Completion Log'!$A$5:$A$2004)))))</f>
        <v/>
      </c>
      <c r="G100" s="14" t="str">
        <f aca="true">IF(OR(A100="",B100="",C100=""),"",IF(F100="",TODAY(),F100+C100))</f>
        <v/>
      </c>
      <c r="H100" s="15" t="str">
        <f aca="true">IF(G100="","",G100-TODAY())</f>
        <v/>
      </c>
      <c r="I100" s="16" t="str">
        <f aca="false">IF(H100="","",IF(H100&lt;0,"OVERDUE",IF(H100&lt;=$I$2,"Due soon","OK")))</f>
        <v/>
      </c>
      <c r="J100" s="9"/>
    </row>
    <row r="101" customFormat="false" ht="15" hidden="false" customHeight="false" outlineLevel="0" collapsed="false">
      <c r="A101" s="9"/>
      <c r="B101" s="9"/>
      <c r="C101" s="9"/>
      <c r="D101" s="9"/>
      <c r="E101" s="13"/>
      <c r="F101" s="14" t="str">
        <f aca="false">IF(OR(A101="",B101=""),"",IF(MAX(N(E101),SUMPRODUCT(MAX(('Completion Log'!$B$5:$B$2004=A101)*('Completion Log'!$C$5:$C$2004=B101)*'Completion Log'!$A$5:$A$2004)))=0,"",MAX(N(E101),SUMPRODUCT(MAX(('Completion Log'!$B$5:$B$2004=A101)*('Completion Log'!$C$5:$C$2004=B101)*'Completion Log'!$A$5:$A$2004)))))</f>
        <v/>
      </c>
      <c r="G101" s="14" t="str">
        <f aca="true">IF(OR(A101="",B101="",C101=""),"",IF(F101="",TODAY(),F101+C101))</f>
        <v/>
      </c>
      <c r="H101" s="15" t="str">
        <f aca="true">IF(G101="","",G101-TODAY())</f>
        <v/>
      </c>
      <c r="I101" s="16" t="str">
        <f aca="false">IF(H101="","",IF(H101&lt;0,"OVERDUE",IF(H101&lt;=$I$2,"Due soon","OK")))</f>
        <v/>
      </c>
      <c r="J101" s="9"/>
    </row>
    <row r="102" customFormat="false" ht="15" hidden="false" customHeight="false" outlineLevel="0" collapsed="false">
      <c r="A102" s="9"/>
      <c r="B102" s="9"/>
      <c r="C102" s="9"/>
      <c r="D102" s="9"/>
      <c r="E102" s="13"/>
      <c r="F102" s="14" t="str">
        <f aca="false">IF(OR(A102="",B102=""),"",IF(MAX(N(E102),SUMPRODUCT(MAX(('Completion Log'!$B$5:$B$2004=A102)*('Completion Log'!$C$5:$C$2004=B102)*'Completion Log'!$A$5:$A$2004)))=0,"",MAX(N(E102),SUMPRODUCT(MAX(('Completion Log'!$B$5:$B$2004=A102)*('Completion Log'!$C$5:$C$2004=B102)*'Completion Log'!$A$5:$A$2004)))))</f>
        <v/>
      </c>
      <c r="G102" s="14" t="str">
        <f aca="true">IF(OR(A102="",B102="",C102=""),"",IF(F102="",TODAY(),F102+C102))</f>
        <v/>
      </c>
      <c r="H102" s="15" t="str">
        <f aca="true">IF(G102="","",G102-TODAY())</f>
        <v/>
      </c>
      <c r="I102" s="16" t="str">
        <f aca="false">IF(H102="","",IF(H102&lt;0,"OVERDUE",IF(H102&lt;=$I$2,"Due soon","OK")))</f>
        <v/>
      </c>
      <c r="J102" s="9"/>
    </row>
    <row r="103" customFormat="false" ht="15" hidden="false" customHeight="false" outlineLevel="0" collapsed="false">
      <c r="A103" s="9"/>
      <c r="B103" s="9"/>
      <c r="C103" s="9"/>
      <c r="D103" s="9"/>
      <c r="E103" s="13"/>
      <c r="F103" s="14" t="str">
        <f aca="false">IF(OR(A103="",B103=""),"",IF(MAX(N(E103),SUMPRODUCT(MAX(('Completion Log'!$B$5:$B$2004=A103)*('Completion Log'!$C$5:$C$2004=B103)*'Completion Log'!$A$5:$A$2004)))=0,"",MAX(N(E103),SUMPRODUCT(MAX(('Completion Log'!$B$5:$B$2004=A103)*('Completion Log'!$C$5:$C$2004=B103)*'Completion Log'!$A$5:$A$2004)))))</f>
        <v/>
      </c>
      <c r="G103" s="14" t="str">
        <f aca="true">IF(OR(A103="",B103="",C103=""),"",IF(F103="",TODAY(),F103+C103))</f>
        <v/>
      </c>
      <c r="H103" s="15" t="str">
        <f aca="true">IF(G103="","",G103-TODAY())</f>
        <v/>
      </c>
      <c r="I103" s="16" t="str">
        <f aca="false">IF(H103="","",IF(H103&lt;0,"OVERDUE",IF(H103&lt;=$I$2,"Due soon","OK")))</f>
        <v/>
      </c>
      <c r="J103" s="9"/>
    </row>
    <row r="104" customFormat="false" ht="15" hidden="false" customHeight="false" outlineLevel="0" collapsed="false">
      <c r="A104" s="9"/>
      <c r="B104" s="9"/>
      <c r="C104" s="9"/>
      <c r="D104" s="9"/>
      <c r="E104" s="13"/>
      <c r="F104" s="14" t="str">
        <f aca="false">IF(OR(A104="",B104=""),"",IF(MAX(N(E104),SUMPRODUCT(MAX(('Completion Log'!$B$5:$B$2004=A104)*('Completion Log'!$C$5:$C$2004=B104)*'Completion Log'!$A$5:$A$2004)))=0,"",MAX(N(E104),SUMPRODUCT(MAX(('Completion Log'!$B$5:$B$2004=A104)*('Completion Log'!$C$5:$C$2004=B104)*'Completion Log'!$A$5:$A$2004)))))</f>
        <v/>
      </c>
      <c r="G104" s="14" t="str">
        <f aca="true">IF(OR(A104="",B104="",C104=""),"",IF(F104="",TODAY(),F104+C104))</f>
        <v/>
      </c>
      <c r="H104" s="15" t="str">
        <f aca="true">IF(G104="","",G104-TODAY())</f>
        <v/>
      </c>
      <c r="I104" s="16" t="str">
        <f aca="false">IF(H104="","",IF(H104&lt;0,"OVERDUE",IF(H104&lt;=$I$2,"Due soon","OK")))</f>
        <v/>
      </c>
      <c r="J104" s="9"/>
    </row>
    <row r="105" customFormat="false" ht="15" hidden="false" customHeight="false" outlineLevel="0" collapsed="false">
      <c r="A105" s="9"/>
      <c r="B105" s="9"/>
      <c r="C105" s="9"/>
      <c r="D105" s="9"/>
      <c r="E105" s="13"/>
      <c r="F105" s="14" t="str">
        <f aca="false">IF(OR(A105="",B105=""),"",IF(MAX(N(E105),SUMPRODUCT(MAX(('Completion Log'!$B$5:$B$2004=A105)*('Completion Log'!$C$5:$C$2004=B105)*'Completion Log'!$A$5:$A$2004)))=0,"",MAX(N(E105),SUMPRODUCT(MAX(('Completion Log'!$B$5:$B$2004=A105)*('Completion Log'!$C$5:$C$2004=B105)*'Completion Log'!$A$5:$A$2004)))))</f>
        <v/>
      </c>
      <c r="G105" s="14" t="str">
        <f aca="true">IF(OR(A105="",B105="",C105=""),"",IF(F105="",TODAY(),F105+C105))</f>
        <v/>
      </c>
      <c r="H105" s="15" t="str">
        <f aca="true">IF(G105="","",G105-TODAY())</f>
        <v/>
      </c>
      <c r="I105" s="16" t="str">
        <f aca="false">IF(H105="","",IF(H105&lt;0,"OVERDUE",IF(H105&lt;=$I$2,"Due soon","OK")))</f>
        <v/>
      </c>
      <c r="J105" s="9"/>
    </row>
    <row r="106" customFormat="false" ht="15" hidden="false" customHeight="false" outlineLevel="0" collapsed="false">
      <c r="A106" s="9"/>
      <c r="B106" s="9"/>
      <c r="C106" s="9"/>
      <c r="D106" s="9"/>
      <c r="E106" s="13"/>
      <c r="F106" s="14" t="str">
        <f aca="false">IF(OR(A106="",B106=""),"",IF(MAX(N(E106),SUMPRODUCT(MAX(('Completion Log'!$B$5:$B$2004=A106)*('Completion Log'!$C$5:$C$2004=B106)*'Completion Log'!$A$5:$A$2004)))=0,"",MAX(N(E106),SUMPRODUCT(MAX(('Completion Log'!$B$5:$B$2004=A106)*('Completion Log'!$C$5:$C$2004=B106)*'Completion Log'!$A$5:$A$2004)))))</f>
        <v/>
      </c>
      <c r="G106" s="14" t="str">
        <f aca="true">IF(OR(A106="",B106="",C106=""),"",IF(F106="",TODAY(),F106+C106))</f>
        <v/>
      </c>
      <c r="H106" s="15" t="str">
        <f aca="true">IF(G106="","",G106-TODAY())</f>
        <v/>
      </c>
      <c r="I106" s="16" t="str">
        <f aca="false">IF(H106="","",IF(H106&lt;0,"OVERDUE",IF(H106&lt;=$I$2,"Due soon","OK")))</f>
        <v/>
      </c>
      <c r="J106" s="9"/>
    </row>
    <row r="107" customFormat="false" ht="15" hidden="false" customHeight="false" outlineLevel="0" collapsed="false">
      <c r="A107" s="9"/>
      <c r="B107" s="9"/>
      <c r="C107" s="9"/>
      <c r="D107" s="9"/>
      <c r="E107" s="13"/>
      <c r="F107" s="14" t="str">
        <f aca="false">IF(OR(A107="",B107=""),"",IF(MAX(N(E107),SUMPRODUCT(MAX(('Completion Log'!$B$5:$B$2004=A107)*('Completion Log'!$C$5:$C$2004=B107)*'Completion Log'!$A$5:$A$2004)))=0,"",MAX(N(E107),SUMPRODUCT(MAX(('Completion Log'!$B$5:$B$2004=A107)*('Completion Log'!$C$5:$C$2004=B107)*'Completion Log'!$A$5:$A$2004)))))</f>
        <v/>
      </c>
      <c r="G107" s="14" t="str">
        <f aca="true">IF(OR(A107="",B107="",C107=""),"",IF(F107="",TODAY(),F107+C107))</f>
        <v/>
      </c>
      <c r="H107" s="15" t="str">
        <f aca="true">IF(G107="","",G107-TODAY())</f>
        <v/>
      </c>
      <c r="I107" s="16" t="str">
        <f aca="false">IF(H107="","",IF(H107&lt;0,"OVERDUE",IF(H107&lt;=$I$2,"Due soon","OK")))</f>
        <v/>
      </c>
      <c r="J107" s="9"/>
    </row>
    <row r="108" customFormat="false" ht="15" hidden="false" customHeight="false" outlineLevel="0" collapsed="false">
      <c r="A108" s="9"/>
      <c r="B108" s="9"/>
      <c r="C108" s="9"/>
      <c r="D108" s="9"/>
      <c r="E108" s="13"/>
      <c r="F108" s="14" t="str">
        <f aca="false">IF(OR(A108="",B108=""),"",IF(MAX(N(E108),SUMPRODUCT(MAX(('Completion Log'!$B$5:$B$2004=A108)*('Completion Log'!$C$5:$C$2004=B108)*'Completion Log'!$A$5:$A$2004)))=0,"",MAX(N(E108),SUMPRODUCT(MAX(('Completion Log'!$B$5:$B$2004=A108)*('Completion Log'!$C$5:$C$2004=B108)*'Completion Log'!$A$5:$A$2004)))))</f>
        <v/>
      </c>
      <c r="G108" s="14" t="str">
        <f aca="true">IF(OR(A108="",B108="",C108=""),"",IF(F108="",TODAY(),F108+C108))</f>
        <v/>
      </c>
      <c r="H108" s="15" t="str">
        <f aca="true">IF(G108="","",G108-TODAY())</f>
        <v/>
      </c>
      <c r="I108" s="16" t="str">
        <f aca="false">IF(H108="","",IF(H108&lt;0,"OVERDUE",IF(H108&lt;=$I$2,"Due soon","OK")))</f>
        <v/>
      </c>
      <c r="J108" s="9"/>
    </row>
    <row r="109" customFormat="false" ht="15" hidden="false" customHeight="false" outlineLevel="0" collapsed="false">
      <c r="A109" s="9"/>
      <c r="B109" s="9"/>
      <c r="C109" s="9"/>
      <c r="D109" s="9"/>
      <c r="E109" s="13"/>
      <c r="F109" s="14" t="str">
        <f aca="false">IF(OR(A109="",B109=""),"",IF(MAX(N(E109),SUMPRODUCT(MAX(('Completion Log'!$B$5:$B$2004=A109)*('Completion Log'!$C$5:$C$2004=B109)*'Completion Log'!$A$5:$A$2004)))=0,"",MAX(N(E109),SUMPRODUCT(MAX(('Completion Log'!$B$5:$B$2004=A109)*('Completion Log'!$C$5:$C$2004=B109)*'Completion Log'!$A$5:$A$2004)))))</f>
        <v/>
      </c>
      <c r="G109" s="14" t="str">
        <f aca="true">IF(OR(A109="",B109="",C109=""),"",IF(F109="",TODAY(),F109+C109))</f>
        <v/>
      </c>
      <c r="H109" s="15" t="str">
        <f aca="true">IF(G109="","",G109-TODAY())</f>
        <v/>
      </c>
      <c r="I109" s="16" t="str">
        <f aca="false">IF(H109="","",IF(H109&lt;0,"OVERDUE",IF(H109&lt;=$I$2,"Due soon","OK")))</f>
        <v/>
      </c>
      <c r="J109" s="9"/>
    </row>
    <row r="110" customFormat="false" ht="15" hidden="false" customHeight="false" outlineLevel="0" collapsed="false">
      <c r="A110" s="9"/>
      <c r="B110" s="9"/>
      <c r="C110" s="9"/>
      <c r="D110" s="9"/>
      <c r="E110" s="13"/>
      <c r="F110" s="14" t="str">
        <f aca="false">IF(OR(A110="",B110=""),"",IF(MAX(N(E110),SUMPRODUCT(MAX(('Completion Log'!$B$5:$B$2004=A110)*('Completion Log'!$C$5:$C$2004=B110)*'Completion Log'!$A$5:$A$2004)))=0,"",MAX(N(E110),SUMPRODUCT(MAX(('Completion Log'!$B$5:$B$2004=A110)*('Completion Log'!$C$5:$C$2004=B110)*'Completion Log'!$A$5:$A$2004)))))</f>
        <v/>
      </c>
      <c r="G110" s="14" t="str">
        <f aca="true">IF(OR(A110="",B110="",C110=""),"",IF(F110="",TODAY(),F110+C110))</f>
        <v/>
      </c>
      <c r="H110" s="15" t="str">
        <f aca="true">IF(G110="","",G110-TODAY())</f>
        <v/>
      </c>
      <c r="I110" s="16" t="str">
        <f aca="false">IF(H110="","",IF(H110&lt;0,"OVERDUE",IF(H110&lt;=$I$2,"Due soon","OK")))</f>
        <v/>
      </c>
      <c r="J110" s="9"/>
    </row>
    <row r="111" customFormat="false" ht="15" hidden="false" customHeight="false" outlineLevel="0" collapsed="false">
      <c r="A111" s="9"/>
      <c r="B111" s="9"/>
      <c r="C111" s="9"/>
      <c r="D111" s="9"/>
      <c r="E111" s="13"/>
      <c r="F111" s="14" t="str">
        <f aca="false">IF(OR(A111="",B111=""),"",IF(MAX(N(E111),SUMPRODUCT(MAX(('Completion Log'!$B$5:$B$2004=A111)*('Completion Log'!$C$5:$C$2004=B111)*'Completion Log'!$A$5:$A$2004)))=0,"",MAX(N(E111),SUMPRODUCT(MAX(('Completion Log'!$B$5:$B$2004=A111)*('Completion Log'!$C$5:$C$2004=B111)*'Completion Log'!$A$5:$A$2004)))))</f>
        <v/>
      </c>
      <c r="G111" s="14" t="str">
        <f aca="true">IF(OR(A111="",B111="",C111=""),"",IF(F111="",TODAY(),F111+C111))</f>
        <v/>
      </c>
      <c r="H111" s="15" t="str">
        <f aca="true">IF(G111="","",G111-TODAY())</f>
        <v/>
      </c>
      <c r="I111" s="16" t="str">
        <f aca="false">IF(H111="","",IF(H111&lt;0,"OVERDUE",IF(H111&lt;=$I$2,"Due soon","OK")))</f>
        <v/>
      </c>
      <c r="J111" s="9"/>
    </row>
    <row r="112" customFormat="false" ht="15" hidden="false" customHeight="false" outlineLevel="0" collapsed="false">
      <c r="A112" s="9"/>
      <c r="B112" s="9"/>
      <c r="C112" s="9"/>
      <c r="D112" s="9"/>
      <c r="E112" s="13"/>
      <c r="F112" s="14" t="str">
        <f aca="false">IF(OR(A112="",B112=""),"",IF(MAX(N(E112),SUMPRODUCT(MAX(('Completion Log'!$B$5:$B$2004=A112)*('Completion Log'!$C$5:$C$2004=B112)*'Completion Log'!$A$5:$A$2004)))=0,"",MAX(N(E112),SUMPRODUCT(MAX(('Completion Log'!$B$5:$B$2004=A112)*('Completion Log'!$C$5:$C$2004=B112)*'Completion Log'!$A$5:$A$2004)))))</f>
        <v/>
      </c>
      <c r="G112" s="14" t="str">
        <f aca="true">IF(OR(A112="",B112="",C112=""),"",IF(F112="",TODAY(),F112+C112))</f>
        <v/>
      </c>
      <c r="H112" s="15" t="str">
        <f aca="true">IF(G112="","",G112-TODAY())</f>
        <v/>
      </c>
      <c r="I112" s="16" t="str">
        <f aca="false">IF(H112="","",IF(H112&lt;0,"OVERDUE",IF(H112&lt;=$I$2,"Due soon","OK")))</f>
        <v/>
      </c>
      <c r="J112" s="9"/>
    </row>
    <row r="113" customFormat="false" ht="15" hidden="false" customHeight="false" outlineLevel="0" collapsed="false">
      <c r="A113" s="9"/>
      <c r="B113" s="9"/>
      <c r="C113" s="9"/>
      <c r="D113" s="9"/>
      <c r="E113" s="13"/>
      <c r="F113" s="14" t="str">
        <f aca="false">IF(OR(A113="",B113=""),"",IF(MAX(N(E113),SUMPRODUCT(MAX(('Completion Log'!$B$5:$B$2004=A113)*('Completion Log'!$C$5:$C$2004=B113)*'Completion Log'!$A$5:$A$2004)))=0,"",MAX(N(E113),SUMPRODUCT(MAX(('Completion Log'!$B$5:$B$2004=A113)*('Completion Log'!$C$5:$C$2004=B113)*'Completion Log'!$A$5:$A$2004)))))</f>
        <v/>
      </c>
      <c r="G113" s="14" t="str">
        <f aca="true">IF(OR(A113="",B113="",C113=""),"",IF(F113="",TODAY(),F113+C113))</f>
        <v/>
      </c>
      <c r="H113" s="15" t="str">
        <f aca="true">IF(G113="","",G113-TODAY())</f>
        <v/>
      </c>
      <c r="I113" s="16" t="str">
        <f aca="false">IF(H113="","",IF(H113&lt;0,"OVERDUE",IF(H113&lt;=$I$2,"Due soon","OK")))</f>
        <v/>
      </c>
      <c r="J113" s="9"/>
    </row>
    <row r="114" customFormat="false" ht="15" hidden="false" customHeight="false" outlineLevel="0" collapsed="false">
      <c r="A114" s="9"/>
      <c r="B114" s="9"/>
      <c r="C114" s="9"/>
      <c r="D114" s="9"/>
      <c r="E114" s="13"/>
      <c r="F114" s="14" t="str">
        <f aca="false">IF(OR(A114="",B114=""),"",IF(MAX(N(E114),SUMPRODUCT(MAX(('Completion Log'!$B$5:$B$2004=A114)*('Completion Log'!$C$5:$C$2004=B114)*'Completion Log'!$A$5:$A$2004)))=0,"",MAX(N(E114),SUMPRODUCT(MAX(('Completion Log'!$B$5:$B$2004=A114)*('Completion Log'!$C$5:$C$2004=B114)*'Completion Log'!$A$5:$A$2004)))))</f>
        <v/>
      </c>
      <c r="G114" s="14" t="str">
        <f aca="true">IF(OR(A114="",B114="",C114=""),"",IF(F114="",TODAY(),F114+C114))</f>
        <v/>
      </c>
      <c r="H114" s="15" t="str">
        <f aca="true">IF(G114="","",G114-TODAY())</f>
        <v/>
      </c>
      <c r="I114" s="16" t="str">
        <f aca="false">IF(H114="","",IF(H114&lt;0,"OVERDUE",IF(H114&lt;=$I$2,"Due soon","OK")))</f>
        <v/>
      </c>
      <c r="J114" s="9"/>
    </row>
    <row r="115" customFormat="false" ht="15" hidden="false" customHeight="false" outlineLevel="0" collapsed="false">
      <c r="A115" s="9"/>
      <c r="B115" s="9"/>
      <c r="C115" s="9"/>
      <c r="D115" s="9"/>
      <c r="E115" s="13"/>
      <c r="F115" s="14" t="str">
        <f aca="false">IF(OR(A115="",B115=""),"",IF(MAX(N(E115),SUMPRODUCT(MAX(('Completion Log'!$B$5:$B$2004=A115)*('Completion Log'!$C$5:$C$2004=B115)*'Completion Log'!$A$5:$A$2004)))=0,"",MAX(N(E115),SUMPRODUCT(MAX(('Completion Log'!$B$5:$B$2004=A115)*('Completion Log'!$C$5:$C$2004=B115)*'Completion Log'!$A$5:$A$2004)))))</f>
        <v/>
      </c>
      <c r="G115" s="14" t="str">
        <f aca="true">IF(OR(A115="",B115="",C115=""),"",IF(F115="",TODAY(),F115+C115))</f>
        <v/>
      </c>
      <c r="H115" s="15" t="str">
        <f aca="true">IF(G115="","",G115-TODAY())</f>
        <v/>
      </c>
      <c r="I115" s="16" t="str">
        <f aca="false">IF(H115="","",IF(H115&lt;0,"OVERDUE",IF(H115&lt;=$I$2,"Due soon","OK")))</f>
        <v/>
      </c>
      <c r="J115" s="9"/>
    </row>
    <row r="116" customFormat="false" ht="15" hidden="false" customHeight="false" outlineLevel="0" collapsed="false">
      <c r="A116" s="9"/>
      <c r="B116" s="9"/>
      <c r="C116" s="9"/>
      <c r="D116" s="9"/>
      <c r="E116" s="13"/>
      <c r="F116" s="14" t="str">
        <f aca="false">IF(OR(A116="",B116=""),"",IF(MAX(N(E116),SUMPRODUCT(MAX(('Completion Log'!$B$5:$B$2004=A116)*('Completion Log'!$C$5:$C$2004=B116)*'Completion Log'!$A$5:$A$2004)))=0,"",MAX(N(E116),SUMPRODUCT(MAX(('Completion Log'!$B$5:$B$2004=A116)*('Completion Log'!$C$5:$C$2004=B116)*'Completion Log'!$A$5:$A$2004)))))</f>
        <v/>
      </c>
      <c r="G116" s="14" t="str">
        <f aca="true">IF(OR(A116="",B116="",C116=""),"",IF(F116="",TODAY(),F116+C116))</f>
        <v/>
      </c>
      <c r="H116" s="15" t="str">
        <f aca="true">IF(G116="","",G116-TODAY())</f>
        <v/>
      </c>
      <c r="I116" s="16" t="str">
        <f aca="false">IF(H116="","",IF(H116&lt;0,"OVERDUE",IF(H116&lt;=$I$2,"Due soon","OK")))</f>
        <v/>
      </c>
      <c r="J116" s="9"/>
    </row>
    <row r="117" customFormat="false" ht="15" hidden="false" customHeight="false" outlineLevel="0" collapsed="false">
      <c r="A117" s="9"/>
      <c r="B117" s="9"/>
      <c r="C117" s="9"/>
      <c r="D117" s="9"/>
      <c r="E117" s="13"/>
      <c r="F117" s="14" t="str">
        <f aca="false">IF(OR(A117="",B117=""),"",IF(MAX(N(E117),SUMPRODUCT(MAX(('Completion Log'!$B$5:$B$2004=A117)*('Completion Log'!$C$5:$C$2004=B117)*'Completion Log'!$A$5:$A$2004)))=0,"",MAX(N(E117),SUMPRODUCT(MAX(('Completion Log'!$B$5:$B$2004=A117)*('Completion Log'!$C$5:$C$2004=B117)*'Completion Log'!$A$5:$A$2004)))))</f>
        <v/>
      </c>
      <c r="G117" s="14" t="str">
        <f aca="true">IF(OR(A117="",B117="",C117=""),"",IF(F117="",TODAY(),F117+C117))</f>
        <v/>
      </c>
      <c r="H117" s="15" t="str">
        <f aca="true">IF(G117="","",G117-TODAY())</f>
        <v/>
      </c>
      <c r="I117" s="16" t="str">
        <f aca="false">IF(H117="","",IF(H117&lt;0,"OVERDUE",IF(H117&lt;=$I$2,"Due soon","OK")))</f>
        <v/>
      </c>
      <c r="J117" s="9"/>
    </row>
    <row r="118" customFormat="false" ht="15" hidden="false" customHeight="false" outlineLevel="0" collapsed="false">
      <c r="A118" s="9"/>
      <c r="B118" s="9"/>
      <c r="C118" s="9"/>
      <c r="D118" s="9"/>
      <c r="E118" s="13"/>
      <c r="F118" s="14" t="str">
        <f aca="false">IF(OR(A118="",B118=""),"",IF(MAX(N(E118),SUMPRODUCT(MAX(('Completion Log'!$B$5:$B$2004=A118)*('Completion Log'!$C$5:$C$2004=B118)*'Completion Log'!$A$5:$A$2004)))=0,"",MAX(N(E118),SUMPRODUCT(MAX(('Completion Log'!$B$5:$B$2004=A118)*('Completion Log'!$C$5:$C$2004=B118)*'Completion Log'!$A$5:$A$2004)))))</f>
        <v/>
      </c>
      <c r="G118" s="14" t="str">
        <f aca="true">IF(OR(A118="",B118="",C118=""),"",IF(F118="",TODAY(),F118+C118))</f>
        <v/>
      </c>
      <c r="H118" s="15" t="str">
        <f aca="true">IF(G118="","",G118-TODAY())</f>
        <v/>
      </c>
      <c r="I118" s="16" t="str">
        <f aca="false">IF(H118="","",IF(H118&lt;0,"OVERDUE",IF(H118&lt;=$I$2,"Due soon","OK")))</f>
        <v/>
      </c>
      <c r="J118" s="9"/>
    </row>
    <row r="119" customFormat="false" ht="15" hidden="false" customHeight="false" outlineLevel="0" collapsed="false">
      <c r="A119" s="9"/>
      <c r="B119" s="9"/>
      <c r="C119" s="9"/>
      <c r="D119" s="9"/>
      <c r="E119" s="13"/>
      <c r="F119" s="14" t="str">
        <f aca="false">IF(OR(A119="",B119=""),"",IF(MAX(N(E119),SUMPRODUCT(MAX(('Completion Log'!$B$5:$B$2004=A119)*('Completion Log'!$C$5:$C$2004=B119)*'Completion Log'!$A$5:$A$2004)))=0,"",MAX(N(E119),SUMPRODUCT(MAX(('Completion Log'!$B$5:$B$2004=A119)*('Completion Log'!$C$5:$C$2004=B119)*'Completion Log'!$A$5:$A$2004)))))</f>
        <v/>
      </c>
      <c r="G119" s="14" t="str">
        <f aca="true">IF(OR(A119="",B119="",C119=""),"",IF(F119="",TODAY(),F119+C119))</f>
        <v/>
      </c>
      <c r="H119" s="15" t="str">
        <f aca="true">IF(G119="","",G119-TODAY())</f>
        <v/>
      </c>
      <c r="I119" s="16" t="str">
        <f aca="false">IF(H119="","",IF(H119&lt;0,"OVERDUE",IF(H119&lt;=$I$2,"Due soon","OK")))</f>
        <v/>
      </c>
      <c r="J119" s="9"/>
    </row>
    <row r="120" customFormat="false" ht="15" hidden="false" customHeight="false" outlineLevel="0" collapsed="false">
      <c r="A120" s="9"/>
      <c r="B120" s="9"/>
      <c r="C120" s="9"/>
      <c r="D120" s="9"/>
      <c r="E120" s="13"/>
      <c r="F120" s="14" t="str">
        <f aca="false">IF(OR(A120="",B120=""),"",IF(MAX(N(E120),SUMPRODUCT(MAX(('Completion Log'!$B$5:$B$2004=A120)*('Completion Log'!$C$5:$C$2004=B120)*'Completion Log'!$A$5:$A$2004)))=0,"",MAX(N(E120),SUMPRODUCT(MAX(('Completion Log'!$B$5:$B$2004=A120)*('Completion Log'!$C$5:$C$2004=B120)*'Completion Log'!$A$5:$A$2004)))))</f>
        <v/>
      </c>
      <c r="G120" s="14" t="str">
        <f aca="true">IF(OR(A120="",B120="",C120=""),"",IF(F120="",TODAY(),F120+C120))</f>
        <v/>
      </c>
      <c r="H120" s="15" t="str">
        <f aca="true">IF(G120="","",G120-TODAY())</f>
        <v/>
      </c>
      <c r="I120" s="16" t="str">
        <f aca="false">IF(H120="","",IF(H120&lt;0,"OVERDUE",IF(H120&lt;=$I$2,"Due soon","OK")))</f>
        <v/>
      </c>
      <c r="J120" s="9"/>
    </row>
    <row r="121" customFormat="false" ht="15" hidden="false" customHeight="false" outlineLevel="0" collapsed="false">
      <c r="A121" s="9"/>
      <c r="B121" s="9"/>
      <c r="C121" s="9"/>
      <c r="D121" s="9"/>
      <c r="E121" s="13"/>
      <c r="F121" s="14" t="str">
        <f aca="false">IF(OR(A121="",B121=""),"",IF(MAX(N(E121),SUMPRODUCT(MAX(('Completion Log'!$B$5:$B$2004=A121)*('Completion Log'!$C$5:$C$2004=B121)*'Completion Log'!$A$5:$A$2004)))=0,"",MAX(N(E121),SUMPRODUCT(MAX(('Completion Log'!$B$5:$B$2004=A121)*('Completion Log'!$C$5:$C$2004=B121)*'Completion Log'!$A$5:$A$2004)))))</f>
        <v/>
      </c>
      <c r="G121" s="14" t="str">
        <f aca="true">IF(OR(A121="",B121="",C121=""),"",IF(F121="",TODAY(),F121+C121))</f>
        <v/>
      </c>
      <c r="H121" s="15" t="str">
        <f aca="true">IF(G121="","",G121-TODAY())</f>
        <v/>
      </c>
      <c r="I121" s="16" t="str">
        <f aca="false">IF(H121="","",IF(H121&lt;0,"OVERDUE",IF(H121&lt;=$I$2,"Due soon","OK")))</f>
        <v/>
      </c>
      <c r="J121" s="9"/>
    </row>
    <row r="122" customFormat="false" ht="15" hidden="false" customHeight="false" outlineLevel="0" collapsed="false">
      <c r="A122" s="9"/>
      <c r="B122" s="9"/>
      <c r="C122" s="9"/>
      <c r="D122" s="9"/>
      <c r="E122" s="13"/>
      <c r="F122" s="14" t="str">
        <f aca="false">IF(OR(A122="",B122=""),"",IF(MAX(N(E122),SUMPRODUCT(MAX(('Completion Log'!$B$5:$B$2004=A122)*('Completion Log'!$C$5:$C$2004=B122)*'Completion Log'!$A$5:$A$2004)))=0,"",MAX(N(E122),SUMPRODUCT(MAX(('Completion Log'!$B$5:$B$2004=A122)*('Completion Log'!$C$5:$C$2004=B122)*'Completion Log'!$A$5:$A$2004)))))</f>
        <v/>
      </c>
      <c r="G122" s="14" t="str">
        <f aca="true">IF(OR(A122="",B122="",C122=""),"",IF(F122="",TODAY(),F122+C122))</f>
        <v/>
      </c>
      <c r="H122" s="15" t="str">
        <f aca="true">IF(G122="","",G122-TODAY())</f>
        <v/>
      </c>
      <c r="I122" s="16" t="str">
        <f aca="false">IF(H122="","",IF(H122&lt;0,"OVERDUE",IF(H122&lt;=$I$2,"Due soon","OK")))</f>
        <v/>
      </c>
      <c r="J122" s="9"/>
    </row>
    <row r="123" customFormat="false" ht="15" hidden="false" customHeight="false" outlineLevel="0" collapsed="false">
      <c r="A123" s="9"/>
      <c r="B123" s="9"/>
      <c r="C123" s="9"/>
      <c r="D123" s="9"/>
      <c r="E123" s="13"/>
      <c r="F123" s="14" t="str">
        <f aca="false">IF(OR(A123="",B123=""),"",IF(MAX(N(E123),SUMPRODUCT(MAX(('Completion Log'!$B$5:$B$2004=A123)*('Completion Log'!$C$5:$C$2004=B123)*'Completion Log'!$A$5:$A$2004)))=0,"",MAX(N(E123),SUMPRODUCT(MAX(('Completion Log'!$B$5:$B$2004=A123)*('Completion Log'!$C$5:$C$2004=B123)*'Completion Log'!$A$5:$A$2004)))))</f>
        <v/>
      </c>
      <c r="G123" s="14" t="str">
        <f aca="true">IF(OR(A123="",B123="",C123=""),"",IF(F123="",TODAY(),F123+C123))</f>
        <v/>
      </c>
      <c r="H123" s="15" t="str">
        <f aca="true">IF(G123="","",G123-TODAY())</f>
        <v/>
      </c>
      <c r="I123" s="16" t="str">
        <f aca="false">IF(H123="","",IF(H123&lt;0,"OVERDUE",IF(H123&lt;=$I$2,"Due soon","OK")))</f>
        <v/>
      </c>
      <c r="J123" s="9"/>
    </row>
    <row r="124" customFormat="false" ht="15" hidden="false" customHeight="false" outlineLevel="0" collapsed="false">
      <c r="A124" s="9"/>
      <c r="B124" s="9"/>
      <c r="C124" s="9"/>
      <c r="D124" s="9"/>
      <c r="E124" s="13"/>
      <c r="F124" s="14" t="str">
        <f aca="false">IF(OR(A124="",B124=""),"",IF(MAX(N(E124),SUMPRODUCT(MAX(('Completion Log'!$B$5:$B$2004=A124)*('Completion Log'!$C$5:$C$2004=B124)*'Completion Log'!$A$5:$A$2004)))=0,"",MAX(N(E124),SUMPRODUCT(MAX(('Completion Log'!$B$5:$B$2004=A124)*('Completion Log'!$C$5:$C$2004=B124)*'Completion Log'!$A$5:$A$2004)))))</f>
        <v/>
      </c>
      <c r="G124" s="14" t="str">
        <f aca="true">IF(OR(A124="",B124="",C124=""),"",IF(F124="",TODAY(),F124+C124))</f>
        <v/>
      </c>
      <c r="H124" s="15" t="str">
        <f aca="true">IF(G124="","",G124-TODAY())</f>
        <v/>
      </c>
      <c r="I124" s="16" t="str">
        <f aca="false">IF(H124="","",IF(H124&lt;0,"OVERDUE",IF(H124&lt;=$I$2,"Due soon","OK")))</f>
        <v/>
      </c>
      <c r="J124" s="9"/>
    </row>
    <row r="125" customFormat="false" ht="15" hidden="false" customHeight="false" outlineLevel="0" collapsed="false">
      <c r="A125" s="9"/>
      <c r="B125" s="9"/>
      <c r="C125" s="9"/>
      <c r="D125" s="9"/>
      <c r="E125" s="13"/>
      <c r="F125" s="14" t="str">
        <f aca="false">IF(OR(A125="",B125=""),"",IF(MAX(N(E125),SUMPRODUCT(MAX(('Completion Log'!$B$5:$B$2004=A125)*('Completion Log'!$C$5:$C$2004=B125)*'Completion Log'!$A$5:$A$2004)))=0,"",MAX(N(E125),SUMPRODUCT(MAX(('Completion Log'!$B$5:$B$2004=A125)*('Completion Log'!$C$5:$C$2004=B125)*'Completion Log'!$A$5:$A$2004)))))</f>
        <v/>
      </c>
      <c r="G125" s="14" t="str">
        <f aca="true">IF(OR(A125="",B125="",C125=""),"",IF(F125="",TODAY(),F125+C125))</f>
        <v/>
      </c>
      <c r="H125" s="15" t="str">
        <f aca="true">IF(G125="","",G125-TODAY())</f>
        <v/>
      </c>
      <c r="I125" s="16" t="str">
        <f aca="false">IF(H125="","",IF(H125&lt;0,"OVERDUE",IF(H125&lt;=$I$2,"Due soon","OK")))</f>
        <v/>
      </c>
      <c r="J125" s="9"/>
    </row>
    <row r="126" customFormat="false" ht="15" hidden="false" customHeight="false" outlineLevel="0" collapsed="false">
      <c r="A126" s="9"/>
      <c r="B126" s="9"/>
      <c r="C126" s="9"/>
      <c r="D126" s="9"/>
      <c r="E126" s="13"/>
      <c r="F126" s="14" t="str">
        <f aca="false">IF(OR(A126="",B126=""),"",IF(MAX(N(E126),SUMPRODUCT(MAX(('Completion Log'!$B$5:$B$2004=A126)*('Completion Log'!$C$5:$C$2004=B126)*'Completion Log'!$A$5:$A$2004)))=0,"",MAX(N(E126),SUMPRODUCT(MAX(('Completion Log'!$B$5:$B$2004=A126)*('Completion Log'!$C$5:$C$2004=B126)*'Completion Log'!$A$5:$A$2004)))))</f>
        <v/>
      </c>
      <c r="G126" s="14" t="str">
        <f aca="true">IF(OR(A126="",B126="",C126=""),"",IF(F126="",TODAY(),F126+C126))</f>
        <v/>
      </c>
      <c r="H126" s="15" t="str">
        <f aca="true">IF(G126="","",G126-TODAY())</f>
        <v/>
      </c>
      <c r="I126" s="16" t="str">
        <f aca="false">IF(H126="","",IF(H126&lt;0,"OVERDUE",IF(H126&lt;=$I$2,"Due soon","OK")))</f>
        <v/>
      </c>
      <c r="J126" s="9"/>
    </row>
    <row r="127" customFormat="false" ht="15" hidden="false" customHeight="false" outlineLevel="0" collapsed="false">
      <c r="A127" s="9"/>
      <c r="B127" s="9"/>
      <c r="C127" s="9"/>
      <c r="D127" s="9"/>
      <c r="E127" s="13"/>
      <c r="F127" s="14" t="str">
        <f aca="false">IF(OR(A127="",B127=""),"",IF(MAX(N(E127),SUMPRODUCT(MAX(('Completion Log'!$B$5:$B$2004=A127)*('Completion Log'!$C$5:$C$2004=B127)*'Completion Log'!$A$5:$A$2004)))=0,"",MAX(N(E127),SUMPRODUCT(MAX(('Completion Log'!$B$5:$B$2004=A127)*('Completion Log'!$C$5:$C$2004=B127)*'Completion Log'!$A$5:$A$2004)))))</f>
        <v/>
      </c>
      <c r="G127" s="14" t="str">
        <f aca="true">IF(OR(A127="",B127="",C127=""),"",IF(F127="",TODAY(),F127+C127))</f>
        <v/>
      </c>
      <c r="H127" s="15" t="str">
        <f aca="true">IF(G127="","",G127-TODAY())</f>
        <v/>
      </c>
      <c r="I127" s="16" t="str">
        <f aca="false">IF(H127="","",IF(H127&lt;0,"OVERDUE",IF(H127&lt;=$I$2,"Due soon","OK")))</f>
        <v/>
      </c>
      <c r="J127" s="9"/>
    </row>
    <row r="128" customFormat="false" ht="15" hidden="false" customHeight="false" outlineLevel="0" collapsed="false">
      <c r="A128" s="9"/>
      <c r="B128" s="9"/>
      <c r="C128" s="9"/>
      <c r="D128" s="9"/>
      <c r="E128" s="13"/>
      <c r="F128" s="14" t="str">
        <f aca="false">IF(OR(A128="",B128=""),"",IF(MAX(N(E128),SUMPRODUCT(MAX(('Completion Log'!$B$5:$B$2004=A128)*('Completion Log'!$C$5:$C$2004=B128)*'Completion Log'!$A$5:$A$2004)))=0,"",MAX(N(E128),SUMPRODUCT(MAX(('Completion Log'!$B$5:$B$2004=A128)*('Completion Log'!$C$5:$C$2004=B128)*'Completion Log'!$A$5:$A$2004)))))</f>
        <v/>
      </c>
      <c r="G128" s="14" t="str">
        <f aca="true">IF(OR(A128="",B128="",C128=""),"",IF(F128="",TODAY(),F128+C128))</f>
        <v/>
      </c>
      <c r="H128" s="15" t="str">
        <f aca="true">IF(G128="","",G128-TODAY())</f>
        <v/>
      </c>
      <c r="I128" s="16" t="str">
        <f aca="false">IF(H128="","",IF(H128&lt;0,"OVERDUE",IF(H128&lt;=$I$2,"Due soon","OK")))</f>
        <v/>
      </c>
      <c r="J128" s="9"/>
    </row>
    <row r="129" customFormat="false" ht="15" hidden="false" customHeight="false" outlineLevel="0" collapsed="false">
      <c r="A129" s="9"/>
      <c r="B129" s="9"/>
      <c r="C129" s="9"/>
      <c r="D129" s="9"/>
      <c r="E129" s="13"/>
      <c r="F129" s="14" t="str">
        <f aca="false">IF(OR(A129="",B129=""),"",IF(MAX(N(E129),SUMPRODUCT(MAX(('Completion Log'!$B$5:$B$2004=A129)*('Completion Log'!$C$5:$C$2004=B129)*'Completion Log'!$A$5:$A$2004)))=0,"",MAX(N(E129),SUMPRODUCT(MAX(('Completion Log'!$B$5:$B$2004=A129)*('Completion Log'!$C$5:$C$2004=B129)*'Completion Log'!$A$5:$A$2004)))))</f>
        <v/>
      </c>
      <c r="G129" s="14" t="str">
        <f aca="true">IF(OR(A129="",B129="",C129=""),"",IF(F129="",TODAY(),F129+C129))</f>
        <v/>
      </c>
      <c r="H129" s="15" t="str">
        <f aca="true">IF(G129="","",G129-TODAY())</f>
        <v/>
      </c>
      <c r="I129" s="16" t="str">
        <f aca="false">IF(H129="","",IF(H129&lt;0,"OVERDUE",IF(H129&lt;=$I$2,"Due soon","OK")))</f>
        <v/>
      </c>
      <c r="J129" s="9"/>
    </row>
    <row r="130" customFormat="false" ht="15" hidden="false" customHeight="false" outlineLevel="0" collapsed="false">
      <c r="A130" s="9"/>
      <c r="B130" s="9"/>
      <c r="C130" s="9"/>
      <c r="D130" s="9"/>
      <c r="E130" s="13"/>
      <c r="F130" s="14" t="str">
        <f aca="false">IF(OR(A130="",B130=""),"",IF(MAX(N(E130),SUMPRODUCT(MAX(('Completion Log'!$B$5:$B$2004=A130)*('Completion Log'!$C$5:$C$2004=B130)*'Completion Log'!$A$5:$A$2004)))=0,"",MAX(N(E130),SUMPRODUCT(MAX(('Completion Log'!$B$5:$B$2004=A130)*('Completion Log'!$C$5:$C$2004=B130)*'Completion Log'!$A$5:$A$2004)))))</f>
        <v/>
      </c>
      <c r="G130" s="14" t="str">
        <f aca="true">IF(OR(A130="",B130="",C130=""),"",IF(F130="",TODAY(),F130+C130))</f>
        <v/>
      </c>
      <c r="H130" s="15" t="str">
        <f aca="true">IF(G130="","",G130-TODAY())</f>
        <v/>
      </c>
      <c r="I130" s="16" t="str">
        <f aca="false">IF(H130="","",IF(H130&lt;0,"OVERDUE",IF(H130&lt;=$I$2,"Due soon","OK")))</f>
        <v/>
      </c>
      <c r="J130" s="9"/>
    </row>
    <row r="131" customFormat="false" ht="15" hidden="false" customHeight="false" outlineLevel="0" collapsed="false">
      <c r="A131" s="9"/>
      <c r="B131" s="9"/>
      <c r="C131" s="9"/>
      <c r="D131" s="9"/>
      <c r="E131" s="13"/>
      <c r="F131" s="14" t="str">
        <f aca="false">IF(OR(A131="",B131=""),"",IF(MAX(N(E131),SUMPRODUCT(MAX(('Completion Log'!$B$5:$B$2004=A131)*('Completion Log'!$C$5:$C$2004=B131)*'Completion Log'!$A$5:$A$2004)))=0,"",MAX(N(E131),SUMPRODUCT(MAX(('Completion Log'!$B$5:$B$2004=A131)*('Completion Log'!$C$5:$C$2004=B131)*'Completion Log'!$A$5:$A$2004)))))</f>
        <v/>
      </c>
      <c r="G131" s="14" t="str">
        <f aca="true">IF(OR(A131="",B131="",C131=""),"",IF(F131="",TODAY(),F131+C131))</f>
        <v/>
      </c>
      <c r="H131" s="15" t="str">
        <f aca="true">IF(G131="","",G131-TODAY())</f>
        <v/>
      </c>
      <c r="I131" s="16" t="str">
        <f aca="false">IF(H131="","",IF(H131&lt;0,"OVERDUE",IF(H131&lt;=$I$2,"Due soon","OK")))</f>
        <v/>
      </c>
      <c r="J131" s="9"/>
    </row>
    <row r="132" customFormat="false" ht="15" hidden="false" customHeight="false" outlineLevel="0" collapsed="false">
      <c r="A132" s="9"/>
      <c r="B132" s="9"/>
      <c r="C132" s="9"/>
      <c r="D132" s="9"/>
      <c r="E132" s="13"/>
      <c r="F132" s="14" t="str">
        <f aca="false">IF(OR(A132="",B132=""),"",IF(MAX(N(E132),SUMPRODUCT(MAX(('Completion Log'!$B$5:$B$2004=A132)*('Completion Log'!$C$5:$C$2004=B132)*'Completion Log'!$A$5:$A$2004)))=0,"",MAX(N(E132),SUMPRODUCT(MAX(('Completion Log'!$B$5:$B$2004=A132)*('Completion Log'!$C$5:$C$2004=B132)*'Completion Log'!$A$5:$A$2004)))))</f>
        <v/>
      </c>
      <c r="G132" s="14" t="str">
        <f aca="true">IF(OR(A132="",B132="",C132=""),"",IF(F132="",TODAY(),F132+C132))</f>
        <v/>
      </c>
      <c r="H132" s="15" t="str">
        <f aca="true">IF(G132="","",G132-TODAY())</f>
        <v/>
      </c>
      <c r="I132" s="16" t="str">
        <f aca="false">IF(H132="","",IF(H132&lt;0,"OVERDUE",IF(H132&lt;=$I$2,"Due soon","OK")))</f>
        <v/>
      </c>
      <c r="J132" s="9"/>
    </row>
    <row r="133" customFormat="false" ht="15" hidden="false" customHeight="false" outlineLevel="0" collapsed="false">
      <c r="A133" s="9"/>
      <c r="B133" s="9"/>
      <c r="C133" s="9"/>
      <c r="D133" s="9"/>
      <c r="E133" s="13"/>
      <c r="F133" s="14" t="str">
        <f aca="false">IF(OR(A133="",B133=""),"",IF(MAX(N(E133),SUMPRODUCT(MAX(('Completion Log'!$B$5:$B$2004=A133)*('Completion Log'!$C$5:$C$2004=B133)*'Completion Log'!$A$5:$A$2004)))=0,"",MAX(N(E133),SUMPRODUCT(MAX(('Completion Log'!$B$5:$B$2004=A133)*('Completion Log'!$C$5:$C$2004=B133)*'Completion Log'!$A$5:$A$2004)))))</f>
        <v/>
      </c>
      <c r="G133" s="14" t="str">
        <f aca="true">IF(OR(A133="",B133="",C133=""),"",IF(F133="",TODAY(),F133+C133))</f>
        <v/>
      </c>
      <c r="H133" s="15" t="str">
        <f aca="true">IF(G133="","",G133-TODAY())</f>
        <v/>
      </c>
      <c r="I133" s="16" t="str">
        <f aca="false">IF(H133="","",IF(H133&lt;0,"OVERDUE",IF(H133&lt;=$I$2,"Due soon","OK")))</f>
        <v/>
      </c>
      <c r="J133" s="9"/>
    </row>
    <row r="134" customFormat="false" ht="15" hidden="false" customHeight="false" outlineLevel="0" collapsed="false">
      <c r="A134" s="9"/>
      <c r="B134" s="9"/>
      <c r="C134" s="9"/>
      <c r="D134" s="9"/>
      <c r="E134" s="13"/>
      <c r="F134" s="14" t="str">
        <f aca="false">IF(OR(A134="",B134=""),"",IF(MAX(N(E134),SUMPRODUCT(MAX(('Completion Log'!$B$5:$B$2004=A134)*('Completion Log'!$C$5:$C$2004=B134)*'Completion Log'!$A$5:$A$2004)))=0,"",MAX(N(E134),SUMPRODUCT(MAX(('Completion Log'!$B$5:$B$2004=A134)*('Completion Log'!$C$5:$C$2004=B134)*'Completion Log'!$A$5:$A$2004)))))</f>
        <v/>
      </c>
      <c r="G134" s="14" t="str">
        <f aca="true">IF(OR(A134="",B134="",C134=""),"",IF(F134="",TODAY(),F134+C134))</f>
        <v/>
      </c>
      <c r="H134" s="15" t="str">
        <f aca="true">IF(G134="","",G134-TODAY())</f>
        <v/>
      </c>
      <c r="I134" s="16" t="str">
        <f aca="false">IF(H134="","",IF(H134&lt;0,"OVERDUE",IF(H134&lt;=$I$2,"Due soon","OK")))</f>
        <v/>
      </c>
      <c r="J134" s="9"/>
    </row>
    <row r="135" customFormat="false" ht="15" hidden="false" customHeight="false" outlineLevel="0" collapsed="false">
      <c r="A135" s="9"/>
      <c r="B135" s="9"/>
      <c r="C135" s="9"/>
      <c r="D135" s="9"/>
      <c r="E135" s="13"/>
      <c r="F135" s="14" t="str">
        <f aca="false">IF(OR(A135="",B135=""),"",IF(MAX(N(E135),SUMPRODUCT(MAX(('Completion Log'!$B$5:$B$2004=A135)*('Completion Log'!$C$5:$C$2004=B135)*'Completion Log'!$A$5:$A$2004)))=0,"",MAX(N(E135),SUMPRODUCT(MAX(('Completion Log'!$B$5:$B$2004=A135)*('Completion Log'!$C$5:$C$2004=B135)*'Completion Log'!$A$5:$A$2004)))))</f>
        <v/>
      </c>
      <c r="G135" s="14" t="str">
        <f aca="true">IF(OR(A135="",B135="",C135=""),"",IF(F135="",TODAY(),F135+C135))</f>
        <v/>
      </c>
      <c r="H135" s="15" t="str">
        <f aca="true">IF(G135="","",G135-TODAY())</f>
        <v/>
      </c>
      <c r="I135" s="16" t="str">
        <f aca="false">IF(H135="","",IF(H135&lt;0,"OVERDUE",IF(H135&lt;=$I$2,"Due soon","OK")))</f>
        <v/>
      </c>
      <c r="J135" s="9"/>
    </row>
    <row r="136" customFormat="false" ht="15" hidden="false" customHeight="false" outlineLevel="0" collapsed="false">
      <c r="A136" s="9"/>
      <c r="B136" s="9"/>
      <c r="C136" s="9"/>
      <c r="D136" s="9"/>
      <c r="E136" s="13"/>
      <c r="F136" s="14" t="str">
        <f aca="false">IF(OR(A136="",B136=""),"",IF(MAX(N(E136),SUMPRODUCT(MAX(('Completion Log'!$B$5:$B$2004=A136)*('Completion Log'!$C$5:$C$2004=B136)*'Completion Log'!$A$5:$A$2004)))=0,"",MAX(N(E136),SUMPRODUCT(MAX(('Completion Log'!$B$5:$B$2004=A136)*('Completion Log'!$C$5:$C$2004=B136)*'Completion Log'!$A$5:$A$2004)))))</f>
        <v/>
      </c>
      <c r="G136" s="14" t="str">
        <f aca="true">IF(OR(A136="",B136="",C136=""),"",IF(F136="",TODAY(),F136+C136))</f>
        <v/>
      </c>
      <c r="H136" s="15" t="str">
        <f aca="true">IF(G136="","",G136-TODAY())</f>
        <v/>
      </c>
      <c r="I136" s="16" t="str">
        <f aca="false">IF(H136="","",IF(H136&lt;0,"OVERDUE",IF(H136&lt;=$I$2,"Due soon","OK")))</f>
        <v/>
      </c>
      <c r="J136" s="9"/>
    </row>
    <row r="137" customFormat="false" ht="15" hidden="false" customHeight="false" outlineLevel="0" collapsed="false">
      <c r="A137" s="9"/>
      <c r="B137" s="9"/>
      <c r="C137" s="9"/>
      <c r="D137" s="9"/>
      <c r="E137" s="13"/>
      <c r="F137" s="14" t="str">
        <f aca="false">IF(OR(A137="",B137=""),"",IF(MAX(N(E137),SUMPRODUCT(MAX(('Completion Log'!$B$5:$B$2004=A137)*('Completion Log'!$C$5:$C$2004=B137)*'Completion Log'!$A$5:$A$2004)))=0,"",MAX(N(E137),SUMPRODUCT(MAX(('Completion Log'!$B$5:$B$2004=A137)*('Completion Log'!$C$5:$C$2004=B137)*'Completion Log'!$A$5:$A$2004)))))</f>
        <v/>
      </c>
      <c r="G137" s="14" t="str">
        <f aca="true">IF(OR(A137="",B137="",C137=""),"",IF(F137="",TODAY(),F137+C137))</f>
        <v/>
      </c>
      <c r="H137" s="15" t="str">
        <f aca="true">IF(G137="","",G137-TODAY())</f>
        <v/>
      </c>
      <c r="I137" s="16" t="str">
        <f aca="false">IF(H137="","",IF(H137&lt;0,"OVERDUE",IF(H137&lt;=$I$2,"Due soon","OK")))</f>
        <v/>
      </c>
      <c r="J137" s="9"/>
    </row>
    <row r="138" customFormat="false" ht="15" hidden="false" customHeight="false" outlineLevel="0" collapsed="false">
      <c r="A138" s="9"/>
      <c r="B138" s="9"/>
      <c r="C138" s="9"/>
      <c r="D138" s="9"/>
      <c r="E138" s="13"/>
      <c r="F138" s="14" t="str">
        <f aca="false">IF(OR(A138="",B138=""),"",IF(MAX(N(E138),SUMPRODUCT(MAX(('Completion Log'!$B$5:$B$2004=A138)*('Completion Log'!$C$5:$C$2004=B138)*'Completion Log'!$A$5:$A$2004)))=0,"",MAX(N(E138),SUMPRODUCT(MAX(('Completion Log'!$B$5:$B$2004=A138)*('Completion Log'!$C$5:$C$2004=B138)*'Completion Log'!$A$5:$A$2004)))))</f>
        <v/>
      </c>
      <c r="G138" s="14" t="str">
        <f aca="true">IF(OR(A138="",B138="",C138=""),"",IF(F138="",TODAY(),F138+C138))</f>
        <v/>
      </c>
      <c r="H138" s="15" t="str">
        <f aca="true">IF(G138="","",G138-TODAY())</f>
        <v/>
      </c>
      <c r="I138" s="16" t="str">
        <f aca="false">IF(H138="","",IF(H138&lt;0,"OVERDUE",IF(H138&lt;=$I$2,"Due soon","OK")))</f>
        <v/>
      </c>
      <c r="J138" s="9"/>
    </row>
    <row r="139" customFormat="false" ht="15" hidden="false" customHeight="false" outlineLevel="0" collapsed="false">
      <c r="A139" s="9"/>
      <c r="B139" s="9"/>
      <c r="C139" s="9"/>
      <c r="D139" s="9"/>
      <c r="E139" s="13"/>
      <c r="F139" s="14" t="str">
        <f aca="false">IF(OR(A139="",B139=""),"",IF(MAX(N(E139),SUMPRODUCT(MAX(('Completion Log'!$B$5:$B$2004=A139)*('Completion Log'!$C$5:$C$2004=B139)*'Completion Log'!$A$5:$A$2004)))=0,"",MAX(N(E139),SUMPRODUCT(MAX(('Completion Log'!$B$5:$B$2004=A139)*('Completion Log'!$C$5:$C$2004=B139)*'Completion Log'!$A$5:$A$2004)))))</f>
        <v/>
      </c>
      <c r="G139" s="14" t="str">
        <f aca="true">IF(OR(A139="",B139="",C139=""),"",IF(F139="",TODAY(),F139+C139))</f>
        <v/>
      </c>
      <c r="H139" s="15" t="str">
        <f aca="true">IF(G139="","",G139-TODAY())</f>
        <v/>
      </c>
      <c r="I139" s="16" t="str">
        <f aca="false">IF(H139="","",IF(H139&lt;0,"OVERDUE",IF(H139&lt;=$I$2,"Due soon","OK")))</f>
        <v/>
      </c>
      <c r="J139" s="9"/>
    </row>
    <row r="140" customFormat="false" ht="15" hidden="false" customHeight="false" outlineLevel="0" collapsed="false">
      <c r="A140" s="9"/>
      <c r="B140" s="9"/>
      <c r="C140" s="9"/>
      <c r="D140" s="9"/>
      <c r="E140" s="13"/>
      <c r="F140" s="14" t="str">
        <f aca="false">IF(OR(A140="",B140=""),"",IF(MAX(N(E140),SUMPRODUCT(MAX(('Completion Log'!$B$5:$B$2004=A140)*('Completion Log'!$C$5:$C$2004=B140)*'Completion Log'!$A$5:$A$2004)))=0,"",MAX(N(E140),SUMPRODUCT(MAX(('Completion Log'!$B$5:$B$2004=A140)*('Completion Log'!$C$5:$C$2004=B140)*'Completion Log'!$A$5:$A$2004)))))</f>
        <v/>
      </c>
      <c r="G140" s="14" t="str">
        <f aca="true">IF(OR(A140="",B140="",C140=""),"",IF(F140="",TODAY(),F140+C140))</f>
        <v/>
      </c>
      <c r="H140" s="15" t="str">
        <f aca="true">IF(G140="","",G140-TODAY())</f>
        <v/>
      </c>
      <c r="I140" s="16" t="str">
        <f aca="false">IF(H140="","",IF(H140&lt;0,"OVERDUE",IF(H140&lt;=$I$2,"Due soon","OK")))</f>
        <v/>
      </c>
      <c r="J140" s="9"/>
    </row>
    <row r="141" customFormat="false" ht="15" hidden="false" customHeight="false" outlineLevel="0" collapsed="false">
      <c r="A141" s="9"/>
      <c r="B141" s="9"/>
      <c r="C141" s="9"/>
      <c r="D141" s="9"/>
      <c r="E141" s="13"/>
      <c r="F141" s="14" t="str">
        <f aca="false">IF(OR(A141="",B141=""),"",IF(MAX(N(E141),SUMPRODUCT(MAX(('Completion Log'!$B$5:$B$2004=A141)*('Completion Log'!$C$5:$C$2004=B141)*'Completion Log'!$A$5:$A$2004)))=0,"",MAX(N(E141),SUMPRODUCT(MAX(('Completion Log'!$B$5:$B$2004=A141)*('Completion Log'!$C$5:$C$2004=B141)*'Completion Log'!$A$5:$A$2004)))))</f>
        <v/>
      </c>
      <c r="G141" s="14" t="str">
        <f aca="true">IF(OR(A141="",B141="",C141=""),"",IF(F141="",TODAY(),F141+C141))</f>
        <v/>
      </c>
      <c r="H141" s="15" t="str">
        <f aca="true">IF(G141="","",G141-TODAY())</f>
        <v/>
      </c>
      <c r="I141" s="16" t="str">
        <f aca="false">IF(H141="","",IF(H141&lt;0,"OVERDUE",IF(H141&lt;=$I$2,"Due soon","OK")))</f>
        <v/>
      </c>
      <c r="J141" s="9"/>
    </row>
    <row r="142" customFormat="false" ht="15" hidden="false" customHeight="false" outlineLevel="0" collapsed="false">
      <c r="A142" s="9"/>
      <c r="B142" s="9"/>
      <c r="C142" s="9"/>
      <c r="D142" s="9"/>
      <c r="E142" s="13"/>
      <c r="F142" s="14" t="str">
        <f aca="false">IF(OR(A142="",B142=""),"",IF(MAX(N(E142),SUMPRODUCT(MAX(('Completion Log'!$B$5:$B$2004=A142)*('Completion Log'!$C$5:$C$2004=B142)*'Completion Log'!$A$5:$A$2004)))=0,"",MAX(N(E142),SUMPRODUCT(MAX(('Completion Log'!$B$5:$B$2004=A142)*('Completion Log'!$C$5:$C$2004=B142)*'Completion Log'!$A$5:$A$2004)))))</f>
        <v/>
      </c>
      <c r="G142" s="14" t="str">
        <f aca="true">IF(OR(A142="",B142="",C142=""),"",IF(F142="",TODAY(),F142+C142))</f>
        <v/>
      </c>
      <c r="H142" s="15" t="str">
        <f aca="true">IF(G142="","",G142-TODAY())</f>
        <v/>
      </c>
      <c r="I142" s="16" t="str">
        <f aca="false">IF(H142="","",IF(H142&lt;0,"OVERDUE",IF(H142&lt;=$I$2,"Due soon","OK")))</f>
        <v/>
      </c>
      <c r="J142" s="9"/>
    </row>
    <row r="143" customFormat="false" ht="15" hidden="false" customHeight="false" outlineLevel="0" collapsed="false">
      <c r="A143" s="9"/>
      <c r="B143" s="9"/>
      <c r="C143" s="9"/>
      <c r="D143" s="9"/>
      <c r="E143" s="13"/>
      <c r="F143" s="14" t="str">
        <f aca="false">IF(OR(A143="",B143=""),"",IF(MAX(N(E143),SUMPRODUCT(MAX(('Completion Log'!$B$5:$B$2004=A143)*('Completion Log'!$C$5:$C$2004=B143)*'Completion Log'!$A$5:$A$2004)))=0,"",MAX(N(E143),SUMPRODUCT(MAX(('Completion Log'!$B$5:$B$2004=A143)*('Completion Log'!$C$5:$C$2004=B143)*'Completion Log'!$A$5:$A$2004)))))</f>
        <v/>
      </c>
      <c r="G143" s="14" t="str">
        <f aca="true">IF(OR(A143="",B143="",C143=""),"",IF(F143="",TODAY(),F143+C143))</f>
        <v/>
      </c>
      <c r="H143" s="15" t="str">
        <f aca="true">IF(G143="","",G143-TODAY())</f>
        <v/>
      </c>
      <c r="I143" s="16" t="str">
        <f aca="false">IF(H143="","",IF(H143&lt;0,"OVERDUE",IF(H143&lt;=$I$2,"Due soon","OK")))</f>
        <v/>
      </c>
      <c r="J143" s="9"/>
    </row>
    <row r="144" customFormat="false" ht="15" hidden="false" customHeight="false" outlineLevel="0" collapsed="false">
      <c r="A144" s="9"/>
      <c r="B144" s="9"/>
      <c r="C144" s="9"/>
      <c r="D144" s="9"/>
      <c r="E144" s="13"/>
      <c r="F144" s="14" t="str">
        <f aca="false">IF(OR(A144="",B144=""),"",IF(MAX(N(E144),SUMPRODUCT(MAX(('Completion Log'!$B$5:$B$2004=A144)*('Completion Log'!$C$5:$C$2004=B144)*'Completion Log'!$A$5:$A$2004)))=0,"",MAX(N(E144),SUMPRODUCT(MAX(('Completion Log'!$B$5:$B$2004=A144)*('Completion Log'!$C$5:$C$2004=B144)*'Completion Log'!$A$5:$A$2004)))))</f>
        <v/>
      </c>
      <c r="G144" s="14" t="str">
        <f aca="true">IF(OR(A144="",B144="",C144=""),"",IF(F144="",TODAY(),F144+C144))</f>
        <v/>
      </c>
      <c r="H144" s="15" t="str">
        <f aca="true">IF(G144="","",G144-TODAY())</f>
        <v/>
      </c>
      <c r="I144" s="16" t="str">
        <f aca="false">IF(H144="","",IF(H144&lt;0,"OVERDUE",IF(H144&lt;=$I$2,"Due soon","OK")))</f>
        <v/>
      </c>
      <c r="J144" s="9"/>
    </row>
    <row r="145" customFormat="false" ht="15" hidden="false" customHeight="false" outlineLevel="0" collapsed="false">
      <c r="A145" s="9"/>
      <c r="B145" s="9"/>
      <c r="C145" s="9"/>
      <c r="D145" s="9"/>
      <c r="E145" s="13"/>
      <c r="F145" s="14" t="str">
        <f aca="false">IF(OR(A145="",B145=""),"",IF(MAX(N(E145),SUMPRODUCT(MAX(('Completion Log'!$B$5:$B$2004=A145)*('Completion Log'!$C$5:$C$2004=B145)*'Completion Log'!$A$5:$A$2004)))=0,"",MAX(N(E145),SUMPRODUCT(MAX(('Completion Log'!$B$5:$B$2004=A145)*('Completion Log'!$C$5:$C$2004=B145)*'Completion Log'!$A$5:$A$2004)))))</f>
        <v/>
      </c>
      <c r="G145" s="14" t="str">
        <f aca="true">IF(OR(A145="",B145="",C145=""),"",IF(F145="",TODAY(),F145+C145))</f>
        <v/>
      </c>
      <c r="H145" s="15" t="str">
        <f aca="true">IF(G145="","",G145-TODAY())</f>
        <v/>
      </c>
      <c r="I145" s="16" t="str">
        <f aca="false">IF(H145="","",IF(H145&lt;0,"OVERDUE",IF(H145&lt;=$I$2,"Due soon","OK")))</f>
        <v/>
      </c>
      <c r="J145" s="9"/>
    </row>
    <row r="146" customFormat="false" ht="15" hidden="false" customHeight="false" outlineLevel="0" collapsed="false">
      <c r="A146" s="9"/>
      <c r="B146" s="9"/>
      <c r="C146" s="9"/>
      <c r="D146" s="9"/>
      <c r="E146" s="13"/>
      <c r="F146" s="14" t="str">
        <f aca="false">IF(OR(A146="",B146=""),"",IF(MAX(N(E146),SUMPRODUCT(MAX(('Completion Log'!$B$5:$B$2004=A146)*('Completion Log'!$C$5:$C$2004=B146)*'Completion Log'!$A$5:$A$2004)))=0,"",MAX(N(E146),SUMPRODUCT(MAX(('Completion Log'!$B$5:$B$2004=A146)*('Completion Log'!$C$5:$C$2004=B146)*'Completion Log'!$A$5:$A$2004)))))</f>
        <v/>
      </c>
      <c r="G146" s="14" t="str">
        <f aca="true">IF(OR(A146="",B146="",C146=""),"",IF(F146="",TODAY(),F146+C146))</f>
        <v/>
      </c>
      <c r="H146" s="15" t="str">
        <f aca="true">IF(G146="","",G146-TODAY())</f>
        <v/>
      </c>
      <c r="I146" s="16" t="str">
        <f aca="false">IF(H146="","",IF(H146&lt;0,"OVERDUE",IF(H146&lt;=$I$2,"Due soon","OK")))</f>
        <v/>
      </c>
      <c r="J146" s="9"/>
    </row>
    <row r="147" customFormat="false" ht="15" hidden="false" customHeight="false" outlineLevel="0" collapsed="false">
      <c r="A147" s="9"/>
      <c r="B147" s="9"/>
      <c r="C147" s="9"/>
      <c r="D147" s="9"/>
      <c r="E147" s="13"/>
      <c r="F147" s="14" t="str">
        <f aca="false">IF(OR(A147="",B147=""),"",IF(MAX(N(E147),SUMPRODUCT(MAX(('Completion Log'!$B$5:$B$2004=A147)*('Completion Log'!$C$5:$C$2004=B147)*'Completion Log'!$A$5:$A$2004)))=0,"",MAX(N(E147),SUMPRODUCT(MAX(('Completion Log'!$B$5:$B$2004=A147)*('Completion Log'!$C$5:$C$2004=B147)*'Completion Log'!$A$5:$A$2004)))))</f>
        <v/>
      </c>
      <c r="G147" s="14" t="str">
        <f aca="true">IF(OR(A147="",B147="",C147=""),"",IF(F147="",TODAY(),F147+C147))</f>
        <v/>
      </c>
      <c r="H147" s="15" t="str">
        <f aca="true">IF(G147="","",G147-TODAY())</f>
        <v/>
      </c>
      <c r="I147" s="16" t="str">
        <f aca="false">IF(H147="","",IF(H147&lt;0,"OVERDUE",IF(H147&lt;=$I$2,"Due soon","OK")))</f>
        <v/>
      </c>
      <c r="J147" s="9"/>
    </row>
    <row r="148" customFormat="false" ht="15" hidden="false" customHeight="false" outlineLevel="0" collapsed="false">
      <c r="A148" s="9"/>
      <c r="B148" s="9"/>
      <c r="C148" s="9"/>
      <c r="D148" s="9"/>
      <c r="E148" s="13"/>
      <c r="F148" s="14" t="str">
        <f aca="false">IF(OR(A148="",B148=""),"",IF(MAX(N(E148),SUMPRODUCT(MAX(('Completion Log'!$B$5:$B$2004=A148)*('Completion Log'!$C$5:$C$2004=B148)*'Completion Log'!$A$5:$A$2004)))=0,"",MAX(N(E148),SUMPRODUCT(MAX(('Completion Log'!$B$5:$B$2004=A148)*('Completion Log'!$C$5:$C$2004=B148)*'Completion Log'!$A$5:$A$2004)))))</f>
        <v/>
      </c>
      <c r="G148" s="14" t="str">
        <f aca="true">IF(OR(A148="",B148="",C148=""),"",IF(F148="",TODAY(),F148+C148))</f>
        <v/>
      </c>
      <c r="H148" s="15" t="str">
        <f aca="true">IF(G148="","",G148-TODAY())</f>
        <v/>
      </c>
      <c r="I148" s="16" t="str">
        <f aca="false">IF(H148="","",IF(H148&lt;0,"OVERDUE",IF(H148&lt;=$I$2,"Due soon","OK")))</f>
        <v/>
      </c>
      <c r="J148" s="9"/>
    </row>
    <row r="149" customFormat="false" ht="15" hidden="false" customHeight="false" outlineLevel="0" collapsed="false">
      <c r="A149" s="9"/>
      <c r="B149" s="9"/>
      <c r="C149" s="9"/>
      <c r="D149" s="9"/>
      <c r="E149" s="13"/>
      <c r="F149" s="14" t="str">
        <f aca="false">IF(OR(A149="",B149=""),"",IF(MAX(N(E149),SUMPRODUCT(MAX(('Completion Log'!$B$5:$B$2004=A149)*('Completion Log'!$C$5:$C$2004=B149)*'Completion Log'!$A$5:$A$2004)))=0,"",MAX(N(E149),SUMPRODUCT(MAX(('Completion Log'!$B$5:$B$2004=A149)*('Completion Log'!$C$5:$C$2004=B149)*'Completion Log'!$A$5:$A$2004)))))</f>
        <v/>
      </c>
      <c r="G149" s="14" t="str">
        <f aca="true">IF(OR(A149="",B149="",C149=""),"",IF(F149="",TODAY(),F149+C149))</f>
        <v/>
      </c>
      <c r="H149" s="15" t="str">
        <f aca="true">IF(G149="","",G149-TODAY())</f>
        <v/>
      </c>
      <c r="I149" s="16" t="str">
        <f aca="false">IF(H149="","",IF(H149&lt;0,"OVERDUE",IF(H149&lt;=$I$2,"Due soon","OK")))</f>
        <v/>
      </c>
      <c r="J149" s="9"/>
    </row>
    <row r="150" customFormat="false" ht="15" hidden="false" customHeight="false" outlineLevel="0" collapsed="false">
      <c r="A150" s="9"/>
      <c r="B150" s="9"/>
      <c r="C150" s="9"/>
      <c r="D150" s="9"/>
      <c r="E150" s="13"/>
      <c r="F150" s="14" t="str">
        <f aca="false">IF(OR(A150="",B150=""),"",IF(MAX(N(E150),SUMPRODUCT(MAX(('Completion Log'!$B$5:$B$2004=A150)*('Completion Log'!$C$5:$C$2004=B150)*'Completion Log'!$A$5:$A$2004)))=0,"",MAX(N(E150),SUMPRODUCT(MAX(('Completion Log'!$B$5:$B$2004=A150)*('Completion Log'!$C$5:$C$2004=B150)*'Completion Log'!$A$5:$A$2004)))))</f>
        <v/>
      </c>
      <c r="G150" s="14" t="str">
        <f aca="true">IF(OR(A150="",B150="",C150=""),"",IF(F150="",TODAY(),F150+C150))</f>
        <v/>
      </c>
      <c r="H150" s="15" t="str">
        <f aca="true">IF(G150="","",G150-TODAY())</f>
        <v/>
      </c>
      <c r="I150" s="16" t="str">
        <f aca="false">IF(H150="","",IF(H150&lt;0,"OVERDUE",IF(H150&lt;=$I$2,"Due soon","OK")))</f>
        <v/>
      </c>
      <c r="J150" s="9"/>
    </row>
    <row r="151" customFormat="false" ht="15" hidden="false" customHeight="false" outlineLevel="0" collapsed="false">
      <c r="A151" s="9"/>
      <c r="B151" s="9"/>
      <c r="C151" s="9"/>
      <c r="D151" s="9"/>
      <c r="E151" s="13"/>
      <c r="F151" s="14" t="str">
        <f aca="false">IF(OR(A151="",B151=""),"",IF(MAX(N(E151),SUMPRODUCT(MAX(('Completion Log'!$B$5:$B$2004=A151)*('Completion Log'!$C$5:$C$2004=B151)*'Completion Log'!$A$5:$A$2004)))=0,"",MAX(N(E151),SUMPRODUCT(MAX(('Completion Log'!$B$5:$B$2004=A151)*('Completion Log'!$C$5:$C$2004=B151)*'Completion Log'!$A$5:$A$2004)))))</f>
        <v/>
      </c>
      <c r="G151" s="14" t="str">
        <f aca="true">IF(OR(A151="",B151="",C151=""),"",IF(F151="",TODAY(),F151+C151))</f>
        <v/>
      </c>
      <c r="H151" s="15" t="str">
        <f aca="true">IF(G151="","",G151-TODAY())</f>
        <v/>
      </c>
      <c r="I151" s="16" t="str">
        <f aca="false">IF(H151="","",IF(H151&lt;0,"OVERDUE",IF(H151&lt;=$I$2,"Due soon","OK")))</f>
        <v/>
      </c>
      <c r="J151" s="9"/>
    </row>
    <row r="152" customFormat="false" ht="15" hidden="false" customHeight="false" outlineLevel="0" collapsed="false">
      <c r="A152" s="9"/>
      <c r="B152" s="9"/>
      <c r="C152" s="9"/>
      <c r="D152" s="9"/>
      <c r="E152" s="13"/>
      <c r="F152" s="14" t="str">
        <f aca="false">IF(OR(A152="",B152=""),"",IF(MAX(N(E152),SUMPRODUCT(MAX(('Completion Log'!$B$5:$B$2004=A152)*('Completion Log'!$C$5:$C$2004=B152)*'Completion Log'!$A$5:$A$2004)))=0,"",MAX(N(E152),SUMPRODUCT(MAX(('Completion Log'!$B$5:$B$2004=A152)*('Completion Log'!$C$5:$C$2004=B152)*'Completion Log'!$A$5:$A$2004)))))</f>
        <v/>
      </c>
      <c r="G152" s="14" t="str">
        <f aca="true">IF(OR(A152="",B152="",C152=""),"",IF(F152="",TODAY(),F152+C152))</f>
        <v/>
      </c>
      <c r="H152" s="15" t="str">
        <f aca="true">IF(G152="","",G152-TODAY())</f>
        <v/>
      </c>
      <c r="I152" s="16" t="str">
        <f aca="false">IF(H152="","",IF(H152&lt;0,"OVERDUE",IF(H152&lt;=$I$2,"Due soon","OK")))</f>
        <v/>
      </c>
      <c r="J152" s="9"/>
    </row>
    <row r="153" customFormat="false" ht="15" hidden="false" customHeight="false" outlineLevel="0" collapsed="false">
      <c r="A153" s="9"/>
      <c r="B153" s="9"/>
      <c r="C153" s="9"/>
      <c r="D153" s="9"/>
      <c r="E153" s="13"/>
      <c r="F153" s="14" t="str">
        <f aca="false">IF(OR(A153="",B153=""),"",IF(MAX(N(E153),SUMPRODUCT(MAX(('Completion Log'!$B$5:$B$2004=A153)*('Completion Log'!$C$5:$C$2004=B153)*'Completion Log'!$A$5:$A$2004)))=0,"",MAX(N(E153),SUMPRODUCT(MAX(('Completion Log'!$B$5:$B$2004=A153)*('Completion Log'!$C$5:$C$2004=B153)*'Completion Log'!$A$5:$A$2004)))))</f>
        <v/>
      </c>
      <c r="G153" s="14" t="str">
        <f aca="true">IF(OR(A153="",B153="",C153=""),"",IF(F153="",TODAY(),F153+C153))</f>
        <v/>
      </c>
      <c r="H153" s="15" t="str">
        <f aca="true">IF(G153="","",G153-TODAY())</f>
        <v/>
      </c>
      <c r="I153" s="16" t="str">
        <f aca="false">IF(H153="","",IF(H153&lt;0,"OVERDUE",IF(H153&lt;=$I$2,"Due soon","OK")))</f>
        <v/>
      </c>
      <c r="J153" s="9"/>
    </row>
    <row r="154" customFormat="false" ht="15" hidden="false" customHeight="false" outlineLevel="0" collapsed="false">
      <c r="A154" s="9"/>
      <c r="B154" s="9"/>
      <c r="C154" s="9"/>
      <c r="D154" s="9"/>
      <c r="E154" s="13"/>
      <c r="F154" s="14" t="str">
        <f aca="false">IF(OR(A154="",B154=""),"",IF(MAX(N(E154),SUMPRODUCT(MAX(('Completion Log'!$B$5:$B$2004=A154)*('Completion Log'!$C$5:$C$2004=B154)*'Completion Log'!$A$5:$A$2004)))=0,"",MAX(N(E154),SUMPRODUCT(MAX(('Completion Log'!$B$5:$B$2004=A154)*('Completion Log'!$C$5:$C$2004=B154)*'Completion Log'!$A$5:$A$2004)))))</f>
        <v/>
      </c>
      <c r="G154" s="14" t="str">
        <f aca="true">IF(OR(A154="",B154="",C154=""),"",IF(F154="",TODAY(),F154+C154))</f>
        <v/>
      </c>
      <c r="H154" s="15" t="str">
        <f aca="true">IF(G154="","",G154-TODAY())</f>
        <v/>
      </c>
      <c r="I154" s="16" t="str">
        <f aca="false">IF(H154="","",IF(H154&lt;0,"OVERDUE",IF(H154&lt;=$I$2,"Due soon","OK")))</f>
        <v/>
      </c>
      <c r="J154" s="9"/>
    </row>
    <row r="155" customFormat="false" ht="15" hidden="false" customHeight="false" outlineLevel="0" collapsed="false">
      <c r="A155" s="9"/>
      <c r="B155" s="9"/>
      <c r="C155" s="9"/>
      <c r="D155" s="9"/>
      <c r="E155" s="13"/>
      <c r="F155" s="14" t="str">
        <f aca="false">IF(OR(A155="",B155=""),"",IF(MAX(N(E155),SUMPRODUCT(MAX(('Completion Log'!$B$5:$B$2004=A155)*('Completion Log'!$C$5:$C$2004=B155)*'Completion Log'!$A$5:$A$2004)))=0,"",MAX(N(E155),SUMPRODUCT(MAX(('Completion Log'!$B$5:$B$2004=A155)*('Completion Log'!$C$5:$C$2004=B155)*'Completion Log'!$A$5:$A$2004)))))</f>
        <v/>
      </c>
      <c r="G155" s="14" t="str">
        <f aca="true">IF(OR(A155="",B155="",C155=""),"",IF(F155="",TODAY(),F155+C155))</f>
        <v/>
      </c>
      <c r="H155" s="15" t="str">
        <f aca="true">IF(G155="","",G155-TODAY())</f>
        <v/>
      </c>
      <c r="I155" s="16" t="str">
        <f aca="false">IF(H155="","",IF(H155&lt;0,"OVERDUE",IF(H155&lt;=$I$2,"Due soon","OK")))</f>
        <v/>
      </c>
      <c r="J155" s="9"/>
    </row>
    <row r="156" customFormat="false" ht="15" hidden="false" customHeight="false" outlineLevel="0" collapsed="false">
      <c r="A156" s="9"/>
      <c r="B156" s="9"/>
      <c r="C156" s="9"/>
      <c r="D156" s="9"/>
      <c r="E156" s="13"/>
      <c r="F156" s="14" t="str">
        <f aca="false">IF(OR(A156="",B156=""),"",IF(MAX(N(E156),SUMPRODUCT(MAX(('Completion Log'!$B$5:$B$2004=A156)*('Completion Log'!$C$5:$C$2004=B156)*'Completion Log'!$A$5:$A$2004)))=0,"",MAX(N(E156),SUMPRODUCT(MAX(('Completion Log'!$B$5:$B$2004=A156)*('Completion Log'!$C$5:$C$2004=B156)*'Completion Log'!$A$5:$A$2004)))))</f>
        <v/>
      </c>
      <c r="G156" s="14" t="str">
        <f aca="true">IF(OR(A156="",B156="",C156=""),"",IF(F156="",TODAY(),F156+C156))</f>
        <v/>
      </c>
      <c r="H156" s="15" t="str">
        <f aca="true">IF(G156="","",G156-TODAY())</f>
        <v/>
      </c>
      <c r="I156" s="16" t="str">
        <f aca="false">IF(H156="","",IF(H156&lt;0,"OVERDUE",IF(H156&lt;=$I$2,"Due soon","OK")))</f>
        <v/>
      </c>
      <c r="J156" s="9"/>
    </row>
    <row r="157" customFormat="false" ht="15" hidden="false" customHeight="false" outlineLevel="0" collapsed="false">
      <c r="A157" s="9"/>
      <c r="B157" s="9"/>
      <c r="C157" s="9"/>
      <c r="D157" s="9"/>
      <c r="E157" s="13"/>
      <c r="F157" s="14" t="str">
        <f aca="false">IF(OR(A157="",B157=""),"",IF(MAX(N(E157),SUMPRODUCT(MAX(('Completion Log'!$B$5:$B$2004=A157)*('Completion Log'!$C$5:$C$2004=B157)*'Completion Log'!$A$5:$A$2004)))=0,"",MAX(N(E157),SUMPRODUCT(MAX(('Completion Log'!$B$5:$B$2004=A157)*('Completion Log'!$C$5:$C$2004=B157)*'Completion Log'!$A$5:$A$2004)))))</f>
        <v/>
      </c>
      <c r="G157" s="14" t="str">
        <f aca="true">IF(OR(A157="",B157="",C157=""),"",IF(F157="",TODAY(),F157+C157))</f>
        <v/>
      </c>
      <c r="H157" s="15" t="str">
        <f aca="true">IF(G157="","",G157-TODAY())</f>
        <v/>
      </c>
      <c r="I157" s="16" t="str">
        <f aca="false">IF(H157="","",IF(H157&lt;0,"OVERDUE",IF(H157&lt;=$I$2,"Due soon","OK")))</f>
        <v/>
      </c>
      <c r="J157" s="9"/>
    </row>
    <row r="158" customFormat="false" ht="15" hidden="false" customHeight="false" outlineLevel="0" collapsed="false">
      <c r="A158" s="9"/>
      <c r="B158" s="9"/>
      <c r="C158" s="9"/>
      <c r="D158" s="9"/>
      <c r="E158" s="13"/>
      <c r="F158" s="14" t="str">
        <f aca="false">IF(OR(A158="",B158=""),"",IF(MAX(N(E158),SUMPRODUCT(MAX(('Completion Log'!$B$5:$B$2004=A158)*('Completion Log'!$C$5:$C$2004=B158)*'Completion Log'!$A$5:$A$2004)))=0,"",MAX(N(E158),SUMPRODUCT(MAX(('Completion Log'!$B$5:$B$2004=A158)*('Completion Log'!$C$5:$C$2004=B158)*'Completion Log'!$A$5:$A$2004)))))</f>
        <v/>
      </c>
      <c r="G158" s="14" t="str">
        <f aca="true">IF(OR(A158="",B158="",C158=""),"",IF(F158="",TODAY(),F158+C158))</f>
        <v/>
      </c>
      <c r="H158" s="15" t="str">
        <f aca="true">IF(G158="","",G158-TODAY())</f>
        <v/>
      </c>
      <c r="I158" s="16" t="str">
        <f aca="false">IF(H158="","",IF(H158&lt;0,"OVERDUE",IF(H158&lt;=$I$2,"Due soon","OK")))</f>
        <v/>
      </c>
      <c r="J158" s="9"/>
    </row>
    <row r="159" customFormat="false" ht="15" hidden="false" customHeight="false" outlineLevel="0" collapsed="false">
      <c r="A159" s="9"/>
      <c r="B159" s="9"/>
      <c r="C159" s="9"/>
      <c r="D159" s="9"/>
      <c r="E159" s="13"/>
      <c r="F159" s="14" t="str">
        <f aca="false">IF(OR(A159="",B159=""),"",IF(MAX(N(E159),SUMPRODUCT(MAX(('Completion Log'!$B$5:$B$2004=A159)*('Completion Log'!$C$5:$C$2004=B159)*'Completion Log'!$A$5:$A$2004)))=0,"",MAX(N(E159),SUMPRODUCT(MAX(('Completion Log'!$B$5:$B$2004=A159)*('Completion Log'!$C$5:$C$2004=B159)*'Completion Log'!$A$5:$A$2004)))))</f>
        <v/>
      </c>
      <c r="G159" s="14" t="str">
        <f aca="true">IF(OR(A159="",B159="",C159=""),"",IF(F159="",TODAY(),F159+C159))</f>
        <v/>
      </c>
      <c r="H159" s="15" t="str">
        <f aca="true">IF(G159="","",G159-TODAY())</f>
        <v/>
      </c>
      <c r="I159" s="16" t="str">
        <f aca="false">IF(H159="","",IF(H159&lt;0,"OVERDUE",IF(H159&lt;=$I$2,"Due soon","OK")))</f>
        <v/>
      </c>
      <c r="J159" s="9"/>
    </row>
    <row r="160" customFormat="false" ht="15" hidden="false" customHeight="false" outlineLevel="0" collapsed="false">
      <c r="A160" s="9"/>
      <c r="B160" s="9"/>
      <c r="C160" s="9"/>
      <c r="D160" s="9"/>
      <c r="E160" s="13"/>
      <c r="F160" s="14" t="str">
        <f aca="false">IF(OR(A160="",B160=""),"",IF(MAX(N(E160),SUMPRODUCT(MAX(('Completion Log'!$B$5:$B$2004=A160)*('Completion Log'!$C$5:$C$2004=B160)*'Completion Log'!$A$5:$A$2004)))=0,"",MAX(N(E160),SUMPRODUCT(MAX(('Completion Log'!$B$5:$B$2004=A160)*('Completion Log'!$C$5:$C$2004=B160)*'Completion Log'!$A$5:$A$2004)))))</f>
        <v/>
      </c>
      <c r="G160" s="14" t="str">
        <f aca="true">IF(OR(A160="",B160="",C160=""),"",IF(F160="",TODAY(),F160+C160))</f>
        <v/>
      </c>
      <c r="H160" s="15" t="str">
        <f aca="true">IF(G160="","",G160-TODAY())</f>
        <v/>
      </c>
      <c r="I160" s="16" t="str">
        <f aca="false">IF(H160="","",IF(H160&lt;0,"OVERDUE",IF(H160&lt;=$I$2,"Due soon","OK")))</f>
        <v/>
      </c>
      <c r="J160" s="9"/>
    </row>
    <row r="161" customFormat="false" ht="15" hidden="false" customHeight="false" outlineLevel="0" collapsed="false">
      <c r="A161" s="9"/>
      <c r="B161" s="9"/>
      <c r="C161" s="9"/>
      <c r="D161" s="9"/>
      <c r="E161" s="13"/>
      <c r="F161" s="14" t="str">
        <f aca="false">IF(OR(A161="",B161=""),"",IF(MAX(N(E161),SUMPRODUCT(MAX(('Completion Log'!$B$5:$B$2004=A161)*('Completion Log'!$C$5:$C$2004=B161)*'Completion Log'!$A$5:$A$2004)))=0,"",MAX(N(E161),SUMPRODUCT(MAX(('Completion Log'!$B$5:$B$2004=A161)*('Completion Log'!$C$5:$C$2004=B161)*'Completion Log'!$A$5:$A$2004)))))</f>
        <v/>
      </c>
      <c r="G161" s="14" t="str">
        <f aca="true">IF(OR(A161="",B161="",C161=""),"",IF(F161="",TODAY(),F161+C161))</f>
        <v/>
      </c>
      <c r="H161" s="15" t="str">
        <f aca="true">IF(G161="","",G161-TODAY())</f>
        <v/>
      </c>
      <c r="I161" s="16" t="str">
        <f aca="false">IF(H161="","",IF(H161&lt;0,"OVERDUE",IF(H161&lt;=$I$2,"Due soon","OK")))</f>
        <v/>
      </c>
      <c r="J161" s="9"/>
    </row>
    <row r="162" customFormat="false" ht="15" hidden="false" customHeight="false" outlineLevel="0" collapsed="false">
      <c r="A162" s="9"/>
      <c r="B162" s="9"/>
      <c r="C162" s="9"/>
      <c r="D162" s="9"/>
      <c r="E162" s="13"/>
      <c r="F162" s="14" t="str">
        <f aca="false">IF(OR(A162="",B162=""),"",IF(MAX(N(E162),SUMPRODUCT(MAX(('Completion Log'!$B$5:$B$2004=A162)*('Completion Log'!$C$5:$C$2004=B162)*'Completion Log'!$A$5:$A$2004)))=0,"",MAX(N(E162),SUMPRODUCT(MAX(('Completion Log'!$B$5:$B$2004=A162)*('Completion Log'!$C$5:$C$2004=B162)*'Completion Log'!$A$5:$A$2004)))))</f>
        <v/>
      </c>
      <c r="G162" s="14" t="str">
        <f aca="true">IF(OR(A162="",B162="",C162=""),"",IF(F162="",TODAY(),F162+C162))</f>
        <v/>
      </c>
      <c r="H162" s="15" t="str">
        <f aca="true">IF(G162="","",G162-TODAY())</f>
        <v/>
      </c>
      <c r="I162" s="16" t="str">
        <f aca="false">IF(H162="","",IF(H162&lt;0,"OVERDUE",IF(H162&lt;=$I$2,"Due soon","OK")))</f>
        <v/>
      </c>
      <c r="J162" s="9"/>
    </row>
    <row r="163" customFormat="false" ht="15" hidden="false" customHeight="false" outlineLevel="0" collapsed="false">
      <c r="A163" s="9"/>
      <c r="B163" s="9"/>
      <c r="C163" s="9"/>
      <c r="D163" s="9"/>
      <c r="E163" s="13"/>
      <c r="F163" s="14" t="str">
        <f aca="false">IF(OR(A163="",B163=""),"",IF(MAX(N(E163),SUMPRODUCT(MAX(('Completion Log'!$B$5:$B$2004=A163)*('Completion Log'!$C$5:$C$2004=B163)*'Completion Log'!$A$5:$A$2004)))=0,"",MAX(N(E163),SUMPRODUCT(MAX(('Completion Log'!$B$5:$B$2004=A163)*('Completion Log'!$C$5:$C$2004=B163)*'Completion Log'!$A$5:$A$2004)))))</f>
        <v/>
      </c>
      <c r="G163" s="14" t="str">
        <f aca="true">IF(OR(A163="",B163="",C163=""),"",IF(F163="",TODAY(),F163+C163))</f>
        <v/>
      </c>
      <c r="H163" s="15" t="str">
        <f aca="true">IF(G163="","",G163-TODAY())</f>
        <v/>
      </c>
      <c r="I163" s="16" t="str">
        <f aca="false">IF(H163="","",IF(H163&lt;0,"OVERDUE",IF(H163&lt;=$I$2,"Due soon","OK")))</f>
        <v/>
      </c>
      <c r="J163" s="9"/>
    </row>
    <row r="164" customFormat="false" ht="15" hidden="false" customHeight="false" outlineLevel="0" collapsed="false">
      <c r="A164" s="9"/>
      <c r="B164" s="9"/>
      <c r="C164" s="9"/>
      <c r="D164" s="9"/>
      <c r="E164" s="13"/>
      <c r="F164" s="14" t="str">
        <f aca="false">IF(OR(A164="",B164=""),"",IF(MAX(N(E164),SUMPRODUCT(MAX(('Completion Log'!$B$5:$B$2004=A164)*('Completion Log'!$C$5:$C$2004=B164)*'Completion Log'!$A$5:$A$2004)))=0,"",MAX(N(E164),SUMPRODUCT(MAX(('Completion Log'!$B$5:$B$2004=A164)*('Completion Log'!$C$5:$C$2004=B164)*'Completion Log'!$A$5:$A$2004)))))</f>
        <v/>
      </c>
      <c r="G164" s="14" t="str">
        <f aca="true">IF(OR(A164="",B164="",C164=""),"",IF(F164="",TODAY(),F164+C164))</f>
        <v/>
      </c>
      <c r="H164" s="15" t="str">
        <f aca="true">IF(G164="","",G164-TODAY())</f>
        <v/>
      </c>
      <c r="I164" s="16" t="str">
        <f aca="false">IF(H164="","",IF(H164&lt;0,"OVERDUE",IF(H164&lt;=$I$2,"Due soon","OK")))</f>
        <v/>
      </c>
      <c r="J164" s="9"/>
    </row>
    <row r="165" customFormat="false" ht="15" hidden="false" customHeight="false" outlineLevel="0" collapsed="false">
      <c r="A165" s="9"/>
      <c r="B165" s="9"/>
      <c r="C165" s="9"/>
      <c r="D165" s="9"/>
      <c r="E165" s="13"/>
      <c r="F165" s="14" t="str">
        <f aca="false">IF(OR(A165="",B165=""),"",IF(MAX(N(E165),SUMPRODUCT(MAX(('Completion Log'!$B$5:$B$2004=A165)*('Completion Log'!$C$5:$C$2004=B165)*'Completion Log'!$A$5:$A$2004)))=0,"",MAX(N(E165),SUMPRODUCT(MAX(('Completion Log'!$B$5:$B$2004=A165)*('Completion Log'!$C$5:$C$2004=B165)*'Completion Log'!$A$5:$A$2004)))))</f>
        <v/>
      </c>
      <c r="G165" s="14" t="str">
        <f aca="true">IF(OR(A165="",B165="",C165=""),"",IF(F165="",TODAY(),F165+C165))</f>
        <v/>
      </c>
      <c r="H165" s="15" t="str">
        <f aca="true">IF(G165="","",G165-TODAY())</f>
        <v/>
      </c>
      <c r="I165" s="16" t="str">
        <f aca="false">IF(H165="","",IF(H165&lt;0,"OVERDUE",IF(H165&lt;=$I$2,"Due soon","OK")))</f>
        <v/>
      </c>
      <c r="J165" s="9"/>
    </row>
    <row r="166" customFormat="false" ht="15" hidden="false" customHeight="false" outlineLevel="0" collapsed="false">
      <c r="A166" s="9"/>
      <c r="B166" s="9"/>
      <c r="C166" s="9"/>
      <c r="D166" s="9"/>
      <c r="E166" s="13"/>
      <c r="F166" s="14" t="str">
        <f aca="false">IF(OR(A166="",B166=""),"",IF(MAX(N(E166),SUMPRODUCT(MAX(('Completion Log'!$B$5:$B$2004=A166)*('Completion Log'!$C$5:$C$2004=B166)*'Completion Log'!$A$5:$A$2004)))=0,"",MAX(N(E166),SUMPRODUCT(MAX(('Completion Log'!$B$5:$B$2004=A166)*('Completion Log'!$C$5:$C$2004=B166)*'Completion Log'!$A$5:$A$2004)))))</f>
        <v/>
      </c>
      <c r="G166" s="14" t="str">
        <f aca="true">IF(OR(A166="",B166="",C166=""),"",IF(F166="",TODAY(),F166+C166))</f>
        <v/>
      </c>
      <c r="H166" s="15" t="str">
        <f aca="true">IF(G166="","",G166-TODAY())</f>
        <v/>
      </c>
      <c r="I166" s="16" t="str">
        <f aca="false">IF(H166="","",IF(H166&lt;0,"OVERDUE",IF(H166&lt;=$I$2,"Due soon","OK")))</f>
        <v/>
      </c>
      <c r="J166" s="9"/>
    </row>
    <row r="167" customFormat="false" ht="15" hidden="false" customHeight="false" outlineLevel="0" collapsed="false">
      <c r="A167" s="9"/>
      <c r="B167" s="9"/>
      <c r="C167" s="9"/>
      <c r="D167" s="9"/>
      <c r="E167" s="13"/>
      <c r="F167" s="14" t="str">
        <f aca="false">IF(OR(A167="",B167=""),"",IF(MAX(N(E167),SUMPRODUCT(MAX(('Completion Log'!$B$5:$B$2004=A167)*('Completion Log'!$C$5:$C$2004=B167)*'Completion Log'!$A$5:$A$2004)))=0,"",MAX(N(E167),SUMPRODUCT(MAX(('Completion Log'!$B$5:$B$2004=A167)*('Completion Log'!$C$5:$C$2004=B167)*'Completion Log'!$A$5:$A$2004)))))</f>
        <v/>
      </c>
      <c r="G167" s="14" t="str">
        <f aca="true">IF(OR(A167="",B167="",C167=""),"",IF(F167="",TODAY(),F167+C167))</f>
        <v/>
      </c>
      <c r="H167" s="15" t="str">
        <f aca="true">IF(G167="","",G167-TODAY())</f>
        <v/>
      </c>
      <c r="I167" s="16" t="str">
        <f aca="false">IF(H167="","",IF(H167&lt;0,"OVERDUE",IF(H167&lt;=$I$2,"Due soon","OK")))</f>
        <v/>
      </c>
      <c r="J167" s="9"/>
    </row>
    <row r="168" customFormat="false" ht="15" hidden="false" customHeight="false" outlineLevel="0" collapsed="false">
      <c r="A168" s="9"/>
      <c r="B168" s="9"/>
      <c r="C168" s="9"/>
      <c r="D168" s="9"/>
      <c r="E168" s="13"/>
      <c r="F168" s="14" t="str">
        <f aca="false">IF(OR(A168="",B168=""),"",IF(MAX(N(E168),SUMPRODUCT(MAX(('Completion Log'!$B$5:$B$2004=A168)*('Completion Log'!$C$5:$C$2004=B168)*'Completion Log'!$A$5:$A$2004)))=0,"",MAX(N(E168),SUMPRODUCT(MAX(('Completion Log'!$B$5:$B$2004=A168)*('Completion Log'!$C$5:$C$2004=B168)*'Completion Log'!$A$5:$A$2004)))))</f>
        <v/>
      </c>
      <c r="G168" s="14" t="str">
        <f aca="true">IF(OR(A168="",B168="",C168=""),"",IF(F168="",TODAY(),F168+C168))</f>
        <v/>
      </c>
      <c r="H168" s="15" t="str">
        <f aca="true">IF(G168="","",G168-TODAY())</f>
        <v/>
      </c>
      <c r="I168" s="16" t="str">
        <f aca="false">IF(H168="","",IF(H168&lt;0,"OVERDUE",IF(H168&lt;=$I$2,"Due soon","OK")))</f>
        <v/>
      </c>
      <c r="J168" s="9"/>
    </row>
    <row r="169" customFormat="false" ht="15" hidden="false" customHeight="false" outlineLevel="0" collapsed="false">
      <c r="A169" s="9"/>
      <c r="B169" s="9"/>
      <c r="C169" s="9"/>
      <c r="D169" s="9"/>
      <c r="E169" s="13"/>
      <c r="F169" s="14" t="str">
        <f aca="false">IF(OR(A169="",B169=""),"",IF(MAX(N(E169),SUMPRODUCT(MAX(('Completion Log'!$B$5:$B$2004=A169)*('Completion Log'!$C$5:$C$2004=B169)*'Completion Log'!$A$5:$A$2004)))=0,"",MAX(N(E169),SUMPRODUCT(MAX(('Completion Log'!$B$5:$B$2004=A169)*('Completion Log'!$C$5:$C$2004=B169)*'Completion Log'!$A$5:$A$2004)))))</f>
        <v/>
      </c>
      <c r="G169" s="14" t="str">
        <f aca="true">IF(OR(A169="",B169="",C169=""),"",IF(F169="",TODAY(),F169+C169))</f>
        <v/>
      </c>
      <c r="H169" s="15" t="str">
        <f aca="true">IF(G169="","",G169-TODAY())</f>
        <v/>
      </c>
      <c r="I169" s="16" t="str">
        <f aca="false">IF(H169="","",IF(H169&lt;0,"OVERDUE",IF(H169&lt;=$I$2,"Due soon","OK")))</f>
        <v/>
      </c>
      <c r="J169" s="9"/>
    </row>
    <row r="170" customFormat="false" ht="15" hidden="false" customHeight="false" outlineLevel="0" collapsed="false">
      <c r="A170" s="9"/>
      <c r="B170" s="9"/>
      <c r="C170" s="9"/>
      <c r="D170" s="9"/>
      <c r="E170" s="13"/>
      <c r="F170" s="14" t="str">
        <f aca="false">IF(OR(A170="",B170=""),"",IF(MAX(N(E170),SUMPRODUCT(MAX(('Completion Log'!$B$5:$B$2004=A170)*('Completion Log'!$C$5:$C$2004=B170)*'Completion Log'!$A$5:$A$2004)))=0,"",MAX(N(E170),SUMPRODUCT(MAX(('Completion Log'!$B$5:$B$2004=A170)*('Completion Log'!$C$5:$C$2004=B170)*'Completion Log'!$A$5:$A$2004)))))</f>
        <v/>
      </c>
      <c r="G170" s="14" t="str">
        <f aca="true">IF(OR(A170="",B170="",C170=""),"",IF(F170="",TODAY(),F170+C170))</f>
        <v/>
      </c>
      <c r="H170" s="15" t="str">
        <f aca="true">IF(G170="","",G170-TODAY())</f>
        <v/>
      </c>
      <c r="I170" s="16" t="str">
        <f aca="false">IF(H170="","",IF(H170&lt;0,"OVERDUE",IF(H170&lt;=$I$2,"Due soon","OK")))</f>
        <v/>
      </c>
      <c r="J170" s="9"/>
    </row>
    <row r="171" customFormat="false" ht="15" hidden="false" customHeight="false" outlineLevel="0" collapsed="false">
      <c r="A171" s="9"/>
      <c r="B171" s="9"/>
      <c r="C171" s="9"/>
      <c r="D171" s="9"/>
      <c r="E171" s="13"/>
      <c r="F171" s="14" t="str">
        <f aca="false">IF(OR(A171="",B171=""),"",IF(MAX(N(E171),SUMPRODUCT(MAX(('Completion Log'!$B$5:$B$2004=A171)*('Completion Log'!$C$5:$C$2004=B171)*'Completion Log'!$A$5:$A$2004)))=0,"",MAX(N(E171),SUMPRODUCT(MAX(('Completion Log'!$B$5:$B$2004=A171)*('Completion Log'!$C$5:$C$2004=B171)*'Completion Log'!$A$5:$A$2004)))))</f>
        <v/>
      </c>
      <c r="G171" s="14" t="str">
        <f aca="true">IF(OR(A171="",B171="",C171=""),"",IF(F171="",TODAY(),F171+C171))</f>
        <v/>
      </c>
      <c r="H171" s="15" t="str">
        <f aca="true">IF(G171="","",G171-TODAY())</f>
        <v/>
      </c>
      <c r="I171" s="16" t="str">
        <f aca="false">IF(H171="","",IF(H171&lt;0,"OVERDUE",IF(H171&lt;=$I$2,"Due soon","OK")))</f>
        <v/>
      </c>
      <c r="J171" s="9"/>
    </row>
    <row r="172" customFormat="false" ht="15" hidden="false" customHeight="false" outlineLevel="0" collapsed="false">
      <c r="A172" s="9"/>
      <c r="B172" s="9"/>
      <c r="C172" s="9"/>
      <c r="D172" s="9"/>
      <c r="E172" s="13"/>
      <c r="F172" s="14" t="str">
        <f aca="false">IF(OR(A172="",B172=""),"",IF(MAX(N(E172),SUMPRODUCT(MAX(('Completion Log'!$B$5:$B$2004=A172)*('Completion Log'!$C$5:$C$2004=B172)*'Completion Log'!$A$5:$A$2004)))=0,"",MAX(N(E172),SUMPRODUCT(MAX(('Completion Log'!$B$5:$B$2004=A172)*('Completion Log'!$C$5:$C$2004=B172)*'Completion Log'!$A$5:$A$2004)))))</f>
        <v/>
      </c>
      <c r="G172" s="14" t="str">
        <f aca="true">IF(OR(A172="",B172="",C172=""),"",IF(F172="",TODAY(),F172+C172))</f>
        <v/>
      </c>
      <c r="H172" s="15" t="str">
        <f aca="true">IF(G172="","",G172-TODAY())</f>
        <v/>
      </c>
      <c r="I172" s="16" t="str">
        <f aca="false">IF(H172="","",IF(H172&lt;0,"OVERDUE",IF(H172&lt;=$I$2,"Due soon","OK")))</f>
        <v/>
      </c>
      <c r="J172" s="9"/>
    </row>
    <row r="173" customFormat="false" ht="15" hidden="false" customHeight="false" outlineLevel="0" collapsed="false">
      <c r="A173" s="9"/>
      <c r="B173" s="9"/>
      <c r="C173" s="9"/>
      <c r="D173" s="9"/>
      <c r="E173" s="13"/>
      <c r="F173" s="14" t="str">
        <f aca="false">IF(OR(A173="",B173=""),"",IF(MAX(N(E173),SUMPRODUCT(MAX(('Completion Log'!$B$5:$B$2004=A173)*('Completion Log'!$C$5:$C$2004=B173)*'Completion Log'!$A$5:$A$2004)))=0,"",MAX(N(E173),SUMPRODUCT(MAX(('Completion Log'!$B$5:$B$2004=A173)*('Completion Log'!$C$5:$C$2004=B173)*'Completion Log'!$A$5:$A$2004)))))</f>
        <v/>
      </c>
      <c r="G173" s="14" t="str">
        <f aca="true">IF(OR(A173="",B173="",C173=""),"",IF(F173="",TODAY(),F173+C173))</f>
        <v/>
      </c>
      <c r="H173" s="15" t="str">
        <f aca="true">IF(G173="","",G173-TODAY())</f>
        <v/>
      </c>
      <c r="I173" s="16" t="str">
        <f aca="false">IF(H173="","",IF(H173&lt;0,"OVERDUE",IF(H173&lt;=$I$2,"Due soon","OK")))</f>
        <v/>
      </c>
      <c r="J173" s="9"/>
    </row>
    <row r="174" customFormat="false" ht="15" hidden="false" customHeight="false" outlineLevel="0" collapsed="false">
      <c r="A174" s="9"/>
      <c r="B174" s="9"/>
      <c r="C174" s="9"/>
      <c r="D174" s="9"/>
      <c r="E174" s="13"/>
      <c r="F174" s="14" t="str">
        <f aca="false">IF(OR(A174="",B174=""),"",IF(MAX(N(E174),SUMPRODUCT(MAX(('Completion Log'!$B$5:$B$2004=A174)*('Completion Log'!$C$5:$C$2004=B174)*'Completion Log'!$A$5:$A$2004)))=0,"",MAX(N(E174),SUMPRODUCT(MAX(('Completion Log'!$B$5:$B$2004=A174)*('Completion Log'!$C$5:$C$2004=B174)*'Completion Log'!$A$5:$A$2004)))))</f>
        <v/>
      </c>
      <c r="G174" s="14" t="str">
        <f aca="true">IF(OR(A174="",B174="",C174=""),"",IF(F174="",TODAY(),F174+C174))</f>
        <v/>
      </c>
      <c r="H174" s="15" t="str">
        <f aca="true">IF(G174="","",G174-TODAY())</f>
        <v/>
      </c>
      <c r="I174" s="16" t="str">
        <f aca="false">IF(H174="","",IF(H174&lt;0,"OVERDUE",IF(H174&lt;=$I$2,"Due soon","OK")))</f>
        <v/>
      </c>
      <c r="J174" s="9"/>
    </row>
    <row r="175" customFormat="false" ht="15" hidden="false" customHeight="false" outlineLevel="0" collapsed="false">
      <c r="A175" s="9"/>
      <c r="B175" s="9"/>
      <c r="C175" s="9"/>
      <c r="D175" s="9"/>
      <c r="E175" s="13"/>
      <c r="F175" s="14" t="str">
        <f aca="false">IF(OR(A175="",B175=""),"",IF(MAX(N(E175),SUMPRODUCT(MAX(('Completion Log'!$B$5:$B$2004=A175)*('Completion Log'!$C$5:$C$2004=B175)*'Completion Log'!$A$5:$A$2004)))=0,"",MAX(N(E175),SUMPRODUCT(MAX(('Completion Log'!$B$5:$B$2004=A175)*('Completion Log'!$C$5:$C$2004=B175)*'Completion Log'!$A$5:$A$2004)))))</f>
        <v/>
      </c>
      <c r="G175" s="14" t="str">
        <f aca="true">IF(OR(A175="",B175="",C175=""),"",IF(F175="",TODAY(),F175+C175))</f>
        <v/>
      </c>
      <c r="H175" s="15" t="str">
        <f aca="true">IF(G175="","",G175-TODAY())</f>
        <v/>
      </c>
      <c r="I175" s="16" t="str">
        <f aca="false">IF(H175="","",IF(H175&lt;0,"OVERDUE",IF(H175&lt;=$I$2,"Due soon","OK")))</f>
        <v/>
      </c>
      <c r="J175" s="9"/>
    </row>
    <row r="176" customFormat="false" ht="15" hidden="false" customHeight="false" outlineLevel="0" collapsed="false">
      <c r="A176" s="9"/>
      <c r="B176" s="9"/>
      <c r="C176" s="9"/>
      <c r="D176" s="9"/>
      <c r="E176" s="13"/>
      <c r="F176" s="14" t="str">
        <f aca="false">IF(OR(A176="",B176=""),"",IF(MAX(N(E176),SUMPRODUCT(MAX(('Completion Log'!$B$5:$B$2004=A176)*('Completion Log'!$C$5:$C$2004=B176)*'Completion Log'!$A$5:$A$2004)))=0,"",MAX(N(E176),SUMPRODUCT(MAX(('Completion Log'!$B$5:$B$2004=A176)*('Completion Log'!$C$5:$C$2004=B176)*'Completion Log'!$A$5:$A$2004)))))</f>
        <v/>
      </c>
      <c r="G176" s="14" t="str">
        <f aca="true">IF(OR(A176="",B176="",C176=""),"",IF(F176="",TODAY(),F176+C176))</f>
        <v/>
      </c>
      <c r="H176" s="15" t="str">
        <f aca="true">IF(G176="","",G176-TODAY())</f>
        <v/>
      </c>
      <c r="I176" s="16" t="str">
        <f aca="false">IF(H176="","",IF(H176&lt;0,"OVERDUE",IF(H176&lt;=$I$2,"Due soon","OK")))</f>
        <v/>
      </c>
      <c r="J176" s="9"/>
    </row>
    <row r="177" customFormat="false" ht="15" hidden="false" customHeight="false" outlineLevel="0" collapsed="false">
      <c r="A177" s="9"/>
      <c r="B177" s="9"/>
      <c r="C177" s="9"/>
      <c r="D177" s="9"/>
      <c r="E177" s="13"/>
      <c r="F177" s="14" t="str">
        <f aca="false">IF(OR(A177="",B177=""),"",IF(MAX(N(E177),SUMPRODUCT(MAX(('Completion Log'!$B$5:$B$2004=A177)*('Completion Log'!$C$5:$C$2004=B177)*'Completion Log'!$A$5:$A$2004)))=0,"",MAX(N(E177),SUMPRODUCT(MAX(('Completion Log'!$B$5:$B$2004=A177)*('Completion Log'!$C$5:$C$2004=B177)*'Completion Log'!$A$5:$A$2004)))))</f>
        <v/>
      </c>
      <c r="G177" s="14" t="str">
        <f aca="true">IF(OR(A177="",B177="",C177=""),"",IF(F177="",TODAY(),F177+C177))</f>
        <v/>
      </c>
      <c r="H177" s="15" t="str">
        <f aca="true">IF(G177="","",G177-TODAY())</f>
        <v/>
      </c>
      <c r="I177" s="16" t="str">
        <f aca="false">IF(H177="","",IF(H177&lt;0,"OVERDUE",IF(H177&lt;=$I$2,"Due soon","OK")))</f>
        <v/>
      </c>
      <c r="J177" s="9"/>
    </row>
    <row r="178" customFormat="false" ht="15" hidden="false" customHeight="false" outlineLevel="0" collapsed="false">
      <c r="A178" s="9"/>
      <c r="B178" s="9"/>
      <c r="C178" s="9"/>
      <c r="D178" s="9"/>
      <c r="E178" s="13"/>
      <c r="F178" s="14" t="str">
        <f aca="false">IF(OR(A178="",B178=""),"",IF(MAX(N(E178),SUMPRODUCT(MAX(('Completion Log'!$B$5:$B$2004=A178)*('Completion Log'!$C$5:$C$2004=B178)*'Completion Log'!$A$5:$A$2004)))=0,"",MAX(N(E178),SUMPRODUCT(MAX(('Completion Log'!$B$5:$B$2004=A178)*('Completion Log'!$C$5:$C$2004=B178)*'Completion Log'!$A$5:$A$2004)))))</f>
        <v/>
      </c>
      <c r="G178" s="14" t="str">
        <f aca="true">IF(OR(A178="",B178="",C178=""),"",IF(F178="",TODAY(),F178+C178))</f>
        <v/>
      </c>
      <c r="H178" s="15" t="str">
        <f aca="true">IF(G178="","",G178-TODAY())</f>
        <v/>
      </c>
      <c r="I178" s="16" t="str">
        <f aca="false">IF(H178="","",IF(H178&lt;0,"OVERDUE",IF(H178&lt;=$I$2,"Due soon","OK")))</f>
        <v/>
      </c>
      <c r="J178" s="9"/>
    </row>
    <row r="179" customFormat="false" ht="15" hidden="false" customHeight="false" outlineLevel="0" collapsed="false">
      <c r="A179" s="9"/>
      <c r="B179" s="9"/>
      <c r="C179" s="9"/>
      <c r="D179" s="9"/>
      <c r="E179" s="13"/>
      <c r="F179" s="14" t="str">
        <f aca="false">IF(OR(A179="",B179=""),"",IF(MAX(N(E179),SUMPRODUCT(MAX(('Completion Log'!$B$5:$B$2004=A179)*('Completion Log'!$C$5:$C$2004=B179)*'Completion Log'!$A$5:$A$2004)))=0,"",MAX(N(E179),SUMPRODUCT(MAX(('Completion Log'!$B$5:$B$2004=A179)*('Completion Log'!$C$5:$C$2004=B179)*'Completion Log'!$A$5:$A$2004)))))</f>
        <v/>
      </c>
      <c r="G179" s="14" t="str">
        <f aca="true">IF(OR(A179="",B179="",C179=""),"",IF(F179="",TODAY(),F179+C179))</f>
        <v/>
      </c>
      <c r="H179" s="15" t="str">
        <f aca="true">IF(G179="","",G179-TODAY())</f>
        <v/>
      </c>
      <c r="I179" s="16" t="str">
        <f aca="false">IF(H179="","",IF(H179&lt;0,"OVERDUE",IF(H179&lt;=$I$2,"Due soon","OK")))</f>
        <v/>
      </c>
      <c r="J179" s="9"/>
    </row>
    <row r="180" customFormat="false" ht="15" hidden="false" customHeight="false" outlineLevel="0" collapsed="false">
      <c r="A180" s="9"/>
      <c r="B180" s="9"/>
      <c r="C180" s="9"/>
      <c r="D180" s="9"/>
      <c r="E180" s="13"/>
      <c r="F180" s="14" t="str">
        <f aca="false">IF(OR(A180="",B180=""),"",IF(MAX(N(E180),SUMPRODUCT(MAX(('Completion Log'!$B$5:$B$2004=A180)*('Completion Log'!$C$5:$C$2004=B180)*'Completion Log'!$A$5:$A$2004)))=0,"",MAX(N(E180),SUMPRODUCT(MAX(('Completion Log'!$B$5:$B$2004=A180)*('Completion Log'!$C$5:$C$2004=B180)*'Completion Log'!$A$5:$A$2004)))))</f>
        <v/>
      </c>
      <c r="G180" s="14" t="str">
        <f aca="true">IF(OR(A180="",B180="",C180=""),"",IF(F180="",TODAY(),F180+C180))</f>
        <v/>
      </c>
      <c r="H180" s="15" t="str">
        <f aca="true">IF(G180="","",G180-TODAY())</f>
        <v/>
      </c>
      <c r="I180" s="16" t="str">
        <f aca="false">IF(H180="","",IF(H180&lt;0,"OVERDUE",IF(H180&lt;=$I$2,"Due soon","OK")))</f>
        <v/>
      </c>
      <c r="J180" s="9"/>
    </row>
    <row r="181" customFormat="false" ht="15" hidden="false" customHeight="false" outlineLevel="0" collapsed="false">
      <c r="A181" s="9"/>
      <c r="B181" s="9"/>
      <c r="C181" s="9"/>
      <c r="D181" s="9"/>
      <c r="E181" s="13"/>
      <c r="F181" s="14" t="str">
        <f aca="false">IF(OR(A181="",B181=""),"",IF(MAX(N(E181),SUMPRODUCT(MAX(('Completion Log'!$B$5:$B$2004=A181)*('Completion Log'!$C$5:$C$2004=B181)*'Completion Log'!$A$5:$A$2004)))=0,"",MAX(N(E181),SUMPRODUCT(MAX(('Completion Log'!$B$5:$B$2004=A181)*('Completion Log'!$C$5:$C$2004=B181)*'Completion Log'!$A$5:$A$2004)))))</f>
        <v/>
      </c>
      <c r="G181" s="14" t="str">
        <f aca="true">IF(OR(A181="",B181="",C181=""),"",IF(F181="",TODAY(),F181+C181))</f>
        <v/>
      </c>
      <c r="H181" s="15" t="str">
        <f aca="true">IF(G181="","",G181-TODAY())</f>
        <v/>
      </c>
      <c r="I181" s="16" t="str">
        <f aca="false">IF(H181="","",IF(H181&lt;0,"OVERDUE",IF(H181&lt;=$I$2,"Due soon","OK")))</f>
        <v/>
      </c>
      <c r="J181" s="9"/>
    </row>
    <row r="182" customFormat="false" ht="15" hidden="false" customHeight="false" outlineLevel="0" collapsed="false">
      <c r="A182" s="9"/>
      <c r="B182" s="9"/>
      <c r="C182" s="9"/>
      <c r="D182" s="9"/>
      <c r="E182" s="13"/>
      <c r="F182" s="14" t="str">
        <f aca="false">IF(OR(A182="",B182=""),"",IF(MAX(N(E182),SUMPRODUCT(MAX(('Completion Log'!$B$5:$B$2004=A182)*('Completion Log'!$C$5:$C$2004=B182)*'Completion Log'!$A$5:$A$2004)))=0,"",MAX(N(E182),SUMPRODUCT(MAX(('Completion Log'!$B$5:$B$2004=A182)*('Completion Log'!$C$5:$C$2004=B182)*'Completion Log'!$A$5:$A$2004)))))</f>
        <v/>
      </c>
      <c r="G182" s="14" t="str">
        <f aca="true">IF(OR(A182="",B182="",C182=""),"",IF(F182="",TODAY(),F182+C182))</f>
        <v/>
      </c>
      <c r="H182" s="15" t="str">
        <f aca="true">IF(G182="","",G182-TODAY())</f>
        <v/>
      </c>
      <c r="I182" s="16" t="str">
        <f aca="false">IF(H182="","",IF(H182&lt;0,"OVERDUE",IF(H182&lt;=$I$2,"Due soon","OK")))</f>
        <v/>
      </c>
      <c r="J182" s="9"/>
    </row>
    <row r="183" customFormat="false" ht="15" hidden="false" customHeight="false" outlineLevel="0" collapsed="false">
      <c r="A183" s="9"/>
      <c r="B183" s="9"/>
      <c r="C183" s="9"/>
      <c r="D183" s="9"/>
      <c r="E183" s="13"/>
      <c r="F183" s="14" t="str">
        <f aca="false">IF(OR(A183="",B183=""),"",IF(MAX(N(E183),SUMPRODUCT(MAX(('Completion Log'!$B$5:$B$2004=A183)*('Completion Log'!$C$5:$C$2004=B183)*'Completion Log'!$A$5:$A$2004)))=0,"",MAX(N(E183),SUMPRODUCT(MAX(('Completion Log'!$B$5:$B$2004=A183)*('Completion Log'!$C$5:$C$2004=B183)*'Completion Log'!$A$5:$A$2004)))))</f>
        <v/>
      </c>
      <c r="G183" s="14" t="str">
        <f aca="true">IF(OR(A183="",B183="",C183=""),"",IF(F183="",TODAY(),F183+C183))</f>
        <v/>
      </c>
      <c r="H183" s="15" t="str">
        <f aca="true">IF(G183="","",G183-TODAY())</f>
        <v/>
      </c>
      <c r="I183" s="16" t="str">
        <f aca="false">IF(H183="","",IF(H183&lt;0,"OVERDUE",IF(H183&lt;=$I$2,"Due soon","OK")))</f>
        <v/>
      </c>
      <c r="J183" s="9"/>
    </row>
    <row r="184" customFormat="false" ht="15" hidden="false" customHeight="false" outlineLevel="0" collapsed="false">
      <c r="A184" s="9"/>
      <c r="B184" s="9"/>
      <c r="C184" s="9"/>
      <c r="D184" s="9"/>
      <c r="E184" s="13"/>
      <c r="F184" s="14" t="str">
        <f aca="false">IF(OR(A184="",B184=""),"",IF(MAX(N(E184),SUMPRODUCT(MAX(('Completion Log'!$B$5:$B$2004=A184)*('Completion Log'!$C$5:$C$2004=B184)*'Completion Log'!$A$5:$A$2004)))=0,"",MAX(N(E184),SUMPRODUCT(MAX(('Completion Log'!$B$5:$B$2004=A184)*('Completion Log'!$C$5:$C$2004=B184)*'Completion Log'!$A$5:$A$2004)))))</f>
        <v/>
      </c>
      <c r="G184" s="14" t="str">
        <f aca="true">IF(OR(A184="",B184="",C184=""),"",IF(F184="",TODAY(),F184+C184))</f>
        <v/>
      </c>
      <c r="H184" s="15" t="str">
        <f aca="true">IF(G184="","",G184-TODAY())</f>
        <v/>
      </c>
      <c r="I184" s="16" t="str">
        <f aca="false">IF(H184="","",IF(H184&lt;0,"OVERDUE",IF(H184&lt;=$I$2,"Due soon","OK")))</f>
        <v/>
      </c>
      <c r="J184" s="9"/>
    </row>
    <row r="185" customFormat="false" ht="15" hidden="false" customHeight="false" outlineLevel="0" collapsed="false">
      <c r="A185" s="9"/>
      <c r="B185" s="9"/>
      <c r="C185" s="9"/>
      <c r="D185" s="9"/>
      <c r="E185" s="13"/>
      <c r="F185" s="14" t="str">
        <f aca="false">IF(OR(A185="",B185=""),"",IF(MAX(N(E185),SUMPRODUCT(MAX(('Completion Log'!$B$5:$B$2004=A185)*('Completion Log'!$C$5:$C$2004=B185)*'Completion Log'!$A$5:$A$2004)))=0,"",MAX(N(E185),SUMPRODUCT(MAX(('Completion Log'!$B$5:$B$2004=A185)*('Completion Log'!$C$5:$C$2004=B185)*'Completion Log'!$A$5:$A$2004)))))</f>
        <v/>
      </c>
      <c r="G185" s="14" t="str">
        <f aca="true">IF(OR(A185="",B185="",C185=""),"",IF(F185="",TODAY(),F185+C185))</f>
        <v/>
      </c>
      <c r="H185" s="15" t="str">
        <f aca="true">IF(G185="","",G185-TODAY())</f>
        <v/>
      </c>
      <c r="I185" s="16" t="str">
        <f aca="false">IF(H185="","",IF(H185&lt;0,"OVERDUE",IF(H185&lt;=$I$2,"Due soon","OK")))</f>
        <v/>
      </c>
      <c r="J185" s="9"/>
    </row>
    <row r="186" customFormat="false" ht="15" hidden="false" customHeight="false" outlineLevel="0" collapsed="false">
      <c r="A186" s="9"/>
      <c r="B186" s="9"/>
      <c r="C186" s="9"/>
      <c r="D186" s="9"/>
      <c r="E186" s="13"/>
      <c r="F186" s="14" t="str">
        <f aca="false">IF(OR(A186="",B186=""),"",IF(MAX(N(E186),SUMPRODUCT(MAX(('Completion Log'!$B$5:$B$2004=A186)*('Completion Log'!$C$5:$C$2004=B186)*'Completion Log'!$A$5:$A$2004)))=0,"",MAX(N(E186),SUMPRODUCT(MAX(('Completion Log'!$B$5:$B$2004=A186)*('Completion Log'!$C$5:$C$2004=B186)*'Completion Log'!$A$5:$A$2004)))))</f>
        <v/>
      </c>
      <c r="G186" s="14" t="str">
        <f aca="true">IF(OR(A186="",B186="",C186=""),"",IF(F186="",TODAY(),F186+C186))</f>
        <v/>
      </c>
      <c r="H186" s="15" t="str">
        <f aca="true">IF(G186="","",G186-TODAY())</f>
        <v/>
      </c>
      <c r="I186" s="16" t="str">
        <f aca="false">IF(H186="","",IF(H186&lt;0,"OVERDUE",IF(H186&lt;=$I$2,"Due soon","OK")))</f>
        <v/>
      </c>
      <c r="J186" s="9"/>
    </row>
    <row r="187" customFormat="false" ht="15" hidden="false" customHeight="false" outlineLevel="0" collapsed="false">
      <c r="A187" s="9"/>
      <c r="B187" s="9"/>
      <c r="C187" s="9"/>
      <c r="D187" s="9"/>
      <c r="E187" s="13"/>
      <c r="F187" s="14" t="str">
        <f aca="false">IF(OR(A187="",B187=""),"",IF(MAX(N(E187),SUMPRODUCT(MAX(('Completion Log'!$B$5:$B$2004=A187)*('Completion Log'!$C$5:$C$2004=B187)*'Completion Log'!$A$5:$A$2004)))=0,"",MAX(N(E187),SUMPRODUCT(MAX(('Completion Log'!$B$5:$B$2004=A187)*('Completion Log'!$C$5:$C$2004=B187)*'Completion Log'!$A$5:$A$2004)))))</f>
        <v/>
      </c>
      <c r="G187" s="14" t="str">
        <f aca="true">IF(OR(A187="",B187="",C187=""),"",IF(F187="",TODAY(),F187+C187))</f>
        <v/>
      </c>
      <c r="H187" s="15" t="str">
        <f aca="true">IF(G187="","",G187-TODAY())</f>
        <v/>
      </c>
      <c r="I187" s="16" t="str">
        <f aca="false">IF(H187="","",IF(H187&lt;0,"OVERDUE",IF(H187&lt;=$I$2,"Due soon","OK")))</f>
        <v/>
      </c>
      <c r="J187" s="9"/>
    </row>
    <row r="188" customFormat="false" ht="15" hidden="false" customHeight="false" outlineLevel="0" collapsed="false">
      <c r="A188" s="9"/>
      <c r="B188" s="9"/>
      <c r="C188" s="9"/>
      <c r="D188" s="9"/>
      <c r="E188" s="13"/>
      <c r="F188" s="14" t="str">
        <f aca="false">IF(OR(A188="",B188=""),"",IF(MAX(N(E188),SUMPRODUCT(MAX(('Completion Log'!$B$5:$B$2004=A188)*('Completion Log'!$C$5:$C$2004=B188)*'Completion Log'!$A$5:$A$2004)))=0,"",MAX(N(E188),SUMPRODUCT(MAX(('Completion Log'!$B$5:$B$2004=A188)*('Completion Log'!$C$5:$C$2004=B188)*'Completion Log'!$A$5:$A$2004)))))</f>
        <v/>
      </c>
      <c r="G188" s="14" t="str">
        <f aca="true">IF(OR(A188="",B188="",C188=""),"",IF(F188="",TODAY(),F188+C188))</f>
        <v/>
      </c>
      <c r="H188" s="15" t="str">
        <f aca="true">IF(G188="","",G188-TODAY())</f>
        <v/>
      </c>
      <c r="I188" s="16" t="str">
        <f aca="false">IF(H188="","",IF(H188&lt;0,"OVERDUE",IF(H188&lt;=$I$2,"Due soon","OK")))</f>
        <v/>
      </c>
      <c r="J188" s="9"/>
    </row>
    <row r="189" customFormat="false" ht="15" hidden="false" customHeight="false" outlineLevel="0" collapsed="false">
      <c r="A189" s="9"/>
      <c r="B189" s="9"/>
      <c r="C189" s="9"/>
      <c r="D189" s="9"/>
      <c r="E189" s="13"/>
      <c r="F189" s="14" t="str">
        <f aca="false">IF(OR(A189="",B189=""),"",IF(MAX(N(E189),SUMPRODUCT(MAX(('Completion Log'!$B$5:$B$2004=A189)*('Completion Log'!$C$5:$C$2004=B189)*'Completion Log'!$A$5:$A$2004)))=0,"",MAX(N(E189),SUMPRODUCT(MAX(('Completion Log'!$B$5:$B$2004=A189)*('Completion Log'!$C$5:$C$2004=B189)*'Completion Log'!$A$5:$A$2004)))))</f>
        <v/>
      </c>
      <c r="G189" s="14" t="str">
        <f aca="true">IF(OR(A189="",B189="",C189=""),"",IF(F189="",TODAY(),F189+C189))</f>
        <v/>
      </c>
      <c r="H189" s="15" t="str">
        <f aca="true">IF(G189="","",G189-TODAY())</f>
        <v/>
      </c>
      <c r="I189" s="16" t="str">
        <f aca="false">IF(H189="","",IF(H189&lt;0,"OVERDUE",IF(H189&lt;=$I$2,"Due soon","OK")))</f>
        <v/>
      </c>
      <c r="J189" s="9"/>
    </row>
    <row r="190" customFormat="false" ht="15" hidden="false" customHeight="false" outlineLevel="0" collapsed="false">
      <c r="A190" s="9"/>
      <c r="B190" s="9"/>
      <c r="C190" s="9"/>
      <c r="D190" s="9"/>
      <c r="E190" s="13"/>
      <c r="F190" s="14" t="str">
        <f aca="false">IF(OR(A190="",B190=""),"",IF(MAX(N(E190),SUMPRODUCT(MAX(('Completion Log'!$B$5:$B$2004=A190)*('Completion Log'!$C$5:$C$2004=B190)*'Completion Log'!$A$5:$A$2004)))=0,"",MAX(N(E190),SUMPRODUCT(MAX(('Completion Log'!$B$5:$B$2004=A190)*('Completion Log'!$C$5:$C$2004=B190)*'Completion Log'!$A$5:$A$2004)))))</f>
        <v/>
      </c>
      <c r="G190" s="14" t="str">
        <f aca="true">IF(OR(A190="",B190="",C190=""),"",IF(F190="",TODAY(),F190+C190))</f>
        <v/>
      </c>
      <c r="H190" s="15" t="str">
        <f aca="true">IF(G190="","",G190-TODAY())</f>
        <v/>
      </c>
      <c r="I190" s="16" t="str">
        <f aca="false">IF(H190="","",IF(H190&lt;0,"OVERDUE",IF(H190&lt;=$I$2,"Due soon","OK")))</f>
        <v/>
      </c>
      <c r="J190" s="9"/>
    </row>
    <row r="191" customFormat="false" ht="15" hidden="false" customHeight="false" outlineLevel="0" collapsed="false">
      <c r="A191" s="9"/>
      <c r="B191" s="9"/>
      <c r="C191" s="9"/>
      <c r="D191" s="9"/>
      <c r="E191" s="13"/>
      <c r="F191" s="14" t="str">
        <f aca="false">IF(OR(A191="",B191=""),"",IF(MAX(N(E191),SUMPRODUCT(MAX(('Completion Log'!$B$5:$B$2004=A191)*('Completion Log'!$C$5:$C$2004=B191)*'Completion Log'!$A$5:$A$2004)))=0,"",MAX(N(E191),SUMPRODUCT(MAX(('Completion Log'!$B$5:$B$2004=A191)*('Completion Log'!$C$5:$C$2004=B191)*'Completion Log'!$A$5:$A$2004)))))</f>
        <v/>
      </c>
      <c r="G191" s="14" t="str">
        <f aca="true">IF(OR(A191="",B191="",C191=""),"",IF(F191="",TODAY(),F191+C191))</f>
        <v/>
      </c>
      <c r="H191" s="15" t="str">
        <f aca="true">IF(G191="","",G191-TODAY())</f>
        <v/>
      </c>
      <c r="I191" s="16" t="str">
        <f aca="false">IF(H191="","",IF(H191&lt;0,"OVERDUE",IF(H191&lt;=$I$2,"Due soon","OK")))</f>
        <v/>
      </c>
      <c r="J191" s="9"/>
    </row>
    <row r="192" customFormat="false" ht="15" hidden="false" customHeight="false" outlineLevel="0" collapsed="false">
      <c r="A192" s="9"/>
      <c r="B192" s="9"/>
      <c r="C192" s="9"/>
      <c r="D192" s="9"/>
      <c r="E192" s="13"/>
      <c r="F192" s="14" t="str">
        <f aca="false">IF(OR(A192="",B192=""),"",IF(MAX(N(E192),SUMPRODUCT(MAX(('Completion Log'!$B$5:$B$2004=A192)*('Completion Log'!$C$5:$C$2004=B192)*'Completion Log'!$A$5:$A$2004)))=0,"",MAX(N(E192),SUMPRODUCT(MAX(('Completion Log'!$B$5:$B$2004=A192)*('Completion Log'!$C$5:$C$2004=B192)*'Completion Log'!$A$5:$A$2004)))))</f>
        <v/>
      </c>
      <c r="G192" s="14" t="str">
        <f aca="true">IF(OR(A192="",B192="",C192=""),"",IF(F192="",TODAY(),F192+C192))</f>
        <v/>
      </c>
      <c r="H192" s="15" t="str">
        <f aca="true">IF(G192="","",G192-TODAY())</f>
        <v/>
      </c>
      <c r="I192" s="16" t="str">
        <f aca="false">IF(H192="","",IF(H192&lt;0,"OVERDUE",IF(H192&lt;=$I$2,"Due soon","OK")))</f>
        <v/>
      </c>
      <c r="J192" s="9"/>
    </row>
    <row r="193" customFormat="false" ht="15" hidden="false" customHeight="false" outlineLevel="0" collapsed="false">
      <c r="A193" s="9"/>
      <c r="B193" s="9"/>
      <c r="C193" s="9"/>
      <c r="D193" s="9"/>
      <c r="E193" s="13"/>
      <c r="F193" s="14" t="str">
        <f aca="false">IF(OR(A193="",B193=""),"",IF(MAX(N(E193),SUMPRODUCT(MAX(('Completion Log'!$B$5:$B$2004=A193)*('Completion Log'!$C$5:$C$2004=B193)*'Completion Log'!$A$5:$A$2004)))=0,"",MAX(N(E193),SUMPRODUCT(MAX(('Completion Log'!$B$5:$B$2004=A193)*('Completion Log'!$C$5:$C$2004=B193)*'Completion Log'!$A$5:$A$2004)))))</f>
        <v/>
      </c>
      <c r="G193" s="14" t="str">
        <f aca="true">IF(OR(A193="",B193="",C193=""),"",IF(F193="",TODAY(),F193+C193))</f>
        <v/>
      </c>
      <c r="H193" s="15" t="str">
        <f aca="true">IF(G193="","",G193-TODAY())</f>
        <v/>
      </c>
      <c r="I193" s="16" t="str">
        <f aca="false">IF(H193="","",IF(H193&lt;0,"OVERDUE",IF(H193&lt;=$I$2,"Due soon","OK")))</f>
        <v/>
      </c>
      <c r="J193" s="9"/>
    </row>
    <row r="194" customFormat="false" ht="15" hidden="false" customHeight="false" outlineLevel="0" collapsed="false">
      <c r="A194" s="9"/>
      <c r="B194" s="9"/>
      <c r="C194" s="9"/>
      <c r="D194" s="9"/>
      <c r="E194" s="13"/>
      <c r="F194" s="14" t="str">
        <f aca="false">IF(OR(A194="",B194=""),"",IF(MAX(N(E194),SUMPRODUCT(MAX(('Completion Log'!$B$5:$B$2004=A194)*('Completion Log'!$C$5:$C$2004=B194)*'Completion Log'!$A$5:$A$2004)))=0,"",MAX(N(E194),SUMPRODUCT(MAX(('Completion Log'!$B$5:$B$2004=A194)*('Completion Log'!$C$5:$C$2004=B194)*'Completion Log'!$A$5:$A$2004)))))</f>
        <v/>
      </c>
      <c r="G194" s="14" t="str">
        <f aca="true">IF(OR(A194="",B194="",C194=""),"",IF(F194="",TODAY(),F194+C194))</f>
        <v/>
      </c>
      <c r="H194" s="15" t="str">
        <f aca="true">IF(G194="","",G194-TODAY())</f>
        <v/>
      </c>
      <c r="I194" s="16" t="str">
        <f aca="false">IF(H194="","",IF(H194&lt;0,"OVERDUE",IF(H194&lt;=$I$2,"Due soon","OK")))</f>
        <v/>
      </c>
      <c r="J194" s="9"/>
    </row>
    <row r="195" customFormat="false" ht="15" hidden="false" customHeight="false" outlineLevel="0" collapsed="false">
      <c r="A195" s="9"/>
      <c r="B195" s="9"/>
      <c r="C195" s="9"/>
      <c r="D195" s="9"/>
      <c r="E195" s="13"/>
      <c r="F195" s="14" t="str">
        <f aca="false">IF(OR(A195="",B195=""),"",IF(MAX(N(E195),SUMPRODUCT(MAX(('Completion Log'!$B$5:$B$2004=A195)*('Completion Log'!$C$5:$C$2004=B195)*'Completion Log'!$A$5:$A$2004)))=0,"",MAX(N(E195),SUMPRODUCT(MAX(('Completion Log'!$B$5:$B$2004=A195)*('Completion Log'!$C$5:$C$2004=B195)*'Completion Log'!$A$5:$A$2004)))))</f>
        <v/>
      </c>
      <c r="G195" s="14" t="str">
        <f aca="true">IF(OR(A195="",B195="",C195=""),"",IF(F195="",TODAY(),F195+C195))</f>
        <v/>
      </c>
      <c r="H195" s="15" t="str">
        <f aca="true">IF(G195="","",G195-TODAY())</f>
        <v/>
      </c>
      <c r="I195" s="16" t="str">
        <f aca="false">IF(H195="","",IF(H195&lt;0,"OVERDUE",IF(H195&lt;=$I$2,"Due soon","OK")))</f>
        <v/>
      </c>
      <c r="J195" s="9"/>
    </row>
    <row r="196" customFormat="false" ht="15" hidden="false" customHeight="false" outlineLevel="0" collapsed="false">
      <c r="A196" s="9"/>
      <c r="B196" s="9"/>
      <c r="C196" s="9"/>
      <c r="D196" s="9"/>
      <c r="E196" s="13"/>
      <c r="F196" s="14" t="str">
        <f aca="false">IF(OR(A196="",B196=""),"",IF(MAX(N(E196),SUMPRODUCT(MAX(('Completion Log'!$B$5:$B$2004=A196)*('Completion Log'!$C$5:$C$2004=B196)*'Completion Log'!$A$5:$A$2004)))=0,"",MAX(N(E196),SUMPRODUCT(MAX(('Completion Log'!$B$5:$B$2004=A196)*('Completion Log'!$C$5:$C$2004=B196)*'Completion Log'!$A$5:$A$2004)))))</f>
        <v/>
      </c>
      <c r="G196" s="14" t="str">
        <f aca="true">IF(OR(A196="",B196="",C196=""),"",IF(F196="",TODAY(),F196+C196))</f>
        <v/>
      </c>
      <c r="H196" s="15" t="str">
        <f aca="true">IF(G196="","",G196-TODAY())</f>
        <v/>
      </c>
      <c r="I196" s="16" t="str">
        <f aca="false">IF(H196="","",IF(H196&lt;0,"OVERDUE",IF(H196&lt;=$I$2,"Due soon","OK")))</f>
        <v/>
      </c>
      <c r="J196" s="9"/>
    </row>
    <row r="197" customFormat="false" ht="15" hidden="false" customHeight="false" outlineLevel="0" collapsed="false">
      <c r="A197" s="9"/>
      <c r="B197" s="9"/>
      <c r="C197" s="9"/>
      <c r="D197" s="9"/>
      <c r="E197" s="13"/>
      <c r="F197" s="14" t="str">
        <f aca="false">IF(OR(A197="",B197=""),"",IF(MAX(N(E197),SUMPRODUCT(MAX(('Completion Log'!$B$5:$B$2004=A197)*('Completion Log'!$C$5:$C$2004=B197)*'Completion Log'!$A$5:$A$2004)))=0,"",MAX(N(E197),SUMPRODUCT(MAX(('Completion Log'!$B$5:$B$2004=A197)*('Completion Log'!$C$5:$C$2004=B197)*'Completion Log'!$A$5:$A$2004)))))</f>
        <v/>
      </c>
      <c r="G197" s="14" t="str">
        <f aca="true">IF(OR(A197="",B197="",C197=""),"",IF(F197="",TODAY(),F197+C197))</f>
        <v/>
      </c>
      <c r="H197" s="15" t="str">
        <f aca="true">IF(G197="","",G197-TODAY())</f>
        <v/>
      </c>
      <c r="I197" s="16" t="str">
        <f aca="false">IF(H197="","",IF(H197&lt;0,"OVERDUE",IF(H197&lt;=$I$2,"Due soon","OK")))</f>
        <v/>
      </c>
      <c r="J197" s="9"/>
    </row>
    <row r="198" customFormat="false" ht="15" hidden="false" customHeight="false" outlineLevel="0" collapsed="false">
      <c r="A198" s="9"/>
      <c r="B198" s="9"/>
      <c r="C198" s="9"/>
      <c r="D198" s="9"/>
      <c r="E198" s="13"/>
      <c r="F198" s="14" t="str">
        <f aca="false">IF(OR(A198="",B198=""),"",IF(MAX(N(E198),SUMPRODUCT(MAX(('Completion Log'!$B$5:$B$2004=A198)*('Completion Log'!$C$5:$C$2004=B198)*'Completion Log'!$A$5:$A$2004)))=0,"",MAX(N(E198),SUMPRODUCT(MAX(('Completion Log'!$B$5:$B$2004=A198)*('Completion Log'!$C$5:$C$2004=B198)*'Completion Log'!$A$5:$A$2004)))))</f>
        <v/>
      </c>
      <c r="G198" s="14" t="str">
        <f aca="true">IF(OR(A198="",B198="",C198=""),"",IF(F198="",TODAY(),F198+C198))</f>
        <v/>
      </c>
      <c r="H198" s="15" t="str">
        <f aca="true">IF(G198="","",G198-TODAY())</f>
        <v/>
      </c>
      <c r="I198" s="16" t="str">
        <f aca="false">IF(H198="","",IF(H198&lt;0,"OVERDUE",IF(H198&lt;=$I$2,"Due soon","OK")))</f>
        <v/>
      </c>
      <c r="J198" s="9"/>
    </row>
    <row r="199" customFormat="false" ht="15" hidden="false" customHeight="false" outlineLevel="0" collapsed="false">
      <c r="A199" s="9"/>
      <c r="B199" s="9"/>
      <c r="C199" s="9"/>
      <c r="D199" s="9"/>
      <c r="E199" s="13"/>
      <c r="F199" s="14" t="str">
        <f aca="false">IF(OR(A199="",B199=""),"",IF(MAX(N(E199),SUMPRODUCT(MAX(('Completion Log'!$B$5:$B$2004=A199)*('Completion Log'!$C$5:$C$2004=B199)*'Completion Log'!$A$5:$A$2004)))=0,"",MAX(N(E199),SUMPRODUCT(MAX(('Completion Log'!$B$5:$B$2004=A199)*('Completion Log'!$C$5:$C$2004=B199)*'Completion Log'!$A$5:$A$2004)))))</f>
        <v/>
      </c>
      <c r="G199" s="14" t="str">
        <f aca="true">IF(OR(A199="",B199="",C199=""),"",IF(F199="",TODAY(),F199+C199))</f>
        <v/>
      </c>
      <c r="H199" s="15" t="str">
        <f aca="true">IF(G199="","",G199-TODAY())</f>
        <v/>
      </c>
      <c r="I199" s="16" t="str">
        <f aca="false">IF(H199="","",IF(H199&lt;0,"OVERDUE",IF(H199&lt;=$I$2,"Due soon","OK")))</f>
        <v/>
      </c>
      <c r="J199" s="9"/>
    </row>
    <row r="200" customFormat="false" ht="15" hidden="false" customHeight="false" outlineLevel="0" collapsed="false">
      <c r="A200" s="9"/>
      <c r="B200" s="9"/>
      <c r="C200" s="9"/>
      <c r="D200" s="9"/>
      <c r="E200" s="13"/>
      <c r="F200" s="14" t="str">
        <f aca="false">IF(OR(A200="",B200=""),"",IF(MAX(N(E200),SUMPRODUCT(MAX(('Completion Log'!$B$5:$B$2004=A200)*('Completion Log'!$C$5:$C$2004=B200)*'Completion Log'!$A$5:$A$2004)))=0,"",MAX(N(E200),SUMPRODUCT(MAX(('Completion Log'!$B$5:$B$2004=A200)*('Completion Log'!$C$5:$C$2004=B200)*'Completion Log'!$A$5:$A$2004)))))</f>
        <v/>
      </c>
      <c r="G200" s="14" t="str">
        <f aca="true">IF(OR(A200="",B200="",C200=""),"",IF(F200="",TODAY(),F200+C200))</f>
        <v/>
      </c>
      <c r="H200" s="15" t="str">
        <f aca="true">IF(G200="","",G200-TODAY())</f>
        <v/>
      </c>
      <c r="I200" s="16" t="str">
        <f aca="false">IF(H200="","",IF(H200&lt;0,"OVERDUE",IF(H200&lt;=$I$2,"Due soon","OK")))</f>
        <v/>
      </c>
      <c r="J200" s="9"/>
    </row>
    <row r="201" customFormat="false" ht="15" hidden="false" customHeight="false" outlineLevel="0" collapsed="false">
      <c r="A201" s="9"/>
      <c r="B201" s="9"/>
      <c r="C201" s="9"/>
      <c r="D201" s="9"/>
      <c r="E201" s="13"/>
      <c r="F201" s="14" t="str">
        <f aca="false">IF(OR(A201="",B201=""),"",IF(MAX(N(E201),SUMPRODUCT(MAX(('Completion Log'!$B$5:$B$2004=A201)*('Completion Log'!$C$5:$C$2004=B201)*'Completion Log'!$A$5:$A$2004)))=0,"",MAX(N(E201),SUMPRODUCT(MAX(('Completion Log'!$B$5:$B$2004=A201)*('Completion Log'!$C$5:$C$2004=B201)*'Completion Log'!$A$5:$A$2004)))))</f>
        <v/>
      </c>
      <c r="G201" s="14" t="str">
        <f aca="true">IF(OR(A201="",B201="",C201=""),"",IF(F201="",TODAY(),F201+C201))</f>
        <v/>
      </c>
      <c r="H201" s="15" t="str">
        <f aca="true">IF(G201="","",G201-TODAY())</f>
        <v/>
      </c>
      <c r="I201" s="16" t="str">
        <f aca="false">IF(H201="","",IF(H201&lt;0,"OVERDUE",IF(H201&lt;=$I$2,"Due soon","OK")))</f>
        <v/>
      </c>
      <c r="J201" s="9"/>
    </row>
    <row r="202" customFormat="false" ht="15" hidden="false" customHeight="false" outlineLevel="0" collapsed="false">
      <c r="A202" s="9"/>
      <c r="B202" s="9"/>
      <c r="C202" s="9"/>
      <c r="D202" s="9"/>
      <c r="E202" s="13"/>
      <c r="F202" s="14" t="str">
        <f aca="false">IF(OR(A202="",B202=""),"",IF(MAX(N(E202),SUMPRODUCT(MAX(('Completion Log'!$B$5:$B$2004=A202)*('Completion Log'!$C$5:$C$2004=B202)*'Completion Log'!$A$5:$A$2004)))=0,"",MAX(N(E202),SUMPRODUCT(MAX(('Completion Log'!$B$5:$B$2004=A202)*('Completion Log'!$C$5:$C$2004=B202)*'Completion Log'!$A$5:$A$2004)))))</f>
        <v/>
      </c>
      <c r="G202" s="14" t="str">
        <f aca="true">IF(OR(A202="",B202="",C202=""),"",IF(F202="",TODAY(),F202+C202))</f>
        <v/>
      </c>
      <c r="H202" s="15" t="str">
        <f aca="true">IF(G202="","",G202-TODAY())</f>
        <v/>
      </c>
      <c r="I202" s="16" t="str">
        <f aca="false">IF(H202="","",IF(H202&lt;0,"OVERDUE",IF(H202&lt;=$I$2,"Due soon","OK")))</f>
        <v/>
      </c>
      <c r="J202" s="9"/>
    </row>
    <row r="203" customFormat="false" ht="15" hidden="false" customHeight="false" outlineLevel="0" collapsed="false">
      <c r="A203" s="9"/>
      <c r="B203" s="9"/>
      <c r="C203" s="9"/>
      <c r="D203" s="9"/>
      <c r="E203" s="13"/>
      <c r="F203" s="14" t="str">
        <f aca="false">IF(OR(A203="",B203=""),"",IF(MAX(N(E203),SUMPRODUCT(MAX(('Completion Log'!$B$5:$B$2004=A203)*('Completion Log'!$C$5:$C$2004=B203)*'Completion Log'!$A$5:$A$2004)))=0,"",MAX(N(E203),SUMPRODUCT(MAX(('Completion Log'!$B$5:$B$2004=A203)*('Completion Log'!$C$5:$C$2004=B203)*'Completion Log'!$A$5:$A$2004)))))</f>
        <v/>
      </c>
      <c r="G203" s="14" t="str">
        <f aca="true">IF(OR(A203="",B203="",C203=""),"",IF(F203="",TODAY(),F203+C203))</f>
        <v/>
      </c>
      <c r="H203" s="15" t="str">
        <f aca="true">IF(G203="","",G203-TODAY())</f>
        <v/>
      </c>
      <c r="I203" s="16" t="str">
        <f aca="false">IF(H203="","",IF(H203&lt;0,"OVERDUE",IF(H203&lt;=$I$2,"Due soon","OK")))</f>
        <v/>
      </c>
      <c r="J203" s="9"/>
    </row>
    <row r="204" customFormat="false" ht="15" hidden="false" customHeight="false" outlineLevel="0" collapsed="false">
      <c r="A204" s="9"/>
      <c r="B204" s="9"/>
      <c r="C204" s="9"/>
      <c r="D204" s="9"/>
      <c r="E204" s="13"/>
      <c r="F204" s="14" t="str">
        <f aca="false">IF(OR(A204="",B204=""),"",IF(MAX(N(E204),SUMPRODUCT(MAX(('Completion Log'!$B$5:$B$2004=A204)*('Completion Log'!$C$5:$C$2004=B204)*'Completion Log'!$A$5:$A$2004)))=0,"",MAX(N(E204),SUMPRODUCT(MAX(('Completion Log'!$B$5:$B$2004=A204)*('Completion Log'!$C$5:$C$2004=B204)*'Completion Log'!$A$5:$A$2004)))))</f>
        <v/>
      </c>
      <c r="G204" s="14" t="str">
        <f aca="true">IF(OR(A204="",B204="",C204=""),"",IF(F204="",TODAY(),F204+C204))</f>
        <v/>
      </c>
      <c r="H204" s="15" t="str">
        <f aca="true">IF(G204="","",G204-TODAY())</f>
        <v/>
      </c>
      <c r="I204" s="16" t="str">
        <f aca="false">IF(H204="","",IF(H204&lt;0,"OVERDUE",IF(H204&lt;=$I$2,"Due soon","OK")))</f>
        <v/>
      </c>
      <c r="J204" s="9"/>
    </row>
    <row r="205" customFormat="false" ht="15" hidden="false" customHeight="false" outlineLevel="0" collapsed="false">
      <c r="A205" s="9"/>
      <c r="B205" s="9"/>
      <c r="C205" s="9"/>
      <c r="D205" s="9"/>
      <c r="E205" s="13"/>
      <c r="F205" s="14" t="str">
        <f aca="false">IF(OR(A205="",B205=""),"",IF(MAX(N(E205),SUMPRODUCT(MAX(('Completion Log'!$B$5:$B$2004=A205)*('Completion Log'!$C$5:$C$2004=B205)*'Completion Log'!$A$5:$A$2004)))=0,"",MAX(N(E205),SUMPRODUCT(MAX(('Completion Log'!$B$5:$B$2004=A205)*('Completion Log'!$C$5:$C$2004=B205)*'Completion Log'!$A$5:$A$2004)))))</f>
        <v/>
      </c>
      <c r="G205" s="14" t="str">
        <f aca="true">IF(OR(A205="",B205="",C205=""),"",IF(F205="",TODAY(),F205+C205))</f>
        <v/>
      </c>
      <c r="H205" s="15" t="str">
        <f aca="true">IF(G205="","",G205-TODAY())</f>
        <v/>
      </c>
      <c r="I205" s="16" t="str">
        <f aca="false">IF(H205="","",IF(H205&lt;0,"OVERDUE",IF(H205&lt;=$I$2,"Due soon","OK")))</f>
        <v/>
      </c>
      <c r="J205" s="9"/>
    </row>
    <row r="206" customFormat="false" ht="15" hidden="false" customHeight="false" outlineLevel="0" collapsed="false">
      <c r="A206" s="9"/>
      <c r="B206" s="9"/>
      <c r="C206" s="9"/>
      <c r="D206" s="9"/>
      <c r="E206" s="13"/>
      <c r="F206" s="14" t="str">
        <f aca="false">IF(OR(A206="",B206=""),"",IF(MAX(N(E206),SUMPRODUCT(MAX(('Completion Log'!$B$5:$B$2004=A206)*('Completion Log'!$C$5:$C$2004=B206)*'Completion Log'!$A$5:$A$2004)))=0,"",MAX(N(E206),SUMPRODUCT(MAX(('Completion Log'!$B$5:$B$2004=A206)*('Completion Log'!$C$5:$C$2004=B206)*'Completion Log'!$A$5:$A$2004)))))</f>
        <v/>
      </c>
      <c r="G206" s="14" t="str">
        <f aca="true">IF(OR(A206="",B206="",C206=""),"",IF(F206="",TODAY(),F206+C206))</f>
        <v/>
      </c>
      <c r="H206" s="15" t="str">
        <f aca="true">IF(G206="","",G206-TODAY())</f>
        <v/>
      </c>
      <c r="I206" s="16" t="str">
        <f aca="false">IF(H206="","",IF(H206&lt;0,"OVERDUE",IF(H206&lt;=$I$2,"Due soon","OK")))</f>
        <v/>
      </c>
      <c r="J206" s="9"/>
    </row>
    <row r="207" customFormat="false" ht="15" hidden="false" customHeight="false" outlineLevel="0" collapsed="false">
      <c r="A207" s="9"/>
      <c r="B207" s="9"/>
      <c r="C207" s="9"/>
      <c r="D207" s="9"/>
      <c r="E207" s="13"/>
      <c r="F207" s="14" t="str">
        <f aca="false">IF(OR(A207="",B207=""),"",IF(MAX(N(E207),SUMPRODUCT(MAX(('Completion Log'!$B$5:$B$2004=A207)*('Completion Log'!$C$5:$C$2004=B207)*'Completion Log'!$A$5:$A$2004)))=0,"",MAX(N(E207),SUMPRODUCT(MAX(('Completion Log'!$B$5:$B$2004=A207)*('Completion Log'!$C$5:$C$2004=B207)*'Completion Log'!$A$5:$A$2004)))))</f>
        <v/>
      </c>
      <c r="G207" s="14" t="str">
        <f aca="true">IF(OR(A207="",B207="",C207=""),"",IF(F207="",TODAY(),F207+C207))</f>
        <v/>
      </c>
      <c r="H207" s="15" t="str">
        <f aca="true">IF(G207="","",G207-TODAY())</f>
        <v/>
      </c>
      <c r="I207" s="16" t="str">
        <f aca="false">IF(H207="","",IF(H207&lt;0,"OVERDUE",IF(H207&lt;=$I$2,"Due soon","OK")))</f>
        <v/>
      </c>
      <c r="J207" s="9"/>
    </row>
    <row r="208" customFormat="false" ht="15" hidden="false" customHeight="false" outlineLevel="0" collapsed="false">
      <c r="A208" s="9"/>
      <c r="B208" s="9"/>
      <c r="C208" s="9"/>
      <c r="D208" s="9"/>
      <c r="E208" s="13"/>
      <c r="F208" s="14" t="str">
        <f aca="false">IF(OR(A208="",B208=""),"",IF(MAX(N(E208),SUMPRODUCT(MAX(('Completion Log'!$B$5:$B$2004=A208)*('Completion Log'!$C$5:$C$2004=B208)*'Completion Log'!$A$5:$A$2004)))=0,"",MAX(N(E208),SUMPRODUCT(MAX(('Completion Log'!$B$5:$B$2004=A208)*('Completion Log'!$C$5:$C$2004=B208)*'Completion Log'!$A$5:$A$2004)))))</f>
        <v/>
      </c>
      <c r="G208" s="14" t="str">
        <f aca="true">IF(OR(A208="",B208="",C208=""),"",IF(F208="",TODAY(),F208+C208))</f>
        <v/>
      </c>
      <c r="H208" s="15" t="str">
        <f aca="true">IF(G208="","",G208-TODAY())</f>
        <v/>
      </c>
      <c r="I208" s="16" t="str">
        <f aca="false">IF(H208="","",IF(H208&lt;0,"OVERDUE",IF(H208&lt;=$I$2,"Due soon","OK")))</f>
        <v/>
      </c>
      <c r="J208" s="9"/>
    </row>
    <row r="209" customFormat="false" ht="15" hidden="false" customHeight="false" outlineLevel="0" collapsed="false">
      <c r="A209" s="9"/>
      <c r="B209" s="9"/>
      <c r="C209" s="9"/>
      <c r="D209" s="9"/>
      <c r="E209" s="13"/>
      <c r="F209" s="14" t="str">
        <f aca="false">IF(OR(A209="",B209=""),"",IF(MAX(N(E209),SUMPRODUCT(MAX(('Completion Log'!$B$5:$B$2004=A209)*('Completion Log'!$C$5:$C$2004=B209)*'Completion Log'!$A$5:$A$2004)))=0,"",MAX(N(E209),SUMPRODUCT(MAX(('Completion Log'!$B$5:$B$2004=A209)*('Completion Log'!$C$5:$C$2004=B209)*'Completion Log'!$A$5:$A$2004)))))</f>
        <v/>
      </c>
      <c r="G209" s="14" t="str">
        <f aca="true">IF(OR(A209="",B209="",C209=""),"",IF(F209="",TODAY(),F209+C209))</f>
        <v/>
      </c>
      <c r="H209" s="15" t="str">
        <f aca="true">IF(G209="","",G209-TODAY())</f>
        <v/>
      </c>
      <c r="I209" s="16" t="str">
        <f aca="false">IF(H209="","",IF(H209&lt;0,"OVERDUE",IF(H209&lt;=$I$2,"Due soon","OK")))</f>
        <v/>
      </c>
      <c r="J209" s="9"/>
    </row>
    <row r="210" customFormat="false" ht="15" hidden="false" customHeight="false" outlineLevel="0" collapsed="false">
      <c r="A210" s="9"/>
      <c r="B210" s="9"/>
      <c r="C210" s="9"/>
      <c r="D210" s="9"/>
      <c r="E210" s="13"/>
      <c r="F210" s="14" t="str">
        <f aca="false">IF(OR(A210="",B210=""),"",IF(MAX(N(E210),SUMPRODUCT(MAX(('Completion Log'!$B$5:$B$2004=A210)*('Completion Log'!$C$5:$C$2004=B210)*'Completion Log'!$A$5:$A$2004)))=0,"",MAX(N(E210),SUMPRODUCT(MAX(('Completion Log'!$B$5:$B$2004=A210)*('Completion Log'!$C$5:$C$2004=B210)*'Completion Log'!$A$5:$A$2004)))))</f>
        <v/>
      </c>
      <c r="G210" s="14" t="str">
        <f aca="true">IF(OR(A210="",B210="",C210=""),"",IF(F210="",TODAY(),F210+C210))</f>
        <v/>
      </c>
      <c r="H210" s="15" t="str">
        <f aca="true">IF(G210="","",G210-TODAY())</f>
        <v/>
      </c>
      <c r="I210" s="16" t="str">
        <f aca="false">IF(H210="","",IF(H210&lt;0,"OVERDUE",IF(H210&lt;=$I$2,"Due soon","OK")))</f>
        <v/>
      </c>
      <c r="J210" s="9"/>
    </row>
    <row r="211" customFormat="false" ht="15" hidden="false" customHeight="false" outlineLevel="0" collapsed="false">
      <c r="A211" s="9"/>
      <c r="B211" s="9"/>
      <c r="C211" s="9"/>
      <c r="D211" s="9"/>
      <c r="E211" s="13"/>
      <c r="F211" s="14" t="str">
        <f aca="false">IF(OR(A211="",B211=""),"",IF(MAX(N(E211),SUMPRODUCT(MAX(('Completion Log'!$B$5:$B$2004=A211)*('Completion Log'!$C$5:$C$2004=B211)*'Completion Log'!$A$5:$A$2004)))=0,"",MAX(N(E211),SUMPRODUCT(MAX(('Completion Log'!$B$5:$B$2004=A211)*('Completion Log'!$C$5:$C$2004=B211)*'Completion Log'!$A$5:$A$2004)))))</f>
        <v/>
      </c>
      <c r="G211" s="14" t="str">
        <f aca="true">IF(OR(A211="",B211="",C211=""),"",IF(F211="",TODAY(),F211+C211))</f>
        <v/>
      </c>
      <c r="H211" s="15" t="str">
        <f aca="true">IF(G211="","",G211-TODAY())</f>
        <v/>
      </c>
      <c r="I211" s="16" t="str">
        <f aca="false">IF(H211="","",IF(H211&lt;0,"OVERDUE",IF(H211&lt;=$I$2,"Due soon","OK")))</f>
        <v/>
      </c>
      <c r="J211" s="9"/>
    </row>
    <row r="212" customFormat="false" ht="15" hidden="false" customHeight="false" outlineLevel="0" collapsed="false">
      <c r="A212" s="9"/>
      <c r="B212" s="9"/>
      <c r="C212" s="9"/>
      <c r="D212" s="9"/>
      <c r="E212" s="13"/>
      <c r="F212" s="14" t="str">
        <f aca="false">IF(OR(A212="",B212=""),"",IF(MAX(N(E212),SUMPRODUCT(MAX(('Completion Log'!$B$5:$B$2004=A212)*('Completion Log'!$C$5:$C$2004=B212)*'Completion Log'!$A$5:$A$2004)))=0,"",MAX(N(E212),SUMPRODUCT(MAX(('Completion Log'!$B$5:$B$2004=A212)*('Completion Log'!$C$5:$C$2004=B212)*'Completion Log'!$A$5:$A$2004)))))</f>
        <v/>
      </c>
      <c r="G212" s="14" t="str">
        <f aca="true">IF(OR(A212="",B212="",C212=""),"",IF(F212="",TODAY(),F212+C212))</f>
        <v/>
      </c>
      <c r="H212" s="15" t="str">
        <f aca="true">IF(G212="","",G212-TODAY())</f>
        <v/>
      </c>
      <c r="I212" s="16" t="str">
        <f aca="false">IF(H212="","",IF(H212&lt;0,"OVERDUE",IF(H212&lt;=$I$2,"Due soon","OK")))</f>
        <v/>
      </c>
      <c r="J212" s="9"/>
    </row>
    <row r="213" customFormat="false" ht="15" hidden="false" customHeight="false" outlineLevel="0" collapsed="false">
      <c r="A213" s="9"/>
      <c r="B213" s="9"/>
      <c r="C213" s="9"/>
      <c r="D213" s="9"/>
      <c r="E213" s="13"/>
      <c r="F213" s="14" t="str">
        <f aca="false">IF(OR(A213="",B213=""),"",IF(MAX(N(E213),SUMPRODUCT(MAX(('Completion Log'!$B$5:$B$2004=A213)*('Completion Log'!$C$5:$C$2004=B213)*'Completion Log'!$A$5:$A$2004)))=0,"",MAX(N(E213),SUMPRODUCT(MAX(('Completion Log'!$B$5:$B$2004=A213)*('Completion Log'!$C$5:$C$2004=B213)*'Completion Log'!$A$5:$A$2004)))))</f>
        <v/>
      </c>
      <c r="G213" s="14" t="str">
        <f aca="true">IF(OR(A213="",B213="",C213=""),"",IF(F213="",TODAY(),F213+C213))</f>
        <v/>
      </c>
      <c r="H213" s="15" t="str">
        <f aca="true">IF(G213="","",G213-TODAY())</f>
        <v/>
      </c>
      <c r="I213" s="16" t="str">
        <f aca="false">IF(H213="","",IF(H213&lt;0,"OVERDUE",IF(H213&lt;=$I$2,"Due soon","OK")))</f>
        <v/>
      </c>
      <c r="J213" s="9"/>
    </row>
    <row r="214" customFormat="false" ht="15" hidden="false" customHeight="false" outlineLevel="0" collapsed="false">
      <c r="A214" s="9"/>
      <c r="B214" s="9"/>
      <c r="C214" s="9"/>
      <c r="D214" s="9"/>
      <c r="E214" s="13"/>
      <c r="F214" s="14" t="str">
        <f aca="false">IF(OR(A214="",B214=""),"",IF(MAX(N(E214),SUMPRODUCT(MAX(('Completion Log'!$B$5:$B$2004=A214)*('Completion Log'!$C$5:$C$2004=B214)*'Completion Log'!$A$5:$A$2004)))=0,"",MAX(N(E214),SUMPRODUCT(MAX(('Completion Log'!$B$5:$B$2004=A214)*('Completion Log'!$C$5:$C$2004=B214)*'Completion Log'!$A$5:$A$2004)))))</f>
        <v/>
      </c>
      <c r="G214" s="14" t="str">
        <f aca="true">IF(OR(A214="",B214="",C214=""),"",IF(F214="",TODAY(),F214+C214))</f>
        <v/>
      </c>
      <c r="H214" s="15" t="str">
        <f aca="true">IF(G214="","",G214-TODAY())</f>
        <v/>
      </c>
      <c r="I214" s="16" t="str">
        <f aca="false">IF(H214="","",IF(H214&lt;0,"OVERDUE",IF(H214&lt;=$I$2,"Due soon","OK")))</f>
        <v/>
      </c>
      <c r="J214" s="9"/>
    </row>
    <row r="215" customFormat="false" ht="15" hidden="false" customHeight="false" outlineLevel="0" collapsed="false">
      <c r="A215" s="9"/>
      <c r="B215" s="9"/>
      <c r="C215" s="9"/>
      <c r="D215" s="9"/>
      <c r="E215" s="13"/>
      <c r="F215" s="14" t="str">
        <f aca="false">IF(OR(A215="",B215=""),"",IF(MAX(N(E215),SUMPRODUCT(MAX(('Completion Log'!$B$5:$B$2004=A215)*('Completion Log'!$C$5:$C$2004=B215)*'Completion Log'!$A$5:$A$2004)))=0,"",MAX(N(E215),SUMPRODUCT(MAX(('Completion Log'!$B$5:$B$2004=A215)*('Completion Log'!$C$5:$C$2004=B215)*'Completion Log'!$A$5:$A$2004)))))</f>
        <v/>
      </c>
      <c r="G215" s="14" t="str">
        <f aca="true">IF(OR(A215="",B215="",C215=""),"",IF(F215="",TODAY(),F215+C215))</f>
        <v/>
      </c>
      <c r="H215" s="15" t="str">
        <f aca="true">IF(G215="","",G215-TODAY())</f>
        <v/>
      </c>
      <c r="I215" s="16" t="str">
        <f aca="false">IF(H215="","",IF(H215&lt;0,"OVERDUE",IF(H215&lt;=$I$2,"Due soon","OK")))</f>
        <v/>
      </c>
      <c r="J215" s="9"/>
    </row>
    <row r="216" customFormat="false" ht="15" hidden="false" customHeight="false" outlineLevel="0" collapsed="false">
      <c r="A216" s="9"/>
      <c r="B216" s="9"/>
      <c r="C216" s="9"/>
      <c r="D216" s="9"/>
      <c r="E216" s="13"/>
      <c r="F216" s="14" t="str">
        <f aca="false">IF(OR(A216="",B216=""),"",IF(MAX(N(E216),SUMPRODUCT(MAX(('Completion Log'!$B$5:$B$2004=A216)*('Completion Log'!$C$5:$C$2004=B216)*'Completion Log'!$A$5:$A$2004)))=0,"",MAX(N(E216),SUMPRODUCT(MAX(('Completion Log'!$B$5:$B$2004=A216)*('Completion Log'!$C$5:$C$2004=B216)*'Completion Log'!$A$5:$A$2004)))))</f>
        <v/>
      </c>
      <c r="G216" s="14" t="str">
        <f aca="true">IF(OR(A216="",B216="",C216=""),"",IF(F216="",TODAY(),F216+C216))</f>
        <v/>
      </c>
      <c r="H216" s="15" t="str">
        <f aca="true">IF(G216="","",G216-TODAY())</f>
        <v/>
      </c>
      <c r="I216" s="16" t="str">
        <f aca="false">IF(H216="","",IF(H216&lt;0,"OVERDUE",IF(H216&lt;=$I$2,"Due soon","OK")))</f>
        <v/>
      </c>
      <c r="J216" s="9"/>
    </row>
    <row r="217" customFormat="false" ht="15" hidden="false" customHeight="false" outlineLevel="0" collapsed="false">
      <c r="A217" s="9"/>
      <c r="B217" s="9"/>
      <c r="C217" s="9"/>
      <c r="D217" s="9"/>
      <c r="E217" s="13"/>
      <c r="F217" s="14" t="str">
        <f aca="false">IF(OR(A217="",B217=""),"",IF(MAX(N(E217),SUMPRODUCT(MAX(('Completion Log'!$B$5:$B$2004=A217)*('Completion Log'!$C$5:$C$2004=B217)*'Completion Log'!$A$5:$A$2004)))=0,"",MAX(N(E217),SUMPRODUCT(MAX(('Completion Log'!$B$5:$B$2004=A217)*('Completion Log'!$C$5:$C$2004=B217)*'Completion Log'!$A$5:$A$2004)))))</f>
        <v/>
      </c>
      <c r="G217" s="14" t="str">
        <f aca="true">IF(OR(A217="",B217="",C217=""),"",IF(F217="",TODAY(),F217+C217))</f>
        <v/>
      </c>
      <c r="H217" s="15" t="str">
        <f aca="true">IF(G217="","",G217-TODAY())</f>
        <v/>
      </c>
      <c r="I217" s="16" t="str">
        <f aca="false">IF(H217="","",IF(H217&lt;0,"OVERDUE",IF(H217&lt;=$I$2,"Due soon","OK")))</f>
        <v/>
      </c>
      <c r="J217" s="9"/>
    </row>
    <row r="218" customFormat="false" ht="15" hidden="false" customHeight="false" outlineLevel="0" collapsed="false">
      <c r="A218" s="9"/>
      <c r="B218" s="9"/>
      <c r="C218" s="9"/>
      <c r="D218" s="9"/>
      <c r="E218" s="13"/>
      <c r="F218" s="14" t="str">
        <f aca="false">IF(OR(A218="",B218=""),"",IF(MAX(N(E218),SUMPRODUCT(MAX(('Completion Log'!$B$5:$B$2004=A218)*('Completion Log'!$C$5:$C$2004=B218)*'Completion Log'!$A$5:$A$2004)))=0,"",MAX(N(E218),SUMPRODUCT(MAX(('Completion Log'!$B$5:$B$2004=A218)*('Completion Log'!$C$5:$C$2004=B218)*'Completion Log'!$A$5:$A$2004)))))</f>
        <v/>
      </c>
      <c r="G218" s="14" t="str">
        <f aca="true">IF(OR(A218="",B218="",C218=""),"",IF(F218="",TODAY(),F218+C218))</f>
        <v/>
      </c>
      <c r="H218" s="15" t="str">
        <f aca="true">IF(G218="","",G218-TODAY())</f>
        <v/>
      </c>
      <c r="I218" s="16" t="str">
        <f aca="false">IF(H218="","",IF(H218&lt;0,"OVERDUE",IF(H218&lt;=$I$2,"Due soon","OK")))</f>
        <v/>
      </c>
      <c r="J218" s="9"/>
    </row>
    <row r="219" customFormat="false" ht="15" hidden="false" customHeight="false" outlineLevel="0" collapsed="false">
      <c r="A219" s="9"/>
      <c r="B219" s="9"/>
      <c r="C219" s="9"/>
      <c r="D219" s="9"/>
      <c r="E219" s="13"/>
      <c r="F219" s="14" t="str">
        <f aca="false">IF(OR(A219="",B219=""),"",IF(MAX(N(E219),SUMPRODUCT(MAX(('Completion Log'!$B$5:$B$2004=A219)*('Completion Log'!$C$5:$C$2004=B219)*'Completion Log'!$A$5:$A$2004)))=0,"",MAX(N(E219),SUMPRODUCT(MAX(('Completion Log'!$B$5:$B$2004=A219)*('Completion Log'!$C$5:$C$2004=B219)*'Completion Log'!$A$5:$A$2004)))))</f>
        <v/>
      </c>
      <c r="G219" s="14" t="str">
        <f aca="true">IF(OR(A219="",B219="",C219=""),"",IF(F219="",TODAY(),F219+C219))</f>
        <v/>
      </c>
      <c r="H219" s="15" t="str">
        <f aca="true">IF(G219="","",G219-TODAY())</f>
        <v/>
      </c>
      <c r="I219" s="16" t="str">
        <f aca="false">IF(H219="","",IF(H219&lt;0,"OVERDUE",IF(H219&lt;=$I$2,"Due soon","OK")))</f>
        <v/>
      </c>
      <c r="J219" s="9"/>
    </row>
    <row r="220" customFormat="false" ht="15" hidden="false" customHeight="false" outlineLevel="0" collapsed="false">
      <c r="A220" s="9"/>
      <c r="B220" s="9"/>
      <c r="C220" s="9"/>
      <c r="D220" s="9"/>
      <c r="E220" s="13"/>
      <c r="F220" s="14" t="str">
        <f aca="false">IF(OR(A220="",B220=""),"",IF(MAX(N(E220),SUMPRODUCT(MAX(('Completion Log'!$B$5:$B$2004=A220)*('Completion Log'!$C$5:$C$2004=B220)*'Completion Log'!$A$5:$A$2004)))=0,"",MAX(N(E220),SUMPRODUCT(MAX(('Completion Log'!$B$5:$B$2004=A220)*('Completion Log'!$C$5:$C$2004=B220)*'Completion Log'!$A$5:$A$2004)))))</f>
        <v/>
      </c>
      <c r="G220" s="14" t="str">
        <f aca="true">IF(OR(A220="",B220="",C220=""),"",IF(F220="",TODAY(),F220+C220))</f>
        <v/>
      </c>
      <c r="H220" s="15" t="str">
        <f aca="true">IF(G220="","",G220-TODAY())</f>
        <v/>
      </c>
      <c r="I220" s="16" t="str">
        <f aca="false">IF(H220="","",IF(H220&lt;0,"OVERDUE",IF(H220&lt;=$I$2,"Due soon","OK")))</f>
        <v/>
      </c>
      <c r="J220" s="9"/>
    </row>
    <row r="221" customFormat="false" ht="15" hidden="false" customHeight="false" outlineLevel="0" collapsed="false">
      <c r="A221" s="9"/>
      <c r="B221" s="9"/>
      <c r="C221" s="9"/>
      <c r="D221" s="9"/>
      <c r="E221" s="13"/>
      <c r="F221" s="14" t="str">
        <f aca="false">IF(OR(A221="",B221=""),"",IF(MAX(N(E221),SUMPRODUCT(MAX(('Completion Log'!$B$5:$B$2004=A221)*('Completion Log'!$C$5:$C$2004=B221)*'Completion Log'!$A$5:$A$2004)))=0,"",MAX(N(E221),SUMPRODUCT(MAX(('Completion Log'!$B$5:$B$2004=A221)*('Completion Log'!$C$5:$C$2004=B221)*'Completion Log'!$A$5:$A$2004)))))</f>
        <v/>
      </c>
      <c r="G221" s="14" t="str">
        <f aca="true">IF(OR(A221="",B221="",C221=""),"",IF(F221="",TODAY(),F221+C221))</f>
        <v/>
      </c>
      <c r="H221" s="15" t="str">
        <f aca="true">IF(G221="","",G221-TODAY())</f>
        <v/>
      </c>
      <c r="I221" s="16" t="str">
        <f aca="false">IF(H221="","",IF(H221&lt;0,"OVERDUE",IF(H221&lt;=$I$2,"Due soon","OK")))</f>
        <v/>
      </c>
      <c r="J221" s="9"/>
    </row>
    <row r="222" customFormat="false" ht="15" hidden="false" customHeight="false" outlineLevel="0" collapsed="false">
      <c r="A222" s="9"/>
      <c r="B222" s="9"/>
      <c r="C222" s="9"/>
      <c r="D222" s="9"/>
      <c r="E222" s="13"/>
      <c r="F222" s="14" t="str">
        <f aca="false">IF(OR(A222="",B222=""),"",IF(MAX(N(E222),SUMPRODUCT(MAX(('Completion Log'!$B$5:$B$2004=A222)*('Completion Log'!$C$5:$C$2004=B222)*'Completion Log'!$A$5:$A$2004)))=0,"",MAX(N(E222),SUMPRODUCT(MAX(('Completion Log'!$B$5:$B$2004=A222)*('Completion Log'!$C$5:$C$2004=B222)*'Completion Log'!$A$5:$A$2004)))))</f>
        <v/>
      </c>
      <c r="G222" s="14" t="str">
        <f aca="true">IF(OR(A222="",B222="",C222=""),"",IF(F222="",TODAY(),F222+C222))</f>
        <v/>
      </c>
      <c r="H222" s="15" t="str">
        <f aca="true">IF(G222="","",G222-TODAY())</f>
        <v/>
      </c>
      <c r="I222" s="16" t="str">
        <f aca="false">IF(H222="","",IF(H222&lt;0,"OVERDUE",IF(H222&lt;=$I$2,"Due soon","OK")))</f>
        <v/>
      </c>
      <c r="J222" s="9"/>
    </row>
    <row r="223" customFormat="false" ht="15" hidden="false" customHeight="false" outlineLevel="0" collapsed="false">
      <c r="A223" s="9"/>
      <c r="B223" s="9"/>
      <c r="C223" s="9"/>
      <c r="D223" s="9"/>
      <c r="E223" s="13"/>
      <c r="F223" s="14" t="str">
        <f aca="false">IF(OR(A223="",B223=""),"",IF(MAX(N(E223),SUMPRODUCT(MAX(('Completion Log'!$B$5:$B$2004=A223)*('Completion Log'!$C$5:$C$2004=B223)*'Completion Log'!$A$5:$A$2004)))=0,"",MAX(N(E223),SUMPRODUCT(MAX(('Completion Log'!$B$5:$B$2004=A223)*('Completion Log'!$C$5:$C$2004=B223)*'Completion Log'!$A$5:$A$2004)))))</f>
        <v/>
      </c>
      <c r="G223" s="14" t="str">
        <f aca="true">IF(OR(A223="",B223="",C223=""),"",IF(F223="",TODAY(),F223+C223))</f>
        <v/>
      </c>
      <c r="H223" s="15" t="str">
        <f aca="true">IF(G223="","",G223-TODAY())</f>
        <v/>
      </c>
      <c r="I223" s="16" t="str">
        <f aca="false">IF(H223="","",IF(H223&lt;0,"OVERDUE",IF(H223&lt;=$I$2,"Due soon","OK")))</f>
        <v/>
      </c>
      <c r="J223" s="9"/>
    </row>
    <row r="224" customFormat="false" ht="15" hidden="false" customHeight="false" outlineLevel="0" collapsed="false">
      <c r="A224" s="9"/>
      <c r="B224" s="9"/>
      <c r="C224" s="9"/>
      <c r="D224" s="9"/>
      <c r="E224" s="13"/>
      <c r="F224" s="14" t="str">
        <f aca="false">IF(OR(A224="",B224=""),"",IF(MAX(N(E224),SUMPRODUCT(MAX(('Completion Log'!$B$5:$B$2004=A224)*('Completion Log'!$C$5:$C$2004=B224)*'Completion Log'!$A$5:$A$2004)))=0,"",MAX(N(E224),SUMPRODUCT(MAX(('Completion Log'!$B$5:$B$2004=A224)*('Completion Log'!$C$5:$C$2004=B224)*'Completion Log'!$A$5:$A$2004)))))</f>
        <v/>
      </c>
      <c r="G224" s="14" t="str">
        <f aca="true">IF(OR(A224="",B224="",C224=""),"",IF(F224="",TODAY(),F224+C224))</f>
        <v/>
      </c>
      <c r="H224" s="15" t="str">
        <f aca="true">IF(G224="","",G224-TODAY())</f>
        <v/>
      </c>
      <c r="I224" s="16" t="str">
        <f aca="false">IF(H224="","",IF(H224&lt;0,"OVERDUE",IF(H224&lt;=$I$2,"Due soon","OK")))</f>
        <v/>
      </c>
      <c r="J224" s="9"/>
    </row>
    <row r="225" customFormat="false" ht="15" hidden="false" customHeight="false" outlineLevel="0" collapsed="false">
      <c r="A225" s="9"/>
      <c r="B225" s="9"/>
      <c r="C225" s="9"/>
      <c r="D225" s="9"/>
      <c r="E225" s="13"/>
      <c r="F225" s="14" t="str">
        <f aca="false">IF(OR(A225="",B225=""),"",IF(MAX(N(E225),SUMPRODUCT(MAX(('Completion Log'!$B$5:$B$2004=A225)*('Completion Log'!$C$5:$C$2004=B225)*'Completion Log'!$A$5:$A$2004)))=0,"",MAX(N(E225),SUMPRODUCT(MAX(('Completion Log'!$B$5:$B$2004=A225)*('Completion Log'!$C$5:$C$2004=B225)*'Completion Log'!$A$5:$A$2004)))))</f>
        <v/>
      </c>
      <c r="G225" s="14" t="str">
        <f aca="true">IF(OR(A225="",B225="",C225=""),"",IF(F225="",TODAY(),F225+C225))</f>
        <v/>
      </c>
      <c r="H225" s="15" t="str">
        <f aca="true">IF(G225="","",G225-TODAY())</f>
        <v/>
      </c>
      <c r="I225" s="16" t="str">
        <f aca="false">IF(H225="","",IF(H225&lt;0,"OVERDUE",IF(H225&lt;=$I$2,"Due soon","OK")))</f>
        <v/>
      </c>
      <c r="J225" s="9"/>
    </row>
    <row r="226" customFormat="false" ht="15" hidden="false" customHeight="false" outlineLevel="0" collapsed="false">
      <c r="A226" s="9"/>
      <c r="B226" s="9"/>
      <c r="C226" s="9"/>
      <c r="D226" s="9"/>
      <c r="E226" s="13"/>
      <c r="F226" s="14" t="str">
        <f aca="false">IF(OR(A226="",B226=""),"",IF(MAX(N(E226),SUMPRODUCT(MAX(('Completion Log'!$B$5:$B$2004=A226)*('Completion Log'!$C$5:$C$2004=B226)*'Completion Log'!$A$5:$A$2004)))=0,"",MAX(N(E226),SUMPRODUCT(MAX(('Completion Log'!$B$5:$B$2004=A226)*('Completion Log'!$C$5:$C$2004=B226)*'Completion Log'!$A$5:$A$2004)))))</f>
        <v/>
      </c>
      <c r="G226" s="14" t="str">
        <f aca="true">IF(OR(A226="",B226="",C226=""),"",IF(F226="",TODAY(),F226+C226))</f>
        <v/>
      </c>
      <c r="H226" s="15" t="str">
        <f aca="true">IF(G226="","",G226-TODAY())</f>
        <v/>
      </c>
      <c r="I226" s="16" t="str">
        <f aca="false">IF(H226="","",IF(H226&lt;0,"OVERDUE",IF(H226&lt;=$I$2,"Due soon","OK")))</f>
        <v/>
      </c>
      <c r="J226" s="9"/>
    </row>
    <row r="227" customFormat="false" ht="15" hidden="false" customHeight="false" outlineLevel="0" collapsed="false">
      <c r="A227" s="9"/>
      <c r="B227" s="9"/>
      <c r="C227" s="9"/>
      <c r="D227" s="9"/>
      <c r="E227" s="13"/>
      <c r="F227" s="14" t="str">
        <f aca="false">IF(OR(A227="",B227=""),"",IF(MAX(N(E227),SUMPRODUCT(MAX(('Completion Log'!$B$5:$B$2004=A227)*('Completion Log'!$C$5:$C$2004=B227)*'Completion Log'!$A$5:$A$2004)))=0,"",MAX(N(E227),SUMPRODUCT(MAX(('Completion Log'!$B$5:$B$2004=A227)*('Completion Log'!$C$5:$C$2004=B227)*'Completion Log'!$A$5:$A$2004)))))</f>
        <v/>
      </c>
      <c r="G227" s="14" t="str">
        <f aca="true">IF(OR(A227="",B227="",C227=""),"",IF(F227="",TODAY(),F227+C227))</f>
        <v/>
      </c>
      <c r="H227" s="15" t="str">
        <f aca="true">IF(G227="","",G227-TODAY())</f>
        <v/>
      </c>
      <c r="I227" s="16" t="str">
        <f aca="false">IF(H227="","",IF(H227&lt;0,"OVERDUE",IF(H227&lt;=$I$2,"Due soon","OK")))</f>
        <v/>
      </c>
      <c r="J227" s="9"/>
    </row>
    <row r="228" customFormat="false" ht="15" hidden="false" customHeight="false" outlineLevel="0" collapsed="false">
      <c r="A228" s="9"/>
      <c r="B228" s="9"/>
      <c r="C228" s="9"/>
      <c r="D228" s="9"/>
      <c r="E228" s="13"/>
      <c r="F228" s="14" t="str">
        <f aca="false">IF(OR(A228="",B228=""),"",IF(MAX(N(E228),SUMPRODUCT(MAX(('Completion Log'!$B$5:$B$2004=A228)*('Completion Log'!$C$5:$C$2004=B228)*'Completion Log'!$A$5:$A$2004)))=0,"",MAX(N(E228),SUMPRODUCT(MAX(('Completion Log'!$B$5:$B$2004=A228)*('Completion Log'!$C$5:$C$2004=B228)*'Completion Log'!$A$5:$A$2004)))))</f>
        <v/>
      </c>
      <c r="G228" s="14" t="str">
        <f aca="true">IF(OR(A228="",B228="",C228=""),"",IF(F228="",TODAY(),F228+C228))</f>
        <v/>
      </c>
      <c r="H228" s="15" t="str">
        <f aca="true">IF(G228="","",G228-TODAY())</f>
        <v/>
      </c>
      <c r="I228" s="16" t="str">
        <f aca="false">IF(H228="","",IF(H228&lt;0,"OVERDUE",IF(H228&lt;=$I$2,"Due soon","OK")))</f>
        <v/>
      </c>
      <c r="J228" s="9"/>
    </row>
    <row r="229" customFormat="false" ht="15" hidden="false" customHeight="false" outlineLevel="0" collapsed="false">
      <c r="A229" s="9"/>
      <c r="B229" s="9"/>
      <c r="C229" s="9"/>
      <c r="D229" s="9"/>
      <c r="E229" s="13"/>
      <c r="F229" s="14" t="str">
        <f aca="false">IF(OR(A229="",B229=""),"",IF(MAX(N(E229),SUMPRODUCT(MAX(('Completion Log'!$B$5:$B$2004=A229)*('Completion Log'!$C$5:$C$2004=B229)*'Completion Log'!$A$5:$A$2004)))=0,"",MAX(N(E229),SUMPRODUCT(MAX(('Completion Log'!$B$5:$B$2004=A229)*('Completion Log'!$C$5:$C$2004=B229)*'Completion Log'!$A$5:$A$2004)))))</f>
        <v/>
      </c>
      <c r="G229" s="14" t="str">
        <f aca="true">IF(OR(A229="",B229="",C229=""),"",IF(F229="",TODAY(),F229+C229))</f>
        <v/>
      </c>
      <c r="H229" s="15" t="str">
        <f aca="true">IF(G229="","",G229-TODAY())</f>
        <v/>
      </c>
      <c r="I229" s="16" t="str">
        <f aca="false">IF(H229="","",IF(H229&lt;0,"OVERDUE",IF(H229&lt;=$I$2,"Due soon","OK")))</f>
        <v/>
      </c>
      <c r="J229" s="9"/>
    </row>
    <row r="230" customFormat="false" ht="15" hidden="false" customHeight="false" outlineLevel="0" collapsed="false">
      <c r="A230" s="9"/>
      <c r="B230" s="9"/>
      <c r="C230" s="9"/>
      <c r="D230" s="9"/>
      <c r="E230" s="13"/>
      <c r="F230" s="14" t="str">
        <f aca="false">IF(OR(A230="",B230=""),"",IF(MAX(N(E230),SUMPRODUCT(MAX(('Completion Log'!$B$5:$B$2004=A230)*('Completion Log'!$C$5:$C$2004=B230)*'Completion Log'!$A$5:$A$2004)))=0,"",MAX(N(E230),SUMPRODUCT(MAX(('Completion Log'!$B$5:$B$2004=A230)*('Completion Log'!$C$5:$C$2004=B230)*'Completion Log'!$A$5:$A$2004)))))</f>
        <v/>
      </c>
      <c r="G230" s="14" t="str">
        <f aca="true">IF(OR(A230="",B230="",C230=""),"",IF(F230="",TODAY(),F230+C230))</f>
        <v/>
      </c>
      <c r="H230" s="15" t="str">
        <f aca="true">IF(G230="","",G230-TODAY())</f>
        <v/>
      </c>
      <c r="I230" s="16" t="str">
        <f aca="false">IF(H230="","",IF(H230&lt;0,"OVERDUE",IF(H230&lt;=$I$2,"Due soon","OK")))</f>
        <v/>
      </c>
      <c r="J230" s="9"/>
    </row>
    <row r="231" customFormat="false" ht="15" hidden="false" customHeight="false" outlineLevel="0" collapsed="false">
      <c r="A231" s="9"/>
      <c r="B231" s="9"/>
      <c r="C231" s="9"/>
      <c r="D231" s="9"/>
      <c r="E231" s="13"/>
      <c r="F231" s="14" t="str">
        <f aca="false">IF(OR(A231="",B231=""),"",IF(MAX(N(E231),SUMPRODUCT(MAX(('Completion Log'!$B$5:$B$2004=A231)*('Completion Log'!$C$5:$C$2004=B231)*'Completion Log'!$A$5:$A$2004)))=0,"",MAX(N(E231),SUMPRODUCT(MAX(('Completion Log'!$B$5:$B$2004=A231)*('Completion Log'!$C$5:$C$2004=B231)*'Completion Log'!$A$5:$A$2004)))))</f>
        <v/>
      </c>
      <c r="G231" s="14" t="str">
        <f aca="true">IF(OR(A231="",B231="",C231=""),"",IF(F231="",TODAY(),F231+C231))</f>
        <v/>
      </c>
      <c r="H231" s="15" t="str">
        <f aca="true">IF(G231="","",G231-TODAY())</f>
        <v/>
      </c>
      <c r="I231" s="16" t="str">
        <f aca="false">IF(H231="","",IF(H231&lt;0,"OVERDUE",IF(H231&lt;=$I$2,"Due soon","OK")))</f>
        <v/>
      </c>
      <c r="J231" s="9"/>
    </row>
    <row r="232" customFormat="false" ht="15" hidden="false" customHeight="false" outlineLevel="0" collapsed="false">
      <c r="A232" s="9"/>
      <c r="B232" s="9"/>
      <c r="C232" s="9"/>
      <c r="D232" s="9"/>
      <c r="E232" s="13"/>
      <c r="F232" s="14" t="str">
        <f aca="false">IF(OR(A232="",B232=""),"",IF(MAX(N(E232),SUMPRODUCT(MAX(('Completion Log'!$B$5:$B$2004=A232)*('Completion Log'!$C$5:$C$2004=B232)*'Completion Log'!$A$5:$A$2004)))=0,"",MAX(N(E232),SUMPRODUCT(MAX(('Completion Log'!$B$5:$B$2004=A232)*('Completion Log'!$C$5:$C$2004=B232)*'Completion Log'!$A$5:$A$2004)))))</f>
        <v/>
      </c>
      <c r="G232" s="14" t="str">
        <f aca="true">IF(OR(A232="",B232="",C232=""),"",IF(F232="",TODAY(),F232+C232))</f>
        <v/>
      </c>
      <c r="H232" s="15" t="str">
        <f aca="true">IF(G232="","",G232-TODAY())</f>
        <v/>
      </c>
      <c r="I232" s="16" t="str">
        <f aca="false">IF(H232="","",IF(H232&lt;0,"OVERDUE",IF(H232&lt;=$I$2,"Due soon","OK")))</f>
        <v/>
      </c>
      <c r="J232" s="9"/>
    </row>
    <row r="233" customFormat="false" ht="15" hidden="false" customHeight="false" outlineLevel="0" collapsed="false">
      <c r="A233" s="9"/>
      <c r="B233" s="9"/>
      <c r="C233" s="9"/>
      <c r="D233" s="9"/>
      <c r="E233" s="13"/>
      <c r="F233" s="14" t="str">
        <f aca="false">IF(OR(A233="",B233=""),"",IF(MAX(N(E233),SUMPRODUCT(MAX(('Completion Log'!$B$5:$B$2004=A233)*('Completion Log'!$C$5:$C$2004=B233)*'Completion Log'!$A$5:$A$2004)))=0,"",MAX(N(E233),SUMPRODUCT(MAX(('Completion Log'!$B$5:$B$2004=A233)*('Completion Log'!$C$5:$C$2004=B233)*'Completion Log'!$A$5:$A$2004)))))</f>
        <v/>
      </c>
      <c r="G233" s="14" t="str">
        <f aca="true">IF(OR(A233="",B233="",C233=""),"",IF(F233="",TODAY(),F233+C233))</f>
        <v/>
      </c>
      <c r="H233" s="15" t="str">
        <f aca="true">IF(G233="","",G233-TODAY())</f>
        <v/>
      </c>
      <c r="I233" s="16" t="str">
        <f aca="false">IF(H233="","",IF(H233&lt;0,"OVERDUE",IF(H233&lt;=$I$2,"Due soon","OK")))</f>
        <v/>
      </c>
      <c r="J233" s="9"/>
    </row>
    <row r="234" customFormat="false" ht="15" hidden="false" customHeight="false" outlineLevel="0" collapsed="false">
      <c r="A234" s="9"/>
      <c r="B234" s="9"/>
      <c r="C234" s="9"/>
      <c r="D234" s="9"/>
      <c r="E234" s="13"/>
      <c r="F234" s="14" t="str">
        <f aca="false">IF(OR(A234="",B234=""),"",IF(MAX(N(E234),SUMPRODUCT(MAX(('Completion Log'!$B$5:$B$2004=A234)*('Completion Log'!$C$5:$C$2004=B234)*'Completion Log'!$A$5:$A$2004)))=0,"",MAX(N(E234),SUMPRODUCT(MAX(('Completion Log'!$B$5:$B$2004=A234)*('Completion Log'!$C$5:$C$2004=B234)*'Completion Log'!$A$5:$A$2004)))))</f>
        <v/>
      </c>
      <c r="G234" s="14" t="str">
        <f aca="true">IF(OR(A234="",B234="",C234=""),"",IF(F234="",TODAY(),F234+C234))</f>
        <v/>
      </c>
      <c r="H234" s="15" t="str">
        <f aca="true">IF(G234="","",G234-TODAY())</f>
        <v/>
      </c>
      <c r="I234" s="16" t="str">
        <f aca="false">IF(H234="","",IF(H234&lt;0,"OVERDUE",IF(H234&lt;=$I$2,"Due soon","OK")))</f>
        <v/>
      </c>
      <c r="J234" s="9"/>
    </row>
    <row r="235" customFormat="false" ht="15" hidden="false" customHeight="false" outlineLevel="0" collapsed="false">
      <c r="A235" s="9"/>
      <c r="B235" s="9"/>
      <c r="C235" s="9"/>
      <c r="D235" s="9"/>
      <c r="E235" s="13"/>
      <c r="F235" s="14" t="str">
        <f aca="false">IF(OR(A235="",B235=""),"",IF(MAX(N(E235),SUMPRODUCT(MAX(('Completion Log'!$B$5:$B$2004=A235)*('Completion Log'!$C$5:$C$2004=B235)*'Completion Log'!$A$5:$A$2004)))=0,"",MAX(N(E235),SUMPRODUCT(MAX(('Completion Log'!$B$5:$B$2004=A235)*('Completion Log'!$C$5:$C$2004=B235)*'Completion Log'!$A$5:$A$2004)))))</f>
        <v/>
      </c>
      <c r="G235" s="14" t="str">
        <f aca="true">IF(OR(A235="",B235="",C235=""),"",IF(F235="",TODAY(),F235+C235))</f>
        <v/>
      </c>
      <c r="H235" s="15" t="str">
        <f aca="true">IF(G235="","",G235-TODAY())</f>
        <v/>
      </c>
      <c r="I235" s="16" t="str">
        <f aca="false">IF(H235="","",IF(H235&lt;0,"OVERDUE",IF(H235&lt;=$I$2,"Due soon","OK")))</f>
        <v/>
      </c>
      <c r="J235" s="9"/>
    </row>
    <row r="236" customFormat="false" ht="15" hidden="false" customHeight="false" outlineLevel="0" collapsed="false">
      <c r="A236" s="9"/>
      <c r="B236" s="9"/>
      <c r="C236" s="9"/>
      <c r="D236" s="9"/>
      <c r="E236" s="13"/>
      <c r="F236" s="14" t="str">
        <f aca="false">IF(OR(A236="",B236=""),"",IF(MAX(N(E236),SUMPRODUCT(MAX(('Completion Log'!$B$5:$B$2004=A236)*('Completion Log'!$C$5:$C$2004=B236)*'Completion Log'!$A$5:$A$2004)))=0,"",MAX(N(E236),SUMPRODUCT(MAX(('Completion Log'!$B$5:$B$2004=A236)*('Completion Log'!$C$5:$C$2004=B236)*'Completion Log'!$A$5:$A$2004)))))</f>
        <v/>
      </c>
      <c r="G236" s="14" t="str">
        <f aca="true">IF(OR(A236="",B236="",C236=""),"",IF(F236="",TODAY(),F236+C236))</f>
        <v/>
      </c>
      <c r="H236" s="15" t="str">
        <f aca="true">IF(G236="","",G236-TODAY())</f>
        <v/>
      </c>
      <c r="I236" s="16" t="str">
        <f aca="false">IF(H236="","",IF(H236&lt;0,"OVERDUE",IF(H236&lt;=$I$2,"Due soon","OK")))</f>
        <v/>
      </c>
      <c r="J236" s="9"/>
    </row>
    <row r="237" customFormat="false" ht="15" hidden="false" customHeight="false" outlineLevel="0" collapsed="false">
      <c r="A237" s="9"/>
      <c r="B237" s="9"/>
      <c r="C237" s="9"/>
      <c r="D237" s="9"/>
      <c r="E237" s="13"/>
      <c r="F237" s="14" t="str">
        <f aca="false">IF(OR(A237="",B237=""),"",IF(MAX(N(E237),SUMPRODUCT(MAX(('Completion Log'!$B$5:$B$2004=A237)*('Completion Log'!$C$5:$C$2004=B237)*'Completion Log'!$A$5:$A$2004)))=0,"",MAX(N(E237),SUMPRODUCT(MAX(('Completion Log'!$B$5:$B$2004=A237)*('Completion Log'!$C$5:$C$2004=B237)*'Completion Log'!$A$5:$A$2004)))))</f>
        <v/>
      </c>
      <c r="G237" s="14" t="str">
        <f aca="true">IF(OR(A237="",B237="",C237=""),"",IF(F237="",TODAY(),F237+C237))</f>
        <v/>
      </c>
      <c r="H237" s="15" t="str">
        <f aca="true">IF(G237="","",G237-TODAY())</f>
        <v/>
      </c>
      <c r="I237" s="16" t="str">
        <f aca="false">IF(H237="","",IF(H237&lt;0,"OVERDUE",IF(H237&lt;=$I$2,"Due soon","OK")))</f>
        <v/>
      </c>
      <c r="J237" s="9"/>
    </row>
    <row r="238" customFormat="false" ht="15" hidden="false" customHeight="false" outlineLevel="0" collapsed="false">
      <c r="A238" s="9"/>
      <c r="B238" s="9"/>
      <c r="C238" s="9"/>
      <c r="D238" s="9"/>
      <c r="E238" s="13"/>
      <c r="F238" s="14" t="str">
        <f aca="false">IF(OR(A238="",B238=""),"",IF(MAX(N(E238),SUMPRODUCT(MAX(('Completion Log'!$B$5:$B$2004=A238)*('Completion Log'!$C$5:$C$2004=B238)*'Completion Log'!$A$5:$A$2004)))=0,"",MAX(N(E238),SUMPRODUCT(MAX(('Completion Log'!$B$5:$B$2004=A238)*('Completion Log'!$C$5:$C$2004=B238)*'Completion Log'!$A$5:$A$2004)))))</f>
        <v/>
      </c>
      <c r="G238" s="14" t="str">
        <f aca="true">IF(OR(A238="",B238="",C238=""),"",IF(F238="",TODAY(),F238+C238))</f>
        <v/>
      </c>
      <c r="H238" s="15" t="str">
        <f aca="true">IF(G238="","",G238-TODAY())</f>
        <v/>
      </c>
      <c r="I238" s="16" t="str">
        <f aca="false">IF(H238="","",IF(H238&lt;0,"OVERDUE",IF(H238&lt;=$I$2,"Due soon","OK")))</f>
        <v/>
      </c>
      <c r="J238" s="9"/>
    </row>
    <row r="239" customFormat="false" ht="15" hidden="false" customHeight="false" outlineLevel="0" collapsed="false">
      <c r="A239" s="9"/>
      <c r="B239" s="9"/>
      <c r="C239" s="9"/>
      <c r="D239" s="9"/>
      <c r="E239" s="13"/>
      <c r="F239" s="14" t="str">
        <f aca="false">IF(OR(A239="",B239=""),"",IF(MAX(N(E239),SUMPRODUCT(MAX(('Completion Log'!$B$5:$B$2004=A239)*('Completion Log'!$C$5:$C$2004=B239)*'Completion Log'!$A$5:$A$2004)))=0,"",MAX(N(E239),SUMPRODUCT(MAX(('Completion Log'!$B$5:$B$2004=A239)*('Completion Log'!$C$5:$C$2004=B239)*'Completion Log'!$A$5:$A$2004)))))</f>
        <v/>
      </c>
      <c r="G239" s="14" t="str">
        <f aca="true">IF(OR(A239="",B239="",C239=""),"",IF(F239="",TODAY(),F239+C239))</f>
        <v/>
      </c>
      <c r="H239" s="15" t="str">
        <f aca="true">IF(G239="","",G239-TODAY())</f>
        <v/>
      </c>
      <c r="I239" s="16" t="str">
        <f aca="false">IF(H239="","",IF(H239&lt;0,"OVERDUE",IF(H239&lt;=$I$2,"Due soon","OK")))</f>
        <v/>
      </c>
      <c r="J239" s="9"/>
    </row>
    <row r="240" customFormat="false" ht="15" hidden="false" customHeight="false" outlineLevel="0" collapsed="false">
      <c r="A240" s="9"/>
      <c r="B240" s="9"/>
      <c r="C240" s="9"/>
      <c r="D240" s="9"/>
      <c r="E240" s="13"/>
      <c r="F240" s="14" t="str">
        <f aca="false">IF(OR(A240="",B240=""),"",IF(MAX(N(E240),SUMPRODUCT(MAX(('Completion Log'!$B$5:$B$2004=A240)*('Completion Log'!$C$5:$C$2004=B240)*'Completion Log'!$A$5:$A$2004)))=0,"",MAX(N(E240),SUMPRODUCT(MAX(('Completion Log'!$B$5:$B$2004=A240)*('Completion Log'!$C$5:$C$2004=B240)*'Completion Log'!$A$5:$A$2004)))))</f>
        <v/>
      </c>
      <c r="G240" s="14" t="str">
        <f aca="true">IF(OR(A240="",B240="",C240=""),"",IF(F240="",TODAY(),F240+C240))</f>
        <v/>
      </c>
      <c r="H240" s="15" t="str">
        <f aca="true">IF(G240="","",G240-TODAY())</f>
        <v/>
      </c>
      <c r="I240" s="16" t="str">
        <f aca="false">IF(H240="","",IF(H240&lt;0,"OVERDUE",IF(H240&lt;=$I$2,"Due soon","OK")))</f>
        <v/>
      </c>
      <c r="J240" s="9"/>
    </row>
    <row r="241" customFormat="false" ht="15" hidden="false" customHeight="false" outlineLevel="0" collapsed="false">
      <c r="A241" s="9"/>
      <c r="B241" s="9"/>
      <c r="C241" s="9"/>
      <c r="D241" s="9"/>
      <c r="E241" s="13"/>
      <c r="F241" s="14" t="str">
        <f aca="false">IF(OR(A241="",B241=""),"",IF(MAX(N(E241),SUMPRODUCT(MAX(('Completion Log'!$B$5:$B$2004=A241)*('Completion Log'!$C$5:$C$2004=B241)*'Completion Log'!$A$5:$A$2004)))=0,"",MAX(N(E241),SUMPRODUCT(MAX(('Completion Log'!$B$5:$B$2004=A241)*('Completion Log'!$C$5:$C$2004=B241)*'Completion Log'!$A$5:$A$2004)))))</f>
        <v/>
      </c>
      <c r="G241" s="14" t="str">
        <f aca="true">IF(OR(A241="",B241="",C241=""),"",IF(F241="",TODAY(),F241+C241))</f>
        <v/>
      </c>
      <c r="H241" s="15" t="str">
        <f aca="true">IF(G241="","",G241-TODAY())</f>
        <v/>
      </c>
      <c r="I241" s="16" t="str">
        <f aca="false">IF(H241="","",IF(H241&lt;0,"OVERDUE",IF(H241&lt;=$I$2,"Due soon","OK")))</f>
        <v/>
      </c>
      <c r="J241" s="9"/>
    </row>
    <row r="242" customFormat="false" ht="15" hidden="false" customHeight="false" outlineLevel="0" collapsed="false">
      <c r="A242" s="9"/>
      <c r="B242" s="9"/>
      <c r="C242" s="9"/>
      <c r="D242" s="9"/>
      <c r="E242" s="13"/>
      <c r="F242" s="14" t="str">
        <f aca="false">IF(OR(A242="",B242=""),"",IF(MAX(N(E242),SUMPRODUCT(MAX(('Completion Log'!$B$5:$B$2004=A242)*('Completion Log'!$C$5:$C$2004=B242)*'Completion Log'!$A$5:$A$2004)))=0,"",MAX(N(E242),SUMPRODUCT(MAX(('Completion Log'!$B$5:$B$2004=A242)*('Completion Log'!$C$5:$C$2004=B242)*'Completion Log'!$A$5:$A$2004)))))</f>
        <v/>
      </c>
      <c r="G242" s="14" t="str">
        <f aca="true">IF(OR(A242="",B242="",C242=""),"",IF(F242="",TODAY(),F242+C242))</f>
        <v/>
      </c>
      <c r="H242" s="15" t="str">
        <f aca="true">IF(G242="","",G242-TODAY())</f>
        <v/>
      </c>
      <c r="I242" s="16" t="str">
        <f aca="false">IF(H242="","",IF(H242&lt;0,"OVERDUE",IF(H242&lt;=$I$2,"Due soon","OK")))</f>
        <v/>
      </c>
      <c r="J242" s="9"/>
    </row>
    <row r="243" customFormat="false" ht="15" hidden="false" customHeight="false" outlineLevel="0" collapsed="false">
      <c r="A243" s="9"/>
      <c r="B243" s="9"/>
      <c r="C243" s="9"/>
      <c r="D243" s="9"/>
      <c r="E243" s="13"/>
      <c r="F243" s="14" t="str">
        <f aca="false">IF(OR(A243="",B243=""),"",IF(MAX(N(E243),SUMPRODUCT(MAX(('Completion Log'!$B$5:$B$2004=A243)*('Completion Log'!$C$5:$C$2004=B243)*'Completion Log'!$A$5:$A$2004)))=0,"",MAX(N(E243),SUMPRODUCT(MAX(('Completion Log'!$B$5:$B$2004=A243)*('Completion Log'!$C$5:$C$2004=B243)*'Completion Log'!$A$5:$A$2004)))))</f>
        <v/>
      </c>
      <c r="G243" s="14" t="str">
        <f aca="true">IF(OR(A243="",B243="",C243=""),"",IF(F243="",TODAY(),F243+C243))</f>
        <v/>
      </c>
      <c r="H243" s="15" t="str">
        <f aca="true">IF(G243="","",G243-TODAY())</f>
        <v/>
      </c>
      <c r="I243" s="16" t="str">
        <f aca="false">IF(H243="","",IF(H243&lt;0,"OVERDUE",IF(H243&lt;=$I$2,"Due soon","OK")))</f>
        <v/>
      </c>
      <c r="J243" s="9"/>
    </row>
    <row r="244" customFormat="false" ht="15" hidden="false" customHeight="false" outlineLevel="0" collapsed="false">
      <c r="A244" s="9"/>
      <c r="B244" s="9"/>
      <c r="C244" s="9"/>
      <c r="D244" s="9"/>
      <c r="E244" s="13"/>
      <c r="F244" s="14" t="str">
        <f aca="false">IF(OR(A244="",B244=""),"",IF(MAX(N(E244),SUMPRODUCT(MAX(('Completion Log'!$B$5:$B$2004=A244)*('Completion Log'!$C$5:$C$2004=B244)*'Completion Log'!$A$5:$A$2004)))=0,"",MAX(N(E244),SUMPRODUCT(MAX(('Completion Log'!$B$5:$B$2004=A244)*('Completion Log'!$C$5:$C$2004=B244)*'Completion Log'!$A$5:$A$2004)))))</f>
        <v/>
      </c>
      <c r="G244" s="14" t="str">
        <f aca="true">IF(OR(A244="",B244="",C244=""),"",IF(F244="",TODAY(),F244+C244))</f>
        <v/>
      </c>
      <c r="H244" s="15" t="str">
        <f aca="true">IF(G244="","",G244-TODAY())</f>
        <v/>
      </c>
      <c r="I244" s="16" t="str">
        <f aca="false">IF(H244="","",IF(H244&lt;0,"OVERDUE",IF(H244&lt;=$I$2,"Due soon","OK")))</f>
        <v/>
      </c>
      <c r="J244" s="9"/>
    </row>
    <row r="245" customFormat="false" ht="15" hidden="false" customHeight="false" outlineLevel="0" collapsed="false">
      <c r="A245" s="9"/>
      <c r="B245" s="9"/>
      <c r="C245" s="9"/>
      <c r="D245" s="9"/>
      <c r="E245" s="13"/>
      <c r="F245" s="14" t="str">
        <f aca="false">IF(OR(A245="",B245=""),"",IF(MAX(N(E245),SUMPRODUCT(MAX(('Completion Log'!$B$5:$B$2004=A245)*('Completion Log'!$C$5:$C$2004=B245)*'Completion Log'!$A$5:$A$2004)))=0,"",MAX(N(E245),SUMPRODUCT(MAX(('Completion Log'!$B$5:$B$2004=A245)*('Completion Log'!$C$5:$C$2004=B245)*'Completion Log'!$A$5:$A$2004)))))</f>
        <v/>
      </c>
      <c r="G245" s="14" t="str">
        <f aca="true">IF(OR(A245="",B245="",C245=""),"",IF(F245="",TODAY(),F245+C245))</f>
        <v/>
      </c>
      <c r="H245" s="15" t="str">
        <f aca="true">IF(G245="","",G245-TODAY())</f>
        <v/>
      </c>
      <c r="I245" s="16" t="str">
        <f aca="false">IF(H245="","",IF(H245&lt;0,"OVERDUE",IF(H245&lt;=$I$2,"Due soon","OK")))</f>
        <v/>
      </c>
      <c r="J245" s="9"/>
    </row>
    <row r="246" customFormat="false" ht="15" hidden="false" customHeight="false" outlineLevel="0" collapsed="false">
      <c r="A246" s="9"/>
      <c r="B246" s="9"/>
      <c r="C246" s="9"/>
      <c r="D246" s="9"/>
      <c r="E246" s="13"/>
      <c r="F246" s="14" t="str">
        <f aca="false">IF(OR(A246="",B246=""),"",IF(MAX(N(E246),SUMPRODUCT(MAX(('Completion Log'!$B$5:$B$2004=A246)*('Completion Log'!$C$5:$C$2004=B246)*'Completion Log'!$A$5:$A$2004)))=0,"",MAX(N(E246),SUMPRODUCT(MAX(('Completion Log'!$B$5:$B$2004=A246)*('Completion Log'!$C$5:$C$2004=B246)*'Completion Log'!$A$5:$A$2004)))))</f>
        <v/>
      </c>
      <c r="G246" s="14" t="str">
        <f aca="true">IF(OR(A246="",B246="",C246=""),"",IF(F246="",TODAY(),F246+C246))</f>
        <v/>
      </c>
      <c r="H246" s="15" t="str">
        <f aca="true">IF(G246="","",G246-TODAY())</f>
        <v/>
      </c>
      <c r="I246" s="16" t="str">
        <f aca="false">IF(H246="","",IF(H246&lt;0,"OVERDUE",IF(H246&lt;=$I$2,"Due soon","OK")))</f>
        <v/>
      </c>
      <c r="J246" s="9"/>
    </row>
    <row r="247" customFormat="false" ht="15" hidden="false" customHeight="false" outlineLevel="0" collapsed="false">
      <c r="A247" s="9"/>
      <c r="B247" s="9"/>
      <c r="C247" s="9"/>
      <c r="D247" s="9"/>
      <c r="E247" s="13"/>
      <c r="F247" s="14" t="str">
        <f aca="false">IF(OR(A247="",B247=""),"",IF(MAX(N(E247),SUMPRODUCT(MAX(('Completion Log'!$B$5:$B$2004=A247)*('Completion Log'!$C$5:$C$2004=B247)*'Completion Log'!$A$5:$A$2004)))=0,"",MAX(N(E247),SUMPRODUCT(MAX(('Completion Log'!$B$5:$B$2004=A247)*('Completion Log'!$C$5:$C$2004=B247)*'Completion Log'!$A$5:$A$2004)))))</f>
        <v/>
      </c>
      <c r="G247" s="14" t="str">
        <f aca="true">IF(OR(A247="",B247="",C247=""),"",IF(F247="",TODAY(),F247+C247))</f>
        <v/>
      </c>
      <c r="H247" s="15" t="str">
        <f aca="true">IF(G247="","",G247-TODAY())</f>
        <v/>
      </c>
      <c r="I247" s="16" t="str">
        <f aca="false">IF(H247="","",IF(H247&lt;0,"OVERDUE",IF(H247&lt;=$I$2,"Due soon","OK")))</f>
        <v/>
      </c>
      <c r="J247" s="9"/>
    </row>
    <row r="248" customFormat="false" ht="15" hidden="false" customHeight="false" outlineLevel="0" collapsed="false">
      <c r="A248" s="9"/>
      <c r="B248" s="9"/>
      <c r="C248" s="9"/>
      <c r="D248" s="9"/>
      <c r="E248" s="13"/>
      <c r="F248" s="14" t="str">
        <f aca="false">IF(OR(A248="",B248=""),"",IF(MAX(N(E248),SUMPRODUCT(MAX(('Completion Log'!$B$5:$B$2004=A248)*('Completion Log'!$C$5:$C$2004=B248)*'Completion Log'!$A$5:$A$2004)))=0,"",MAX(N(E248),SUMPRODUCT(MAX(('Completion Log'!$B$5:$B$2004=A248)*('Completion Log'!$C$5:$C$2004=B248)*'Completion Log'!$A$5:$A$2004)))))</f>
        <v/>
      </c>
      <c r="G248" s="14" t="str">
        <f aca="true">IF(OR(A248="",B248="",C248=""),"",IF(F248="",TODAY(),F248+C248))</f>
        <v/>
      </c>
      <c r="H248" s="15" t="str">
        <f aca="true">IF(G248="","",G248-TODAY())</f>
        <v/>
      </c>
      <c r="I248" s="16" t="str">
        <f aca="false">IF(H248="","",IF(H248&lt;0,"OVERDUE",IF(H248&lt;=$I$2,"Due soon","OK")))</f>
        <v/>
      </c>
      <c r="J248" s="9"/>
    </row>
    <row r="249" customFormat="false" ht="15" hidden="false" customHeight="false" outlineLevel="0" collapsed="false">
      <c r="A249" s="9"/>
      <c r="B249" s="9"/>
      <c r="C249" s="9"/>
      <c r="D249" s="9"/>
      <c r="E249" s="13"/>
      <c r="F249" s="14" t="str">
        <f aca="false">IF(OR(A249="",B249=""),"",IF(MAX(N(E249),SUMPRODUCT(MAX(('Completion Log'!$B$5:$B$2004=A249)*('Completion Log'!$C$5:$C$2004=B249)*'Completion Log'!$A$5:$A$2004)))=0,"",MAX(N(E249),SUMPRODUCT(MAX(('Completion Log'!$B$5:$B$2004=A249)*('Completion Log'!$C$5:$C$2004=B249)*'Completion Log'!$A$5:$A$2004)))))</f>
        <v/>
      </c>
      <c r="G249" s="14" t="str">
        <f aca="true">IF(OR(A249="",B249="",C249=""),"",IF(F249="",TODAY(),F249+C249))</f>
        <v/>
      </c>
      <c r="H249" s="15" t="str">
        <f aca="true">IF(G249="","",G249-TODAY())</f>
        <v/>
      </c>
      <c r="I249" s="16" t="str">
        <f aca="false">IF(H249="","",IF(H249&lt;0,"OVERDUE",IF(H249&lt;=$I$2,"Due soon","OK")))</f>
        <v/>
      </c>
      <c r="J249" s="9"/>
    </row>
    <row r="250" customFormat="false" ht="15" hidden="false" customHeight="false" outlineLevel="0" collapsed="false">
      <c r="A250" s="9"/>
      <c r="B250" s="9"/>
      <c r="C250" s="9"/>
      <c r="D250" s="9"/>
      <c r="E250" s="13"/>
      <c r="F250" s="14" t="str">
        <f aca="false">IF(OR(A250="",B250=""),"",IF(MAX(N(E250),SUMPRODUCT(MAX(('Completion Log'!$B$5:$B$2004=A250)*('Completion Log'!$C$5:$C$2004=B250)*'Completion Log'!$A$5:$A$2004)))=0,"",MAX(N(E250),SUMPRODUCT(MAX(('Completion Log'!$B$5:$B$2004=A250)*('Completion Log'!$C$5:$C$2004=B250)*'Completion Log'!$A$5:$A$2004)))))</f>
        <v/>
      </c>
      <c r="G250" s="14" t="str">
        <f aca="true">IF(OR(A250="",B250="",C250=""),"",IF(F250="",TODAY(),F250+C250))</f>
        <v/>
      </c>
      <c r="H250" s="15" t="str">
        <f aca="true">IF(G250="","",G250-TODAY())</f>
        <v/>
      </c>
      <c r="I250" s="16" t="str">
        <f aca="false">IF(H250="","",IF(H250&lt;0,"OVERDUE",IF(H250&lt;=$I$2,"Due soon","OK")))</f>
        <v/>
      </c>
      <c r="J250" s="9"/>
    </row>
    <row r="251" customFormat="false" ht="15" hidden="false" customHeight="false" outlineLevel="0" collapsed="false">
      <c r="A251" s="9"/>
      <c r="B251" s="9"/>
      <c r="C251" s="9"/>
      <c r="D251" s="9"/>
      <c r="E251" s="13"/>
      <c r="F251" s="14" t="str">
        <f aca="false">IF(OR(A251="",B251=""),"",IF(MAX(N(E251),SUMPRODUCT(MAX(('Completion Log'!$B$5:$B$2004=A251)*('Completion Log'!$C$5:$C$2004=B251)*'Completion Log'!$A$5:$A$2004)))=0,"",MAX(N(E251),SUMPRODUCT(MAX(('Completion Log'!$B$5:$B$2004=A251)*('Completion Log'!$C$5:$C$2004=B251)*'Completion Log'!$A$5:$A$2004)))))</f>
        <v/>
      </c>
      <c r="G251" s="14" t="str">
        <f aca="true">IF(OR(A251="",B251="",C251=""),"",IF(F251="",TODAY(),F251+C251))</f>
        <v/>
      </c>
      <c r="H251" s="15" t="str">
        <f aca="true">IF(G251="","",G251-TODAY())</f>
        <v/>
      </c>
      <c r="I251" s="16" t="str">
        <f aca="false">IF(H251="","",IF(H251&lt;0,"OVERDUE",IF(H251&lt;=$I$2,"Due soon","OK")))</f>
        <v/>
      </c>
      <c r="J251" s="9"/>
    </row>
    <row r="252" customFormat="false" ht="15" hidden="false" customHeight="false" outlineLevel="0" collapsed="false">
      <c r="A252" s="9"/>
      <c r="B252" s="9"/>
      <c r="C252" s="9"/>
      <c r="D252" s="9"/>
      <c r="E252" s="13"/>
      <c r="F252" s="14" t="str">
        <f aca="false">IF(OR(A252="",B252=""),"",IF(MAX(N(E252),SUMPRODUCT(MAX(('Completion Log'!$B$5:$B$2004=A252)*('Completion Log'!$C$5:$C$2004=B252)*'Completion Log'!$A$5:$A$2004)))=0,"",MAX(N(E252),SUMPRODUCT(MAX(('Completion Log'!$B$5:$B$2004=A252)*('Completion Log'!$C$5:$C$2004=B252)*'Completion Log'!$A$5:$A$2004)))))</f>
        <v/>
      </c>
      <c r="G252" s="14" t="str">
        <f aca="true">IF(OR(A252="",B252="",C252=""),"",IF(F252="",TODAY(),F252+C252))</f>
        <v/>
      </c>
      <c r="H252" s="15" t="str">
        <f aca="true">IF(G252="","",G252-TODAY())</f>
        <v/>
      </c>
      <c r="I252" s="16" t="str">
        <f aca="false">IF(H252="","",IF(H252&lt;0,"OVERDUE",IF(H252&lt;=$I$2,"Due soon","OK")))</f>
        <v/>
      </c>
      <c r="J252" s="9"/>
    </row>
    <row r="253" customFormat="false" ht="15" hidden="false" customHeight="false" outlineLevel="0" collapsed="false">
      <c r="A253" s="9"/>
      <c r="B253" s="9"/>
      <c r="C253" s="9"/>
      <c r="D253" s="9"/>
      <c r="E253" s="13"/>
      <c r="F253" s="14" t="str">
        <f aca="false">IF(OR(A253="",B253=""),"",IF(MAX(N(E253),SUMPRODUCT(MAX(('Completion Log'!$B$5:$B$2004=A253)*('Completion Log'!$C$5:$C$2004=B253)*'Completion Log'!$A$5:$A$2004)))=0,"",MAX(N(E253),SUMPRODUCT(MAX(('Completion Log'!$B$5:$B$2004=A253)*('Completion Log'!$C$5:$C$2004=B253)*'Completion Log'!$A$5:$A$2004)))))</f>
        <v/>
      </c>
      <c r="G253" s="14" t="str">
        <f aca="true">IF(OR(A253="",B253="",C253=""),"",IF(F253="",TODAY(),F253+C253))</f>
        <v/>
      </c>
      <c r="H253" s="15" t="str">
        <f aca="true">IF(G253="","",G253-TODAY())</f>
        <v/>
      </c>
      <c r="I253" s="16" t="str">
        <f aca="false">IF(H253="","",IF(H253&lt;0,"OVERDUE",IF(H253&lt;=$I$2,"Due soon","OK")))</f>
        <v/>
      </c>
      <c r="J253" s="9"/>
    </row>
    <row r="254" customFormat="false" ht="15" hidden="false" customHeight="false" outlineLevel="0" collapsed="false">
      <c r="A254" s="9"/>
      <c r="B254" s="9"/>
      <c r="C254" s="9"/>
      <c r="D254" s="9"/>
      <c r="E254" s="13"/>
      <c r="F254" s="14" t="str">
        <f aca="false">IF(OR(A254="",B254=""),"",IF(MAX(N(E254),SUMPRODUCT(MAX(('Completion Log'!$B$5:$B$2004=A254)*('Completion Log'!$C$5:$C$2004=B254)*'Completion Log'!$A$5:$A$2004)))=0,"",MAX(N(E254),SUMPRODUCT(MAX(('Completion Log'!$B$5:$B$2004=A254)*('Completion Log'!$C$5:$C$2004=B254)*'Completion Log'!$A$5:$A$2004)))))</f>
        <v/>
      </c>
      <c r="G254" s="14" t="str">
        <f aca="true">IF(OR(A254="",B254="",C254=""),"",IF(F254="",TODAY(),F254+C254))</f>
        <v/>
      </c>
      <c r="H254" s="15" t="str">
        <f aca="true">IF(G254="","",G254-TODAY())</f>
        <v/>
      </c>
      <c r="I254" s="16" t="str">
        <f aca="false">IF(H254="","",IF(H254&lt;0,"OVERDUE",IF(H254&lt;=$I$2,"Due soon","OK")))</f>
        <v/>
      </c>
      <c r="J254" s="9"/>
    </row>
    <row r="255" customFormat="false" ht="15" hidden="false" customHeight="false" outlineLevel="0" collapsed="false">
      <c r="A255" s="9"/>
      <c r="B255" s="9"/>
      <c r="C255" s="9"/>
      <c r="D255" s="9"/>
      <c r="E255" s="13"/>
      <c r="F255" s="14" t="str">
        <f aca="false">IF(OR(A255="",B255=""),"",IF(MAX(N(E255),SUMPRODUCT(MAX(('Completion Log'!$B$5:$B$2004=A255)*('Completion Log'!$C$5:$C$2004=B255)*'Completion Log'!$A$5:$A$2004)))=0,"",MAX(N(E255),SUMPRODUCT(MAX(('Completion Log'!$B$5:$B$2004=A255)*('Completion Log'!$C$5:$C$2004=B255)*'Completion Log'!$A$5:$A$2004)))))</f>
        <v/>
      </c>
      <c r="G255" s="14" t="str">
        <f aca="true">IF(OR(A255="",B255="",C255=""),"",IF(F255="",TODAY(),F255+C255))</f>
        <v/>
      </c>
      <c r="H255" s="15" t="str">
        <f aca="true">IF(G255="","",G255-TODAY())</f>
        <v/>
      </c>
      <c r="I255" s="16" t="str">
        <f aca="false">IF(H255="","",IF(H255&lt;0,"OVERDUE",IF(H255&lt;=$I$2,"Due soon","OK")))</f>
        <v/>
      </c>
      <c r="J255" s="9"/>
    </row>
    <row r="256" customFormat="false" ht="15" hidden="false" customHeight="false" outlineLevel="0" collapsed="false">
      <c r="A256" s="9"/>
      <c r="B256" s="9"/>
      <c r="C256" s="9"/>
      <c r="D256" s="9"/>
      <c r="E256" s="13"/>
      <c r="F256" s="14" t="str">
        <f aca="false">IF(OR(A256="",B256=""),"",IF(MAX(N(E256),SUMPRODUCT(MAX(('Completion Log'!$B$5:$B$2004=A256)*('Completion Log'!$C$5:$C$2004=B256)*'Completion Log'!$A$5:$A$2004)))=0,"",MAX(N(E256),SUMPRODUCT(MAX(('Completion Log'!$B$5:$B$2004=A256)*('Completion Log'!$C$5:$C$2004=B256)*'Completion Log'!$A$5:$A$2004)))))</f>
        <v/>
      </c>
      <c r="G256" s="14" t="str">
        <f aca="true">IF(OR(A256="",B256="",C256=""),"",IF(F256="",TODAY(),F256+C256))</f>
        <v/>
      </c>
      <c r="H256" s="15" t="str">
        <f aca="true">IF(G256="","",G256-TODAY())</f>
        <v/>
      </c>
      <c r="I256" s="16" t="str">
        <f aca="false">IF(H256="","",IF(H256&lt;0,"OVERDUE",IF(H256&lt;=$I$2,"Due soon","OK")))</f>
        <v/>
      </c>
      <c r="J256" s="9"/>
    </row>
    <row r="257" customFormat="false" ht="15" hidden="false" customHeight="false" outlineLevel="0" collapsed="false">
      <c r="A257" s="9"/>
      <c r="B257" s="9"/>
      <c r="C257" s="9"/>
      <c r="D257" s="9"/>
      <c r="E257" s="13"/>
      <c r="F257" s="14" t="str">
        <f aca="false">IF(OR(A257="",B257=""),"",IF(MAX(N(E257),SUMPRODUCT(MAX(('Completion Log'!$B$5:$B$2004=A257)*('Completion Log'!$C$5:$C$2004=B257)*'Completion Log'!$A$5:$A$2004)))=0,"",MAX(N(E257),SUMPRODUCT(MAX(('Completion Log'!$B$5:$B$2004=A257)*('Completion Log'!$C$5:$C$2004=B257)*'Completion Log'!$A$5:$A$2004)))))</f>
        <v/>
      </c>
      <c r="G257" s="14" t="str">
        <f aca="true">IF(OR(A257="",B257="",C257=""),"",IF(F257="",TODAY(),F257+C257))</f>
        <v/>
      </c>
      <c r="H257" s="15" t="str">
        <f aca="true">IF(G257="","",G257-TODAY())</f>
        <v/>
      </c>
      <c r="I257" s="16" t="str">
        <f aca="false">IF(H257="","",IF(H257&lt;0,"OVERDUE",IF(H257&lt;=$I$2,"Due soon","OK")))</f>
        <v/>
      </c>
      <c r="J257" s="9"/>
    </row>
    <row r="258" customFormat="false" ht="15" hidden="false" customHeight="false" outlineLevel="0" collapsed="false">
      <c r="A258" s="9"/>
      <c r="B258" s="9"/>
      <c r="C258" s="9"/>
      <c r="D258" s="9"/>
      <c r="E258" s="13"/>
      <c r="F258" s="14" t="str">
        <f aca="false">IF(OR(A258="",B258=""),"",IF(MAX(N(E258),SUMPRODUCT(MAX(('Completion Log'!$B$5:$B$2004=A258)*('Completion Log'!$C$5:$C$2004=B258)*'Completion Log'!$A$5:$A$2004)))=0,"",MAX(N(E258),SUMPRODUCT(MAX(('Completion Log'!$B$5:$B$2004=A258)*('Completion Log'!$C$5:$C$2004=B258)*'Completion Log'!$A$5:$A$2004)))))</f>
        <v/>
      </c>
      <c r="G258" s="14" t="str">
        <f aca="true">IF(OR(A258="",B258="",C258=""),"",IF(F258="",TODAY(),F258+C258))</f>
        <v/>
      </c>
      <c r="H258" s="15" t="str">
        <f aca="true">IF(G258="","",G258-TODAY())</f>
        <v/>
      </c>
      <c r="I258" s="16" t="str">
        <f aca="false">IF(H258="","",IF(H258&lt;0,"OVERDUE",IF(H258&lt;=$I$2,"Due soon","OK")))</f>
        <v/>
      </c>
      <c r="J258" s="9"/>
    </row>
    <row r="259" customFormat="false" ht="15" hidden="false" customHeight="false" outlineLevel="0" collapsed="false">
      <c r="A259" s="9"/>
      <c r="B259" s="9"/>
      <c r="C259" s="9"/>
      <c r="D259" s="9"/>
      <c r="E259" s="13"/>
      <c r="F259" s="14" t="str">
        <f aca="false">IF(OR(A259="",B259=""),"",IF(MAX(N(E259),SUMPRODUCT(MAX(('Completion Log'!$B$5:$B$2004=A259)*('Completion Log'!$C$5:$C$2004=B259)*'Completion Log'!$A$5:$A$2004)))=0,"",MAX(N(E259),SUMPRODUCT(MAX(('Completion Log'!$B$5:$B$2004=A259)*('Completion Log'!$C$5:$C$2004=B259)*'Completion Log'!$A$5:$A$2004)))))</f>
        <v/>
      </c>
      <c r="G259" s="14" t="str">
        <f aca="true">IF(OR(A259="",B259="",C259=""),"",IF(F259="",TODAY(),F259+C259))</f>
        <v/>
      </c>
      <c r="H259" s="15" t="str">
        <f aca="true">IF(G259="","",G259-TODAY())</f>
        <v/>
      </c>
      <c r="I259" s="16" t="str">
        <f aca="false">IF(H259="","",IF(H259&lt;0,"OVERDUE",IF(H259&lt;=$I$2,"Due soon","OK")))</f>
        <v/>
      </c>
      <c r="J259" s="9"/>
    </row>
    <row r="260" customFormat="false" ht="15" hidden="false" customHeight="false" outlineLevel="0" collapsed="false">
      <c r="A260" s="9"/>
      <c r="B260" s="9"/>
      <c r="C260" s="9"/>
      <c r="D260" s="9"/>
      <c r="E260" s="13"/>
      <c r="F260" s="14" t="str">
        <f aca="false">IF(OR(A260="",B260=""),"",IF(MAX(N(E260),SUMPRODUCT(MAX(('Completion Log'!$B$5:$B$2004=A260)*('Completion Log'!$C$5:$C$2004=B260)*'Completion Log'!$A$5:$A$2004)))=0,"",MAX(N(E260),SUMPRODUCT(MAX(('Completion Log'!$B$5:$B$2004=A260)*('Completion Log'!$C$5:$C$2004=B260)*'Completion Log'!$A$5:$A$2004)))))</f>
        <v/>
      </c>
      <c r="G260" s="14" t="str">
        <f aca="true">IF(OR(A260="",B260="",C260=""),"",IF(F260="",TODAY(),F260+C260))</f>
        <v/>
      </c>
      <c r="H260" s="15" t="str">
        <f aca="true">IF(G260="","",G260-TODAY())</f>
        <v/>
      </c>
      <c r="I260" s="16" t="str">
        <f aca="false">IF(H260="","",IF(H260&lt;0,"OVERDUE",IF(H260&lt;=$I$2,"Due soon","OK")))</f>
        <v/>
      </c>
      <c r="J260" s="9"/>
    </row>
    <row r="261" customFormat="false" ht="15" hidden="false" customHeight="false" outlineLevel="0" collapsed="false">
      <c r="A261" s="9"/>
      <c r="B261" s="9"/>
      <c r="C261" s="9"/>
      <c r="D261" s="9"/>
      <c r="E261" s="13"/>
      <c r="F261" s="14" t="str">
        <f aca="false">IF(OR(A261="",B261=""),"",IF(MAX(N(E261),SUMPRODUCT(MAX(('Completion Log'!$B$5:$B$2004=A261)*('Completion Log'!$C$5:$C$2004=B261)*'Completion Log'!$A$5:$A$2004)))=0,"",MAX(N(E261),SUMPRODUCT(MAX(('Completion Log'!$B$5:$B$2004=A261)*('Completion Log'!$C$5:$C$2004=B261)*'Completion Log'!$A$5:$A$2004)))))</f>
        <v/>
      </c>
      <c r="G261" s="14" t="str">
        <f aca="true">IF(OR(A261="",B261="",C261=""),"",IF(F261="",TODAY(),F261+C261))</f>
        <v/>
      </c>
      <c r="H261" s="15" t="str">
        <f aca="true">IF(G261="","",G261-TODAY())</f>
        <v/>
      </c>
      <c r="I261" s="16" t="str">
        <f aca="false">IF(H261="","",IF(H261&lt;0,"OVERDUE",IF(H261&lt;=$I$2,"Due soon","OK")))</f>
        <v/>
      </c>
      <c r="J261" s="9"/>
    </row>
    <row r="262" customFormat="false" ht="15" hidden="false" customHeight="false" outlineLevel="0" collapsed="false">
      <c r="A262" s="9"/>
      <c r="B262" s="9"/>
      <c r="C262" s="9"/>
      <c r="D262" s="9"/>
      <c r="E262" s="13"/>
      <c r="F262" s="14" t="str">
        <f aca="false">IF(OR(A262="",B262=""),"",IF(MAX(N(E262),SUMPRODUCT(MAX(('Completion Log'!$B$5:$B$2004=A262)*('Completion Log'!$C$5:$C$2004=B262)*'Completion Log'!$A$5:$A$2004)))=0,"",MAX(N(E262),SUMPRODUCT(MAX(('Completion Log'!$B$5:$B$2004=A262)*('Completion Log'!$C$5:$C$2004=B262)*'Completion Log'!$A$5:$A$2004)))))</f>
        <v/>
      </c>
      <c r="G262" s="14" t="str">
        <f aca="true">IF(OR(A262="",B262="",C262=""),"",IF(F262="",TODAY(),F262+C262))</f>
        <v/>
      </c>
      <c r="H262" s="15" t="str">
        <f aca="true">IF(G262="","",G262-TODAY())</f>
        <v/>
      </c>
      <c r="I262" s="16" t="str">
        <f aca="false">IF(H262="","",IF(H262&lt;0,"OVERDUE",IF(H262&lt;=$I$2,"Due soon","OK")))</f>
        <v/>
      </c>
      <c r="J262" s="9"/>
    </row>
    <row r="263" customFormat="false" ht="15" hidden="false" customHeight="false" outlineLevel="0" collapsed="false">
      <c r="A263" s="9"/>
      <c r="B263" s="9"/>
      <c r="C263" s="9"/>
      <c r="D263" s="9"/>
      <c r="E263" s="13"/>
      <c r="F263" s="14" t="str">
        <f aca="false">IF(OR(A263="",B263=""),"",IF(MAX(N(E263),SUMPRODUCT(MAX(('Completion Log'!$B$5:$B$2004=A263)*('Completion Log'!$C$5:$C$2004=B263)*'Completion Log'!$A$5:$A$2004)))=0,"",MAX(N(E263),SUMPRODUCT(MAX(('Completion Log'!$B$5:$B$2004=A263)*('Completion Log'!$C$5:$C$2004=B263)*'Completion Log'!$A$5:$A$2004)))))</f>
        <v/>
      </c>
      <c r="G263" s="14" t="str">
        <f aca="true">IF(OR(A263="",B263="",C263=""),"",IF(F263="",TODAY(),F263+C263))</f>
        <v/>
      </c>
      <c r="H263" s="15" t="str">
        <f aca="true">IF(G263="","",G263-TODAY())</f>
        <v/>
      </c>
      <c r="I263" s="16" t="str">
        <f aca="false">IF(H263="","",IF(H263&lt;0,"OVERDUE",IF(H263&lt;=$I$2,"Due soon","OK")))</f>
        <v/>
      </c>
      <c r="J263" s="9"/>
    </row>
    <row r="264" customFormat="false" ht="15" hidden="false" customHeight="false" outlineLevel="0" collapsed="false">
      <c r="A264" s="9"/>
      <c r="B264" s="9"/>
      <c r="C264" s="9"/>
      <c r="D264" s="9"/>
      <c r="E264" s="13"/>
      <c r="F264" s="14" t="str">
        <f aca="false">IF(OR(A264="",B264=""),"",IF(MAX(N(E264),SUMPRODUCT(MAX(('Completion Log'!$B$5:$B$2004=A264)*('Completion Log'!$C$5:$C$2004=B264)*'Completion Log'!$A$5:$A$2004)))=0,"",MAX(N(E264),SUMPRODUCT(MAX(('Completion Log'!$B$5:$B$2004=A264)*('Completion Log'!$C$5:$C$2004=B264)*'Completion Log'!$A$5:$A$2004)))))</f>
        <v/>
      </c>
      <c r="G264" s="14" t="str">
        <f aca="true">IF(OR(A264="",B264="",C264=""),"",IF(F264="",TODAY(),F264+C264))</f>
        <v/>
      </c>
      <c r="H264" s="15" t="str">
        <f aca="true">IF(G264="","",G264-TODAY())</f>
        <v/>
      </c>
      <c r="I264" s="16" t="str">
        <f aca="false">IF(H264="","",IF(H264&lt;0,"OVERDUE",IF(H264&lt;=$I$2,"Due soon","OK")))</f>
        <v/>
      </c>
      <c r="J264" s="9"/>
    </row>
    <row r="265" customFormat="false" ht="15" hidden="false" customHeight="false" outlineLevel="0" collapsed="false">
      <c r="A265" s="9"/>
      <c r="B265" s="9"/>
      <c r="C265" s="9"/>
      <c r="D265" s="9"/>
      <c r="E265" s="13"/>
      <c r="F265" s="14" t="str">
        <f aca="false">IF(OR(A265="",B265=""),"",IF(MAX(N(E265),SUMPRODUCT(MAX(('Completion Log'!$B$5:$B$2004=A265)*('Completion Log'!$C$5:$C$2004=B265)*'Completion Log'!$A$5:$A$2004)))=0,"",MAX(N(E265),SUMPRODUCT(MAX(('Completion Log'!$B$5:$B$2004=A265)*('Completion Log'!$C$5:$C$2004=B265)*'Completion Log'!$A$5:$A$2004)))))</f>
        <v/>
      </c>
      <c r="G265" s="14" t="str">
        <f aca="true">IF(OR(A265="",B265="",C265=""),"",IF(F265="",TODAY(),F265+C265))</f>
        <v/>
      </c>
      <c r="H265" s="15" t="str">
        <f aca="true">IF(G265="","",G265-TODAY())</f>
        <v/>
      </c>
      <c r="I265" s="16" t="str">
        <f aca="false">IF(H265="","",IF(H265&lt;0,"OVERDUE",IF(H265&lt;=$I$2,"Due soon","OK")))</f>
        <v/>
      </c>
      <c r="J265" s="9"/>
    </row>
    <row r="266" customFormat="false" ht="15" hidden="false" customHeight="false" outlineLevel="0" collapsed="false">
      <c r="A266" s="9"/>
      <c r="B266" s="9"/>
      <c r="C266" s="9"/>
      <c r="D266" s="9"/>
      <c r="E266" s="13"/>
      <c r="F266" s="14" t="str">
        <f aca="false">IF(OR(A266="",B266=""),"",IF(MAX(N(E266),SUMPRODUCT(MAX(('Completion Log'!$B$5:$B$2004=A266)*('Completion Log'!$C$5:$C$2004=B266)*'Completion Log'!$A$5:$A$2004)))=0,"",MAX(N(E266),SUMPRODUCT(MAX(('Completion Log'!$B$5:$B$2004=A266)*('Completion Log'!$C$5:$C$2004=B266)*'Completion Log'!$A$5:$A$2004)))))</f>
        <v/>
      </c>
      <c r="G266" s="14" t="str">
        <f aca="true">IF(OR(A266="",B266="",C266=""),"",IF(F266="",TODAY(),F266+C266))</f>
        <v/>
      </c>
      <c r="H266" s="15" t="str">
        <f aca="true">IF(G266="","",G266-TODAY())</f>
        <v/>
      </c>
      <c r="I266" s="16" t="str">
        <f aca="false">IF(H266="","",IF(H266&lt;0,"OVERDUE",IF(H266&lt;=$I$2,"Due soon","OK")))</f>
        <v/>
      </c>
      <c r="J266" s="9"/>
    </row>
    <row r="267" customFormat="false" ht="15" hidden="false" customHeight="false" outlineLevel="0" collapsed="false">
      <c r="A267" s="9"/>
      <c r="B267" s="9"/>
      <c r="C267" s="9"/>
      <c r="D267" s="9"/>
      <c r="E267" s="13"/>
      <c r="F267" s="14" t="str">
        <f aca="false">IF(OR(A267="",B267=""),"",IF(MAX(N(E267),SUMPRODUCT(MAX(('Completion Log'!$B$5:$B$2004=A267)*('Completion Log'!$C$5:$C$2004=B267)*'Completion Log'!$A$5:$A$2004)))=0,"",MAX(N(E267),SUMPRODUCT(MAX(('Completion Log'!$B$5:$B$2004=A267)*('Completion Log'!$C$5:$C$2004=B267)*'Completion Log'!$A$5:$A$2004)))))</f>
        <v/>
      </c>
      <c r="G267" s="14" t="str">
        <f aca="true">IF(OR(A267="",B267="",C267=""),"",IF(F267="",TODAY(),F267+C267))</f>
        <v/>
      </c>
      <c r="H267" s="15" t="str">
        <f aca="true">IF(G267="","",G267-TODAY())</f>
        <v/>
      </c>
      <c r="I267" s="16" t="str">
        <f aca="false">IF(H267="","",IF(H267&lt;0,"OVERDUE",IF(H267&lt;=$I$2,"Due soon","OK")))</f>
        <v/>
      </c>
      <c r="J267" s="9"/>
    </row>
    <row r="268" customFormat="false" ht="15" hidden="false" customHeight="false" outlineLevel="0" collapsed="false">
      <c r="A268" s="9"/>
      <c r="B268" s="9"/>
      <c r="C268" s="9"/>
      <c r="D268" s="9"/>
      <c r="E268" s="13"/>
      <c r="F268" s="14" t="str">
        <f aca="false">IF(OR(A268="",B268=""),"",IF(MAX(N(E268),SUMPRODUCT(MAX(('Completion Log'!$B$5:$B$2004=A268)*('Completion Log'!$C$5:$C$2004=B268)*'Completion Log'!$A$5:$A$2004)))=0,"",MAX(N(E268),SUMPRODUCT(MAX(('Completion Log'!$B$5:$B$2004=A268)*('Completion Log'!$C$5:$C$2004=B268)*'Completion Log'!$A$5:$A$2004)))))</f>
        <v/>
      </c>
      <c r="G268" s="14" t="str">
        <f aca="true">IF(OR(A268="",B268="",C268=""),"",IF(F268="",TODAY(),F268+C268))</f>
        <v/>
      </c>
      <c r="H268" s="15" t="str">
        <f aca="true">IF(G268="","",G268-TODAY())</f>
        <v/>
      </c>
      <c r="I268" s="16" t="str">
        <f aca="false">IF(H268="","",IF(H268&lt;0,"OVERDUE",IF(H268&lt;=$I$2,"Due soon","OK")))</f>
        <v/>
      </c>
      <c r="J268" s="9"/>
    </row>
    <row r="269" customFormat="false" ht="15" hidden="false" customHeight="false" outlineLevel="0" collapsed="false">
      <c r="A269" s="9"/>
      <c r="B269" s="9"/>
      <c r="C269" s="9"/>
      <c r="D269" s="9"/>
      <c r="E269" s="13"/>
      <c r="F269" s="14" t="str">
        <f aca="false">IF(OR(A269="",B269=""),"",IF(MAX(N(E269),SUMPRODUCT(MAX(('Completion Log'!$B$5:$B$2004=A269)*('Completion Log'!$C$5:$C$2004=B269)*'Completion Log'!$A$5:$A$2004)))=0,"",MAX(N(E269),SUMPRODUCT(MAX(('Completion Log'!$B$5:$B$2004=A269)*('Completion Log'!$C$5:$C$2004=B269)*'Completion Log'!$A$5:$A$2004)))))</f>
        <v/>
      </c>
      <c r="G269" s="14" t="str">
        <f aca="true">IF(OR(A269="",B269="",C269=""),"",IF(F269="",TODAY(),F269+C269))</f>
        <v/>
      </c>
      <c r="H269" s="15" t="str">
        <f aca="true">IF(G269="","",G269-TODAY())</f>
        <v/>
      </c>
      <c r="I269" s="16" t="str">
        <f aca="false">IF(H269="","",IF(H269&lt;0,"OVERDUE",IF(H269&lt;=$I$2,"Due soon","OK")))</f>
        <v/>
      </c>
      <c r="J269" s="9"/>
    </row>
    <row r="270" customFormat="false" ht="15" hidden="false" customHeight="false" outlineLevel="0" collapsed="false">
      <c r="A270" s="9"/>
      <c r="B270" s="9"/>
      <c r="C270" s="9"/>
      <c r="D270" s="9"/>
      <c r="E270" s="13"/>
      <c r="F270" s="14" t="str">
        <f aca="false">IF(OR(A270="",B270=""),"",IF(MAX(N(E270),SUMPRODUCT(MAX(('Completion Log'!$B$5:$B$2004=A270)*('Completion Log'!$C$5:$C$2004=B270)*'Completion Log'!$A$5:$A$2004)))=0,"",MAX(N(E270),SUMPRODUCT(MAX(('Completion Log'!$B$5:$B$2004=A270)*('Completion Log'!$C$5:$C$2004=B270)*'Completion Log'!$A$5:$A$2004)))))</f>
        <v/>
      </c>
      <c r="G270" s="14" t="str">
        <f aca="true">IF(OR(A270="",B270="",C270=""),"",IF(F270="",TODAY(),F270+C270))</f>
        <v/>
      </c>
      <c r="H270" s="15" t="str">
        <f aca="true">IF(G270="","",G270-TODAY())</f>
        <v/>
      </c>
      <c r="I270" s="16" t="str">
        <f aca="false">IF(H270="","",IF(H270&lt;0,"OVERDUE",IF(H270&lt;=$I$2,"Due soon","OK")))</f>
        <v/>
      </c>
      <c r="J270" s="9"/>
    </row>
    <row r="271" customFormat="false" ht="15" hidden="false" customHeight="false" outlineLevel="0" collapsed="false">
      <c r="A271" s="9"/>
      <c r="B271" s="9"/>
      <c r="C271" s="9"/>
      <c r="D271" s="9"/>
      <c r="E271" s="13"/>
      <c r="F271" s="14" t="str">
        <f aca="false">IF(OR(A271="",B271=""),"",IF(MAX(N(E271),SUMPRODUCT(MAX(('Completion Log'!$B$5:$B$2004=A271)*('Completion Log'!$C$5:$C$2004=B271)*'Completion Log'!$A$5:$A$2004)))=0,"",MAX(N(E271),SUMPRODUCT(MAX(('Completion Log'!$B$5:$B$2004=A271)*('Completion Log'!$C$5:$C$2004=B271)*'Completion Log'!$A$5:$A$2004)))))</f>
        <v/>
      </c>
      <c r="G271" s="14" t="str">
        <f aca="true">IF(OR(A271="",B271="",C271=""),"",IF(F271="",TODAY(),F271+C271))</f>
        <v/>
      </c>
      <c r="H271" s="15" t="str">
        <f aca="true">IF(G271="","",G271-TODAY())</f>
        <v/>
      </c>
      <c r="I271" s="16" t="str">
        <f aca="false">IF(H271="","",IF(H271&lt;0,"OVERDUE",IF(H271&lt;=$I$2,"Due soon","OK")))</f>
        <v/>
      </c>
      <c r="J271" s="9"/>
    </row>
    <row r="272" customFormat="false" ht="15" hidden="false" customHeight="false" outlineLevel="0" collapsed="false">
      <c r="A272" s="9"/>
      <c r="B272" s="9"/>
      <c r="C272" s="9"/>
      <c r="D272" s="9"/>
      <c r="E272" s="13"/>
      <c r="F272" s="14" t="str">
        <f aca="false">IF(OR(A272="",B272=""),"",IF(MAX(N(E272),SUMPRODUCT(MAX(('Completion Log'!$B$5:$B$2004=A272)*('Completion Log'!$C$5:$C$2004=B272)*'Completion Log'!$A$5:$A$2004)))=0,"",MAX(N(E272),SUMPRODUCT(MAX(('Completion Log'!$B$5:$B$2004=A272)*('Completion Log'!$C$5:$C$2004=B272)*'Completion Log'!$A$5:$A$2004)))))</f>
        <v/>
      </c>
      <c r="G272" s="14" t="str">
        <f aca="true">IF(OR(A272="",B272="",C272=""),"",IF(F272="",TODAY(),F272+C272))</f>
        <v/>
      </c>
      <c r="H272" s="15" t="str">
        <f aca="true">IF(G272="","",G272-TODAY())</f>
        <v/>
      </c>
      <c r="I272" s="16" t="str">
        <f aca="false">IF(H272="","",IF(H272&lt;0,"OVERDUE",IF(H272&lt;=$I$2,"Due soon","OK")))</f>
        <v/>
      </c>
      <c r="J272" s="9"/>
    </row>
    <row r="273" customFormat="false" ht="15" hidden="false" customHeight="false" outlineLevel="0" collapsed="false">
      <c r="A273" s="9"/>
      <c r="B273" s="9"/>
      <c r="C273" s="9"/>
      <c r="D273" s="9"/>
      <c r="E273" s="13"/>
      <c r="F273" s="14" t="str">
        <f aca="false">IF(OR(A273="",B273=""),"",IF(MAX(N(E273),SUMPRODUCT(MAX(('Completion Log'!$B$5:$B$2004=A273)*('Completion Log'!$C$5:$C$2004=B273)*'Completion Log'!$A$5:$A$2004)))=0,"",MAX(N(E273),SUMPRODUCT(MAX(('Completion Log'!$B$5:$B$2004=A273)*('Completion Log'!$C$5:$C$2004=B273)*'Completion Log'!$A$5:$A$2004)))))</f>
        <v/>
      </c>
      <c r="G273" s="14" t="str">
        <f aca="true">IF(OR(A273="",B273="",C273=""),"",IF(F273="",TODAY(),F273+C273))</f>
        <v/>
      </c>
      <c r="H273" s="15" t="str">
        <f aca="true">IF(G273="","",G273-TODAY())</f>
        <v/>
      </c>
      <c r="I273" s="16" t="str">
        <f aca="false">IF(H273="","",IF(H273&lt;0,"OVERDUE",IF(H273&lt;=$I$2,"Due soon","OK")))</f>
        <v/>
      </c>
      <c r="J273" s="9"/>
    </row>
    <row r="274" customFormat="false" ht="15" hidden="false" customHeight="false" outlineLevel="0" collapsed="false">
      <c r="A274" s="9"/>
      <c r="B274" s="9"/>
      <c r="C274" s="9"/>
      <c r="D274" s="9"/>
      <c r="E274" s="13"/>
      <c r="F274" s="14" t="str">
        <f aca="false">IF(OR(A274="",B274=""),"",IF(MAX(N(E274),SUMPRODUCT(MAX(('Completion Log'!$B$5:$B$2004=A274)*('Completion Log'!$C$5:$C$2004=B274)*'Completion Log'!$A$5:$A$2004)))=0,"",MAX(N(E274),SUMPRODUCT(MAX(('Completion Log'!$B$5:$B$2004=A274)*('Completion Log'!$C$5:$C$2004=B274)*'Completion Log'!$A$5:$A$2004)))))</f>
        <v/>
      </c>
      <c r="G274" s="14" t="str">
        <f aca="true">IF(OR(A274="",B274="",C274=""),"",IF(F274="",TODAY(),F274+C274))</f>
        <v/>
      </c>
      <c r="H274" s="15" t="str">
        <f aca="true">IF(G274="","",G274-TODAY())</f>
        <v/>
      </c>
      <c r="I274" s="16" t="str">
        <f aca="false">IF(H274="","",IF(H274&lt;0,"OVERDUE",IF(H274&lt;=$I$2,"Due soon","OK")))</f>
        <v/>
      </c>
      <c r="J274" s="9"/>
    </row>
    <row r="275" customFormat="false" ht="15" hidden="false" customHeight="false" outlineLevel="0" collapsed="false">
      <c r="A275" s="9"/>
      <c r="B275" s="9"/>
      <c r="C275" s="9"/>
      <c r="D275" s="9"/>
      <c r="E275" s="13"/>
      <c r="F275" s="14" t="str">
        <f aca="false">IF(OR(A275="",B275=""),"",IF(MAX(N(E275),SUMPRODUCT(MAX(('Completion Log'!$B$5:$B$2004=A275)*('Completion Log'!$C$5:$C$2004=B275)*'Completion Log'!$A$5:$A$2004)))=0,"",MAX(N(E275),SUMPRODUCT(MAX(('Completion Log'!$B$5:$B$2004=A275)*('Completion Log'!$C$5:$C$2004=B275)*'Completion Log'!$A$5:$A$2004)))))</f>
        <v/>
      </c>
      <c r="G275" s="14" t="str">
        <f aca="true">IF(OR(A275="",B275="",C275=""),"",IF(F275="",TODAY(),F275+C275))</f>
        <v/>
      </c>
      <c r="H275" s="15" t="str">
        <f aca="true">IF(G275="","",G275-TODAY())</f>
        <v/>
      </c>
      <c r="I275" s="16" t="str">
        <f aca="false">IF(H275="","",IF(H275&lt;0,"OVERDUE",IF(H275&lt;=$I$2,"Due soon","OK")))</f>
        <v/>
      </c>
      <c r="J275" s="9"/>
    </row>
    <row r="276" customFormat="false" ht="15" hidden="false" customHeight="false" outlineLevel="0" collapsed="false">
      <c r="A276" s="9"/>
      <c r="B276" s="9"/>
      <c r="C276" s="9"/>
      <c r="D276" s="9"/>
      <c r="E276" s="13"/>
      <c r="F276" s="14" t="str">
        <f aca="false">IF(OR(A276="",B276=""),"",IF(MAX(N(E276),SUMPRODUCT(MAX(('Completion Log'!$B$5:$B$2004=A276)*('Completion Log'!$C$5:$C$2004=B276)*'Completion Log'!$A$5:$A$2004)))=0,"",MAX(N(E276),SUMPRODUCT(MAX(('Completion Log'!$B$5:$B$2004=A276)*('Completion Log'!$C$5:$C$2004=B276)*'Completion Log'!$A$5:$A$2004)))))</f>
        <v/>
      </c>
      <c r="G276" s="14" t="str">
        <f aca="true">IF(OR(A276="",B276="",C276=""),"",IF(F276="",TODAY(),F276+C276))</f>
        <v/>
      </c>
      <c r="H276" s="15" t="str">
        <f aca="true">IF(G276="","",G276-TODAY())</f>
        <v/>
      </c>
      <c r="I276" s="16" t="str">
        <f aca="false">IF(H276="","",IF(H276&lt;0,"OVERDUE",IF(H276&lt;=$I$2,"Due soon","OK")))</f>
        <v/>
      </c>
      <c r="J276" s="9"/>
    </row>
    <row r="277" customFormat="false" ht="15" hidden="false" customHeight="false" outlineLevel="0" collapsed="false">
      <c r="A277" s="9"/>
      <c r="B277" s="9"/>
      <c r="C277" s="9"/>
      <c r="D277" s="9"/>
      <c r="E277" s="13"/>
      <c r="F277" s="14" t="str">
        <f aca="false">IF(OR(A277="",B277=""),"",IF(MAX(N(E277),SUMPRODUCT(MAX(('Completion Log'!$B$5:$B$2004=A277)*('Completion Log'!$C$5:$C$2004=B277)*'Completion Log'!$A$5:$A$2004)))=0,"",MAX(N(E277),SUMPRODUCT(MAX(('Completion Log'!$B$5:$B$2004=A277)*('Completion Log'!$C$5:$C$2004=B277)*'Completion Log'!$A$5:$A$2004)))))</f>
        <v/>
      </c>
      <c r="G277" s="14" t="str">
        <f aca="true">IF(OR(A277="",B277="",C277=""),"",IF(F277="",TODAY(),F277+C277))</f>
        <v/>
      </c>
      <c r="H277" s="15" t="str">
        <f aca="true">IF(G277="","",G277-TODAY())</f>
        <v/>
      </c>
      <c r="I277" s="16" t="str">
        <f aca="false">IF(H277="","",IF(H277&lt;0,"OVERDUE",IF(H277&lt;=$I$2,"Due soon","OK")))</f>
        <v/>
      </c>
      <c r="J277" s="9"/>
    </row>
    <row r="278" customFormat="false" ht="15" hidden="false" customHeight="false" outlineLevel="0" collapsed="false">
      <c r="A278" s="9"/>
      <c r="B278" s="9"/>
      <c r="C278" s="9"/>
      <c r="D278" s="9"/>
      <c r="E278" s="13"/>
      <c r="F278" s="14" t="str">
        <f aca="false">IF(OR(A278="",B278=""),"",IF(MAX(N(E278),SUMPRODUCT(MAX(('Completion Log'!$B$5:$B$2004=A278)*('Completion Log'!$C$5:$C$2004=B278)*'Completion Log'!$A$5:$A$2004)))=0,"",MAX(N(E278),SUMPRODUCT(MAX(('Completion Log'!$B$5:$B$2004=A278)*('Completion Log'!$C$5:$C$2004=B278)*'Completion Log'!$A$5:$A$2004)))))</f>
        <v/>
      </c>
      <c r="G278" s="14" t="str">
        <f aca="true">IF(OR(A278="",B278="",C278=""),"",IF(F278="",TODAY(),F278+C278))</f>
        <v/>
      </c>
      <c r="H278" s="15" t="str">
        <f aca="true">IF(G278="","",G278-TODAY())</f>
        <v/>
      </c>
      <c r="I278" s="16" t="str">
        <f aca="false">IF(H278="","",IF(H278&lt;0,"OVERDUE",IF(H278&lt;=$I$2,"Due soon","OK")))</f>
        <v/>
      </c>
      <c r="J278" s="9"/>
    </row>
    <row r="279" customFormat="false" ht="15" hidden="false" customHeight="false" outlineLevel="0" collapsed="false">
      <c r="A279" s="9"/>
      <c r="B279" s="9"/>
      <c r="C279" s="9"/>
      <c r="D279" s="9"/>
      <c r="E279" s="13"/>
      <c r="F279" s="14" t="str">
        <f aca="false">IF(OR(A279="",B279=""),"",IF(MAX(N(E279),SUMPRODUCT(MAX(('Completion Log'!$B$5:$B$2004=A279)*('Completion Log'!$C$5:$C$2004=B279)*'Completion Log'!$A$5:$A$2004)))=0,"",MAX(N(E279),SUMPRODUCT(MAX(('Completion Log'!$B$5:$B$2004=A279)*('Completion Log'!$C$5:$C$2004=B279)*'Completion Log'!$A$5:$A$2004)))))</f>
        <v/>
      </c>
      <c r="G279" s="14" t="str">
        <f aca="true">IF(OR(A279="",B279="",C279=""),"",IF(F279="",TODAY(),F279+C279))</f>
        <v/>
      </c>
      <c r="H279" s="15" t="str">
        <f aca="true">IF(G279="","",G279-TODAY())</f>
        <v/>
      </c>
      <c r="I279" s="16" t="str">
        <f aca="false">IF(H279="","",IF(H279&lt;0,"OVERDUE",IF(H279&lt;=$I$2,"Due soon","OK")))</f>
        <v/>
      </c>
      <c r="J279" s="9"/>
    </row>
    <row r="280" customFormat="false" ht="15" hidden="false" customHeight="false" outlineLevel="0" collapsed="false">
      <c r="A280" s="9"/>
      <c r="B280" s="9"/>
      <c r="C280" s="9"/>
      <c r="D280" s="9"/>
      <c r="E280" s="13"/>
      <c r="F280" s="14" t="str">
        <f aca="false">IF(OR(A280="",B280=""),"",IF(MAX(N(E280),SUMPRODUCT(MAX(('Completion Log'!$B$5:$B$2004=A280)*('Completion Log'!$C$5:$C$2004=B280)*'Completion Log'!$A$5:$A$2004)))=0,"",MAX(N(E280),SUMPRODUCT(MAX(('Completion Log'!$B$5:$B$2004=A280)*('Completion Log'!$C$5:$C$2004=B280)*'Completion Log'!$A$5:$A$2004)))))</f>
        <v/>
      </c>
      <c r="G280" s="14" t="str">
        <f aca="true">IF(OR(A280="",B280="",C280=""),"",IF(F280="",TODAY(),F280+C280))</f>
        <v/>
      </c>
      <c r="H280" s="15" t="str">
        <f aca="true">IF(G280="","",G280-TODAY())</f>
        <v/>
      </c>
      <c r="I280" s="16" t="str">
        <f aca="false">IF(H280="","",IF(H280&lt;0,"OVERDUE",IF(H280&lt;=$I$2,"Due soon","OK")))</f>
        <v/>
      </c>
      <c r="J280" s="9"/>
    </row>
    <row r="281" customFormat="false" ht="15" hidden="false" customHeight="false" outlineLevel="0" collapsed="false">
      <c r="A281" s="9"/>
      <c r="B281" s="9"/>
      <c r="C281" s="9"/>
      <c r="D281" s="9"/>
      <c r="E281" s="13"/>
      <c r="F281" s="14" t="str">
        <f aca="false">IF(OR(A281="",B281=""),"",IF(MAX(N(E281),SUMPRODUCT(MAX(('Completion Log'!$B$5:$B$2004=A281)*('Completion Log'!$C$5:$C$2004=B281)*'Completion Log'!$A$5:$A$2004)))=0,"",MAX(N(E281),SUMPRODUCT(MAX(('Completion Log'!$B$5:$B$2004=A281)*('Completion Log'!$C$5:$C$2004=B281)*'Completion Log'!$A$5:$A$2004)))))</f>
        <v/>
      </c>
      <c r="G281" s="14" t="str">
        <f aca="true">IF(OR(A281="",B281="",C281=""),"",IF(F281="",TODAY(),F281+C281))</f>
        <v/>
      </c>
      <c r="H281" s="15" t="str">
        <f aca="true">IF(G281="","",G281-TODAY())</f>
        <v/>
      </c>
      <c r="I281" s="16" t="str">
        <f aca="false">IF(H281="","",IF(H281&lt;0,"OVERDUE",IF(H281&lt;=$I$2,"Due soon","OK")))</f>
        <v/>
      </c>
      <c r="J281" s="9"/>
    </row>
    <row r="282" customFormat="false" ht="15" hidden="false" customHeight="false" outlineLevel="0" collapsed="false">
      <c r="A282" s="9"/>
      <c r="B282" s="9"/>
      <c r="C282" s="9"/>
      <c r="D282" s="9"/>
      <c r="E282" s="13"/>
      <c r="F282" s="14" t="str">
        <f aca="false">IF(OR(A282="",B282=""),"",IF(MAX(N(E282),SUMPRODUCT(MAX(('Completion Log'!$B$5:$B$2004=A282)*('Completion Log'!$C$5:$C$2004=B282)*'Completion Log'!$A$5:$A$2004)))=0,"",MAX(N(E282),SUMPRODUCT(MAX(('Completion Log'!$B$5:$B$2004=A282)*('Completion Log'!$C$5:$C$2004=B282)*'Completion Log'!$A$5:$A$2004)))))</f>
        <v/>
      </c>
      <c r="G282" s="14" t="str">
        <f aca="true">IF(OR(A282="",B282="",C282=""),"",IF(F282="",TODAY(),F282+C282))</f>
        <v/>
      </c>
      <c r="H282" s="15" t="str">
        <f aca="true">IF(G282="","",G282-TODAY())</f>
        <v/>
      </c>
      <c r="I282" s="16" t="str">
        <f aca="false">IF(H282="","",IF(H282&lt;0,"OVERDUE",IF(H282&lt;=$I$2,"Due soon","OK")))</f>
        <v/>
      </c>
      <c r="J282" s="9"/>
    </row>
    <row r="283" customFormat="false" ht="15" hidden="false" customHeight="false" outlineLevel="0" collapsed="false">
      <c r="A283" s="9"/>
      <c r="B283" s="9"/>
      <c r="C283" s="9"/>
      <c r="D283" s="9"/>
      <c r="E283" s="13"/>
      <c r="F283" s="14" t="str">
        <f aca="false">IF(OR(A283="",B283=""),"",IF(MAX(N(E283),SUMPRODUCT(MAX(('Completion Log'!$B$5:$B$2004=A283)*('Completion Log'!$C$5:$C$2004=B283)*'Completion Log'!$A$5:$A$2004)))=0,"",MAX(N(E283),SUMPRODUCT(MAX(('Completion Log'!$B$5:$B$2004=A283)*('Completion Log'!$C$5:$C$2004=B283)*'Completion Log'!$A$5:$A$2004)))))</f>
        <v/>
      </c>
      <c r="G283" s="14" t="str">
        <f aca="true">IF(OR(A283="",B283="",C283=""),"",IF(F283="",TODAY(),F283+C283))</f>
        <v/>
      </c>
      <c r="H283" s="15" t="str">
        <f aca="true">IF(G283="","",G283-TODAY())</f>
        <v/>
      </c>
      <c r="I283" s="16" t="str">
        <f aca="false">IF(H283="","",IF(H283&lt;0,"OVERDUE",IF(H283&lt;=$I$2,"Due soon","OK")))</f>
        <v/>
      </c>
      <c r="J283" s="9"/>
    </row>
    <row r="284" customFormat="false" ht="15" hidden="false" customHeight="false" outlineLevel="0" collapsed="false">
      <c r="A284" s="9"/>
      <c r="B284" s="9"/>
      <c r="C284" s="9"/>
      <c r="D284" s="9"/>
      <c r="E284" s="13"/>
      <c r="F284" s="14" t="str">
        <f aca="false">IF(OR(A284="",B284=""),"",IF(MAX(N(E284),SUMPRODUCT(MAX(('Completion Log'!$B$5:$B$2004=A284)*('Completion Log'!$C$5:$C$2004=B284)*'Completion Log'!$A$5:$A$2004)))=0,"",MAX(N(E284),SUMPRODUCT(MAX(('Completion Log'!$B$5:$B$2004=A284)*('Completion Log'!$C$5:$C$2004=B284)*'Completion Log'!$A$5:$A$2004)))))</f>
        <v/>
      </c>
      <c r="G284" s="14" t="str">
        <f aca="true">IF(OR(A284="",B284="",C284=""),"",IF(F284="",TODAY(),F284+C284))</f>
        <v/>
      </c>
      <c r="H284" s="15" t="str">
        <f aca="true">IF(G284="","",G284-TODAY())</f>
        <v/>
      </c>
      <c r="I284" s="16" t="str">
        <f aca="false">IF(H284="","",IF(H284&lt;0,"OVERDUE",IF(H284&lt;=$I$2,"Due soon","OK")))</f>
        <v/>
      </c>
      <c r="J284" s="9"/>
    </row>
    <row r="285" customFormat="false" ht="15" hidden="false" customHeight="false" outlineLevel="0" collapsed="false">
      <c r="A285" s="9"/>
      <c r="B285" s="9"/>
      <c r="C285" s="9"/>
      <c r="D285" s="9"/>
      <c r="E285" s="13"/>
      <c r="F285" s="14" t="str">
        <f aca="false">IF(OR(A285="",B285=""),"",IF(MAX(N(E285),SUMPRODUCT(MAX(('Completion Log'!$B$5:$B$2004=A285)*('Completion Log'!$C$5:$C$2004=B285)*'Completion Log'!$A$5:$A$2004)))=0,"",MAX(N(E285),SUMPRODUCT(MAX(('Completion Log'!$B$5:$B$2004=A285)*('Completion Log'!$C$5:$C$2004=B285)*'Completion Log'!$A$5:$A$2004)))))</f>
        <v/>
      </c>
      <c r="G285" s="14" t="str">
        <f aca="true">IF(OR(A285="",B285="",C285=""),"",IF(F285="",TODAY(),F285+C285))</f>
        <v/>
      </c>
      <c r="H285" s="15" t="str">
        <f aca="true">IF(G285="","",G285-TODAY())</f>
        <v/>
      </c>
      <c r="I285" s="16" t="str">
        <f aca="false">IF(H285="","",IF(H285&lt;0,"OVERDUE",IF(H285&lt;=$I$2,"Due soon","OK")))</f>
        <v/>
      </c>
      <c r="J285" s="9"/>
    </row>
    <row r="286" customFormat="false" ht="15" hidden="false" customHeight="false" outlineLevel="0" collapsed="false">
      <c r="A286" s="9"/>
      <c r="B286" s="9"/>
      <c r="C286" s="9"/>
      <c r="D286" s="9"/>
      <c r="E286" s="13"/>
      <c r="F286" s="14" t="str">
        <f aca="false">IF(OR(A286="",B286=""),"",IF(MAX(N(E286),SUMPRODUCT(MAX(('Completion Log'!$B$5:$B$2004=A286)*('Completion Log'!$C$5:$C$2004=B286)*'Completion Log'!$A$5:$A$2004)))=0,"",MAX(N(E286),SUMPRODUCT(MAX(('Completion Log'!$B$5:$B$2004=A286)*('Completion Log'!$C$5:$C$2004=B286)*'Completion Log'!$A$5:$A$2004)))))</f>
        <v/>
      </c>
      <c r="G286" s="14" t="str">
        <f aca="true">IF(OR(A286="",B286="",C286=""),"",IF(F286="",TODAY(),F286+C286))</f>
        <v/>
      </c>
      <c r="H286" s="15" t="str">
        <f aca="true">IF(G286="","",G286-TODAY())</f>
        <v/>
      </c>
      <c r="I286" s="16" t="str">
        <f aca="false">IF(H286="","",IF(H286&lt;0,"OVERDUE",IF(H286&lt;=$I$2,"Due soon","OK")))</f>
        <v/>
      </c>
      <c r="J286" s="9"/>
    </row>
    <row r="287" customFormat="false" ht="15" hidden="false" customHeight="false" outlineLevel="0" collapsed="false">
      <c r="A287" s="9"/>
      <c r="B287" s="9"/>
      <c r="C287" s="9"/>
      <c r="D287" s="9"/>
      <c r="E287" s="13"/>
      <c r="F287" s="14" t="str">
        <f aca="false">IF(OR(A287="",B287=""),"",IF(MAX(N(E287),SUMPRODUCT(MAX(('Completion Log'!$B$5:$B$2004=A287)*('Completion Log'!$C$5:$C$2004=B287)*'Completion Log'!$A$5:$A$2004)))=0,"",MAX(N(E287),SUMPRODUCT(MAX(('Completion Log'!$B$5:$B$2004=A287)*('Completion Log'!$C$5:$C$2004=B287)*'Completion Log'!$A$5:$A$2004)))))</f>
        <v/>
      </c>
      <c r="G287" s="14" t="str">
        <f aca="true">IF(OR(A287="",B287="",C287=""),"",IF(F287="",TODAY(),F287+C287))</f>
        <v/>
      </c>
      <c r="H287" s="15" t="str">
        <f aca="true">IF(G287="","",G287-TODAY())</f>
        <v/>
      </c>
      <c r="I287" s="16" t="str">
        <f aca="false">IF(H287="","",IF(H287&lt;0,"OVERDUE",IF(H287&lt;=$I$2,"Due soon","OK")))</f>
        <v/>
      </c>
      <c r="J287" s="9"/>
    </row>
    <row r="288" customFormat="false" ht="15" hidden="false" customHeight="false" outlineLevel="0" collapsed="false">
      <c r="A288" s="9"/>
      <c r="B288" s="9"/>
      <c r="C288" s="9"/>
      <c r="D288" s="9"/>
      <c r="E288" s="13"/>
      <c r="F288" s="14" t="str">
        <f aca="false">IF(OR(A288="",B288=""),"",IF(MAX(N(E288),SUMPRODUCT(MAX(('Completion Log'!$B$5:$B$2004=A288)*('Completion Log'!$C$5:$C$2004=B288)*'Completion Log'!$A$5:$A$2004)))=0,"",MAX(N(E288),SUMPRODUCT(MAX(('Completion Log'!$B$5:$B$2004=A288)*('Completion Log'!$C$5:$C$2004=B288)*'Completion Log'!$A$5:$A$2004)))))</f>
        <v/>
      </c>
      <c r="G288" s="14" t="str">
        <f aca="true">IF(OR(A288="",B288="",C288=""),"",IF(F288="",TODAY(),F288+C288))</f>
        <v/>
      </c>
      <c r="H288" s="15" t="str">
        <f aca="true">IF(G288="","",G288-TODAY())</f>
        <v/>
      </c>
      <c r="I288" s="16" t="str">
        <f aca="false">IF(H288="","",IF(H288&lt;0,"OVERDUE",IF(H288&lt;=$I$2,"Due soon","OK")))</f>
        <v/>
      </c>
      <c r="J288" s="9"/>
    </row>
    <row r="289" customFormat="false" ht="15" hidden="false" customHeight="false" outlineLevel="0" collapsed="false">
      <c r="A289" s="9"/>
      <c r="B289" s="9"/>
      <c r="C289" s="9"/>
      <c r="D289" s="9"/>
      <c r="E289" s="13"/>
      <c r="F289" s="14" t="str">
        <f aca="false">IF(OR(A289="",B289=""),"",IF(MAX(N(E289),SUMPRODUCT(MAX(('Completion Log'!$B$5:$B$2004=A289)*('Completion Log'!$C$5:$C$2004=B289)*'Completion Log'!$A$5:$A$2004)))=0,"",MAX(N(E289),SUMPRODUCT(MAX(('Completion Log'!$B$5:$B$2004=A289)*('Completion Log'!$C$5:$C$2004=B289)*'Completion Log'!$A$5:$A$2004)))))</f>
        <v/>
      </c>
      <c r="G289" s="14" t="str">
        <f aca="true">IF(OR(A289="",B289="",C289=""),"",IF(F289="",TODAY(),F289+C289))</f>
        <v/>
      </c>
      <c r="H289" s="15" t="str">
        <f aca="true">IF(G289="","",G289-TODAY())</f>
        <v/>
      </c>
      <c r="I289" s="16" t="str">
        <f aca="false">IF(H289="","",IF(H289&lt;0,"OVERDUE",IF(H289&lt;=$I$2,"Due soon","OK")))</f>
        <v/>
      </c>
      <c r="J289" s="9"/>
    </row>
    <row r="290" customFormat="false" ht="15" hidden="false" customHeight="false" outlineLevel="0" collapsed="false">
      <c r="A290" s="9"/>
      <c r="B290" s="9"/>
      <c r="C290" s="9"/>
      <c r="D290" s="9"/>
      <c r="E290" s="13"/>
      <c r="F290" s="14" t="str">
        <f aca="false">IF(OR(A290="",B290=""),"",IF(MAX(N(E290),SUMPRODUCT(MAX(('Completion Log'!$B$5:$B$2004=A290)*('Completion Log'!$C$5:$C$2004=B290)*'Completion Log'!$A$5:$A$2004)))=0,"",MAX(N(E290),SUMPRODUCT(MAX(('Completion Log'!$B$5:$B$2004=A290)*('Completion Log'!$C$5:$C$2004=B290)*'Completion Log'!$A$5:$A$2004)))))</f>
        <v/>
      </c>
      <c r="G290" s="14" t="str">
        <f aca="true">IF(OR(A290="",B290="",C290=""),"",IF(F290="",TODAY(),F290+C290))</f>
        <v/>
      </c>
      <c r="H290" s="15" t="str">
        <f aca="true">IF(G290="","",G290-TODAY())</f>
        <v/>
      </c>
      <c r="I290" s="16" t="str">
        <f aca="false">IF(H290="","",IF(H290&lt;0,"OVERDUE",IF(H290&lt;=$I$2,"Due soon","OK")))</f>
        <v/>
      </c>
      <c r="J290" s="9"/>
    </row>
    <row r="291" customFormat="false" ht="15" hidden="false" customHeight="false" outlineLevel="0" collapsed="false">
      <c r="A291" s="9"/>
      <c r="B291" s="9"/>
      <c r="C291" s="9"/>
      <c r="D291" s="9"/>
      <c r="E291" s="13"/>
      <c r="F291" s="14" t="str">
        <f aca="false">IF(OR(A291="",B291=""),"",IF(MAX(N(E291),SUMPRODUCT(MAX(('Completion Log'!$B$5:$B$2004=A291)*('Completion Log'!$C$5:$C$2004=B291)*'Completion Log'!$A$5:$A$2004)))=0,"",MAX(N(E291),SUMPRODUCT(MAX(('Completion Log'!$B$5:$B$2004=A291)*('Completion Log'!$C$5:$C$2004=B291)*'Completion Log'!$A$5:$A$2004)))))</f>
        <v/>
      </c>
      <c r="G291" s="14" t="str">
        <f aca="true">IF(OR(A291="",B291="",C291=""),"",IF(F291="",TODAY(),F291+C291))</f>
        <v/>
      </c>
      <c r="H291" s="15" t="str">
        <f aca="true">IF(G291="","",G291-TODAY())</f>
        <v/>
      </c>
      <c r="I291" s="16" t="str">
        <f aca="false">IF(H291="","",IF(H291&lt;0,"OVERDUE",IF(H291&lt;=$I$2,"Due soon","OK")))</f>
        <v/>
      </c>
      <c r="J291" s="9"/>
    </row>
    <row r="292" customFormat="false" ht="15" hidden="false" customHeight="false" outlineLevel="0" collapsed="false">
      <c r="A292" s="9"/>
      <c r="B292" s="9"/>
      <c r="C292" s="9"/>
      <c r="D292" s="9"/>
      <c r="E292" s="13"/>
      <c r="F292" s="14" t="str">
        <f aca="false">IF(OR(A292="",B292=""),"",IF(MAX(N(E292),SUMPRODUCT(MAX(('Completion Log'!$B$5:$B$2004=A292)*('Completion Log'!$C$5:$C$2004=B292)*'Completion Log'!$A$5:$A$2004)))=0,"",MAX(N(E292),SUMPRODUCT(MAX(('Completion Log'!$B$5:$B$2004=A292)*('Completion Log'!$C$5:$C$2004=B292)*'Completion Log'!$A$5:$A$2004)))))</f>
        <v/>
      </c>
      <c r="G292" s="14" t="str">
        <f aca="true">IF(OR(A292="",B292="",C292=""),"",IF(F292="",TODAY(),F292+C292))</f>
        <v/>
      </c>
      <c r="H292" s="15" t="str">
        <f aca="true">IF(G292="","",G292-TODAY())</f>
        <v/>
      </c>
      <c r="I292" s="16" t="str">
        <f aca="false">IF(H292="","",IF(H292&lt;0,"OVERDUE",IF(H292&lt;=$I$2,"Due soon","OK")))</f>
        <v/>
      </c>
      <c r="J292" s="9"/>
    </row>
    <row r="293" customFormat="false" ht="15" hidden="false" customHeight="false" outlineLevel="0" collapsed="false">
      <c r="A293" s="9"/>
      <c r="B293" s="9"/>
      <c r="C293" s="9"/>
      <c r="D293" s="9"/>
      <c r="E293" s="13"/>
      <c r="F293" s="14" t="str">
        <f aca="false">IF(OR(A293="",B293=""),"",IF(MAX(N(E293),SUMPRODUCT(MAX(('Completion Log'!$B$5:$B$2004=A293)*('Completion Log'!$C$5:$C$2004=B293)*'Completion Log'!$A$5:$A$2004)))=0,"",MAX(N(E293),SUMPRODUCT(MAX(('Completion Log'!$B$5:$B$2004=A293)*('Completion Log'!$C$5:$C$2004=B293)*'Completion Log'!$A$5:$A$2004)))))</f>
        <v/>
      </c>
      <c r="G293" s="14" t="str">
        <f aca="true">IF(OR(A293="",B293="",C293=""),"",IF(F293="",TODAY(),F293+C293))</f>
        <v/>
      </c>
      <c r="H293" s="15" t="str">
        <f aca="true">IF(G293="","",G293-TODAY())</f>
        <v/>
      </c>
      <c r="I293" s="16" t="str">
        <f aca="false">IF(H293="","",IF(H293&lt;0,"OVERDUE",IF(H293&lt;=$I$2,"Due soon","OK")))</f>
        <v/>
      </c>
      <c r="J293" s="9"/>
    </row>
    <row r="294" customFormat="false" ht="15" hidden="false" customHeight="false" outlineLevel="0" collapsed="false">
      <c r="A294" s="9"/>
      <c r="B294" s="9"/>
      <c r="C294" s="9"/>
      <c r="D294" s="9"/>
      <c r="E294" s="13"/>
      <c r="F294" s="14" t="str">
        <f aca="false">IF(OR(A294="",B294=""),"",IF(MAX(N(E294),SUMPRODUCT(MAX(('Completion Log'!$B$5:$B$2004=A294)*('Completion Log'!$C$5:$C$2004=B294)*'Completion Log'!$A$5:$A$2004)))=0,"",MAX(N(E294),SUMPRODUCT(MAX(('Completion Log'!$B$5:$B$2004=A294)*('Completion Log'!$C$5:$C$2004=B294)*'Completion Log'!$A$5:$A$2004)))))</f>
        <v/>
      </c>
      <c r="G294" s="14" t="str">
        <f aca="true">IF(OR(A294="",B294="",C294=""),"",IF(F294="",TODAY(),F294+C294))</f>
        <v/>
      </c>
      <c r="H294" s="15" t="str">
        <f aca="true">IF(G294="","",G294-TODAY())</f>
        <v/>
      </c>
      <c r="I294" s="16" t="str">
        <f aca="false">IF(H294="","",IF(H294&lt;0,"OVERDUE",IF(H294&lt;=$I$2,"Due soon","OK")))</f>
        <v/>
      </c>
      <c r="J294" s="9"/>
    </row>
    <row r="295" customFormat="false" ht="15" hidden="false" customHeight="false" outlineLevel="0" collapsed="false">
      <c r="A295" s="9"/>
      <c r="B295" s="9"/>
      <c r="C295" s="9"/>
      <c r="D295" s="9"/>
      <c r="E295" s="13"/>
      <c r="F295" s="14" t="str">
        <f aca="false">IF(OR(A295="",B295=""),"",IF(MAX(N(E295),SUMPRODUCT(MAX(('Completion Log'!$B$5:$B$2004=A295)*('Completion Log'!$C$5:$C$2004=B295)*'Completion Log'!$A$5:$A$2004)))=0,"",MAX(N(E295),SUMPRODUCT(MAX(('Completion Log'!$B$5:$B$2004=A295)*('Completion Log'!$C$5:$C$2004=B295)*'Completion Log'!$A$5:$A$2004)))))</f>
        <v/>
      </c>
      <c r="G295" s="14" t="str">
        <f aca="true">IF(OR(A295="",B295="",C295=""),"",IF(F295="",TODAY(),F295+C295))</f>
        <v/>
      </c>
      <c r="H295" s="15" t="str">
        <f aca="true">IF(G295="","",G295-TODAY())</f>
        <v/>
      </c>
      <c r="I295" s="16" t="str">
        <f aca="false">IF(H295="","",IF(H295&lt;0,"OVERDUE",IF(H295&lt;=$I$2,"Due soon","OK")))</f>
        <v/>
      </c>
      <c r="J295" s="9"/>
    </row>
    <row r="296" customFormat="false" ht="15" hidden="false" customHeight="false" outlineLevel="0" collapsed="false">
      <c r="A296" s="9"/>
      <c r="B296" s="9"/>
      <c r="C296" s="9"/>
      <c r="D296" s="9"/>
      <c r="E296" s="13"/>
      <c r="F296" s="14" t="str">
        <f aca="false">IF(OR(A296="",B296=""),"",IF(MAX(N(E296),SUMPRODUCT(MAX(('Completion Log'!$B$5:$B$2004=A296)*('Completion Log'!$C$5:$C$2004=B296)*'Completion Log'!$A$5:$A$2004)))=0,"",MAX(N(E296),SUMPRODUCT(MAX(('Completion Log'!$B$5:$B$2004=A296)*('Completion Log'!$C$5:$C$2004=B296)*'Completion Log'!$A$5:$A$2004)))))</f>
        <v/>
      </c>
      <c r="G296" s="14" t="str">
        <f aca="true">IF(OR(A296="",B296="",C296=""),"",IF(F296="",TODAY(),F296+C296))</f>
        <v/>
      </c>
      <c r="H296" s="15" t="str">
        <f aca="true">IF(G296="","",G296-TODAY())</f>
        <v/>
      </c>
      <c r="I296" s="16" t="str">
        <f aca="false">IF(H296="","",IF(H296&lt;0,"OVERDUE",IF(H296&lt;=$I$2,"Due soon","OK")))</f>
        <v/>
      </c>
      <c r="J296" s="9"/>
    </row>
    <row r="297" customFormat="false" ht="15" hidden="false" customHeight="false" outlineLevel="0" collapsed="false">
      <c r="A297" s="9"/>
      <c r="B297" s="9"/>
      <c r="C297" s="9"/>
      <c r="D297" s="9"/>
      <c r="E297" s="13"/>
      <c r="F297" s="14" t="str">
        <f aca="false">IF(OR(A297="",B297=""),"",IF(MAX(N(E297),SUMPRODUCT(MAX(('Completion Log'!$B$5:$B$2004=A297)*('Completion Log'!$C$5:$C$2004=B297)*'Completion Log'!$A$5:$A$2004)))=0,"",MAX(N(E297),SUMPRODUCT(MAX(('Completion Log'!$B$5:$B$2004=A297)*('Completion Log'!$C$5:$C$2004=B297)*'Completion Log'!$A$5:$A$2004)))))</f>
        <v/>
      </c>
      <c r="G297" s="14" t="str">
        <f aca="true">IF(OR(A297="",B297="",C297=""),"",IF(F297="",TODAY(),F297+C297))</f>
        <v/>
      </c>
      <c r="H297" s="15" t="str">
        <f aca="true">IF(G297="","",G297-TODAY())</f>
        <v/>
      </c>
      <c r="I297" s="16" t="str">
        <f aca="false">IF(H297="","",IF(H297&lt;0,"OVERDUE",IF(H297&lt;=$I$2,"Due soon","OK")))</f>
        <v/>
      </c>
      <c r="J297" s="9"/>
    </row>
    <row r="298" customFormat="false" ht="15" hidden="false" customHeight="false" outlineLevel="0" collapsed="false">
      <c r="A298" s="9"/>
      <c r="B298" s="9"/>
      <c r="C298" s="9"/>
      <c r="D298" s="9"/>
      <c r="E298" s="13"/>
      <c r="F298" s="14" t="str">
        <f aca="false">IF(OR(A298="",B298=""),"",IF(MAX(N(E298),SUMPRODUCT(MAX(('Completion Log'!$B$5:$B$2004=A298)*('Completion Log'!$C$5:$C$2004=B298)*'Completion Log'!$A$5:$A$2004)))=0,"",MAX(N(E298),SUMPRODUCT(MAX(('Completion Log'!$B$5:$B$2004=A298)*('Completion Log'!$C$5:$C$2004=B298)*'Completion Log'!$A$5:$A$2004)))))</f>
        <v/>
      </c>
      <c r="G298" s="14" t="str">
        <f aca="true">IF(OR(A298="",B298="",C298=""),"",IF(F298="",TODAY(),F298+C298))</f>
        <v/>
      </c>
      <c r="H298" s="15" t="str">
        <f aca="true">IF(G298="","",G298-TODAY())</f>
        <v/>
      </c>
      <c r="I298" s="16" t="str">
        <f aca="false">IF(H298="","",IF(H298&lt;0,"OVERDUE",IF(H298&lt;=$I$2,"Due soon","OK")))</f>
        <v/>
      </c>
      <c r="J298" s="9"/>
    </row>
    <row r="299" customFormat="false" ht="15" hidden="false" customHeight="false" outlineLevel="0" collapsed="false">
      <c r="A299" s="9"/>
      <c r="B299" s="9"/>
      <c r="C299" s="9"/>
      <c r="D299" s="9"/>
      <c r="E299" s="13"/>
      <c r="F299" s="14" t="str">
        <f aca="false">IF(OR(A299="",B299=""),"",IF(MAX(N(E299),SUMPRODUCT(MAX(('Completion Log'!$B$5:$B$2004=A299)*('Completion Log'!$C$5:$C$2004=B299)*'Completion Log'!$A$5:$A$2004)))=0,"",MAX(N(E299),SUMPRODUCT(MAX(('Completion Log'!$B$5:$B$2004=A299)*('Completion Log'!$C$5:$C$2004=B299)*'Completion Log'!$A$5:$A$2004)))))</f>
        <v/>
      </c>
      <c r="G299" s="14" t="str">
        <f aca="true">IF(OR(A299="",B299="",C299=""),"",IF(F299="",TODAY(),F299+C299))</f>
        <v/>
      </c>
      <c r="H299" s="15" t="str">
        <f aca="true">IF(G299="","",G299-TODAY())</f>
        <v/>
      </c>
      <c r="I299" s="16" t="str">
        <f aca="false">IF(H299="","",IF(H299&lt;0,"OVERDUE",IF(H299&lt;=$I$2,"Due soon","OK")))</f>
        <v/>
      </c>
      <c r="J299" s="9"/>
    </row>
    <row r="300" customFormat="false" ht="15" hidden="false" customHeight="false" outlineLevel="0" collapsed="false">
      <c r="A300" s="9"/>
      <c r="B300" s="9"/>
      <c r="C300" s="9"/>
      <c r="D300" s="9"/>
      <c r="E300" s="13"/>
      <c r="F300" s="14" t="str">
        <f aca="false">IF(OR(A300="",B300=""),"",IF(MAX(N(E300),SUMPRODUCT(MAX(('Completion Log'!$B$5:$B$2004=A300)*('Completion Log'!$C$5:$C$2004=B300)*'Completion Log'!$A$5:$A$2004)))=0,"",MAX(N(E300),SUMPRODUCT(MAX(('Completion Log'!$B$5:$B$2004=A300)*('Completion Log'!$C$5:$C$2004=B300)*'Completion Log'!$A$5:$A$2004)))))</f>
        <v/>
      </c>
      <c r="G300" s="14" t="str">
        <f aca="true">IF(OR(A300="",B300="",C300=""),"",IF(F300="",TODAY(),F300+C300))</f>
        <v/>
      </c>
      <c r="H300" s="15" t="str">
        <f aca="true">IF(G300="","",G300-TODAY())</f>
        <v/>
      </c>
      <c r="I300" s="16" t="str">
        <f aca="false">IF(H300="","",IF(H300&lt;0,"OVERDUE",IF(H300&lt;=$I$2,"Due soon","OK")))</f>
        <v/>
      </c>
      <c r="J300" s="9"/>
    </row>
    <row r="301" customFormat="false" ht="15" hidden="false" customHeight="false" outlineLevel="0" collapsed="false">
      <c r="A301" s="9"/>
      <c r="B301" s="9"/>
      <c r="C301" s="9"/>
      <c r="D301" s="9"/>
      <c r="E301" s="13"/>
      <c r="F301" s="14" t="str">
        <f aca="false">IF(OR(A301="",B301=""),"",IF(MAX(N(E301),SUMPRODUCT(MAX(('Completion Log'!$B$5:$B$2004=A301)*('Completion Log'!$C$5:$C$2004=B301)*'Completion Log'!$A$5:$A$2004)))=0,"",MAX(N(E301),SUMPRODUCT(MAX(('Completion Log'!$B$5:$B$2004=A301)*('Completion Log'!$C$5:$C$2004=B301)*'Completion Log'!$A$5:$A$2004)))))</f>
        <v/>
      </c>
      <c r="G301" s="14" t="str">
        <f aca="true">IF(OR(A301="",B301="",C301=""),"",IF(F301="",TODAY(),F301+C301))</f>
        <v/>
      </c>
      <c r="H301" s="15" t="str">
        <f aca="true">IF(G301="","",G301-TODAY())</f>
        <v/>
      </c>
      <c r="I301" s="16" t="str">
        <f aca="false">IF(H301="","",IF(H301&lt;0,"OVERDUE",IF(H301&lt;=$I$2,"Due soon","OK")))</f>
        <v/>
      </c>
      <c r="J301" s="9"/>
    </row>
    <row r="302" customFormat="false" ht="15" hidden="false" customHeight="false" outlineLevel="0" collapsed="false">
      <c r="A302" s="9"/>
      <c r="B302" s="9"/>
      <c r="C302" s="9"/>
      <c r="D302" s="9"/>
      <c r="E302" s="13"/>
      <c r="F302" s="14" t="str">
        <f aca="false">IF(OR(A302="",B302=""),"",IF(MAX(N(E302),SUMPRODUCT(MAX(('Completion Log'!$B$5:$B$2004=A302)*('Completion Log'!$C$5:$C$2004=B302)*'Completion Log'!$A$5:$A$2004)))=0,"",MAX(N(E302),SUMPRODUCT(MAX(('Completion Log'!$B$5:$B$2004=A302)*('Completion Log'!$C$5:$C$2004=B302)*'Completion Log'!$A$5:$A$2004)))))</f>
        <v/>
      </c>
      <c r="G302" s="14" t="str">
        <f aca="true">IF(OR(A302="",B302="",C302=""),"",IF(F302="",TODAY(),F302+C302))</f>
        <v/>
      </c>
      <c r="H302" s="15" t="str">
        <f aca="true">IF(G302="","",G302-TODAY())</f>
        <v/>
      </c>
      <c r="I302" s="16" t="str">
        <f aca="false">IF(H302="","",IF(H302&lt;0,"OVERDUE",IF(H302&lt;=$I$2,"Due soon","OK")))</f>
        <v/>
      </c>
      <c r="J302" s="9"/>
    </row>
    <row r="303" customFormat="false" ht="15" hidden="false" customHeight="false" outlineLevel="0" collapsed="false">
      <c r="A303" s="9"/>
      <c r="B303" s="9"/>
      <c r="C303" s="9"/>
      <c r="D303" s="9"/>
      <c r="E303" s="13"/>
      <c r="F303" s="14" t="str">
        <f aca="false">IF(OR(A303="",B303=""),"",IF(MAX(N(E303),SUMPRODUCT(MAX(('Completion Log'!$B$5:$B$2004=A303)*('Completion Log'!$C$5:$C$2004=B303)*'Completion Log'!$A$5:$A$2004)))=0,"",MAX(N(E303),SUMPRODUCT(MAX(('Completion Log'!$B$5:$B$2004=A303)*('Completion Log'!$C$5:$C$2004=B303)*'Completion Log'!$A$5:$A$2004)))))</f>
        <v/>
      </c>
      <c r="G303" s="14" t="str">
        <f aca="true">IF(OR(A303="",B303="",C303=""),"",IF(F303="",TODAY(),F303+C303))</f>
        <v/>
      </c>
      <c r="H303" s="15" t="str">
        <f aca="true">IF(G303="","",G303-TODAY())</f>
        <v/>
      </c>
      <c r="I303" s="16" t="str">
        <f aca="false">IF(H303="","",IF(H303&lt;0,"OVERDUE",IF(H303&lt;=$I$2,"Due soon","OK")))</f>
        <v/>
      </c>
      <c r="J303" s="9"/>
    </row>
    <row r="304" customFormat="false" ht="15" hidden="false" customHeight="false" outlineLevel="0" collapsed="false">
      <c r="A304" s="9"/>
      <c r="B304" s="9"/>
      <c r="C304" s="9"/>
      <c r="D304" s="9"/>
      <c r="E304" s="13"/>
      <c r="F304" s="14" t="str">
        <f aca="false">IF(OR(A304="",B304=""),"",IF(MAX(N(E304),SUMPRODUCT(MAX(('Completion Log'!$B$5:$B$2004=A304)*('Completion Log'!$C$5:$C$2004=B304)*'Completion Log'!$A$5:$A$2004)))=0,"",MAX(N(E304),SUMPRODUCT(MAX(('Completion Log'!$B$5:$B$2004=A304)*('Completion Log'!$C$5:$C$2004=B304)*'Completion Log'!$A$5:$A$2004)))))</f>
        <v/>
      </c>
      <c r="G304" s="14" t="str">
        <f aca="true">IF(OR(A304="",B304="",C304=""),"",IF(F304="",TODAY(),F304+C304))</f>
        <v/>
      </c>
      <c r="H304" s="15" t="str">
        <f aca="true">IF(G304="","",G304-TODAY())</f>
        <v/>
      </c>
      <c r="I304" s="16" t="str">
        <f aca="false">IF(H304="","",IF(H304&lt;0,"OVERDUE",IF(H304&lt;=$I$2,"Due soon","OK")))</f>
        <v/>
      </c>
      <c r="J304" s="9"/>
    </row>
  </sheetData>
  <mergeCells count="1">
    <mergeCell ref="G2:H2"/>
  </mergeCells>
  <conditionalFormatting sqref="I5:I304">
    <cfRule type="expression" priority="2" aboveAverage="0" equalAverage="0" bottom="0" percent="0" rank="0" text="" dxfId="0">
      <formula>I5="OVERDUE"</formula>
    </cfRule>
    <cfRule type="expression" priority="3" aboveAverage="0" equalAverage="0" bottom="0" percent="0" rank="0" text="" dxfId="1">
      <formula>I5="Due soon"</formula>
    </cfRule>
    <cfRule type="expression" priority="4" aboveAverage="0" equalAverage="0" bottom="0" percent="0" rank="0" text="" dxfId="2">
      <formula>I5="OK"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34"/>
    <col collapsed="false" customWidth="true" hidden="false" outlineLevel="0" max="4" min="4" style="0" width="16"/>
    <col collapsed="false" customWidth="true" hidden="false" outlineLevel="0" max="5" min="5" style="0" width="34"/>
    <col collapsed="false" customWidth="true" hidden="false" outlineLevel="0" max="6" min="6" style="0" width="26"/>
  </cols>
  <sheetData>
    <row r="1" customFormat="false" ht="19.7" hidden="false" customHeight="false" outlineLevel="0" collapsed="false">
      <c r="A1" s="1" t="s">
        <v>45</v>
      </c>
    </row>
    <row r="2" customFormat="false" ht="15" hidden="false" customHeight="false" outlineLevel="0" collapsed="false">
      <c r="A2" s="2" t="s">
        <v>46</v>
      </c>
    </row>
    <row r="4" customFormat="false" ht="31.5" hidden="false" customHeight="true" outlineLevel="0" collapsed="false">
      <c r="A4" s="12" t="s">
        <v>47</v>
      </c>
      <c r="B4" s="12" t="s">
        <v>22</v>
      </c>
      <c r="C4" s="12" t="s">
        <v>23</v>
      </c>
      <c r="D4" s="12" t="s">
        <v>48</v>
      </c>
      <c r="E4" s="12" t="s">
        <v>31</v>
      </c>
      <c r="F4" s="12" t="s">
        <v>49</v>
      </c>
    </row>
    <row r="5" customFormat="false" ht="15" hidden="false" customHeight="false" outlineLevel="0" collapsed="false">
      <c r="A5" s="13" t="n">
        <f aca="true">TODAY()-2</f>
        <v>46303</v>
      </c>
      <c r="B5" s="9" t="s">
        <v>41</v>
      </c>
      <c r="C5" s="9" t="s">
        <v>42</v>
      </c>
      <c r="D5" s="9" t="s">
        <v>50</v>
      </c>
      <c r="E5" s="9" t="s">
        <v>35</v>
      </c>
      <c r="F5" s="16" t="str">
        <f aca="false">IF(B5="","",IF(COUNTIFS('PM Plan'!$A$5:$A$304,B5,'PM Plan'!$B$5:$B$304,C5)&gt;0,"OK","No matching asset + task in plan"))</f>
        <v>OK</v>
      </c>
    </row>
    <row r="6" customFormat="false" ht="15" hidden="false" customHeight="false" outlineLevel="0" collapsed="false">
      <c r="A6" s="13"/>
      <c r="B6" s="9"/>
      <c r="C6" s="9"/>
      <c r="D6" s="9"/>
      <c r="E6" s="9"/>
      <c r="F6" s="16" t="str">
        <f aca="false">IF(B6="","",IF(COUNTIFS('PM Plan'!$A$5:$A$304,B6,'PM Plan'!$B$5:$B$304,C6)&gt;0,"OK","No matching asset + task in plan"))</f>
        <v/>
      </c>
    </row>
    <row r="7" customFormat="false" ht="15" hidden="false" customHeight="false" outlineLevel="0" collapsed="false">
      <c r="A7" s="13"/>
      <c r="B7" s="9"/>
      <c r="C7" s="9"/>
      <c r="D7" s="9"/>
      <c r="E7" s="9"/>
      <c r="F7" s="16" t="str">
        <f aca="false">IF(B7="","",IF(COUNTIFS('PM Plan'!$A$5:$A$304,B7,'PM Plan'!$B$5:$B$304,C7)&gt;0,"OK","No matching asset + task in plan"))</f>
        <v/>
      </c>
    </row>
    <row r="8" customFormat="false" ht="15" hidden="false" customHeight="false" outlineLevel="0" collapsed="false">
      <c r="A8" s="13"/>
      <c r="B8" s="9"/>
      <c r="C8" s="9"/>
      <c r="D8" s="9"/>
      <c r="E8" s="9"/>
      <c r="F8" s="16" t="str">
        <f aca="false">IF(B8="","",IF(COUNTIFS('PM Plan'!$A$5:$A$304,B8,'PM Plan'!$B$5:$B$304,C8)&gt;0,"OK","No matching asset + task in plan"))</f>
        <v/>
      </c>
    </row>
    <row r="9" customFormat="false" ht="15" hidden="false" customHeight="false" outlineLevel="0" collapsed="false">
      <c r="A9" s="13"/>
      <c r="B9" s="9"/>
      <c r="C9" s="9"/>
      <c r="D9" s="9"/>
      <c r="E9" s="9"/>
      <c r="F9" s="16" t="str">
        <f aca="false">IF(B9="","",IF(COUNTIFS('PM Plan'!$A$5:$A$304,B9,'PM Plan'!$B$5:$B$304,C9)&gt;0,"OK","No matching asset + task in plan"))</f>
        <v/>
      </c>
    </row>
    <row r="10" customFormat="false" ht="15" hidden="false" customHeight="false" outlineLevel="0" collapsed="false">
      <c r="A10" s="13"/>
      <c r="B10" s="9"/>
      <c r="C10" s="9"/>
      <c r="D10" s="9"/>
      <c r="E10" s="9"/>
      <c r="F10" s="16" t="str">
        <f aca="false">IF(B10="","",IF(COUNTIFS('PM Plan'!$A$5:$A$304,B10,'PM Plan'!$B$5:$B$304,C10)&gt;0,"OK","No matching asset + task in plan"))</f>
        <v/>
      </c>
    </row>
    <row r="11" customFormat="false" ht="15" hidden="false" customHeight="false" outlineLevel="0" collapsed="false">
      <c r="A11" s="13"/>
      <c r="B11" s="9"/>
      <c r="C11" s="9"/>
      <c r="D11" s="9"/>
      <c r="E11" s="9"/>
      <c r="F11" s="16" t="str">
        <f aca="false">IF(B11="","",IF(COUNTIFS('PM Plan'!$A$5:$A$304,B11,'PM Plan'!$B$5:$B$304,C11)&gt;0,"OK","No matching asset + task in plan"))</f>
        <v/>
      </c>
    </row>
    <row r="12" customFormat="false" ht="15" hidden="false" customHeight="false" outlineLevel="0" collapsed="false">
      <c r="A12" s="13"/>
      <c r="B12" s="9"/>
      <c r="C12" s="9"/>
      <c r="D12" s="9"/>
      <c r="E12" s="9"/>
      <c r="F12" s="16" t="str">
        <f aca="false">IF(B12="","",IF(COUNTIFS('PM Plan'!$A$5:$A$304,B12,'PM Plan'!$B$5:$B$304,C12)&gt;0,"OK","No matching asset + task in plan"))</f>
        <v/>
      </c>
    </row>
    <row r="13" customFormat="false" ht="15" hidden="false" customHeight="false" outlineLevel="0" collapsed="false">
      <c r="A13" s="13"/>
      <c r="B13" s="9"/>
      <c r="C13" s="9"/>
      <c r="D13" s="9"/>
      <c r="E13" s="9"/>
      <c r="F13" s="16" t="str">
        <f aca="false">IF(B13="","",IF(COUNTIFS('PM Plan'!$A$5:$A$304,B13,'PM Plan'!$B$5:$B$304,C13)&gt;0,"OK","No matching asset + task in plan"))</f>
        <v/>
      </c>
    </row>
    <row r="14" customFormat="false" ht="15" hidden="false" customHeight="false" outlineLevel="0" collapsed="false">
      <c r="A14" s="13"/>
      <c r="B14" s="9"/>
      <c r="C14" s="9"/>
      <c r="D14" s="9"/>
      <c r="E14" s="9"/>
      <c r="F14" s="16" t="str">
        <f aca="false">IF(B14="","",IF(COUNTIFS('PM Plan'!$A$5:$A$304,B14,'PM Plan'!$B$5:$B$304,C14)&gt;0,"OK","No matching asset + task in plan"))</f>
        <v/>
      </c>
    </row>
    <row r="15" customFormat="false" ht="15" hidden="false" customHeight="false" outlineLevel="0" collapsed="false">
      <c r="A15" s="13"/>
      <c r="B15" s="9"/>
      <c r="C15" s="9"/>
      <c r="D15" s="9"/>
      <c r="E15" s="9"/>
      <c r="F15" s="16" t="str">
        <f aca="false">IF(B15="","",IF(COUNTIFS('PM Plan'!$A$5:$A$304,B15,'PM Plan'!$B$5:$B$304,C15)&gt;0,"OK","No matching asset + task in plan"))</f>
        <v/>
      </c>
    </row>
    <row r="16" customFormat="false" ht="15" hidden="false" customHeight="false" outlineLevel="0" collapsed="false">
      <c r="A16" s="13"/>
      <c r="B16" s="9"/>
      <c r="C16" s="9"/>
      <c r="D16" s="9"/>
      <c r="E16" s="9"/>
      <c r="F16" s="16" t="str">
        <f aca="false">IF(B16="","",IF(COUNTIFS('PM Plan'!$A$5:$A$304,B16,'PM Plan'!$B$5:$B$304,C16)&gt;0,"OK","No matching asset + task in plan"))</f>
        <v/>
      </c>
    </row>
    <row r="17" customFormat="false" ht="15" hidden="false" customHeight="false" outlineLevel="0" collapsed="false">
      <c r="A17" s="13"/>
      <c r="B17" s="9"/>
      <c r="C17" s="9"/>
      <c r="D17" s="9"/>
      <c r="E17" s="9"/>
      <c r="F17" s="16" t="str">
        <f aca="false">IF(B17="","",IF(COUNTIFS('PM Plan'!$A$5:$A$304,B17,'PM Plan'!$B$5:$B$304,C17)&gt;0,"OK","No matching asset + task in plan"))</f>
        <v/>
      </c>
    </row>
    <row r="18" customFormat="false" ht="15" hidden="false" customHeight="false" outlineLevel="0" collapsed="false">
      <c r="A18" s="13"/>
      <c r="B18" s="9"/>
      <c r="C18" s="9"/>
      <c r="D18" s="9"/>
      <c r="E18" s="9"/>
      <c r="F18" s="16" t="str">
        <f aca="false">IF(B18="","",IF(COUNTIFS('PM Plan'!$A$5:$A$304,B18,'PM Plan'!$B$5:$B$304,C18)&gt;0,"OK","No matching asset + task in plan"))</f>
        <v/>
      </c>
    </row>
    <row r="19" customFormat="false" ht="15" hidden="false" customHeight="false" outlineLevel="0" collapsed="false">
      <c r="A19" s="13"/>
      <c r="B19" s="9"/>
      <c r="C19" s="9"/>
      <c r="D19" s="9"/>
      <c r="E19" s="9"/>
      <c r="F19" s="16" t="str">
        <f aca="false">IF(B19="","",IF(COUNTIFS('PM Plan'!$A$5:$A$304,B19,'PM Plan'!$B$5:$B$304,C19)&gt;0,"OK","No matching asset + task in plan"))</f>
        <v/>
      </c>
    </row>
    <row r="20" customFormat="false" ht="15" hidden="false" customHeight="false" outlineLevel="0" collapsed="false">
      <c r="A20" s="13"/>
      <c r="B20" s="9"/>
      <c r="C20" s="9"/>
      <c r="D20" s="9"/>
      <c r="E20" s="9"/>
      <c r="F20" s="16" t="str">
        <f aca="false">IF(B20="","",IF(COUNTIFS('PM Plan'!$A$5:$A$304,B20,'PM Plan'!$B$5:$B$304,C20)&gt;0,"OK","No matching asset + task in plan"))</f>
        <v/>
      </c>
    </row>
    <row r="21" customFormat="false" ht="15" hidden="false" customHeight="false" outlineLevel="0" collapsed="false">
      <c r="A21" s="13"/>
      <c r="B21" s="9"/>
      <c r="C21" s="9"/>
      <c r="D21" s="9"/>
      <c r="E21" s="9"/>
      <c r="F21" s="16" t="str">
        <f aca="false">IF(B21="","",IF(COUNTIFS('PM Plan'!$A$5:$A$304,B21,'PM Plan'!$B$5:$B$304,C21)&gt;0,"OK","No matching asset + task in plan"))</f>
        <v/>
      </c>
    </row>
    <row r="22" customFormat="false" ht="15" hidden="false" customHeight="false" outlineLevel="0" collapsed="false">
      <c r="A22" s="13"/>
      <c r="B22" s="9"/>
      <c r="C22" s="9"/>
      <c r="D22" s="9"/>
      <c r="E22" s="9"/>
      <c r="F22" s="16" t="str">
        <f aca="false">IF(B22="","",IF(COUNTIFS('PM Plan'!$A$5:$A$304,B22,'PM Plan'!$B$5:$B$304,C22)&gt;0,"OK","No matching asset + task in plan"))</f>
        <v/>
      </c>
    </row>
    <row r="23" customFormat="false" ht="15" hidden="false" customHeight="false" outlineLevel="0" collapsed="false">
      <c r="A23" s="13"/>
      <c r="B23" s="9"/>
      <c r="C23" s="9"/>
      <c r="D23" s="9"/>
      <c r="E23" s="9"/>
      <c r="F23" s="16" t="str">
        <f aca="false">IF(B23="","",IF(COUNTIFS('PM Plan'!$A$5:$A$304,B23,'PM Plan'!$B$5:$B$304,C23)&gt;0,"OK","No matching asset + task in plan"))</f>
        <v/>
      </c>
    </row>
    <row r="24" customFormat="false" ht="15" hidden="false" customHeight="false" outlineLevel="0" collapsed="false">
      <c r="A24" s="13"/>
      <c r="B24" s="9"/>
      <c r="C24" s="9"/>
      <c r="D24" s="9"/>
      <c r="E24" s="9"/>
      <c r="F24" s="16" t="str">
        <f aca="false">IF(B24="","",IF(COUNTIFS('PM Plan'!$A$5:$A$304,B24,'PM Plan'!$B$5:$B$304,C24)&gt;0,"OK","No matching asset + task in plan"))</f>
        <v/>
      </c>
    </row>
    <row r="25" customFormat="false" ht="15" hidden="false" customHeight="false" outlineLevel="0" collapsed="false">
      <c r="A25" s="13"/>
      <c r="B25" s="9"/>
      <c r="C25" s="9"/>
      <c r="D25" s="9"/>
      <c r="E25" s="9"/>
      <c r="F25" s="16" t="str">
        <f aca="false">IF(B25="","",IF(COUNTIFS('PM Plan'!$A$5:$A$304,B25,'PM Plan'!$B$5:$B$304,C25)&gt;0,"OK","No matching asset + task in plan"))</f>
        <v/>
      </c>
    </row>
    <row r="26" customFormat="false" ht="15" hidden="false" customHeight="false" outlineLevel="0" collapsed="false">
      <c r="A26" s="13"/>
      <c r="B26" s="9"/>
      <c r="C26" s="9"/>
      <c r="D26" s="9"/>
      <c r="E26" s="9"/>
      <c r="F26" s="16" t="str">
        <f aca="false">IF(B26="","",IF(COUNTIFS('PM Plan'!$A$5:$A$304,B26,'PM Plan'!$B$5:$B$304,C26)&gt;0,"OK","No matching asset + task in plan"))</f>
        <v/>
      </c>
    </row>
    <row r="27" customFormat="false" ht="15" hidden="false" customHeight="false" outlineLevel="0" collapsed="false">
      <c r="A27" s="13"/>
      <c r="B27" s="9"/>
      <c r="C27" s="9"/>
      <c r="D27" s="9"/>
      <c r="E27" s="9"/>
      <c r="F27" s="16" t="str">
        <f aca="false">IF(B27="","",IF(COUNTIFS('PM Plan'!$A$5:$A$304,B27,'PM Plan'!$B$5:$B$304,C27)&gt;0,"OK","No matching asset + task in plan"))</f>
        <v/>
      </c>
    </row>
    <row r="28" customFormat="false" ht="15" hidden="false" customHeight="false" outlineLevel="0" collapsed="false">
      <c r="A28" s="13"/>
      <c r="B28" s="9"/>
      <c r="C28" s="9"/>
      <c r="D28" s="9"/>
      <c r="E28" s="9"/>
      <c r="F28" s="16" t="str">
        <f aca="false">IF(B28="","",IF(COUNTIFS('PM Plan'!$A$5:$A$304,B28,'PM Plan'!$B$5:$B$304,C28)&gt;0,"OK","No matching asset + task in plan"))</f>
        <v/>
      </c>
    </row>
    <row r="29" customFormat="false" ht="15" hidden="false" customHeight="false" outlineLevel="0" collapsed="false">
      <c r="A29" s="13"/>
      <c r="B29" s="9"/>
      <c r="C29" s="9"/>
      <c r="D29" s="9"/>
      <c r="E29" s="9"/>
      <c r="F29" s="16" t="str">
        <f aca="false">IF(B29="","",IF(COUNTIFS('PM Plan'!$A$5:$A$304,B29,'PM Plan'!$B$5:$B$304,C29)&gt;0,"OK","No matching asset + task in plan"))</f>
        <v/>
      </c>
    </row>
    <row r="30" customFormat="false" ht="15" hidden="false" customHeight="false" outlineLevel="0" collapsed="false">
      <c r="A30" s="13"/>
      <c r="B30" s="9"/>
      <c r="C30" s="9"/>
      <c r="D30" s="9"/>
      <c r="E30" s="9"/>
      <c r="F30" s="16" t="str">
        <f aca="false">IF(B30="","",IF(COUNTIFS('PM Plan'!$A$5:$A$304,B30,'PM Plan'!$B$5:$B$304,C30)&gt;0,"OK","No matching asset + task in plan"))</f>
        <v/>
      </c>
    </row>
    <row r="31" customFormat="false" ht="15" hidden="false" customHeight="false" outlineLevel="0" collapsed="false">
      <c r="A31" s="13"/>
      <c r="B31" s="9"/>
      <c r="C31" s="9"/>
      <c r="D31" s="9"/>
      <c r="E31" s="9"/>
      <c r="F31" s="16" t="str">
        <f aca="false">IF(B31="","",IF(COUNTIFS('PM Plan'!$A$5:$A$304,B31,'PM Plan'!$B$5:$B$304,C31)&gt;0,"OK","No matching asset + task in plan"))</f>
        <v/>
      </c>
    </row>
    <row r="32" customFormat="false" ht="15" hidden="false" customHeight="false" outlineLevel="0" collapsed="false">
      <c r="A32" s="13"/>
      <c r="B32" s="9"/>
      <c r="C32" s="9"/>
      <c r="D32" s="9"/>
      <c r="E32" s="9"/>
      <c r="F32" s="16" t="str">
        <f aca="false">IF(B32="","",IF(COUNTIFS('PM Plan'!$A$5:$A$304,B32,'PM Plan'!$B$5:$B$304,C32)&gt;0,"OK","No matching asset + task in plan"))</f>
        <v/>
      </c>
    </row>
    <row r="33" customFormat="false" ht="15" hidden="false" customHeight="false" outlineLevel="0" collapsed="false">
      <c r="A33" s="13"/>
      <c r="B33" s="9"/>
      <c r="C33" s="9"/>
      <c r="D33" s="9"/>
      <c r="E33" s="9"/>
      <c r="F33" s="16" t="str">
        <f aca="false">IF(B33="","",IF(COUNTIFS('PM Plan'!$A$5:$A$304,B33,'PM Plan'!$B$5:$B$304,C33)&gt;0,"OK","No matching asset + task in plan"))</f>
        <v/>
      </c>
    </row>
    <row r="34" customFormat="false" ht="15" hidden="false" customHeight="false" outlineLevel="0" collapsed="false">
      <c r="A34" s="13"/>
      <c r="B34" s="9"/>
      <c r="C34" s="9"/>
      <c r="D34" s="9"/>
      <c r="E34" s="9"/>
      <c r="F34" s="16" t="str">
        <f aca="false">IF(B34="","",IF(COUNTIFS('PM Plan'!$A$5:$A$304,B34,'PM Plan'!$B$5:$B$304,C34)&gt;0,"OK","No matching asset + task in plan"))</f>
        <v/>
      </c>
    </row>
    <row r="35" customFormat="false" ht="15" hidden="false" customHeight="false" outlineLevel="0" collapsed="false">
      <c r="A35" s="13"/>
      <c r="B35" s="9"/>
      <c r="C35" s="9"/>
      <c r="D35" s="9"/>
      <c r="E35" s="9"/>
      <c r="F35" s="16" t="str">
        <f aca="false">IF(B35="","",IF(COUNTIFS('PM Plan'!$A$5:$A$304,B35,'PM Plan'!$B$5:$B$304,C35)&gt;0,"OK","No matching asset + task in plan"))</f>
        <v/>
      </c>
    </row>
    <row r="36" customFormat="false" ht="15" hidden="false" customHeight="false" outlineLevel="0" collapsed="false">
      <c r="A36" s="13"/>
      <c r="B36" s="9"/>
      <c r="C36" s="9"/>
      <c r="D36" s="9"/>
      <c r="E36" s="9"/>
      <c r="F36" s="16" t="str">
        <f aca="false">IF(B36="","",IF(COUNTIFS('PM Plan'!$A$5:$A$304,B36,'PM Plan'!$B$5:$B$304,C36)&gt;0,"OK","No matching asset + task in plan"))</f>
        <v/>
      </c>
    </row>
    <row r="37" customFormat="false" ht="15" hidden="false" customHeight="false" outlineLevel="0" collapsed="false">
      <c r="A37" s="13"/>
      <c r="B37" s="9"/>
      <c r="C37" s="9"/>
      <c r="D37" s="9"/>
      <c r="E37" s="9"/>
      <c r="F37" s="16" t="str">
        <f aca="false">IF(B37="","",IF(COUNTIFS('PM Plan'!$A$5:$A$304,B37,'PM Plan'!$B$5:$B$304,C37)&gt;0,"OK","No matching asset + task in plan"))</f>
        <v/>
      </c>
    </row>
    <row r="38" customFormat="false" ht="15" hidden="false" customHeight="false" outlineLevel="0" collapsed="false">
      <c r="A38" s="13"/>
      <c r="B38" s="9"/>
      <c r="C38" s="9"/>
      <c r="D38" s="9"/>
      <c r="E38" s="9"/>
      <c r="F38" s="16" t="str">
        <f aca="false">IF(B38="","",IF(COUNTIFS('PM Plan'!$A$5:$A$304,B38,'PM Plan'!$B$5:$B$304,C38)&gt;0,"OK","No matching asset + task in plan"))</f>
        <v/>
      </c>
    </row>
    <row r="39" customFormat="false" ht="15" hidden="false" customHeight="false" outlineLevel="0" collapsed="false">
      <c r="A39" s="13"/>
      <c r="B39" s="9"/>
      <c r="C39" s="9"/>
      <c r="D39" s="9"/>
      <c r="E39" s="9"/>
      <c r="F39" s="16" t="str">
        <f aca="false">IF(B39="","",IF(COUNTIFS('PM Plan'!$A$5:$A$304,B39,'PM Plan'!$B$5:$B$304,C39)&gt;0,"OK","No matching asset + task in plan"))</f>
        <v/>
      </c>
    </row>
    <row r="40" customFormat="false" ht="15" hidden="false" customHeight="false" outlineLevel="0" collapsed="false">
      <c r="A40" s="13"/>
      <c r="B40" s="9"/>
      <c r="C40" s="9"/>
      <c r="D40" s="9"/>
      <c r="E40" s="9"/>
      <c r="F40" s="16" t="str">
        <f aca="false">IF(B40="","",IF(COUNTIFS('PM Plan'!$A$5:$A$304,B40,'PM Plan'!$B$5:$B$304,C40)&gt;0,"OK","No matching asset + task in plan"))</f>
        <v/>
      </c>
    </row>
    <row r="41" customFormat="false" ht="15" hidden="false" customHeight="false" outlineLevel="0" collapsed="false">
      <c r="A41" s="13"/>
      <c r="B41" s="9"/>
      <c r="C41" s="9"/>
      <c r="D41" s="9"/>
      <c r="E41" s="9"/>
      <c r="F41" s="16" t="str">
        <f aca="false">IF(B41="","",IF(COUNTIFS('PM Plan'!$A$5:$A$304,B41,'PM Plan'!$B$5:$B$304,C41)&gt;0,"OK","No matching asset + task in plan"))</f>
        <v/>
      </c>
    </row>
    <row r="42" customFormat="false" ht="15" hidden="false" customHeight="false" outlineLevel="0" collapsed="false">
      <c r="A42" s="13"/>
      <c r="B42" s="9"/>
      <c r="C42" s="9"/>
      <c r="D42" s="9"/>
      <c r="E42" s="9"/>
      <c r="F42" s="16" t="str">
        <f aca="false">IF(B42="","",IF(COUNTIFS('PM Plan'!$A$5:$A$304,B42,'PM Plan'!$B$5:$B$304,C42)&gt;0,"OK","No matching asset + task in plan"))</f>
        <v/>
      </c>
    </row>
    <row r="43" customFormat="false" ht="15" hidden="false" customHeight="false" outlineLevel="0" collapsed="false">
      <c r="A43" s="13"/>
      <c r="B43" s="9"/>
      <c r="C43" s="9"/>
      <c r="D43" s="9"/>
      <c r="E43" s="9"/>
      <c r="F43" s="16" t="str">
        <f aca="false">IF(B43="","",IF(COUNTIFS('PM Plan'!$A$5:$A$304,B43,'PM Plan'!$B$5:$B$304,C43)&gt;0,"OK","No matching asset + task in plan"))</f>
        <v/>
      </c>
    </row>
    <row r="44" customFormat="false" ht="15" hidden="false" customHeight="false" outlineLevel="0" collapsed="false">
      <c r="A44" s="13"/>
      <c r="B44" s="9"/>
      <c r="C44" s="9"/>
      <c r="D44" s="9"/>
      <c r="E44" s="9"/>
      <c r="F44" s="16" t="str">
        <f aca="false">IF(B44="","",IF(COUNTIFS('PM Plan'!$A$5:$A$304,B44,'PM Plan'!$B$5:$B$304,C44)&gt;0,"OK","No matching asset + task in plan"))</f>
        <v/>
      </c>
    </row>
    <row r="45" customFormat="false" ht="15" hidden="false" customHeight="false" outlineLevel="0" collapsed="false">
      <c r="A45" s="13"/>
      <c r="B45" s="9"/>
      <c r="C45" s="9"/>
      <c r="D45" s="9"/>
      <c r="E45" s="9"/>
      <c r="F45" s="16" t="str">
        <f aca="false">IF(B45="","",IF(COUNTIFS('PM Plan'!$A$5:$A$304,B45,'PM Plan'!$B$5:$B$304,C45)&gt;0,"OK","No matching asset + task in plan"))</f>
        <v/>
      </c>
    </row>
    <row r="46" customFormat="false" ht="15" hidden="false" customHeight="false" outlineLevel="0" collapsed="false">
      <c r="A46" s="13"/>
      <c r="B46" s="9"/>
      <c r="C46" s="9"/>
      <c r="D46" s="9"/>
      <c r="E46" s="9"/>
      <c r="F46" s="16" t="str">
        <f aca="false">IF(B46="","",IF(COUNTIFS('PM Plan'!$A$5:$A$304,B46,'PM Plan'!$B$5:$B$304,C46)&gt;0,"OK","No matching asset + task in plan"))</f>
        <v/>
      </c>
    </row>
    <row r="47" customFormat="false" ht="15" hidden="false" customHeight="false" outlineLevel="0" collapsed="false">
      <c r="A47" s="13"/>
      <c r="B47" s="9"/>
      <c r="C47" s="9"/>
      <c r="D47" s="9"/>
      <c r="E47" s="9"/>
      <c r="F47" s="16" t="str">
        <f aca="false">IF(B47="","",IF(COUNTIFS('PM Plan'!$A$5:$A$304,B47,'PM Plan'!$B$5:$B$304,C47)&gt;0,"OK","No matching asset + task in plan"))</f>
        <v/>
      </c>
    </row>
    <row r="48" customFormat="false" ht="15" hidden="false" customHeight="false" outlineLevel="0" collapsed="false">
      <c r="A48" s="13"/>
      <c r="B48" s="9"/>
      <c r="C48" s="9"/>
      <c r="D48" s="9"/>
      <c r="E48" s="9"/>
      <c r="F48" s="16" t="str">
        <f aca="false">IF(B48="","",IF(COUNTIFS('PM Plan'!$A$5:$A$304,B48,'PM Plan'!$B$5:$B$304,C48)&gt;0,"OK","No matching asset + task in plan"))</f>
        <v/>
      </c>
    </row>
    <row r="49" customFormat="false" ht="15" hidden="false" customHeight="false" outlineLevel="0" collapsed="false">
      <c r="A49" s="13"/>
      <c r="B49" s="9"/>
      <c r="C49" s="9"/>
      <c r="D49" s="9"/>
      <c r="E49" s="9"/>
      <c r="F49" s="16" t="str">
        <f aca="false">IF(B49="","",IF(COUNTIFS('PM Plan'!$A$5:$A$304,B49,'PM Plan'!$B$5:$B$304,C49)&gt;0,"OK","No matching asset + task in plan"))</f>
        <v/>
      </c>
    </row>
    <row r="50" customFormat="false" ht="15" hidden="false" customHeight="false" outlineLevel="0" collapsed="false">
      <c r="A50" s="13"/>
      <c r="B50" s="9"/>
      <c r="C50" s="9"/>
      <c r="D50" s="9"/>
      <c r="E50" s="9"/>
      <c r="F50" s="16" t="str">
        <f aca="false">IF(B50="","",IF(COUNTIFS('PM Plan'!$A$5:$A$304,B50,'PM Plan'!$B$5:$B$304,C50)&gt;0,"OK","No matching asset + task in plan"))</f>
        <v/>
      </c>
    </row>
    <row r="51" customFormat="false" ht="15" hidden="false" customHeight="false" outlineLevel="0" collapsed="false">
      <c r="A51" s="13"/>
      <c r="B51" s="9"/>
      <c r="C51" s="9"/>
      <c r="D51" s="9"/>
      <c r="E51" s="9"/>
      <c r="F51" s="16" t="str">
        <f aca="false">IF(B51="","",IF(COUNTIFS('PM Plan'!$A$5:$A$304,B51,'PM Plan'!$B$5:$B$304,C51)&gt;0,"OK","No matching asset + task in plan"))</f>
        <v/>
      </c>
    </row>
    <row r="52" customFormat="false" ht="15" hidden="false" customHeight="false" outlineLevel="0" collapsed="false">
      <c r="A52" s="13"/>
      <c r="B52" s="9"/>
      <c r="C52" s="9"/>
      <c r="D52" s="9"/>
      <c r="E52" s="9"/>
      <c r="F52" s="16" t="str">
        <f aca="false">IF(B52="","",IF(COUNTIFS('PM Plan'!$A$5:$A$304,B52,'PM Plan'!$B$5:$B$304,C52)&gt;0,"OK","No matching asset + task in plan"))</f>
        <v/>
      </c>
    </row>
    <row r="53" customFormat="false" ht="15" hidden="false" customHeight="false" outlineLevel="0" collapsed="false">
      <c r="A53" s="13"/>
      <c r="B53" s="9"/>
      <c r="C53" s="9"/>
      <c r="D53" s="9"/>
      <c r="E53" s="9"/>
      <c r="F53" s="16" t="str">
        <f aca="false">IF(B53="","",IF(COUNTIFS('PM Plan'!$A$5:$A$304,B53,'PM Plan'!$B$5:$B$304,C53)&gt;0,"OK","No matching asset + task in plan"))</f>
        <v/>
      </c>
    </row>
    <row r="54" customFormat="false" ht="15" hidden="false" customHeight="false" outlineLevel="0" collapsed="false">
      <c r="A54" s="13"/>
      <c r="B54" s="9"/>
      <c r="C54" s="9"/>
      <c r="D54" s="9"/>
      <c r="E54" s="9"/>
      <c r="F54" s="16" t="str">
        <f aca="false">IF(B54="","",IF(COUNTIFS('PM Plan'!$A$5:$A$304,B54,'PM Plan'!$B$5:$B$304,C54)&gt;0,"OK","No matching asset + task in plan"))</f>
        <v/>
      </c>
    </row>
    <row r="55" customFormat="false" ht="15" hidden="false" customHeight="false" outlineLevel="0" collapsed="false">
      <c r="A55" s="13"/>
      <c r="B55" s="9"/>
      <c r="C55" s="9"/>
      <c r="D55" s="9"/>
      <c r="E55" s="9"/>
      <c r="F55" s="16" t="str">
        <f aca="false">IF(B55="","",IF(COUNTIFS('PM Plan'!$A$5:$A$304,B55,'PM Plan'!$B$5:$B$304,C55)&gt;0,"OK","No matching asset + task in plan"))</f>
        <v/>
      </c>
    </row>
    <row r="56" customFormat="false" ht="15" hidden="false" customHeight="false" outlineLevel="0" collapsed="false">
      <c r="A56" s="13"/>
      <c r="B56" s="9"/>
      <c r="C56" s="9"/>
      <c r="D56" s="9"/>
      <c r="E56" s="9"/>
      <c r="F56" s="16" t="str">
        <f aca="false">IF(B56="","",IF(COUNTIFS('PM Plan'!$A$5:$A$304,B56,'PM Plan'!$B$5:$B$304,C56)&gt;0,"OK","No matching asset + task in plan"))</f>
        <v/>
      </c>
    </row>
    <row r="57" customFormat="false" ht="15" hidden="false" customHeight="false" outlineLevel="0" collapsed="false">
      <c r="A57" s="13"/>
      <c r="B57" s="9"/>
      <c r="C57" s="9"/>
      <c r="D57" s="9"/>
      <c r="E57" s="9"/>
      <c r="F57" s="16" t="str">
        <f aca="false">IF(B57="","",IF(COUNTIFS('PM Plan'!$A$5:$A$304,B57,'PM Plan'!$B$5:$B$304,C57)&gt;0,"OK","No matching asset + task in plan"))</f>
        <v/>
      </c>
    </row>
    <row r="58" customFormat="false" ht="15" hidden="false" customHeight="false" outlineLevel="0" collapsed="false">
      <c r="A58" s="13"/>
      <c r="B58" s="9"/>
      <c r="C58" s="9"/>
      <c r="D58" s="9"/>
      <c r="E58" s="9"/>
      <c r="F58" s="16" t="str">
        <f aca="false">IF(B58="","",IF(COUNTIFS('PM Plan'!$A$5:$A$304,B58,'PM Plan'!$B$5:$B$304,C58)&gt;0,"OK","No matching asset + task in plan"))</f>
        <v/>
      </c>
    </row>
    <row r="59" customFormat="false" ht="15" hidden="false" customHeight="false" outlineLevel="0" collapsed="false">
      <c r="A59" s="13"/>
      <c r="B59" s="9"/>
      <c r="C59" s="9"/>
      <c r="D59" s="9"/>
      <c r="E59" s="9"/>
      <c r="F59" s="16" t="str">
        <f aca="false">IF(B59="","",IF(COUNTIFS('PM Plan'!$A$5:$A$304,B59,'PM Plan'!$B$5:$B$304,C59)&gt;0,"OK","No matching asset + task in plan"))</f>
        <v/>
      </c>
    </row>
    <row r="60" customFormat="false" ht="15" hidden="false" customHeight="false" outlineLevel="0" collapsed="false">
      <c r="A60" s="13"/>
      <c r="B60" s="9"/>
      <c r="C60" s="9"/>
      <c r="D60" s="9"/>
      <c r="E60" s="9"/>
      <c r="F60" s="16" t="str">
        <f aca="false">IF(B60="","",IF(COUNTIFS('PM Plan'!$A$5:$A$304,B60,'PM Plan'!$B$5:$B$304,C60)&gt;0,"OK","No matching asset + task in plan"))</f>
        <v/>
      </c>
    </row>
    <row r="61" customFormat="false" ht="15" hidden="false" customHeight="false" outlineLevel="0" collapsed="false">
      <c r="A61" s="13"/>
      <c r="B61" s="9"/>
      <c r="C61" s="9"/>
      <c r="D61" s="9"/>
      <c r="E61" s="9"/>
      <c r="F61" s="16" t="str">
        <f aca="false">IF(B61="","",IF(COUNTIFS('PM Plan'!$A$5:$A$304,B61,'PM Plan'!$B$5:$B$304,C61)&gt;0,"OK","No matching asset + task in plan"))</f>
        <v/>
      </c>
    </row>
    <row r="62" customFormat="false" ht="15" hidden="false" customHeight="false" outlineLevel="0" collapsed="false">
      <c r="A62" s="13"/>
      <c r="B62" s="9"/>
      <c r="C62" s="9"/>
      <c r="D62" s="9"/>
      <c r="E62" s="9"/>
      <c r="F62" s="16" t="str">
        <f aca="false">IF(B62="","",IF(COUNTIFS('PM Plan'!$A$5:$A$304,B62,'PM Plan'!$B$5:$B$304,C62)&gt;0,"OK","No matching asset + task in plan"))</f>
        <v/>
      </c>
    </row>
    <row r="63" customFormat="false" ht="15" hidden="false" customHeight="false" outlineLevel="0" collapsed="false">
      <c r="A63" s="13"/>
      <c r="B63" s="9"/>
      <c r="C63" s="9"/>
      <c r="D63" s="9"/>
      <c r="E63" s="9"/>
      <c r="F63" s="16" t="str">
        <f aca="false">IF(B63="","",IF(COUNTIFS('PM Plan'!$A$5:$A$304,B63,'PM Plan'!$B$5:$B$304,C63)&gt;0,"OK","No matching asset + task in plan"))</f>
        <v/>
      </c>
    </row>
    <row r="64" customFormat="false" ht="15" hidden="false" customHeight="false" outlineLevel="0" collapsed="false">
      <c r="A64" s="13"/>
      <c r="B64" s="9"/>
      <c r="C64" s="9"/>
      <c r="D64" s="9"/>
      <c r="E64" s="9"/>
      <c r="F64" s="16" t="str">
        <f aca="false">IF(B64="","",IF(COUNTIFS('PM Plan'!$A$5:$A$304,B64,'PM Plan'!$B$5:$B$304,C64)&gt;0,"OK","No matching asset + task in plan"))</f>
        <v/>
      </c>
    </row>
    <row r="65" customFormat="false" ht="15" hidden="false" customHeight="false" outlineLevel="0" collapsed="false">
      <c r="A65" s="13"/>
      <c r="B65" s="9"/>
      <c r="C65" s="9"/>
      <c r="D65" s="9"/>
      <c r="E65" s="9"/>
      <c r="F65" s="16" t="str">
        <f aca="false">IF(B65="","",IF(COUNTIFS('PM Plan'!$A$5:$A$304,B65,'PM Plan'!$B$5:$B$304,C65)&gt;0,"OK","No matching asset + task in plan"))</f>
        <v/>
      </c>
    </row>
    <row r="66" customFormat="false" ht="15" hidden="false" customHeight="false" outlineLevel="0" collapsed="false">
      <c r="A66" s="13"/>
      <c r="B66" s="9"/>
      <c r="C66" s="9"/>
      <c r="D66" s="9"/>
      <c r="E66" s="9"/>
      <c r="F66" s="16" t="str">
        <f aca="false">IF(B66="","",IF(COUNTIFS('PM Plan'!$A$5:$A$304,B66,'PM Plan'!$B$5:$B$304,C66)&gt;0,"OK","No matching asset + task in plan"))</f>
        <v/>
      </c>
    </row>
    <row r="67" customFormat="false" ht="15" hidden="false" customHeight="false" outlineLevel="0" collapsed="false">
      <c r="A67" s="13"/>
      <c r="B67" s="9"/>
      <c r="C67" s="9"/>
      <c r="D67" s="9"/>
      <c r="E67" s="9"/>
      <c r="F67" s="16" t="str">
        <f aca="false">IF(B67="","",IF(COUNTIFS('PM Plan'!$A$5:$A$304,B67,'PM Plan'!$B$5:$B$304,C67)&gt;0,"OK","No matching asset + task in plan"))</f>
        <v/>
      </c>
    </row>
    <row r="68" customFormat="false" ht="15" hidden="false" customHeight="false" outlineLevel="0" collapsed="false">
      <c r="A68" s="13"/>
      <c r="B68" s="9"/>
      <c r="C68" s="9"/>
      <c r="D68" s="9"/>
      <c r="E68" s="9"/>
      <c r="F68" s="16" t="str">
        <f aca="false">IF(B68="","",IF(COUNTIFS('PM Plan'!$A$5:$A$304,B68,'PM Plan'!$B$5:$B$304,C68)&gt;0,"OK","No matching asset + task in plan"))</f>
        <v/>
      </c>
    </row>
    <row r="69" customFormat="false" ht="15" hidden="false" customHeight="false" outlineLevel="0" collapsed="false">
      <c r="A69" s="13"/>
      <c r="B69" s="9"/>
      <c r="C69" s="9"/>
      <c r="D69" s="9"/>
      <c r="E69" s="9"/>
      <c r="F69" s="16" t="str">
        <f aca="false">IF(B69="","",IF(COUNTIFS('PM Plan'!$A$5:$A$304,B69,'PM Plan'!$B$5:$B$304,C69)&gt;0,"OK","No matching asset + task in plan"))</f>
        <v/>
      </c>
    </row>
    <row r="70" customFormat="false" ht="15" hidden="false" customHeight="false" outlineLevel="0" collapsed="false">
      <c r="A70" s="13"/>
      <c r="B70" s="9"/>
      <c r="C70" s="9"/>
      <c r="D70" s="9"/>
      <c r="E70" s="9"/>
      <c r="F70" s="16" t="str">
        <f aca="false">IF(B70="","",IF(COUNTIFS('PM Plan'!$A$5:$A$304,B70,'PM Plan'!$B$5:$B$304,C70)&gt;0,"OK","No matching asset + task in plan"))</f>
        <v/>
      </c>
    </row>
    <row r="71" customFormat="false" ht="15" hidden="false" customHeight="false" outlineLevel="0" collapsed="false">
      <c r="A71" s="13"/>
      <c r="B71" s="9"/>
      <c r="C71" s="9"/>
      <c r="D71" s="9"/>
      <c r="E71" s="9"/>
      <c r="F71" s="16" t="str">
        <f aca="false">IF(B71="","",IF(COUNTIFS('PM Plan'!$A$5:$A$304,B71,'PM Plan'!$B$5:$B$304,C71)&gt;0,"OK","No matching asset + task in plan"))</f>
        <v/>
      </c>
    </row>
    <row r="72" customFormat="false" ht="15" hidden="false" customHeight="false" outlineLevel="0" collapsed="false">
      <c r="A72" s="13"/>
      <c r="B72" s="9"/>
      <c r="C72" s="9"/>
      <c r="D72" s="9"/>
      <c r="E72" s="9"/>
      <c r="F72" s="16" t="str">
        <f aca="false">IF(B72="","",IF(COUNTIFS('PM Plan'!$A$5:$A$304,B72,'PM Plan'!$B$5:$B$304,C72)&gt;0,"OK","No matching asset + task in plan"))</f>
        <v/>
      </c>
    </row>
    <row r="73" customFormat="false" ht="15" hidden="false" customHeight="false" outlineLevel="0" collapsed="false">
      <c r="A73" s="13"/>
      <c r="B73" s="9"/>
      <c r="C73" s="9"/>
      <c r="D73" s="9"/>
      <c r="E73" s="9"/>
      <c r="F73" s="16" t="str">
        <f aca="false">IF(B73="","",IF(COUNTIFS('PM Plan'!$A$5:$A$304,B73,'PM Plan'!$B$5:$B$304,C73)&gt;0,"OK","No matching asset + task in plan"))</f>
        <v/>
      </c>
    </row>
    <row r="74" customFormat="false" ht="15" hidden="false" customHeight="false" outlineLevel="0" collapsed="false">
      <c r="A74" s="13"/>
      <c r="B74" s="9"/>
      <c r="C74" s="9"/>
      <c r="D74" s="9"/>
      <c r="E74" s="9"/>
      <c r="F74" s="16" t="str">
        <f aca="false">IF(B74="","",IF(COUNTIFS('PM Plan'!$A$5:$A$304,B74,'PM Plan'!$B$5:$B$304,C74)&gt;0,"OK","No matching asset + task in plan"))</f>
        <v/>
      </c>
    </row>
    <row r="75" customFormat="false" ht="15" hidden="false" customHeight="false" outlineLevel="0" collapsed="false">
      <c r="A75" s="13"/>
      <c r="B75" s="9"/>
      <c r="C75" s="9"/>
      <c r="D75" s="9"/>
      <c r="E75" s="9"/>
      <c r="F75" s="16" t="str">
        <f aca="false">IF(B75="","",IF(COUNTIFS('PM Plan'!$A$5:$A$304,B75,'PM Plan'!$B$5:$B$304,C75)&gt;0,"OK","No matching asset + task in plan"))</f>
        <v/>
      </c>
    </row>
    <row r="76" customFormat="false" ht="15" hidden="false" customHeight="false" outlineLevel="0" collapsed="false">
      <c r="A76" s="13"/>
      <c r="B76" s="9"/>
      <c r="C76" s="9"/>
      <c r="D76" s="9"/>
      <c r="E76" s="9"/>
      <c r="F76" s="16" t="str">
        <f aca="false">IF(B76="","",IF(COUNTIFS('PM Plan'!$A$5:$A$304,B76,'PM Plan'!$B$5:$B$304,C76)&gt;0,"OK","No matching asset + task in plan"))</f>
        <v/>
      </c>
    </row>
    <row r="77" customFormat="false" ht="15" hidden="false" customHeight="false" outlineLevel="0" collapsed="false">
      <c r="A77" s="13"/>
      <c r="B77" s="9"/>
      <c r="C77" s="9"/>
      <c r="D77" s="9"/>
      <c r="E77" s="9"/>
      <c r="F77" s="16" t="str">
        <f aca="false">IF(B77="","",IF(COUNTIFS('PM Plan'!$A$5:$A$304,B77,'PM Plan'!$B$5:$B$304,C77)&gt;0,"OK","No matching asset + task in plan"))</f>
        <v/>
      </c>
    </row>
    <row r="78" customFormat="false" ht="15" hidden="false" customHeight="false" outlineLevel="0" collapsed="false">
      <c r="A78" s="13"/>
      <c r="B78" s="9"/>
      <c r="C78" s="9"/>
      <c r="D78" s="9"/>
      <c r="E78" s="9"/>
      <c r="F78" s="16" t="str">
        <f aca="false">IF(B78="","",IF(COUNTIFS('PM Plan'!$A$5:$A$304,B78,'PM Plan'!$B$5:$B$304,C78)&gt;0,"OK","No matching asset + task in plan"))</f>
        <v/>
      </c>
    </row>
    <row r="79" customFormat="false" ht="15" hidden="false" customHeight="false" outlineLevel="0" collapsed="false">
      <c r="A79" s="13"/>
      <c r="B79" s="9"/>
      <c r="C79" s="9"/>
      <c r="D79" s="9"/>
      <c r="E79" s="9"/>
      <c r="F79" s="16" t="str">
        <f aca="false">IF(B79="","",IF(COUNTIFS('PM Plan'!$A$5:$A$304,B79,'PM Plan'!$B$5:$B$304,C79)&gt;0,"OK","No matching asset + task in plan"))</f>
        <v/>
      </c>
    </row>
    <row r="80" customFormat="false" ht="15" hidden="false" customHeight="false" outlineLevel="0" collapsed="false">
      <c r="A80" s="13"/>
      <c r="B80" s="9"/>
      <c r="C80" s="9"/>
      <c r="D80" s="9"/>
      <c r="E80" s="9"/>
      <c r="F80" s="16" t="str">
        <f aca="false">IF(B80="","",IF(COUNTIFS('PM Plan'!$A$5:$A$304,B80,'PM Plan'!$B$5:$B$304,C80)&gt;0,"OK","No matching asset + task in plan"))</f>
        <v/>
      </c>
    </row>
    <row r="81" customFormat="false" ht="15" hidden="false" customHeight="false" outlineLevel="0" collapsed="false">
      <c r="A81" s="13"/>
      <c r="B81" s="9"/>
      <c r="C81" s="9"/>
      <c r="D81" s="9"/>
      <c r="E81" s="9"/>
      <c r="F81" s="16" t="str">
        <f aca="false">IF(B81="","",IF(COUNTIFS('PM Plan'!$A$5:$A$304,B81,'PM Plan'!$B$5:$B$304,C81)&gt;0,"OK","No matching asset + task in plan"))</f>
        <v/>
      </c>
    </row>
    <row r="82" customFormat="false" ht="15" hidden="false" customHeight="false" outlineLevel="0" collapsed="false">
      <c r="A82" s="13"/>
      <c r="B82" s="9"/>
      <c r="C82" s="9"/>
      <c r="D82" s="9"/>
      <c r="E82" s="9"/>
      <c r="F82" s="16" t="str">
        <f aca="false">IF(B82="","",IF(COUNTIFS('PM Plan'!$A$5:$A$304,B82,'PM Plan'!$B$5:$B$304,C82)&gt;0,"OK","No matching asset + task in plan"))</f>
        <v/>
      </c>
    </row>
    <row r="83" customFormat="false" ht="15" hidden="false" customHeight="false" outlineLevel="0" collapsed="false">
      <c r="A83" s="13"/>
      <c r="B83" s="9"/>
      <c r="C83" s="9"/>
      <c r="D83" s="9"/>
      <c r="E83" s="9"/>
      <c r="F83" s="16" t="str">
        <f aca="false">IF(B83="","",IF(COUNTIFS('PM Plan'!$A$5:$A$304,B83,'PM Plan'!$B$5:$B$304,C83)&gt;0,"OK","No matching asset + task in plan"))</f>
        <v/>
      </c>
    </row>
    <row r="84" customFormat="false" ht="15" hidden="false" customHeight="false" outlineLevel="0" collapsed="false">
      <c r="A84" s="13"/>
      <c r="B84" s="9"/>
      <c r="C84" s="9"/>
      <c r="D84" s="9"/>
      <c r="E84" s="9"/>
      <c r="F84" s="16" t="str">
        <f aca="false">IF(B84="","",IF(COUNTIFS('PM Plan'!$A$5:$A$304,B84,'PM Plan'!$B$5:$B$304,C84)&gt;0,"OK","No matching asset + task in plan"))</f>
        <v/>
      </c>
    </row>
    <row r="85" customFormat="false" ht="15" hidden="false" customHeight="false" outlineLevel="0" collapsed="false">
      <c r="A85" s="13"/>
      <c r="B85" s="9"/>
      <c r="C85" s="9"/>
      <c r="D85" s="9"/>
      <c r="E85" s="9"/>
      <c r="F85" s="16" t="str">
        <f aca="false">IF(B85="","",IF(COUNTIFS('PM Plan'!$A$5:$A$304,B85,'PM Plan'!$B$5:$B$304,C85)&gt;0,"OK","No matching asset + task in plan"))</f>
        <v/>
      </c>
    </row>
    <row r="86" customFormat="false" ht="15" hidden="false" customHeight="false" outlineLevel="0" collapsed="false">
      <c r="A86" s="13"/>
      <c r="B86" s="9"/>
      <c r="C86" s="9"/>
      <c r="D86" s="9"/>
      <c r="E86" s="9"/>
      <c r="F86" s="16" t="str">
        <f aca="false">IF(B86="","",IF(COUNTIFS('PM Plan'!$A$5:$A$304,B86,'PM Plan'!$B$5:$B$304,C86)&gt;0,"OK","No matching asset + task in plan"))</f>
        <v/>
      </c>
    </row>
    <row r="87" customFormat="false" ht="15" hidden="false" customHeight="false" outlineLevel="0" collapsed="false">
      <c r="A87" s="13"/>
      <c r="B87" s="9"/>
      <c r="C87" s="9"/>
      <c r="D87" s="9"/>
      <c r="E87" s="9"/>
      <c r="F87" s="16" t="str">
        <f aca="false">IF(B87="","",IF(COUNTIFS('PM Plan'!$A$5:$A$304,B87,'PM Plan'!$B$5:$B$304,C87)&gt;0,"OK","No matching asset + task in plan"))</f>
        <v/>
      </c>
    </row>
    <row r="88" customFormat="false" ht="15" hidden="false" customHeight="false" outlineLevel="0" collapsed="false">
      <c r="A88" s="13"/>
      <c r="B88" s="9"/>
      <c r="C88" s="9"/>
      <c r="D88" s="9"/>
      <c r="E88" s="9"/>
      <c r="F88" s="16" t="str">
        <f aca="false">IF(B88="","",IF(COUNTIFS('PM Plan'!$A$5:$A$304,B88,'PM Plan'!$B$5:$B$304,C88)&gt;0,"OK","No matching asset + task in plan"))</f>
        <v/>
      </c>
    </row>
    <row r="89" customFormat="false" ht="15" hidden="false" customHeight="false" outlineLevel="0" collapsed="false">
      <c r="A89" s="13"/>
      <c r="B89" s="9"/>
      <c r="C89" s="9"/>
      <c r="D89" s="9"/>
      <c r="E89" s="9"/>
      <c r="F89" s="16" t="str">
        <f aca="false">IF(B89="","",IF(COUNTIFS('PM Plan'!$A$5:$A$304,B89,'PM Plan'!$B$5:$B$304,C89)&gt;0,"OK","No matching asset + task in plan"))</f>
        <v/>
      </c>
    </row>
    <row r="90" customFormat="false" ht="15" hidden="false" customHeight="false" outlineLevel="0" collapsed="false">
      <c r="A90" s="13"/>
      <c r="B90" s="9"/>
      <c r="C90" s="9"/>
      <c r="D90" s="9"/>
      <c r="E90" s="9"/>
      <c r="F90" s="16" t="str">
        <f aca="false">IF(B90="","",IF(COUNTIFS('PM Plan'!$A$5:$A$304,B90,'PM Plan'!$B$5:$B$304,C90)&gt;0,"OK","No matching asset + task in plan"))</f>
        <v/>
      </c>
    </row>
    <row r="91" customFormat="false" ht="15" hidden="false" customHeight="false" outlineLevel="0" collapsed="false">
      <c r="A91" s="13"/>
      <c r="B91" s="9"/>
      <c r="C91" s="9"/>
      <c r="D91" s="9"/>
      <c r="E91" s="9"/>
      <c r="F91" s="16" t="str">
        <f aca="false">IF(B91="","",IF(COUNTIFS('PM Plan'!$A$5:$A$304,B91,'PM Plan'!$B$5:$B$304,C91)&gt;0,"OK","No matching asset + task in plan"))</f>
        <v/>
      </c>
    </row>
    <row r="92" customFormat="false" ht="15" hidden="false" customHeight="false" outlineLevel="0" collapsed="false">
      <c r="A92" s="13"/>
      <c r="B92" s="9"/>
      <c r="C92" s="9"/>
      <c r="D92" s="9"/>
      <c r="E92" s="9"/>
      <c r="F92" s="16" t="str">
        <f aca="false">IF(B92="","",IF(COUNTIFS('PM Plan'!$A$5:$A$304,B92,'PM Plan'!$B$5:$B$304,C92)&gt;0,"OK","No matching asset + task in plan"))</f>
        <v/>
      </c>
    </row>
    <row r="93" customFormat="false" ht="15" hidden="false" customHeight="false" outlineLevel="0" collapsed="false">
      <c r="A93" s="13"/>
      <c r="B93" s="9"/>
      <c r="C93" s="9"/>
      <c r="D93" s="9"/>
      <c r="E93" s="9"/>
      <c r="F93" s="16" t="str">
        <f aca="false">IF(B93="","",IF(COUNTIFS('PM Plan'!$A$5:$A$304,B93,'PM Plan'!$B$5:$B$304,C93)&gt;0,"OK","No matching asset + task in plan"))</f>
        <v/>
      </c>
    </row>
    <row r="94" customFormat="false" ht="15" hidden="false" customHeight="false" outlineLevel="0" collapsed="false">
      <c r="A94" s="13"/>
      <c r="B94" s="9"/>
      <c r="C94" s="9"/>
      <c r="D94" s="9"/>
      <c r="E94" s="9"/>
      <c r="F94" s="16" t="str">
        <f aca="false">IF(B94="","",IF(COUNTIFS('PM Plan'!$A$5:$A$304,B94,'PM Plan'!$B$5:$B$304,C94)&gt;0,"OK","No matching asset + task in plan"))</f>
        <v/>
      </c>
    </row>
    <row r="95" customFormat="false" ht="15" hidden="false" customHeight="false" outlineLevel="0" collapsed="false">
      <c r="A95" s="13"/>
      <c r="B95" s="9"/>
      <c r="C95" s="9"/>
      <c r="D95" s="9"/>
      <c r="E95" s="9"/>
      <c r="F95" s="16" t="str">
        <f aca="false">IF(B95="","",IF(COUNTIFS('PM Plan'!$A$5:$A$304,B95,'PM Plan'!$B$5:$B$304,C95)&gt;0,"OK","No matching asset + task in plan"))</f>
        <v/>
      </c>
    </row>
    <row r="96" customFormat="false" ht="15" hidden="false" customHeight="false" outlineLevel="0" collapsed="false">
      <c r="A96" s="13"/>
      <c r="B96" s="9"/>
      <c r="C96" s="9"/>
      <c r="D96" s="9"/>
      <c r="E96" s="9"/>
      <c r="F96" s="16" t="str">
        <f aca="false">IF(B96="","",IF(COUNTIFS('PM Plan'!$A$5:$A$304,B96,'PM Plan'!$B$5:$B$304,C96)&gt;0,"OK","No matching asset + task in plan"))</f>
        <v/>
      </c>
    </row>
    <row r="97" customFormat="false" ht="15" hidden="false" customHeight="false" outlineLevel="0" collapsed="false">
      <c r="A97" s="13"/>
      <c r="B97" s="9"/>
      <c r="C97" s="9"/>
      <c r="D97" s="9"/>
      <c r="E97" s="9"/>
      <c r="F97" s="16" t="str">
        <f aca="false">IF(B97="","",IF(COUNTIFS('PM Plan'!$A$5:$A$304,B97,'PM Plan'!$B$5:$B$304,C97)&gt;0,"OK","No matching asset + task in plan"))</f>
        <v/>
      </c>
    </row>
    <row r="98" customFormat="false" ht="15" hidden="false" customHeight="false" outlineLevel="0" collapsed="false">
      <c r="A98" s="13"/>
      <c r="B98" s="9"/>
      <c r="C98" s="9"/>
      <c r="D98" s="9"/>
      <c r="E98" s="9"/>
      <c r="F98" s="16" t="str">
        <f aca="false">IF(B98="","",IF(COUNTIFS('PM Plan'!$A$5:$A$304,B98,'PM Plan'!$B$5:$B$304,C98)&gt;0,"OK","No matching asset + task in plan"))</f>
        <v/>
      </c>
    </row>
    <row r="99" customFormat="false" ht="15" hidden="false" customHeight="false" outlineLevel="0" collapsed="false">
      <c r="A99" s="13"/>
      <c r="B99" s="9"/>
      <c r="C99" s="9"/>
      <c r="D99" s="9"/>
      <c r="E99" s="9"/>
      <c r="F99" s="16" t="str">
        <f aca="false">IF(B99="","",IF(COUNTIFS('PM Plan'!$A$5:$A$304,B99,'PM Plan'!$B$5:$B$304,C99)&gt;0,"OK","No matching asset + task in plan"))</f>
        <v/>
      </c>
    </row>
    <row r="100" customFormat="false" ht="15" hidden="false" customHeight="false" outlineLevel="0" collapsed="false">
      <c r="A100" s="13"/>
      <c r="B100" s="9"/>
      <c r="C100" s="9"/>
      <c r="D100" s="9"/>
      <c r="E100" s="9"/>
      <c r="F100" s="16" t="str">
        <f aca="false">IF(B100="","",IF(COUNTIFS('PM Plan'!$A$5:$A$304,B100,'PM Plan'!$B$5:$B$304,C100)&gt;0,"OK","No matching asset + task in plan"))</f>
        <v/>
      </c>
    </row>
    <row r="101" customFormat="false" ht="15" hidden="false" customHeight="false" outlineLevel="0" collapsed="false">
      <c r="A101" s="13"/>
      <c r="B101" s="9"/>
      <c r="C101" s="9"/>
      <c r="D101" s="9"/>
      <c r="E101" s="9"/>
      <c r="F101" s="16" t="str">
        <f aca="false">IF(B101="","",IF(COUNTIFS('PM Plan'!$A$5:$A$304,B101,'PM Plan'!$B$5:$B$304,C101)&gt;0,"OK","No matching asset + task in plan"))</f>
        <v/>
      </c>
    </row>
    <row r="102" customFormat="false" ht="15" hidden="false" customHeight="false" outlineLevel="0" collapsed="false">
      <c r="A102" s="13"/>
      <c r="B102" s="9"/>
      <c r="C102" s="9"/>
      <c r="D102" s="9"/>
      <c r="E102" s="9"/>
      <c r="F102" s="16" t="str">
        <f aca="false">IF(B102="","",IF(COUNTIFS('PM Plan'!$A$5:$A$304,B102,'PM Plan'!$B$5:$B$304,C102)&gt;0,"OK","No matching asset + task in plan"))</f>
        <v/>
      </c>
    </row>
    <row r="103" customFormat="false" ht="15" hidden="false" customHeight="false" outlineLevel="0" collapsed="false">
      <c r="A103" s="13"/>
      <c r="B103" s="9"/>
      <c r="C103" s="9"/>
      <c r="D103" s="9"/>
      <c r="E103" s="9"/>
      <c r="F103" s="16" t="str">
        <f aca="false">IF(B103="","",IF(COUNTIFS('PM Plan'!$A$5:$A$304,B103,'PM Plan'!$B$5:$B$304,C103)&gt;0,"OK","No matching asset + task in plan"))</f>
        <v/>
      </c>
    </row>
    <row r="104" customFormat="false" ht="15" hidden="false" customHeight="false" outlineLevel="0" collapsed="false">
      <c r="A104" s="13"/>
      <c r="B104" s="9"/>
      <c r="C104" s="9"/>
      <c r="D104" s="9"/>
      <c r="E104" s="9"/>
      <c r="F104" s="16" t="str">
        <f aca="false">IF(B104="","",IF(COUNTIFS('PM Plan'!$A$5:$A$304,B104,'PM Plan'!$B$5:$B$304,C104)&gt;0,"OK","No matching asset + task in plan"))</f>
        <v/>
      </c>
    </row>
    <row r="105" customFormat="false" ht="15" hidden="false" customHeight="false" outlineLevel="0" collapsed="false">
      <c r="A105" s="13"/>
      <c r="B105" s="9"/>
      <c r="C105" s="9"/>
      <c r="D105" s="9"/>
      <c r="E105" s="9"/>
      <c r="F105" s="16" t="str">
        <f aca="false">IF(B105="","",IF(COUNTIFS('PM Plan'!$A$5:$A$304,B105,'PM Plan'!$B$5:$B$304,C105)&gt;0,"OK","No matching asset + task in plan"))</f>
        <v/>
      </c>
    </row>
    <row r="106" customFormat="false" ht="15" hidden="false" customHeight="false" outlineLevel="0" collapsed="false">
      <c r="A106" s="13"/>
      <c r="B106" s="9"/>
      <c r="C106" s="9"/>
      <c r="D106" s="9"/>
      <c r="E106" s="9"/>
      <c r="F106" s="16" t="str">
        <f aca="false">IF(B106="","",IF(COUNTIFS('PM Plan'!$A$5:$A$304,B106,'PM Plan'!$B$5:$B$304,C106)&gt;0,"OK","No matching asset + task in plan"))</f>
        <v/>
      </c>
    </row>
    <row r="107" customFormat="false" ht="15" hidden="false" customHeight="false" outlineLevel="0" collapsed="false">
      <c r="A107" s="13"/>
      <c r="B107" s="9"/>
      <c r="C107" s="9"/>
      <c r="D107" s="9"/>
      <c r="E107" s="9"/>
      <c r="F107" s="16" t="str">
        <f aca="false">IF(B107="","",IF(COUNTIFS('PM Plan'!$A$5:$A$304,B107,'PM Plan'!$B$5:$B$304,C107)&gt;0,"OK","No matching asset + task in plan"))</f>
        <v/>
      </c>
    </row>
    <row r="108" customFormat="false" ht="15" hidden="false" customHeight="false" outlineLevel="0" collapsed="false">
      <c r="A108" s="13"/>
      <c r="B108" s="9"/>
      <c r="C108" s="9"/>
      <c r="D108" s="9"/>
      <c r="E108" s="9"/>
      <c r="F108" s="16" t="str">
        <f aca="false">IF(B108="","",IF(COUNTIFS('PM Plan'!$A$5:$A$304,B108,'PM Plan'!$B$5:$B$304,C108)&gt;0,"OK","No matching asset + task in plan"))</f>
        <v/>
      </c>
    </row>
    <row r="109" customFormat="false" ht="15" hidden="false" customHeight="false" outlineLevel="0" collapsed="false">
      <c r="A109" s="13"/>
      <c r="B109" s="9"/>
      <c r="C109" s="9"/>
      <c r="D109" s="9"/>
      <c r="E109" s="9"/>
      <c r="F109" s="16" t="str">
        <f aca="false">IF(B109="","",IF(COUNTIFS('PM Plan'!$A$5:$A$304,B109,'PM Plan'!$B$5:$B$304,C109)&gt;0,"OK","No matching asset + task in plan"))</f>
        <v/>
      </c>
    </row>
    <row r="110" customFormat="false" ht="15" hidden="false" customHeight="false" outlineLevel="0" collapsed="false">
      <c r="A110" s="13"/>
      <c r="B110" s="9"/>
      <c r="C110" s="9"/>
      <c r="D110" s="9"/>
      <c r="E110" s="9"/>
      <c r="F110" s="16" t="str">
        <f aca="false">IF(B110="","",IF(COUNTIFS('PM Plan'!$A$5:$A$304,B110,'PM Plan'!$B$5:$B$304,C110)&gt;0,"OK","No matching asset + task in plan"))</f>
        <v/>
      </c>
    </row>
    <row r="111" customFormat="false" ht="15" hidden="false" customHeight="false" outlineLevel="0" collapsed="false">
      <c r="A111" s="13"/>
      <c r="B111" s="9"/>
      <c r="C111" s="9"/>
      <c r="D111" s="9"/>
      <c r="E111" s="9"/>
      <c r="F111" s="16" t="str">
        <f aca="false">IF(B111="","",IF(COUNTIFS('PM Plan'!$A$5:$A$304,B111,'PM Plan'!$B$5:$B$304,C111)&gt;0,"OK","No matching asset + task in plan"))</f>
        <v/>
      </c>
    </row>
    <row r="112" customFormat="false" ht="15" hidden="false" customHeight="false" outlineLevel="0" collapsed="false">
      <c r="A112" s="13"/>
      <c r="B112" s="9"/>
      <c r="C112" s="9"/>
      <c r="D112" s="9"/>
      <c r="E112" s="9"/>
      <c r="F112" s="16" t="str">
        <f aca="false">IF(B112="","",IF(COUNTIFS('PM Plan'!$A$5:$A$304,B112,'PM Plan'!$B$5:$B$304,C112)&gt;0,"OK","No matching asset + task in plan"))</f>
        <v/>
      </c>
    </row>
    <row r="113" customFormat="false" ht="15" hidden="false" customHeight="false" outlineLevel="0" collapsed="false">
      <c r="A113" s="13"/>
      <c r="B113" s="9"/>
      <c r="C113" s="9"/>
      <c r="D113" s="9"/>
      <c r="E113" s="9"/>
      <c r="F113" s="16" t="str">
        <f aca="false">IF(B113="","",IF(COUNTIFS('PM Plan'!$A$5:$A$304,B113,'PM Plan'!$B$5:$B$304,C113)&gt;0,"OK","No matching asset + task in plan"))</f>
        <v/>
      </c>
    </row>
    <row r="114" customFormat="false" ht="15" hidden="false" customHeight="false" outlineLevel="0" collapsed="false">
      <c r="A114" s="13"/>
      <c r="B114" s="9"/>
      <c r="C114" s="9"/>
      <c r="D114" s="9"/>
      <c r="E114" s="9"/>
      <c r="F114" s="16" t="str">
        <f aca="false">IF(B114="","",IF(COUNTIFS('PM Plan'!$A$5:$A$304,B114,'PM Plan'!$B$5:$B$304,C114)&gt;0,"OK","No matching asset + task in plan"))</f>
        <v/>
      </c>
    </row>
    <row r="115" customFormat="false" ht="15" hidden="false" customHeight="false" outlineLevel="0" collapsed="false">
      <c r="A115" s="13"/>
      <c r="B115" s="9"/>
      <c r="C115" s="9"/>
      <c r="D115" s="9"/>
      <c r="E115" s="9"/>
      <c r="F115" s="16" t="str">
        <f aca="false">IF(B115="","",IF(COUNTIFS('PM Plan'!$A$5:$A$304,B115,'PM Plan'!$B$5:$B$304,C115)&gt;0,"OK","No matching asset + task in plan"))</f>
        <v/>
      </c>
    </row>
    <row r="116" customFormat="false" ht="15" hidden="false" customHeight="false" outlineLevel="0" collapsed="false">
      <c r="A116" s="13"/>
      <c r="B116" s="9"/>
      <c r="C116" s="9"/>
      <c r="D116" s="9"/>
      <c r="E116" s="9"/>
      <c r="F116" s="16" t="str">
        <f aca="false">IF(B116="","",IF(COUNTIFS('PM Plan'!$A$5:$A$304,B116,'PM Plan'!$B$5:$B$304,C116)&gt;0,"OK","No matching asset + task in plan"))</f>
        <v/>
      </c>
    </row>
    <row r="117" customFormat="false" ht="15" hidden="false" customHeight="false" outlineLevel="0" collapsed="false">
      <c r="A117" s="13"/>
      <c r="B117" s="9"/>
      <c r="C117" s="9"/>
      <c r="D117" s="9"/>
      <c r="E117" s="9"/>
      <c r="F117" s="16" t="str">
        <f aca="false">IF(B117="","",IF(COUNTIFS('PM Plan'!$A$5:$A$304,B117,'PM Plan'!$B$5:$B$304,C117)&gt;0,"OK","No matching asset + task in plan"))</f>
        <v/>
      </c>
    </row>
    <row r="118" customFormat="false" ht="15" hidden="false" customHeight="false" outlineLevel="0" collapsed="false">
      <c r="A118" s="13"/>
      <c r="B118" s="9"/>
      <c r="C118" s="9"/>
      <c r="D118" s="9"/>
      <c r="E118" s="9"/>
      <c r="F118" s="16" t="str">
        <f aca="false">IF(B118="","",IF(COUNTIFS('PM Plan'!$A$5:$A$304,B118,'PM Plan'!$B$5:$B$304,C118)&gt;0,"OK","No matching asset + task in plan"))</f>
        <v/>
      </c>
    </row>
    <row r="119" customFormat="false" ht="15" hidden="false" customHeight="false" outlineLevel="0" collapsed="false">
      <c r="A119" s="13"/>
      <c r="B119" s="9"/>
      <c r="C119" s="9"/>
      <c r="D119" s="9"/>
      <c r="E119" s="9"/>
      <c r="F119" s="16" t="str">
        <f aca="false">IF(B119="","",IF(COUNTIFS('PM Plan'!$A$5:$A$304,B119,'PM Plan'!$B$5:$B$304,C119)&gt;0,"OK","No matching asset + task in plan"))</f>
        <v/>
      </c>
    </row>
    <row r="120" customFormat="false" ht="15" hidden="false" customHeight="false" outlineLevel="0" collapsed="false">
      <c r="A120" s="13"/>
      <c r="B120" s="9"/>
      <c r="C120" s="9"/>
      <c r="D120" s="9"/>
      <c r="E120" s="9"/>
      <c r="F120" s="16" t="str">
        <f aca="false">IF(B120="","",IF(COUNTIFS('PM Plan'!$A$5:$A$304,B120,'PM Plan'!$B$5:$B$304,C120)&gt;0,"OK","No matching asset + task in plan"))</f>
        <v/>
      </c>
    </row>
    <row r="121" customFormat="false" ht="15" hidden="false" customHeight="false" outlineLevel="0" collapsed="false">
      <c r="A121" s="13"/>
      <c r="B121" s="9"/>
      <c r="C121" s="9"/>
      <c r="D121" s="9"/>
      <c r="E121" s="9"/>
      <c r="F121" s="16" t="str">
        <f aca="false">IF(B121="","",IF(COUNTIFS('PM Plan'!$A$5:$A$304,B121,'PM Plan'!$B$5:$B$304,C121)&gt;0,"OK","No matching asset + task in plan"))</f>
        <v/>
      </c>
    </row>
    <row r="122" customFormat="false" ht="15" hidden="false" customHeight="false" outlineLevel="0" collapsed="false">
      <c r="A122" s="13"/>
      <c r="B122" s="9"/>
      <c r="C122" s="9"/>
      <c r="D122" s="9"/>
      <c r="E122" s="9"/>
      <c r="F122" s="16" t="str">
        <f aca="false">IF(B122="","",IF(COUNTIFS('PM Plan'!$A$5:$A$304,B122,'PM Plan'!$B$5:$B$304,C122)&gt;0,"OK","No matching asset + task in plan"))</f>
        <v/>
      </c>
    </row>
    <row r="123" customFormat="false" ht="15" hidden="false" customHeight="false" outlineLevel="0" collapsed="false">
      <c r="A123" s="13"/>
      <c r="B123" s="9"/>
      <c r="C123" s="9"/>
      <c r="D123" s="9"/>
      <c r="E123" s="9"/>
      <c r="F123" s="16" t="str">
        <f aca="false">IF(B123="","",IF(COUNTIFS('PM Plan'!$A$5:$A$304,B123,'PM Plan'!$B$5:$B$304,C123)&gt;0,"OK","No matching asset + task in plan"))</f>
        <v/>
      </c>
    </row>
    <row r="124" customFormat="false" ht="15" hidden="false" customHeight="false" outlineLevel="0" collapsed="false">
      <c r="A124" s="13"/>
      <c r="B124" s="9"/>
      <c r="C124" s="9"/>
      <c r="D124" s="9"/>
      <c r="E124" s="9"/>
      <c r="F124" s="16" t="str">
        <f aca="false">IF(B124="","",IF(COUNTIFS('PM Plan'!$A$5:$A$304,B124,'PM Plan'!$B$5:$B$304,C124)&gt;0,"OK","No matching asset + task in plan"))</f>
        <v/>
      </c>
    </row>
    <row r="125" customFormat="false" ht="15" hidden="false" customHeight="false" outlineLevel="0" collapsed="false">
      <c r="A125" s="13"/>
      <c r="B125" s="9"/>
      <c r="C125" s="9"/>
      <c r="D125" s="9"/>
      <c r="E125" s="9"/>
      <c r="F125" s="16" t="str">
        <f aca="false">IF(B125="","",IF(COUNTIFS('PM Plan'!$A$5:$A$304,B125,'PM Plan'!$B$5:$B$304,C125)&gt;0,"OK","No matching asset + task in plan"))</f>
        <v/>
      </c>
    </row>
    <row r="126" customFormat="false" ht="15" hidden="false" customHeight="false" outlineLevel="0" collapsed="false">
      <c r="A126" s="13"/>
      <c r="B126" s="9"/>
      <c r="C126" s="9"/>
      <c r="D126" s="9"/>
      <c r="E126" s="9"/>
      <c r="F126" s="16" t="str">
        <f aca="false">IF(B126="","",IF(COUNTIFS('PM Plan'!$A$5:$A$304,B126,'PM Plan'!$B$5:$B$304,C126)&gt;0,"OK","No matching asset + task in plan"))</f>
        <v/>
      </c>
    </row>
    <row r="127" customFormat="false" ht="15" hidden="false" customHeight="false" outlineLevel="0" collapsed="false">
      <c r="A127" s="13"/>
      <c r="B127" s="9"/>
      <c r="C127" s="9"/>
      <c r="D127" s="9"/>
      <c r="E127" s="9"/>
      <c r="F127" s="16" t="str">
        <f aca="false">IF(B127="","",IF(COUNTIFS('PM Plan'!$A$5:$A$304,B127,'PM Plan'!$B$5:$B$304,C127)&gt;0,"OK","No matching asset + task in plan"))</f>
        <v/>
      </c>
    </row>
    <row r="128" customFormat="false" ht="15" hidden="false" customHeight="false" outlineLevel="0" collapsed="false">
      <c r="A128" s="13"/>
      <c r="B128" s="9"/>
      <c r="C128" s="9"/>
      <c r="D128" s="9"/>
      <c r="E128" s="9"/>
      <c r="F128" s="16" t="str">
        <f aca="false">IF(B128="","",IF(COUNTIFS('PM Plan'!$A$5:$A$304,B128,'PM Plan'!$B$5:$B$304,C128)&gt;0,"OK","No matching asset + task in plan"))</f>
        <v/>
      </c>
    </row>
    <row r="129" customFormat="false" ht="15" hidden="false" customHeight="false" outlineLevel="0" collapsed="false">
      <c r="A129" s="13"/>
      <c r="B129" s="9"/>
      <c r="C129" s="9"/>
      <c r="D129" s="9"/>
      <c r="E129" s="9"/>
      <c r="F129" s="16" t="str">
        <f aca="false">IF(B129="","",IF(COUNTIFS('PM Plan'!$A$5:$A$304,B129,'PM Plan'!$B$5:$B$304,C129)&gt;0,"OK","No matching asset + task in plan"))</f>
        <v/>
      </c>
    </row>
    <row r="130" customFormat="false" ht="15" hidden="false" customHeight="false" outlineLevel="0" collapsed="false">
      <c r="A130" s="13"/>
      <c r="B130" s="9"/>
      <c r="C130" s="9"/>
      <c r="D130" s="9"/>
      <c r="E130" s="9"/>
      <c r="F130" s="16" t="str">
        <f aca="false">IF(B130="","",IF(COUNTIFS('PM Plan'!$A$5:$A$304,B130,'PM Plan'!$B$5:$B$304,C130)&gt;0,"OK","No matching asset + task in plan"))</f>
        <v/>
      </c>
    </row>
    <row r="131" customFormat="false" ht="15" hidden="false" customHeight="false" outlineLevel="0" collapsed="false">
      <c r="A131" s="13"/>
      <c r="B131" s="9"/>
      <c r="C131" s="9"/>
      <c r="D131" s="9"/>
      <c r="E131" s="9"/>
      <c r="F131" s="16" t="str">
        <f aca="false">IF(B131="","",IF(COUNTIFS('PM Plan'!$A$5:$A$304,B131,'PM Plan'!$B$5:$B$304,C131)&gt;0,"OK","No matching asset + task in plan"))</f>
        <v/>
      </c>
    </row>
    <row r="132" customFormat="false" ht="15" hidden="false" customHeight="false" outlineLevel="0" collapsed="false">
      <c r="A132" s="13"/>
      <c r="B132" s="9"/>
      <c r="C132" s="9"/>
      <c r="D132" s="9"/>
      <c r="E132" s="9"/>
      <c r="F132" s="16" t="str">
        <f aca="false">IF(B132="","",IF(COUNTIFS('PM Plan'!$A$5:$A$304,B132,'PM Plan'!$B$5:$B$304,C132)&gt;0,"OK","No matching asset + task in plan"))</f>
        <v/>
      </c>
    </row>
    <row r="133" customFormat="false" ht="15" hidden="false" customHeight="false" outlineLevel="0" collapsed="false">
      <c r="A133" s="13"/>
      <c r="B133" s="9"/>
      <c r="C133" s="9"/>
      <c r="D133" s="9"/>
      <c r="E133" s="9"/>
      <c r="F133" s="16" t="str">
        <f aca="false">IF(B133="","",IF(COUNTIFS('PM Plan'!$A$5:$A$304,B133,'PM Plan'!$B$5:$B$304,C133)&gt;0,"OK","No matching asset + task in plan"))</f>
        <v/>
      </c>
    </row>
    <row r="134" customFormat="false" ht="15" hidden="false" customHeight="false" outlineLevel="0" collapsed="false">
      <c r="A134" s="13"/>
      <c r="B134" s="9"/>
      <c r="C134" s="9"/>
      <c r="D134" s="9"/>
      <c r="E134" s="9"/>
      <c r="F134" s="16" t="str">
        <f aca="false">IF(B134="","",IF(COUNTIFS('PM Plan'!$A$5:$A$304,B134,'PM Plan'!$B$5:$B$304,C134)&gt;0,"OK","No matching asset + task in plan"))</f>
        <v/>
      </c>
    </row>
    <row r="135" customFormat="false" ht="15" hidden="false" customHeight="false" outlineLevel="0" collapsed="false">
      <c r="A135" s="13"/>
      <c r="B135" s="9"/>
      <c r="C135" s="9"/>
      <c r="D135" s="9"/>
      <c r="E135" s="9"/>
      <c r="F135" s="16" t="str">
        <f aca="false">IF(B135="","",IF(COUNTIFS('PM Plan'!$A$5:$A$304,B135,'PM Plan'!$B$5:$B$304,C135)&gt;0,"OK","No matching asset + task in plan"))</f>
        <v/>
      </c>
    </row>
    <row r="136" customFormat="false" ht="15" hidden="false" customHeight="false" outlineLevel="0" collapsed="false">
      <c r="A136" s="13"/>
      <c r="B136" s="9"/>
      <c r="C136" s="9"/>
      <c r="D136" s="9"/>
      <c r="E136" s="9"/>
      <c r="F136" s="16" t="str">
        <f aca="false">IF(B136="","",IF(COUNTIFS('PM Plan'!$A$5:$A$304,B136,'PM Plan'!$B$5:$B$304,C136)&gt;0,"OK","No matching asset + task in plan"))</f>
        <v/>
      </c>
    </row>
    <row r="137" customFormat="false" ht="15" hidden="false" customHeight="false" outlineLevel="0" collapsed="false">
      <c r="A137" s="13"/>
      <c r="B137" s="9"/>
      <c r="C137" s="9"/>
      <c r="D137" s="9"/>
      <c r="E137" s="9"/>
      <c r="F137" s="16" t="str">
        <f aca="false">IF(B137="","",IF(COUNTIFS('PM Plan'!$A$5:$A$304,B137,'PM Plan'!$B$5:$B$304,C137)&gt;0,"OK","No matching asset + task in plan"))</f>
        <v/>
      </c>
    </row>
    <row r="138" customFormat="false" ht="15" hidden="false" customHeight="false" outlineLevel="0" collapsed="false">
      <c r="A138" s="13"/>
      <c r="B138" s="9"/>
      <c r="C138" s="9"/>
      <c r="D138" s="9"/>
      <c r="E138" s="9"/>
      <c r="F138" s="16" t="str">
        <f aca="false">IF(B138="","",IF(COUNTIFS('PM Plan'!$A$5:$A$304,B138,'PM Plan'!$B$5:$B$304,C138)&gt;0,"OK","No matching asset + task in plan"))</f>
        <v/>
      </c>
    </row>
    <row r="139" customFormat="false" ht="15" hidden="false" customHeight="false" outlineLevel="0" collapsed="false">
      <c r="A139" s="13"/>
      <c r="B139" s="9"/>
      <c r="C139" s="9"/>
      <c r="D139" s="9"/>
      <c r="E139" s="9"/>
      <c r="F139" s="16" t="str">
        <f aca="false">IF(B139="","",IF(COUNTIFS('PM Plan'!$A$5:$A$304,B139,'PM Plan'!$B$5:$B$304,C139)&gt;0,"OK","No matching asset + task in plan"))</f>
        <v/>
      </c>
    </row>
    <row r="140" customFormat="false" ht="15" hidden="false" customHeight="false" outlineLevel="0" collapsed="false">
      <c r="A140" s="13"/>
      <c r="B140" s="9"/>
      <c r="C140" s="9"/>
      <c r="D140" s="9"/>
      <c r="E140" s="9"/>
      <c r="F140" s="16" t="str">
        <f aca="false">IF(B140="","",IF(COUNTIFS('PM Plan'!$A$5:$A$304,B140,'PM Plan'!$B$5:$B$304,C140)&gt;0,"OK","No matching asset + task in plan"))</f>
        <v/>
      </c>
    </row>
    <row r="141" customFormat="false" ht="15" hidden="false" customHeight="false" outlineLevel="0" collapsed="false">
      <c r="A141" s="13"/>
      <c r="B141" s="9"/>
      <c r="C141" s="9"/>
      <c r="D141" s="9"/>
      <c r="E141" s="9"/>
      <c r="F141" s="16" t="str">
        <f aca="false">IF(B141="","",IF(COUNTIFS('PM Plan'!$A$5:$A$304,B141,'PM Plan'!$B$5:$B$304,C141)&gt;0,"OK","No matching asset + task in plan"))</f>
        <v/>
      </c>
    </row>
    <row r="142" customFormat="false" ht="15" hidden="false" customHeight="false" outlineLevel="0" collapsed="false">
      <c r="A142" s="13"/>
      <c r="B142" s="9"/>
      <c r="C142" s="9"/>
      <c r="D142" s="9"/>
      <c r="E142" s="9"/>
      <c r="F142" s="16" t="str">
        <f aca="false">IF(B142="","",IF(COUNTIFS('PM Plan'!$A$5:$A$304,B142,'PM Plan'!$B$5:$B$304,C142)&gt;0,"OK","No matching asset + task in plan"))</f>
        <v/>
      </c>
    </row>
    <row r="143" customFormat="false" ht="15" hidden="false" customHeight="false" outlineLevel="0" collapsed="false">
      <c r="A143" s="13"/>
      <c r="B143" s="9"/>
      <c r="C143" s="9"/>
      <c r="D143" s="9"/>
      <c r="E143" s="9"/>
      <c r="F143" s="16" t="str">
        <f aca="false">IF(B143="","",IF(COUNTIFS('PM Plan'!$A$5:$A$304,B143,'PM Plan'!$B$5:$B$304,C143)&gt;0,"OK","No matching asset + task in plan"))</f>
        <v/>
      </c>
    </row>
    <row r="144" customFormat="false" ht="15" hidden="false" customHeight="false" outlineLevel="0" collapsed="false">
      <c r="A144" s="13"/>
      <c r="B144" s="9"/>
      <c r="C144" s="9"/>
      <c r="D144" s="9"/>
      <c r="E144" s="9"/>
      <c r="F144" s="16" t="str">
        <f aca="false">IF(B144="","",IF(COUNTIFS('PM Plan'!$A$5:$A$304,B144,'PM Plan'!$B$5:$B$304,C144)&gt;0,"OK","No matching asset + task in plan"))</f>
        <v/>
      </c>
    </row>
    <row r="145" customFormat="false" ht="15" hidden="false" customHeight="false" outlineLevel="0" collapsed="false">
      <c r="A145" s="13"/>
      <c r="B145" s="9"/>
      <c r="C145" s="9"/>
      <c r="D145" s="9"/>
      <c r="E145" s="9"/>
      <c r="F145" s="16" t="str">
        <f aca="false">IF(B145="","",IF(COUNTIFS('PM Plan'!$A$5:$A$304,B145,'PM Plan'!$B$5:$B$304,C145)&gt;0,"OK","No matching asset + task in plan"))</f>
        <v/>
      </c>
    </row>
    <row r="146" customFormat="false" ht="15" hidden="false" customHeight="false" outlineLevel="0" collapsed="false">
      <c r="A146" s="13"/>
      <c r="B146" s="9"/>
      <c r="C146" s="9"/>
      <c r="D146" s="9"/>
      <c r="E146" s="9"/>
      <c r="F146" s="16" t="str">
        <f aca="false">IF(B146="","",IF(COUNTIFS('PM Plan'!$A$5:$A$304,B146,'PM Plan'!$B$5:$B$304,C146)&gt;0,"OK","No matching asset + task in plan"))</f>
        <v/>
      </c>
    </row>
    <row r="147" customFormat="false" ht="15" hidden="false" customHeight="false" outlineLevel="0" collapsed="false">
      <c r="A147" s="13"/>
      <c r="B147" s="9"/>
      <c r="C147" s="9"/>
      <c r="D147" s="9"/>
      <c r="E147" s="9"/>
      <c r="F147" s="16" t="str">
        <f aca="false">IF(B147="","",IF(COUNTIFS('PM Plan'!$A$5:$A$304,B147,'PM Plan'!$B$5:$B$304,C147)&gt;0,"OK","No matching asset + task in plan"))</f>
        <v/>
      </c>
    </row>
    <row r="148" customFormat="false" ht="15" hidden="false" customHeight="false" outlineLevel="0" collapsed="false">
      <c r="A148" s="13"/>
      <c r="B148" s="9"/>
      <c r="C148" s="9"/>
      <c r="D148" s="9"/>
      <c r="E148" s="9"/>
      <c r="F148" s="16" t="str">
        <f aca="false">IF(B148="","",IF(COUNTIFS('PM Plan'!$A$5:$A$304,B148,'PM Plan'!$B$5:$B$304,C148)&gt;0,"OK","No matching asset + task in plan"))</f>
        <v/>
      </c>
    </row>
    <row r="149" customFormat="false" ht="15" hidden="false" customHeight="false" outlineLevel="0" collapsed="false">
      <c r="A149" s="13"/>
      <c r="B149" s="9"/>
      <c r="C149" s="9"/>
      <c r="D149" s="9"/>
      <c r="E149" s="9"/>
      <c r="F149" s="16" t="str">
        <f aca="false">IF(B149="","",IF(COUNTIFS('PM Plan'!$A$5:$A$304,B149,'PM Plan'!$B$5:$B$304,C149)&gt;0,"OK","No matching asset + task in plan"))</f>
        <v/>
      </c>
    </row>
    <row r="150" customFormat="false" ht="15" hidden="false" customHeight="false" outlineLevel="0" collapsed="false">
      <c r="A150" s="13"/>
      <c r="B150" s="9"/>
      <c r="C150" s="9"/>
      <c r="D150" s="9"/>
      <c r="E150" s="9"/>
      <c r="F150" s="16" t="str">
        <f aca="false">IF(B150="","",IF(COUNTIFS('PM Plan'!$A$5:$A$304,B150,'PM Plan'!$B$5:$B$304,C150)&gt;0,"OK","No matching asset + task in plan"))</f>
        <v/>
      </c>
    </row>
    <row r="151" customFormat="false" ht="15" hidden="false" customHeight="false" outlineLevel="0" collapsed="false">
      <c r="A151" s="13"/>
      <c r="B151" s="9"/>
      <c r="C151" s="9"/>
      <c r="D151" s="9"/>
      <c r="E151" s="9"/>
      <c r="F151" s="16" t="str">
        <f aca="false">IF(B151="","",IF(COUNTIFS('PM Plan'!$A$5:$A$304,B151,'PM Plan'!$B$5:$B$304,C151)&gt;0,"OK","No matching asset + task in plan"))</f>
        <v/>
      </c>
    </row>
    <row r="152" customFormat="false" ht="15" hidden="false" customHeight="false" outlineLevel="0" collapsed="false">
      <c r="A152" s="13"/>
      <c r="B152" s="9"/>
      <c r="C152" s="9"/>
      <c r="D152" s="9"/>
      <c r="E152" s="9"/>
      <c r="F152" s="16" t="str">
        <f aca="false">IF(B152="","",IF(COUNTIFS('PM Plan'!$A$5:$A$304,B152,'PM Plan'!$B$5:$B$304,C152)&gt;0,"OK","No matching asset + task in plan"))</f>
        <v/>
      </c>
    </row>
    <row r="153" customFormat="false" ht="15" hidden="false" customHeight="false" outlineLevel="0" collapsed="false">
      <c r="A153" s="13"/>
      <c r="B153" s="9"/>
      <c r="C153" s="9"/>
      <c r="D153" s="9"/>
      <c r="E153" s="9"/>
      <c r="F153" s="16" t="str">
        <f aca="false">IF(B153="","",IF(COUNTIFS('PM Plan'!$A$5:$A$304,B153,'PM Plan'!$B$5:$B$304,C153)&gt;0,"OK","No matching asset + task in plan"))</f>
        <v/>
      </c>
    </row>
    <row r="154" customFormat="false" ht="15" hidden="false" customHeight="false" outlineLevel="0" collapsed="false">
      <c r="A154" s="13"/>
      <c r="B154" s="9"/>
      <c r="C154" s="9"/>
      <c r="D154" s="9"/>
      <c r="E154" s="9"/>
      <c r="F154" s="16" t="str">
        <f aca="false">IF(B154="","",IF(COUNTIFS('PM Plan'!$A$5:$A$304,B154,'PM Plan'!$B$5:$B$304,C154)&gt;0,"OK","No matching asset + task in plan"))</f>
        <v/>
      </c>
    </row>
    <row r="155" customFormat="false" ht="15" hidden="false" customHeight="false" outlineLevel="0" collapsed="false">
      <c r="A155" s="13"/>
      <c r="B155" s="9"/>
      <c r="C155" s="9"/>
      <c r="D155" s="9"/>
      <c r="E155" s="9"/>
      <c r="F155" s="16" t="str">
        <f aca="false">IF(B155="","",IF(COUNTIFS('PM Plan'!$A$5:$A$304,B155,'PM Plan'!$B$5:$B$304,C155)&gt;0,"OK","No matching asset + task in plan"))</f>
        <v/>
      </c>
    </row>
    <row r="156" customFormat="false" ht="15" hidden="false" customHeight="false" outlineLevel="0" collapsed="false">
      <c r="A156" s="13"/>
      <c r="B156" s="9"/>
      <c r="C156" s="9"/>
      <c r="D156" s="9"/>
      <c r="E156" s="9"/>
      <c r="F156" s="16" t="str">
        <f aca="false">IF(B156="","",IF(COUNTIFS('PM Plan'!$A$5:$A$304,B156,'PM Plan'!$B$5:$B$304,C156)&gt;0,"OK","No matching asset + task in plan"))</f>
        <v/>
      </c>
    </row>
    <row r="157" customFormat="false" ht="15" hidden="false" customHeight="false" outlineLevel="0" collapsed="false">
      <c r="A157" s="13"/>
      <c r="B157" s="9"/>
      <c r="C157" s="9"/>
      <c r="D157" s="9"/>
      <c r="E157" s="9"/>
      <c r="F157" s="16" t="str">
        <f aca="false">IF(B157="","",IF(COUNTIFS('PM Plan'!$A$5:$A$304,B157,'PM Plan'!$B$5:$B$304,C157)&gt;0,"OK","No matching asset + task in plan"))</f>
        <v/>
      </c>
    </row>
    <row r="158" customFormat="false" ht="15" hidden="false" customHeight="false" outlineLevel="0" collapsed="false">
      <c r="A158" s="13"/>
      <c r="B158" s="9"/>
      <c r="C158" s="9"/>
      <c r="D158" s="9"/>
      <c r="E158" s="9"/>
      <c r="F158" s="16" t="str">
        <f aca="false">IF(B158="","",IF(COUNTIFS('PM Plan'!$A$5:$A$304,B158,'PM Plan'!$B$5:$B$304,C158)&gt;0,"OK","No matching asset + task in plan"))</f>
        <v/>
      </c>
    </row>
    <row r="159" customFormat="false" ht="15" hidden="false" customHeight="false" outlineLevel="0" collapsed="false">
      <c r="A159" s="13"/>
      <c r="B159" s="9"/>
      <c r="C159" s="9"/>
      <c r="D159" s="9"/>
      <c r="E159" s="9"/>
      <c r="F159" s="16" t="str">
        <f aca="false">IF(B159="","",IF(COUNTIFS('PM Plan'!$A$5:$A$304,B159,'PM Plan'!$B$5:$B$304,C159)&gt;0,"OK","No matching asset + task in plan"))</f>
        <v/>
      </c>
    </row>
    <row r="160" customFormat="false" ht="15" hidden="false" customHeight="false" outlineLevel="0" collapsed="false">
      <c r="A160" s="13"/>
      <c r="B160" s="9"/>
      <c r="C160" s="9"/>
      <c r="D160" s="9"/>
      <c r="E160" s="9"/>
      <c r="F160" s="16" t="str">
        <f aca="false">IF(B160="","",IF(COUNTIFS('PM Plan'!$A$5:$A$304,B160,'PM Plan'!$B$5:$B$304,C160)&gt;0,"OK","No matching asset + task in plan"))</f>
        <v/>
      </c>
    </row>
    <row r="161" customFormat="false" ht="15" hidden="false" customHeight="false" outlineLevel="0" collapsed="false">
      <c r="A161" s="13"/>
      <c r="B161" s="9"/>
      <c r="C161" s="9"/>
      <c r="D161" s="9"/>
      <c r="E161" s="9"/>
      <c r="F161" s="16" t="str">
        <f aca="false">IF(B161="","",IF(COUNTIFS('PM Plan'!$A$5:$A$304,B161,'PM Plan'!$B$5:$B$304,C161)&gt;0,"OK","No matching asset + task in plan"))</f>
        <v/>
      </c>
    </row>
    <row r="162" customFormat="false" ht="15" hidden="false" customHeight="false" outlineLevel="0" collapsed="false">
      <c r="A162" s="13"/>
      <c r="B162" s="9"/>
      <c r="C162" s="9"/>
      <c r="D162" s="9"/>
      <c r="E162" s="9"/>
      <c r="F162" s="16" t="str">
        <f aca="false">IF(B162="","",IF(COUNTIFS('PM Plan'!$A$5:$A$304,B162,'PM Plan'!$B$5:$B$304,C162)&gt;0,"OK","No matching asset + task in plan"))</f>
        <v/>
      </c>
    </row>
    <row r="163" customFormat="false" ht="15" hidden="false" customHeight="false" outlineLevel="0" collapsed="false">
      <c r="A163" s="13"/>
      <c r="B163" s="9"/>
      <c r="C163" s="9"/>
      <c r="D163" s="9"/>
      <c r="E163" s="9"/>
      <c r="F163" s="16" t="str">
        <f aca="false">IF(B163="","",IF(COUNTIFS('PM Plan'!$A$5:$A$304,B163,'PM Plan'!$B$5:$B$304,C163)&gt;0,"OK","No matching asset + task in plan"))</f>
        <v/>
      </c>
    </row>
    <row r="164" customFormat="false" ht="15" hidden="false" customHeight="false" outlineLevel="0" collapsed="false">
      <c r="A164" s="13"/>
      <c r="B164" s="9"/>
      <c r="C164" s="9"/>
      <c r="D164" s="9"/>
      <c r="E164" s="9"/>
      <c r="F164" s="16" t="str">
        <f aca="false">IF(B164="","",IF(COUNTIFS('PM Plan'!$A$5:$A$304,B164,'PM Plan'!$B$5:$B$304,C164)&gt;0,"OK","No matching asset + task in plan"))</f>
        <v/>
      </c>
    </row>
    <row r="165" customFormat="false" ht="15" hidden="false" customHeight="false" outlineLevel="0" collapsed="false">
      <c r="A165" s="13"/>
      <c r="B165" s="9"/>
      <c r="C165" s="9"/>
      <c r="D165" s="9"/>
      <c r="E165" s="9"/>
      <c r="F165" s="16" t="str">
        <f aca="false">IF(B165="","",IF(COUNTIFS('PM Plan'!$A$5:$A$304,B165,'PM Plan'!$B$5:$B$304,C165)&gt;0,"OK","No matching asset + task in plan"))</f>
        <v/>
      </c>
    </row>
    <row r="166" customFormat="false" ht="15" hidden="false" customHeight="false" outlineLevel="0" collapsed="false">
      <c r="A166" s="13"/>
      <c r="B166" s="9"/>
      <c r="C166" s="9"/>
      <c r="D166" s="9"/>
      <c r="E166" s="9"/>
      <c r="F166" s="16" t="str">
        <f aca="false">IF(B166="","",IF(COUNTIFS('PM Plan'!$A$5:$A$304,B166,'PM Plan'!$B$5:$B$304,C166)&gt;0,"OK","No matching asset + task in plan"))</f>
        <v/>
      </c>
    </row>
    <row r="167" customFormat="false" ht="15" hidden="false" customHeight="false" outlineLevel="0" collapsed="false">
      <c r="A167" s="13"/>
      <c r="B167" s="9"/>
      <c r="C167" s="9"/>
      <c r="D167" s="9"/>
      <c r="E167" s="9"/>
      <c r="F167" s="16" t="str">
        <f aca="false">IF(B167="","",IF(COUNTIFS('PM Plan'!$A$5:$A$304,B167,'PM Plan'!$B$5:$B$304,C167)&gt;0,"OK","No matching asset + task in plan"))</f>
        <v/>
      </c>
    </row>
    <row r="168" customFormat="false" ht="15" hidden="false" customHeight="false" outlineLevel="0" collapsed="false">
      <c r="A168" s="13"/>
      <c r="B168" s="9"/>
      <c r="C168" s="9"/>
      <c r="D168" s="9"/>
      <c r="E168" s="9"/>
      <c r="F168" s="16" t="str">
        <f aca="false">IF(B168="","",IF(COUNTIFS('PM Plan'!$A$5:$A$304,B168,'PM Plan'!$B$5:$B$304,C168)&gt;0,"OK","No matching asset + task in plan"))</f>
        <v/>
      </c>
    </row>
    <row r="169" customFormat="false" ht="15" hidden="false" customHeight="false" outlineLevel="0" collapsed="false">
      <c r="A169" s="13"/>
      <c r="B169" s="9"/>
      <c r="C169" s="9"/>
      <c r="D169" s="9"/>
      <c r="E169" s="9"/>
      <c r="F169" s="16" t="str">
        <f aca="false">IF(B169="","",IF(COUNTIFS('PM Plan'!$A$5:$A$304,B169,'PM Plan'!$B$5:$B$304,C169)&gt;0,"OK","No matching asset + task in plan"))</f>
        <v/>
      </c>
    </row>
    <row r="170" customFormat="false" ht="15" hidden="false" customHeight="false" outlineLevel="0" collapsed="false">
      <c r="A170" s="13"/>
      <c r="B170" s="9"/>
      <c r="C170" s="9"/>
      <c r="D170" s="9"/>
      <c r="E170" s="9"/>
      <c r="F170" s="16" t="str">
        <f aca="false">IF(B170="","",IF(COUNTIFS('PM Plan'!$A$5:$A$304,B170,'PM Plan'!$B$5:$B$304,C170)&gt;0,"OK","No matching asset + task in plan"))</f>
        <v/>
      </c>
    </row>
    <row r="171" customFormat="false" ht="15" hidden="false" customHeight="false" outlineLevel="0" collapsed="false">
      <c r="A171" s="13"/>
      <c r="B171" s="9"/>
      <c r="C171" s="9"/>
      <c r="D171" s="9"/>
      <c r="E171" s="9"/>
      <c r="F171" s="16" t="str">
        <f aca="false">IF(B171="","",IF(COUNTIFS('PM Plan'!$A$5:$A$304,B171,'PM Plan'!$B$5:$B$304,C171)&gt;0,"OK","No matching asset + task in plan"))</f>
        <v/>
      </c>
    </row>
    <row r="172" customFormat="false" ht="15" hidden="false" customHeight="false" outlineLevel="0" collapsed="false">
      <c r="A172" s="13"/>
      <c r="B172" s="9"/>
      <c r="C172" s="9"/>
      <c r="D172" s="9"/>
      <c r="E172" s="9"/>
      <c r="F172" s="16" t="str">
        <f aca="false">IF(B172="","",IF(COUNTIFS('PM Plan'!$A$5:$A$304,B172,'PM Plan'!$B$5:$B$304,C172)&gt;0,"OK","No matching asset + task in plan"))</f>
        <v/>
      </c>
    </row>
    <row r="173" customFormat="false" ht="15" hidden="false" customHeight="false" outlineLevel="0" collapsed="false">
      <c r="A173" s="13"/>
      <c r="B173" s="9"/>
      <c r="C173" s="9"/>
      <c r="D173" s="9"/>
      <c r="E173" s="9"/>
      <c r="F173" s="16" t="str">
        <f aca="false">IF(B173="","",IF(COUNTIFS('PM Plan'!$A$5:$A$304,B173,'PM Plan'!$B$5:$B$304,C173)&gt;0,"OK","No matching asset + task in plan"))</f>
        <v/>
      </c>
    </row>
    <row r="174" customFormat="false" ht="15" hidden="false" customHeight="false" outlineLevel="0" collapsed="false">
      <c r="A174" s="13"/>
      <c r="B174" s="9"/>
      <c r="C174" s="9"/>
      <c r="D174" s="9"/>
      <c r="E174" s="9"/>
      <c r="F174" s="16" t="str">
        <f aca="false">IF(B174="","",IF(COUNTIFS('PM Plan'!$A$5:$A$304,B174,'PM Plan'!$B$5:$B$304,C174)&gt;0,"OK","No matching asset + task in plan"))</f>
        <v/>
      </c>
    </row>
    <row r="175" customFormat="false" ht="15" hidden="false" customHeight="false" outlineLevel="0" collapsed="false">
      <c r="A175" s="13"/>
      <c r="B175" s="9"/>
      <c r="C175" s="9"/>
      <c r="D175" s="9"/>
      <c r="E175" s="9"/>
      <c r="F175" s="16" t="str">
        <f aca="false">IF(B175="","",IF(COUNTIFS('PM Plan'!$A$5:$A$304,B175,'PM Plan'!$B$5:$B$304,C175)&gt;0,"OK","No matching asset + task in plan"))</f>
        <v/>
      </c>
    </row>
    <row r="176" customFormat="false" ht="15" hidden="false" customHeight="false" outlineLevel="0" collapsed="false">
      <c r="A176" s="13"/>
      <c r="B176" s="9"/>
      <c r="C176" s="9"/>
      <c r="D176" s="9"/>
      <c r="E176" s="9"/>
      <c r="F176" s="16" t="str">
        <f aca="false">IF(B176="","",IF(COUNTIFS('PM Plan'!$A$5:$A$304,B176,'PM Plan'!$B$5:$B$304,C176)&gt;0,"OK","No matching asset + task in plan"))</f>
        <v/>
      </c>
    </row>
    <row r="177" customFormat="false" ht="15" hidden="false" customHeight="false" outlineLevel="0" collapsed="false">
      <c r="A177" s="13"/>
      <c r="B177" s="9"/>
      <c r="C177" s="9"/>
      <c r="D177" s="9"/>
      <c r="E177" s="9"/>
      <c r="F177" s="16" t="str">
        <f aca="false">IF(B177="","",IF(COUNTIFS('PM Plan'!$A$5:$A$304,B177,'PM Plan'!$B$5:$B$304,C177)&gt;0,"OK","No matching asset + task in plan"))</f>
        <v/>
      </c>
    </row>
    <row r="178" customFormat="false" ht="15" hidden="false" customHeight="false" outlineLevel="0" collapsed="false">
      <c r="A178" s="13"/>
      <c r="B178" s="9"/>
      <c r="C178" s="9"/>
      <c r="D178" s="9"/>
      <c r="E178" s="9"/>
      <c r="F178" s="16" t="str">
        <f aca="false">IF(B178="","",IF(COUNTIFS('PM Plan'!$A$5:$A$304,B178,'PM Plan'!$B$5:$B$304,C178)&gt;0,"OK","No matching asset + task in plan"))</f>
        <v/>
      </c>
    </row>
    <row r="179" customFormat="false" ht="15" hidden="false" customHeight="false" outlineLevel="0" collapsed="false">
      <c r="A179" s="13"/>
      <c r="B179" s="9"/>
      <c r="C179" s="9"/>
      <c r="D179" s="9"/>
      <c r="E179" s="9"/>
      <c r="F179" s="16" t="str">
        <f aca="false">IF(B179="","",IF(COUNTIFS('PM Plan'!$A$5:$A$304,B179,'PM Plan'!$B$5:$B$304,C179)&gt;0,"OK","No matching asset + task in plan"))</f>
        <v/>
      </c>
    </row>
    <row r="180" customFormat="false" ht="15" hidden="false" customHeight="false" outlineLevel="0" collapsed="false">
      <c r="A180" s="13"/>
      <c r="B180" s="9"/>
      <c r="C180" s="9"/>
      <c r="D180" s="9"/>
      <c r="E180" s="9"/>
      <c r="F180" s="16" t="str">
        <f aca="false">IF(B180="","",IF(COUNTIFS('PM Plan'!$A$5:$A$304,B180,'PM Plan'!$B$5:$B$304,C180)&gt;0,"OK","No matching asset + task in plan"))</f>
        <v/>
      </c>
    </row>
    <row r="181" customFormat="false" ht="15" hidden="false" customHeight="false" outlineLevel="0" collapsed="false">
      <c r="A181" s="13"/>
      <c r="B181" s="9"/>
      <c r="C181" s="9"/>
      <c r="D181" s="9"/>
      <c r="E181" s="9"/>
      <c r="F181" s="16" t="str">
        <f aca="false">IF(B181="","",IF(COUNTIFS('PM Plan'!$A$5:$A$304,B181,'PM Plan'!$B$5:$B$304,C181)&gt;0,"OK","No matching asset + task in plan"))</f>
        <v/>
      </c>
    </row>
    <row r="182" customFormat="false" ht="15" hidden="false" customHeight="false" outlineLevel="0" collapsed="false">
      <c r="A182" s="13"/>
      <c r="B182" s="9"/>
      <c r="C182" s="9"/>
      <c r="D182" s="9"/>
      <c r="E182" s="9"/>
      <c r="F182" s="16" t="str">
        <f aca="false">IF(B182="","",IF(COUNTIFS('PM Plan'!$A$5:$A$304,B182,'PM Plan'!$B$5:$B$304,C182)&gt;0,"OK","No matching asset + task in plan"))</f>
        <v/>
      </c>
    </row>
    <row r="183" customFormat="false" ht="15" hidden="false" customHeight="false" outlineLevel="0" collapsed="false">
      <c r="A183" s="13"/>
      <c r="B183" s="9"/>
      <c r="C183" s="9"/>
      <c r="D183" s="9"/>
      <c r="E183" s="9"/>
      <c r="F183" s="16" t="str">
        <f aca="false">IF(B183="","",IF(COUNTIFS('PM Plan'!$A$5:$A$304,B183,'PM Plan'!$B$5:$B$304,C183)&gt;0,"OK","No matching asset + task in plan"))</f>
        <v/>
      </c>
    </row>
    <row r="184" customFormat="false" ht="15" hidden="false" customHeight="false" outlineLevel="0" collapsed="false">
      <c r="A184" s="13"/>
      <c r="B184" s="9"/>
      <c r="C184" s="9"/>
      <c r="D184" s="9"/>
      <c r="E184" s="9"/>
      <c r="F184" s="16" t="str">
        <f aca="false">IF(B184="","",IF(COUNTIFS('PM Plan'!$A$5:$A$304,B184,'PM Plan'!$B$5:$B$304,C184)&gt;0,"OK","No matching asset + task in plan"))</f>
        <v/>
      </c>
    </row>
    <row r="185" customFormat="false" ht="15" hidden="false" customHeight="false" outlineLevel="0" collapsed="false">
      <c r="A185" s="13"/>
      <c r="B185" s="9"/>
      <c r="C185" s="9"/>
      <c r="D185" s="9"/>
      <c r="E185" s="9"/>
      <c r="F185" s="16" t="str">
        <f aca="false">IF(B185="","",IF(COUNTIFS('PM Plan'!$A$5:$A$304,B185,'PM Plan'!$B$5:$B$304,C185)&gt;0,"OK","No matching asset + task in plan"))</f>
        <v/>
      </c>
    </row>
    <row r="186" customFormat="false" ht="15" hidden="false" customHeight="false" outlineLevel="0" collapsed="false">
      <c r="A186" s="13"/>
      <c r="B186" s="9"/>
      <c r="C186" s="9"/>
      <c r="D186" s="9"/>
      <c r="E186" s="9"/>
      <c r="F186" s="16" t="str">
        <f aca="false">IF(B186="","",IF(COUNTIFS('PM Plan'!$A$5:$A$304,B186,'PM Plan'!$B$5:$B$304,C186)&gt;0,"OK","No matching asset + task in plan"))</f>
        <v/>
      </c>
    </row>
    <row r="187" customFormat="false" ht="15" hidden="false" customHeight="false" outlineLevel="0" collapsed="false">
      <c r="A187" s="13"/>
      <c r="B187" s="9"/>
      <c r="C187" s="9"/>
      <c r="D187" s="9"/>
      <c r="E187" s="9"/>
      <c r="F187" s="16" t="str">
        <f aca="false">IF(B187="","",IF(COUNTIFS('PM Plan'!$A$5:$A$304,B187,'PM Plan'!$B$5:$B$304,C187)&gt;0,"OK","No matching asset + task in plan"))</f>
        <v/>
      </c>
    </row>
    <row r="188" customFormat="false" ht="15" hidden="false" customHeight="false" outlineLevel="0" collapsed="false">
      <c r="A188" s="13"/>
      <c r="B188" s="9"/>
      <c r="C188" s="9"/>
      <c r="D188" s="9"/>
      <c r="E188" s="9"/>
      <c r="F188" s="16" t="str">
        <f aca="false">IF(B188="","",IF(COUNTIFS('PM Plan'!$A$5:$A$304,B188,'PM Plan'!$B$5:$B$304,C188)&gt;0,"OK","No matching asset + task in plan"))</f>
        <v/>
      </c>
    </row>
    <row r="189" customFormat="false" ht="15" hidden="false" customHeight="false" outlineLevel="0" collapsed="false">
      <c r="A189" s="13"/>
      <c r="B189" s="9"/>
      <c r="C189" s="9"/>
      <c r="D189" s="9"/>
      <c r="E189" s="9"/>
      <c r="F189" s="16" t="str">
        <f aca="false">IF(B189="","",IF(COUNTIFS('PM Plan'!$A$5:$A$304,B189,'PM Plan'!$B$5:$B$304,C189)&gt;0,"OK","No matching asset + task in plan"))</f>
        <v/>
      </c>
    </row>
    <row r="190" customFormat="false" ht="15" hidden="false" customHeight="false" outlineLevel="0" collapsed="false">
      <c r="A190" s="13"/>
      <c r="B190" s="9"/>
      <c r="C190" s="9"/>
      <c r="D190" s="9"/>
      <c r="E190" s="9"/>
      <c r="F190" s="16" t="str">
        <f aca="false">IF(B190="","",IF(COUNTIFS('PM Plan'!$A$5:$A$304,B190,'PM Plan'!$B$5:$B$304,C190)&gt;0,"OK","No matching asset + task in plan"))</f>
        <v/>
      </c>
    </row>
    <row r="191" customFormat="false" ht="15" hidden="false" customHeight="false" outlineLevel="0" collapsed="false">
      <c r="A191" s="13"/>
      <c r="B191" s="9"/>
      <c r="C191" s="9"/>
      <c r="D191" s="9"/>
      <c r="E191" s="9"/>
      <c r="F191" s="16" t="str">
        <f aca="false">IF(B191="","",IF(COUNTIFS('PM Plan'!$A$5:$A$304,B191,'PM Plan'!$B$5:$B$304,C191)&gt;0,"OK","No matching asset + task in plan"))</f>
        <v/>
      </c>
    </row>
    <row r="192" customFormat="false" ht="15" hidden="false" customHeight="false" outlineLevel="0" collapsed="false">
      <c r="A192" s="13"/>
      <c r="B192" s="9"/>
      <c r="C192" s="9"/>
      <c r="D192" s="9"/>
      <c r="E192" s="9"/>
      <c r="F192" s="16" t="str">
        <f aca="false">IF(B192="","",IF(COUNTIFS('PM Plan'!$A$5:$A$304,B192,'PM Plan'!$B$5:$B$304,C192)&gt;0,"OK","No matching asset + task in plan"))</f>
        <v/>
      </c>
    </row>
    <row r="193" customFormat="false" ht="15" hidden="false" customHeight="false" outlineLevel="0" collapsed="false">
      <c r="A193" s="13"/>
      <c r="B193" s="9"/>
      <c r="C193" s="9"/>
      <c r="D193" s="9"/>
      <c r="E193" s="9"/>
      <c r="F193" s="16" t="str">
        <f aca="false">IF(B193="","",IF(COUNTIFS('PM Plan'!$A$5:$A$304,B193,'PM Plan'!$B$5:$B$304,C193)&gt;0,"OK","No matching asset + task in plan"))</f>
        <v/>
      </c>
    </row>
    <row r="194" customFormat="false" ht="15" hidden="false" customHeight="false" outlineLevel="0" collapsed="false">
      <c r="A194" s="13"/>
      <c r="B194" s="9"/>
      <c r="C194" s="9"/>
      <c r="D194" s="9"/>
      <c r="E194" s="9"/>
      <c r="F194" s="16" t="str">
        <f aca="false">IF(B194="","",IF(COUNTIFS('PM Plan'!$A$5:$A$304,B194,'PM Plan'!$B$5:$B$304,C194)&gt;0,"OK","No matching asset + task in plan"))</f>
        <v/>
      </c>
    </row>
    <row r="195" customFormat="false" ht="15" hidden="false" customHeight="false" outlineLevel="0" collapsed="false">
      <c r="A195" s="13"/>
      <c r="B195" s="9"/>
      <c r="C195" s="9"/>
      <c r="D195" s="9"/>
      <c r="E195" s="9"/>
      <c r="F195" s="16" t="str">
        <f aca="false">IF(B195="","",IF(COUNTIFS('PM Plan'!$A$5:$A$304,B195,'PM Plan'!$B$5:$B$304,C195)&gt;0,"OK","No matching asset + task in plan"))</f>
        <v/>
      </c>
    </row>
    <row r="196" customFormat="false" ht="15" hidden="false" customHeight="false" outlineLevel="0" collapsed="false">
      <c r="A196" s="13"/>
      <c r="B196" s="9"/>
      <c r="C196" s="9"/>
      <c r="D196" s="9"/>
      <c r="E196" s="9"/>
      <c r="F196" s="16" t="str">
        <f aca="false">IF(B196="","",IF(COUNTIFS('PM Plan'!$A$5:$A$304,B196,'PM Plan'!$B$5:$B$304,C196)&gt;0,"OK","No matching asset + task in plan"))</f>
        <v/>
      </c>
    </row>
    <row r="197" customFormat="false" ht="15" hidden="false" customHeight="false" outlineLevel="0" collapsed="false">
      <c r="A197" s="13"/>
      <c r="B197" s="9"/>
      <c r="C197" s="9"/>
      <c r="D197" s="9"/>
      <c r="E197" s="9"/>
      <c r="F197" s="16" t="str">
        <f aca="false">IF(B197="","",IF(COUNTIFS('PM Plan'!$A$5:$A$304,B197,'PM Plan'!$B$5:$B$304,C197)&gt;0,"OK","No matching asset + task in plan"))</f>
        <v/>
      </c>
    </row>
    <row r="198" customFormat="false" ht="15" hidden="false" customHeight="false" outlineLevel="0" collapsed="false">
      <c r="A198" s="13"/>
      <c r="B198" s="9"/>
      <c r="C198" s="9"/>
      <c r="D198" s="9"/>
      <c r="E198" s="9"/>
      <c r="F198" s="16" t="str">
        <f aca="false">IF(B198="","",IF(COUNTIFS('PM Plan'!$A$5:$A$304,B198,'PM Plan'!$B$5:$B$304,C198)&gt;0,"OK","No matching asset + task in plan"))</f>
        <v/>
      </c>
    </row>
    <row r="199" customFormat="false" ht="15" hidden="false" customHeight="false" outlineLevel="0" collapsed="false">
      <c r="A199" s="13"/>
      <c r="B199" s="9"/>
      <c r="C199" s="9"/>
      <c r="D199" s="9"/>
      <c r="E199" s="9"/>
      <c r="F199" s="16" t="str">
        <f aca="false">IF(B199="","",IF(COUNTIFS('PM Plan'!$A$5:$A$304,B199,'PM Plan'!$B$5:$B$304,C199)&gt;0,"OK","No matching asset + task in plan"))</f>
        <v/>
      </c>
    </row>
    <row r="200" customFormat="false" ht="15" hidden="false" customHeight="false" outlineLevel="0" collapsed="false">
      <c r="A200" s="13"/>
      <c r="B200" s="9"/>
      <c r="C200" s="9"/>
      <c r="D200" s="9"/>
      <c r="E200" s="9"/>
      <c r="F200" s="16" t="str">
        <f aca="false">IF(B200="","",IF(COUNTIFS('PM Plan'!$A$5:$A$304,B200,'PM Plan'!$B$5:$B$304,C200)&gt;0,"OK","No matching asset + task in plan"))</f>
        <v/>
      </c>
    </row>
    <row r="201" customFormat="false" ht="15" hidden="false" customHeight="false" outlineLevel="0" collapsed="false">
      <c r="A201" s="13"/>
      <c r="B201" s="9"/>
      <c r="C201" s="9"/>
      <c r="D201" s="9"/>
      <c r="E201" s="9"/>
      <c r="F201" s="16" t="str">
        <f aca="false">IF(B201="","",IF(COUNTIFS('PM Plan'!$A$5:$A$304,B201,'PM Plan'!$B$5:$B$304,C201)&gt;0,"OK","No matching asset + task in plan"))</f>
        <v/>
      </c>
    </row>
    <row r="202" customFormat="false" ht="15" hidden="false" customHeight="false" outlineLevel="0" collapsed="false">
      <c r="A202" s="13"/>
      <c r="B202" s="9"/>
      <c r="C202" s="9"/>
      <c r="D202" s="9"/>
      <c r="E202" s="9"/>
      <c r="F202" s="16" t="str">
        <f aca="false">IF(B202="","",IF(COUNTIFS('PM Plan'!$A$5:$A$304,B202,'PM Plan'!$B$5:$B$304,C202)&gt;0,"OK","No matching asset + task in plan"))</f>
        <v/>
      </c>
    </row>
    <row r="203" customFormat="false" ht="15" hidden="false" customHeight="false" outlineLevel="0" collapsed="false">
      <c r="A203" s="13"/>
      <c r="B203" s="9"/>
      <c r="C203" s="9"/>
      <c r="D203" s="9"/>
      <c r="E203" s="9"/>
      <c r="F203" s="16" t="str">
        <f aca="false">IF(B203="","",IF(COUNTIFS('PM Plan'!$A$5:$A$304,B203,'PM Plan'!$B$5:$B$304,C203)&gt;0,"OK","No matching asset + task in plan"))</f>
        <v/>
      </c>
    </row>
    <row r="204" customFormat="false" ht="15" hidden="false" customHeight="false" outlineLevel="0" collapsed="false">
      <c r="A204" s="13"/>
      <c r="B204" s="9"/>
      <c r="C204" s="9"/>
      <c r="D204" s="9"/>
      <c r="E204" s="9"/>
      <c r="F204" s="16" t="str">
        <f aca="false">IF(B204="","",IF(COUNTIFS('PM Plan'!$A$5:$A$304,B204,'PM Plan'!$B$5:$B$304,C204)&gt;0,"OK","No matching asset + task in plan"))</f>
        <v/>
      </c>
    </row>
    <row r="205" customFormat="false" ht="15" hidden="false" customHeight="false" outlineLevel="0" collapsed="false">
      <c r="A205" s="13"/>
      <c r="B205" s="9"/>
      <c r="C205" s="9"/>
      <c r="D205" s="9"/>
      <c r="E205" s="9"/>
      <c r="F205" s="16" t="str">
        <f aca="false">IF(B205="","",IF(COUNTIFS('PM Plan'!$A$5:$A$304,B205,'PM Plan'!$B$5:$B$304,C205)&gt;0,"OK","No matching asset + task in plan"))</f>
        <v/>
      </c>
    </row>
    <row r="206" customFormat="false" ht="15" hidden="false" customHeight="false" outlineLevel="0" collapsed="false">
      <c r="A206" s="13"/>
      <c r="B206" s="9"/>
      <c r="C206" s="9"/>
      <c r="D206" s="9"/>
      <c r="E206" s="9"/>
      <c r="F206" s="16" t="str">
        <f aca="false">IF(B206="","",IF(COUNTIFS('PM Plan'!$A$5:$A$304,B206,'PM Plan'!$B$5:$B$304,C206)&gt;0,"OK","No matching asset + task in plan"))</f>
        <v/>
      </c>
    </row>
    <row r="207" customFormat="false" ht="15" hidden="false" customHeight="false" outlineLevel="0" collapsed="false">
      <c r="A207" s="13"/>
      <c r="B207" s="9"/>
      <c r="C207" s="9"/>
      <c r="D207" s="9"/>
      <c r="E207" s="9"/>
      <c r="F207" s="16" t="str">
        <f aca="false">IF(B207="","",IF(COUNTIFS('PM Plan'!$A$5:$A$304,B207,'PM Plan'!$B$5:$B$304,C207)&gt;0,"OK","No matching asset + task in plan"))</f>
        <v/>
      </c>
    </row>
    <row r="208" customFormat="false" ht="15" hidden="false" customHeight="false" outlineLevel="0" collapsed="false">
      <c r="A208" s="13"/>
      <c r="B208" s="9"/>
      <c r="C208" s="9"/>
      <c r="D208" s="9"/>
      <c r="E208" s="9"/>
      <c r="F208" s="16" t="str">
        <f aca="false">IF(B208="","",IF(COUNTIFS('PM Plan'!$A$5:$A$304,B208,'PM Plan'!$B$5:$B$304,C208)&gt;0,"OK","No matching asset + task in plan"))</f>
        <v/>
      </c>
    </row>
    <row r="209" customFormat="false" ht="15" hidden="false" customHeight="false" outlineLevel="0" collapsed="false">
      <c r="A209" s="13"/>
      <c r="B209" s="9"/>
      <c r="C209" s="9"/>
      <c r="D209" s="9"/>
      <c r="E209" s="9"/>
      <c r="F209" s="16" t="str">
        <f aca="false">IF(B209="","",IF(COUNTIFS('PM Plan'!$A$5:$A$304,B209,'PM Plan'!$B$5:$B$304,C209)&gt;0,"OK","No matching asset + task in plan"))</f>
        <v/>
      </c>
    </row>
    <row r="210" customFormat="false" ht="15" hidden="false" customHeight="false" outlineLevel="0" collapsed="false">
      <c r="A210" s="13"/>
      <c r="B210" s="9"/>
      <c r="C210" s="9"/>
      <c r="D210" s="9"/>
      <c r="E210" s="9"/>
      <c r="F210" s="16" t="str">
        <f aca="false">IF(B210="","",IF(COUNTIFS('PM Plan'!$A$5:$A$304,B210,'PM Plan'!$B$5:$B$304,C210)&gt;0,"OK","No matching asset + task in plan"))</f>
        <v/>
      </c>
    </row>
    <row r="211" customFormat="false" ht="15" hidden="false" customHeight="false" outlineLevel="0" collapsed="false">
      <c r="A211" s="13"/>
      <c r="B211" s="9"/>
      <c r="C211" s="9"/>
      <c r="D211" s="9"/>
      <c r="E211" s="9"/>
      <c r="F211" s="16" t="str">
        <f aca="false">IF(B211="","",IF(COUNTIFS('PM Plan'!$A$5:$A$304,B211,'PM Plan'!$B$5:$B$304,C211)&gt;0,"OK","No matching asset + task in plan"))</f>
        <v/>
      </c>
    </row>
    <row r="212" customFormat="false" ht="15" hidden="false" customHeight="false" outlineLevel="0" collapsed="false">
      <c r="A212" s="13"/>
      <c r="B212" s="9"/>
      <c r="C212" s="9"/>
      <c r="D212" s="9"/>
      <c r="E212" s="9"/>
      <c r="F212" s="16" t="str">
        <f aca="false">IF(B212="","",IF(COUNTIFS('PM Plan'!$A$5:$A$304,B212,'PM Plan'!$B$5:$B$304,C212)&gt;0,"OK","No matching asset + task in plan"))</f>
        <v/>
      </c>
    </row>
    <row r="213" customFormat="false" ht="15" hidden="false" customHeight="false" outlineLevel="0" collapsed="false">
      <c r="A213" s="13"/>
      <c r="B213" s="9"/>
      <c r="C213" s="9"/>
      <c r="D213" s="9"/>
      <c r="E213" s="9"/>
      <c r="F213" s="16" t="str">
        <f aca="false">IF(B213="","",IF(COUNTIFS('PM Plan'!$A$5:$A$304,B213,'PM Plan'!$B$5:$B$304,C213)&gt;0,"OK","No matching asset + task in plan"))</f>
        <v/>
      </c>
    </row>
    <row r="214" customFormat="false" ht="15" hidden="false" customHeight="false" outlineLevel="0" collapsed="false">
      <c r="A214" s="13"/>
      <c r="B214" s="9"/>
      <c r="C214" s="9"/>
      <c r="D214" s="9"/>
      <c r="E214" s="9"/>
      <c r="F214" s="16" t="str">
        <f aca="false">IF(B214="","",IF(COUNTIFS('PM Plan'!$A$5:$A$304,B214,'PM Plan'!$B$5:$B$304,C214)&gt;0,"OK","No matching asset + task in plan"))</f>
        <v/>
      </c>
    </row>
    <row r="215" customFormat="false" ht="15" hidden="false" customHeight="false" outlineLevel="0" collapsed="false">
      <c r="A215" s="13"/>
      <c r="B215" s="9"/>
      <c r="C215" s="9"/>
      <c r="D215" s="9"/>
      <c r="E215" s="9"/>
      <c r="F215" s="16" t="str">
        <f aca="false">IF(B215="","",IF(COUNTIFS('PM Plan'!$A$5:$A$304,B215,'PM Plan'!$B$5:$B$304,C215)&gt;0,"OK","No matching asset + task in plan"))</f>
        <v/>
      </c>
    </row>
    <row r="216" customFormat="false" ht="15" hidden="false" customHeight="false" outlineLevel="0" collapsed="false">
      <c r="A216" s="13"/>
      <c r="B216" s="9"/>
      <c r="C216" s="9"/>
      <c r="D216" s="9"/>
      <c r="E216" s="9"/>
      <c r="F216" s="16" t="str">
        <f aca="false">IF(B216="","",IF(COUNTIFS('PM Plan'!$A$5:$A$304,B216,'PM Plan'!$B$5:$B$304,C216)&gt;0,"OK","No matching asset + task in plan"))</f>
        <v/>
      </c>
    </row>
    <row r="217" customFormat="false" ht="15" hidden="false" customHeight="false" outlineLevel="0" collapsed="false">
      <c r="A217" s="13"/>
      <c r="B217" s="9"/>
      <c r="C217" s="9"/>
      <c r="D217" s="9"/>
      <c r="E217" s="9"/>
      <c r="F217" s="16" t="str">
        <f aca="false">IF(B217="","",IF(COUNTIFS('PM Plan'!$A$5:$A$304,B217,'PM Plan'!$B$5:$B$304,C217)&gt;0,"OK","No matching asset + task in plan"))</f>
        <v/>
      </c>
    </row>
    <row r="218" customFormat="false" ht="15" hidden="false" customHeight="false" outlineLevel="0" collapsed="false">
      <c r="A218" s="13"/>
      <c r="B218" s="9"/>
      <c r="C218" s="9"/>
      <c r="D218" s="9"/>
      <c r="E218" s="9"/>
      <c r="F218" s="16" t="str">
        <f aca="false">IF(B218="","",IF(COUNTIFS('PM Plan'!$A$5:$A$304,B218,'PM Plan'!$B$5:$B$304,C218)&gt;0,"OK","No matching asset + task in plan"))</f>
        <v/>
      </c>
    </row>
    <row r="219" customFormat="false" ht="15" hidden="false" customHeight="false" outlineLevel="0" collapsed="false">
      <c r="A219" s="13"/>
      <c r="B219" s="9"/>
      <c r="C219" s="9"/>
      <c r="D219" s="9"/>
      <c r="E219" s="9"/>
      <c r="F219" s="16" t="str">
        <f aca="false">IF(B219="","",IF(COUNTIFS('PM Plan'!$A$5:$A$304,B219,'PM Plan'!$B$5:$B$304,C219)&gt;0,"OK","No matching asset + task in plan"))</f>
        <v/>
      </c>
    </row>
    <row r="220" customFormat="false" ht="15" hidden="false" customHeight="false" outlineLevel="0" collapsed="false">
      <c r="A220" s="13"/>
      <c r="B220" s="9"/>
      <c r="C220" s="9"/>
      <c r="D220" s="9"/>
      <c r="E220" s="9"/>
      <c r="F220" s="16" t="str">
        <f aca="false">IF(B220="","",IF(COUNTIFS('PM Plan'!$A$5:$A$304,B220,'PM Plan'!$B$5:$B$304,C220)&gt;0,"OK","No matching asset + task in plan"))</f>
        <v/>
      </c>
    </row>
    <row r="221" customFormat="false" ht="15" hidden="false" customHeight="false" outlineLevel="0" collapsed="false">
      <c r="A221" s="13"/>
      <c r="B221" s="9"/>
      <c r="C221" s="9"/>
      <c r="D221" s="9"/>
      <c r="E221" s="9"/>
      <c r="F221" s="16" t="str">
        <f aca="false">IF(B221="","",IF(COUNTIFS('PM Plan'!$A$5:$A$304,B221,'PM Plan'!$B$5:$B$304,C221)&gt;0,"OK","No matching asset + task in plan"))</f>
        <v/>
      </c>
    </row>
    <row r="222" customFormat="false" ht="15" hidden="false" customHeight="false" outlineLevel="0" collapsed="false">
      <c r="A222" s="13"/>
      <c r="B222" s="9"/>
      <c r="C222" s="9"/>
      <c r="D222" s="9"/>
      <c r="E222" s="9"/>
      <c r="F222" s="16" t="str">
        <f aca="false">IF(B222="","",IF(COUNTIFS('PM Plan'!$A$5:$A$304,B222,'PM Plan'!$B$5:$B$304,C222)&gt;0,"OK","No matching asset + task in plan"))</f>
        <v/>
      </c>
    </row>
    <row r="223" customFormat="false" ht="15" hidden="false" customHeight="false" outlineLevel="0" collapsed="false">
      <c r="A223" s="13"/>
      <c r="B223" s="9"/>
      <c r="C223" s="9"/>
      <c r="D223" s="9"/>
      <c r="E223" s="9"/>
      <c r="F223" s="16" t="str">
        <f aca="false">IF(B223="","",IF(COUNTIFS('PM Plan'!$A$5:$A$304,B223,'PM Plan'!$B$5:$B$304,C223)&gt;0,"OK","No matching asset + task in plan"))</f>
        <v/>
      </c>
    </row>
    <row r="224" customFormat="false" ht="15" hidden="false" customHeight="false" outlineLevel="0" collapsed="false">
      <c r="A224" s="13"/>
      <c r="B224" s="9"/>
      <c r="C224" s="9"/>
      <c r="D224" s="9"/>
      <c r="E224" s="9"/>
      <c r="F224" s="16" t="str">
        <f aca="false">IF(B224="","",IF(COUNTIFS('PM Plan'!$A$5:$A$304,B224,'PM Plan'!$B$5:$B$304,C224)&gt;0,"OK","No matching asset + task in plan"))</f>
        <v/>
      </c>
    </row>
    <row r="225" customFormat="false" ht="15" hidden="false" customHeight="false" outlineLevel="0" collapsed="false">
      <c r="A225" s="13"/>
      <c r="B225" s="9"/>
      <c r="C225" s="9"/>
      <c r="D225" s="9"/>
      <c r="E225" s="9"/>
      <c r="F225" s="16" t="str">
        <f aca="false">IF(B225="","",IF(COUNTIFS('PM Plan'!$A$5:$A$304,B225,'PM Plan'!$B$5:$B$304,C225)&gt;0,"OK","No matching asset + task in plan"))</f>
        <v/>
      </c>
    </row>
    <row r="226" customFormat="false" ht="15" hidden="false" customHeight="false" outlineLevel="0" collapsed="false">
      <c r="A226" s="13"/>
      <c r="B226" s="9"/>
      <c r="C226" s="9"/>
      <c r="D226" s="9"/>
      <c r="E226" s="9"/>
      <c r="F226" s="16" t="str">
        <f aca="false">IF(B226="","",IF(COUNTIFS('PM Plan'!$A$5:$A$304,B226,'PM Plan'!$B$5:$B$304,C226)&gt;0,"OK","No matching asset + task in plan"))</f>
        <v/>
      </c>
    </row>
    <row r="227" customFormat="false" ht="15" hidden="false" customHeight="false" outlineLevel="0" collapsed="false">
      <c r="A227" s="13"/>
      <c r="B227" s="9"/>
      <c r="C227" s="9"/>
      <c r="D227" s="9"/>
      <c r="E227" s="9"/>
      <c r="F227" s="16" t="str">
        <f aca="false">IF(B227="","",IF(COUNTIFS('PM Plan'!$A$5:$A$304,B227,'PM Plan'!$B$5:$B$304,C227)&gt;0,"OK","No matching asset + task in plan"))</f>
        <v/>
      </c>
    </row>
    <row r="228" customFormat="false" ht="15" hidden="false" customHeight="false" outlineLevel="0" collapsed="false">
      <c r="A228" s="13"/>
      <c r="B228" s="9"/>
      <c r="C228" s="9"/>
      <c r="D228" s="9"/>
      <c r="E228" s="9"/>
      <c r="F228" s="16" t="str">
        <f aca="false">IF(B228="","",IF(COUNTIFS('PM Plan'!$A$5:$A$304,B228,'PM Plan'!$B$5:$B$304,C228)&gt;0,"OK","No matching asset + task in plan"))</f>
        <v/>
      </c>
    </row>
    <row r="229" customFormat="false" ht="15" hidden="false" customHeight="false" outlineLevel="0" collapsed="false">
      <c r="A229" s="13"/>
      <c r="B229" s="9"/>
      <c r="C229" s="9"/>
      <c r="D229" s="9"/>
      <c r="E229" s="9"/>
      <c r="F229" s="16" t="str">
        <f aca="false">IF(B229="","",IF(COUNTIFS('PM Plan'!$A$5:$A$304,B229,'PM Plan'!$B$5:$B$304,C229)&gt;0,"OK","No matching asset + task in plan"))</f>
        <v/>
      </c>
    </row>
    <row r="230" customFormat="false" ht="15" hidden="false" customHeight="false" outlineLevel="0" collapsed="false">
      <c r="A230" s="13"/>
      <c r="B230" s="9"/>
      <c r="C230" s="9"/>
      <c r="D230" s="9"/>
      <c r="E230" s="9"/>
      <c r="F230" s="16" t="str">
        <f aca="false">IF(B230="","",IF(COUNTIFS('PM Plan'!$A$5:$A$304,B230,'PM Plan'!$B$5:$B$304,C230)&gt;0,"OK","No matching asset + task in plan"))</f>
        <v/>
      </c>
    </row>
    <row r="231" customFormat="false" ht="15" hidden="false" customHeight="false" outlineLevel="0" collapsed="false">
      <c r="A231" s="13"/>
      <c r="B231" s="9"/>
      <c r="C231" s="9"/>
      <c r="D231" s="9"/>
      <c r="E231" s="9"/>
      <c r="F231" s="16" t="str">
        <f aca="false">IF(B231="","",IF(COUNTIFS('PM Plan'!$A$5:$A$304,B231,'PM Plan'!$B$5:$B$304,C231)&gt;0,"OK","No matching asset + task in plan"))</f>
        <v/>
      </c>
    </row>
    <row r="232" customFormat="false" ht="15" hidden="false" customHeight="false" outlineLevel="0" collapsed="false">
      <c r="A232" s="13"/>
      <c r="B232" s="9"/>
      <c r="C232" s="9"/>
      <c r="D232" s="9"/>
      <c r="E232" s="9"/>
      <c r="F232" s="16" t="str">
        <f aca="false">IF(B232="","",IF(COUNTIFS('PM Plan'!$A$5:$A$304,B232,'PM Plan'!$B$5:$B$304,C232)&gt;0,"OK","No matching asset + task in plan"))</f>
        <v/>
      </c>
    </row>
    <row r="233" customFormat="false" ht="15" hidden="false" customHeight="false" outlineLevel="0" collapsed="false">
      <c r="A233" s="13"/>
      <c r="B233" s="9"/>
      <c r="C233" s="9"/>
      <c r="D233" s="9"/>
      <c r="E233" s="9"/>
      <c r="F233" s="16" t="str">
        <f aca="false">IF(B233="","",IF(COUNTIFS('PM Plan'!$A$5:$A$304,B233,'PM Plan'!$B$5:$B$304,C233)&gt;0,"OK","No matching asset + task in plan"))</f>
        <v/>
      </c>
    </row>
    <row r="234" customFormat="false" ht="15" hidden="false" customHeight="false" outlineLevel="0" collapsed="false">
      <c r="A234" s="13"/>
      <c r="B234" s="9"/>
      <c r="C234" s="9"/>
      <c r="D234" s="9"/>
      <c r="E234" s="9"/>
      <c r="F234" s="16" t="str">
        <f aca="false">IF(B234="","",IF(COUNTIFS('PM Plan'!$A$5:$A$304,B234,'PM Plan'!$B$5:$B$304,C234)&gt;0,"OK","No matching asset + task in plan"))</f>
        <v/>
      </c>
    </row>
    <row r="235" customFormat="false" ht="15" hidden="false" customHeight="false" outlineLevel="0" collapsed="false">
      <c r="A235" s="13"/>
      <c r="B235" s="9"/>
      <c r="C235" s="9"/>
      <c r="D235" s="9"/>
      <c r="E235" s="9"/>
      <c r="F235" s="16" t="str">
        <f aca="false">IF(B235="","",IF(COUNTIFS('PM Plan'!$A$5:$A$304,B235,'PM Plan'!$B$5:$B$304,C235)&gt;0,"OK","No matching asset + task in plan"))</f>
        <v/>
      </c>
    </row>
    <row r="236" customFormat="false" ht="15" hidden="false" customHeight="false" outlineLevel="0" collapsed="false">
      <c r="A236" s="13"/>
      <c r="B236" s="9"/>
      <c r="C236" s="9"/>
      <c r="D236" s="9"/>
      <c r="E236" s="9"/>
      <c r="F236" s="16" t="str">
        <f aca="false">IF(B236="","",IF(COUNTIFS('PM Plan'!$A$5:$A$304,B236,'PM Plan'!$B$5:$B$304,C236)&gt;0,"OK","No matching asset + task in plan"))</f>
        <v/>
      </c>
    </row>
    <row r="237" customFormat="false" ht="15" hidden="false" customHeight="false" outlineLevel="0" collapsed="false">
      <c r="A237" s="13"/>
      <c r="B237" s="9"/>
      <c r="C237" s="9"/>
      <c r="D237" s="9"/>
      <c r="E237" s="9"/>
      <c r="F237" s="16" t="str">
        <f aca="false">IF(B237="","",IF(COUNTIFS('PM Plan'!$A$5:$A$304,B237,'PM Plan'!$B$5:$B$304,C237)&gt;0,"OK","No matching asset + task in plan"))</f>
        <v/>
      </c>
    </row>
    <row r="238" customFormat="false" ht="15" hidden="false" customHeight="false" outlineLevel="0" collapsed="false">
      <c r="A238" s="13"/>
      <c r="B238" s="9"/>
      <c r="C238" s="9"/>
      <c r="D238" s="9"/>
      <c r="E238" s="9"/>
      <c r="F238" s="16" t="str">
        <f aca="false">IF(B238="","",IF(COUNTIFS('PM Plan'!$A$5:$A$304,B238,'PM Plan'!$B$5:$B$304,C238)&gt;0,"OK","No matching asset + task in plan"))</f>
        <v/>
      </c>
    </row>
    <row r="239" customFormat="false" ht="15" hidden="false" customHeight="false" outlineLevel="0" collapsed="false">
      <c r="A239" s="13"/>
      <c r="B239" s="9"/>
      <c r="C239" s="9"/>
      <c r="D239" s="9"/>
      <c r="E239" s="9"/>
      <c r="F239" s="16" t="str">
        <f aca="false">IF(B239="","",IF(COUNTIFS('PM Plan'!$A$5:$A$304,B239,'PM Plan'!$B$5:$B$304,C239)&gt;0,"OK","No matching asset + task in plan"))</f>
        <v/>
      </c>
    </row>
    <row r="240" customFormat="false" ht="15" hidden="false" customHeight="false" outlineLevel="0" collapsed="false">
      <c r="A240" s="13"/>
      <c r="B240" s="9"/>
      <c r="C240" s="9"/>
      <c r="D240" s="9"/>
      <c r="E240" s="9"/>
      <c r="F240" s="16" t="str">
        <f aca="false">IF(B240="","",IF(COUNTIFS('PM Plan'!$A$5:$A$304,B240,'PM Plan'!$B$5:$B$304,C240)&gt;0,"OK","No matching asset + task in plan"))</f>
        <v/>
      </c>
    </row>
    <row r="241" customFormat="false" ht="15" hidden="false" customHeight="false" outlineLevel="0" collapsed="false">
      <c r="A241" s="13"/>
      <c r="B241" s="9"/>
      <c r="C241" s="9"/>
      <c r="D241" s="9"/>
      <c r="E241" s="9"/>
      <c r="F241" s="16" t="str">
        <f aca="false">IF(B241="","",IF(COUNTIFS('PM Plan'!$A$5:$A$304,B241,'PM Plan'!$B$5:$B$304,C241)&gt;0,"OK","No matching asset + task in plan"))</f>
        <v/>
      </c>
    </row>
    <row r="242" customFormat="false" ht="15" hidden="false" customHeight="false" outlineLevel="0" collapsed="false">
      <c r="A242" s="13"/>
      <c r="B242" s="9"/>
      <c r="C242" s="9"/>
      <c r="D242" s="9"/>
      <c r="E242" s="9"/>
      <c r="F242" s="16" t="str">
        <f aca="false">IF(B242="","",IF(COUNTIFS('PM Plan'!$A$5:$A$304,B242,'PM Plan'!$B$5:$B$304,C242)&gt;0,"OK","No matching asset + task in plan"))</f>
        <v/>
      </c>
    </row>
    <row r="243" customFormat="false" ht="15" hidden="false" customHeight="false" outlineLevel="0" collapsed="false">
      <c r="A243" s="13"/>
      <c r="B243" s="9"/>
      <c r="C243" s="9"/>
      <c r="D243" s="9"/>
      <c r="E243" s="9"/>
      <c r="F243" s="16" t="str">
        <f aca="false">IF(B243="","",IF(COUNTIFS('PM Plan'!$A$5:$A$304,B243,'PM Plan'!$B$5:$B$304,C243)&gt;0,"OK","No matching asset + task in plan"))</f>
        <v/>
      </c>
    </row>
    <row r="244" customFormat="false" ht="15" hidden="false" customHeight="false" outlineLevel="0" collapsed="false">
      <c r="A244" s="13"/>
      <c r="B244" s="9"/>
      <c r="C244" s="9"/>
      <c r="D244" s="9"/>
      <c r="E244" s="9"/>
      <c r="F244" s="16" t="str">
        <f aca="false">IF(B244="","",IF(COUNTIFS('PM Plan'!$A$5:$A$304,B244,'PM Plan'!$B$5:$B$304,C244)&gt;0,"OK","No matching asset + task in plan"))</f>
        <v/>
      </c>
    </row>
    <row r="245" customFormat="false" ht="15" hidden="false" customHeight="false" outlineLevel="0" collapsed="false">
      <c r="A245" s="13"/>
      <c r="B245" s="9"/>
      <c r="C245" s="9"/>
      <c r="D245" s="9"/>
      <c r="E245" s="9"/>
      <c r="F245" s="16" t="str">
        <f aca="false">IF(B245="","",IF(COUNTIFS('PM Plan'!$A$5:$A$304,B245,'PM Plan'!$B$5:$B$304,C245)&gt;0,"OK","No matching asset + task in plan"))</f>
        <v/>
      </c>
    </row>
    <row r="246" customFormat="false" ht="15" hidden="false" customHeight="false" outlineLevel="0" collapsed="false">
      <c r="A246" s="13"/>
      <c r="B246" s="9"/>
      <c r="C246" s="9"/>
      <c r="D246" s="9"/>
      <c r="E246" s="9"/>
      <c r="F246" s="16" t="str">
        <f aca="false">IF(B246="","",IF(COUNTIFS('PM Plan'!$A$5:$A$304,B246,'PM Plan'!$B$5:$B$304,C246)&gt;0,"OK","No matching asset + task in plan"))</f>
        <v/>
      </c>
    </row>
    <row r="247" customFormat="false" ht="15" hidden="false" customHeight="false" outlineLevel="0" collapsed="false">
      <c r="A247" s="13"/>
      <c r="B247" s="9"/>
      <c r="C247" s="9"/>
      <c r="D247" s="9"/>
      <c r="E247" s="9"/>
      <c r="F247" s="16" t="str">
        <f aca="false">IF(B247="","",IF(COUNTIFS('PM Plan'!$A$5:$A$304,B247,'PM Plan'!$B$5:$B$304,C247)&gt;0,"OK","No matching asset + task in plan"))</f>
        <v/>
      </c>
    </row>
    <row r="248" customFormat="false" ht="15" hidden="false" customHeight="false" outlineLevel="0" collapsed="false">
      <c r="A248" s="13"/>
      <c r="B248" s="9"/>
      <c r="C248" s="9"/>
      <c r="D248" s="9"/>
      <c r="E248" s="9"/>
      <c r="F248" s="16" t="str">
        <f aca="false">IF(B248="","",IF(COUNTIFS('PM Plan'!$A$5:$A$304,B248,'PM Plan'!$B$5:$B$304,C248)&gt;0,"OK","No matching asset + task in plan"))</f>
        <v/>
      </c>
    </row>
    <row r="249" customFormat="false" ht="15" hidden="false" customHeight="false" outlineLevel="0" collapsed="false">
      <c r="A249" s="13"/>
      <c r="B249" s="9"/>
      <c r="C249" s="9"/>
      <c r="D249" s="9"/>
      <c r="E249" s="9"/>
      <c r="F249" s="16" t="str">
        <f aca="false">IF(B249="","",IF(COUNTIFS('PM Plan'!$A$5:$A$304,B249,'PM Plan'!$B$5:$B$304,C249)&gt;0,"OK","No matching asset + task in plan"))</f>
        <v/>
      </c>
    </row>
    <row r="250" customFormat="false" ht="15" hidden="false" customHeight="false" outlineLevel="0" collapsed="false">
      <c r="A250" s="13"/>
      <c r="B250" s="9"/>
      <c r="C250" s="9"/>
      <c r="D250" s="9"/>
      <c r="E250" s="9"/>
      <c r="F250" s="16" t="str">
        <f aca="false">IF(B250="","",IF(COUNTIFS('PM Plan'!$A$5:$A$304,B250,'PM Plan'!$B$5:$B$304,C250)&gt;0,"OK","No matching asset + task in plan"))</f>
        <v/>
      </c>
    </row>
    <row r="251" customFormat="false" ht="15" hidden="false" customHeight="false" outlineLevel="0" collapsed="false">
      <c r="A251" s="13"/>
      <c r="B251" s="9"/>
      <c r="C251" s="9"/>
      <c r="D251" s="9"/>
      <c r="E251" s="9"/>
      <c r="F251" s="16" t="str">
        <f aca="false">IF(B251="","",IF(COUNTIFS('PM Plan'!$A$5:$A$304,B251,'PM Plan'!$B$5:$B$304,C251)&gt;0,"OK","No matching asset + task in plan"))</f>
        <v/>
      </c>
    </row>
    <row r="252" customFormat="false" ht="15" hidden="false" customHeight="false" outlineLevel="0" collapsed="false">
      <c r="A252" s="13"/>
      <c r="B252" s="9"/>
      <c r="C252" s="9"/>
      <c r="D252" s="9"/>
      <c r="E252" s="9"/>
      <c r="F252" s="16" t="str">
        <f aca="false">IF(B252="","",IF(COUNTIFS('PM Plan'!$A$5:$A$304,B252,'PM Plan'!$B$5:$B$304,C252)&gt;0,"OK","No matching asset + task in plan"))</f>
        <v/>
      </c>
    </row>
    <row r="253" customFormat="false" ht="15" hidden="false" customHeight="false" outlineLevel="0" collapsed="false">
      <c r="A253" s="13"/>
      <c r="B253" s="9"/>
      <c r="C253" s="9"/>
      <c r="D253" s="9"/>
      <c r="E253" s="9"/>
      <c r="F253" s="16" t="str">
        <f aca="false">IF(B253="","",IF(COUNTIFS('PM Plan'!$A$5:$A$304,B253,'PM Plan'!$B$5:$B$304,C253)&gt;0,"OK","No matching asset + task in plan"))</f>
        <v/>
      </c>
    </row>
    <row r="254" customFormat="false" ht="15" hidden="false" customHeight="false" outlineLevel="0" collapsed="false">
      <c r="A254" s="13"/>
      <c r="B254" s="9"/>
      <c r="C254" s="9"/>
      <c r="D254" s="9"/>
      <c r="E254" s="9"/>
      <c r="F254" s="16" t="str">
        <f aca="false">IF(B254="","",IF(COUNTIFS('PM Plan'!$A$5:$A$304,B254,'PM Plan'!$B$5:$B$304,C254)&gt;0,"OK","No matching asset + task in plan"))</f>
        <v/>
      </c>
    </row>
    <row r="255" customFormat="false" ht="15" hidden="false" customHeight="false" outlineLevel="0" collapsed="false">
      <c r="A255" s="13"/>
      <c r="B255" s="9"/>
      <c r="C255" s="9"/>
      <c r="D255" s="9"/>
      <c r="E255" s="9"/>
      <c r="F255" s="16" t="str">
        <f aca="false">IF(B255="","",IF(COUNTIFS('PM Plan'!$A$5:$A$304,B255,'PM Plan'!$B$5:$B$304,C255)&gt;0,"OK","No matching asset + task in plan"))</f>
        <v/>
      </c>
    </row>
    <row r="256" customFormat="false" ht="15" hidden="false" customHeight="false" outlineLevel="0" collapsed="false">
      <c r="A256" s="13"/>
      <c r="B256" s="9"/>
      <c r="C256" s="9"/>
      <c r="D256" s="9"/>
      <c r="E256" s="9"/>
      <c r="F256" s="16" t="str">
        <f aca="false">IF(B256="","",IF(COUNTIFS('PM Plan'!$A$5:$A$304,B256,'PM Plan'!$B$5:$B$304,C256)&gt;0,"OK","No matching asset + task in plan"))</f>
        <v/>
      </c>
    </row>
    <row r="257" customFormat="false" ht="15" hidden="false" customHeight="false" outlineLevel="0" collapsed="false">
      <c r="A257" s="13"/>
      <c r="B257" s="9"/>
      <c r="C257" s="9"/>
      <c r="D257" s="9"/>
      <c r="E257" s="9"/>
      <c r="F257" s="16" t="str">
        <f aca="false">IF(B257="","",IF(COUNTIFS('PM Plan'!$A$5:$A$304,B257,'PM Plan'!$B$5:$B$304,C257)&gt;0,"OK","No matching asset + task in plan"))</f>
        <v/>
      </c>
    </row>
    <row r="258" customFormat="false" ht="15" hidden="false" customHeight="false" outlineLevel="0" collapsed="false">
      <c r="A258" s="13"/>
      <c r="B258" s="9"/>
      <c r="C258" s="9"/>
      <c r="D258" s="9"/>
      <c r="E258" s="9"/>
      <c r="F258" s="16" t="str">
        <f aca="false">IF(B258="","",IF(COUNTIFS('PM Plan'!$A$5:$A$304,B258,'PM Plan'!$B$5:$B$304,C258)&gt;0,"OK","No matching asset + task in plan"))</f>
        <v/>
      </c>
    </row>
    <row r="259" customFormat="false" ht="15" hidden="false" customHeight="false" outlineLevel="0" collapsed="false">
      <c r="A259" s="13"/>
      <c r="B259" s="9"/>
      <c r="C259" s="9"/>
      <c r="D259" s="9"/>
      <c r="E259" s="9"/>
      <c r="F259" s="16" t="str">
        <f aca="false">IF(B259="","",IF(COUNTIFS('PM Plan'!$A$5:$A$304,B259,'PM Plan'!$B$5:$B$304,C259)&gt;0,"OK","No matching asset + task in plan"))</f>
        <v/>
      </c>
    </row>
    <row r="260" customFormat="false" ht="15" hidden="false" customHeight="false" outlineLevel="0" collapsed="false">
      <c r="A260" s="13"/>
      <c r="B260" s="9"/>
      <c r="C260" s="9"/>
      <c r="D260" s="9"/>
      <c r="E260" s="9"/>
      <c r="F260" s="16" t="str">
        <f aca="false">IF(B260="","",IF(COUNTIFS('PM Plan'!$A$5:$A$304,B260,'PM Plan'!$B$5:$B$304,C260)&gt;0,"OK","No matching asset + task in plan"))</f>
        <v/>
      </c>
    </row>
    <row r="261" customFormat="false" ht="15" hidden="false" customHeight="false" outlineLevel="0" collapsed="false">
      <c r="A261" s="13"/>
      <c r="B261" s="9"/>
      <c r="C261" s="9"/>
      <c r="D261" s="9"/>
      <c r="E261" s="9"/>
      <c r="F261" s="16" t="str">
        <f aca="false">IF(B261="","",IF(COUNTIFS('PM Plan'!$A$5:$A$304,B261,'PM Plan'!$B$5:$B$304,C261)&gt;0,"OK","No matching asset + task in plan"))</f>
        <v/>
      </c>
    </row>
    <row r="262" customFormat="false" ht="15" hidden="false" customHeight="false" outlineLevel="0" collapsed="false">
      <c r="A262" s="13"/>
      <c r="B262" s="9"/>
      <c r="C262" s="9"/>
      <c r="D262" s="9"/>
      <c r="E262" s="9"/>
      <c r="F262" s="16" t="str">
        <f aca="false">IF(B262="","",IF(COUNTIFS('PM Plan'!$A$5:$A$304,B262,'PM Plan'!$B$5:$B$304,C262)&gt;0,"OK","No matching asset + task in plan"))</f>
        <v/>
      </c>
    </row>
    <row r="263" customFormat="false" ht="15" hidden="false" customHeight="false" outlineLevel="0" collapsed="false">
      <c r="A263" s="13"/>
      <c r="B263" s="9"/>
      <c r="C263" s="9"/>
      <c r="D263" s="9"/>
      <c r="E263" s="9"/>
      <c r="F263" s="16" t="str">
        <f aca="false">IF(B263="","",IF(COUNTIFS('PM Plan'!$A$5:$A$304,B263,'PM Plan'!$B$5:$B$304,C263)&gt;0,"OK","No matching asset + task in plan"))</f>
        <v/>
      </c>
    </row>
    <row r="264" customFormat="false" ht="15" hidden="false" customHeight="false" outlineLevel="0" collapsed="false">
      <c r="A264" s="13"/>
      <c r="B264" s="9"/>
      <c r="C264" s="9"/>
      <c r="D264" s="9"/>
      <c r="E264" s="9"/>
      <c r="F264" s="16" t="str">
        <f aca="false">IF(B264="","",IF(COUNTIFS('PM Plan'!$A$5:$A$304,B264,'PM Plan'!$B$5:$B$304,C264)&gt;0,"OK","No matching asset + task in plan"))</f>
        <v/>
      </c>
    </row>
    <row r="265" customFormat="false" ht="15" hidden="false" customHeight="false" outlineLevel="0" collapsed="false">
      <c r="A265" s="13"/>
      <c r="B265" s="9"/>
      <c r="C265" s="9"/>
      <c r="D265" s="9"/>
      <c r="E265" s="9"/>
      <c r="F265" s="16" t="str">
        <f aca="false">IF(B265="","",IF(COUNTIFS('PM Plan'!$A$5:$A$304,B265,'PM Plan'!$B$5:$B$304,C265)&gt;0,"OK","No matching asset + task in plan"))</f>
        <v/>
      </c>
    </row>
    <row r="266" customFormat="false" ht="15" hidden="false" customHeight="false" outlineLevel="0" collapsed="false">
      <c r="A266" s="13"/>
      <c r="B266" s="9"/>
      <c r="C266" s="9"/>
      <c r="D266" s="9"/>
      <c r="E266" s="9"/>
      <c r="F266" s="16" t="str">
        <f aca="false">IF(B266="","",IF(COUNTIFS('PM Plan'!$A$5:$A$304,B266,'PM Plan'!$B$5:$B$304,C266)&gt;0,"OK","No matching asset + task in plan"))</f>
        <v/>
      </c>
    </row>
    <row r="267" customFormat="false" ht="15" hidden="false" customHeight="false" outlineLevel="0" collapsed="false">
      <c r="A267" s="13"/>
      <c r="B267" s="9"/>
      <c r="C267" s="9"/>
      <c r="D267" s="9"/>
      <c r="E267" s="9"/>
      <c r="F267" s="16" t="str">
        <f aca="false">IF(B267="","",IF(COUNTIFS('PM Plan'!$A$5:$A$304,B267,'PM Plan'!$B$5:$B$304,C267)&gt;0,"OK","No matching asset + task in plan"))</f>
        <v/>
      </c>
    </row>
    <row r="268" customFormat="false" ht="15" hidden="false" customHeight="false" outlineLevel="0" collapsed="false">
      <c r="A268" s="13"/>
      <c r="B268" s="9"/>
      <c r="C268" s="9"/>
      <c r="D268" s="9"/>
      <c r="E268" s="9"/>
      <c r="F268" s="16" t="str">
        <f aca="false">IF(B268="","",IF(COUNTIFS('PM Plan'!$A$5:$A$304,B268,'PM Plan'!$B$5:$B$304,C268)&gt;0,"OK","No matching asset + task in plan"))</f>
        <v/>
      </c>
    </row>
    <row r="269" customFormat="false" ht="15" hidden="false" customHeight="false" outlineLevel="0" collapsed="false">
      <c r="A269" s="13"/>
      <c r="B269" s="9"/>
      <c r="C269" s="9"/>
      <c r="D269" s="9"/>
      <c r="E269" s="9"/>
      <c r="F269" s="16" t="str">
        <f aca="false">IF(B269="","",IF(COUNTIFS('PM Plan'!$A$5:$A$304,B269,'PM Plan'!$B$5:$B$304,C269)&gt;0,"OK","No matching asset + task in plan"))</f>
        <v/>
      </c>
    </row>
    <row r="270" customFormat="false" ht="15" hidden="false" customHeight="false" outlineLevel="0" collapsed="false">
      <c r="A270" s="13"/>
      <c r="B270" s="9"/>
      <c r="C270" s="9"/>
      <c r="D270" s="9"/>
      <c r="E270" s="9"/>
      <c r="F270" s="16" t="str">
        <f aca="false">IF(B270="","",IF(COUNTIFS('PM Plan'!$A$5:$A$304,B270,'PM Plan'!$B$5:$B$304,C270)&gt;0,"OK","No matching asset + task in plan"))</f>
        <v/>
      </c>
    </row>
    <row r="271" customFormat="false" ht="15" hidden="false" customHeight="false" outlineLevel="0" collapsed="false">
      <c r="A271" s="13"/>
      <c r="B271" s="9"/>
      <c r="C271" s="9"/>
      <c r="D271" s="9"/>
      <c r="E271" s="9"/>
      <c r="F271" s="16" t="str">
        <f aca="false">IF(B271="","",IF(COUNTIFS('PM Plan'!$A$5:$A$304,B271,'PM Plan'!$B$5:$B$304,C271)&gt;0,"OK","No matching asset + task in plan"))</f>
        <v/>
      </c>
    </row>
    <row r="272" customFormat="false" ht="15" hidden="false" customHeight="false" outlineLevel="0" collapsed="false">
      <c r="A272" s="13"/>
      <c r="B272" s="9"/>
      <c r="C272" s="9"/>
      <c r="D272" s="9"/>
      <c r="E272" s="9"/>
      <c r="F272" s="16" t="str">
        <f aca="false">IF(B272="","",IF(COUNTIFS('PM Plan'!$A$5:$A$304,B272,'PM Plan'!$B$5:$B$304,C272)&gt;0,"OK","No matching asset + task in plan"))</f>
        <v/>
      </c>
    </row>
    <row r="273" customFormat="false" ht="15" hidden="false" customHeight="false" outlineLevel="0" collapsed="false">
      <c r="A273" s="13"/>
      <c r="B273" s="9"/>
      <c r="C273" s="9"/>
      <c r="D273" s="9"/>
      <c r="E273" s="9"/>
      <c r="F273" s="16" t="str">
        <f aca="false">IF(B273="","",IF(COUNTIFS('PM Plan'!$A$5:$A$304,B273,'PM Plan'!$B$5:$B$304,C273)&gt;0,"OK","No matching asset + task in plan"))</f>
        <v/>
      </c>
    </row>
    <row r="274" customFormat="false" ht="15" hidden="false" customHeight="false" outlineLevel="0" collapsed="false">
      <c r="A274" s="13"/>
      <c r="B274" s="9"/>
      <c r="C274" s="9"/>
      <c r="D274" s="9"/>
      <c r="E274" s="9"/>
      <c r="F274" s="16" t="str">
        <f aca="false">IF(B274="","",IF(COUNTIFS('PM Plan'!$A$5:$A$304,B274,'PM Plan'!$B$5:$B$304,C274)&gt;0,"OK","No matching asset + task in plan"))</f>
        <v/>
      </c>
    </row>
    <row r="275" customFormat="false" ht="15" hidden="false" customHeight="false" outlineLevel="0" collapsed="false">
      <c r="A275" s="13"/>
      <c r="B275" s="9"/>
      <c r="C275" s="9"/>
      <c r="D275" s="9"/>
      <c r="E275" s="9"/>
      <c r="F275" s="16" t="str">
        <f aca="false">IF(B275="","",IF(COUNTIFS('PM Plan'!$A$5:$A$304,B275,'PM Plan'!$B$5:$B$304,C275)&gt;0,"OK","No matching asset + task in plan"))</f>
        <v/>
      </c>
    </row>
    <row r="276" customFormat="false" ht="15" hidden="false" customHeight="false" outlineLevel="0" collapsed="false">
      <c r="A276" s="13"/>
      <c r="B276" s="9"/>
      <c r="C276" s="9"/>
      <c r="D276" s="9"/>
      <c r="E276" s="9"/>
      <c r="F276" s="16" t="str">
        <f aca="false">IF(B276="","",IF(COUNTIFS('PM Plan'!$A$5:$A$304,B276,'PM Plan'!$B$5:$B$304,C276)&gt;0,"OK","No matching asset + task in plan"))</f>
        <v/>
      </c>
    </row>
    <row r="277" customFormat="false" ht="15" hidden="false" customHeight="false" outlineLevel="0" collapsed="false">
      <c r="A277" s="13"/>
      <c r="B277" s="9"/>
      <c r="C277" s="9"/>
      <c r="D277" s="9"/>
      <c r="E277" s="9"/>
      <c r="F277" s="16" t="str">
        <f aca="false">IF(B277="","",IF(COUNTIFS('PM Plan'!$A$5:$A$304,B277,'PM Plan'!$B$5:$B$304,C277)&gt;0,"OK","No matching asset + task in plan"))</f>
        <v/>
      </c>
    </row>
    <row r="278" customFormat="false" ht="15" hidden="false" customHeight="false" outlineLevel="0" collapsed="false">
      <c r="A278" s="13"/>
      <c r="B278" s="9"/>
      <c r="C278" s="9"/>
      <c r="D278" s="9"/>
      <c r="E278" s="9"/>
      <c r="F278" s="16" t="str">
        <f aca="false">IF(B278="","",IF(COUNTIFS('PM Plan'!$A$5:$A$304,B278,'PM Plan'!$B$5:$B$304,C278)&gt;0,"OK","No matching asset + task in plan"))</f>
        <v/>
      </c>
    </row>
    <row r="279" customFormat="false" ht="15" hidden="false" customHeight="false" outlineLevel="0" collapsed="false">
      <c r="A279" s="13"/>
      <c r="B279" s="9"/>
      <c r="C279" s="9"/>
      <c r="D279" s="9"/>
      <c r="E279" s="9"/>
      <c r="F279" s="16" t="str">
        <f aca="false">IF(B279="","",IF(COUNTIFS('PM Plan'!$A$5:$A$304,B279,'PM Plan'!$B$5:$B$304,C279)&gt;0,"OK","No matching asset + task in plan"))</f>
        <v/>
      </c>
    </row>
    <row r="280" customFormat="false" ht="15" hidden="false" customHeight="false" outlineLevel="0" collapsed="false">
      <c r="A280" s="13"/>
      <c r="B280" s="9"/>
      <c r="C280" s="9"/>
      <c r="D280" s="9"/>
      <c r="E280" s="9"/>
      <c r="F280" s="16" t="str">
        <f aca="false">IF(B280="","",IF(COUNTIFS('PM Plan'!$A$5:$A$304,B280,'PM Plan'!$B$5:$B$304,C280)&gt;0,"OK","No matching asset + task in plan"))</f>
        <v/>
      </c>
    </row>
    <row r="281" customFormat="false" ht="15" hidden="false" customHeight="false" outlineLevel="0" collapsed="false">
      <c r="A281" s="13"/>
      <c r="B281" s="9"/>
      <c r="C281" s="9"/>
      <c r="D281" s="9"/>
      <c r="E281" s="9"/>
      <c r="F281" s="16" t="str">
        <f aca="false">IF(B281="","",IF(COUNTIFS('PM Plan'!$A$5:$A$304,B281,'PM Plan'!$B$5:$B$304,C281)&gt;0,"OK","No matching asset + task in plan"))</f>
        <v/>
      </c>
    </row>
    <row r="282" customFormat="false" ht="15" hidden="false" customHeight="false" outlineLevel="0" collapsed="false">
      <c r="A282" s="13"/>
      <c r="B282" s="9"/>
      <c r="C282" s="9"/>
      <c r="D282" s="9"/>
      <c r="E282" s="9"/>
      <c r="F282" s="16" t="str">
        <f aca="false">IF(B282="","",IF(COUNTIFS('PM Plan'!$A$5:$A$304,B282,'PM Plan'!$B$5:$B$304,C282)&gt;0,"OK","No matching asset + task in plan"))</f>
        <v/>
      </c>
    </row>
    <row r="283" customFormat="false" ht="15" hidden="false" customHeight="false" outlineLevel="0" collapsed="false">
      <c r="A283" s="13"/>
      <c r="B283" s="9"/>
      <c r="C283" s="9"/>
      <c r="D283" s="9"/>
      <c r="E283" s="9"/>
      <c r="F283" s="16" t="str">
        <f aca="false">IF(B283="","",IF(COUNTIFS('PM Plan'!$A$5:$A$304,B283,'PM Plan'!$B$5:$B$304,C283)&gt;0,"OK","No matching asset + task in plan"))</f>
        <v/>
      </c>
    </row>
    <row r="284" customFormat="false" ht="15" hidden="false" customHeight="false" outlineLevel="0" collapsed="false">
      <c r="A284" s="13"/>
      <c r="B284" s="9"/>
      <c r="C284" s="9"/>
      <c r="D284" s="9"/>
      <c r="E284" s="9"/>
      <c r="F284" s="16" t="str">
        <f aca="false">IF(B284="","",IF(COUNTIFS('PM Plan'!$A$5:$A$304,B284,'PM Plan'!$B$5:$B$304,C284)&gt;0,"OK","No matching asset + task in plan"))</f>
        <v/>
      </c>
    </row>
    <row r="285" customFormat="false" ht="15" hidden="false" customHeight="false" outlineLevel="0" collapsed="false">
      <c r="A285" s="13"/>
      <c r="B285" s="9"/>
      <c r="C285" s="9"/>
      <c r="D285" s="9"/>
      <c r="E285" s="9"/>
      <c r="F285" s="16" t="str">
        <f aca="false">IF(B285="","",IF(COUNTIFS('PM Plan'!$A$5:$A$304,B285,'PM Plan'!$B$5:$B$304,C285)&gt;0,"OK","No matching asset + task in plan"))</f>
        <v/>
      </c>
    </row>
    <row r="286" customFormat="false" ht="15" hidden="false" customHeight="false" outlineLevel="0" collapsed="false">
      <c r="A286" s="13"/>
      <c r="B286" s="9"/>
      <c r="C286" s="9"/>
      <c r="D286" s="9"/>
      <c r="E286" s="9"/>
      <c r="F286" s="16" t="str">
        <f aca="false">IF(B286="","",IF(COUNTIFS('PM Plan'!$A$5:$A$304,B286,'PM Plan'!$B$5:$B$304,C286)&gt;0,"OK","No matching asset + task in plan"))</f>
        <v/>
      </c>
    </row>
    <row r="287" customFormat="false" ht="15" hidden="false" customHeight="false" outlineLevel="0" collapsed="false">
      <c r="A287" s="13"/>
      <c r="B287" s="9"/>
      <c r="C287" s="9"/>
      <c r="D287" s="9"/>
      <c r="E287" s="9"/>
      <c r="F287" s="16" t="str">
        <f aca="false">IF(B287="","",IF(COUNTIFS('PM Plan'!$A$5:$A$304,B287,'PM Plan'!$B$5:$B$304,C287)&gt;0,"OK","No matching asset + task in plan"))</f>
        <v/>
      </c>
    </row>
    <row r="288" customFormat="false" ht="15" hidden="false" customHeight="false" outlineLevel="0" collapsed="false">
      <c r="A288" s="13"/>
      <c r="B288" s="9"/>
      <c r="C288" s="9"/>
      <c r="D288" s="9"/>
      <c r="E288" s="9"/>
      <c r="F288" s="16" t="str">
        <f aca="false">IF(B288="","",IF(COUNTIFS('PM Plan'!$A$5:$A$304,B288,'PM Plan'!$B$5:$B$304,C288)&gt;0,"OK","No matching asset + task in plan"))</f>
        <v/>
      </c>
    </row>
    <row r="289" customFormat="false" ht="15" hidden="false" customHeight="false" outlineLevel="0" collapsed="false">
      <c r="A289" s="13"/>
      <c r="B289" s="9"/>
      <c r="C289" s="9"/>
      <c r="D289" s="9"/>
      <c r="E289" s="9"/>
      <c r="F289" s="16" t="str">
        <f aca="false">IF(B289="","",IF(COUNTIFS('PM Plan'!$A$5:$A$304,B289,'PM Plan'!$B$5:$B$304,C289)&gt;0,"OK","No matching asset + task in plan"))</f>
        <v/>
      </c>
    </row>
    <row r="290" customFormat="false" ht="15" hidden="false" customHeight="false" outlineLevel="0" collapsed="false">
      <c r="A290" s="13"/>
      <c r="B290" s="9"/>
      <c r="C290" s="9"/>
      <c r="D290" s="9"/>
      <c r="E290" s="9"/>
      <c r="F290" s="16" t="str">
        <f aca="false">IF(B290="","",IF(COUNTIFS('PM Plan'!$A$5:$A$304,B290,'PM Plan'!$B$5:$B$304,C290)&gt;0,"OK","No matching asset + task in plan"))</f>
        <v/>
      </c>
    </row>
    <row r="291" customFormat="false" ht="15" hidden="false" customHeight="false" outlineLevel="0" collapsed="false">
      <c r="A291" s="13"/>
      <c r="B291" s="9"/>
      <c r="C291" s="9"/>
      <c r="D291" s="9"/>
      <c r="E291" s="9"/>
      <c r="F291" s="16" t="str">
        <f aca="false">IF(B291="","",IF(COUNTIFS('PM Plan'!$A$5:$A$304,B291,'PM Plan'!$B$5:$B$304,C291)&gt;0,"OK","No matching asset + task in plan"))</f>
        <v/>
      </c>
    </row>
    <row r="292" customFormat="false" ht="15" hidden="false" customHeight="false" outlineLevel="0" collapsed="false">
      <c r="A292" s="13"/>
      <c r="B292" s="9"/>
      <c r="C292" s="9"/>
      <c r="D292" s="9"/>
      <c r="E292" s="9"/>
      <c r="F292" s="16" t="str">
        <f aca="false">IF(B292="","",IF(COUNTIFS('PM Plan'!$A$5:$A$304,B292,'PM Plan'!$B$5:$B$304,C292)&gt;0,"OK","No matching asset + task in plan"))</f>
        <v/>
      </c>
    </row>
    <row r="293" customFormat="false" ht="15" hidden="false" customHeight="false" outlineLevel="0" collapsed="false">
      <c r="A293" s="13"/>
      <c r="B293" s="9"/>
      <c r="C293" s="9"/>
      <c r="D293" s="9"/>
      <c r="E293" s="9"/>
      <c r="F293" s="16" t="str">
        <f aca="false">IF(B293="","",IF(COUNTIFS('PM Plan'!$A$5:$A$304,B293,'PM Plan'!$B$5:$B$304,C293)&gt;0,"OK","No matching asset + task in plan"))</f>
        <v/>
      </c>
    </row>
    <row r="294" customFormat="false" ht="15" hidden="false" customHeight="false" outlineLevel="0" collapsed="false">
      <c r="A294" s="13"/>
      <c r="B294" s="9"/>
      <c r="C294" s="9"/>
      <c r="D294" s="9"/>
      <c r="E294" s="9"/>
      <c r="F294" s="16" t="str">
        <f aca="false">IF(B294="","",IF(COUNTIFS('PM Plan'!$A$5:$A$304,B294,'PM Plan'!$B$5:$B$304,C294)&gt;0,"OK","No matching asset + task in plan"))</f>
        <v/>
      </c>
    </row>
    <row r="295" customFormat="false" ht="15" hidden="false" customHeight="false" outlineLevel="0" collapsed="false">
      <c r="A295" s="13"/>
      <c r="B295" s="9"/>
      <c r="C295" s="9"/>
      <c r="D295" s="9"/>
      <c r="E295" s="9"/>
      <c r="F295" s="16" t="str">
        <f aca="false">IF(B295="","",IF(COUNTIFS('PM Plan'!$A$5:$A$304,B295,'PM Plan'!$B$5:$B$304,C295)&gt;0,"OK","No matching asset + task in plan"))</f>
        <v/>
      </c>
    </row>
    <row r="296" customFormat="false" ht="15" hidden="false" customHeight="false" outlineLevel="0" collapsed="false">
      <c r="A296" s="13"/>
      <c r="B296" s="9"/>
      <c r="C296" s="9"/>
      <c r="D296" s="9"/>
      <c r="E296" s="9"/>
      <c r="F296" s="16" t="str">
        <f aca="false">IF(B296="","",IF(COUNTIFS('PM Plan'!$A$5:$A$304,B296,'PM Plan'!$B$5:$B$304,C296)&gt;0,"OK","No matching asset + task in plan"))</f>
        <v/>
      </c>
    </row>
    <row r="297" customFormat="false" ht="15" hidden="false" customHeight="false" outlineLevel="0" collapsed="false">
      <c r="A297" s="13"/>
      <c r="B297" s="9"/>
      <c r="C297" s="9"/>
      <c r="D297" s="9"/>
      <c r="E297" s="9"/>
      <c r="F297" s="16" t="str">
        <f aca="false">IF(B297="","",IF(COUNTIFS('PM Plan'!$A$5:$A$304,B297,'PM Plan'!$B$5:$B$304,C297)&gt;0,"OK","No matching asset + task in plan"))</f>
        <v/>
      </c>
    </row>
    <row r="298" customFormat="false" ht="15" hidden="false" customHeight="false" outlineLevel="0" collapsed="false">
      <c r="A298" s="13"/>
      <c r="B298" s="9"/>
      <c r="C298" s="9"/>
      <c r="D298" s="9"/>
      <c r="E298" s="9"/>
      <c r="F298" s="16" t="str">
        <f aca="false">IF(B298="","",IF(COUNTIFS('PM Plan'!$A$5:$A$304,B298,'PM Plan'!$B$5:$B$304,C298)&gt;0,"OK","No matching asset + task in plan"))</f>
        <v/>
      </c>
    </row>
    <row r="299" customFormat="false" ht="15" hidden="false" customHeight="false" outlineLevel="0" collapsed="false">
      <c r="A299" s="13"/>
      <c r="B299" s="9"/>
      <c r="C299" s="9"/>
      <c r="D299" s="9"/>
      <c r="E299" s="9"/>
      <c r="F299" s="16" t="str">
        <f aca="false">IF(B299="","",IF(COUNTIFS('PM Plan'!$A$5:$A$304,B299,'PM Plan'!$B$5:$B$304,C299)&gt;0,"OK","No matching asset + task in plan"))</f>
        <v/>
      </c>
    </row>
    <row r="300" customFormat="false" ht="15" hidden="false" customHeight="false" outlineLevel="0" collapsed="false">
      <c r="A300" s="13"/>
      <c r="B300" s="9"/>
      <c r="C300" s="9"/>
      <c r="D300" s="9"/>
      <c r="E300" s="9"/>
      <c r="F300" s="16" t="str">
        <f aca="false">IF(B300="","",IF(COUNTIFS('PM Plan'!$A$5:$A$304,B300,'PM Plan'!$B$5:$B$304,C300)&gt;0,"OK","No matching asset + task in plan"))</f>
        <v/>
      </c>
    </row>
    <row r="301" customFormat="false" ht="15" hidden="false" customHeight="false" outlineLevel="0" collapsed="false">
      <c r="A301" s="13"/>
      <c r="B301" s="9"/>
      <c r="C301" s="9"/>
      <c r="D301" s="9"/>
      <c r="E301" s="9"/>
      <c r="F301" s="16" t="str">
        <f aca="false">IF(B301="","",IF(COUNTIFS('PM Plan'!$A$5:$A$304,B301,'PM Plan'!$B$5:$B$304,C301)&gt;0,"OK","No matching asset + task in plan"))</f>
        <v/>
      </c>
    </row>
    <row r="302" customFormat="false" ht="15" hidden="false" customHeight="false" outlineLevel="0" collapsed="false">
      <c r="A302" s="13"/>
      <c r="B302" s="9"/>
      <c r="C302" s="9"/>
      <c r="D302" s="9"/>
      <c r="E302" s="9"/>
      <c r="F302" s="16" t="str">
        <f aca="false">IF(B302="","",IF(COUNTIFS('PM Plan'!$A$5:$A$304,B302,'PM Plan'!$B$5:$B$304,C302)&gt;0,"OK","No matching asset + task in plan"))</f>
        <v/>
      </c>
    </row>
    <row r="303" customFormat="false" ht="15" hidden="false" customHeight="false" outlineLevel="0" collapsed="false">
      <c r="A303" s="13"/>
      <c r="B303" s="9"/>
      <c r="C303" s="9"/>
      <c r="D303" s="9"/>
      <c r="E303" s="9"/>
      <c r="F303" s="16" t="str">
        <f aca="false">IF(B303="","",IF(COUNTIFS('PM Plan'!$A$5:$A$304,B303,'PM Plan'!$B$5:$B$304,C303)&gt;0,"OK","No matching asset + task in plan"))</f>
        <v/>
      </c>
    </row>
    <row r="304" customFormat="false" ht="15" hidden="false" customHeight="false" outlineLevel="0" collapsed="false">
      <c r="A304" s="13"/>
      <c r="B304" s="9"/>
      <c r="C304" s="9"/>
      <c r="D304" s="9"/>
      <c r="E304" s="9"/>
      <c r="F304" s="16" t="str">
        <f aca="false">IF(B304="","",IF(COUNTIFS('PM Plan'!$A$5:$A$304,B304,'PM Plan'!$B$5:$B$304,C304)&gt;0,"OK","No matching asset + task in plan"))</f>
        <v/>
      </c>
    </row>
    <row r="305" customFormat="false" ht="15" hidden="false" customHeight="false" outlineLevel="0" collapsed="false">
      <c r="A305" s="13"/>
      <c r="B305" s="9"/>
      <c r="C305" s="9"/>
      <c r="D305" s="9"/>
      <c r="E305" s="9"/>
      <c r="F305" s="16" t="str">
        <f aca="false">IF(B305="","",IF(COUNTIFS('PM Plan'!$A$5:$A$304,B305,'PM Plan'!$B$5:$B$304,C305)&gt;0,"OK","No matching asset + task in plan"))</f>
        <v/>
      </c>
    </row>
    <row r="306" customFormat="false" ht="15" hidden="false" customHeight="false" outlineLevel="0" collapsed="false">
      <c r="A306" s="13"/>
      <c r="B306" s="9"/>
      <c r="C306" s="9"/>
      <c r="D306" s="9"/>
      <c r="E306" s="9"/>
      <c r="F306" s="16" t="str">
        <f aca="false">IF(B306="","",IF(COUNTIFS('PM Plan'!$A$5:$A$304,B306,'PM Plan'!$B$5:$B$304,C306)&gt;0,"OK","No matching asset + task in plan"))</f>
        <v/>
      </c>
    </row>
    <row r="307" customFormat="false" ht="15" hidden="false" customHeight="false" outlineLevel="0" collapsed="false">
      <c r="A307" s="13"/>
      <c r="B307" s="9"/>
      <c r="C307" s="9"/>
      <c r="D307" s="9"/>
      <c r="E307" s="9"/>
      <c r="F307" s="16" t="str">
        <f aca="false">IF(B307="","",IF(COUNTIFS('PM Plan'!$A$5:$A$304,B307,'PM Plan'!$B$5:$B$304,C307)&gt;0,"OK","No matching asset + task in plan"))</f>
        <v/>
      </c>
    </row>
    <row r="308" customFormat="false" ht="15" hidden="false" customHeight="false" outlineLevel="0" collapsed="false">
      <c r="A308" s="13"/>
      <c r="B308" s="9"/>
      <c r="C308" s="9"/>
      <c r="D308" s="9"/>
      <c r="E308" s="9"/>
      <c r="F308" s="16" t="str">
        <f aca="false">IF(B308="","",IF(COUNTIFS('PM Plan'!$A$5:$A$304,B308,'PM Plan'!$B$5:$B$304,C308)&gt;0,"OK","No matching asset + task in plan"))</f>
        <v/>
      </c>
    </row>
    <row r="309" customFormat="false" ht="15" hidden="false" customHeight="false" outlineLevel="0" collapsed="false">
      <c r="A309" s="13"/>
      <c r="B309" s="9"/>
      <c r="C309" s="9"/>
      <c r="D309" s="9"/>
      <c r="E309" s="9"/>
      <c r="F309" s="16" t="str">
        <f aca="false">IF(B309="","",IF(COUNTIFS('PM Plan'!$A$5:$A$304,B309,'PM Plan'!$B$5:$B$304,C309)&gt;0,"OK","No matching asset + task in plan"))</f>
        <v/>
      </c>
    </row>
    <row r="310" customFormat="false" ht="15" hidden="false" customHeight="false" outlineLevel="0" collapsed="false">
      <c r="A310" s="13"/>
      <c r="B310" s="9"/>
      <c r="C310" s="9"/>
      <c r="D310" s="9"/>
      <c r="E310" s="9"/>
      <c r="F310" s="16" t="str">
        <f aca="false">IF(B310="","",IF(COUNTIFS('PM Plan'!$A$5:$A$304,B310,'PM Plan'!$B$5:$B$304,C310)&gt;0,"OK","No matching asset + task in plan"))</f>
        <v/>
      </c>
    </row>
    <row r="311" customFormat="false" ht="15" hidden="false" customHeight="false" outlineLevel="0" collapsed="false">
      <c r="A311" s="13"/>
      <c r="B311" s="9"/>
      <c r="C311" s="9"/>
      <c r="D311" s="9"/>
      <c r="E311" s="9"/>
      <c r="F311" s="16" t="str">
        <f aca="false">IF(B311="","",IF(COUNTIFS('PM Plan'!$A$5:$A$304,B311,'PM Plan'!$B$5:$B$304,C311)&gt;0,"OK","No matching asset + task in plan"))</f>
        <v/>
      </c>
    </row>
    <row r="312" customFormat="false" ht="15" hidden="false" customHeight="false" outlineLevel="0" collapsed="false">
      <c r="A312" s="13"/>
      <c r="B312" s="9"/>
      <c r="C312" s="9"/>
      <c r="D312" s="9"/>
      <c r="E312" s="9"/>
      <c r="F312" s="16" t="str">
        <f aca="false">IF(B312="","",IF(COUNTIFS('PM Plan'!$A$5:$A$304,B312,'PM Plan'!$B$5:$B$304,C312)&gt;0,"OK","No matching asset + task in plan"))</f>
        <v/>
      </c>
    </row>
    <row r="313" customFormat="false" ht="15" hidden="false" customHeight="false" outlineLevel="0" collapsed="false">
      <c r="A313" s="13"/>
      <c r="B313" s="9"/>
      <c r="C313" s="9"/>
      <c r="D313" s="9"/>
      <c r="E313" s="9"/>
      <c r="F313" s="16" t="str">
        <f aca="false">IF(B313="","",IF(COUNTIFS('PM Plan'!$A$5:$A$304,B313,'PM Plan'!$B$5:$B$304,C313)&gt;0,"OK","No matching asset + task in plan"))</f>
        <v/>
      </c>
    </row>
    <row r="314" customFormat="false" ht="15" hidden="false" customHeight="false" outlineLevel="0" collapsed="false">
      <c r="A314" s="13"/>
      <c r="B314" s="9"/>
      <c r="C314" s="9"/>
      <c r="D314" s="9"/>
      <c r="E314" s="9"/>
      <c r="F314" s="16" t="str">
        <f aca="false">IF(B314="","",IF(COUNTIFS('PM Plan'!$A$5:$A$304,B314,'PM Plan'!$B$5:$B$304,C314)&gt;0,"OK","No matching asset + task in plan"))</f>
        <v/>
      </c>
    </row>
    <row r="315" customFormat="false" ht="15" hidden="false" customHeight="false" outlineLevel="0" collapsed="false">
      <c r="A315" s="13"/>
      <c r="B315" s="9"/>
      <c r="C315" s="9"/>
      <c r="D315" s="9"/>
      <c r="E315" s="9"/>
      <c r="F315" s="16" t="str">
        <f aca="false">IF(B315="","",IF(COUNTIFS('PM Plan'!$A$5:$A$304,B315,'PM Plan'!$B$5:$B$304,C315)&gt;0,"OK","No matching asset + task in plan"))</f>
        <v/>
      </c>
    </row>
    <row r="316" customFormat="false" ht="15" hidden="false" customHeight="false" outlineLevel="0" collapsed="false">
      <c r="A316" s="13"/>
      <c r="B316" s="9"/>
      <c r="C316" s="9"/>
      <c r="D316" s="9"/>
      <c r="E316" s="9"/>
      <c r="F316" s="16" t="str">
        <f aca="false">IF(B316="","",IF(COUNTIFS('PM Plan'!$A$5:$A$304,B316,'PM Plan'!$B$5:$B$304,C316)&gt;0,"OK","No matching asset + task in plan"))</f>
        <v/>
      </c>
    </row>
    <row r="317" customFormat="false" ht="15" hidden="false" customHeight="false" outlineLevel="0" collapsed="false">
      <c r="A317" s="13"/>
      <c r="B317" s="9"/>
      <c r="C317" s="9"/>
      <c r="D317" s="9"/>
      <c r="E317" s="9"/>
      <c r="F317" s="16" t="str">
        <f aca="false">IF(B317="","",IF(COUNTIFS('PM Plan'!$A$5:$A$304,B317,'PM Plan'!$B$5:$B$304,C317)&gt;0,"OK","No matching asset + task in plan"))</f>
        <v/>
      </c>
    </row>
    <row r="318" customFormat="false" ht="15" hidden="false" customHeight="false" outlineLevel="0" collapsed="false">
      <c r="A318" s="13"/>
      <c r="B318" s="9"/>
      <c r="C318" s="9"/>
      <c r="D318" s="9"/>
      <c r="E318" s="9"/>
      <c r="F318" s="16" t="str">
        <f aca="false">IF(B318="","",IF(COUNTIFS('PM Plan'!$A$5:$A$304,B318,'PM Plan'!$B$5:$B$304,C318)&gt;0,"OK","No matching asset + task in plan"))</f>
        <v/>
      </c>
    </row>
    <row r="319" customFormat="false" ht="15" hidden="false" customHeight="false" outlineLevel="0" collapsed="false">
      <c r="A319" s="13"/>
      <c r="B319" s="9"/>
      <c r="C319" s="9"/>
      <c r="D319" s="9"/>
      <c r="E319" s="9"/>
      <c r="F319" s="16" t="str">
        <f aca="false">IF(B319="","",IF(COUNTIFS('PM Plan'!$A$5:$A$304,B319,'PM Plan'!$B$5:$B$304,C319)&gt;0,"OK","No matching asset + task in plan"))</f>
        <v/>
      </c>
    </row>
    <row r="320" customFormat="false" ht="15" hidden="false" customHeight="false" outlineLevel="0" collapsed="false">
      <c r="A320" s="13"/>
      <c r="B320" s="9"/>
      <c r="C320" s="9"/>
      <c r="D320" s="9"/>
      <c r="E320" s="9"/>
      <c r="F320" s="16" t="str">
        <f aca="false">IF(B320="","",IF(COUNTIFS('PM Plan'!$A$5:$A$304,B320,'PM Plan'!$B$5:$B$304,C320)&gt;0,"OK","No matching asset + task in plan"))</f>
        <v/>
      </c>
    </row>
    <row r="321" customFormat="false" ht="15" hidden="false" customHeight="false" outlineLevel="0" collapsed="false">
      <c r="A321" s="13"/>
      <c r="B321" s="9"/>
      <c r="C321" s="9"/>
      <c r="D321" s="9"/>
      <c r="E321" s="9"/>
      <c r="F321" s="16" t="str">
        <f aca="false">IF(B321="","",IF(COUNTIFS('PM Plan'!$A$5:$A$304,B321,'PM Plan'!$B$5:$B$304,C321)&gt;0,"OK","No matching asset + task in plan"))</f>
        <v/>
      </c>
    </row>
    <row r="322" customFormat="false" ht="15" hidden="false" customHeight="false" outlineLevel="0" collapsed="false">
      <c r="A322" s="13"/>
      <c r="B322" s="9"/>
      <c r="C322" s="9"/>
      <c r="D322" s="9"/>
      <c r="E322" s="9"/>
      <c r="F322" s="16" t="str">
        <f aca="false">IF(B322="","",IF(COUNTIFS('PM Plan'!$A$5:$A$304,B322,'PM Plan'!$B$5:$B$304,C322)&gt;0,"OK","No matching asset + task in plan"))</f>
        <v/>
      </c>
    </row>
    <row r="323" customFormat="false" ht="15" hidden="false" customHeight="false" outlineLevel="0" collapsed="false">
      <c r="A323" s="13"/>
      <c r="B323" s="9"/>
      <c r="C323" s="9"/>
      <c r="D323" s="9"/>
      <c r="E323" s="9"/>
      <c r="F323" s="16" t="str">
        <f aca="false">IF(B323="","",IF(COUNTIFS('PM Plan'!$A$5:$A$304,B323,'PM Plan'!$B$5:$B$304,C323)&gt;0,"OK","No matching asset + task in plan"))</f>
        <v/>
      </c>
    </row>
    <row r="324" customFormat="false" ht="15" hidden="false" customHeight="false" outlineLevel="0" collapsed="false">
      <c r="A324" s="13"/>
      <c r="B324" s="9"/>
      <c r="C324" s="9"/>
      <c r="D324" s="9"/>
      <c r="E324" s="9"/>
      <c r="F324" s="16" t="str">
        <f aca="false">IF(B324="","",IF(COUNTIFS('PM Plan'!$A$5:$A$304,B324,'PM Plan'!$B$5:$B$304,C324)&gt;0,"OK","No matching asset + task in plan"))</f>
        <v/>
      </c>
    </row>
    <row r="325" customFormat="false" ht="15" hidden="false" customHeight="false" outlineLevel="0" collapsed="false">
      <c r="A325" s="13"/>
      <c r="B325" s="9"/>
      <c r="C325" s="9"/>
      <c r="D325" s="9"/>
      <c r="E325" s="9"/>
      <c r="F325" s="16" t="str">
        <f aca="false">IF(B325="","",IF(COUNTIFS('PM Plan'!$A$5:$A$304,B325,'PM Plan'!$B$5:$B$304,C325)&gt;0,"OK","No matching asset + task in plan"))</f>
        <v/>
      </c>
    </row>
    <row r="326" customFormat="false" ht="15" hidden="false" customHeight="false" outlineLevel="0" collapsed="false">
      <c r="A326" s="13"/>
      <c r="B326" s="9"/>
      <c r="C326" s="9"/>
      <c r="D326" s="9"/>
      <c r="E326" s="9"/>
      <c r="F326" s="16" t="str">
        <f aca="false">IF(B326="","",IF(COUNTIFS('PM Plan'!$A$5:$A$304,B326,'PM Plan'!$B$5:$B$304,C326)&gt;0,"OK","No matching asset + task in plan"))</f>
        <v/>
      </c>
    </row>
    <row r="327" customFormat="false" ht="15" hidden="false" customHeight="false" outlineLevel="0" collapsed="false">
      <c r="A327" s="13"/>
      <c r="B327" s="9"/>
      <c r="C327" s="9"/>
      <c r="D327" s="9"/>
      <c r="E327" s="9"/>
      <c r="F327" s="16" t="str">
        <f aca="false">IF(B327="","",IF(COUNTIFS('PM Plan'!$A$5:$A$304,B327,'PM Plan'!$B$5:$B$304,C327)&gt;0,"OK","No matching asset + task in plan"))</f>
        <v/>
      </c>
    </row>
    <row r="328" customFormat="false" ht="15" hidden="false" customHeight="false" outlineLevel="0" collapsed="false">
      <c r="A328" s="13"/>
      <c r="B328" s="9"/>
      <c r="C328" s="9"/>
      <c r="D328" s="9"/>
      <c r="E328" s="9"/>
      <c r="F328" s="16" t="str">
        <f aca="false">IF(B328="","",IF(COUNTIFS('PM Plan'!$A$5:$A$304,B328,'PM Plan'!$B$5:$B$304,C328)&gt;0,"OK","No matching asset + task in plan"))</f>
        <v/>
      </c>
    </row>
    <row r="329" customFormat="false" ht="15" hidden="false" customHeight="false" outlineLevel="0" collapsed="false">
      <c r="A329" s="13"/>
      <c r="B329" s="9"/>
      <c r="C329" s="9"/>
      <c r="D329" s="9"/>
      <c r="E329" s="9"/>
      <c r="F329" s="16" t="str">
        <f aca="false">IF(B329="","",IF(COUNTIFS('PM Plan'!$A$5:$A$304,B329,'PM Plan'!$B$5:$B$304,C329)&gt;0,"OK","No matching asset + task in plan"))</f>
        <v/>
      </c>
    </row>
    <row r="330" customFormat="false" ht="15" hidden="false" customHeight="false" outlineLevel="0" collapsed="false">
      <c r="A330" s="13"/>
      <c r="B330" s="9"/>
      <c r="C330" s="9"/>
      <c r="D330" s="9"/>
      <c r="E330" s="9"/>
      <c r="F330" s="16" t="str">
        <f aca="false">IF(B330="","",IF(COUNTIFS('PM Plan'!$A$5:$A$304,B330,'PM Plan'!$B$5:$B$304,C330)&gt;0,"OK","No matching asset + task in plan"))</f>
        <v/>
      </c>
    </row>
    <row r="331" customFormat="false" ht="15" hidden="false" customHeight="false" outlineLevel="0" collapsed="false">
      <c r="A331" s="13"/>
      <c r="B331" s="9"/>
      <c r="C331" s="9"/>
      <c r="D331" s="9"/>
      <c r="E331" s="9"/>
      <c r="F331" s="16" t="str">
        <f aca="false">IF(B331="","",IF(COUNTIFS('PM Plan'!$A$5:$A$304,B331,'PM Plan'!$B$5:$B$304,C331)&gt;0,"OK","No matching asset + task in plan"))</f>
        <v/>
      </c>
    </row>
    <row r="332" customFormat="false" ht="15" hidden="false" customHeight="false" outlineLevel="0" collapsed="false">
      <c r="A332" s="13"/>
      <c r="B332" s="9"/>
      <c r="C332" s="9"/>
      <c r="D332" s="9"/>
      <c r="E332" s="9"/>
      <c r="F332" s="16" t="str">
        <f aca="false">IF(B332="","",IF(COUNTIFS('PM Plan'!$A$5:$A$304,B332,'PM Plan'!$B$5:$B$304,C332)&gt;0,"OK","No matching asset + task in plan"))</f>
        <v/>
      </c>
    </row>
    <row r="333" customFormat="false" ht="15" hidden="false" customHeight="false" outlineLevel="0" collapsed="false">
      <c r="A333" s="13"/>
      <c r="B333" s="9"/>
      <c r="C333" s="9"/>
      <c r="D333" s="9"/>
      <c r="E333" s="9"/>
      <c r="F333" s="16" t="str">
        <f aca="false">IF(B333="","",IF(COUNTIFS('PM Plan'!$A$5:$A$304,B333,'PM Plan'!$B$5:$B$304,C333)&gt;0,"OK","No matching asset + task in plan"))</f>
        <v/>
      </c>
    </row>
    <row r="334" customFormat="false" ht="15" hidden="false" customHeight="false" outlineLevel="0" collapsed="false">
      <c r="A334" s="13"/>
      <c r="B334" s="9"/>
      <c r="C334" s="9"/>
      <c r="D334" s="9"/>
      <c r="E334" s="9"/>
      <c r="F334" s="16" t="str">
        <f aca="false">IF(B334="","",IF(COUNTIFS('PM Plan'!$A$5:$A$304,B334,'PM Plan'!$B$5:$B$304,C334)&gt;0,"OK","No matching asset + task in plan"))</f>
        <v/>
      </c>
    </row>
    <row r="335" customFormat="false" ht="15" hidden="false" customHeight="false" outlineLevel="0" collapsed="false">
      <c r="A335" s="13"/>
      <c r="B335" s="9"/>
      <c r="C335" s="9"/>
      <c r="D335" s="9"/>
      <c r="E335" s="9"/>
      <c r="F335" s="16" t="str">
        <f aca="false">IF(B335="","",IF(COUNTIFS('PM Plan'!$A$5:$A$304,B335,'PM Plan'!$B$5:$B$304,C335)&gt;0,"OK","No matching asset + task in plan"))</f>
        <v/>
      </c>
    </row>
    <row r="336" customFormat="false" ht="15" hidden="false" customHeight="false" outlineLevel="0" collapsed="false">
      <c r="A336" s="13"/>
      <c r="B336" s="9"/>
      <c r="C336" s="9"/>
      <c r="D336" s="9"/>
      <c r="E336" s="9"/>
      <c r="F336" s="16" t="str">
        <f aca="false">IF(B336="","",IF(COUNTIFS('PM Plan'!$A$5:$A$304,B336,'PM Plan'!$B$5:$B$304,C336)&gt;0,"OK","No matching asset + task in plan"))</f>
        <v/>
      </c>
    </row>
    <row r="337" customFormat="false" ht="15" hidden="false" customHeight="false" outlineLevel="0" collapsed="false">
      <c r="A337" s="13"/>
      <c r="B337" s="9"/>
      <c r="C337" s="9"/>
      <c r="D337" s="9"/>
      <c r="E337" s="9"/>
      <c r="F337" s="16" t="str">
        <f aca="false">IF(B337="","",IF(COUNTIFS('PM Plan'!$A$5:$A$304,B337,'PM Plan'!$B$5:$B$304,C337)&gt;0,"OK","No matching asset + task in plan"))</f>
        <v/>
      </c>
    </row>
    <row r="338" customFormat="false" ht="15" hidden="false" customHeight="false" outlineLevel="0" collapsed="false">
      <c r="A338" s="13"/>
      <c r="B338" s="9"/>
      <c r="C338" s="9"/>
      <c r="D338" s="9"/>
      <c r="E338" s="9"/>
      <c r="F338" s="16" t="str">
        <f aca="false">IF(B338="","",IF(COUNTIFS('PM Plan'!$A$5:$A$304,B338,'PM Plan'!$B$5:$B$304,C338)&gt;0,"OK","No matching asset + task in plan"))</f>
        <v/>
      </c>
    </row>
    <row r="339" customFormat="false" ht="15" hidden="false" customHeight="false" outlineLevel="0" collapsed="false">
      <c r="A339" s="13"/>
      <c r="B339" s="9"/>
      <c r="C339" s="9"/>
      <c r="D339" s="9"/>
      <c r="E339" s="9"/>
      <c r="F339" s="16" t="str">
        <f aca="false">IF(B339="","",IF(COUNTIFS('PM Plan'!$A$5:$A$304,B339,'PM Plan'!$B$5:$B$304,C339)&gt;0,"OK","No matching asset + task in plan"))</f>
        <v/>
      </c>
    </row>
    <row r="340" customFormat="false" ht="15" hidden="false" customHeight="false" outlineLevel="0" collapsed="false">
      <c r="A340" s="13"/>
      <c r="B340" s="9"/>
      <c r="C340" s="9"/>
      <c r="D340" s="9"/>
      <c r="E340" s="9"/>
      <c r="F340" s="16" t="str">
        <f aca="false">IF(B340="","",IF(COUNTIFS('PM Plan'!$A$5:$A$304,B340,'PM Plan'!$B$5:$B$304,C340)&gt;0,"OK","No matching asset + task in plan"))</f>
        <v/>
      </c>
    </row>
    <row r="341" customFormat="false" ht="15" hidden="false" customHeight="false" outlineLevel="0" collapsed="false">
      <c r="A341" s="13"/>
      <c r="B341" s="9"/>
      <c r="C341" s="9"/>
      <c r="D341" s="9"/>
      <c r="E341" s="9"/>
      <c r="F341" s="16" t="str">
        <f aca="false">IF(B341="","",IF(COUNTIFS('PM Plan'!$A$5:$A$304,B341,'PM Plan'!$B$5:$B$304,C341)&gt;0,"OK","No matching asset + task in plan"))</f>
        <v/>
      </c>
    </row>
    <row r="342" customFormat="false" ht="15" hidden="false" customHeight="false" outlineLevel="0" collapsed="false">
      <c r="A342" s="13"/>
      <c r="B342" s="9"/>
      <c r="C342" s="9"/>
      <c r="D342" s="9"/>
      <c r="E342" s="9"/>
      <c r="F342" s="16" t="str">
        <f aca="false">IF(B342="","",IF(COUNTIFS('PM Plan'!$A$5:$A$304,B342,'PM Plan'!$B$5:$B$304,C342)&gt;0,"OK","No matching asset + task in plan"))</f>
        <v/>
      </c>
    </row>
    <row r="343" customFormat="false" ht="15" hidden="false" customHeight="false" outlineLevel="0" collapsed="false">
      <c r="A343" s="13"/>
      <c r="B343" s="9"/>
      <c r="C343" s="9"/>
      <c r="D343" s="9"/>
      <c r="E343" s="9"/>
      <c r="F343" s="16" t="str">
        <f aca="false">IF(B343="","",IF(COUNTIFS('PM Plan'!$A$5:$A$304,B343,'PM Plan'!$B$5:$B$304,C343)&gt;0,"OK","No matching asset + task in plan"))</f>
        <v/>
      </c>
    </row>
    <row r="344" customFormat="false" ht="15" hidden="false" customHeight="false" outlineLevel="0" collapsed="false">
      <c r="A344" s="13"/>
      <c r="B344" s="9"/>
      <c r="C344" s="9"/>
      <c r="D344" s="9"/>
      <c r="E344" s="9"/>
      <c r="F344" s="16" t="str">
        <f aca="false">IF(B344="","",IF(COUNTIFS('PM Plan'!$A$5:$A$304,B344,'PM Plan'!$B$5:$B$304,C344)&gt;0,"OK","No matching asset + task in plan"))</f>
        <v/>
      </c>
    </row>
    <row r="345" customFormat="false" ht="15" hidden="false" customHeight="false" outlineLevel="0" collapsed="false">
      <c r="A345" s="13"/>
      <c r="B345" s="9"/>
      <c r="C345" s="9"/>
      <c r="D345" s="9"/>
      <c r="E345" s="9"/>
      <c r="F345" s="16" t="str">
        <f aca="false">IF(B345="","",IF(COUNTIFS('PM Plan'!$A$5:$A$304,B345,'PM Plan'!$B$5:$B$304,C345)&gt;0,"OK","No matching asset + task in plan"))</f>
        <v/>
      </c>
    </row>
    <row r="346" customFormat="false" ht="15" hidden="false" customHeight="false" outlineLevel="0" collapsed="false">
      <c r="A346" s="13"/>
      <c r="B346" s="9"/>
      <c r="C346" s="9"/>
      <c r="D346" s="9"/>
      <c r="E346" s="9"/>
      <c r="F346" s="16" t="str">
        <f aca="false">IF(B346="","",IF(COUNTIFS('PM Plan'!$A$5:$A$304,B346,'PM Plan'!$B$5:$B$304,C346)&gt;0,"OK","No matching asset + task in plan"))</f>
        <v/>
      </c>
    </row>
    <row r="347" customFormat="false" ht="15" hidden="false" customHeight="false" outlineLevel="0" collapsed="false">
      <c r="A347" s="13"/>
      <c r="B347" s="9"/>
      <c r="C347" s="9"/>
      <c r="D347" s="9"/>
      <c r="E347" s="9"/>
      <c r="F347" s="16" t="str">
        <f aca="false">IF(B347="","",IF(COUNTIFS('PM Plan'!$A$5:$A$304,B347,'PM Plan'!$B$5:$B$304,C347)&gt;0,"OK","No matching asset + task in plan"))</f>
        <v/>
      </c>
    </row>
    <row r="348" customFormat="false" ht="15" hidden="false" customHeight="false" outlineLevel="0" collapsed="false">
      <c r="A348" s="13"/>
      <c r="B348" s="9"/>
      <c r="C348" s="9"/>
      <c r="D348" s="9"/>
      <c r="E348" s="9"/>
      <c r="F348" s="16" t="str">
        <f aca="false">IF(B348="","",IF(COUNTIFS('PM Plan'!$A$5:$A$304,B348,'PM Plan'!$B$5:$B$304,C348)&gt;0,"OK","No matching asset + task in plan"))</f>
        <v/>
      </c>
    </row>
    <row r="349" customFormat="false" ht="15" hidden="false" customHeight="false" outlineLevel="0" collapsed="false">
      <c r="A349" s="13"/>
      <c r="B349" s="9"/>
      <c r="C349" s="9"/>
      <c r="D349" s="9"/>
      <c r="E349" s="9"/>
      <c r="F349" s="16" t="str">
        <f aca="false">IF(B349="","",IF(COUNTIFS('PM Plan'!$A$5:$A$304,B349,'PM Plan'!$B$5:$B$304,C349)&gt;0,"OK","No matching asset + task in plan"))</f>
        <v/>
      </c>
    </row>
    <row r="350" customFormat="false" ht="15" hidden="false" customHeight="false" outlineLevel="0" collapsed="false">
      <c r="A350" s="13"/>
      <c r="B350" s="9"/>
      <c r="C350" s="9"/>
      <c r="D350" s="9"/>
      <c r="E350" s="9"/>
      <c r="F350" s="16" t="str">
        <f aca="false">IF(B350="","",IF(COUNTIFS('PM Plan'!$A$5:$A$304,B350,'PM Plan'!$B$5:$B$304,C350)&gt;0,"OK","No matching asset + task in plan"))</f>
        <v/>
      </c>
    </row>
    <row r="351" customFormat="false" ht="15" hidden="false" customHeight="false" outlineLevel="0" collapsed="false">
      <c r="A351" s="13"/>
      <c r="B351" s="9"/>
      <c r="C351" s="9"/>
      <c r="D351" s="9"/>
      <c r="E351" s="9"/>
      <c r="F351" s="16" t="str">
        <f aca="false">IF(B351="","",IF(COUNTIFS('PM Plan'!$A$5:$A$304,B351,'PM Plan'!$B$5:$B$304,C351)&gt;0,"OK","No matching asset + task in plan"))</f>
        <v/>
      </c>
    </row>
    <row r="352" customFormat="false" ht="15" hidden="false" customHeight="false" outlineLevel="0" collapsed="false">
      <c r="A352" s="13"/>
      <c r="B352" s="9"/>
      <c r="C352" s="9"/>
      <c r="D352" s="9"/>
      <c r="E352" s="9"/>
      <c r="F352" s="16" t="str">
        <f aca="false">IF(B352="","",IF(COUNTIFS('PM Plan'!$A$5:$A$304,B352,'PM Plan'!$B$5:$B$304,C352)&gt;0,"OK","No matching asset + task in plan"))</f>
        <v/>
      </c>
    </row>
    <row r="353" customFormat="false" ht="15" hidden="false" customHeight="false" outlineLevel="0" collapsed="false">
      <c r="A353" s="13"/>
      <c r="B353" s="9"/>
      <c r="C353" s="9"/>
      <c r="D353" s="9"/>
      <c r="E353" s="9"/>
      <c r="F353" s="16" t="str">
        <f aca="false">IF(B353="","",IF(COUNTIFS('PM Plan'!$A$5:$A$304,B353,'PM Plan'!$B$5:$B$304,C353)&gt;0,"OK","No matching asset + task in plan"))</f>
        <v/>
      </c>
    </row>
    <row r="354" customFormat="false" ht="15" hidden="false" customHeight="false" outlineLevel="0" collapsed="false">
      <c r="A354" s="13"/>
      <c r="B354" s="9"/>
      <c r="C354" s="9"/>
      <c r="D354" s="9"/>
      <c r="E354" s="9"/>
      <c r="F354" s="16" t="str">
        <f aca="false">IF(B354="","",IF(COUNTIFS('PM Plan'!$A$5:$A$304,B354,'PM Plan'!$B$5:$B$304,C354)&gt;0,"OK","No matching asset + task in plan"))</f>
        <v/>
      </c>
    </row>
    <row r="355" customFormat="false" ht="15" hidden="false" customHeight="false" outlineLevel="0" collapsed="false">
      <c r="A355" s="13"/>
      <c r="B355" s="9"/>
      <c r="C355" s="9"/>
      <c r="D355" s="9"/>
      <c r="E355" s="9"/>
      <c r="F355" s="16" t="str">
        <f aca="false">IF(B355="","",IF(COUNTIFS('PM Plan'!$A$5:$A$304,B355,'PM Plan'!$B$5:$B$304,C355)&gt;0,"OK","No matching asset + task in plan"))</f>
        <v/>
      </c>
    </row>
    <row r="356" customFormat="false" ht="15" hidden="false" customHeight="false" outlineLevel="0" collapsed="false">
      <c r="A356" s="13"/>
      <c r="B356" s="9"/>
      <c r="C356" s="9"/>
      <c r="D356" s="9"/>
      <c r="E356" s="9"/>
      <c r="F356" s="16" t="str">
        <f aca="false">IF(B356="","",IF(COUNTIFS('PM Plan'!$A$5:$A$304,B356,'PM Plan'!$B$5:$B$304,C356)&gt;0,"OK","No matching asset + task in plan"))</f>
        <v/>
      </c>
    </row>
    <row r="357" customFormat="false" ht="15" hidden="false" customHeight="false" outlineLevel="0" collapsed="false">
      <c r="A357" s="13"/>
      <c r="B357" s="9"/>
      <c r="C357" s="9"/>
      <c r="D357" s="9"/>
      <c r="E357" s="9"/>
      <c r="F357" s="16" t="str">
        <f aca="false">IF(B357="","",IF(COUNTIFS('PM Plan'!$A$5:$A$304,B357,'PM Plan'!$B$5:$B$304,C357)&gt;0,"OK","No matching asset + task in plan"))</f>
        <v/>
      </c>
    </row>
    <row r="358" customFormat="false" ht="15" hidden="false" customHeight="false" outlineLevel="0" collapsed="false">
      <c r="A358" s="13"/>
      <c r="B358" s="9"/>
      <c r="C358" s="9"/>
      <c r="D358" s="9"/>
      <c r="E358" s="9"/>
      <c r="F358" s="16" t="str">
        <f aca="false">IF(B358="","",IF(COUNTIFS('PM Plan'!$A$5:$A$304,B358,'PM Plan'!$B$5:$B$304,C358)&gt;0,"OK","No matching asset + task in plan"))</f>
        <v/>
      </c>
    </row>
    <row r="359" customFormat="false" ht="15" hidden="false" customHeight="false" outlineLevel="0" collapsed="false">
      <c r="A359" s="13"/>
      <c r="B359" s="9"/>
      <c r="C359" s="9"/>
      <c r="D359" s="9"/>
      <c r="E359" s="9"/>
      <c r="F359" s="16" t="str">
        <f aca="false">IF(B359="","",IF(COUNTIFS('PM Plan'!$A$5:$A$304,B359,'PM Plan'!$B$5:$B$304,C359)&gt;0,"OK","No matching asset + task in plan"))</f>
        <v/>
      </c>
    </row>
    <row r="360" customFormat="false" ht="15" hidden="false" customHeight="false" outlineLevel="0" collapsed="false">
      <c r="A360" s="13"/>
      <c r="B360" s="9"/>
      <c r="C360" s="9"/>
      <c r="D360" s="9"/>
      <c r="E360" s="9"/>
      <c r="F360" s="16" t="str">
        <f aca="false">IF(B360="","",IF(COUNTIFS('PM Plan'!$A$5:$A$304,B360,'PM Plan'!$B$5:$B$304,C360)&gt;0,"OK","No matching asset + task in plan"))</f>
        <v/>
      </c>
    </row>
    <row r="361" customFormat="false" ht="15" hidden="false" customHeight="false" outlineLevel="0" collapsed="false">
      <c r="A361" s="13"/>
      <c r="B361" s="9"/>
      <c r="C361" s="9"/>
      <c r="D361" s="9"/>
      <c r="E361" s="9"/>
      <c r="F361" s="16" t="str">
        <f aca="false">IF(B361="","",IF(COUNTIFS('PM Plan'!$A$5:$A$304,B361,'PM Plan'!$B$5:$B$304,C361)&gt;0,"OK","No matching asset + task in plan"))</f>
        <v/>
      </c>
    </row>
    <row r="362" customFormat="false" ht="15" hidden="false" customHeight="false" outlineLevel="0" collapsed="false">
      <c r="A362" s="13"/>
      <c r="B362" s="9"/>
      <c r="C362" s="9"/>
      <c r="D362" s="9"/>
      <c r="E362" s="9"/>
      <c r="F362" s="16" t="str">
        <f aca="false">IF(B362="","",IF(COUNTIFS('PM Plan'!$A$5:$A$304,B362,'PM Plan'!$B$5:$B$304,C362)&gt;0,"OK","No matching asset + task in plan"))</f>
        <v/>
      </c>
    </row>
    <row r="363" customFormat="false" ht="15" hidden="false" customHeight="false" outlineLevel="0" collapsed="false">
      <c r="A363" s="13"/>
      <c r="B363" s="9"/>
      <c r="C363" s="9"/>
      <c r="D363" s="9"/>
      <c r="E363" s="9"/>
      <c r="F363" s="16" t="str">
        <f aca="false">IF(B363="","",IF(COUNTIFS('PM Plan'!$A$5:$A$304,B363,'PM Plan'!$B$5:$B$304,C363)&gt;0,"OK","No matching asset + task in plan"))</f>
        <v/>
      </c>
    </row>
    <row r="364" customFormat="false" ht="15" hidden="false" customHeight="false" outlineLevel="0" collapsed="false">
      <c r="A364" s="13"/>
      <c r="B364" s="9"/>
      <c r="C364" s="9"/>
      <c r="D364" s="9"/>
      <c r="E364" s="9"/>
      <c r="F364" s="16" t="str">
        <f aca="false">IF(B364="","",IF(COUNTIFS('PM Plan'!$A$5:$A$304,B364,'PM Plan'!$B$5:$B$304,C364)&gt;0,"OK","No matching asset + task in plan"))</f>
        <v/>
      </c>
    </row>
    <row r="365" customFormat="false" ht="15" hidden="false" customHeight="false" outlineLevel="0" collapsed="false">
      <c r="A365" s="13"/>
      <c r="B365" s="9"/>
      <c r="C365" s="9"/>
      <c r="D365" s="9"/>
      <c r="E365" s="9"/>
      <c r="F365" s="16" t="str">
        <f aca="false">IF(B365="","",IF(COUNTIFS('PM Plan'!$A$5:$A$304,B365,'PM Plan'!$B$5:$B$304,C365)&gt;0,"OK","No matching asset + task in plan"))</f>
        <v/>
      </c>
    </row>
    <row r="366" customFormat="false" ht="15" hidden="false" customHeight="false" outlineLevel="0" collapsed="false">
      <c r="A366" s="13"/>
      <c r="B366" s="9"/>
      <c r="C366" s="9"/>
      <c r="D366" s="9"/>
      <c r="E366" s="9"/>
      <c r="F366" s="16" t="str">
        <f aca="false">IF(B366="","",IF(COUNTIFS('PM Plan'!$A$5:$A$304,B366,'PM Plan'!$B$5:$B$304,C366)&gt;0,"OK","No matching asset + task in plan"))</f>
        <v/>
      </c>
    </row>
    <row r="367" customFormat="false" ht="15" hidden="false" customHeight="false" outlineLevel="0" collapsed="false">
      <c r="A367" s="13"/>
      <c r="B367" s="9"/>
      <c r="C367" s="9"/>
      <c r="D367" s="9"/>
      <c r="E367" s="9"/>
      <c r="F367" s="16" t="str">
        <f aca="false">IF(B367="","",IF(COUNTIFS('PM Plan'!$A$5:$A$304,B367,'PM Plan'!$B$5:$B$304,C367)&gt;0,"OK","No matching asset + task in plan"))</f>
        <v/>
      </c>
    </row>
    <row r="368" customFormat="false" ht="15" hidden="false" customHeight="false" outlineLevel="0" collapsed="false">
      <c r="A368" s="13"/>
      <c r="B368" s="9"/>
      <c r="C368" s="9"/>
      <c r="D368" s="9"/>
      <c r="E368" s="9"/>
      <c r="F368" s="16" t="str">
        <f aca="false">IF(B368="","",IF(COUNTIFS('PM Plan'!$A$5:$A$304,B368,'PM Plan'!$B$5:$B$304,C368)&gt;0,"OK","No matching asset + task in plan"))</f>
        <v/>
      </c>
    </row>
    <row r="369" customFormat="false" ht="15" hidden="false" customHeight="false" outlineLevel="0" collapsed="false">
      <c r="A369" s="13"/>
      <c r="B369" s="9"/>
      <c r="C369" s="9"/>
      <c r="D369" s="9"/>
      <c r="E369" s="9"/>
      <c r="F369" s="16" t="str">
        <f aca="false">IF(B369="","",IF(COUNTIFS('PM Plan'!$A$5:$A$304,B369,'PM Plan'!$B$5:$B$304,C369)&gt;0,"OK","No matching asset + task in plan"))</f>
        <v/>
      </c>
    </row>
    <row r="370" customFormat="false" ht="15" hidden="false" customHeight="false" outlineLevel="0" collapsed="false">
      <c r="A370" s="13"/>
      <c r="B370" s="9"/>
      <c r="C370" s="9"/>
      <c r="D370" s="9"/>
      <c r="E370" s="9"/>
      <c r="F370" s="16" t="str">
        <f aca="false">IF(B370="","",IF(COUNTIFS('PM Plan'!$A$5:$A$304,B370,'PM Plan'!$B$5:$B$304,C370)&gt;0,"OK","No matching asset + task in plan"))</f>
        <v/>
      </c>
    </row>
    <row r="371" customFormat="false" ht="15" hidden="false" customHeight="false" outlineLevel="0" collapsed="false">
      <c r="A371" s="13"/>
      <c r="B371" s="9"/>
      <c r="C371" s="9"/>
      <c r="D371" s="9"/>
      <c r="E371" s="9"/>
      <c r="F371" s="16" t="str">
        <f aca="false">IF(B371="","",IF(COUNTIFS('PM Plan'!$A$5:$A$304,B371,'PM Plan'!$B$5:$B$304,C371)&gt;0,"OK","No matching asset + task in plan"))</f>
        <v/>
      </c>
    </row>
    <row r="372" customFormat="false" ht="15" hidden="false" customHeight="false" outlineLevel="0" collapsed="false">
      <c r="A372" s="13"/>
      <c r="B372" s="9"/>
      <c r="C372" s="9"/>
      <c r="D372" s="9"/>
      <c r="E372" s="9"/>
      <c r="F372" s="16" t="str">
        <f aca="false">IF(B372="","",IF(COUNTIFS('PM Plan'!$A$5:$A$304,B372,'PM Plan'!$B$5:$B$304,C372)&gt;0,"OK","No matching asset + task in plan"))</f>
        <v/>
      </c>
    </row>
    <row r="373" customFormat="false" ht="15" hidden="false" customHeight="false" outlineLevel="0" collapsed="false">
      <c r="A373" s="13"/>
      <c r="B373" s="9"/>
      <c r="C373" s="9"/>
      <c r="D373" s="9"/>
      <c r="E373" s="9"/>
      <c r="F373" s="16" t="str">
        <f aca="false">IF(B373="","",IF(COUNTIFS('PM Plan'!$A$5:$A$304,B373,'PM Plan'!$B$5:$B$304,C373)&gt;0,"OK","No matching asset + task in plan"))</f>
        <v/>
      </c>
    </row>
    <row r="374" customFormat="false" ht="15" hidden="false" customHeight="false" outlineLevel="0" collapsed="false">
      <c r="A374" s="13"/>
      <c r="B374" s="9"/>
      <c r="C374" s="9"/>
      <c r="D374" s="9"/>
      <c r="E374" s="9"/>
      <c r="F374" s="16" t="str">
        <f aca="false">IF(B374="","",IF(COUNTIFS('PM Plan'!$A$5:$A$304,B374,'PM Plan'!$B$5:$B$304,C374)&gt;0,"OK","No matching asset + task in plan"))</f>
        <v/>
      </c>
    </row>
    <row r="375" customFormat="false" ht="15" hidden="false" customHeight="false" outlineLevel="0" collapsed="false">
      <c r="A375" s="13"/>
      <c r="B375" s="9"/>
      <c r="C375" s="9"/>
      <c r="D375" s="9"/>
      <c r="E375" s="9"/>
      <c r="F375" s="16" t="str">
        <f aca="false">IF(B375="","",IF(COUNTIFS('PM Plan'!$A$5:$A$304,B375,'PM Plan'!$B$5:$B$304,C375)&gt;0,"OK","No matching asset + task in plan"))</f>
        <v/>
      </c>
    </row>
    <row r="376" customFormat="false" ht="15" hidden="false" customHeight="false" outlineLevel="0" collapsed="false">
      <c r="A376" s="13"/>
      <c r="B376" s="9"/>
      <c r="C376" s="9"/>
      <c r="D376" s="9"/>
      <c r="E376" s="9"/>
      <c r="F376" s="16" t="str">
        <f aca="false">IF(B376="","",IF(COUNTIFS('PM Plan'!$A$5:$A$304,B376,'PM Plan'!$B$5:$B$304,C376)&gt;0,"OK","No matching asset + task in plan"))</f>
        <v/>
      </c>
    </row>
    <row r="377" customFormat="false" ht="15" hidden="false" customHeight="false" outlineLevel="0" collapsed="false">
      <c r="A377" s="13"/>
      <c r="B377" s="9"/>
      <c r="C377" s="9"/>
      <c r="D377" s="9"/>
      <c r="E377" s="9"/>
      <c r="F377" s="16" t="str">
        <f aca="false">IF(B377="","",IF(COUNTIFS('PM Plan'!$A$5:$A$304,B377,'PM Plan'!$B$5:$B$304,C377)&gt;0,"OK","No matching asset + task in plan"))</f>
        <v/>
      </c>
    </row>
    <row r="378" customFormat="false" ht="15" hidden="false" customHeight="false" outlineLevel="0" collapsed="false">
      <c r="A378" s="13"/>
      <c r="B378" s="9"/>
      <c r="C378" s="9"/>
      <c r="D378" s="9"/>
      <c r="E378" s="9"/>
      <c r="F378" s="16" t="str">
        <f aca="false">IF(B378="","",IF(COUNTIFS('PM Plan'!$A$5:$A$304,B378,'PM Plan'!$B$5:$B$304,C378)&gt;0,"OK","No matching asset + task in plan"))</f>
        <v/>
      </c>
    </row>
    <row r="379" customFormat="false" ht="15" hidden="false" customHeight="false" outlineLevel="0" collapsed="false">
      <c r="A379" s="13"/>
      <c r="B379" s="9"/>
      <c r="C379" s="9"/>
      <c r="D379" s="9"/>
      <c r="E379" s="9"/>
      <c r="F379" s="16" t="str">
        <f aca="false">IF(B379="","",IF(COUNTIFS('PM Plan'!$A$5:$A$304,B379,'PM Plan'!$B$5:$B$304,C379)&gt;0,"OK","No matching asset + task in plan"))</f>
        <v/>
      </c>
    </row>
    <row r="380" customFormat="false" ht="15" hidden="false" customHeight="false" outlineLevel="0" collapsed="false">
      <c r="A380" s="13"/>
      <c r="B380" s="9"/>
      <c r="C380" s="9"/>
      <c r="D380" s="9"/>
      <c r="E380" s="9"/>
      <c r="F380" s="16" t="str">
        <f aca="false">IF(B380="","",IF(COUNTIFS('PM Plan'!$A$5:$A$304,B380,'PM Plan'!$B$5:$B$304,C380)&gt;0,"OK","No matching asset + task in plan"))</f>
        <v/>
      </c>
    </row>
    <row r="381" customFormat="false" ht="15" hidden="false" customHeight="false" outlineLevel="0" collapsed="false">
      <c r="A381" s="13"/>
      <c r="B381" s="9"/>
      <c r="C381" s="9"/>
      <c r="D381" s="9"/>
      <c r="E381" s="9"/>
      <c r="F381" s="16" t="str">
        <f aca="false">IF(B381="","",IF(COUNTIFS('PM Plan'!$A$5:$A$304,B381,'PM Plan'!$B$5:$B$304,C381)&gt;0,"OK","No matching asset + task in plan"))</f>
        <v/>
      </c>
    </row>
    <row r="382" customFormat="false" ht="15" hidden="false" customHeight="false" outlineLevel="0" collapsed="false">
      <c r="A382" s="13"/>
      <c r="B382" s="9"/>
      <c r="C382" s="9"/>
      <c r="D382" s="9"/>
      <c r="E382" s="9"/>
      <c r="F382" s="16" t="str">
        <f aca="false">IF(B382="","",IF(COUNTIFS('PM Plan'!$A$5:$A$304,B382,'PM Plan'!$B$5:$B$304,C382)&gt;0,"OK","No matching asset + task in plan"))</f>
        <v/>
      </c>
    </row>
    <row r="383" customFormat="false" ht="15" hidden="false" customHeight="false" outlineLevel="0" collapsed="false">
      <c r="A383" s="13"/>
      <c r="B383" s="9"/>
      <c r="C383" s="9"/>
      <c r="D383" s="9"/>
      <c r="E383" s="9"/>
      <c r="F383" s="16" t="str">
        <f aca="false">IF(B383="","",IF(COUNTIFS('PM Plan'!$A$5:$A$304,B383,'PM Plan'!$B$5:$B$304,C383)&gt;0,"OK","No matching asset + task in plan"))</f>
        <v/>
      </c>
    </row>
    <row r="384" customFormat="false" ht="15" hidden="false" customHeight="false" outlineLevel="0" collapsed="false">
      <c r="A384" s="13"/>
      <c r="B384" s="9"/>
      <c r="C384" s="9"/>
      <c r="D384" s="9"/>
      <c r="E384" s="9"/>
      <c r="F384" s="16" t="str">
        <f aca="false">IF(B384="","",IF(COUNTIFS('PM Plan'!$A$5:$A$304,B384,'PM Plan'!$B$5:$B$304,C384)&gt;0,"OK","No matching asset + task in plan"))</f>
        <v/>
      </c>
    </row>
    <row r="385" customFormat="false" ht="15" hidden="false" customHeight="false" outlineLevel="0" collapsed="false">
      <c r="A385" s="13"/>
      <c r="B385" s="9"/>
      <c r="C385" s="9"/>
      <c r="D385" s="9"/>
      <c r="E385" s="9"/>
      <c r="F385" s="16" t="str">
        <f aca="false">IF(B385="","",IF(COUNTIFS('PM Plan'!$A$5:$A$304,B385,'PM Plan'!$B$5:$B$304,C385)&gt;0,"OK","No matching asset + task in plan"))</f>
        <v/>
      </c>
    </row>
    <row r="386" customFormat="false" ht="15" hidden="false" customHeight="false" outlineLevel="0" collapsed="false">
      <c r="A386" s="13"/>
      <c r="B386" s="9"/>
      <c r="C386" s="9"/>
      <c r="D386" s="9"/>
      <c r="E386" s="9"/>
      <c r="F386" s="16" t="str">
        <f aca="false">IF(B386="","",IF(COUNTIFS('PM Plan'!$A$5:$A$304,B386,'PM Plan'!$B$5:$B$304,C386)&gt;0,"OK","No matching asset + task in plan"))</f>
        <v/>
      </c>
    </row>
    <row r="387" customFormat="false" ht="15" hidden="false" customHeight="false" outlineLevel="0" collapsed="false">
      <c r="A387" s="13"/>
      <c r="B387" s="9"/>
      <c r="C387" s="9"/>
      <c r="D387" s="9"/>
      <c r="E387" s="9"/>
      <c r="F387" s="16" t="str">
        <f aca="false">IF(B387="","",IF(COUNTIFS('PM Plan'!$A$5:$A$304,B387,'PM Plan'!$B$5:$B$304,C387)&gt;0,"OK","No matching asset + task in plan"))</f>
        <v/>
      </c>
    </row>
    <row r="388" customFormat="false" ht="15" hidden="false" customHeight="false" outlineLevel="0" collapsed="false">
      <c r="A388" s="13"/>
      <c r="B388" s="9"/>
      <c r="C388" s="9"/>
      <c r="D388" s="9"/>
      <c r="E388" s="9"/>
      <c r="F388" s="16" t="str">
        <f aca="false">IF(B388="","",IF(COUNTIFS('PM Plan'!$A$5:$A$304,B388,'PM Plan'!$B$5:$B$304,C388)&gt;0,"OK","No matching asset + task in plan"))</f>
        <v/>
      </c>
    </row>
    <row r="389" customFormat="false" ht="15" hidden="false" customHeight="false" outlineLevel="0" collapsed="false">
      <c r="A389" s="13"/>
      <c r="B389" s="9"/>
      <c r="C389" s="9"/>
      <c r="D389" s="9"/>
      <c r="E389" s="9"/>
      <c r="F389" s="16" t="str">
        <f aca="false">IF(B389="","",IF(COUNTIFS('PM Plan'!$A$5:$A$304,B389,'PM Plan'!$B$5:$B$304,C389)&gt;0,"OK","No matching asset + task in plan"))</f>
        <v/>
      </c>
    </row>
    <row r="390" customFormat="false" ht="15" hidden="false" customHeight="false" outlineLevel="0" collapsed="false">
      <c r="A390" s="13"/>
      <c r="B390" s="9"/>
      <c r="C390" s="9"/>
      <c r="D390" s="9"/>
      <c r="E390" s="9"/>
      <c r="F390" s="16" t="str">
        <f aca="false">IF(B390="","",IF(COUNTIFS('PM Plan'!$A$5:$A$304,B390,'PM Plan'!$B$5:$B$304,C390)&gt;0,"OK","No matching asset + task in plan"))</f>
        <v/>
      </c>
    </row>
    <row r="391" customFormat="false" ht="15" hidden="false" customHeight="false" outlineLevel="0" collapsed="false">
      <c r="A391" s="13"/>
      <c r="B391" s="9"/>
      <c r="C391" s="9"/>
      <c r="D391" s="9"/>
      <c r="E391" s="9"/>
      <c r="F391" s="16" t="str">
        <f aca="false">IF(B391="","",IF(COUNTIFS('PM Plan'!$A$5:$A$304,B391,'PM Plan'!$B$5:$B$304,C391)&gt;0,"OK","No matching asset + task in plan"))</f>
        <v/>
      </c>
    </row>
    <row r="392" customFormat="false" ht="15" hidden="false" customHeight="false" outlineLevel="0" collapsed="false">
      <c r="A392" s="13"/>
      <c r="B392" s="9"/>
      <c r="C392" s="9"/>
      <c r="D392" s="9"/>
      <c r="E392" s="9"/>
      <c r="F392" s="16" t="str">
        <f aca="false">IF(B392="","",IF(COUNTIFS('PM Plan'!$A$5:$A$304,B392,'PM Plan'!$B$5:$B$304,C392)&gt;0,"OK","No matching asset + task in plan"))</f>
        <v/>
      </c>
    </row>
    <row r="393" customFormat="false" ht="15" hidden="false" customHeight="false" outlineLevel="0" collapsed="false">
      <c r="A393" s="13"/>
      <c r="B393" s="9"/>
      <c r="C393" s="9"/>
      <c r="D393" s="9"/>
      <c r="E393" s="9"/>
      <c r="F393" s="16" t="str">
        <f aca="false">IF(B393="","",IF(COUNTIFS('PM Plan'!$A$5:$A$304,B393,'PM Plan'!$B$5:$B$304,C393)&gt;0,"OK","No matching asset + task in plan"))</f>
        <v/>
      </c>
    </row>
    <row r="394" customFormat="false" ht="15" hidden="false" customHeight="false" outlineLevel="0" collapsed="false">
      <c r="A394" s="13"/>
      <c r="B394" s="9"/>
      <c r="C394" s="9"/>
      <c r="D394" s="9"/>
      <c r="E394" s="9"/>
      <c r="F394" s="16" t="str">
        <f aca="false">IF(B394="","",IF(COUNTIFS('PM Plan'!$A$5:$A$304,B394,'PM Plan'!$B$5:$B$304,C394)&gt;0,"OK","No matching asset + task in plan"))</f>
        <v/>
      </c>
    </row>
    <row r="395" customFormat="false" ht="15" hidden="false" customHeight="false" outlineLevel="0" collapsed="false">
      <c r="A395" s="13"/>
      <c r="B395" s="9"/>
      <c r="C395" s="9"/>
      <c r="D395" s="9"/>
      <c r="E395" s="9"/>
      <c r="F395" s="16" t="str">
        <f aca="false">IF(B395="","",IF(COUNTIFS('PM Plan'!$A$5:$A$304,B395,'PM Plan'!$B$5:$B$304,C395)&gt;0,"OK","No matching asset + task in plan"))</f>
        <v/>
      </c>
    </row>
    <row r="396" customFormat="false" ht="15" hidden="false" customHeight="false" outlineLevel="0" collapsed="false">
      <c r="A396" s="13"/>
      <c r="B396" s="9"/>
      <c r="C396" s="9"/>
      <c r="D396" s="9"/>
      <c r="E396" s="9"/>
      <c r="F396" s="16" t="str">
        <f aca="false">IF(B396="","",IF(COUNTIFS('PM Plan'!$A$5:$A$304,B396,'PM Plan'!$B$5:$B$304,C396)&gt;0,"OK","No matching asset + task in plan"))</f>
        <v/>
      </c>
    </row>
    <row r="397" customFormat="false" ht="15" hidden="false" customHeight="false" outlineLevel="0" collapsed="false">
      <c r="A397" s="13"/>
      <c r="B397" s="9"/>
      <c r="C397" s="9"/>
      <c r="D397" s="9"/>
      <c r="E397" s="9"/>
      <c r="F397" s="16" t="str">
        <f aca="false">IF(B397="","",IF(COUNTIFS('PM Plan'!$A$5:$A$304,B397,'PM Plan'!$B$5:$B$304,C397)&gt;0,"OK","No matching asset + task in plan"))</f>
        <v/>
      </c>
    </row>
    <row r="398" customFormat="false" ht="15" hidden="false" customHeight="false" outlineLevel="0" collapsed="false">
      <c r="A398" s="13"/>
      <c r="B398" s="9"/>
      <c r="C398" s="9"/>
      <c r="D398" s="9"/>
      <c r="E398" s="9"/>
      <c r="F398" s="16" t="str">
        <f aca="false">IF(B398="","",IF(COUNTIFS('PM Plan'!$A$5:$A$304,B398,'PM Plan'!$B$5:$B$304,C398)&gt;0,"OK","No matching asset + task in plan"))</f>
        <v/>
      </c>
    </row>
    <row r="399" customFormat="false" ht="15" hidden="false" customHeight="false" outlineLevel="0" collapsed="false">
      <c r="A399" s="13"/>
      <c r="B399" s="9"/>
      <c r="C399" s="9"/>
      <c r="D399" s="9"/>
      <c r="E399" s="9"/>
      <c r="F399" s="16" t="str">
        <f aca="false">IF(B399="","",IF(COUNTIFS('PM Plan'!$A$5:$A$304,B399,'PM Plan'!$B$5:$B$304,C399)&gt;0,"OK","No matching asset + task in plan"))</f>
        <v/>
      </c>
    </row>
    <row r="400" customFormat="false" ht="15" hidden="false" customHeight="false" outlineLevel="0" collapsed="false">
      <c r="A400" s="13"/>
      <c r="B400" s="9"/>
      <c r="C400" s="9"/>
      <c r="D400" s="9"/>
      <c r="E400" s="9"/>
      <c r="F400" s="16" t="str">
        <f aca="false">IF(B400="","",IF(COUNTIFS('PM Plan'!$A$5:$A$304,B400,'PM Plan'!$B$5:$B$304,C400)&gt;0,"OK","No matching asset + task in plan"))</f>
        <v/>
      </c>
    </row>
    <row r="401" customFormat="false" ht="15" hidden="false" customHeight="false" outlineLevel="0" collapsed="false">
      <c r="A401" s="13"/>
      <c r="B401" s="9"/>
      <c r="C401" s="9"/>
      <c r="D401" s="9"/>
      <c r="E401" s="9"/>
      <c r="F401" s="16" t="str">
        <f aca="false">IF(B401="","",IF(COUNTIFS('PM Plan'!$A$5:$A$304,B401,'PM Plan'!$B$5:$B$304,C401)&gt;0,"OK","No matching asset + task in plan"))</f>
        <v/>
      </c>
    </row>
    <row r="402" customFormat="false" ht="15" hidden="false" customHeight="false" outlineLevel="0" collapsed="false">
      <c r="A402" s="13"/>
      <c r="B402" s="9"/>
      <c r="C402" s="9"/>
      <c r="D402" s="9"/>
      <c r="E402" s="9"/>
      <c r="F402" s="16" t="str">
        <f aca="false">IF(B402="","",IF(COUNTIFS('PM Plan'!$A$5:$A$304,B402,'PM Plan'!$B$5:$B$304,C402)&gt;0,"OK","No matching asset + task in plan"))</f>
        <v/>
      </c>
    </row>
    <row r="403" customFormat="false" ht="15" hidden="false" customHeight="false" outlineLevel="0" collapsed="false">
      <c r="A403" s="13"/>
      <c r="B403" s="9"/>
      <c r="C403" s="9"/>
      <c r="D403" s="9"/>
      <c r="E403" s="9"/>
      <c r="F403" s="16" t="str">
        <f aca="false">IF(B403="","",IF(COUNTIFS('PM Plan'!$A$5:$A$304,B403,'PM Plan'!$B$5:$B$304,C403)&gt;0,"OK","No matching asset + task in plan"))</f>
        <v/>
      </c>
    </row>
    <row r="404" customFormat="false" ht="15" hidden="false" customHeight="false" outlineLevel="0" collapsed="false">
      <c r="A404" s="13"/>
      <c r="B404" s="9"/>
      <c r="C404" s="9"/>
      <c r="D404" s="9"/>
      <c r="E404" s="9"/>
      <c r="F404" s="16" t="str">
        <f aca="false">IF(B404="","",IF(COUNTIFS('PM Plan'!$A$5:$A$304,B404,'PM Plan'!$B$5:$B$304,C404)&gt;0,"OK","No matching asset + task in plan"))</f>
        <v/>
      </c>
    </row>
    <row r="405" customFormat="false" ht="15" hidden="false" customHeight="false" outlineLevel="0" collapsed="false">
      <c r="A405" s="13"/>
      <c r="B405" s="9"/>
      <c r="C405" s="9"/>
      <c r="D405" s="9"/>
      <c r="E405" s="9"/>
      <c r="F405" s="16" t="str">
        <f aca="false">IF(B405="","",IF(COUNTIFS('PM Plan'!$A$5:$A$304,B405,'PM Plan'!$B$5:$B$304,C405)&gt;0,"OK","No matching asset + task in plan"))</f>
        <v/>
      </c>
    </row>
    <row r="406" customFormat="false" ht="15" hidden="false" customHeight="false" outlineLevel="0" collapsed="false">
      <c r="A406" s="13"/>
      <c r="B406" s="9"/>
      <c r="C406" s="9"/>
      <c r="D406" s="9"/>
      <c r="E406" s="9"/>
      <c r="F406" s="16" t="str">
        <f aca="false">IF(B406="","",IF(COUNTIFS('PM Plan'!$A$5:$A$304,B406,'PM Plan'!$B$5:$B$304,C406)&gt;0,"OK","No matching asset + task in plan"))</f>
        <v/>
      </c>
    </row>
    <row r="407" customFormat="false" ht="15" hidden="false" customHeight="false" outlineLevel="0" collapsed="false">
      <c r="A407" s="13"/>
      <c r="B407" s="9"/>
      <c r="C407" s="9"/>
      <c r="D407" s="9"/>
      <c r="E407" s="9"/>
      <c r="F407" s="16" t="str">
        <f aca="false">IF(B407="","",IF(COUNTIFS('PM Plan'!$A$5:$A$304,B407,'PM Plan'!$B$5:$B$304,C407)&gt;0,"OK","No matching asset + task in plan"))</f>
        <v/>
      </c>
    </row>
    <row r="408" customFormat="false" ht="15" hidden="false" customHeight="false" outlineLevel="0" collapsed="false">
      <c r="A408" s="13"/>
      <c r="B408" s="9"/>
      <c r="C408" s="9"/>
      <c r="D408" s="9"/>
      <c r="E408" s="9"/>
      <c r="F408" s="16" t="str">
        <f aca="false">IF(B408="","",IF(COUNTIFS('PM Plan'!$A$5:$A$304,B408,'PM Plan'!$B$5:$B$304,C408)&gt;0,"OK","No matching asset + task in plan"))</f>
        <v/>
      </c>
    </row>
    <row r="409" customFormat="false" ht="15" hidden="false" customHeight="false" outlineLevel="0" collapsed="false">
      <c r="A409" s="13"/>
      <c r="B409" s="9"/>
      <c r="C409" s="9"/>
      <c r="D409" s="9"/>
      <c r="E409" s="9"/>
      <c r="F409" s="16" t="str">
        <f aca="false">IF(B409="","",IF(COUNTIFS('PM Plan'!$A$5:$A$304,B409,'PM Plan'!$B$5:$B$304,C409)&gt;0,"OK","No matching asset + task in plan"))</f>
        <v/>
      </c>
    </row>
    <row r="410" customFormat="false" ht="15" hidden="false" customHeight="false" outlineLevel="0" collapsed="false">
      <c r="A410" s="13"/>
      <c r="B410" s="9"/>
      <c r="C410" s="9"/>
      <c r="D410" s="9"/>
      <c r="E410" s="9"/>
      <c r="F410" s="16" t="str">
        <f aca="false">IF(B410="","",IF(COUNTIFS('PM Plan'!$A$5:$A$304,B410,'PM Plan'!$B$5:$B$304,C410)&gt;0,"OK","No matching asset + task in plan"))</f>
        <v/>
      </c>
    </row>
    <row r="411" customFormat="false" ht="15" hidden="false" customHeight="false" outlineLevel="0" collapsed="false">
      <c r="A411" s="13"/>
      <c r="B411" s="9"/>
      <c r="C411" s="9"/>
      <c r="D411" s="9"/>
      <c r="E411" s="9"/>
      <c r="F411" s="16" t="str">
        <f aca="false">IF(B411="","",IF(COUNTIFS('PM Plan'!$A$5:$A$304,B411,'PM Plan'!$B$5:$B$304,C411)&gt;0,"OK","No matching asset + task in plan"))</f>
        <v/>
      </c>
    </row>
    <row r="412" customFormat="false" ht="15" hidden="false" customHeight="false" outlineLevel="0" collapsed="false">
      <c r="A412" s="13"/>
      <c r="B412" s="9"/>
      <c r="C412" s="9"/>
      <c r="D412" s="9"/>
      <c r="E412" s="9"/>
      <c r="F412" s="16" t="str">
        <f aca="false">IF(B412="","",IF(COUNTIFS('PM Plan'!$A$5:$A$304,B412,'PM Plan'!$B$5:$B$304,C412)&gt;0,"OK","No matching asset + task in plan"))</f>
        <v/>
      </c>
    </row>
    <row r="413" customFormat="false" ht="15" hidden="false" customHeight="false" outlineLevel="0" collapsed="false">
      <c r="A413" s="13"/>
      <c r="B413" s="9"/>
      <c r="C413" s="9"/>
      <c r="D413" s="9"/>
      <c r="E413" s="9"/>
      <c r="F413" s="16" t="str">
        <f aca="false">IF(B413="","",IF(COUNTIFS('PM Plan'!$A$5:$A$304,B413,'PM Plan'!$B$5:$B$304,C413)&gt;0,"OK","No matching asset + task in plan"))</f>
        <v/>
      </c>
    </row>
    <row r="414" customFormat="false" ht="15" hidden="false" customHeight="false" outlineLevel="0" collapsed="false">
      <c r="A414" s="13"/>
      <c r="B414" s="9"/>
      <c r="C414" s="9"/>
      <c r="D414" s="9"/>
      <c r="E414" s="9"/>
      <c r="F414" s="16" t="str">
        <f aca="false">IF(B414="","",IF(COUNTIFS('PM Plan'!$A$5:$A$304,B414,'PM Plan'!$B$5:$B$304,C414)&gt;0,"OK","No matching asset + task in plan"))</f>
        <v/>
      </c>
    </row>
    <row r="415" customFormat="false" ht="15" hidden="false" customHeight="false" outlineLevel="0" collapsed="false">
      <c r="A415" s="13"/>
      <c r="B415" s="9"/>
      <c r="C415" s="9"/>
      <c r="D415" s="9"/>
      <c r="E415" s="9"/>
      <c r="F415" s="16" t="str">
        <f aca="false">IF(B415="","",IF(COUNTIFS('PM Plan'!$A$5:$A$304,B415,'PM Plan'!$B$5:$B$304,C415)&gt;0,"OK","No matching asset + task in plan"))</f>
        <v/>
      </c>
    </row>
    <row r="416" customFormat="false" ht="15" hidden="false" customHeight="false" outlineLevel="0" collapsed="false">
      <c r="A416" s="13"/>
      <c r="B416" s="9"/>
      <c r="C416" s="9"/>
      <c r="D416" s="9"/>
      <c r="E416" s="9"/>
      <c r="F416" s="16" t="str">
        <f aca="false">IF(B416="","",IF(COUNTIFS('PM Plan'!$A$5:$A$304,B416,'PM Plan'!$B$5:$B$304,C416)&gt;0,"OK","No matching asset + task in plan"))</f>
        <v/>
      </c>
    </row>
    <row r="417" customFormat="false" ht="15" hidden="false" customHeight="false" outlineLevel="0" collapsed="false">
      <c r="A417" s="13"/>
      <c r="B417" s="9"/>
      <c r="C417" s="9"/>
      <c r="D417" s="9"/>
      <c r="E417" s="9"/>
      <c r="F417" s="16" t="str">
        <f aca="false">IF(B417="","",IF(COUNTIFS('PM Plan'!$A$5:$A$304,B417,'PM Plan'!$B$5:$B$304,C417)&gt;0,"OK","No matching asset + task in plan"))</f>
        <v/>
      </c>
    </row>
    <row r="418" customFormat="false" ht="15" hidden="false" customHeight="false" outlineLevel="0" collapsed="false">
      <c r="A418" s="13"/>
      <c r="B418" s="9"/>
      <c r="C418" s="9"/>
      <c r="D418" s="9"/>
      <c r="E418" s="9"/>
      <c r="F418" s="16" t="str">
        <f aca="false">IF(B418="","",IF(COUNTIFS('PM Plan'!$A$5:$A$304,B418,'PM Plan'!$B$5:$B$304,C418)&gt;0,"OK","No matching asset + task in plan"))</f>
        <v/>
      </c>
    </row>
    <row r="419" customFormat="false" ht="15" hidden="false" customHeight="false" outlineLevel="0" collapsed="false">
      <c r="A419" s="13"/>
      <c r="B419" s="9"/>
      <c r="C419" s="9"/>
      <c r="D419" s="9"/>
      <c r="E419" s="9"/>
      <c r="F419" s="16" t="str">
        <f aca="false">IF(B419="","",IF(COUNTIFS('PM Plan'!$A$5:$A$304,B419,'PM Plan'!$B$5:$B$304,C419)&gt;0,"OK","No matching asset + task in plan"))</f>
        <v/>
      </c>
    </row>
    <row r="420" customFormat="false" ht="15" hidden="false" customHeight="false" outlineLevel="0" collapsed="false">
      <c r="A420" s="13"/>
      <c r="B420" s="9"/>
      <c r="C420" s="9"/>
      <c r="D420" s="9"/>
      <c r="E420" s="9"/>
      <c r="F420" s="16" t="str">
        <f aca="false">IF(B420="","",IF(COUNTIFS('PM Plan'!$A$5:$A$304,B420,'PM Plan'!$B$5:$B$304,C420)&gt;0,"OK","No matching asset + task in plan"))</f>
        <v/>
      </c>
    </row>
    <row r="421" customFormat="false" ht="15" hidden="false" customHeight="false" outlineLevel="0" collapsed="false">
      <c r="A421" s="13"/>
      <c r="B421" s="9"/>
      <c r="C421" s="9"/>
      <c r="D421" s="9"/>
      <c r="E421" s="9"/>
      <c r="F421" s="16" t="str">
        <f aca="false">IF(B421="","",IF(COUNTIFS('PM Plan'!$A$5:$A$304,B421,'PM Plan'!$B$5:$B$304,C421)&gt;0,"OK","No matching asset + task in plan"))</f>
        <v/>
      </c>
    </row>
    <row r="422" customFormat="false" ht="15" hidden="false" customHeight="false" outlineLevel="0" collapsed="false">
      <c r="A422" s="13"/>
      <c r="B422" s="9"/>
      <c r="C422" s="9"/>
      <c r="D422" s="9"/>
      <c r="E422" s="9"/>
      <c r="F422" s="16" t="str">
        <f aca="false">IF(B422="","",IF(COUNTIFS('PM Plan'!$A$5:$A$304,B422,'PM Plan'!$B$5:$B$304,C422)&gt;0,"OK","No matching asset + task in plan"))</f>
        <v/>
      </c>
    </row>
    <row r="423" customFormat="false" ht="15" hidden="false" customHeight="false" outlineLevel="0" collapsed="false">
      <c r="A423" s="13"/>
      <c r="B423" s="9"/>
      <c r="C423" s="9"/>
      <c r="D423" s="9"/>
      <c r="E423" s="9"/>
      <c r="F423" s="16" t="str">
        <f aca="false">IF(B423="","",IF(COUNTIFS('PM Plan'!$A$5:$A$304,B423,'PM Plan'!$B$5:$B$304,C423)&gt;0,"OK","No matching asset + task in plan"))</f>
        <v/>
      </c>
    </row>
    <row r="424" customFormat="false" ht="15" hidden="false" customHeight="false" outlineLevel="0" collapsed="false">
      <c r="A424" s="13"/>
      <c r="B424" s="9"/>
      <c r="C424" s="9"/>
      <c r="D424" s="9"/>
      <c r="E424" s="9"/>
      <c r="F424" s="16" t="str">
        <f aca="false">IF(B424="","",IF(COUNTIFS('PM Plan'!$A$5:$A$304,B424,'PM Plan'!$B$5:$B$304,C424)&gt;0,"OK","No matching asset + task in plan"))</f>
        <v/>
      </c>
    </row>
    <row r="425" customFormat="false" ht="15" hidden="false" customHeight="false" outlineLevel="0" collapsed="false">
      <c r="A425" s="13"/>
      <c r="B425" s="9"/>
      <c r="C425" s="9"/>
      <c r="D425" s="9"/>
      <c r="E425" s="9"/>
      <c r="F425" s="16" t="str">
        <f aca="false">IF(B425="","",IF(COUNTIFS('PM Plan'!$A$5:$A$304,B425,'PM Plan'!$B$5:$B$304,C425)&gt;0,"OK","No matching asset + task in plan"))</f>
        <v/>
      </c>
    </row>
    <row r="426" customFormat="false" ht="15" hidden="false" customHeight="false" outlineLevel="0" collapsed="false">
      <c r="A426" s="13"/>
      <c r="B426" s="9"/>
      <c r="C426" s="9"/>
      <c r="D426" s="9"/>
      <c r="E426" s="9"/>
      <c r="F426" s="16" t="str">
        <f aca="false">IF(B426="","",IF(COUNTIFS('PM Plan'!$A$5:$A$304,B426,'PM Plan'!$B$5:$B$304,C426)&gt;0,"OK","No matching asset + task in plan"))</f>
        <v/>
      </c>
    </row>
    <row r="427" customFormat="false" ht="15" hidden="false" customHeight="false" outlineLevel="0" collapsed="false">
      <c r="A427" s="13"/>
      <c r="B427" s="9"/>
      <c r="C427" s="9"/>
      <c r="D427" s="9"/>
      <c r="E427" s="9"/>
      <c r="F427" s="16" t="str">
        <f aca="false">IF(B427="","",IF(COUNTIFS('PM Plan'!$A$5:$A$304,B427,'PM Plan'!$B$5:$B$304,C427)&gt;0,"OK","No matching asset + task in plan"))</f>
        <v/>
      </c>
    </row>
    <row r="428" customFormat="false" ht="15" hidden="false" customHeight="false" outlineLevel="0" collapsed="false">
      <c r="A428" s="13"/>
      <c r="B428" s="9"/>
      <c r="C428" s="9"/>
      <c r="D428" s="9"/>
      <c r="E428" s="9"/>
      <c r="F428" s="16" t="str">
        <f aca="false">IF(B428="","",IF(COUNTIFS('PM Plan'!$A$5:$A$304,B428,'PM Plan'!$B$5:$B$304,C428)&gt;0,"OK","No matching asset + task in plan"))</f>
        <v/>
      </c>
    </row>
    <row r="429" customFormat="false" ht="15" hidden="false" customHeight="false" outlineLevel="0" collapsed="false">
      <c r="A429" s="13"/>
      <c r="B429" s="9"/>
      <c r="C429" s="9"/>
      <c r="D429" s="9"/>
      <c r="E429" s="9"/>
      <c r="F429" s="16" t="str">
        <f aca="false">IF(B429="","",IF(COUNTIFS('PM Plan'!$A$5:$A$304,B429,'PM Plan'!$B$5:$B$304,C429)&gt;0,"OK","No matching asset + task in plan"))</f>
        <v/>
      </c>
    </row>
    <row r="430" customFormat="false" ht="15" hidden="false" customHeight="false" outlineLevel="0" collapsed="false">
      <c r="A430" s="13"/>
      <c r="B430" s="9"/>
      <c r="C430" s="9"/>
      <c r="D430" s="9"/>
      <c r="E430" s="9"/>
      <c r="F430" s="16" t="str">
        <f aca="false">IF(B430="","",IF(COUNTIFS('PM Plan'!$A$5:$A$304,B430,'PM Plan'!$B$5:$B$304,C430)&gt;0,"OK","No matching asset + task in plan"))</f>
        <v/>
      </c>
    </row>
    <row r="431" customFormat="false" ht="15" hidden="false" customHeight="false" outlineLevel="0" collapsed="false">
      <c r="A431" s="13"/>
      <c r="B431" s="9"/>
      <c r="C431" s="9"/>
      <c r="D431" s="9"/>
      <c r="E431" s="9"/>
      <c r="F431" s="16" t="str">
        <f aca="false">IF(B431="","",IF(COUNTIFS('PM Plan'!$A$5:$A$304,B431,'PM Plan'!$B$5:$B$304,C431)&gt;0,"OK","No matching asset + task in plan"))</f>
        <v/>
      </c>
    </row>
    <row r="432" customFormat="false" ht="15" hidden="false" customHeight="false" outlineLevel="0" collapsed="false">
      <c r="A432" s="13"/>
      <c r="B432" s="9"/>
      <c r="C432" s="9"/>
      <c r="D432" s="9"/>
      <c r="E432" s="9"/>
      <c r="F432" s="16" t="str">
        <f aca="false">IF(B432="","",IF(COUNTIFS('PM Plan'!$A$5:$A$304,B432,'PM Plan'!$B$5:$B$304,C432)&gt;0,"OK","No matching asset + task in plan"))</f>
        <v/>
      </c>
    </row>
    <row r="433" customFormat="false" ht="15" hidden="false" customHeight="false" outlineLevel="0" collapsed="false">
      <c r="A433" s="13"/>
      <c r="B433" s="9"/>
      <c r="C433" s="9"/>
      <c r="D433" s="9"/>
      <c r="E433" s="9"/>
      <c r="F433" s="16" t="str">
        <f aca="false">IF(B433="","",IF(COUNTIFS('PM Plan'!$A$5:$A$304,B433,'PM Plan'!$B$5:$B$304,C433)&gt;0,"OK","No matching asset + task in plan"))</f>
        <v/>
      </c>
    </row>
    <row r="434" customFormat="false" ht="15" hidden="false" customHeight="false" outlineLevel="0" collapsed="false">
      <c r="A434" s="13"/>
      <c r="B434" s="9"/>
      <c r="C434" s="9"/>
      <c r="D434" s="9"/>
      <c r="E434" s="9"/>
      <c r="F434" s="16" t="str">
        <f aca="false">IF(B434="","",IF(COUNTIFS('PM Plan'!$A$5:$A$304,B434,'PM Plan'!$B$5:$B$304,C434)&gt;0,"OK","No matching asset + task in plan"))</f>
        <v/>
      </c>
    </row>
    <row r="435" customFormat="false" ht="15" hidden="false" customHeight="false" outlineLevel="0" collapsed="false">
      <c r="A435" s="13"/>
      <c r="B435" s="9"/>
      <c r="C435" s="9"/>
      <c r="D435" s="9"/>
      <c r="E435" s="9"/>
      <c r="F435" s="16" t="str">
        <f aca="false">IF(B435="","",IF(COUNTIFS('PM Plan'!$A$5:$A$304,B435,'PM Plan'!$B$5:$B$304,C435)&gt;0,"OK","No matching asset + task in plan"))</f>
        <v/>
      </c>
    </row>
    <row r="436" customFormat="false" ht="15" hidden="false" customHeight="false" outlineLevel="0" collapsed="false">
      <c r="A436" s="13"/>
      <c r="B436" s="9"/>
      <c r="C436" s="9"/>
      <c r="D436" s="9"/>
      <c r="E436" s="9"/>
      <c r="F436" s="16" t="str">
        <f aca="false">IF(B436="","",IF(COUNTIFS('PM Plan'!$A$5:$A$304,B436,'PM Plan'!$B$5:$B$304,C436)&gt;0,"OK","No matching asset + task in plan"))</f>
        <v/>
      </c>
    </row>
    <row r="437" customFormat="false" ht="15" hidden="false" customHeight="false" outlineLevel="0" collapsed="false">
      <c r="A437" s="13"/>
      <c r="B437" s="9"/>
      <c r="C437" s="9"/>
      <c r="D437" s="9"/>
      <c r="E437" s="9"/>
      <c r="F437" s="16" t="str">
        <f aca="false">IF(B437="","",IF(COUNTIFS('PM Plan'!$A$5:$A$304,B437,'PM Plan'!$B$5:$B$304,C437)&gt;0,"OK","No matching asset + task in plan"))</f>
        <v/>
      </c>
    </row>
    <row r="438" customFormat="false" ht="15" hidden="false" customHeight="false" outlineLevel="0" collapsed="false">
      <c r="A438" s="13"/>
      <c r="B438" s="9"/>
      <c r="C438" s="9"/>
      <c r="D438" s="9"/>
      <c r="E438" s="9"/>
      <c r="F438" s="16" t="str">
        <f aca="false">IF(B438="","",IF(COUNTIFS('PM Plan'!$A$5:$A$304,B438,'PM Plan'!$B$5:$B$304,C438)&gt;0,"OK","No matching asset + task in plan"))</f>
        <v/>
      </c>
    </row>
    <row r="439" customFormat="false" ht="15" hidden="false" customHeight="false" outlineLevel="0" collapsed="false">
      <c r="A439" s="13"/>
      <c r="B439" s="9"/>
      <c r="C439" s="9"/>
      <c r="D439" s="9"/>
      <c r="E439" s="9"/>
      <c r="F439" s="16" t="str">
        <f aca="false">IF(B439="","",IF(COUNTIFS('PM Plan'!$A$5:$A$304,B439,'PM Plan'!$B$5:$B$304,C439)&gt;0,"OK","No matching asset + task in plan"))</f>
        <v/>
      </c>
    </row>
    <row r="440" customFormat="false" ht="15" hidden="false" customHeight="false" outlineLevel="0" collapsed="false">
      <c r="A440" s="13"/>
      <c r="B440" s="9"/>
      <c r="C440" s="9"/>
      <c r="D440" s="9"/>
      <c r="E440" s="9"/>
      <c r="F440" s="16" t="str">
        <f aca="false">IF(B440="","",IF(COUNTIFS('PM Plan'!$A$5:$A$304,B440,'PM Plan'!$B$5:$B$304,C440)&gt;0,"OK","No matching asset + task in plan"))</f>
        <v/>
      </c>
    </row>
    <row r="441" customFormat="false" ht="15" hidden="false" customHeight="false" outlineLevel="0" collapsed="false">
      <c r="A441" s="13"/>
      <c r="B441" s="9"/>
      <c r="C441" s="9"/>
      <c r="D441" s="9"/>
      <c r="E441" s="9"/>
      <c r="F441" s="16" t="str">
        <f aca="false">IF(B441="","",IF(COUNTIFS('PM Plan'!$A$5:$A$304,B441,'PM Plan'!$B$5:$B$304,C441)&gt;0,"OK","No matching asset + task in plan"))</f>
        <v/>
      </c>
    </row>
    <row r="442" customFormat="false" ht="15" hidden="false" customHeight="false" outlineLevel="0" collapsed="false">
      <c r="A442" s="13"/>
      <c r="B442" s="9"/>
      <c r="C442" s="9"/>
      <c r="D442" s="9"/>
      <c r="E442" s="9"/>
      <c r="F442" s="16" t="str">
        <f aca="false">IF(B442="","",IF(COUNTIFS('PM Plan'!$A$5:$A$304,B442,'PM Plan'!$B$5:$B$304,C442)&gt;0,"OK","No matching asset + task in plan"))</f>
        <v/>
      </c>
    </row>
    <row r="443" customFormat="false" ht="15" hidden="false" customHeight="false" outlineLevel="0" collapsed="false">
      <c r="A443" s="13"/>
      <c r="B443" s="9"/>
      <c r="C443" s="9"/>
      <c r="D443" s="9"/>
      <c r="E443" s="9"/>
      <c r="F443" s="16" t="str">
        <f aca="false">IF(B443="","",IF(COUNTIFS('PM Plan'!$A$5:$A$304,B443,'PM Plan'!$B$5:$B$304,C443)&gt;0,"OK","No matching asset + task in plan"))</f>
        <v/>
      </c>
    </row>
    <row r="444" customFormat="false" ht="15" hidden="false" customHeight="false" outlineLevel="0" collapsed="false">
      <c r="A444" s="13"/>
      <c r="B444" s="9"/>
      <c r="C444" s="9"/>
      <c r="D444" s="9"/>
      <c r="E444" s="9"/>
      <c r="F444" s="16" t="str">
        <f aca="false">IF(B444="","",IF(COUNTIFS('PM Plan'!$A$5:$A$304,B444,'PM Plan'!$B$5:$B$304,C444)&gt;0,"OK","No matching asset + task in plan"))</f>
        <v/>
      </c>
    </row>
    <row r="445" customFormat="false" ht="15" hidden="false" customHeight="false" outlineLevel="0" collapsed="false">
      <c r="A445" s="13"/>
      <c r="B445" s="9"/>
      <c r="C445" s="9"/>
      <c r="D445" s="9"/>
      <c r="E445" s="9"/>
      <c r="F445" s="16" t="str">
        <f aca="false">IF(B445="","",IF(COUNTIFS('PM Plan'!$A$5:$A$304,B445,'PM Plan'!$B$5:$B$304,C445)&gt;0,"OK","No matching asset + task in plan"))</f>
        <v/>
      </c>
    </row>
    <row r="446" customFormat="false" ht="15" hidden="false" customHeight="false" outlineLevel="0" collapsed="false">
      <c r="A446" s="13"/>
      <c r="B446" s="9"/>
      <c r="C446" s="9"/>
      <c r="D446" s="9"/>
      <c r="E446" s="9"/>
      <c r="F446" s="16" t="str">
        <f aca="false">IF(B446="","",IF(COUNTIFS('PM Plan'!$A$5:$A$304,B446,'PM Plan'!$B$5:$B$304,C446)&gt;0,"OK","No matching asset + task in plan"))</f>
        <v/>
      </c>
    </row>
    <row r="447" customFormat="false" ht="15" hidden="false" customHeight="false" outlineLevel="0" collapsed="false">
      <c r="A447" s="13"/>
      <c r="B447" s="9"/>
      <c r="C447" s="9"/>
      <c r="D447" s="9"/>
      <c r="E447" s="9"/>
      <c r="F447" s="16" t="str">
        <f aca="false">IF(B447="","",IF(COUNTIFS('PM Plan'!$A$5:$A$304,B447,'PM Plan'!$B$5:$B$304,C447)&gt;0,"OK","No matching asset + task in plan"))</f>
        <v/>
      </c>
    </row>
    <row r="448" customFormat="false" ht="15" hidden="false" customHeight="false" outlineLevel="0" collapsed="false">
      <c r="A448" s="13"/>
      <c r="B448" s="9"/>
      <c r="C448" s="9"/>
      <c r="D448" s="9"/>
      <c r="E448" s="9"/>
      <c r="F448" s="16" t="str">
        <f aca="false">IF(B448="","",IF(COUNTIFS('PM Plan'!$A$5:$A$304,B448,'PM Plan'!$B$5:$B$304,C448)&gt;0,"OK","No matching asset + task in plan"))</f>
        <v/>
      </c>
    </row>
    <row r="449" customFormat="false" ht="15" hidden="false" customHeight="false" outlineLevel="0" collapsed="false">
      <c r="A449" s="13"/>
      <c r="B449" s="9"/>
      <c r="C449" s="9"/>
      <c r="D449" s="9"/>
      <c r="E449" s="9"/>
      <c r="F449" s="16" t="str">
        <f aca="false">IF(B449="","",IF(COUNTIFS('PM Plan'!$A$5:$A$304,B449,'PM Plan'!$B$5:$B$304,C449)&gt;0,"OK","No matching asset + task in plan"))</f>
        <v/>
      </c>
    </row>
    <row r="450" customFormat="false" ht="15" hidden="false" customHeight="false" outlineLevel="0" collapsed="false">
      <c r="A450" s="13"/>
      <c r="B450" s="9"/>
      <c r="C450" s="9"/>
      <c r="D450" s="9"/>
      <c r="E450" s="9"/>
      <c r="F450" s="16" t="str">
        <f aca="false">IF(B450="","",IF(COUNTIFS('PM Plan'!$A$5:$A$304,B450,'PM Plan'!$B$5:$B$304,C450)&gt;0,"OK","No matching asset + task in plan"))</f>
        <v/>
      </c>
    </row>
    <row r="451" customFormat="false" ht="15" hidden="false" customHeight="false" outlineLevel="0" collapsed="false">
      <c r="A451" s="13"/>
      <c r="B451" s="9"/>
      <c r="C451" s="9"/>
      <c r="D451" s="9"/>
      <c r="E451" s="9"/>
      <c r="F451" s="16" t="str">
        <f aca="false">IF(B451="","",IF(COUNTIFS('PM Plan'!$A$5:$A$304,B451,'PM Plan'!$B$5:$B$304,C451)&gt;0,"OK","No matching asset + task in plan"))</f>
        <v/>
      </c>
    </row>
    <row r="452" customFormat="false" ht="15" hidden="false" customHeight="false" outlineLevel="0" collapsed="false">
      <c r="A452" s="13"/>
      <c r="B452" s="9"/>
      <c r="C452" s="9"/>
      <c r="D452" s="9"/>
      <c r="E452" s="9"/>
      <c r="F452" s="16" t="str">
        <f aca="false">IF(B452="","",IF(COUNTIFS('PM Plan'!$A$5:$A$304,B452,'PM Plan'!$B$5:$B$304,C452)&gt;0,"OK","No matching asset + task in plan"))</f>
        <v/>
      </c>
    </row>
    <row r="453" customFormat="false" ht="15" hidden="false" customHeight="false" outlineLevel="0" collapsed="false">
      <c r="A453" s="13"/>
      <c r="B453" s="9"/>
      <c r="C453" s="9"/>
      <c r="D453" s="9"/>
      <c r="E453" s="9"/>
      <c r="F453" s="16" t="str">
        <f aca="false">IF(B453="","",IF(COUNTIFS('PM Plan'!$A$5:$A$304,B453,'PM Plan'!$B$5:$B$304,C453)&gt;0,"OK","No matching asset + task in plan"))</f>
        <v/>
      </c>
    </row>
    <row r="454" customFormat="false" ht="15" hidden="false" customHeight="false" outlineLevel="0" collapsed="false">
      <c r="A454" s="13"/>
      <c r="B454" s="9"/>
      <c r="C454" s="9"/>
      <c r="D454" s="9"/>
      <c r="E454" s="9"/>
      <c r="F454" s="16" t="str">
        <f aca="false">IF(B454="","",IF(COUNTIFS('PM Plan'!$A$5:$A$304,B454,'PM Plan'!$B$5:$B$304,C454)&gt;0,"OK","No matching asset + task in plan"))</f>
        <v/>
      </c>
    </row>
    <row r="455" customFormat="false" ht="15" hidden="false" customHeight="false" outlineLevel="0" collapsed="false">
      <c r="A455" s="13"/>
      <c r="B455" s="9"/>
      <c r="C455" s="9"/>
      <c r="D455" s="9"/>
      <c r="E455" s="9"/>
      <c r="F455" s="16" t="str">
        <f aca="false">IF(B455="","",IF(COUNTIFS('PM Plan'!$A$5:$A$304,B455,'PM Plan'!$B$5:$B$304,C455)&gt;0,"OK","No matching asset + task in plan"))</f>
        <v/>
      </c>
    </row>
    <row r="456" customFormat="false" ht="15" hidden="false" customHeight="false" outlineLevel="0" collapsed="false">
      <c r="A456" s="13"/>
      <c r="B456" s="9"/>
      <c r="C456" s="9"/>
      <c r="D456" s="9"/>
      <c r="E456" s="9"/>
      <c r="F456" s="16" t="str">
        <f aca="false">IF(B456="","",IF(COUNTIFS('PM Plan'!$A$5:$A$304,B456,'PM Plan'!$B$5:$B$304,C456)&gt;0,"OK","No matching asset + task in plan"))</f>
        <v/>
      </c>
    </row>
    <row r="457" customFormat="false" ht="15" hidden="false" customHeight="false" outlineLevel="0" collapsed="false">
      <c r="A457" s="13"/>
      <c r="B457" s="9"/>
      <c r="C457" s="9"/>
      <c r="D457" s="9"/>
      <c r="E457" s="9"/>
      <c r="F457" s="16" t="str">
        <f aca="false">IF(B457="","",IF(COUNTIFS('PM Plan'!$A$5:$A$304,B457,'PM Plan'!$B$5:$B$304,C457)&gt;0,"OK","No matching asset + task in plan"))</f>
        <v/>
      </c>
    </row>
    <row r="458" customFormat="false" ht="15" hidden="false" customHeight="false" outlineLevel="0" collapsed="false">
      <c r="A458" s="13"/>
      <c r="B458" s="9"/>
      <c r="C458" s="9"/>
      <c r="D458" s="9"/>
      <c r="E458" s="9"/>
      <c r="F458" s="16" t="str">
        <f aca="false">IF(B458="","",IF(COUNTIFS('PM Plan'!$A$5:$A$304,B458,'PM Plan'!$B$5:$B$304,C458)&gt;0,"OK","No matching asset + task in plan"))</f>
        <v/>
      </c>
    </row>
    <row r="459" customFormat="false" ht="15" hidden="false" customHeight="false" outlineLevel="0" collapsed="false">
      <c r="A459" s="13"/>
      <c r="B459" s="9"/>
      <c r="C459" s="9"/>
      <c r="D459" s="9"/>
      <c r="E459" s="9"/>
      <c r="F459" s="16" t="str">
        <f aca="false">IF(B459="","",IF(COUNTIFS('PM Plan'!$A$5:$A$304,B459,'PM Plan'!$B$5:$B$304,C459)&gt;0,"OK","No matching asset + task in plan"))</f>
        <v/>
      </c>
    </row>
    <row r="460" customFormat="false" ht="15" hidden="false" customHeight="false" outlineLevel="0" collapsed="false">
      <c r="A460" s="13"/>
      <c r="B460" s="9"/>
      <c r="C460" s="9"/>
      <c r="D460" s="9"/>
      <c r="E460" s="9"/>
      <c r="F460" s="16" t="str">
        <f aca="false">IF(B460="","",IF(COUNTIFS('PM Plan'!$A$5:$A$304,B460,'PM Plan'!$B$5:$B$304,C460)&gt;0,"OK","No matching asset + task in plan"))</f>
        <v/>
      </c>
    </row>
    <row r="461" customFormat="false" ht="15" hidden="false" customHeight="false" outlineLevel="0" collapsed="false">
      <c r="A461" s="13"/>
      <c r="B461" s="9"/>
      <c r="C461" s="9"/>
      <c r="D461" s="9"/>
      <c r="E461" s="9"/>
      <c r="F461" s="16" t="str">
        <f aca="false">IF(B461="","",IF(COUNTIFS('PM Plan'!$A$5:$A$304,B461,'PM Plan'!$B$5:$B$304,C461)&gt;0,"OK","No matching asset + task in plan"))</f>
        <v/>
      </c>
    </row>
    <row r="462" customFormat="false" ht="15" hidden="false" customHeight="false" outlineLevel="0" collapsed="false">
      <c r="A462" s="13"/>
      <c r="B462" s="9"/>
      <c r="C462" s="9"/>
      <c r="D462" s="9"/>
      <c r="E462" s="9"/>
      <c r="F462" s="16" t="str">
        <f aca="false">IF(B462="","",IF(COUNTIFS('PM Plan'!$A$5:$A$304,B462,'PM Plan'!$B$5:$B$304,C462)&gt;0,"OK","No matching asset + task in plan"))</f>
        <v/>
      </c>
    </row>
    <row r="463" customFormat="false" ht="15" hidden="false" customHeight="false" outlineLevel="0" collapsed="false">
      <c r="A463" s="13"/>
      <c r="B463" s="9"/>
      <c r="C463" s="9"/>
      <c r="D463" s="9"/>
      <c r="E463" s="9"/>
      <c r="F463" s="16" t="str">
        <f aca="false">IF(B463="","",IF(COUNTIFS('PM Plan'!$A$5:$A$304,B463,'PM Plan'!$B$5:$B$304,C463)&gt;0,"OK","No matching asset + task in plan"))</f>
        <v/>
      </c>
    </row>
    <row r="464" customFormat="false" ht="15" hidden="false" customHeight="false" outlineLevel="0" collapsed="false">
      <c r="A464" s="13"/>
      <c r="B464" s="9"/>
      <c r="C464" s="9"/>
      <c r="D464" s="9"/>
      <c r="E464" s="9"/>
      <c r="F464" s="16" t="str">
        <f aca="false">IF(B464="","",IF(COUNTIFS('PM Plan'!$A$5:$A$304,B464,'PM Plan'!$B$5:$B$304,C464)&gt;0,"OK","No matching asset + task in plan"))</f>
        <v/>
      </c>
    </row>
    <row r="465" customFormat="false" ht="15" hidden="false" customHeight="false" outlineLevel="0" collapsed="false">
      <c r="A465" s="13"/>
      <c r="B465" s="9"/>
      <c r="C465" s="9"/>
      <c r="D465" s="9"/>
      <c r="E465" s="9"/>
      <c r="F465" s="16" t="str">
        <f aca="false">IF(B465="","",IF(COUNTIFS('PM Plan'!$A$5:$A$304,B465,'PM Plan'!$B$5:$B$304,C465)&gt;0,"OK","No matching asset + task in plan"))</f>
        <v/>
      </c>
    </row>
    <row r="466" customFormat="false" ht="15" hidden="false" customHeight="false" outlineLevel="0" collapsed="false">
      <c r="A466" s="13"/>
      <c r="B466" s="9"/>
      <c r="C466" s="9"/>
      <c r="D466" s="9"/>
      <c r="E466" s="9"/>
      <c r="F466" s="16" t="str">
        <f aca="false">IF(B466="","",IF(COUNTIFS('PM Plan'!$A$5:$A$304,B466,'PM Plan'!$B$5:$B$304,C466)&gt;0,"OK","No matching asset + task in plan"))</f>
        <v/>
      </c>
    </row>
    <row r="467" customFormat="false" ht="15" hidden="false" customHeight="false" outlineLevel="0" collapsed="false">
      <c r="A467" s="13"/>
      <c r="B467" s="9"/>
      <c r="C467" s="9"/>
      <c r="D467" s="9"/>
      <c r="E467" s="9"/>
      <c r="F467" s="16" t="str">
        <f aca="false">IF(B467="","",IF(COUNTIFS('PM Plan'!$A$5:$A$304,B467,'PM Plan'!$B$5:$B$304,C467)&gt;0,"OK","No matching asset + task in plan"))</f>
        <v/>
      </c>
    </row>
    <row r="468" customFormat="false" ht="15" hidden="false" customHeight="false" outlineLevel="0" collapsed="false">
      <c r="A468" s="13"/>
      <c r="B468" s="9"/>
      <c r="C468" s="9"/>
      <c r="D468" s="9"/>
      <c r="E468" s="9"/>
      <c r="F468" s="16" t="str">
        <f aca="false">IF(B468="","",IF(COUNTIFS('PM Plan'!$A$5:$A$304,B468,'PM Plan'!$B$5:$B$304,C468)&gt;0,"OK","No matching asset + task in plan"))</f>
        <v/>
      </c>
    </row>
    <row r="469" customFormat="false" ht="15" hidden="false" customHeight="false" outlineLevel="0" collapsed="false">
      <c r="A469" s="13"/>
      <c r="B469" s="9"/>
      <c r="C469" s="9"/>
      <c r="D469" s="9"/>
      <c r="E469" s="9"/>
      <c r="F469" s="16" t="str">
        <f aca="false">IF(B469="","",IF(COUNTIFS('PM Plan'!$A$5:$A$304,B469,'PM Plan'!$B$5:$B$304,C469)&gt;0,"OK","No matching asset + task in plan"))</f>
        <v/>
      </c>
    </row>
    <row r="470" customFormat="false" ht="15" hidden="false" customHeight="false" outlineLevel="0" collapsed="false">
      <c r="A470" s="13"/>
      <c r="B470" s="9"/>
      <c r="C470" s="9"/>
      <c r="D470" s="9"/>
      <c r="E470" s="9"/>
      <c r="F470" s="16" t="str">
        <f aca="false">IF(B470="","",IF(COUNTIFS('PM Plan'!$A$5:$A$304,B470,'PM Plan'!$B$5:$B$304,C470)&gt;0,"OK","No matching asset + task in plan"))</f>
        <v/>
      </c>
    </row>
    <row r="471" customFormat="false" ht="15" hidden="false" customHeight="false" outlineLevel="0" collapsed="false">
      <c r="A471" s="13"/>
      <c r="B471" s="9"/>
      <c r="C471" s="9"/>
      <c r="D471" s="9"/>
      <c r="E471" s="9"/>
      <c r="F471" s="16" t="str">
        <f aca="false">IF(B471="","",IF(COUNTIFS('PM Plan'!$A$5:$A$304,B471,'PM Plan'!$B$5:$B$304,C471)&gt;0,"OK","No matching asset + task in plan"))</f>
        <v/>
      </c>
    </row>
    <row r="472" customFormat="false" ht="15" hidden="false" customHeight="false" outlineLevel="0" collapsed="false">
      <c r="A472" s="13"/>
      <c r="B472" s="9"/>
      <c r="C472" s="9"/>
      <c r="D472" s="9"/>
      <c r="E472" s="9"/>
      <c r="F472" s="16" t="str">
        <f aca="false">IF(B472="","",IF(COUNTIFS('PM Plan'!$A$5:$A$304,B472,'PM Plan'!$B$5:$B$304,C472)&gt;0,"OK","No matching asset + task in plan"))</f>
        <v/>
      </c>
    </row>
    <row r="473" customFormat="false" ht="15" hidden="false" customHeight="false" outlineLevel="0" collapsed="false">
      <c r="A473" s="13"/>
      <c r="B473" s="9"/>
      <c r="C473" s="9"/>
      <c r="D473" s="9"/>
      <c r="E473" s="9"/>
      <c r="F473" s="16" t="str">
        <f aca="false">IF(B473="","",IF(COUNTIFS('PM Plan'!$A$5:$A$304,B473,'PM Plan'!$B$5:$B$304,C473)&gt;0,"OK","No matching asset + task in plan"))</f>
        <v/>
      </c>
    </row>
    <row r="474" customFormat="false" ht="15" hidden="false" customHeight="false" outlineLevel="0" collapsed="false">
      <c r="A474" s="13"/>
      <c r="B474" s="9"/>
      <c r="C474" s="9"/>
      <c r="D474" s="9"/>
      <c r="E474" s="9"/>
      <c r="F474" s="16" t="str">
        <f aca="false">IF(B474="","",IF(COUNTIFS('PM Plan'!$A$5:$A$304,B474,'PM Plan'!$B$5:$B$304,C474)&gt;0,"OK","No matching asset + task in plan"))</f>
        <v/>
      </c>
    </row>
    <row r="475" customFormat="false" ht="15" hidden="false" customHeight="false" outlineLevel="0" collapsed="false">
      <c r="A475" s="13"/>
      <c r="B475" s="9"/>
      <c r="C475" s="9"/>
      <c r="D475" s="9"/>
      <c r="E475" s="9"/>
      <c r="F475" s="16" t="str">
        <f aca="false">IF(B475="","",IF(COUNTIFS('PM Plan'!$A$5:$A$304,B475,'PM Plan'!$B$5:$B$304,C475)&gt;0,"OK","No matching asset + task in plan"))</f>
        <v/>
      </c>
    </row>
    <row r="476" customFormat="false" ht="15" hidden="false" customHeight="false" outlineLevel="0" collapsed="false">
      <c r="A476" s="13"/>
      <c r="B476" s="9"/>
      <c r="C476" s="9"/>
      <c r="D476" s="9"/>
      <c r="E476" s="9"/>
      <c r="F476" s="16" t="str">
        <f aca="false">IF(B476="","",IF(COUNTIFS('PM Plan'!$A$5:$A$304,B476,'PM Plan'!$B$5:$B$304,C476)&gt;0,"OK","No matching asset + task in plan"))</f>
        <v/>
      </c>
    </row>
    <row r="477" customFormat="false" ht="15" hidden="false" customHeight="false" outlineLevel="0" collapsed="false">
      <c r="A477" s="13"/>
      <c r="B477" s="9"/>
      <c r="C477" s="9"/>
      <c r="D477" s="9"/>
      <c r="E477" s="9"/>
      <c r="F477" s="16" t="str">
        <f aca="false">IF(B477="","",IF(COUNTIFS('PM Plan'!$A$5:$A$304,B477,'PM Plan'!$B$5:$B$304,C477)&gt;0,"OK","No matching asset + task in plan"))</f>
        <v/>
      </c>
    </row>
    <row r="478" customFormat="false" ht="15" hidden="false" customHeight="false" outlineLevel="0" collapsed="false">
      <c r="A478" s="13"/>
      <c r="B478" s="9"/>
      <c r="C478" s="9"/>
      <c r="D478" s="9"/>
      <c r="E478" s="9"/>
      <c r="F478" s="16" t="str">
        <f aca="false">IF(B478="","",IF(COUNTIFS('PM Plan'!$A$5:$A$304,B478,'PM Plan'!$B$5:$B$304,C478)&gt;0,"OK","No matching asset + task in plan"))</f>
        <v/>
      </c>
    </row>
    <row r="479" customFormat="false" ht="15" hidden="false" customHeight="false" outlineLevel="0" collapsed="false">
      <c r="A479" s="13"/>
      <c r="B479" s="9"/>
      <c r="C479" s="9"/>
      <c r="D479" s="9"/>
      <c r="E479" s="9"/>
      <c r="F479" s="16" t="str">
        <f aca="false">IF(B479="","",IF(COUNTIFS('PM Plan'!$A$5:$A$304,B479,'PM Plan'!$B$5:$B$304,C479)&gt;0,"OK","No matching asset + task in plan"))</f>
        <v/>
      </c>
    </row>
    <row r="480" customFormat="false" ht="15" hidden="false" customHeight="false" outlineLevel="0" collapsed="false">
      <c r="A480" s="13"/>
      <c r="B480" s="9"/>
      <c r="C480" s="9"/>
      <c r="D480" s="9"/>
      <c r="E480" s="9"/>
      <c r="F480" s="16" t="str">
        <f aca="false">IF(B480="","",IF(COUNTIFS('PM Plan'!$A$5:$A$304,B480,'PM Plan'!$B$5:$B$304,C480)&gt;0,"OK","No matching asset + task in plan"))</f>
        <v/>
      </c>
    </row>
    <row r="481" customFormat="false" ht="15" hidden="false" customHeight="false" outlineLevel="0" collapsed="false">
      <c r="A481" s="13"/>
      <c r="B481" s="9"/>
      <c r="C481" s="9"/>
      <c r="D481" s="9"/>
      <c r="E481" s="9"/>
      <c r="F481" s="16" t="str">
        <f aca="false">IF(B481="","",IF(COUNTIFS('PM Plan'!$A$5:$A$304,B481,'PM Plan'!$B$5:$B$304,C481)&gt;0,"OK","No matching asset + task in plan"))</f>
        <v/>
      </c>
    </row>
    <row r="482" customFormat="false" ht="15" hidden="false" customHeight="false" outlineLevel="0" collapsed="false">
      <c r="A482" s="13"/>
      <c r="B482" s="9"/>
      <c r="C482" s="9"/>
      <c r="D482" s="9"/>
      <c r="E482" s="9"/>
      <c r="F482" s="16" t="str">
        <f aca="false">IF(B482="","",IF(COUNTIFS('PM Plan'!$A$5:$A$304,B482,'PM Plan'!$B$5:$B$304,C482)&gt;0,"OK","No matching asset + task in plan"))</f>
        <v/>
      </c>
    </row>
    <row r="483" customFormat="false" ht="15" hidden="false" customHeight="false" outlineLevel="0" collapsed="false">
      <c r="A483" s="13"/>
      <c r="B483" s="9"/>
      <c r="C483" s="9"/>
      <c r="D483" s="9"/>
      <c r="E483" s="9"/>
      <c r="F483" s="16" t="str">
        <f aca="false">IF(B483="","",IF(COUNTIFS('PM Plan'!$A$5:$A$304,B483,'PM Plan'!$B$5:$B$304,C483)&gt;0,"OK","No matching asset + task in plan"))</f>
        <v/>
      </c>
    </row>
    <row r="484" customFormat="false" ht="15" hidden="false" customHeight="false" outlineLevel="0" collapsed="false">
      <c r="A484" s="13"/>
      <c r="B484" s="9"/>
      <c r="C484" s="9"/>
      <c r="D484" s="9"/>
      <c r="E484" s="9"/>
      <c r="F484" s="16" t="str">
        <f aca="false">IF(B484="","",IF(COUNTIFS('PM Plan'!$A$5:$A$304,B484,'PM Plan'!$B$5:$B$304,C484)&gt;0,"OK","No matching asset + task in plan"))</f>
        <v/>
      </c>
    </row>
    <row r="485" customFormat="false" ht="15" hidden="false" customHeight="false" outlineLevel="0" collapsed="false">
      <c r="A485" s="13"/>
      <c r="B485" s="9"/>
      <c r="C485" s="9"/>
      <c r="D485" s="9"/>
      <c r="E485" s="9"/>
      <c r="F485" s="16" t="str">
        <f aca="false">IF(B485="","",IF(COUNTIFS('PM Plan'!$A$5:$A$304,B485,'PM Plan'!$B$5:$B$304,C485)&gt;0,"OK","No matching asset + task in plan"))</f>
        <v/>
      </c>
    </row>
    <row r="486" customFormat="false" ht="15" hidden="false" customHeight="false" outlineLevel="0" collapsed="false">
      <c r="A486" s="13"/>
      <c r="B486" s="9"/>
      <c r="C486" s="9"/>
      <c r="D486" s="9"/>
      <c r="E486" s="9"/>
      <c r="F486" s="16" t="str">
        <f aca="false">IF(B486="","",IF(COUNTIFS('PM Plan'!$A$5:$A$304,B486,'PM Plan'!$B$5:$B$304,C486)&gt;0,"OK","No matching asset + task in plan"))</f>
        <v/>
      </c>
    </row>
    <row r="487" customFormat="false" ht="15" hidden="false" customHeight="false" outlineLevel="0" collapsed="false">
      <c r="A487" s="13"/>
      <c r="B487" s="9"/>
      <c r="C487" s="9"/>
      <c r="D487" s="9"/>
      <c r="E487" s="9"/>
      <c r="F487" s="16" t="str">
        <f aca="false">IF(B487="","",IF(COUNTIFS('PM Plan'!$A$5:$A$304,B487,'PM Plan'!$B$5:$B$304,C487)&gt;0,"OK","No matching asset + task in plan"))</f>
        <v/>
      </c>
    </row>
    <row r="488" customFormat="false" ht="15" hidden="false" customHeight="false" outlineLevel="0" collapsed="false">
      <c r="A488" s="13"/>
      <c r="B488" s="9"/>
      <c r="C488" s="9"/>
      <c r="D488" s="9"/>
      <c r="E488" s="9"/>
      <c r="F488" s="16" t="str">
        <f aca="false">IF(B488="","",IF(COUNTIFS('PM Plan'!$A$5:$A$304,B488,'PM Plan'!$B$5:$B$304,C488)&gt;0,"OK","No matching asset + task in plan"))</f>
        <v/>
      </c>
    </row>
    <row r="489" customFormat="false" ht="15" hidden="false" customHeight="false" outlineLevel="0" collapsed="false">
      <c r="A489" s="13"/>
      <c r="B489" s="9"/>
      <c r="C489" s="9"/>
      <c r="D489" s="9"/>
      <c r="E489" s="9"/>
      <c r="F489" s="16" t="str">
        <f aca="false">IF(B489="","",IF(COUNTIFS('PM Plan'!$A$5:$A$304,B489,'PM Plan'!$B$5:$B$304,C489)&gt;0,"OK","No matching asset + task in plan"))</f>
        <v/>
      </c>
    </row>
    <row r="490" customFormat="false" ht="15" hidden="false" customHeight="false" outlineLevel="0" collapsed="false">
      <c r="A490" s="13"/>
      <c r="B490" s="9"/>
      <c r="C490" s="9"/>
      <c r="D490" s="9"/>
      <c r="E490" s="9"/>
      <c r="F490" s="16" t="str">
        <f aca="false">IF(B490="","",IF(COUNTIFS('PM Plan'!$A$5:$A$304,B490,'PM Plan'!$B$5:$B$304,C490)&gt;0,"OK","No matching asset + task in plan"))</f>
        <v/>
      </c>
    </row>
    <row r="491" customFormat="false" ht="15" hidden="false" customHeight="false" outlineLevel="0" collapsed="false">
      <c r="A491" s="13"/>
      <c r="B491" s="9"/>
      <c r="C491" s="9"/>
      <c r="D491" s="9"/>
      <c r="E491" s="9"/>
      <c r="F491" s="16" t="str">
        <f aca="false">IF(B491="","",IF(COUNTIFS('PM Plan'!$A$5:$A$304,B491,'PM Plan'!$B$5:$B$304,C491)&gt;0,"OK","No matching asset + task in plan"))</f>
        <v/>
      </c>
    </row>
    <row r="492" customFormat="false" ht="15" hidden="false" customHeight="false" outlineLevel="0" collapsed="false">
      <c r="A492" s="13"/>
      <c r="B492" s="9"/>
      <c r="C492" s="9"/>
      <c r="D492" s="9"/>
      <c r="E492" s="9"/>
      <c r="F492" s="16" t="str">
        <f aca="false">IF(B492="","",IF(COUNTIFS('PM Plan'!$A$5:$A$304,B492,'PM Plan'!$B$5:$B$304,C492)&gt;0,"OK","No matching asset + task in plan"))</f>
        <v/>
      </c>
    </row>
    <row r="493" customFormat="false" ht="15" hidden="false" customHeight="false" outlineLevel="0" collapsed="false">
      <c r="A493" s="13"/>
      <c r="B493" s="9"/>
      <c r="C493" s="9"/>
      <c r="D493" s="9"/>
      <c r="E493" s="9"/>
      <c r="F493" s="16" t="str">
        <f aca="false">IF(B493="","",IF(COUNTIFS('PM Plan'!$A$5:$A$304,B493,'PM Plan'!$B$5:$B$304,C493)&gt;0,"OK","No matching asset + task in plan"))</f>
        <v/>
      </c>
    </row>
    <row r="494" customFormat="false" ht="15" hidden="false" customHeight="false" outlineLevel="0" collapsed="false">
      <c r="A494" s="13"/>
      <c r="B494" s="9"/>
      <c r="C494" s="9"/>
      <c r="D494" s="9"/>
      <c r="E494" s="9"/>
      <c r="F494" s="16" t="str">
        <f aca="false">IF(B494="","",IF(COUNTIFS('PM Plan'!$A$5:$A$304,B494,'PM Plan'!$B$5:$B$304,C494)&gt;0,"OK","No matching asset + task in plan"))</f>
        <v/>
      </c>
    </row>
    <row r="495" customFormat="false" ht="15" hidden="false" customHeight="false" outlineLevel="0" collapsed="false">
      <c r="A495" s="13"/>
      <c r="B495" s="9"/>
      <c r="C495" s="9"/>
      <c r="D495" s="9"/>
      <c r="E495" s="9"/>
      <c r="F495" s="16" t="str">
        <f aca="false">IF(B495="","",IF(COUNTIFS('PM Plan'!$A$5:$A$304,B495,'PM Plan'!$B$5:$B$304,C495)&gt;0,"OK","No matching asset + task in plan"))</f>
        <v/>
      </c>
    </row>
    <row r="496" customFormat="false" ht="15" hidden="false" customHeight="false" outlineLevel="0" collapsed="false">
      <c r="A496" s="13"/>
      <c r="B496" s="9"/>
      <c r="C496" s="9"/>
      <c r="D496" s="9"/>
      <c r="E496" s="9"/>
      <c r="F496" s="16" t="str">
        <f aca="false">IF(B496="","",IF(COUNTIFS('PM Plan'!$A$5:$A$304,B496,'PM Plan'!$B$5:$B$304,C496)&gt;0,"OK","No matching asset + task in plan"))</f>
        <v/>
      </c>
    </row>
    <row r="497" customFormat="false" ht="15" hidden="false" customHeight="false" outlineLevel="0" collapsed="false">
      <c r="A497" s="13"/>
      <c r="B497" s="9"/>
      <c r="C497" s="9"/>
      <c r="D497" s="9"/>
      <c r="E497" s="9"/>
      <c r="F497" s="16" t="str">
        <f aca="false">IF(B497="","",IF(COUNTIFS('PM Plan'!$A$5:$A$304,B497,'PM Plan'!$B$5:$B$304,C497)&gt;0,"OK","No matching asset + task in plan"))</f>
        <v/>
      </c>
    </row>
    <row r="498" customFormat="false" ht="15" hidden="false" customHeight="false" outlineLevel="0" collapsed="false">
      <c r="A498" s="13"/>
      <c r="B498" s="9"/>
      <c r="C498" s="9"/>
      <c r="D498" s="9"/>
      <c r="E498" s="9"/>
      <c r="F498" s="16" t="str">
        <f aca="false">IF(B498="","",IF(COUNTIFS('PM Plan'!$A$5:$A$304,B498,'PM Plan'!$B$5:$B$304,C498)&gt;0,"OK","No matching asset + task in plan"))</f>
        <v/>
      </c>
    </row>
    <row r="499" customFormat="false" ht="15" hidden="false" customHeight="false" outlineLevel="0" collapsed="false">
      <c r="A499" s="13"/>
      <c r="B499" s="9"/>
      <c r="C499" s="9"/>
      <c r="D499" s="9"/>
      <c r="E499" s="9"/>
      <c r="F499" s="16" t="str">
        <f aca="false">IF(B499="","",IF(COUNTIFS('PM Plan'!$A$5:$A$304,B499,'PM Plan'!$B$5:$B$304,C499)&gt;0,"OK","No matching asset + task in plan"))</f>
        <v/>
      </c>
    </row>
    <row r="500" customFormat="false" ht="15" hidden="false" customHeight="false" outlineLevel="0" collapsed="false">
      <c r="A500" s="13"/>
      <c r="B500" s="9"/>
      <c r="C500" s="9"/>
      <c r="D500" s="9"/>
      <c r="E500" s="9"/>
      <c r="F500" s="16" t="str">
        <f aca="false">IF(B500="","",IF(COUNTIFS('PM Plan'!$A$5:$A$304,B500,'PM Plan'!$B$5:$B$304,C500)&gt;0,"OK","No matching asset + task in plan"))</f>
        <v/>
      </c>
    </row>
    <row r="501" customFormat="false" ht="15" hidden="false" customHeight="false" outlineLevel="0" collapsed="false">
      <c r="A501" s="13"/>
      <c r="B501" s="9"/>
      <c r="C501" s="9"/>
      <c r="D501" s="9"/>
      <c r="E501" s="9"/>
      <c r="F501" s="16" t="str">
        <f aca="false">IF(B501="","",IF(COUNTIFS('PM Plan'!$A$5:$A$304,B501,'PM Plan'!$B$5:$B$304,C501)&gt;0,"OK","No matching asset + task in plan"))</f>
        <v/>
      </c>
    </row>
    <row r="502" customFormat="false" ht="15" hidden="false" customHeight="false" outlineLevel="0" collapsed="false">
      <c r="A502" s="13"/>
      <c r="B502" s="9"/>
      <c r="C502" s="9"/>
      <c r="D502" s="9"/>
      <c r="E502" s="9"/>
      <c r="F502" s="16" t="str">
        <f aca="false">IF(B502="","",IF(COUNTIFS('PM Plan'!$A$5:$A$304,B502,'PM Plan'!$B$5:$B$304,C502)&gt;0,"OK","No matching asset + task in plan"))</f>
        <v/>
      </c>
    </row>
    <row r="503" customFormat="false" ht="15" hidden="false" customHeight="false" outlineLevel="0" collapsed="false">
      <c r="A503" s="13"/>
      <c r="B503" s="9"/>
      <c r="C503" s="9"/>
      <c r="D503" s="9"/>
      <c r="E503" s="9"/>
      <c r="F503" s="16" t="str">
        <f aca="false">IF(B503="","",IF(COUNTIFS('PM Plan'!$A$5:$A$304,B503,'PM Plan'!$B$5:$B$304,C503)&gt;0,"OK","No matching asset + task in plan"))</f>
        <v/>
      </c>
    </row>
    <row r="504" customFormat="false" ht="15" hidden="false" customHeight="false" outlineLevel="0" collapsed="false">
      <c r="A504" s="13"/>
      <c r="B504" s="9"/>
      <c r="C504" s="9"/>
      <c r="D504" s="9"/>
      <c r="E504" s="9"/>
      <c r="F504" s="16" t="str">
        <f aca="false">IF(B504="","",IF(COUNTIFS('PM Plan'!$A$5:$A$304,B504,'PM Plan'!$B$5:$B$304,C504)&gt;0,"OK","No matching asset + task in plan"))</f>
        <v/>
      </c>
    </row>
    <row r="505" customFormat="false" ht="15" hidden="false" customHeight="false" outlineLevel="0" collapsed="false">
      <c r="A505" s="13"/>
      <c r="B505" s="9"/>
      <c r="C505" s="9"/>
      <c r="D505" s="9"/>
      <c r="E505" s="9"/>
      <c r="F505" s="16" t="str">
        <f aca="false">IF(B505="","",IF(COUNTIFS('PM Plan'!$A$5:$A$304,B505,'PM Plan'!$B$5:$B$304,C505)&gt;0,"OK","No matching asset + task in plan"))</f>
        <v/>
      </c>
    </row>
    <row r="506" customFormat="false" ht="15" hidden="false" customHeight="false" outlineLevel="0" collapsed="false">
      <c r="A506" s="13"/>
      <c r="B506" s="9"/>
      <c r="C506" s="9"/>
      <c r="D506" s="9"/>
      <c r="E506" s="9"/>
      <c r="F506" s="16" t="str">
        <f aca="false">IF(B506="","",IF(COUNTIFS('PM Plan'!$A$5:$A$304,B506,'PM Plan'!$B$5:$B$304,C506)&gt;0,"OK","No matching asset + task in plan"))</f>
        <v/>
      </c>
    </row>
    <row r="507" customFormat="false" ht="15" hidden="false" customHeight="false" outlineLevel="0" collapsed="false">
      <c r="A507" s="13"/>
      <c r="B507" s="9"/>
      <c r="C507" s="9"/>
      <c r="D507" s="9"/>
      <c r="E507" s="9"/>
      <c r="F507" s="16" t="str">
        <f aca="false">IF(B507="","",IF(COUNTIFS('PM Plan'!$A$5:$A$304,B507,'PM Plan'!$B$5:$B$304,C507)&gt;0,"OK","No matching asset + task in plan"))</f>
        <v/>
      </c>
    </row>
    <row r="508" customFormat="false" ht="15" hidden="false" customHeight="false" outlineLevel="0" collapsed="false">
      <c r="A508" s="13"/>
      <c r="B508" s="9"/>
      <c r="C508" s="9"/>
      <c r="D508" s="9"/>
      <c r="E508" s="9"/>
      <c r="F508" s="16" t="str">
        <f aca="false">IF(B508="","",IF(COUNTIFS('PM Plan'!$A$5:$A$304,B508,'PM Plan'!$B$5:$B$304,C508)&gt;0,"OK","No matching asset + task in plan"))</f>
        <v/>
      </c>
    </row>
    <row r="509" customFormat="false" ht="15" hidden="false" customHeight="false" outlineLevel="0" collapsed="false">
      <c r="A509" s="13"/>
      <c r="B509" s="9"/>
      <c r="C509" s="9"/>
      <c r="D509" s="9"/>
      <c r="E509" s="9"/>
      <c r="F509" s="16" t="str">
        <f aca="false">IF(B509="","",IF(COUNTIFS('PM Plan'!$A$5:$A$304,B509,'PM Plan'!$B$5:$B$304,C509)&gt;0,"OK","No matching asset + task in plan"))</f>
        <v/>
      </c>
    </row>
    <row r="510" customFormat="false" ht="15" hidden="false" customHeight="false" outlineLevel="0" collapsed="false">
      <c r="A510" s="13"/>
      <c r="B510" s="9"/>
      <c r="C510" s="9"/>
      <c r="D510" s="9"/>
      <c r="E510" s="9"/>
      <c r="F510" s="16" t="str">
        <f aca="false">IF(B510="","",IF(COUNTIFS('PM Plan'!$A$5:$A$304,B510,'PM Plan'!$B$5:$B$304,C510)&gt;0,"OK","No matching asset + task in plan"))</f>
        <v/>
      </c>
    </row>
    <row r="511" customFormat="false" ht="15" hidden="false" customHeight="false" outlineLevel="0" collapsed="false">
      <c r="A511" s="13"/>
      <c r="B511" s="9"/>
      <c r="C511" s="9"/>
      <c r="D511" s="9"/>
      <c r="E511" s="9"/>
      <c r="F511" s="16" t="str">
        <f aca="false">IF(B511="","",IF(COUNTIFS('PM Plan'!$A$5:$A$304,B511,'PM Plan'!$B$5:$B$304,C511)&gt;0,"OK","No matching asset + task in plan"))</f>
        <v/>
      </c>
    </row>
    <row r="512" customFormat="false" ht="15" hidden="false" customHeight="false" outlineLevel="0" collapsed="false">
      <c r="A512" s="13"/>
      <c r="B512" s="9"/>
      <c r="C512" s="9"/>
      <c r="D512" s="9"/>
      <c r="E512" s="9"/>
      <c r="F512" s="16" t="str">
        <f aca="false">IF(B512="","",IF(COUNTIFS('PM Plan'!$A$5:$A$304,B512,'PM Plan'!$B$5:$B$304,C512)&gt;0,"OK","No matching asset + task in plan"))</f>
        <v/>
      </c>
    </row>
    <row r="513" customFormat="false" ht="15" hidden="false" customHeight="false" outlineLevel="0" collapsed="false">
      <c r="A513" s="13"/>
      <c r="B513" s="9"/>
      <c r="C513" s="9"/>
      <c r="D513" s="9"/>
      <c r="E513" s="9"/>
      <c r="F513" s="16" t="str">
        <f aca="false">IF(B513="","",IF(COUNTIFS('PM Plan'!$A$5:$A$304,B513,'PM Plan'!$B$5:$B$304,C513)&gt;0,"OK","No matching asset + task in plan"))</f>
        <v/>
      </c>
    </row>
    <row r="514" customFormat="false" ht="15" hidden="false" customHeight="false" outlineLevel="0" collapsed="false">
      <c r="A514" s="13"/>
      <c r="B514" s="9"/>
      <c r="C514" s="9"/>
      <c r="D514" s="9"/>
      <c r="E514" s="9"/>
      <c r="F514" s="16" t="str">
        <f aca="false">IF(B514="","",IF(COUNTIFS('PM Plan'!$A$5:$A$304,B514,'PM Plan'!$B$5:$B$304,C514)&gt;0,"OK","No matching asset + task in plan"))</f>
        <v/>
      </c>
    </row>
    <row r="515" customFormat="false" ht="15" hidden="false" customHeight="false" outlineLevel="0" collapsed="false">
      <c r="A515" s="13"/>
      <c r="B515" s="9"/>
      <c r="C515" s="9"/>
      <c r="D515" s="9"/>
      <c r="E515" s="9"/>
      <c r="F515" s="16" t="str">
        <f aca="false">IF(B515="","",IF(COUNTIFS('PM Plan'!$A$5:$A$304,B515,'PM Plan'!$B$5:$B$304,C515)&gt;0,"OK","No matching asset + task in plan"))</f>
        <v/>
      </c>
    </row>
    <row r="516" customFormat="false" ht="15" hidden="false" customHeight="false" outlineLevel="0" collapsed="false">
      <c r="A516" s="13"/>
      <c r="B516" s="9"/>
      <c r="C516" s="9"/>
      <c r="D516" s="9"/>
      <c r="E516" s="9"/>
      <c r="F516" s="16" t="str">
        <f aca="false">IF(B516="","",IF(COUNTIFS('PM Plan'!$A$5:$A$304,B516,'PM Plan'!$B$5:$B$304,C516)&gt;0,"OK","No matching asset + task in plan"))</f>
        <v/>
      </c>
    </row>
    <row r="517" customFormat="false" ht="15" hidden="false" customHeight="false" outlineLevel="0" collapsed="false">
      <c r="A517" s="13"/>
      <c r="B517" s="9"/>
      <c r="C517" s="9"/>
      <c r="D517" s="9"/>
      <c r="E517" s="9"/>
      <c r="F517" s="16" t="str">
        <f aca="false">IF(B517="","",IF(COUNTIFS('PM Plan'!$A$5:$A$304,B517,'PM Plan'!$B$5:$B$304,C517)&gt;0,"OK","No matching asset + task in plan"))</f>
        <v/>
      </c>
    </row>
    <row r="518" customFormat="false" ht="15" hidden="false" customHeight="false" outlineLevel="0" collapsed="false">
      <c r="A518" s="13"/>
      <c r="B518" s="9"/>
      <c r="C518" s="9"/>
      <c r="D518" s="9"/>
      <c r="E518" s="9"/>
      <c r="F518" s="16" t="str">
        <f aca="false">IF(B518="","",IF(COUNTIFS('PM Plan'!$A$5:$A$304,B518,'PM Plan'!$B$5:$B$304,C518)&gt;0,"OK","No matching asset + task in plan"))</f>
        <v/>
      </c>
    </row>
    <row r="519" customFormat="false" ht="15" hidden="false" customHeight="false" outlineLevel="0" collapsed="false">
      <c r="A519" s="13"/>
      <c r="B519" s="9"/>
      <c r="C519" s="9"/>
      <c r="D519" s="9"/>
      <c r="E519" s="9"/>
      <c r="F519" s="16" t="str">
        <f aca="false">IF(B519="","",IF(COUNTIFS('PM Plan'!$A$5:$A$304,B519,'PM Plan'!$B$5:$B$304,C519)&gt;0,"OK","No matching asset + task in plan"))</f>
        <v/>
      </c>
    </row>
    <row r="520" customFormat="false" ht="15" hidden="false" customHeight="false" outlineLevel="0" collapsed="false">
      <c r="A520" s="13"/>
      <c r="B520" s="9"/>
      <c r="C520" s="9"/>
      <c r="D520" s="9"/>
      <c r="E520" s="9"/>
      <c r="F520" s="16" t="str">
        <f aca="false">IF(B520="","",IF(COUNTIFS('PM Plan'!$A$5:$A$304,B520,'PM Plan'!$B$5:$B$304,C520)&gt;0,"OK","No matching asset + task in plan"))</f>
        <v/>
      </c>
    </row>
    <row r="521" customFormat="false" ht="15" hidden="false" customHeight="false" outlineLevel="0" collapsed="false">
      <c r="A521" s="13"/>
      <c r="B521" s="9"/>
      <c r="C521" s="9"/>
      <c r="D521" s="9"/>
      <c r="E521" s="9"/>
      <c r="F521" s="16" t="str">
        <f aca="false">IF(B521="","",IF(COUNTIFS('PM Plan'!$A$5:$A$304,B521,'PM Plan'!$B$5:$B$304,C521)&gt;0,"OK","No matching asset + task in plan"))</f>
        <v/>
      </c>
    </row>
    <row r="522" customFormat="false" ht="15" hidden="false" customHeight="false" outlineLevel="0" collapsed="false">
      <c r="A522" s="13"/>
      <c r="B522" s="9"/>
      <c r="C522" s="9"/>
      <c r="D522" s="9"/>
      <c r="E522" s="9"/>
      <c r="F522" s="16" t="str">
        <f aca="false">IF(B522="","",IF(COUNTIFS('PM Plan'!$A$5:$A$304,B522,'PM Plan'!$B$5:$B$304,C522)&gt;0,"OK","No matching asset + task in plan"))</f>
        <v/>
      </c>
    </row>
    <row r="523" customFormat="false" ht="15" hidden="false" customHeight="false" outlineLevel="0" collapsed="false">
      <c r="A523" s="13"/>
      <c r="B523" s="9"/>
      <c r="C523" s="9"/>
      <c r="D523" s="9"/>
      <c r="E523" s="9"/>
      <c r="F523" s="16" t="str">
        <f aca="false">IF(B523="","",IF(COUNTIFS('PM Plan'!$A$5:$A$304,B523,'PM Plan'!$B$5:$B$304,C523)&gt;0,"OK","No matching asset + task in plan"))</f>
        <v/>
      </c>
    </row>
    <row r="524" customFormat="false" ht="15" hidden="false" customHeight="false" outlineLevel="0" collapsed="false">
      <c r="A524" s="13"/>
      <c r="B524" s="9"/>
      <c r="C524" s="9"/>
      <c r="D524" s="9"/>
      <c r="E524" s="9"/>
      <c r="F524" s="16" t="str">
        <f aca="false">IF(B524="","",IF(COUNTIFS('PM Plan'!$A$5:$A$304,B524,'PM Plan'!$B$5:$B$304,C524)&gt;0,"OK","No matching asset + task in plan"))</f>
        <v/>
      </c>
    </row>
    <row r="525" customFormat="false" ht="15" hidden="false" customHeight="false" outlineLevel="0" collapsed="false">
      <c r="A525" s="13"/>
      <c r="B525" s="9"/>
      <c r="C525" s="9"/>
      <c r="D525" s="9"/>
      <c r="E525" s="9"/>
      <c r="F525" s="16" t="str">
        <f aca="false">IF(B525="","",IF(COUNTIFS('PM Plan'!$A$5:$A$304,B525,'PM Plan'!$B$5:$B$304,C525)&gt;0,"OK","No matching asset + task in plan"))</f>
        <v/>
      </c>
    </row>
    <row r="526" customFormat="false" ht="15" hidden="false" customHeight="false" outlineLevel="0" collapsed="false">
      <c r="A526" s="13"/>
      <c r="B526" s="9"/>
      <c r="C526" s="9"/>
      <c r="D526" s="9"/>
      <c r="E526" s="9"/>
      <c r="F526" s="16" t="str">
        <f aca="false">IF(B526="","",IF(COUNTIFS('PM Plan'!$A$5:$A$304,B526,'PM Plan'!$B$5:$B$304,C526)&gt;0,"OK","No matching asset + task in plan"))</f>
        <v/>
      </c>
    </row>
    <row r="527" customFormat="false" ht="15" hidden="false" customHeight="false" outlineLevel="0" collapsed="false">
      <c r="A527" s="13"/>
      <c r="B527" s="9"/>
      <c r="C527" s="9"/>
      <c r="D527" s="9"/>
      <c r="E527" s="9"/>
      <c r="F527" s="16" t="str">
        <f aca="false">IF(B527="","",IF(COUNTIFS('PM Plan'!$A$5:$A$304,B527,'PM Plan'!$B$5:$B$304,C527)&gt;0,"OK","No matching asset + task in plan"))</f>
        <v/>
      </c>
    </row>
    <row r="528" customFormat="false" ht="15" hidden="false" customHeight="false" outlineLevel="0" collapsed="false">
      <c r="A528" s="13"/>
      <c r="B528" s="9"/>
      <c r="C528" s="9"/>
      <c r="D528" s="9"/>
      <c r="E528" s="9"/>
      <c r="F528" s="16" t="str">
        <f aca="false">IF(B528="","",IF(COUNTIFS('PM Plan'!$A$5:$A$304,B528,'PM Plan'!$B$5:$B$304,C528)&gt;0,"OK","No matching asset + task in plan"))</f>
        <v/>
      </c>
    </row>
    <row r="529" customFormat="false" ht="15" hidden="false" customHeight="false" outlineLevel="0" collapsed="false">
      <c r="A529" s="13"/>
      <c r="B529" s="9"/>
      <c r="C529" s="9"/>
      <c r="D529" s="9"/>
      <c r="E529" s="9"/>
      <c r="F529" s="16" t="str">
        <f aca="false">IF(B529="","",IF(COUNTIFS('PM Plan'!$A$5:$A$304,B529,'PM Plan'!$B$5:$B$304,C529)&gt;0,"OK","No matching asset + task in plan"))</f>
        <v/>
      </c>
    </row>
    <row r="530" customFormat="false" ht="15" hidden="false" customHeight="false" outlineLevel="0" collapsed="false">
      <c r="A530" s="13"/>
      <c r="B530" s="9"/>
      <c r="C530" s="9"/>
      <c r="D530" s="9"/>
      <c r="E530" s="9"/>
      <c r="F530" s="16" t="str">
        <f aca="false">IF(B530="","",IF(COUNTIFS('PM Plan'!$A$5:$A$304,B530,'PM Plan'!$B$5:$B$304,C530)&gt;0,"OK","No matching asset + task in plan"))</f>
        <v/>
      </c>
    </row>
    <row r="531" customFormat="false" ht="15" hidden="false" customHeight="false" outlineLevel="0" collapsed="false">
      <c r="A531" s="13"/>
      <c r="B531" s="9"/>
      <c r="C531" s="9"/>
      <c r="D531" s="9"/>
      <c r="E531" s="9"/>
      <c r="F531" s="16" t="str">
        <f aca="false">IF(B531="","",IF(COUNTIFS('PM Plan'!$A$5:$A$304,B531,'PM Plan'!$B$5:$B$304,C531)&gt;0,"OK","No matching asset + task in plan"))</f>
        <v/>
      </c>
    </row>
    <row r="532" customFormat="false" ht="15" hidden="false" customHeight="false" outlineLevel="0" collapsed="false">
      <c r="A532" s="13"/>
      <c r="B532" s="9"/>
      <c r="C532" s="9"/>
      <c r="D532" s="9"/>
      <c r="E532" s="9"/>
      <c r="F532" s="16" t="str">
        <f aca="false">IF(B532="","",IF(COUNTIFS('PM Plan'!$A$5:$A$304,B532,'PM Plan'!$B$5:$B$304,C532)&gt;0,"OK","No matching asset + task in plan"))</f>
        <v/>
      </c>
    </row>
    <row r="533" customFormat="false" ht="15" hidden="false" customHeight="false" outlineLevel="0" collapsed="false">
      <c r="A533" s="13"/>
      <c r="B533" s="9"/>
      <c r="C533" s="9"/>
      <c r="D533" s="9"/>
      <c r="E533" s="9"/>
      <c r="F533" s="16" t="str">
        <f aca="false">IF(B533="","",IF(COUNTIFS('PM Plan'!$A$5:$A$304,B533,'PM Plan'!$B$5:$B$304,C533)&gt;0,"OK","No matching asset + task in plan"))</f>
        <v/>
      </c>
    </row>
    <row r="534" customFormat="false" ht="15" hidden="false" customHeight="false" outlineLevel="0" collapsed="false">
      <c r="A534" s="13"/>
      <c r="B534" s="9"/>
      <c r="C534" s="9"/>
      <c r="D534" s="9"/>
      <c r="E534" s="9"/>
      <c r="F534" s="16" t="str">
        <f aca="false">IF(B534="","",IF(COUNTIFS('PM Plan'!$A$5:$A$304,B534,'PM Plan'!$B$5:$B$304,C534)&gt;0,"OK","No matching asset + task in plan"))</f>
        <v/>
      </c>
    </row>
    <row r="535" customFormat="false" ht="15" hidden="false" customHeight="false" outlineLevel="0" collapsed="false">
      <c r="A535" s="13"/>
      <c r="B535" s="9"/>
      <c r="C535" s="9"/>
      <c r="D535" s="9"/>
      <c r="E535" s="9"/>
      <c r="F535" s="16" t="str">
        <f aca="false">IF(B535="","",IF(COUNTIFS('PM Plan'!$A$5:$A$304,B535,'PM Plan'!$B$5:$B$304,C535)&gt;0,"OK","No matching asset + task in plan"))</f>
        <v/>
      </c>
    </row>
    <row r="536" customFormat="false" ht="15" hidden="false" customHeight="false" outlineLevel="0" collapsed="false">
      <c r="A536" s="13"/>
      <c r="B536" s="9"/>
      <c r="C536" s="9"/>
      <c r="D536" s="9"/>
      <c r="E536" s="9"/>
      <c r="F536" s="16" t="str">
        <f aca="false">IF(B536="","",IF(COUNTIFS('PM Plan'!$A$5:$A$304,B536,'PM Plan'!$B$5:$B$304,C536)&gt;0,"OK","No matching asset + task in plan"))</f>
        <v/>
      </c>
    </row>
    <row r="537" customFormat="false" ht="15" hidden="false" customHeight="false" outlineLevel="0" collapsed="false">
      <c r="A537" s="13"/>
      <c r="B537" s="9"/>
      <c r="C537" s="9"/>
      <c r="D537" s="9"/>
      <c r="E537" s="9"/>
      <c r="F537" s="16" t="str">
        <f aca="false">IF(B537="","",IF(COUNTIFS('PM Plan'!$A$5:$A$304,B537,'PM Plan'!$B$5:$B$304,C537)&gt;0,"OK","No matching asset + task in plan"))</f>
        <v/>
      </c>
    </row>
    <row r="538" customFormat="false" ht="15" hidden="false" customHeight="false" outlineLevel="0" collapsed="false">
      <c r="A538" s="13"/>
      <c r="B538" s="9"/>
      <c r="C538" s="9"/>
      <c r="D538" s="9"/>
      <c r="E538" s="9"/>
      <c r="F538" s="16" t="str">
        <f aca="false">IF(B538="","",IF(COUNTIFS('PM Plan'!$A$5:$A$304,B538,'PM Plan'!$B$5:$B$304,C538)&gt;0,"OK","No matching asset + task in plan"))</f>
        <v/>
      </c>
    </row>
    <row r="539" customFormat="false" ht="15" hidden="false" customHeight="false" outlineLevel="0" collapsed="false">
      <c r="A539" s="13"/>
      <c r="B539" s="9"/>
      <c r="C539" s="9"/>
      <c r="D539" s="9"/>
      <c r="E539" s="9"/>
      <c r="F539" s="16" t="str">
        <f aca="false">IF(B539="","",IF(COUNTIFS('PM Plan'!$A$5:$A$304,B539,'PM Plan'!$B$5:$B$304,C539)&gt;0,"OK","No matching asset + task in plan"))</f>
        <v/>
      </c>
    </row>
    <row r="540" customFormat="false" ht="15" hidden="false" customHeight="false" outlineLevel="0" collapsed="false">
      <c r="A540" s="13"/>
      <c r="B540" s="9"/>
      <c r="C540" s="9"/>
      <c r="D540" s="9"/>
      <c r="E540" s="9"/>
      <c r="F540" s="16" t="str">
        <f aca="false">IF(B540="","",IF(COUNTIFS('PM Plan'!$A$5:$A$304,B540,'PM Plan'!$B$5:$B$304,C540)&gt;0,"OK","No matching asset + task in plan"))</f>
        <v/>
      </c>
    </row>
    <row r="541" customFormat="false" ht="15" hidden="false" customHeight="false" outlineLevel="0" collapsed="false">
      <c r="A541" s="13"/>
      <c r="B541" s="9"/>
      <c r="C541" s="9"/>
      <c r="D541" s="9"/>
      <c r="E541" s="9"/>
      <c r="F541" s="16" t="str">
        <f aca="false">IF(B541="","",IF(COUNTIFS('PM Plan'!$A$5:$A$304,B541,'PM Plan'!$B$5:$B$304,C541)&gt;0,"OK","No matching asset + task in plan"))</f>
        <v/>
      </c>
    </row>
    <row r="542" customFormat="false" ht="15" hidden="false" customHeight="false" outlineLevel="0" collapsed="false">
      <c r="A542" s="13"/>
      <c r="B542" s="9"/>
      <c r="C542" s="9"/>
      <c r="D542" s="9"/>
      <c r="E542" s="9"/>
      <c r="F542" s="16" t="str">
        <f aca="false">IF(B542="","",IF(COUNTIFS('PM Plan'!$A$5:$A$304,B542,'PM Plan'!$B$5:$B$304,C542)&gt;0,"OK","No matching asset + task in plan"))</f>
        <v/>
      </c>
    </row>
    <row r="543" customFormat="false" ht="15" hidden="false" customHeight="false" outlineLevel="0" collapsed="false">
      <c r="A543" s="13"/>
      <c r="B543" s="9"/>
      <c r="C543" s="9"/>
      <c r="D543" s="9"/>
      <c r="E543" s="9"/>
      <c r="F543" s="16" t="str">
        <f aca="false">IF(B543="","",IF(COUNTIFS('PM Plan'!$A$5:$A$304,B543,'PM Plan'!$B$5:$B$304,C543)&gt;0,"OK","No matching asset + task in plan"))</f>
        <v/>
      </c>
    </row>
    <row r="544" customFormat="false" ht="15" hidden="false" customHeight="false" outlineLevel="0" collapsed="false">
      <c r="A544" s="13"/>
      <c r="B544" s="9"/>
      <c r="C544" s="9"/>
      <c r="D544" s="9"/>
      <c r="E544" s="9"/>
      <c r="F544" s="16" t="str">
        <f aca="false">IF(B544="","",IF(COUNTIFS('PM Plan'!$A$5:$A$304,B544,'PM Plan'!$B$5:$B$304,C544)&gt;0,"OK","No matching asset + task in plan"))</f>
        <v/>
      </c>
    </row>
    <row r="545" customFormat="false" ht="15" hidden="false" customHeight="false" outlineLevel="0" collapsed="false">
      <c r="A545" s="13"/>
      <c r="B545" s="9"/>
      <c r="C545" s="9"/>
      <c r="D545" s="9"/>
      <c r="E545" s="9"/>
      <c r="F545" s="16" t="str">
        <f aca="false">IF(B545="","",IF(COUNTIFS('PM Plan'!$A$5:$A$304,B545,'PM Plan'!$B$5:$B$304,C545)&gt;0,"OK","No matching asset + task in plan"))</f>
        <v/>
      </c>
    </row>
    <row r="546" customFormat="false" ht="15" hidden="false" customHeight="false" outlineLevel="0" collapsed="false">
      <c r="A546" s="13"/>
      <c r="B546" s="9"/>
      <c r="C546" s="9"/>
      <c r="D546" s="9"/>
      <c r="E546" s="9"/>
      <c r="F546" s="16" t="str">
        <f aca="false">IF(B546="","",IF(COUNTIFS('PM Plan'!$A$5:$A$304,B546,'PM Plan'!$B$5:$B$304,C546)&gt;0,"OK","No matching asset + task in plan"))</f>
        <v/>
      </c>
    </row>
    <row r="547" customFormat="false" ht="15" hidden="false" customHeight="false" outlineLevel="0" collapsed="false">
      <c r="A547" s="13"/>
      <c r="B547" s="9"/>
      <c r="C547" s="9"/>
      <c r="D547" s="9"/>
      <c r="E547" s="9"/>
      <c r="F547" s="16" t="str">
        <f aca="false">IF(B547="","",IF(COUNTIFS('PM Plan'!$A$5:$A$304,B547,'PM Plan'!$B$5:$B$304,C547)&gt;0,"OK","No matching asset + task in plan"))</f>
        <v/>
      </c>
    </row>
    <row r="548" customFormat="false" ht="15" hidden="false" customHeight="false" outlineLevel="0" collapsed="false">
      <c r="A548" s="13"/>
      <c r="B548" s="9"/>
      <c r="C548" s="9"/>
      <c r="D548" s="9"/>
      <c r="E548" s="9"/>
      <c r="F548" s="16" t="str">
        <f aca="false">IF(B548="","",IF(COUNTIFS('PM Plan'!$A$5:$A$304,B548,'PM Plan'!$B$5:$B$304,C548)&gt;0,"OK","No matching asset + task in plan"))</f>
        <v/>
      </c>
    </row>
    <row r="549" customFormat="false" ht="15" hidden="false" customHeight="false" outlineLevel="0" collapsed="false">
      <c r="A549" s="13"/>
      <c r="B549" s="9"/>
      <c r="C549" s="9"/>
      <c r="D549" s="9"/>
      <c r="E549" s="9"/>
      <c r="F549" s="16" t="str">
        <f aca="false">IF(B549="","",IF(COUNTIFS('PM Plan'!$A$5:$A$304,B549,'PM Plan'!$B$5:$B$304,C549)&gt;0,"OK","No matching asset + task in plan"))</f>
        <v/>
      </c>
    </row>
    <row r="550" customFormat="false" ht="15" hidden="false" customHeight="false" outlineLevel="0" collapsed="false">
      <c r="A550" s="13"/>
      <c r="B550" s="9"/>
      <c r="C550" s="9"/>
      <c r="D550" s="9"/>
      <c r="E550" s="9"/>
      <c r="F550" s="16" t="str">
        <f aca="false">IF(B550="","",IF(COUNTIFS('PM Plan'!$A$5:$A$304,B550,'PM Plan'!$B$5:$B$304,C550)&gt;0,"OK","No matching asset + task in plan"))</f>
        <v/>
      </c>
    </row>
    <row r="551" customFormat="false" ht="15" hidden="false" customHeight="false" outlineLevel="0" collapsed="false">
      <c r="A551" s="13"/>
      <c r="B551" s="9"/>
      <c r="C551" s="9"/>
      <c r="D551" s="9"/>
      <c r="E551" s="9"/>
      <c r="F551" s="16" t="str">
        <f aca="false">IF(B551="","",IF(COUNTIFS('PM Plan'!$A$5:$A$304,B551,'PM Plan'!$B$5:$B$304,C551)&gt;0,"OK","No matching asset + task in plan"))</f>
        <v/>
      </c>
    </row>
    <row r="552" customFormat="false" ht="15" hidden="false" customHeight="false" outlineLevel="0" collapsed="false">
      <c r="A552" s="13"/>
      <c r="B552" s="9"/>
      <c r="C552" s="9"/>
      <c r="D552" s="9"/>
      <c r="E552" s="9"/>
      <c r="F552" s="16" t="str">
        <f aca="false">IF(B552="","",IF(COUNTIFS('PM Plan'!$A$5:$A$304,B552,'PM Plan'!$B$5:$B$304,C552)&gt;0,"OK","No matching asset + task in plan"))</f>
        <v/>
      </c>
    </row>
    <row r="553" customFormat="false" ht="15" hidden="false" customHeight="false" outlineLevel="0" collapsed="false">
      <c r="A553" s="13"/>
      <c r="B553" s="9"/>
      <c r="C553" s="9"/>
      <c r="D553" s="9"/>
      <c r="E553" s="9"/>
      <c r="F553" s="16" t="str">
        <f aca="false">IF(B553="","",IF(COUNTIFS('PM Plan'!$A$5:$A$304,B553,'PM Plan'!$B$5:$B$304,C553)&gt;0,"OK","No matching asset + task in plan"))</f>
        <v/>
      </c>
    </row>
    <row r="554" customFormat="false" ht="15" hidden="false" customHeight="false" outlineLevel="0" collapsed="false">
      <c r="A554" s="13"/>
      <c r="B554" s="9"/>
      <c r="C554" s="9"/>
      <c r="D554" s="9"/>
      <c r="E554" s="9"/>
      <c r="F554" s="16" t="str">
        <f aca="false">IF(B554="","",IF(COUNTIFS('PM Plan'!$A$5:$A$304,B554,'PM Plan'!$B$5:$B$304,C554)&gt;0,"OK","No matching asset + task in plan"))</f>
        <v/>
      </c>
    </row>
    <row r="555" customFormat="false" ht="15" hidden="false" customHeight="false" outlineLevel="0" collapsed="false">
      <c r="A555" s="13"/>
      <c r="B555" s="9"/>
      <c r="C555" s="9"/>
      <c r="D555" s="9"/>
      <c r="E555" s="9"/>
      <c r="F555" s="16" t="str">
        <f aca="false">IF(B555="","",IF(COUNTIFS('PM Plan'!$A$5:$A$304,B555,'PM Plan'!$B$5:$B$304,C555)&gt;0,"OK","No matching asset + task in plan"))</f>
        <v/>
      </c>
    </row>
    <row r="556" customFormat="false" ht="15" hidden="false" customHeight="false" outlineLevel="0" collapsed="false">
      <c r="A556" s="13"/>
      <c r="B556" s="9"/>
      <c r="C556" s="9"/>
      <c r="D556" s="9"/>
      <c r="E556" s="9"/>
      <c r="F556" s="16" t="str">
        <f aca="false">IF(B556="","",IF(COUNTIFS('PM Plan'!$A$5:$A$304,B556,'PM Plan'!$B$5:$B$304,C556)&gt;0,"OK","No matching asset + task in plan"))</f>
        <v/>
      </c>
    </row>
    <row r="557" customFormat="false" ht="15" hidden="false" customHeight="false" outlineLevel="0" collapsed="false">
      <c r="A557" s="13"/>
      <c r="B557" s="9"/>
      <c r="C557" s="9"/>
      <c r="D557" s="9"/>
      <c r="E557" s="9"/>
      <c r="F557" s="16" t="str">
        <f aca="false">IF(B557="","",IF(COUNTIFS('PM Plan'!$A$5:$A$304,B557,'PM Plan'!$B$5:$B$304,C557)&gt;0,"OK","No matching asset + task in plan"))</f>
        <v/>
      </c>
    </row>
    <row r="558" customFormat="false" ht="15" hidden="false" customHeight="false" outlineLevel="0" collapsed="false">
      <c r="A558" s="13"/>
      <c r="B558" s="9"/>
      <c r="C558" s="9"/>
      <c r="D558" s="9"/>
      <c r="E558" s="9"/>
      <c r="F558" s="16" t="str">
        <f aca="false">IF(B558="","",IF(COUNTIFS('PM Plan'!$A$5:$A$304,B558,'PM Plan'!$B$5:$B$304,C558)&gt;0,"OK","No matching asset + task in plan"))</f>
        <v/>
      </c>
    </row>
    <row r="559" customFormat="false" ht="15" hidden="false" customHeight="false" outlineLevel="0" collapsed="false">
      <c r="A559" s="13"/>
      <c r="B559" s="9"/>
      <c r="C559" s="9"/>
      <c r="D559" s="9"/>
      <c r="E559" s="9"/>
      <c r="F559" s="16" t="str">
        <f aca="false">IF(B559="","",IF(COUNTIFS('PM Plan'!$A$5:$A$304,B559,'PM Plan'!$B$5:$B$304,C559)&gt;0,"OK","No matching asset + task in plan"))</f>
        <v/>
      </c>
    </row>
    <row r="560" customFormat="false" ht="15" hidden="false" customHeight="false" outlineLevel="0" collapsed="false">
      <c r="A560" s="13"/>
      <c r="B560" s="9"/>
      <c r="C560" s="9"/>
      <c r="D560" s="9"/>
      <c r="E560" s="9"/>
      <c r="F560" s="16" t="str">
        <f aca="false">IF(B560="","",IF(COUNTIFS('PM Plan'!$A$5:$A$304,B560,'PM Plan'!$B$5:$B$304,C560)&gt;0,"OK","No matching asset + task in plan"))</f>
        <v/>
      </c>
    </row>
    <row r="561" customFormat="false" ht="15" hidden="false" customHeight="false" outlineLevel="0" collapsed="false">
      <c r="A561" s="13"/>
      <c r="B561" s="9"/>
      <c r="C561" s="9"/>
      <c r="D561" s="9"/>
      <c r="E561" s="9"/>
      <c r="F561" s="16" t="str">
        <f aca="false">IF(B561="","",IF(COUNTIFS('PM Plan'!$A$5:$A$304,B561,'PM Plan'!$B$5:$B$304,C561)&gt;0,"OK","No matching asset + task in plan"))</f>
        <v/>
      </c>
    </row>
    <row r="562" customFormat="false" ht="15" hidden="false" customHeight="false" outlineLevel="0" collapsed="false">
      <c r="A562" s="13"/>
      <c r="B562" s="9"/>
      <c r="C562" s="9"/>
      <c r="D562" s="9"/>
      <c r="E562" s="9"/>
      <c r="F562" s="16" t="str">
        <f aca="false">IF(B562="","",IF(COUNTIFS('PM Plan'!$A$5:$A$304,B562,'PM Plan'!$B$5:$B$304,C562)&gt;0,"OK","No matching asset + task in plan"))</f>
        <v/>
      </c>
    </row>
    <row r="563" customFormat="false" ht="15" hidden="false" customHeight="false" outlineLevel="0" collapsed="false">
      <c r="A563" s="13"/>
      <c r="B563" s="9"/>
      <c r="C563" s="9"/>
      <c r="D563" s="9"/>
      <c r="E563" s="9"/>
      <c r="F563" s="16" t="str">
        <f aca="false">IF(B563="","",IF(COUNTIFS('PM Plan'!$A$5:$A$304,B563,'PM Plan'!$B$5:$B$304,C563)&gt;0,"OK","No matching asset + task in plan"))</f>
        <v/>
      </c>
    </row>
    <row r="564" customFormat="false" ht="15" hidden="false" customHeight="false" outlineLevel="0" collapsed="false">
      <c r="A564" s="13"/>
      <c r="B564" s="9"/>
      <c r="C564" s="9"/>
      <c r="D564" s="9"/>
      <c r="E564" s="9"/>
      <c r="F564" s="16" t="str">
        <f aca="false">IF(B564="","",IF(COUNTIFS('PM Plan'!$A$5:$A$304,B564,'PM Plan'!$B$5:$B$304,C564)&gt;0,"OK","No matching asset + task in plan"))</f>
        <v/>
      </c>
    </row>
    <row r="565" customFormat="false" ht="15" hidden="false" customHeight="false" outlineLevel="0" collapsed="false">
      <c r="A565" s="13"/>
      <c r="B565" s="9"/>
      <c r="C565" s="9"/>
      <c r="D565" s="9"/>
      <c r="E565" s="9"/>
      <c r="F565" s="16" t="str">
        <f aca="false">IF(B565="","",IF(COUNTIFS('PM Plan'!$A$5:$A$304,B565,'PM Plan'!$B$5:$B$304,C565)&gt;0,"OK","No matching asset + task in plan"))</f>
        <v/>
      </c>
    </row>
    <row r="566" customFormat="false" ht="15" hidden="false" customHeight="false" outlineLevel="0" collapsed="false">
      <c r="A566" s="13"/>
      <c r="B566" s="9"/>
      <c r="C566" s="9"/>
      <c r="D566" s="9"/>
      <c r="E566" s="9"/>
      <c r="F566" s="16" t="str">
        <f aca="false">IF(B566="","",IF(COUNTIFS('PM Plan'!$A$5:$A$304,B566,'PM Plan'!$B$5:$B$304,C566)&gt;0,"OK","No matching asset + task in plan"))</f>
        <v/>
      </c>
    </row>
    <row r="567" customFormat="false" ht="15" hidden="false" customHeight="false" outlineLevel="0" collapsed="false">
      <c r="A567" s="13"/>
      <c r="B567" s="9"/>
      <c r="C567" s="9"/>
      <c r="D567" s="9"/>
      <c r="E567" s="9"/>
      <c r="F567" s="16" t="str">
        <f aca="false">IF(B567="","",IF(COUNTIFS('PM Plan'!$A$5:$A$304,B567,'PM Plan'!$B$5:$B$304,C567)&gt;0,"OK","No matching asset + task in plan"))</f>
        <v/>
      </c>
    </row>
    <row r="568" customFormat="false" ht="15" hidden="false" customHeight="false" outlineLevel="0" collapsed="false">
      <c r="A568" s="13"/>
      <c r="B568" s="9"/>
      <c r="C568" s="9"/>
      <c r="D568" s="9"/>
      <c r="E568" s="9"/>
      <c r="F568" s="16" t="str">
        <f aca="false">IF(B568="","",IF(COUNTIFS('PM Plan'!$A$5:$A$304,B568,'PM Plan'!$B$5:$B$304,C568)&gt;0,"OK","No matching asset + task in plan"))</f>
        <v/>
      </c>
    </row>
    <row r="569" customFormat="false" ht="15" hidden="false" customHeight="false" outlineLevel="0" collapsed="false">
      <c r="A569" s="13"/>
      <c r="B569" s="9"/>
      <c r="C569" s="9"/>
      <c r="D569" s="9"/>
      <c r="E569" s="9"/>
      <c r="F569" s="16" t="str">
        <f aca="false">IF(B569="","",IF(COUNTIFS('PM Plan'!$A$5:$A$304,B569,'PM Plan'!$B$5:$B$304,C569)&gt;0,"OK","No matching asset + task in plan"))</f>
        <v/>
      </c>
    </row>
    <row r="570" customFormat="false" ht="15" hidden="false" customHeight="false" outlineLevel="0" collapsed="false">
      <c r="A570" s="13"/>
      <c r="B570" s="9"/>
      <c r="C570" s="9"/>
      <c r="D570" s="9"/>
      <c r="E570" s="9"/>
      <c r="F570" s="16" t="str">
        <f aca="false">IF(B570="","",IF(COUNTIFS('PM Plan'!$A$5:$A$304,B570,'PM Plan'!$B$5:$B$304,C570)&gt;0,"OK","No matching asset + task in plan"))</f>
        <v/>
      </c>
    </row>
    <row r="571" customFormat="false" ht="15" hidden="false" customHeight="false" outlineLevel="0" collapsed="false">
      <c r="A571" s="13"/>
      <c r="B571" s="9"/>
      <c r="C571" s="9"/>
      <c r="D571" s="9"/>
      <c r="E571" s="9"/>
      <c r="F571" s="16" t="str">
        <f aca="false">IF(B571="","",IF(COUNTIFS('PM Plan'!$A$5:$A$304,B571,'PM Plan'!$B$5:$B$304,C571)&gt;0,"OK","No matching asset + task in plan"))</f>
        <v/>
      </c>
    </row>
    <row r="572" customFormat="false" ht="15" hidden="false" customHeight="false" outlineLevel="0" collapsed="false">
      <c r="A572" s="13"/>
      <c r="B572" s="9"/>
      <c r="C572" s="9"/>
      <c r="D572" s="9"/>
      <c r="E572" s="9"/>
      <c r="F572" s="16" t="str">
        <f aca="false">IF(B572="","",IF(COUNTIFS('PM Plan'!$A$5:$A$304,B572,'PM Plan'!$B$5:$B$304,C572)&gt;0,"OK","No matching asset + task in plan"))</f>
        <v/>
      </c>
    </row>
    <row r="573" customFormat="false" ht="15" hidden="false" customHeight="false" outlineLevel="0" collapsed="false">
      <c r="A573" s="13"/>
      <c r="B573" s="9"/>
      <c r="C573" s="9"/>
      <c r="D573" s="9"/>
      <c r="E573" s="9"/>
      <c r="F573" s="16" t="str">
        <f aca="false">IF(B573="","",IF(COUNTIFS('PM Plan'!$A$5:$A$304,B573,'PM Plan'!$B$5:$B$304,C573)&gt;0,"OK","No matching asset + task in plan"))</f>
        <v/>
      </c>
    </row>
    <row r="574" customFormat="false" ht="15" hidden="false" customHeight="false" outlineLevel="0" collapsed="false">
      <c r="A574" s="13"/>
      <c r="B574" s="9"/>
      <c r="C574" s="9"/>
      <c r="D574" s="9"/>
      <c r="E574" s="9"/>
      <c r="F574" s="16" t="str">
        <f aca="false">IF(B574="","",IF(COUNTIFS('PM Plan'!$A$5:$A$304,B574,'PM Plan'!$B$5:$B$304,C574)&gt;0,"OK","No matching asset + task in plan"))</f>
        <v/>
      </c>
    </row>
    <row r="575" customFormat="false" ht="15" hidden="false" customHeight="false" outlineLevel="0" collapsed="false">
      <c r="A575" s="13"/>
      <c r="B575" s="9"/>
      <c r="C575" s="9"/>
      <c r="D575" s="9"/>
      <c r="E575" s="9"/>
      <c r="F575" s="16" t="str">
        <f aca="false">IF(B575="","",IF(COUNTIFS('PM Plan'!$A$5:$A$304,B575,'PM Plan'!$B$5:$B$304,C575)&gt;0,"OK","No matching asset + task in plan"))</f>
        <v/>
      </c>
    </row>
    <row r="576" customFormat="false" ht="15" hidden="false" customHeight="false" outlineLevel="0" collapsed="false">
      <c r="A576" s="13"/>
      <c r="B576" s="9"/>
      <c r="C576" s="9"/>
      <c r="D576" s="9"/>
      <c r="E576" s="9"/>
      <c r="F576" s="16" t="str">
        <f aca="false">IF(B576="","",IF(COUNTIFS('PM Plan'!$A$5:$A$304,B576,'PM Plan'!$B$5:$B$304,C576)&gt;0,"OK","No matching asset + task in plan"))</f>
        <v/>
      </c>
    </row>
    <row r="577" customFormat="false" ht="15" hidden="false" customHeight="false" outlineLevel="0" collapsed="false">
      <c r="A577" s="13"/>
      <c r="B577" s="9"/>
      <c r="C577" s="9"/>
      <c r="D577" s="9"/>
      <c r="E577" s="9"/>
      <c r="F577" s="16" t="str">
        <f aca="false">IF(B577="","",IF(COUNTIFS('PM Plan'!$A$5:$A$304,B577,'PM Plan'!$B$5:$B$304,C577)&gt;0,"OK","No matching asset + task in plan"))</f>
        <v/>
      </c>
    </row>
    <row r="578" customFormat="false" ht="15" hidden="false" customHeight="false" outlineLevel="0" collapsed="false">
      <c r="A578" s="13"/>
      <c r="B578" s="9"/>
      <c r="C578" s="9"/>
      <c r="D578" s="9"/>
      <c r="E578" s="9"/>
      <c r="F578" s="16" t="str">
        <f aca="false">IF(B578="","",IF(COUNTIFS('PM Plan'!$A$5:$A$304,B578,'PM Plan'!$B$5:$B$304,C578)&gt;0,"OK","No matching asset + task in plan"))</f>
        <v/>
      </c>
    </row>
    <row r="579" customFormat="false" ht="15" hidden="false" customHeight="false" outlineLevel="0" collapsed="false">
      <c r="A579" s="13"/>
      <c r="B579" s="9"/>
      <c r="C579" s="9"/>
      <c r="D579" s="9"/>
      <c r="E579" s="9"/>
      <c r="F579" s="16" t="str">
        <f aca="false">IF(B579="","",IF(COUNTIFS('PM Plan'!$A$5:$A$304,B579,'PM Plan'!$B$5:$B$304,C579)&gt;0,"OK","No matching asset + task in plan"))</f>
        <v/>
      </c>
    </row>
    <row r="580" customFormat="false" ht="15" hidden="false" customHeight="false" outlineLevel="0" collapsed="false">
      <c r="A580" s="13"/>
      <c r="B580" s="9"/>
      <c r="C580" s="9"/>
      <c r="D580" s="9"/>
      <c r="E580" s="9"/>
      <c r="F580" s="16" t="str">
        <f aca="false">IF(B580="","",IF(COUNTIFS('PM Plan'!$A$5:$A$304,B580,'PM Plan'!$B$5:$B$304,C580)&gt;0,"OK","No matching asset + task in plan"))</f>
        <v/>
      </c>
    </row>
    <row r="581" customFormat="false" ht="15" hidden="false" customHeight="false" outlineLevel="0" collapsed="false">
      <c r="A581" s="13"/>
      <c r="B581" s="9"/>
      <c r="C581" s="9"/>
      <c r="D581" s="9"/>
      <c r="E581" s="9"/>
      <c r="F581" s="16" t="str">
        <f aca="false">IF(B581="","",IF(COUNTIFS('PM Plan'!$A$5:$A$304,B581,'PM Plan'!$B$5:$B$304,C581)&gt;0,"OK","No matching asset + task in plan"))</f>
        <v/>
      </c>
    </row>
    <row r="582" customFormat="false" ht="15" hidden="false" customHeight="false" outlineLevel="0" collapsed="false">
      <c r="A582" s="13"/>
      <c r="B582" s="9"/>
      <c r="C582" s="9"/>
      <c r="D582" s="9"/>
      <c r="E582" s="9"/>
      <c r="F582" s="16" t="str">
        <f aca="false">IF(B582="","",IF(COUNTIFS('PM Plan'!$A$5:$A$304,B582,'PM Plan'!$B$5:$B$304,C582)&gt;0,"OK","No matching asset + task in plan"))</f>
        <v/>
      </c>
    </row>
    <row r="583" customFormat="false" ht="15" hidden="false" customHeight="false" outlineLevel="0" collapsed="false">
      <c r="A583" s="13"/>
      <c r="B583" s="9"/>
      <c r="C583" s="9"/>
      <c r="D583" s="9"/>
      <c r="E583" s="9"/>
      <c r="F583" s="16" t="str">
        <f aca="false">IF(B583="","",IF(COUNTIFS('PM Plan'!$A$5:$A$304,B583,'PM Plan'!$B$5:$B$304,C583)&gt;0,"OK","No matching asset + task in plan"))</f>
        <v/>
      </c>
    </row>
    <row r="584" customFormat="false" ht="15" hidden="false" customHeight="false" outlineLevel="0" collapsed="false">
      <c r="A584" s="13"/>
      <c r="B584" s="9"/>
      <c r="C584" s="9"/>
      <c r="D584" s="9"/>
      <c r="E584" s="9"/>
      <c r="F584" s="16" t="str">
        <f aca="false">IF(B584="","",IF(COUNTIFS('PM Plan'!$A$5:$A$304,B584,'PM Plan'!$B$5:$B$304,C584)&gt;0,"OK","No matching asset + task in plan"))</f>
        <v/>
      </c>
    </row>
    <row r="585" customFormat="false" ht="15" hidden="false" customHeight="false" outlineLevel="0" collapsed="false">
      <c r="A585" s="13"/>
      <c r="B585" s="9"/>
      <c r="C585" s="9"/>
      <c r="D585" s="9"/>
      <c r="E585" s="9"/>
      <c r="F585" s="16" t="str">
        <f aca="false">IF(B585="","",IF(COUNTIFS('PM Plan'!$A$5:$A$304,B585,'PM Plan'!$B$5:$B$304,C585)&gt;0,"OK","No matching asset + task in plan"))</f>
        <v/>
      </c>
    </row>
    <row r="586" customFormat="false" ht="15" hidden="false" customHeight="false" outlineLevel="0" collapsed="false">
      <c r="A586" s="13"/>
      <c r="B586" s="9"/>
      <c r="C586" s="9"/>
      <c r="D586" s="9"/>
      <c r="E586" s="9"/>
      <c r="F586" s="16" t="str">
        <f aca="false">IF(B586="","",IF(COUNTIFS('PM Plan'!$A$5:$A$304,B586,'PM Plan'!$B$5:$B$304,C586)&gt;0,"OK","No matching asset + task in plan"))</f>
        <v/>
      </c>
    </row>
    <row r="587" customFormat="false" ht="15" hidden="false" customHeight="false" outlineLevel="0" collapsed="false">
      <c r="A587" s="13"/>
      <c r="B587" s="9"/>
      <c r="C587" s="9"/>
      <c r="D587" s="9"/>
      <c r="E587" s="9"/>
      <c r="F587" s="16" t="str">
        <f aca="false">IF(B587="","",IF(COUNTIFS('PM Plan'!$A$5:$A$304,B587,'PM Plan'!$B$5:$B$304,C587)&gt;0,"OK","No matching asset + task in plan"))</f>
        <v/>
      </c>
    </row>
    <row r="588" customFormat="false" ht="15" hidden="false" customHeight="false" outlineLevel="0" collapsed="false">
      <c r="A588" s="13"/>
      <c r="B588" s="9"/>
      <c r="C588" s="9"/>
      <c r="D588" s="9"/>
      <c r="E588" s="9"/>
      <c r="F588" s="16" t="str">
        <f aca="false">IF(B588="","",IF(COUNTIFS('PM Plan'!$A$5:$A$304,B588,'PM Plan'!$B$5:$B$304,C588)&gt;0,"OK","No matching asset + task in plan"))</f>
        <v/>
      </c>
    </row>
    <row r="589" customFormat="false" ht="15" hidden="false" customHeight="false" outlineLevel="0" collapsed="false">
      <c r="A589" s="13"/>
      <c r="B589" s="9"/>
      <c r="C589" s="9"/>
      <c r="D589" s="9"/>
      <c r="E589" s="9"/>
      <c r="F589" s="16" t="str">
        <f aca="false">IF(B589="","",IF(COUNTIFS('PM Plan'!$A$5:$A$304,B589,'PM Plan'!$B$5:$B$304,C589)&gt;0,"OK","No matching asset + task in plan"))</f>
        <v/>
      </c>
    </row>
    <row r="590" customFormat="false" ht="15" hidden="false" customHeight="false" outlineLevel="0" collapsed="false">
      <c r="A590" s="13"/>
      <c r="B590" s="9"/>
      <c r="C590" s="9"/>
      <c r="D590" s="9"/>
      <c r="E590" s="9"/>
      <c r="F590" s="16" t="str">
        <f aca="false">IF(B590="","",IF(COUNTIFS('PM Plan'!$A$5:$A$304,B590,'PM Plan'!$B$5:$B$304,C590)&gt;0,"OK","No matching asset + task in plan"))</f>
        <v/>
      </c>
    </row>
    <row r="591" customFormat="false" ht="15" hidden="false" customHeight="false" outlineLevel="0" collapsed="false">
      <c r="A591" s="13"/>
      <c r="B591" s="9"/>
      <c r="C591" s="9"/>
      <c r="D591" s="9"/>
      <c r="E591" s="9"/>
      <c r="F591" s="16" t="str">
        <f aca="false">IF(B591="","",IF(COUNTIFS('PM Plan'!$A$5:$A$304,B591,'PM Plan'!$B$5:$B$304,C591)&gt;0,"OK","No matching asset + task in plan"))</f>
        <v/>
      </c>
    </row>
    <row r="592" customFormat="false" ht="15" hidden="false" customHeight="false" outlineLevel="0" collapsed="false">
      <c r="A592" s="13"/>
      <c r="B592" s="9"/>
      <c r="C592" s="9"/>
      <c r="D592" s="9"/>
      <c r="E592" s="9"/>
      <c r="F592" s="16" t="str">
        <f aca="false">IF(B592="","",IF(COUNTIFS('PM Plan'!$A$5:$A$304,B592,'PM Plan'!$B$5:$B$304,C592)&gt;0,"OK","No matching asset + task in plan"))</f>
        <v/>
      </c>
    </row>
    <row r="593" customFormat="false" ht="15" hidden="false" customHeight="false" outlineLevel="0" collapsed="false">
      <c r="A593" s="13"/>
      <c r="B593" s="9"/>
      <c r="C593" s="9"/>
      <c r="D593" s="9"/>
      <c r="E593" s="9"/>
      <c r="F593" s="16" t="str">
        <f aca="false">IF(B593="","",IF(COUNTIFS('PM Plan'!$A$5:$A$304,B593,'PM Plan'!$B$5:$B$304,C593)&gt;0,"OK","No matching asset + task in plan"))</f>
        <v/>
      </c>
    </row>
    <row r="594" customFormat="false" ht="15" hidden="false" customHeight="false" outlineLevel="0" collapsed="false">
      <c r="A594" s="13"/>
      <c r="B594" s="9"/>
      <c r="C594" s="9"/>
      <c r="D594" s="9"/>
      <c r="E594" s="9"/>
      <c r="F594" s="16" t="str">
        <f aca="false">IF(B594="","",IF(COUNTIFS('PM Plan'!$A$5:$A$304,B594,'PM Plan'!$B$5:$B$304,C594)&gt;0,"OK","No matching asset + task in plan"))</f>
        <v/>
      </c>
    </row>
    <row r="595" customFormat="false" ht="15" hidden="false" customHeight="false" outlineLevel="0" collapsed="false">
      <c r="A595" s="13"/>
      <c r="B595" s="9"/>
      <c r="C595" s="9"/>
      <c r="D595" s="9"/>
      <c r="E595" s="9"/>
      <c r="F595" s="16" t="str">
        <f aca="false">IF(B595="","",IF(COUNTIFS('PM Plan'!$A$5:$A$304,B595,'PM Plan'!$B$5:$B$304,C595)&gt;0,"OK","No matching asset + task in plan"))</f>
        <v/>
      </c>
    </row>
    <row r="596" customFormat="false" ht="15" hidden="false" customHeight="false" outlineLevel="0" collapsed="false">
      <c r="A596" s="13"/>
      <c r="B596" s="9"/>
      <c r="C596" s="9"/>
      <c r="D596" s="9"/>
      <c r="E596" s="9"/>
      <c r="F596" s="16" t="str">
        <f aca="false">IF(B596="","",IF(COUNTIFS('PM Plan'!$A$5:$A$304,B596,'PM Plan'!$B$5:$B$304,C596)&gt;0,"OK","No matching asset + task in plan"))</f>
        <v/>
      </c>
    </row>
    <row r="597" customFormat="false" ht="15" hidden="false" customHeight="false" outlineLevel="0" collapsed="false">
      <c r="A597" s="13"/>
      <c r="B597" s="9"/>
      <c r="C597" s="9"/>
      <c r="D597" s="9"/>
      <c r="E597" s="9"/>
      <c r="F597" s="16" t="str">
        <f aca="false">IF(B597="","",IF(COUNTIFS('PM Plan'!$A$5:$A$304,B597,'PM Plan'!$B$5:$B$304,C597)&gt;0,"OK","No matching asset + task in plan"))</f>
        <v/>
      </c>
    </row>
    <row r="598" customFormat="false" ht="15" hidden="false" customHeight="false" outlineLevel="0" collapsed="false">
      <c r="A598" s="13"/>
      <c r="B598" s="9"/>
      <c r="C598" s="9"/>
      <c r="D598" s="9"/>
      <c r="E598" s="9"/>
      <c r="F598" s="16" t="str">
        <f aca="false">IF(B598="","",IF(COUNTIFS('PM Plan'!$A$5:$A$304,B598,'PM Plan'!$B$5:$B$304,C598)&gt;0,"OK","No matching asset + task in plan"))</f>
        <v/>
      </c>
    </row>
    <row r="599" customFormat="false" ht="15" hidden="false" customHeight="false" outlineLevel="0" collapsed="false">
      <c r="A599" s="13"/>
      <c r="B599" s="9"/>
      <c r="C599" s="9"/>
      <c r="D599" s="9"/>
      <c r="E599" s="9"/>
      <c r="F599" s="16" t="str">
        <f aca="false">IF(B599="","",IF(COUNTIFS('PM Plan'!$A$5:$A$304,B599,'PM Plan'!$B$5:$B$304,C599)&gt;0,"OK","No matching asset + task in plan"))</f>
        <v/>
      </c>
    </row>
    <row r="600" customFormat="false" ht="15" hidden="false" customHeight="false" outlineLevel="0" collapsed="false">
      <c r="A600" s="13"/>
      <c r="B600" s="9"/>
      <c r="C600" s="9"/>
      <c r="D600" s="9"/>
      <c r="E600" s="9"/>
      <c r="F600" s="16" t="str">
        <f aca="false">IF(B600="","",IF(COUNTIFS('PM Plan'!$A$5:$A$304,B600,'PM Plan'!$B$5:$B$304,C600)&gt;0,"OK","No matching asset + task in plan"))</f>
        <v/>
      </c>
    </row>
    <row r="601" customFormat="false" ht="15" hidden="false" customHeight="false" outlineLevel="0" collapsed="false">
      <c r="A601" s="13"/>
      <c r="B601" s="9"/>
      <c r="C601" s="9"/>
      <c r="D601" s="9"/>
      <c r="E601" s="9"/>
      <c r="F601" s="16" t="str">
        <f aca="false">IF(B601="","",IF(COUNTIFS('PM Plan'!$A$5:$A$304,B601,'PM Plan'!$B$5:$B$304,C601)&gt;0,"OK","No matching asset + task in plan"))</f>
        <v/>
      </c>
    </row>
    <row r="602" customFormat="false" ht="15" hidden="false" customHeight="false" outlineLevel="0" collapsed="false">
      <c r="A602" s="13"/>
      <c r="B602" s="9"/>
      <c r="C602" s="9"/>
      <c r="D602" s="9"/>
      <c r="E602" s="9"/>
      <c r="F602" s="16" t="str">
        <f aca="false">IF(B602="","",IF(COUNTIFS('PM Plan'!$A$5:$A$304,B602,'PM Plan'!$B$5:$B$304,C602)&gt;0,"OK","No matching asset + task in plan"))</f>
        <v/>
      </c>
    </row>
    <row r="603" customFormat="false" ht="15" hidden="false" customHeight="false" outlineLevel="0" collapsed="false">
      <c r="A603" s="13"/>
      <c r="B603" s="9"/>
      <c r="C603" s="9"/>
      <c r="D603" s="9"/>
      <c r="E603" s="9"/>
      <c r="F603" s="16" t="str">
        <f aca="false">IF(B603="","",IF(COUNTIFS('PM Plan'!$A$5:$A$304,B603,'PM Plan'!$B$5:$B$304,C603)&gt;0,"OK","No matching asset + task in plan"))</f>
        <v/>
      </c>
    </row>
    <row r="604" customFormat="false" ht="15" hidden="false" customHeight="false" outlineLevel="0" collapsed="false">
      <c r="A604" s="13"/>
      <c r="B604" s="9"/>
      <c r="C604" s="9"/>
      <c r="D604" s="9"/>
      <c r="E604" s="9"/>
      <c r="F604" s="16" t="str">
        <f aca="false">IF(B604="","",IF(COUNTIFS('PM Plan'!$A$5:$A$304,B604,'PM Plan'!$B$5:$B$304,C604)&gt;0,"OK","No matching asset + task in plan"))</f>
        <v/>
      </c>
    </row>
    <row r="605" customFormat="false" ht="15" hidden="false" customHeight="false" outlineLevel="0" collapsed="false">
      <c r="A605" s="13"/>
      <c r="B605" s="9"/>
      <c r="C605" s="9"/>
      <c r="D605" s="9"/>
      <c r="E605" s="9"/>
      <c r="F605" s="16" t="str">
        <f aca="false">IF(B605="","",IF(COUNTIFS('PM Plan'!$A$5:$A$304,B605,'PM Plan'!$B$5:$B$304,C605)&gt;0,"OK","No matching asset + task in plan"))</f>
        <v/>
      </c>
    </row>
    <row r="606" customFormat="false" ht="15" hidden="false" customHeight="false" outlineLevel="0" collapsed="false">
      <c r="A606" s="13"/>
      <c r="B606" s="9"/>
      <c r="C606" s="9"/>
      <c r="D606" s="9"/>
      <c r="E606" s="9"/>
      <c r="F606" s="16" t="str">
        <f aca="false">IF(B606="","",IF(COUNTIFS('PM Plan'!$A$5:$A$304,B606,'PM Plan'!$B$5:$B$304,C606)&gt;0,"OK","No matching asset + task in plan"))</f>
        <v/>
      </c>
    </row>
    <row r="607" customFormat="false" ht="15" hidden="false" customHeight="false" outlineLevel="0" collapsed="false">
      <c r="A607" s="13"/>
      <c r="B607" s="9"/>
      <c r="C607" s="9"/>
      <c r="D607" s="9"/>
      <c r="E607" s="9"/>
      <c r="F607" s="16" t="str">
        <f aca="false">IF(B607="","",IF(COUNTIFS('PM Plan'!$A$5:$A$304,B607,'PM Plan'!$B$5:$B$304,C607)&gt;0,"OK","No matching asset + task in plan"))</f>
        <v/>
      </c>
    </row>
    <row r="608" customFormat="false" ht="15" hidden="false" customHeight="false" outlineLevel="0" collapsed="false">
      <c r="A608" s="13"/>
      <c r="B608" s="9"/>
      <c r="C608" s="9"/>
      <c r="D608" s="9"/>
      <c r="E608" s="9"/>
      <c r="F608" s="16" t="str">
        <f aca="false">IF(B608="","",IF(COUNTIFS('PM Plan'!$A$5:$A$304,B608,'PM Plan'!$B$5:$B$304,C608)&gt;0,"OK","No matching asset + task in plan"))</f>
        <v/>
      </c>
    </row>
    <row r="609" customFormat="false" ht="15" hidden="false" customHeight="false" outlineLevel="0" collapsed="false">
      <c r="A609" s="13"/>
      <c r="B609" s="9"/>
      <c r="C609" s="9"/>
      <c r="D609" s="9"/>
      <c r="E609" s="9"/>
      <c r="F609" s="16" t="str">
        <f aca="false">IF(B609="","",IF(COUNTIFS('PM Plan'!$A$5:$A$304,B609,'PM Plan'!$B$5:$B$304,C609)&gt;0,"OK","No matching asset + task in plan"))</f>
        <v/>
      </c>
    </row>
    <row r="610" customFormat="false" ht="15" hidden="false" customHeight="false" outlineLevel="0" collapsed="false">
      <c r="A610" s="13"/>
      <c r="B610" s="9"/>
      <c r="C610" s="9"/>
      <c r="D610" s="9"/>
      <c r="E610" s="9"/>
      <c r="F610" s="16" t="str">
        <f aca="false">IF(B610="","",IF(COUNTIFS('PM Plan'!$A$5:$A$304,B610,'PM Plan'!$B$5:$B$304,C610)&gt;0,"OK","No matching asset + task in plan"))</f>
        <v/>
      </c>
    </row>
    <row r="611" customFormat="false" ht="15" hidden="false" customHeight="false" outlineLevel="0" collapsed="false">
      <c r="A611" s="13"/>
      <c r="B611" s="9"/>
      <c r="C611" s="9"/>
      <c r="D611" s="9"/>
      <c r="E611" s="9"/>
      <c r="F611" s="16" t="str">
        <f aca="false">IF(B611="","",IF(COUNTIFS('PM Plan'!$A$5:$A$304,B611,'PM Plan'!$B$5:$B$304,C611)&gt;0,"OK","No matching asset + task in plan"))</f>
        <v/>
      </c>
    </row>
    <row r="612" customFormat="false" ht="15" hidden="false" customHeight="false" outlineLevel="0" collapsed="false">
      <c r="A612" s="13"/>
      <c r="B612" s="9"/>
      <c r="C612" s="9"/>
      <c r="D612" s="9"/>
      <c r="E612" s="9"/>
      <c r="F612" s="16" t="str">
        <f aca="false">IF(B612="","",IF(COUNTIFS('PM Plan'!$A$5:$A$304,B612,'PM Plan'!$B$5:$B$304,C612)&gt;0,"OK","No matching asset + task in plan"))</f>
        <v/>
      </c>
    </row>
    <row r="613" customFormat="false" ht="15" hidden="false" customHeight="false" outlineLevel="0" collapsed="false">
      <c r="A613" s="13"/>
      <c r="B613" s="9"/>
      <c r="C613" s="9"/>
      <c r="D613" s="9"/>
      <c r="E613" s="9"/>
      <c r="F613" s="16" t="str">
        <f aca="false">IF(B613="","",IF(COUNTIFS('PM Plan'!$A$5:$A$304,B613,'PM Plan'!$B$5:$B$304,C613)&gt;0,"OK","No matching asset + task in plan"))</f>
        <v/>
      </c>
    </row>
    <row r="614" customFormat="false" ht="15" hidden="false" customHeight="false" outlineLevel="0" collapsed="false">
      <c r="A614" s="13"/>
      <c r="B614" s="9"/>
      <c r="C614" s="9"/>
      <c r="D614" s="9"/>
      <c r="E614" s="9"/>
      <c r="F614" s="16" t="str">
        <f aca="false">IF(B614="","",IF(COUNTIFS('PM Plan'!$A$5:$A$304,B614,'PM Plan'!$B$5:$B$304,C614)&gt;0,"OK","No matching asset + task in plan"))</f>
        <v/>
      </c>
    </row>
    <row r="615" customFormat="false" ht="15" hidden="false" customHeight="false" outlineLevel="0" collapsed="false">
      <c r="A615" s="13"/>
      <c r="B615" s="9"/>
      <c r="C615" s="9"/>
      <c r="D615" s="9"/>
      <c r="E615" s="9"/>
      <c r="F615" s="16" t="str">
        <f aca="false">IF(B615="","",IF(COUNTIFS('PM Plan'!$A$5:$A$304,B615,'PM Plan'!$B$5:$B$304,C615)&gt;0,"OK","No matching asset + task in plan"))</f>
        <v/>
      </c>
    </row>
    <row r="616" customFormat="false" ht="15" hidden="false" customHeight="false" outlineLevel="0" collapsed="false">
      <c r="A616" s="13"/>
      <c r="B616" s="9"/>
      <c r="C616" s="9"/>
      <c r="D616" s="9"/>
      <c r="E616" s="9"/>
      <c r="F616" s="16" t="str">
        <f aca="false">IF(B616="","",IF(COUNTIFS('PM Plan'!$A$5:$A$304,B616,'PM Plan'!$B$5:$B$304,C616)&gt;0,"OK","No matching asset + task in plan"))</f>
        <v/>
      </c>
    </row>
    <row r="617" customFormat="false" ht="15" hidden="false" customHeight="false" outlineLevel="0" collapsed="false">
      <c r="A617" s="13"/>
      <c r="B617" s="9"/>
      <c r="C617" s="9"/>
      <c r="D617" s="9"/>
      <c r="E617" s="9"/>
      <c r="F617" s="16" t="str">
        <f aca="false">IF(B617="","",IF(COUNTIFS('PM Plan'!$A$5:$A$304,B617,'PM Plan'!$B$5:$B$304,C617)&gt;0,"OK","No matching asset + task in plan"))</f>
        <v/>
      </c>
    </row>
    <row r="618" customFormat="false" ht="15" hidden="false" customHeight="false" outlineLevel="0" collapsed="false">
      <c r="A618" s="13"/>
      <c r="B618" s="9"/>
      <c r="C618" s="9"/>
      <c r="D618" s="9"/>
      <c r="E618" s="9"/>
      <c r="F618" s="16" t="str">
        <f aca="false">IF(B618="","",IF(COUNTIFS('PM Plan'!$A$5:$A$304,B618,'PM Plan'!$B$5:$B$304,C618)&gt;0,"OK","No matching asset + task in plan"))</f>
        <v/>
      </c>
    </row>
    <row r="619" customFormat="false" ht="15" hidden="false" customHeight="false" outlineLevel="0" collapsed="false">
      <c r="A619" s="13"/>
      <c r="B619" s="9"/>
      <c r="C619" s="9"/>
      <c r="D619" s="9"/>
      <c r="E619" s="9"/>
      <c r="F619" s="16" t="str">
        <f aca="false">IF(B619="","",IF(COUNTIFS('PM Plan'!$A$5:$A$304,B619,'PM Plan'!$B$5:$B$304,C619)&gt;0,"OK","No matching asset + task in plan"))</f>
        <v/>
      </c>
    </row>
    <row r="620" customFormat="false" ht="15" hidden="false" customHeight="false" outlineLevel="0" collapsed="false">
      <c r="A620" s="13"/>
      <c r="B620" s="9"/>
      <c r="C620" s="9"/>
      <c r="D620" s="9"/>
      <c r="E620" s="9"/>
      <c r="F620" s="16" t="str">
        <f aca="false">IF(B620="","",IF(COUNTIFS('PM Plan'!$A$5:$A$304,B620,'PM Plan'!$B$5:$B$304,C620)&gt;0,"OK","No matching asset + task in plan"))</f>
        <v/>
      </c>
    </row>
    <row r="621" customFormat="false" ht="15" hidden="false" customHeight="false" outlineLevel="0" collapsed="false">
      <c r="A621" s="13"/>
      <c r="B621" s="9"/>
      <c r="C621" s="9"/>
      <c r="D621" s="9"/>
      <c r="E621" s="9"/>
      <c r="F621" s="16" t="str">
        <f aca="false">IF(B621="","",IF(COUNTIFS('PM Plan'!$A$5:$A$304,B621,'PM Plan'!$B$5:$B$304,C621)&gt;0,"OK","No matching asset + task in plan"))</f>
        <v/>
      </c>
    </row>
    <row r="622" customFormat="false" ht="15" hidden="false" customHeight="false" outlineLevel="0" collapsed="false">
      <c r="A622" s="13"/>
      <c r="B622" s="9"/>
      <c r="C622" s="9"/>
      <c r="D622" s="9"/>
      <c r="E622" s="9"/>
      <c r="F622" s="16" t="str">
        <f aca="false">IF(B622="","",IF(COUNTIFS('PM Plan'!$A$5:$A$304,B622,'PM Plan'!$B$5:$B$304,C622)&gt;0,"OK","No matching asset + task in plan"))</f>
        <v/>
      </c>
    </row>
    <row r="623" customFormat="false" ht="15" hidden="false" customHeight="false" outlineLevel="0" collapsed="false">
      <c r="A623" s="13"/>
      <c r="B623" s="9"/>
      <c r="C623" s="9"/>
      <c r="D623" s="9"/>
      <c r="E623" s="9"/>
      <c r="F623" s="16" t="str">
        <f aca="false">IF(B623="","",IF(COUNTIFS('PM Plan'!$A$5:$A$304,B623,'PM Plan'!$B$5:$B$304,C623)&gt;0,"OK","No matching asset + task in plan"))</f>
        <v/>
      </c>
    </row>
    <row r="624" customFormat="false" ht="15" hidden="false" customHeight="false" outlineLevel="0" collapsed="false">
      <c r="A624" s="13"/>
      <c r="B624" s="9"/>
      <c r="C624" s="9"/>
      <c r="D624" s="9"/>
      <c r="E624" s="9"/>
      <c r="F624" s="16" t="str">
        <f aca="false">IF(B624="","",IF(COUNTIFS('PM Plan'!$A$5:$A$304,B624,'PM Plan'!$B$5:$B$304,C624)&gt;0,"OK","No matching asset + task in plan"))</f>
        <v/>
      </c>
    </row>
    <row r="625" customFormat="false" ht="15" hidden="false" customHeight="false" outlineLevel="0" collapsed="false">
      <c r="A625" s="13"/>
      <c r="B625" s="9"/>
      <c r="C625" s="9"/>
      <c r="D625" s="9"/>
      <c r="E625" s="9"/>
      <c r="F625" s="16" t="str">
        <f aca="false">IF(B625="","",IF(COUNTIFS('PM Plan'!$A$5:$A$304,B625,'PM Plan'!$B$5:$B$304,C625)&gt;0,"OK","No matching asset + task in plan"))</f>
        <v/>
      </c>
    </row>
    <row r="626" customFormat="false" ht="15" hidden="false" customHeight="false" outlineLevel="0" collapsed="false">
      <c r="A626" s="13"/>
      <c r="B626" s="9"/>
      <c r="C626" s="9"/>
      <c r="D626" s="9"/>
      <c r="E626" s="9"/>
      <c r="F626" s="16" t="str">
        <f aca="false">IF(B626="","",IF(COUNTIFS('PM Plan'!$A$5:$A$304,B626,'PM Plan'!$B$5:$B$304,C626)&gt;0,"OK","No matching asset + task in plan"))</f>
        <v/>
      </c>
    </row>
    <row r="627" customFormat="false" ht="15" hidden="false" customHeight="false" outlineLevel="0" collapsed="false">
      <c r="A627" s="13"/>
      <c r="B627" s="9"/>
      <c r="C627" s="9"/>
      <c r="D627" s="9"/>
      <c r="E627" s="9"/>
      <c r="F627" s="16" t="str">
        <f aca="false">IF(B627="","",IF(COUNTIFS('PM Plan'!$A$5:$A$304,B627,'PM Plan'!$B$5:$B$304,C627)&gt;0,"OK","No matching asset + task in plan"))</f>
        <v/>
      </c>
    </row>
    <row r="628" customFormat="false" ht="15" hidden="false" customHeight="false" outlineLevel="0" collapsed="false">
      <c r="A628" s="13"/>
      <c r="B628" s="9"/>
      <c r="C628" s="9"/>
      <c r="D628" s="9"/>
      <c r="E628" s="9"/>
      <c r="F628" s="16" t="str">
        <f aca="false">IF(B628="","",IF(COUNTIFS('PM Plan'!$A$5:$A$304,B628,'PM Plan'!$B$5:$B$304,C628)&gt;0,"OK","No matching asset + task in plan"))</f>
        <v/>
      </c>
    </row>
    <row r="629" customFormat="false" ht="15" hidden="false" customHeight="false" outlineLevel="0" collapsed="false">
      <c r="A629" s="13"/>
      <c r="B629" s="9"/>
      <c r="C629" s="9"/>
      <c r="D629" s="9"/>
      <c r="E629" s="9"/>
      <c r="F629" s="16" t="str">
        <f aca="false">IF(B629="","",IF(COUNTIFS('PM Plan'!$A$5:$A$304,B629,'PM Plan'!$B$5:$B$304,C629)&gt;0,"OK","No matching asset + task in plan"))</f>
        <v/>
      </c>
    </row>
    <row r="630" customFormat="false" ht="15" hidden="false" customHeight="false" outlineLevel="0" collapsed="false">
      <c r="A630" s="13"/>
      <c r="B630" s="9"/>
      <c r="C630" s="9"/>
      <c r="D630" s="9"/>
      <c r="E630" s="9"/>
      <c r="F630" s="16" t="str">
        <f aca="false">IF(B630="","",IF(COUNTIFS('PM Plan'!$A$5:$A$304,B630,'PM Plan'!$B$5:$B$304,C630)&gt;0,"OK","No matching asset + task in plan"))</f>
        <v/>
      </c>
    </row>
    <row r="631" customFormat="false" ht="15" hidden="false" customHeight="false" outlineLevel="0" collapsed="false">
      <c r="A631" s="13"/>
      <c r="B631" s="9"/>
      <c r="C631" s="9"/>
      <c r="D631" s="9"/>
      <c r="E631" s="9"/>
      <c r="F631" s="16" t="str">
        <f aca="false">IF(B631="","",IF(COUNTIFS('PM Plan'!$A$5:$A$304,B631,'PM Plan'!$B$5:$B$304,C631)&gt;0,"OK","No matching asset + task in plan"))</f>
        <v/>
      </c>
    </row>
    <row r="632" customFormat="false" ht="15" hidden="false" customHeight="false" outlineLevel="0" collapsed="false">
      <c r="A632" s="13"/>
      <c r="B632" s="9"/>
      <c r="C632" s="9"/>
      <c r="D632" s="9"/>
      <c r="E632" s="9"/>
      <c r="F632" s="16" t="str">
        <f aca="false">IF(B632="","",IF(COUNTIFS('PM Plan'!$A$5:$A$304,B632,'PM Plan'!$B$5:$B$304,C632)&gt;0,"OK","No matching asset + task in plan"))</f>
        <v/>
      </c>
    </row>
    <row r="633" customFormat="false" ht="15" hidden="false" customHeight="false" outlineLevel="0" collapsed="false">
      <c r="A633" s="13"/>
      <c r="B633" s="9"/>
      <c r="C633" s="9"/>
      <c r="D633" s="9"/>
      <c r="E633" s="9"/>
      <c r="F633" s="16" t="str">
        <f aca="false">IF(B633="","",IF(COUNTIFS('PM Plan'!$A$5:$A$304,B633,'PM Plan'!$B$5:$B$304,C633)&gt;0,"OK","No matching asset + task in plan"))</f>
        <v/>
      </c>
    </row>
    <row r="634" customFormat="false" ht="15" hidden="false" customHeight="false" outlineLevel="0" collapsed="false">
      <c r="A634" s="13"/>
      <c r="B634" s="9"/>
      <c r="C634" s="9"/>
      <c r="D634" s="9"/>
      <c r="E634" s="9"/>
      <c r="F634" s="16" t="str">
        <f aca="false">IF(B634="","",IF(COUNTIFS('PM Plan'!$A$5:$A$304,B634,'PM Plan'!$B$5:$B$304,C634)&gt;0,"OK","No matching asset + task in plan"))</f>
        <v/>
      </c>
    </row>
    <row r="635" customFormat="false" ht="15" hidden="false" customHeight="false" outlineLevel="0" collapsed="false">
      <c r="A635" s="13"/>
      <c r="B635" s="9"/>
      <c r="C635" s="9"/>
      <c r="D635" s="9"/>
      <c r="E635" s="9"/>
      <c r="F635" s="16" t="str">
        <f aca="false">IF(B635="","",IF(COUNTIFS('PM Plan'!$A$5:$A$304,B635,'PM Plan'!$B$5:$B$304,C635)&gt;0,"OK","No matching asset + task in plan"))</f>
        <v/>
      </c>
    </row>
    <row r="636" customFormat="false" ht="15" hidden="false" customHeight="false" outlineLevel="0" collapsed="false">
      <c r="A636" s="13"/>
      <c r="B636" s="9"/>
      <c r="C636" s="9"/>
      <c r="D636" s="9"/>
      <c r="E636" s="9"/>
      <c r="F636" s="16" t="str">
        <f aca="false">IF(B636="","",IF(COUNTIFS('PM Plan'!$A$5:$A$304,B636,'PM Plan'!$B$5:$B$304,C636)&gt;0,"OK","No matching asset + task in plan"))</f>
        <v/>
      </c>
    </row>
    <row r="637" customFormat="false" ht="15" hidden="false" customHeight="false" outlineLevel="0" collapsed="false">
      <c r="A637" s="13"/>
      <c r="B637" s="9"/>
      <c r="C637" s="9"/>
      <c r="D637" s="9"/>
      <c r="E637" s="9"/>
      <c r="F637" s="16" t="str">
        <f aca="false">IF(B637="","",IF(COUNTIFS('PM Plan'!$A$5:$A$304,B637,'PM Plan'!$B$5:$B$304,C637)&gt;0,"OK","No matching asset + task in plan"))</f>
        <v/>
      </c>
    </row>
    <row r="638" customFormat="false" ht="15" hidden="false" customHeight="false" outlineLevel="0" collapsed="false">
      <c r="A638" s="13"/>
      <c r="B638" s="9"/>
      <c r="C638" s="9"/>
      <c r="D638" s="9"/>
      <c r="E638" s="9"/>
      <c r="F638" s="16" t="str">
        <f aca="false">IF(B638="","",IF(COUNTIFS('PM Plan'!$A$5:$A$304,B638,'PM Plan'!$B$5:$B$304,C638)&gt;0,"OK","No matching asset + task in plan"))</f>
        <v/>
      </c>
    </row>
    <row r="639" customFormat="false" ht="15" hidden="false" customHeight="false" outlineLevel="0" collapsed="false">
      <c r="A639" s="13"/>
      <c r="B639" s="9"/>
      <c r="C639" s="9"/>
      <c r="D639" s="9"/>
      <c r="E639" s="9"/>
      <c r="F639" s="16" t="str">
        <f aca="false">IF(B639="","",IF(COUNTIFS('PM Plan'!$A$5:$A$304,B639,'PM Plan'!$B$5:$B$304,C639)&gt;0,"OK","No matching asset + task in plan"))</f>
        <v/>
      </c>
    </row>
    <row r="640" customFormat="false" ht="15" hidden="false" customHeight="false" outlineLevel="0" collapsed="false">
      <c r="A640" s="13"/>
      <c r="B640" s="9"/>
      <c r="C640" s="9"/>
      <c r="D640" s="9"/>
      <c r="E640" s="9"/>
      <c r="F640" s="16" t="str">
        <f aca="false">IF(B640="","",IF(COUNTIFS('PM Plan'!$A$5:$A$304,B640,'PM Plan'!$B$5:$B$304,C640)&gt;0,"OK","No matching asset + task in plan"))</f>
        <v/>
      </c>
    </row>
    <row r="641" customFormat="false" ht="15" hidden="false" customHeight="false" outlineLevel="0" collapsed="false">
      <c r="A641" s="13"/>
      <c r="B641" s="9"/>
      <c r="C641" s="9"/>
      <c r="D641" s="9"/>
      <c r="E641" s="9"/>
      <c r="F641" s="16" t="str">
        <f aca="false">IF(B641="","",IF(COUNTIFS('PM Plan'!$A$5:$A$304,B641,'PM Plan'!$B$5:$B$304,C641)&gt;0,"OK","No matching asset + task in plan"))</f>
        <v/>
      </c>
    </row>
    <row r="642" customFormat="false" ht="15" hidden="false" customHeight="false" outlineLevel="0" collapsed="false">
      <c r="A642" s="13"/>
      <c r="B642" s="9"/>
      <c r="C642" s="9"/>
      <c r="D642" s="9"/>
      <c r="E642" s="9"/>
      <c r="F642" s="16" t="str">
        <f aca="false">IF(B642="","",IF(COUNTIFS('PM Plan'!$A$5:$A$304,B642,'PM Plan'!$B$5:$B$304,C642)&gt;0,"OK","No matching asset + task in plan"))</f>
        <v/>
      </c>
    </row>
    <row r="643" customFormat="false" ht="15" hidden="false" customHeight="false" outlineLevel="0" collapsed="false">
      <c r="A643" s="13"/>
      <c r="B643" s="9"/>
      <c r="C643" s="9"/>
      <c r="D643" s="9"/>
      <c r="E643" s="9"/>
      <c r="F643" s="16" t="str">
        <f aca="false">IF(B643="","",IF(COUNTIFS('PM Plan'!$A$5:$A$304,B643,'PM Plan'!$B$5:$B$304,C643)&gt;0,"OK","No matching asset + task in plan"))</f>
        <v/>
      </c>
    </row>
    <row r="644" customFormat="false" ht="15" hidden="false" customHeight="false" outlineLevel="0" collapsed="false">
      <c r="A644" s="13"/>
      <c r="B644" s="9"/>
      <c r="C644" s="9"/>
      <c r="D644" s="9"/>
      <c r="E644" s="9"/>
      <c r="F644" s="16" t="str">
        <f aca="false">IF(B644="","",IF(COUNTIFS('PM Plan'!$A$5:$A$304,B644,'PM Plan'!$B$5:$B$304,C644)&gt;0,"OK","No matching asset + task in plan"))</f>
        <v/>
      </c>
    </row>
    <row r="645" customFormat="false" ht="15" hidden="false" customHeight="false" outlineLevel="0" collapsed="false">
      <c r="A645" s="13"/>
      <c r="B645" s="9"/>
      <c r="C645" s="9"/>
      <c r="D645" s="9"/>
      <c r="E645" s="9"/>
      <c r="F645" s="16" t="str">
        <f aca="false">IF(B645="","",IF(COUNTIFS('PM Plan'!$A$5:$A$304,B645,'PM Plan'!$B$5:$B$304,C645)&gt;0,"OK","No matching asset + task in plan"))</f>
        <v/>
      </c>
    </row>
    <row r="646" customFormat="false" ht="15" hidden="false" customHeight="false" outlineLevel="0" collapsed="false">
      <c r="A646" s="13"/>
      <c r="B646" s="9"/>
      <c r="C646" s="9"/>
      <c r="D646" s="9"/>
      <c r="E646" s="9"/>
      <c r="F646" s="16" t="str">
        <f aca="false">IF(B646="","",IF(COUNTIFS('PM Plan'!$A$5:$A$304,B646,'PM Plan'!$B$5:$B$304,C646)&gt;0,"OK","No matching asset + task in plan"))</f>
        <v/>
      </c>
    </row>
    <row r="647" customFormat="false" ht="15" hidden="false" customHeight="false" outlineLevel="0" collapsed="false">
      <c r="A647" s="13"/>
      <c r="B647" s="9"/>
      <c r="C647" s="9"/>
      <c r="D647" s="9"/>
      <c r="E647" s="9"/>
      <c r="F647" s="16" t="str">
        <f aca="false">IF(B647="","",IF(COUNTIFS('PM Plan'!$A$5:$A$304,B647,'PM Plan'!$B$5:$B$304,C647)&gt;0,"OK","No matching asset + task in plan"))</f>
        <v/>
      </c>
    </row>
    <row r="648" customFormat="false" ht="15" hidden="false" customHeight="false" outlineLevel="0" collapsed="false">
      <c r="A648" s="13"/>
      <c r="B648" s="9"/>
      <c r="C648" s="9"/>
      <c r="D648" s="9"/>
      <c r="E648" s="9"/>
      <c r="F648" s="16" t="str">
        <f aca="false">IF(B648="","",IF(COUNTIFS('PM Plan'!$A$5:$A$304,B648,'PM Plan'!$B$5:$B$304,C648)&gt;0,"OK","No matching asset + task in plan"))</f>
        <v/>
      </c>
    </row>
    <row r="649" customFormat="false" ht="15" hidden="false" customHeight="false" outlineLevel="0" collapsed="false">
      <c r="A649" s="13"/>
      <c r="B649" s="9"/>
      <c r="C649" s="9"/>
      <c r="D649" s="9"/>
      <c r="E649" s="9"/>
      <c r="F649" s="16" t="str">
        <f aca="false">IF(B649="","",IF(COUNTIFS('PM Plan'!$A$5:$A$304,B649,'PM Plan'!$B$5:$B$304,C649)&gt;0,"OK","No matching asset + task in plan"))</f>
        <v/>
      </c>
    </row>
    <row r="650" customFormat="false" ht="15" hidden="false" customHeight="false" outlineLevel="0" collapsed="false">
      <c r="A650" s="13"/>
      <c r="B650" s="9"/>
      <c r="C650" s="9"/>
      <c r="D650" s="9"/>
      <c r="E650" s="9"/>
      <c r="F650" s="16" t="str">
        <f aca="false">IF(B650="","",IF(COUNTIFS('PM Plan'!$A$5:$A$304,B650,'PM Plan'!$B$5:$B$304,C650)&gt;0,"OK","No matching asset + task in plan"))</f>
        <v/>
      </c>
    </row>
    <row r="651" customFormat="false" ht="15" hidden="false" customHeight="false" outlineLevel="0" collapsed="false">
      <c r="A651" s="13"/>
      <c r="B651" s="9"/>
      <c r="C651" s="9"/>
      <c r="D651" s="9"/>
      <c r="E651" s="9"/>
      <c r="F651" s="16" t="str">
        <f aca="false">IF(B651="","",IF(COUNTIFS('PM Plan'!$A$5:$A$304,B651,'PM Plan'!$B$5:$B$304,C651)&gt;0,"OK","No matching asset + task in plan"))</f>
        <v/>
      </c>
    </row>
    <row r="652" customFormat="false" ht="15" hidden="false" customHeight="false" outlineLevel="0" collapsed="false">
      <c r="A652" s="13"/>
      <c r="B652" s="9"/>
      <c r="C652" s="9"/>
      <c r="D652" s="9"/>
      <c r="E652" s="9"/>
      <c r="F652" s="16" t="str">
        <f aca="false">IF(B652="","",IF(COUNTIFS('PM Plan'!$A$5:$A$304,B652,'PM Plan'!$B$5:$B$304,C652)&gt;0,"OK","No matching asset + task in plan"))</f>
        <v/>
      </c>
    </row>
    <row r="653" customFormat="false" ht="15" hidden="false" customHeight="false" outlineLevel="0" collapsed="false">
      <c r="A653" s="13"/>
      <c r="B653" s="9"/>
      <c r="C653" s="9"/>
      <c r="D653" s="9"/>
      <c r="E653" s="9"/>
      <c r="F653" s="16" t="str">
        <f aca="false">IF(B653="","",IF(COUNTIFS('PM Plan'!$A$5:$A$304,B653,'PM Plan'!$B$5:$B$304,C653)&gt;0,"OK","No matching asset + task in plan"))</f>
        <v/>
      </c>
    </row>
    <row r="654" customFormat="false" ht="15" hidden="false" customHeight="false" outlineLevel="0" collapsed="false">
      <c r="A654" s="13"/>
      <c r="B654" s="9"/>
      <c r="C654" s="9"/>
      <c r="D654" s="9"/>
      <c r="E654" s="9"/>
      <c r="F654" s="16" t="str">
        <f aca="false">IF(B654="","",IF(COUNTIFS('PM Plan'!$A$5:$A$304,B654,'PM Plan'!$B$5:$B$304,C654)&gt;0,"OK","No matching asset + task in plan"))</f>
        <v/>
      </c>
    </row>
    <row r="655" customFormat="false" ht="15" hidden="false" customHeight="false" outlineLevel="0" collapsed="false">
      <c r="A655" s="13"/>
      <c r="B655" s="9"/>
      <c r="C655" s="9"/>
      <c r="D655" s="9"/>
      <c r="E655" s="9"/>
      <c r="F655" s="16" t="str">
        <f aca="false">IF(B655="","",IF(COUNTIFS('PM Plan'!$A$5:$A$304,B655,'PM Plan'!$B$5:$B$304,C655)&gt;0,"OK","No matching asset + task in plan"))</f>
        <v/>
      </c>
    </row>
    <row r="656" customFormat="false" ht="15" hidden="false" customHeight="false" outlineLevel="0" collapsed="false">
      <c r="A656" s="13"/>
      <c r="B656" s="9"/>
      <c r="C656" s="9"/>
      <c r="D656" s="9"/>
      <c r="E656" s="9"/>
      <c r="F656" s="16" t="str">
        <f aca="false">IF(B656="","",IF(COUNTIFS('PM Plan'!$A$5:$A$304,B656,'PM Plan'!$B$5:$B$304,C656)&gt;0,"OK","No matching asset + task in plan"))</f>
        <v/>
      </c>
    </row>
    <row r="657" customFormat="false" ht="15" hidden="false" customHeight="false" outlineLevel="0" collapsed="false">
      <c r="A657" s="13"/>
      <c r="B657" s="9"/>
      <c r="C657" s="9"/>
      <c r="D657" s="9"/>
      <c r="E657" s="9"/>
      <c r="F657" s="16" t="str">
        <f aca="false">IF(B657="","",IF(COUNTIFS('PM Plan'!$A$5:$A$304,B657,'PM Plan'!$B$5:$B$304,C657)&gt;0,"OK","No matching asset + task in plan"))</f>
        <v/>
      </c>
    </row>
    <row r="658" customFormat="false" ht="15" hidden="false" customHeight="false" outlineLevel="0" collapsed="false">
      <c r="A658" s="13"/>
      <c r="B658" s="9"/>
      <c r="C658" s="9"/>
      <c r="D658" s="9"/>
      <c r="E658" s="9"/>
      <c r="F658" s="16" t="str">
        <f aca="false">IF(B658="","",IF(COUNTIFS('PM Plan'!$A$5:$A$304,B658,'PM Plan'!$B$5:$B$304,C658)&gt;0,"OK","No matching asset + task in plan"))</f>
        <v/>
      </c>
    </row>
    <row r="659" customFormat="false" ht="15" hidden="false" customHeight="false" outlineLevel="0" collapsed="false">
      <c r="A659" s="13"/>
      <c r="B659" s="9"/>
      <c r="C659" s="9"/>
      <c r="D659" s="9"/>
      <c r="E659" s="9"/>
      <c r="F659" s="16" t="str">
        <f aca="false">IF(B659="","",IF(COUNTIFS('PM Plan'!$A$5:$A$304,B659,'PM Plan'!$B$5:$B$304,C659)&gt;0,"OK","No matching asset + task in plan"))</f>
        <v/>
      </c>
    </row>
    <row r="660" customFormat="false" ht="15" hidden="false" customHeight="false" outlineLevel="0" collapsed="false">
      <c r="A660" s="13"/>
      <c r="B660" s="9"/>
      <c r="C660" s="9"/>
      <c r="D660" s="9"/>
      <c r="E660" s="9"/>
      <c r="F660" s="16" t="str">
        <f aca="false">IF(B660="","",IF(COUNTIFS('PM Plan'!$A$5:$A$304,B660,'PM Plan'!$B$5:$B$304,C660)&gt;0,"OK","No matching asset + task in plan"))</f>
        <v/>
      </c>
    </row>
    <row r="661" customFormat="false" ht="15" hidden="false" customHeight="false" outlineLevel="0" collapsed="false">
      <c r="A661" s="13"/>
      <c r="B661" s="9"/>
      <c r="C661" s="9"/>
      <c r="D661" s="9"/>
      <c r="E661" s="9"/>
      <c r="F661" s="16" t="str">
        <f aca="false">IF(B661="","",IF(COUNTIFS('PM Plan'!$A$5:$A$304,B661,'PM Plan'!$B$5:$B$304,C661)&gt;0,"OK","No matching asset + task in plan"))</f>
        <v/>
      </c>
    </row>
    <row r="662" customFormat="false" ht="15" hidden="false" customHeight="false" outlineLevel="0" collapsed="false">
      <c r="A662" s="13"/>
      <c r="B662" s="9"/>
      <c r="C662" s="9"/>
      <c r="D662" s="9"/>
      <c r="E662" s="9"/>
      <c r="F662" s="16" t="str">
        <f aca="false">IF(B662="","",IF(COUNTIFS('PM Plan'!$A$5:$A$304,B662,'PM Plan'!$B$5:$B$304,C662)&gt;0,"OK","No matching asset + task in plan"))</f>
        <v/>
      </c>
    </row>
    <row r="663" customFormat="false" ht="15" hidden="false" customHeight="false" outlineLevel="0" collapsed="false">
      <c r="A663" s="13"/>
      <c r="B663" s="9"/>
      <c r="C663" s="9"/>
      <c r="D663" s="9"/>
      <c r="E663" s="9"/>
      <c r="F663" s="16" t="str">
        <f aca="false">IF(B663="","",IF(COUNTIFS('PM Plan'!$A$5:$A$304,B663,'PM Plan'!$B$5:$B$304,C663)&gt;0,"OK","No matching asset + task in plan"))</f>
        <v/>
      </c>
    </row>
    <row r="664" customFormat="false" ht="15" hidden="false" customHeight="false" outlineLevel="0" collapsed="false">
      <c r="A664" s="13"/>
      <c r="B664" s="9"/>
      <c r="C664" s="9"/>
      <c r="D664" s="9"/>
      <c r="E664" s="9"/>
      <c r="F664" s="16" t="str">
        <f aca="false">IF(B664="","",IF(COUNTIFS('PM Plan'!$A$5:$A$304,B664,'PM Plan'!$B$5:$B$304,C664)&gt;0,"OK","No matching asset + task in plan"))</f>
        <v/>
      </c>
    </row>
    <row r="665" customFormat="false" ht="15" hidden="false" customHeight="false" outlineLevel="0" collapsed="false">
      <c r="A665" s="13"/>
      <c r="B665" s="9"/>
      <c r="C665" s="9"/>
      <c r="D665" s="9"/>
      <c r="E665" s="9"/>
      <c r="F665" s="16" t="str">
        <f aca="false">IF(B665="","",IF(COUNTIFS('PM Plan'!$A$5:$A$304,B665,'PM Plan'!$B$5:$B$304,C665)&gt;0,"OK","No matching asset + task in plan"))</f>
        <v/>
      </c>
    </row>
    <row r="666" customFormat="false" ht="15" hidden="false" customHeight="false" outlineLevel="0" collapsed="false">
      <c r="A666" s="13"/>
      <c r="B666" s="9"/>
      <c r="C666" s="9"/>
      <c r="D666" s="9"/>
      <c r="E666" s="9"/>
      <c r="F666" s="16" t="str">
        <f aca="false">IF(B666="","",IF(COUNTIFS('PM Plan'!$A$5:$A$304,B666,'PM Plan'!$B$5:$B$304,C666)&gt;0,"OK","No matching asset + task in plan"))</f>
        <v/>
      </c>
    </row>
    <row r="667" customFormat="false" ht="15" hidden="false" customHeight="false" outlineLevel="0" collapsed="false">
      <c r="A667" s="13"/>
      <c r="B667" s="9"/>
      <c r="C667" s="9"/>
      <c r="D667" s="9"/>
      <c r="E667" s="9"/>
      <c r="F667" s="16" t="str">
        <f aca="false">IF(B667="","",IF(COUNTIFS('PM Plan'!$A$5:$A$304,B667,'PM Plan'!$B$5:$B$304,C667)&gt;0,"OK","No matching asset + task in plan"))</f>
        <v/>
      </c>
    </row>
    <row r="668" customFormat="false" ht="15" hidden="false" customHeight="false" outlineLevel="0" collapsed="false">
      <c r="A668" s="13"/>
      <c r="B668" s="9"/>
      <c r="C668" s="9"/>
      <c r="D668" s="9"/>
      <c r="E668" s="9"/>
      <c r="F668" s="16" t="str">
        <f aca="false">IF(B668="","",IF(COUNTIFS('PM Plan'!$A$5:$A$304,B668,'PM Plan'!$B$5:$B$304,C668)&gt;0,"OK","No matching asset + task in plan"))</f>
        <v/>
      </c>
    </row>
    <row r="669" customFormat="false" ht="15" hidden="false" customHeight="false" outlineLevel="0" collapsed="false">
      <c r="A669" s="13"/>
      <c r="B669" s="9"/>
      <c r="C669" s="9"/>
      <c r="D669" s="9"/>
      <c r="E669" s="9"/>
      <c r="F669" s="16" t="str">
        <f aca="false">IF(B669="","",IF(COUNTIFS('PM Plan'!$A$5:$A$304,B669,'PM Plan'!$B$5:$B$304,C669)&gt;0,"OK","No matching asset + task in plan"))</f>
        <v/>
      </c>
    </row>
    <row r="670" customFormat="false" ht="15" hidden="false" customHeight="false" outlineLevel="0" collapsed="false">
      <c r="A670" s="13"/>
      <c r="B670" s="9"/>
      <c r="C670" s="9"/>
      <c r="D670" s="9"/>
      <c r="E670" s="9"/>
      <c r="F670" s="16" t="str">
        <f aca="false">IF(B670="","",IF(COUNTIFS('PM Plan'!$A$5:$A$304,B670,'PM Plan'!$B$5:$B$304,C670)&gt;0,"OK","No matching asset + task in plan"))</f>
        <v/>
      </c>
    </row>
    <row r="671" customFormat="false" ht="15" hidden="false" customHeight="false" outlineLevel="0" collapsed="false">
      <c r="A671" s="13"/>
      <c r="B671" s="9"/>
      <c r="C671" s="9"/>
      <c r="D671" s="9"/>
      <c r="E671" s="9"/>
      <c r="F671" s="16" t="str">
        <f aca="false">IF(B671="","",IF(COUNTIFS('PM Plan'!$A$5:$A$304,B671,'PM Plan'!$B$5:$B$304,C671)&gt;0,"OK","No matching asset + task in plan"))</f>
        <v/>
      </c>
    </row>
    <row r="672" customFormat="false" ht="15" hidden="false" customHeight="false" outlineLevel="0" collapsed="false">
      <c r="A672" s="13"/>
      <c r="B672" s="9"/>
      <c r="C672" s="9"/>
      <c r="D672" s="9"/>
      <c r="E672" s="9"/>
      <c r="F672" s="16" t="str">
        <f aca="false">IF(B672="","",IF(COUNTIFS('PM Plan'!$A$5:$A$304,B672,'PM Plan'!$B$5:$B$304,C672)&gt;0,"OK","No matching asset + task in plan"))</f>
        <v/>
      </c>
    </row>
    <row r="673" customFormat="false" ht="15" hidden="false" customHeight="false" outlineLevel="0" collapsed="false">
      <c r="A673" s="13"/>
      <c r="B673" s="9"/>
      <c r="C673" s="9"/>
      <c r="D673" s="9"/>
      <c r="E673" s="9"/>
      <c r="F673" s="16" t="str">
        <f aca="false">IF(B673="","",IF(COUNTIFS('PM Plan'!$A$5:$A$304,B673,'PM Plan'!$B$5:$B$304,C673)&gt;0,"OK","No matching asset + task in plan"))</f>
        <v/>
      </c>
    </row>
    <row r="674" customFormat="false" ht="15" hidden="false" customHeight="false" outlineLevel="0" collapsed="false">
      <c r="A674" s="13"/>
      <c r="B674" s="9"/>
      <c r="C674" s="9"/>
      <c r="D674" s="9"/>
      <c r="E674" s="9"/>
      <c r="F674" s="16" t="str">
        <f aca="false">IF(B674="","",IF(COUNTIFS('PM Plan'!$A$5:$A$304,B674,'PM Plan'!$B$5:$B$304,C674)&gt;0,"OK","No matching asset + task in plan"))</f>
        <v/>
      </c>
    </row>
    <row r="675" customFormat="false" ht="15" hidden="false" customHeight="false" outlineLevel="0" collapsed="false">
      <c r="A675" s="13"/>
      <c r="B675" s="9"/>
      <c r="C675" s="9"/>
      <c r="D675" s="9"/>
      <c r="E675" s="9"/>
      <c r="F675" s="16" t="str">
        <f aca="false">IF(B675="","",IF(COUNTIFS('PM Plan'!$A$5:$A$304,B675,'PM Plan'!$B$5:$B$304,C675)&gt;0,"OK","No matching asset + task in plan"))</f>
        <v/>
      </c>
    </row>
    <row r="676" customFormat="false" ht="15" hidden="false" customHeight="false" outlineLevel="0" collapsed="false">
      <c r="A676" s="13"/>
      <c r="B676" s="9"/>
      <c r="C676" s="9"/>
      <c r="D676" s="9"/>
      <c r="E676" s="9"/>
      <c r="F676" s="16" t="str">
        <f aca="false">IF(B676="","",IF(COUNTIFS('PM Plan'!$A$5:$A$304,B676,'PM Plan'!$B$5:$B$304,C676)&gt;0,"OK","No matching asset + task in plan"))</f>
        <v/>
      </c>
    </row>
    <row r="677" customFormat="false" ht="15" hidden="false" customHeight="false" outlineLevel="0" collapsed="false">
      <c r="A677" s="13"/>
      <c r="B677" s="9"/>
      <c r="C677" s="9"/>
      <c r="D677" s="9"/>
      <c r="E677" s="9"/>
      <c r="F677" s="16" t="str">
        <f aca="false">IF(B677="","",IF(COUNTIFS('PM Plan'!$A$5:$A$304,B677,'PM Plan'!$B$5:$B$304,C677)&gt;0,"OK","No matching asset + task in plan"))</f>
        <v/>
      </c>
    </row>
    <row r="678" customFormat="false" ht="15" hidden="false" customHeight="false" outlineLevel="0" collapsed="false">
      <c r="A678" s="13"/>
      <c r="B678" s="9"/>
      <c r="C678" s="9"/>
      <c r="D678" s="9"/>
      <c r="E678" s="9"/>
      <c r="F678" s="16" t="str">
        <f aca="false">IF(B678="","",IF(COUNTIFS('PM Plan'!$A$5:$A$304,B678,'PM Plan'!$B$5:$B$304,C678)&gt;0,"OK","No matching asset + task in plan"))</f>
        <v/>
      </c>
    </row>
    <row r="679" customFormat="false" ht="15" hidden="false" customHeight="false" outlineLevel="0" collapsed="false">
      <c r="A679" s="13"/>
      <c r="B679" s="9"/>
      <c r="C679" s="9"/>
      <c r="D679" s="9"/>
      <c r="E679" s="9"/>
      <c r="F679" s="16" t="str">
        <f aca="false">IF(B679="","",IF(COUNTIFS('PM Plan'!$A$5:$A$304,B679,'PM Plan'!$B$5:$B$304,C679)&gt;0,"OK","No matching asset + task in plan"))</f>
        <v/>
      </c>
    </row>
    <row r="680" customFormat="false" ht="15" hidden="false" customHeight="false" outlineLevel="0" collapsed="false">
      <c r="A680" s="13"/>
      <c r="B680" s="9"/>
      <c r="C680" s="9"/>
      <c r="D680" s="9"/>
      <c r="E680" s="9"/>
      <c r="F680" s="16" t="str">
        <f aca="false">IF(B680="","",IF(COUNTIFS('PM Plan'!$A$5:$A$304,B680,'PM Plan'!$B$5:$B$304,C680)&gt;0,"OK","No matching asset + task in plan"))</f>
        <v/>
      </c>
    </row>
    <row r="681" customFormat="false" ht="15" hidden="false" customHeight="false" outlineLevel="0" collapsed="false">
      <c r="A681" s="13"/>
      <c r="B681" s="9"/>
      <c r="C681" s="9"/>
      <c r="D681" s="9"/>
      <c r="E681" s="9"/>
      <c r="F681" s="16" t="str">
        <f aca="false">IF(B681="","",IF(COUNTIFS('PM Plan'!$A$5:$A$304,B681,'PM Plan'!$B$5:$B$304,C681)&gt;0,"OK","No matching asset + task in plan"))</f>
        <v/>
      </c>
    </row>
    <row r="682" customFormat="false" ht="15" hidden="false" customHeight="false" outlineLevel="0" collapsed="false">
      <c r="A682" s="13"/>
      <c r="B682" s="9"/>
      <c r="C682" s="9"/>
      <c r="D682" s="9"/>
      <c r="E682" s="9"/>
      <c r="F682" s="16" t="str">
        <f aca="false">IF(B682="","",IF(COUNTIFS('PM Plan'!$A$5:$A$304,B682,'PM Plan'!$B$5:$B$304,C682)&gt;0,"OK","No matching asset + task in plan"))</f>
        <v/>
      </c>
    </row>
    <row r="683" customFormat="false" ht="15" hidden="false" customHeight="false" outlineLevel="0" collapsed="false">
      <c r="A683" s="13"/>
      <c r="B683" s="9"/>
      <c r="C683" s="9"/>
      <c r="D683" s="9"/>
      <c r="E683" s="9"/>
      <c r="F683" s="16" t="str">
        <f aca="false">IF(B683="","",IF(COUNTIFS('PM Plan'!$A$5:$A$304,B683,'PM Plan'!$B$5:$B$304,C683)&gt;0,"OK","No matching asset + task in plan"))</f>
        <v/>
      </c>
    </row>
    <row r="684" customFormat="false" ht="15" hidden="false" customHeight="false" outlineLevel="0" collapsed="false">
      <c r="A684" s="13"/>
      <c r="B684" s="9"/>
      <c r="C684" s="9"/>
      <c r="D684" s="9"/>
      <c r="E684" s="9"/>
      <c r="F684" s="16" t="str">
        <f aca="false">IF(B684="","",IF(COUNTIFS('PM Plan'!$A$5:$A$304,B684,'PM Plan'!$B$5:$B$304,C684)&gt;0,"OK","No matching asset + task in plan"))</f>
        <v/>
      </c>
    </row>
    <row r="685" customFormat="false" ht="15" hidden="false" customHeight="false" outlineLevel="0" collapsed="false">
      <c r="A685" s="13"/>
      <c r="B685" s="9"/>
      <c r="C685" s="9"/>
      <c r="D685" s="9"/>
      <c r="E685" s="9"/>
      <c r="F685" s="16" t="str">
        <f aca="false">IF(B685="","",IF(COUNTIFS('PM Plan'!$A$5:$A$304,B685,'PM Plan'!$B$5:$B$304,C685)&gt;0,"OK","No matching asset + task in plan"))</f>
        <v/>
      </c>
    </row>
    <row r="686" customFormat="false" ht="15" hidden="false" customHeight="false" outlineLevel="0" collapsed="false">
      <c r="A686" s="13"/>
      <c r="B686" s="9"/>
      <c r="C686" s="9"/>
      <c r="D686" s="9"/>
      <c r="E686" s="9"/>
      <c r="F686" s="16" t="str">
        <f aca="false">IF(B686="","",IF(COUNTIFS('PM Plan'!$A$5:$A$304,B686,'PM Plan'!$B$5:$B$304,C686)&gt;0,"OK","No matching asset + task in plan"))</f>
        <v/>
      </c>
    </row>
    <row r="687" customFormat="false" ht="15" hidden="false" customHeight="false" outlineLevel="0" collapsed="false">
      <c r="A687" s="13"/>
      <c r="B687" s="9"/>
      <c r="C687" s="9"/>
      <c r="D687" s="9"/>
      <c r="E687" s="9"/>
      <c r="F687" s="16" t="str">
        <f aca="false">IF(B687="","",IF(COUNTIFS('PM Plan'!$A$5:$A$304,B687,'PM Plan'!$B$5:$B$304,C687)&gt;0,"OK","No matching asset + task in plan"))</f>
        <v/>
      </c>
    </row>
    <row r="688" customFormat="false" ht="15" hidden="false" customHeight="false" outlineLevel="0" collapsed="false">
      <c r="A688" s="13"/>
      <c r="B688" s="9"/>
      <c r="C688" s="9"/>
      <c r="D688" s="9"/>
      <c r="E688" s="9"/>
      <c r="F688" s="16" t="str">
        <f aca="false">IF(B688="","",IF(COUNTIFS('PM Plan'!$A$5:$A$304,B688,'PM Plan'!$B$5:$B$304,C688)&gt;0,"OK","No matching asset + task in plan"))</f>
        <v/>
      </c>
    </row>
    <row r="689" customFormat="false" ht="15" hidden="false" customHeight="false" outlineLevel="0" collapsed="false">
      <c r="A689" s="13"/>
      <c r="B689" s="9"/>
      <c r="C689" s="9"/>
      <c r="D689" s="9"/>
      <c r="E689" s="9"/>
      <c r="F689" s="16" t="str">
        <f aca="false">IF(B689="","",IF(COUNTIFS('PM Plan'!$A$5:$A$304,B689,'PM Plan'!$B$5:$B$304,C689)&gt;0,"OK","No matching asset + task in plan"))</f>
        <v/>
      </c>
    </row>
    <row r="690" customFormat="false" ht="15" hidden="false" customHeight="false" outlineLevel="0" collapsed="false">
      <c r="A690" s="13"/>
      <c r="B690" s="9"/>
      <c r="C690" s="9"/>
      <c r="D690" s="9"/>
      <c r="E690" s="9"/>
      <c r="F690" s="16" t="str">
        <f aca="false">IF(B690="","",IF(COUNTIFS('PM Plan'!$A$5:$A$304,B690,'PM Plan'!$B$5:$B$304,C690)&gt;0,"OK","No matching asset + task in plan"))</f>
        <v/>
      </c>
    </row>
    <row r="691" customFormat="false" ht="15" hidden="false" customHeight="false" outlineLevel="0" collapsed="false">
      <c r="A691" s="13"/>
      <c r="B691" s="9"/>
      <c r="C691" s="9"/>
      <c r="D691" s="9"/>
      <c r="E691" s="9"/>
      <c r="F691" s="16" t="str">
        <f aca="false">IF(B691="","",IF(COUNTIFS('PM Plan'!$A$5:$A$304,B691,'PM Plan'!$B$5:$B$304,C691)&gt;0,"OK","No matching asset + task in plan"))</f>
        <v/>
      </c>
    </row>
    <row r="692" customFormat="false" ht="15" hidden="false" customHeight="false" outlineLevel="0" collapsed="false">
      <c r="A692" s="13"/>
      <c r="B692" s="9"/>
      <c r="C692" s="9"/>
      <c r="D692" s="9"/>
      <c r="E692" s="9"/>
      <c r="F692" s="16" t="str">
        <f aca="false">IF(B692="","",IF(COUNTIFS('PM Plan'!$A$5:$A$304,B692,'PM Plan'!$B$5:$B$304,C692)&gt;0,"OK","No matching asset + task in plan"))</f>
        <v/>
      </c>
    </row>
    <row r="693" customFormat="false" ht="15" hidden="false" customHeight="false" outlineLevel="0" collapsed="false">
      <c r="A693" s="13"/>
      <c r="B693" s="9"/>
      <c r="C693" s="9"/>
      <c r="D693" s="9"/>
      <c r="E693" s="9"/>
      <c r="F693" s="16" t="str">
        <f aca="false">IF(B693="","",IF(COUNTIFS('PM Plan'!$A$5:$A$304,B693,'PM Plan'!$B$5:$B$304,C693)&gt;0,"OK","No matching asset + task in plan"))</f>
        <v/>
      </c>
    </row>
    <row r="694" customFormat="false" ht="15" hidden="false" customHeight="false" outlineLevel="0" collapsed="false">
      <c r="A694" s="13"/>
      <c r="B694" s="9"/>
      <c r="C694" s="9"/>
      <c r="D694" s="9"/>
      <c r="E694" s="9"/>
      <c r="F694" s="16" t="str">
        <f aca="false">IF(B694="","",IF(COUNTIFS('PM Plan'!$A$5:$A$304,B694,'PM Plan'!$B$5:$B$304,C694)&gt;0,"OK","No matching asset + task in plan"))</f>
        <v/>
      </c>
    </row>
    <row r="695" customFormat="false" ht="15" hidden="false" customHeight="false" outlineLevel="0" collapsed="false">
      <c r="A695" s="13"/>
      <c r="B695" s="9"/>
      <c r="C695" s="9"/>
      <c r="D695" s="9"/>
      <c r="E695" s="9"/>
      <c r="F695" s="16" t="str">
        <f aca="false">IF(B695="","",IF(COUNTIFS('PM Plan'!$A$5:$A$304,B695,'PM Plan'!$B$5:$B$304,C695)&gt;0,"OK","No matching asset + task in plan"))</f>
        <v/>
      </c>
    </row>
    <row r="696" customFormat="false" ht="15" hidden="false" customHeight="false" outlineLevel="0" collapsed="false">
      <c r="A696" s="13"/>
      <c r="B696" s="9"/>
      <c r="C696" s="9"/>
      <c r="D696" s="9"/>
      <c r="E696" s="9"/>
      <c r="F696" s="16" t="str">
        <f aca="false">IF(B696="","",IF(COUNTIFS('PM Plan'!$A$5:$A$304,B696,'PM Plan'!$B$5:$B$304,C696)&gt;0,"OK","No matching asset + task in plan"))</f>
        <v/>
      </c>
    </row>
    <row r="697" customFormat="false" ht="15" hidden="false" customHeight="false" outlineLevel="0" collapsed="false">
      <c r="A697" s="13"/>
      <c r="B697" s="9"/>
      <c r="C697" s="9"/>
      <c r="D697" s="9"/>
      <c r="E697" s="9"/>
      <c r="F697" s="16" t="str">
        <f aca="false">IF(B697="","",IF(COUNTIFS('PM Plan'!$A$5:$A$304,B697,'PM Plan'!$B$5:$B$304,C697)&gt;0,"OK","No matching asset + task in plan"))</f>
        <v/>
      </c>
    </row>
    <row r="698" customFormat="false" ht="15" hidden="false" customHeight="false" outlineLevel="0" collapsed="false">
      <c r="A698" s="13"/>
      <c r="B698" s="9"/>
      <c r="C698" s="9"/>
      <c r="D698" s="9"/>
      <c r="E698" s="9"/>
      <c r="F698" s="16" t="str">
        <f aca="false">IF(B698="","",IF(COUNTIFS('PM Plan'!$A$5:$A$304,B698,'PM Plan'!$B$5:$B$304,C698)&gt;0,"OK","No matching asset + task in plan"))</f>
        <v/>
      </c>
    </row>
    <row r="699" customFormat="false" ht="15" hidden="false" customHeight="false" outlineLevel="0" collapsed="false">
      <c r="A699" s="13"/>
      <c r="B699" s="9"/>
      <c r="C699" s="9"/>
      <c r="D699" s="9"/>
      <c r="E699" s="9"/>
      <c r="F699" s="16" t="str">
        <f aca="false">IF(B699="","",IF(COUNTIFS('PM Plan'!$A$5:$A$304,B699,'PM Plan'!$B$5:$B$304,C699)&gt;0,"OK","No matching asset + task in plan"))</f>
        <v/>
      </c>
    </row>
    <row r="700" customFormat="false" ht="15" hidden="false" customHeight="false" outlineLevel="0" collapsed="false">
      <c r="A700" s="13"/>
      <c r="B700" s="9"/>
      <c r="C700" s="9"/>
      <c r="D700" s="9"/>
      <c r="E700" s="9"/>
      <c r="F700" s="16" t="str">
        <f aca="false">IF(B700="","",IF(COUNTIFS('PM Plan'!$A$5:$A$304,B700,'PM Plan'!$B$5:$B$304,C700)&gt;0,"OK","No matching asset + task in plan"))</f>
        <v/>
      </c>
    </row>
    <row r="701" customFormat="false" ht="15" hidden="false" customHeight="false" outlineLevel="0" collapsed="false">
      <c r="A701" s="13"/>
      <c r="B701" s="9"/>
      <c r="C701" s="9"/>
      <c r="D701" s="9"/>
      <c r="E701" s="9"/>
      <c r="F701" s="16" t="str">
        <f aca="false">IF(B701="","",IF(COUNTIFS('PM Plan'!$A$5:$A$304,B701,'PM Plan'!$B$5:$B$304,C701)&gt;0,"OK","No matching asset + task in plan"))</f>
        <v/>
      </c>
    </row>
    <row r="702" customFormat="false" ht="15" hidden="false" customHeight="false" outlineLevel="0" collapsed="false">
      <c r="A702" s="13"/>
      <c r="B702" s="9"/>
      <c r="C702" s="9"/>
      <c r="D702" s="9"/>
      <c r="E702" s="9"/>
      <c r="F702" s="16" t="str">
        <f aca="false">IF(B702="","",IF(COUNTIFS('PM Plan'!$A$5:$A$304,B702,'PM Plan'!$B$5:$B$304,C702)&gt;0,"OK","No matching asset + task in plan"))</f>
        <v/>
      </c>
    </row>
    <row r="703" customFormat="false" ht="15" hidden="false" customHeight="false" outlineLevel="0" collapsed="false">
      <c r="A703" s="13"/>
      <c r="B703" s="9"/>
      <c r="C703" s="9"/>
      <c r="D703" s="9"/>
      <c r="E703" s="9"/>
      <c r="F703" s="16" t="str">
        <f aca="false">IF(B703="","",IF(COUNTIFS('PM Plan'!$A$5:$A$304,B703,'PM Plan'!$B$5:$B$304,C703)&gt;0,"OK","No matching asset + task in plan"))</f>
        <v/>
      </c>
    </row>
    <row r="704" customFormat="false" ht="15" hidden="false" customHeight="false" outlineLevel="0" collapsed="false">
      <c r="A704" s="13"/>
      <c r="B704" s="9"/>
      <c r="C704" s="9"/>
      <c r="D704" s="9"/>
      <c r="E704" s="9"/>
      <c r="F704" s="16" t="str">
        <f aca="false">IF(B704="","",IF(COUNTIFS('PM Plan'!$A$5:$A$304,B704,'PM Plan'!$B$5:$B$304,C704)&gt;0,"OK","No matching asset + task in plan"))</f>
        <v/>
      </c>
    </row>
    <row r="705" customFormat="false" ht="15" hidden="false" customHeight="false" outlineLevel="0" collapsed="false">
      <c r="A705" s="13"/>
      <c r="B705" s="9"/>
      <c r="C705" s="9"/>
      <c r="D705" s="9"/>
      <c r="E705" s="9"/>
      <c r="F705" s="16" t="str">
        <f aca="false">IF(B705="","",IF(COUNTIFS('PM Plan'!$A$5:$A$304,B705,'PM Plan'!$B$5:$B$304,C705)&gt;0,"OK","No matching asset + task in plan"))</f>
        <v/>
      </c>
    </row>
    <row r="706" customFormat="false" ht="15" hidden="false" customHeight="false" outlineLevel="0" collapsed="false">
      <c r="A706" s="13"/>
      <c r="B706" s="9"/>
      <c r="C706" s="9"/>
      <c r="D706" s="9"/>
      <c r="E706" s="9"/>
      <c r="F706" s="16" t="str">
        <f aca="false">IF(B706="","",IF(COUNTIFS('PM Plan'!$A$5:$A$304,B706,'PM Plan'!$B$5:$B$304,C706)&gt;0,"OK","No matching asset + task in plan"))</f>
        <v/>
      </c>
    </row>
    <row r="707" customFormat="false" ht="15" hidden="false" customHeight="false" outlineLevel="0" collapsed="false">
      <c r="A707" s="13"/>
      <c r="B707" s="9"/>
      <c r="C707" s="9"/>
      <c r="D707" s="9"/>
      <c r="E707" s="9"/>
      <c r="F707" s="16" t="str">
        <f aca="false">IF(B707="","",IF(COUNTIFS('PM Plan'!$A$5:$A$304,B707,'PM Plan'!$B$5:$B$304,C707)&gt;0,"OK","No matching asset + task in plan"))</f>
        <v/>
      </c>
    </row>
    <row r="708" customFormat="false" ht="15" hidden="false" customHeight="false" outlineLevel="0" collapsed="false">
      <c r="A708" s="13"/>
      <c r="B708" s="9"/>
      <c r="C708" s="9"/>
      <c r="D708" s="9"/>
      <c r="E708" s="9"/>
      <c r="F708" s="16" t="str">
        <f aca="false">IF(B708="","",IF(COUNTIFS('PM Plan'!$A$5:$A$304,B708,'PM Plan'!$B$5:$B$304,C708)&gt;0,"OK","No matching asset + task in plan"))</f>
        <v/>
      </c>
    </row>
    <row r="709" customFormat="false" ht="15" hidden="false" customHeight="false" outlineLevel="0" collapsed="false">
      <c r="A709" s="13"/>
      <c r="B709" s="9"/>
      <c r="C709" s="9"/>
      <c r="D709" s="9"/>
      <c r="E709" s="9"/>
      <c r="F709" s="16" t="str">
        <f aca="false">IF(B709="","",IF(COUNTIFS('PM Plan'!$A$5:$A$304,B709,'PM Plan'!$B$5:$B$304,C709)&gt;0,"OK","No matching asset + task in plan"))</f>
        <v/>
      </c>
    </row>
    <row r="710" customFormat="false" ht="15" hidden="false" customHeight="false" outlineLevel="0" collapsed="false">
      <c r="A710" s="13"/>
      <c r="B710" s="9"/>
      <c r="C710" s="9"/>
      <c r="D710" s="9"/>
      <c r="E710" s="9"/>
      <c r="F710" s="16" t="str">
        <f aca="false">IF(B710="","",IF(COUNTIFS('PM Plan'!$A$5:$A$304,B710,'PM Plan'!$B$5:$B$304,C710)&gt;0,"OK","No matching asset + task in plan"))</f>
        <v/>
      </c>
    </row>
    <row r="711" customFormat="false" ht="15" hidden="false" customHeight="false" outlineLevel="0" collapsed="false">
      <c r="A711" s="13"/>
      <c r="B711" s="9"/>
      <c r="C711" s="9"/>
      <c r="D711" s="9"/>
      <c r="E711" s="9"/>
      <c r="F711" s="16" t="str">
        <f aca="false">IF(B711="","",IF(COUNTIFS('PM Plan'!$A$5:$A$304,B711,'PM Plan'!$B$5:$B$304,C711)&gt;0,"OK","No matching asset + task in plan"))</f>
        <v/>
      </c>
    </row>
    <row r="712" customFormat="false" ht="15" hidden="false" customHeight="false" outlineLevel="0" collapsed="false">
      <c r="A712" s="13"/>
      <c r="B712" s="9"/>
      <c r="C712" s="9"/>
      <c r="D712" s="9"/>
      <c r="E712" s="9"/>
      <c r="F712" s="16" t="str">
        <f aca="false">IF(B712="","",IF(COUNTIFS('PM Plan'!$A$5:$A$304,B712,'PM Plan'!$B$5:$B$304,C712)&gt;0,"OK","No matching asset + task in plan"))</f>
        <v/>
      </c>
    </row>
    <row r="713" customFormat="false" ht="15" hidden="false" customHeight="false" outlineLevel="0" collapsed="false">
      <c r="A713" s="13"/>
      <c r="B713" s="9"/>
      <c r="C713" s="9"/>
      <c r="D713" s="9"/>
      <c r="E713" s="9"/>
      <c r="F713" s="16" t="str">
        <f aca="false">IF(B713="","",IF(COUNTIFS('PM Plan'!$A$5:$A$304,B713,'PM Plan'!$B$5:$B$304,C713)&gt;0,"OK","No matching asset + task in plan"))</f>
        <v/>
      </c>
    </row>
    <row r="714" customFormat="false" ht="15" hidden="false" customHeight="false" outlineLevel="0" collapsed="false">
      <c r="A714" s="13"/>
      <c r="B714" s="9"/>
      <c r="C714" s="9"/>
      <c r="D714" s="9"/>
      <c r="E714" s="9"/>
      <c r="F714" s="16" t="str">
        <f aca="false">IF(B714="","",IF(COUNTIFS('PM Plan'!$A$5:$A$304,B714,'PM Plan'!$B$5:$B$304,C714)&gt;0,"OK","No matching asset + task in plan"))</f>
        <v/>
      </c>
    </row>
    <row r="715" customFormat="false" ht="15" hidden="false" customHeight="false" outlineLevel="0" collapsed="false">
      <c r="A715" s="13"/>
      <c r="B715" s="9"/>
      <c r="C715" s="9"/>
      <c r="D715" s="9"/>
      <c r="E715" s="9"/>
      <c r="F715" s="16" t="str">
        <f aca="false">IF(B715="","",IF(COUNTIFS('PM Plan'!$A$5:$A$304,B715,'PM Plan'!$B$5:$B$304,C715)&gt;0,"OK","No matching asset + task in plan"))</f>
        <v/>
      </c>
    </row>
    <row r="716" customFormat="false" ht="15" hidden="false" customHeight="false" outlineLevel="0" collapsed="false">
      <c r="A716" s="13"/>
      <c r="B716" s="9"/>
      <c r="C716" s="9"/>
      <c r="D716" s="9"/>
      <c r="E716" s="9"/>
      <c r="F716" s="16" t="str">
        <f aca="false">IF(B716="","",IF(COUNTIFS('PM Plan'!$A$5:$A$304,B716,'PM Plan'!$B$5:$B$304,C716)&gt;0,"OK","No matching asset + task in plan"))</f>
        <v/>
      </c>
    </row>
    <row r="717" customFormat="false" ht="15" hidden="false" customHeight="false" outlineLevel="0" collapsed="false">
      <c r="A717" s="13"/>
      <c r="B717" s="9"/>
      <c r="C717" s="9"/>
      <c r="D717" s="9"/>
      <c r="E717" s="9"/>
      <c r="F717" s="16" t="str">
        <f aca="false">IF(B717="","",IF(COUNTIFS('PM Plan'!$A$5:$A$304,B717,'PM Plan'!$B$5:$B$304,C717)&gt;0,"OK","No matching asset + task in plan"))</f>
        <v/>
      </c>
    </row>
    <row r="718" customFormat="false" ht="15" hidden="false" customHeight="false" outlineLevel="0" collapsed="false">
      <c r="A718" s="13"/>
      <c r="B718" s="9"/>
      <c r="C718" s="9"/>
      <c r="D718" s="9"/>
      <c r="E718" s="9"/>
      <c r="F718" s="16" t="str">
        <f aca="false">IF(B718="","",IF(COUNTIFS('PM Plan'!$A$5:$A$304,B718,'PM Plan'!$B$5:$B$304,C718)&gt;0,"OK","No matching asset + task in plan"))</f>
        <v/>
      </c>
    </row>
    <row r="719" customFormat="false" ht="15" hidden="false" customHeight="false" outlineLevel="0" collapsed="false">
      <c r="A719" s="13"/>
      <c r="B719" s="9"/>
      <c r="C719" s="9"/>
      <c r="D719" s="9"/>
      <c r="E719" s="9"/>
      <c r="F719" s="16" t="str">
        <f aca="false">IF(B719="","",IF(COUNTIFS('PM Plan'!$A$5:$A$304,B719,'PM Plan'!$B$5:$B$304,C719)&gt;0,"OK","No matching asset + task in plan"))</f>
        <v/>
      </c>
    </row>
    <row r="720" customFormat="false" ht="15" hidden="false" customHeight="false" outlineLevel="0" collapsed="false">
      <c r="A720" s="13"/>
      <c r="B720" s="9"/>
      <c r="C720" s="9"/>
      <c r="D720" s="9"/>
      <c r="E720" s="9"/>
      <c r="F720" s="16" t="str">
        <f aca="false">IF(B720="","",IF(COUNTIFS('PM Plan'!$A$5:$A$304,B720,'PM Plan'!$B$5:$B$304,C720)&gt;0,"OK","No matching asset + task in plan"))</f>
        <v/>
      </c>
    </row>
    <row r="721" customFormat="false" ht="15" hidden="false" customHeight="false" outlineLevel="0" collapsed="false">
      <c r="A721" s="13"/>
      <c r="B721" s="9"/>
      <c r="C721" s="9"/>
      <c r="D721" s="9"/>
      <c r="E721" s="9"/>
      <c r="F721" s="16" t="str">
        <f aca="false">IF(B721="","",IF(COUNTIFS('PM Plan'!$A$5:$A$304,B721,'PM Plan'!$B$5:$B$304,C721)&gt;0,"OK","No matching asset + task in plan"))</f>
        <v/>
      </c>
    </row>
    <row r="722" customFormat="false" ht="15" hidden="false" customHeight="false" outlineLevel="0" collapsed="false">
      <c r="A722" s="13"/>
      <c r="B722" s="9"/>
      <c r="C722" s="9"/>
      <c r="D722" s="9"/>
      <c r="E722" s="9"/>
      <c r="F722" s="16" t="str">
        <f aca="false">IF(B722="","",IF(COUNTIFS('PM Plan'!$A$5:$A$304,B722,'PM Plan'!$B$5:$B$304,C722)&gt;0,"OK","No matching asset + task in plan"))</f>
        <v/>
      </c>
    </row>
    <row r="723" customFormat="false" ht="15" hidden="false" customHeight="false" outlineLevel="0" collapsed="false">
      <c r="A723" s="13"/>
      <c r="B723" s="9"/>
      <c r="C723" s="9"/>
      <c r="D723" s="9"/>
      <c r="E723" s="9"/>
      <c r="F723" s="16" t="str">
        <f aca="false">IF(B723="","",IF(COUNTIFS('PM Plan'!$A$5:$A$304,B723,'PM Plan'!$B$5:$B$304,C723)&gt;0,"OK","No matching asset + task in plan"))</f>
        <v/>
      </c>
    </row>
    <row r="724" customFormat="false" ht="15" hidden="false" customHeight="false" outlineLevel="0" collapsed="false">
      <c r="A724" s="13"/>
      <c r="B724" s="9"/>
      <c r="C724" s="9"/>
      <c r="D724" s="9"/>
      <c r="E724" s="9"/>
      <c r="F724" s="16" t="str">
        <f aca="false">IF(B724="","",IF(COUNTIFS('PM Plan'!$A$5:$A$304,B724,'PM Plan'!$B$5:$B$304,C724)&gt;0,"OK","No matching asset + task in plan"))</f>
        <v/>
      </c>
    </row>
    <row r="725" customFormat="false" ht="15" hidden="false" customHeight="false" outlineLevel="0" collapsed="false">
      <c r="A725" s="13"/>
      <c r="B725" s="9"/>
      <c r="C725" s="9"/>
      <c r="D725" s="9"/>
      <c r="E725" s="9"/>
      <c r="F725" s="16" t="str">
        <f aca="false">IF(B725="","",IF(COUNTIFS('PM Plan'!$A$5:$A$304,B725,'PM Plan'!$B$5:$B$304,C725)&gt;0,"OK","No matching asset + task in plan"))</f>
        <v/>
      </c>
    </row>
    <row r="726" customFormat="false" ht="15" hidden="false" customHeight="false" outlineLevel="0" collapsed="false">
      <c r="A726" s="13"/>
      <c r="B726" s="9"/>
      <c r="C726" s="9"/>
      <c r="D726" s="9"/>
      <c r="E726" s="9"/>
      <c r="F726" s="16" t="str">
        <f aca="false">IF(B726="","",IF(COUNTIFS('PM Plan'!$A$5:$A$304,B726,'PM Plan'!$B$5:$B$304,C726)&gt;0,"OK","No matching asset + task in plan"))</f>
        <v/>
      </c>
    </row>
    <row r="727" customFormat="false" ht="15" hidden="false" customHeight="false" outlineLevel="0" collapsed="false">
      <c r="A727" s="13"/>
      <c r="B727" s="9"/>
      <c r="C727" s="9"/>
      <c r="D727" s="9"/>
      <c r="E727" s="9"/>
      <c r="F727" s="16" t="str">
        <f aca="false">IF(B727="","",IF(COUNTIFS('PM Plan'!$A$5:$A$304,B727,'PM Plan'!$B$5:$B$304,C727)&gt;0,"OK","No matching asset + task in plan"))</f>
        <v/>
      </c>
    </row>
    <row r="728" customFormat="false" ht="15" hidden="false" customHeight="false" outlineLevel="0" collapsed="false">
      <c r="A728" s="13"/>
      <c r="B728" s="9"/>
      <c r="C728" s="9"/>
      <c r="D728" s="9"/>
      <c r="E728" s="9"/>
      <c r="F728" s="16" t="str">
        <f aca="false">IF(B728="","",IF(COUNTIFS('PM Plan'!$A$5:$A$304,B728,'PM Plan'!$B$5:$B$304,C728)&gt;0,"OK","No matching asset + task in plan"))</f>
        <v/>
      </c>
    </row>
    <row r="729" customFormat="false" ht="15" hidden="false" customHeight="false" outlineLevel="0" collapsed="false">
      <c r="A729" s="13"/>
      <c r="B729" s="9"/>
      <c r="C729" s="9"/>
      <c r="D729" s="9"/>
      <c r="E729" s="9"/>
      <c r="F729" s="16" t="str">
        <f aca="false">IF(B729="","",IF(COUNTIFS('PM Plan'!$A$5:$A$304,B729,'PM Plan'!$B$5:$B$304,C729)&gt;0,"OK","No matching asset + task in plan"))</f>
        <v/>
      </c>
    </row>
    <row r="730" customFormat="false" ht="15" hidden="false" customHeight="false" outlineLevel="0" collapsed="false">
      <c r="A730" s="13"/>
      <c r="B730" s="9"/>
      <c r="C730" s="9"/>
      <c r="D730" s="9"/>
      <c r="E730" s="9"/>
      <c r="F730" s="16" t="str">
        <f aca="false">IF(B730="","",IF(COUNTIFS('PM Plan'!$A$5:$A$304,B730,'PM Plan'!$B$5:$B$304,C730)&gt;0,"OK","No matching asset + task in plan"))</f>
        <v/>
      </c>
    </row>
    <row r="731" customFormat="false" ht="15" hidden="false" customHeight="false" outlineLevel="0" collapsed="false">
      <c r="A731" s="13"/>
      <c r="B731" s="9"/>
      <c r="C731" s="9"/>
      <c r="D731" s="9"/>
      <c r="E731" s="9"/>
      <c r="F731" s="16" t="str">
        <f aca="false">IF(B731="","",IF(COUNTIFS('PM Plan'!$A$5:$A$304,B731,'PM Plan'!$B$5:$B$304,C731)&gt;0,"OK","No matching asset + task in plan"))</f>
        <v/>
      </c>
    </row>
    <row r="732" customFormat="false" ht="15" hidden="false" customHeight="false" outlineLevel="0" collapsed="false">
      <c r="A732" s="13"/>
      <c r="B732" s="9"/>
      <c r="C732" s="9"/>
      <c r="D732" s="9"/>
      <c r="E732" s="9"/>
      <c r="F732" s="16" t="str">
        <f aca="false">IF(B732="","",IF(COUNTIFS('PM Plan'!$A$5:$A$304,B732,'PM Plan'!$B$5:$B$304,C732)&gt;0,"OK","No matching asset + task in plan"))</f>
        <v/>
      </c>
    </row>
    <row r="733" customFormat="false" ht="15" hidden="false" customHeight="false" outlineLevel="0" collapsed="false">
      <c r="A733" s="13"/>
      <c r="B733" s="9"/>
      <c r="C733" s="9"/>
      <c r="D733" s="9"/>
      <c r="E733" s="9"/>
      <c r="F733" s="16" t="str">
        <f aca="false">IF(B733="","",IF(COUNTIFS('PM Plan'!$A$5:$A$304,B733,'PM Plan'!$B$5:$B$304,C733)&gt;0,"OK","No matching asset + task in plan"))</f>
        <v/>
      </c>
    </row>
    <row r="734" customFormat="false" ht="15" hidden="false" customHeight="false" outlineLevel="0" collapsed="false">
      <c r="A734" s="13"/>
      <c r="B734" s="9"/>
      <c r="C734" s="9"/>
      <c r="D734" s="9"/>
      <c r="E734" s="9"/>
      <c r="F734" s="16" t="str">
        <f aca="false">IF(B734="","",IF(COUNTIFS('PM Plan'!$A$5:$A$304,B734,'PM Plan'!$B$5:$B$304,C734)&gt;0,"OK","No matching asset + task in plan"))</f>
        <v/>
      </c>
    </row>
    <row r="735" customFormat="false" ht="15" hidden="false" customHeight="false" outlineLevel="0" collapsed="false">
      <c r="A735" s="13"/>
      <c r="B735" s="9"/>
      <c r="C735" s="9"/>
      <c r="D735" s="9"/>
      <c r="E735" s="9"/>
      <c r="F735" s="16" t="str">
        <f aca="false">IF(B735="","",IF(COUNTIFS('PM Plan'!$A$5:$A$304,B735,'PM Plan'!$B$5:$B$304,C735)&gt;0,"OK","No matching asset + task in plan"))</f>
        <v/>
      </c>
    </row>
    <row r="736" customFormat="false" ht="15" hidden="false" customHeight="false" outlineLevel="0" collapsed="false">
      <c r="A736" s="13"/>
      <c r="B736" s="9"/>
      <c r="C736" s="9"/>
      <c r="D736" s="9"/>
      <c r="E736" s="9"/>
      <c r="F736" s="16" t="str">
        <f aca="false">IF(B736="","",IF(COUNTIFS('PM Plan'!$A$5:$A$304,B736,'PM Plan'!$B$5:$B$304,C736)&gt;0,"OK","No matching asset + task in plan"))</f>
        <v/>
      </c>
    </row>
    <row r="737" customFormat="false" ht="15" hidden="false" customHeight="false" outlineLevel="0" collapsed="false">
      <c r="A737" s="13"/>
      <c r="B737" s="9"/>
      <c r="C737" s="9"/>
      <c r="D737" s="9"/>
      <c r="E737" s="9"/>
      <c r="F737" s="16" t="str">
        <f aca="false">IF(B737="","",IF(COUNTIFS('PM Plan'!$A$5:$A$304,B737,'PM Plan'!$B$5:$B$304,C737)&gt;0,"OK","No matching asset + task in plan"))</f>
        <v/>
      </c>
    </row>
    <row r="738" customFormat="false" ht="15" hidden="false" customHeight="false" outlineLevel="0" collapsed="false">
      <c r="A738" s="13"/>
      <c r="B738" s="9"/>
      <c r="C738" s="9"/>
      <c r="D738" s="9"/>
      <c r="E738" s="9"/>
      <c r="F738" s="16" t="str">
        <f aca="false">IF(B738="","",IF(COUNTIFS('PM Plan'!$A$5:$A$304,B738,'PM Plan'!$B$5:$B$304,C738)&gt;0,"OK","No matching asset + task in plan"))</f>
        <v/>
      </c>
    </row>
    <row r="739" customFormat="false" ht="15" hidden="false" customHeight="false" outlineLevel="0" collapsed="false">
      <c r="A739" s="13"/>
      <c r="B739" s="9"/>
      <c r="C739" s="9"/>
      <c r="D739" s="9"/>
      <c r="E739" s="9"/>
      <c r="F739" s="16" t="str">
        <f aca="false">IF(B739="","",IF(COUNTIFS('PM Plan'!$A$5:$A$304,B739,'PM Plan'!$B$5:$B$304,C739)&gt;0,"OK","No matching asset + task in plan"))</f>
        <v/>
      </c>
    </row>
    <row r="740" customFormat="false" ht="15" hidden="false" customHeight="false" outlineLevel="0" collapsed="false">
      <c r="A740" s="13"/>
      <c r="B740" s="9"/>
      <c r="C740" s="9"/>
      <c r="D740" s="9"/>
      <c r="E740" s="9"/>
      <c r="F740" s="16" t="str">
        <f aca="false">IF(B740="","",IF(COUNTIFS('PM Plan'!$A$5:$A$304,B740,'PM Plan'!$B$5:$B$304,C740)&gt;0,"OK","No matching asset + task in plan"))</f>
        <v/>
      </c>
    </row>
    <row r="741" customFormat="false" ht="15" hidden="false" customHeight="false" outlineLevel="0" collapsed="false">
      <c r="A741" s="13"/>
      <c r="B741" s="9"/>
      <c r="C741" s="9"/>
      <c r="D741" s="9"/>
      <c r="E741" s="9"/>
      <c r="F741" s="16" t="str">
        <f aca="false">IF(B741="","",IF(COUNTIFS('PM Plan'!$A$5:$A$304,B741,'PM Plan'!$B$5:$B$304,C741)&gt;0,"OK","No matching asset + task in plan"))</f>
        <v/>
      </c>
    </row>
    <row r="742" customFormat="false" ht="15" hidden="false" customHeight="false" outlineLevel="0" collapsed="false">
      <c r="A742" s="13"/>
      <c r="B742" s="9"/>
      <c r="C742" s="9"/>
      <c r="D742" s="9"/>
      <c r="E742" s="9"/>
      <c r="F742" s="16" t="str">
        <f aca="false">IF(B742="","",IF(COUNTIFS('PM Plan'!$A$5:$A$304,B742,'PM Plan'!$B$5:$B$304,C742)&gt;0,"OK","No matching asset + task in plan"))</f>
        <v/>
      </c>
    </row>
    <row r="743" customFormat="false" ht="15" hidden="false" customHeight="false" outlineLevel="0" collapsed="false">
      <c r="A743" s="13"/>
      <c r="B743" s="9"/>
      <c r="C743" s="9"/>
      <c r="D743" s="9"/>
      <c r="E743" s="9"/>
      <c r="F743" s="16" t="str">
        <f aca="false">IF(B743="","",IF(COUNTIFS('PM Plan'!$A$5:$A$304,B743,'PM Plan'!$B$5:$B$304,C743)&gt;0,"OK","No matching asset + task in plan"))</f>
        <v/>
      </c>
    </row>
    <row r="744" customFormat="false" ht="15" hidden="false" customHeight="false" outlineLevel="0" collapsed="false">
      <c r="A744" s="13"/>
      <c r="B744" s="9"/>
      <c r="C744" s="9"/>
      <c r="D744" s="9"/>
      <c r="E744" s="9"/>
      <c r="F744" s="16" t="str">
        <f aca="false">IF(B744="","",IF(COUNTIFS('PM Plan'!$A$5:$A$304,B744,'PM Plan'!$B$5:$B$304,C744)&gt;0,"OK","No matching asset + task in plan"))</f>
        <v/>
      </c>
    </row>
    <row r="745" customFormat="false" ht="15" hidden="false" customHeight="false" outlineLevel="0" collapsed="false">
      <c r="A745" s="13"/>
      <c r="B745" s="9"/>
      <c r="C745" s="9"/>
      <c r="D745" s="9"/>
      <c r="E745" s="9"/>
      <c r="F745" s="16" t="str">
        <f aca="false">IF(B745="","",IF(COUNTIFS('PM Plan'!$A$5:$A$304,B745,'PM Plan'!$B$5:$B$304,C745)&gt;0,"OK","No matching asset + task in plan"))</f>
        <v/>
      </c>
    </row>
    <row r="746" customFormat="false" ht="15" hidden="false" customHeight="false" outlineLevel="0" collapsed="false">
      <c r="A746" s="13"/>
      <c r="B746" s="9"/>
      <c r="C746" s="9"/>
      <c r="D746" s="9"/>
      <c r="E746" s="9"/>
      <c r="F746" s="16" t="str">
        <f aca="false">IF(B746="","",IF(COUNTIFS('PM Plan'!$A$5:$A$304,B746,'PM Plan'!$B$5:$B$304,C746)&gt;0,"OK","No matching asset + task in plan"))</f>
        <v/>
      </c>
    </row>
    <row r="747" customFormat="false" ht="15" hidden="false" customHeight="false" outlineLevel="0" collapsed="false">
      <c r="A747" s="13"/>
      <c r="B747" s="9"/>
      <c r="C747" s="9"/>
      <c r="D747" s="9"/>
      <c r="E747" s="9"/>
      <c r="F747" s="16" t="str">
        <f aca="false">IF(B747="","",IF(COUNTIFS('PM Plan'!$A$5:$A$304,B747,'PM Plan'!$B$5:$B$304,C747)&gt;0,"OK","No matching asset + task in plan"))</f>
        <v/>
      </c>
    </row>
    <row r="748" customFormat="false" ht="15" hidden="false" customHeight="false" outlineLevel="0" collapsed="false">
      <c r="A748" s="13"/>
      <c r="B748" s="9"/>
      <c r="C748" s="9"/>
      <c r="D748" s="9"/>
      <c r="E748" s="9"/>
      <c r="F748" s="16" t="str">
        <f aca="false">IF(B748="","",IF(COUNTIFS('PM Plan'!$A$5:$A$304,B748,'PM Plan'!$B$5:$B$304,C748)&gt;0,"OK","No matching asset + task in plan"))</f>
        <v/>
      </c>
    </row>
    <row r="749" customFormat="false" ht="15" hidden="false" customHeight="false" outlineLevel="0" collapsed="false">
      <c r="A749" s="13"/>
      <c r="B749" s="9"/>
      <c r="C749" s="9"/>
      <c r="D749" s="9"/>
      <c r="E749" s="9"/>
      <c r="F749" s="16" t="str">
        <f aca="false">IF(B749="","",IF(COUNTIFS('PM Plan'!$A$5:$A$304,B749,'PM Plan'!$B$5:$B$304,C749)&gt;0,"OK","No matching asset + task in plan"))</f>
        <v/>
      </c>
    </row>
    <row r="750" customFormat="false" ht="15" hidden="false" customHeight="false" outlineLevel="0" collapsed="false">
      <c r="A750" s="13"/>
      <c r="B750" s="9"/>
      <c r="C750" s="9"/>
      <c r="D750" s="9"/>
      <c r="E750" s="9"/>
      <c r="F750" s="16" t="str">
        <f aca="false">IF(B750="","",IF(COUNTIFS('PM Plan'!$A$5:$A$304,B750,'PM Plan'!$B$5:$B$304,C750)&gt;0,"OK","No matching asset + task in plan"))</f>
        <v/>
      </c>
    </row>
    <row r="751" customFormat="false" ht="15" hidden="false" customHeight="false" outlineLevel="0" collapsed="false">
      <c r="A751" s="13"/>
      <c r="B751" s="9"/>
      <c r="C751" s="9"/>
      <c r="D751" s="9"/>
      <c r="E751" s="9"/>
      <c r="F751" s="16" t="str">
        <f aca="false">IF(B751="","",IF(COUNTIFS('PM Plan'!$A$5:$A$304,B751,'PM Plan'!$B$5:$B$304,C751)&gt;0,"OK","No matching asset + task in plan"))</f>
        <v/>
      </c>
    </row>
    <row r="752" customFormat="false" ht="15" hidden="false" customHeight="false" outlineLevel="0" collapsed="false">
      <c r="A752" s="13"/>
      <c r="B752" s="9"/>
      <c r="C752" s="9"/>
      <c r="D752" s="9"/>
      <c r="E752" s="9"/>
      <c r="F752" s="16" t="str">
        <f aca="false">IF(B752="","",IF(COUNTIFS('PM Plan'!$A$5:$A$304,B752,'PM Plan'!$B$5:$B$304,C752)&gt;0,"OK","No matching asset + task in plan"))</f>
        <v/>
      </c>
    </row>
    <row r="753" customFormat="false" ht="15" hidden="false" customHeight="false" outlineLevel="0" collapsed="false">
      <c r="A753" s="13"/>
      <c r="B753" s="9"/>
      <c r="C753" s="9"/>
      <c r="D753" s="9"/>
      <c r="E753" s="9"/>
      <c r="F753" s="16" t="str">
        <f aca="false">IF(B753="","",IF(COUNTIFS('PM Plan'!$A$5:$A$304,B753,'PM Plan'!$B$5:$B$304,C753)&gt;0,"OK","No matching asset + task in plan"))</f>
        <v/>
      </c>
    </row>
    <row r="754" customFormat="false" ht="15" hidden="false" customHeight="false" outlineLevel="0" collapsed="false">
      <c r="A754" s="13"/>
      <c r="B754" s="9"/>
      <c r="C754" s="9"/>
      <c r="D754" s="9"/>
      <c r="E754" s="9"/>
      <c r="F754" s="16" t="str">
        <f aca="false">IF(B754="","",IF(COUNTIFS('PM Plan'!$A$5:$A$304,B754,'PM Plan'!$B$5:$B$304,C754)&gt;0,"OK","No matching asset + task in plan"))</f>
        <v/>
      </c>
    </row>
    <row r="755" customFormat="false" ht="15" hidden="false" customHeight="false" outlineLevel="0" collapsed="false">
      <c r="A755" s="13"/>
      <c r="B755" s="9"/>
      <c r="C755" s="9"/>
      <c r="D755" s="9"/>
      <c r="E755" s="9"/>
      <c r="F755" s="16" t="str">
        <f aca="false">IF(B755="","",IF(COUNTIFS('PM Plan'!$A$5:$A$304,B755,'PM Plan'!$B$5:$B$304,C755)&gt;0,"OK","No matching asset + task in plan"))</f>
        <v/>
      </c>
    </row>
    <row r="756" customFormat="false" ht="15" hidden="false" customHeight="false" outlineLevel="0" collapsed="false">
      <c r="A756" s="13"/>
      <c r="B756" s="9"/>
      <c r="C756" s="9"/>
      <c r="D756" s="9"/>
      <c r="E756" s="9"/>
      <c r="F756" s="16" t="str">
        <f aca="false">IF(B756="","",IF(COUNTIFS('PM Plan'!$A$5:$A$304,B756,'PM Plan'!$B$5:$B$304,C756)&gt;0,"OK","No matching asset + task in plan"))</f>
        <v/>
      </c>
    </row>
    <row r="757" customFormat="false" ht="15" hidden="false" customHeight="false" outlineLevel="0" collapsed="false">
      <c r="A757" s="13"/>
      <c r="B757" s="9"/>
      <c r="C757" s="9"/>
      <c r="D757" s="9"/>
      <c r="E757" s="9"/>
      <c r="F757" s="16" t="str">
        <f aca="false">IF(B757="","",IF(COUNTIFS('PM Plan'!$A$5:$A$304,B757,'PM Plan'!$B$5:$B$304,C757)&gt;0,"OK","No matching asset + task in plan"))</f>
        <v/>
      </c>
    </row>
    <row r="758" customFormat="false" ht="15" hidden="false" customHeight="false" outlineLevel="0" collapsed="false">
      <c r="A758" s="13"/>
      <c r="B758" s="9"/>
      <c r="C758" s="9"/>
      <c r="D758" s="9"/>
      <c r="E758" s="9"/>
      <c r="F758" s="16" t="str">
        <f aca="false">IF(B758="","",IF(COUNTIFS('PM Plan'!$A$5:$A$304,B758,'PM Plan'!$B$5:$B$304,C758)&gt;0,"OK","No matching asset + task in plan"))</f>
        <v/>
      </c>
    </row>
    <row r="759" customFormat="false" ht="15" hidden="false" customHeight="false" outlineLevel="0" collapsed="false">
      <c r="A759" s="13"/>
      <c r="B759" s="9"/>
      <c r="C759" s="9"/>
      <c r="D759" s="9"/>
      <c r="E759" s="9"/>
      <c r="F759" s="16" t="str">
        <f aca="false">IF(B759="","",IF(COUNTIFS('PM Plan'!$A$5:$A$304,B759,'PM Plan'!$B$5:$B$304,C759)&gt;0,"OK","No matching asset + task in plan"))</f>
        <v/>
      </c>
    </row>
    <row r="760" customFormat="false" ht="15" hidden="false" customHeight="false" outlineLevel="0" collapsed="false">
      <c r="A760" s="13"/>
      <c r="B760" s="9"/>
      <c r="C760" s="9"/>
      <c r="D760" s="9"/>
      <c r="E760" s="9"/>
      <c r="F760" s="16" t="str">
        <f aca="false">IF(B760="","",IF(COUNTIFS('PM Plan'!$A$5:$A$304,B760,'PM Plan'!$B$5:$B$304,C760)&gt;0,"OK","No matching asset + task in plan"))</f>
        <v/>
      </c>
    </row>
    <row r="761" customFormat="false" ht="15" hidden="false" customHeight="false" outlineLevel="0" collapsed="false">
      <c r="A761" s="13"/>
      <c r="B761" s="9"/>
      <c r="C761" s="9"/>
      <c r="D761" s="9"/>
      <c r="E761" s="9"/>
      <c r="F761" s="16" t="str">
        <f aca="false">IF(B761="","",IF(COUNTIFS('PM Plan'!$A$5:$A$304,B761,'PM Plan'!$B$5:$B$304,C761)&gt;0,"OK","No matching asset + task in plan"))</f>
        <v/>
      </c>
    </row>
    <row r="762" customFormat="false" ht="15" hidden="false" customHeight="false" outlineLevel="0" collapsed="false">
      <c r="A762" s="13"/>
      <c r="B762" s="9"/>
      <c r="C762" s="9"/>
      <c r="D762" s="9"/>
      <c r="E762" s="9"/>
      <c r="F762" s="16" t="str">
        <f aca="false">IF(B762="","",IF(COUNTIFS('PM Plan'!$A$5:$A$304,B762,'PM Plan'!$B$5:$B$304,C762)&gt;0,"OK","No matching asset + task in plan"))</f>
        <v/>
      </c>
    </row>
    <row r="763" customFormat="false" ht="15" hidden="false" customHeight="false" outlineLevel="0" collapsed="false">
      <c r="A763" s="13"/>
      <c r="B763" s="9"/>
      <c r="C763" s="9"/>
      <c r="D763" s="9"/>
      <c r="E763" s="9"/>
      <c r="F763" s="16" t="str">
        <f aca="false">IF(B763="","",IF(COUNTIFS('PM Plan'!$A$5:$A$304,B763,'PM Plan'!$B$5:$B$304,C763)&gt;0,"OK","No matching asset + task in plan"))</f>
        <v/>
      </c>
    </row>
    <row r="764" customFormat="false" ht="15" hidden="false" customHeight="false" outlineLevel="0" collapsed="false">
      <c r="A764" s="13"/>
      <c r="B764" s="9"/>
      <c r="C764" s="9"/>
      <c r="D764" s="9"/>
      <c r="E764" s="9"/>
      <c r="F764" s="16" t="str">
        <f aca="false">IF(B764="","",IF(COUNTIFS('PM Plan'!$A$5:$A$304,B764,'PM Plan'!$B$5:$B$304,C764)&gt;0,"OK","No matching asset + task in plan"))</f>
        <v/>
      </c>
    </row>
    <row r="765" customFormat="false" ht="15" hidden="false" customHeight="false" outlineLevel="0" collapsed="false">
      <c r="A765" s="13"/>
      <c r="B765" s="9"/>
      <c r="C765" s="9"/>
      <c r="D765" s="9"/>
      <c r="E765" s="9"/>
      <c r="F765" s="16" t="str">
        <f aca="false">IF(B765="","",IF(COUNTIFS('PM Plan'!$A$5:$A$304,B765,'PM Plan'!$B$5:$B$304,C765)&gt;0,"OK","No matching asset + task in plan"))</f>
        <v/>
      </c>
    </row>
    <row r="766" customFormat="false" ht="15" hidden="false" customHeight="false" outlineLevel="0" collapsed="false">
      <c r="A766" s="13"/>
      <c r="B766" s="9"/>
      <c r="C766" s="9"/>
      <c r="D766" s="9"/>
      <c r="E766" s="9"/>
      <c r="F766" s="16" t="str">
        <f aca="false">IF(B766="","",IF(COUNTIFS('PM Plan'!$A$5:$A$304,B766,'PM Plan'!$B$5:$B$304,C766)&gt;0,"OK","No matching asset + task in plan"))</f>
        <v/>
      </c>
    </row>
    <row r="767" customFormat="false" ht="15" hidden="false" customHeight="false" outlineLevel="0" collapsed="false">
      <c r="A767" s="13"/>
      <c r="B767" s="9"/>
      <c r="C767" s="9"/>
      <c r="D767" s="9"/>
      <c r="E767" s="9"/>
      <c r="F767" s="16" t="str">
        <f aca="false">IF(B767="","",IF(COUNTIFS('PM Plan'!$A$5:$A$304,B767,'PM Plan'!$B$5:$B$304,C767)&gt;0,"OK","No matching asset + task in plan"))</f>
        <v/>
      </c>
    </row>
    <row r="768" customFormat="false" ht="15" hidden="false" customHeight="false" outlineLevel="0" collapsed="false">
      <c r="A768" s="13"/>
      <c r="B768" s="9"/>
      <c r="C768" s="9"/>
      <c r="D768" s="9"/>
      <c r="E768" s="9"/>
      <c r="F768" s="16" t="str">
        <f aca="false">IF(B768="","",IF(COUNTIFS('PM Plan'!$A$5:$A$304,B768,'PM Plan'!$B$5:$B$304,C768)&gt;0,"OK","No matching asset + task in plan"))</f>
        <v/>
      </c>
    </row>
    <row r="769" customFormat="false" ht="15" hidden="false" customHeight="false" outlineLevel="0" collapsed="false">
      <c r="A769" s="13"/>
      <c r="B769" s="9"/>
      <c r="C769" s="9"/>
      <c r="D769" s="9"/>
      <c r="E769" s="9"/>
      <c r="F769" s="16" t="str">
        <f aca="false">IF(B769="","",IF(COUNTIFS('PM Plan'!$A$5:$A$304,B769,'PM Plan'!$B$5:$B$304,C769)&gt;0,"OK","No matching asset + task in plan"))</f>
        <v/>
      </c>
    </row>
    <row r="770" customFormat="false" ht="15" hidden="false" customHeight="false" outlineLevel="0" collapsed="false">
      <c r="A770" s="13"/>
      <c r="B770" s="9"/>
      <c r="C770" s="9"/>
      <c r="D770" s="9"/>
      <c r="E770" s="9"/>
      <c r="F770" s="16" t="str">
        <f aca="false">IF(B770="","",IF(COUNTIFS('PM Plan'!$A$5:$A$304,B770,'PM Plan'!$B$5:$B$304,C770)&gt;0,"OK","No matching asset + task in plan"))</f>
        <v/>
      </c>
    </row>
    <row r="771" customFormat="false" ht="15" hidden="false" customHeight="false" outlineLevel="0" collapsed="false">
      <c r="A771" s="13"/>
      <c r="B771" s="9"/>
      <c r="C771" s="9"/>
      <c r="D771" s="9"/>
      <c r="E771" s="9"/>
      <c r="F771" s="16" t="str">
        <f aca="false">IF(B771="","",IF(COUNTIFS('PM Plan'!$A$5:$A$304,B771,'PM Plan'!$B$5:$B$304,C771)&gt;0,"OK","No matching asset + task in plan"))</f>
        <v/>
      </c>
    </row>
    <row r="772" customFormat="false" ht="15" hidden="false" customHeight="false" outlineLevel="0" collapsed="false">
      <c r="A772" s="13"/>
      <c r="B772" s="9"/>
      <c r="C772" s="9"/>
      <c r="D772" s="9"/>
      <c r="E772" s="9"/>
      <c r="F772" s="16" t="str">
        <f aca="false">IF(B772="","",IF(COUNTIFS('PM Plan'!$A$5:$A$304,B772,'PM Plan'!$B$5:$B$304,C772)&gt;0,"OK","No matching asset + task in plan"))</f>
        <v/>
      </c>
    </row>
    <row r="773" customFormat="false" ht="15" hidden="false" customHeight="false" outlineLevel="0" collapsed="false">
      <c r="A773" s="13"/>
      <c r="B773" s="9"/>
      <c r="C773" s="9"/>
      <c r="D773" s="9"/>
      <c r="E773" s="9"/>
      <c r="F773" s="16" t="str">
        <f aca="false">IF(B773="","",IF(COUNTIFS('PM Plan'!$A$5:$A$304,B773,'PM Plan'!$B$5:$B$304,C773)&gt;0,"OK","No matching asset + task in plan"))</f>
        <v/>
      </c>
    </row>
    <row r="774" customFormat="false" ht="15" hidden="false" customHeight="false" outlineLevel="0" collapsed="false">
      <c r="A774" s="13"/>
      <c r="B774" s="9"/>
      <c r="C774" s="9"/>
      <c r="D774" s="9"/>
      <c r="E774" s="9"/>
      <c r="F774" s="16" t="str">
        <f aca="false">IF(B774="","",IF(COUNTIFS('PM Plan'!$A$5:$A$304,B774,'PM Plan'!$B$5:$B$304,C774)&gt;0,"OK","No matching asset + task in plan"))</f>
        <v/>
      </c>
    </row>
    <row r="775" customFormat="false" ht="15" hidden="false" customHeight="false" outlineLevel="0" collapsed="false">
      <c r="A775" s="13"/>
      <c r="B775" s="9"/>
      <c r="C775" s="9"/>
      <c r="D775" s="9"/>
      <c r="E775" s="9"/>
      <c r="F775" s="16" t="str">
        <f aca="false">IF(B775="","",IF(COUNTIFS('PM Plan'!$A$5:$A$304,B775,'PM Plan'!$B$5:$B$304,C775)&gt;0,"OK","No matching asset + task in plan"))</f>
        <v/>
      </c>
    </row>
    <row r="776" customFormat="false" ht="15" hidden="false" customHeight="false" outlineLevel="0" collapsed="false">
      <c r="A776" s="13"/>
      <c r="B776" s="9"/>
      <c r="C776" s="9"/>
      <c r="D776" s="9"/>
      <c r="E776" s="9"/>
      <c r="F776" s="16" t="str">
        <f aca="false">IF(B776="","",IF(COUNTIFS('PM Plan'!$A$5:$A$304,B776,'PM Plan'!$B$5:$B$304,C776)&gt;0,"OK","No matching asset + task in plan"))</f>
        <v/>
      </c>
    </row>
    <row r="777" customFormat="false" ht="15" hidden="false" customHeight="false" outlineLevel="0" collapsed="false">
      <c r="A777" s="13"/>
      <c r="B777" s="9"/>
      <c r="C777" s="9"/>
      <c r="D777" s="9"/>
      <c r="E777" s="9"/>
      <c r="F777" s="16" t="str">
        <f aca="false">IF(B777="","",IF(COUNTIFS('PM Plan'!$A$5:$A$304,B777,'PM Plan'!$B$5:$B$304,C777)&gt;0,"OK","No matching asset + task in plan"))</f>
        <v/>
      </c>
    </row>
    <row r="778" customFormat="false" ht="15" hidden="false" customHeight="false" outlineLevel="0" collapsed="false">
      <c r="A778" s="13"/>
      <c r="B778" s="9"/>
      <c r="C778" s="9"/>
      <c r="D778" s="9"/>
      <c r="E778" s="9"/>
      <c r="F778" s="16" t="str">
        <f aca="false">IF(B778="","",IF(COUNTIFS('PM Plan'!$A$5:$A$304,B778,'PM Plan'!$B$5:$B$304,C778)&gt;0,"OK","No matching asset + task in plan"))</f>
        <v/>
      </c>
    </row>
    <row r="779" customFormat="false" ht="15" hidden="false" customHeight="false" outlineLevel="0" collapsed="false">
      <c r="A779" s="13"/>
      <c r="B779" s="9"/>
      <c r="C779" s="9"/>
      <c r="D779" s="9"/>
      <c r="E779" s="9"/>
      <c r="F779" s="16" t="str">
        <f aca="false">IF(B779="","",IF(COUNTIFS('PM Plan'!$A$5:$A$304,B779,'PM Plan'!$B$5:$B$304,C779)&gt;0,"OK","No matching asset + task in plan"))</f>
        <v/>
      </c>
    </row>
    <row r="780" customFormat="false" ht="15" hidden="false" customHeight="false" outlineLevel="0" collapsed="false">
      <c r="A780" s="13"/>
      <c r="B780" s="9"/>
      <c r="C780" s="9"/>
      <c r="D780" s="9"/>
      <c r="E780" s="9"/>
      <c r="F780" s="16" t="str">
        <f aca="false">IF(B780="","",IF(COUNTIFS('PM Plan'!$A$5:$A$304,B780,'PM Plan'!$B$5:$B$304,C780)&gt;0,"OK","No matching asset + task in plan"))</f>
        <v/>
      </c>
    </row>
    <row r="781" customFormat="false" ht="15" hidden="false" customHeight="false" outlineLevel="0" collapsed="false">
      <c r="A781" s="13"/>
      <c r="B781" s="9"/>
      <c r="C781" s="9"/>
      <c r="D781" s="9"/>
      <c r="E781" s="9"/>
      <c r="F781" s="16" t="str">
        <f aca="false">IF(B781="","",IF(COUNTIFS('PM Plan'!$A$5:$A$304,B781,'PM Plan'!$B$5:$B$304,C781)&gt;0,"OK","No matching asset + task in plan"))</f>
        <v/>
      </c>
    </row>
    <row r="782" customFormat="false" ht="15" hidden="false" customHeight="false" outlineLevel="0" collapsed="false">
      <c r="A782" s="13"/>
      <c r="B782" s="9"/>
      <c r="C782" s="9"/>
      <c r="D782" s="9"/>
      <c r="E782" s="9"/>
      <c r="F782" s="16" t="str">
        <f aca="false">IF(B782="","",IF(COUNTIFS('PM Plan'!$A$5:$A$304,B782,'PM Plan'!$B$5:$B$304,C782)&gt;0,"OK","No matching asset + task in plan"))</f>
        <v/>
      </c>
    </row>
    <row r="783" customFormat="false" ht="15" hidden="false" customHeight="false" outlineLevel="0" collapsed="false">
      <c r="A783" s="13"/>
      <c r="B783" s="9"/>
      <c r="C783" s="9"/>
      <c r="D783" s="9"/>
      <c r="E783" s="9"/>
      <c r="F783" s="16" t="str">
        <f aca="false">IF(B783="","",IF(COUNTIFS('PM Plan'!$A$5:$A$304,B783,'PM Plan'!$B$5:$B$304,C783)&gt;0,"OK","No matching asset + task in plan"))</f>
        <v/>
      </c>
    </row>
    <row r="784" customFormat="false" ht="15" hidden="false" customHeight="false" outlineLevel="0" collapsed="false">
      <c r="A784" s="13"/>
      <c r="B784" s="9"/>
      <c r="C784" s="9"/>
      <c r="D784" s="9"/>
      <c r="E784" s="9"/>
      <c r="F784" s="16" t="str">
        <f aca="false">IF(B784="","",IF(COUNTIFS('PM Plan'!$A$5:$A$304,B784,'PM Plan'!$B$5:$B$304,C784)&gt;0,"OK","No matching asset + task in plan"))</f>
        <v/>
      </c>
    </row>
    <row r="785" customFormat="false" ht="15" hidden="false" customHeight="false" outlineLevel="0" collapsed="false">
      <c r="A785" s="13"/>
      <c r="B785" s="9"/>
      <c r="C785" s="9"/>
      <c r="D785" s="9"/>
      <c r="E785" s="9"/>
      <c r="F785" s="16" t="str">
        <f aca="false">IF(B785="","",IF(COUNTIFS('PM Plan'!$A$5:$A$304,B785,'PM Plan'!$B$5:$B$304,C785)&gt;0,"OK","No matching asset + task in plan"))</f>
        <v/>
      </c>
    </row>
    <row r="786" customFormat="false" ht="15" hidden="false" customHeight="false" outlineLevel="0" collapsed="false">
      <c r="A786" s="13"/>
      <c r="B786" s="9"/>
      <c r="C786" s="9"/>
      <c r="D786" s="9"/>
      <c r="E786" s="9"/>
      <c r="F786" s="16" t="str">
        <f aca="false">IF(B786="","",IF(COUNTIFS('PM Plan'!$A$5:$A$304,B786,'PM Plan'!$B$5:$B$304,C786)&gt;0,"OK","No matching asset + task in plan"))</f>
        <v/>
      </c>
    </row>
    <row r="787" customFormat="false" ht="15" hidden="false" customHeight="false" outlineLevel="0" collapsed="false">
      <c r="A787" s="13"/>
      <c r="B787" s="9"/>
      <c r="C787" s="9"/>
      <c r="D787" s="9"/>
      <c r="E787" s="9"/>
      <c r="F787" s="16" t="str">
        <f aca="false">IF(B787="","",IF(COUNTIFS('PM Plan'!$A$5:$A$304,B787,'PM Plan'!$B$5:$B$304,C787)&gt;0,"OK","No matching asset + task in plan"))</f>
        <v/>
      </c>
    </row>
    <row r="788" customFormat="false" ht="15" hidden="false" customHeight="false" outlineLevel="0" collapsed="false">
      <c r="A788" s="13"/>
      <c r="B788" s="9"/>
      <c r="C788" s="9"/>
      <c r="D788" s="9"/>
      <c r="E788" s="9"/>
      <c r="F788" s="16" t="str">
        <f aca="false">IF(B788="","",IF(COUNTIFS('PM Plan'!$A$5:$A$304,B788,'PM Plan'!$B$5:$B$304,C788)&gt;0,"OK","No matching asset + task in plan"))</f>
        <v/>
      </c>
    </row>
    <row r="789" customFormat="false" ht="15" hidden="false" customHeight="false" outlineLevel="0" collapsed="false">
      <c r="A789" s="13"/>
      <c r="B789" s="9"/>
      <c r="C789" s="9"/>
      <c r="D789" s="9"/>
      <c r="E789" s="9"/>
      <c r="F789" s="16" t="str">
        <f aca="false">IF(B789="","",IF(COUNTIFS('PM Plan'!$A$5:$A$304,B789,'PM Plan'!$B$5:$B$304,C789)&gt;0,"OK","No matching asset + task in plan"))</f>
        <v/>
      </c>
    </row>
    <row r="790" customFormat="false" ht="15" hidden="false" customHeight="false" outlineLevel="0" collapsed="false">
      <c r="A790" s="13"/>
      <c r="B790" s="9"/>
      <c r="C790" s="9"/>
      <c r="D790" s="9"/>
      <c r="E790" s="9"/>
      <c r="F790" s="16" t="str">
        <f aca="false">IF(B790="","",IF(COUNTIFS('PM Plan'!$A$5:$A$304,B790,'PM Plan'!$B$5:$B$304,C790)&gt;0,"OK","No matching asset + task in plan"))</f>
        <v/>
      </c>
    </row>
    <row r="791" customFormat="false" ht="15" hidden="false" customHeight="false" outlineLevel="0" collapsed="false">
      <c r="A791" s="13"/>
      <c r="B791" s="9"/>
      <c r="C791" s="9"/>
      <c r="D791" s="9"/>
      <c r="E791" s="9"/>
      <c r="F791" s="16" t="str">
        <f aca="false">IF(B791="","",IF(COUNTIFS('PM Plan'!$A$5:$A$304,B791,'PM Plan'!$B$5:$B$304,C791)&gt;0,"OK","No matching asset + task in plan"))</f>
        <v/>
      </c>
    </row>
    <row r="792" customFormat="false" ht="15" hidden="false" customHeight="false" outlineLevel="0" collapsed="false">
      <c r="A792" s="13"/>
      <c r="B792" s="9"/>
      <c r="C792" s="9"/>
      <c r="D792" s="9"/>
      <c r="E792" s="9"/>
      <c r="F792" s="16" t="str">
        <f aca="false">IF(B792="","",IF(COUNTIFS('PM Plan'!$A$5:$A$304,B792,'PM Plan'!$B$5:$B$304,C792)&gt;0,"OK","No matching asset + task in plan"))</f>
        <v/>
      </c>
    </row>
    <row r="793" customFormat="false" ht="15" hidden="false" customHeight="false" outlineLevel="0" collapsed="false">
      <c r="A793" s="13"/>
      <c r="B793" s="9"/>
      <c r="C793" s="9"/>
      <c r="D793" s="9"/>
      <c r="E793" s="9"/>
      <c r="F793" s="16" t="str">
        <f aca="false">IF(B793="","",IF(COUNTIFS('PM Plan'!$A$5:$A$304,B793,'PM Plan'!$B$5:$B$304,C793)&gt;0,"OK","No matching asset + task in plan"))</f>
        <v/>
      </c>
    </row>
    <row r="794" customFormat="false" ht="15" hidden="false" customHeight="false" outlineLevel="0" collapsed="false">
      <c r="A794" s="13"/>
      <c r="B794" s="9"/>
      <c r="C794" s="9"/>
      <c r="D794" s="9"/>
      <c r="E794" s="9"/>
      <c r="F794" s="16" t="str">
        <f aca="false">IF(B794="","",IF(COUNTIFS('PM Plan'!$A$5:$A$304,B794,'PM Plan'!$B$5:$B$304,C794)&gt;0,"OK","No matching asset + task in plan"))</f>
        <v/>
      </c>
    </row>
    <row r="795" customFormat="false" ht="15" hidden="false" customHeight="false" outlineLevel="0" collapsed="false">
      <c r="A795" s="13"/>
      <c r="B795" s="9"/>
      <c r="C795" s="9"/>
      <c r="D795" s="9"/>
      <c r="E795" s="9"/>
      <c r="F795" s="16" t="str">
        <f aca="false">IF(B795="","",IF(COUNTIFS('PM Plan'!$A$5:$A$304,B795,'PM Plan'!$B$5:$B$304,C795)&gt;0,"OK","No matching asset + task in plan"))</f>
        <v/>
      </c>
    </row>
    <row r="796" customFormat="false" ht="15" hidden="false" customHeight="false" outlineLevel="0" collapsed="false">
      <c r="A796" s="13"/>
      <c r="B796" s="9"/>
      <c r="C796" s="9"/>
      <c r="D796" s="9"/>
      <c r="E796" s="9"/>
      <c r="F796" s="16" t="str">
        <f aca="false">IF(B796="","",IF(COUNTIFS('PM Plan'!$A$5:$A$304,B796,'PM Plan'!$B$5:$B$304,C796)&gt;0,"OK","No matching asset + task in plan"))</f>
        <v/>
      </c>
    </row>
    <row r="797" customFormat="false" ht="15" hidden="false" customHeight="false" outlineLevel="0" collapsed="false">
      <c r="A797" s="13"/>
      <c r="B797" s="9"/>
      <c r="C797" s="9"/>
      <c r="D797" s="9"/>
      <c r="E797" s="9"/>
      <c r="F797" s="16" t="str">
        <f aca="false">IF(B797="","",IF(COUNTIFS('PM Plan'!$A$5:$A$304,B797,'PM Plan'!$B$5:$B$304,C797)&gt;0,"OK","No matching asset + task in plan"))</f>
        <v/>
      </c>
    </row>
    <row r="798" customFormat="false" ht="15" hidden="false" customHeight="false" outlineLevel="0" collapsed="false">
      <c r="A798" s="13"/>
      <c r="B798" s="9"/>
      <c r="C798" s="9"/>
      <c r="D798" s="9"/>
      <c r="E798" s="9"/>
      <c r="F798" s="16" t="str">
        <f aca="false">IF(B798="","",IF(COUNTIFS('PM Plan'!$A$5:$A$304,B798,'PM Plan'!$B$5:$B$304,C798)&gt;0,"OK","No matching asset + task in plan"))</f>
        <v/>
      </c>
    </row>
    <row r="799" customFormat="false" ht="15" hidden="false" customHeight="false" outlineLevel="0" collapsed="false">
      <c r="A799" s="13"/>
      <c r="B799" s="9"/>
      <c r="C799" s="9"/>
      <c r="D799" s="9"/>
      <c r="E799" s="9"/>
      <c r="F799" s="16" t="str">
        <f aca="false">IF(B799="","",IF(COUNTIFS('PM Plan'!$A$5:$A$304,B799,'PM Plan'!$B$5:$B$304,C799)&gt;0,"OK","No matching asset + task in plan"))</f>
        <v/>
      </c>
    </row>
    <row r="800" customFormat="false" ht="15" hidden="false" customHeight="false" outlineLevel="0" collapsed="false">
      <c r="A800" s="13"/>
      <c r="B800" s="9"/>
      <c r="C800" s="9"/>
      <c r="D800" s="9"/>
      <c r="E800" s="9"/>
      <c r="F800" s="16" t="str">
        <f aca="false">IF(B800="","",IF(COUNTIFS('PM Plan'!$A$5:$A$304,B800,'PM Plan'!$B$5:$B$304,C800)&gt;0,"OK","No matching asset + task in plan"))</f>
        <v/>
      </c>
    </row>
    <row r="801" customFormat="false" ht="15" hidden="false" customHeight="false" outlineLevel="0" collapsed="false">
      <c r="A801" s="13"/>
      <c r="B801" s="9"/>
      <c r="C801" s="9"/>
      <c r="D801" s="9"/>
      <c r="E801" s="9"/>
      <c r="F801" s="16" t="str">
        <f aca="false">IF(B801="","",IF(COUNTIFS('PM Plan'!$A$5:$A$304,B801,'PM Plan'!$B$5:$B$304,C801)&gt;0,"OK","No matching asset + task in plan"))</f>
        <v/>
      </c>
    </row>
    <row r="802" customFormat="false" ht="15" hidden="false" customHeight="false" outlineLevel="0" collapsed="false">
      <c r="A802" s="13"/>
      <c r="B802" s="9"/>
      <c r="C802" s="9"/>
      <c r="D802" s="9"/>
      <c r="E802" s="9"/>
      <c r="F802" s="16" t="str">
        <f aca="false">IF(B802="","",IF(COUNTIFS('PM Plan'!$A$5:$A$304,B802,'PM Plan'!$B$5:$B$304,C802)&gt;0,"OK","No matching asset + task in plan"))</f>
        <v/>
      </c>
    </row>
    <row r="803" customFormat="false" ht="15" hidden="false" customHeight="false" outlineLevel="0" collapsed="false">
      <c r="A803" s="13"/>
      <c r="B803" s="9"/>
      <c r="C803" s="9"/>
      <c r="D803" s="9"/>
      <c r="E803" s="9"/>
      <c r="F803" s="16" t="str">
        <f aca="false">IF(B803="","",IF(COUNTIFS('PM Plan'!$A$5:$A$304,B803,'PM Plan'!$B$5:$B$304,C803)&gt;0,"OK","No matching asset + task in plan"))</f>
        <v/>
      </c>
    </row>
    <row r="804" customFormat="false" ht="15" hidden="false" customHeight="false" outlineLevel="0" collapsed="false">
      <c r="A804" s="13"/>
      <c r="B804" s="9"/>
      <c r="C804" s="9"/>
      <c r="D804" s="9"/>
      <c r="E804" s="9"/>
      <c r="F804" s="16" t="str">
        <f aca="false">IF(B804="","",IF(COUNTIFS('PM Plan'!$A$5:$A$304,B804,'PM Plan'!$B$5:$B$304,C804)&gt;0,"OK","No matching asset + task in plan"))</f>
        <v/>
      </c>
    </row>
    <row r="805" customFormat="false" ht="15" hidden="false" customHeight="false" outlineLevel="0" collapsed="false">
      <c r="A805" s="13"/>
      <c r="B805" s="9"/>
      <c r="C805" s="9"/>
      <c r="D805" s="9"/>
      <c r="E805" s="9"/>
      <c r="F805" s="16" t="str">
        <f aca="false">IF(B805="","",IF(COUNTIFS('PM Plan'!$A$5:$A$304,B805,'PM Plan'!$B$5:$B$304,C805)&gt;0,"OK","No matching asset + task in plan"))</f>
        <v/>
      </c>
    </row>
    <row r="806" customFormat="false" ht="15" hidden="false" customHeight="false" outlineLevel="0" collapsed="false">
      <c r="A806" s="13"/>
      <c r="B806" s="9"/>
      <c r="C806" s="9"/>
      <c r="D806" s="9"/>
      <c r="E806" s="9"/>
      <c r="F806" s="16" t="str">
        <f aca="false">IF(B806="","",IF(COUNTIFS('PM Plan'!$A$5:$A$304,B806,'PM Plan'!$B$5:$B$304,C806)&gt;0,"OK","No matching asset + task in plan"))</f>
        <v/>
      </c>
    </row>
    <row r="807" customFormat="false" ht="15" hidden="false" customHeight="false" outlineLevel="0" collapsed="false">
      <c r="A807" s="13"/>
      <c r="B807" s="9"/>
      <c r="C807" s="9"/>
      <c r="D807" s="9"/>
      <c r="E807" s="9"/>
      <c r="F807" s="16" t="str">
        <f aca="false">IF(B807="","",IF(COUNTIFS('PM Plan'!$A$5:$A$304,B807,'PM Plan'!$B$5:$B$304,C807)&gt;0,"OK","No matching asset + task in plan"))</f>
        <v/>
      </c>
    </row>
    <row r="808" customFormat="false" ht="15" hidden="false" customHeight="false" outlineLevel="0" collapsed="false">
      <c r="A808" s="13"/>
      <c r="B808" s="9"/>
      <c r="C808" s="9"/>
      <c r="D808" s="9"/>
      <c r="E808" s="9"/>
      <c r="F808" s="16" t="str">
        <f aca="false">IF(B808="","",IF(COUNTIFS('PM Plan'!$A$5:$A$304,B808,'PM Plan'!$B$5:$B$304,C808)&gt;0,"OK","No matching asset + task in plan"))</f>
        <v/>
      </c>
    </row>
    <row r="809" customFormat="false" ht="15" hidden="false" customHeight="false" outlineLevel="0" collapsed="false">
      <c r="A809" s="13"/>
      <c r="B809" s="9"/>
      <c r="C809" s="9"/>
      <c r="D809" s="9"/>
      <c r="E809" s="9"/>
      <c r="F809" s="16" t="str">
        <f aca="false">IF(B809="","",IF(COUNTIFS('PM Plan'!$A$5:$A$304,B809,'PM Plan'!$B$5:$B$304,C809)&gt;0,"OK","No matching asset + task in plan"))</f>
        <v/>
      </c>
    </row>
    <row r="810" customFormat="false" ht="15" hidden="false" customHeight="false" outlineLevel="0" collapsed="false">
      <c r="A810" s="13"/>
      <c r="B810" s="9"/>
      <c r="C810" s="9"/>
      <c r="D810" s="9"/>
      <c r="E810" s="9"/>
      <c r="F810" s="16" t="str">
        <f aca="false">IF(B810="","",IF(COUNTIFS('PM Plan'!$A$5:$A$304,B810,'PM Plan'!$B$5:$B$304,C810)&gt;0,"OK","No matching asset + task in plan"))</f>
        <v/>
      </c>
    </row>
    <row r="811" customFormat="false" ht="15" hidden="false" customHeight="false" outlineLevel="0" collapsed="false">
      <c r="A811" s="13"/>
      <c r="B811" s="9"/>
      <c r="C811" s="9"/>
      <c r="D811" s="9"/>
      <c r="E811" s="9"/>
      <c r="F811" s="16" t="str">
        <f aca="false">IF(B811="","",IF(COUNTIFS('PM Plan'!$A$5:$A$304,B811,'PM Plan'!$B$5:$B$304,C811)&gt;0,"OK","No matching asset + task in plan"))</f>
        <v/>
      </c>
    </row>
    <row r="812" customFormat="false" ht="15" hidden="false" customHeight="false" outlineLevel="0" collapsed="false">
      <c r="A812" s="13"/>
      <c r="B812" s="9"/>
      <c r="C812" s="9"/>
      <c r="D812" s="9"/>
      <c r="E812" s="9"/>
      <c r="F812" s="16" t="str">
        <f aca="false">IF(B812="","",IF(COUNTIFS('PM Plan'!$A$5:$A$304,B812,'PM Plan'!$B$5:$B$304,C812)&gt;0,"OK","No matching asset + task in plan"))</f>
        <v/>
      </c>
    </row>
    <row r="813" customFormat="false" ht="15" hidden="false" customHeight="false" outlineLevel="0" collapsed="false">
      <c r="A813" s="13"/>
      <c r="B813" s="9"/>
      <c r="C813" s="9"/>
      <c r="D813" s="9"/>
      <c r="E813" s="9"/>
      <c r="F813" s="16" t="str">
        <f aca="false">IF(B813="","",IF(COUNTIFS('PM Plan'!$A$5:$A$304,B813,'PM Plan'!$B$5:$B$304,C813)&gt;0,"OK","No matching asset + task in plan"))</f>
        <v/>
      </c>
    </row>
    <row r="814" customFormat="false" ht="15" hidden="false" customHeight="false" outlineLevel="0" collapsed="false">
      <c r="A814" s="13"/>
      <c r="B814" s="9"/>
      <c r="C814" s="9"/>
      <c r="D814" s="9"/>
      <c r="E814" s="9"/>
      <c r="F814" s="16" t="str">
        <f aca="false">IF(B814="","",IF(COUNTIFS('PM Plan'!$A$5:$A$304,B814,'PM Plan'!$B$5:$B$304,C814)&gt;0,"OK","No matching asset + task in plan"))</f>
        <v/>
      </c>
    </row>
    <row r="815" customFormat="false" ht="15" hidden="false" customHeight="false" outlineLevel="0" collapsed="false">
      <c r="A815" s="13"/>
      <c r="B815" s="9"/>
      <c r="C815" s="9"/>
      <c r="D815" s="9"/>
      <c r="E815" s="9"/>
      <c r="F815" s="16" t="str">
        <f aca="false">IF(B815="","",IF(COUNTIFS('PM Plan'!$A$5:$A$304,B815,'PM Plan'!$B$5:$B$304,C815)&gt;0,"OK","No matching asset + task in plan"))</f>
        <v/>
      </c>
    </row>
    <row r="816" customFormat="false" ht="15" hidden="false" customHeight="false" outlineLevel="0" collapsed="false">
      <c r="A816" s="13"/>
      <c r="B816" s="9"/>
      <c r="C816" s="9"/>
      <c r="D816" s="9"/>
      <c r="E816" s="9"/>
      <c r="F816" s="16" t="str">
        <f aca="false">IF(B816="","",IF(COUNTIFS('PM Plan'!$A$5:$A$304,B816,'PM Plan'!$B$5:$B$304,C816)&gt;0,"OK","No matching asset + task in plan"))</f>
        <v/>
      </c>
    </row>
    <row r="817" customFormat="false" ht="15" hidden="false" customHeight="false" outlineLevel="0" collapsed="false">
      <c r="A817" s="13"/>
      <c r="B817" s="9"/>
      <c r="C817" s="9"/>
      <c r="D817" s="9"/>
      <c r="E817" s="9"/>
      <c r="F817" s="16" t="str">
        <f aca="false">IF(B817="","",IF(COUNTIFS('PM Plan'!$A$5:$A$304,B817,'PM Plan'!$B$5:$B$304,C817)&gt;0,"OK","No matching asset + task in plan"))</f>
        <v/>
      </c>
    </row>
    <row r="818" customFormat="false" ht="15" hidden="false" customHeight="false" outlineLevel="0" collapsed="false">
      <c r="A818" s="13"/>
      <c r="B818" s="9"/>
      <c r="C818" s="9"/>
      <c r="D818" s="9"/>
      <c r="E818" s="9"/>
      <c r="F818" s="16" t="str">
        <f aca="false">IF(B818="","",IF(COUNTIFS('PM Plan'!$A$5:$A$304,B818,'PM Plan'!$B$5:$B$304,C818)&gt;0,"OK","No matching asset + task in plan"))</f>
        <v/>
      </c>
    </row>
    <row r="819" customFormat="false" ht="15" hidden="false" customHeight="false" outlineLevel="0" collapsed="false">
      <c r="A819" s="13"/>
      <c r="B819" s="9"/>
      <c r="C819" s="9"/>
      <c r="D819" s="9"/>
      <c r="E819" s="9"/>
      <c r="F819" s="16" t="str">
        <f aca="false">IF(B819="","",IF(COUNTIFS('PM Plan'!$A$5:$A$304,B819,'PM Plan'!$B$5:$B$304,C819)&gt;0,"OK","No matching asset + task in plan"))</f>
        <v/>
      </c>
    </row>
    <row r="820" customFormat="false" ht="15" hidden="false" customHeight="false" outlineLevel="0" collapsed="false">
      <c r="A820" s="13"/>
      <c r="B820" s="9"/>
      <c r="C820" s="9"/>
      <c r="D820" s="9"/>
      <c r="E820" s="9"/>
      <c r="F820" s="16" t="str">
        <f aca="false">IF(B820="","",IF(COUNTIFS('PM Plan'!$A$5:$A$304,B820,'PM Plan'!$B$5:$B$304,C820)&gt;0,"OK","No matching asset + task in plan"))</f>
        <v/>
      </c>
    </row>
    <row r="821" customFormat="false" ht="15" hidden="false" customHeight="false" outlineLevel="0" collapsed="false">
      <c r="A821" s="13"/>
      <c r="B821" s="9"/>
      <c r="C821" s="9"/>
      <c r="D821" s="9"/>
      <c r="E821" s="9"/>
      <c r="F821" s="16" t="str">
        <f aca="false">IF(B821="","",IF(COUNTIFS('PM Plan'!$A$5:$A$304,B821,'PM Plan'!$B$5:$B$304,C821)&gt;0,"OK","No matching asset + task in plan"))</f>
        <v/>
      </c>
    </row>
    <row r="822" customFormat="false" ht="15" hidden="false" customHeight="false" outlineLevel="0" collapsed="false">
      <c r="A822" s="13"/>
      <c r="B822" s="9"/>
      <c r="C822" s="9"/>
      <c r="D822" s="9"/>
      <c r="E822" s="9"/>
      <c r="F822" s="16" t="str">
        <f aca="false">IF(B822="","",IF(COUNTIFS('PM Plan'!$A$5:$A$304,B822,'PM Plan'!$B$5:$B$304,C822)&gt;0,"OK","No matching asset + task in plan"))</f>
        <v/>
      </c>
    </row>
    <row r="823" customFormat="false" ht="15" hidden="false" customHeight="false" outlineLevel="0" collapsed="false">
      <c r="A823" s="13"/>
      <c r="B823" s="9"/>
      <c r="C823" s="9"/>
      <c r="D823" s="9"/>
      <c r="E823" s="9"/>
      <c r="F823" s="16" t="str">
        <f aca="false">IF(B823="","",IF(COUNTIFS('PM Plan'!$A$5:$A$304,B823,'PM Plan'!$B$5:$B$304,C823)&gt;0,"OK","No matching asset + task in plan"))</f>
        <v/>
      </c>
    </row>
    <row r="824" customFormat="false" ht="15" hidden="false" customHeight="false" outlineLevel="0" collapsed="false">
      <c r="A824" s="13"/>
      <c r="B824" s="9"/>
      <c r="C824" s="9"/>
      <c r="D824" s="9"/>
      <c r="E824" s="9"/>
      <c r="F824" s="16" t="str">
        <f aca="false">IF(B824="","",IF(COUNTIFS('PM Plan'!$A$5:$A$304,B824,'PM Plan'!$B$5:$B$304,C824)&gt;0,"OK","No matching asset + task in plan"))</f>
        <v/>
      </c>
    </row>
    <row r="825" customFormat="false" ht="15" hidden="false" customHeight="false" outlineLevel="0" collapsed="false">
      <c r="A825" s="13"/>
      <c r="B825" s="9"/>
      <c r="C825" s="9"/>
      <c r="D825" s="9"/>
      <c r="E825" s="9"/>
      <c r="F825" s="16" t="str">
        <f aca="false">IF(B825="","",IF(COUNTIFS('PM Plan'!$A$5:$A$304,B825,'PM Plan'!$B$5:$B$304,C825)&gt;0,"OK","No matching asset + task in plan"))</f>
        <v/>
      </c>
    </row>
    <row r="826" customFormat="false" ht="15" hidden="false" customHeight="false" outlineLevel="0" collapsed="false">
      <c r="A826" s="13"/>
      <c r="B826" s="9"/>
      <c r="C826" s="9"/>
      <c r="D826" s="9"/>
      <c r="E826" s="9"/>
      <c r="F826" s="16" t="str">
        <f aca="false">IF(B826="","",IF(COUNTIFS('PM Plan'!$A$5:$A$304,B826,'PM Plan'!$B$5:$B$304,C826)&gt;0,"OK","No matching asset + task in plan"))</f>
        <v/>
      </c>
    </row>
    <row r="827" customFormat="false" ht="15" hidden="false" customHeight="false" outlineLevel="0" collapsed="false">
      <c r="A827" s="13"/>
      <c r="B827" s="9"/>
      <c r="C827" s="9"/>
      <c r="D827" s="9"/>
      <c r="E827" s="9"/>
      <c r="F827" s="16" t="str">
        <f aca="false">IF(B827="","",IF(COUNTIFS('PM Plan'!$A$5:$A$304,B827,'PM Plan'!$B$5:$B$304,C827)&gt;0,"OK","No matching asset + task in plan"))</f>
        <v/>
      </c>
    </row>
    <row r="828" customFormat="false" ht="15" hidden="false" customHeight="false" outlineLevel="0" collapsed="false">
      <c r="A828" s="13"/>
      <c r="B828" s="9"/>
      <c r="C828" s="9"/>
      <c r="D828" s="9"/>
      <c r="E828" s="9"/>
      <c r="F828" s="16" t="str">
        <f aca="false">IF(B828="","",IF(COUNTIFS('PM Plan'!$A$5:$A$304,B828,'PM Plan'!$B$5:$B$304,C828)&gt;0,"OK","No matching asset + task in plan"))</f>
        <v/>
      </c>
    </row>
    <row r="829" customFormat="false" ht="15" hidden="false" customHeight="false" outlineLevel="0" collapsed="false">
      <c r="A829" s="13"/>
      <c r="B829" s="9"/>
      <c r="C829" s="9"/>
      <c r="D829" s="9"/>
      <c r="E829" s="9"/>
      <c r="F829" s="16" t="str">
        <f aca="false">IF(B829="","",IF(COUNTIFS('PM Plan'!$A$5:$A$304,B829,'PM Plan'!$B$5:$B$304,C829)&gt;0,"OK","No matching asset + task in plan"))</f>
        <v/>
      </c>
    </row>
    <row r="830" customFormat="false" ht="15" hidden="false" customHeight="false" outlineLevel="0" collapsed="false">
      <c r="A830" s="13"/>
      <c r="B830" s="9"/>
      <c r="C830" s="9"/>
      <c r="D830" s="9"/>
      <c r="E830" s="9"/>
      <c r="F830" s="16" t="str">
        <f aca="false">IF(B830="","",IF(COUNTIFS('PM Plan'!$A$5:$A$304,B830,'PM Plan'!$B$5:$B$304,C830)&gt;0,"OK","No matching asset + task in plan"))</f>
        <v/>
      </c>
    </row>
    <row r="831" customFormat="false" ht="15" hidden="false" customHeight="false" outlineLevel="0" collapsed="false">
      <c r="A831" s="13"/>
      <c r="B831" s="9"/>
      <c r="C831" s="9"/>
      <c r="D831" s="9"/>
      <c r="E831" s="9"/>
      <c r="F831" s="16" t="str">
        <f aca="false">IF(B831="","",IF(COUNTIFS('PM Plan'!$A$5:$A$304,B831,'PM Plan'!$B$5:$B$304,C831)&gt;0,"OK","No matching asset + task in plan"))</f>
        <v/>
      </c>
    </row>
    <row r="832" customFormat="false" ht="15" hidden="false" customHeight="false" outlineLevel="0" collapsed="false">
      <c r="A832" s="13"/>
      <c r="B832" s="9"/>
      <c r="C832" s="9"/>
      <c r="D832" s="9"/>
      <c r="E832" s="9"/>
      <c r="F832" s="16" t="str">
        <f aca="false">IF(B832="","",IF(COUNTIFS('PM Plan'!$A$5:$A$304,B832,'PM Plan'!$B$5:$B$304,C832)&gt;0,"OK","No matching asset + task in plan"))</f>
        <v/>
      </c>
    </row>
    <row r="833" customFormat="false" ht="15" hidden="false" customHeight="false" outlineLevel="0" collapsed="false">
      <c r="A833" s="13"/>
      <c r="B833" s="9"/>
      <c r="C833" s="9"/>
      <c r="D833" s="9"/>
      <c r="E833" s="9"/>
      <c r="F833" s="16" t="str">
        <f aca="false">IF(B833="","",IF(COUNTIFS('PM Plan'!$A$5:$A$304,B833,'PM Plan'!$B$5:$B$304,C833)&gt;0,"OK","No matching asset + task in plan"))</f>
        <v/>
      </c>
    </row>
    <row r="834" customFormat="false" ht="15" hidden="false" customHeight="false" outlineLevel="0" collapsed="false">
      <c r="A834" s="13"/>
      <c r="B834" s="9"/>
      <c r="C834" s="9"/>
      <c r="D834" s="9"/>
      <c r="E834" s="9"/>
      <c r="F834" s="16" t="str">
        <f aca="false">IF(B834="","",IF(COUNTIFS('PM Plan'!$A$5:$A$304,B834,'PM Plan'!$B$5:$B$304,C834)&gt;0,"OK","No matching asset + task in plan"))</f>
        <v/>
      </c>
    </row>
    <row r="835" customFormat="false" ht="15" hidden="false" customHeight="false" outlineLevel="0" collapsed="false">
      <c r="A835" s="13"/>
      <c r="B835" s="9"/>
      <c r="C835" s="9"/>
      <c r="D835" s="9"/>
      <c r="E835" s="9"/>
      <c r="F835" s="16" t="str">
        <f aca="false">IF(B835="","",IF(COUNTIFS('PM Plan'!$A$5:$A$304,B835,'PM Plan'!$B$5:$B$304,C835)&gt;0,"OK","No matching asset + task in plan"))</f>
        <v/>
      </c>
    </row>
    <row r="836" customFormat="false" ht="15" hidden="false" customHeight="false" outlineLevel="0" collapsed="false">
      <c r="A836" s="13"/>
      <c r="B836" s="9"/>
      <c r="C836" s="9"/>
      <c r="D836" s="9"/>
      <c r="E836" s="9"/>
      <c r="F836" s="16" t="str">
        <f aca="false">IF(B836="","",IF(COUNTIFS('PM Plan'!$A$5:$A$304,B836,'PM Plan'!$B$5:$B$304,C836)&gt;0,"OK","No matching asset + task in plan"))</f>
        <v/>
      </c>
    </row>
    <row r="837" customFormat="false" ht="15" hidden="false" customHeight="false" outlineLevel="0" collapsed="false">
      <c r="A837" s="13"/>
      <c r="B837" s="9"/>
      <c r="C837" s="9"/>
      <c r="D837" s="9"/>
      <c r="E837" s="9"/>
      <c r="F837" s="16" t="str">
        <f aca="false">IF(B837="","",IF(COUNTIFS('PM Plan'!$A$5:$A$304,B837,'PM Plan'!$B$5:$B$304,C837)&gt;0,"OK","No matching asset + task in plan"))</f>
        <v/>
      </c>
    </row>
    <row r="838" customFormat="false" ht="15" hidden="false" customHeight="false" outlineLevel="0" collapsed="false">
      <c r="A838" s="13"/>
      <c r="B838" s="9"/>
      <c r="C838" s="9"/>
      <c r="D838" s="9"/>
      <c r="E838" s="9"/>
      <c r="F838" s="16" t="str">
        <f aca="false">IF(B838="","",IF(COUNTIFS('PM Plan'!$A$5:$A$304,B838,'PM Plan'!$B$5:$B$304,C838)&gt;0,"OK","No matching asset + task in plan"))</f>
        <v/>
      </c>
    </row>
    <row r="839" customFormat="false" ht="15" hidden="false" customHeight="false" outlineLevel="0" collapsed="false">
      <c r="A839" s="13"/>
      <c r="B839" s="9"/>
      <c r="C839" s="9"/>
      <c r="D839" s="9"/>
      <c r="E839" s="9"/>
      <c r="F839" s="16" t="str">
        <f aca="false">IF(B839="","",IF(COUNTIFS('PM Plan'!$A$5:$A$304,B839,'PM Plan'!$B$5:$B$304,C839)&gt;0,"OK","No matching asset + task in plan"))</f>
        <v/>
      </c>
    </row>
    <row r="840" customFormat="false" ht="15" hidden="false" customHeight="false" outlineLevel="0" collapsed="false">
      <c r="A840" s="13"/>
      <c r="B840" s="9"/>
      <c r="C840" s="9"/>
      <c r="D840" s="9"/>
      <c r="E840" s="9"/>
      <c r="F840" s="16" t="str">
        <f aca="false">IF(B840="","",IF(COUNTIFS('PM Plan'!$A$5:$A$304,B840,'PM Plan'!$B$5:$B$304,C840)&gt;0,"OK","No matching asset + task in plan"))</f>
        <v/>
      </c>
    </row>
    <row r="841" customFormat="false" ht="15" hidden="false" customHeight="false" outlineLevel="0" collapsed="false">
      <c r="A841" s="13"/>
      <c r="B841" s="9"/>
      <c r="C841" s="9"/>
      <c r="D841" s="9"/>
      <c r="E841" s="9"/>
      <c r="F841" s="16" t="str">
        <f aca="false">IF(B841="","",IF(COUNTIFS('PM Plan'!$A$5:$A$304,B841,'PM Plan'!$B$5:$B$304,C841)&gt;0,"OK","No matching asset + task in plan"))</f>
        <v/>
      </c>
    </row>
    <row r="842" customFormat="false" ht="15" hidden="false" customHeight="false" outlineLevel="0" collapsed="false">
      <c r="A842" s="13"/>
      <c r="B842" s="9"/>
      <c r="C842" s="9"/>
      <c r="D842" s="9"/>
      <c r="E842" s="9"/>
      <c r="F842" s="16" t="str">
        <f aca="false">IF(B842="","",IF(COUNTIFS('PM Plan'!$A$5:$A$304,B842,'PM Plan'!$B$5:$B$304,C842)&gt;0,"OK","No matching asset + task in plan"))</f>
        <v/>
      </c>
    </row>
    <row r="843" customFormat="false" ht="15" hidden="false" customHeight="false" outlineLevel="0" collapsed="false">
      <c r="A843" s="13"/>
      <c r="B843" s="9"/>
      <c r="C843" s="9"/>
      <c r="D843" s="9"/>
      <c r="E843" s="9"/>
      <c r="F843" s="16" t="str">
        <f aca="false">IF(B843="","",IF(COUNTIFS('PM Plan'!$A$5:$A$304,B843,'PM Plan'!$B$5:$B$304,C843)&gt;0,"OK","No matching asset + task in plan"))</f>
        <v/>
      </c>
    </row>
    <row r="844" customFormat="false" ht="15" hidden="false" customHeight="false" outlineLevel="0" collapsed="false">
      <c r="A844" s="13"/>
      <c r="B844" s="9"/>
      <c r="C844" s="9"/>
      <c r="D844" s="9"/>
      <c r="E844" s="9"/>
      <c r="F844" s="16" t="str">
        <f aca="false">IF(B844="","",IF(COUNTIFS('PM Plan'!$A$5:$A$304,B844,'PM Plan'!$B$5:$B$304,C844)&gt;0,"OK","No matching asset + task in plan"))</f>
        <v/>
      </c>
    </row>
    <row r="845" customFormat="false" ht="15" hidden="false" customHeight="false" outlineLevel="0" collapsed="false">
      <c r="A845" s="13"/>
      <c r="B845" s="9"/>
      <c r="C845" s="9"/>
      <c r="D845" s="9"/>
      <c r="E845" s="9"/>
      <c r="F845" s="16" t="str">
        <f aca="false">IF(B845="","",IF(COUNTIFS('PM Plan'!$A$5:$A$304,B845,'PM Plan'!$B$5:$B$304,C845)&gt;0,"OK","No matching asset + task in plan"))</f>
        <v/>
      </c>
    </row>
    <row r="846" customFormat="false" ht="15" hidden="false" customHeight="false" outlineLevel="0" collapsed="false">
      <c r="A846" s="13"/>
      <c r="B846" s="9"/>
      <c r="C846" s="9"/>
      <c r="D846" s="9"/>
      <c r="E846" s="9"/>
      <c r="F846" s="16" t="str">
        <f aca="false">IF(B846="","",IF(COUNTIFS('PM Plan'!$A$5:$A$304,B846,'PM Plan'!$B$5:$B$304,C846)&gt;0,"OK","No matching asset + task in plan"))</f>
        <v/>
      </c>
    </row>
    <row r="847" customFormat="false" ht="15" hidden="false" customHeight="false" outlineLevel="0" collapsed="false">
      <c r="A847" s="13"/>
      <c r="B847" s="9"/>
      <c r="C847" s="9"/>
      <c r="D847" s="9"/>
      <c r="E847" s="9"/>
      <c r="F847" s="16" t="str">
        <f aca="false">IF(B847="","",IF(COUNTIFS('PM Plan'!$A$5:$A$304,B847,'PM Plan'!$B$5:$B$304,C847)&gt;0,"OK","No matching asset + task in plan"))</f>
        <v/>
      </c>
    </row>
    <row r="848" customFormat="false" ht="15" hidden="false" customHeight="false" outlineLevel="0" collapsed="false">
      <c r="A848" s="13"/>
      <c r="B848" s="9"/>
      <c r="C848" s="9"/>
      <c r="D848" s="9"/>
      <c r="E848" s="9"/>
      <c r="F848" s="16" t="str">
        <f aca="false">IF(B848="","",IF(COUNTIFS('PM Plan'!$A$5:$A$304,B848,'PM Plan'!$B$5:$B$304,C848)&gt;0,"OK","No matching asset + task in plan"))</f>
        <v/>
      </c>
    </row>
    <row r="849" customFormat="false" ht="15" hidden="false" customHeight="false" outlineLevel="0" collapsed="false">
      <c r="A849" s="13"/>
      <c r="B849" s="9"/>
      <c r="C849" s="9"/>
      <c r="D849" s="9"/>
      <c r="E849" s="9"/>
      <c r="F849" s="16" t="str">
        <f aca="false">IF(B849="","",IF(COUNTIFS('PM Plan'!$A$5:$A$304,B849,'PM Plan'!$B$5:$B$304,C849)&gt;0,"OK","No matching asset + task in plan"))</f>
        <v/>
      </c>
    </row>
    <row r="850" customFormat="false" ht="15" hidden="false" customHeight="false" outlineLevel="0" collapsed="false">
      <c r="A850" s="13"/>
      <c r="B850" s="9"/>
      <c r="C850" s="9"/>
      <c r="D850" s="9"/>
      <c r="E850" s="9"/>
      <c r="F850" s="16" t="str">
        <f aca="false">IF(B850="","",IF(COUNTIFS('PM Plan'!$A$5:$A$304,B850,'PM Plan'!$B$5:$B$304,C850)&gt;0,"OK","No matching asset + task in plan"))</f>
        <v/>
      </c>
    </row>
    <row r="851" customFormat="false" ht="15" hidden="false" customHeight="false" outlineLevel="0" collapsed="false">
      <c r="A851" s="13"/>
      <c r="B851" s="9"/>
      <c r="C851" s="9"/>
      <c r="D851" s="9"/>
      <c r="E851" s="9"/>
      <c r="F851" s="16" t="str">
        <f aca="false">IF(B851="","",IF(COUNTIFS('PM Plan'!$A$5:$A$304,B851,'PM Plan'!$B$5:$B$304,C851)&gt;0,"OK","No matching asset + task in plan"))</f>
        <v/>
      </c>
    </row>
    <row r="852" customFormat="false" ht="15" hidden="false" customHeight="false" outlineLevel="0" collapsed="false">
      <c r="A852" s="13"/>
      <c r="B852" s="9"/>
      <c r="C852" s="9"/>
      <c r="D852" s="9"/>
      <c r="E852" s="9"/>
      <c r="F852" s="16" t="str">
        <f aca="false">IF(B852="","",IF(COUNTIFS('PM Plan'!$A$5:$A$304,B852,'PM Plan'!$B$5:$B$304,C852)&gt;0,"OK","No matching asset + task in plan"))</f>
        <v/>
      </c>
    </row>
    <row r="853" customFormat="false" ht="15" hidden="false" customHeight="false" outlineLevel="0" collapsed="false">
      <c r="A853" s="13"/>
      <c r="B853" s="9"/>
      <c r="C853" s="9"/>
      <c r="D853" s="9"/>
      <c r="E853" s="9"/>
      <c r="F853" s="16" t="str">
        <f aca="false">IF(B853="","",IF(COUNTIFS('PM Plan'!$A$5:$A$304,B853,'PM Plan'!$B$5:$B$304,C853)&gt;0,"OK","No matching asset + task in plan"))</f>
        <v/>
      </c>
    </row>
    <row r="854" customFormat="false" ht="15" hidden="false" customHeight="false" outlineLevel="0" collapsed="false">
      <c r="A854" s="13"/>
      <c r="B854" s="9"/>
      <c r="C854" s="9"/>
      <c r="D854" s="9"/>
      <c r="E854" s="9"/>
      <c r="F854" s="16" t="str">
        <f aca="false">IF(B854="","",IF(COUNTIFS('PM Plan'!$A$5:$A$304,B854,'PM Plan'!$B$5:$B$304,C854)&gt;0,"OK","No matching asset + task in plan"))</f>
        <v/>
      </c>
    </row>
    <row r="855" customFormat="false" ht="15" hidden="false" customHeight="false" outlineLevel="0" collapsed="false">
      <c r="A855" s="13"/>
      <c r="B855" s="9"/>
      <c r="C855" s="9"/>
      <c r="D855" s="9"/>
      <c r="E855" s="9"/>
      <c r="F855" s="16" t="str">
        <f aca="false">IF(B855="","",IF(COUNTIFS('PM Plan'!$A$5:$A$304,B855,'PM Plan'!$B$5:$B$304,C855)&gt;0,"OK","No matching asset + task in plan"))</f>
        <v/>
      </c>
    </row>
    <row r="856" customFormat="false" ht="15" hidden="false" customHeight="false" outlineLevel="0" collapsed="false">
      <c r="A856" s="13"/>
      <c r="B856" s="9"/>
      <c r="C856" s="9"/>
      <c r="D856" s="9"/>
      <c r="E856" s="9"/>
      <c r="F856" s="16" t="str">
        <f aca="false">IF(B856="","",IF(COUNTIFS('PM Plan'!$A$5:$A$304,B856,'PM Plan'!$B$5:$B$304,C856)&gt;0,"OK","No matching asset + task in plan"))</f>
        <v/>
      </c>
    </row>
    <row r="857" customFormat="false" ht="15" hidden="false" customHeight="false" outlineLevel="0" collapsed="false">
      <c r="A857" s="13"/>
      <c r="B857" s="9"/>
      <c r="C857" s="9"/>
      <c r="D857" s="9"/>
      <c r="E857" s="9"/>
      <c r="F857" s="16" t="str">
        <f aca="false">IF(B857="","",IF(COUNTIFS('PM Plan'!$A$5:$A$304,B857,'PM Plan'!$B$5:$B$304,C857)&gt;0,"OK","No matching asset + task in plan"))</f>
        <v/>
      </c>
    </row>
    <row r="858" customFormat="false" ht="15" hidden="false" customHeight="false" outlineLevel="0" collapsed="false">
      <c r="A858" s="13"/>
      <c r="B858" s="9"/>
      <c r="C858" s="9"/>
      <c r="D858" s="9"/>
      <c r="E858" s="9"/>
      <c r="F858" s="16" t="str">
        <f aca="false">IF(B858="","",IF(COUNTIFS('PM Plan'!$A$5:$A$304,B858,'PM Plan'!$B$5:$B$304,C858)&gt;0,"OK","No matching asset + task in plan"))</f>
        <v/>
      </c>
    </row>
    <row r="859" customFormat="false" ht="15" hidden="false" customHeight="false" outlineLevel="0" collapsed="false">
      <c r="A859" s="13"/>
      <c r="B859" s="9"/>
      <c r="C859" s="9"/>
      <c r="D859" s="9"/>
      <c r="E859" s="9"/>
      <c r="F859" s="16" t="str">
        <f aca="false">IF(B859="","",IF(COUNTIFS('PM Plan'!$A$5:$A$304,B859,'PM Plan'!$B$5:$B$304,C859)&gt;0,"OK","No matching asset + task in plan"))</f>
        <v/>
      </c>
    </row>
    <row r="860" customFormat="false" ht="15" hidden="false" customHeight="false" outlineLevel="0" collapsed="false">
      <c r="A860" s="13"/>
      <c r="B860" s="9"/>
      <c r="C860" s="9"/>
      <c r="D860" s="9"/>
      <c r="E860" s="9"/>
      <c r="F860" s="16" t="str">
        <f aca="false">IF(B860="","",IF(COUNTIFS('PM Plan'!$A$5:$A$304,B860,'PM Plan'!$B$5:$B$304,C860)&gt;0,"OK","No matching asset + task in plan"))</f>
        <v/>
      </c>
    </row>
    <row r="861" customFormat="false" ht="15" hidden="false" customHeight="false" outlineLevel="0" collapsed="false">
      <c r="A861" s="13"/>
      <c r="B861" s="9"/>
      <c r="C861" s="9"/>
      <c r="D861" s="9"/>
      <c r="E861" s="9"/>
      <c r="F861" s="16" t="str">
        <f aca="false">IF(B861="","",IF(COUNTIFS('PM Plan'!$A$5:$A$304,B861,'PM Plan'!$B$5:$B$304,C861)&gt;0,"OK","No matching asset + task in plan"))</f>
        <v/>
      </c>
    </row>
    <row r="862" customFormat="false" ht="15" hidden="false" customHeight="false" outlineLevel="0" collapsed="false">
      <c r="A862" s="13"/>
      <c r="B862" s="9"/>
      <c r="C862" s="9"/>
      <c r="D862" s="9"/>
      <c r="E862" s="9"/>
      <c r="F862" s="16" t="str">
        <f aca="false">IF(B862="","",IF(COUNTIFS('PM Plan'!$A$5:$A$304,B862,'PM Plan'!$B$5:$B$304,C862)&gt;0,"OK","No matching asset + task in plan"))</f>
        <v/>
      </c>
    </row>
    <row r="863" customFormat="false" ht="15" hidden="false" customHeight="false" outlineLevel="0" collapsed="false">
      <c r="A863" s="13"/>
      <c r="B863" s="9"/>
      <c r="C863" s="9"/>
      <c r="D863" s="9"/>
      <c r="E863" s="9"/>
      <c r="F863" s="16" t="str">
        <f aca="false">IF(B863="","",IF(COUNTIFS('PM Plan'!$A$5:$A$304,B863,'PM Plan'!$B$5:$B$304,C863)&gt;0,"OK","No matching asset + task in plan"))</f>
        <v/>
      </c>
    </row>
    <row r="864" customFormat="false" ht="15" hidden="false" customHeight="false" outlineLevel="0" collapsed="false">
      <c r="A864" s="13"/>
      <c r="B864" s="9"/>
      <c r="C864" s="9"/>
      <c r="D864" s="9"/>
      <c r="E864" s="9"/>
      <c r="F864" s="16" t="str">
        <f aca="false">IF(B864="","",IF(COUNTIFS('PM Plan'!$A$5:$A$304,B864,'PM Plan'!$B$5:$B$304,C864)&gt;0,"OK","No matching asset + task in plan"))</f>
        <v/>
      </c>
    </row>
    <row r="865" customFormat="false" ht="15" hidden="false" customHeight="false" outlineLevel="0" collapsed="false">
      <c r="A865" s="13"/>
      <c r="B865" s="9"/>
      <c r="C865" s="9"/>
      <c r="D865" s="9"/>
      <c r="E865" s="9"/>
      <c r="F865" s="16" t="str">
        <f aca="false">IF(B865="","",IF(COUNTIFS('PM Plan'!$A$5:$A$304,B865,'PM Plan'!$B$5:$B$304,C865)&gt;0,"OK","No matching asset + task in plan"))</f>
        <v/>
      </c>
    </row>
    <row r="866" customFormat="false" ht="15" hidden="false" customHeight="false" outlineLevel="0" collapsed="false">
      <c r="A866" s="13"/>
      <c r="B866" s="9"/>
      <c r="C866" s="9"/>
      <c r="D866" s="9"/>
      <c r="E866" s="9"/>
      <c r="F866" s="16" t="str">
        <f aca="false">IF(B866="","",IF(COUNTIFS('PM Plan'!$A$5:$A$304,B866,'PM Plan'!$B$5:$B$304,C866)&gt;0,"OK","No matching asset + task in plan"))</f>
        <v/>
      </c>
    </row>
    <row r="867" customFormat="false" ht="15" hidden="false" customHeight="false" outlineLevel="0" collapsed="false">
      <c r="A867" s="13"/>
      <c r="B867" s="9"/>
      <c r="C867" s="9"/>
      <c r="D867" s="9"/>
      <c r="E867" s="9"/>
      <c r="F867" s="16" t="str">
        <f aca="false">IF(B867="","",IF(COUNTIFS('PM Plan'!$A$5:$A$304,B867,'PM Plan'!$B$5:$B$304,C867)&gt;0,"OK","No matching asset + task in plan"))</f>
        <v/>
      </c>
    </row>
    <row r="868" customFormat="false" ht="15" hidden="false" customHeight="false" outlineLevel="0" collapsed="false">
      <c r="A868" s="13"/>
      <c r="B868" s="9"/>
      <c r="C868" s="9"/>
      <c r="D868" s="9"/>
      <c r="E868" s="9"/>
      <c r="F868" s="16" t="str">
        <f aca="false">IF(B868="","",IF(COUNTIFS('PM Plan'!$A$5:$A$304,B868,'PM Plan'!$B$5:$B$304,C868)&gt;0,"OK","No matching asset + task in plan"))</f>
        <v/>
      </c>
    </row>
    <row r="869" customFormat="false" ht="15" hidden="false" customHeight="false" outlineLevel="0" collapsed="false">
      <c r="A869" s="13"/>
      <c r="B869" s="9"/>
      <c r="C869" s="9"/>
      <c r="D869" s="9"/>
      <c r="E869" s="9"/>
      <c r="F869" s="16" t="str">
        <f aca="false">IF(B869="","",IF(COUNTIFS('PM Plan'!$A$5:$A$304,B869,'PM Plan'!$B$5:$B$304,C869)&gt;0,"OK","No matching asset + task in plan"))</f>
        <v/>
      </c>
    </row>
    <row r="870" customFormat="false" ht="15" hidden="false" customHeight="false" outlineLevel="0" collapsed="false">
      <c r="A870" s="13"/>
      <c r="B870" s="9"/>
      <c r="C870" s="9"/>
      <c r="D870" s="9"/>
      <c r="E870" s="9"/>
      <c r="F870" s="16" t="str">
        <f aca="false">IF(B870="","",IF(COUNTIFS('PM Plan'!$A$5:$A$304,B870,'PM Plan'!$B$5:$B$304,C870)&gt;0,"OK","No matching asset + task in plan"))</f>
        <v/>
      </c>
    </row>
    <row r="871" customFormat="false" ht="15" hidden="false" customHeight="false" outlineLevel="0" collapsed="false">
      <c r="A871" s="13"/>
      <c r="B871" s="9"/>
      <c r="C871" s="9"/>
      <c r="D871" s="9"/>
      <c r="E871" s="9"/>
      <c r="F871" s="16" t="str">
        <f aca="false">IF(B871="","",IF(COUNTIFS('PM Plan'!$A$5:$A$304,B871,'PM Plan'!$B$5:$B$304,C871)&gt;0,"OK","No matching asset + task in plan"))</f>
        <v/>
      </c>
    </row>
    <row r="872" customFormat="false" ht="15" hidden="false" customHeight="false" outlineLevel="0" collapsed="false">
      <c r="A872" s="13"/>
      <c r="B872" s="9"/>
      <c r="C872" s="9"/>
      <c r="D872" s="9"/>
      <c r="E872" s="9"/>
      <c r="F872" s="16" t="str">
        <f aca="false">IF(B872="","",IF(COUNTIFS('PM Plan'!$A$5:$A$304,B872,'PM Plan'!$B$5:$B$304,C872)&gt;0,"OK","No matching asset + task in plan"))</f>
        <v/>
      </c>
    </row>
    <row r="873" customFormat="false" ht="15" hidden="false" customHeight="false" outlineLevel="0" collapsed="false">
      <c r="A873" s="13"/>
      <c r="B873" s="9"/>
      <c r="C873" s="9"/>
      <c r="D873" s="9"/>
      <c r="E873" s="9"/>
      <c r="F873" s="16" t="str">
        <f aca="false">IF(B873="","",IF(COUNTIFS('PM Plan'!$A$5:$A$304,B873,'PM Plan'!$B$5:$B$304,C873)&gt;0,"OK","No matching asset + task in plan"))</f>
        <v/>
      </c>
    </row>
    <row r="874" customFormat="false" ht="15" hidden="false" customHeight="false" outlineLevel="0" collapsed="false">
      <c r="A874" s="13"/>
      <c r="B874" s="9"/>
      <c r="C874" s="9"/>
      <c r="D874" s="9"/>
      <c r="E874" s="9"/>
      <c r="F874" s="16" t="str">
        <f aca="false">IF(B874="","",IF(COUNTIFS('PM Plan'!$A$5:$A$304,B874,'PM Plan'!$B$5:$B$304,C874)&gt;0,"OK","No matching asset + task in plan"))</f>
        <v/>
      </c>
    </row>
    <row r="875" customFormat="false" ht="15" hidden="false" customHeight="false" outlineLevel="0" collapsed="false">
      <c r="A875" s="13"/>
      <c r="B875" s="9"/>
      <c r="C875" s="9"/>
      <c r="D875" s="9"/>
      <c r="E875" s="9"/>
      <c r="F875" s="16" t="str">
        <f aca="false">IF(B875="","",IF(COUNTIFS('PM Plan'!$A$5:$A$304,B875,'PM Plan'!$B$5:$B$304,C875)&gt;0,"OK","No matching asset + task in plan"))</f>
        <v/>
      </c>
    </row>
    <row r="876" customFormat="false" ht="15" hidden="false" customHeight="false" outlineLevel="0" collapsed="false">
      <c r="A876" s="13"/>
      <c r="B876" s="9"/>
      <c r="C876" s="9"/>
      <c r="D876" s="9"/>
      <c r="E876" s="9"/>
      <c r="F876" s="16" t="str">
        <f aca="false">IF(B876="","",IF(COUNTIFS('PM Plan'!$A$5:$A$304,B876,'PM Plan'!$B$5:$B$304,C876)&gt;0,"OK","No matching asset + task in plan"))</f>
        <v/>
      </c>
    </row>
    <row r="877" customFormat="false" ht="15" hidden="false" customHeight="false" outlineLevel="0" collapsed="false">
      <c r="A877" s="13"/>
      <c r="B877" s="9"/>
      <c r="C877" s="9"/>
      <c r="D877" s="9"/>
      <c r="E877" s="9"/>
      <c r="F877" s="16" t="str">
        <f aca="false">IF(B877="","",IF(COUNTIFS('PM Plan'!$A$5:$A$304,B877,'PM Plan'!$B$5:$B$304,C877)&gt;0,"OK","No matching asset + task in plan"))</f>
        <v/>
      </c>
    </row>
    <row r="878" customFormat="false" ht="15" hidden="false" customHeight="false" outlineLevel="0" collapsed="false">
      <c r="A878" s="13"/>
      <c r="B878" s="9"/>
      <c r="C878" s="9"/>
      <c r="D878" s="9"/>
      <c r="E878" s="9"/>
      <c r="F878" s="16" t="str">
        <f aca="false">IF(B878="","",IF(COUNTIFS('PM Plan'!$A$5:$A$304,B878,'PM Plan'!$B$5:$B$304,C878)&gt;0,"OK","No matching asset + task in plan"))</f>
        <v/>
      </c>
    </row>
    <row r="879" customFormat="false" ht="15" hidden="false" customHeight="false" outlineLevel="0" collapsed="false">
      <c r="A879" s="13"/>
      <c r="B879" s="9"/>
      <c r="C879" s="9"/>
      <c r="D879" s="9"/>
      <c r="E879" s="9"/>
      <c r="F879" s="16" t="str">
        <f aca="false">IF(B879="","",IF(COUNTIFS('PM Plan'!$A$5:$A$304,B879,'PM Plan'!$B$5:$B$304,C879)&gt;0,"OK","No matching asset + task in plan"))</f>
        <v/>
      </c>
    </row>
    <row r="880" customFormat="false" ht="15" hidden="false" customHeight="false" outlineLevel="0" collapsed="false">
      <c r="A880" s="13"/>
      <c r="B880" s="9"/>
      <c r="C880" s="9"/>
      <c r="D880" s="9"/>
      <c r="E880" s="9"/>
      <c r="F880" s="16" t="str">
        <f aca="false">IF(B880="","",IF(COUNTIFS('PM Plan'!$A$5:$A$304,B880,'PM Plan'!$B$5:$B$304,C880)&gt;0,"OK","No matching asset + task in plan"))</f>
        <v/>
      </c>
    </row>
    <row r="881" customFormat="false" ht="15" hidden="false" customHeight="false" outlineLevel="0" collapsed="false">
      <c r="A881" s="13"/>
      <c r="B881" s="9"/>
      <c r="C881" s="9"/>
      <c r="D881" s="9"/>
      <c r="E881" s="9"/>
      <c r="F881" s="16" t="str">
        <f aca="false">IF(B881="","",IF(COUNTIFS('PM Plan'!$A$5:$A$304,B881,'PM Plan'!$B$5:$B$304,C881)&gt;0,"OK","No matching asset + task in plan"))</f>
        <v/>
      </c>
    </row>
    <row r="882" customFormat="false" ht="15" hidden="false" customHeight="false" outlineLevel="0" collapsed="false">
      <c r="A882" s="13"/>
      <c r="B882" s="9"/>
      <c r="C882" s="9"/>
      <c r="D882" s="9"/>
      <c r="E882" s="9"/>
      <c r="F882" s="16" t="str">
        <f aca="false">IF(B882="","",IF(COUNTIFS('PM Plan'!$A$5:$A$304,B882,'PM Plan'!$B$5:$B$304,C882)&gt;0,"OK","No matching asset + task in plan"))</f>
        <v/>
      </c>
    </row>
    <row r="883" customFormat="false" ht="15" hidden="false" customHeight="false" outlineLevel="0" collapsed="false">
      <c r="A883" s="13"/>
      <c r="B883" s="9"/>
      <c r="C883" s="9"/>
      <c r="D883" s="9"/>
      <c r="E883" s="9"/>
      <c r="F883" s="16" t="str">
        <f aca="false">IF(B883="","",IF(COUNTIFS('PM Plan'!$A$5:$A$304,B883,'PM Plan'!$B$5:$B$304,C883)&gt;0,"OK","No matching asset + task in plan"))</f>
        <v/>
      </c>
    </row>
    <row r="884" customFormat="false" ht="15" hidden="false" customHeight="false" outlineLevel="0" collapsed="false">
      <c r="A884" s="13"/>
      <c r="B884" s="9"/>
      <c r="C884" s="9"/>
      <c r="D884" s="9"/>
      <c r="E884" s="9"/>
      <c r="F884" s="16" t="str">
        <f aca="false">IF(B884="","",IF(COUNTIFS('PM Plan'!$A$5:$A$304,B884,'PM Plan'!$B$5:$B$304,C884)&gt;0,"OK","No matching asset + task in plan"))</f>
        <v/>
      </c>
    </row>
    <row r="885" customFormat="false" ht="15" hidden="false" customHeight="false" outlineLevel="0" collapsed="false">
      <c r="A885" s="13"/>
      <c r="B885" s="9"/>
      <c r="C885" s="9"/>
      <c r="D885" s="9"/>
      <c r="E885" s="9"/>
      <c r="F885" s="16" t="str">
        <f aca="false">IF(B885="","",IF(COUNTIFS('PM Plan'!$A$5:$A$304,B885,'PM Plan'!$B$5:$B$304,C885)&gt;0,"OK","No matching asset + task in plan"))</f>
        <v/>
      </c>
    </row>
    <row r="886" customFormat="false" ht="15" hidden="false" customHeight="false" outlineLevel="0" collapsed="false">
      <c r="A886" s="13"/>
      <c r="B886" s="9"/>
      <c r="C886" s="9"/>
      <c r="D886" s="9"/>
      <c r="E886" s="9"/>
      <c r="F886" s="16" t="str">
        <f aca="false">IF(B886="","",IF(COUNTIFS('PM Plan'!$A$5:$A$304,B886,'PM Plan'!$B$5:$B$304,C886)&gt;0,"OK","No matching asset + task in plan"))</f>
        <v/>
      </c>
    </row>
    <row r="887" customFormat="false" ht="15" hidden="false" customHeight="false" outlineLevel="0" collapsed="false">
      <c r="A887" s="13"/>
      <c r="B887" s="9"/>
      <c r="C887" s="9"/>
      <c r="D887" s="9"/>
      <c r="E887" s="9"/>
      <c r="F887" s="16" t="str">
        <f aca="false">IF(B887="","",IF(COUNTIFS('PM Plan'!$A$5:$A$304,B887,'PM Plan'!$B$5:$B$304,C887)&gt;0,"OK","No matching asset + task in plan"))</f>
        <v/>
      </c>
    </row>
    <row r="888" customFormat="false" ht="15" hidden="false" customHeight="false" outlineLevel="0" collapsed="false">
      <c r="A888" s="13"/>
      <c r="B888" s="9"/>
      <c r="C888" s="9"/>
      <c r="D888" s="9"/>
      <c r="E888" s="9"/>
      <c r="F888" s="16" t="str">
        <f aca="false">IF(B888="","",IF(COUNTIFS('PM Plan'!$A$5:$A$304,B888,'PM Plan'!$B$5:$B$304,C888)&gt;0,"OK","No matching asset + task in plan"))</f>
        <v/>
      </c>
    </row>
    <row r="889" customFormat="false" ht="15" hidden="false" customHeight="false" outlineLevel="0" collapsed="false">
      <c r="A889" s="13"/>
      <c r="B889" s="9"/>
      <c r="C889" s="9"/>
      <c r="D889" s="9"/>
      <c r="E889" s="9"/>
      <c r="F889" s="16" t="str">
        <f aca="false">IF(B889="","",IF(COUNTIFS('PM Plan'!$A$5:$A$304,B889,'PM Plan'!$B$5:$B$304,C889)&gt;0,"OK","No matching asset + task in plan"))</f>
        <v/>
      </c>
    </row>
    <row r="890" customFormat="false" ht="15" hidden="false" customHeight="false" outlineLevel="0" collapsed="false">
      <c r="A890" s="13"/>
      <c r="B890" s="9"/>
      <c r="C890" s="9"/>
      <c r="D890" s="9"/>
      <c r="E890" s="9"/>
      <c r="F890" s="16" t="str">
        <f aca="false">IF(B890="","",IF(COUNTIFS('PM Plan'!$A$5:$A$304,B890,'PM Plan'!$B$5:$B$304,C890)&gt;0,"OK","No matching asset + task in plan"))</f>
        <v/>
      </c>
    </row>
    <row r="891" customFormat="false" ht="15" hidden="false" customHeight="false" outlineLevel="0" collapsed="false">
      <c r="A891" s="13"/>
      <c r="B891" s="9"/>
      <c r="C891" s="9"/>
      <c r="D891" s="9"/>
      <c r="E891" s="9"/>
      <c r="F891" s="16" t="str">
        <f aca="false">IF(B891="","",IF(COUNTIFS('PM Plan'!$A$5:$A$304,B891,'PM Plan'!$B$5:$B$304,C891)&gt;0,"OK","No matching asset + task in plan"))</f>
        <v/>
      </c>
    </row>
    <row r="892" customFormat="false" ht="15" hidden="false" customHeight="false" outlineLevel="0" collapsed="false">
      <c r="A892" s="13"/>
      <c r="B892" s="9"/>
      <c r="C892" s="9"/>
      <c r="D892" s="9"/>
      <c r="E892" s="9"/>
      <c r="F892" s="16" t="str">
        <f aca="false">IF(B892="","",IF(COUNTIFS('PM Plan'!$A$5:$A$304,B892,'PM Plan'!$B$5:$B$304,C892)&gt;0,"OK","No matching asset + task in plan"))</f>
        <v/>
      </c>
    </row>
    <row r="893" customFormat="false" ht="15" hidden="false" customHeight="false" outlineLevel="0" collapsed="false">
      <c r="A893" s="13"/>
      <c r="B893" s="9"/>
      <c r="C893" s="9"/>
      <c r="D893" s="9"/>
      <c r="E893" s="9"/>
      <c r="F893" s="16" t="str">
        <f aca="false">IF(B893="","",IF(COUNTIFS('PM Plan'!$A$5:$A$304,B893,'PM Plan'!$B$5:$B$304,C893)&gt;0,"OK","No matching asset + task in plan"))</f>
        <v/>
      </c>
    </row>
    <row r="894" customFormat="false" ht="15" hidden="false" customHeight="false" outlineLevel="0" collapsed="false">
      <c r="A894" s="13"/>
      <c r="B894" s="9"/>
      <c r="C894" s="9"/>
      <c r="D894" s="9"/>
      <c r="E894" s="9"/>
      <c r="F894" s="16" t="str">
        <f aca="false">IF(B894="","",IF(COUNTIFS('PM Plan'!$A$5:$A$304,B894,'PM Plan'!$B$5:$B$304,C894)&gt;0,"OK","No matching asset + task in plan"))</f>
        <v/>
      </c>
    </row>
    <row r="895" customFormat="false" ht="15" hidden="false" customHeight="false" outlineLevel="0" collapsed="false">
      <c r="A895" s="13"/>
      <c r="B895" s="9"/>
      <c r="C895" s="9"/>
      <c r="D895" s="9"/>
      <c r="E895" s="9"/>
      <c r="F895" s="16" t="str">
        <f aca="false">IF(B895="","",IF(COUNTIFS('PM Plan'!$A$5:$A$304,B895,'PM Plan'!$B$5:$B$304,C895)&gt;0,"OK","No matching asset + task in plan"))</f>
        <v/>
      </c>
    </row>
    <row r="896" customFormat="false" ht="15" hidden="false" customHeight="false" outlineLevel="0" collapsed="false">
      <c r="A896" s="13"/>
      <c r="B896" s="9"/>
      <c r="C896" s="9"/>
      <c r="D896" s="9"/>
      <c r="E896" s="9"/>
      <c r="F896" s="16" t="str">
        <f aca="false">IF(B896="","",IF(COUNTIFS('PM Plan'!$A$5:$A$304,B896,'PM Plan'!$B$5:$B$304,C896)&gt;0,"OK","No matching asset + task in plan"))</f>
        <v/>
      </c>
    </row>
    <row r="897" customFormat="false" ht="15" hidden="false" customHeight="false" outlineLevel="0" collapsed="false">
      <c r="A897" s="13"/>
      <c r="B897" s="9"/>
      <c r="C897" s="9"/>
      <c r="D897" s="9"/>
      <c r="E897" s="9"/>
      <c r="F897" s="16" t="str">
        <f aca="false">IF(B897="","",IF(COUNTIFS('PM Plan'!$A$5:$A$304,B897,'PM Plan'!$B$5:$B$304,C897)&gt;0,"OK","No matching asset + task in plan"))</f>
        <v/>
      </c>
    </row>
    <row r="898" customFormat="false" ht="15" hidden="false" customHeight="false" outlineLevel="0" collapsed="false">
      <c r="A898" s="13"/>
      <c r="B898" s="9"/>
      <c r="C898" s="9"/>
      <c r="D898" s="9"/>
      <c r="E898" s="9"/>
      <c r="F898" s="16" t="str">
        <f aca="false">IF(B898="","",IF(COUNTIFS('PM Plan'!$A$5:$A$304,B898,'PM Plan'!$B$5:$B$304,C898)&gt;0,"OK","No matching asset + task in plan"))</f>
        <v/>
      </c>
    </row>
    <row r="899" customFormat="false" ht="15" hidden="false" customHeight="false" outlineLevel="0" collapsed="false">
      <c r="A899" s="13"/>
      <c r="B899" s="9"/>
      <c r="C899" s="9"/>
      <c r="D899" s="9"/>
      <c r="E899" s="9"/>
      <c r="F899" s="16" t="str">
        <f aca="false">IF(B899="","",IF(COUNTIFS('PM Plan'!$A$5:$A$304,B899,'PM Plan'!$B$5:$B$304,C899)&gt;0,"OK","No matching asset + task in plan"))</f>
        <v/>
      </c>
    </row>
    <row r="900" customFormat="false" ht="15" hidden="false" customHeight="false" outlineLevel="0" collapsed="false">
      <c r="A900" s="13"/>
      <c r="B900" s="9"/>
      <c r="C900" s="9"/>
      <c r="D900" s="9"/>
      <c r="E900" s="9"/>
      <c r="F900" s="16" t="str">
        <f aca="false">IF(B900="","",IF(COUNTIFS('PM Plan'!$A$5:$A$304,B900,'PM Plan'!$B$5:$B$304,C900)&gt;0,"OK","No matching asset + task in plan"))</f>
        <v/>
      </c>
    </row>
    <row r="901" customFormat="false" ht="15" hidden="false" customHeight="false" outlineLevel="0" collapsed="false">
      <c r="A901" s="13"/>
      <c r="B901" s="9"/>
      <c r="C901" s="9"/>
      <c r="D901" s="9"/>
      <c r="E901" s="9"/>
      <c r="F901" s="16" t="str">
        <f aca="false">IF(B901="","",IF(COUNTIFS('PM Plan'!$A$5:$A$304,B901,'PM Plan'!$B$5:$B$304,C901)&gt;0,"OK","No matching asset + task in plan"))</f>
        <v/>
      </c>
    </row>
    <row r="902" customFormat="false" ht="15" hidden="false" customHeight="false" outlineLevel="0" collapsed="false">
      <c r="A902" s="13"/>
      <c r="B902" s="9"/>
      <c r="C902" s="9"/>
      <c r="D902" s="9"/>
      <c r="E902" s="9"/>
      <c r="F902" s="16" t="str">
        <f aca="false">IF(B902="","",IF(COUNTIFS('PM Plan'!$A$5:$A$304,B902,'PM Plan'!$B$5:$B$304,C902)&gt;0,"OK","No matching asset + task in plan"))</f>
        <v/>
      </c>
    </row>
    <row r="903" customFormat="false" ht="15" hidden="false" customHeight="false" outlineLevel="0" collapsed="false">
      <c r="A903" s="13"/>
      <c r="B903" s="9"/>
      <c r="C903" s="9"/>
      <c r="D903" s="9"/>
      <c r="E903" s="9"/>
      <c r="F903" s="16" t="str">
        <f aca="false">IF(B903="","",IF(COUNTIFS('PM Plan'!$A$5:$A$304,B903,'PM Plan'!$B$5:$B$304,C903)&gt;0,"OK","No matching asset + task in plan"))</f>
        <v/>
      </c>
    </row>
    <row r="904" customFormat="false" ht="15" hidden="false" customHeight="false" outlineLevel="0" collapsed="false">
      <c r="A904" s="13"/>
      <c r="B904" s="9"/>
      <c r="C904" s="9"/>
      <c r="D904" s="9"/>
      <c r="E904" s="9"/>
      <c r="F904" s="16" t="str">
        <f aca="false">IF(B904="","",IF(COUNTIFS('PM Plan'!$A$5:$A$304,B904,'PM Plan'!$B$5:$B$304,C904)&gt;0,"OK","No matching asset + task in plan"))</f>
        <v/>
      </c>
    </row>
    <row r="905" customFormat="false" ht="15" hidden="false" customHeight="false" outlineLevel="0" collapsed="false">
      <c r="A905" s="13"/>
      <c r="B905" s="9"/>
      <c r="C905" s="9"/>
      <c r="D905" s="9"/>
      <c r="E905" s="9"/>
      <c r="F905" s="16" t="str">
        <f aca="false">IF(B905="","",IF(COUNTIFS('PM Plan'!$A$5:$A$304,B905,'PM Plan'!$B$5:$B$304,C905)&gt;0,"OK","No matching asset + task in plan"))</f>
        <v/>
      </c>
    </row>
    <row r="906" customFormat="false" ht="15" hidden="false" customHeight="false" outlineLevel="0" collapsed="false">
      <c r="A906" s="13"/>
      <c r="B906" s="9"/>
      <c r="C906" s="9"/>
      <c r="D906" s="9"/>
      <c r="E906" s="9"/>
      <c r="F906" s="16" t="str">
        <f aca="false">IF(B906="","",IF(COUNTIFS('PM Plan'!$A$5:$A$304,B906,'PM Plan'!$B$5:$B$304,C906)&gt;0,"OK","No matching asset + task in plan"))</f>
        <v/>
      </c>
    </row>
    <row r="907" customFormat="false" ht="15" hidden="false" customHeight="false" outlineLevel="0" collapsed="false">
      <c r="A907" s="13"/>
      <c r="B907" s="9"/>
      <c r="C907" s="9"/>
      <c r="D907" s="9"/>
      <c r="E907" s="9"/>
      <c r="F907" s="16" t="str">
        <f aca="false">IF(B907="","",IF(COUNTIFS('PM Plan'!$A$5:$A$304,B907,'PM Plan'!$B$5:$B$304,C907)&gt;0,"OK","No matching asset + task in plan"))</f>
        <v/>
      </c>
    </row>
    <row r="908" customFormat="false" ht="15" hidden="false" customHeight="false" outlineLevel="0" collapsed="false">
      <c r="A908" s="13"/>
      <c r="B908" s="9"/>
      <c r="C908" s="9"/>
      <c r="D908" s="9"/>
      <c r="E908" s="9"/>
      <c r="F908" s="16" t="str">
        <f aca="false">IF(B908="","",IF(COUNTIFS('PM Plan'!$A$5:$A$304,B908,'PM Plan'!$B$5:$B$304,C908)&gt;0,"OK","No matching asset + task in plan"))</f>
        <v/>
      </c>
    </row>
    <row r="909" customFormat="false" ht="15" hidden="false" customHeight="false" outlineLevel="0" collapsed="false">
      <c r="A909" s="13"/>
      <c r="B909" s="9"/>
      <c r="C909" s="9"/>
      <c r="D909" s="9"/>
      <c r="E909" s="9"/>
      <c r="F909" s="16" t="str">
        <f aca="false">IF(B909="","",IF(COUNTIFS('PM Plan'!$A$5:$A$304,B909,'PM Plan'!$B$5:$B$304,C909)&gt;0,"OK","No matching asset + task in plan"))</f>
        <v/>
      </c>
    </row>
    <row r="910" customFormat="false" ht="15" hidden="false" customHeight="false" outlineLevel="0" collapsed="false">
      <c r="A910" s="13"/>
      <c r="B910" s="9"/>
      <c r="C910" s="9"/>
      <c r="D910" s="9"/>
      <c r="E910" s="9"/>
      <c r="F910" s="16" t="str">
        <f aca="false">IF(B910="","",IF(COUNTIFS('PM Plan'!$A$5:$A$304,B910,'PM Plan'!$B$5:$B$304,C910)&gt;0,"OK","No matching asset + task in plan"))</f>
        <v/>
      </c>
    </row>
    <row r="911" customFormat="false" ht="15" hidden="false" customHeight="false" outlineLevel="0" collapsed="false">
      <c r="A911" s="13"/>
      <c r="B911" s="9"/>
      <c r="C911" s="9"/>
      <c r="D911" s="9"/>
      <c r="E911" s="9"/>
      <c r="F911" s="16" t="str">
        <f aca="false">IF(B911="","",IF(COUNTIFS('PM Plan'!$A$5:$A$304,B911,'PM Plan'!$B$5:$B$304,C911)&gt;0,"OK","No matching asset + task in plan"))</f>
        <v/>
      </c>
    </row>
    <row r="912" customFormat="false" ht="15" hidden="false" customHeight="false" outlineLevel="0" collapsed="false">
      <c r="A912" s="13"/>
      <c r="B912" s="9"/>
      <c r="C912" s="9"/>
      <c r="D912" s="9"/>
      <c r="E912" s="9"/>
      <c r="F912" s="16" t="str">
        <f aca="false">IF(B912="","",IF(COUNTIFS('PM Plan'!$A$5:$A$304,B912,'PM Plan'!$B$5:$B$304,C912)&gt;0,"OK","No matching asset + task in plan"))</f>
        <v/>
      </c>
    </row>
    <row r="913" customFormat="false" ht="15" hidden="false" customHeight="false" outlineLevel="0" collapsed="false">
      <c r="A913" s="13"/>
      <c r="B913" s="9"/>
      <c r="C913" s="9"/>
      <c r="D913" s="9"/>
      <c r="E913" s="9"/>
      <c r="F913" s="16" t="str">
        <f aca="false">IF(B913="","",IF(COUNTIFS('PM Plan'!$A$5:$A$304,B913,'PM Plan'!$B$5:$B$304,C913)&gt;0,"OK","No matching asset + task in plan"))</f>
        <v/>
      </c>
    </row>
    <row r="914" customFormat="false" ht="15" hidden="false" customHeight="false" outlineLevel="0" collapsed="false">
      <c r="A914" s="13"/>
      <c r="B914" s="9"/>
      <c r="C914" s="9"/>
      <c r="D914" s="9"/>
      <c r="E914" s="9"/>
      <c r="F914" s="16" t="str">
        <f aca="false">IF(B914="","",IF(COUNTIFS('PM Plan'!$A$5:$A$304,B914,'PM Plan'!$B$5:$B$304,C914)&gt;0,"OK","No matching asset + task in plan"))</f>
        <v/>
      </c>
    </row>
    <row r="915" customFormat="false" ht="15" hidden="false" customHeight="false" outlineLevel="0" collapsed="false">
      <c r="A915" s="13"/>
      <c r="B915" s="9"/>
      <c r="C915" s="9"/>
      <c r="D915" s="9"/>
      <c r="E915" s="9"/>
      <c r="F915" s="16" t="str">
        <f aca="false">IF(B915="","",IF(COUNTIFS('PM Plan'!$A$5:$A$304,B915,'PM Plan'!$B$5:$B$304,C915)&gt;0,"OK","No matching asset + task in plan"))</f>
        <v/>
      </c>
    </row>
    <row r="916" customFormat="false" ht="15" hidden="false" customHeight="false" outlineLevel="0" collapsed="false">
      <c r="A916" s="13"/>
      <c r="B916" s="9"/>
      <c r="C916" s="9"/>
      <c r="D916" s="9"/>
      <c r="E916" s="9"/>
      <c r="F916" s="16" t="str">
        <f aca="false">IF(B916="","",IF(COUNTIFS('PM Plan'!$A$5:$A$304,B916,'PM Plan'!$B$5:$B$304,C916)&gt;0,"OK","No matching asset + task in plan"))</f>
        <v/>
      </c>
    </row>
    <row r="917" customFormat="false" ht="15" hidden="false" customHeight="false" outlineLevel="0" collapsed="false">
      <c r="A917" s="13"/>
      <c r="B917" s="9"/>
      <c r="C917" s="9"/>
      <c r="D917" s="9"/>
      <c r="E917" s="9"/>
      <c r="F917" s="16" t="str">
        <f aca="false">IF(B917="","",IF(COUNTIFS('PM Plan'!$A$5:$A$304,B917,'PM Plan'!$B$5:$B$304,C917)&gt;0,"OK","No matching asset + task in plan"))</f>
        <v/>
      </c>
    </row>
    <row r="918" customFormat="false" ht="15" hidden="false" customHeight="false" outlineLevel="0" collapsed="false">
      <c r="A918" s="13"/>
      <c r="B918" s="9"/>
      <c r="C918" s="9"/>
      <c r="D918" s="9"/>
      <c r="E918" s="9"/>
      <c r="F918" s="16" t="str">
        <f aca="false">IF(B918="","",IF(COUNTIFS('PM Plan'!$A$5:$A$304,B918,'PM Plan'!$B$5:$B$304,C918)&gt;0,"OK","No matching asset + task in plan"))</f>
        <v/>
      </c>
    </row>
    <row r="919" customFormat="false" ht="15" hidden="false" customHeight="false" outlineLevel="0" collapsed="false">
      <c r="A919" s="13"/>
      <c r="B919" s="9"/>
      <c r="C919" s="9"/>
      <c r="D919" s="9"/>
      <c r="E919" s="9"/>
      <c r="F919" s="16" t="str">
        <f aca="false">IF(B919="","",IF(COUNTIFS('PM Plan'!$A$5:$A$304,B919,'PM Plan'!$B$5:$B$304,C919)&gt;0,"OK","No matching asset + task in plan"))</f>
        <v/>
      </c>
    </row>
    <row r="920" customFormat="false" ht="15" hidden="false" customHeight="false" outlineLevel="0" collapsed="false">
      <c r="A920" s="13"/>
      <c r="B920" s="9"/>
      <c r="C920" s="9"/>
      <c r="D920" s="9"/>
      <c r="E920" s="9"/>
      <c r="F920" s="16" t="str">
        <f aca="false">IF(B920="","",IF(COUNTIFS('PM Plan'!$A$5:$A$304,B920,'PM Plan'!$B$5:$B$304,C920)&gt;0,"OK","No matching asset + task in plan"))</f>
        <v/>
      </c>
    </row>
    <row r="921" customFormat="false" ht="15" hidden="false" customHeight="false" outlineLevel="0" collapsed="false">
      <c r="A921" s="13"/>
      <c r="B921" s="9"/>
      <c r="C921" s="9"/>
      <c r="D921" s="9"/>
      <c r="E921" s="9"/>
      <c r="F921" s="16" t="str">
        <f aca="false">IF(B921="","",IF(COUNTIFS('PM Plan'!$A$5:$A$304,B921,'PM Plan'!$B$5:$B$304,C921)&gt;0,"OK","No matching asset + task in plan"))</f>
        <v/>
      </c>
    </row>
    <row r="922" customFormat="false" ht="15" hidden="false" customHeight="false" outlineLevel="0" collapsed="false">
      <c r="A922" s="13"/>
      <c r="B922" s="9"/>
      <c r="C922" s="9"/>
      <c r="D922" s="9"/>
      <c r="E922" s="9"/>
      <c r="F922" s="16" t="str">
        <f aca="false">IF(B922="","",IF(COUNTIFS('PM Plan'!$A$5:$A$304,B922,'PM Plan'!$B$5:$B$304,C922)&gt;0,"OK","No matching asset + task in plan"))</f>
        <v/>
      </c>
    </row>
    <row r="923" customFormat="false" ht="15" hidden="false" customHeight="false" outlineLevel="0" collapsed="false">
      <c r="A923" s="13"/>
      <c r="B923" s="9"/>
      <c r="C923" s="9"/>
      <c r="D923" s="9"/>
      <c r="E923" s="9"/>
      <c r="F923" s="16" t="str">
        <f aca="false">IF(B923="","",IF(COUNTIFS('PM Plan'!$A$5:$A$304,B923,'PM Plan'!$B$5:$B$304,C923)&gt;0,"OK","No matching asset + task in plan"))</f>
        <v/>
      </c>
    </row>
    <row r="924" customFormat="false" ht="15" hidden="false" customHeight="false" outlineLevel="0" collapsed="false">
      <c r="A924" s="13"/>
      <c r="B924" s="9"/>
      <c r="C924" s="9"/>
      <c r="D924" s="9"/>
      <c r="E924" s="9"/>
      <c r="F924" s="16" t="str">
        <f aca="false">IF(B924="","",IF(COUNTIFS('PM Plan'!$A$5:$A$304,B924,'PM Plan'!$B$5:$B$304,C924)&gt;0,"OK","No matching asset + task in plan"))</f>
        <v/>
      </c>
    </row>
    <row r="925" customFormat="false" ht="15" hidden="false" customHeight="false" outlineLevel="0" collapsed="false">
      <c r="A925" s="13"/>
      <c r="B925" s="9"/>
      <c r="C925" s="9"/>
      <c r="D925" s="9"/>
      <c r="E925" s="9"/>
      <c r="F925" s="16" t="str">
        <f aca="false">IF(B925="","",IF(COUNTIFS('PM Plan'!$A$5:$A$304,B925,'PM Plan'!$B$5:$B$304,C925)&gt;0,"OK","No matching asset + task in plan"))</f>
        <v/>
      </c>
    </row>
    <row r="926" customFormat="false" ht="15" hidden="false" customHeight="false" outlineLevel="0" collapsed="false">
      <c r="A926" s="13"/>
      <c r="B926" s="9"/>
      <c r="C926" s="9"/>
      <c r="D926" s="9"/>
      <c r="E926" s="9"/>
      <c r="F926" s="16" t="str">
        <f aca="false">IF(B926="","",IF(COUNTIFS('PM Plan'!$A$5:$A$304,B926,'PM Plan'!$B$5:$B$304,C926)&gt;0,"OK","No matching asset + task in plan"))</f>
        <v/>
      </c>
    </row>
    <row r="927" customFormat="false" ht="15" hidden="false" customHeight="false" outlineLevel="0" collapsed="false">
      <c r="A927" s="13"/>
      <c r="B927" s="9"/>
      <c r="C927" s="9"/>
      <c r="D927" s="9"/>
      <c r="E927" s="9"/>
      <c r="F927" s="16" t="str">
        <f aca="false">IF(B927="","",IF(COUNTIFS('PM Plan'!$A$5:$A$304,B927,'PM Plan'!$B$5:$B$304,C927)&gt;0,"OK","No matching asset + task in plan"))</f>
        <v/>
      </c>
    </row>
    <row r="928" customFormat="false" ht="15" hidden="false" customHeight="false" outlineLevel="0" collapsed="false">
      <c r="A928" s="13"/>
      <c r="B928" s="9"/>
      <c r="C928" s="9"/>
      <c r="D928" s="9"/>
      <c r="E928" s="9"/>
      <c r="F928" s="16" t="str">
        <f aca="false">IF(B928="","",IF(COUNTIFS('PM Plan'!$A$5:$A$304,B928,'PM Plan'!$B$5:$B$304,C928)&gt;0,"OK","No matching asset + task in plan"))</f>
        <v/>
      </c>
    </row>
    <row r="929" customFormat="false" ht="15" hidden="false" customHeight="false" outlineLevel="0" collapsed="false">
      <c r="A929" s="13"/>
      <c r="B929" s="9"/>
      <c r="C929" s="9"/>
      <c r="D929" s="9"/>
      <c r="E929" s="9"/>
      <c r="F929" s="16" t="str">
        <f aca="false">IF(B929="","",IF(COUNTIFS('PM Plan'!$A$5:$A$304,B929,'PM Plan'!$B$5:$B$304,C929)&gt;0,"OK","No matching asset + task in plan"))</f>
        <v/>
      </c>
    </row>
    <row r="930" customFormat="false" ht="15" hidden="false" customHeight="false" outlineLevel="0" collapsed="false">
      <c r="A930" s="13"/>
      <c r="B930" s="9"/>
      <c r="C930" s="9"/>
      <c r="D930" s="9"/>
      <c r="E930" s="9"/>
      <c r="F930" s="16" t="str">
        <f aca="false">IF(B930="","",IF(COUNTIFS('PM Plan'!$A$5:$A$304,B930,'PM Plan'!$B$5:$B$304,C930)&gt;0,"OK","No matching asset + task in plan"))</f>
        <v/>
      </c>
    </row>
    <row r="931" customFormat="false" ht="15" hidden="false" customHeight="false" outlineLevel="0" collapsed="false">
      <c r="A931" s="13"/>
      <c r="B931" s="9"/>
      <c r="C931" s="9"/>
      <c r="D931" s="9"/>
      <c r="E931" s="9"/>
      <c r="F931" s="16" t="str">
        <f aca="false">IF(B931="","",IF(COUNTIFS('PM Plan'!$A$5:$A$304,B931,'PM Plan'!$B$5:$B$304,C931)&gt;0,"OK","No matching asset + task in plan"))</f>
        <v/>
      </c>
    </row>
    <row r="932" customFormat="false" ht="15" hidden="false" customHeight="false" outlineLevel="0" collapsed="false">
      <c r="A932" s="13"/>
      <c r="B932" s="9"/>
      <c r="C932" s="9"/>
      <c r="D932" s="9"/>
      <c r="E932" s="9"/>
      <c r="F932" s="16" t="str">
        <f aca="false">IF(B932="","",IF(COUNTIFS('PM Plan'!$A$5:$A$304,B932,'PM Plan'!$B$5:$B$304,C932)&gt;0,"OK","No matching asset + task in plan"))</f>
        <v/>
      </c>
    </row>
    <row r="933" customFormat="false" ht="15" hidden="false" customHeight="false" outlineLevel="0" collapsed="false">
      <c r="A933" s="13"/>
      <c r="B933" s="9"/>
      <c r="C933" s="9"/>
      <c r="D933" s="9"/>
      <c r="E933" s="9"/>
      <c r="F933" s="16" t="str">
        <f aca="false">IF(B933="","",IF(COUNTIFS('PM Plan'!$A$5:$A$304,B933,'PM Plan'!$B$5:$B$304,C933)&gt;0,"OK","No matching asset + task in plan"))</f>
        <v/>
      </c>
    </row>
    <row r="934" customFormat="false" ht="15" hidden="false" customHeight="false" outlineLevel="0" collapsed="false">
      <c r="A934" s="13"/>
      <c r="B934" s="9"/>
      <c r="C934" s="9"/>
      <c r="D934" s="9"/>
      <c r="E934" s="9"/>
      <c r="F934" s="16" t="str">
        <f aca="false">IF(B934="","",IF(COUNTIFS('PM Plan'!$A$5:$A$304,B934,'PM Plan'!$B$5:$B$304,C934)&gt;0,"OK","No matching asset + task in plan"))</f>
        <v/>
      </c>
    </row>
    <row r="935" customFormat="false" ht="15" hidden="false" customHeight="false" outlineLevel="0" collapsed="false">
      <c r="A935" s="13"/>
      <c r="B935" s="9"/>
      <c r="C935" s="9"/>
      <c r="D935" s="9"/>
      <c r="E935" s="9"/>
      <c r="F935" s="16" t="str">
        <f aca="false">IF(B935="","",IF(COUNTIFS('PM Plan'!$A$5:$A$304,B935,'PM Plan'!$B$5:$B$304,C935)&gt;0,"OK","No matching asset + task in plan"))</f>
        <v/>
      </c>
    </row>
    <row r="936" customFormat="false" ht="15" hidden="false" customHeight="false" outlineLevel="0" collapsed="false">
      <c r="A936" s="13"/>
      <c r="B936" s="9"/>
      <c r="C936" s="9"/>
      <c r="D936" s="9"/>
      <c r="E936" s="9"/>
      <c r="F936" s="16" t="str">
        <f aca="false">IF(B936="","",IF(COUNTIFS('PM Plan'!$A$5:$A$304,B936,'PM Plan'!$B$5:$B$304,C936)&gt;0,"OK","No matching asset + task in plan"))</f>
        <v/>
      </c>
    </row>
    <row r="937" customFormat="false" ht="15" hidden="false" customHeight="false" outlineLevel="0" collapsed="false">
      <c r="A937" s="13"/>
      <c r="B937" s="9"/>
      <c r="C937" s="9"/>
      <c r="D937" s="9"/>
      <c r="E937" s="9"/>
      <c r="F937" s="16" t="str">
        <f aca="false">IF(B937="","",IF(COUNTIFS('PM Plan'!$A$5:$A$304,B937,'PM Plan'!$B$5:$B$304,C937)&gt;0,"OK","No matching asset + task in plan"))</f>
        <v/>
      </c>
    </row>
    <row r="938" customFormat="false" ht="15" hidden="false" customHeight="false" outlineLevel="0" collapsed="false">
      <c r="A938" s="13"/>
      <c r="B938" s="9"/>
      <c r="C938" s="9"/>
      <c r="D938" s="9"/>
      <c r="E938" s="9"/>
      <c r="F938" s="16" t="str">
        <f aca="false">IF(B938="","",IF(COUNTIFS('PM Plan'!$A$5:$A$304,B938,'PM Plan'!$B$5:$B$304,C938)&gt;0,"OK","No matching asset + task in plan"))</f>
        <v/>
      </c>
    </row>
    <row r="939" customFormat="false" ht="15" hidden="false" customHeight="false" outlineLevel="0" collapsed="false">
      <c r="A939" s="13"/>
      <c r="B939" s="9"/>
      <c r="C939" s="9"/>
      <c r="D939" s="9"/>
      <c r="E939" s="9"/>
      <c r="F939" s="16" t="str">
        <f aca="false">IF(B939="","",IF(COUNTIFS('PM Plan'!$A$5:$A$304,B939,'PM Plan'!$B$5:$B$304,C939)&gt;0,"OK","No matching asset + task in plan"))</f>
        <v/>
      </c>
    </row>
    <row r="940" customFormat="false" ht="15" hidden="false" customHeight="false" outlineLevel="0" collapsed="false">
      <c r="A940" s="13"/>
      <c r="B940" s="9"/>
      <c r="C940" s="9"/>
      <c r="D940" s="9"/>
      <c r="E940" s="9"/>
      <c r="F940" s="16" t="str">
        <f aca="false">IF(B940="","",IF(COUNTIFS('PM Plan'!$A$5:$A$304,B940,'PM Plan'!$B$5:$B$304,C940)&gt;0,"OK","No matching asset + task in plan"))</f>
        <v/>
      </c>
    </row>
    <row r="941" customFormat="false" ht="15" hidden="false" customHeight="false" outlineLevel="0" collapsed="false">
      <c r="A941" s="13"/>
      <c r="B941" s="9"/>
      <c r="C941" s="9"/>
      <c r="D941" s="9"/>
      <c r="E941" s="9"/>
      <c r="F941" s="16" t="str">
        <f aca="false">IF(B941="","",IF(COUNTIFS('PM Plan'!$A$5:$A$304,B941,'PM Plan'!$B$5:$B$304,C941)&gt;0,"OK","No matching asset + task in plan"))</f>
        <v/>
      </c>
    </row>
    <row r="942" customFormat="false" ht="15" hidden="false" customHeight="false" outlineLevel="0" collapsed="false">
      <c r="A942" s="13"/>
      <c r="B942" s="9"/>
      <c r="C942" s="9"/>
      <c r="D942" s="9"/>
      <c r="E942" s="9"/>
      <c r="F942" s="16" t="str">
        <f aca="false">IF(B942="","",IF(COUNTIFS('PM Plan'!$A$5:$A$304,B942,'PM Plan'!$B$5:$B$304,C942)&gt;0,"OK","No matching asset + task in plan"))</f>
        <v/>
      </c>
    </row>
    <row r="943" customFormat="false" ht="15" hidden="false" customHeight="false" outlineLevel="0" collapsed="false">
      <c r="A943" s="13"/>
      <c r="B943" s="9"/>
      <c r="C943" s="9"/>
      <c r="D943" s="9"/>
      <c r="E943" s="9"/>
      <c r="F943" s="16" t="str">
        <f aca="false">IF(B943="","",IF(COUNTIFS('PM Plan'!$A$5:$A$304,B943,'PM Plan'!$B$5:$B$304,C943)&gt;0,"OK","No matching asset + task in plan"))</f>
        <v/>
      </c>
    </row>
    <row r="944" customFormat="false" ht="15" hidden="false" customHeight="false" outlineLevel="0" collapsed="false">
      <c r="A944" s="13"/>
      <c r="B944" s="9"/>
      <c r="C944" s="9"/>
      <c r="D944" s="9"/>
      <c r="E944" s="9"/>
      <c r="F944" s="16" t="str">
        <f aca="false">IF(B944="","",IF(COUNTIFS('PM Plan'!$A$5:$A$304,B944,'PM Plan'!$B$5:$B$304,C944)&gt;0,"OK","No matching asset + task in plan"))</f>
        <v/>
      </c>
    </row>
    <row r="945" customFormat="false" ht="15" hidden="false" customHeight="false" outlineLevel="0" collapsed="false">
      <c r="A945" s="13"/>
      <c r="B945" s="9"/>
      <c r="C945" s="9"/>
      <c r="D945" s="9"/>
      <c r="E945" s="9"/>
      <c r="F945" s="16" t="str">
        <f aca="false">IF(B945="","",IF(COUNTIFS('PM Plan'!$A$5:$A$304,B945,'PM Plan'!$B$5:$B$304,C945)&gt;0,"OK","No matching asset + task in plan"))</f>
        <v/>
      </c>
    </row>
    <row r="946" customFormat="false" ht="15" hidden="false" customHeight="false" outlineLevel="0" collapsed="false">
      <c r="A946" s="13"/>
      <c r="B946" s="9"/>
      <c r="C946" s="9"/>
      <c r="D946" s="9"/>
      <c r="E946" s="9"/>
      <c r="F946" s="16" t="str">
        <f aca="false">IF(B946="","",IF(COUNTIFS('PM Plan'!$A$5:$A$304,B946,'PM Plan'!$B$5:$B$304,C946)&gt;0,"OK","No matching asset + task in plan"))</f>
        <v/>
      </c>
    </row>
    <row r="947" customFormat="false" ht="15" hidden="false" customHeight="false" outlineLevel="0" collapsed="false">
      <c r="A947" s="13"/>
      <c r="B947" s="9"/>
      <c r="C947" s="9"/>
      <c r="D947" s="9"/>
      <c r="E947" s="9"/>
      <c r="F947" s="16" t="str">
        <f aca="false">IF(B947="","",IF(COUNTIFS('PM Plan'!$A$5:$A$304,B947,'PM Plan'!$B$5:$B$304,C947)&gt;0,"OK","No matching asset + task in plan"))</f>
        <v/>
      </c>
    </row>
    <row r="948" customFormat="false" ht="15" hidden="false" customHeight="false" outlineLevel="0" collapsed="false">
      <c r="A948" s="13"/>
      <c r="B948" s="9"/>
      <c r="C948" s="9"/>
      <c r="D948" s="9"/>
      <c r="E948" s="9"/>
      <c r="F948" s="16" t="str">
        <f aca="false">IF(B948="","",IF(COUNTIFS('PM Plan'!$A$5:$A$304,B948,'PM Plan'!$B$5:$B$304,C948)&gt;0,"OK","No matching asset + task in plan"))</f>
        <v/>
      </c>
    </row>
    <row r="949" customFormat="false" ht="15" hidden="false" customHeight="false" outlineLevel="0" collapsed="false">
      <c r="A949" s="13"/>
      <c r="B949" s="9"/>
      <c r="C949" s="9"/>
      <c r="D949" s="9"/>
      <c r="E949" s="9"/>
      <c r="F949" s="16" t="str">
        <f aca="false">IF(B949="","",IF(COUNTIFS('PM Plan'!$A$5:$A$304,B949,'PM Plan'!$B$5:$B$304,C949)&gt;0,"OK","No matching asset + task in plan"))</f>
        <v/>
      </c>
    </row>
    <row r="950" customFormat="false" ht="15" hidden="false" customHeight="false" outlineLevel="0" collapsed="false">
      <c r="A950" s="13"/>
      <c r="B950" s="9"/>
      <c r="C950" s="9"/>
      <c r="D950" s="9"/>
      <c r="E950" s="9"/>
      <c r="F950" s="16" t="str">
        <f aca="false">IF(B950="","",IF(COUNTIFS('PM Plan'!$A$5:$A$304,B950,'PM Plan'!$B$5:$B$304,C950)&gt;0,"OK","No matching asset + task in plan"))</f>
        <v/>
      </c>
    </row>
    <row r="951" customFormat="false" ht="15" hidden="false" customHeight="false" outlineLevel="0" collapsed="false">
      <c r="A951" s="13"/>
      <c r="B951" s="9"/>
      <c r="C951" s="9"/>
      <c r="D951" s="9"/>
      <c r="E951" s="9"/>
      <c r="F951" s="16" t="str">
        <f aca="false">IF(B951="","",IF(COUNTIFS('PM Plan'!$A$5:$A$304,B951,'PM Plan'!$B$5:$B$304,C951)&gt;0,"OK","No matching asset + task in plan"))</f>
        <v/>
      </c>
    </row>
    <row r="952" customFormat="false" ht="15" hidden="false" customHeight="false" outlineLevel="0" collapsed="false">
      <c r="A952" s="13"/>
      <c r="B952" s="9"/>
      <c r="C952" s="9"/>
      <c r="D952" s="9"/>
      <c r="E952" s="9"/>
      <c r="F952" s="16" t="str">
        <f aca="false">IF(B952="","",IF(COUNTIFS('PM Plan'!$A$5:$A$304,B952,'PM Plan'!$B$5:$B$304,C952)&gt;0,"OK","No matching asset + task in plan"))</f>
        <v/>
      </c>
    </row>
    <row r="953" customFormat="false" ht="15" hidden="false" customHeight="false" outlineLevel="0" collapsed="false">
      <c r="A953" s="13"/>
      <c r="B953" s="9"/>
      <c r="C953" s="9"/>
      <c r="D953" s="9"/>
      <c r="E953" s="9"/>
      <c r="F953" s="16" t="str">
        <f aca="false">IF(B953="","",IF(COUNTIFS('PM Plan'!$A$5:$A$304,B953,'PM Plan'!$B$5:$B$304,C953)&gt;0,"OK","No matching asset + task in plan"))</f>
        <v/>
      </c>
    </row>
    <row r="954" customFormat="false" ht="15" hidden="false" customHeight="false" outlineLevel="0" collapsed="false">
      <c r="A954" s="13"/>
      <c r="B954" s="9"/>
      <c r="C954" s="9"/>
      <c r="D954" s="9"/>
      <c r="E954" s="9"/>
      <c r="F954" s="16" t="str">
        <f aca="false">IF(B954="","",IF(COUNTIFS('PM Plan'!$A$5:$A$304,B954,'PM Plan'!$B$5:$B$304,C954)&gt;0,"OK","No matching asset + task in plan"))</f>
        <v/>
      </c>
    </row>
    <row r="955" customFormat="false" ht="15" hidden="false" customHeight="false" outlineLevel="0" collapsed="false">
      <c r="A955" s="13"/>
      <c r="B955" s="9"/>
      <c r="C955" s="9"/>
      <c r="D955" s="9"/>
      <c r="E955" s="9"/>
      <c r="F955" s="16" t="str">
        <f aca="false">IF(B955="","",IF(COUNTIFS('PM Plan'!$A$5:$A$304,B955,'PM Plan'!$B$5:$B$304,C955)&gt;0,"OK","No matching asset + task in plan"))</f>
        <v/>
      </c>
    </row>
    <row r="956" customFormat="false" ht="15" hidden="false" customHeight="false" outlineLevel="0" collapsed="false">
      <c r="A956" s="13"/>
      <c r="B956" s="9"/>
      <c r="C956" s="9"/>
      <c r="D956" s="9"/>
      <c r="E956" s="9"/>
      <c r="F956" s="16" t="str">
        <f aca="false">IF(B956="","",IF(COUNTIFS('PM Plan'!$A$5:$A$304,B956,'PM Plan'!$B$5:$B$304,C956)&gt;0,"OK","No matching asset + task in plan"))</f>
        <v/>
      </c>
    </row>
    <row r="957" customFormat="false" ht="15" hidden="false" customHeight="false" outlineLevel="0" collapsed="false">
      <c r="A957" s="13"/>
      <c r="B957" s="9"/>
      <c r="C957" s="9"/>
      <c r="D957" s="9"/>
      <c r="E957" s="9"/>
      <c r="F957" s="16" t="str">
        <f aca="false">IF(B957="","",IF(COUNTIFS('PM Plan'!$A$5:$A$304,B957,'PM Plan'!$B$5:$B$304,C957)&gt;0,"OK","No matching asset + task in plan"))</f>
        <v/>
      </c>
    </row>
    <row r="958" customFormat="false" ht="15" hidden="false" customHeight="false" outlineLevel="0" collapsed="false">
      <c r="A958" s="13"/>
      <c r="B958" s="9"/>
      <c r="C958" s="9"/>
      <c r="D958" s="9"/>
      <c r="E958" s="9"/>
      <c r="F958" s="16" t="str">
        <f aca="false">IF(B958="","",IF(COUNTIFS('PM Plan'!$A$5:$A$304,B958,'PM Plan'!$B$5:$B$304,C958)&gt;0,"OK","No matching asset + task in plan"))</f>
        <v/>
      </c>
    </row>
    <row r="959" customFormat="false" ht="15" hidden="false" customHeight="false" outlineLevel="0" collapsed="false">
      <c r="A959" s="13"/>
      <c r="B959" s="9"/>
      <c r="C959" s="9"/>
      <c r="D959" s="9"/>
      <c r="E959" s="9"/>
      <c r="F959" s="16" t="str">
        <f aca="false">IF(B959="","",IF(COUNTIFS('PM Plan'!$A$5:$A$304,B959,'PM Plan'!$B$5:$B$304,C959)&gt;0,"OK","No matching asset + task in plan"))</f>
        <v/>
      </c>
    </row>
    <row r="960" customFormat="false" ht="15" hidden="false" customHeight="false" outlineLevel="0" collapsed="false">
      <c r="A960" s="13"/>
      <c r="B960" s="9"/>
      <c r="C960" s="9"/>
      <c r="D960" s="9"/>
      <c r="E960" s="9"/>
      <c r="F960" s="16" t="str">
        <f aca="false">IF(B960="","",IF(COUNTIFS('PM Plan'!$A$5:$A$304,B960,'PM Plan'!$B$5:$B$304,C960)&gt;0,"OK","No matching asset + task in plan"))</f>
        <v/>
      </c>
    </row>
    <row r="961" customFormat="false" ht="15" hidden="false" customHeight="false" outlineLevel="0" collapsed="false">
      <c r="A961" s="13"/>
      <c r="B961" s="9"/>
      <c r="C961" s="9"/>
      <c r="D961" s="9"/>
      <c r="E961" s="9"/>
      <c r="F961" s="16" t="str">
        <f aca="false">IF(B961="","",IF(COUNTIFS('PM Plan'!$A$5:$A$304,B961,'PM Plan'!$B$5:$B$304,C961)&gt;0,"OK","No matching asset + task in plan"))</f>
        <v/>
      </c>
    </row>
    <row r="962" customFormat="false" ht="15" hidden="false" customHeight="false" outlineLevel="0" collapsed="false">
      <c r="A962" s="13"/>
      <c r="B962" s="9"/>
      <c r="C962" s="9"/>
      <c r="D962" s="9"/>
      <c r="E962" s="9"/>
      <c r="F962" s="16" t="str">
        <f aca="false">IF(B962="","",IF(COUNTIFS('PM Plan'!$A$5:$A$304,B962,'PM Plan'!$B$5:$B$304,C962)&gt;0,"OK","No matching asset + task in plan"))</f>
        <v/>
      </c>
    </row>
    <row r="963" customFormat="false" ht="15" hidden="false" customHeight="false" outlineLevel="0" collapsed="false">
      <c r="A963" s="13"/>
      <c r="B963" s="9"/>
      <c r="C963" s="9"/>
      <c r="D963" s="9"/>
      <c r="E963" s="9"/>
      <c r="F963" s="16" t="str">
        <f aca="false">IF(B963="","",IF(COUNTIFS('PM Plan'!$A$5:$A$304,B963,'PM Plan'!$B$5:$B$304,C963)&gt;0,"OK","No matching asset + task in plan"))</f>
        <v/>
      </c>
    </row>
    <row r="964" customFormat="false" ht="15" hidden="false" customHeight="false" outlineLevel="0" collapsed="false">
      <c r="A964" s="13"/>
      <c r="B964" s="9"/>
      <c r="C964" s="9"/>
      <c r="D964" s="9"/>
      <c r="E964" s="9"/>
      <c r="F964" s="16" t="str">
        <f aca="false">IF(B964="","",IF(COUNTIFS('PM Plan'!$A$5:$A$304,B964,'PM Plan'!$B$5:$B$304,C964)&gt;0,"OK","No matching asset + task in plan"))</f>
        <v/>
      </c>
    </row>
    <row r="965" customFormat="false" ht="15" hidden="false" customHeight="false" outlineLevel="0" collapsed="false">
      <c r="A965" s="13"/>
      <c r="B965" s="9"/>
      <c r="C965" s="9"/>
      <c r="D965" s="9"/>
      <c r="E965" s="9"/>
      <c r="F965" s="16" t="str">
        <f aca="false">IF(B965="","",IF(COUNTIFS('PM Plan'!$A$5:$A$304,B965,'PM Plan'!$B$5:$B$304,C965)&gt;0,"OK","No matching asset + task in plan"))</f>
        <v/>
      </c>
    </row>
    <row r="966" customFormat="false" ht="15" hidden="false" customHeight="false" outlineLevel="0" collapsed="false">
      <c r="A966" s="13"/>
      <c r="B966" s="9"/>
      <c r="C966" s="9"/>
      <c r="D966" s="9"/>
      <c r="E966" s="9"/>
      <c r="F966" s="16" t="str">
        <f aca="false">IF(B966="","",IF(COUNTIFS('PM Plan'!$A$5:$A$304,B966,'PM Plan'!$B$5:$B$304,C966)&gt;0,"OK","No matching asset + task in plan"))</f>
        <v/>
      </c>
    </row>
    <row r="967" customFormat="false" ht="15" hidden="false" customHeight="false" outlineLevel="0" collapsed="false">
      <c r="A967" s="13"/>
      <c r="B967" s="9"/>
      <c r="C967" s="9"/>
      <c r="D967" s="9"/>
      <c r="E967" s="9"/>
      <c r="F967" s="16" t="str">
        <f aca="false">IF(B967="","",IF(COUNTIFS('PM Plan'!$A$5:$A$304,B967,'PM Plan'!$B$5:$B$304,C967)&gt;0,"OK","No matching asset + task in plan"))</f>
        <v/>
      </c>
    </row>
    <row r="968" customFormat="false" ht="15" hidden="false" customHeight="false" outlineLevel="0" collapsed="false">
      <c r="A968" s="13"/>
      <c r="B968" s="9"/>
      <c r="C968" s="9"/>
      <c r="D968" s="9"/>
      <c r="E968" s="9"/>
      <c r="F968" s="16" t="str">
        <f aca="false">IF(B968="","",IF(COUNTIFS('PM Plan'!$A$5:$A$304,B968,'PM Plan'!$B$5:$B$304,C968)&gt;0,"OK","No matching asset + task in plan"))</f>
        <v/>
      </c>
    </row>
    <row r="969" customFormat="false" ht="15" hidden="false" customHeight="false" outlineLevel="0" collapsed="false">
      <c r="A969" s="13"/>
      <c r="B969" s="9"/>
      <c r="C969" s="9"/>
      <c r="D969" s="9"/>
      <c r="E969" s="9"/>
      <c r="F969" s="16" t="str">
        <f aca="false">IF(B969="","",IF(COUNTIFS('PM Plan'!$A$5:$A$304,B969,'PM Plan'!$B$5:$B$304,C969)&gt;0,"OK","No matching asset + task in plan"))</f>
        <v/>
      </c>
    </row>
    <row r="970" customFormat="false" ht="15" hidden="false" customHeight="false" outlineLevel="0" collapsed="false">
      <c r="A970" s="13"/>
      <c r="B970" s="9"/>
      <c r="C970" s="9"/>
      <c r="D970" s="9"/>
      <c r="E970" s="9"/>
      <c r="F970" s="16" t="str">
        <f aca="false">IF(B970="","",IF(COUNTIFS('PM Plan'!$A$5:$A$304,B970,'PM Plan'!$B$5:$B$304,C970)&gt;0,"OK","No matching asset + task in plan"))</f>
        <v/>
      </c>
    </row>
    <row r="971" customFormat="false" ht="15" hidden="false" customHeight="false" outlineLevel="0" collapsed="false">
      <c r="A971" s="13"/>
      <c r="B971" s="9"/>
      <c r="C971" s="9"/>
      <c r="D971" s="9"/>
      <c r="E971" s="9"/>
      <c r="F971" s="16" t="str">
        <f aca="false">IF(B971="","",IF(COUNTIFS('PM Plan'!$A$5:$A$304,B971,'PM Plan'!$B$5:$B$304,C971)&gt;0,"OK","No matching asset + task in plan"))</f>
        <v/>
      </c>
    </row>
    <row r="972" customFormat="false" ht="15" hidden="false" customHeight="false" outlineLevel="0" collapsed="false">
      <c r="A972" s="13"/>
      <c r="B972" s="9"/>
      <c r="C972" s="9"/>
      <c r="D972" s="9"/>
      <c r="E972" s="9"/>
      <c r="F972" s="16" t="str">
        <f aca="false">IF(B972="","",IF(COUNTIFS('PM Plan'!$A$5:$A$304,B972,'PM Plan'!$B$5:$B$304,C972)&gt;0,"OK","No matching asset + task in plan"))</f>
        <v/>
      </c>
    </row>
    <row r="973" customFormat="false" ht="15" hidden="false" customHeight="false" outlineLevel="0" collapsed="false">
      <c r="A973" s="13"/>
      <c r="B973" s="9"/>
      <c r="C973" s="9"/>
      <c r="D973" s="9"/>
      <c r="E973" s="9"/>
      <c r="F973" s="16" t="str">
        <f aca="false">IF(B973="","",IF(COUNTIFS('PM Plan'!$A$5:$A$304,B973,'PM Plan'!$B$5:$B$304,C973)&gt;0,"OK","No matching asset + task in plan"))</f>
        <v/>
      </c>
    </row>
    <row r="974" customFormat="false" ht="15" hidden="false" customHeight="false" outlineLevel="0" collapsed="false">
      <c r="A974" s="13"/>
      <c r="B974" s="9"/>
      <c r="C974" s="9"/>
      <c r="D974" s="9"/>
      <c r="E974" s="9"/>
      <c r="F974" s="16" t="str">
        <f aca="false">IF(B974="","",IF(COUNTIFS('PM Plan'!$A$5:$A$304,B974,'PM Plan'!$B$5:$B$304,C974)&gt;0,"OK","No matching asset + task in plan"))</f>
        <v/>
      </c>
    </row>
    <row r="975" customFormat="false" ht="15" hidden="false" customHeight="false" outlineLevel="0" collapsed="false">
      <c r="A975" s="13"/>
      <c r="B975" s="9"/>
      <c r="C975" s="9"/>
      <c r="D975" s="9"/>
      <c r="E975" s="9"/>
      <c r="F975" s="16" t="str">
        <f aca="false">IF(B975="","",IF(COUNTIFS('PM Plan'!$A$5:$A$304,B975,'PM Plan'!$B$5:$B$304,C975)&gt;0,"OK","No matching asset + task in plan"))</f>
        <v/>
      </c>
    </row>
    <row r="976" customFormat="false" ht="15" hidden="false" customHeight="false" outlineLevel="0" collapsed="false">
      <c r="A976" s="13"/>
      <c r="B976" s="9"/>
      <c r="C976" s="9"/>
      <c r="D976" s="9"/>
      <c r="E976" s="9"/>
      <c r="F976" s="16" t="str">
        <f aca="false">IF(B976="","",IF(COUNTIFS('PM Plan'!$A$5:$A$304,B976,'PM Plan'!$B$5:$B$304,C976)&gt;0,"OK","No matching asset + task in plan"))</f>
        <v/>
      </c>
    </row>
    <row r="977" customFormat="false" ht="15" hidden="false" customHeight="false" outlineLevel="0" collapsed="false">
      <c r="A977" s="13"/>
      <c r="B977" s="9"/>
      <c r="C977" s="9"/>
      <c r="D977" s="9"/>
      <c r="E977" s="9"/>
      <c r="F977" s="16" t="str">
        <f aca="false">IF(B977="","",IF(COUNTIFS('PM Plan'!$A$5:$A$304,B977,'PM Plan'!$B$5:$B$304,C977)&gt;0,"OK","No matching asset + task in plan"))</f>
        <v/>
      </c>
    </row>
    <row r="978" customFormat="false" ht="15" hidden="false" customHeight="false" outlineLevel="0" collapsed="false">
      <c r="A978" s="13"/>
      <c r="B978" s="9"/>
      <c r="C978" s="9"/>
      <c r="D978" s="9"/>
      <c r="E978" s="9"/>
      <c r="F978" s="16" t="str">
        <f aca="false">IF(B978="","",IF(COUNTIFS('PM Plan'!$A$5:$A$304,B978,'PM Plan'!$B$5:$B$304,C978)&gt;0,"OK","No matching asset + task in plan"))</f>
        <v/>
      </c>
    </row>
    <row r="979" customFormat="false" ht="15" hidden="false" customHeight="false" outlineLevel="0" collapsed="false">
      <c r="A979" s="13"/>
      <c r="B979" s="9"/>
      <c r="C979" s="9"/>
      <c r="D979" s="9"/>
      <c r="E979" s="9"/>
      <c r="F979" s="16" t="str">
        <f aca="false">IF(B979="","",IF(COUNTIFS('PM Plan'!$A$5:$A$304,B979,'PM Plan'!$B$5:$B$304,C979)&gt;0,"OK","No matching asset + task in plan"))</f>
        <v/>
      </c>
    </row>
    <row r="980" customFormat="false" ht="15" hidden="false" customHeight="false" outlineLevel="0" collapsed="false">
      <c r="A980" s="13"/>
      <c r="B980" s="9"/>
      <c r="C980" s="9"/>
      <c r="D980" s="9"/>
      <c r="E980" s="9"/>
      <c r="F980" s="16" t="str">
        <f aca="false">IF(B980="","",IF(COUNTIFS('PM Plan'!$A$5:$A$304,B980,'PM Plan'!$B$5:$B$304,C980)&gt;0,"OK","No matching asset + task in plan"))</f>
        <v/>
      </c>
    </row>
    <row r="981" customFormat="false" ht="15" hidden="false" customHeight="false" outlineLevel="0" collapsed="false">
      <c r="A981" s="13"/>
      <c r="B981" s="9"/>
      <c r="C981" s="9"/>
      <c r="D981" s="9"/>
      <c r="E981" s="9"/>
      <c r="F981" s="16" t="str">
        <f aca="false">IF(B981="","",IF(COUNTIFS('PM Plan'!$A$5:$A$304,B981,'PM Plan'!$B$5:$B$304,C981)&gt;0,"OK","No matching asset + task in plan"))</f>
        <v/>
      </c>
    </row>
    <row r="982" customFormat="false" ht="15" hidden="false" customHeight="false" outlineLevel="0" collapsed="false">
      <c r="A982" s="13"/>
      <c r="B982" s="9"/>
      <c r="C982" s="9"/>
      <c r="D982" s="9"/>
      <c r="E982" s="9"/>
      <c r="F982" s="16" t="str">
        <f aca="false">IF(B982="","",IF(COUNTIFS('PM Plan'!$A$5:$A$304,B982,'PM Plan'!$B$5:$B$304,C982)&gt;0,"OK","No matching asset + task in plan"))</f>
        <v/>
      </c>
    </row>
    <row r="983" customFormat="false" ht="15" hidden="false" customHeight="false" outlineLevel="0" collapsed="false">
      <c r="A983" s="13"/>
      <c r="B983" s="9"/>
      <c r="C983" s="9"/>
      <c r="D983" s="9"/>
      <c r="E983" s="9"/>
      <c r="F983" s="16" t="str">
        <f aca="false">IF(B983="","",IF(COUNTIFS('PM Plan'!$A$5:$A$304,B983,'PM Plan'!$B$5:$B$304,C983)&gt;0,"OK","No matching asset + task in plan"))</f>
        <v/>
      </c>
    </row>
    <row r="984" customFormat="false" ht="15" hidden="false" customHeight="false" outlineLevel="0" collapsed="false">
      <c r="A984" s="13"/>
      <c r="B984" s="9"/>
      <c r="C984" s="9"/>
      <c r="D984" s="9"/>
      <c r="E984" s="9"/>
      <c r="F984" s="16" t="str">
        <f aca="false">IF(B984="","",IF(COUNTIFS('PM Plan'!$A$5:$A$304,B984,'PM Plan'!$B$5:$B$304,C984)&gt;0,"OK","No matching asset + task in plan"))</f>
        <v/>
      </c>
    </row>
    <row r="985" customFormat="false" ht="15" hidden="false" customHeight="false" outlineLevel="0" collapsed="false">
      <c r="A985" s="13"/>
      <c r="B985" s="9"/>
      <c r="C985" s="9"/>
      <c r="D985" s="9"/>
      <c r="E985" s="9"/>
      <c r="F985" s="16" t="str">
        <f aca="false">IF(B985="","",IF(COUNTIFS('PM Plan'!$A$5:$A$304,B985,'PM Plan'!$B$5:$B$304,C985)&gt;0,"OK","No matching asset + task in plan"))</f>
        <v/>
      </c>
    </row>
    <row r="986" customFormat="false" ht="15" hidden="false" customHeight="false" outlineLevel="0" collapsed="false">
      <c r="A986" s="13"/>
      <c r="B986" s="9"/>
      <c r="C986" s="9"/>
      <c r="D986" s="9"/>
      <c r="E986" s="9"/>
      <c r="F986" s="16" t="str">
        <f aca="false">IF(B986="","",IF(COUNTIFS('PM Plan'!$A$5:$A$304,B986,'PM Plan'!$B$5:$B$304,C986)&gt;0,"OK","No matching asset + task in plan"))</f>
        <v/>
      </c>
    </row>
    <row r="987" customFormat="false" ht="15" hidden="false" customHeight="false" outlineLevel="0" collapsed="false">
      <c r="A987" s="13"/>
      <c r="B987" s="9"/>
      <c r="C987" s="9"/>
      <c r="D987" s="9"/>
      <c r="E987" s="9"/>
      <c r="F987" s="16" t="str">
        <f aca="false">IF(B987="","",IF(COUNTIFS('PM Plan'!$A$5:$A$304,B987,'PM Plan'!$B$5:$B$304,C987)&gt;0,"OK","No matching asset + task in plan"))</f>
        <v/>
      </c>
    </row>
    <row r="988" customFormat="false" ht="15" hidden="false" customHeight="false" outlineLevel="0" collapsed="false">
      <c r="A988" s="13"/>
      <c r="B988" s="9"/>
      <c r="C988" s="9"/>
      <c r="D988" s="9"/>
      <c r="E988" s="9"/>
      <c r="F988" s="16" t="str">
        <f aca="false">IF(B988="","",IF(COUNTIFS('PM Plan'!$A$5:$A$304,B988,'PM Plan'!$B$5:$B$304,C988)&gt;0,"OK","No matching asset + task in plan"))</f>
        <v/>
      </c>
    </row>
    <row r="989" customFormat="false" ht="15" hidden="false" customHeight="false" outlineLevel="0" collapsed="false">
      <c r="A989" s="13"/>
      <c r="B989" s="9"/>
      <c r="C989" s="9"/>
      <c r="D989" s="9"/>
      <c r="E989" s="9"/>
      <c r="F989" s="16" t="str">
        <f aca="false">IF(B989="","",IF(COUNTIFS('PM Plan'!$A$5:$A$304,B989,'PM Plan'!$B$5:$B$304,C989)&gt;0,"OK","No matching asset + task in plan"))</f>
        <v/>
      </c>
    </row>
    <row r="990" customFormat="false" ht="15" hidden="false" customHeight="false" outlineLevel="0" collapsed="false">
      <c r="A990" s="13"/>
      <c r="B990" s="9"/>
      <c r="C990" s="9"/>
      <c r="D990" s="9"/>
      <c r="E990" s="9"/>
      <c r="F990" s="16" t="str">
        <f aca="false">IF(B990="","",IF(COUNTIFS('PM Plan'!$A$5:$A$304,B990,'PM Plan'!$B$5:$B$304,C990)&gt;0,"OK","No matching asset + task in plan"))</f>
        <v/>
      </c>
    </row>
    <row r="991" customFormat="false" ht="15" hidden="false" customHeight="false" outlineLevel="0" collapsed="false">
      <c r="A991" s="13"/>
      <c r="B991" s="9"/>
      <c r="C991" s="9"/>
      <c r="D991" s="9"/>
      <c r="E991" s="9"/>
      <c r="F991" s="16" t="str">
        <f aca="false">IF(B991="","",IF(COUNTIFS('PM Plan'!$A$5:$A$304,B991,'PM Plan'!$B$5:$B$304,C991)&gt;0,"OK","No matching asset + task in plan"))</f>
        <v/>
      </c>
    </row>
    <row r="992" customFormat="false" ht="15" hidden="false" customHeight="false" outlineLevel="0" collapsed="false">
      <c r="A992" s="13"/>
      <c r="B992" s="9"/>
      <c r="C992" s="9"/>
      <c r="D992" s="9"/>
      <c r="E992" s="9"/>
      <c r="F992" s="16" t="str">
        <f aca="false">IF(B992="","",IF(COUNTIFS('PM Plan'!$A$5:$A$304,B992,'PM Plan'!$B$5:$B$304,C992)&gt;0,"OK","No matching asset + task in plan"))</f>
        <v/>
      </c>
    </row>
    <row r="993" customFormat="false" ht="15" hidden="false" customHeight="false" outlineLevel="0" collapsed="false">
      <c r="A993" s="13"/>
      <c r="B993" s="9"/>
      <c r="C993" s="9"/>
      <c r="D993" s="9"/>
      <c r="E993" s="9"/>
      <c r="F993" s="16" t="str">
        <f aca="false">IF(B993="","",IF(COUNTIFS('PM Plan'!$A$5:$A$304,B993,'PM Plan'!$B$5:$B$304,C993)&gt;0,"OK","No matching asset + task in plan"))</f>
        <v/>
      </c>
    </row>
    <row r="994" customFormat="false" ht="15" hidden="false" customHeight="false" outlineLevel="0" collapsed="false">
      <c r="A994" s="13"/>
      <c r="B994" s="9"/>
      <c r="C994" s="9"/>
      <c r="D994" s="9"/>
      <c r="E994" s="9"/>
      <c r="F994" s="16" t="str">
        <f aca="false">IF(B994="","",IF(COUNTIFS('PM Plan'!$A$5:$A$304,B994,'PM Plan'!$B$5:$B$304,C994)&gt;0,"OK","No matching asset + task in plan"))</f>
        <v/>
      </c>
    </row>
    <row r="995" customFormat="false" ht="15" hidden="false" customHeight="false" outlineLevel="0" collapsed="false">
      <c r="A995" s="13"/>
      <c r="B995" s="9"/>
      <c r="C995" s="9"/>
      <c r="D995" s="9"/>
      <c r="E995" s="9"/>
      <c r="F995" s="16" t="str">
        <f aca="false">IF(B995="","",IF(COUNTIFS('PM Plan'!$A$5:$A$304,B995,'PM Plan'!$B$5:$B$304,C995)&gt;0,"OK","No matching asset + task in plan"))</f>
        <v/>
      </c>
    </row>
    <row r="996" customFormat="false" ht="15" hidden="false" customHeight="false" outlineLevel="0" collapsed="false">
      <c r="A996" s="13"/>
      <c r="B996" s="9"/>
      <c r="C996" s="9"/>
      <c r="D996" s="9"/>
      <c r="E996" s="9"/>
      <c r="F996" s="16" t="str">
        <f aca="false">IF(B996="","",IF(COUNTIFS('PM Plan'!$A$5:$A$304,B996,'PM Plan'!$B$5:$B$304,C996)&gt;0,"OK","No matching asset + task in plan"))</f>
        <v/>
      </c>
    </row>
    <row r="997" customFormat="false" ht="15" hidden="false" customHeight="false" outlineLevel="0" collapsed="false">
      <c r="A997" s="13"/>
      <c r="B997" s="9"/>
      <c r="C997" s="9"/>
      <c r="D997" s="9"/>
      <c r="E997" s="9"/>
      <c r="F997" s="16" t="str">
        <f aca="false">IF(B997="","",IF(COUNTIFS('PM Plan'!$A$5:$A$304,B997,'PM Plan'!$B$5:$B$304,C997)&gt;0,"OK","No matching asset + task in plan"))</f>
        <v/>
      </c>
    </row>
    <row r="998" customFormat="false" ht="15" hidden="false" customHeight="false" outlineLevel="0" collapsed="false">
      <c r="A998" s="13"/>
      <c r="B998" s="9"/>
      <c r="C998" s="9"/>
      <c r="D998" s="9"/>
      <c r="E998" s="9"/>
      <c r="F998" s="16" t="str">
        <f aca="false">IF(B998="","",IF(COUNTIFS('PM Plan'!$A$5:$A$304,B998,'PM Plan'!$B$5:$B$304,C998)&gt;0,"OK","No matching asset + task in plan"))</f>
        <v/>
      </c>
    </row>
    <row r="999" customFormat="false" ht="15" hidden="false" customHeight="false" outlineLevel="0" collapsed="false">
      <c r="A999" s="13"/>
      <c r="B999" s="9"/>
      <c r="C999" s="9"/>
      <c r="D999" s="9"/>
      <c r="E999" s="9"/>
      <c r="F999" s="16" t="str">
        <f aca="false">IF(B999="","",IF(COUNTIFS('PM Plan'!$A$5:$A$304,B999,'PM Plan'!$B$5:$B$304,C999)&gt;0,"OK","No matching asset + task in plan"))</f>
        <v/>
      </c>
    </row>
    <row r="1000" customFormat="false" ht="15" hidden="false" customHeight="false" outlineLevel="0" collapsed="false">
      <c r="A1000" s="13"/>
      <c r="B1000" s="9"/>
      <c r="C1000" s="9"/>
      <c r="D1000" s="9"/>
      <c r="E1000" s="9"/>
      <c r="F1000" s="16" t="str">
        <f aca="false">IF(B1000="","",IF(COUNTIFS('PM Plan'!$A$5:$A$304,B1000,'PM Plan'!$B$5:$B$304,C1000)&gt;0,"OK","No matching asset + task in plan"))</f>
        <v/>
      </c>
    </row>
    <row r="1001" customFormat="false" ht="15" hidden="false" customHeight="false" outlineLevel="0" collapsed="false">
      <c r="A1001" s="13"/>
      <c r="B1001" s="9"/>
      <c r="C1001" s="9"/>
      <c r="D1001" s="9"/>
      <c r="E1001" s="9"/>
      <c r="F1001" s="16" t="str">
        <f aca="false">IF(B1001="","",IF(COUNTIFS('PM Plan'!$A$5:$A$304,B1001,'PM Plan'!$B$5:$B$304,C1001)&gt;0,"OK","No matching asset + task in plan"))</f>
        <v/>
      </c>
    </row>
    <row r="1002" customFormat="false" ht="15" hidden="false" customHeight="false" outlineLevel="0" collapsed="false">
      <c r="A1002" s="13"/>
      <c r="B1002" s="9"/>
      <c r="C1002" s="9"/>
      <c r="D1002" s="9"/>
      <c r="E1002" s="9"/>
      <c r="F1002" s="16" t="str">
        <f aca="false">IF(B1002="","",IF(COUNTIFS('PM Plan'!$A$5:$A$304,B1002,'PM Plan'!$B$5:$B$304,C1002)&gt;0,"OK","No matching asset + task in plan"))</f>
        <v/>
      </c>
    </row>
    <row r="1003" customFormat="false" ht="15" hidden="false" customHeight="false" outlineLevel="0" collapsed="false">
      <c r="A1003" s="13"/>
      <c r="B1003" s="9"/>
      <c r="C1003" s="9"/>
      <c r="D1003" s="9"/>
      <c r="E1003" s="9"/>
      <c r="F1003" s="16" t="str">
        <f aca="false">IF(B1003="","",IF(COUNTIFS('PM Plan'!$A$5:$A$304,B1003,'PM Plan'!$B$5:$B$304,C1003)&gt;0,"OK","No matching asset + task in plan"))</f>
        <v/>
      </c>
    </row>
    <row r="1004" customFormat="false" ht="15" hidden="false" customHeight="false" outlineLevel="0" collapsed="false">
      <c r="A1004" s="13"/>
      <c r="B1004" s="9"/>
      <c r="C1004" s="9"/>
      <c r="D1004" s="9"/>
      <c r="E1004" s="9"/>
      <c r="F1004" s="16" t="str">
        <f aca="false">IF(B1004="","",IF(COUNTIFS('PM Plan'!$A$5:$A$304,B1004,'PM Plan'!$B$5:$B$304,C1004)&gt;0,"OK","No matching asset + task in plan"))</f>
        <v/>
      </c>
    </row>
    <row r="1005" customFormat="false" ht="15" hidden="false" customHeight="false" outlineLevel="0" collapsed="false">
      <c r="A1005" s="13"/>
      <c r="B1005" s="9"/>
      <c r="C1005" s="9"/>
      <c r="D1005" s="9"/>
      <c r="E1005" s="9"/>
      <c r="F1005" s="16" t="str">
        <f aca="false">IF(B1005="","",IF(COUNTIFS('PM Plan'!$A$5:$A$304,B1005,'PM Plan'!$B$5:$B$304,C1005)&gt;0,"OK","No matching asset + task in plan"))</f>
        <v/>
      </c>
    </row>
    <row r="1006" customFormat="false" ht="15" hidden="false" customHeight="false" outlineLevel="0" collapsed="false">
      <c r="A1006" s="13"/>
      <c r="B1006" s="9"/>
      <c r="C1006" s="9"/>
      <c r="D1006" s="9"/>
      <c r="E1006" s="9"/>
      <c r="F1006" s="16" t="str">
        <f aca="false">IF(B1006="","",IF(COUNTIFS('PM Plan'!$A$5:$A$304,B1006,'PM Plan'!$B$5:$B$304,C1006)&gt;0,"OK","No matching asset + task in plan"))</f>
        <v/>
      </c>
    </row>
    <row r="1007" customFormat="false" ht="15" hidden="false" customHeight="false" outlineLevel="0" collapsed="false">
      <c r="A1007" s="13"/>
      <c r="B1007" s="9"/>
      <c r="C1007" s="9"/>
      <c r="D1007" s="9"/>
      <c r="E1007" s="9"/>
      <c r="F1007" s="16" t="str">
        <f aca="false">IF(B1007="","",IF(COUNTIFS('PM Plan'!$A$5:$A$304,B1007,'PM Plan'!$B$5:$B$304,C1007)&gt;0,"OK","No matching asset + task in plan"))</f>
        <v/>
      </c>
    </row>
    <row r="1008" customFormat="false" ht="15" hidden="false" customHeight="false" outlineLevel="0" collapsed="false">
      <c r="A1008" s="13"/>
      <c r="B1008" s="9"/>
      <c r="C1008" s="9"/>
      <c r="D1008" s="9"/>
      <c r="E1008" s="9"/>
      <c r="F1008" s="16" t="str">
        <f aca="false">IF(B1008="","",IF(COUNTIFS('PM Plan'!$A$5:$A$304,B1008,'PM Plan'!$B$5:$B$304,C1008)&gt;0,"OK","No matching asset + task in plan"))</f>
        <v/>
      </c>
    </row>
    <row r="1009" customFormat="false" ht="15" hidden="false" customHeight="false" outlineLevel="0" collapsed="false">
      <c r="A1009" s="13"/>
      <c r="B1009" s="9"/>
      <c r="C1009" s="9"/>
      <c r="D1009" s="9"/>
      <c r="E1009" s="9"/>
      <c r="F1009" s="16" t="str">
        <f aca="false">IF(B1009="","",IF(COUNTIFS('PM Plan'!$A$5:$A$304,B1009,'PM Plan'!$B$5:$B$304,C1009)&gt;0,"OK","No matching asset + task in plan"))</f>
        <v/>
      </c>
    </row>
    <row r="1010" customFormat="false" ht="15" hidden="false" customHeight="false" outlineLevel="0" collapsed="false">
      <c r="A1010" s="13"/>
      <c r="B1010" s="9"/>
      <c r="C1010" s="9"/>
      <c r="D1010" s="9"/>
      <c r="E1010" s="9"/>
      <c r="F1010" s="16" t="str">
        <f aca="false">IF(B1010="","",IF(COUNTIFS('PM Plan'!$A$5:$A$304,B1010,'PM Plan'!$B$5:$B$304,C1010)&gt;0,"OK","No matching asset + task in plan"))</f>
        <v/>
      </c>
    </row>
    <row r="1011" customFormat="false" ht="15" hidden="false" customHeight="false" outlineLevel="0" collapsed="false">
      <c r="A1011" s="13"/>
      <c r="B1011" s="9"/>
      <c r="C1011" s="9"/>
      <c r="D1011" s="9"/>
      <c r="E1011" s="9"/>
      <c r="F1011" s="16" t="str">
        <f aca="false">IF(B1011="","",IF(COUNTIFS('PM Plan'!$A$5:$A$304,B1011,'PM Plan'!$B$5:$B$304,C1011)&gt;0,"OK","No matching asset + task in plan"))</f>
        <v/>
      </c>
    </row>
    <row r="1012" customFormat="false" ht="15" hidden="false" customHeight="false" outlineLevel="0" collapsed="false">
      <c r="A1012" s="13"/>
      <c r="B1012" s="9"/>
      <c r="C1012" s="9"/>
      <c r="D1012" s="9"/>
      <c r="E1012" s="9"/>
      <c r="F1012" s="16" t="str">
        <f aca="false">IF(B1012="","",IF(COUNTIFS('PM Plan'!$A$5:$A$304,B1012,'PM Plan'!$B$5:$B$304,C1012)&gt;0,"OK","No matching asset + task in plan"))</f>
        <v/>
      </c>
    </row>
    <row r="1013" customFormat="false" ht="15" hidden="false" customHeight="false" outlineLevel="0" collapsed="false">
      <c r="A1013" s="13"/>
      <c r="B1013" s="9"/>
      <c r="C1013" s="9"/>
      <c r="D1013" s="9"/>
      <c r="E1013" s="9"/>
      <c r="F1013" s="16" t="str">
        <f aca="false">IF(B1013="","",IF(COUNTIFS('PM Plan'!$A$5:$A$304,B1013,'PM Plan'!$B$5:$B$304,C1013)&gt;0,"OK","No matching asset + task in plan"))</f>
        <v/>
      </c>
    </row>
    <row r="1014" customFormat="false" ht="15" hidden="false" customHeight="false" outlineLevel="0" collapsed="false">
      <c r="A1014" s="13"/>
      <c r="B1014" s="9"/>
      <c r="C1014" s="9"/>
      <c r="D1014" s="9"/>
      <c r="E1014" s="9"/>
      <c r="F1014" s="16" t="str">
        <f aca="false">IF(B1014="","",IF(COUNTIFS('PM Plan'!$A$5:$A$304,B1014,'PM Plan'!$B$5:$B$304,C1014)&gt;0,"OK","No matching asset + task in plan"))</f>
        <v/>
      </c>
    </row>
    <row r="1015" customFormat="false" ht="15" hidden="false" customHeight="false" outlineLevel="0" collapsed="false">
      <c r="A1015" s="13"/>
      <c r="B1015" s="9"/>
      <c r="C1015" s="9"/>
      <c r="D1015" s="9"/>
      <c r="E1015" s="9"/>
      <c r="F1015" s="16" t="str">
        <f aca="false">IF(B1015="","",IF(COUNTIFS('PM Plan'!$A$5:$A$304,B1015,'PM Plan'!$B$5:$B$304,C1015)&gt;0,"OK","No matching asset + task in plan"))</f>
        <v/>
      </c>
    </row>
    <row r="1016" customFormat="false" ht="15" hidden="false" customHeight="false" outlineLevel="0" collapsed="false">
      <c r="A1016" s="13"/>
      <c r="B1016" s="9"/>
      <c r="C1016" s="9"/>
      <c r="D1016" s="9"/>
      <c r="E1016" s="9"/>
      <c r="F1016" s="16" t="str">
        <f aca="false">IF(B1016="","",IF(COUNTIFS('PM Plan'!$A$5:$A$304,B1016,'PM Plan'!$B$5:$B$304,C1016)&gt;0,"OK","No matching asset + task in plan"))</f>
        <v/>
      </c>
    </row>
    <row r="1017" customFormat="false" ht="15" hidden="false" customHeight="false" outlineLevel="0" collapsed="false">
      <c r="A1017" s="13"/>
      <c r="B1017" s="9"/>
      <c r="C1017" s="9"/>
      <c r="D1017" s="9"/>
      <c r="E1017" s="9"/>
      <c r="F1017" s="16" t="str">
        <f aca="false">IF(B1017="","",IF(COUNTIFS('PM Plan'!$A$5:$A$304,B1017,'PM Plan'!$B$5:$B$304,C1017)&gt;0,"OK","No matching asset + task in plan"))</f>
        <v/>
      </c>
    </row>
    <row r="1018" customFormat="false" ht="15" hidden="false" customHeight="false" outlineLevel="0" collapsed="false">
      <c r="A1018" s="13"/>
      <c r="B1018" s="9"/>
      <c r="C1018" s="9"/>
      <c r="D1018" s="9"/>
      <c r="E1018" s="9"/>
      <c r="F1018" s="16" t="str">
        <f aca="false">IF(B1018="","",IF(COUNTIFS('PM Plan'!$A$5:$A$304,B1018,'PM Plan'!$B$5:$B$304,C1018)&gt;0,"OK","No matching asset + task in plan"))</f>
        <v/>
      </c>
    </row>
    <row r="1019" customFormat="false" ht="15" hidden="false" customHeight="false" outlineLevel="0" collapsed="false">
      <c r="A1019" s="13"/>
      <c r="B1019" s="9"/>
      <c r="C1019" s="9"/>
      <c r="D1019" s="9"/>
      <c r="E1019" s="9"/>
      <c r="F1019" s="16" t="str">
        <f aca="false">IF(B1019="","",IF(COUNTIFS('PM Plan'!$A$5:$A$304,B1019,'PM Plan'!$B$5:$B$304,C1019)&gt;0,"OK","No matching asset + task in plan"))</f>
        <v/>
      </c>
    </row>
    <row r="1020" customFormat="false" ht="15" hidden="false" customHeight="false" outlineLevel="0" collapsed="false">
      <c r="A1020" s="13"/>
      <c r="B1020" s="9"/>
      <c r="C1020" s="9"/>
      <c r="D1020" s="9"/>
      <c r="E1020" s="9"/>
      <c r="F1020" s="16" t="str">
        <f aca="false">IF(B1020="","",IF(COUNTIFS('PM Plan'!$A$5:$A$304,B1020,'PM Plan'!$B$5:$B$304,C1020)&gt;0,"OK","No matching asset + task in plan"))</f>
        <v/>
      </c>
    </row>
    <row r="1021" customFormat="false" ht="15" hidden="false" customHeight="false" outlineLevel="0" collapsed="false">
      <c r="A1021" s="13"/>
      <c r="B1021" s="9"/>
      <c r="C1021" s="9"/>
      <c r="D1021" s="9"/>
      <c r="E1021" s="9"/>
      <c r="F1021" s="16" t="str">
        <f aca="false">IF(B1021="","",IF(COUNTIFS('PM Plan'!$A$5:$A$304,B1021,'PM Plan'!$B$5:$B$304,C1021)&gt;0,"OK","No matching asset + task in plan"))</f>
        <v/>
      </c>
    </row>
    <row r="1022" customFormat="false" ht="15" hidden="false" customHeight="false" outlineLevel="0" collapsed="false">
      <c r="A1022" s="13"/>
      <c r="B1022" s="9"/>
      <c r="C1022" s="9"/>
      <c r="D1022" s="9"/>
      <c r="E1022" s="9"/>
      <c r="F1022" s="16" t="str">
        <f aca="false">IF(B1022="","",IF(COUNTIFS('PM Plan'!$A$5:$A$304,B1022,'PM Plan'!$B$5:$B$304,C1022)&gt;0,"OK","No matching asset + task in plan"))</f>
        <v/>
      </c>
    </row>
    <row r="1023" customFormat="false" ht="15" hidden="false" customHeight="false" outlineLevel="0" collapsed="false">
      <c r="A1023" s="13"/>
      <c r="B1023" s="9"/>
      <c r="C1023" s="9"/>
      <c r="D1023" s="9"/>
      <c r="E1023" s="9"/>
      <c r="F1023" s="16" t="str">
        <f aca="false">IF(B1023="","",IF(COUNTIFS('PM Plan'!$A$5:$A$304,B1023,'PM Plan'!$B$5:$B$304,C1023)&gt;0,"OK","No matching asset + task in plan"))</f>
        <v/>
      </c>
    </row>
    <row r="1024" customFormat="false" ht="15" hidden="false" customHeight="false" outlineLevel="0" collapsed="false">
      <c r="A1024" s="13"/>
      <c r="B1024" s="9"/>
      <c r="C1024" s="9"/>
      <c r="D1024" s="9"/>
      <c r="E1024" s="9"/>
      <c r="F1024" s="16" t="str">
        <f aca="false">IF(B1024="","",IF(COUNTIFS('PM Plan'!$A$5:$A$304,B1024,'PM Plan'!$B$5:$B$304,C1024)&gt;0,"OK","No matching asset + task in plan"))</f>
        <v/>
      </c>
    </row>
    <row r="1025" customFormat="false" ht="15" hidden="false" customHeight="false" outlineLevel="0" collapsed="false">
      <c r="A1025" s="13"/>
      <c r="B1025" s="9"/>
      <c r="C1025" s="9"/>
      <c r="D1025" s="9"/>
      <c r="E1025" s="9"/>
      <c r="F1025" s="16" t="str">
        <f aca="false">IF(B1025="","",IF(COUNTIFS('PM Plan'!$A$5:$A$304,B1025,'PM Plan'!$B$5:$B$304,C1025)&gt;0,"OK","No matching asset + task in plan"))</f>
        <v/>
      </c>
    </row>
    <row r="1026" customFormat="false" ht="15" hidden="false" customHeight="false" outlineLevel="0" collapsed="false">
      <c r="A1026" s="13"/>
      <c r="B1026" s="9"/>
      <c r="C1026" s="9"/>
      <c r="D1026" s="9"/>
      <c r="E1026" s="9"/>
      <c r="F1026" s="16" t="str">
        <f aca="false">IF(B1026="","",IF(COUNTIFS('PM Plan'!$A$5:$A$304,B1026,'PM Plan'!$B$5:$B$304,C1026)&gt;0,"OK","No matching asset + task in plan"))</f>
        <v/>
      </c>
    </row>
    <row r="1027" customFormat="false" ht="15" hidden="false" customHeight="false" outlineLevel="0" collapsed="false">
      <c r="A1027" s="13"/>
      <c r="B1027" s="9"/>
      <c r="C1027" s="9"/>
      <c r="D1027" s="9"/>
      <c r="E1027" s="9"/>
      <c r="F1027" s="16" t="str">
        <f aca="false">IF(B1027="","",IF(COUNTIFS('PM Plan'!$A$5:$A$304,B1027,'PM Plan'!$B$5:$B$304,C1027)&gt;0,"OK","No matching asset + task in plan"))</f>
        <v/>
      </c>
    </row>
    <row r="1028" customFormat="false" ht="15" hidden="false" customHeight="false" outlineLevel="0" collapsed="false">
      <c r="A1028" s="13"/>
      <c r="B1028" s="9"/>
      <c r="C1028" s="9"/>
      <c r="D1028" s="9"/>
      <c r="E1028" s="9"/>
      <c r="F1028" s="16" t="str">
        <f aca="false">IF(B1028="","",IF(COUNTIFS('PM Plan'!$A$5:$A$304,B1028,'PM Plan'!$B$5:$B$304,C1028)&gt;0,"OK","No matching asset + task in plan"))</f>
        <v/>
      </c>
    </row>
    <row r="1029" customFormat="false" ht="15" hidden="false" customHeight="false" outlineLevel="0" collapsed="false">
      <c r="A1029" s="13"/>
      <c r="B1029" s="9"/>
      <c r="C1029" s="9"/>
      <c r="D1029" s="9"/>
      <c r="E1029" s="9"/>
      <c r="F1029" s="16" t="str">
        <f aca="false">IF(B1029="","",IF(COUNTIFS('PM Plan'!$A$5:$A$304,B1029,'PM Plan'!$B$5:$B$304,C1029)&gt;0,"OK","No matching asset + task in plan"))</f>
        <v/>
      </c>
    </row>
    <row r="1030" customFormat="false" ht="15" hidden="false" customHeight="false" outlineLevel="0" collapsed="false">
      <c r="A1030" s="13"/>
      <c r="B1030" s="9"/>
      <c r="C1030" s="9"/>
      <c r="D1030" s="9"/>
      <c r="E1030" s="9"/>
      <c r="F1030" s="16" t="str">
        <f aca="false">IF(B1030="","",IF(COUNTIFS('PM Plan'!$A$5:$A$304,B1030,'PM Plan'!$B$5:$B$304,C1030)&gt;0,"OK","No matching asset + task in plan"))</f>
        <v/>
      </c>
    </row>
    <row r="1031" customFormat="false" ht="15" hidden="false" customHeight="false" outlineLevel="0" collapsed="false">
      <c r="A1031" s="13"/>
      <c r="B1031" s="9"/>
      <c r="C1031" s="9"/>
      <c r="D1031" s="9"/>
      <c r="E1031" s="9"/>
      <c r="F1031" s="16" t="str">
        <f aca="false">IF(B1031="","",IF(COUNTIFS('PM Plan'!$A$5:$A$304,B1031,'PM Plan'!$B$5:$B$304,C1031)&gt;0,"OK","No matching asset + task in plan"))</f>
        <v/>
      </c>
    </row>
    <row r="1032" customFormat="false" ht="15" hidden="false" customHeight="false" outlineLevel="0" collapsed="false">
      <c r="A1032" s="13"/>
      <c r="B1032" s="9"/>
      <c r="C1032" s="9"/>
      <c r="D1032" s="9"/>
      <c r="E1032" s="9"/>
      <c r="F1032" s="16" t="str">
        <f aca="false">IF(B1032="","",IF(COUNTIFS('PM Plan'!$A$5:$A$304,B1032,'PM Plan'!$B$5:$B$304,C1032)&gt;0,"OK","No matching asset + task in plan"))</f>
        <v/>
      </c>
    </row>
    <row r="1033" customFormat="false" ht="15" hidden="false" customHeight="false" outlineLevel="0" collapsed="false">
      <c r="A1033" s="13"/>
      <c r="B1033" s="9"/>
      <c r="C1033" s="9"/>
      <c r="D1033" s="9"/>
      <c r="E1033" s="9"/>
      <c r="F1033" s="16" t="str">
        <f aca="false">IF(B1033="","",IF(COUNTIFS('PM Plan'!$A$5:$A$304,B1033,'PM Plan'!$B$5:$B$304,C1033)&gt;0,"OK","No matching asset + task in plan"))</f>
        <v/>
      </c>
    </row>
    <row r="1034" customFormat="false" ht="15" hidden="false" customHeight="false" outlineLevel="0" collapsed="false">
      <c r="A1034" s="13"/>
      <c r="B1034" s="9"/>
      <c r="C1034" s="9"/>
      <c r="D1034" s="9"/>
      <c r="E1034" s="9"/>
      <c r="F1034" s="16" t="str">
        <f aca="false">IF(B1034="","",IF(COUNTIFS('PM Plan'!$A$5:$A$304,B1034,'PM Plan'!$B$5:$B$304,C1034)&gt;0,"OK","No matching asset + task in plan"))</f>
        <v/>
      </c>
    </row>
    <row r="1035" customFormat="false" ht="15" hidden="false" customHeight="false" outlineLevel="0" collapsed="false">
      <c r="A1035" s="13"/>
      <c r="B1035" s="9"/>
      <c r="C1035" s="9"/>
      <c r="D1035" s="9"/>
      <c r="E1035" s="9"/>
      <c r="F1035" s="16" t="str">
        <f aca="false">IF(B1035="","",IF(COUNTIFS('PM Plan'!$A$5:$A$304,B1035,'PM Plan'!$B$5:$B$304,C1035)&gt;0,"OK","No matching asset + task in plan"))</f>
        <v/>
      </c>
    </row>
    <row r="1036" customFormat="false" ht="15" hidden="false" customHeight="false" outlineLevel="0" collapsed="false">
      <c r="A1036" s="13"/>
      <c r="B1036" s="9"/>
      <c r="C1036" s="9"/>
      <c r="D1036" s="9"/>
      <c r="E1036" s="9"/>
      <c r="F1036" s="16" t="str">
        <f aca="false">IF(B1036="","",IF(COUNTIFS('PM Plan'!$A$5:$A$304,B1036,'PM Plan'!$B$5:$B$304,C1036)&gt;0,"OK","No matching asset + task in plan"))</f>
        <v/>
      </c>
    </row>
    <row r="1037" customFormat="false" ht="15" hidden="false" customHeight="false" outlineLevel="0" collapsed="false">
      <c r="A1037" s="13"/>
      <c r="B1037" s="9"/>
      <c r="C1037" s="9"/>
      <c r="D1037" s="9"/>
      <c r="E1037" s="9"/>
      <c r="F1037" s="16" t="str">
        <f aca="false">IF(B1037="","",IF(COUNTIFS('PM Plan'!$A$5:$A$304,B1037,'PM Plan'!$B$5:$B$304,C1037)&gt;0,"OK","No matching asset + task in plan"))</f>
        <v/>
      </c>
    </row>
    <row r="1038" customFormat="false" ht="15" hidden="false" customHeight="false" outlineLevel="0" collapsed="false">
      <c r="A1038" s="13"/>
      <c r="B1038" s="9"/>
      <c r="C1038" s="9"/>
      <c r="D1038" s="9"/>
      <c r="E1038" s="9"/>
      <c r="F1038" s="16" t="str">
        <f aca="false">IF(B1038="","",IF(COUNTIFS('PM Plan'!$A$5:$A$304,B1038,'PM Plan'!$B$5:$B$304,C1038)&gt;0,"OK","No matching asset + task in plan"))</f>
        <v/>
      </c>
    </row>
    <row r="1039" customFormat="false" ht="15" hidden="false" customHeight="false" outlineLevel="0" collapsed="false">
      <c r="A1039" s="13"/>
      <c r="B1039" s="9"/>
      <c r="C1039" s="9"/>
      <c r="D1039" s="9"/>
      <c r="E1039" s="9"/>
      <c r="F1039" s="16" t="str">
        <f aca="false">IF(B1039="","",IF(COUNTIFS('PM Plan'!$A$5:$A$304,B1039,'PM Plan'!$B$5:$B$304,C1039)&gt;0,"OK","No matching asset + task in plan"))</f>
        <v/>
      </c>
    </row>
    <row r="1040" customFormat="false" ht="15" hidden="false" customHeight="false" outlineLevel="0" collapsed="false">
      <c r="A1040" s="13"/>
      <c r="B1040" s="9"/>
      <c r="C1040" s="9"/>
      <c r="D1040" s="9"/>
      <c r="E1040" s="9"/>
      <c r="F1040" s="16" t="str">
        <f aca="false">IF(B1040="","",IF(COUNTIFS('PM Plan'!$A$5:$A$304,B1040,'PM Plan'!$B$5:$B$304,C1040)&gt;0,"OK","No matching asset + task in plan"))</f>
        <v/>
      </c>
    </row>
    <row r="1041" customFormat="false" ht="15" hidden="false" customHeight="false" outlineLevel="0" collapsed="false">
      <c r="A1041" s="13"/>
      <c r="B1041" s="9"/>
      <c r="C1041" s="9"/>
      <c r="D1041" s="9"/>
      <c r="E1041" s="9"/>
      <c r="F1041" s="16" t="str">
        <f aca="false">IF(B1041="","",IF(COUNTIFS('PM Plan'!$A$5:$A$304,B1041,'PM Plan'!$B$5:$B$304,C1041)&gt;0,"OK","No matching asset + task in plan"))</f>
        <v/>
      </c>
    </row>
    <row r="1042" customFormat="false" ht="15" hidden="false" customHeight="false" outlineLevel="0" collapsed="false">
      <c r="A1042" s="13"/>
      <c r="B1042" s="9"/>
      <c r="C1042" s="9"/>
      <c r="D1042" s="9"/>
      <c r="E1042" s="9"/>
      <c r="F1042" s="16" t="str">
        <f aca="false">IF(B1042="","",IF(COUNTIFS('PM Plan'!$A$5:$A$304,B1042,'PM Plan'!$B$5:$B$304,C1042)&gt;0,"OK","No matching asset + task in plan"))</f>
        <v/>
      </c>
    </row>
    <row r="1043" customFormat="false" ht="15" hidden="false" customHeight="false" outlineLevel="0" collapsed="false">
      <c r="A1043" s="13"/>
      <c r="B1043" s="9"/>
      <c r="C1043" s="9"/>
      <c r="D1043" s="9"/>
      <c r="E1043" s="9"/>
      <c r="F1043" s="16" t="str">
        <f aca="false">IF(B1043="","",IF(COUNTIFS('PM Plan'!$A$5:$A$304,B1043,'PM Plan'!$B$5:$B$304,C1043)&gt;0,"OK","No matching asset + task in plan"))</f>
        <v/>
      </c>
    </row>
    <row r="1044" customFormat="false" ht="15" hidden="false" customHeight="false" outlineLevel="0" collapsed="false">
      <c r="A1044" s="13"/>
      <c r="B1044" s="9"/>
      <c r="C1044" s="9"/>
      <c r="D1044" s="9"/>
      <c r="E1044" s="9"/>
      <c r="F1044" s="16" t="str">
        <f aca="false">IF(B1044="","",IF(COUNTIFS('PM Plan'!$A$5:$A$304,B1044,'PM Plan'!$B$5:$B$304,C1044)&gt;0,"OK","No matching asset + task in plan"))</f>
        <v/>
      </c>
    </row>
    <row r="1045" customFormat="false" ht="15" hidden="false" customHeight="false" outlineLevel="0" collapsed="false">
      <c r="A1045" s="13"/>
      <c r="B1045" s="9"/>
      <c r="C1045" s="9"/>
      <c r="D1045" s="9"/>
      <c r="E1045" s="9"/>
      <c r="F1045" s="16" t="str">
        <f aca="false">IF(B1045="","",IF(COUNTIFS('PM Plan'!$A$5:$A$304,B1045,'PM Plan'!$B$5:$B$304,C1045)&gt;0,"OK","No matching asset + task in plan"))</f>
        <v/>
      </c>
    </row>
    <row r="1046" customFormat="false" ht="15" hidden="false" customHeight="false" outlineLevel="0" collapsed="false">
      <c r="A1046" s="13"/>
      <c r="B1046" s="9"/>
      <c r="C1046" s="9"/>
      <c r="D1046" s="9"/>
      <c r="E1046" s="9"/>
      <c r="F1046" s="16" t="str">
        <f aca="false">IF(B1046="","",IF(COUNTIFS('PM Plan'!$A$5:$A$304,B1046,'PM Plan'!$B$5:$B$304,C1046)&gt;0,"OK","No matching asset + task in plan"))</f>
        <v/>
      </c>
    </row>
    <row r="1047" customFormat="false" ht="15" hidden="false" customHeight="false" outlineLevel="0" collapsed="false">
      <c r="A1047" s="13"/>
      <c r="B1047" s="9"/>
      <c r="C1047" s="9"/>
      <c r="D1047" s="9"/>
      <c r="E1047" s="9"/>
      <c r="F1047" s="16" t="str">
        <f aca="false">IF(B1047="","",IF(COUNTIFS('PM Plan'!$A$5:$A$304,B1047,'PM Plan'!$B$5:$B$304,C1047)&gt;0,"OK","No matching asset + task in plan"))</f>
        <v/>
      </c>
    </row>
    <row r="1048" customFormat="false" ht="15" hidden="false" customHeight="false" outlineLevel="0" collapsed="false">
      <c r="A1048" s="13"/>
      <c r="B1048" s="9"/>
      <c r="C1048" s="9"/>
      <c r="D1048" s="9"/>
      <c r="E1048" s="9"/>
      <c r="F1048" s="16" t="str">
        <f aca="false">IF(B1048="","",IF(COUNTIFS('PM Plan'!$A$5:$A$304,B1048,'PM Plan'!$B$5:$B$304,C1048)&gt;0,"OK","No matching asset + task in plan"))</f>
        <v/>
      </c>
    </row>
    <row r="1049" customFormat="false" ht="15" hidden="false" customHeight="false" outlineLevel="0" collapsed="false">
      <c r="A1049" s="13"/>
      <c r="B1049" s="9"/>
      <c r="C1049" s="9"/>
      <c r="D1049" s="9"/>
      <c r="E1049" s="9"/>
      <c r="F1049" s="16" t="str">
        <f aca="false">IF(B1049="","",IF(COUNTIFS('PM Plan'!$A$5:$A$304,B1049,'PM Plan'!$B$5:$B$304,C1049)&gt;0,"OK","No matching asset + task in plan"))</f>
        <v/>
      </c>
    </row>
    <row r="1050" customFormat="false" ht="15" hidden="false" customHeight="false" outlineLevel="0" collapsed="false">
      <c r="A1050" s="13"/>
      <c r="B1050" s="9"/>
      <c r="C1050" s="9"/>
      <c r="D1050" s="9"/>
      <c r="E1050" s="9"/>
      <c r="F1050" s="16" t="str">
        <f aca="false">IF(B1050="","",IF(COUNTIFS('PM Plan'!$A$5:$A$304,B1050,'PM Plan'!$B$5:$B$304,C1050)&gt;0,"OK","No matching asset + task in plan"))</f>
        <v/>
      </c>
    </row>
    <row r="1051" customFormat="false" ht="15" hidden="false" customHeight="false" outlineLevel="0" collapsed="false">
      <c r="A1051" s="13"/>
      <c r="B1051" s="9"/>
      <c r="C1051" s="9"/>
      <c r="D1051" s="9"/>
      <c r="E1051" s="9"/>
      <c r="F1051" s="16" t="str">
        <f aca="false">IF(B1051="","",IF(COUNTIFS('PM Plan'!$A$5:$A$304,B1051,'PM Plan'!$B$5:$B$304,C1051)&gt;0,"OK","No matching asset + task in plan"))</f>
        <v/>
      </c>
    </row>
    <row r="1052" customFormat="false" ht="15" hidden="false" customHeight="false" outlineLevel="0" collapsed="false">
      <c r="A1052" s="13"/>
      <c r="B1052" s="9"/>
      <c r="C1052" s="9"/>
      <c r="D1052" s="9"/>
      <c r="E1052" s="9"/>
      <c r="F1052" s="16" t="str">
        <f aca="false">IF(B1052="","",IF(COUNTIFS('PM Plan'!$A$5:$A$304,B1052,'PM Plan'!$B$5:$B$304,C1052)&gt;0,"OK","No matching asset + task in plan"))</f>
        <v/>
      </c>
    </row>
    <row r="1053" customFormat="false" ht="15" hidden="false" customHeight="false" outlineLevel="0" collapsed="false">
      <c r="A1053" s="13"/>
      <c r="B1053" s="9"/>
      <c r="C1053" s="9"/>
      <c r="D1053" s="9"/>
      <c r="E1053" s="9"/>
      <c r="F1053" s="16" t="str">
        <f aca="false">IF(B1053="","",IF(COUNTIFS('PM Plan'!$A$5:$A$304,B1053,'PM Plan'!$B$5:$B$304,C1053)&gt;0,"OK","No matching asset + task in plan"))</f>
        <v/>
      </c>
    </row>
    <row r="1054" customFormat="false" ht="15" hidden="false" customHeight="false" outlineLevel="0" collapsed="false">
      <c r="A1054" s="13"/>
      <c r="B1054" s="9"/>
      <c r="C1054" s="9"/>
      <c r="D1054" s="9"/>
      <c r="E1054" s="9"/>
      <c r="F1054" s="16" t="str">
        <f aca="false">IF(B1054="","",IF(COUNTIFS('PM Plan'!$A$5:$A$304,B1054,'PM Plan'!$B$5:$B$304,C1054)&gt;0,"OK","No matching asset + task in plan"))</f>
        <v/>
      </c>
    </row>
    <row r="1055" customFormat="false" ht="15" hidden="false" customHeight="false" outlineLevel="0" collapsed="false">
      <c r="A1055" s="13"/>
      <c r="B1055" s="9"/>
      <c r="C1055" s="9"/>
      <c r="D1055" s="9"/>
      <c r="E1055" s="9"/>
      <c r="F1055" s="16" t="str">
        <f aca="false">IF(B1055="","",IF(COUNTIFS('PM Plan'!$A$5:$A$304,B1055,'PM Plan'!$B$5:$B$304,C1055)&gt;0,"OK","No matching asset + task in plan"))</f>
        <v/>
      </c>
    </row>
    <row r="1056" customFormat="false" ht="15" hidden="false" customHeight="false" outlineLevel="0" collapsed="false">
      <c r="A1056" s="13"/>
      <c r="B1056" s="9"/>
      <c r="C1056" s="9"/>
      <c r="D1056" s="9"/>
      <c r="E1056" s="9"/>
      <c r="F1056" s="16" t="str">
        <f aca="false">IF(B1056="","",IF(COUNTIFS('PM Plan'!$A$5:$A$304,B1056,'PM Plan'!$B$5:$B$304,C1056)&gt;0,"OK","No matching asset + task in plan"))</f>
        <v/>
      </c>
    </row>
    <row r="1057" customFormat="false" ht="15" hidden="false" customHeight="false" outlineLevel="0" collapsed="false">
      <c r="A1057" s="13"/>
      <c r="B1057" s="9"/>
      <c r="C1057" s="9"/>
      <c r="D1057" s="9"/>
      <c r="E1057" s="9"/>
      <c r="F1057" s="16" t="str">
        <f aca="false">IF(B1057="","",IF(COUNTIFS('PM Plan'!$A$5:$A$304,B1057,'PM Plan'!$B$5:$B$304,C1057)&gt;0,"OK","No matching asset + task in plan"))</f>
        <v/>
      </c>
    </row>
    <row r="1058" customFormat="false" ht="15" hidden="false" customHeight="false" outlineLevel="0" collapsed="false">
      <c r="A1058" s="13"/>
      <c r="B1058" s="9"/>
      <c r="C1058" s="9"/>
      <c r="D1058" s="9"/>
      <c r="E1058" s="9"/>
      <c r="F1058" s="16" t="str">
        <f aca="false">IF(B1058="","",IF(COUNTIFS('PM Plan'!$A$5:$A$304,B1058,'PM Plan'!$B$5:$B$304,C1058)&gt;0,"OK","No matching asset + task in plan"))</f>
        <v/>
      </c>
    </row>
    <row r="1059" customFormat="false" ht="15" hidden="false" customHeight="false" outlineLevel="0" collapsed="false">
      <c r="A1059" s="13"/>
      <c r="B1059" s="9"/>
      <c r="C1059" s="9"/>
      <c r="D1059" s="9"/>
      <c r="E1059" s="9"/>
      <c r="F1059" s="16" t="str">
        <f aca="false">IF(B1059="","",IF(COUNTIFS('PM Plan'!$A$5:$A$304,B1059,'PM Plan'!$B$5:$B$304,C1059)&gt;0,"OK","No matching asset + task in plan"))</f>
        <v/>
      </c>
    </row>
    <row r="1060" customFormat="false" ht="15" hidden="false" customHeight="false" outlineLevel="0" collapsed="false">
      <c r="A1060" s="13"/>
      <c r="B1060" s="9"/>
      <c r="C1060" s="9"/>
      <c r="D1060" s="9"/>
      <c r="E1060" s="9"/>
      <c r="F1060" s="16" t="str">
        <f aca="false">IF(B1060="","",IF(COUNTIFS('PM Plan'!$A$5:$A$304,B1060,'PM Plan'!$B$5:$B$304,C1060)&gt;0,"OK","No matching asset + task in plan"))</f>
        <v/>
      </c>
    </row>
    <row r="1061" customFormat="false" ht="15" hidden="false" customHeight="false" outlineLevel="0" collapsed="false">
      <c r="A1061" s="13"/>
      <c r="B1061" s="9"/>
      <c r="C1061" s="9"/>
      <c r="D1061" s="9"/>
      <c r="E1061" s="9"/>
      <c r="F1061" s="16" t="str">
        <f aca="false">IF(B1061="","",IF(COUNTIFS('PM Plan'!$A$5:$A$304,B1061,'PM Plan'!$B$5:$B$304,C1061)&gt;0,"OK","No matching asset + task in plan"))</f>
        <v/>
      </c>
    </row>
    <row r="1062" customFormat="false" ht="15" hidden="false" customHeight="false" outlineLevel="0" collapsed="false">
      <c r="A1062" s="13"/>
      <c r="B1062" s="9"/>
      <c r="C1062" s="9"/>
      <c r="D1062" s="9"/>
      <c r="E1062" s="9"/>
      <c r="F1062" s="16" t="str">
        <f aca="false">IF(B1062="","",IF(COUNTIFS('PM Plan'!$A$5:$A$304,B1062,'PM Plan'!$B$5:$B$304,C1062)&gt;0,"OK","No matching asset + task in plan"))</f>
        <v/>
      </c>
    </row>
    <row r="1063" customFormat="false" ht="15" hidden="false" customHeight="false" outlineLevel="0" collapsed="false">
      <c r="A1063" s="13"/>
      <c r="B1063" s="9"/>
      <c r="C1063" s="9"/>
      <c r="D1063" s="9"/>
      <c r="E1063" s="9"/>
      <c r="F1063" s="16" t="str">
        <f aca="false">IF(B1063="","",IF(COUNTIFS('PM Plan'!$A$5:$A$304,B1063,'PM Plan'!$B$5:$B$304,C1063)&gt;0,"OK","No matching asset + task in plan"))</f>
        <v/>
      </c>
    </row>
    <row r="1064" customFormat="false" ht="15" hidden="false" customHeight="false" outlineLevel="0" collapsed="false">
      <c r="A1064" s="13"/>
      <c r="B1064" s="9"/>
      <c r="C1064" s="9"/>
      <c r="D1064" s="9"/>
      <c r="E1064" s="9"/>
      <c r="F1064" s="16" t="str">
        <f aca="false">IF(B1064="","",IF(COUNTIFS('PM Plan'!$A$5:$A$304,B1064,'PM Plan'!$B$5:$B$304,C1064)&gt;0,"OK","No matching asset + task in plan"))</f>
        <v/>
      </c>
    </row>
    <row r="1065" customFormat="false" ht="15" hidden="false" customHeight="false" outlineLevel="0" collapsed="false">
      <c r="A1065" s="13"/>
      <c r="B1065" s="9"/>
      <c r="C1065" s="9"/>
      <c r="D1065" s="9"/>
      <c r="E1065" s="9"/>
      <c r="F1065" s="16" t="str">
        <f aca="false">IF(B1065="","",IF(COUNTIFS('PM Plan'!$A$5:$A$304,B1065,'PM Plan'!$B$5:$B$304,C1065)&gt;0,"OK","No matching asset + task in plan"))</f>
        <v/>
      </c>
    </row>
    <row r="1066" customFormat="false" ht="15" hidden="false" customHeight="false" outlineLevel="0" collapsed="false">
      <c r="A1066" s="13"/>
      <c r="B1066" s="9"/>
      <c r="C1066" s="9"/>
      <c r="D1066" s="9"/>
      <c r="E1066" s="9"/>
      <c r="F1066" s="16" t="str">
        <f aca="false">IF(B1066="","",IF(COUNTIFS('PM Plan'!$A$5:$A$304,B1066,'PM Plan'!$B$5:$B$304,C1066)&gt;0,"OK","No matching asset + task in plan"))</f>
        <v/>
      </c>
    </row>
    <row r="1067" customFormat="false" ht="15" hidden="false" customHeight="false" outlineLevel="0" collapsed="false">
      <c r="A1067" s="13"/>
      <c r="B1067" s="9"/>
      <c r="C1067" s="9"/>
      <c r="D1067" s="9"/>
      <c r="E1067" s="9"/>
      <c r="F1067" s="16" t="str">
        <f aca="false">IF(B1067="","",IF(COUNTIFS('PM Plan'!$A$5:$A$304,B1067,'PM Plan'!$B$5:$B$304,C1067)&gt;0,"OK","No matching asset + task in plan"))</f>
        <v/>
      </c>
    </row>
    <row r="1068" customFormat="false" ht="15" hidden="false" customHeight="false" outlineLevel="0" collapsed="false">
      <c r="A1068" s="13"/>
      <c r="B1068" s="9"/>
      <c r="C1068" s="9"/>
      <c r="D1068" s="9"/>
      <c r="E1068" s="9"/>
      <c r="F1068" s="16" t="str">
        <f aca="false">IF(B1068="","",IF(COUNTIFS('PM Plan'!$A$5:$A$304,B1068,'PM Plan'!$B$5:$B$304,C1068)&gt;0,"OK","No matching asset + task in plan"))</f>
        <v/>
      </c>
    </row>
    <row r="1069" customFormat="false" ht="15" hidden="false" customHeight="false" outlineLevel="0" collapsed="false">
      <c r="A1069" s="13"/>
      <c r="B1069" s="9"/>
      <c r="C1069" s="9"/>
      <c r="D1069" s="9"/>
      <c r="E1069" s="9"/>
      <c r="F1069" s="16" t="str">
        <f aca="false">IF(B1069="","",IF(COUNTIFS('PM Plan'!$A$5:$A$304,B1069,'PM Plan'!$B$5:$B$304,C1069)&gt;0,"OK","No matching asset + task in plan"))</f>
        <v/>
      </c>
    </row>
    <row r="1070" customFormat="false" ht="15" hidden="false" customHeight="false" outlineLevel="0" collapsed="false">
      <c r="A1070" s="13"/>
      <c r="B1070" s="9"/>
      <c r="C1070" s="9"/>
      <c r="D1070" s="9"/>
      <c r="E1070" s="9"/>
      <c r="F1070" s="16" t="str">
        <f aca="false">IF(B1070="","",IF(COUNTIFS('PM Plan'!$A$5:$A$304,B1070,'PM Plan'!$B$5:$B$304,C1070)&gt;0,"OK","No matching asset + task in plan"))</f>
        <v/>
      </c>
    </row>
    <row r="1071" customFormat="false" ht="15" hidden="false" customHeight="false" outlineLevel="0" collapsed="false">
      <c r="A1071" s="13"/>
      <c r="B1071" s="9"/>
      <c r="C1071" s="9"/>
      <c r="D1071" s="9"/>
      <c r="E1071" s="9"/>
      <c r="F1071" s="16" t="str">
        <f aca="false">IF(B1071="","",IF(COUNTIFS('PM Plan'!$A$5:$A$304,B1071,'PM Plan'!$B$5:$B$304,C1071)&gt;0,"OK","No matching asset + task in plan"))</f>
        <v/>
      </c>
    </row>
    <row r="1072" customFormat="false" ht="15" hidden="false" customHeight="false" outlineLevel="0" collapsed="false">
      <c r="A1072" s="13"/>
      <c r="B1072" s="9"/>
      <c r="C1072" s="9"/>
      <c r="D1072" s="9"/>
      <c r="E1072" s="9"/>
      <c r="F1072" s="16" t="str">
        <f aca="false">IF(B1072="","",IF(COUNTIFS('PM Plan'!$A$5:$A$304,B1072,'PM Plan'!$B$5:$B$304,C1072)&gt;0,"OK","No matching asset + task in plan"))</f>
        <v/>
      </c>
    </row>
    <row r="1073" customFormat="false" ht="15" hidden="false" customHeight="false" outlineLevel="0" collapsed="false">
      <c r="A1073" s="13"/>
      <c r="B1073" s="9"/>
      <c r="C1073" s="9"/>
      <c r="D1073" s="9"/>
      <c r="E1073" s="9"/>
      <c r="F1073" s="16" t="str">
        <f aca="false">IF(B1073="","",IF(COUNTIFS('PM Plan'!$A$5:$A$304,B1073,'PM Plan'!$B$5:$B$304,C1073)&gt;0,"OK","No matching asset + task in plan"))</f>
        <v/>
      </c>
    </row>
    <row r="1074" customFormat="false" ht="15" hidden="false" customHeight="false" outlineLevel="0" collapsed="false">
      <c r="A1074" s="13"/>
      <c r="B1074" s="9"/>
      <c r="C1074" s="9"/>
      <c r="D1074" s="9"/>
      <c r="E1074" s="9"/>
      <c r="F1074" s="16" t="str">
        <f aca="false">IF(B1074="","",IF(COUNTIFS('PM Plan'!$A$5:$A$304,B1074,'PM Plan'!$B$5:$B$304,C1074)&gt;0,"OK","No matching asset + task in plan"))</f>
        <v/>
      </c>
    </row>
    <row r="1075" customFormat="false" ht="15" hidden="false" customHeight="false" outlineLevel="0" collapsed="false">
      <c r="A1075" s="13"/>
      <c r="B1075" s="9"/>
      <c r="C1075" s="9"/>
      <c r="D1075" s="9"/>
      <c r="E1075" s="9"/>
      <c r="F1075" s="16" t="str">
        <f aca="false">IF(B1075="","",IF(COUNTIFS('PM Plan'!$A$5:$A$304,B1075,'PM Plan'!$B$5:$B$304,C1075)&gt;0,"OK","No matching asset + task in plan"))</f>
        <v/>
      </c>
    </row>
    <row r="1076" customFormat="false" ht="15" hidden="false" customHeight="false" outlineLevel="0" collapsed="false">
      <c r="A1076" s="13"/>
      <c r="B1076" s="9"/>
      <c r="C1076" s="9"/>
      <c r="D1076" s="9"/>
      <c r="E1076" s="9"/>
      <c r="F1076" s="16" t="str">
        <f aca="false">IF(B1076="","",IF(COUNTIFS('PM Plan'!$A$5:$A$304,B1076,'PM Plan'!$B$5:$B$304,C1076)&gt;0,"OK","No matching asset + task in plan"))</f>
        <v/>
      </c>
    </row>
    <row r="1077" customFormat="false" ht="15" hidden="false" customHeight="false" outlineLevel="0" collapsed="false">
      <c r="A1077" s="13"/>
      <c r="B1077" s="9"/>
      <c r="C1077" s="9"/>
      <c r="D1077" s="9"/>
      <c r="E1077" s="9"/>
      <c r="F1077" s="16" t="str">
        <f aca="false">IF(B1077="","",IF(COUNTIFS('PM Plan'!$A$5:$A$304,B1077,'PM Plan'!$B$5:$B$304,C1077)&gt;0,"OK","No matching asset + task in plan"))</f>
        <v/>
      </c>
    </row>
    <row r="1078" customFormat="false" ht="15" hidden="false" customHeight="false" outlineLevel="0" collapsed="false">
      <c r="A1078" s="13"/>
      <c r="B1078" s="9"/>
      <c r="C1078" s="9"/>
      <c r="D1078" s="9"/>
      <c r="E1078" s="9"/>
      <c r="F1078" s="16" t="str">
        <f aca="false">IF(B1078="","",IF(COUNTIFS('PM Plan'!$A$5:$A$304,B1078,'PM Plan'!$B$5:$B$304,C1078)&gt;0,"OK","No matching asset + task in plan"))</f>
        <v/>
      </c>
    </row>
    <row r="1079" customFormat="false" ht="15" hidden="false" customHeight="false" outlineLevel="0" collapsed="false">
      <c r="A1079" s="13"/>
      <c r="B1079" s="9"/>
      <c r="C1079" s="9"/>
      <c r="D1079" s="9"/>
      <c r="E1079" s="9"/>
      <c r="F1079" s="16" t="str">
        <f aca="false">IF(B1079="","",IF(COUNTIFS('PM Plan'!$A$5:$A$304,B1079,'PM Plan'!$B$5:$B$304,C1079)&gt;0,"OK","No matching asset + task in plan"))</f>
        <v/>
      </c>
    </row>
    <row r="1080" customFormat="false" ht="15" hidden="false" customHeight="false" outlineLevel="0" collapsed="false">
      <c r="A1080" s="13"/>
      <c r="B1080" s="9"/>
      <c r="C1080" s="9"/>
      <c r="D1080" s="9"/>
      <c r="E1080" s="9"/>
      <c r="F1080" s="16" t="str">
        <f aca="false">IF(B1080="","",IF(COUNTIFS('PM Plan'!$A$5:$A$304,B1080,'PM Plan'!$B$5:$B$304,C1080)&gt;0,"OK","No matching asset + task in plan"))</f>
        <v/>
      </c>
    </row>
    <row r="1081" customFormat="false" ht="15" hidden="false" customHeight="false" outlineLevel="0" collapsed="false">
      <c r="A1081" s="13"/>
      <c r="B1081" s="9"/>
      <c r="C1081" s="9"/>
      <c r="D1081" s="9"/>
      <c r="E1081" s="9"/>
      <c r="F1081" s="16" t="str">
        <f aca="false">IF(B1081="","",IF(COUNTIFS('PM Plan'!$A$5:$A$304,B1081,'PM Plan'!$B$5:$B$304,C1081)&gt;0,"OK","No matching asset + task in plan"))</f>
        <v/>
      </c>
    </row>
    <row r="1082" customFormat="false" ht="15" hidden="false" customHeight="false" outlineLevel="0" collapsed="false">
      <c r="A1082" s="13"/>
      <c r="B1082" s="9"/>
      <c r="C1082" s="9"/>
      <c r="D1082" s="9"/>
      <c r="E1082" s="9"/>
      <c r="F1082" s="16" t="str">
        <f aca="false">IF(B1082="","",IF(COUNTIFS('PM Plan'!$A$5:$A$304,B1082,'PM Plan'!$B$5:$B$304,C1082)&gt;0,"OK","No matching asset + task in plan"))</f>
        <v/>
      </c>
    </row>
    <row r="1083" customFormat="false" ht="15" hidden="false" customHeight="false" outlineLevel="0" collapsed="false">
      <c r="A1083" s="13"/>
      <c r="B1083" s="9"/>
      <c r="C1083" s="9"/>
      <c r="D1083" s="9"/>
      <c r="E1083" s="9"/>
      <c r="F1083" s="16" t="str">
        <f aca="false">IF(B1083="","",IF(COUNTIFS('PM Plan'!$A$5:$A$304,B1083,'PM Plan'!$B$5:$B$304,C1083)&gt;0,"OK","No matching asset + task in plan"))</f>
        <v/>
      </c>
    </row>
    <row r="1084" customFormat="false" ht="15" hidden="false" customHeight="false" outlineLevel="0" collapsed="false">
      <c r="A1084" s="13"/>
      <c r="B1084" s="9"/>
      <c r="C1084" s="9"/>
      <c r="D1084" s="9"/>
      <c r="E1084" s="9"/>
      <c r="F1084" s="16" t="str">
        <f aca="false">IF(B1084="","",IF(COUNTIFS('PM Plan'!$A$5:$A$304,B1084,'PM Plan'!$B$5:$B$304,C1084)&gt;0,"OK","No matching asset + task in plan"))</f>
        <v/>
      </c>
    </row>
    <row r="1085" customFormat="false" ht="15" hidden="false" customHeight="false" outlineLevel="0" collapsed="false">
      <c r="A1085" s="13"/>
      <c r="B1085" s="9"/>
      <c r="C1085" s="9"/>
      <c r="D1085" s="9"/>
      <c r="E1085" s="9"/>
      <c r="F1085" s="16" t="str">
        <f aca="false">IF(B1085="","",IF(COUNTIFS('PM Plan'!$A$5:$A$304,B1085,'PM Plan'!$B$5:$B$304,C1085)&gt;0,"OK","No matching asset + task in plan"))</f>
        <v/>
      </c>
    </row>
    <row r="1086" customFormat="false" ht="15" hidden="false" customHeight="false" outlineLevel="0" collapsed="false">
      <c r="A1086" s="13"/>
      <c r="B1086" s="9"/>
      <c r="C1086" s="9"/>
      <c r="D1086" s="9"/>
      <c r="E1086" s="9"/>
      <c r="F1086" s="16" t="str">
        <f aca="false">IF(B1086="","",IF(COUNTIFS('PM Plan'!$A$5:$A$304,B1086,'PM Plan'!$B$5:$B$304,C1086)&gt;0,"OK","No matching asset + task in plan"))</f>
        <v/>
      </c>
    </row>
    <row r="1087" customFormat="false" ht="15" hidden="false" customHeight="false" outlineLevel="0" collapsed="false">
      <c r="A1087" s="13"/>
      <c r="B1087" s="9"/>
      <c r="C1087" s="9"/>
      <c r="D1087" s="9"/>
      <c r="E1087" s="9"/>
      <c r="F1087" s="16" t="str">
        <f aca="false">IF(B1087="","",IF(COUNTIFS('PM Plan'!$A$5:$A$304,B1087,'PM Plan'!$B$5:$B$304,C1087)&gt;0,"OK","No matching asset + task in plan"))</f>
        <v/>
      </c>
    </row>
    <row r="1088" customFormat="false" ht="15" hidden="false" customHeight="false" outlineLevel="0" collapsed="false">
      <c r="A1088" s="13"/>
      <c r="B1088" s="9"/>
      <c r="C1088" s="9"/>
      <c r="D1088" s="9"/>
      <c r="E1088" s="9"/>
      <c r="F1088" s="16" t="str">
        <f aca="false">IF(B1088="","",IF(COUNTIFS('PM Plan'!$A$5:$A$304,B1088,'PM Plan'!$B$5:$B$304,C1088)&gt;0,"OK","No matching asset + task in plan"))</f>
        <v/>
      </c>
    </row>
    <row r="1089" customFormat="false" ht="15" hidden="false" customHeight="false" outlineLevel="0" collapsed="false">
      <c r="A1089" s="13"/>
      <c r="B1089" s="9"/>
      <c r="C1089" s="9"/>
      <c r="D1089" s="9"/>
      <c r="E1089" s="9"/>
      <c r="F1089" s="16" t="str">
        <f aca="false">IF(B1089="","",IF(COUNTIFS('PM Plan'!$A$5:$A$304,B1089,'PM Plan'!$B$5:$B$304,C1089)&gt;0,"OK","No matching asset + task in plan"))</f>
        <v/>
      </c>
    </row>
    <row r="1090" customFormat="false" ht="15" hidden="false" customHeight="false" outlineLevel="0" collapsed="false">
      <c r="A1090" s="13"/>
      <c r="B1090" s="9"/>
      <c r="C1090" s="9"/>
      <c r="D1090" s="9"/>
      <c r="E1090" s="9"/>
      <c r="F1090" s="16" t="str">
        <f aca="false">IF(B1090="","",IF(COUNTIFS('PM Plan'!$A$5:$A$304,B1090,'PM Plan'!$B$5:$B$304,C1090)&gt;0,"OK","No matching asset + task in plan"))</f>
        <v/>
      </c>
    </row>
    <row r="1091" customFormat="false" ht="15" hidden="false" customHeight="false" outlineLevel="0" collapsed="false">
      <c r="A1091" s="13"/>
      <c r="B1091" s="9"/>
      <c r="C1091" s="9"/>
      <c r="D1091" s="9"/>
      <c r="E1091" s="9"/>
      <c r="F1091" s="16" t="str">
        <f aca="false">IF(B1091="","",IF(COUNTIFS('PM Plan'!$A$5:$A$304,B1091,'PM Plan'!$B$5:$B$304,C1091)&gt;0,"OK","No matching asset + task in plan"))</f>
        <v/>
      </c>
    </row>
    <row r="1092" customFormat="false" ht="15" hidden="false" customHeight="false" outlineLevel="0" collapsed="false">
      <c r="A1092" s="13"/>
      <c r="B1092" s="9"/>
      <c r="C1092" s="9"/>
      <c r="D1092" s="9"/>
      <c r="E1092" s="9"/>
      <c r="F1092" s="16" t="str">
        <f aca="false">IF(B1092="","",IF(COUNTIFS('PM Plan'!$A$5:$A$304,B1092,'PM Plan'!$B$5:$B$304,C1092)&gt;0,"OK","No matching asset + task in plan"))</f>
        <v/>
      </c>
    </row>
    <row r="1093" customFormat="false" ht="15" hidden="false" customHeight="false" outlineLevel="0" collapsed="false">
      <c r="A1093" s="13"/>
      <c r="B1093" s="9"/>
      <c r="C1093" s="9"/>
      <c r="D1093" s="9"/>
      <c r="E1093" s="9"/>
      <c r="F1093" s="16" t="str">
        <f aca="false">IF(B1093="","",IF(COUNTIFS('PM Plan'!$A$5:$A$304,B1093,'PM Plan'!$B$5:$B$304,C1093)&gt;0,"OK","No matching asset + task in plan"))</f>
        <v/>
      </c>
    </row>
    <row r="1094" customFormat="false" ht="15" hidden="false" customHeight="false" outlineLevel="0" collapsed="false">
      <c r="A1094" s="13"/>
      <c r="B1094" s="9"/>
      <c r="C1094" s="9"/>
      <c r="D1094" s="9"/>
      <c r="E1094" s="9"/>
      <c r="F1094" s="16" t="str">
        <f aca="false">IF(B1094="","",IF(COUNTIFS('PM Plan'!$A$5:$A$304,B1094,'PM Plan'!$B$5:$B$304,C1094)&gt;0,"OK","No matching asset + task in plan"))</f>
        <v/>
      </c>
    </row>
    <row r="1095" customFormat="false" ht="15" hidden="false" customHeight="false" outlineLevel="0" collapsed="false">
      <c r="A1095" s="13"/>
      <c r="B1095" s="9"/>
      <c r="C1095" s="9"/>
      <c r="D1095" s="9"/>
      <c r="E1095" s="9"/>
      <c r="F1095" s="16" t="str">
        <f aca="false">IF(B1095="","",IF(COUNTIFS('PM Plan'!$A$5:$A$304,B1095,'PM Plan'!$B$5:$B$304,C1095)&gt;0,"OK","No matching asset + task in plan"))</f>
        <v/>
      </c>
    </row>
    <row r="1096" customFormat="false" ht="15" hidden="false" customHeight="false" outlineLevel="0" collapsed="false">
      <c r="A1096" s="13"/>
      <c r="B1096" s="9"/>
      <c r="C1096" s="9"/>
      <c r="D1096" s="9"/>
      <c r="E1096" s="9"/>
      <c r="F1096" s="16" t="str">
        <f aca="false">IF(B1096="","",IF(COUNTIFS('PM Plan'!$A$5:$A$304,B1096,'PM Plan'!$B$5:$B$304,C1096)&gt;0,"OK","No matching asset + task in plan"))</f>
        <v/>
      </c>
    </row>
    <row r="1097" customFormat="false" ht="15" hidden="false" customHeight="false" outlineLevel="0" collapsed="false">
      <c r="A1097" s="13"/>
      <c r="B1097" s="9"/>
      <c r="C1097" s="9"/>
      <c r="D1097" s="9"/>
      <c r="E1097" s="9"/>
      <c r="F1097" s="16" t="str">
        <f aca="false">IF(B1097="","",IF(COUNTIFS('PM Plan'!$A$5:$A$304,B1097,'PM Plan'!$B$5:$B$304,C1097)&gt;0,"OK","No matching asset + task in plan"))</f>
        <v/>
      </c>
    </row>
    <row r="1098" customFormat="false" ht="15" hidden="false" customHeight="false" outlineLevel="0" collapsed="false">
      <c r="A1098" s="13"/>
      <c r="B1098" s="9"/>
      <c r="C1098" s="9"/>
      <c r="D1098" s="9"/>
      <c r="E1098" s="9"/>
      <c r="F1098" s="16" t="str">
        <f aca="false">IF(B1098="","",IF(COUNTIFS('PM Plan'!$A$5:$A$304,B1098,'PM Plan'!$B$5:$B$304,C1098)&gt;0,"OK","No matching asset + task in plan"))</f>
        <v/>
      </c>
    </row>
    <row r="1099" customFormat="false" ht="15" hidden="false" customHeight="false" outlineLevel="0" collapsed="false">
      <c r="A1099" s="13"/>
      <c r="B1099" s="9"/>
      <c r="C1099" s="9"/>
      <c r="D1099" s="9"/>
      <c r="E1099" s="9"/>
      <c r="F1099" s="16" t="str">
        <f aca="false">IF(B1099="","",IF(COUNTIFS('PM Plan'!$A$5:$A$304,B1099,'PM Plan'!$B$5:$B$304,C1099)&gt;0,"OK","No matching asset + task in plan"))</f>
        <v/>
      </c>
    </row>
    <row r="1100" customFormat="false" ht="15" hidden="false" customHeight="false" outlineLevel="0" collapsed="false">
      <c r="A1100" s="13"/>
      <c r="B1100" s="9"/>
      <c r="C1100" s="9"/>
      <c r="D1100" s="9"/>
      <c r="E1100" s="9"/>
      <c r="F1100" s="16" t="str">
        <f aca="false">IF(B1100="","",IF(COUNTIFS('PM Plan'!$A$5:$A$304,B1100,'PM Plan'!$B$5:$B$304,C1100)&gt;0,"OK","No matching asset + task in plan"))</f>
        <v/>
      </c>
    </row>
    <row r="1101" customFormat="false" ht="15" hidden="false" customHeight="false" outlineLevel="0" collapsed="false">
      <c r="A1101" s="13"/>
      <c r="B1101" s="9"/>
      <c r="C1101" s="9"/>
      <c r="D1101" s="9"/>
      <c r="E1101" s="9"/>
      <c r="F1101" s="16" t="str">
        <f aca="false">IF(B1101="","",IF(COUNTIFS('PM Plan'!$A$5:$A$304,B1101,'PM Plan'!$B$5:$B$304,C1101)&gt;0,"OK","No matching asset + task in plan"))</f>
        <v/>
      </c>
    </row>
    <row r="1102" customFormat="false" ht="15" hidden="false" customHeight="false" outlineLevel="0" collapsed="false">
      <c r="A1102" s="13"/>
      <c r="B1102" s="9"/>
      <c r="C1102" s="9"/>
      <c r="D1102" s="9"/>
      <c r="E1102" s="9"/>
      <c r="F1102" s="16" t="str">
        <f aca="false">IF(B1102="","",IF(COUNTIFS('PM Plan'!$A$5:$A$304,B1102,'PM Plan'!$B$5:$B$304,C1102)&gt;0,"OK","No matching asset + task in plan"))</f>
        <v/>
      </c>
    </row>
    <row r="1103" customFormat="false" ht="15" hidden="false" customHeight="false" outlineLevel="0" collapsed="false">
      <c r="A1103" s="13"/>
      <c r="B1103" s="9"/>
      <c r="C1103" s="9"/>
      <c r="D1103" s="9"/>
      <c r="E1103" s="9"/>
      <c r="F1103" s="16" t="str">
        <f aca="false">IF(B1103="","",IF(COUNTIFS('PM Plan'!$A$5:$A$304,B1103,'PM Plan'!$B$5:$B$304,C1103)&gt;0,"OK","No matching asset + task in plan"))</f>
        <v/>
      </c>
    </row>
    <row r="1104" customFormat="false" ht="15" hidden="false" customHeight="false" outlineLevel="0" collapsed="false">
      <c r="A1104" s="13"/>
      <c r="B1104" s="9"/>
      <c r="C1104" s="9"/>
      <c r="D1104" s="9"/>
      <c r="E1104" s="9"/>
      <c r="F1104" s="16" t="str">
        <f aca="false">IF(B1104="","",IF(COUNTIFS('PM Plan'!$A$5:$A$304,B1104,'PM Plan'!$B$5:$B$304,C1104)&gt;0,"OK","No matching asset + task in plan"))</f>
        <v/>
      </c>
    </row>
    <row r="1105" customFormat="false" ht="15" hidden="false" customHeight="false" outlineLevel="0" collapsed="false">
      <c r="A1105" s="13"/>
      <c r="B1105" s="9"/>
      <c r="C1105" s="9"/>
      <c r="D1105" s="9"/>
      <c r="E1105" s="9"/>
      <c r="F1105" s="16" t="str">
        <f aca="false">IF(B1105="","",IF(COUNTIFS('PM Plan'!$A$5:$A$304,B1105,'PM Plan'!$B$5:$B$304,C1105)&gt;0,"OK","No matching asset + task in plan"))</f>
        <v/>
      </c>
    </row>
    <row r="1106" customFormat="false" ht="15" hidden="false" customHeight="false" outlineLevel="0" collapsed="false">
      <c r="A1106" s="13"/>
      <c r="B1106" s="9"/>
      <c r="C1106" s="9"/>
      <c r="D1106" s="9"/>
      <c r="E1106" s="9"/>
      <c r="F1106" s="16" t="str">
        <f aca="false">IF(B1106="","",IF(COUNTIFS('PM Plan'!$A$5:$A$304,B1106,'PM Plan'!$B$5:$B$304,C1106)&gt;0,"OK","No matching asset + task in plan"))</f>
        <v/>
      </c>
    </row>
    <row r="1107" customFormat="false" ht="15" hidden="false" customHeight="false" outlineLevel="0" collapsed="false">
      <c r="A1107" s="13"/>
      <c r="B1107" s="9"/>
      <c r="C1107" s="9"/>
      <c r="D1107" s="9"/>
      <c r="E1107" s="9"/>
      <c r="F1107" s="16" t="str">
        <f aca="false">IF(B1107="","",IF(COUNTIFS('PM Plan'!$A$5:$A$304,B1107,'PM Plan'!$B$5:$B$304,C1107)&gt;0,"OK","No matching asset + task in plan"))</f>
        <v/>
      </c>
    </row>
    <row r="1108" customFormat="false" ht="15" hidden="false" customHeight="false" outlineLevel="0" collapsed="false">
      <c r="A1108" s="13"/>
      <c r="B1108" s="9"/>
      <c r="C1108" s="9"/>
      <c r="D1108" s="9"/>
      <c r="E1108" s="9"/>
      <c r="F1108" s="16" t="str">
        <f aca="false">IF(B1108="","",IF(COUNTIFS('PM Plan'!$A$5:$A$304,B1108,'PM Plan'!$B$5:$B$304,C1108)&gt;0,"OK","No matching asset + task in plan"))</f>
        <v/>
      </c>
    </row>
    <row r="1109" customFormat="false" ht="15" hidden="false" customHeight="false" outlineLevel="0" collapsed="false">
      <c r="A1109" s="13"/>
      <c r="B1109" s="9"/>
      <c r="C1109" s="9"/>
      <c r="D1109" s="9"/>
      <c r="E1109" s="9"/>
      <c r="F1109" s="16" t="str">
        <f aca="false">IF(B1109="","",IF(COUNTIFS('PM Plan'!$A$5:$A$304,B1109,'PM Plan'!$B$5:$B$304,C1109)&gt;0,"OK","No matching asset + task in plan"))</f>
        <v/>
      </c>
    </row>
    <row r="1110" customFormat="false" ht="15" hidden="false" customHeight="false" outlineLevel="0" collapsed="false">
      <c r="A1110" s="13"/>
      <c r="B1110" s="9"/>
      <c r="C1110" s="9"/>
      <c r="D1110" s="9"/>
      <c r="E1110" s="9"/>
      <c r="F1110" s="16" t="str">
        <f aca="false">IF(B1110="","",IF(COUNTIFS('PM Plan'!$A$5:$A$304,B1110,'PM Plan'!$B$5:$B$304,C1110)&gt;0,"OK","No matching asset + task in plan"))</f>
        <v/>
      </c>
    </row>
    <row r="1111" customFormat="false" ht="15" hidden="false" customHeight="false" outlineLevel="0" collapsed="false">
      <c r="A1111" s="13"/>
      <c r="B1111" s="9"/>
      <c r="C1111" s="9"/>
      <c r="D1111" s="9"/>
      <c r="E1111" s="9"/>
      <c r="F1111" s="16" t="str">
        <f aca="false">IF(B1111="","",IF(COUNTIFS('PM Plan'!$A$5:$A$304,B1111,'PM Plan'!$B$5:$B$304,C1111)&gt;0,"OK","No matching asset + task in plan"))</f>
        <v/>
      </c>
    </row>
    <row r="1112" customFormat="false" ht="15" hidden="false" customHeight="false" outlineLevel="0" collapsed="false">
      <c r="A1112" s="13"/>
      <c r="B1112" s="9"/>
      <c r="C1112" s="9"/>
      <c r="D1112" s="9"/>
      <c r="E1112" s="9"/>
      <c r="F1112" s="16" t="str">
        <f aca="false">IF(B1112="","",IF(COUNTIFS('PM Plan'!$A$5:$A$304,B1112,'PM Plan'!$B$5:$B$304,C1112)&gt;0,"OK","No matching asset + task in plan"))</f>
        <v/>
      </c>
    </row>
    <row r="1113" customFormat="false" ht="15" hidden="false" customHeight="false" outlineLevel="0" collapsed="false">
      <c r="A1113" s="13"/>
      <c r="B1113" s="9"/>
      <c r="C1113" s="9"/>
      <c r="D1113" s="9"/>
      <c r="E1113" s="9"/>
      <c r="F1113" s="16" t="str">
        <f aca="false">IF(B1113="","",IF(COUNTIFS('PM Plan'!$A$5:$A$304,B1113,'PM Plan'!$B$5:$B$304,C1113)&gt;0,"OK","No matching asset + task in plan"))</f>
        <v/>
      </c>
    </row>
    <row r="1114" customFormat="false" ht="15" hidden="false" customHeight="false" outlineLevel="0" collapsed="false">
      <c r="A1114" s="13"/>
      <c r="B1114" s="9"/>
      <c r="C1114" s="9"/>
      <c r="D1114" s="9"/>
      <c r="E1114" s="9"/>
      <c r="F1114" s="16" t="str">
        <f aca="false">IF(B1114="","",IF(COUNTIFS('PM Plan'!$A$5:$A$304,B1114,'PM Plan'!$B$5:$B$304,C1114)&gt;0,"OK","No matching asset + task in plan"))</f>
        <v/>
      </c>
    </row>
    <row r="1115" customFormat="false" ht="15" hidden="false" customHeight="false" outlineLevel="0" collapsed="false">
      <c r="A1115" s="13"/>
      <c r="B1115" s="9"/>
      <c r="C1115" s="9"/>
      <c r="D1115" s="9"/>
      <c r="E1115" s="9"/>
      <c r="F1115" s="16" t="str">
        <f aca="false">IF(B1115="","",IF(COUNTIFS('PM Plan'!$A$5:$A$304,B1115,'PM Plan'!$B$5:$B$304,C1115)&gt;0,"OK","No matching asset + task in plan"))</f>
        <v/>
      </c>
    </row>
    <row r="1116" customFormat="false" ht="15" hidden="false" customHeight="false" outlineLevel="0" collapsed="false">
      <c r="A1116" s="13"/>
      <c r="B1116" s="9"/>
      <c r="C1116" s="9"/>
      <c r="D1116" s="9"/>
      <c r="E1116" s="9"/>
      <c r="F1116" s="16" t="str">
        <f aca="false">IF(B1116="","",IF(COUNTIFS('PM Plan'!$A$5:$A$304,B1116,'PM Plan'!$B$5:$B$304,C1116)&gt;0,"OK","No matching asset + task in plan"))</f>
        <v/>
      </c>
    </row>
    <row r="1117" customFormat="false" ht="15" hidden="false" customHeight="false" outlineLevel="0" collapsed="false">
      <c r="A1117" s="13"/>
      <c r="B1117" s="9"/>
      <c r="C1117" s="9"/>
      <c r="D1117" s="9"/>
      <c r="E1117" s="9"/>
      <c r="F1117" s="16" t="str">
        <f aca="false">IF(B1117="","",IF(COUNTIFS('PM Plan'!$A$5:$A$304,B1117,'PM Plan'!$B$5:$B$304,C1117)&gt;0,"OK","No matching asset + task in plan"))</f>
        <v/>
      </c>
    </row>
    <row r="1118" customFormat="false" ht="15" hidden="false" customHeight="false" outlineLevel="0" collapsed="false">
      <c r="A1118" s="13"/>
      <c r="B1118" s="9"/>
      <c r="C1118" s="9"/>
      <c r="D1118" s="9"/>
      <c r="E1118" s="9"/>
      <c r="F1118" s="16" t="str">
        <f aca="false">IF(B1118="","",IF(COUNTIFS('PM Plan'!$A$5:$A$304,B1118,'PM Plan'!$B$5:$B$304,C1118)&gt;0,"OK","No matching asset + task in plan"))</f>
        <v/>
      </c>
    </row>
    <row r="1119" customFormat="false" ht="15" hidden="false" customHeight="false" outlineLevel="0" collapsed="false">
      <c r="A1119" s="13"/>
      <c r="B1119" s="9"/>
      <c r="C1119" s="9"/>
      <c r="D1119" s="9"/>
      <c r="E1119" s="9"/>
      <c r="F1119" s="16" t="str">
        <f aca="false">IF(B1119="","",IF(COUNTIFS('PM Plan'!$A$5:$A$304,B1119,'PM Plan'!$B$5:$B$304,C1119)&gt;0,"OK","No matching asset + task in plan"))</f>
        <v/>
      </c>
    </row>
    <row r="1120" customFormat="false" ht="15" hidden="false" customHeight="false" outlineLevel="0" collapsed="false">
      <c r="A1120" s="13"/>
      <c r="B1120" s="9"/>
      <c r="C1120" s="9"/>
      <c r="D1120" s="9"/>
      <c r="E1120" s="9"/>
      <c r="F1120" s="16" t="str">
        <f aca="false">IF(B1120="","",IF(COUNTIFS('PM Plan'!$A$5:$A$304,B1120,'PM Plan'!$B$5:$B$304,C1120)&gt;0,"OK","No matching asset + task in plan"))</f>
        <v/>
      </c>
    </row>
    <row r="1121" customFormat="false" ht="15" hidden="false" customHeight="false" outlineLevel="0" collapsed="false">
      <c r="A1121" s="13"/>
      <c r="B1121" s="9"/>
      <c r="C1121" s="9"/>
      <c r="D1121" s="9"/>
      <c r="E1121" s="9"/>
      <c r="F1121" s="16" t="str">
        <f aca="false">IF(B1121="","",IF(COUNTIFS('PM Plan'!$A$5:$A$304,B1121,'PM Plan'!$B$5:$B$304,C1121)&gt;0,"OK","No matching asset + task in plan"))</f>
        <v/>
      </c>
    </row>
    <row r="1122" customFormat="false" ht="15" hidden="false" customHeight="false" outlineLevel="0" collapsed="false">
      <c r="A1122" s="13"/>
      <c r="B1122" s="9"/>
      <c r="C1122" s="9"/>
      <c r="D1122" s="9"/>
      <c r="E1122" s="9"/>
      <c r="F1122" s="16" t="str">
        <f aca="false">IF(B1122="","",IF(COUNTIFS('PM Plan'!$A$5:$A$304,B1122,'PM Plan'!$B$5:$B$304,C1122)&gt;0,"OK","No matching asset + task in plan"))</f>
        <v/>
      </c>
    </row>
    <row r="1123" customFormat="false" ht="15" hidden="false" customHeight="false" outlineLevel="0" collapsed="false">
      <c r="A1123" s="13"/>
      <c r="B1123" s="9"/>
      <c r="C1123" s="9"/>
      <c r="D1123" s="9"/>
      <c r="E1123" s="9"/>
      <c r="F1123" s="16" t="str">
        <f aca="false">IF(B1123="","",IF(COUNTIFS('PM Plan'!$A$5:$A$304,B1123,'PM Plan'!$B$5:$B$304,C1123)&gt;0,"OK","No matching asset + task in plan"))</f>
        <v/>
      </c>
    </row>
    <row r="1124" customFormat="false" ht="15" hidden="false" customHeight="false" outlineLevel="0" collapsed="false">
      <c r="A1124" s="13"/>
      <c r="B1124" s="9"/>
      <c r="C1124" s="9"/>
      <c r="D1124" s="9"/>
      <c r="E1124" s="9"/>
      <c r="F1124" s="16" t="str">
        <f aca="false">IF(B1124="","",IF(COUNTIFS('PM Plan'!$A$5:$A$304,B1124,'PM Plan'!$B$5:$B$304,C1124)&gt;0,"OK","No matching asset + task in plan"))</f>
        <v/>
      </c>
    </row>
    <row r="1125" customFormat="false" ht="15" hidden="false" customHeight="false" outlineLevel="0" collapsed="false">
      <c r="A1125" s="13"/>
      <c r="B1125" s="9"/>
      <c r="C1125" s="9"/>
      <c r="D1125" s="9"/>
      <c r="E1125" s="9"/>
      <c r="F1125" s="16" t="str">
        <f aca="false">IF(B1125="","",IF(COUNTIFS('PM Plan'!$A$5:$A$304,B1125,'PM Plan'!$B$5:$B$304,C1125)&gt;0,"OK","No matching asset + task in plan"))</f>
        <v/>
      </c>
    </row>
    <row r="1126" customFormat="false" ht="15" hidden="false" customHeight="false" outlineLevel="0" collapsed="false">
      <c r="A1126" s="13"/>
      <c r="B1126" s="9"/>
      <c r="C1126" s="9"/>
      <c r="D1126" s="9"/>
      <c r="E1126" s="9"/>
      <c r="F1126" s="16" t="str">
        <f aca="false">IF(B1126="","",IF(COUNTIFS('PM Plan'!$A$5:$A$304,B1126,'PM Plan'!$B$5:$B$304,C1126)&gt;0,"OK","No matching asset + task in plan"))</f>
        <v/>
      </c>
    </row>
    <row r="1127" customFormat="false" ht="15" hidden="false" customHeight="false" outlineLevel="0" collapsed="false">
      <c r="A1127" s="13"/>
      <c r="B1127" s="9"/>
      <c r="C1127" s="9"/>
      <c r="D1127" s="9"/>
      <c r="E1127" s="9"/>
      <c r="F1127" s="16" t="str">
        <f aca="false">IF(B1127="","",IF(COUNTIFS('PM Plan'!$A$5:$A$304,B1127,'PM Plan'!$B$5:$B$304,C1127)&gt;0,"OK","No matching asset + task in plan"))</f>
        <v/>
      </c>
    </row>
    <row r="1128" customFormat="false" ht="15" hidden="false" customHeight="false" outlineLevel="0" collapsed="false">
      <c r="A1128" s="13"/>
      <c r="B1128" s="9"/>
      <c r="C1128" s="9"/>
      <c r="D1128" s="9"/>
      <c r="E1128" s="9"/>
      <c r="F1128" s="16" t="str">
        <f aca="false">IF(B1128="","",IF(COUNTIFS('PM Plan'!$A$5:$A$304,B1128,'PM Plan'!$B$5:$B$304,C1128)&gt;0,"OK","No matching asset + task in plan"))</f>
        <v/>
      </c>
    </row>
    <row r="1129" customFormat="false" ht="15" hidden="false" customHeight="false" outlineLevel="0" collapsed="false">
      <c r="A1129" s="13"/>
      <c r="B1129" s="9"/>
      <c r="C1129" s="9"/>
      <c r="D1129" s="9"/>
      <c r="E1129" s="9"/>
      <c r="F1129" s="16" t="str">
        <f aca="false">IF(B1129="","",IF(COUNTIFS('PM Plan'!$A$5:$A$304,B1129,'PM Plan'!$B$5:$B$304,C1129)&gt;0,"OK","No matching asset + task in plan"))</f>
        <v/>
      </c>
    </row>
    <row r="1130" customFormat="false" ht="15" hidden="false" customHeight="false" outlineLevel="0" collapsed="false">
      <c r="A1130" s="13"/>
      <c r="B1130" s="9"/>
      <c r="C1130" s="9"/>
      <c r="D1130" s="9"/>
      <c r="E1130" s="9"/>
      <c r="F1130" s="16" t="str">
        <f aca="false">IF(B1130="","",IF(COUNTIFS('PM Plan'!$A$5:$A$304,B1130,'PM Plan'!$B$5:$B$304,C1130)&gt;0,"OK","No matching asset + task in plan"))</f>
        <v/>
      </c>
    </row>
    <row r="1131" customFormat="false" ht="15" hidden="false" customHeight="false" outlineLevel="0" collapsed="false">
      <c r="A1131" s="13"/>
      <c r="B1131" s="9"/>
      <c r="C1131" s="9"/>
      <c r="D1131" s="9"/>
      <c r="E1131" s="9"/>
      <c r="F1131" s="16" t="str">
        <f aca="false">IF(B1131="","",IF(COUNTIFS('PM Plan'!$A$5:$A$304,B1131,'PM Plan'!$B$5:$B$304,C1131)&gt;0,"OK","No matching asset + task in plan"))</f>
        <v/>
      </c>
    </row>
    <row r="1132" customFormat="false" ht="15" hidden="false" customHeight="false" outlineLevel="0" collapsed="false">
      <c r="A1132" s="13"/>
      <c r="B1132" s="9"/>
      <c r="C1132" s="9"/>
      <c r="D1132" s="9"/>
      <c r="E1132" s="9"/>
      <c r="F1132" s="16" t="str">
        <f aca="false">IF(B1132="","",IF(COUNTIFS('PM Plan'!$A$5:$A$304,B1132,'PM Plan'!$B$5:$B$304,C1132)&gt;0,"OK","No matching asset + task in plan"))</f>
        <v/>
      </c>
    </row>
    <row r="1133" customFormat="false" ht="15" hidden="false" customHeight="false" outlineLevel="0" collapsed="false">
      <c r="A1133" s="13"/>
      <c r="B1133" s="9"/>
      <c r="C1133" s="9"/>
      <c r="D1133" s="9"/>
      <c r="E1133" s="9"/>
      <c r="F1133" s="16" t="str">
        <f aca="false">IF(B1133="","",IF(COUNTIFS('PM Plan'!$A$5:$A$304,B1133,'PM Plan'!$B$5:$B$304,C1133)&gt;0,"OK","No matching asset + task in plan"))</f>
        <v/>
      </c>
    </row>
    <row r="1134" customFormat="false" ht="15" hidden="false" customHeight="false" outlineLevel="0" collapsed="false">
      <c r="A1134" s="13"/>
      <c r="B1134" s="9"/>
      <c r="C1134" s="9"/>
      <c r="D1134" s="9"/>
      <c r="E1134" s="9"/>
      <c r="F1134" s="16" t="str">
        <f aca="false">IF(B1134="","",IF(COUNTIFS('PM Plan'!$A$5:$A$304,B1134,'PM Plan'!$B$5:$B$304,C1134)&gt;0,"OK","No matching asset + task in plan"))</f>
        <v/>
      </c>
    </row>
    <row r="1135" customFormat="false" ht="15" hidden="false" customHeight="false" outlineLevel="0" collapsed="false">
      <c r="A1135" s="13"/>
      <c r="B1135" s="9"/>
      <c r="C1135" s="9"/>
      <c r="D1135" s="9"/>
      <c r="E1135" s="9"/>
      <c r="F1135" s="16" t="str">
        <f aca="false">IF(B1135="","",IF(COUNTIFS('PM Plan'!$A$5:$A$304,B1135,'PM Plan'!$B$5:$B$304,C1135)&gt;0,"OK","No matching asset + task in plan"))</f>
        <v/>
      </c>
    </row>
    <row r="1136" customFormat="false" ht="15" hidden="false" customHeight="false" outlineLevel="0" collapsed="false">
      <c r="A1136" s="13"/>
      <c r="B1136" s="9"/>
      <c r="C1136" s="9"/>
      <c r="D1136" s="9"/>
      <c r="E1136" s="9"/>
      <c r="F1136" s="16" t="str">
        <f aca="false">IF(B1136="","",IF(COUNTIFS('PM Plan'!$A$5:$A$304,B1136,'PM Plan'!$B$5:$B$304,C1136)&gt;0,"OK","No matching asset + task in plan"))</f>
        <v/>
      </c>
    </row>
    <row r="1137" customFormat="false" ht="15" hidden="false" customHeight="false" outlineLevel="0" collapsed="false">
      <c r="A1137" s="13"/>
      <c r="B1137" s="9"/>
      <c r="C1137" s="9"/>
      <c r="D1137" s="9"/>
      <c r="E1137" s="9"/>
      <c r="F1137" s="16" t="str">
        <f aca="false">IF(B1137="","",IF(COUNTIFS('PM Plan'!$A$5:$A$304,B1137,'PM Plan'!$B$5:$B$304,C1137)&gt;0,"OK","No matching asset + task in plan"))</f>
        <v/>
      </c>
    </row>
    <row r="1138" customFormat="false" ht="15" hidden="false" customHeight="false" outlineLevel="0" collapsed="false">
      <c r="A1138" s="13"/>
      <c r="B1138" s="9"/>
      <c r="C1138" s="9"/>
      <c r="D1138" s="9"/>
      <c r="E1138" s="9"/>
      <c r="F1138" s="16" t="str">
        <f aca="false">IF(B1138="","",IF(COUNTIFS('PM Plan'!$A$5:$A$304,B1138,'PM Plan'!$B$5:$B$304,C1138)&gt;0,"OK","No matching asset + task in plan"))</f>
        <v/>
      </c>
    </row>
    <row r="1139" customFormat="false" ht="15" hidden="false" customHeight="false" outlineLevel="0" collapsed="false">
      <c r="A1139" s="13"/>
      <c r="B1139" s="9"/>
      <c r="C1139" s="9"/>
      <c r="D1139" s="9"/>
      <c r="E1139" s="9"/>
      <c r="F1139" s="16" t="str">
        <f aca="false">IF(B1139="","",IF(COUNTIFS('PM Plan'!$A$5:$A$304,B1139,'PM Plan'!$B$5:$B$304,C1139)&gt;0,"OK","No matching asset + task in plan"))</f>
        <v/>
      </c>
    </row>
    <row r="1140" customFormat="false" ht="15" hidden="false" customHeight="false" outlineLevel="0" collapsed="false">
      <c r="A1140" s="13"/>
      <c r="B1140" s="9"/>
      <c r="C1140" s="9"/>
      <c r="D1140" s="9"/>
      <c r="E1140" s="9"/>
      <c r="F1140" s="16" t="str">
        <f aca="false">IF(B1140="","",IF(COUNTIFS('PM Plan'!$A$5:$A$304,B1140,'PM Plan'!$B$5:$B$304,C1140)&gt;0,"OK","No matching asset + task in plan"))</f>
        <v/>
      </c>
    </row>
    <row r="1141" customFormat="false" ht="15" hidden="false" customHeight="false" outlineLevel="0" collapsed="false">
      <c r="A1141" s="13"/>
      <c r="B1141" s="9"/>
      <c r="C1141" s="9"/>
      <c r="D1141" s="9"/>
      <c r="E1141" s="9"/>
      <c r="F1141" s="16" t="str">
        <f aca="false">IF(B1141="","",IF(COUNTIFS('PM Plan'!$A$5:$A$304,B1141,'PM Plan'!$B$5:$B$304,C1141)&gt;0,"OK","No matching asset + task in plan"))</f>
        <v/>
      </c>
    </row>
    <row r="1142" customFormat="false" ht="15" hidden="false" customHeight="false" outlineLevel="0" collapsed="false">
      <c r="A1142" s="13"/>
      <c r="B1142" s="9"/>
      <c r="C1142" s="9"/>
      <c r="D1142" s="9"/>
      <c r="E1142" s="9"/>
      <c r="F1142" s="16" t="str">
        <f aca="false">IF(B1142="","",IF(COUNTIFS('PM Plan'!$A$5:$A$304,B1142,'PM Plan'!$B$5:$B$304,C1142)&gt;0,"OK","No matching asset + task in plan"))</f>
        <v/>
      </c>
    </row>
    <row r="1143" customFormat="false" ht="15" hidden="false" customHeight="false" outlineLevel="0" collapsed="false">
      <c r="A1143" s="13"/>
      <c r="B1143" s="9"/>
      <c r="C1143" s="9"/>
      <c r="D1143" s="9"/>
      <c r="E1143" s="9"/>
      <c r="F1143" s="16" t="str">
        <f aca="false">IF(B1143="","",IF(COUNTIFS('PM Plan'!$A$5:$A$304,B1143,'PM Plan'!$B$5:$B$304,C1143)&gt;0,"OK","No matching asset + task in plan"))</f>
        <v/>
      </c>
    </row>
    <row r="1144" customFormat="false" ht="15" hidden="false" customHeight="false" outlineLevel="0" collapsed="false">
      <c r="A1144" s="13"/>
      <c r="B1144" s="9"/>
      <c r="C1144" s="9"/>
      <c r="D1144" s="9"/>
      <c r="E1144" s="9"/>
      <c r="F1144" s="16" t="str">
        <f aca="false">IF(B1144="","",IF(COUNTIFS('PM Plan'!$A$5:$A$304,B1144,'PM Plan'!$B$5:$B$304,C1144)&gt;0,"OK","No matching asset + task in plan"))</f>
        <v/>
      </c>
    </row>
    <row r="1145" customFormat="false" ht="15" hidden="false" customHeight="false" outlineLevel="0" collapsed="false">
      <c r="A1145" s="13"/>
      <c r="B1145" s="9"/>
      <c r="C1145" s="9"/>
      <c r="D1145" s="9"/>
      <c r="E1145" s="9"/>
      <c r="F1145" s="16" t="str">
        <f aca="false">IF(B1145="","",IF(COUNTIFS('PM Plan'!$A$5:$A$304,B1145,'PM Plan'!$B$5:$B$304,C1145)&gt;0,"OK","No matching asset + task in plan"))</f>
        <v/>
      </c>
    </row>
    <row r="1146" customFormat="false" ht="15" hidden="false" customHeight="false" outlineLevel="0" collapsed="false">
      <c r="A1146" s="13"/>
      <c r="B1146" s="9"/>
      <c r="C1146" s="9"/>
      <c r="D1146" s="9"/>
      <c r="E1146" s="9"/>
      <c r="F1146" s="16" t="str">
        <f aca="false">IF(B1146="","",IF(COUNTIFS('PM Plan'!$A$5:$A$304,B1146,'PM Plan'!$B$5:$B$304,C1146)&gt;0,"OK","No matching asset + task in plan"))</f>
        <v/>
      </c>
    </row>
    <row r="1147" customFormat="false" ht="15" hidden="false" customHeight="false" outlineLevel="0" collapsed="false">
      <c r="A1147" s="13"/>
      <c r="B1147" s="9"/>
      <c r="C1147" s="9"/>
      <c r="D1147" s="9"/>
      <c r="E1147" s="9"/>
      <c r="F1147" s="16" t="str">
        <f aca="false">IF(B1147="","",IF(COUNTIFS('PM Plan'!$A$5:$A$304,B1147,'PM Plan'!$B$5:$B$304,C1147)&gt;0,"OK","No matching asset + task in plan"))</f>
        <v/>
      </c>
    </row>
    <row r="1148" customFormat="false" ht="15" hidden="false" customHeight="false" outlineLevel="0" collapsed="false">
      <c r="A1148" s="13"/>
      <c r="B1148" s="9"/>
      <c r="C1148" s="9"/>
      <c r="D1148" s="9"/>
      <c r="E1148" s="9"/>
      <c r="F1148" s="16" t="str">
        <f aca="false">IF(B1148="","",IF(COUNTIFS('PM Plan'!$A$5:$A$304,B1148,'PM Plan'!$B$5:$B$304,C1148)&gt;0,"OK","No matching asset + task in plan"))</f>
        <v/>
      </c>
    </row>
    <row r="1149" customFormat="false" ht="15" hidden="false" customHeight="false" outlineLevel="0" collapsed="false">
      <c r="A1149" s="13"/>
      <c r="B1149" s="9"/>
      <c r="C1149" s="9"/>
      <c r="D1149" s="9"/>
      <c r="E1149" s="9"/>
      <c r="F1149" s="16" t="str">
        <f aca="false">IF(B1149="","",IF(COUNTIFS('PM Plan'!$A$5:$A$304,B1149,'PM Plan'!$B$5:$B$304,C1149)&gt;0,"OK","No matching asset + task in plan"))</f>
        <v/>
      </c>
    </row>
    <row r="1150" customFormat="false" ht="15" hidden="false" customHeight="false" outlineLevel="0" collapsed="false">
      <c r="A1150" s="13"/>
      <c r="B1150" s="9"/>
      <c r="C1150" s="9"/>
      <c r="D1150" s="9"/>
      <c r="E1150" s="9"/>
      <c r="F1150" s="16" t="str">
        <f aca="false">IF(B1150="","",IF(COUNTIFS('PM Plan'!$A$5:$A$304,B1150,'PM Plan'!$B$5:$B$304,C1150)&gt;0,"OK","No matching asset + task in plan"))</f>
        <v/>
      </c>
    </row>
    <row r="1151" customFormat="false" ht="15" hidden="false" customHeight="false" outlineLevel="0" collapsed="false">
      <c r="A1151" s="13"/>
      <c r="B1151" s="9"/>
      <c r="C1151" s="9"/>
      <c r="D1151" s="9"/>
      <c r="E1151" s="9"/>
      <c r="F1151" s="16" t="str">
        <f aca="false">IF(B1151="","",IF(COUNTIFS('PM Plan'!$A$5:$A$304,B1151,'PM Plan'!$B$5:$B$304,C1151)&gt;0,"OK","No matching asset + task in plan"))</f>
        <v/>
      </c>
    </row>
    <row r="1152" customFormat="false" ht="15" hidden="false" customHeight="false" outlineLevel="0" collapsed="false">
      <c r="A1152" s="13"/>
      <c r="B1152" s="9"/>
      <c r="C1152" s="9"/>
      <c r="D1152" s="9"/>
      <c r="E1152" s="9"/>
      <c r="F1152" s="16" t="str">
        <f aca="false">IF(B1152="","",IF(COUNTIFS('PM Plan'!$A$5:$A$304,B1152,'PM Plan'!$B$5:$B$304,C1152)&gt;0,"OK","No matching asset + task in plan"))</f>
        <v/>
      </c>
    </row>
    <row r="1153" customFormat="false" ht="15" hidden="false" customHeight="false" outlineLevel="0" collapsed="false">
      <c r="A1153" s="13"/>
      <c r="B1153" s="9"/>
      <c r="C1153" s="9"/>
      <c r="D1153" s="9"/>
      <c r="E1153" s="9"/>
      <c r="F1153" s="16" t="str">
        <f aca="false">IF(B1153="","",IF(COUNTIFS('PM Plan'!$A$5:$A$304,B1153,'PM Plan'!$B$5:$B$304,C1153)&gt;0,"OK","No matching asset + task in plan"))</f>
        <v/>
      </c>
    </row>
    <row r="1154" customFormat="false" ht="15" hidden="false" customHeight="false" outlineLevel="0" collapsed="false">
      <c r="A1154" s="13"/>
      <c r="B1154" s="9"/>
      <c r="C1154" s="9"/>
      <c r="D1154" s="9"/>
      <c r="E1154" s="9"/>
      <c r="F1154" s="16" t="str">
        <f aca="false">IF(B1154="","",IF(COUNTIFS('PM Plan'!$A$5:$A$304,B1154,'PM Plan'!$B$5:$B$304,C1154)&gt;0,"OK","No matching asset + task in plan"))</f>
        <v/>
      </c>
    </row>
    <row r="1155" customFormat="false" ht="15" hidden="false" customHeight="false" outlineLevel="0" collapsed="false">
      <c r="A1155" s="13"/>
      <c r="B1155" s="9"/>
      <c r="C1155" s="9"/>
      <c r="D1155" s="9"/>
      <c r="E1155" s="9"/>
      <c r="F1155" s="16" t="str">
        <f aca="false">IF(B1155="","",IF(COUNTIFS('PM Plan'!$A$5:$A$304,B1155,'PM Plan'!$B$5:$B$304,C1155)&gt;0,"OK","No matching asset + task in plan"))</f>
        <v/>
      </c>
    </row>
    <row r="1156" customFormat="false" ht="15" hidden="false" customHeight="false" outlineLevel="0" collapsed="false">
      <c r="A1156" s="13"/>
      <c r="B1156" s="9"/>
      <c r="C1156" s="9"/>
      <c r="D1156" s="9"/>
      <c r="E1156" s="9"/>
      <c r="F1156" s="16" t="str">
        <f aca="false">IF(B1156="","",IF(COUNTIFS('PM Plan'!$A$5:$A$304,B1156,'PM Plan'!$B$5:$B$304,C1156)&gt;0,"OK","No matching asset + task in plan"))</f>
        <v/>
      </c>
    </row>
    <row r="1157" customFormat="false" ht="15" hidden="false" customHeight="false" outlineLevel="0" collapsed="false">
      <c r="A1157" s="13"/>
      <c r="B1157" s="9"/>
      <c r="C1157" s="9"/>
      <c r="D1157" s="9"/>
      <c r="E1157" s="9"/>
      <c r="F1157" s="16" t="str">
        <f aca="false">IF(B1157="","",IF(COUNTIFS('PM Plan'!$A$5:$A$304,B1157,'PM Plan'!$B$5:$B$304,C1157)&gt;0,"OK","No matching asset + task in plan"))</f>
        <v/>
      </c>
    </row>
    <row r="1158" customFormat="false" ht="15" hidden="false" customHeight="false" outlineLevel="0" collapsed="false">
      <c r="A1158" s="13"/>
      <c r="B1158" s="9"/>
      <c r="C1158" s="9"/>
      <c r="D1158" s="9"/>
      <c r="E1158" s="9"/>
      <c r="F1158" s="16" t="str">
        <f aca="false">IF(B1158="","",IF(COUNTIFS('PM Plan'!$A$5:$A$304,B1158,'PM Plan'!$B$5:$B$304,C1158)&gt;0,"OK","No matching asset + task in plan"))</f>
        <v/>
      </c>
    </row>
    <row r="1159" customFormat="false" ht="15" hidden="false" customHeight="false" outlineLevel="0" collapsed="false">
      <c r="A1159" s="13"/>
      <c r="B1159" s="9"/>
      <c r="C1159" s="9"/>
      <c r="D1159" s="9"/>
      <c r="E1159" s="9"/>
      <c r="F1159" s="16" t="str">
        <f aca="false">IF(B1159="","",IF(COUNTIFS('PM Plan'!$A$5:$A$304,B1159,'PM Plan'!$B$5:$B$304,C1159)&gt;0,"OK","No matching asset + task in plan"))</f>
        <v/>
      </c>
    </row>
    <row r="1160" customFormat="false" ht="15" hidden="false" customHeight="false" outlineLevel="0" collapsed="false">
      <c r="A1160" s="13"/>
      <c r="B1160" s="9"/>
      <c r="C1160" s="9"/>
      <c r="D1160" s="9"/>
      <c r="E1160" s="9"/>
      <c r="F1160" s="16" t="str">
        <f aca="false">IF(B1160="","",IF(COUNTIFS('PM Plan'!$A$5:$A$304,B1160,'PM Plan'!$B$5:$B$304,C1160)&gt;0,"OK","No matching asset + task in plan"))</f>
        <v/>
      </c>
    </row>
    <row r="1161" customFormat="false" ht="15" hidden="false" customHeight="false" outlineLevel="0" collapsed="false">
      <c r="A1161" s="13"/>
      <c r="B1161" s="9"/>
      <c r="C1161" s="9"/>
      <c r="D1161" s="9"/>
      <c r="E1161" s="9"/>
      <c r="F1161" s="16" t="str">
        <f aca="false">IF(B1161="","",IF(COUNTIFS('PM Plan'!$A$5:$A$304,B1161,'PM Plan'!$B$5:$B$304,C1161)&gt;0,"OK","No matching asset + task in plan"))</f>
        <v/>
      </c>
    </row>
    <row r="1162" customFormat="false" ht="15" hidden="false" customHeight="false" outlineLevel="0" collapsed="false">
      <c r="A1162" s="13"/>
      <c r="B1162" s="9"/>
      <c r="C1162" s="9"/>
      <c r="D1162" s="9"/>
      <c r="E1162" s="9"/>
      <c r="F1162" s="16" t="str">
        <f aca="false">IF(B1162="","",IF(COUNTIFS('PM Plan'!$A$5:$A$304,B1162,'PM Plan'!$B$5:$B$304,C1162)&gt;0,"OK","No matching asset + task in plan"))</f>
        <v/>
      </c>
    </row>
    <row r="1163" customFormat="false" ht="15" hidden="false" customHeight="false" outlineLevel="0" collapsed="false">
      <c r="A1163" s="13"/>
      <c r="B1163" s="9"/>
      <c r="C1163" s="9"/>
      <c r="D1163" s="9"/>
      <c r="E1163" s="9"/>
      <c r="F1163" s="16" t="str">
        <f aca="false">IF(B1163="","",IF(COUNTIFS('PM Plan'!$A$5:$A$304,B1163,'PM Plan'!$B$5:$B$304,C1163)&gt;0,"OK","No matching asset + task in plan"))</f>
        <v/>
      </c>
    </row>
    <row r="1164" customFormat="false" ht="15" hidden="false" customHeight="false" outlineLevel="0" collapsed="false">
      <c r="A1164" s="13"/>
      <c r="B1164" s="9"/>
      <c r="C1164" s="9"/>
      <c r="D1164" s="9"/>
      <c r="E1164" s="9"/>
      <c r="F1164" s="16" t="str">
        <f aca="false">IF(B1164="","",IF(COUNTIFS('PM Plan'!$A$5:$A$304,B1164,'PM Plan'!$B$5:$B$304,C1164)&gt;0,"OK","No matching asset + task in plan"))</f>
        <v/>
      </c>
    </row>
    <row r="1165" customFormat="false" ht="15" hidden="false" customHeight="false" outlineLevel="0" collapsed="false">
      <c r="A1165" s="13"/>
      <c r="B1165" s="9"/>
      <c r="C1165" s="9"/>
      <c r="D1165" s="9"/>
      <c r="E1165" s="9"/>
      <c r="F1165" s="16" t="str">
        <f aca="false">IF(B1165="","",IF(COUNTIFS('PM Plan'!$A$5:$A$304,B1165,'PM Plan'!$B$5:$B$304,C1165)&gt;0,"OK","No matching asset + task in plan"))</f>
        <v/>
      </c>
    </row>
    <row r="1166" customFormat="false" ht="15" hidden="false" customHeight="false" outlineLevel="0" collapsed="false">
      <c r="A1166" s="13"/>
      <c r="B1166" s="9"/>
      <c r="C1166" s="9"/>
      <c r="D1166" s="9"/>
      <c r="E1166" s="9"/>
      <c r="F1166" s="16" t="str">
        <f aca="false">IF(B1166="","",IF(COUNTIFS('PM Plan'!$A$5:$A$304,B1166,'PM Plan'!$B$5:$B$304,C1166)&gt;0,"OK","No matching asset + task in plan"))</f>
        <v/>
      </c>
    </row>
    <row r="1167" customFormat="false" ht="15" hidden="false" customHeight="false" outlineLevel="0" collapsed="false">
      <c r="A1167" s="13"/>
      <c r="B1167" s="9"/>
      <c r="C1167" s="9"/>
      <c r="D1167" s="9"/>
      <c r="E1167" s="9"/>
      <c r="F1167" s="16" t="str">
        <f aca="false">IF(B1167="","",IF(COUNTIFS('PM Plan'!$A$5:$A$304,B1167,'PM Plan'!$B$5:$B$304,C1167)&gt;0,"OK","No matching asset + task in plan"))</f>
        <v/>
      </c>
    </row>
    <row r="1168" customFormat="false" ht="15" hidden="false" customHeight="false" outlineLevel="0" collapsed="false">
      <c r="A1168" s="13"/>
      <c r="B1168" s="9"/>
      <c r="C1168" s="9"/>
      <c r="D1168" s="9"/>
      <c r="E1168" s="9"/>
      <c r="F1168" s="16" t="str">
        <f aca="false">IF(B1168="","",IF(COUNTIFS('PM Plan'!$A$5:$A$304,B1168,'PM Plan'!$B$5:$B$304,C1168)&gt;0,"OK","No matching asset + task in plan"))</f>
        <v/>
      </c>
    </row>
    <row r="1169" customFormat="false" ht="15" hidden="false" customHeight="false" outlineLevel="0" collapsed="false">
      <c r="A1169" s="13"/>
      <c r="B1169" s="9"/>
      <c r="C1169" s="9"/>
      <c r="D1169" s="9"/>
      <c r="E1169" s="9"/>
      <c r="F1169" s="16" t="str">
        <f aca="false">IF(B1169="","",IF(COUNTIFS('PM Plan'!$A$5:$A$304,B1169,'PM Plan'!$B$5:$B$304,C1169)&gt;0,"OK","No matching asset + task in plan"))</f>
        <v/>
      </c>
    </row>
    <row r="1170" customFormat="false" ht="15" hidden="false" customHeight="false" outlineLevel="0" collapsed="false">
      <c r="A1170" s="13"/>
      <c r="B1170" s="9"/>
      <c r="C1170" s="9"/>
      <c r="D1170" s="9"/>
      <c r="E1170" s="9"/>
      <c r="F1170" s="16" t="str">
        <f aca="false">IF(B1170="","",IF(COUNTIFS('PM Plan'!$A$5:$A$304,B1170,'PM Plan'!$B$5:$B$304,C1170)&gt;0,"OK","No matching asset + task in plan"))</f>
        <v/>
      </c>
    </row>
    <row r="1171" customFormat="false" ht="15" hidden="false" customHeight="false" outlineLevel="0" collapsed="false">
      <c r="A1171" s="13"/>
      <c r="B1171" s="9"/>
      <c r="C1171" s="9"/>
      <c r="D1171" s="9"/>
      <c r="E1171" s="9"/>
      <c r="F1171" s="16" t="str">
        <f aca="false">IF(B1171="","",IF(COUNTIFS('PM Plan'!$A$5:$A$304,B1171,'PM Plan'!$B$5:$B$304,C1171)&gt;0,"OK","No matching asset + task in plan"))</f>
        <v/>
      </c>
    </row>
    <row r="1172" customFormat="false" ht="15" hidden="false" customHeight="false" outlineLevel="0" collapsed="false">
      <c r="A1172" s="13"/>
      <c r="B1172" s="9"/>
      <c r="C1172" s="9"/>
      <c r="D1172" s="9"/>
      <c r="E1172" s="9"/>
      <c r="F1172" s="16" t="str">
        <f aca="false">IF(B1172="","",IF(COUNTIFS('PM Plan'!$A$5:$A$304,B1172,'PM Plan'!$B$5:$B$304,C1172)&gt;0,"OK","No matching asset + task in plan"))</f>
        <v/>
      </c>
    </row>
    <row r="1173" customFormat="false" ht="15" hidden="false" customHeight="false" outlineLevel="0" collapsed="false">
      <c r="A1173" s="13"/>
      <c r="B1173" s="9"/>
      <c r="C1173" s="9"/>
      <c r="D1173" s="9"/>
      <c r="E1173" s="9"/>
      <c r="F1173" s="16" t="str">
        <f aca="false">IF(B1173="","",IF(COUNTIFS('PM Plan'!$A$5:$A$304,B1173,'PM Plan'!$B$5:$B$304,C1173)&gt;0,"OK","No matching asset + task in plan"))</f>
        <v/>
      </c>
    </row>
    <row r="1174" customFormat="false" ht="15" hidden="false" customHeight="false" outlineLevel="0" collapsed="false">
      <c r="A1174" s="13"/>
      <c r="B1174" s="9"/>
      <c r="C1174" s="9"/>
      <c r="D1174" s="9"/>
      <c r="E1174" s="9"/>
      <c r="F1174" s="16" t="str">
        <f aca="false">IF(B1174="","",IF(COUNTIFS('PM Plan'!$A$5:$A$304,B1174,'PM Plan'!$B$5:$B$304,C1174)&gt;0,"OK","No matching asset + task in plan"))</f>
        <v/>
      </c>
    </row>
    <row r="1175" customFormat="false" ht="15" hidden="false" customHeight="false" outlineLevel="0" collapsed="false">
      <c r="A1175" s="13"/>
      <c r="B1175" s="9"/>
      <c r="C1175" s="9"/>
      <c r="D1175" s="9"/>
      <c r="E1175" s="9"/>
      <c r="F1175" s="16" t="str">
        <f aca="false">IF(B1175="","",IF(COUNTIFS('PM Plan'!$A$5:$A$304,B1175,'PM Plan'!$B$5:$B$304,C1175)&gt;0,"OK","No matching asset + task in plan"))</f>
        <v/>
      </c>
    </row>
    <row r="1176" customFormat="false" ht="15" hidden="false" customHeight="false" outlineLevel="0" collapsed="false">
      <c r="A1176" s="13"/>
      <c r="B1176" s="9"/>
      <c r="C1176" s="9"/>
      <c r="D1176" s="9"/>
      <c r="E1176" s="9"/>
      <c r="F1176" s="16" t="str">
        <f aca="false">IF(B1176="","",IF(COUNTIFS('PM Plan'!$A$5:$A$304,B1176,'PM Plan'!$B$5:$B$304,C1176)&gt;0,"OK","No matching asset + task in plan"))</f>
        <v/>
      </c>
    </row>
    <row r="1177" customFormat="false" ht="15" hidden="false" customHeight="false" outlineLevel="0" collapsed="false">
      <c r="A1177" s="13"/>
      <c r="B1177" s="9"/>
      <c r="C1177" s="9"/>
      <c r="D1177" s="9"/>
      <c r="E1177" s="9"/>
      <c r="F1177" s="16" t="str">
        <f aca="false">IF(B1177="","",IF(COUNTIFS('PM Plan'!$A$5:$A$304,B1177,'PM Plan'!$B$5:$B$304,C1177)&gt;0,"OK","No matching asset + task in plan"))</f>
        <v/>
      </c>
    </row>
    <row r="1178" customFormat="false" ht="15" hidden="false" customHeight="false" outlineLevel="0" collapsed="false">
      <c r="A1178" s="13"/>
      <c r="B1178" s="9"/>
      <c r="C1178" s="9"/>
      <c r="D1178" s="9"/>
      <c r="E1178" s="9"/>
      <c r="F1178" s="16" t="str">
        <f aca="false">IF(B1178="","",IF(COUNTIFS('PM Plan'!$A$5:$A$304,B1178,'PM Plan'!$B$5:$B$304,C1178)&gt;0,"OK","No matching asset + task in plan"))</f>
        <v/>
      </c>
    </row>
    <row r="1179" customFormat="false" ht="15" hidden="false" customHeight="false" outlineLevel="0" collapsed="false">
      <c r="A1179" s="13"/>
      <c r="B1179" s="9"/>
      <c r="C1179" s="9"/>
      <c r="D1179" s="9"/>
      <c r="E1179" s="9"/>
      <c r="F1179" s="16" t="str">
        <f aca="false">IF(B1179="","",IF(COUNTIFS('PM Plan'!$A$5:$A$304,B1179,'PM Plan'!$B$5:$B$304,C1179)&gt;0,"OK","No matching asset + task in plan"))</f>
        <v/>
      </c>
    </row>
    <row r="1180" customFormat="false" ht="15" hidden="false" customHeight="false" outlineLevel="0" collapsed="false">
      <c r="A1180" s="13"/>
      <c r="B1180" s="9"/>
      <c r="C1180" s="9"/>
      <c r="D1180" s="9"/>
      <c r="E1180" s="9"/>
      <c r="F1180" s="16" t="str">
        <f aca="false">IF(B1180="","",IF(COUNTIFS('PM Plan'!$A$5:$A$304,B1180,'PM Plan'!$B$5:$B$304,C1180)&gt;0,"OK","No matching asset + task in plan"))</f>
        <v/>
      </c>
    </row>
    <row r="1181" customFormat="false" ht="15" hidden="false" customHeight="false" outlineLevel="0" collapsed="false">
      <c r="A1181" s="13"/>
      <c r="B1181" s="9"/>
      <c r="C1181" s="9"/>
      <c r="D1181" s="9"/>
      <c r="E1181" s="9"/>
      <c r="F1181" s="16" t="str">
        <f aca="false">IF(B1181="","",IF(COUNTIFS('PM Plan'!$A$5:$A$304,B1181,'PM Plan'!$B$5:$B$304,C1181)&gt;0,"OK","No matching asset + task in plan"))</f>
        <v/>
      </c>
    </row>
    <row r="1182" customFormat="false" ht="15" hidden="false" customHeight="false" outlineLevel="0" collapsed="false">
      <c r="A1182" s="13"/>
      <c r="B1182" s="9"/>
      <c r="C1182" s="9"/>
      <c r="D1182" s="9"/>
      <c r="E1182" s="9"/>
      <c r="F1182" s="16" t="str">
        <f aca="false">IF(B1182="","",IF(COUNTIFS('PM Plan'!$A$5:$A$304,B1182,'PM Plan'!$B$5:$B$304,C1182)&gt;0,"OK","No matching asset + task in plan"))</f>
        <v/>
      </c>
    </row>
    <row r="1183" customFormat="false" ht="15" hidden="false" customHeight="false" outlineLevel="0" collapsed="false">
      <c r="A1183" s="13"/>
      <c r="B1183" s="9"/>
      <c r="C1183" s="9"/>
      <c r="D1183" s="9"/>
      <c r="E1183" s="9"/>
      <c r="F1183" s="16" t="str">
        <f aca="false">IF(B1183="","",IF(COUNTIFS('PM Plan'!$A$5:$A$304,B1183,'PM Plan'!$B$5:$B$304,C1183)&gt;0,"OK","No matching asset + task in plan"))</f>
        <v/>
      </c>
    </row>
    <row r="1184" customFormat="false" ht="15" hidden="false" customHeight="false" outlineLevel="0" collapsed="false">
      <c r="A1184" s="13"/>
      <c r="B1184" s="9"/>
      <c r="C1184" s="9"/>
      <c r="D1184" s="9"/>
      <c r="E1184" s="9"/>
      <c r="F1184" s="16" t="str">
        <f aca="false">IF(B1184="","",IF(COUNTIFS('PM Plan'!$A$5:$A$304,B1184,'PM Plan'!$B$5:$B$304,C1184)&gt;0,"OK","No matching asset + task in plan"))</f>
        <v/>
      </c>
    </row>
    <row r="1185" customFormat="false" ht="15" hidden="false" customHeight="false" outlineLevel="0" collapsed="false">
      <c r="A1185" s="13"/>
      <c r="B1185" s="9"/>
      <c r="C1185" s="9"/>
      <c r="D1185" s="9"/>
      <c r="E1185" s="9"/>
      <c r="F1185" s="16" t="str">
        <f aca="false">IF(B1185="","",IF(COUNTIFS('PM Plan'!$A$5:$A$304,B1185,'PM Plan'!$B$5:$B$304,C1185)&gt;0,"OK","No matching asset + task in plan"))</f>
        <v/>
      </c>
    </row>
    <row r="1186" customFormat="false" ht="15" hidden="false" customHeight="false" outlineLevel="0" collapsed="false">
      <c r="A1186" s="13"/>
      <c r="B1186" s="9"/>
      <c r="C1186" s="9"/>
      <c r="D1186" s="9"/>
      <c r="E1186" s="9"/>
      <c r="F1186" s="16" t="str">
        <f aca="false">IF(B1186="","",IF(COUNTIFS('PM Plan'!$A$5:$A$304,B1186,'PM Plan'!$B$5:$B$304,C1186)&gt;0,"OK","No matching asset + task in plan"))</f>
        <v/>
      </c>
    </row>
    <row r="1187" customFormat="false" ht="15" hidden="false" customHeight="false" outlineLevel="0" collapsed="false">
      <c r="A1187" s="13"/>
      <c r="B1187" s="9"/>
      <c r="C1187" s="9"/>
      <c r="D1187" s="9"/>
      <c r="E1187" s="9"/>
      <c r="F1187" s="16" t="str">
        <f aca="false">IF(B1187="","",IF(COUNTIFS('PM Plan'!$A$5:$A$304,B1187,'PM Plan'!$B$5:$B$304,C1187)&gt;0,"OK","No matching asset + task in plan"))</f>
        <v/>
      </c>
    </row>
    <row r="1188" customFormat="false" ht="15" hidden="false" customHeight="false" outlineLevel="0" collapsed="false">
      <c r="A1188" s="13"/>
      <c r="B1188" s="9"/>
      <c r="C1188" s="9"/>
      <c r="D1188" s="9"/>
      <c r="E1188" s="9"/>
      <c r="F1188" s="16" t="str">
        <f aca="false">IF(B1188="","",IF(COUNTIFS('PM Plan'!$A$5:$A$304,B1188,'PM Plan'!$B$5:$B$304,C1188)&gt;0,"OK","No matching asset + task in plan"))</f>
        <v/>
      </c>
    </row>
    <row r="1189" customFormat="false" ht="15" hidden="false" customHeight="false" outlineLevel="0" collapsed="false">
      <c r="A1189" s="13"/>
      <c r="B1189" s="9"/>
      <c r="C1189" s="9"/>
      <c r="D1189" s="9"/>
      <c r="E1189" s="9"/>
      <c r="F1189" s="16" t="str">
        <f aca="false">IF(B1189="","",IF(COUNTIFS('PM Plan'!$A$5:$A$304,B1189,'PM Plan'!$B$5:$B$304,C1189)&gt;0,"OK","No matching asset + task in plan"))</f>
        <v/>
      </c>
    </row>
    <row r="1190" customFormat="false" ht="15" hidden="false" customHeight="false" outlineLevel="0" collapsed="false">
      <c r="A1190" s="13"/>
      <c r="B1190" s="9"/>
      <c r="C1190" s="9"/>
      <c r="D1190" s="9"/>
      <c r="E1190" s="9"/>
      <c r="F1190" s="16" t="str">
        <f aca="false">IF(B1190="","",IF(COUNTIFS('PM Plan'!$A$5:$A$304,B1190,'PM Plan'!$B$5:$B$304,C1190)&gt;0,"OK","No matching asset + task in plan"))</f>
        <v/>
      </c>
    </row>
    <row r="1191" customFormat="false" ht="15" hidden="false" customHeight="false" outlineLevel="0" collapsed="false">
      <c r="A1191" s="13"/>
      <c r="B1191" s="9"/>
      <c r="C1191" s="9"/>
      <c r="D1191" s="9"/>
      <c r="E1191" s="9"/>
      <c r="F1191" s="16" t="str">
        <f aca="false">IF(B1191="","",IF(COUNTIFS('PM Plan'!$A$5:$A$304,B1191,'PM Plan'!$B$5:$B$304,C1191)&gt;0,"OK","No matching asset + task in plan"))</f>
        <v/>
      </c>
    </row>
    <row r="1192" customFormat="false" ht="15" hidden="false" customHeight="false" outlineLevel="0" collapsed="false">
      <c r="A1192" s="13"/>
      <c r="B1192" s="9"/>
      <c r="C1192" s="9"/>
      <c r="D1192" s="9"/>
      <c r="E1192" s="9"/>
      <c r="F1192" s="16" t="str">
        <f aca="false">IF(B1192="","",IF(COUNTIFS('PM Plan'!$A$5:$A$304,B1192,'PM Plan'!$B$5:$B$304,C1192)&gt;0,"OK","No matching asset + task in plan"))</f>
        <v/>
      </c>
    </row>
    <row r="1193" customFormat="false" ht="15" hidden="false" customHeight="false" outlineLevel="0" collapsed="false">
      <c r="A1193" s="13"/>
      <c r="B1193" s="9"/>
      <c r="C1193" s="9"/>
      <c r="D1193" s="9"/>
      <c r="E1193" s="9"/>
      <c r="F1193" s="16" t="str">
        <f aca="false">IF(B1193="","",IF(COUNTIFS('PM Plan'!$A$5:$A$304,B1193,'PM Plan'!$B$5:$B$304,C1193)&gt;0,"OK","No matching asset + task in plan"))</f>
        <v/>
      </c>
    </row>
    <row r="1194" customFormat="false" ht="15" hidden="false" customHeight="false" outlineLevel="0" collapsed="false">
      <c r="A1194" s="13"/>
      <c r="B1194" s="9"/>
      <c r="C1194" s="9"/>
      <c r="D1194" s="9"/>
      <c r="E1194" s="9"/>
      <c r="F1194" s="16" t="str">
        <f aca="false">IF(B1194="","",IF(COUNTIFS('PM Plan'!$A$5:$A$304,B1194,'PM Plan'!$B$5:$B$304,C1194)&gt;0,"OK","No matching asset + task in plan"))</f>
        <v/>
      </c>
    </row>
    <row r="1195" customFormat="false" ht="15" hidden="false" customHeight="false" outlineLevel="0" collapsed="false">
      <c r="A1195" s="13"/>
      <c r="B1195" s="9"/>
      <c r="C1195" s="9"/>
      <c r="D1195" s="9"/>
      <c r="E1195" s="9"/>
      <c r="F1195" s="16" t="str">
        <f aca="false">IF(B1195="","",IF(COUNTIFS('PM Plan'!$A$5:$A$304,B1195,'PM Plan'!$B$5:$B$304,C1195)&gt;0,"OK","No matching asset + task in plan"))</f>
        <v/>
      </c>
    </row>
    <row r="1196" customFormat="false" ht="15" hidden="false" customHeight="false" outlineLevel="0" collapsed="false">
      <c r="A1196" s="13"/>
      <c r="B1196" s="9"/>
      <c r="C1196" s="9"/>
      <c r="D1196" s="9"/>
      <c r="E1196" s="9"/>
      <c r="F1196" s="16" t="str">
        <f aca="false">IF(B1196="","",IF(COUNTIFS('PM Plan'!$A$5:$A$304,B1196,'PM Plan'!$B$5:$B$304,C1196)&gt;0,"OK","No matching asset + task in plan"))</f>
        <v/>
      </c>
    </row>
    <row r="1197" customFormat="false" ht="15" hidden="false" customHeight="false" outlineLevel="0" collapsed="false">
      <c r="A1197" s="13"/>
      <c r="B1197" s="9"/>
      <c r="C1197" s="9"/>
      <c r="D1197" s="9"/>
      <c r="E1197" s="9"/>
      <c r="F1197" s="16" t="str">
        <f aca="false">IF(B1197="","",IF(COUNTIFS('PM Plan'!$A$5:$A$304,B1197,'PM Plan'!$B$5:$B$304,C1197)&gt;0,"OK","No matching asset + task in plan"))</f>
        <v/>
      </c>
    </row>
    <row r="1198" customFormat="false" ht="15" hidden="false" customHeight="false" outlineLevel="0" collapsed="false">
      <c r="A1198" s="13"/>
      <c r="B1198" s="9"/>
      <c r="C1198" s="9"/>
      <c r="D1198" s="9"/>
      <c r="E1198" s="9"/>
      <c r="F1198" s="16" t="str">
        <f aca="false">IF(B1198="","",IF(COUNTIFS('PM Plan'!$A$5:$A$304,B1198,'PM Plan'!$B$5:$B$304,C1198)&gt;0,"OK","No matching asset + task in plan"))</f>
        <v/>
      </c>
    </row>
    <row r="1199" customFormat="false" ht="15" hidden="false" customHeight="false" outlineLevel="0" collapsed="false">
      <c r="A1199" s="13"/>
      <c r="B1199" s="9"/>
      <c r="C1199" s="9"/>
      <c r="D1199" s="9"/>
      <c r="E1199" s="9"/>
      <c r="F1199" s="16" t="str">
        <f aca="false">IF(B1199="","",IF(COUNTIFS('PM Plan'!$A$5:$A$304,B1199,'PM Plan'!$B$5:$B$304,C1199)&gt;0,"OK","No matching asset + task in plan"))</f>
        <v/>
      </c>
    </row>
    <row r="1200" customFormat="false" ht="15" hidden="false" customHeight="false" outlineLevel="0" collapsed="false">
      <c r="A1200" s="13"/>
      <c r="B1200" s="9"/>
      <c r="C1200" s="9"/>
      <c r="D1200" s="9"/>
      <c r="E1200" s="9"/>
      <c r="F1200" s="16" t="str">
        <f aca="false">IF(B1200="","",IF(COUNTIFS('PM Plan'!$A$5:$A$304,B1200,'PM Plan'!$B$5:$B$304,C1200)&gt;0,"OK","No matching asset + task in plan"))</f>
        <v/>
      </c>
    </row>
    <row r="1201" customFormat="false" ht="15" hidden="false" customHeight="false" outlineLevel="0" collapsed="false">
      <c r="A1201" s="13"/>
      <c r="B1201" s="9"/>
      <c r="C1201" s="9"/>
      <c r="D1201" s="9"/>
      <c r="E1201" s="9"/>
      <c r="F1201" s="16" t="str">
        <f aca="false">IF(B1201="","",IF(COUNTIFS('PM Plan'!$A$5:$A$304,B1201,'PM Plan'!$B$5:$B$304,C1201)&gt;0,"OK","No matching asset + task in plan"))</f>
        <v/>
      </c>
    </row>
    <row r="1202" customFormat="false" ht="15" hidden="false" customHeight="false" outlineLevel="0" collapsed="false">
      <c r="A1202" s="13"/>
      <c r="B1202" s="9"/>
      <c r="C1202" s="9"/>
      <c r="D1202" s="9"/>
      <c r="E1202" s="9"/>
      <c r="F1202" s="16" t="str">
        <f aca="false">IF(B1202="","",IF(COUNTIFS('PM Plan'!$A$5:$A$304,B1202,'PM Plan'!$B$5:$B$304,C1202)&gt;0,"OK","No matching asset + task in plan"))</f>
        <v/>
      </c>
    </row>
    <row r="1203" customFormat="false" ht="15" hidden="false" customHeight="false" outlineLevel="0" collapsed="false">
      <c r="A1203" s="13"/>
      <c r="B1203" s="9"/>
      <c r="C1203" s="9"/>
      <c r="D1203" s="9"/>
      <c r="E1203" s="9"/>
      <c r="F1203" s="16" t="str">
        <f aca="false">IF(B1203="","",IF(COUNTIFS('PM Plan'!$A$5:$A$304,B1203,'PM Plan'!$B$5:$B$304,C1203)&gt;0,"OK","No matching asset + task in plan"))</f>
        <v/>
      </c>
    </row>
    <row r="1204" customFormat="false" ht="15" hidden="false" customHeight="false" outlineLevel="0" collapsed="false">
      <c r="A1204" s="13"/>
      <c r="B1204" s="9"/>
      <c r="C1204" s="9"/>
      <c r="D1204" s="9"/>
      <c r="E1204" s="9"/>
      <c r="F1204" s="16" t="str">
        <f aca="false">IF(B1204="","",IF(COUNTIFS('PM Plan'!$A$5:$A$304,B1204,'PM Plan'!$B$5:$B$304,C1204)&gt;0,"OK","No matching asset + task in plan"))</f>
        <v/>
      </c>
    </row>
    <row r="1205" customFormat="false" ht="15" hidden="false" customHeight="false" outlineLevel="0" collapsed="false">
      <c r="A1205" s="13"/>
      <c r="B1205" s="9"/>
      <c r="C1205" s="9"/>
      <c r="D1205" s="9"/>
      <c r="E1205" s="9"/>
      <c r="F1205" s="16" t="str">
        <f aca="false">IF(B1205="","",IF(COUNTIFS('PM Plan'!$A$5:$A$304,B1205,'PM Plan'!$B$5:$B$304,C1205)&gt;0,"OK","No matching asset + task in plan"))</f>
        <v/>
      </c>
    </row>
    <row r="1206" customFormat="false" ht="15" hidden="false" customHeight="false" outlineLevel="0" collapsed="false">
      <c r="A1206" s="13"/>
      <c r="B1206" s="9"/>
      <c r="C1206" s="9"/>
      <c r="D1206" s="9"/>
      <c r="E1206" s="9"/>
      <c r="F1206" s="16" t="str">
        <f aca="false">IF(B1206="","",IF(COUNTIFS('PM Plan'!$A$5:$A$304,B1206,'PM Plan'!$B$5:$B$304,C1206)&gt;0,"OK","No matching asset + task in plan"))</f>
        <v/>
      </c>
    </row>
    <row r="1207" customFormat="false" ht="15" hidden="false" customHeight="false" outlineLevel="0" collapsed="false">
      <c r="A1207" s="13"/>
      <c r="B1207" s="9"/>
      <c r="C1207" s="9"/>
      <c r="D1207" s="9"/>
      <c r="E1207" s="9"/>
      <c r="F1207" s="16" t="str">
        <f aca="false">IF(B1207="","",IF(COUNTIFS('PM Plan'!$A$5:$A$304,B1207,'PM Plan'!$B$5:$B$304,C1207)&gt;0,"OK","No matching asset + task in plan"))</f>
        <v/>
      </c>
    </row>
    <row r="1208" customFormat="false" ht="15" hidden="false" customHeight="false" outlineLevel="0" collapsed="false">
      <c r="A1208" s="13"/>
      <c r="B1208" s="9"/>
      <c r="C1208" s="9"/>
      <c r="D1208" s="9"/>
      <c r="E1208" s="9"/>
      <c r="F1208" s="16" t="str">
        <f aca="false">IF(B1208="","",IF(COUNTIFS('PM Plan'!$A$5:$A$304,B1208,'PM Plan'!$B$5:$B$304,C1208)&gt;0,"OK","No matching asset + task in plan"))</f>
        <v/>
      </c>
    </row>
    <row r="1209" customFormat="false" ht="15" hidden="false" customHeight="false" outlineLevel="0" collapsed="false">
      <c r="A1209" s="13"/>
      <c r="B1209" s="9"/>
      <c r="C1209" s="9"/>
      <c r="D1209" s="9"/>
      <c r="E1209" s="9"/>
      <c r="F1209" s="16" t="str">
        <f aca="false">IF(B1209="","",IF(COUNTIFS('PM Plan'!$A$5:$A$304,B1209,'PM Plan'!$B$5:$B$304,C1209)&gt;0,"OK","No matching asset + task in plan"))</f>
        <v/>
      </c>
    </row>
    <row r="1210" customFormat="false" ht="15" hidden="false" customHeight="false" outlineLevel="0" collapsed="false">
      <c r="A1210" s="13"/>
      <c r="B1210" s="9"/>
      <c r="C1210" s="9"/>
      <c r="D1210" s="9"/>
      <c r="E1210" s="9"/>
      <c r="F1210" s="16" t="str">
        <f aca="false">IF(B1210="","",IF(COUNTIFS('PM Plan'!$A$5:$A$304,B1210,'PM Plan'!$B$5:$B$304,C1210)&gt;0,"OK","No matching asset + task in plan"))</f>
        <v/>
      </c>
    </row>
    <row r="1211" customFormat="false" ht="15" hidden="false" customHeight="false" outlineLevel="0" collapsed="false">
      <c r="A1211" s="13"/>
      <c r="B1211" s="9"/>
      <c r="C1211" s="9"/>
      <c r="D1211" s="9"/>
      <c r="E1211" s="9"/>
      <c r="F1211" s="16" t="str">
        <f aca="false">IF(B1211="","",IF(COUNTIFS('PM Plan'!$A$5:$A$304,B1211,'PM Plan'!$B$5:$B$304,C1211)&gt;0,"OK","No matching asset + task in plan"))</f>
        <v/>
      </c>
    </row>
    <row r="1212" customFormat="false" ht="15" hidden="false" customHeight="false" outlineLevel="0" collapsed="false">
      <c r="A1212" s="13"/>
      <c r="B1212" s="9"/>
      <c r="C1212" s="9"/>
      <c r="D1212" s="9"/>
      <c r="E1212" s="9"/>
      <c r="F1212" s="16" t="str">
        <f aca="false">IF(B1212="","",IF(COUNTIFS('PM Plan'!$A$5:$A$304,B1212,'PM Plan'!$B$5:$B$304,C1212)&gt;0,"OK","No matching asset + task in plan"))</f>
        <v/>
      </c>
    </row>
    <row r="1213" customFormat="false" ht="15" hidden="false" customHeight="false" outlineLevel="0" collapsed="false">
      <c r="A1213" s="13"/>
      <c r="B1213" s="9"/>
      <c r="C1213" s="9"/>
      <c r="D1213" s="9"/>
      <c r="E1213" s="9"/>
      <c r="F1213" s="16" t="str">
        <f aca="false">IF(B1213="","",IF(COUNTIFS('PM Plan'!$A$5:$A$304,B1213,'PM Plan'!$B$5:$B$304,C1213)&gt;0,"OK","No matching asset + task in plan"))</f>
        <v/>
      </c>
    </row>
    <row r="1214" customFormat="false" ht="15" hidden="false" customHeight="false" outlineLevel="0" collapsed="false">
      <c r="A1214" s="13"/>
      <c r="B1214" s="9"/>
      <c r="C1214" s="9"/>
      <c r="D1214" s="9"/>
      <c r="E1214" s="9"/>
      <c r="F1214" s="16" t="str">
        <f aca="false">IF(B1214="","",IF(COUNTIFS('PM Plan'!$A$5:$A$304,B1214,'PM Plan'!$B$5:$B$304,C1214)&gt;0,"OK","No matching asset + task in plan"))</f>
        <v/>
      </c>
    </row>
    <row r="1215" customFormat="false" ht="15" hidden="false" customHeight="false" outlineLevel="0" collapsed="false">
      <c r="A1215" s="13"/>
      <c r="B1215" s="9"/>
      <c r="C1215" s="9"/>
      <c r="D1215" s="9"/>
      <c r="E1215" s="9"/>
      <c r="F1215" s="16" t="str">
        <f aca="false">IF(B1215="","",IF(COUNTIFS('PM Plan'!$A$5:$A$304,B1215,'PM Plan'!$B$5:$B$304,C1215)&gt;0,"OK","No matching asset + task in plan"))</f>
        <v/>
      </c>
    </row>
    <row r="1216" customFormat="false" ht="15" hidden="false" customHeight="false" outlineLevel="0" collapsed="false">
      <c r="A1216" s="13"/>
      <c r="B1216" s="9"/>
      <c r="C1216" s="9"/>
      <c r="D1216" s="9"/>
      <c r="E1216" s="9"/>
      <c r="F1216" s="16" t="str">
        <f aca="false">IF(B1216="","",IF(COUNTIFS('PM Plan'!$A$5:$A$304,B1216,'PM Plan'!$B$5:$B$304,C1216)&gt;0,"OK","No matching asset + task in plan"))</f>
        <v/>
      </c>
    </row>
    <row r="1217" customFormat="false" ht="15" hidden="false" customHeight="false" outlineLevel="0" collapsed="false">
      <c r="A1217" s="13"/>
      <c r="B1217" s="9"/>
      <c r="C1217" s="9"/>
      <c r="D1217" s="9"/>
      <c r="E1217" s="9"/>
      <c r="F1217" s="16" t="str">
        <f aca="false">IF(B1217="","",IF(COUNTIFS('PM Plan'!$A$5:$A$304,B1217,'PM Plan'!$B$5:$B$304,C1217)&gt;0,"OK","No matching asset + task in plan"))</f>
        <v/>
      </c>
    </row>
    <row r="1218" customFormat="false" ht="15" hidden="false" customHeight="false" outlineLevel="0" collapsed="false">
      <c r="A1218" s="13"/>
      <c r="B1218" s="9"/>
      <c r="C1218" s="9"/>
      <c r="D1218" s="9"/>
      <c r="E1218" s="9"/>
      <c r="F1218" s="16" t="str">
        <f aca="false">IF(B1218="","",IF(COUNTIFS('PM Plan'!$A$5:$A$304,B1218,'PM Plan'!$B$5:$B$304,C1218)&gt;0,"OK","No matching asset + task in plan"))</f>
        <v/>
      </c>
    </row>
    <row r="1219" customFormat="false" ht="15" hidden="false" customHeight="false" outlineLevel="0" collapsed="false">
      <c r="A1219" s="13"/>
      <c r="B1219" s="9"/>
      <c r="C1219" s="9"/>
      <c r="D1219" s="9"/>
      <c r="E1219" s="9"/>
      <c r="F1219" s="16" t="str">
        <f aca="false">IF(B1219="","",IF(COUNTIFS('PM Plan'!$A$5:$A$304,B1219,'PM Plan'!$B$5:$B$304,C1219)&gt;0,"OK","No matching asset + task in plan"))</f>
        <v/>
      </c>
    </row>
    <row r="1220" customFormat="false" ht="15" hidden="false" customHeight="false" outlineLevel="0" collapsed="false">
      <c r="A1220" s="13"/>
      <c r="B1220" s="9"/>
      <c r="C1220" s="9"/>
      <c r="D1220" s="9"/>
      <c r="E1220" s="9"/>
      <c r="F1220" s="16" t="str">
        <f aca="false">IF(B1220="","",IF(COUNTIFS('PM Plan'!$A$5:$A$304,B1220,'PM Plan'!$B$5:$B$304,C1220)&gt;0,"OK","No matching asset + task in plan"))</f>
        <v/>
      </c>
    </row>
    <row r="1221" customFormat="false" ht="15" hidden="false" customHeight="false" outlineLevel="0" collapsed="false">
      <c r="A1221" s="13"/>
      <c r="B1221" s="9"/>
      <c r="C1221" s="9"/>
      <c r="D1221" s="9"/>
      <c r="E1221" s="9"/>
      <c r="F1221" s="16" t="str">
        <f aca="false">IF(B1221="","",IF(COUNTIFS('PM Plan'!$A$5:$A$304,B1221,'PM Plan'!$B$5:$B$304,C1221)&gt;0,"OK","No matching asset + task in plan"))</f>
        <v/>
      </c>
    </row>
    <row r="1222" customFormat="false" ht="15" hidden="false" customHeight="false" outlineLevel="0" collapsed="false">
      <c r="A1222" s="13"/>
      <c r="B1222" s="9"/>
      <c r="C1222" s="9"/>
      <c r="D1222" s="9"/>
      <c r="E1222" s="9"/>
      <c r="F1222" s="16" t="str">
        <f aca="false">IF(B1222="","",IF(COUNTIFS('PM Plan'!$A$5:$A$304,B1222,'PM Plan'!$B$5:$B$304,C1222)&gt;0,"OK","No matching asset + task in plan"))</f>
        <v/>
      </c>
    </row>
    <row r="1223" customFormat="false" ht="15" hidden="false" customHeight="false" outlineLevel="0" collapsed="false">
      <c r="A1223" s="13"/>
      <c r="B1223" s="9"/>
      <c r="C1223" s="9"/>
      <c r="D1223" s="9"/>
      <c r="E1223" s="9"/>
      <c r="F1223" s="16" t="str">
        <f aca="false">IF(B1223="","",IF(COUNTIFS('PM Plan'!$A$5:$A$304,B1223,'PM Plan'!$B$5:$B$304,C1223)&gt;0,"OK","No matching asset + task in plan"))</f>
        <v/>
      </c>
    </row>
    <row r="1224" customFormat="false" ht="15" hidden="false" customHeight="false" outlineLevel="0" collapsed="false">
      <c r="A1224" s="13"/>
      <c r="B1224" s="9"/>
      <c r="C1224" s="9"/>
      <c r="D1224" s="9"/>
      <c r="E1224" s="9"/>
      <c r="F1224" s="16" t="str">
        <f aca="false">IF(B1224="","",IF(COUNTIFS('PM Plan'!$A$5:$A$304,B1224,'PM Plan'!$B$5:$B$304,C1224)&gt;0,"OK","No matching asset + task in plan"))</f>
        <v/>
      </c>
    </row>
    <row r="1225" customFormat="false" ht="15" hidden="false" customHeight="false" outlineLevel="0" collapsed="false">
      <c r="A1225" s="13"/>
      <c r="B1225" s="9"/>
      <c r="C1225" s="9"/>
      <c r="D1225" s="9"/>
      <c r="E1225" s="9"/>
      <c r="F1225" s="16" t="str">
        <f aca="false">IF(B1225="","",IF(COUNTIFS('PM Plan'!$A$5:$A$304,B1225,'PM Plan'!$B$5:$B$304,C1225)&gt;0,"OK","No matching asset + task in plan"))</f>
        <v/>
      </c>
    </row>
    <row r="1226" customFormat="false" ht="15" hidden="false" customHeight="false" outlineLevel="0" collapsed="false">
      <c r="A1226" s="13"/>
      <c r="B1226" s="9"/>
      <c r="C1226" s="9"/>
      <c r="D1226" s="9"/>
      <c r="E1226" s="9"/>
      <c r="F1226" s="16" t="str">
        <f aca="false">IF(B1226="","",IF(COUNTIFS('PM Plan'!$A$5:$A$304,B1226,'PM Plan'!$B$5:$B$304,C1226)&gt;0,"OK","No matching asset + task in plan"))</f>
        <v/>
      </c>
    </row>
    <row r="1227" customFormat="false" ht="15" hidden="false" customHeight="false" outlineLevel="0" collapsed="false">
      <c r="A1227" s="13"/>
      <c r="B1227" s="9"/>
      <c r="C1227" s="9"/>
      <c r="D1227" s="9"/>
      <c r="E1227" s="9"/>
      <c r="F1227" s="16" t="str">
        <f aca="false">IF(B1227="","",IF(COUNTIFS('PM Plan'!$A$5:$A$304,B1227,'PM Plan'!$B$5:$B$304,C1227)&gt;0,"OK","No matching asset + task in plan"))</f>
        <v/>
      </c>
    </row>
    <row r="1228" customFormat="false" ht="15" hidden="false" customHeight="false" outlineLevel="0" collapsed="false">
      <c r="A1228" s="13"/>
      <c r="B1228" s="9"/>
      <c r="C1228" s="9"/>
      <c r="D1228" s="9"/>
      <c r="E1228" s="9"/>
      <c r="F1228" s="16" t="str">
        <f aca="false">IF(B1228="","",IF(COUNTIFS('PM Plan'!$A$5:$A$304,B1228,'PM Plan'!$B$5:$B$304,C1228)&gt;0,"OK","No matching asset + task in plan"))</f>
        <v/>
      </c>
    </row>
    <row r="1229" customFormat="false" ht="15" hidden="false" customHeight="false" outlineLevel="0" collapsed="false">
      <c r="A1229" s="13"/>
      <c r="B1229" s="9"/>
      <c r="C1229" s="9"/>
      <c r="D1229" s="9"/>
      <c r="E1229" s="9"/>
      <c r="F1229" s="16" t="str">
        <f aca="false">IF(B1229="","",IF(COUNTIFS('PM Plan'!$A$5:$A$304,B1229,'PM Plan'!$B$5:$B$304,C1229)&gt;0,"OK","No matching asset + task in plan"))</f>
        <v/>
      </c>
    </row>
    <row r="1230" customFormat="false" ht="15" hidden="false" customHeight="false" outlineLevel="0" collapsed="false">
      <c r="A1230" s="13"/>
      <c r="B1230" s="9"/>
      <c r="C1230" s="9"/>
      <c r="D1230" s="9"/>
      <c r="E1230" s="9"/>
      <c r="F1230" s="16" t="str">
        <f aca="false">IF(B1230="","",IF(COUNTIFS('PM Plan'!$A$5:$A$304,B1230,'PM Plan'!$B$5:$B$304,C1230)&gt;0,"OK","No matching asset + task in plan"))</f>
        <v/>
      </c>
    </row>
    <row r="1231" customFormat="false" ht="15" hidden="false" customHeight="false" outlineLevel="0" collapsed="false">
      <c r="A1231" s="13"/>
      <c r="B1231" s="9"/>
      <c r="C1231" s="9"/>
      <c r="D1231" s="9"/>
      <c r="E1231" s="9"/>
      <c r="F1231" s="16" t="str">
        <f aca="false">IF(B1231="","",IF(COUNTIFS('PM Plan'!$A$5:$A$304,B1231,'PM Plan'!$B$5:$B$304,C1231)&gt;0,"OK","No matching asset + task in plan"))</f>
        <v/>
      </c>
    </row>
    <row r="1232" customFormat="false" ht="15" hidden="false" customHeight="false" outlineLevel="0" collapsed="false">
      <c r="A1232" s="13"/>
      <c r="B1232" s="9"/>
      <c r="C1232" s="9"/>
      <c r="D1232" s="9"/>
      <c r="E1232" s="9"/>
      <c r="F1232" s="16" t="str">
        <f aca="false">IF(B1232="","",IF(COUNTIFS('PM Plan'!$A$5:$A$304,B1232,'PM Plan'!$B$5:$B$304,C1232)&gt;0,"OK","No matching asset + task in plan"))</f>
        <v/>
      </c>
    </row>
    <row r="1233" customFormat="false" ht="15" hidden="false" customHeight="false" outlineLevel="0" collapsed="false">
      <c r="A1233" s="13"/>
      <c r="B1233" s="9"/>
      <c r="C1233" s="9"/>
      <c r="D1233" s="9"/>
      <c r="E1233" s="9"/>
      <c r="F1233" s="16" t="str">
        <f aca="false">IF(B1233="","",IF(COUNTIFS('PM Plan'!$A$5:$A$304,B1233,'PM Plan'!$B$5:$B$304,C1233)&gt;0,"OK","No matching asset + task in plan"))</f>
        <v/>
      </c>
    </row>
    <row r="1234" customFormat="false" ht="15" hidden="false" customHeight="false" outlineLevel="0" collapsed="false">
      <c r="A1234" s="13"/>
      <c r="B1234" s="9"/>
      <c r="C1234" s="9"/>
      <c r="D1234" s="9"/>
      <c r="E1234" s="9"/>
      <c r="F1234" s="16" t="str">
        <f aca="false">IF(B1234="","",IF(COUNTIFS('PM Plan'!$A$5:$A$304,B1234,'PM Plan'!$B$5:$B$304,C1234)&gt;0,"OK","No matching asset + task in plan"))</f>
        <v/>
      </c>
    </row>
    <row r="1235" customFormat="false" ht="15" hidden="false" customHeight="false" outlineLevel="0" collapsed="false">
      <c r="A1235" s="13"/>
      <c r="B1235" s="9"/>
      <c r="C1235" s="9"/>
      <c r="D1235" s="9"/>
      <c r="E1235" s="9"/>
      <c r="F1235" s="16" t="str">
        <f aca="false">IF(B1235="","",IF(COUNTIFS('PM Plan'!$A$5:$A$304,B1235,'PM Plan'!$B$5:$B$304,C1235)&gt;0,"OK","No matching asset + task in plan"))</f>
        <v/>
      </c>
    </row>
    <row r="1236" customFormat="false" ht="15" hidden="false" customHeight="false" outlineLevel="0" collapsed="false">
      <c r="A1236" s="13"/>
      <c r="B1236" s="9"/>
      <c r="C1236" s="9"/>
      <c r="D1236" s="9"/>
      <c r="E1236" s="9"/>
      <c r="F1236" s="16" t="str">
        <f aca="false">IF(B1236="","",IF(COUNTIFS('PM Plan'!$A$5:$A$304,B1236,'PM Plan'!$B$5:$B$304,C1236)&gt;0,"OK","No matching asset + task in plan"))</f>
        <v/>
      </c>
    </row>
    <row r="1237" customFormat="false" ht="15" hidden="false" customHeight="false" outlineLevel="0" collapsed="false">
      <c r="A1237" s="13"/>
      <c r="B1237" s="9"/>
      <c r="C1237" s="9"/>
      <c r="D1237" s="9"/>
      <c r="E1237" s="9"/>
      <c r="F1237" s="16" t="str">
        <f aca="false">IF(B1237="","",IF(COUNTIFS('PM Plan'!$A$5:$A$304,B1237,'PM Plan'!$B$5:$B$304,C1237)&gt;0,"OK","No matching asset + task in plan"))</f>
        <v/>
      </c>
    </row>
    <row r="1238" customFormat="false" ht="15" hidden="false" customHeight="false" outlineLevel="0" collapsed="false">
      <c r="A1238" s="13"/>
      <c r="B1238" s="9"/>
      <c r="C1238" s="9"/>
      <c r="D1238" s="9"/>
      <c r="E1238" s="9"/>
      <c r="F1238" s="16" t="str">
        <f aca="false">IF(B1238="","",IF(COUNTIFS('PM Plan'!$A$5:$A$304,B1238,'PM Plan'!$B$5:$B$304,C1238)&gt;0,"OK","No matching asset + task in plan"))</f>
        <v/>
      </c>
    </row>
    <row r="1239" customFormat="false" ht="15" hidden="false" customHeight="false" outlineLevel="0" collapsed="false">
      <c r="A1239" s="13"/>
      <c r="B1239" s="9"/>
      <c r="C1239" s="9"/>
      <c r="D1239" s="9"/>
      <c r="E1239" s="9"/>
      <c r="F1239" s="16" t="str">
        <f aca="false">IF(B1239="","",IF(COUNTIFS('PM Plan'!$A$5:$A$304,B1239,'PM Plan'!$B$5:$B$304,C1239)&gt;0,"OK","No matching asset + task in plan"))</f>
        <v/>
      </c>
    </row>
    <row r="1240" customFormat="false" ht="15" hidden="false" customHeight="false" outlineLevel="0" collapsed="false">
      <c r="A1240" s="13"/>
      <c r="B1240" s="9"/>
      <c r="C1240" s="9"/>
      <c r="D1240" s="9"/>
      <c r="E1240" s="9"/>
      <c r="F1240" s="16" t="str">
        <f aca="false">IF(B1240="","",IF(COUNTIFS('PM Plan'!$A$5:$A$304,B1240,'PM Plan'!$B$5:$B$304,C1240)&gt;0,"OK","No matching asset + task in plan"))</f>
        <v/>
      </c>
    </row>
    <row r="1241" customFormat="false" ht="15" hidden="false" customHeight="false" outlineLevel="0" collapsed="false">
      <c r="A1241" s="13"/>
      <c r="B1241" s="9"/>
      <c r="C1241" s="9"/>
      <c r="D1241" s="9"/>
      <c r="E1241" s="9"/>
      <c r="F1241" s="16" t="str">
        <f aca="false">IF(B1241="","",IF(COUNTIFS('PM Plan'!$A$5:$A$304,B1241,'PM Plan'!$B$5:$B$304,C1241)&gt;0,"OK","No matching asset + task in plan"))</f>
        <v/>
      </c>
    </row>
    <row r="1242" customFormat="false" ht="15" hidden="false" customHeight="false" outlineLevel="0" collapsed="false">
      <c r="A1242" s="13"/>
      <c r="B1242" s="9"/>
      <c r="C1242" s="9"/>
      <c r="D1242" s="9"/>
      <c r="E1242" s="9"/>
      <c r="F1242" s="16" t="str">
        <f aca="false">IF(B1242="","",IF(COUNTIFS('PM Plan'!$A$5:$A$304,B1242,'PM Plan'!$B$5:$B$304,C1242)&gt;0,"OK","No matching asset + task in plan"))</f>
        <v/>
      </c>
    </row>
    <row r="1243" customFormat="false" ht="15" hidden="false" customHeight="false" outlineLevel="0" collapsed="false">
      <c r="A1243" s="13"/>
      <c r="B1243" s="9"/>
      <c r="C1243" s="9"/>
      <c r="D1243" s="9"/>
      <c r="E1243" s="9"/>
      <c r="F1243" s="16" t="str">
        <f aca="false">IF(B1243="","",IF(COUNTIFS('PM Plan'!$A$5:$A$304,B1243,'PM Plan'!$B$5:$B$304,C1243)&gt;0,"OK","No matching asset + task in plan"))</f>
        <v/>
      </c>
    </row>
    <row r="1244" customFormat="false" ht="15" hidden="false" customHeight="false" outlineLevel="0" collapsed="false">
      <c r="A1244" s="13"/>
      <c r="B1244" s="9"/>
      <c r="C1244" s="9"/>
      <c r="D1244" s="9"/>
      <c r="E1244" s="9"/>
      <c r="F1244" s="16" t="str">
        <f aca="false">IF(B1244="","",IF(COUNTIFS('PM Plan'!$A$5:$A$304,B1244,'PM Plan'!$B$5:$B$304,C1244)&gt;0,"OK","No matching asset + task in plan"))</f>
        <v/>
      </c>
    </row>
    <row r="1245" customFormat="false" ht="15" hidden="false" customHeight="false" outlineLevel="0" collapsed="false">
      <c r="A1245" s="13"/>
      <c r="B1245" s="9"/>
      <c r="C1245" s="9"/>
      <c r="D1245" s="9"/>
      <c r="E1245" s="9"/>
      <c r="F1245" s="16" t="str">
        <f aca="false">IF(B1245="","",IF(COUNTIFS('PM Plan'!$A$5:$A$304,B1245,'PM Plan'!$B$5:$B$304,C1245)&gt;0,"OK","No matching asset + task in plan"))</f>
        <v/>
      </c>
    </row>
    <row r="1246" customFormat="false" ht="15" hidden="false" customHeight="false" outlineLevel="0" collapsed="false">
      <c r="A1246" s="13"/>
      <c r="B1246" s="9"/>
      <c r="C1246" s="9"/>
      <c r="D1246" s="9"/>
      <c r="E1246" s="9"/>
      <c r="F1246" s="16" t="str">
        <f aca="false">IF(B1246="","",IF(COUNTIFS('PM Plan'!$A$5:$A$304,B1246,'PM Plan'!$B$5:$B$304,C1246)&gt;0,"OK","No matching asset + task in plan"))</f>
        <v/>
      </c>
    </row>
    <row r="1247" customFormat="false" ht="15" hidden="false" customHeight="false" outlineLevel="0" collapsed="false">
      <c r="A1247" s="13"/>
      <c r="B1247" s="9"/>
      <c r="C1247" s="9"/>
      <c r="D1247" s="9"/>
      <c r="E1247" s="9"/>
      <c r="F1247" s="16" t="str">
        <f aca="false">IF(B1247="","",IF(COUNTIFS('PM Plan'!$A$5:$A$304,B1247,'PM Plan'!$B$5:$B$304,C1247)&gt;0,"OK","No matching asset + task in plan"))</f>
        <v/>
      </c>
    </row>
    <row r="1248" customFormat="false" ht="15" hidden="false" customHeight="false" outlineLevel="0" collapsed="false">
      <c r="A1248" s="13"/>
      <c r="B1248" s="9"/>
      <c r="C1248" s="9"/>
      <c r="D1248" s="9"/>
      <c r="E1248" s="9"/>
      <c r="F1248" s="16" t="str">
        <f aca="false">IF(B1248="","",IF(COUNTIFS('PM Plan'!$A$5:$A$304,B1248,'PM Plan'!$B$5:$B$304,C1248)&gt;0,"OK","No matching asset + task in plan"))</f>
        <v/>
      </c>
    </row>
    <row r="1249" customFormat="false" ht="15" hidden="false" customHeight="false" outlineLevel="0" collapsed="false">
      <c r="A1249" s="13"/>
      <c r="B1249" s="9"/>
      <c r="C1249" s="9"/>
      <c r="D1249" s="9"/>
      <c r="E1249" s="9"/>
      <c r="F1249" s="16" t="str">
        <f aca="false">IF(B1249="","",IF(COUNTIFS('PM Plan'!$A$5:$A$304,B1249,'PM Plan'!$B$5:$B$304,C1249)&gt;0,"OK","No matching asset + task in plan"))</f>
        <v/>
      </c>
    </row>
    <row r="1250" customFormat="false" ht="15" hidden="false" customHeight="false" outlineLevel="0" collapsed="false">
      <c r="A1250" s="13"/>
      <c r="B1250" s="9"/>
      <c r="C1250" s="9"/>
      <c r="D1250" s="9"/>
      <c r="E1250" s="9"/>
      <c r="F1250" s="16" t="str">
        <f aca="false">IF(B1250="","",IF(COUNTIFS('PM Plan'!$A$5:$A$304,B1250,'PM Plan'!$B$5:$B$304,C1250)&gt;0,"OK","No matching asset + task in plan"))</f>
        <v/>
      </c>
    </row>
    <row r="1251" customFormat="false" ht="15" hidden="false" customHeight="false" outlineLevel="0" collapsed="false">
      <c r="A1251" s="13"/>
      <c r="B1251" s="9"/>
      <c r="C1251" s="9"/>
      <c r="D1251" s="9"/>
      <c r="E1251" s="9"/>
      <c r="F1251" s="16" t="str">
        <f aca="false">IF(B1251="","",IF(COUNTIFS('PM Plan'!$A$5:$A$304,B1251,'PM Plan'!$B$5:$B$304,C1251)&gt;0,"OK","No matching asset + task in plan"))</f>
        <v/>
      </c>
    </row>
    <row r="1252" customFormat="false" ht="15" hidden="false" customHeight="false" outlineLevel="0" collapsed="false">
      <c r="A1252" s="13"/>
      <c r="B1252" s="9"/>
      <c r="C1252" s="9"/>
      <c r="D1252" s="9"/>
      <c r="E1252" s="9"/>
      <c r="F1252" s="16" t="str">
        <f aca="false">IF(B1252="","",IF(COUNTIFS('PM Plan'!$A$5:$A$304,B1252,'PM Plan'!$B$5:$B$304,C1252)&gt;0,"OK","No matching asset + task in plan"))</f>
        <v/>
      </c>
    </row>
    <row r="1253" customFormat="false" ht="15" hidden="false" customHeight="false" outlineLevel="0" collapsed="false">
      <c r="A1253" s="13"/>
      <c r="B1253" s="9"/>
      <c r="C1253" s="9"/>
      <c r="D1253" s="9"/>
      <c r="E1253" s="9"/>
      <c r="F1253" s="16" t="str">
        <f aca="false">IF(B1253="","",IF(COUNTIFS('PM Plan'!$A$5:$A$304,B1253,'PM Plan'!$B$5:$B$304,C1253)&gt;0,"OK","No matching asset + task in plan"))</f>
        <v/>
      </c>
    </row>
    <row r="1254" customFormat="false" ht="15" hidden="false" customHeight="false" outlineLevel="0" collapsed="false">
      <c r="A1254" s="13"/>
      <c r="B1254" s="9"/>
      <c r="C1254" s="9"/>
      <c r="D1254" s="9"/>
      <c r="E1254" s="9"/>
      <c r="F1254" s="16" t="str">
        <f aca="false">IF(B1254="","",IF(COUNTIFS('PM Plan'!$A$5:$A$304,B1254,'PM Plan'!$B$5:$B$304,C1254)&gt;0,"OK","No matching asset + task in plan"))</f>
        <v/>
      </c>
    </row>
    <row r="1255" customFormat="false" ht="15" hidden="false" customHeight="false" outlineLevel="0" collapsed="false">
      <c r="A1255" s="13"/>
      <c r="B1255" s="9"/>
      <c r="C1255" s="9"/>
      <c r="D1255" s="9"/>
      <c r="E1255" s="9"/>
      <c r="F1255" s="16" t="str">
        <f aca="false">IF(B1255="","",IF(COUNTIFS('PM Plan'!$A$5:$A$304,B1255,'PM Plan'!$B$5:$B$304,C1255)&gt;0,"OK","No matching asset + task in plan"))</f>
        <v/>
      </c>
    </row>
    <row r="1256" customFormat="false" ht="15" hidden="false" customHeight="false" outlineLevel="0" collapsed="false">
      <c r="A1256" s="13"/>
      <c r="B1256" s="9"/>
      <c r="C1256" s="9"/>
      <c r="D1256" s="9"/>
      <c r="E1256" s="9"/>
      <c r="F1256" s="16" t="str">
        <f aca="false">IF(B1256="","",IF(COUNTIFS('PM Plan'!$A$5:$A$304,B1256,'PM Plan'!$B$5:$B$304,C1256)&gt;0,"OK","No matching asset + task in plan"))</f>
        <v/>
      </c>
    </row>
    <row r="1257" customFormat="false" ht="15" hidden="false" customHeight="false" outlineLevel="0" collapsed="false">
      <c r="A1257" s="13"/>
      <c r="B1257" s="9"/>
      <c r="C1257" s="9"/>
      <c r="D1257" s="9"/>
      <c r="E1257" s="9"/>
      <c r="F1257" s="16" t="str">
        <f aca="false">IF(B1257="","",IF(COUNTIFS('PM Plan'!$A$5:$A$304,B1257,'PM Plan'!$B$5:$B$304,C1257)&gt;0,"OK","No matching asset + task in plan"))</f>
        <v/>
      </c>
    </row>
    <row r="1258" customFormat="false" ht="15" hidden="false" customHeight="false" outlineLevel="0" collapsed="false">
      <c r="A1258" s="13"/>
      <c r="B1258" s="9"/>
      <c r="C1258" s="9"/>
      <c r="D1258" s="9"/>
      <c r="E1258" s="9"/>
      <c r="F1258" s="16" t="str">
        <f aca="false">IF(B1258="","",IF(COUNTIFS('PM Plan'!$A$5:$A$304,B1258,'PM Plan'!$B$5:$B$304,C1258)&gt;0,"OK","No matching asset + task in plan"))</f>
        <v/>
      </c>
    </row>
    <row r="1259" customFormat="false" ht="15" hidden="false" customHeight="false" outlineLevel="0" collapsed="false">
      <c r="A1259" s="13"/>
      <c r="B1259" s="9"/>
      <c r="C1259" s="9"/>
      <c r="D1259" s="9"/>
      <c r="E1259" s="9"/>
      <c r="F1259" s="16" t="str">
        <f aca="false">IF(B1259="","",IF(COUNTIFS('PM Plan'!$A$5:$A$304,B1259,'PM Plan'!$B$5:$B$304,C1259)&gt;0,"OK","No matching asset + task in plan"))</f>
        <v/>
      </c>
    </row>
    <row r="1260" customFormat="false" ht="15" hidden="false" customHeight="false" outlineLevel="0" collapsed="false">
      <c r="A1260" s="13"/>
      <c r="B1260" s="9"/>
      <c r="C1260" s="9"/>
      <c r="D1260" s="9"/>
      <c r="E1260" s="9"/>
      <c r="F1260" s="16" t="str">
        <f aca="false">IF(B1260="","",IF(COUNTIFS('PM Plan'!$A$5:$A$304,B1260,'PM Plan'!$B$5:$B$304,C1260)&gt;0,"OK","No matching asset + task in plan"))</f>
        <v/>
      </c>
    </row>
    <row r="1261" customFormat="false" ht="15" hidden="false" customHeight="false" outlineLevel="0" collapsed="false">
      <c r="A1261" s="13"/>
      <c r="B1261" s="9"/>
      <c r="C1261" s="9"/>
      <c r="D1261" s="9"/>
      <c r="E1261" s="9"/>
      <c r="F1261" s="16" t="str">
        <f aca="false">IF(B1261="","",IF(COUNTIFS('PM Plan'!$A$5:$A$304,B1261,'PM Plan'!$B$5:$B$304,C1261)&gt;0,"OK","No matching asset + task in plan"))</f>
        <v/>
      </c>
    </row>
    <row r="1262" customFormat="false" ht="15" hidden="false" customHeight="false" outlineLevel="0" collapsed="false">
      <c r="A1262" s="13"/>
      <c r="B1262" s="9"/>
      <c r="C1262" s="9"/>
      <c r="D1262" s="9"/>
      <c r="E1262" s="9"/>
      <c r="F1262" s="16" t="str">
        <f aca="false">IF(B1262="","",IF(COUNTIFS('PM Plan'!$A$5:$A$304,B1262,'PM Plan'!$B$5:$B$304,C1262)&gt;0,"OK","No matching asset + task in plan"))</f>
        <v/>
      </c>
    </row>
    <row r="1263" customFormat="false" ht="15" hidden="false" customHeight="false" outlineLevel="0" collapsed="false">
      <c r="A1263" s="13"/>
      <c r="B1263" s="9"/>
      <c r="C1263" s="9"/>
      <c r="D1263" s="9"/>
      <c r="E1263" s="9"/>
      <c r="F1263" s="16" t="str">
        <f aca="false">IF(B1263="","",IF(COUNTIFS('PM Plan'!$A$5:$A$304,B1263,'PM Plan'!$B$5:$B$304,C1263)&gt;0,"OK","No matching asset + task in plan"))</f>
        <v/>
      </c>
    </row>
    <row r="1264" customFormat="false" ht="15" hidden="false" customHeight="false" outlineLevel="0" collapsed="false">
      <c r="A1264" s="13"/>
      <c r="B1264" s="9"/>
      <c r="C1264" s="9"/>
      <c r="D1264" s="9"/>
      <c r="E1264" s="9"/>
      <c r="F1264" s="16" t="str">
        <f aca="false">IF(B1264="","",IF(COUNTIFS('PM Plan'!$A$5:$A$304,B1264,'PM Plan'!$B$5:$B$304,C1264)&gt;0,"OK","No matching asset + task in plan"))</f>
        <v/>
      </c>
    </row>
    <row r="1265" customFormat="false" ht="15" hidden="false" customHeight="false" outlineLevel="0" collapsed="false">
      <c r="A1265" s="13"/>
      <c r="B1265" s="9"/>
      <c r="C1265" s="9"/>
      <c r="D1265" s="9"/>
      <c r="E1265" s="9"/>
      <c r="F1265" s="16" t="str">
        <f aca="false">IF(B1265="","",IF(COUNTIFS('PM Plan'!$A$5:$A$304,B1265,'PM Plan'!$B$5:$B$304,C1265)&gt;0,"OK","No matching asset + task in plan"))</f>
        <v/>
      </c>
    </row>
    <row r="1266" customFormat="false" ht="15" hidden="false" customHeight="false" outlineLevel="0" collapsed="false">
      <c r="A1266" s="13"/>
      <c r="B1266" s="9"/>
      <c r="C1266" s="9"/>
      <c r="D1266" s="9"/>
      <c r="E1266" s="9"/>
      <c r="F1266" s="16" t="str">
        <f aca="false">IF(B1266="","",IF(COUNTIFS('PM Plan'!$A$5:$A$304,B1266,'PM Plan'!$B$5:$B$304,C1266)&gt;0,"OK","No matching asset + task in plan"))</f>
        <v/>
      </c>
    </row>
    <row r="1267" customFormat="false" ht="15" hidden="false" customHeight="false" outlineLevel="0" collapsed="false">
      <c r="A1267" s="13"/>
      <c r="B1267" s="9"/>
      <c r="C1267" s="9"/>
      <c r="D1267" s="9"/>
      <c r="E1267" s="9"/>
      <c r="F1267" s="16" t="str">
        <f aca="false">IF(B1267="","",IF(COUNTIFS('PM Plan'!$A$5:$A$304,B1267,'PM Plan'!$B$5:$B$304,C1267)&gt;0,"OK","No matching asset + task in plan"))</f>
        <v/>
      </c>
    </row>
    <row r="1268" customFormat="false" ht="15" hidden="false" customHeight="false" outlineLevel="0" collapsed="false">
      <c r="A1268" s="13"/>
      <c r="B1268" s="9"/>
      <c r="C1268" s="9"/>
      <c r="D1268" s="9"/>
      <c r="E1268" s="9"/>
      <c r="F1268" s="16" t="str">
        <f aca="false">IF(B1268="","",IF(COUNTIFS('PM Plan'!$A$5:$A$304,B1268,'PM Plan'!$B$5:$B$304,C1268)&gt;0,"OK","No matching asset + task in plan"))</f>
        <v/>
      </c>
    </row>
    <row r="1269" customFormat="false" ht="15" hidden="false" customHeight="false" outlineLevel="0" collapsed="false">
      <c r="A1269" s="13"/>
      <c r="B1269" s="9"/>
      <c r="C1269" s="9"/>
      <c r="D1269" s="9"/>
      <c r="E1269" s="9"/>
      <c r="F1269" s="16" t="str">
        <f aca="false">IF(B1269="","",IF(COUNTIFS('PM Plan'!$A$5:$A$304,B1269,'PM Plan'!$B$5:$B$304,C1269)&gt;0,"OK","No matching asset + task in plan"))</f>
        <v/>
      </c>
    </row>
    <row r="1270" customFormat="false" ht="15" hidden="false" customHeight="false" outlineLevel="0" collapsed="false">
      <c r="A1270" s="13"/>
      <c r="B1270" s="9"/>
      <c r="C1270" s="9"/>
      <c r="D1270" s="9"/>
      <c r="E1270" s="9"/>
      <c r="F1270" s="16" t="str">
        <f aca="false">IF(B1270="","",IF(COUNTIFS('PM Plan'!$A$5:$A$304,B1270,'PM Plan'!$B$5:$B$304,C1270)&gt;0,"OK","No matching asset + task in plan"))</f>
        <v/>
      </c>
    </row>
    <row r="1271" customFormat="false" ht="15" hidden="false" customHeight="false" outlineLevel="0" collapsed="false">
      <c r="A1271" s="13"/>
      <c r="B1271" s="9"/>
      <c r="C1271" s="9"/>
      <c r="D1271" s="9"/>
      <c r="E1271" s="9"/>
      <c r="F1271" s="16" t="str">
        <f aca="false">IF(B1271="","",IF(COUNTIFS('PM Plan'!$A$5:$A$304,B1271,'PM Plan'!$B$5:$B$304,C1271)&gt;0,"OK","No matching asset + task in plan"))</f>
        <v/>
      </c>
    </row>
    <row r="1272" customFormat="false" ht="15" hidden="false" customHeight="false" outlineLevel="0" collapsed="false">
      <c r="A1272" s="13"/>
      <c r="B1272" s="9"/>
      <c r="C1272" s="9"/>
      <c r="D1272" s="9"/>
      <c r="E1272" s="9"/>
      <c r="F1272" s="16" t="str">
        <f aca="false">IF(B1272="","",IF(COUNTIFS('PM Plan'!$A$5:$A$304,B1272,'PM Plan'!$B$5:$B$304,C1272)&gt;0,"OK","No matching asset + task in plan"))</f>
        <v/>
      </c>
    </row>
    <row r="1273" customFormat="false" ht="15" hidden="false" customHeight="false" outlineLevel="0" collapsed="false">
      <c r="A1273" s="13"/>
      <c r="B1273" s="9"/>
      <c r="C1273" s="9"/>
      <c r="D1273" s="9"/>
      <c r="E1273" s="9"/>
      <c r="F1273" s="16" t="str">
        <f aca="false">IF(B1273="","",IF(COUNTIFS('PM Plan'!$A$5:$A$304,B1273,'PM Plan'!$B$5:$B$304,C1273)&gt;0,"OK","No matching asset + task in plan"))</f>
        <v/>
      </c>
    </row>
    <row r="1274" customFormat="false" ht="15" hidden="false" customHeight="false" outlineLevel="0" collapsed="false">
      <c r="A1274" s="13"/>
      <c r="B1274" s="9"/>
      <c r="C1274" s="9"/>
      <c r="D1274" s="9"/>
      <c r="E1274" s="9"/>
      <c r="F1274" s="16" t="str">
        <f aca="false">IF(B1274="","",IF(COUNTIFS('PM Plan'!$A$5:$A$304,B1274,'PM Plan'!$B$5:$B$304,C1274)&gt;0,"OK","No matching asset + task in plan"))</f>
        <v/>
      </c>
    </row>
    <row r="1275" customFormat="false" ht="15" hidden="false" customHeight="false" outlineLevel="0" collapsed="false">
      <c r="A1275" s="13"/>
      <c r="B1275" s="9"/>
      <c r="C1275" s="9"/>
      <c r="D1275" s="9"/>
      <c r="E1275" s="9"/>
      <c r="F1275" s="16" t="str">
        <f aca="false">IF(B1275="","",IF(COUNTIFS('PM Plan'!$A$5:$A$304,B1275,'PM Plan'!$B$5:$B$304,C1275)&gt;0,"OK","No matching asset + task in plan"))</f>
        <v/>
      </c>
    </row>
    <row r="1276" customFormat="false" ht="15" hidden="false" customHeight="false" outlineLevel="0" collapsed="false">
      <c r="A1276" s="13"/>
      <c r="B1276" s="9"/>
      <c r="C1276" s="9"/>
      <c r="D1276" s="9"/>
      <c r="E1276" s="9"/>
      <c r="F1276" s="16" t="str">
        <f aca="false">IF(B1276="","",IF(COUNTIFS('PM Plan'!$A$5:$A$304,B1276,'PM Plan'!$B$5:$B$304,C1276)&gt;0,"OK","No matching asset + task in plan"))</f>
        <v/>
      </c>
    </row>
    <row r="1277" customFormat="false" ht="15" hidden="false" customHeight="false" outlineLevel="0" collapsed="false">
      <c r="A1277" s="13"/>
      <c r="B1277" s="9"/>
      <c r="C1277" s="9"/>
      <c r="D1277" s="9"/>
      <c r="E1277" s="9"/>
      <c r="F1277" s="16" t="str">
        <f aca="false">IF(B1277="","",IF(COUNTIFS('PM Plan'!$A$5:$A$304,B1277,'PM Plan'!$B$5:$B$304,C1277)&gt;0,"OK","No matching asset + task in plan"))</f>
        <v/>
      </c>
    </row>
    <row r="1278" customFormat="false" ht="15" hidden="false" customHeight="false" outlineLevel="0" collapsed="false">
      <c r="A1278" s="13"/>
      <c r="B1278" s="9"/>
      <c r="C1278" s="9"/>
      <c r="D1278" s="9"/>
      <c r="E1278" s="9"/>
      <c r="F1278" s="16" t="str">
        <f aca="false">IF(B1278="","",IF(COUNTIFS('PM Plan'!$A$5:$A$304,B1278,'PM Plan'!$B$5:$B$304,C1278)&gt;0,"OK","No matching asset + task in plan"))</f>
        <v/>
      </c>
    </row>
    <row r="1279" customFormat="false" ht="15" hidden="false" customHeight="false" outlineLevel="0" collapsed="false">
      <c r="A1279" s="13"/>
      <c r="B1279" s="9"/>
      <c r="C1279" s="9"/>
      <c r="D1279" s="9"/>
      <c r="E1279" s="9"/>
      <c r="F1279" s="16" t="str">
        <f aca="false">IF(B1279="","",IF(COUNTIFS('PM Plan'!$A$5:$A$304,B1279,'PM Plan'!$B$5:$B$304,C1279)&gt;0,"OK","No matching asset + task in plan"))</f>
        <v/>
      </c>
    </row>
    <row r="1280" customFormat="false" ht="15" hidden="false" customHeight="false" outlineLevel="0" collapsed="false">
      <c r="A1280" s="13"/>
      <c r="B1280" s="9"/>
      <c r="C1280" s="9"/>
      <c r="D1280" s="9"/>
      <c r="E1280" s="9"/>
      <c r="F1280" s="16" t="str">
        <f aca="false">IF(B1280="","",IF(COUNTIFS('PM Plan'!$A$5:$A$304,B1280,'PM Plan'!$B$5:$B$304,C1280)&gt;0,"OK","No matching asset + task in plan"))</f>
        <v/>
      </c>
    </row>
    <row r="1281" customFormat="false" ht="15" hidden="false" customHeight="false" outlineLevel="0" collapsed="false">
      <c r="A1281" s="13"/>
      <c r="B1281" s="9"/>
      <c r="C1281" s="9"/>
      <c r="D1281" s="9"/>
      <c r="E1281" s="9"/>
      <c r="F1281" s="16" t="str">
        <f aca="false">IF(B1281="","",IF(COUNTIFS('PM Plan'!$A$5:$A$304,B1281,'PM Plan'!$B$5:$B$304,C1281)&gt;0,"OK","No matching asset + task in plan"))</f>
        <v/>
      </c>
    </row>
    <row r="1282" customFormat="false" ht="15" hidden="false" customHeight="false" outlineLevel="0" collapsed="false">
      <c r="A1282" s="13"/>
      <c r="B1282" s="9"/>
      <c r="C1282" s="9"/>
      <c r="D1282" s="9"/>
      <c r="E1282" s="9"/>
      <c r="F1282" s="16" t="str">
        <f aca="false">IF(B1282="","",IF(COUNTIFS('PM Plan'!$A$5:$A$304,B1282,'PM Plan'!$B$5:$B$304,C1282)&gt;0,"OK","No matching asset + task in plan"))</f>
        <v/>
      </c>
    </row>
    <row r="1283" customFormat="false" ht="15" hidden="false" customHeight="false" outlineLevel="0" collapsed="false">
      <c r="A1283" s="13"/>
      <c r="B1283" s="9"/>
      <c r="C1283" s="9"/>
      <c r="D1283" s="9"/>
      <c r="E1283" s="9"/>
      <c r="F1283" s="16" t="str">
        <f aca="false">IF(B1283="","",IF(COUNTIFS('PM Plan'!$A$5:$A$304,B1283,'PM Plan'!$B$5:$B$304,C1283)&gt;0,"OK","No matching asset + task in plan"))</f>
        <v/>
      </c>
    </row>
    <row r="1284" customFormat="false" ht="15" hidden="false" customHeight="false" outlineLevel="0" collapsed="false">
      <c r="A1284" s="13"/>
      <c r="B1284" s="9"/>
      <c r="C1284" s="9"/>
      <c r="D1284" s="9"/>
      <c r="E1284" s="9"/>
      <c r="F1284" s="16" t="str">
        <f aca="false">IF(B1284="","",IF(COUNTIFS('PM Plan'!$A$5:$A$304,B1284,'PM Plan'!$B$5:$B$304,C1284)&gt;0,"OK","No matching asset + task in plan"))</f>
        <v/>
      </c>
    </row>
    <row r="1285" customFormat="false" ht="15" hidden="false" customHeight="false" outlineLevel="0" collapsed="false">
      <c r="A1285" s="13"/>
      <c r="B1285" s="9"/>
      <c r="C1285" s="9"/>
      <c r="D1285" s="9"/>
      <c r="E1285" s="9"/>
      <c r="F1285" s="16" t="str">
        <f aca="false">IF(B1285="","",IF(COUNTIFS('PM Plan'!$A$5:$A$304,B1285,'PM Plan'!$B$5:$B$304,C1285)&gt;0,"OK","No matching asset + task in plan"))</f>
        <v/>
      </c>
    </row>
    <row r="1286" customFormat="false" ht="15" hidden="false" customHeight="false" outlineLevel="0" collapsed="false">
      <c r="A1286" s="13"/>
      <c r="B1286" s="9"/>
      <c r="C1286" s="9"/>
      <c r="D1286" s="9"/>
      <c r="E1286" s="9"/>
      <c r="F1286" s="16" t="str">
        <f aca="false">IF(B1286="","",IF(COUNTIFS('PM Plan'!$A$5:$A$304,B1286,'PM Plan'!$B$5:$B$304,C1286)&gt;0,"OK","No matching asset + task in plan"))</f>
        <v/>
      </c>
    </row>
    <row r="1287" customFormat="false" ht="15" hidden="false" customHeight="false" outlineLevel="0" collapsed="false">
      <c r="A1287" s="13"/>
      <c r="B1287" s="9"/>
      <c r="C1287" s="9"/>
      <c r="D1287" s="9"/>
      <c r="E1287" s="9"/>
      <c r="F1287" s="16" t="str">
        <f aca="false">IF(B1287="","",IF(COUNTIFS('PM Plan'!$A$5:$A$304,B1287,'PM Plan'!$B$5:$B$304,C1287)&gt;0,"OK","No matching asset + task in plan"))</f>
        <v/>
      </c>
    </row>
    <row r="1288" customFormat="false" ht="15" hidden="false" customHeight="false" outlineLevel="0" collapsed="false">
      <c r="A1288" s="13"/>
      <c r="B1288" s="9"/>
      <c r="C1288" s="9"/>
      <c r="D1288" s="9"/>
      <c r="E1288" s="9"/>
      <c r="F1288" s="16" t="str">
        <f aca="false">IF(B1288="","",IF(COUNTIFS('PM Plan'!$A$5:$A$304,B1288,'PM Plan'!$B$5:$B$304,C1288)&gt;0,"OK","No matching asset + task in plan"))</f>
        <v/>
      </c>
    </row>
    <row r="1289" customFormat="false" ht="15" hidden="false" customHeight="false" outlineLevel="0" collapsed="false">
      <c r="A1289" s="13"/>
      <c r="B1289" s="9"/>
      <c r="C1289" s="9"/>
      <c r="D1289" s="9"/>
      <c r="E1289" s="9"/>
      <c r="F1289" s="16" t="str">
        <f aca="false">IF(B1289="","",IF(COUNTIFS('PM Plan'!$A$5:$A$304,B1289,'PM Plan'!$B$5:$B$304,C1289)&gt;0,"OK","No matching asset + task in plan"))</f>
        <v/>
      </c>
    </row>
    <row r="1290" customFormat="false" ht="15" hidden="false" customHeight="false" outlineLevel="0" collapsed="false">
      <c r="A1290" s="13"/>
      <c r="B1290" s="9"/>
      <c r="C1290" s="9"/>
      <c r="D1290" s="9"/>
      <c r="E1290" s="9"/>
      <c r="F1290" s="16" t="str">
        <f aca="false">IF(B1290="","",IF(COUNTIFS('PM Plan'!$A$5:$A$304,B1290,'PM Plan'!$B$5:$B$304,C1290)&gt;0,"OK","No matching asset + task in plan"))</f>
        <v/>
      </c>
    </row>
    <row r="1291" customFormat="false" ht="15" hidden="false" customHeight="false" outlineLevel="0" collapsed="false">
      <c r="A1291" s="13"/>
      <c r="B1291" s="9"/>
      <c r="C1291" s="9"/>
      <c r="D1291" s="9"/>
      <c r="E1291" s="9"/>
      <c r="F1291" s="16" t="str">
        <f aca="false">IF(B1291="","",IF(COUNTIFS('PM Plan'!$A$5:$A$304,B1291,'PM Plan'!$B$5:$B$304,C1291)&gt;0,"OK","No matching asset + task in plan"))</f>
        <v/>
      </c>
    </row>
    <row r="1292" customFormat="false" ht="15" hidden="false" customHeight="false" outlineLevel="0" collapsed="false">
      <c r="A1292" s="13"/>
      <c r="B1292" s="9"/>
      <c r="C1292" s="9"/>
      <c r="D1292" s="9"/>
      <c r="E1292" s="9"/>
      <c r="F1292" s="16" t="str">
        <f aca="false">IF(B1292="","",IF(COUNTIFS('PM Plan'!$A$5:$A$304,B1292,'PM Plan'!$B$5:$B$304,C1292)&gt;0,"OK","No matching asset + task in plan"))</f>
        <v/>
      </c>
    </row>
    <row r="1293" customFormat="false" ht="15" hidden="false" customHeight="false" outlineLevel="0" collapsed="false">
      <c r="A1293" s="13"/>
      <c r="B1293" s="9"/>
      <c r="C1293" s="9"/>
      <c r="D1293" s="9"/>
      <c r="E1293" s="9"/>
      <c r="F1293" s="16" t="str">
        <f aca="false">IF(B1293="","",IF(COUNTIFS('PM Plan'!$A$5:$A$304,B1293,'PM Plan'!$B$5:$B$304,C1293)&gt;0,"OK","No matching asset + task in plan"))</f>
        <v/>
      </c>
    </row>
    <row r="1294" customFormat="false" ht="15" hidden="false" customHeight="false" outlineLevel="0" collapsed="false">
      <c r="A1294" s="13"/>
      <c r="B1294" s="9"/>
      <c r="C1294" s="9"/>
      <c r="D1294" s="9"/>
      <c r="E1294" s="9"/>
      <c r="F1294" s="16" t="str">
        <f aca="false">IF(B1294="","",IF(COUNTIFS('PM Plan'!$A$5:$A$304,B1294,'PM Plan'!$B$5:$B$304,C1294)&gt;0,"OK","No matching asset + task in plan"))</f>
        <v/>
      </c>
    </row>
    <row r="1295" customFormat="false" ht="15" hidden="false" customHeight="false" outlineLevel="0" collapsed="false">
      <c r="A1295" s="13"/>
      <c r="B1295" s="9"/>
      <c r="C1295" s="9"/>
      <c r="D1295" s="9"/>
      <c r="E1295" s="9"/>
      <c r="F1295" s="16" t="str">
        <f aca="false">IF(B1295="","",IF(COUNTIFS('PM Plan'!$A$5:$A$304,B1295,'PM Plan'!$B$5:$B$304,C1295)&gt;0,"OK","No matching asset + task in plan"))</f>
        <v/>
      </c>
    </row>
    <row r="1296" customFormat="false" ht="15" hidden="false" customHeight="false" outlineLevel="0" collapsed="false">
      <c r="A1296" s="13"/>
      <c r="B1296" s="9"/>
      <c r="C1296" s="9"/>
      <c r="D1296" s="9"/>
      <c r="E1296" s="9"/>
      <c r="F1296" s="16" t="str">
        <f aca="false">IF(B1296="","",IF(COUNTIFS('PM Plan'!$A$5:$A$304,B1296,'PM Plan'!$B$5:$B$304,C1296)&gt;0,"OK","No matching asset + task in plan"))</f>
        <v/>
      </c>
    </row>
    <row r="1297" customFormat="false" ht="15" hidden="false" customHeight="false" outlineLevel="0" collapsed="false">
      <c r="A1297" s="13"/>
      <c r="B1297" s="9"/>
      <c r="C1297" s="9"/>
      <c r="D1297" s="9"/>
      <c r="E1297" s="9"/>
      <c r="F1297" s="16" t="str">
        <f aca="false">IF(B1297="","",IF(COUNTIFS('PM Plan'!$A$5:$A$304,B1297,'PM Plan'!$B$5:$B$304,C1297)&gt;0,"OK","No matching asset + task in plan"))</f>
        <v/>
      </c>
    </row>
    <row r="1298" customFormat="false" ht="15" hidden="false" customHeight="false" outlineLevel="0" collapsed="false">
      <c r="A1298" s="13"/>
      <c r="B1298" s="9"/>
      <c r="C1298" s="9"/>
      <c r="D1298" s="9"/>
      <c r="E1298" s="9"/>
      <c r="F1298" s="16" t="str">
        <f aca="false">IF(B1298="","",IF(COUNTIFS('PM Plan'!$A$5:$A$304,B1298,'PM Plan'!$B$5:$B$304,C1298)&gt;0,"OK","No matching asset + task in plan"))</f>
        <v/>
      </c>
    </row>
    <row r="1299" customFormat="false" ht="15" hidden="false" customHeight="false" outlineLevel="0" collapsed="false">
      <c r="A1299" s="13"/>
      <c r="B1299" s="9"/>
      <c r="C1299" s="9"/>
      <c r="D1299" s="9"/>
      <c r="E1299" s="9"/>
      <c r="F1299" s="16" t="str">
        <f aca="false">IF(B1299="","",IF(COUNTIFS('PM Plan'!$A$5:$A$304,B1299,'PM Plan'!$B$5:$B$304,C1299)&gt;0,"OK","No matching asset + task in plan"))</f>
        <v/>
      </c>
    </row>
    <row r="1300" customFormat="false" ht="15" hidden="false" customHeight="false" outlineLevel="0" collapsed="false">
      <c r="A1300" s="13"/>
      <c r="B1300" s="9"/>
      <c r="C1300" s="9"/>
      <c r="D1300" s="9"/>
      <c r="E1300" s="9"/>
      <c r="F1300" s="16" t="str">
        <f aca="false">IF(B1300="","",IF(COUNTIFS('PM Plan'!$A$5:$A$304,B1300,'PM Plan'!$B$5:$B$304,C1300)&gt;0,"OK","No matching asset + task in plan"))</f>
        <v/>
      </c>
    </row>
    <row r="1301" customFormat="false" ht="15" hidden="false" customHeight="false" outlineLevel="0" collapsed="false">
      <c r="A1301" s="13"/>
      <c r="B1301" s="9"/>
      <c r="C1301" s="9"/>
      <c r="D1301" s="9"/>
      <c r="E1301" s="9"/>
      <c r="F1301" s="16" t="str">
        <f aca="false">IF(B1301="","",IF(COUNTIFS('PM Plan'!$A$5:$A$304,B1301,'PM Plan'!$B$5:$B$304,C1301)&gt;0,"OK","No matching asset + task in plan"))</f>
        <v/>
      </c>
    </row>
    <row r="1302" customFormat="false" ht="15" hidden="false" customHeight="false" outlineLevel="0" collapsed="false">
      <c r="A1302" s="13"/>
      <c r="B1302" s="9"/>
      <c r="C1302" s="9"/>
      <c r="D1302" s="9"/>
      <c r="E1302" s="9"/>
      <c r="F1302" s="16" t="str">
        <f aca="false">IF(B1302="","",IF(COUNTIFS('PM Plan'!$A$5:$A$304,B1302,'PM Plan'!$B$5:$B$304,C1302)&gt;0,"OK","No matching asset + task in plan"))</f>
        <v/>
      </c>
    </row>
    <row r="1303" customFormat="false" ht="15" hidden="false" customHeight="false" outlineLevel="0" collapsed="false">
      <c r="A1303" s="13"/>
      <c r="B1303" s="9"/>
      <c r="C1303" s="9"/>
      <c r="D1303" s="9"/>
      <c r="E1303" s="9"/>
      <c r="F1303" s="16" t="str">
        <f aca="false">IF(B1303="","",IF(COUNTIFS('PM Plan'!$A$5:$A$304,B1303,'PM Plan'!$B$5:$B$304,C1303)&gt;0,"OK","No matching asset + task in plan"))</f>
        <v/>
      </c>
    </row>
    <row r="1304" customFormat="false" ht="15" hidden="false" customHeight="false" outlineLevel="0" collapsed="false">
      <c r="A1304" s="13"/>
      <c r="B1304" s="9"/>
      <c r="C1304" s="9"/>
      <c r="D1304" s="9"/>
      <c r="E1304" s="9"/>
      <c r="F1304" s="16" t="str">
        <f aca="false">IF(B1304="","",IF(COUNTIFS('PM Plan'!$A$5:$A$304,B1304,'PM Plan'!$B$5:$B$304,C1304)&gt;0,"OK","No matching asset + task in plan"))</f>
        <v/>
      </c>
    </row>
    <row r="1305" customFormat="false" ht="15" hidden="false" customHeight="false" outlineLevel="0" collapsed="false">
      <c r="A1305" s="13"/>
      <c r="B1305" s="9"/>
      <c r="C1305" s="9"/>
      <c r="D1305" s="9"/>
      <c r="E1305" s="9"/>
      <c r="F1305" s="16" t="str">
        <f aca="false">IF(B1305="","",IF(COUNTIFS('PM Plan'!$A$5:$A$304,B1305,'PM Plan'!$B$5:$B$304,C1305)&gt;0,"OK","No matching asset + task in plan"))</f>
        <v/>
      </c>
    </row>
    <row r="1306" customFormat="false" ht="15" hidden="false" customHeight="false" outlineLevel="0" collapsed="false">
      <c r="A1306" s="13"/>
      <c r="B1306" s="9"/>
      <c r="C1306" s="9"/>
      <c r="D1306" s="9"/>
      <c r="E1306" s="9"/>
      <c r="F1306" s="16" t="str">
        <f aca="false">IF(B1306="","",IF(COUNTIFS('PM Plan'!$A$5:$A$304,B1306,'PM Plan'!$B$5:$B$304,C1306)&gt;0,"OK","No matching asset + task in plan"))</f>
        <v/>
      </c>
    </row>
    <row r="1307" customFormat="false" ht="15" hidden="false" customHeight="false" outlineLevel="0" collapsed="false">
      <c r="A1307" s="13"/>
      <c r="B1307" s="9"/>
      <c r="C1307" s="9"/>
      <c r="D1307" s="9"/>
      <c r="E1307" s="9"/>
      <c r="F1307" s="16" t="str">
        <f aca="false">IF(B1307="","",IF(COUNTIFS('PM Plan'!$A$5:$A$304,B1307,'PM Plan'!$B$5:$B$304,C1307)&gt;0,"OK","No matching asset + task in plan"))</f>
        <v/>
      </c>
    </row>
    <row r="1308" customFormat="false" ht="15" hidden="false" customHeight="false" outlineLevel="0" collapsed="false">
      <c r="A1308" s="13"/>
      <c r="B1308" s="9"/>
      <c r="C1308" s="9"/>
      <c r="D1308" s="9"/>
      <c r="E1308" s="9"/>
      <c r="F1308" s="16" t="str">
        <f aca="false">IF(B1308="","",IF(COUNTIFS('PM Plan'!$A$5:$A$304,B1308,'PM Plan'!$B$5:$B$304,C1308)&gt;0,"OK","No matching asset + task in plan"))</f>
        <v/>
      </c>
    </row>
    <row r="1309" customFormat="false" ht="15" hidden="false" customHeight="false" outlineLevel="0" collapsed="false">
      <c r="A1309" s="13"/>
      <c r="B1309" s="9"/>
      <c r="C1309" s="9"/>
      <c r="D1309" s="9"/>
      <c r="E1309" s="9"/>
      <c r="F1309" s="16" t="str">
        <f aca="false">IF(B1309="","",IF(COUNTIFS('PM Plan'!$A$5:$A$304,B1309,'PM Plan'!$B$5:$B$304,C1309)&gt;0,"OK","No matching asset + task in plan"))</f>
        <v/>
      </c>
    </row>
    <row r="1310" customFormat="false" ht="15" hidden="false" customHeight="false" outlineLevel="0" collapsed="false">
      <c r="A1310" s="13"/>
      <c r="B1310" s="9"/>
      <c r="C1310" s="9"/>
      <c r="D1310" s="9"/>
      <c r="E1310" s="9"/>
      <c r="F1310" s="16" t="str">
        <f aca="false">IF(B1310="","",IF(COUNTIFS('PM Plan'!$A$5:$A$304,B1310,'PM Plan'!$B$5:$B$304,C1310)&gt;0,"OK","No matching asset + task in plan"))</f>
        <v/>
      </c>
    </row>
    <row r="1311" customFormat="false" ht="15" hidden="false" customHeight="false" outlineLevel="0" collapsed="false">
      <c r="A1311" s="13"/>
      <c r="B1311" s="9"/>
      <c r="C1311" s="9"/>
      <c r="D1311" s="9"/>
      <c r="E1311" s="9"/>
      <c r="F1311" s="16" t="str">
        <f aca="false">IF(B1311="","",IF(COUNTIFS('PM Plan'!$A$5:$A$304,B1311,'PM Plan'!$B$5:$B$304,C1311)&gt;0,"OK","No matching asset + task in plan"))</f>
        <v/>
      </c>
    </row>
    <row r="1312" customFormat="false" ht="15" hidden="false" customHeight="false" outlineLevel="0" collapsed="false">
      <c r="A1312" s="13"/>
      <c r="B1312" s="9"/>
      <c r="C1312" s="9"/>
      <c r="D1312" s="9"/>
      <c r="E1312" s="9"/>
      <c r="F1312" s="16" t="str">
        <f aca="false">IF(B1312="","",IF(COUNTIFS('PM Plan'!$A$5:$A$304,B1312,'PM Plan'!$B$5:$B$304,C1312)&gt;0,"OK","No matching asset + task in plan"))</f>
        <v/>
      </c>
    </row>
    <row r="1313" customFormat="false" ht="15" hidden="false" customHeight="false" outlineLevel="0" collapsed="false">
      <c r="A1313" s="13"/>
      <c r="B1313" s="9"/>
      <c r="C1313" s="9"/>
      <c r="D1313" s="9"/>
      <c r="E1313" s="9"/>
      <c r="F1313" s="16" t="str">
        <f aca="false">IF(B1313="","",IF(COUNTIFS('PM Plan'!$A$5:$A$304,B1313,'PM Plan'!$B$5:$B$304,C1313)&gt;0,"OK","No matching asset + task in plan"))</f>
        <v/>
      </c>
    </row>
    <row r="1314" customFormat="false" ht="15" hidden="false" customHeight="false" outlineLevel="0" collapsed="false">
      <c r="A1314" s="13"/>
      <c r="B1314" s="9"/>
      <c r="C1314" s="9"/>
      <c r="D1314" s="9"/>
      <c r="E1314" s="9"/>
      <c r="F1314" s="16" t="str">
        <f aca="false">IF(B1314="","",IF(COUNTIFS('PM Plan'!$A$5:$A$304,B1314,'PM Plan'!$B$5:$B$304,C1314)&gt;0,"OK","No matching asset + task in plan"))</f>
        <v/>
      </c>
    </row>
    <row r="1315" customFormat="false" ht="15" hidden="false" customHeight="false" outlineLevel="0" collapsed="false">
      <c r="A1315" s="13"/>
      <c r="B1315" s="9"/>
      <c r="C1315" s="9"/>
      <c r="D1315" s="9"/>
      <c r="E1315" s="9"/>
      <c r="F1315" s="16" t="str">
        <f aca="false">IF(B1315="","",IF(COUNTIFS('PM Plan'!$A$5:$A$304,B1315,'PM Plan'!$B$5:$B$304,C1315)&gt;0,"OK","No matching asset + task in plan"))</f>
        <v/>
      </c>
    </row>
    <row r="1316" customFormat="false" ht="15" hidden="false" customHeight="false" outlineLevel="0" collapsed="false">
      <c r="A1316" s="13"/>
      <c r="B1316" s="9"/>
      <c r="C1316" s="9"/>
      <c r="D1316" s="9"/>
      <c r="E1316" s="9"/>
      <c r="F1316" s="16" t="str">
        <f aca="false">IF(B1316="","",IF(COUNTIFS('PM Plan'!$A$5:$A$304,B1316,'PM Plan'!$B$5:$B$304,C1316)&gt;0,"OK","No matching asset + task in plan"))</f>
        <v/>
      </c>
    </row>
    <row r="1317" customFormat="false" ht="15" hidden="false" customHeight="false" outlineLevel="0" collapsed="false">
      <c r="A1317" s="13"/>
      <c r="B1317" s="9"/>
      <c r="C1317" s="9"/>
      <c r="D1317" s="9"/>
      <c r="E1317" s="9"/>
      <c r="F1317" s="16" t="str">
        <f aca="false">IF(B1317="","",IF(COUNTIFS('PM Plan'!$A$5:$A$304,B1317,'PM Plan'!$B$5:$B$304,C1317)&gt;0,"OK","No matching asset + task in plan"))</f>
        <v/>
      </c>
    </row>
    <row r="1318" customFormat="false" ht="15" hidden="false" customHeight="false" outlineLevel="0" collapsed="false">
      <c r="A1318" s="13"/>
      <c r="B1318" s="9"/>
      <c r="C1318" s="9"/>
      <c r="D1318" s="9"/>
      <c r="E1318" s="9"/>
      <c r="F1318" s="16" t="str">
        <f aca="false">IF(B1318="","",IF(COUNTIFS('PM Plan'!$A$5:$A$304,B1318,'PM Plan'!$B$5:$B$304,C1318)&gt;0,"OK","No matching asset + task in plan"))</f>
        <v/>
      </c>
    </row>
    <row r="1319" customFormat="false" ht="15" hidden="false" customHeight="false" outlineLevel="0" collapsed="false">
      <c r="A1319" s="13"/>
      <c r="B1319" s="9"/>
      <c r="C1319" s="9"/>
      <c r="D1319" s="9"/>
      <c r="E1319" s="9"/>
      <c r="F1319" s="16" t="str">
        <f aca="false">IF(B1319="","",IF(COUNTIFS('PM Plan'!$A$5:$A$304,B1319,'PM Plan'!$B$5:$B$304,C1319)&gt;0,"OK","No matching asset + task in plan"))</f>
        <v/>
      </c>
    </row>
    <row r="1320" customFormat="false" ht="15" hidden="false" customHeight="false" outlineLevel="0" collapsed="false">
      <c r="A1320" s="13"/>
      <c r="B1320" s="9"/>
      <c r="C1320" s="9"/>
      <c r="D1320" s="9"/>
      <c r="E1320" s="9"/>
      <c r="F1320" s="16" t="str">
        <f aca="false">IF(B1320="","",IF(COUNTIFS('PM Plan'!$A$5:$A$304,B1320,'PM Plan'!$B$5:$B$304,C1320)&gt;0,"OK","No matching asset + task in plan"))</f>
        <v/>
      </c>
    </row>
    <row r="1321" customFormat="false" ht="15" hidden="false" customHeight="false" outlineLevel="0" collapsed="false">
      <c r="A1321" s="13"/>
      <c r="B1321" s="9"/>
      <c r="C1321" s="9"/>
      <c r="D1321" s="9"/>
      <c r="E1321" s="9"/>
      <c r="F1321" s="16" t="str">
        <f aca="false">IF(B1321="","",IF(COUNTIFS('PM Plan'!$A$5:$A$304,B1321,'PM Plan'!$B$5:$B$304,C1321)&gt;0,"OK","No matching asset + task in plan"))</f>
        <v/>
      </c>
    </row>
    <row r="1322" customFormat="false" ht="15" hidden="false" customHeight="false" outlineLevel="0" collapsed="false">
      <c r="A1322" s="13"/>
      <c r="B1322" s="9"/>
      <c r="C1322" s="9"/>
      <c r="D1322" s="9"/>
      <c r="E1322" s="9"/>
      <c r="F1322" s="16" t="str">
        <f aca="false">IF(B1322="","",IF(COUNTIFS('PM Plan'!$A$5:$A$304,B1322,'PM Plan'!$B$5:$B$304,C1322)&gt;0,"OK","No matching asset + task in plan"))</f>
        <v/>
      </c>
    </row>
    <row r="1323" customFormat="false" ht="15" hidden="false" customHeight="false" outlineLevel="0" collapsed="false">
      <c r="A1323" s="13"/>
      <c r="B1323" s="9"/>
      <c r="C1323" s="9"/>
      <c r="D1323" s="9"/>
      <c r="E1323" s="9"/>
      <c r="F1323" s="16" t="str">
        <f aca="false">IF(B1323="","",IF(COUNTIFS('PM Plan'!$A$5:$A$304,B1323,'PM Plan'!$B$5:$B$304,C1323)&gt;0,"OK","No matching asset + task in plan"))</f>
        <v/>
      </c>
    </row>
    <row r="1324" customFormat="false" ht="15" hidden="false" customHeight="false" outlineLevel="0" collapsed="false">
      <c r="A1324" s="13"/>
      <c r="B1324" s="9"/>
      <c r="C1324" s="9"/>
      <c r="D1324" s="9"/>
      <c r="E1324" s="9"/>
      <c r="F1324" s="16" t="str">
        <f aca="false">IF(B1324="","",IF(COUNTIFS('PM Plan'!$A$5:$A$304,B1324,'PM Plan'!$B$5:$B$304,C1324)&gt;0,"OK","No matching asset + task in plan"))</f>
        <v/>
      </c>
    </row>
    <row r="1325" customFormat="false" ht="15" hidden="false" customHeight="false" outlineLevel="0" collapsed="false">
      <c r="A1325" s="13"/>
      <c r="B1325" s="9"/>
      <c r="C1325" s="9"/>
      <c r="D1325" s="9"/>
      <c r="E1325" s="9"/>
      <c r="F1325" s="16" t="str">
        <f aca="false">IF(B1325="","",IF(COUNTIFS('PM Plan'!$A$5:$A$304,B1325,'PM Plan'!$B$5:$B$304,C1325)&gt;0,"OK","No matching asset + task in plan"))</f>
        <v/>
      </c>
    </row>
    <row r="1326" customFormat="false" ht="15" hidden="false" customHeight="false" outlineLevel="0" collapsed="false">
      <c r="A1326" s="13"/>
      <c r="B1326" s="9"/>
      <c r="C1326" s="9"/>
      <c r="D1326" s="9"/>
      <c r="E1326" s="9"/>
      <c r="F1326" s="16" t="str">
        <f aca="false">IF(B1326="","",IF(COUNTIFS('PM Plan'!$A$5:$A$304,B1326,'PM Plan'!$B$5:$B$304,C1326)&gt;0,"OK","No matching asset + task in plan"))</f>
        <v/>
      </c>
    </row>
    <row r="1327" customFormat="false" ht="15" hidden="false" customHeight="false" outlineLevel="0" collapsed="false">
      <c r="A1327" s="13"/>
      <c r="B1327" s="9"/>
      <c r="C1327" s="9"/>
      <c r="D1327" s="9"/>
      <c r="E1327" s="9"/>
      <c r="F1327" s="16" t="str">
        <f aca="false">IF(B1327="","",IF(COUNTIFS('PM Plan'!$A$5:$A$304,B1327,'PM Plan'!$B$5:$B$304,C1327)&gt;0,"OK","No matching asset + task in plan"))</f>
        <v/>
      </c>
    </row>
    <row r="1328" customFormat="false" ht="15" hidden="false" customHeight="false" outlineLevel="0" collapsed="false">
      <c r="A1328" s="13"/>
      <c r="B1328" s="9"/>
      <c r="C1328" s="9"/>
      <c r="D1328" s="9"/>
      <c r="E1328" s="9"/>
      <c r="F1328" s="16" t="str">
        <f aca="false">IF(B1328="","",IF(COUNTIFS('PM Plan'!$A$5:$A$304,B1328,'PM Plan'!$B$5:$B$304,C1328)&gt;0,"OK","No matching asset + task in plan"))</f>
        <v/>
      </c>
    </row>
    <row r="1329" customFormat="false" ht="15" hidden="false" customHeight="false" outlineLevel="0" collapsed="false">
      <c r="A1329" s="13"/>
      <c r="B1329" s="9"/>
      <c r="C1329" s="9"/>
      <c r="D1329" s="9"/>
      <c r="E1329" s="9"/>
      <c r="F1329" s="16" t="str">
        <f aca="false">IF(B1329="","",IF(COUNTIFS('PM Plan'!$A$5:$A$304,B1329,'PM Plan'!$B$5:$B$304,C1329)&gt;0,"OK","No matching asset + task in plan"))</f>
        <v/>
      </c>
    </row>
    <row r="1330" customFormat="false" ht="15" hidden="false" customHeight="false" outlineLevel="0" collapsed="false">
      <c r="A1330" s="13"/>
      <c r="B1330" s="9"/>
      <c r="C1330" s="9"/>
      <c r="D1330" s="9"/>
      <c r="E1330" s="9"/>
      <c r="F1330" s="16" t="str">
        <f aca="false">IF(B1330="","",IF(COUNTIFS('PM Plan'!$A$5:$A$304,B1330,'PM Plan'!$B$5:$B$304,C1330)&gt;0,"OK","No matching asset + task in plan"))</f>
        <v/>
      </c>
    </row>
    <row r="1331" customFormat="false" ht="15" hidden="false" customHeight="false" outlineLevel="0" collapsed="false">
      <c r="A1331" s="13"/>
      <c r="B1331" s="9"/>
      <c r="C1331" s="9"/>
      <c r="D1331" s="9"/>
      <c r="E1331" s="9"/>
      <c r="F1331" s="16" t="str">
        <f aca="false">IF(B1331="","",IF(COUNTIFS('PM Plan'!$A$5:$A$304,B1331,'PM Plan'!$B$5:$B$304,C1331)&gt;0,"OK","No matching asset + task in plan"))</f>
        <v/>
      </c>
    </row>
    <row r="1332" customFormat="false" ht="15" hidden="false" customHeight="false" outlineLevel="0" collapsed="false">
      <c r="A1332" s="13"/>
      <c r="B1332" s="9"/>
      <c r="C1332" s="9"/>
      <c r="D1332" s="9"/>
      <c r="E1332" s="9"/>
      <c r="F1332" s="16" t="str">
        <f aca="false">IF(B1332="","",IF(COUNTIFS('PM Plan'!$A$5:$A$304,B1332,'PM Plan'!$B$5:$B$304,C1332)&gt;0,"OK","No matching asset + task in plan"))</f>
        <v/>
      </c>
    </row>
    <row r="1333" customFormat="false" ht="15" hidden="false" customHeight="false" outlineLevel="0" collapsed="false">
      <c r="A1333" s="13"/>
      <c r="B1333" s="9"/>
      <c r="C1333" s="9"/>
      <c r="D1333" s="9"/>
      <c r="E1333" s="9"/>
      <c r="F1333" s="16" t="str">
        <f aca="false">IF(B1333="","",IF(COUNTIFS('PM Plan'!$A$5:$A$304,B1333,'PM Plan'!$B$5:$B$304,C1333)&gt;0,"OK","No matching asset + task in plan"))</f>
        <v/>
      </c>
    </row>
    <row r="1334" customFormat="false" ht="15" hidden="false" customHeight="false" outlineLevel="0" collapsed="false">
      <c r="A1334" s="13"/>
      <c r="B1334" s="9"/>
      <c r="C1334" s="9"/>
      <c r="D1334" s="9"/>
      <c r="E1334" s="9"/>
      <c r="F1334" s="16" t="str">
        <f aca="false">IF(B1334="","",IF(COUNTIFS('PM Plan'!$A$5:$A$304,B1334,'PM Plan'!$B$5:$B$304,C1334)&gt;0,"OK","No matching asset + task in plan"))</f>
        <v/>
      </c>
    </row>
    <row r="1335" customFormat="false" ht="15" hidden="false" customHeight="false" outlineLevel="0" collapsed="false">
      <c r="A1335" s="13"/>
      <c r="B1335" s="9"/>
      <c r="C1335" s="9"/>
      <c r="D1335" s="9"/>
      <c r="E1335" s="9"/>
      <c r="F1335" s="16" t="str">
        <f aca="false">IF(B1335="","",IF(COUNTIFS('PM Plan'!$A$5:$A$304,B1335,'PM Plan'!$B$5:$B$304,C1335)&gt;0,"OK","No matching asset + task in plan"))</f>
        <v/>
      </c>
    </row>
    <row r="1336" customFormat="false" ht="15" hidden="false" customHeight="false" outlineLevel="0" collapsed="false">
      <c r="A1336" s="13"/>
      <c r="B1336" s="9"/>
      <c r="C1336" s="9"/>
      <c r="D1336" s="9"/>
      <c r="E1336" s="9"/>
      <c r="F1336" s="16" t="str">
        <f aca="false">IF(B1336="","",IF(COUNTIFS('PM Plan'!$A$5:$A$304,B1336,'PM Plan'!$B$5:$B$304,C1336)&gt;0,"OK","No matching asset + task in plan"))</f>
        <v/>
      </c>
    </row>
    <row r="1337" customFormat="false" ht="15" hidden="false" customHeight="false" outlineLevel="0" collapsed="false">
      <c r="A1337" s="13"/>
      <c r="B1337" s="9"/>
      <c r="C1337" s="9"/>
      <c r="D1337" s="9"/>
      <c r="E1337" s="9"/>
      <c r="F1337" s="16" t="str">
        <f aca="false">IF(B1337="","",IF(COUNTIFS('PM Plan'!$A$5:$A$304,B1337,'PM Plan'!$B$5:$B$304,C1337)&gt;0,"OK","No matching asset + task in plan"))</f>
        <v/>
      </c>
    </row>
    <row r="1338" customFormat="false" ht="15" hidden="false" customHeight="false" outlineLevel="0" collapsed="false">
      <c r="A1338" s="13"/>
      <c r="B1338" s="9"/>
      <c r="C1338" s="9"/>
      <c r="D1338" s="9"/>
      <c r="E1338" s="9"/>
      <c r="F1338" s="16" t="str">
        <f aca="false">IF(B1338="","",IF(COUNTIFS('PM Plan'!$A$5:$A$304,B1338,'PM Plan'!$B$5:$B$304,C1338)&gt;0,"OK","No matching asset + task in plan"))</f>
        <v/>
      </c>
    </row>
    <row r="1339" customFormat="false" ht="15" hidden="false" customHeight="false" outlineLevel="0" collapsed="false">
      <c r="A1339" s="13"/>
      <c r="B1339" s="9"/>
      <c r="C1339" s="9"/>
      <c r="D1339" s="9"/>
      <c r="E1339" s="9"/>
      <c r="F1339" s="16" t="str">
        <f aca="false">IF(B1339="","",IF(COUNTIFS('PM Plan'!$A$5:$A$304,B1339,'PM Plan'!$B$5:$B$304,C1339)&gt;0,"OK","No matching asset + task in plan"))</f>
        <v/>
      </c>
    </row>
    <row r="1340" customFormat="false" ht="15" hidden="false" customHeight="false" outlineLevel="0" collapsed="false">
      <c r="A1340" s="13"/>
      <c r="B1340" s="9"/>
      <c r="C1340" s="9"/>
      <c r="D1340" s="9"/>
      <c r="E1340" s="9"/>
      <c r="F1340" s="16" t="str">
        <f aca="false">IF(B1340="","",IF(COUNTIFS('PM Plan'!$A$5:$A$304,B1340,'PM Plan'!$B$5:$B$304,C1340)&gt;0,"OK","No matching asset + task in plan"))</f>
        <v/>
      </c>
    </row>
    <row r="1341" customFormat="false" ht="15" hidden="false" customHeight="false" outlineLevel="0" collapsed="false">
      <c r="A1341" s="13"/>
      <c r="B1341" s="9"/>
      <c r="C1341" s="9"/>
      <c r="D1341" s="9"/>
      <c r="E1341" s="9"/>
      <c r="F1341" s="16" t="str">
        <f aca="false">IF(B1341="","",IF(COUNTIFS('PM Plan'!$A$5:$A$304,B1341,'PM Plan'!$B$5:$B$304,C1341)&gt;0,"OK","No matching asset + task in plan"))</f>
        <v/>
      </c>
    </row>
    <row r="1342" customFormat="false" ht="15" hidden="false" customHeight="false" outlineLevel="0" collapsed="false">
      <c r="A1342" s="13"/>
      <c r="B1342" s="9"/>
      <c r="C1342" s="9"/>
      <c r="D1342" s="9"/>
      <c r="E1342" s="9"/>
      <c r="F1342" s="16" t="str">
        <f aca="false">IF(B1342="","",IF(COUNTIFS('PM Plan'!$A$5:$A$304,B1342,'PM Plan'!$B$5:$B$304,C1342)&gt;0,"OK","No matching asset + task in plan"))</f>
        <v/>
      </c>
    </row>
    <row r="1343" customFormat="false" ht="15" hidden="false" customHeight="false" outlineLevel="0" collapsed="false">
      <c r="A1343" s="13"/>
      <c r="B1343" s="9"/>
      <c r="C1343" s="9"/>
      <c r="D1343" s="9"/>
      <c r="E1343" s="9"/>
      <c r="F1343" s="16" t="str">
        <f aca="false">IF(B1343="","",IF(COUNTIFS('PM Plan'!$A$5:$A$304,B1343,'PM Plan'!$B$5:$B$304,C1343)&gt;0,"OK","No matching asset + task in plan"))</f>
        <v/>
      </c>
    </row>
    <row r="1344" customFormat="false" ht="15" hidden="false" customHeight="false" outlineLevel="0" collapsed="false">
      <c r="A1344" s="13"/>
      <c r="B1344" s="9"/>
      <c r="C1344" s="9"/>
      <c r="D1344" s="9"/>
      <c r="E1344" s="9"/>
      <c r="F1344" s="16" t="str">
        <f aca="false">IF(B1344="","",IF(COUNTIFS('PM Plan'!$A$5:$A$304,B1344,'PM Plan'!$B$5:$B$304,C1344)&gt;0,"OK","No matching asset + task in plan"))</f>
        <v/>
      </c>
    </row>
    <row r="1345" customFormat="false" ht="15" hidden="false" customHeight="false" outlineLevel="0" collapsed="false">
      <c r="A1345" s="13"/>
      <c r="B1345" s="9"/>
      <c r="C1345" s="9"/>
      <c r="D1345" s="9"/>
      <c r="E1345" s="9"/>
      <c r="F1345" s="16" t="str">
        <f aca="false">IF(B1345="","",IF(COUNTIFS('PM Plan'!$A$5:$A$304,B1345,'PM Plan'!$B$5:$B$304,C1345)&gt;0,"OK","No matching asset + task in plan"))</f>
        <v/>
      </c>
    </row>
    <row r="1346" customFormat="false" ht="15" hidden="false" customHeight="false" outlineLevel="0" collapsed="false">
      <c r="A1346" s="13"/>
      <c r="B1346" s="9"/>
      <c r="C1346" s="9"/>
      <c r="D1346" s="9"/>
      <c r="E1346" s="9"/>
      <c r="F1346" s="16" t="str">
        <f aca="false">IF(B1346="","",IF(COUNTIFS('PM Plan'!$A$5:$A$304,B1346,'PM Plan'!$B$5:$B$304,C1346)&gt;0,"OK","No matching asset + task in plan"))</f>
        <v/>
      </c>
    </row>
    <row r="1347" customFormat="false" ht="15" hidden="false" customHeight="false" outlineLevel="0" collapsed="false">
      <c r="A1347" s="13"/>
      <c r="B1347" s="9"/>
      <c r="C1347" s="9"/>
      <c r="D1347" s="9"/>
      <c r="E1347" s="9"/>
      <c r="F1347" s="16" t="str">
        <f aca="false">IF(B1347="","",IF(COUNTIFS('PM Plan'!$A$5:$A$304,B1347,'PM Plan'!$B$5:$B$304,C1347)&gt;0,"OK","No matching asset + task in plan"))</f>
        <v/>
      </c>
    </row>
    <row r="1348" customFormat="false" ht="15" hidden="false" customHeight="false" outlineLevel="0" collapsed="false">
      <c r="A1348" s="13"/>
      <c r="B1348" s="9"/>
      <c r="C1348" s="9"/>
      <c r="D1348" s="9"/>
      <c r="E1348" s="9"/>
      <c r="F1348" s="16" t="str">
        <f aca="false">IF(B1348="","",IF(COUNTIFS('PM Plan'!$A$5:$A$304,B1348,'PM Plan'!$B$5:$B$304,C1348)&gt;0,"OK","No matching asset + task in plan"))</f>
        <v/>
      </c>
    </row>
    <row r="1349" customFormat="false" ht="15" hidden="false" customHeight="false" outlineLevel="0" collapsed="false">
      <c r="A1349" s="13"/>
      <c r="B1349" s="9"/>
      <c r="C1349" s="9"/>
      <c r="D1349" s="9"/>
      <c r="E1349" s="9"/>
      <c r="F1349" s="16" t="str">
        <f aca="false">IF(B1349="","",IF(COUNTIFS('PM Plan'!$A$5:$A$304,B1349,'PM Plan'!$B$5:$B$304,C1349)&gt;0,"OK","No matching asset + task in plan"))</f>
        <v/>
      </c>
    </row>
    <row r="1350" customFormat="false" ht="15" hidden="false" customHeight="false" outlineLevel="0" collapsed="false">
      <c r="A1350" s="13"/>
      <c r="B1350" s="9"/>
      <c r="C1350" s="9"/>
      <c r="D1350" s="9"/>
      <c r="E1350" s="9"/>
      <c r="F1350" s="16" t="str">
        <f aca="false">IF(B1350="","",IF(COUNTIFS('PM Plan'!$A$5:$A$304,B1350,'PM Plan'!$B$5:$B$304,C1350)&gt;0,"OK","No matching asset + task in plan"))</f>
        <v/>
      </c>
    </row>
    <row r="1351" customFormat="false" ht="15" hidden="false" customHeight="false" outlineLevel="0" collapsed="false">
      <c r="A1351" s="13"/>
      <c r="B1351" s="9"/>
      <c r="C1351" s="9"/>
      <c r="D1351" s="9"/>
      <c r="E1351" s="9"/>
      <c r="F1351" s="16" t="str">
        <f aca="false">IF(B1351="","",IF(COUNTIFS('PM Plan'!$A$5:$A$304,B1351,'PM Plan'!$B$5:$B$304,C1351)&gt;0,"OK","No matching asset + task in plan"))</f>
        <v/>
      </c>
    </row>
    <row r="1352" customFormat="false" ht="15" hidden="false" customHeight="false" outlineLevel="0" collapsed="false">
      <c r="A1352" s="13"/>
      <c r="B1352" s="9"/>
      <c r="C1352" s="9"/>
      <c r="D1352" s="9"/>
      <c r="E1352" s="9"/>
      <c r="F1352" s="16" t="str">
        <f aca="false">IF(B1352="","",IF(COUNTIFS('PM Plan'!$A$5:$A$304,B1352,'PM Plan'!$B$5:$B$304,C1352)&gt;0,"OK","No matching asset + task in plan"))</f>
        <v/>
      </c>
    </row>
    <row r="1353" customFormat="false" ht="15" hidden="false" customHeight="false" outlineLevel="0" collapsed="false">
      <c r="A1353" s="13"/>
      <c r="B1353" s="9"/>
      <c r="C1353" s="9"/>
      <c r="D1353" s="9"/>
      <c r="E1353" s="9"/>
      <c r="F1353" s="16" t="str">
        <f aca="false">IF(B1353="","",IF(COUNTIFS('PM Plan'!$A$5:$A$304,B1353,'PM Plan'!$B$5:$B$304,C1353)&gt;0,"OK","No matching asset + task in plan"))</f>
        <v/>
      </c>
    </row>
    <row r="1354" customFormat="false" ht="15" hidden="false" customHeight="false" outlineLevel="0" collapsed="false">
      <c r="A1354" s="13"/>
      <c r="B1354" s="9"/>
      <c r="C1354" s="9"/>
      <c r="D1354" s="9"/>
      <c r="E1354" s="9"/>
      <c r="F1354" s="16" t="str">
        <f aca="false">IF(B1354="","",IF(COUNTIFS('PM Plan'!$A$5:$A$304,B1354,'PM Plan'!$B$5:$B$304,C1354)&gt;0,"OK","No matching asset + task in plan"))</f>
        <v/>
      </c>
    </row>
    <row r="1355" customFormat="false" ht="15" hidden="false" customHeight="false" outlineLevel="0" collapsed="false">
      <c r="A1355" s="13"/>
      <c r="B1355" s="9"/>
      <c r="C1355" s="9"/>
      <c r="D1355" s="9"/>
      <c r="E1355" s="9"/>
      <c r="F1355" s="16" t="str">
        <f aca="false">IF(B1355="","",IF(COUNTIFS('PM Plan'!$A$5:$A$304,B1355,'PM Plan'!$B$5:$B$304,C1355)&gt;0,"OK","No matching asset + task in plan"))</f>
        <v/>
      </c>
    </row>
    <row r="1356" customFormat="false" ht="15" hidden="false" customHeight="false" outlineLevel="0" collapsed="false">
      <c r="A1356" s="13"/>
      <c r="B1356" s="9"/>
      <c r="C1356" s="9"/>
      <c r="D1356" s="9"/>
      <c r="E1356" s="9"/>
      <c r="F1356" s="16" t="str">
        <f aca="false">IF(B1356="","",IF(COUNTIFS('PM Plan'!$A$5:$A$304,B1356,'PM Plan'!$B$5:$B$304,C1356)&gt;0,"OK","No matching asset + task in plan"))</f>
        <v/>
      </c>
    </row>
    <row r="1357" customFormat="false" ht="15" hidden="false" customHeight="false" outlineLevel="0" collapsed="false">
      <c r="A1357" s="13"/>
      <c r="B1357" s="9"/>
      <c r="C1357" s="9"/>
      <c r="D1357" s="9"/>
      <c r="E1357" s="9"/>
      <c r="F1357" s="16" t="str">
        <f aca="false">IF(B1357="","",IF(COUNTIFS('PM Plan'!$A$5:$A$304,B1357,'PM Plan'!$B$5:$B$304,C1357)&gt;0,"OK","No matching asset + task in plan"))</f>
        <v/>
      </c>
    </row>
    <row r="1358" customFormat="false" ht="15" hidden="false" customHeight="false" outlineLevel="0" collapsed="false">
      <c r="A1358" s="13"/>
      <c r="B1358" s="9"/>
      <c r="C1358" s="9"/>
      <c r="D1358" s="9"/>
      <c r="E1358" s="9"/>
      <c r="F1358" s="16" t="str">
        <f aca="false">IF(B1358="","",IF(COUNTIFS('PM Plan'!$A$5:$A$304,B1358,'PM Plan'!$B$5:$B$304,C1358)&gt;0,"OK","No matching asset + task in plan"))</f>
        <v/>
      </c>
    </row>
    <row r="1359" customFormat="false" ht="15" hidden="false" customHeight="false" outlineLevel="0" collapsed="false">
      <c r="A1359" s="13"/>
      <c r="B1359" s="9"/>
      <c r="C1359" s="9"/>
      <c r="D1359" s="9"/>
      <c r="E1359" s="9"/>
      <c r="F1359" s="16" t="str">
        <f aca="false">IF(B1359="","",IF(COUNTIFS('PM Plan'!$A$5:$A$304,B1359,'PM Plan'!$B$5:$B$304,C1359)&gt;0,"OK","No matching asset + task in plan"))</f>
        <v/>
      </c>
    </row>
    <row r="1360" customFormat="false" ht="15" hidden="false" customHeight="false" outlineLevel="0" collapsed="false">
      <c r="A1360" s="13"/>
      <c r="B1360" s="9"/>
      <c r="C1360" s="9"/>
      <c r="D1360" s="9"/>
      <c r="E1360" s="9"/>
      <c r="F1360" s="16" t="str">
        <f aca="false">IF(B1360="","",IF(COUNTIFS('PM Plan'!$A$5:$A$304,B1360,'PM Plan'!$B$5:$B$304,C1360)&gt;0,"OK","No matching asset + task in plan"))</f>
        <v/>
      </c>
    </row>
    <row r="1361" customFormat="false" ht="15" hidden="false" customHeight="false" outlineLevel="0" collapsed="false">
      <c r="A1361" s="13"/>
      <c r="B1361" s="9"/>
      <c r="C1361" s="9"/>
      <c r="D1361" s="9"/>
      <c r="E1361" s="9"/>
      <c r="F1361" s="16" t="str">
        <f aca="false">IF(B1361="","",IF(COUNTIFS('PM Plan'!$A$5:$A$304,B1361,'PM Plan'!$B$5:$B$304,C1361)&gt;0,"OK","No matching asset + task in plan"))</f>
        <v/>
      </c>
    </row>
    <row r="1362" customFormat="false" ht="15" hidden="false" customHeight="false" outlineLevel="0" collapsed="false">
      <c r="A1362" s="13"/>
      <c r="B1362" s="9"/>
      <c r="C1362" s="9"/>
      <c r="D1362" s="9"/>
      <c r="E1362" s="9"/>
      <c r="F1362" s="16" t="str">
        <f aca="false">IF(B1362="","",IF(COUNTIFS('PM Plan'!$A$5:$A$304,B1362,'PM Plan'!$B$5:$B$304,C1362)&gt;0,"OK","No matching asset + task in plan"))</f>
        <v/>
      </c>
    </row>
    <row r="1363" customFormat="false" ht="15" hidden="false" customHeight="false" outlineLevel="0" collapsed="false">
      <c r="A1363" s="13"/>
      <c r="B1363" s="9"/>
      <c r="C1363" s="9"/>
      <c r="D1363" s="9"/>
      <c r="E1363" s="9"/>
      <c r="F1363" s="16" t="str">
        <f aca="false">IF(B1363="","",IF(COUNTIFS('PM Plan'!$A$5:$A$304,B1363,'PM Plan'!$B$5:$B$304,C1363)&gt;0,"OK","No matching asset + task in plan"))</f>
        <v/>
      </c>
    </row>
    <row r="1364" customFormat="false" ht="15" hidden="false" customHeight="false" outlineLevel="0" collapsed="false">
      <c r="A1364" s="13"/>
      <c r="B1364" s="9"/>
      <c r="C1364" s="9"/>
      <c r="D1364" s="9"/>
      <c r="E1364" s="9"/>
      <c r="F1364" s="16" t="str">
        <f aca="false">IF(B1364="","",IF(COUNTIFS('PM Plan'!$A$5:$A$304,B1364,'PM Plan'!$B$5:$B$304,C1364)&gt;0,"OK","No matching asset + task in plan"))</f>
        <v/>
      </c>
    </row>
    <row r="1365" customFormat="false" ht="15" hidden="false" customHeight="false" outlineLevel="0" collapsed="false">
      <c r="A1365" s="13"/>
      <c r="B1365" s="9"/>
      <c r="C1365" s="9"/>
      <c r="D1365" s="9"/>
      <c r="E1365" s="9"/>
      <c r="F1365" s="16" t="str">
        <f aca="false">IF(B1365="","",IF(COUNTIFS('PM Plan'!$A$5:$A$304,B1365,'PM Plan'!$B$5:$B$304,C1365)&gt;0,"OK","No matching asset + task in plan"))</f>
        <v/>
      </c>
    </row>
    <row r="1366" customFormat="false" ht="15" hidden="false" customHeight="false" outlineLevel="0" collapsed="false">
      <c r="A1366" s="13"/>
      <c r="B1366" s="9"/>
      <c r="C1366" s="9"/>
      <c r="D1366" s="9"/>
      <c r="E1366" s="9"/>
      <c r="F1366" s="16" t="str">
        <f aca="false">IF(B1366="","",IF(COUNTIFS('PM Plan'!$A$5:$A$304,B1366,'PM Plan'!$B$5:$B$304,C1366)&gt;0,"OK","No matching asset + task in plan"))</f>
        <v/>
      </c>
    </row>
    <row r="1367" customFormat="false" ht="15" hidden="false" customHeight="false" outlineLevel="0" collapsed="false">
      <c r="A1367" s="13"/>
      <c r="B1367" s="9"/>
      <c r="C1367" s="9"/>
      <c r="D1367" s="9"/>
      <c r="E1367" s="9"/>
      <c r="F1367" s="16" t="str">
        <f aca="false">IF(B1367="","",IF(COUNTIFS('PM Plan'!$A$5:$A$304,B1367,'PM Plan'!$B$5:$B$304,C1367)&gt;0,"OK","No matching asset + task in plan"))</f>
        <v/>
      </c>
    </row>
    <row r="1368" customFormat="false" ht="15" hidden="false" customHeight="false" outlineLevel="0" collapsed="false">
      <c r="A1368" s="13"/>
      <c r="B1368" s="9"/>
      <c r="C1368" s="9"/>
      <c r="D1368" s="9"/>
      <c r="E1368" s="9"/>
      <c r="F1368" s="16" t="str">
        <f aca="false">IF(B1368="","",IF(COUNTIFS('PM Plan'!$A$5:$A$304,B1368,'PM Plan'!$B$5:$B$304,C1368)&gt;0,"OK","No matching asset + task in plan"))</f>
        <v/>
      </c>
    </row>
    <row r="1369" customFormat="false" ht="15" hidden="false" customHeight="false" outlineLevel="0" collapsed="false">
      <c r="A1369" s="13"/>
      <c r="B1369" s="9"/>
      <c r="C1369" s="9"/>
      <c r="D1369" s="9"/>
      <c r="E1369" s="9"/>
      <c r="F1369" s="16" t="str">
        <f aca="false">IF(B1369="","",IF(COUNTIFS('PM Plan'!$A$5:$A$304,B1369,'PM Plan'!$B$5:$B$304,C1369)&gt;0,"OK","No matching asset + task in plan"))</f>
        <v/>
      </c>
    </row>
    <row r="1370" customFormat="false" ht="15" hidden="false" customHeight="false" outlineLevel="0" collapsed="false">
      <c r="A1370" s="13"/>
      <c r="B1370" s="9"/>
      <c r="C1370" s="9"/>
      <c r="D1370" s="9"/>
      <c r="E1370" s="9"/>
      <c r="F1370" s="16" t="str">
        <f aca="false">IF(B1370="","",IF(COUNTIFS('PM Plan'!$A$5:$A$304,B1370,'PM Plan'!$B$5:$B$304,C1370)&gt;0,"OK","No matching asset + task in plan"))</f>
        <v/>
      </c>
    </row>
    <row r="1371" customFormat="false" ht="15" hidden="false" customHeight="false" outlineLevel="0" collapsed="false">
      <c r="A1371" s="13"/>
      <c r="B1371" s="9"/>
      <c r="C1371" s="9"/>
      <c r="D1371" s="9"/>
      <c r="E1371" s="9"/>
      <c r="F1371" s="16" t="str">
        <f aca="false">IF(B1371="","",IF(COUNTIFS('PM Plan'!$A$5:$A$304,B1371,'PM Plan'!$B$5:$B$304,C1371)&gt;0,"OK","No matching asset + task in plan"))</f>
        <v/>
      </c>
    </row>
    <row r="1372" customFormat="false" ht="15" hidden="false" customHeight="false" outlineLevel="0" collapsed="false">
      <c r="A1372" s="13"/>
      <c r="B1372" s="9"/>
      <c r="C1372" s="9"/>
      <c r="D1372" s="9"/>
      <c r="E1372" s="9"/>
      <c r="F1372" s="16" t="str">
        <f aca="false">IF(B1372="","",IF(COUNTIFS('PM Plan'!$A$5:$A$304,B1372,'PM Plan'!$B$5:$B$304,C1372)&gt;0,"OK","No matching asset + task in plan"))</f>
        <v/>
      </c>
    </row>
    <row r="1373" customFormat="false" ht="15" hidden="false" customHeight="false" outlineLevel="0" collapsed="false">
      <c r="A1373" s="13"/>
      <c r="B1373" s="9"/>
      <c r="C1373" s="9"/>
      <c r="D1373" s="9"/>
      <c r="E1373" s="9"/>
      <c r="F1373" s="16" t="str">
        <f aca="false">IF(B1373="","",IF(COUNTIFS('PM Plan'!$A$5:$A$304,B1373,'PM Plan'!$B$5:$B$304,C1373)&gt;0,"OK","No matching asset + task in plan"))</f>
        <v/>
      </c>
    </row>
    <row r="1374" customFormat="false" ht="15" hidden="false" customHeight="false" outlineLevel="0" collapsed="false">
      <c r="A1374" s="13"/>
      <c r="B1374" s="9"/>
      <c r="C1374" s="9"/>
      <c r="D1374" s="9"/>
      <c r="E1374" s="9"/>
      <c r="F1374" s="16" t="str">
        <f aca="false">IF(B1374="","",IF(COUNTIFS('PM Plan'!$A$5:$A$304,B1374,'PM Plan'!$B$5:$B$304,C1374)&gt;0,"OK","No matching asset + task in plan"))</f>
        <v/>
      </c>
    </row>
    <row r="1375" customFormat="false" ht="15" hidden="false" customHeight="false" outlineLevel="0" collapsed="false">
      <c r="A1375" s="13"/>
      <c r="B1375" s="9"/>
      <c r="C1375" s="9"/>
      <c r="D1375" s="9"/>
      <c r="E1375" s="9"/>
      <c r="F1375" s="16" t="str">
        <f aca="false">IF(B1375="","",IF(COUNTIFS('PM Plan'!$A$5:$A$304,B1375,'PM Plan'!$B$5:$B$304,C1375)&gt;0,"OK","No matching asset + task in plan"))</f>
        <v/>
      </c>
    </row>
    <row r="1376" customFormat="false" ht="15" hidden="false" customHeight="false" outlineLevel="0" collapsed="false">
      <c r="A1376" s="13"/>
      <c r="B1376" s="9"/>
      <c r="C1376" s="9"/>
      <c r="D1376" s="9"/>
      <c r="E1376" s="9"/>
      <c r="F1376" s="16" t="str">
        <f aca="false">IF(B1376="","",IF(COUNTIFS('PM Plan'!$A$5:$A$304,B1376,'PM Plan'!$B$5:$B$304,C1376)&gt;0,"OK","No matching asset + task in plan"))</f>
        <v/>
      </c>
    </row>
    <row r="1377" customFormat="false" ht="15" hidden="false" customHeight="false" outlineLevel="0" collapsed="false">
      <c r="A1377" s="13"/>
      <c r="B1377" s="9"/>
      <c r="C1377" s="9"/>
      <c r="D1377" s="9"/>
      <c r="E1377" s="9"/>
      <c r="F1377" s="16" t="str">
        <f aca="false">IF(B1377="","",IF(COUNTIFS('PM Plan'!$A$5:$A$304,B1377,'PM Plan'!$B$5:$B$304,C1377)&gt;0,"OK","No matching asset + task in plan"))</f>
        <v/>
      </c>
    </row>
    <row r="1378" customFormat="false" ht="15" hidden="false" customHeight="false" outlineLevel="0" collapsed="false">
      <c r="A1378" s="13"/>
      <c r="B1378" s="9"/>
      <c r="C1378" s="9"/>
      <c r="D1378" s="9"/>
      <c r="E1378" s="9"/>
      <c r="F1378" s="16" t="str">
        <f aca="false">IF(B1378="","",IF(COUNTIFS('PM Plan'!$A$5:$A$304,B1378,'PM Plan'!$B$5:$B$304,C1378)&gt;0,"OK","No matching asset + task in plan"))</f>
        <v/>
      </c>
    </row>
    <row r="1379" customFormat="false" ht="15" hidden="false" customHeight="false" outlineLevel="0" collapsed="false">
      <c r="A1379" s="13"/>
      <c r="B1379" s="9"/>
      <c r="C1379" s="9"/>
      <c r="D1379" s="9"/>
      <c r="E1379" s="9"/>
      <c r="F1379" s="16" t="str">
        <f aca="false">IF(B1379="","",IF(COUNTIFS('PM Plan'!$A$5:$A$304,B1379,'PM Plan'!$B$5:$B$304,C1379)&gt;0,"OK","No matching asset + task in plan"))</f>
        <v/>
      </c>
    </row>
    <row r="1380" customFormat="false" ht="15" hidden="false" customHeight="false" outlineLevel="0" collapsed="false">
      <c r="A1380" s="13"/>
      <c r="B1380" s="9"/>
      <c r="C1380" s="9"/>
      <c r="D1380" s="9"/>
      <c r="E1380" s="9"/>
      <c r="F1380" s="16" t="str">
        <f aca="false">IF(B1380="","",IF(COUNTIFS('PM Plan'!$A$5:$A$304,B1380,'PM Plan'!$B$5:$B$304,C1380)&gt;0,"OK","No matching asset + task in plan"))</f>
        <v/>
      </c>
    </row>
    <row r="1381" customFormat="false" ht="15" hidden="false" customHeight="false" outlineLevel="0" collapsed="false">
      <c r="A1381" s="13"/>
      <c r="B1381" s="9"/>
      <c r="C1381" s="9"/>
      <c r="D1381" s="9"/>
      <c r="E1381" s="9"/>
      <c r="F1381" s="16" t="str">
        <f aca="false">IF(B1381="","",IF(COUNTIFS('PM Plan'!$A$5:$A$304,B1381,'PM Plan'!$B$5:$B$304,C1381)&gt;0,"OK","No matching asset + task in plan"))</f>
        <v/>
      </c>
    </row>
    <row r="1382" customFormat="false" ht="15" hidden="false" customHeight="false" outlineLevel="0" collapsed="false">
      <c r="A1382" s="13"/>
      <c r="B1382" s="9"/>
      <c r="C1382" s="9"/>
      <c r="D1382" s="9"/>
      <c r="E1382" s="9"/>
      <c r="F1382" s="16" t="str">
        <f aca="false">IF(B1382="","",IF(COUNTIFS('PM Plan'!$A$5:$A$304,B1382,'PM Plan'!$B$5:$B$304,C1382)&gt;0,"OK","No matching asset + task in plan"))</f>
        <v/>
      </c>
    </row>
    <row r="1383" customFormat="false" ht="15" hidden="false" customHeight="false" outlineLevel="0" collapsed="false">
      <c r="A1383" s="13"/>
      <c r="B1383" s="9"/>
      <c r="C1383" s="9"/>
      <c r="D1383" s="9"/>
      <c r="E1383" s="9"/>
      <c r="F1383" s="16" t="str">
        <f aca="false">IF(B1383="","",IF(COUNTIFS('PM Plan'!$A$5:$A$304,B1383,'PM Plan'!$B$5:$B$304,C1383)&gt;0,"OK","No matching asset + task in plan"))</f>
        <v/>
      </c>
    </row>
    <row r="1384" customFormat="false" ht="15" hidden="false" customHeight="false" outlineLevel="0" collapsed="false">
      <c r="A1384" s="13"/>
      <c r="B1384" s="9"/>
      <c r="C1384" s="9"/>
      <c r="D1384" s="9"/>
      <c r="E1384" s="9"/>
      <c r="F1384" s="16" t="str">
        <f aca="false">IF(B1384="","",IF(COUNTIFS('PM Plan'!$A$5:$A$304,B1384,'PM Plan'!$B$5:$B$304,C1384)&gt;0,"OK","No matching asset + task in plan"))</f>
        <v/>
      </c>
    </row>
    <row r="1385" customFormat="false" ht="15" hidden="false" customHeight="false" outlineLevel="0" collapsed="false">
      <c r="A1385" s="13"/>
      <c r="B1385" s="9"/>
      <c r="C1385" s="9"/>
      <c r="D1385" s="9"/>
      <c r="E1385" s="9"/>
      <c r="F1385" s="16" t="str">
        <f aca="false">IF(B1385="","",IF(COUNTIFS('PM Plan'!$A$5:$A$304,B1385,'PM Plan'!$B$5:$B$304,C1385)&gt;0,"OK","No matching asset + task in plan"))</f>
        <v/>
      </c>
    </row>
    <row r="1386" customFormat="false" ht="15" hidden="false" customHeight="false" outlineLevel="0" collapsed="false">
      <c r="A1386" s="13"/>
      <c r="B1386" s="9"/>
      <c r="C1386" s="9"/>
      <c r="D1386" s="9"/>
      <c r="E1386" s="9"/>
      <c r="F1386" s="16" t="str">
        <f aca="false">IF(B1386="","",IF(COUNTIFS('PM Plan'!$A$5:$A$304,B1386,'PM Plan'!$B$5:$B$304,C1386)&gt;0,"OK","No matching asset + task in plan"))</f>
        <v/>
      </c>
    </row>
    <row r="1387" customFormat="false" ht="15" hidden="false" customHeight="false" outlineLevel="0" collapsed="false">
      <c r="A1387" s="13"/>
      <c r="B1387" s="9"/>
      <c r="C1387" s="9"/>
      <c r="D1387" s="9"/>
      <c r="E1387" s="9"/>
      <c r="F1387" s="16" t="str">
        <f aca="false">IF(B1387="","",IF(COUNTIFS('PM Plan'!$A$5:$A$304,B1387,'PM Plan'!$B$5:$B$304,C1387)&gt;0,"OK","No matching asset + task in plan"))</f>
        <v/>
      </c>
    </row>
    <row r="1388" customFormat="false" ht="15" hidden="false" customHeight="false" outlineLevel="0" collapsed="false">
      <c r="A1388" s="13"/>
      <c r="B1388" s="9"/>
      <c r="C1388" s="9"/>
      <c r="D1388" s="9"/>
      <c r="E1388" s="9"/>
      <c r="F1388" s="16" t="str">
        <f aca="false">IF(B1388="","",IF(COUNTIFS('PM Plan'!$A$5:$A$304,B1388,'PM Plan'!$B$5:$B$304,C1388)&gt;0,"OK","No matching asset + task in plan"))</f>
        <v/>
      </c>
    </row>
    <row r="1389" customFormat="false" ht="15" hidden="false" customHeight="false" outlineLevel="0" collapsed="false">
      <c r="A1389" s="13"/>
      <c r="B1389" s="9"/>
      <c r="C1389" s="9"/>
      <c r="D1389" s="9"/>
      <c r="E1389" s="9"/>
      <c r="F1389" s="16" t="str">
        <f aca="false">IF(B1389="","",IF(COUNTIFS('PM Plan'!$A$5:$A$304,B1389,'PM Plan'!$B$5:$B$304,C1389)&gt;0,"OK","No matching asset + task in plan"))</f>
        <v/>
      </c>
    </row>
    <row r="1390" customFormat="false" ht="15" hidden="false" customHeight="false" outlineLevel="0" collapsed="false">
      <c r="A1390" s="13"/>
      <c r="B1390" s="9"/>
      <c r="C1390" s="9"/>
      <c r="D1390" s="9"/>
      <c r="E1390" s="9"/>
      <c r="F1390" s="16" t="str">
        <f aca="false">IF(B1390="","",IF(COUNTIFS('PM Plan'!$A$5:$A$304,B1390,'PM Plan'!$B$5:$B$304,C1390)&gt;0,"OK","No matching asset + task in plan"))</f>
        <v/>
      </c>
    </row>
    <row r="1391" customFormat="false" ht="15" hidden="false" customHeight="false" outlineLevel="0" collapsed="false">
      <c r="A1391" s="13"/>
      <c r="B1391" s="9"/>
      <c r="C1391" s="9"/>
      <c r="D1391" s="9"/>
      <c r="E1391" s="9"/>
      <c r="F1391" s="16" t="str">
        <f aca="false">IF(B1391="","",IF(COUNTIFS('PM Plan'!$A$5:$A$304,B1391,'PM Plan'!$B$5:$B$304,C1391)&gt;0,"OK","No matching asset + task in plan"))</f>
        <v/>
      </c>
    </row>
    <row r="1392" customFormat="false" ht="15" hidden="false" customHeight="false" outlineLevel="0" collapsed="false">
      <c r="A1392" s="13"/>
      <c r="B1392" s="9"/>
      <c r="C1392" s="9"/>
      <c r="D1392" s="9"/>
      <c r="E1392" s="9"/>
      <c r="F1392" s="16" t="str">
        <f aca="false">IF(B1392="","",IF(COUNTIFS('PM Plan'!$A$5:$A$304,B1392,'PM Plan'!$B$5:$B$304,C1392)&gt;0,"OK","No matching asset + task in plan"))</f>
        <v/>
      </c>
    </row>
    <row r="1393" customFormat="false" ht="15" hidden="false" customHeight="false" outlineLevel="0" collapsed="false">
      <c r="A1393" s="13"/>
      <c r="B1393" s="9"/>
      <c r="C1393" s="9"/>
      <c r="D1393" s="9"/>
      <c r="E1393" s="9"/>
      <c r="F1393" s="16" t="str">
        <f aca="false">IF(B1393="","",IF(COUNTIFS('PM Plan'!$A$5:$A$304,B1393,'PM Plan'!$B$5:$B$304,C1393)&gt;0,"OK","No matching asset + task in plan"))</f>
        <v/>
      </c>
    </row>
    <row r="1394" customFormat="false" ht="15" hidden="false" customHeight="false" outlineLevel="0" collapsed="false">
      <c r="A1394" s="13"/>
      <c r="B1394" s="9"/>
      <c r="C1394" s="9"/>
      <c r="D1394" s="9"/>
      <c r="E1394" s="9"/>
      <c r="F1394" s="16" t="str">
        <f aca="false">IF(B1394="","",IF(COUNTIFS('PM Plan'!$A$5:$A$304,B1394,'PM Plan'!$B$5:$B$304,C1394)&gt;0,"OK","No matching asset + task in plan"))</f>
        <v/>
      </c>
    </row>
    <row r="1395" customFormat="false" ht="15" hidden="false" customHeight="false" outlineLevel="0" collapsed="false">
      <c r="A1395" s="13"/>
      <c r="B1395" s="9"/>
      <c r="C1395" s="9"/>
      <c r="D1395" s="9"/>
      <c r="E1395" s="9"/>
      <c r="F1395" s="16" t="str">
        <f aca="false">IF(B1395="","",IF(COUNTIFS('PM Plan'!$A$5:$A$304,B1395,'PM Plan'!$B$5:$B$304,C1395)&gt;0,"OK","No matching asset + task in plan"))</f>
        <v/>
      </c>
    </row>
    <row r="1396" customFormat="false" ht="15" hidden="false" customHeight="false" outlineLevel="0" collapsed="false">
      <c r="A1396" s="13"/>
      <c r="B1396" s="9"/>
      <c r="C1396" s="9"/>
      <c r="D1396" s="9"/>
      <c r="E1396" s="9"/>
      <c r="F1396" s="16" t="str">
        <f aca="false">IF(B1396="","",IF(COUNTIFS('PM Plan'!$A$5:$A$304,B1396,'PM Plan'!$B$5:$B$304,C1396)&gt;0,"OK","No matching asset + task in plan"))</f>
        <v/>
      </c>
    </row>
    <row r="1397" customFormat="false" ht="15" hidden="false" customHeight="false" outlineLevel="0" collapsed="false">
      <c r="A1397" s="13"/>
      <c r="B1397" s="9"/>
      <c r="C1397" s="9"/>
      <c r="D1397" s="9"/>
      <c r="E1397" s="9"/>
      <c r="F1397" s="16" t="str">
        <f aca="false">IF(B1397="","",IF(COUNTIFS('PM Plan'!$A$5:$A$304,B1397,'PM Plan'!$B$5:$B$304,C1397)&gt;0,"OK","No matching asset + task in plan"))</f>
        <v/>
      </c>
    </row>
    <row r="1398" customFormat="false" ht="15" hidden="false" customHeight="false" outlineLevel="0" collapsed="false">
      <c r="A1398" s="13"/>
      <c r="B1398" s="9"/>
      <c r="C1398" s="9"/>
      <c r="D1398" s="9"/>
      <c r="E1398" s="9"/>
      <c r="F1398" s="16" t="str">
        <f aca="false">IF(B1398="","",IF(COUNTIFS('PM Plan'!$A$5:$A$304,B1398,'PM Plan'!$B$5:$B$304,C1398)&gt;0,"OK","No matching asset + task in plan"))</f>
        <v/>
      </c>
    </row>
    <row r="1399" customFormat="false" ht="15" hidden="false" customHeight="false" outlineLevel="0" collapsed="false">
      <c r="A1399" s="13"/>
      <c r="B1399" s="9"/>
      <c r="C1399" s="9"/>
      <c r="D1399" s="9"/>
      <c r="E1399" s="9"/>
      <c r="F1399" s="16" t="str">
        <f aca="false">IF(B1399="","",IF(COUNTIFS('PM Plan'!$A$5:$A$304,B1399,'PM Plan'!$B$5:$B$304,C1399)&gt;0,"OK","No matching asset + task in plan"))</f>
        <v/>
      </c>
    </row>
    <row r="1400" customFormat="false" ht="15" hidden="false" customHeight="false" outlineLevel="0" collapsed="false">
      <c r="A1400" s="13"/>
      <c r="B1400" s="9"/>
      <c r="C1400" s="9"/>
      <c r="D1400" s="9"/>
      <c r="E1400" s="9"/>
      <c r="F1400" s="16" t="str">
        <f aca="false">IF(B1400="","",IF(COUNTIFS('PM Plan'!$A$5:$A$304,B1400,'PM Plan'!$B$5:$B$304,C1400)&gt;0,"OK","No matching asset + task in plan"))</f>
        <v/>
      </c>
    </row>
    <row r="1401" customFormat="false" ht="15" hidden="false" customHeight="false" outlineLevel="0" collapsed="false">
      <c r="A1401" s="13"/>
      <c r="B1401" s="9"/>
      <c r="C1401" s="9"/>
      <c r="D1401" s="9"/>
      <c r="E1401" s="9"/>
      <c r="F1401" s="16" t="str">
        <f aca="false">IF(B1401="","",IF(COUNTIFS('PM Plan'!$A$5:$A$304,B1401,'PM Plan'!$B$5:$B$304,C1401)&gt;0,"OK","No matching asset + task in plan"))</f>
        <v/>
      </c>
    </row>
    <row r="1402" customFormat="false" ht="15" hidden="false" customHeight="false" outlineLevel="0" collapsed="false">
      <c r="A1402" s="13"/>
      <c r="B1402" s="9"/>
      <c r="C1402" s="9"/>
      <c r="D1402" s="9"/>
      <c r="E1402" s="9"/>
      <c r="F1402" s="16" t="str">
        <f aca="false">IF(B1402="","",IF(COUNTIFS('PM Plan'!$A$5:$A$304,B1402,'PM Plan'!$B$5:$B$304,C1402)&gt;0,"OK","No matching asset + task in plan"))</f>
        <v/>
      </c>
    </row>
    <row r="1403" customFormat="false" ht="15" hidden="false" customHeight="false" outlineLevel="0" collapsed="false">
      <c r="A1403" s="13"/>
      <c r="B1403" s="9"/>
      <c r="C1403" s="9"/>
      <c r="D1403" s="9"/>
      <c r="E1403" s="9"/>
      <c r="F1403" s="16" t="str">
        <f aca="false">IF(B1403="","",IF(COUNTIFS('PM Plan'!$A$5:$A$304,B1403,'PM Plan'!$B$5:$B$304,C1403)&gt;0,"OK","No matching asset + task in plan"))</f>
        <v/>
      </c>
    </row>
    <row r="1404" customFormat="false" ht="15" hidden="false" customHeight="false" outlineLevel="0" collapsed="false">
      <c r="A1404" s="13"/>
      <c r="B1404" s="9"/>
      <c r="C1404" s="9"/>
      <c r="D1404" s="9"/>
      <c r="E1404" s="9"/>
      <c r="F1404" s="16" t="str">
        <f aca="false">IF(B1404="","",IF(COUNTIFS('PM Plan'!$A$5:$A$304,B1404,'PM Plan'!$B$5:$B$304,C1404)&gt;0,"OK","No matching asset + task in plan"))</f>
        <v/>
      </c>
    </row>
    <row r="1405" customFormat="false" ht="15" hidden="false" customHeight="false" outlineLevel="0" collapsed="false">
      <c r="A1405" s="13"/>
      <c r="B1405" s="9"/>
      <c r="C1405" s="9"/>
      <c r="D1405" s="9"/>
      <c r="E1405" s="9"/>
      <c r="F1405" s="16" t="str">
        <f aca="false">IF(B1405="","",IF(COUNTIFS('PM Plan'!$A$5:$A$304,B1405,'PM Plan'!$B$5:$B$304,C1405)&gt;0,"OK","No matching asset + task in plan"))</f>
        <v/>
      </c>
    </row>
    <row r="1406" customFormat="false" ht="15" hidden="false" customHeight="false" outlineLevel="0" collapsed="false">
      <c r="A1406" s="13"/>
      <c r="B1406" s="9"/>
      <c r="C1406" s="9"/>
      <c r="D1406" s="9"/>
      <c r="E1406" s="9"/>
      <c r="F1406" s="16" t="str">
        <f aca="false">IF(B1406="","",IF(COUNTIFS('PM Plan'!$A$5:$A$304,B1406,'PM Plan'!$B$5:$B$304,C1406)&gt;0,"OK","No matching asset + task in plan"))</f>
        <v/>
      </c>
    </row>
    <row r="1407" customFormat="false" ht="15" hidden="false" customHeight="false" outlineLevel="0" collapsed="false">
      <c r="A1407" s="13"/>
      <c r="B1407" s="9"/>
      <c r="C1407" s="9"/>
      <c r="D1407" s="9"/>
      <c r="E1407" s="9"/>
      <c r="F1407" s="16" t="str">
        <f aca="false">IF(B1407="","",IF(COUNTIFS('PM Plan'!$A$5:$A$304,B1407,'PM Plan'!$B$5:$B$304,C1407)&gt;0,"OK","No matching asset + task in plan"))</f>
        <v/>
      </c>
    </row>
    <row r="1408" customFormat="false" ht="15" hidden="false" customHeight="false" outlineLevel="0" collapsed="false">
      <c r="A1408" s="13"/>
      <c r="B1408" s="9"/>
      <c r="C1408" s="9"/>
      <c r="D1408" s="9"/>
      <c r="E1408" s="9"/>
      <c r="F1408" s="16" t="str">
        <f aca="false">IF(B1408="","",IF(COUNTIFS('PM Plan'!$A$5:$A$304,B1408,'PM Plan'!$B$5:$B$304,C1408)&gt;0,"OK","No matching asset + task in plan"))</f>
        <v/>
      </c>
    </row>
    <row r="1409" customFormat="false" ht="15" hidden="false" customHeight="false" outlineLevel="0" collapsed="false">
      <c r="A1409" s="13"/>
      <c r="B1409" s="9"/>
      <c r="C1409" s="9"/>
      <c r="D1409" s="9"/>
      <c r="E1409" s="9"/>
      <c r="F1409" s="16" t="str">
        <f aca="false">IF(B1409="","",IF(COUNTIFS('PM Plan'!$A$5:$A$304,B1409,'PM Plan'!$B$5:$B$304,C1409)&gt;0,"OK","No matching asset + task in plan"))</f>
        <v/>
      </c>
    </row>
    <row r="1410" customFormat="false" ht="15" hidden="false" customHeight="false" outlineLevel="0" collapsed="false">
      <c r="A1410" s="13"/>
      <c r="B1410" s="9"/>
      <c r="C1410" s="9"/>
      <c r="D1410" s="9"/>
      <c r="E1410" s="9"/>
      <c r="F1410" s="16" t="str">
        <f aca="false">IF(B1410="","",IF(COUNTIFS('PM Plan'!$A$5:$A$304,B1410,'PM Plan'!$B$5:$B$304,C1410)&gt;0,"OK","No matching asset + task in plan"))</f>
        <v/>
      </c>
    </row>
    <row r="1411" customFormat="false" ht="15" hidden="false" customHeight="false" outlineLevel="0" collapsed="false">
      <c r="A1411" s="13"/>
      <c r="B1411" s="9"/>
      <c r="C1411" s="9"/>
      <c r="D1411" s="9"/>
      <c r="E1411" s="9"/>
      <c r="F1411" s="16" t="str">
        <f aca="false">IF(B1411="","",IF(COUNTIFS('PM Plan'!$A$5:$A$304,B1411,'PM Plan'!$B$5:$B$304,C1411)&gt;0,"OK","No matching asset + task in plan"))</f>
        <v/>
      </c>
    </row>
    <row r="1412" customFormat="false" ht="15" hidden="false" customHeight="false" outlineLevel="0" collapsed="false">
      <c r="A1412" s="13"/>
      <c r="B1412" s="9"/>
      <c r="C1412" s="9"/>
      <c r="D1412" s="9"/>
      <c r="E1412" s="9"/>
      <c r="F1412" s="16" t="str">
        <f aca="false">IF(B1412="","",IF(COUNTIFS('PM Plan'!$A$5:$A$304,B1412,'PM Plan'!$B$5:$B$304,C1412)&gt;0,"OK","No matching asset + task in plan"))</f>
        <v/>
      </c>
    </row>
    <row r="1413" customFormat="false" ht="15" hidden="false" customHeight="false" outlineLevel="0" collapsed="false">
      <c r="A1413" s="13"/>
      <c r="B1413" s="9"/>
      <c r="C1413" s="9"/>
      <c r="D1413" s="9"/>
      <c r="E1413" s="9"/>
      <c r="F1413" s="16" t="str">
        <f aca="false">IF(B1413="","",IF(COUNTIFS('PM Plan'!$A$5:$A$304,B1413,'PM Plan'!$B$5:$B$304,C1413)&gt;0,"OK","No matching asset + task in plan"))</f>
        <v/>
      </c>
    </row>
    <row r="1414" customFormat="false" ht="15" hidden="false" customHeight="false" outlineLevel="0" collapsed="false">
      <c r="A1414" s="13"/>
      <c r="B1414" s="9"/>
      <c r="C1414" s="9"/>
      <c r="D1414" s="9"/>
      <c r="E1414" s="9"/>
      <c r="F1414" s="16" t="str">
        <f aca="false">IF(B1414="","",IF(COUNTIFS('PM Plan'!$A$5:$A$304,B1414,'PM Plan'!$B$5:$B$304,C1414)&gt;0,"OK","No matching asset + task in plan"))</f>
        <v/>
      </c>
    </row>
    <row r="1415" customFormat="false" ht="15" hidden="false" customHeight="false" outlineLevel="0" collapsed="false">
      <c r="A1415" s="13"/>
      <c r="B1415" s="9"/>
      <c r="C1415" s="9"/>
      <c r="D1415" s="9"/>
      <c r="E1415" s="9"/>
      <c r="F1415" s="16" t="str">
        <f aca="false">IF(B1415="","",IF(COUNTIFS('PM Plan'!$A$5:$A$304,B1415,'PM Plan'!$B$5:$B$304,C1415)&gt;0,"OK","No matching asset + task in plan"))</f>
        <v/>
      </c>
    </row>
    <row r="1416" customFormat="false" ht="15" hidden="false" customHeight="false" outlineLevel="0" collapsed="false">
      <c r="A1416" s="13"/>
      <c r="B1416" s="9"/>
      <c r="C1416" s="9"/>
      <c r="D1416" s="9"/>
      <c r="E1416" s="9"/>
      <c r="F1416" s="16" t="str">
        <f aca="false">IF(B1416="","",IF(COUNTIFS('PM Plan'!$A$5:$A$304,B1416,'PM Plan'!$B$5:$B$304,C1416)&gt;0,"OK","No matching asset + task in plan"))</f>
        <v/>
      </c>
    </row>
    <row r="1417" customFormat="false" ht="15" hidden="false" customHeight="false" outlineLevel="0" collapsed="false">
      <c r="A1417" s="13"/>
      <c r="B1417" s="9"/>
      <c r="C1417" s="9"/>
      <c r="D1417" s="9"/>
      <c r="E1417" s="9"/>
      <c r="F1417" s="16" t="str">
        <f aca="false">IF(B1417="","",IF(COUNTIFS('PM Plan'!$A$5:$A$304,B1417,'PM Plan'!$B$5:$B$304,C1417)&gt;0,"OK","No matching asset + task in plan"))</f>
        <v/>
      </c>
    </row>
    <row r="1418" customFormat="false" ht="15" hidden="false" customHeight="false" outlineLevel="0" collapsed="false">
      <c r="A1418" s="13"/>
      <c r="B1418" s="9"/>
      <c r="C1418" s="9"/>
      <c r="D1418" s="9"/>
      <c r="E1418" s="9"/>
      <c r="F1418" s="16" t="str">
        <f aca="false">IF(B1418="","",IF(COUNTIFS('PM Plan'!$A$5:$A$304,B1418,'PM Plan'!$B$5:$B$304,C1418)&gt;0,"OK","No matching asset + task in plan"))</f>
        <v/>
      </c>
    </row>
    <row r="1419" customFormat="false" ht="15" hidden="false" customHeight="false" outlineLevel="0" collapsed="false">
      <c r="A1419" s="13"/>
      <c r="B1419" s="9"/>
      <c r="C1419" s="9"/>
      <c r="D1419" s="9"/>
      <c r="E1419" s="9"/>
      <c r="F1419" s="16" t="str">
        <f aca="false">IF(B1419="","",IF(COUNTIFS('PM Plan'!$A$5:$A$304,B1419,'PM Plan'!$B$5:$B$304,C1419)&gt;0,"OK","No matching asset + task in plan"))</f>
        <v/>
      </c>
    </row>
    <row r="1420" customFormat="false" ht="15" hidden="false" customHeight="false" outlineLevel="0" collapsed="false">
      <c r="A1420" s="13"/>
      <c r="B1420" s="9"/>
      <c r="C1420" s="9"/>
      <c r="D1420" s="9"/>
      <c r="E1420" s="9"/>
      <c r="F1420" s="16" t="str">
        <f aca="false">IF(B1420="","",IF(COUNTIFS('PM Plan'!$A$5:$A$304,B1420,'PM Plan'!$B$5:$B$304,C1420)&gt;0,"OK","No matching asset + task in plan"))</f>
        <v/>
      </c>
    </row>
    <row r="1421" customFormat="false" ht="15" hidden="false" customHeight="false" outlineLevel="0" collapsed="false">
      <c r="A1421" s="13"/>
      <c r="B1421" s="9"/>
      <c r="C1421" s="9"/>
      <c r="D1421" s="9"/>
      <c r="E1421" s="9"/>
      <c r="F1421" s="16" t="str">
        <f aca="false">IF(B1421="","",IF(COUNTIFS('PM Plan'!$A$5:$A$304,B1421,'PM Plan'!$B$5:$B$304,C1421)&gt;0,"OK","No matching asset + task in plan"))</f>
        <v/>
      </c>
    </row>
    <row r="1422" customFormat="false" ht="15" hidden="false" customHeight="false" outlineLevel="0" collapsed="false">
      <c r="A1422" s="13"/>
      <c r="B1422" s="9"/>
      <c r="C1422" s="9"/>
      <c r="D1422" s="9"/>
      <c r="E1422" s="9"/>
      <c r="F1422" s="16" t="str">
        <f aca="false">IF(B1422="","",IF(COUNTIFS('PM Plan'!$A$5:$A$304,B1422,'PM Plan'!$B$5:$B$304,C1422)&gt;0,"OK","No matching asset + task in plan"))</f>
        <v/>
      </c>
    </row>
    <row r="1423" customFormat="false" ht="15" hidden="false" customHeight="false" outlineLevel="0" collapsed="false">
      <c r="A1423" s="13"/>
      <c r="B1423" s="9"/>
      <c r="C1423" s="9"/>
      <c r="D1423" s="9"/>
      <c r="E1423" s="9"/>
      <c r="F1423" s="16" t="str">
        <f aca="false">IF(B1423="","",IF(COUNTIFS('PM Plan'!$A$5:$A$304,B1423,'PM Plan'!$B$5:$B$304,C1423)&gt;0,"OK","No matching asset + task in plan"))</f>
        <v/>
      </c>
    </row>
    <row r="1424" customFormat="false" ht="15" hidden="false" customHeight="false" outlineLevel="0" collapsed="false">
      <c r="A1424" s="13"/>
      <c r="B1424" s="9"/>
      <c r="C1424" s="9"/>
      <c r="D1424" s="9"/>
      <c r="E1424" s="9"/>
      <c r="F1424" s="16" t="str">
        <f aca="false">IF(B1424="","",IF(COUNTIFS('PM Plan'!$A$5:$A$304,B1424,'PM Plan'!$B$5:$B$304,C1424)&gt;0,"OK","No matching asset + task in plan"))</f>
        <v/>
      </c>
    </row>
    <row r="1425" customFormat="false" ht="15" hidden="false" customHeight="false" outlineLevel="0" collapsed="false">
      <c r="A1425" s="13"/>
      <c r="B1425" s="9"/>
      <c r="C1425" s="9"/>
      <c r="D1425" s="9"/>
      <c r="E1425" s="9"/>
      <c r="F1425" s="16" t="str">
        <f aca="false">IF(B1425="","",IF(COUNTIFS('PM Plan'!$A$5:$A$304,B1425,'PM Plan'!$B$5:$B$304,C1425)&gt;0,"OK","No matching asset + task in plan"))</f>
        <v/>
      </c>
    </row>
    <row r="1426" customFormat="false" ht="15" hidden="false" customHeight="false" outlineLevel="0" collapsed="false">
      <c r="A1426" s="13"/>
      <c r="B1426" s="9"/>
      <c r="C1426" s="9"/>
      <c r="D1426" s="9"/>
      <c r="E1426" s="9"/>
      <c r="F1426" s="16" t="str">
        <f aca="false">IF(B1426="","",IF(COUNTIFS('PM Plan'!$A$5:$A$304,B1426,'PM Plan'!$B$5:$B$304,C1426)&gt;0,"OK","No matching asset + task in plan"))</f>
        <v/>
      </c>
    </row>
    <row r="1427" customFormat="false" ht="15" hidden="false" customHeight="false" outlineLevel="0" collapsed="false">
      <c r="A1427" s="13"/>
      <c r="B1427" s="9"/>
      <c r="C1427" s="9"/>
      <c r="D1427" s="9"/>
      <c r="E1427" s="9"/>
      <c r="F1427" s="16" t="str">
        <f aca="false">IF(B1427="","",IF(COUNTIFS('PM Plan'!$A$5:$A$304,B1427,'PM Plan'!$B$5:$B$304,C1427)&gt;0,"OK","No matching asset + task in plan"))</f>
        <v/>
      </c>
    </row>
    <row r="1428" customFormat="false" ht="15" hidden="false" customHeight="false" outlineLevel="0" collapsed="false">
      <c r="A1428" s="13"/>
      <c r="B1428" s="9"/>
      <c r="C1428" s="9"/>
      <c r="D1428" s="9"/>
      <c r="E1428" s="9"/>
      <c r="F1428" s="16" t="str">
        <f aca="false">IF(B1428="","",IF(COUNTIFS('PM Plan'!$A$5:$A$304,B1428,'PM Plan'!$B$5:$B$304,C1428)&gt;0,"OK","No matching asset + task in plan"))</f>
        <v/>
      </c>
    </row>
    <row r="1429" customFormat="false" ht="15" hidden="false" customHeight="false" outlineLevel="0" collapsed="false">
      <c r="A1429" s="13"/>
      <c r="B1429" s="9"/>
      <c r="C1429" s="9"/>
      <c r="D1429" s="9"/>
      <c r="E1429" s="9"/>
      <c r="F1429" s="16" t="str">
        <f aca="false">IF(B1429="","",IF(COUNTIFS('PM Plan'!$A$5:$A$304,B1429,'PM Plan'!$B$5:$B$304,C1429)&gt;0,"OK","No matching asset + task in plan"))</f>
        <v/>
      </c>
    </row>
    <row r="1430" customFormat="false" ht="15" hidden="false" customHeight="false" outlineLevel="0" collapsed="false">
      <c r="A1430" s="13"/>
      <c r="B1430" s="9"/>
      <c r="C1430" s="9"/>
      <c r="D1430" s="9"/>
      <c r="E1430" s="9"/>
      <c r="F1430" s="16" t="str">
        <f aca="false">IF(B1430="","",IF(COUNTIFS('PM Plan'!$A$5:$A$304,B1430,'PM Plan'!$B$5:$B$304,C1430)&gt;0,"OK","No matching asset + task in plan"))</f>
        <v/>
      </c>
    </row>
    <row r="1431" customFormat="false" ht="15" hidden="false" customHeight="false" outlineLevel="0" collapsed="false">
      <c r="A1431" s="13"/>
      <c r="B1431" s="9"/>
      <c r="C1431" s="9"/>
      <c r="D1431" s="9"/>
      <c r="E1431" s="9"/>
      <c r="F1431" s="16" t="str">
        <f aca="false">IF(B1431="","",IF(COUNTIFS('PM Plan'!$A$5:$A$304,B1431,'PM Plan'!$B$5:$B$304,C1431)&gt;0,"OK","No matching asset + task in plan"))</f>
        <v/>
      </c>
    </row>
    <row r="1432" customFormat="false" ht="15" hidden="false" customHeight="false" outlineLevel="0" collapsed="false">
      <c r="A1432" s="13"/>
      <c r="B1432" s="9"/>
      <c r="C1432" s="9"/>
      <c r="D1432" s="9"/>
      <c r="E1432" s="9"/>
      <c r="F1432" s="16" t="str">
        <f aca="false">IF(B1432="","",IF(COUNTIFS('PM Plan'!$A$5:$A$304,B1432,'PM Plan'!$B$5:$B$304,C1432)&gt;0,"OK","No matching asset + task in plan"))</f>
        <v/>
      </c>
    </row>
    <row r="1433" customFormat="false" ht="15" hidden="false" customHeight="false" outlineLevel="0" collapsed="false">
      <c r="A1433" s="13"/>
      <c r="B1433" s="9"/>
      <c r="C1433" s="9"/>
      <c r="D1433" s="9"/>
      <c r="E1433" s="9"/>
      <c r="F1433" s="16" t="str">
        <f aca="false">IF(B1433="","",IF(COUNTIFS('PM Plan'!$A$5:$A$304,B1433,'PM Plan'!$B$5:$B$304,C1433)&gt;0,"OK","No matching asset + task in plan"))</f>
        <v/>
      </c>
    </row>
    <row r="1434" customFormat="false" ht="15" hidden="false" customHeight="false" outlineLevel="0" collapsed="false">
      <c r="A1434" s="13"/>
      <c r="B1434" s="9"/>
      <c r="C1434" s="9"/>
      <c r="D1434" s="9"/>
      <c r="E1434" s="9"/>
      <c r="F1434" s="16" t="str">
        <f aca="false">IF(B1434="","",IF(COUNTIFS('PM Plan'!$A$5:$A$304,B1434,'PM Plan'!$B$5:$B$304,C1434)&gt;0,"OK","No matching asset + task in plan"))</f>
        <v/>
      </c>
    </row>
    <row r="1435" customFormat="false" ht="15" hidden="false" customHeight="false" outlineLevel="0" collapsed="false">
      <c r="A1435" s="13"/>
      <c r="B1435" s="9"/>
      <c r="C1435" s="9"/>
      <c r="D1435" s="9"/>
      <c r="E1435" s="9"/>
      <c r="F1435" s="16" t="str">
        <f aca="false">IF(B1435="","",IF(COUNTIFS('PM Plan'!$A$5:$A$304,B1435,'PM Plan'!$B$5:$B$304,C1435)&gt;0,"OK","No matching asset + task in plan"))</f>
        <v/>
      </c>
    </row>
    <row r="1436" customFormat="false" ht="15" hidden="false" customHeight="false" outlineLevel="0" collapsed="false">
      <c r="A1436" s="13"/>
      <c r="B1436" s="9"/>
      <c r="C1436" s="9"/>
      <c r="D1436" s="9"/>
      <c r="E1436" s="9"/>
      <c r="F1436" s="16" t="str">
        <f aca="false">IF(B1436="","",IF(COUNTIFS('PM Plan'!$A$5:$A$304,B1436,'PM Plan'!$B$5:$B$304,C1436)&gt;0,"OK","No matching asset + task in plan"))</f>
        <v/>
      </c>
    </row>
    <row r="1437" customFormat="false" ht="15" hidden="false" customHeight="false" outlineLevel="0" collapsed="false">
      <c r="A1437" s="13"/>
      <c r="B1437" s="9"/>
      <c r="C1437" s="9"/>
      <c r="D1437" s="9"/>
      <c r="E1437" s="9"/>
      <c r="F1437" s="16" t="str">
        <f aca="false">IF(B1437="","",IF(COUNTIFS('PM Plan'!$A$5:$A$304,B1437,'PM Plan'!$B$5:$B$304,C1437)&gt;0,"OK","No matching asset + task in plan"))</f>
        <v/>
      </c>
    </row>
    <row r="1438" customFormat="false" ht="15" hidden="false" customHeight="false" outlineLevel="0" collapsed="false">
      <c r="A1438" s="13"/>
      <c r="B1438" s="9"/>
      <c r="C1438" s="9"/>
      <c r="D1438" s="9"/>
      <c r="E1438" s="9"/>
      <c r="F1438" s="16" t="str">
        <f aca="false">IF(B1438="","",IF(COUNTIFS('PM Plan'!$A$5:$A$304,B1438,'PM Plan'!$B$5:$B$304,C1438)&gt;0,"OK","No matching asset + task in plan"))</f>
        <v/>
      </c>
    </row>
    <row r="1439" customFormat="false" ht="15" hidden="false" customHeight="false" outlineLevel="0" collapsed="false">
      <c r="A1439" s="13"/>
      <c r="B1439" s="9"/>
      <c r="C1439" s="9"/>
      <c r="D1439" s="9"/>
      <c r="E1439" s="9"/>
      <c r="F1439" s="16" t="str">
        <f aca="false">IF(B1439="","",IF(COUNTIFS('PM Plan'!$A$5:$A$304,B1439,'PM Plan'!$B$5:$B$304,C1439)&gt;0,"OK","No matching asset + task in plan"))</f>
        <v/>
      </c>
    </row>
    <row r="1440" customFormat="false" ht="15" hidden="false" customHeight="false" outlineLevel="0" collapsed="false">
      <c r="A1440" s="13"/>
      <c r="B1440" s="9"/>
      <c r="C1440" s="9"/>
      <c r="D1440" s="9"/>
      <c r="E1440" s="9"/>
      <c r="F1440" s="16" t="str">
        <f aca="false">IF(B1440="","",IF(COUNTIFS('PM Plan'!$A$5:$A$304,B1440,'PM Plan'!$B$5:$B$304,C1440)&gt;0,"OK","No matching asset + task in plan"))</f>
        <v/>
      </c>
    </row>
    <row r="1441" customFormat="false" ht="15" hidden="false" customHeight="false" outlineLevel="0" collapsed="false">
      <c r="A1441" s="13"/>
      <c r="B1441" s="9"/>
      <c r="C1441" s="9"/>
      <c r="D1441" s="9"/>
      <c r="E1441" s="9"/>
      <c r="F1441" s="16" t="str">
        <f aca="false">IF(B1441="","",IF(COUNTIFS('PM Plan'!$A$5:$A$304,B1441,'PM Plan'!$B$5:$B$304,C1441)&gt;0,"OK","No matching asset + task in plan"))</f>
        <v/>
      </c>
    </row>
    <row r="1442" customFormat="false" ht="15" hidden="false" customHeight="false" outlineLevel="0" collapsed="false">
      <c r="A1442" s="13"/>
      <c r="B1442" s="9"/>
      <c r="C1442" s="9"/>
      <c r="D1442" s="9"/>
      <c r="E1442" s="9"/>
      <c r="F1442" s="16" t="str">
        <f aca="false">IF(B1442="","",IF(COUNTIFS('PM Plan'!$A$5:$A$304,B1442,'PM Plan'!$B$5:$B$304,C1442)&gt;0,"OK","No matching asset + task in plan"))</f>
        <v/>
      </c>
    </row>
    <row r="1443" customFormat="false" ht="15" hidden="false" customHeight="false" outlineLevel="0" collapsed="false">
      <c r="A1443" s="13"/>
      <c r="B1443" s="9"/>
      <c r="C1443" s="9"/>
      <c r="D1443" s="9"/>
      <c r="E1443" s="9"/>
      <c r="F1443" s="16" t="str">
        <f aca="false">IF(B1443="","",IF(COUNTIFS('PM Plan'!$A$5:$A$304,B1443,'PM Plan'!$B$5:$B$304,C1443)&gt;0,"OK","No matching asset + task in plan"))</f>
        <v/>
      </c>
    </row>
    <row r="1444" customFormat="false" ht="15" hidden="false" customHeight="false" outlineLevel="0" collapsed="false">
      <c r="A1444" s="13"/>
      <c r="B1444" s="9"/>
      <c r="C1444" s="9"/>
      <c r="D1444" s="9"/>
      <c r="E1444" s="9"/>
      <c r="F1444" s="16" t="str">
        <f aca="false">IF(B1444="","",IF(COUNTIFS('PM Plan'!$A$5:$A$304,B1444,'PM Plan'!$B$5:$B$304,C1444)&gt;0,"OK","No matching asset + task in plan"))</f>
        <v/>
      </c>
    </row>
    <row r="1445" customFormat="false" ht="15" hidden="false" customHeight="false" outlineLevel="0" collapsed="false">
      <c r="A1445" s="13"/>
      <c r="B1445" s="9"/>
      <c r="C1445" s="9"/>
      <c r="D1445" s="9"/>
      <c r="E1445" s="9"/>
      <c r="F1445" s="16" t="str">
        <f aca="false">IF(B1445="","",IF(COUNTIFS('PM Plan'!$A$5:$A$304,B1445,'PM Plan'!$B$5:$B$304,C1445)&gt;0,"OK","No matching asset + task in plan"))</f>
        <v/>
      </c>
    </row>
    <row r="1446" customFormat="false" ht="15" hidden="false" customHeight="false" outlineLevel="0" collapsed="false">
      <c r="A1446" s="13"/>
      <c r="B1446" s="9"/>
      <c r="C1446" s="9"/>
      <c r="D1446" s="9"/>
      <c r="E1446" s="9"/>
      <c r="F1446" s="16" t="str">
        <f aca="false">IF(B1446="","",IF(COUNTIFS('PM Plan'!$A$5:$A$304,B1446,'PM Plan'!$B$5:$B$304,C1446)&gt;0,"OK","No matching asset + task in plan"))</f>
        <v/>
      </c>
    </row>
    <row r="1447" customFormat="false" ht="15" hidden="false" customHeight="false" outlineLevel="0" collapsed="false">
      <c r="A1447" s="13"/>
      <c r="B1447" s="9"/>
      <c r="C1447" s="9"/>
      <c r="D1447" s="9"/>
      <c r="E1447" s="9"/>
      <c r="F1447" s="16" t="str">
        <f aca="false">IF(B1447="","",IF(COUNTIFS('PM Plan'!$A$5:$A$304,B1447,'PM Plan'!$B$5:$B$304,C1447)&gt;0,"OK","No matching asset + task in plan"))</f>
        <v/>
      </c>
    </row>
    <row r="1448" customFormat="false" ht="15" hidden="false" customHeight="false" outlineLevel="0" collapsed="false">
      <c r="A1448" s="13"/>
      <c r="B1448" s="9"/>
      <c r="C1448" s="9"/>
      <c r="D1448" s="9"/>
      <c r="E1448" s="9"/>
      <c r="F1448" s="16" t="str">
        <f aca="false">IF(B1448="","",IF(COUNTIFS('PM Plan'!$A$5:$A$304,B1448,'PM Plan'!$B$5:$B$304,C1448)&gt;0,"OK","No matching asset + task in plan"))</f>
        <v/>
      </c>
    </row>
    <row r="1449" customFormat="false" ht="15" hidden="false" customHeight="false" outlineLevel="0" collapsed="false">
      <c r="A1449" s="13"/>
      <c r="B1449" s="9"/>
      <c r="C1449" s="9"/>
      <c r="D1449" s="9"/>
      <c r="E1449" s="9"/>
      <c r="F1449" s="16" t="str">
        <f aca="false">IF(B1449="","",IF(COUNTIFS('PM Plan'!$A$5:$A$304,B1449,'PM Plan'!$B$5:$B$304,C1449)&gt;0,"OK","No matching asset + task in plan"))</f>
        <v/>
      </c>
    </row>
    <row r="1450" customFormat="false" ht="15" hidden="false" customHeight="false" outlineLevel="0" collapsed="false">
      <c r="A1450" s="13"/>
      <c r="B1450" s="9"/>
      <c r="C1450" s="9"/>
      <c r="D1450" s="9"/>
      <c r="E1450" s="9"/>
      <c r="F1450" s="16" t="str">
        <f aca="false">IF(B1450="","",IF(COUNTIFS('PM Plan'!$A$5:$A$304,B1450,'PM Plan'!$B$5:$B$304,C1450)&gt;0,"OK","No matching asset + task in plan"))</f>
        <v/>
      </c>
    </row>
    <row r="1451" customFormat="false" ht="15" hidden="false" customHeight="false" outlineLevel="0" collapsed="false">
      <c r="A1451" s="13"/>
      <c r="B1451" s="9"/>
      <c r="C1451" s="9"/>
      <c r="D1451" s="9"/>
      <c r="E1451" s="9"/>
      <c r="F1451" s="16" t="str">
        <f aca="false">IF(B1451="","",IF(COUNTIFS('PM Plan'!$A$5:$A$304,B1451,'PM Plan'!$B$5:$B$304,C1451)&gt;0,"OK","No matching asset + task in plan"))</f>
        <v/>
      </c>
    </row>
    <row r="1452" customFormat="false" ht="15" hidden="false" customHeight="false" outlineLevel="0" collapsed="false">
      <c r="A1452" s="13"/>
      <c r="B1452" s="9"/>
      <c r="C1452" s="9"/>
      <c r="D1452" s="9"/>
      <c r="E1452" s="9"/>
      <c r="F1452" s="16" t="str">
        <f aca="false">IF(B1452="","",IF(COUNTIFS('PM Plan'!$A$5:$A$304,B1452,'PM Plan'!$B$5:$B$304,C1452)&gt;0,"OK","No matching asset + task in plan"))</f>
        <v/>
      </c>
    </row>
    <row r="1453" customFormat="false" ht="15" hidden="false" customHeight="false" outlineLevel="0" collapsed="false">
      <c r="A1453" s="13"/>
      <c r="B1453" s="9"/>
      <c r="C1453" s="9"/>
      <c r="D1453" s="9"/>
      <c r="E1453" s="9"/>
      <c r="F1453" s="16" t="str">
        <f aca="false">IF(B1453="","",IF(COUNTIFS('PM Plan'!$A$5:$A$304,B1453,'PM Plan'!$B$5:$B$304,C1453)&gt;0,"OK","No matching asset + task in plan"))</f>
        <v/>
      </c>
    </row>
    <row r="1454" customFormat="false" ht="15" hidden="false" customHeight="false" outlineLevel="0" collapsed="false">
      <c r="A1454" s="13"/>
      <c r="B1454" s="9"/>
      <c r="C1454" s="9"/>
      <c r="D1454" s="9"/>
      <c r="E1454" s="9"/>
      <c r="F1454" s="16" t="str">
        <f aca="false">IF(B1454="","",IF(COUNTIFS('PM Plan'!$A$5:$A$304,B1454,'PM Plan'!$B$5:$B$304,C1454)&gt;0,"OK","No matching asset + task in plan"))</f>
        <v/>
      </c>
    </row>
    <row r="1455" customFormat="false" ht="15" hidden="false" customHeight="false" outlineLevel="0" collapsed="false">
      <c r="A1455" s="13"/>
      <c r="B1455" s="9"/>
      <c r="C1455" s="9"/>
      <c r="D1455" s="9"/>
      <c r="E1455" s="9"/>
      <c r="F1455" s="16" t="str">
        <f aca="false">IF(B1455="","",IF(COUNTIFS('PM Plan'!$A$5:$A$304,B1455,'PM Plan'!$B$5:$B$304,C1455)&gt;0,"OK","No matching asset + task in plan"))</f>
        <v/>
      </c>
    </row>
    <row r="1456" customFormat="false" ht="15" hidden="false" customHeight="false" outlineLevel="0" collapsed="false">
      <c r="A1456" s="13"/>
      <c r="B1456" s="9"/>
      <c r="C1456" s="9"/>
      <c r="D1456" s="9"/>
      <c r="E1456" s="9"/>
      <c r="F1456" s="16" t="str">
        <f aca="false">IF(B1456="","",IF(COUNTIFS('PM Plan'!$A$5:$A$304,B1456,'PM Plan'!$B$5:$B$304,C1456)&gt;0,"OK","No matching asset + task in plan"))</f>
        <v/>
      </c>
    </row>
    <row r="1457" customFormat="false" ht="15" hidden="false" customHeight="false" outlineLevel="0" collapsed="false">
      <c r="A1457" s="13"/>
      <c r="B1457" s="9"/>
      <c r="C1457" s="9"/>
      <c r="D1457" s="9"/>
      <c r="E1457" s="9"/>
      <c r="F1457" s="16" t="str">
        <f aca="false">IF(B1457="","",IF(COUNTIFS('PM Plan'!$A$5:$A$304,B1457,'PM Plan'!$B$5:$B$304,C1457)&gt;0,"OK","No matching asset + task in plan"))</f>
        <v/>
      </c>
    </row>
    <row r="1458" customFormat="false" ht="15" hidden="false" customHeight="false" outlineLevel="0" collapsed="false">
      <c r="A1458" s="13"/>
      <c r="B1458" s="9"/>
      <c r="C1458" s="9"/>
      <c r="D1458" s="9"/>
      <c r="E1458" s="9"/>
      <c r="F1458" s="16" t="str">
        <f aca="false">IF(B1458="","",IF(COUNTIFS('PM Plan'!$A$5:$A$304,B1458,'PM Plan'!$B$5:$B$304,C1458)&gt;0,"OK","No matching asset + task in plan"))</f>
        <v/>
      </c>
    </row>
    <row r="1459" customFormat="false" ht="15" hidden="false" customHeight="false" outlineLevel="0" collapsed="false">
      <c r="A1459" s="13"/>
      <c r="B1459" s="9"/>
      <c r="C1459" s="9"/>
      <c r="D1459" s="9"/>
      <c r="E1459" s="9"/>
      <c r="F1459" s="16" t="str">
        <f aca="false">IF(B1459="","",IF(COUNTIFS('PM Plan'!$A$5:$A$304,B1459,'PM Plan'!$B$5:$B$304,C1459)&gt;0,"OK","No matching asset + task in plan"))</f>
        <v/>
      </c>
    </row>
    <row r="1460" customFormat="false" ht="15" hidden="false" customHeight="false" outlineLevel="0" collapsed="false">
      <c r="A1460" s="13"/>
      <c r="B1460" s="9"/>
      <c r="C1460" s="9"/>
      <c r="D1460" s="9"/>
      <c r="E1460" s="9"/>
      <c r="F1460" s="16" t="str">
        <f aca="false">IF(B1460="","",IF(COUNTIFS('PM Plan'!$A$5:$A$304,B1460,'PM Plan'!$B$5:$B$304,C1460)&gt;0,"OK","No matching asset + task in plan"))</f>
        <v/>
      </c>
    </row>
    <row r="1461" customFormat="false" ht="15" hidden="false" customHeight="false" outlineLevel="0" collapsed="false">
      <c r="A1461" s="13"/>
      <c r="B1461" s="9"/>
      <c r="C1461" s="9"/>
      <c r="D1461" s="9"/>
      <c r="E1461" s="9"/>
      <c r="F1461" s="16" t="str">
        <f aca="false">IF(B1461="","",IF(COUNTIFS('PM Plan'!$A$5:$A$304,B1461,'PM Plan'!$B$5:$B$304,C1461)&gt;0,"OK","No matching asset + task in plan"))</f>
        <v/>
      </c>
    </row>
    <row r="1462" customFormat="false" ht="15" hidden="false" customHeight="false" outlineLevel="0" collapsed="false">
      <c r="A1462" s="13"/>
      <c r="B1462" s="9"/>
      <c r="C1462" s="9"/>
      <c r="D1462" s="9"/>
      <c r="E1462" s="9"/>
      <c r="F1462" s="16" t="str">
        <f aca="false">IF(B1462="","",IF(COUNTIFS('PM Plan'!$A$5:$A$304,B1462,'PM Plan'!$B$5:$B$304,C1462)&gt;0,"OK","No matching asset + task in plan"))</f>
        <v/>
      </c>
    </row>
    <row r="1463" customFormat="false" ht="15" hidden="false" customHeight="false" outlineLevel="0" collapsed="false">
      <c r="A1463" s="13"/>
      <c r="B1463" s="9"/>
      <c r="C1463" s="9"/>
      <c r="D1463" s="9"/>
      <c r="E1463" s="9"/>
      <c r="F1463" s="16" t="str">
        <f aca="false">IF(B1463="","",IF(COUNTIFS('PM Plan'!$A$5:$A$304,B1463,'PM Plan'!$B$5:$B$304,C1463)&gt;0,"OK","No matching asset + task in plan"))</f>
        <v/>
      </c>
    </row>
    <row r="1464" customFormat="false" ht="15" hidden="false" customHeight="false" outlineLevel="0" collapsed="false">
      <c r="A1464" s="13"/>
      <c r="B1464" s="9"/>
      <c r="C1464" s="9"/>
      <c r="D1464" s="9"/>
      <c r="E1464" s="9"/>
      <c r="F1464" s="16" t="str">
        <f aca="false">IF(B1464="","",IF(COUNTIFS('PM Plan'!$A$5:$A$304,B1464,'PM Plan'!$B$5:$B$304,C1464)&gt;0,"OK","No matching asset + task in plan"))</f>
        <v/>
      </c>
    </row>
    <row r="1465" customFormat="false" ht="15" hidden="false" customHeight="false" outlineLevel="0" collapsed="false">
      <c r="A1465" s="13"/>
      <c r="B1465" s="9"/>
      <c r="C1465" s="9"/>
      <c r="D1465" s="9"/>
      <c r="E1465" s="9"/>
      <c r="F1465" s="16" t="str">
        <f aca="false">IF(B1465="","",IF(COUNTIFS('PM Plan'!$A$5:$A$304,B1465,'PM Plan'!$B$5:$B$304,C1465)&gt;0,"OK","No matching asset + task in plan"))</f>
        <v/>
      </c>
    </row>
    <row r="1466" customFormat="false" ht="15" hidden="false" customHeight="false" outlineLevel="0" collapsed="false">
      <c r="A1466" s="13"/>
      <c r="B1466" s="9"/>
      <c r="C1466" s="9"/>
      <c r="D1466" s="9"/>
      <c r="E1466" s="9"/>
      <c r="F1466" s="16" t="str">
        <f aca="false">IF(B1466="","",IF(COUNTIFS('PM Plan'!$A$5:$A$304,B1466,'PM Plan'!$B$5:$B$304,C1466)&gt;0,"OK","No matching asset + task in plan"))</f>
        <v/>
      </c>
    </row>
    <row r="1467" customFormat="false" ht="15" hidden="false" customHeight="false" outlineLevel="0" collapsed="false">
      <c r="A1467" s="13"/>
      <c r="B1467" s="9"/>
      <c r="C1467" s="9"/>
      <c r="D1467" s="9"/>
      <c r="E1467" s="9"/>
      <c r="F1467" s="16" t="str">
        <f aca="false">IF(B1467="","",IF(COUNTIFS('PM Plan'!$A$5:$A$304,B1467,'PM Plan'!$B$5:$B$304,C1467)&gt;0,"OK","No matching asset + task in plan"))</f>
        <v/>
      </c>
    </row>
    <row r="1468" customFormat="false" ht="15" hidden="false" customHeight="false" outlineLevel="0" collapsed="false">
      <c r="A1468" s="13"/>
      <c r="B1468" s="9"/>
      <c r="C1468" s="9"/>
      <c r="D1468" s="9"/>
      <c r="E1468" s="9"/>
      <c r="F1468" s="16" t="str">
        <f aca="false">IF(B1468="","",IF(COUNTIFS('PM Plan'!$A$5:$A$304,B1468,'PM Plan'!$B$5:$B$304,C1468)&gt;0,"OK","No matching asset + task in plan"))</f>
        <v/>
      </c>
    </row>
    <row r="1469" customFormat="false" ht="15" hidden="false" customHeight="false" outlineLevel="0" collapsed="false">
      <c r="A1469" s="13"/>
      <c r="B1469" s="9"/>
      <c r="C1469" s="9"/>
      <c r="D1469" s="9"/>
      <c r="E1469" s="9"/>
      <c r="F1469" s="16" t="str">
        <f aca="false">IF(B1469="","",IF(COUNTIFS('PM Plan'!$A$5:$A$304,B1469,'PM Plan'!$B$5:$B$304,C1469)&gt;0,"OK","No matching asset + task in plan"))</f>
        <v/>
      </c>
    </row>
    <row r="1470" customFormat="false" ht="15" hidden="false" customHeight="false" outlineLevel="0" collapsed="false">
      <c r="A1470" s="13"/>
      <c r="B1470" s="9"/>
      <c r="C1470" s="9"/>
      <c r="D1470" s="9"/>
      <c r="E1470" s="9"/>
      <c r="F1470" s="16" t="str">
        <f aca="false">IF(B1470="","",IF(COUNTIFS('PM Plan'!$A$5:$A$304,B1470,'PM Plan'!$B$5:$B$304,C1470)&gt;0,"OK","No matching asset + task in plan"))</f>
        <v/>
      </c>
    </row>
    <row r="1471" customFormat="false" ht="15" hidden="false" customHeight="false" outlineLevel="0" collapsed="false">
      <c r="A1471" s="13"/>
      <c r="B1471" s="9"/>
      <c r="C1471" s="9"/>
      <c r="D1471" s="9"/>
      <c r="E1471" s="9"/>
      <c r="F1471" s="16" t="str">
        <f aca="false">IF(B1471="","",IF(COUNTIFS('PM Plan'!$A$5:$A$304,B1471,'PM Plan'!$B$5:$B$304,C1471)&gt;0,"OK","No matching asset + task in plan"))</f>
        <v/>
      </c>
    </row>
    <row r="1472" customFormat="false" ht="15" hidden="false" customHeight="false" outlineLevel="0" collapsed="false">
      <c r="A1472" s="13"/>
      <c r="B1472" s="9"/>
      <c r="C1472" s="9"/>
      <c r="D1472" s="9"/>
      <c r="E1472" s="9"/>
      <c r="F1472" s="16" t="str">
        <f aca="false">IF(B1472="","",IF(COUNTIFS('PM Plan'!$A$5:$A$304,B1472,'PM Plan'!$B$5:$B$304,C1472)&gt;0,"OK","No matching asset + task in plan"))</f>
        <v/>
      </c>
    </row>
    <row r="1473" customFormat="false" ht="15" hidden="false" customHeight="false" outlineLevel="0" collapsed="false">
      <c r="A1473" s="13"/>
      <c r="B1473" s="9"/>
      <c r="C1473" s="9"/>
      <c r="D1473" s="9"/>
      <c r="E1473" s="9"/>
      <c r="F1473" s="16" t="str">
        <f aca="false">IF(B1473="","",IF(COUNTIFS('PM Plan'!$A$5:$A$304,B1473,'PM Plan'!$B$5:$B$304,C1473)&gt;0,"OK","No matching asset + task in plan"))</f>
        <v/>
      </c>
    </row>
    <row r="1474" customFormat="false" ht="15" hidden="false" customHeight="false" outlineLevel="0" collapsed="false">
      <c r="A1474" s="13"/>
      <c r="B1474" s="9"/>
      <c r="C1474" s="9"/>
      <c r="D1474" s="9"/>
      <c r="E1474" s="9"/>
      <c r="F1474" s="16" t="str">
        <f aca="false">IF(B1474="","",IF(COUNTIFS('PM Plan'!$A$5:$A$304,B1474,'PM Plan'!$B$5:$B$304,C1474)&gt;0,"OK","No matching asset + task in plan"))</f>
        <v/>
      </c>
    </row>
    <row r="1475" customFormat="false" ht="15" hidden="false" customHeight="false" outlineLevel="0" collapsed="false">
      <c r="A1475" s="13"/>
      <c r="B1475" s="9"/>
      <c r="C1475" s="9"/>
      <c r="D1475" s="9"/>
      <c r="E1475" s="9"/>
      <c r="F1475" s="16" t="str">
        <f aca="false">IF(B1475="","",IF(COUNTIFS('PM Plan'!$A$5:$A$304,B1475,'PM Plan'!$B$5:$B$304,C1475)&gt;0,"OK","No matching asset + task in plan"))</f>
        <v/>
      </c>
    </row>
    <row r="1476" customFormat="false" ht="15" hidden="false" customHeight="false" outlineLevel="0" collapsed="false">
      <c r="A1476" s="13"/>
      <c r="B1476" s="9"/>
      <c r="C1476" s="9"/>
      <c r="D1476" s="9"/>
      <c r="E1476" s="9"/>
      <c r="F1476" s="16" t="str">
        <f aca="false">IF(B1476="","",IF(COUNTIFS('PM Plan'!$A$5:$A$304,B1476,'PM Plan'!$B$5:$B$304,C1476)&gt;0,"OK","No matching asset + task in plan"))</f>
        <v/>
      </c>
    </row>
    <row r="1477" customFormat="false" ht="15" hidden="false" customHeight="false" outlineLevel="0" collapsed="false">
      <c r="A1477" s="13"/>
      <c r="B1477" s="9"/>
      <c r="C1477" s="9"/>
      <c r="D1477" s="9"/>
      <c r="E1477" s="9"/>
      <c r="F1477" s="16" t="str">
        <f aca="false">IF(B1477="","",IF(COUNTIFS('PM Plan'!$A$5:$A$304,B1477,'PM Plan'!$B$5:$B$304,C1477)&gt;0,"OK","No matching asset + task in plan"))</f>
        <v/>
      </c>
    </row>
    <row r="1478" customFormat="false" ht="15" hidden="false" customHeight="false" outlineLevel="0" collapsed="false">
      <c r="A1478" s="13"/>
      <c r="B1478" s="9"/>
      <c r="C1478" s="9"/>
      <c r="D1478" s="9"/>
      <c r="E1478" s="9"/>
      <c r="F1478" s="16" t="str">
        <f aca="false">IF(B1478="","",IF(COUNTIFS('PM Plan'!$A$5:$A$304,B1478,'PM Plan'!$B$5:$B$304,C1478)&gt;0,"OK","No matching asset + task in plan"))</f>
        <v/>
      </c>
    </row>
    <row r="1479" customFormat="false" ht="15" hidden="false" customHeight="false" outlineLevel="0" collapsed="false">
      <c r="A1479" s="13"/>
      <c r="B1479" s="9"/>
      <c r="C1479" s="9"/>
      <c r="D1479" s="9"/>
      <c r="E1479" s="9"/>
      <c r="F1479" s="16" t="str">
        <f aca="false">IF(B1479="","",IF(COUNTIFS('PM Plan'!$A$5:$A$304,B1479,'PM Plan'!$B$5:$B$304,C1479)&gt;0,"OK","No matching asset + task in plan"))</f>
        <v/>
      </c>
    </row>
    <row r="1480" customFormat="false" ht="15" hidden="false" customHeight="false" outlineLevel="0" collapsed="false">
      <c r="A1480" s="13"/>
      <c r="B1480" s="9"/>
      <c r="C1480" s="9"/>
      <c r="D1480" s="9"/>
      <c r="E1480" s="9"/>
      <c r="F1480" s="16" t="str">
        <f aca="false">IF(B1480="","",IF(COUNTIFS('PM Plan'!$A$5:$A$304,B1480,'PM Plan'!$B$5:$B$304,C1480)&gt;0,"OK","No matching asset + task in plan"))</f>
        <v/>
      </c>
    </row>
    <row r="1481" customFormat="false" ht="15" hidden="false" customHeight="false" outlineLevel="0" collapsed="false">
      <c r="A1481" s="13"/>
      <c r="B1481" s="9"/>
      <c r="C1481" s="9"/>
      <c r="D1481" s="9"/>
      <c r="E1481" s="9"/>
      <c r="F1481" s="16" t="str">
        <f aca="false">IF(B1481="","",IF(COUNTIFS('PM Plan'!$A$5:$A$304,B1481,'PM Plan'!$B$5:$B$304,C1481)&gt;0,"OK","No matching asset + task in plan"))</f>
        <v/>
      </c>
    </row>
    <row r="1482" customFormat="false" ht="15" hidden="false" customHeight="false" outlineLevel="0" collapsed="false">
      <c r="A1482" s="13"/>
      <c r="B1482" s="9"/>
      <c r="C1482" s="9"/>
      <c r="D1482" s="9"/>
      <c r="E1482" s="9"/>
      <c r="F1482" s="16" t="str">
        <f aca="false">IF(B1482="","",IF(COUNTIFS('PM Plan'!$A$5:$A$304,B1482,'PM Plan'!$B$5:$B$304,C1482)&gt;0,"OK","No matching asset + task in plan"))</f>
        <v/>
      </c>
    </row>
    <row r="1483" customFormat="false" ht="15" hidden="false" customHeight="false" outlineLevel="0" collapsed="false">
      <c r="A1483" s="13"/>
      <c r="B1483" s="9"/>
      <c r="C1483" s="9"/>
      <c r="D1483" s="9"/>
      <c r="E1483" s="9"/>
      <c r="F1483" s="16" t="str">
        <f aca="false">IF(B1483="","",IF(COUNTIFS('PM Plan'!$A$5:$A$304,B1483,'PM Plan'!$B$5:$B$304,C1483)&gt;0,"OK","No matching asset + task in plan"))</f>
        <v/>
      </c>
    </row>
    <row r="1484" customFormat="false" ht="15" hidden="false" customHeight="false" outlineLevel="0" collapsed="false">
      <c r="A1484" s="13"/>
      <c r="B1484" s="9"/>
      <c r="C1484" s="9"/>
      <c r="D1484" s="9"/>
      <c r="E1484" s="9"/>
      <c r="F1484" s="16" t="str">
        <f aca="false">IF(B1484="","",IF(COUNTIFS('PM Plan'!$A$5:$A$304,B1484,'PM Plan'!$B$5:$B$304,C1484)&gt;0,"OK","No matching asset + task in plan"))</f>
        <v/>
      </c>
    </row>
    <row r="1485" customFormat="false" ht="15" hidden="false" customHeight="false" outlineLevel="0" collapsed="false">
      <c r="A1485" s="13"/>
      <c r="B1485" s="9"/>
      <c r="C1485" s="9"/>
      <c r="D1485" s="9"/>
      <c r="E1485" s="9"/>
      <c r="F1485" s="16" t="str">
        <f aca="false">IF(B1485="","",IF(COUNTIFS('PM Plan'!$A$5:$A$304,B1485,'PM Plan'!$B$5:$B$304,C1485)&gt;0,"OK","No matching asset + task in plan"))</f>
        <v/>
      </c>
    </row>
    <row r="1486" customFormat="false" ht="15" hidden="false" customHeight="false" outlineLevel="0" collapsed="false">
      <c r="A1486" s="13"/>
      <c r="B1486" s="9"/>
      <c r="C1486" s="9"/>
      <c r="D1486" s="9"/>
      <c r="E1486" s="9"/>
      <c r="F1486" s="16" t="str">
        <f aca="false">IF(B1486="","",IF(COUNTIFS('PM Plan'!$A$5:$A$304,B1486,'PM Plan'!$B$5:$B$304,C1486)&gt;0,"OK","No matching asset + task in plan"))</f>
        <v/>
      </c>
    </row>
    <row r="1487" customFormat="false" ht="15" hidden="false" customHeight="false" outlineLevel="0" collapsed="false">
      <c r="A1487" s="13"/>
      <c r="B1487" s="9"/>
      <c r="C1487" s="9"/>
      <c r="D1487" s="9"/>
      <c r="E1487" s="9"/>
      <c r="F1487" s="16" t="str">
        <f aca="false">IF(B1487="","",IF(COUNTIFS('PM Plan'!$A$5:$A$304,B1487,'PM Plan'!$B$5:$B$304,C1487)&gt;0,"OK","No matching asset + task in plan"))</f>
        <v/>
      </c>
    </row>
    <row r="1488" customFormat="false" ht="15" hidden="false" customHeight="false" outlineLevel="0" collapsed="false">
      <c r="A1488" s="13"/>
      <c r="B1488" s="9"/>
      <c r="C1488" s="9"/>
      <c r="D1488" s="9"/>
      <c r="E1488" s="9"/>
      <c r="F1488" s="16" t="str">
        <f aca="false">IF(B1488="","",IF(COUNTIFS('PM Plan'!$A$5:$A$304,B1488,'PM Plan'!$B$5:$B$304,C1488)&gt;0,"OK","No matching asset + task in plan"))</f>
        <v/>
      </c>
    </row>
    <row r="1489" customFormat="false" ht="15" hidden="false" customHeight="false" outlineLevel="0" collapsed="false">
      <c r="A1489" s="13"/>
      <c r="B1489" s="9"/>
      <c r="C1489" s="9"/>
      <c r="D1489" s="9"/>
      <c r="E1489" s="9"/>
      <c r="F1489" s="16" t="str">
        <f aca="false">IF(B1489="","",IF(COUNTIFS('PM Plan'!$A$5:$A$304,B1489,'PM Plan'!$B$5:$B$304,C1489)&gt;0,"OK","No matching asset + task in plan"))</f>
        <v/>
      </c>
    </row>
    <row r="1490" customFormat="false" ht="15" hidden="false" customHeight="false" outlineLevel="0" collapsed="false">
      <c r="A1490" s="13"/>
      <c r="B1490" s="9"/>
      <c r="C1490" s="9"/>
      <c r="D1490" s="9"/>
      <c r="E1490" s="9"/>
      <c r="F1490" s="16" t="str">
        <f aca="false">IF(B1490="","",IF(COUNTIFS('PM Plan'!$A$5:$A$304,B1490,'PM Plan'!$B$5:$B$304,C1490)&gt;0,"OK","No matching asset + task in plan"))</f>
        <v/>
      </c>
    </row>
    <row r="1491" customFormat="false" ht="15" hidden="false" customHeight="false" outlineLevel="0" collapsed="false">
      <c r="A1491" s="13"/>
      <c r="B1491" s="9"/>
      <c r="C1491" s="9"/>
      <c r="D1491" s="9"/>
      <c r="E1491" s="9"/>
      <c r="F1491" s="16" t="str">
        <f aca="false">IF(B1491="","",IF(COUNTIFS('PM Plan'!$A$5:$A$304,B1491,'PM Plan'!$B$5:$B$304,C1491)&gt;0,"OK","No matching asset + task in plan"))</f>
        <v/>
      </c>
    </row>
    <row r="1492" customFormat="false" ht="15" hidden="false" customHeight="false" outlineLevel="0" collapsed="false">
      <c r="A1492" s="13"/>
      <c r="B1492" s="9"/>
      <c r="C1492" s="9"/>
      <c r="D1492" s="9"/>
      <c r="E1492" s="9"/>
      <c r="F1492" s="16" t="str">
        <f aca="false">IF(B1492="","",IF(COUNTIFS('PM Plan'!$A$5:$A$304,B1492,'PM Plan'!$B$5:$B$304,C1492)&gt;0,"OK","No matching asset + task in plan"))</f>
        <v/>
      </c>
    </row>
    <row r="1493" customFormat="false" ht="15" hidden="false" customHeight="false" outlineLevel="0" collapsed="false">
      <c r="A1493" s="13"/>
      <c r="B1493" s="9"/>
      <c r="C1493" s="9"/>
      <c r="D1493" s="9"/>
      <c r="E1493" s="9"/>
      <c r="F1493" s="16" t="str">
        <f aca="false">IF(B1493="","",IF(COUNTIFS('PM Plan'!$A$5:$A$304,B1493,'PM Plan'!$B$5:$B$304,C1493)&gt;0,"OK","No matching asset + task in plan"))</f>
        <v/>
      </c>
    </row>
    <row r="1494" customFormat="false" ht="15" hidden="false" customHeight="false" outlineLevel="0" collapsed="false">
      <c r="A1494" s="13"/>
      <c r="B1494" s="9"/>
      <c r="C1494" s="9"/>
      <c r="D1494" s="9"/>
      <c r="E1494" s="9"/>
      <c r="F1494" s="16" t="str">
        <f aca="false">IF(B1494="","",IF(COUNTIFS('PM Plan'!$A$5:$A$304,B1494,'PM Plan'!$B$5:$B$304,C1494)&gt;0,"OK","No matching asset + task in plan"))</f>
        <v/>
      </c>
    </row>
    <row r="1495" customFormat="false" ht="15" hidden="false" customHeight="false" outlineLevel="0" collapsed="false">
      <c r="A1495" s="13"/>
      <c r="B1495" s="9"/>
      <c r="C1495" s="9"/>
      <c r="D1495" s="9"/>
      <c r="E1495" s="9"/>
      <c r="F1495" s="16" t="str">
        <f aca="false">IF(B1495="","",IF(COUNTIFS('PM Plan'!$A$5:$A$304,B1495,'PM Plan'!$B$5:$B$304,C1495)&gt;0,"OK","No matching asset + task in plan"))</f>
        <v/>
      </c>
    </row>
    <row r="1496" customFormat="false" ht="15" hidden="false" customHeight="false" outlineLevel="0" collapsed="false">
      <c r="A1496" s="13"/>
      <c r="B1496" s="9"/>
      <c r="C1496" s="9"/>
      <c r="D1496" s="9"/>
      <c r="E1496" s="9"/>
      <c r="F1496" s="16" t="str">
        <f aca="false">IF(B1496="","",IF(COUNTIFS('PM Plan'!$A$5:$A$304,B1496,'PM Plan'!$B$5:$B$304,C1496)&gt;0,"OK","No matching asset + task in plan"))</f>
        <v/>
      </c>
    </row>
    <row r="1497" customFormat="false" ht="15" hidden="false" customHeight="false" outlineLevel="0" collapsed="false">
      <c r="A1497" s="13"/>
      <c r="B1497" s="9"/>
      <c r="C1497" s="9"/>
      <c r="D1497" s="9"/>
      <c r="E1497" s="9"/>
      <c r="F1497" s="16" t="str">
        <f aca="false">IF(B1497="","",IF(COUNTIFS('PM Plan'!$A$5:$A$304,B1497,'PM Plan'!$B$5:$B$304,C1497)&gt;0,"OK","No matching asset + task in plan"))</f>
        <v/>
      </c>
    </row>
    <row r="1498" customFormat="false" ht="15" hidden="false" customHeight="false" outlineLevel="0" collapsed="false">
      <c r="A1498" s="13"/>
      <c r="B1498" s="9"/>
      <c r="C1498" s="9"/>
      <c r="D1498" s="9"/>
      <c r="E1498" s="9"/>
      <c r="F1498" s="16" t="str">
        <f aca="false">IF(B1498="","",IF(COUNTIFS('PM Plan'!$A$5:$A$304,B1498,'PM Plan'!$B$5:$B$304,C1498)&gt;0,"OK","No matching asset + task in plan"))</f>
        <v/>
      </c>
    </row>
    <row r="1499" customFormat="false" ht="15" hidden="false" customHeight="false" outlineLevel="0" collapsed="false">
      <c r="A1499" s="13"/>
      <c r="B1499" s="9"/>
      <c r="C1499" s="9"/>
      <c r="D1499" s="9"/>
      <c r="E1499" s="9"/>
      <c r="F1499" s="16" t="str">
        <f aca="false">IF(B1499="","",IF(COUNTIFS('PM Plan'!$A$5:$A$304,B1499,'PM Plan'!$B$5:$B$304,C1499)&gt;0,"OK","No matching asset + task in plan"))</f>
        <v/>
      </c>
    </row>
    <row r="1500" customFormat="false" ht="15" hidden="false" customHeight="false" outlineLevel="0" collapsed="false">
      <c r="A1500" s="13"/>
      <c r="B1500" s="9"/>
      <c r="C1500" s="9"/>
      <c r="D1500" s="9"/>
      <c r="E1500" s="9"/>
      <c r="F1500" s="16" t="str">
        <f aca="false">IF(B1500="","",IF(COUNTIFS('PM Plan'!$A$5:$A$304,B1500,'PM Plan'!$B$5:$B$304,C1500)&gt;0,"OK","No matching asset + task in plan"))</f>
        <v/>
      </c>
    </row>
    <row r="1501" customFormat="false" ht="15" hidden="false" customHeight="false" outlineLevel="0" collapsed="false">
      <c r="A1501" s="13"/>
      <c r="B1501" s="9"/>
      <c r="C1501" s="9"/>
      <c r="D1501" s="9"/>
      <c r="E1501" s="9"/>
      <c r="F1501" s="16" t="str">
        <f aca="false">IF(B1501="","",IF(COUNTIFS('PM Plan'!$A$5:$A$304,B1501,'PM Plan'!$B$5:$B$304,C1501)&gt;0,"OK","No matching asset + task in plan"))</f>
        <v/>
      </c>
    </row>
    <row r="1502" customFormat="false" ht="15" hidden="false" customHeight="false" outlineLevel="0" collapsed="false">
      <c r="A1502" s="13"/>
      <c r="B1502" s="9"/>
      <c r="C1502" s="9"/>
      <c r="D1502" s="9"/>
      <c r="E1502" s="9"/>
      <c r="F1502" s="16" t="str">
        <f aca="false">IF(B1502="","",IF(COUNTIFS('PM Plan'!$A$5:$A$304,B1502,'PM Plan'!$B$5:$B$304,C1502)&gt;0,"OK","No matching asset + task in plan"))</f>
        <v/>
      </c>
    </row>
    <row r="1503" customFormat="false" ht="15" hidden="false" customHeight="false" outlineLevel="0" collapsed="false">
      <c r="A1503" s="13"/>
      <c r="B1503" s="9"/>
      <c r="C1503" s="9"/>
      <c r="D1503" s="9"/>
      <c r="E1503" s="9"/>
      <c r="F1503" s="16" t="str">
        <f aca="false">IF(B1503="","",IF(COUNTIFS('PM Plan'!$A$5:$A$304,B1503,'PM Plan'!$B$5:$B$304,C1503)&gt;0,"OK","No matching asset + task in plan"))</f>
        <v/>
      </c>
    </row>
    <row r="1504" customFormat="false" ht="15" hidden="false" customHeight="false" outlineLevel="0" collapsed="false">
      <c r="A1504" s="13"/>
      <c r="B1504" s="9"/>
      <c r="C1504" s="9"/>
      <c r="D1504" s="9"/>
      <c r="E1504" s="9"/>
      <c r="F1504" s="16" t="str">
        <f aca="false">IF(B1504="","",IF(COUNTIFS('PM Plan'!$A$5:$A$304,B1504,'PM Plan'!$B$5:$B$304,C1504)&gt;0,"OK","No matching asset + task in plan"))</f>
        <v/>
      </c>
    </row>
    <row r="1505" customFormat="false" ht="15" hidden="false" customHeight="false" outlineLevel="0" collapsed="false">
      <c r="A1505" s="13"/>
      <c r="B1505" s="9"/>
      <c r="C1505" s="9"/>
      <c r="D1505" s="9"/>
      <c r="E1505" s="9"/>
      <c r="F1505" s="16" t="str">
        <f aca="false">IF(B1505="","",IF(COUNTIFS('PM Plan'!$A$5:$A$304,B1505,'PM Plan'!$B$5:$B$304,C1505)&gt;0,"OK","No matching asset + task in plan"))</f>
        <v/>
      </c>
    </row>
    <row r="1506" customFormat="false" ht="15" hidden="false" customHeight="false" outlineLevel="0" collapsed="false">
      <c r="A1506" s="13"/>
      <c r="B1506" s="9"/>
      <c r="C1506" s="9"/>
      <c r="D1506" s="9"/>
      <c r="E1506" s="9"/>
      <c r="F1506" s="16" t="str">
        <f aca="false">IF(B1506="","",IF(COUNTIFS('PM Plan'!$A$5:$A$304,B1506,'PM Plan'!$B$5:$B$304,C1506)&gt;0,"OK","No matching asset + task in plan"))</f>
        <v/>
      </c>
    </row>
    <row r="1507" customFormat="false" ht="15" hidden="false" customHeight="false" outlineLevel="0" collapsed="false">
      <c r="A1507" s="13"/>
      <c r="B1507" s="9"/>
      <c r="C1507" s="9"/>
      <c r="D1507" s="9"/>
      <c r="E1507" s="9"/>
      <c r="F1507" s="16" t="str">
        <f aca="false">IF(B1507="","",IF(COUNTIFS('PM Plan'!$A$5:$A$304,B1507,'PM Plan'!$B$5:$B$304,C1507)&gt;0,"OK","No matching asset + task in plan"))</f>
        <v/>
      </c>
    </row>
    <row r="1508" customFormat="false" ht="15" hidden="false" customHeight="false" outlineLevel="0" collapsed="false">
      <c r="A1508" s="13"/>
      <c r="B1508" s="9"/>
      <c r="C1508" s="9"/>
      <c r="D1508" s="9"/>
      <c r="E1508" s="9"/>
      <c r="F1508" s="16" t="str">
        <f aca="false">IF(B1508="","",IF(COUNTIFS('PM Plan'!$A$5:$A$304,B1508,'PM Plan'!$B$5:$B$304,C1508)&gt;0,"OK","No matching asset + task in plan"))</f>
        <v/>
      </c>
    </row>
    <row r="1509" customFormat="false" ht="15" hidden="false" customHeight="false" outlineLevel="0" collapsed="false">
      <c r="A1509" s="13"/>
      <c r="B1509" s="9"/>
      <c r="C1509" s="9"/>
      <c r="D1509" s="9"/>
      <c r="E1509" s="9"/>
      <c r="F1509" s="16" t="str">
        <f aca="false">IF(B1509="","",IF(COUNTIFS('PM Plan'!$A$5:$A$304,B1509,'PM Plan'!$B$5:$B$304,C1509)&gt;0,"OK","No matching asset + task in plan"))</f>
        <v/>
      </c>
    </row>
    <row r="1510" customFormat="false" ht="15" hidden="false" customHeight="false" outlineLevel="0" collapsed="false">
      <c r="A1510" s="13"/>
      <c r="B1510" s="9"/>
      <c r="C1510" s="9"/>
      <c r="D1510" s="9"/>
      <c r="E1510" s="9"/>
      <c r="F1510" s="16" t="str">
        <f aca="false">IF(B1510="","",IF(COUNTIFS('PM Plan'!$A$5:$A$304,B1510,'PM Plan'!$B$5:$B$304,C1510)&gt;0,"OK","No matching asset + task in plan"))</f>
        <v/>
      </c>
    </row>
    <row r="1511" customFormat="false" ht="15" hidden="false" customHeight="false" outlineLevel="0" collapsed="false">
      <c r="A1511" s="13"/>
      <c r="B1511" s="9"/>
      <c r="C1511" s="9"/>
      <c r="D1511" s="9"/>
      <c r="E1511" s="9"/>
      <c r="F1511" s="16" t="str">
        <f aca="false">IF(B1511="","",IF(COUNTIFS('PM Plan'!$A$5:$A$304,B1511,'PM Plan'!$B$5:$B$304,C1511)&gt;0,"OK","No matching asset + task in plan"))</f>
        <v/>
      </c>
    </row>
    <row r="1512" customFormat="false" ht="15" hidden="false" customHeight="false" outlineLevel="0" collapsed="false">
      <c r="A1512" s="13"/>
      <c r="B1512" s="9"/>
      <c r="C1512" s="9"/>
      <c r="D1512" s="9"/>
      <c r="E1512" s="9"/>
      <c r="F1512" s="16" t="str">
        <f aca="false">IF(B1512="","",IF(COUNTIFS('PM Plan'!$A$5:$A$304,B1512,'PM Plan'!$B$5:$B$304,C1512)&gt;0,"OK","No matching asset + task in plan"))</f>
        <v/>
      </c>
    </row>
    <row r="1513" customFormat="false" ht="15" hidden="false" customHeight="false" outlineLevel="0" collapsed="false">
      <c r="A1513" s="13"/>
      <c r="B1513" s="9"/>
      <c r="C1513" s="9"/>
      <c r="D1513" s="9"/>
      <c r="E1513" s="9"/>
      <c r="F1513" s="16" t="str">
        <f aca="false">IF(B1513="","",IF(COUNTIFS('PM Plan'!$A$5:$A$304,B1513,'PM Plan'!$B$5:$B$304,C1513)&gt;0,"OK","No matching asset + task in plan"))</f>
        <v/>
      </c>
    </row>
    <row r="1514" customFormat="false" ht="15" hidden="false" customHeight="false" outlineLevel="0" collapsed="false">
      <c r="A1514" s="13"/>
      <c r="B1514" s="9"/>
      <c r="C1514" s="9"/>
      <c r="D1514" s="9"/>
      <c r="E1514" s="9"/>
      <c r="F1514" s="16" t="str">
        <f aca="false">IF(B1514="","",IF(COUNTIFS('PM Plan'!$A$5:$A$304,B1514,'PM Plan'!$B$5:$B$304,C1514)&gt;0,"OK","No matching asset + task in plan"))</f>
        <v/>
      </c>
    </row>
    <row r="1515" customFormat="false" ht="15" hidden="false" customHeight="false" outlineLevel="0" collapsed="false">
      <c r="A1515" s="13"/>
      <c r="B1515" s="9"/>
      <c r="C1515" s="9"/>
      <c r="D1515" s="9"/>
      <c r="E1515" s="9"/>
      <c r="F1515" s="16" t="str">
        <f aca="false">IF(B1515="","",IF(COUNTIFS('PM Plan'!$A$5:$A$304,B1515,'PM Plan'!$B$5:$B$304,C1515)&gt;0,"OK","No matching asset + task in plan"))</f>
        <v/>
      </c>
    </row>
    <row r="1516" customFormat="false" ht="15" hidden="false" customHeight="false" outlineLevel="0" collapsed="false">
      <c r="A1516" s="13"/>
      <c r="B1516" s="9"/>
      <c r="C1516" s="9"/>
      <c r="D1516" s="9"/>
      <c r="E1516" s="9"/>
      <c r="F1516" s="16" t="str">
        <f aca="false">IF(B1516="","",IF(COUNTIFS('PM Plan'!$A$5:$A$304,B1516,'PM Plan'!$B$5:$B$304,C1516)&gt;0,"OK","No matching asset + task in plan"))</f>
        <v/>
      </c>
    </row>
    <row r="1517" customFormat="false" ht="15" hidden="false" customHeight="false" outlineLevel="0" collapsed="false">
      <c r="A1517" s="13"/>
      <c r="B1517" s="9"/>
      <c r="C1517" s="9"/>
      <c r="D1517" s="9"/>
      <c r="E1517" s="9"/>
      <c r="F1517" s="16" t="str">
        <f aca="false">IF(B1517="","",IF(COUNTIFS('PM Plan'!$A$5:$A$304,B1517,'PM Plan'!$B$5:$B$304,C1517)&gt;0,"OK","No matching asset + task in plan"))</f>
        <v/>
      </c>
    </row>
    <row r="1518" customFormat="false" ht="15" hidden="false" customHeight="false" outlineLevel="0" collapsed="false">
      <c r="A1518" s="13"/>
      <c r="B1518" s="9"/>
      <c r="C1518" s="9"/>
      <c r="D1518" s="9"/>
      <c r="E1518" s="9"/>
      <c r="F1518" s="16" t="str">
        <f aca="false">IF(B1518="","",IF(COUNTIFS('PM Plan'!$A$5:$A$304,B1518,'PM Plan'!$B$5:$B$304,C1518)&gt;0,"OK","No matching asset + task in plan"))</f>
        <v/>
      </c>
    </row>
    <row r="1519" customFormat="false" ht="15" hidden="false" customHeight="false" outlineLevel="0" collapsed="false">
      <c r="A1519" s="13"/>
      <c r="B1519" s="9"/>
      <c r="C1519" s="9"/>
      <c r="D1519" s="9"/>
      <c r="E1519" s="9"/>
      <c r="F1519" s="16" t="str">
        <f aca="false">IF(B1519="","",IF(COUNTIFS('PM Plan'!$A$5:$A$304,B1519,'PM Plan'!$B$5:$B$304,C1519)&gt;0,"OK","No matching asset + task in plan"))</f>
        <v/>
      </c>
    </row>
    <row r="1520" customFormat="false" ht="15" hidden="false" customHeight="false" outlineLevel="0" collapsed="false">
      <c r="A1520" s="13"/>
      <c r="B1520" s="9"/>
      <c r="C1520" s="9"/>
      <c r="D1520" s="9"/>
      <c r="E1520" s="9"/>
      <c r="F1520" s="16" t="str">
        <f aca="false">IF(B1520="","",IF(COUNTIFS('PM Plan'!$A$5:$A$304,B1520,'PM Plan'!$B$5:$B$304,C1520)&gt;0,"OK","No matching asset + task in plan"))</f>
        <v/>
      </c>
    </row>
    <row r="1521" customFormat="false" ht="15" hidden="false" customHeight="false" outlineLevel="0" collapsed="false">
      <c r="A1521" s="13"/>
      <c r="B1521" s="9"/>
      <c r="C1521" s="9"/>
      <c r="D1521" s="9"/>
      <c r="E1521" s="9"/>
      <c r="F1521" s="16" t="str">
        <f aca="false">IF(B1521="","",IF(COUNTIFS('PM Plan'!$A$5:$A$304,B1521,'PM Plan'!$B$5:$B$304,C1521)&gt;0,"OK","No matching asset + task in plan"))</f>
        <v/>
      </c>
    </row>
    <row r="1522" customFormat="false" ht="15" hidden="false" customHeight="false" outlineLevel="0" collapsed="false">
      <c r="A1522" s="13"/>
      <c r="B1522" s="9"/>
      <c r="C1522" s="9"/>
      <c r="D1522" s="9"/>
      <c r="E1522" s="9"/>
      <c r="F1522" s="16" t="str">
        <f aca="false">IF(B1522="","",IF(COUNTIFS('PM Plan'!$A$5:$A$304,B1522,'PM Plan'!$B$5:$B$304,C1522)&gt;0,"OK","No matching asset + task in plan"))</f>
        <v/>
      </c>
    </row>
    <row r="1523" customFormat="false" ht="15" hidden="false" customHeight="false" outlineLevel="0" collapsed="false">
      <c r="A1523" s="13"/>
      <c r="B1523" s="9"/>
      <c r="C1523" s="9"/>
      <c r="D1523" s="9"/>
      <c r="E1523" s="9"/>
      <c r="F1523" s="16" t="str">
        <f aca="false">IF(B1523="","",IF(COUNTIFS('PM Plan'!$A$5:$A$304,B1523,'PM Plan'!$B$5:$B$304,C1523)&gt;0,"OK","No matching asset + task in plan"))</f>
        <v/>
      </c>
    </row>
    <row r="1524" customFormat="false" ht="15" hidden="false" customHeight="false" outlineLevel="0" collapsed="false">
      <c r="A1524" s="13"/>
      <c r="B1524" s="9"/>
      <c r="C1524" s="9"/>
      <c r="D1524" s="9"/>
      <c r="E1524" s="9"/>
      <c r="F1524" s="16" t="str">
        <f aca="false">IF(B1524="","",IF(COUNTIFS('PM Plan'!$A$5:$A$304,B1524,'PM Plan'!$B$5:$B$304,C1524)&gt;0,"OK","No matching asset + task in plan"))</f>
        <v/>
      </c>
    </row>
    <row r="1525" customFormat="false" ht="15" hidden="false" customHeight="false" outlineLevel="0" collapsed="false">
      <c r="A1525" s="13"/>
      <c r="B1525" s="9"/>
      <c r="C1525" s="9"/>
      <c r="D1525" s="9"/>
      <c r="E1525" s="9"/>
      <c r="F1525" s="16" t="str">
        <f aca="false">IF(B1525="","",IF(COUNTIFS('PM Plan'!$A$5:$A$304,B1525,'PM Plan'!$B$5:$B$304,C1525)&gt;0,"OK","No matching asset + task in plan"))</f>
        <v/>
      </c>
    </row>
    <row r="1526" customFormat="false" ht="15" hidden="false" customHeight="false" outlineLevel="0" collapsed="false">
      <c r="A1526" s="13"/>
      <c r="B1526" s="9"/>
      <c r="C1526" s="9"/>
      <c r="D1526" s="9"/>
      <c r="E1526" s="9"/>
      <c r="F1526" s="16" t="str">
        <f aca="false">IF(B1526="","",IF(COUNTIFS('PM Plan'!$A$5:$A$304,B1526,'PM Plan'!$B$5:$B$304,C1526)&gt;0,"OK","No matching asset + task in plan"))</f>
        <v/>
      </c>
    </row>
    <row r="1527" customFormat="false" ht="15" hidden="false" customHeight="false" outlineLevel="0" collapsed="false">
      <c r="A1527" s="13"/>
      <c r="B1527" s="9"/>
      <c r="C1527" s="9"/>
      <c r="D1527" s="9"/>
      <c r="E1527" s="9"/>
      <c r="F1527" s="16" t="str">
        <f aca="false">IF(B1527="","",IF(COUNTIFS('PM Plan'!$A$5:$A$304,B1527,'PM Plan'!$B$5:$B$304,C1527)&gt;0,"OK","No matching asset + task in plan"))</f>
        <v/>
      </c>
    </row>
    <row r="1528" customFormat="false" ht="15" hidden="false" customHeight="false" outlineLevel="0" collapsed="false">
      <c r="A1528" s="13"/>
      <c r="B1528" s="9"/>
      <c r="C1528" s="9"/>
      <c r="D1528" s="9"/>
      <c r="E1528" s="9"/>
      <c r="F1528" s="16" t="str">
        <f aca="false">IF(B1528="","",IF(COUNTIFS('PM Plan'!$A$5:$A$304,B1528,'PM Plan'!$B$5:$B$304,C1528)&gt;0,"OK","No matching asset + task in plan"))</f>
        <v/>
      </c>
    </row>
    <row r="1529" customFormat="false" ht="15" hidden="false" customHeight="false" outlineLevel="0" collapsed="false">
      <c r="A1529" s="13"/>
      <c r="B1529" s="9"/>
      <c r="C1529" s="9"/>
      <c r="D1529" s="9"/>
      <c r="E1529" s="9"/>
      <c r="F1529" s="16" t="str">
        <f aca="false">IF(B1529="","",IF(COUNTIFS('PM Plan'!$A$5:$A$304,B1529,'PM Plan'!$B$5:$B$304,C1529)&gt;0,"OK","No matching asset + task in plan"))</f>
        <v/>
      </c>
    </row>
    <row r="1530" customFormat="false" ht="15" hidden="false" customHeight="false" outlineLevel="0" collapsed="false">
      <c r="A1530" s="13"/>
      <c r="B1530" s="9"/>
      <c r="C1530" s="9"/>
      <c r="D1530" s="9"/>
      <c r="E1530" s="9"/>
      <c r="F1530" s="16" t="str">
        <f aca="false">IF(B1530="","",IF(COUNTIFS('PM Plan'!$A$5:$A$304,B1530,'PM Plan'!$B$5:$B$304,C1530)&gt;0,"OK","No matching asset + task in plan"))</f>
        <v/>
      </c>
    </row>
    <row r="1531" customFormat="false" ht="15" hidden="false" customHeight="false" outlineLevel="0" collapsed="false">
      <c r="A1531" s="13"/>
      <c r="B1531" s="9"/>
      <c r="C1531" s="9"/>
      <c r="D1531" s="9"/>
      <c r="E1531" s="9"/>
      <c r="F1531" s="16" t="str">
        <f aca="false">IF(B1531="","",IF(COUNTIFS('PM Plan'!$A$5:$A$304,B1531,'PM Plan'!$B$5:$B$304,C1531)&gt;0,"OK","No matching asset + task in plan"))</f>
        <v/>
      </c>
    </row>
    <row r="1532" customFormat="false" ht="15" hidden="false" customHeight="false" outlineLevel="0" collapsed="false">
      <c r="A1532" s="13"/>
      <c r="B1532" s="9"/>
      <c r="C1532" s="9"/>
      <c r="D1532" s="9"/>
      <c r="E1532" s="9"/>
      <c r="F1532" s="16" t="str">
        <f aca="false">IF(B1532="","",IF(COUNTIFS('PM Plan'!$A$5:$A$304,B1532,'PM Plan'!$B$5:$B$304,C1532)&gt;0,"OK","No matching asset + task in plan"))</f>
        <v/>
      </c>
    </row>
    <row r="1533" customFormat="false" ht="15" hidden="false" customHeight="false" outlineLevel="0" collapsed="false">
      <c r="A1533" s="13"/>
      <c r="B1533" s="9"/>
      <c r="C1533" s="9"/>
      <c r="D1533" s="9"/>
      <c r="E1533" s="9"/>
      <c r="F1533" s="16" t="str">
        <f aca="false">IF(B1533="","",IF(COUNTIFS('PM Plan'!$A$5:$A$304,B1533,'PM Plan'!$B$5:$B$304,C1533)&gt;0,"OK","No matching asset + task in plan"))</f>
        <v/>
      </c>
    </row>
    <row r="1534" customFormat="false" ht="15" hidden="false" customHeight="false" outlineLevel="0" collapsed="false">
      <c r="A1534" s="13"/>
      <c r="B1534" s="9"/>
      <c r="C1534" s="9"/>
      <c r="D1534" s="9"/>
      <c r="E1534" s="9"/>
      <c r="F1534" s="16" t="str">
        <f aca="false">IF(B1534="","",IF(COUNTIFS('PM Plan'!$A$5:$A$304,B1534,'PM Plan'!$B$5:$B$304,C1534)&gt;0,"OK","No matching asset + task in plan"))</f>
        <v/>
      </c>
    </row>
    <row r="1535" customFormat="false" ht="15" hidden="false" customHeight="false" outlineLevel="0" collapsed="false">
      <c r="A1535" s="13"/>
      <c r="B1535" s="9"/>
      <c r="C1535" s="9"/>
      <c r="D1535" s="9"/>
      <c r="E1535" s="9"/>
      <c r="F1535" s="16" t="str">
        <f aca="false">IF(B1535="","",IF(COUNTIFS('PM Plan'!$A$5:$A$304,B1535,'PM Plan'!$B$5:$B$304,C1535)&gt;0,"OK","No matching asset + task in plan"))</f>
        <v/>
      </c>
    </row>
    <row r="1536" customFormat="false" ht="15" hidden="false" customHeight="false" outlineLevel="0" collapsed="false">
      <c r="A1536" s="13"/>
      <c r="B1536" s="9"/>
      <c r="C1536" s="9"/>
      <c r="D1536" s="9"/>
      <c r="E1536" s="9"/>
      <c r="F1536" s="16" t="str">
        <f aca="false">IF(B1536="","",IF(COUNTIFS('PM Plan'!$A$5:$A$304,B1536,'PM Plan'!$B$5:$B$304,C1536)&gt;0,"OK","No matching asset + task in plan"))</f>
        <v/>
      </c>
    </row>
    <row r="1537" customFormat="false" ht="15" hidden="false" customHeight="false" outlineLevel="0" collapsed="false">
      <c r="A1537" s="13"/>
      <c r="B1537" s="9"/>
      <c r="C1537" s="9"/>
      <c r="D1537" s="9"/>
      <c r="E1537" s="9"/>
      <c r="F1537" s="16" t="str">
        <f aca="false">IF(B1537="","",IF(COUNTIFS('PM Plan'!$A$5:$A$304,B1537,'PM Plan'!$B$5:$B$304,C1537)&gt;0,"OK","No matching asset + task in plan"))</f>
        <v/>
      </c>
    </row>
    <row r="1538" customFormat="false" ht="15" hidden="false" customHeight="false" outlineLevel="0" collapsed="false">
      <c r="A1538" s="13"/>
      <c r="B1538" s="9"/>
      <c r="C1538" s="9"/>
      <c r="D1538" s="9"/>
      <c r="E1538" s="9"/>
      <c r="F1538" s="16" t="str">
        <f aca="false">IF(B1538="","",IF(COUNTIFS('PM Plan'!$A$5:$A$304,B1538,'PM Plan'!$B$5:$B$304,C1538)&gt;0,"OK","No matching asset + task in plan"))</f>
        <v/>
      </c>
    </row>
    <row r="1539" customFormat="false" ht="15" hidden="false" customHeight="false" outlineLevel="0" collapsed="false">
      <c r="A1539" s="13"/>
      <c r="B1539" s="9"/>
      <c r="C1539" s="9"/>
      <c r="D1539" s="9"/>
      <c r="E1539" s="9"/>
      <c r="F1539" s="16" t="str">
        <f aca="false">IF(B1539="","",IF(COUNTIFS('PM Plan'!$A$5:$A$304,B1539,'PM Plan'!$B$5:$B$304,C1539)&gt;0,"OK","No matching asset + task in plan"))</f>
        <v/>
      </c>
    </row>
    <row r="1540" customFormat="false" ht="15" hidden="false" customHeight="false" outlineLevel="0" collapsed="false">
      <c r="A1540" s="13"/>
      <c r="B1540" s="9"/>
      <c r="C1540" s="9"/>
      <c r="D1540" s="9"/>
      <c r="E1540" s="9"/>
      <c r="F1540" s="16" t="str">
        <f aca="false">IF(B1540="","",IF(COUNTIFS('PM Plan'!$A$5:$A$304,B1540,'PM Plan'!$B$5:$B$304,C1540)&gt;0,"OK","No matching asset + task in plan"))</f>
        <v/>
      </c>
    </row>
    <row r="1541" customFormat="false" ht="15" hidden="false" customHeight="false" outlineLevel="0" collapsed="false">
      <c r="A1541" s="13"/>
      <c r="B1541" s="9"/>
      <c r="C1541" s="9"/>
      <c r="D1541" s="9"/>
      <c r="E1541" s="9"/>
      <c r="F1541" s="16" t="str">
        <f aca="false">IF(B1541="","",IF(COUNTIFS('PM Plan'!$A$5:$A$304,B1541,'PM Plan'!$B$5:$B$304,C1541)&gt;0,"OK","No matching asset + task in plan"))</f>
        <v/>
      </c>
    </row>
    <row r="1542" customFormat="false" ht="15" hidden="false" customHeight="false" outlineLevel="0" collapsed="false">
      <c r="A1542" s="13"/>
      <c r="B1542" s="9"/>
      <c r="C1542" s="9"/>
      <c r="D1542" s="9"/>
      <c r="E1542" s="9"/>
      <c r="F1542" s="16" t="str">
        <f aca="false">IF(B1542="","",IF(COUNTIFS('PM Plan'!$A$5:$A$304,B1542,'PM Plan'!$B$5:$B$304,C1542)&gt;0,"OK","No matching asset + task in plan"))</f>
        <v/>
      </c>
    </row>
    <row r="1543" customFormat="false" ht="15" hidden="false" customHeight="false" outlineLevel="0" collapsed="false">
      <c r="A1543" s="13"/>
      <c r="B1543" s="9"/>
      <c r="C1543" s="9"/>
      <c r="D1543" s="9"/>
      <c r="E1543" s="9"/>
      <c r="F1543" s="16" t="str">
        <f aca="false">IF(B1543="","",IF(COUNTIFS('PM Plan'!$A$5:$A$304,B1543,'PM Plan'!$B$5:$B$304,C1543)&gt;0,"OK","No matching asset + task in plan"))</f>
        <v/>
      </c>
    </row>
    <row r="1544" customFormat="false" ht="15" hidden="false" customHeight="false" outlineLevel="0" collapsed="false">
      <c r="A1544" s="13"/>
      <c r="B1544" s="9"/>
      <c r="C1544" s="9"/>
      <c r="D1544" s="9"/>
      <c r="E1544" s="9"/>
      <c r="F1544" s="16" t="str">
        <f aca="false">IF(B1544="","",IF(COUNTIFS('PM Plan'!$A$5:$A$304,B1544,'PM Plan'!$B$5:$B$304,C1544)&gt;0,"OK","No matching asset + task in plan"))</f>
        <v/>
      </c>
    </row>
    <row r="1545" customFormat="false" ht="15" hidden="false" customHeight="false" outlineLevel="0" collapsed="false">
      <c r="A1545" s="13"/>
      <c r="B1545" s="9"/>
      <c r="C1545" s="9"/>
      <c r="D1545" s="9"/>
      <c r="E1545" s="9"/>
      <c r="F1545" s="16" t="str">
        <f aca="false">IF(B1545="","",IF(COUNTIFS('PM Plan'!$A$5:$A$304,B1545,'PM Plan'!$B$5:$B$304,C1545)&gt;0,"OK","No matching asset + task in plan"))</f>
        <v/>
      </c>
    </row>
    <row r="1546" customFormat="false" ht="15" hidden="false" customHeight="false" outlineLevel="0" collapsed="false">
      <c r="A1546" s="13"/>
      <c r="B1546" s="9"/>
      <c r="C1546" s="9"/>
      <c r="D1546" s="9"/>
      <c r="E1546" s="9"/>
      <c r="F1546" s="16" t="str">
        <f aca="false">IF(B1546="","",IF(COUNTIFS('PM Plan'!$A$5:$A$304,B1546,'PM Plan'!$B$5:$B$304,C1546)&gt;0,"OK","No matching asset + task in plan"))</f>
        <v/>
      </c>
    </row>
    <row r="1547" customFormat="false" ht="15" hidden="false" customHeight="false" outlineLevel="0" collapsed="false">
      <c r="A1547" s="13"/>
      <c r="B1547" s="9"/>
      <c r="C1547" s="9"/>
      <c r="D1547" s="9"/>
      <c r="E1547" s="9"/>
      <c r="F1547" s="16" t="str">
        <f aca="false">IF(B1547="","",IF(COUNTIFS('PM Plan'!$A$5:$A$304,B1547,'PM Plan'!$B$5:$B$304,C1547)&gt;0,"OK","No matching asset + task in plan"))</f>
        <v/>
      </c>
    </row>
    <row r="1548" customFormat="false" ht="15" hidden="false" customHeight="false" outlineLevel="0" collapsed="false">
      <c r="A1548" s="13"/>
      <c r="B1548" s="9"/>
      <c r="C1548" s="9"/>
      <c r="D1548" s="9"/>
      <c r="E1548" s="9"/>
      <c r="F1548" s="16" t="str">
        <f aca="false">IF(B1548="","",IF(COUNTIFS('PM Plan'!$A$5:$A$304,B1548,'PM Plan'!$B$5:$B$304,C1548)&gt;0,"OK","No matching asset + task in plan"))</f>
        <v/>
      </c>
    </row>
    <row r="1549" customFormat="false" ht="15" hidden="false" customHeight="false" outlineLevel="0" collapsed="false">
      <c r="A1549" s="13"/>
      <c r="B1549" s="9"/>
      <c r="C1549" s="9"/>
      <c r="D1549" s="9"/>
      <c r="E1549" s="9"/>
      <c r="F1549" s="16" t="str">
        <f aca="false">IF(B1549="","",IF(COUNTIFS('PM Plan'!$A$5:$A$304,B1549,'PM Plan'!$B$5:$B$304,C1549)&gt;0,"OK","No matching asset + task in plan"))</f>
        <v/>
      </c>
    </row>
    <row r="1550" customFormat="false" ht="15" hidden="false" customHeight="false" outlineLevel="0" collapsed="false">
      <c r="A1550" s="13"/>
      <c r="B1550" s="9"/>
      <c r="C1550" s="9"/>
      <c r="D1550" s="9"/>
      <c r="E1550" s="9"/>
      <c r="F1550" s="16" t="str">
        <f aca="false">IF(B1550="","",IF(COUNTIFS('PM Plan'!$A$5:$A$304,B1550,'PM Plan'!$B$5:$B$304,C1550)&gt;0,"OK","No matching asset + task in plan"))</f>
        <v/>
      </c>
    </row>
    <row r="1551" customFormat="false" ht="15" hidden="false" customHeight="false" outlineLevel="0" collapsed="false">
      <c r="A1551" s="13"/>
      <c r="B1551" s="9"/>
      <c r="C1551" s="9"/>
      <c r="D1551" s="9"/>
      <c r="E1551" s="9"/>
      <c r="F1551" s="16" t="str">
        <f aca="false">IF(B1551="","",IF(COUNTIFS('PM Plan'!$A$5:$A$304,B1551,'PM Plan'!$B$5:$B$304,C1551)&gt;0,"OK","No matching asset + task in plan"))</f>
        <v/>
      </c>
    </row>
    <row r="1552" customFormat="false" ht="15" hidden="false" customHeight="false" outlineLevel="0" collapsed="false">
      <c r="A1552" s="13"/>
      <c r="B1552" s="9"/>
      <c r="C1552" s="9"/>
      <c r="D1552" s="9"/>
      <c r="E1552" s="9"/>
      <c r="F1552" s="16" t="str">
        <f aca="false">IF(B1552="","",IF(COUNTIFS('PM Plan'!$A$5:$A$304,B1552,'PM Plan'!$B$5:$B$304,C1552)&gt;0,"OK","No matching asset + task in plan"))</f>
        <v/>
      </c>
    </row>
    <row r="1553" customFormat="false" ht="15" hidden="false" customHeight="false" outlineLevel="0" collapsed="false">
      <c r="A1553" s="13"/>
      <c r="B1553" s="9"/>
      <c r="C1553" s="9"/>
      <c r="D1553" s="9"/>
      <c r="E1553" s="9"/>
      <c r="F1553" s="16" t="str">
        <f aca="false">IF(B1553="","",IF(COUNTIFS('PM Plan'!$A$5:$A$304,B1553,'PM Plan'!$B$5:$B$304,C1553)&gt;0,"OK","No matching asset + task in plan"))</f>
        <v/>
      </c>
    </row>
    <row r="1554" customFormat="false" ht="15" hidden="false" customHeight="false" outlineLevel="0" collapsed="false">
      <c r="A1554" s="13"/>
      <c r="B1554" s="9"/>
      <c r="C1554" s="9"/>
      <c r="D1554" s="9"/>
      <c r="E1554" s="9"/>
      <c r="F1554" s="16" t="str">
        <f aca="false">IF(B1554="","",IF(COUNTIFS('PM Plan'!$A$5:$A$304,B1554,'PM Plan'!$B$5:$B$304,C1554)&gt;0,"OK","No matching asset + task in plan"))</f>
        <v/>
      </c>
    </row>
    <row r="1555" customFormat="false" ht="15" hidden="false" customHeight="false" outlineLevel="0" collapsed="false">
      <c r="A1555" s="13"/>
      <c r="B1555" s="9"/>
      <c r="C1555" s="9"/>
      <c r="D1555" s="9"/>
      <c r="E1555" s="9"/>
      <c r="F1555" s="16" t="str">
        <f aca="false">IF(B1555="","",IF(COUNTIFS('PM Plan'!$A$5:$A$304,B1555,'PM Plan'!$B$5:$B$304,C1555)&gt;0,"OK","No matching asset + task in plan"))</f>
        <v/>
      </c>
    </row>
    <row r="1556" customFormat="false" ht="15" hidden="false" customHeight="false" outlineLevel="0" collapsed="false">
      <c r="A1556" s="13"/>
      <c r="B1556" s="9"/>
      <c r="C1556" s="9"/>
      <c r="D1556" s="9"/>
      <c r="E1556" s="9"/>
      <c r="F1556" s="16" t="str">
        <f aca="false">IF(B1556="","",IF(COUNTIFS('PM Plan'!$A$5:$A$304,B1556,'PM Plan'!$B$5:$B$304,C1556)&gt;0,"OK","No matching asset + task in plan"))</f>
        <v/>
      </c>
    </row>
    <row r="1557" customFormat="false" ht="15" hidden="false" customHeight="false" outlineLevel="0" collapsed="false">
      <c r="A1557" s="13"/>
      <c r="B1557" s="9"/>
      <c r="C1557" s="9"/>
      <c r="D1557" s="9"/>
      <c r="E1557" s="9"/>
      <c r="F1557" s="16" t="str">
        <f aca="false">IF(B1557="","",IF(COUNTIFS('PM Plan'!$A$5:$A$304,B1557,'PM Plan'!$B$5:$B$304,C1557)&gt;0,"OK","No matching asset + task in plan"))</f>
        <v/>
      </c>
    </row>
    <row r="1558" customFormat="false" ht="15" hidden="false" customHeight="false" outlineLevel="0" collapsed="false">
      <c r="A1558" s="13"/>
      <c r="B1558" s="9"/>
      <c r="C1558" s="9"/>
      <c r="D1558" s="9"/>
      <c r="E1558" s="9"/>
      <c r="F1558" s="16" t="str">
        <f aca="false">IF(B1558="","",IF(COUNTIFS('PM Plan'!$A$5:$A$304,B1558,'PM Plan'!$B$5:$B$304,C1558)&gt;0,"OK","No matching asset + task in plan"))</f>
        <v/>
      </c>
    </row>
    <row r="1559" customFormat="false" ht="15" hidden="false" customHeight="false" outlineLevel="0" collapsed="false">
      <c r="A1559" s="13"/>
      <c r="B1559" s="9"/>
      <c r="C1559" s="9"/>
      <c r="D1559" s="9"/>
      <c r="E1559" s="9"/>
      <c r="F1559" s="16" t="str">
        <f aca="false">IF(B1559="","",IF(COUNTIFS('PM Plan'!$A$5:$A$304,B1559,'PM Plan'!$B$5:$B$304,C1559)&gt;0,"OK","No matching asset + task in plan"))</f>
        <v/>
      </c>
    </row>
    <row r="1560" customFormat="false" ht="15" hidden="false" customHeight="false" outlineLevel="0" collapsed="false">
      <c r="A1560" s="13"/>
      <c r="B1560" s="9"/>
      <c r="C1560" s="9"/>
      <c r="D1560" s="9"/>
      <c r="E1560" s="9"/>
      <c r="F1560" s="16" t="str">
        <f aca="false">IF(B1560="","",IF(COUNTIFS('PM Plan'!$A$5:$A$304,B1560,'PM Plan'!$B$5:$B$304,C1560)&gt;0,"OK","No matching asset + task in plan"))</f>
        <v/>
      </c>
    </row>
    <row r="1561" customFormat="false" ht="15" hidden="false" customHeight="false" outlineLevel="0" collapsed="false">
      <c r="A1561" s="13"/>
      <c r="B1561" s="9"/>
      <c r="C1561" s="9"/>
      <c r="D1561" s="9"/>
      <c r="E1561" s="9"/>
      <c r="F1561" s="16" t="str">
        <f aca="false">IF(B1561="","",IF(COUNTIFS('PM Plan'!$A$5:$A$304,B1561,'PM Plan'!$B$5:$B$304,C1561)&gt;0,"OK","No matching asset + task in plan"))</f>
        <v/>
      </c>
    </row>
    <row r="1562" customFormat="false" ht="15" hidden="false" customHeight="false" outlineLevel="0" collapsed="false">
      <c r="A1562" s="13"/>
      <c r="B1562" s="9"/>
      <c r="C1562" s="9"/>
      <c r="D1562" s="9"/>
      <c r="E1562" s="9"/>
      <c r="F1562" s="16" t="str">
        <f aca="false">IF(B1562="","",IF(COUNTIFS('PM Plan'!$A$5:$A$304,B1562,'PM Plan'!$B$5:$B$304,C1562)&gt;0,"OK","No matching asset + task in plan"))</f>
        <v/>
      </c>
    </row>
    <row r="1563" customFormat="false" ht="15" hidden="false" customHeight="false" outlineLevel="0" collapsed="false">
      <c r="A1563" s="13"/>
      <c r="B1563" s="9"/>
      <c r="C1563" s="9"/>
      <c r="D1563" s="9"/>
      <c r="E1563" s="9"/>
      <c r="F1563" s="16" t="str">
        <f aca="false">IF(B1563="","",IF(COUNTIFS('PM Plan'!$A$5:$A$304,B1563,'PM Plan'!$B$5:$B$304,C1563)&gt;0,"OK","No matching asset + task in plan"))</f>
        <v/>
      </c>
    </row>
    <row r="1564" customFormat="false" ht="15" hidden="false" customHeight="false" outlineLevel="0" collapsed="false">
      <c r="A1564" s="13"/>
      <c r="B1564" s="9"/>
      <c r="C1564" s="9"/>
      <c r="D1564" s="9"/>
      <c r="E1564" s="9"/>
      <c r="F1564" s="16" t="str">
        <f aca="false">IF(B1564="","",IF(COUNTIFS('PM Plan'!$A$5:$A$304,B1564,'PM Plan'!$B$5:$B$304,C1564)&gt;0,"OK","No matching asset + task in plan"))</f>
        <v/>
      </c>
    </row>
    <row r="1565" customFormat="false" ht="15" hidden="false" customHeight="false" outlineLevel="0" collapsed="false">
      <c r="A1565" s="13"/>
      <c r="B1565" s="9"/>
      <c r="C1565" s="9"/>
      <c r="D1565" s="9"/>
      <c r="E1565" s="9"/>
      <c r="F1565" s="16" t="str">
        <f aca="false">IF(B1565="","",IF(COUNTIFS('PM Plan'!$A$5:$A$304,B1565,'PM Plan'!$B$5:$B$304,C1565)&gt;0,"OK","No matching asset + task in plan"))</f>
        <v/>
      </c>
    </row>
    <row r="1566" customFormat="false" ht="15" hidden="false" customHeight="false" outlineLevel="0" collapsed="false">
      <c r="A1566" s="13"/>
      <c r="B1566" s="9"/>
      <c r="C1566" s="9"/>
      <c r="D1566" s="9"/>
      <c r="E1566" s="9"/>
      <c r="F1566" s="16" t="str">
        <f aca="false">IF(B1566="","",IF(COUNTIFS('PM Plan'!$A$5:$A$304,B1566,'PM Plan'!$B$5:$B$304,C1566)&gt;0,"OK","No matching asset + task in plan"))</f>
        <v/>
      </c>
    </row>
    <row r="1567" customFormat="false" ht="15" hidden="false" customHeight="false" outlineLevel="0" collapsed="false">
      <c r="A1567" s="13"/>
      <c r="B1567" s="9"/>
      <c r="C1567" s="9"/>
      <c r="D1567" s="9"/>
      <c r="E1567" s="9"/>
      <c r="F1567" s="16" t="str">
        <f aca="false">IF(B1567="","",IF(COUNTIFS('PM Plan'!$A$5:$A$304,B1567,'PM Plan'!$B$5:$B$304,C1567)&gt;0,"OK","No matching asset + task in plan"))</f>
        <v/>
      </c>
    </row>
    <row r="1568" customFormat="false" ht="15" hidden="false" customHeight="false" outlineLevel="0" collapsed="false">
      <c r="A1568" s="13"/>
      <c r="B1568" s="9"/>
      <c r="C1568" s="9"/>
      <c r="D1568" s="9"/>
      <c r="E1568" s="9"/>
      <c r="F1568" s="16" t="str">
        <f aca="false">IF(B1568="","",IF(COUNTIFS('PM Plan'!$A$5:$A$304,B1568,'PM Plan'!$B$5:$B$304,C1568)&gt;0,"OK","No matching asset + task in plan"))</f>
        <v/>
      </c>
    </row>
    <row r="1569" customFormat="false" ht="15" hidden="false" customHeight="false" outlineLevel="0" collapsed="false">
      <c r="A1569" s="13"/>
      <c r="B1569" s="9"/>
      <c r="C1569" s="9"/>
      <c r="D1569" s="9"/>
      <c r="E1569" s="9"/>
      <c r="F1569" s="16" t="str">
        <f aca="false">IF(B1569="","",IF(COUNTIFS('PM Plan'!$A$5:$A$304,B1569,'PM Plan'!$B$5:$B$304,C1569)&gt;0,"OK","No matching asset + task in plan"))</f>
        <v/>
      </c>
    </row>
    <row r="1570" customFormat="false" ht="15" hidden="false" customHeight="false" outlineLevel="0" collapsed="false">
      <c r="A1570" s="13"/>
      <c r="B1570" s="9"/>
      <c r="C1570" s="9"/>
      <c r="D1570" s="9"/>
      <c r="E1570" s="9"/>
      <c r="F1570" s="16" t="str">
        <f aca="false">IF(B1570="","",IF(COUNTIFS('PM Plan'!$A$5:$A$304,B1570,'PM Plan'!$B$5:$B$304,C1570)&gt;0,"OK","No matching asset + task in plan"))</f>
        <v/>
      </c>
    </row>
    <row r="1571" customFormat="false" ht="15" hidden="false" customHeight="false" outlineLevel="0" collapsed="false">
      <c r="A1571" s="13"/>
      <c r="B1571" s="9"/>
      <c r="C1571" s="9"/>
      <c r="D1571" s="9"/>
      <c r="E1571" s="9"/>
      <c r="F1571" s="16" t="str">
        <f aca="false">IF(B1571="","",IF(COUNTIFS('PM Plan'!$A$5:$A$304,B1571,'PM Plan'!$B$5:$B$304,C1571)&gt;0,"OK","No matching asset + task in plan"))</f>
        <v/>
      </c>
    </row>
    <row r="1572" customFormat="false" ht="15" hidden="false" customHeight="false" outlineLevel="0" collapsed="false">
      <c r="A1572" s="13"/>
      <c r="B1572" s="9"/>
      <c r="C1572" s="9"/>
      <c r="D1572" s="9"/>
      <c r="E1572" s="9"/>
      <c r="F1572" s="16" t="str">
        <f aca="false">IF(B1572="","",IF(COUNTIFS('PM Plan'!$A$5:$A$304,B1572,'PM Plan'!$B$5:$B$304,C1572)&gt;0,"OK","No matching asset + task in plan"))</f>
        <v/>
      </c>
    </row>
    <row r="1573" customFormat="false" ht="15" hidden="false" customHeight="false" outlineLevel="0" collapsed="false">
      <c r="A1573" s="13"/>
      <c r="B1573" s="9"/>
      <c r="C1573" s="9"/>
      <c r="D1573" s="9"/>
      <c r="E1573" s="9"/>
      <c r="F1573" s="16" t="str">
        <f aca="false">IF(B1573="","",IF(COUNTIFS('PM Plan'!$A$5:$A$304,B1573,'PM Plan'!$B$5:$B$304,C1573)&gt;0,"OK","No matching asset + task in plan"))</f>
        <v/>
      </c>
    </row>
    <row r="1574" customFormat="false" ht="15" hidden="false" customHeight="false" outlineLevel="0" collapsed="false">
      <c r="A1574" s="13"/>
      <c r="B1574" s="9"/>
      <c r="C1574" s="9"/>
      <c r="D1574" s="9"/>
      <c r="E1574" s="9"/>
      <c r="F1574" s="16" t="str">
        <f aca="false">IF(B1574="","",IF(COUNTIFS('PM Plan'!$A$5:$A$304,B1574,'PM Plan'!$B$5:$B$304,C1574)&gt;0,"OK","No matching asset + task in plan"))</f>
        <v/>
      </c>
    </row>
    <row r="1575" customFormat="false" ht="15" hidden="false" customHeight="false" outlineLevel="0" collapsed="false">
      <c r="A1575" s="13"/>
      <c r="B1575" s="9"/>
      <c r="C1575" s="9"/>
      <c r="D1575" s="9"/>
      <c r="E1575" s="9"/>
      <c r="F1575" s="16" t="str">
        <f aca="false">IF(B1575="","",IF(COUNTIFS('PM Plan'!$A$5:$A$304,B1575,'PM Plan'!$B$5:$B$304,C1575)&gt;0,"OK","No matching asset + task in plan"))</f>
        <v/>
      </c>
    </row>
    <row r="1576" customFormat="false" ht="15" hidden="false" customHeight="false" outlineLevel="0" collapsed="false">
      <c r="A1576" s="13"/>
      <c r="B1576" s="9"/>
      <c r="C1576" s="9"/>
      <c r="D1576" s="9"/>
      <c r="E1576" s="9"/>
      <c r="F1576" s="16" t="str">
        <f aca="false">IF(B1576="","",IF(COUNTIFS('PM Plan'!$A$5:$A$304,B1576,'PM Plan'!$B$5:$B$304,C1576)&gt;0,"OK","No matching asset + task in plan"))</f>
        <v/>
      </c>
    </row>
    <row r="1577" customFormat="false" ht="15" hidden="false" customHeight="false" outlineLevel="0" collapsed="false">
      <c r="A1577" s="13"/>
      <c r="B1577" s="9"/>
      <c r="C1577" s="9"/>
      <c r="D1577" s="9"/>
      <c r="E1577" s="9"/>
      <c r="F1577" s="16" t="str">
        <f aca="false">IF(B1577="","",IF(COUNTIFS('PM Plan'!$A$5:$A$304,B1577,'PM Plan'!$B$5:$B$304,C1577)&gt;0,"OK","No matching asset + task in plan"))</f>
        <v/>
      </c>
    </row>
    <row r="1578" customFormat="false" ht="15" hidden="false" customHeight="false" outlineLevel="0" collapsed="false">
      <c r="A1578" s="13"/>
      <c r="B1578" s="9"/>
      <c r="C1578" s="9"/>
      <c r="D1578" s="9"/>
      <c r="E1578" s="9"/>
      <c r="F1578" s="16" t="str">
        <f aca="false">IF(B1578="","",IF(COUNTIFS('PM Plan'!$A$5:$A$304,B1578,'PM Plan'!$B$5:$B$304,C1578)&gt;0,"OK","No matching asset + task in plan"))</f>
        <v/>
      </c>
    </row>
    <row r="1579" customFormat="false" ht="15" hidden="false" customHeight="false" outlineLevel="0" collapsed="false">
      <c r="A1579" s="13"/>
      <c r="B1579" s="9"/>
      <c r="C1579" s="9"/>
      <c r="D1579" s="9"/>
      <c r="E1579" s="9"/>
      <c r="F1579" s="16" t="str">
        <f aca="false">IF(B1579="","",IF(COUNTIFS('PM Plan'!$A$5:$A$304,B1579,'PM Plan'!$B$5:$B$304,C1579)&gt;0,"OK","No matching asset + task in plan"))</f>
        <v/>
      </c>
    </row>
    <row r="1580" customFormat="false" ht="15" hidden="false" customHeight="false" outlineLevel="0" collapsed="false">
      <c r="A1580" s="13"/>
      <c r="B1580" s="9"/>
      <c r="C1580" s="9"/>
      <c r="D1580" s="9"/>
      <c r="E1580" s="9"/>
      <c r="F1580" s="16" t="str">
        <f aca="false">IF(B1580="","",IF(COUNTIFS('PM Plan'!$A$5:$A$304,B1580,'PM Plan'!$B$5:$B$304,C1580)&gt;0,"OK","No matching asset + task in plan"))</f>
        <v/>
      </c>
    </row>
    <row r="1581" customFormat="false" ht="15" hidden="false" customHeight="false" outlineLevel="0" collapsed="false">
      <c r="A1581" s="13"/>
      <c r="B1581" s="9"/>
      <c r="C1581" s="9"/>
      <c r="D1581" s="9"/>
      <c r="E1581" s="9"/>
      <c r="F1581" s="16" t="str">
        <f aca="false">IF(B1581="","",IF(COUNTIFS('PM Plan'!$A$5:$A$304,B1581,'PM Plan'!$B$5:$B$304,C1581)&gt;0,"OK","No matching asset + task in plan"))</f>
        <v/>
      </c>
    </row>
    <row r="1582" customFormat="false" ht="15" hidden="false" customHeight="false" outlineLevel="0" collapsed="false">
      <c r="A1582" s="13"/>
      <c r="B1582" s="9"/>
      <c r="C1582" s="9"/>
      <c r="D1582" s="9"/>
      <c r="E1582" s="9"/>
      <c r="F1582" s="16" t="str">
        <f aca="false">IF(B1582="","",IF(COUNTIFS('PM Plan'!$A$5:$A$304,B1582,'PM Plan'!$B$5:$B$304,C1582)&gt;0,"OK","No matching asset + task in plan"))</f>
        <v/>
      </c>
    </row>
    <row r="1583" customFormat="false" ht="15" hidden="false" customHeight="false" outlineLevel="0" collapsed="false">
      <c r="A1583" s="13"/>
      <c r="B1583" s="9"/>
      <c r="C1583" s="9"/>
      <c r="D1583" s="9"/>
      <c r="E1583" s="9"/>
      <c r="F1583" s="16" t="str">
        <f aca="false">IF(B1583="","",IF(COUNTIFS('PM Plan'!$A$5:$A$304,B1583,'PM Plan'!$B$5:$B$304,C1583)&gt;0,"OK","No matching asset + task in plan"))</f>
        <v/>
      </c>
    </row>
    <row r="1584" customFormat="false" ht="15" hidden="false" customHeight="false" outlineLevel="0" collapsed="false">
      <c r="A1584" s="13"/>
      <c r="B1584" s="9"/>
      <c r="C1584" s="9"/>
      <c r="D1584" s="9"/>
      <c r="E1584" s="9"/>
      <c r="F1584" s="16" t="str">
        <f aca="false">IF(B1584="","",IF(COUNTIFS('PM Plan'!$A$5:$A$304,B1584,'PM Plan'!$B$5:$B$304,C1584)&gt;0,"OK","No matching asset + task in plan"))</f>
        <v/>
      </c>
    </row>
    <row r="1585" customFormat="false" ht="15" hidden="false" customHeight="false" outlineLevel="0" collapsed="false">
      <c r="A1585" s="13"/>
      <c r="B1585" s="9"/>
      <c r="C1585" s="9"/>
      <c r="D1585" s="9"/>
      <c r="E1585" s="9"/>
      <c r="F1585" s="16" t="str">
        <f aca="false">IF(B1585="","",IF(COUNTIFS('PM Plan'!$A$5:$A$304,B1585,'PM Plan'!$B$5:$B$304,C1585)&gt;0,"OK","No matching asset + task in plan"))</f>
        <v/>
      </c>
    </row>
    <row r="1586" customFormat="false" ht="15" hidden="false" customHeight="false" outlineLevel="0" collapsed="false">
      <c r="A1586" s="13"/>
      <c r="B1586" s="9"/>
      <c r="C1586" s="9"/>
      <c r="D1586" s="9"/>
      <c r="E1586" s="9"/>
      <c r="F1586" s="16" t="str">
        <f aca="false">IF(B1586="","",IF(COUNTIFS('PM Plan'!$A$5:$A$304,B1586,'PM Plan'!$B$5:$B$304,C1586)&gt;0,"OK","No matching asset + task in plan"))</f>
        <v/>
      </c>
    </row>
    <row r="1587" customFormat="false" ht="15" hidden="false" customHeight="false" outlineLevel="0" collapsed="false">
      <c r="A1587" s="13"/>
      <c r="B1587" s="9"/>
      <c r="C1587" s="9"/>
      <c r="D1587" s="9"/>
      <c r="E1587" s="9"/>
      <c r="F1587" s="16" t="str">
        <f aca="false">IF(B1587="","",IF(COUNTIFS('PM Plan'!$A$5:$A$304,B1587,'PM Plan'!$B$5:$B$304,C1587)&gt;0,"OK","No matching asset + task in plan"))</f>
        <v/>
      </c>
    </row>
    <row r="1588" customFormat="false" ht="15" hidden="false" customHeight="false" outlineLevel="0" collapsed="false">
      <c r="A1588" s="13"/>
      <c r="B1588" s="9"/>
      <c r="C1588" s="9"/>
      <c r="D1588" s="9"/>
      <c r="E1588" s="9"/>
      <c r="F1588" s="16" t="str">
        <f aca="false">IF(B1588="","",IF(COUNTIFS('PM Plan'!$A$5:$A$304,B1588,'PM Plan'!$B$5:$B$304,C1588)&gt;0,"OK","No matching asset + task in plan"))</f>
        <v/>
      </c>
    </row>
    <row r="1589" customFormat="false" ht="15" hidden="false" customHeight="false" outlineLevel="0" collapsed="false">
      <c r="A1589" s="13"/>
      <c r="B1589" s="9"/>
      <c r="C1589" s="9"/>
      <c r="D1589" s="9"/>
      <c r="E1589" s="9"/>
      <c r="F1589" s="16" t="str">
        <f aca="false">IF(B1589="","",IF(COUNTIFS('PM Plan'!$A$5:$A$304,B1589,'PM Plan'!$B$5:$B$304,C1589)&gt;0,"OK","No matching asset + task in plan"))</f>
        <v/>
      </c>
    </row>
    <row r="1590" customFormat="false" ht="15" hidden="false" customHeight="false" outlineLevel="0" collapsed="false">
      <c r="A1590" s="13"/>
      <c r="B1590" s="9"/>
      <c r="C1590" s="9"/>
      <c r="D1590" s="9"/>
      <c r="E1590" s="9"/>
      <c r="F1590" s="16" t="str">
        <f aca="false">IF(B1590="","",IF(COUNTIFS('PM Plan'!$A$5:$A$304,B1590,'PM Plan'!$B$5:$B$304,C1590)&gt;0,"OK","No matching asset + task in plan"))</f>
        <v/>
      </c>
    </row>
    <row r="1591" customFormat="false" ht="15" hidden="false" customHeight="false" outlineLevel="0" collapsed="false">
      <c r="A1591" s="13"/>
      <c r="B1591" s="9"/>
      <c r="C1591" s="9"/>
      <c r="D1591" s="9"/>
      <c r="E1591" s="9"/>
      <c r="F1591" s="16" t="str">
        <f aca="false">IF(B1591="","",IF(COUNTIFS('PM Plan'!$A$5:$A$304,B1591,'PM Plan'!$B$5:$B$304,C1591)&gt;0,"OK","No matching asset + task in plan"))</f>
        <v/>
      </c>
    </row>
    <row r="1592" customFormat="false" ht="15" hidden="false" customHeight="false" outlineLevel="0" collapsed="false">
      <c r="A1592" s="13"/>
      <c r="B1592" s="9"/>
      <c r="C1592" s="9"/>
      <c r="D1592" s="9"/>
      <c r="E1592" s="9"/>
      <c r="F1592" s="16" t="str">
        <f aca="false">IF(B1592="","",IF(COUNTIFS('PM Plan'!$A$5:$A$304,B1592,'PM Plan'!$B$5:$B$304,C1592)&gt;0,"OK","No matching asset + task in plan"))</f>
        <v/>
      </c>
    </row>
    <row r="1593" customFormat="false" ht="15" hidden="false" customHeight="false" outlineLevel="0" collapsed="false">
      <c r="A1593" s="13"/>
      <c r="B1593" s="9"/>
      <c r="C1593" s="9"/>
      <c r="D1593" s="9"/>
      <c r="E1593" s="9"/>
      <c r="F1593" s="16" t="str">
        <f aca="false">IF(B1593="","",IF(COUNTIFS('PM Plan'!$A$5:$A$304,B1593,'PM Plan'!$B$5:$B$304,C1593)&gt;0,"OK","No matching asset + task in plan"))</f>
        <v/>
      </c>
    </row>
    <row r="1594" customFormat="false" ht="15" hidden="false" customHeight="false" outlineLevel="0" collapsed="false">
      <c r="A1594" s="13"/>
      <c r="B1594" s="9"/>
      <c r="C1594" s="9"/>
      <c r="D1594" s="9"/>
      <c r="E1594" s="9"/>
      <c r="F1594" s="16" t="str">
        <f aca="false">IF(B1594="","",IF(COUNTIFS('PM Plan'!$A$5:$A$304,B1594,'PM Plan'!$B$5:$B$304,C1594)&gt;0,"OK","No matching asset + task in plan"))</f>
        <v/>
      </c>
    </row>
    <row r="1595" customFormat="false" ht="15" hidden="false" customHeight="false" outlineLevel="0" collapsed="false">
      <c r="A1595" s="13"/>
      <c r="B1595" s="9"/>
      <c r="C1595" s="9"/>
      <c r="D1595" s="9"/>
      <c r="E1595" s="9"/>
      <c r="F1595" s="16" t="str">
        <f aca="false">IF(B1595="","",IF(COUNTIFS('PM Plan'!$A$5:$A$304,B1595,'PM Plan'!$B$5:$B$304,C1595)&gt;0,"OK","No matching asset + task in plan"))</f>
        <v/>
      </c>
    </row>
    <row r="1596" customFormat="false" ht="15" hidden="false" customHeight="false" outlineLevel="0" collapsed="false">
      <c r="A1596" s="13"/>
      <c r="B1596" s="9"/>
      <c r="C1596" s="9"/>
      <c r="D1596" s="9"/>
      <c r="E1596" s="9"/>
      <c r="F1596" s="16" t="str">
        <f aca="false">IF(B1596="","",IF(COUNTIFS('PM Plan'!$A$5:$A$304,B1596,'PM Plan'!$B$5:$B$304,C1596)&gt;0,"OK","No matching asset + task in plan"))</f>
        <v/>
      </c>
    </row>
    <row r="1597" customFormat="false" ht="15" hidden="false" customHeight="false" outlineLevel="0" collapsed="false">
      <c r="A1597" s="13"/>
      <c r="B1597" s="9"/>
      <c r="C1597" s="9"/>
      <c r="D1597" s="9"/>
      <c r="E1597" s="9"/>
      <c r="F1597" s="16" t="str">
        <f aca="false">IF(B1597="","",IF(COUNTIFS('PM Plan'!$A$5:$A$304,B1597,'PM Plan'!$B$5:$B$304,C1597)&gt;0,"OK","No matching asset + task in plan"))</f>
        <v/>
      </c>
    </row>
    <row r="1598" customFormat="false" ht="15" hidden="false" customHeight="false" outlineLevel="0" collapsed="false">
      <c r="A1598" s="13"/>
      <c r="B1598" s="9"/>
      <c r="C1598" s="9"/>
      <c r="D1598" s="9"/>
      <c r="E1598" s="9"/>
      <c r="F1598" s="16" t="str">
        <f aca="false">IF(B1598="","",IF(COUNTIFS('PM Plan'!$A$5:$A$304,B1598,'PM Plan'!$B$5:$B$304,C1598)&gt;0,"OK","No matching asset + task in plan"))</f>
        <v/>
      </c>
    </row>
    <row r="1599" customFormat="false" ht="15" hidden="false" customHeight="false" outlineLevel="0" collapsed="false">
      <c r="A1599" s="13"/>
      <c r="B1599" s="9"/>
      <c r="C1599" s="9"/>
      <c r="D1599" s="9"/>
      <c r="E1599" s="9"/>
      <c r="F1599" s="16" t="str">
        <f aca="false">IF(B1599="","",IF(COUNTIFS('PM Plan'!$A$5:$A$304,B1599,'PM Plan'!$B$5:$B$304,C1599)&gt;0,"OK","No matching asset + task in plan"))</f>
        <v/>
      </c>
    </row>
    <row r="1600" customFormat="false" ht="15" hidden="false" customHeight="false" outlineLevel="0" collapsed="false">
      <c r="A1600" s="13"/>
      <c r="B1600" s="9"/>
      <c r="C1600" s="9"/>
      <c r="D1600" s="9"/>
      <c r="E1600" s="9"/>
      <c r="F1600" s="16" t="str">
        <f aca="false">IF(B1600="","",IF(COUNTIFS('PM Plan'!$A$5:$A$304,B1600,'PM Plan'!$B$5:$B$304,C1600)&gt;0,"OK","No matching asset + task in plan"))</f>
        <v/>
      </c>
    </row>
    <row r="1601" customFormat="false" ht="15" hidden="false" customHeight="false" outlineLevel="0" collapsed="false">
      <c r="A1601" s="13"/>
      <c r="B1601" s="9"/>
      <c r="C1601" s="9"/>
      <c r="D1601" s="9"/>
      <c r="E1601" s="9"/>
      <c r="F1601" s="16" t="str">
        <f aca="false">IF(B1601="","",IF(COUNTIFS('PM Plan'!$A$5:$A$304,B1601,'PM Plan'!$B$5:$B$304,C1601)&gt;0,"OK","No matching asset + task in plan"))</f>
        <v/>
      </c>
    </row>
    <row r="1602" customFormat="false" ht="15" hidden="false" customHeight="false" outlineLevel="0" collapsed="false">
      <c r="A1602" s="13"/>
      <c r="B1602" s="9"/>
      <c r="C1602" s="9"/>
      <c r="D1602" s="9"/>
      <c r="E1602" s="9"/>
      <c r="F1602" s="16" t="str">
        <f aca="false">IF(B1602="","",IF(COUNTIFS('PM Plan'!$A$5:$A$304,B1602,'PM Plan'!$B$5:$B$304,C1602)&gt;0,"OK","No matching asset + task in plan"))</f>
        <v/>
      </c>
    </row>
    <row r="1603" customFormat="false" ht="15" hidden="false" customHeight="false" outlineLevel="0" collapsed="false">
      <c r="A1603" s="13"/>
      <c r="B1603" s="9"/>
      <c r="C1603" s="9"/>
      <c r="D1603" s="9"/>
      <c r="E1603" s="9"/>
      <c r="F1603" s="16" t="str">
        <f aca="false">IF(B1603="","",IF(COUNTIFS('PM Plan'!$A$5:$A$304,B1603,'PM Plan'!$B$5:$B$304,C1603)&gt;0,"OK","No matching asset + task in plan"))</f>
        <v/>
      </c>
    </row>
    <row r="1604" customFormat="false" ht="15" hidden="false" customHeight="false" outlineLevel="0" collapsed="false">
      <c r="A1604" s="13"/>
      <c r="B1604" s="9"/>
      <c r="C1604" s="9"/>
      <c r="D1604" s="9"/>
      <c r="E1604" s="9"/>
      <c r="F1604" s="16" t="str">
        <f aca="false">IF(B1604="","",IF(COUNTIFS('PM Plan'!$A$5:$A$304,B1604,'PM Plan'!$B$5:$B$304,C1604)&gt;0,"OK","No matching asset + task in plan"))</f>
        <v/>
      </c>
    </row>
    <row r="1605" customFormat="false" ht="15" hidden="false" customHeight="false" outlineLevel="0" collapsed="false">
      <c r="A1605" s="13"/>
      <c r="B1605" s="9"/>
      <c r="C1605" s="9"/>
      <c r="D1605" s="9"/>
      <c r="E1605" s="9"/>
      <c r="F1605" s="16" t="str">
        <f aca="false">IF(B1605="","",IF(COUNTIFS('PM Plan'!$A$5:$A$304,B1605,'PM Plan'!$B$5:$B$304,C1605)&gt;0,"OK","No matching asset + task in plan"))</f>
        <v/>
      </c>
    </row>
    <row r="1606" customFormat="false" ht="15" hidden="false" customHeight="false" outlineLevel="0" collapsed="false">
      <c r="A1606" s="13"/>
      <c r="B1606" s="9"/>
      <c r="C1606" s="9"/>
      <c r="D1606" s="9"/>
      <c r="E1606" s="9"/>
      <c r="F1606" s="16" t="str">
        <f aca="false">IF(B1606="","",IF(COUNTIFS('PM Plan'!$A$5:$A$304,B1606,'PM Plan'!$B$5:$B$304,C1606)&gt;0,"OK","No matching asset + task in plan"))</f>
        <v/>
      </c>
    </row>
    <row r="1607" customFormat="false" ht="15" hidden="false" customHeight="false" outlineLevel="0" collapsed="false">
      <c r="A1607" s="13"/>
      <c r="B1607" s="9"/>
      <c r="C1607" s="9"/>
      <c r="D1607" s="9"/>
      <c r="E1607" s="9"/>
      <c r="F1607" s="16" t="str">
        <f aca="false">IF(B1607="","",IF(COUNTIFS('PM Plan'!$A$5:$A$304,B1607,'PM Plan'!$B$5:$B$304,C1607)&gt;0,"OK","No matching asset + task in plan"))</f>
        <v/>
      </c>
    </row>
    <row r="1608" customFormat="false" ht="15" hidden="false" customHeight="false" outlineLevel="0" collapsed="false">
      <c r="A1608" s="13"/>
      <c r="B1608" s="9"/>
      <c r="C1608" s="9"/>
      <c r="D1608" s="9"/>
      <c r="E1608" s="9"/>
      <c r="F1608" s="16" t="str">
        <f aca="false">IF(B1608="","",IF(COUNTIFS('PM Plan'!$A$5:$A$304,B1608,'PM Plan'!$B$5:$B$304,C1608)&gt;0,"OK","No matching asset + task in plan"))</f>
        <v/>
      </c>
    </row>
    <row r="1609" customFormat="false" ht="15" hidden="false" customHeight="false" outlineLevel="0" collapsed="false">
      <c r="A1609" s="13"/>
      <c r="B1609" s="9"/>
      <c r="C1609" s="9"/>
      <c r="D1609" s="9"/>
      <c r="E1609" s="9"/>
      <c r="F1609" s="16" t="str">
        <f aca="false">IF(B1609="","",IF(COUNTIFS('PM Plan'!$A$5:$A$304,B1609,'PM Plan'!$B$5:$B$304,C1609)&gt;0,"OK","No matching asset + task in plan"))</f>
        <v/>
      </c>
    </row>
    <row r="1610" customFormat="false" ht="15" hidden="false" customHeight="false" outlineLevel="0" collapsed="false">
      <c r="A1610" s="13"/>
      <c r="B1610" s="9"/>
      <c r="C1610" s="9"/>
      <c r="D1610" s="9"/>
      <c r="E1610" s="9"/>
      <c r="F1610" s="16" t="str">
        <f aca="false">IF(B1610="","",IF(COUNTIFS('PM Plan'!$A$5:$A$304,B1610,'PM Plan'!$B$5:$B$304,C1610)&gt;0,"OK","No matching asset + task in plan"))</f>
        <v/>
      </c>
    </row>
    <row r="1611" customFormat="false" ht="15" hidden="false" customHeight="false" outlineLevel="0" collapsed="false">
      <c r="A1611" s="13"/>
      <c r="B1611" s="9"/>
      <c r="C1611" s="9"/>
      <c r="D1611" s="9"/>
      <c r="E1611" s="9"/>
      <c r="F1611" s="16" t="str">
        <f aca="false">IF(B1611="","",IF(COUNTIFS('PM Plan'!$A$5:$A$304,B1611,'PM Plan'!$B$5:$B$304,C1611)&gt;0,"OK","No matching asset + task in plan"))</f>
        <v/>
      </c>
    </row>
    <row r="1612" customFormat="false" ht="15" hidden="false" customHeight="false" outlineLevel="0" collapsed="false">
      <c r="A1612" s="13"/>
      <c r="B1612" s="9"/>
      <c r="C1612" s="9"/>
      <c r="D1612" s="9"/>
      <c r="E1612" s="9"/>
      <c r="F1612" s="16" t="str">
        <f aca="false">IF(B1612="","",IF(COUNTIFS('PM Plan'!$A$5:$A$304,B1612,'PM Plan'!$B$5:$B$304,C1612)&gt;0,"OK","No matching asset + task in plan"))</f>
        <v/>
      </c>
    </row>
    <row r="1613" customFormat="false" ht="15" hidden="false" customHeight="false" outlineLevel="0" collapsed="false">
      <c r="A1613" s="13"/>
      <c r="B1613" s="9"/>
      <c r="C1613" s="9"/>
      <c r="D1613" s="9"/>
      <c r="E1613" s="9"/>
      <c r="F1613" s="16" t="str">
        <f aca="false">IF(B1613="","",IF(COUNTIFS('PM Plan'!$A$5:$A$304,B1613,'PM Plan'!$B$5:$B$304,C1613)&gt;0,"OK","No matching asset + task in plan"))</f>
        <v/>
      </c>
    </row>
    <row r="1614" customFormat="false" ht="15" hidden="false" customHeight="false" outlineLevel="0" collapsed="false">
      <c r="A1614" s="13"/>
      <c r="B1614" s="9"/>
      <c r="C1614" s="9"/>
      <c r="D1614" s="9"/>
      <c r="E1614" s="9"/>
      <c r="F1614" s="16" t="str">
        <f aca="false">IF(B1614="","",IF(COUNTIFS('PM Plan'!$A$5:$A$304,B1614,'PM Plan'!$B$5:$B$304,C1614)&gt;0,"OK","No matching asset + task in plan"))</f>
        <v/>
      </c>
    </row>
    <row r="1615" customFormat="false" ht="15" hidden="false" customHeight="false" outlineLevel="0" collapsed="false">
      <c r="A1615" s="13"/>
      <c r="B1615" s="9"/>
      <c r="C1615" s="9"/>
      <c r="D1615" s="9"/>
      <c r="E1615" s="9"/>
      <c r="F1615" s="16" t="str">
        <f aca="false">IF(B1615="","",IF(COUNTIFS('PM Plan'!$A$5:$A$304,B1615,'PM Plan'!$B$5:$B$304,C1615)&gt;0,"OK","No matching asset + task in plan"))</f>
        <v/>
      </c>
    </row>
    <row r="1616" customFormat="false" ht="15" hidden="false" customHeight="false" outlineLevel="0" collapsed="false">
      <c r="A1616" s="13"/>
      <c r="B1616" s="9"/>
      <c r="C1616" s="9"/>
      <c r="D1616" s="9"/>
      <c r="E1616" s="9"/>
      <c r="F1616" s="16" t="str">
        <f aca="false">IF(B1616="","",IF(COUNTIFS('PM Plan'!$A$5:$A$304,B1616,'PM Plan'!$B$5:$B$304,C1616)&gt;0,"OK","No matching asset + task in plan"))</f>
        <v/>
      </c>
    </row>
    <row r="1617" customFormat="false" ht="15" hidden="false" customHeight="false" outlineLevel="0" collapsed="false">
      <c r="A1617" s="13"/>
      <c r="B1617" s="9"/>
      <c r="C1617" s="9"/>
      <c r="D1617" s="9"/>
      <c r="E1617" s="9"/>
      <c r="F1617" s="16" t="str">
        <f aca="false">IF(B1617="","",IF(COUNTIFS('PM Plan'!$A$5:$A$304,B1617,'PM Plan'!$B$5:$B$304,C1617)&gt;0,"OK","No matching asset + task in plan"))</f>
        <v/>
      </c>
    </row>
    <row r="1618" customFormat="false" ht="15" hidden="false" customHeight="false" outlineLevel="0" collapsed="false">
      <c r="A1618" s="13"/>
      <c r="B1618" s="9"/>
      <c r="C1618" s="9"/>
      <c r="D1618" s="9"/>
      <c r="E1618" s="9"/>
      <c r="F1618" s="16" t="str">
        <f aca="false">IF(B1618="","",IF(COUNTIFS('PM Plan'!$A$5:$A$304,B1618,'PM Plan'!$B$5:$B$304,C1618)&gt;0,"OK","No matching asset + task in plan"))</f>
        <v/>
      </c>
    </row>
    <row r="1619" customFormat="false" ht="15" hidden="false" customHeight="false" outlineLevel="0" collapsed="false">
      <c r="A1619" s="13"/>
      <c r="B1619" s="9"/>
      <c r="C1619" s="9"/>
      <c r="D1619" s="9"/>
      <c r="E1619" s="9"/>
      <c r="F1619" s="16" t="str">
        <f aca="false">IF(B1619="","",IF(COUNTIFS('PM Plan'!$A$5:$A$304,B1619,'PM Plan'!$B$5:$B$304,C1619)&gt;0,"OK","No matching asset + task in plan"))</f>
        <v/>
      </c>
    </row>
    <row r="1620" customFormat="false" ht="15" hidden="false" customHeight="false" outlineLevel="0" collapsed="false">
      <c r="A1620" s="13"/>
      <c r="B1620" s="9"/>
      <c r="C1620" s="9"/>
      <c r="D1620" s="9"/>
      <c r="E1620" s="9"/>
      <c r="F1620" s="16" t="str">
        <f aca="false">IF(B1620="","",IF(COUNTIFS('PM Plan'!$A$5:$A$304,B1620,'PM Plan'!$B$5:$B$304,C1620)&gt;0,"OK","No matching asset + task in plan"))</f>
        <v/>
      </c>
    </row>
    <row r="1621" customFormat="false" ht="15" hidden="false" customHeight="false" outlineLevel="0" collapsed="false">
      <c r="A1621" s="13"/>
      <c r="B1621" s="9"/>
      <c r="C1621" s="9"/>
      <c r="D1621" s="9"/>
      <c r="E1621" s="9"/>
      <c r="F1621" s="16" t="str">
        <f aca="false">IF(B1621="","",IF(COUNTIFS('PM Plan'!$A$5:$A$304,B1621,'PM Plan'!$B$5:$B$304,C1621)&gt;0,"OK","No matching asset + task in plan"))</f>
        <v/>
      </c>
    </row>
    <row r="1622" customFormat="false" ht="15" hidden="false" customHeight="false" outlineLevel="0" collapsed="false">
      <c r="A1622" s="13"/>
      <c r="B1622" s="9"/>
      <c r="C1622" s="9"/>
      <c r="D1622" s="9"/>
      <c r="E1622" s="9"/>
      <c r="F1622" s="16" t="str">
        <f aca="false">IF(B1622="","",IF(COUNTIFS('PM Plan'!$A$5:$A$304,B1622,'PM Plan'!$B$5:$B$304,C1622)&gt;0,"OK","No matching asset + task in plan"))</f>
        <v/>
      </c>
    </row>
    <row r="1623" customFormat="false" ht="15" hidden="false" customHeight="false" outlineLevel="0" collapsed="false">
      <c r="A1623" s="13"/>
      <c r="B1623" s="9"/>
      <c r="C1623" s="9"/>
      <c r="D1623" s="9"/>
      <c r="E1623" s="9"/>
      <c r="F1623" s="16" t="str">
        <f aca="false">IF(B1623="","",IF(COUNTIFS('PM Plan'!$A$5:$A$304,B1623,'PM Plan'!$B$5:$B$304,C1623)&gt;0,"OK","No matching asset + task in plan"))</f>
        <v/>
      </c>
    </row>
    <row r="1624" customFormat="false" ht="15" hidden="false" customHeight="false" outlineLevel="0" collapsed="false">
      <c r="A1624" s="13"/>
      <c r="B1624" s="9"/>
      <c r="C1624" s="9"/>
      <c r="D1624" s="9"/>
      <c r="E1624" s="9"/>
      <c r="F1624" s="16" t="str">
        <f aca="false">IF(B1624="","",IF(COUNTIFS('PM Plan'!$A$5:$A$304,B1624,'PM Plan'!$B$5:$B$304,C1624)&gt;0,"OK","No matching asset + task in plan"))</f>
        <v/>
      </c>
    </row>
    <row r="1625" customFormat="false" ht="15" hidden="false" customHeight="false" outlineLevel="0" collapsed="false">
      <c r="A1625" s="13"/>
      <c r="B1625" s="9"/>
      <c r="C1625" s="9"/>
      <c r="D1625" s="9"/>
      <c r="E1625" s="9"/>
      <c r="F1625" s="16" t="str">
        <f aca="false">IF(B1625="","",IF(COUNTIFS('PM Plan'!$A$5:$A$304,B1625,'PM Plan'!$B$5:$B$304,C1625)&gt;0,"OK","No matching asset + task in plan"))</f>
        <v/>
      </c>
    </row>
    <row r="1626" customFormat="false" ht="15" hidden="false" customHeight="false" outlineLevel="0" collapsed="false">
      <c r="A1626" s="13"/>
      <c r="B1626" s="9"/>
      <c r="C1626" s="9"/>
      <c r="D1626" s="9"/>
      <c r="E1626" s="9"/>
      <c r="F1626" s="16" t="str">
        <f aca="false">IF(B1626="","",IF(COUNTIFS('PM Plan'!$A$5:$A$304,B1626,'PM Plan'!$B$5:$B$304,C1626)&gt;0,"OK","No matching asset + task in plan"))</f>
        <v/>
      </c>
    </row>
    <row r="1627" customFormat="false" ht="15" hidden="false" customHeight="false" outlineLevel="0" collapsed="false">
      <c r="A1627" s="13"/>
      <c r="B1627" s="9"/>
      <c r="C1627" s="9"/>
      <c r="D1627" s="9"/>
      <c r="E1627" s="9"/>
      <c r="F1627" s="16" t="str">
        <f aca="false">IF(B1627="","",IF(COUNTIFS('PM Plan'!$A$5:$A$304,B1627,'PM Plan'!$B$5:$B$304,C1627)&gt;0,"OK","No matching asset + task in plan"))</f>
        <v/>
      </c>
    </row>
    <row r="1628" customFormat="false" ht="15" hidden="false" customHeight="false" outlineLevel="0" collapsed="false">
      <c r="A1628" s="13"/>
      <c r="B1628" s="9"/>
      <c r="C1628" s="9"/>
      <c r="D1628" s="9"/>
      <c r="E1628" s="9"/>
      <c r="F1628" s="16" t="str">
        <f aca="false">IF(B1628="","",IF(COUNTIFS('PM Plan'!$A$5:$A$304,B1628,'PM Plan'!$B$5:$B$304,C1628)&gt;0,"OK","No matching asset + task in plan"))</f>
        <v/>
      </c>
    </row>
    <row r="1629" customFormat="false" ht="15" hidden="false" customHeight="false" outlineLevel="0" collapsed="false">
      <c r="A1629" s="13"/>
      <c r="B1629" s="9"/>
      <c r="C1629" s="9"/>
      <c r="D1629" s="9"/>
      <c r="E1629" s="9"/>
      <c r="F1629" s="16" t="str">
        <f aca="false">IF(B1629="","",IF(COUNTIFS('PM Plan'!$A$5:$A$304,B1629,'PM Plan'!$B$5:$B$304,C1629)&gt;0,"OK","No matching asset + task in plan"))</f>
        <v/>
      </c>
    </row>
    <row r="1630" customFormat="false" ht="15" hidden="false" customHeight="false" outlineLevel="0" collapsed="false">
      <c r="A1630" s="13"/>
      <c r="B1630" s="9"/>
      <c r="C1630" s="9"/>
      <c r="D1630" s="9"/>
      <c r="E1630" s="9"/>
      <c r="F1630" s="16" t="str">
        <f aca="false">IF(B1630="","",IF(COUNTIFS('PM Plan'!$A$5:$A$304,B1630,'PM Plan'!$B$5:$B$304,C1630)&gt;0,"OK","No matching asset + task in plan"))</f>
        <v/>
      </c>
    </row>
    <row r="1631" customFormat="false" ht="15" hidden="false" customHeight="false" outlineLevel="0" collapsed="false">
      <c r="A1631" s="13"/>
      <c r="B1631" s="9"/>
      <c r="C1631" s="9"/>
      <c r="D1631" s="9"/>
      <c r="E1631" s="9"/>
      <c r="F1631" s="16" t="str">
        <f aca="false">IF(B1631="","",IF(COUNTIFS('PM Plan'!$A$5:$A$304,B1631,'PM Plan'!$B$5:$B$304,C1631)&gt;0,"OK","No matching asset + task in plan"))</f>
        <v/>
      </c>
    </row>
    <row r="1632" customFormat="false" ht="15" hidden="false" customHeight="false" outlineLevel="0" collapsed="false">
      <c r="A1632" s="13"/>
      <c r="B1632" s="9"/>
      <c r="C1632" s="9"/>
      <c r="D1632" s="9"/>
      <c r="E1632" s="9"/>
      <c r="F1632" s="16" t="str">
        <f aca="false">IF(B1632="","",IF(COUNTIFS('PM Plan'!$A$5:$A$304,B1632,'PM Plan'!$B$5:$B$304,C1632)&gt;0,"OK","No matching asset + task in plan"))</f>
        <v/>
      </c>
    </row>
    <row r="1633" customFormat="false" ht="15" hidden="false" customHeight="false" outlineLevel="0" collapsed="false">
      <c r="A1633" s="13"/>
      <c r="B1633" s="9"/>
      <c r="C1633" s="9"/>
      <c r="D1633" s="9"/>
      <c r="E1633" s="9"/>
      <c r="F1633" s="16" t="str">
        <f aca="false">IF(B1633="","",IF(COUNTIFS('PM Plan'!$A$5:$A$304,B1633,'PM Plan'!$B$5:$B$304,C1633)&gt;0,"OK","No matching asset + task in plan"))</f>
        <v/>
      </c>
    </row>
    <row r="1634" customFormat="false" ht="15" hidden="false" customHeight="false" outlineLevel="0" collapsed="false">
      <c r="A1634" s="13"/>
      <c r="B1634" s="9"/>
      <c r="C1634" s="9"/>
      <c r="D1634" s="9"/>
      <c r="E1634" s="9"/>
      <c r="F1634" s="16" t="str">
        <f aca="false">IF(B1634="","",IF(COUNTIFS('PM Plan'!$A$5:$A$304,B1634,'PM Plan'!$B$5:$B$304,C1634)&gt;0,"OK","No matching asset + task in plan"))</f>
        <v/>
      </c>
    </row>
    <row r="1635" customFormat="false" ht="15" hidden="false" customHeight="false" outlineLevel="0" collapsed="false">
      <c r="A1635" s="13"/>
      <c r="B1635" s="9"/>
      <c r="C1635" s="9"/>
      <c r="D1635" s="9"/>
      <c r="E1635" s="9"/>
      <c r="F1635" s="16" t="str">
        <f aca="false">IF(B1635="","",IF(COUNTIFS('PM Plan'!$A$5:$A$304,B1635,'PM Plan'!$B$5:$B$304,C1635)&gt;0,"OK","No matching asset + task in plan"))</f>
        <v/>
      </c>
    </row>
    <row r="1636" customFormat="false" ht="15" hidden="false" customHeight="false" outlineLevel="0" collapsed="false">
      <c r="A1636" s="13"/>
      <c r="B1636" s="9"/>
      <c r="C1636" s="9"/>
      <c r="D1636" s="9"/>
      <c r="E1636" s="9"/>
      <c r="F1636" s="16" t="str">
        <f aca="false">IF(B1636="","",IF(COUNTIFS('PM Plan'!$A$5:$A$304,B1636,'PM Plan'!$B$5:$B$304,C1636)&gt;0,"OK","No matching asset + task in plan"))</f>
        <v/>
      </c>
    </row>
    <row r="1637" customFormat="false" ht="15" hidden="false" customHeight="false" outlineLevel="0" collapsed="false">
      <c r="A1637" s="13"/>
      <c r="B1637" s="9"/>
      <c r="C1637" s="9"/>
      <c r="D1637" s="9"/>
      <c r="E1637" s="9"/>
      <c r="F1637" s="16" t="str">
        <f aca="false">IF(B1637="","",IF(COUNTIFS('PM Plan'!$A$5:$A$304,B1637,'PM Plan'!$B$5:$B$304,C1637)&gt;0,"OK","No matching asset + task in plan"))</f>
        <v/>
      </c>
    </row>
    <row r="1638" customFormat="false" ht="15" hidden="false" customHeight="false" outlineLevel="0" collapsed="false">
      <c r="A1638" s="13"/>
      <c r="B1638" s="9"/>
      <c r="C1638" s="9"/>
      <c r="D1638" s="9"/>
      <c r="E1638" s="9"/>
      <c r="F1638" s="16" t="str">
        <f aca="false">IF(B1638="","",IF(COUNTIFS('PM Plan'!$A$5:$A$304,B1638,'PM Plan'!$B$5:$B$304,C1638)&gt;0,"OK","No matching asset + task in plan"))</f>
        <v/>
      </c>
    </row>
    <row r="1639" customFormat="false" ht="15" hidden="false" customHeight="false" outlineLevel="0" collapsed="false">
      <c r="A1639" s="13"/>
      <c r="B1639" s="9"/>
      <c r="C1639" s="9"/>
      <c r="D1639" s="9"/>
      <c r="E1639" s="9"/>
      <c r="F1639" s="16" t="str">
        <f aca="false">IF(B1639="","",IF(COUNTIFS('PM Plan'!$A$5:$A$304,B1639,'PM Plan'!$B$5:$B$304,C1639)&gt;0,"OK","No matching asset + task in plan"))</f>
        <v/>
      </c>
    </row>
    <row r="1640" customFormat="false" ht="15" hidden="false" customHeight="false" outlineLevel="0" collapsed="false">
      <c r="A1640" s="13"/>
      <c r="B1640" s="9"/>
      <c r="C1640" s="9"/>
      <c r="D1640" s="9"/>
      <c r="E1640" s="9"/>
      <c r="F1640" s="16" t="str">
        <f aca="false">IF(B1640="","",IF(COUNTIFS('PM Plan'!$A$5:$A$304,B1640,'PM Plan'!$B$5:$B$304,C1640)&gt;0,"OK","No matching asset + task in plan"))</f>
        <v/>
      </c>
    </row>
    <row r="1641" customFormat="false" ht="15" hidden="false" customHeight="false" outlineLevel="0" collapsed="false">
      <c r="A1641" s="13"/>
      <c r="B1641" s="9"/>
      <c r="C1641" s="9"/>
      <c r="D1641" s="9"/>
      <c r="E1641" s="9"/>
      <c r="F1641" s="16" t="str">
        <f aca="false">IF(B1641="","",IF(COUNTIFS('PM Plan'!$A$5:$A$304,B1641,'PM Plan'!$B$5:$B$304,C1641)&gt;0,"OK","No matching asset + task in plan"))</f>
        <v/>
      </c>
    </row>
    <row r="1642" customFormat="false" ht="15" hidden="false" customHeight="false" outlineLevel="0" collapsed="false">
      <c r="A1642" s="13"/>
      <c r="B1642" s="9"/>
      <c r="C1642" s="9"/>
      <c r="D1642" s="9"/>
      <c r="E1642" s="9"/>
      <c r="F1642" s="16" t="str">
        <f aca="false">IF(B1642="","",IF(COUNTIFS('PM Plan'!$A$5:$A$304,B1642,'PM Plan'!$B$5:$B$304,C1642)&gt;0,"OK","No matching asset + task in plan"))</f>
        <v/>
      </c>
    </row>
    <row r="1643" customFormat="false" ht="15" hidden="false" customHeight="false" outlineLevel="0" collapsed="false">
      <c r="A1643" s="13"/>
      <c r="B1643" s="9"/>
      <c r="C1643" s="9"/>
      <c r="D1643" s="9"/>
      <c r="E1643" s="9"/>
      <c r="F1643" s="16" t="str">
        <f aca="false">IF(B1643="","",IF(COUNTIFS('PM Plan'!$A$5:$A$304,B1643,'PM Plan'!$B$5:$B$304,C1643)&gt;0,"OK","No matching asset + task in plan"))</f>
        <v/>
      </c>
    </row>
    <row r="1644" customFormat="false" ht="15" hidden="false" customHeight="false" outlineLevel="0" collapsed="false">
      <c r="A1644" s="13"/>
      <c r="B1644" s="9"/>
      <c r="C1644" s="9"/>
      <c r="D1644" s="9"/>
      <c r="E1644" s="9"/>
      <c r="F1644" s="16" t="str">
        <f aca="false">IF(B1644="","",IF(COUNTIFS('PM Plan'!$A$5:$A$304,B1644,'PM Plan'!$B$5:$B$304,C1644)&gt;0,"OK","No matching asset + task in plan"))</f>
        <v/>
      </c>
    </row>
    <row r="1645" customFormat="false" ht="15" hidden="false" customHeight="false" outlineLevel="0" collapsed="false">
      <c r="A1645" s="13"/>
      <c r="B1645" s="9"/>
      <c r="C1645" s="9"/>
      <c r="D1645" s="9"/>
      <c r="E1645" s="9"/>
      <c r="F1645" s="16" t="str">
        <f aca="false">IF(B1645="","",IF(COUNTIFS('PM Plan'!$A$5:$A$304,B1645,'PM Plan'!$B$5:$B$304,C1645)&gt;0,"OK","No matching asset + task in plan"))</f>
        <v/>
      </c>
    </row>
    <row r="1646" customFormat="false" ht="15" hidden="false" customHeight="false" outlineLevel="0" collapsed="false">
      <c r="A1646" s="13"/>
      <c r="B1646" s="9"/>
      <c r="C1646" s="9"/>
      <c r="D1646" s="9"/>
      <c r="E1646" s="9"/>
      <c r="F1646" s="16" t="str">
        <f aca="false">IF(B1646="","",IF(COUNTIFS('PM Plan'!$A$5:$A$304,B1646,'PM Plan'!$B$5:$B$304,C1646)&gt;0,"OK","No matching asset + task in plan"))</f>
        <v/>
      </c>
    </row>
    <row r="1647" customFormat="false" ht="15" hidden="false" customHeight="false" outlineLevel="0" collapsed="false">
      <c r="A1647" s="13"/>
      <c r="B1647" s="9"/>
      <c r="C1647" s="9"/>
      <c r="D1647" s="9"/>
      <c r="E1647" s="9"/>
      <c r="F1647" s="16" t="str">
        <f aca="false">IF(B1647="","",IF(COUNTIFS('PM Plan'!$A$5:$A$304,B1647,'PM Plan'!$B$5:$B$304,C1647)&gt;0,"OK","No matching asset + task in plan"))</f>
        <v/>
      </c>
    </row>
    <row r="1648" customFormat="false" ht="15" hidden="false" customHeight="false" outlineLevel="0" collapsed="false">
      <c r="A1648" s="13"/>
      <c r="B1648" s="9"/>
      <c r="C1648" s="9"/>
      <c r="D1648" s="9"/>
      <c r="E1648" s="9"/>
      <c r="F1648" s="16" t="str">
        <f aca="false">IF(B1648="","",IF(COUNTIFS('PM Plan'!$A$5:$A$304,B1648,'PM Plan'!$B$5:$B$304,C1648)&gt;0,"OK","No matching asset + task in plan"))</f>
        <v/>
      </c>
    </row>
    <row r="1649" customFormat="false" ht="15" hidden="false" customHeight="false" outlineLevel="0" collapsed="false">
      <c r="A1649" s="13"/>
      <c r="B1649" s="9"/>
      <c r="C1649" s="9"/>
      <c r="D1649" s="9"/>
      <c r="E1649" s="9"/>
      <c r="F1649" s="16" t="str">
        <f aca="false">IF(B1649="","",IF(COUNTIFS('PM Plan'!$A$5:$A$304,B1649,'PM Plan'!$B$5:$B$304,C1649)&gt;0,"OK","No matching asset + task in plan"))</f>
        <v/>
      </c>
    </row>
    <row r="1650" customFormat="false" ht="15" hidden="false" customHeight="false" outlineLevel="0" collapsed="false">
      <c r="A1650" s="13"/>
      <c r="B1650" s="9"/>
      <c r="C1650" s="9"/>
      <c r="D1650" s="9"/>
      <c r="E1650" s="9"/>
      <c r="F1650" s="16" t="str">
        <f aca="false">IF(B1650="","",IF(COUNTIFS('PM Plan'!$A$5:$A$304,B1650,'PM Plan'!$B$5:$B$304,C1650)&gt;0,"OK","No matching asset + task in plan"))</f>
        <v/>
      </c>
    </row>
    <row r="1651" customFormat="false" ht="15" hidden="false" customHeight="false" outlineLevel="0" collapsed="false">
      <c r="A1651" s="13"/>
      <c r="B1651" s="9"/>
      <c r="C1651" s="9"/>
      <c r="D1651" s="9"/>
      <c r="E1651" s="9"/>
      <c r="F1651" s="16" t="str">
        <f aca="false">IF(B1651="","",IF(COUNTIFS('PM Plan'!$A$5:$A$304,B1651,'PM Plan'!$B$5:$B$304,C1651)&gt;0,"OK","No matching asset + task in plan"))</f>
        <v/>
      </c>
    </row>
    <row r="1652" customFormat="false" ht="15" hidden="false" customHeight="false" outlineLevel="0" collapsed="false">
      <c r="A1652" s="13"/>
      <c r="B1652" s="9"/>
      <c r="C1652" s="9"/>
      <c r="D1652" s="9"/>
      <c r="E1652" s="9"/>
      <c r="F1652" s="16" t="str">
        <f aca="false">IF(B1652="","",IF(COUNTIFS('PM Plan'!$A$5:$A$304,B1652,'PM Plan'!$B$5:$B$304,C1652)&gt;0,"OK","No matching asset + task in plan"))</f>
        <v/>
      </c>
    </row>
    <row r="1653" customFormat="false" ht="15" hidden="false" customHeight="false" outlineLevel="0" collapsed="false">
      <c r="A1653" s="13"/>
      <c r="B1653" s="9"/>
      <c r="C1653" s="9"/>
      <c r="D1653" s="9"/>
      <c r="E1653" s="9"/>
      <c r="F1653" s="16" t="str">
        <f aca="false">IF(B1653="","",IF(COUNTIFS('PM Plan'!$A$5:$A$304,B1653,'PM Plan'!$B$5:$B$304,C1653)&gt;0,"OK","No matching asset + task in plan"))</f>
        <v/>
      </c>
    </row>
    <row r="1654" customFormat="false" ht="15" hidden="false" customHeight="false" outlineLevel="0" collapsed="false">
      <c r="A1654" s="13"/>
      <c r="B1654" s="9"/>
      <c r="C1654" s="9"/>
      <c r="D1654" s="9"/>
      <c r="E1654" s="9"/>
      <c r="F1654" s="16" t="str">
        <f aca="false">IF(B1654="","",IF(COUNTIFS('PM Plan'!$A$5:$A$304,B1654,'PM Plan'!$B$5:$B$304,C1654)&gt;0,"OK","No matching asset + task in plan"))</f>
        <v/>
      </c>
    </row>
    <row r="1655" customFormat="false" ht="15" hidden="false" customHeight="false" outlineLevel="0" collapsed="false">
      <c r="A1655" s="13"/>
      <c r="B1655" s="9"/>
      <c r="C1655" s="9"/>
      <c r="D1655" s="9"/>
      <c r="E1655" s="9"/>
      <c r="F1655" s="16" t="str">
        <f aca="false">IF(B1655="","",IF(COUNTIFS('PM Plan'!$A$5:$A$304,B1655,'PM Plan'!$B$5:$B$304,C1655)&gt;0,"OK","No matching asset + task in plan"))</f>
        <v/>
      </c>
    </row>
    <row r="1656" customFormat="false" ht="15" hidden="false" customHeight="false" outlineLevel="0" collapsed="false">
      <c r="A1656" s="13"/>
      <c r="B1656" s="9"/>
      <c r="C1656" s="9"/>
      <c r="D1656" s="9"/>
      <c r="E1656" s="9"/>
      <c r="F1656" s="16" t="str">
        <f aca="false">IF(B1656="","",IF(COUNTIFS('PM Plan'!$A$5:$A$304,B1656,'PM Plan'!$B$5:$B$304,C1656)&gt;0,"OK","No matching asset + task in plan"))</f>
        <v/>
      </c>
    </row>
    <row r="1657" customFormat="false" ht="15" hidden="false" customHeight="false" outlineLevel="0" collapsed="false">
      <c r="A1657" s="13"/>
      <c r="B1657" s="9"/>
      <c r="C1657" s="9"/>
      <c r="D1657" s="9"/>
      <c r="E1657" s="9"/>
      <c r="F1657" s="16" t="str">
        <f aca="false">IF(B1657="","",IF(COUNTIFS('PM Plan'!$A$5:$A$304,B1657,'PM Plan'!$B$5:$B$304,C1657)&gt;0,"OK","No matching asset + task in plan"))</f>
        <v/>
      </c>
    </row>
    <row r="1658" customFormat="false" ht="15" hidden="false" customHeight="false" outlineLevel="0" collapsed="false">
      <c r="A1658" s="13"/>
      <c r="B1658" s="9"/>
      <c r="C1658" s="9"/>
      <c r="D1658" s="9"/>
      <c r="E1658" s="9"/>
      <c r="F1658" s="16" t="str">
        <f aca="false">IF(B1658="","",IF(COUNTIFS('PM Plan'!$A$5:$A$304,B1658,'PM Plan'!$B$5:$B$304,C1658)&gt;0,"OK","No matching asset + task in plan"))</f>
        <v/>
      </c>
    </row>
    <row r="1659" customFormat="false" ht="15" hidden="false" customHeight="false" outlineLevel="0" collapsed="false">
      <c r="A1659" s="13"/>
      <c r="B1659" s="9"/>
      <c r="C1659" s="9"/>
      <c r="D1659" s="9"/>
      <c r="E1659" s="9"/>
      <c r="F1659" s="16" t="str">
        <f aca="false">IF(B1659="","",IF(COUNTIFS('PM Plan'!$A$5:$A$304,B1659,'PM Plan'!$B$5:$B$304,C1659)&gt;0,"OK","No matching asset + task in plan"))</f>
        <v/>
      </c>
    </row>
    <row r="1660" customFormat="false" ht="15" hidden="false" customHeight="false" outlineLevel="0" collapsed="false">
      <c r="A1660" s="13"/>
      <c r="B1660" s="9"/>
      <c r="C1660" s="9"/>
      <c r="D1660" s="9"/>
      <c r="E1660" s="9"/>
      <c r="F1660" s="16" t="str">
        <f aca="false">IF(B1660="","",IF(COUNTIFS('PM Plan'!$A$5:$A$304,B1660,'PM Plan'!$B$5:$B$304,C1660)&gt;0,"OK","No matching asset + task in plan"))</f>
        <v/>
      </c>
    </row>
    <row r="1661" customFormat="false" ht="15" hidden="false" customHeight="false" outlineLevel="0" collapsed="false">
      <c r="A1661" s="13"/>
      <c r="B1661" s="9"/>
      <c r="C1661" s="9"/>
      <c r="D1661" s="9"/>
      <c r="E1661" s="9"/>
      <c r="F1661" s="16" t="str">
        <f aca="false">IF(B1661="","",IF(COUNTIFS('PM Plan'!$A$5:$A$304,B1661,'PM Plan'!$B$5:$B$304,C1661)&gt;0,"OK","No matching asset + task in plan"))</f>
        <v/>
      </c>
    </row>
    <row r="1662" customFormat="false" ht="15" hidden="false" customHeight="false" outlineLevel="0" collapsed="false">
      <c r="A1662" s="13"/>
      <c r="B1662" s="9"/>
      <c r="C1662" s="9"/>
      <c r="D1662" s="9"/>
      <c r="E1662" s="9"/>
      <c r="F1662" s="16" t="str">
        <f aca="false">IF(B1662="","",IF(COUNTIFS('PM Plan'!$A$5:$A$304,B1662,'PM Plan'!$B$5:$B$304,C1662)&gt;0,"OK","No matching asset + task in plan"))</f>
        <v/>
      </c>
    </row>
    <row r="1663" customFormat="false" ht="15" hidden="false" customHeight="false" outlineLevel="0" collapsed="false">
      <c r="A1663" s="13"/>
      <c r="B1663" s="9"/>
      <c r="C1663" s="9"/>
      <c r="D1663" s="9"/>
      <c r="E1663" s="9"/>
      <c r="F1663" s="16" t="str">
        <f aca="false">IF(B1663="","",IF(COUNTIFS('PM Plan'!$A$5:$A$304,B1663,'PM Plan'!$B$5:$B$304,C1663)&gt;0,"OK","No matching asset + task in plan"))</f>
        <v/>
      </c>
    </row>
    <row r="1664" customFormat="false" ht="15" hidden="false" customHeight="false" outlineLevel="0" collapsed="false">
      <c r="A1664" s="13"/>
      <c r="B1664" s="9"/>
      <c r="C1664" s="9"/>
      <c r="D1664" s="9"/>
      <c r="E1664" s="9"/>
      <c r="F1664" s="16" t="str">
        <f aca="false">IF(B1664="","",IF(COUNTIFS('PM Plan'!$A$5:$A$304,B1664,'PM Plan'!$B$5:$B$304,C1664)&gt;0,"OK","No matching asset + task in plan"))</f>
        <v/>
      </c>
    </row>
    <row r="1665" customFormat="false" ht="15" hidden="false" customHeight="false" outlineLevel="0" collapsed="false">
      <c r="A1665" s="13"/>
      <c r="B1665" s="9"/>
      <c r="C1665" s="9"/>
      <c r="D1665" s="9"/>
      <c r="E1665" s="9"/>
      <c r="F1665" s="16" t="str">
        <f aca="false">IF(B1665="","",IF(COUNTIFS('PM Plan'!$A$5:$A$304,B1665,'PM Plan'!$B$5:$B$304,C1665)&gt;0,"OK","No matching asset + task in plan"))</f>
        <v/>
      </c>
    </row>
    <row r="1666" customFormat="false" ht="15" hidden="false" customHeight="false" outlineLevel="0" collapsed="false">
      <c r="A1666" s="13"/>
      <c r="B1666" s="9"/>
      <c r="C1666" s="9"/>
      <c r="D1666" s="9"/>
      <c r="E1666" s="9"/>
      <c r="F1666" s="16" t="str">
        <f aca="false">IF(B1666="","",IF(COUNTIFS('PM Plan'!$A$5:$A$304,B1666,'PM Plan'!$B$5:$B$304,C1666)&gt;0,"OK","No matching asset + task in plan"))</f>
        <v/>
      </c>
    </row>
    <row r="1667" customFormat="false" ht="15" hidden="false" customHeight="false" outlineLevel="0" collapsed="false">
      <c r="A1667" s="13"/>
      <c r="B1667" s="9"/>
      <c r="C1667" s="9"/>
      <c r="D1667" s="9"/>
      <c r="E1667" s="9"/>
      <c r="F1667" s="16" t="str">
        <f aca="false">IF(B1667="","",IF(COUNTIFS('PM Plan'!$A$5:$A$304,B1667,'PM Plan'!$B$5:$B$304,C1667)&gt;0,"OK","No matching asset + task in plan"))</f>
        <v/>
      </c>
    </row>
    <row r="1668" customFormat="false" ht="15" hidden="false" customHeight="false" outlineLevel="0" collapsed="false">
      <c r="A1668" s="13"/>
      <c r="B1668" s="9"/>
      <c r="C1668" s="9"/>
      <c r="D1668" s="9"/>
      <c r="E1668" s="9"/>
      <c r="F1668" s="16" t="str">
        <f aca="false">IF(B1668="","",IF(COUNTIFS('PM Plan'!$A$5:$A$304,B1668,'PM Plan'!$B$5:$B$304,C1668)&gt;0,"OK","No matching asset + task in plan"))</f>
        <v/>
      </c>
    </row>
    <row r="1669" customFormat="false" ht="15" hidden="false" customHeight="false" outlineLevel="0" collapsed="false">
      <c r="A1669" s="13"/>
      <c r="B1669" s="9"/>
      <c r="C1669" s="9"/>
      <c r="D1669" s="9"/>
      <c r="E1669" s="9"/>
      <c r="F1669" s="16" t="str">
        <f aca="false">IF(B1669="","",IF(COUNTIFS('PM Plan'!$A$5:$A$304,B1669,'PM Plan'!$B$5:$B$304,C1669)&gt;0,"OK","No matching asset + task in plan"))</f>
        <v/>
      </c>
    </row>
    <row r="1670" customFormat="false" ht="15" hidden="false" customHeight="false" outlineLevel="0" collapsed="false">
      <c r="A1670" s="13"/>
      <c r="B1670" s="9"/>
      <c r="C1670" s="9"/>
      <c r="D1670" s="9"/>
      <c r="E1670" s="9"/>
      <c r="F1670" s="16" t="str">
        <f aca="false">IF(B1670="","",IF(COUNTIFS('PM Plan'!$A$5:$A$304,B1670,'PM Plan'!$B$5:$B$304,C1670)&gt;0,"OK","No matching asset + task in plan"))</f>
        <v/>
      </c>
    </row>
    <row r="1671" customFormat="false" ht="15" hidden="false" customHeight="false" outlineLevel="0" collapsed="false">
      <c r="A1671" s="13"/>
      <c r="B1671" s="9"/>
      <c r="C1671" s="9"/>
      <c r="D1671" s="9"/>
      <c r="E1671" s="9"/>
      <c r="F1671" s="16" t="str">
        <f aca="false">IF(B1671="","",IF(COUNTIFS('PM Plan'!$A$5:$A$304,B1671,'PM Plan'!$B$5:$B$304,C1671)&gt;0,"OK","No matching asset + task in plan"))</f>
        <v/>
      </c>
    </row>
    <row r="1672" customFormat="false" ht="15" hidden="false" customHeight="false" outlineLevel="0" collapsed="false">
      <c r="A1672" s="13"/>
      <c r="B1672" s="9"/>
      <c r="C1672" s="9"/>
      <c r="D1672" s="9"/>
      <c r="E1672" s="9"/>
      <c r="F1672" s="16" t="str">
        <f aca="false">IF(B1672="","",IF(COUNTIFS('PM Plan'!$A$5:$A$304,B1672,'PM Plan'!$B$5:$B$304,C1672)&gt;0,"OK","No matching asset + task in plan"))</f>
        <v/>
      </c>
    </row>
    <row r="1673" customFormat="false" ht="15" hidden="false" customHeight="false" outlineLevel="0" collapsed="false">
      <c r="A1673" s="13"/>
      <c r="B1673" s="9"/>
      <c r="C1673" s="9"/>
      <c r="D1673" s="9"/>
      <c r="E1673" s="9"/>
      <c r="F1673" s="16" t="str">
        <f aca="false">IF(B1673="","",IF(COUNTIFS('PM Plan'!$A$5:$A$304,B1673,'PM Plan'!$B$5:$B$304,C1673)&gt;0,"OK","No matching asset + task in plan"))</f>
        <v/>
      </c>
    </row>
    <row r="1674" customFormat="false" ht="15" hidden="false" customHeight="false" outlineLevel="0" collapsed="false">
      <c r="A1674" s="13"/>
      <c r="B1674" s="9"/>
      <c r="C1674" s="9"/>
      <c r="D1674" s="9"/>
      <c r="E1674" s="9"/>
      <c r="F1674" s="16" t="str">
        <f aca="false">IF(B1674="","",IF(COUNTIFS('PM Plan'!$A$5:$A$304,B1674,'PM Plan'!$B$5:$B$304,C1674)&gt;0,"OK","No matching asset + task in plan"))</f>
        <v/>
      </c>
    </row>
    <row r="1675" customFormat="false" ht="15" hidden="false" customHeight="false" outlineLevel="0" collapsed="false">
      <c r="A1675" s="13"/>
      <c r="B1675" s="9"/>
      <c r="C1675" s="9"/>
      <c r="D1675" s="9"/>
      <c r="E1675" s="9"/>
      <c r="F1675" s="16" t="str">
        <f aca="false">IF(B1675="","",IF(COUNTIFS('PM Plan'!$A$5:$A$304,B1675,'PM Plan'!$B$5:$B$304,C1675)&gt;0,"OK","No matching asset + task in plan"))</f>
        <v/>
      </c>
    </row>
    <row r="1676" customFormat="false" ht="15" hidden="false" customHeight="false" outlineLevel="0" collapsed="false">
      <c r="A1676" s="13"/>
      <c r="B1676" s="9"/>
      <c r="C1676" s="9"/>
      <c r="D1676" s="9"/>
      <c r="E1676" s="9"/>
      <c r="F1676" s="16" t="str">
        <f aca="false">IF(B1676="","",IF(COUNTIFS('PM Plan'!$A$5:$A$304,B1676,'PM Plan'!$B$5:$B$304,C1676)&gt;0,"OK","No matching asset + task in plan"))</f>
        <v/>
      </c>
    </row>
    <row r="1677" customFormat="false" ht="15" hidden="false" customHeight="false" outlineLevel="0" collapsed="false">
      <c r="A1677" s="13"/>
      <c r="B1677" s="9"/>
      <c r="C1677" s="9"/>
      <c r="D1677" s="9"/>
      <c r="E1677" s="9"/>
      <c r="F1677" s="16" t="str">
        <f aca="false">IF(B1677="","",IF(COUNTIFS('PM Plan'!$A$5:$A$304,B1677,'PM Plan'!$B$5:$B$304,C1677)&gt;0,"OK","No matching asset + task in plan"))</f>
        <v/>
      </c>
    </row>
    <row r="1678" customFormat="false" ht="15" hidden="false" customHeight="false" outlineLevel="0" collapsed="false">
      <c r="A1678" s="13"/>
      <c r="B1678" s="9"/>
      <c r="C1678" s="9"/>
      <c r="D1678" s="9"/>
      <c r="E1678" s="9"/>
      <c r="F1678" s="16" t="str">
        <f aca="false">IF(B1678="","",IF(COUNTIFS('PM Plan'!$A$5:$A$304,B1678,'PM Plan'!$B$5:$B$304,C1678)&gt;0,"OK","No matching asset + task in plan"))</f>
        <v/>
      </c>
    </row>
    <row r="1679" customFormat="false" ht="15" hidden="false" customHeight="false" outlineLevel="0" collapsed="false">
      <c r="A1679" s="13"/>
      <c r="B1679" s="9"/>
      <c r="C1679" s="9"/>
      <c r="D1679" s="9"/>
      <c r="E1679" s="9"/>
      <c r="F1679" s="16" t="str">
        <f aca="false">IF(B1679="","",IF(COUNTIFS('PM Plan'!$A$5:$A$304,B1679,'PM Plan'!$B$5:$B$304,C1679)&gt;0,"OK","No matching asset + task in plan"))</f>
        <v/>
      </c>
    </row>
    <row r="1680" customFormat="false" ht="15" hidden="false" customHeight="false" outlineLevel="0" collapsed="false">
      <c r="A1680" s="13"/>
      <c r="B1680" s="9"/>
      <c r="C1680" s="9"/>
      <c r="D1680" s="9"/>
      <c r="E1680" s="9"/>
      <c r="F1680" s="16" t="str">
        <f aca="false">IF(B1680="","",IF(COUNTIFS('PM Plan'!$A$5:$A$304,B1680,'PM Plan'!$B$5:$B$304,C1680)&gt;0,"OK","No matching asset + task in plan"))</f>
        <v/>
      </c>
    </row>
    <row r="1681" customFormat="false" ht="15" hidden="false" customHeight="false" outlineLevel="0" collapsed="false">
      <c r="A1681" s="13"/>
      <c r="B1681" s="9"/>
      <c r="C1681" s="9"/>
      <c r="D1681" s="9"/>
      <c r="E1681" s="9"/>
      <c r="F1681" s="16" t="str">
        <f aca="false">IF(B1681="","",IF(COUNTIFS('PM Plan'!$A$5:$A$304,B1681,'PM Plan'!$B$5:$B$304,C1681)&gt;0,"OK","No matching asset + task in plan"))</f>
        <v/>
      </c>
    </row>
    <row r="1682" customFormat="false" ht="15" hidden="false" customHeight="false" outlineLevel="0" collapsed="false">
      <c r="A1682" s="13"/>
      <c r="B1682" s="9"/>
      <c r="C1682" s="9"/>
      <c r="D1682" s="9"/>
      <c r="E1682" s="9"/>
      <c r="F1682" s="16" t="str">
        <f aca="false">IF(B1682="","",IF(COUNTIFS('PM Plan'!$A$5:$A$304,B1682,'PM Plan'!$B$5:$B$304,C1682)&gt;0,"OK","No matching asset + task in plan"))</f>
        <v/>
      </c>
    </row>
    <row r="1683" customFormat="false" ht="15" hidden="false" customHeight="false" outlineLevel="0" collapsed="false">
      <c r="A1683" s="13"/>
      <c r="B1683" s="9"/>
      <c r="C1683" s="9"/>
      <c r="D1683" s="9"/>
      <c r="E1683" s="9"/>
      <c r="F1683" s="16" t="str">
        <f aca="false">IF(B1683="","",IF(COUNTIFS('PM Plan'!$A$5:$A$304,B1683,'PM Plan'!$B$5:$B$304,C1683)&gt;0,"OK","No matching asset + task in plan"))</f>
        <v/>
      </c>
    </row>
    <row r="1684" customFormat="false" ht="15" hidden="false" customHeight="false" outlineLevel="0" collapsed="false">
      <c r="A1684" s="13"/>
      <c r="B1684" s="9"/>
      <c r="C1684" s="9"/>
      <c r="D1684" s="9"/>
      <c r="E1684" s="9"/>
      <c r="F1684" s="16" t="str">
        <f aca="false">IF(B1684="","",IF(COUNTIFS('PM Plan'!$A$5:$A$304,B1684,'PM Plan'!$B$5:$B$304,C1684)&gt;0,"OK","No matching asset + task in plan"))</f>
        <v/>
      </c>
    </row>
    <row r="1685" customFormat="false" ht="15" hidden="false" customHeight="false" outlineLevel="0" collapsed="false">
      <c r="A1685" s="13"/>
      <c r="B1685" s="9"/>
      <c r="C1685" s="9"/>
      <c r="D1685" s="9"/>
      <c r="E1685" s="9"/>
      <c r="F1685" s="16" t="str">
        <f aca="false">IF(B1685="","",IF(COUNTIFS('PM Plan'!$A$5:$A$304,B1685,'PM Plan'!$B$5:$B$304,C1685)&gt;0,"OK","No matching asset + task in plan"))</f>
        <v/>
      </c>
    </row>
    <row r="1686" customFormat="false" ht="15" hidden="false" customHeight="false" outlineLevel="0" collapsed="false">
      <c r="A1686" s="13"/>
      <c r="B1686" s="9"/>
      <c r="C1686" s="9"/>
      <c r="D1686" s="9"/>
      <c r="E1686" s="9"/>
      <c r="F1686" s="16" t="str">
        <f aca="false">IF(B1686="","",IF(COUNTIFS('PM Plan'!$A$5:$A$304,B1686,'PM Plan'!$B$5:$B$304,C1686)&gt;0,"OK","No matching asset + task in plan"))</f>
        <v/>
      </c>
    </row>
    <row r="1687" customFormat="false" ht="15" hidden="false" customHeight="false" outlineLevel="0" collapsed="false">
      <c r="A1687" s="13"/>
      <c r="B1687" s="9"/>
      <c r="C1687" s="9"/>
      <c r="D1687" s="9"/>
      <c r="E1687" s="9"/>
      <c r="F1687" s="16" t="str">
        <f aca="false">IF(B1687="","",IF(COUNTIFS('PM Plan'!$A$5:$A$304,B1687,'PM Plan'!$B$5:$B$304,C1687)&gt;0,"OK","No matching asset + task in plan"))</f>
        <v/>
      </c>
    </row>
    <row r="1688" customFormat="false" ht="15" hidden="false" customHeight="false" outlineLevel="0" collapsed="false">
      <c r="A1688" s="13"/>
      <c r="B1688" s="9"/>
      <c r="C1688" s="9"/>
      <c r="D1688" s="9"/>
      <c r="E1688" s="9"/>
      <c r="F1688" s="16" t="str">
        <f aca="false">IF(B1688="","",IF(COUNTIFS('PM Plan'!$A$5:$A$304,B1688,'PM Plan'!$B$5:$B$304,C1688)&gt;0,"OK","No matching asset + task in plan"))</f>
        <v/>
      </c>
    </row>
    <row r="1689" customFormat="false" ht="15" hidden="false" customHeight="false" outlineLevel="0" collapsed="false">
      <c r="A1689" s="13"/>
      <c r="B1689" s="9"/>
      <c r="C1689" s="9"/>
      <c r="D1689" s="9"/>
      <c r="E1689" s="9"/>
      <c r="F1689" s="16" t="str">
        <f aca="false">IF(B1689="","",IF(COUNTIFS('PM Plan'!$A$5:$A$304,B1689,'PM Plan'!$B$5:$B$304,C1689)&gt;0,"OK","No matching asset + task in plan"))</f>
        <v/>
      </c>
    </row>
    <row r="1690" customFormat="false" ht="15" hidden="false" customHeight="false" outlineLevel="0" collapsed="false">
      <c r="A1690" s="13"/>
      <c r="B1690" s="9"/>
      <c r="C1690" s="9"/>
      <c r="D1690" s="9"/>
      <c r="E1690" s="9"/>
      <c r="F1690" s="16" t="str">
        <f aca="false">IF(B1690="","",IF(COUNTIFS('PM Plan'!$A$5:$A$304,B1690,'PM Plan'!$B$5:$B$304,C1690)&gt;0,"OK","No matching asset + task in plan"))</f>
        <v/>
      </c>
    </row>
    <row r="1691" customFormat="false" ht="15" hidden="false" customHeight="false" outlineLevel="0" collapsed="false">
      <c r="A1691" s="13"/>
      <c r="B1691" s="9"/>
      <c r="C1691" s="9"/>
      <c r="D1691" s="9"/>
      <c r="E1691" s="9"/>
      <c r="F1691" s="16" t="str">
        <f aca="false">IF(B1691="","",IF(COUNTIFS('PM Plan'!$A$5:$A$304,B1691,'PM Plan'!$B$5:$B$304,C1691)&gt;0,"OK","No matching asset + task in plan"))</f>
        <v/>
      </c>
    </row>
    <row r="1692" customFormat="false" ht="15" hidden="false" customHeight="false" outlineLevel="0" collapsed="false">
      <c r="A1692" s="13"/>
      <c r="B1692" s="9"/>
      <c r="C1692" s="9"/>
      <c r="D1692" s="9"/>
      <c r="E1692" s="9"/>
      <c r="F1692" s="16" t="str">
        <f aca="false">IF(B1692="","",IF(COUNTIFS('PM Plan'!$A$5:$A$304,B1692,'PM Plan'!$B$5:$B$304,C1692)&gt;0,"OK","No matching asset + task in plan"))</f>
        <v/>
      </c>
    </row>
    <row r="1693" customFormat="false" ht="15" hidden="false" customHeight="false" outlineLevel="0" collapsed="false">
      <c r="A1693" s="13"/>
      <c r="B1693" s="9"/>
      <c r="C1693" s="9"/>
      <c r="D1693" s="9"/>
      <c r="E1693" s="9"/>
      <c r="F1693" s="16" t="str">
        <f aca="false">IF(B1693="","",IF(COUNTIFS('PM Plan'!$A$5:$A$304,B1693,'PM Plan'!$B$5:$B$304,C1693)&gt;0,"OK","No matching asset + task in plan"))</f>
        <v/>
      </c>
    </row>
    <row r="1694" customFormat="false" ht="15" hidden="false" customHeight="false" outlineLevel="0" collapsed="false">
      <c r="A1694" s="13"/>
      <c r="B1694" s="9"/>
      <c r="C1694" s="9"/>
      <c r="D1694" s="9"/>
      <c r="E1694" s="9"/>
      <c r="F1694" s="16" t="str">
        <f aca="false">IF(B1694="","",IF(COUNTIFS('PM Plan'!$A$5:$A$304,B1694,'PM Plan'!$B$5:$B$304,C1694)&gt;0,"OK","No matching asset + task in plan"))</f>
        <v/>
      </c>
    </row>
    <row r="1695" customFormat="false" ht="15" hidden="false" customHeight="false" outlineLevel="0" collapsed="false">
      <c r="A1695" s="13"/>
      <c r="B1695" s="9"/>
      <c r="C1695" s="9"/>
      <c r="D1695" s="9"/>
      <c r="E1695" s="9"/>
      <c r="F1695" s="16" t="str">
        <f aca="false">IF(B1695="","",IF(COUNTIFS('PM Plan'!$A$5:$A$304,B1695,'PM Plan'!$B$5:$B$304,C1695)&gt;0,"OK","No matching asset + task in plan"))</f>
        <v/>
      </c>
    </row>
    <row r="1696" customFormat="false" ht="15" hidden="false" customHeight="false" outlineLevel="0" collapsed="false">
      <c r="A1696" s="13"/>
      <c r="B1696" s="9"/>
      <c r="C1696" s="9"/>
      <c r="D1696" s="9"/>
      <c r="E1696" s="9"/>
      <c r="F1696" s="16" t="str">
        <f aca="false">IF(B1696="","",IF(COUNTIFS('PM Plan'!$A$5:$A$304,B1696,'PM Plan'!$B$5:$B$304,C1696)&gt;0,"OK","No matching asset + task in plan"))</f>
        <v/>
      </c>
    </row>
    <row r="1697" customFormat="false" ht="15" hidden="false" customHeight="false" outlineLevel="0" collapsed="false">
      <c r="A1697" s="13"/>
      <c r="B1697" s="9"/>
      <c r="C1697" s="9"/>
      <c r="D1697" s="9"/>
      <c r="E1697" s="9"/>
      <c r="F1697" s="16" t="str">
        <f aca="false">IF(B1697="","",IF(COUNTIFS('PM Plan'!$A$5:$A$304,B1697,'PM Plan'!$B$5:$B$304,C1697)&gt;0,"OK","No matching asset + task in plan"))</f>
        <v/>
      </c>
    </row>
    <row r="1698" customFormat="false" ht="15" hidden="false" customHeight="false" outlineLevel="0" collapsed="false">
      <c r="A1698" s="13"/>
      <c r="B1698" s="9"/>
      <c r="C1698" s="9"/>
      <c r="D1698" s="9"/>
      <c r="E1698" s="9"/>
      <c r="F1698" s="16" t="str">
        <f aca="false">IF(B1698="","",IF(COUNTIFS('PM Plan'!$A$5:$A$304,B1698,'PM Plan'!$B$5:$B$304,C1698)&gt;0,"OK","No matching asset + task in plan"))</f>
        <v/>
      </c>
    </row>
    <row r="1699" customFormat="false" ht="15" hidden="false" customHeight="false" outlineLevel="0" collapsed="false">
      <c r="A1699" s="13"/>
      <c r="B1699" s="9"/>
      <c r="C1699" s="9"/>
      <c r="D1699" s="9"/>
      <c r="E1699" s="9"/>
      <c r="F1699" s="16" t="str">
        <f aca="false">IF(B1699="","",IF(COUNTIFS('PM Plan'!$A$5:$A$304,B1699,'PM Plan'!$B$5:$B$304,C1699)&gt;0,"OK","No matching asset + task in plan"))</f>
        <v/>
      </c>
    </row>
    <row r="1700" customFormat="false" ht="15" hidden="false" customHeight="false" outlineLevel="0" collapsed="false">
      <c r="A1700" s="13"/>
      <c r="B1700" s="9"/>
      <c r="C1700" s="9"/>
      <c r="D1700" s="9"/>
      <c r="E1700" s="9"/>
      <c r="F1700" s="16" t="str">
        <f aca="false">IF(B1700="","",IF(COUNTIFS('PM Plan'!$A$5:$A$304,B1700,'PM Plan'!$B$5:$B$304,C1700)&gt;0,"OK","No matching asset + task in plan"))</f>
        <v/>
      </c>
    </row>
    <row r="1701" customFormat="false" ht="15" hidden="false" customHeight="false" outlineLevel="0" collapsed="false">
      <c r="A1701" s="13"/>
      <c r="B1701" s="9"/>
      <c r="C1701" s="9"/>
      <c r="D1701" s="9"/>
      <c r="E1701" s="9"/>
      <c r="F1701" s="16" t="str">
        <f aca="false">IF(B1701="","",IF(COUNTIFS('PM Plan'!$A$5:$A$304,B1701,'PM Plan'!$B$5:$B$304,C1701)&gt;0,"OK","No matching asset + task in plan"))</f>
        <v/>
      </c>
    </row>
    <row r="1702" customFormat="false" ht="15" hidden="false" customHeight="false" outlineLevel="0" collapsed="false">
      <c r="A1702" s="13"/>
      <c r="B1702" s="9"/>
      <c r="C1702" s="9"/>
      <c r="D1702" s="9"/>
      <c r="E1702" s="9"/>
      <c r="F1702" s="16" t="str">
        <f aca="false">IF(B1702="","",IF(COUNTIFS('PM Plan'!$A$5:$A$304,B1702,'PM Plan'!$B$5:$B$304,C1702)&gt;0,"OK","No matching asset + task in plan"))</f>
        <v/>
      </c>
    </row>
    <row r="1703" customFormat="false" ht="15" hidden="false" customHeight="false" outlineLevel="0" collapsed="false">
      <c r="A1703" s="13"/>
      <c r="B1703" s="9"/>
      <c r="C1703" s="9"/>
      <c r="D1703" s="9"/>
      <c r="E1703" s="9"/>
      <c r="F1703" s="16" t="str">
        <f aca="false">IF(B1703="","",IF(COUNTIFS('PM Plan'!$A$5:$A$304,B1703,'PM Plan'!$B$5:$B$304,C1703)&gt;0,"OK","No matching asset + task in plan"))</f>
        <v/>
      </c>
    </row>
    <row r="1704" customFormat="false" ht="15" hidden="false" customHeight="false" outlineLevel="0" collapsed="false">
      <c r="A1704" s="13"/>
      <c r="B1704" s="9"/>
      <c r="C1704" s="9"/>
      <c r="D1704" s="9"/>
      <c r="E1704" s="9"/>
      <c r="F1704" s="16" t="str">
        <f aca="false">IF(B1704="","",IF(COUNTIFS('PM Plan'!$A$5:$A$304,B1704,'PM Plan'!$B$5:$B$304,C1704)&gt;0,"OK","No matching asset + task in plan"))</f>
        <v/>
      </c>
    </row>
    <row r="1705" customFormat="false" ht="15" hidden="false" customHeight="false" outlineLevel="0" collapsed="false">
      <c r="A1705" s="13"/>
      <c r="B1705" s="9"/>
      <c r="C1705" s="9"/>
      <c r="D1705" s="9"/>
      <c r="E1705" s="9"/>
      <c r="F1705" s="16" t="str">
        <f aca="false">IF(B1705="","",IF(COUNTIFS('PM Plan'!$A$5:$A$304,B1705,'PM Plan'!$B$5:$B$304,C1705)&gt;0,"OK","No matching asset + task in plan"))</f>
        <v/>
      </c>
    </row>
    <row r="1706" customFormat="false" ht="15" hidden="false" customHeight="false" outlineLevel="0" collapsed="false">
      <c r="A1706" s="13"/>
      <c r="B1706" s="9"/>
      <c r="C1706" s="9"/>
      <c r="D1706" s="9"/>
      <c r="E1706" s="9"/>
      <c r="F1706" s="16" t="str">
        <f aca="false">IF(B1706="","",IF(COUNTIFS('PM Plan'!$A$5:$A$304,B1706,'PM Plan'!$B$5:$B$304,C1706)&gt;0,"OK","No matching asset + task in plan"))</f>
        <v/>
      </c>
    </row>
    <row r="1707" customFormat="false" ht="15" hidden="false" customHeight="false" outlineLevel="0" collapsed="false">
      <c r="A1707" s="13"/>
      <c r="B1707" s="9"/>
      <c r="C1707" s="9"/>
      <c r="D1707" s="9"/>
      <c r="E1707" s="9"/>
      <c r="F1707" s="16" t="str">
        <f aca="false">IF(B1707="","",IF(COUNTIFS('PM Plan'!$A$5:$A$304,B1707,'PM Plan'!$B$5:$B$304,C1707)&gt;0,"OK","No matching asset + task in plan"))</f>
        <v/>
      </c>
    </row>
    <row r="1708" customFormat="false" ht="15" hidden="false" customHeight="false" outlineLevel="0" collapsed="false">
      <c r="A1708" s="13"/>
      <c r="B1708" s="9"/>
      <c r="C1708" s="9"/>
      <c r="D1708" s="9"/>
      <c r="E1708" s="9"/>
      <c r="F1708" s="16" t="str">
        <f aca="false">IF(B1708="","",IF(COUNTIFS('PM Plan'!$A$5:$A$304,B1708,'PM Plan'!$B$5:$B$304,C1708)&gt;0,"OK","No matching asset + task in plan"))</f>
        <v/>
      </c>
    </row>
    <row r="1709" customFormat="false" ht="15" hidden="false" customHeight="false" outlineLevel="0" collapsed="false">
      <c r="A1709" s="13"/>
      <c r="B1709" s="9"/>
      <c r="C1709" s="9"/>
      <c r="D1709" s="9"/>
      <c r="E1709" s="9"/>
      <c r="F1709" s="16" t="str">
        <f aca="false">IF(B1709="","",IF(COUNTIFS('PM Plan'!$A$5:$A$304,B1709,'PM Plan'!$B$5:$B$304,C1709)&gt;0,"OK","No matching asset + task in plan"))</f>
        <v/>
      </c>
    </row>
    <row r="1710" customFormat="false" ht="15" hidden="false" customHeight="false" outlineLevel="0" collapsed="false">
      <c r="A1710" s="13"/>
      <c r="B1710" s="9"/>
      <c r="C1710" s="9"/>
      <c r="D1710" s="9"/>
      <c r="E1710" s="9"/>
      <c r="F1710" s="16" t="str">
        <f aca="false">IF(B1710="","",IF(COUNTIFS('PM Plan'!$A$5:$A$304,B1710,'PM Plan'!$B$5:$B$304,C1710)&gt;0,"OK","No matching asset + task in plan"))</f>
        <v/>
      </c>
    </row>
    <row r="1711" customFormat="false" ht="15" hidden="false" customHeight="false" outlineLevel="0" collapsed="false">
      <c r="A1711" s="13"/>
      <c r="B1711" s="9"/>
      <c r="C1711" s="9"/>
      <c r="D1711" s="9"/>
      <c r="E1711" s="9"/>
      <c r="F1711" s="16" t="str">
        <f aca="false">IF(B1711="","",IF(COUNTIFS('PM Plan'!$A$5:$A$304,B1711,'PM Plan'!$B$5:$B$304,C1711)&gt;0,"OK","No matching asset + task in plan"))</f>
        <v/>
      </c>
    </row>
    <row r="1712" customFormat="false" ht="15" hidden="false" customHeight="false" outlineLevel="0" collapsed="false">
      <c r="A1712" s="13"/>
      <c r="B1712" s="9"/>
      <c r="C1712" s="9"/>
      <c r="D1712" s="9"/>
      <c r="E1712" s="9"/>
      <c r="F1712" s="16" t="str">
        <f aca="false">IF(B1712="","",IF(COUNTIFS('PM Plan'!$A$5:$A$304,B1712,'PM Plan'!$B$5:$B$304,C1712)&gt;0,"OK","No matching asset + task in plan"))</f>
        <v/>
      </c>
    </row>
    <row r="1713" customFormat="false" ht="15" hidden="false" customHeight="false" outlineLevel="0" collapsed="false">
      <c r="A1713" s="13"/>
      <c r="B1713" s="9"/>
      <c r="C1713" s="9"/>
      <c r="D1713" s="9"/>
      <c r="E1713" s="9"/>
      <c r="F1713" s="16" t="str">
        <f aca="false">IF(B1713="","",IF(COUNTIFS('PM Plan'!$A$5:$A$304,B1713,'PM Plan'!$B$5:$B$304,C1713)&gt;0,"OK","No matching asset + task in plan"))</f>
        <v/>
      </c>
    </row>
    <row r="1714" customFormat="false" ht="15" hidden="false" customHeight="false" outlineLevel="0" collapsed="false">
      <c r="A1714" s="13"/>
      <c r="B1714" s="9"/>
      <c r="C1714" s="9"/>
      <c r="D1714" s="9"/>
      <c r="E1714" s="9"/>
      <c r="F1714" s="16" t="str">
        <f aca="false">IF(B1714="","",IF(COUNTIFS('PM Plan'!$A$5:$A$304,B1714,'PM Plan'!$B$5:$B$304,C1714)&gt;0,"OK","No matching asset + task in plan"))</f>
        <v/>
      </c>
    </row>
    <row r="1715" customFormat="false" ht="15" hidden="false" customHeight="false" outlineLevel="0" collapsed="false">
      <c r="A1715" s="13"/>
      <c r="B1715" s="9"/>
      <c r="C1715" s="9"/>
      <c r="D1715" s="9"/>
      <c r="E1715" s="9"/>
      <c r="F1715" s="16" t="str">
        <f aca="false">IF(B1715="","",IF(COUNTIFS('PM Plan'!$A$5:$A$304,B1715,'PM Plan'!$B$5:$B$304,C1715)&gt;0,"OK","No matching asset + task in plan"))</f>
        <v/>
      </c>
    </row>
    <row r="1716" customFormat="false" ht="15" hidden="false" customHeight="false" outlineLevel="0" collapsed="false">
      <c r="A1716" s="13"/>
      <c r="B1716" s="9"/>
      <c r="C1716" s="9"/>
      <c r="D1716" s="9"/>
      <c r="E1716" s="9"/>
      <c r="F1716" s="16" t="str">
        <f aca="false">IF(B1716="","",IF(COUNTIFS('PM Plan'!$A$5:$A$304,B1716,'PM Plan'!$B$5:$B$304,C1716)&gt;0,"OK","No matching asset + task in plan"))</f>
        <v/>
      </c>
    </row>
    <row r="1717" customFormat="false" ht="15" hidden="false" customHeight="false" outlineLevel="0" collapsed="false">
      <c r="A1717" s="13"/>
      <c r="B1717" s="9"/>
      <c r="C1717" s="9"/>
      <c r="D1717" s="9"/>
      <c r="E1717" s="9"/>
      <c r="F1717" s="16" t="str">
        <f aca="false">IF(B1717="","",IF(COUNTIFS('PM Plan'!$A$5:$A$304,B1717,'PM Plan'!$B$5:$B$304,C1717)&gt;0,"OK","No matching asset + task in plan"))</f>
        <v/>
      </c>
    </row>
    <row r="1718" customFormat="false" ht="15" hidden="false" customHeight="false" outlineLevel="0" collapsed="false">
      <c r="A1718" s="13"/>
      <c r="B1718" s="9"/>
      <c r="C1718" s="9"/>
      <c r="D1718" s="9"/>
      <c r="E1718" s="9"/>
      <c r="F1718" s="16" t="str">
        <f aca="false">IF(B1718="","",IF(COUNTIFS('PM Plan'!$A$5:$A$304,B1718,'PM Plan'!$B$5:$B$304,C1718)&gt;0,"OK","No matching asset + task in plan"))</f>
        <v/>
      </c>
    </row>
    <row r="1719" customFormat="false" ht="15" hidden="false" customHeight="false" outlineLevel="0" collapsed="false">
      <c r="A1719" s="13"/>
      <c r="B1719" s="9"/>
      <c r="C1719" s="9"/>
      <c r="D1719" s="9"/>
      <c r="E1719" s="9"/>
      <c r="F1719" s="16" t="str">
        <f aca="false">IF(B1719="","",IF(COUNTIFS('PM Plan'!$A$5:$A$304,B1719,'PM Plan'!$B$5:$B$304,C1719)&gt;0,"OK","No matching asset + task in plan"))</f>
        <v/>
      </c>
    </row>
    <row r="1720" customFormat="false" ht="15" hidden="false" customHeight="false" outlineLevel="0" collapsed="false">
      <c r="A1720" s="13"/>
      <c r="B1720" s="9"/>
      <c r="C1720" s="9"/>
      <c r="D1720" s="9"/>
      <c r="E1720" s="9"/>
      <c r="F1720" s="16" t="str">
        <f aca="false">IF(B1720="","",IF(COUNTIFS('PM Plan'!$A$5:$A$304,B1720,'PM Plan'!$B$5:$B$304,C1720)&gt;0,"OK","No matching asset + task in plan"))</f>
        <v/>
      </c>
    </row>
    <row r="1721" customFormat="false" ht="15" hidden="false" customHeight="false" outlineLevel="0" collapsed="false">
      <c r="A1721" s="13"/>
      <c r="B1721" s="9"/>
      <c r="C1721" s="9"/>
      <c r="D1721" s="9"/>
      <c r="E1721" s="9"/>
      <c r="F1721" s="16" t="str">
        <f aca="false">IF(B1721="","",IF(COUNTIFS('PM Plan'!$A$5:$A$304,B1721,'PM Plan'!$B$5:$B$304,C1721)&gt;0,"OK","No matching asset + task in plan"))</f>
        <v/>
      </c>
    </row>
    <row r="1722" customFormat="false" ht="15" hidden="false" customHeight="false" outlineLevel="0" collapsed="false">
      <c r="A1722" s="13"/>
      <c r="B1722" s="9"/>
      <c r="C1722" s="9"/>
      <c r="D1722" s="9"/>
      <c r="E1722" s="9"/>
      <c r="F1722" s="16" t="str">
        <f aca="false">IF(B1722="","",IF(COUNTIFS('PM Plan'!$A$5:$A$304,B1722,'PM Plan'!$B$5:$B$304,C1722)&gt;0,"OK","No matching asset + task in plan"))</f>
        <v/>
      </c>
    </row>
    <row r="1723" customFormat="false" ht="15" hidden="false" customHeight="false" outlineLevel="0" collapsed="false">
      <c r="A1723" s="13"/>
      <c r="B1723" s="9"/>
      <c r="C1723" s="9"/>
      <c r="D1723" s="9"/>
      <c r="E1723" s="9"/>
      <c r="F1723" s="16" t="str">
        <f aca="false">IF(B1723="","",IF(COUNTIFS('PM Plan'!$A$5:$A$304,B1723,'PM Plan'!$B$5:$B$304,C1723)&gt;0,"OK","No matching asset + task in plan"))</f>
        <v/>
      </c>
    </row>
    <row r="1724" customFormat="false" ht="15" hidden="false" customHeight="false" outlineLevel="0" collapsed="false">
      <c r="A1724" s="13"/>
      <c r="B1724" s="9"/>
      <c r="C1724" s="9"/>
      <c r="D1724" s="9"/>
      <c r="E1724" s="9"/>
      <c r="F1724" s="16" t="str">
        <f aca="false">IF(B1724="","",IF(COUNTIFS('PM Plan'!$A$5:$A$304,B1724,'PM Plan'!$B$5:$B$304,C1724)&gt;0,"OK","No matching asset + task in plan"))</f>
        <v/>
      </c>
    </row>
    <row r="1725" customFormat="false" ht="15" hidden="false" customHeight="false" outlineLevel="0" collapsed="false">
      <c r="A1725" s="13"/>
      <c r="B1725" s="9"/>
      <c r="C1725" s="9"/>
      <c r="D1725" s="9"/>
      <c r="E1725" s="9"/>
      <c r="F1725" s="16" t="str">
        <f aca="false">IF(B1725="","",IF(COUNTIFS('PM Plan'!$A$5:$A$304,B1725,'PM Plan'!$B$5:$B$304,C1725)&gt;0,"OK","No matching asset + task in plan"))</f>
        <v/>
      </c>
    </row>
    <row r="1726" customFormat="false" ht="15" hidden="false" customHeight="false" outlineLevel="0" collapsed="false">
      <c r="A1726" s="13"/>
      <c r="B1726" s="9"/>
      <c r="C1726" s="9"/>
      <c r="D1726" s="9"/>
      <c r="E1726" s="9"/>
      <c r="F1726" s="16" t="str">
        <f aca="false">IF(B1726="","",IF(COUNTIFS('PM Plan'!$A$5:$A$304,B1726,'PM Plan'!$B$5:$B$304,C1726)&gt;0,"OK","No matching asset + task in plan"))</f>
        <v/>
      </c>
    </row>
    <row r="1727" customFormat="false" ht="15" hidden="false" customHeight="false" outlineLevel="0" collapsed="false">
      <c r="A1727" s="13"/>
      <c r="B1727" s="9"/>
      <c r="C1727" s="9"/>
      <c r="D1727" s="9"/>
      <c r="E1727" s="9"/>
      <c r="F1727" s="16" t="str">
        <f aca="false">IF(B1727="","",IF(COUNTIFS('PM Plan'!$A$5:$A$304,B1727,'PM Plan'!$B$5:$B$304,C1727)&gt;0,"OK","No matching asset + task in plan"))</f>
        <v/>
      </c>
    </row>
    <row r="1728" customFormat="false" ht="15" hidden="false" customHeight="false" outlineLevel="0" collapsed="false">
      <c r="A1728" s="13"/>
      <c r="B1728" s="9"/>
      <c r="C1728" s="9"/>
      <c r="D1728" s="9"/>
      <c r="E1728" s="9"/>
      <c r="F1728" s="16" t="str">
        <f aca="false">IF(B1728="","",IF(COUNTIFS('PM Plan'!$A$5:$A$304,B1728,'PM Plan'!$B$5:$B$304,C1728)&gt;0,"OK","No matching asset + task in plan"))</f>
        <v/>
      </c>
    </row>
    <row r="1729" customFormat="false" ht="15" hidden="false" customHeight="false" outlineLevel="0" collapsed="false">
      <c r="A1729" s="13"/>
      <c r="B1729" s="9"/>
      <c r="C1729" s="9"/>
      <c r="D1729" s="9"/>
      <c r="E1729" s="9"/>
      <c r="F1729" s="16" t="str">
        <f aca="false">IF(B1729="","",IF(COUNTIFS('PM Plan'!$A$5:$A$304,B1729,'PM Plan'!$B$5:$B$304,C1729)&gt;0,"OK","No matching asset + task in plan"))</f>
        <v/>
      </c>
    </row>
    <row r="1730" customFormat="false" ht="15" hidden="false" customHeight="false" outlineLevel="0" collapsed="false">
      <c r="A1730" s="13"/>
      <c r="B1730" s="9"/>
      <c r="C1730" s="9"/>
      <c r="D1730" s="9"/>
      <c r="E1730" s="9"/>
      <c r="F1730" s="16" t="str">
        <f aca="false">IF(B1730="","",IF(COUNTIFS('PM Plan'!$A$5:$A$304,B1730,'PM Plan'!$B$5:$B$304,C1730)&gt;0,"OK","No matching asset + task in plan"))</f>
        <v/>
      </c>
    </row>
    <row r="1731" customFormat="false" ht="15" hidden="false" customHeight="false" outlineLevel="0" collapsed="false">
      <c r="A1731" s="13"/>
      <c r="B1731" s="9"/>
      <c r="C1731" s="9"/>
      <c r="D1731" s="9"/>
      <c r="E1731" s="9"/>
      <c r="F1731" s="16" t="str">
        <f aca="false">IF(B1731="","",IF(COUNTIFS('PM Plan'!$A$5:$A$304,B1731,'PM Plan'!$B$5:$B$304,C1731)&gt;0,"OK","No matching asset + task in plan"))</f>
        <v/>
      </c>
    </row>
    <row r="1732" customFormat="false" ht="15" hidden="false" customHeight="false" outlineLevel="0" collapsed="false">
      <c r="A1732" s="13"/>
      <c r="B1732" s="9"/>
      <c r="C1732" s="9"/>
      <c r="D1732" s="9"/>
      <c r="E1732" s="9"/>
      <c r="F1732" s="16" t="str">
        <f aca="false">IF(B1732="","",IF(COUNTIFS('PM Plan'!$A$5:$A$304,B1732,'PM Plan'!$B$5:$B$304,C1732)&gt;0,"OK","No matching asset + task in plan"))</f>
        <v/>
      </c>
    </row>
    <row r="1733" customFormat="false" ht="15" hidden="false" customHeight="false" outlineLevel="0" collapsed="false">
      <c r="A1733" s="13"/>
      <c r="B1733" s="9"/>
      <c r="C1733" s="9"/>
      <c r="D1733" s="9"/>
      <c r="E1733" s="9"/>
      <c r="F1733" s="16" t="str">
        <f aca="false">IF(B1733="","",IF(COUNTIFS('PM Plan'!$A$5:$A$304,B1733,'PM Plan'!$B$5:$B$304,C1733)&gt;0,"OK","No matching asset + task in plan"))</f>
        <v/>
      </c>
    </row>
    <row r="1734" customFormat="false" ht="15" hidden="false" customHeight="false" outlineLevel="0" collapsed="false">
      <c r="A1734" s="13"/>
      <c r="B1734" s="9"/>
      <c r="C1734" s="9"/>
      <c r="D1734" s="9"/>
      <c r="E1734" s="9"/>
      <c r="F1734" s="16" t="str">
        <f aca="false">IF(B1734="","",IF(COUNTIFS('PM Plan'!$A$5:$A$304,B1734,'PM Plan'!$B$5:$B$304,C1734)&gt;0,"OK","No matching asset + task in plan"))</f>
        <v/>
      </c>
    </row>
    <row r="1735" customFormat="false" ht="15" hidden="false" customHeight="false" outlineLevel="0" collapsed="false">
      <c r="A1735" s="13"/>
      <c r="B1735" s="9"/>
      <c r="C1735" s="9"/>
      <c r="D1735" s="9"/>
      <c r="E1735" s="9"/>
      <c r="F1735" s="16" t="str">
        <f aca="false">IF(B1735="","",IF(COUNTIFS('PM Plan'!$A$5:$A$304,B1735,'PM Plan'!$B$5:$B$304,C1735)&gt;0,"OK","No matching asset + task in plan"))</f>
        <v/>
      </c>
    </row>
    <row r="1736" customFormat="false" ht="15" hidden="false" customHeight="false" outlineLevel="0" collapsed="false">
      <c r="A1736" s="13"/>
      <c r="B1736" s="9"/>
      <c r="C1736" s="9"/>
      <c r="D1736" s="9"/>
      <c r="E1736" s="9"/>
      <c r="F1736" s="16" t="str">
        <f aca="false">IF(B1736="","",IF(COUNTIFS('PM Plan'!$A$5:$A$304,B1736,'PM Plan'!$B$5:$B$304,C1736)&gt;0,"OK","No matching asset + task in plan"))</f>
        <v/>
      </c>
    </row>
    <row r="1737" customFormat="false" ht="15" hidden="false" customHeight="false" outlineLevel="0" collapsed="false">
      <c r="A1737" s="13"/>
      <c r="B1737" s="9"/>
      <c r="C1737" s="9"/>
      <c r="D1737" s="9"/>
      <c r="E1737" s="9"/>
      <c r="F1737" s="16" t="str">
        <f aca="false">IF(B1737="","",IF(COUNTIFS('PM Plan'!$A$5:$A$304,B1737,'PM Plan'!$B$5:$B$304,C1737)&gt;0,"OK","No matching asset + task in plan"))</f>
        <v/>
      </c>
    </row>
    <row r="1738" customFormat="false" ht="15" hidden="false" customHeight="false" outlineLevel="0" collapsed="false">
      <c r="A1738" s="13"/>
      <c r="B1738" s="9"/>
      <c r="C1738" s="9"/>
      <c r="D1738" s="9"/>
      <c r="E1738" s="9"/>
      <c r="F1738" s="16" t="str">
        <f aca="false">IF(B1738="","",IF(COUNTIFS('PM Plan'!$A$5:$A$304,B1738,'PM Plan'!$B$5:$B$304,C1738)&gt;0,"OK","No matching asset + task in plan"))</f>
        <v/>
      </c>
    </row>
    <row r="1739" customFormat="false" ht="15" hidden="false" customHeight="false" outlineLevel="0" collapsed="false">
      <c r="A1739" s="13"/>
      <c r="B1739" s="9"/>
      <c r="C1739" s="9"/>
      <c r="D1739" s="9"/>
      <c r="E1739" s="9"/>
      <c r="F1739" s="16" t="str">
        <f aca="false">IF(B1739="","",IF(COUNTIFS('PM Plan'!$A$5:$A$304,B1739,'PM Plan'!$B$5:$B$304,C1739)&gt;0,"OK","No matching asset + task in plan"))</f>
        <v/>
      </c>
    </row>
    <row r="1740" customFormat="false" ht="15" hidden="false" customHeight="false" outlineLevel="0" collapsed="false">
      <c r="A1740" s="13"/>
      <c r="B1740" s="9"/>
      <c r="C1740" s="9"/>
      <c r="D1740" s="9"/>
      <c r="E1740" s="9"/>
      <c r="F1740" s="16" t="str">
        <f aca="false">IF(B1740="","",IF(COUNTIFS('PM Plan'!$A$5:$A$304,B1740,'PM Plan'!$B$5:$B$304,C1740)&gt;0,"OK","No matching asset + task in plan"))</f>
        <v/>
      </c>
    </row>
    <row r="1741" customFormat="false" ht="15" hidden="false" customHeight="false" outlineLevel="0" collapsed="false">
      <c r="A1741" s="13"/>
      <c r="B1741" s="9"/>
      <c r="C1741" s="9"/>
      <c r="D1741" s="9"/>
      <c r="E1741" s="9"/>
      <c r="F1741" s="16" t="str">
        <f aca="false">IF(B1741="","",IF(COUNTIFS('PM Plan'!$A$5:$A$304,B1741,'PM Plan'!$B$5:$B$304,C1741)&gt;0,"OK","No matching asset + task in plan"))</f>
        <v/>
      </c>
    </row>
    <row r="1742" customFormat="false" ht="15" hidden="false" customHeight="false" outlineLevel="0" collapsed="false">
      <c r="A1742" s="13"/>
      <c r="B1742" s="9"/>
      <c r="C1742" s="9"/>
      <c r="D1742" s="9"/>
      <c r="E1742" s="9"/>
      <c r="F1742" s="16" t="str">
        <f aca="false">IF(B1742="","",IF(COUNTIFS('PM Plan'!$A$5:$A$304,B1742,'PM Plan'!$B$5:$B$304,C1742)&gt;0,"OK","No matching asset + task in plan"))</f>
        <v/>
      </c>
    </row>
    <row r="1743" customFormat="false" ht="15" hidden="false" customHeight="false" outlineLevel="0" collapsed="false">
      <c r="A1743" s="13"/>
      <c r="B1743" s="9"/>
      <c r="C1743" s="9"/>
      <c r="D1743" s="9"/>
      <c r="E1743" s="9"/>
      <c r="F1743" s="16" t="str">
        <f aca="false">IF(B1743="","",IF(COUNTIFS('PM Plan'!$A$5:$A$304,B1743,'PM Plan'!$B$5:$B$304,C1743)&gt;0,"OK","No matching asset + task in plan"))</f>
        <v/>
      </c>
    </row>
    <row r="1744" customFormat="false" ht="15" hidden="false" customHeight="false" outlineLevel="0" collapsed="false">
      <c r="A1744" s="13"/>
      <c r="B1744" s="9"/>
      <c r="C1744" s="9"/>
      <c r="D1744" s="9"/>
      <c r="E1744" s="9"/>
      <c r="F1744" s="16" t="str">
        <f aca="false">IF(B1744="","",IF(COUNTIFS('PM Plan'!$A$5:$A$304,B1744,'PM Plan'!$B$5:$B$304,C1744)&gt;0,"OK","No matching asset + task in plan"))</f>
        <v/>
      </c>
    </row>
    <row r="1745" customFormat="false" ht="15" hidden="false" customHeight="false" outlineLevel="0" collapsed="false">
      <c r="A1745" s="13"/>
      <c r="B1745" s="9"/>
      <c r="C1745" s="9"/>
      <c r="D1745" s="9"/>
      <c r="E1745" s="9"/>
      <c r="F1745" s="16" t="str">
        <f aca="false">IF(B1745="","",IF(COUNTIFS('PM Plan'!$A$5:$A$304,B1745,'PM Plan'!$B$5:$B$304,C1745)&gt;0,"OK","No matching asset + task in plan"))</f>
        <v/>
      </c>
    </row>
    <row r="1746" customFormat="false" ht="15" hidden="false" customHeight="false" outlineLevel="0" collapsed="false">
      <c r="A1746" s="13"/>
      <c r="B1746" s="9"/>
      <c r="C1746" s="9"/>
      <c r="D1746" s="9"/>
      <c r="E1746" s="9"/>
      <c r="F1746" s="16" t="str">
        <f aca="false">IF(B1746="","",IF(COUNTIFS('PM Plan'!$A$5:$A$304,B1746,'PM Plan'!$B$5:$B$304,C1746)&gt;0,"OK","No matching asset + task in plan"))</f>
        <v/>
      </c>
    </row>
    <row r="1747" customFormat="false" ht="15" hidden="false" customHeight="false" outlineLevel="0" collapsed="false">
      <c r="A1747" s="13"/>
      <c r="B1747" s="9"/>
      <c r="C1747" s="9"/>
      <c r="D1747" s="9"/>
      <c r="E1747" s="9"/>
      <c r="F1747" s="16" t="str">
        <f aca="false">IF(B1747="","",IF(COUNTIFS('PM Plan'!$A$5:$A$304,B1747,'PM Plan'!$B$5:$B$304,C1747)&gt;0,"OK","No matching asset + task in plan"))</f>
        <v/>
      </c>
    </row>
    <row r="1748" customFormat="false" ht="15" hidden="false" customHeight="false" outlineLevel="0" collapsed="false">
      <c r="A1748" s="13"/>
      <c r="B1748" s="9"/>
      <c r="C1748" s="9"/>
      <c r="D1748" s="9"/>
      <c r="E1748" s="9"/>
      <c r="F1748" s="16" t="str">
        <f aca="false">IF(B1748="","",IF(COUNTIFS('PM Plan'!$A$5:$A$304,B1748,'PM Plan'!$B$5:$B$304,C1748)&gt;0,"OK","No matching asset + task in plan"))</f>
        <v/>
      </c>
    </row>
    <row r="1749" customFormat="false" ht="15" hidden="false" customHeight="false" outlineLevel="0" collapsed="false">
      <c r="A1749" s="13"/>
      <c r="B1749" s="9"/>
      <c r="C1749" s="9"/>
      <c r="D1749" s="9"/>
      <c r="E1749" s="9"/>
      <c r="F1749" s="16" t="str">
        <f aca="false">IF(B1749="","",IF(COUNTIFS('PM Plan'!$A$5:$A$304,B1749,'PM Plan'!$B$5:$B$304,C1749)&gt;0,"OK","No matching asset + task in plan"))</f>
        <v/>
      </c>
    </row>
    <row r="1750" customFormat="false" ht="15" hidden="false" customHeight="false" outlineLevel="0" collapsed="false">
      <c r="A1750" s="13"/>
      <c r="B1750" s="9"/>
      <c r="C1750" s="9"/>
      <c r="D1750" s="9"/>
      <c r="E1750" s="9"/>
      <c r="F1750" s="16" t="str">
        <f aca="false">IF(B1750="","",IF(COUNTIFS('PM Plan'!$A$5:$A$304,B1750,'PM Plan'!$B$5:$B$304,C1750)&gt;0,"OK","No matching asset + task in plan"))</f>
        <v/>
      </c>
    </row>
    <row r="1751" customFormat="false" ht="15" hidden="false" customHeight="false" outlineLevel="0" collapsed="false">
      <c r="A1751" s="13"/>
      <c r="B1751" s="9"/>
      <c r="C1751" s="9"/>
      <c r="D1751" s="9"/>
      <c r="E1751" s="9"/>
      <c r="F1751" s="16" t="str">
        <f aca="false">IF(B1751="","",IF(COUNTIFS('PM Plan'!$A$5:$A$304,B1751,'PM Plan'!$B$5:$B$304,C1751)&gt;0,"OK","No matching asset + task in plan"))</f>
        <v/>
      </c>
    </row>
    <row r="1752" customFormat="false" ht="15" hidden="false" customHeight="false" outlineLevel="0" collapsed="false">
      <c r="A1752" s="13"/>
      <c r="B1752" s="9"/>
      <c r="C1752" s="9"/>
      <c r="D1752" s="9"/>
      <c r="E1752" s="9"/>
      <c r="F1752" s="16" t="str">
        <f aca="false">IF(B1752="","",IF(COUNTIFS('PM Plan'!$A$5:$A$304,B1752,'PM Plan'!$B$5:$B$304,C1752)&gt;0,"OK","No matching asset + task in plan"))</f>
        <v/>
      </c>
    </row>
    <row r="1753" customFormat="false" ht="15" hidden="false" customHeight="false" outlineLevel="0" collapsed="false">
      <c r="A1753" s="13"/>
      <c r="B1753" s="9"/>
      <c r="C1753" s="9"/>
      <c r="D1753" s="9"/>
      <c r="E1753" s="9"/>
      <c r="F1753" s="16" t="str">
        <f aca="false">IF(B1753="","",IF(COUNTIFS('PM Plan'!$A$5:$A$304,B1753,'PM Plan'!$B$5:$B$304,C1753)&gt;0,"OK","No matching asset + task in plan"))</f>
        <v/>
      </c>
    </row>
    <row r="1754" customFormat="false" ht="15" hidden="false" customHeight="false" outlineLevel="0" collapsed="false">
      <c r="A1754" s="13"/>
      <c r="B1754" s="9"/>
      <c r="C1754" s="9"/>
      <c r="D1754" s="9"/>
      <c r="E1754" s="9"/>
      <c r="F1754" s="16" t="str">
        <f aca="false">IF(B1754="","",IF(COUNTIFS('PM Plan'!$A$5:$A$304,B1754,'PM Plan'!$B$5:$B$304,C1754)&gt;0,"OK","No matching asset + task in plan"))</f>
        <v/>
      </c>
    </row>
    <row r="1755" customFormat="false" ht="15" hidden="false" customHeight="false" outlineLevel="0" collapsed="false">
      <c r="A1755" s="13"/>
      <c r="B1755" s="9"/>
      <c r="C1755" s="9"/>
      <c r="D1755" s="9"/>
      <c r="E1755" s="9"/>
      <c r="F1755" s="16" t="str">
        <f aca="false">IF(B1755="","",IF(COUNTIFS('PM Plan'!$A$5:$A$304,B1755,'PM Plan'!$B$5:$B$304,C1755)&gt;0,"OK","No matching asset + task in plan"))</f>
        <v/>
      </c>
    </row>
    <row r="1756" customFormat="false" ht="15" hidden="false" customHeight="false" outlineLevel="0" collapsed="false">
      <c r="A1756" s="13"/>
      <c r="B1756" s="9"/>
      <c r="C1756" s="9"/>
      <c r="D1756" s="9"/>
      <c r="E1756" s="9"/>
      <c r="F1756" s="16" t="str">
        <f aca="false">IF(B1756="","",IF(COUNTIFS('PM Plan'!$A$5:$A$304,B1756,'PM Plan'!$B$5:$B$304,C1756)&gt;0,"OK","No matching asset + task in plan"))</f>
        <v/>
      </c>
    </row>
    <row r="1757" customFormat="false" ht="15" hidden="false" customHeight="false" outlineLevel="0" collapsed="false">
      <c r="A1757" s="13"/>
      <c r="B1757" s="9"/>
      <c r="C1757" s="9"/>
      <c r="D1757" s="9"/>
      <c r="E1757" s="9"/>
      <c r="F1757" s="16" t="str">
        <f aca="false">IF(B1757="","",IF(COUNTIFS('PM Plan'!$A$5:$A$304,B1757,'PM Plan'!$B$5:$B$304,C1757)&gt;0,"OK","No matching asset + task in plan"))</f>
        <v/>
      </c>
    </row>
    <row r="1758" customFormat="false" ht="15" hidden="false" customHeight="false" outlineLevel="0" collapsed="false">
      <c r="A1758" s="13"/>
      <c r="B1758" s="9"/>
      <c r="C1758" s="9"/>
      <c r="D1758" s="9"/>
      <c r="E1758" s="9"/>
      <c r="F1758" s="16" t="str">
        <f aca="false">IF(B1758="","",IF(COUNTIFS('PM Plan'!$A$5:$A$304,B1758,'PM Plan'!$B$5:$B$304,C1758)&gt;0,"OK","No matching asset + task in plan"))</f>
        <v/>
      </c>
    </row>
    <row r="1759" customFormat="false" ht="15" hidden="false" customHeight="false" outlineLevel="0" collapsed="false">
      <c r="A1759" s="13"/>
      <c r="B1759" s="9"/>
      <c r="C1759" s="9"/>
      <c r="D1759" s="9"/>
      <c r="E1759" s="9"/>
      <c r="F1759" s="16" t="str">
        <f aca="false">IF(B1759="","",IF(COUNTIFS('PM Plan'!$A$5:$A$304,B1759,'PM Plan'!$B$5:$B$304,C1759)&gt;0,"OK","No matching asset + task in plan"))</f>
        <v/>
      </c>
    </row>
    <row r="1760" customFormat="false" ht="15" hidden="false" customHeight="false" outlineLevel="0" collapsed="false">
      <c r="A1760" s="13"/>
      <c r="B1760" s="9"/>
      <c r="C1760" s="9"/>
      <c r="D1760" s="9"/>
      <c r="E1760" s="9"/>
      <c r="F1760" s="16" t="str">
        <f aca="false">IF(B1760="","",IF(COUNTIFS('PM Plan'!$A$5:$A$304,B1760,'PM Plan'!$B$5:$B$304,C1760)&gt;0,"OK","No matching asset + task in plan"))</f>
        <v/>
      </c>
    </row>
    <row r="1761" customFormat="false" ht="15" hidden="false" customHeight="false" outlineLevel="0" collapsed="false">
      <c r="A1761" s="13"/>
      <c r="B1761" s="9"/>
      <c r="C1761" s="9"/>
      <c r="D1761" s="9"/>
      <c r="E1761" s="9"/>
      <c r="F1761" s="16" t="str">
        <f aca="false">IF(B1761="","",IF(COUNTIFS('PM Plan'!$A$5:$A$304,B1761,'PM Plan'!$B$5:$B$304,C1761)&gt;0,"OK","No matching asset + task in plan"))</f>
        <v/>
      </c>
    </row>
    <row r="1762" customFormat="false" ht="15" hidden="false" customHeight="false" outlineLevel="0" collapsed="false">
      <c r="A1762" s="13"/>
      <c r="B1762" s="9"/>
      <c r="C1762" s="9"/>
      <c r="D1762" s="9"/>
      <c r="E1762" s="9"/>
      <c r="F1762" s="16" t="str">
        <f aca="false">IF(B1762="","",IF(COUNTIFS('PM Plan'!$A$5:$A$304,B1762,'PM Plan'!$B$5:$B$304,C1762)&gt;0,"OK","No matching asset + task in plan"))</f>
        <v/>
      </c>
    </row>
    <row r="1763" customFormat="false" ht="15" hidden="false" customHeight="false" outlineLevel="0" collapsed="false">
      <c r="A1763" s="13"/>
      <c r="B1763" s="9"/>
      <c r="C1763" s="9"/>
      <c r="D1763" s="9"/>
      <c r="E1763" s="9"/>
      <c r="F1763" s="16" t="str">
        <f aca="false">IF(B1763="","",IF(COUNTIFS('PM Plan'!$A$5:$A$304,B1763,'PM Plan'!$B$5:$B$304,C1763)&gt;0,"OK","No matching asset + task in plan"))</f>
        <v/>
      </c>
    </row>
    <row r="1764" customFormat="false" ht="15" hidden="false" customHeight="false" outlineLevel="0" collapsed="false">
      <c r="A1764" s="13"/>
      <c r="B1764" s="9"/>
      <c r="C1764" s="9"/>
      <c r="D1764" s="9"/>
      <c r="E1764" s="9"/>
      <c r="F1764" s="16" t="str">
        <f aca="false">IF(B1764="","",IF(COUNTIFS('PM Plan'!$A$5:$A$304,B1764,'PM Plan'!$B$5:$B$304,C1764)&gt;0,"OK","No matching asset + task in plan"))</f>
        <v/>
      </c>
    </row>
    <row r="1765" customFormat="false" ht="15" hidden="false" customHeight="false" outlineLevel="0" collapsed="false">
      <c r="A1765" s="13"/>
      <c r="B1765" s="9"/>
      <c r="C1765" s="9"/>
      <c r="D1765" s="9"/>
      <c r="E1765" s="9"/>
      <c r="F1765" s="16" t="str">
        <f aca="false">IF(B1765="","",IF(COUNTIFS('PM Plan'!$A$5:$A$304,B1765,'PM Plan'!$B$5:$B$304,C1765)&gt;0,"OK","No matching asset + task in plan"))</f>
        <v/>
      </c>
    </row>
    <row r="1766" customFormat="false" ht="15" hidden="false" customHeight="false" outlineLevel="0" collapsed="false">
      <c r="A1766" s="13"/>
      <c r="B1766" s="9"/>
      <c r="C1766" s="9"/>
      <c r="D1766" s="9"/>
      <c r="E1766" s="9"/>
      <c r="F1766" s="16" t="str">
        <f aca="false">IF(B1766="","",IF(COUNTIFS('PM Plan'!$A$5:$A$304,B1766,'PM Plan'!$B$5:$B$304,C1766)&gt;0,"OK","No matching asset + task in plan"))</f>
        <v/>
      </c>
    </row>
    <row r="1767" customFormat="false" ht="15" hidden="false" customHeight="false" outlineLevel="0" collapsed="false">
      <c r="A1767" s="13"/>
      <c r="B1767" s="9"/>
      <c r="C1767" s="9"/>
      <c r="D1767" s="9"/>
      <c r="E1767" s="9"/>
      <c r="F1767" s="16" t="str">
        <f aca="false">IF(B1767="","",IF(COUNTIFS('PM Plan'!$A$5:$A$304,B1767,'PM Plan'!$B$5:$B$304,C1767)&gt;0,"OK","No matching asset + task in plan"))</f>
        <v/>
      </c>
    </row>
    <row r="1768" customFormat="false" ht="15" hidden="false" customHeight="false" outlineLevel="0" collapsed="false">
      <c r="A1768" s="13"/>
      <c r="B1768" s="9"/>
      <c r="C1768" s="9"/>
      <c r="D1768" s="9"/>
      <c r="E1768" s="9"/>
      <c r="F1768" s="16" t="str">
        <f aca="false">IF(B1768="","",IF(COUNTIFS('PM Plan'!$A$5:$A$304,B1768,'PM Plan'!$B$5:$B$304,C1768)&gt;0,"OK","No matching asset + task in plan"))</f>
        <v/>
      </c>
    </row>
    <row r="1769" customFormat="false" ht="15" hidden="false" customHeight="false" outlineLevel="0" collapsed="false">
      <c r="A1769" s="13"/>
      <c r="B1769" s="9"/>
      <c r="C1769" s="9"/>
      <c r="D1769" s="9"/>
      <c r="E1769" s="9"/>
      <c r="F1769" s="16" t="str">
        <f aca="false">IF(B1769="","",IF(COUNTIFS('PM Plan'!$A$5:$A$304,B1769,'PM Plan'!$B$5:$B$304,C1769)&gt;0,"OK","No matching asset + task in plan"))</f>
        <v/>
      </c>
    </row>
    <row r="1770" customFormat="false" ht="15" hidden="false" customHeight="false" outlineLevel="0" collapsed="false">
      <c r="A1770" s="13"/>
      <c r="B1770" s="9"/>
      <c r="C1770" s="9"/>
      <c r="D1770" s="9"/>
      <c r="E1770" s="9"/>
      <c r="F1770" s="16" t="str">
        <f aca="false">IF(B1770="","",IF(COUNTIFS('PM Plan'!$A$5:$A$304,B1770,'PM Plan'!$B$5:$B$304,C1770)&gt;0,"OK","No matching asset + task in plan"))</f>
        <v/>
      </c>
    </row>
    <row r="1771" customFormat="false" ht="15" hidden="false" customHeight="false" outlineLevel="0" collapsed="false">
      <c r="A1771" s="13"/>
      <c r="B1771" s="9"/>
      <c r="C1771" s="9"/>
      <c r="D1771" s="9"/>
      <c r="E1771" s="9"/>
      <c r="F1771" s="16" t="str">
        <f aca="false">IF(B1771="","",IF(COUNTIFS('PM Plan'!$A$5:$A$304,B1771,'PM Plan'!$B$5:$B$304,C1771)&gt;0,"OK","No matching asset + task in plan"))</f>
        <v/>
      </c>
    </row>
    <row r="1772" customFormat="false" ht="15" hidden="false" customHeight="false" outlineLevel="0" collapsed="false">
      <c r="A1772" s="13"/>
      <c r="B1772" s="9"/>
      <c r="C1772" s="9"/>
      <c r="D1772" s="9"/>
      <c r="E1772" s="9"/>
      <c r="F1772" s="16" t="str">
        <f aca="false">IF(B1772="","",IF(COUNTIFS('PM Plan'!$A$5:$A$304,B1772,'PM Plan'!$B$5:$B$304,C1772)&gt;0,"OK","No matching asset + task in plan"))</f>
        <v/>
      </c>
    </row>
    <row r="1773" customFormat="false" ht="15" hidden="false" customHeight="false" outlineLevel="0" collapsed="false">
      <c r="A1773" s="13"/>
      <c r="B1773" s="9"/>
      <c r="C1773" s="9"/>
      <c r="D1773" s="9"/>
      <c r="E1773" s="9"/>
      <c r="F1773" s="16" t="str">
        <f aca="false">IF(B1773="","",IF(COUNTIFS('PM Plan'!$A$5:$A$304,B1773,'PM Plan'!$B$5:$B$304,C1773)&gt;0,"OK","No matching asset + task in plan"))</f>
        <v/>
      </c>
    </row>
    <row r="1774" customFormat="false" ht="15" hidden="false" customHeight="false" outlineLevel="0" collapsed="false">
      <c r="A1774" s="13"/>
      <c r="B1774" s="9"/>
      <c r="C1774" s="9"/>
      <c r="D1774" s="9"/>
      <c r="E1774" s="9"/>
      <c r="F1774" s="16" t="str">
        <f aca="false">IF(B1774="","",IF(COUNTIFS('PM Plan'!$A$5:$A$304,B1774,'PM Plan'!$B$5:$B$304,C1774)&gt;0,"OK","No matching asset + task in plan"))</f>
        <v/>
      </c>
    </row>
    <row r="1775" customFormat="false" ht="15" hidden="false" customHeight="false" outlineLevel="0" collapsed="false">
      <c r="A1775" s="13"/>
      <c r="B1775" s="9"/>
      <c r="C1775" s="9"/>
      <c r="D1775" s="9"/>
      <c r="E1775" s="9"/>
      <c r="F1775" s="16" t="str">
        <f aca="false">IF(B1775="","",IF(COUNTIFS('PM Plan'!$A$5:$A$304,B1775,'PM Plan'!$B$5:$B$304,C1775)&gt;0,"OK","No matching asset + task in plan"))</f>
        <v/>
      </c>
    </row>
    <row r="1776" customFormat="false" ht="15" hidden="false" customHeight="false" outlineLevel="0" collapsed="false">
      <c r="A1776" s="13"/>
      <c r="B1776" s="9"/>
      <c r="C1776" s="9"/>
      <c r="D1776" s="9"/>
      <c r="E1776" s="9"/>
      <c r="F1776" s="16" t="str">
        <f aca="false">IF(B1776="","",IF(COUNTIFS('PM Plan'!$A$5:$A$304,B1776,'PM Plan'!$B$5:$B$304,C1776)&gt;0,"OK","No matching asset + task in plan"))</f>
        <v/>
      </c>
    </row>
    <row r="1777" customFormat="false" ht="15" hidden="false" customHeight="false" outlineLevel="0" collapsed="false">
      <c r="A1777" s="13"/>
      <c r="B1777" s="9"/>
      <c r="C1777" s="9"/>
      <c r="D1777" s="9"/>
      <c r="E1777" s="9"/>
      <c r="F1777" s="16" t="str">
        <f aca="false">IF(B1777="","",IF(COUNTIFS('PM Plan'!$A$5:$A$304,B1777,'PM Plan'!$B$5:$B$304,C1777)&gt;0,"OK","No matching asset + task in plan"))</f>
        <v/>
      </c>
    </row>
    <row r="1778" customFormat="false" ht="15" hidden="false" customHeight="false" outlineLevel="0" collapsed="false">
      <c r="A1778" s="13"/>
      <c r="B1778" s="9"/>
      <c r="C1778" s="9"/>
      <c r="D1778" s="9"/>
      <c r="E1778" s="9"/>
      <c r="F1778" s="16" t="str">
        <f aca="false">IF(B1778="","",IF(COUNTIFS('PM Plan'!$A$5:$A$304,B1778,'PM Plan'!$B$5:$B$304,C1778)&gt;0,"OK","No matching asset + task in plan"))</f>
        <v/>
      </c>
    </row>
    <row r="1779" customFormat="false" ht="15" hidden="false" customHeight="false" outlineLevel="0" collapsed="false">
      <c r="A1779" s="13"/>
      <c r="B1779" s="9"/>
      <c r="C1779" s="9"/>
      <c r="D1779" s="9"/>
      <c r="E1779" s="9"/>
      <c r="F1779" s="16" t="str">
        <f aca="false">IF(B1779="","",IF(COUNTIFS('PM Plan'!$A$5:$A$304,B1779,'PM Plan'!$B$5:$B$304,C1779)&gt;0,"OK","No matching asset + task in plan"))</f>
        <v/>
      </c>
    </row>
    <row r="1780" customFormat="false" ht="15" hidden="false" customHeight="false" outlineLevel="0" collapsed="false">
      <c r="A1780" s="13"/>
      <c r="B1780" s="9"/>
      <c r="C1780" s="9"/>
      <c r="D1780" s="9"/>
      <c r="E1780" s="9"/>
      <c r="F1780" s="16" t="str">
        <f aca="false">IF(B1780="","",IF(COUNTIFS('PM Plan'!$A$5:$A$304,B1780,'PM Plan'!$B$5:$B$304,C1780)&gt;0,"OK","No matching asset + task in plan"))</f>
        <v/>
      </c>
    </row>
    <row r="1781" customFormat="false" ht="15" hidden="false" customHeight="false" outlineLevel="0" collapsed="false">
      <c r="A1781" s="13"/>
      <c r="B1781" s="9"/>
      <c r="C1781" s="9"/>
      <c r="D1781" s="9"/>
      <c r="E1781" s="9"/>
      <c r="F1781" s="16" t="str">
        <f aca="false">IF(B1781="","",IF(COUNTIFS('PM Plan'!$A$5:$A$304,B1781,'PM Plan'!$B$5:$B$304,C1781)&gt;0,"OK","No matching asset + task in plan"))</f>
        <v/>
      </c>
    </row>
    <row r="1782" customFormat="false" ht="15" hidden="false" customHeight="false" outlineLevel="0" collapsed="false">
      <c r="A1782" s="13"/>
      <c r="B1782" s="9"/>
      <c r="C1782" s="9"/>
      <c r="D1782" s="9"/>
      <c r="E1782" s="9"/>
      <c r="F1782" s="16" t="str">
        <f aca="false">IF(B1782="","",IF(COUNTIFS('PM Plan'!$A$5:$A$304,B1782,'PM Plan'!$B$5:$B$304,C1782)&gt;0,"OK","No matching asset + task in plan"))</f>
        <v/>
      </c>
    </row>
    <row r="1783" customFormat="false" ht="15" hidden="false" customHeight="false" outlineLevel="0" collapsed="false">
      <c r="A1783" s="13"/>
      <c r="B1783" s="9"/>
      <c r="C1783" s="9"/>
      <c r="D1783" s="9"/>
      <c r="E1783" s="9"/>
      <c r="F1783" s="16" t="str">
        <f aca="false">IF(B1783="","",IF(COUNTIFS('PM Plan'!$A$5:$A$304,B1783,'PM Plan'!$B$5:$B$304,C1783)&gt;0,"OK","No matching asset + task in plan"))</f>
        <v/>
      </c>
    </row>
    <row r="1784" customFormat="false" ht="15" hidden="false" customHeight="false" outlineLevel="0" collapsed="false">
      <c r="A1784" s="13"/>
      <c r="B1784" s="9"/>
      <c r="C1784" s="9"/>
      <c r="D1784" s="9"/>
      <c r="E1784" s="9"/>
      <c r="F1784" s="16" t="str">
        <f aca="false">IF(B1784="","",IF(COUNTIFS('PM Plan'!$A$5:$A$304,B1784,'PM Plan'!$B$5:$B$304,C1784)&gt;0,"OK","No matching asset + task in plan"))</f>
        <v/>
      </c>
    </row>
    <row r="1785" customFormat="false" ht="15" hidden="false" customHeight="false" outlineLevel="0" collapsed="false">
      <c r="A1785" s="13"/>
      <c r="B1785" s="9"/>
      <c r="C1785" s="9"/>
      <c r="D1785" s="9"/>
      <c r="E1785" s="9"/>
      <c r="F1785" s="16" t="str">
        <f aca="false">IF(B1785="","",IF(COUNTIFS('PM Plan'!$A$5:$A$304,B1785,'PM Plan'!$B$5:$B$304,C1785)&gt;0,"OK","No matching asset + task in plan"))</f>
        <v/>
      </c>
    </row>
    <row r="1786" customFormat="false" ht="15" hidden="false" customHeight="false" outlineLevel="0" collapsed="false">
      <c r="A1786" s="13"/>
      <c r="B1786" s="9"/>
      <c r="C1786" s="9"/>
      <c r="D1786" s="9"/>
      <c r="E1786" s="9"/>
      <c r="F1786" s="16" t="str">
        <f aca="false">IF(B1786="","",IF(COUNTIFS('PM Plan'!$A$5:$A$304,B1786,'PM Plan'!$B$5:$B$304,C1786)&gt;0,"OK","No matching asset + task in plan"))</f>
        <v/>
      </c>
    </row>
    <row r="1787" customFormat="false" ht="15" hidden="false" customHeight="false" outlineLevel="0" collapsed="false">
      <c r="A1787" s="13"/>
      <c r="B1787" s="9"/>
      <c r="C1787" s="9"/>
      <c r="D1787" s="9"/>
      <c r="E1787" s="9"/>
      <c r="F1787" s="16" t="str">
        <f aca="false">IF(B1787="","",IF(COUNTIFS('PM Plan'!$A$5:$A$304,B1787,'PM Plan'!$B$5:$B$304,C1787)&gt;0,"OK","No matching asset + task in plan"))</f>
        <v/>
      </c>
    </row>
    <row r="1788" customFormat="false" ht="15" hidden="false" customHeight="false" outlineLevel="0" collapsed="false">
      <c r="A1788" s="13"/>
      <c r="B1788" s="9"/>
      <c r="C1788" s="9"/>
      <c r="D1788" s="9"/>
      <c r="E1788" s="9"/>
      <c r="F1788" s="16" t="str">
        <f aca="false">IF(B1788="","",IF(COUNTIFS('PM Plan'!$A$5:$A$304,B1788,'PM Plan'!$B$5:$B$304,C1788)&gt;0,"OK","No matching asset + task in plan"))</f>
        <v/>
      </c>
    </row>
    <row r="1789" customFormat="false" ht="15" hidden="false" customHeight="false" outlineLevel="0" collapsed="false">
      <c r="A1789" s="13"/>
      <c r="B1789" s="9"/>
      <c r="C1789" s="9"/>
      <c r="D1789" s="9"/>
      <c r="E1789" s="9"/>
      <c r="F1789" s="16" t="str">
        <f aca="false">IF(B1789="","",IF(COUNTIFS('PM Plan'!$A$5:$A$304,B1789,'PM Plan'!$B$5:$B$304,C1789)&gt;0,"OK","No matching asset + task in plan"))</f>
        <v/>
      </c>
    </row>
    <row r="1790" customFormat="false" ht="15" hidden="false" customHeight="false" outlineLevel="0" collapsed="false">
      <c r="A1790" s="13"/>
      <c r="B1790" s="9"/>
      <c r="C1790" s="9"/>
      <c r="D1790" s="9"/>
      <c r="E1790" s="9"/>
      <c r="F1790" s="16" t="str">
        <f aca="false">IF(B1790="","",IF(COUNTIFS('PM Plan'!$A$5:$A$304,B1790,'PM Plan'!$B$5:$B$304,C1790)&gt;0,"OK","No matching asset + task in plan"))</f>
        <v/>
      </c>
    </row>
    <row r="1791" customFormat="false" ht="15" hidden="false" customHeight="false" outlineLevel="0" collapsed="false">
      <c r="A1791" s="13"/>
      <c r="B1791" s="9"/>
      <c r="C1791" s="9"/>
      <c r="D1791" s="9"/>
      <c r="E1791" s="9"/>
      <c r="F1791" s="16" t="str">
        <f aca="false">IF(B1791="","",IF(COUNTIFS('PM Plan'!$A$5:$A$304,B1791,'PM Plan'!$B$5:$B$304,C1791)&gt;0,"OK","No matching asset + task in plan"))</f>
        <v/>
      </c>
    </row>
    <row r="1792" customFormat="false" ht="15" hidden="false" customHeight="false" outlineLevel="0" collapsed="false">
      <c r="A1792" s="13"/>
      <c r="B1792" s="9"/>
      <c r="C1792" s="9"/>
      <c r="D1792" s="9"/>
      <c r="E1792" s="9"/>
      <c r="F1792" s="16" t="str">
        <f aca="false">IF(B1792="","",IF(COUNTIFS('PM Plan'!$A$5:$A$304,B1792,'PM Plan'!$B$5:$B$304,C1792)&gt;0,"OK","No matching asset + task in plan"))</f>
        <v/>
      </c>
    </row>
    <row r="1793" customFormat="false" ht="15" hidden="false" customHeight="false" outlineLevel="0" collapsed="false">
      <c r="A1793" s="13"/>
      <c r="B1793" s="9"/>
      <c r="C1793" s="9"/>
      <c r="D1793" s="9"/>
      <c r="E1793" s="9"/>
      <c r="F1793" s="16" t="str">
        <f aca="false">IF(B1793="","",IF(COUNTIFS('PM Plan'!$A$5:$A$304,B1793,'PM Plan'!$B$5:$B$304,C1793)&gt;0,"OK","No matching asset + task in plan"))</f>
        <v/>
      </c>
    </row>
    <row r="1794" customFormat="false" ht="15" hidden="false" customHeight="false" outlineLevel="0" collapsed="false">
      <c r="A1794" s="13"/>
      <c r="B1794" s="9"/>
      <c r="C1794" s="9"/>
      <c r="D1794" s="9"/>
      <c r="E1794" s="9"/>
      <c r="F1794" s="16" t="str">
        <f aca="false">IF(B1794="","",IF(COUNTIFS('PM Plan'!$A$5:$A$304,B1794,'PM Plan'!$B$5:$B$304,C1794)&gt;0,"OK","No matching asset + task in plan"))</f>
        <v/>
      </c>
    </row>
    <row r="1795" customFormat="false" ht="15" hidden="false" customHeight="false" outlineLevel="0" collapsed="false">
      <c r="A1795" s="13"/>
      <c r="B1795" s="9"/>
      <c r="C1795" s="9"/>
      <c r="D1795" s="9"/>
      <c r="E1795" s="9"/>
      <c r="F1795" s="16" t="str">
        <f aca="false">IF(B1795="","",IF(COUNTIFS('PM Plan'!$A$5:$A$304,B1795,'PM Plan'!$B$5:$B$304,C1795)&gt;0,"OK","No matching asset + task in plan"))</f>
        <v/>
      </c>
    </row>
    <row r="1796" customFormat="false" ht="15" hidden="false" customHeight="false" outlineLevel="0" collapsed="false">
      <c r="A1796" s="13"/>
      <c r="B1796" s="9"/>
      <c r="C1796" s="9"/>
      <c r="D1796" s="9"/>
      <c r="E1796" s="9"/>
      <c r="F1796" s="16" t="str">
        <f aca="false">IF(B1796="","",IF(COUNTIFS('PM Plan'!$A$5:$A$304,B1796,'PM Plan'!$B$5:$B$304,C1796)&gt;0,"OK","No matching asset + task in plan"))</f>
        <v/>
      </c>
    </row>
    <row r="1797" customFormat="false" ht="15" hidden="false" customHeight="false" outlineLevel="0" collapsed="false">
      <c r="A1797" s="13"/>
      <c r="B1797" s="9"/>
      <c r="C1797" s="9"/>
      <c r="D1797" s="9"/>
      <c r="E1797" s="9"/>
      <c r="F1797" s="16" t="str">
        <f aca="false">IF(B1797="","",IF(COUNTIFS('PM Plan'!$A$5:$A$304,B1797,'PM Plan'!$B$5:$B$304,C1797)&gt;0,"OK","No matching asset + task in plan"))</f>
        <v/>
      </c>
    </row>
    <row r="1798" customFormat="false" ht="15" hidden="false" customHeight="false" outlineLevel="0" collapsed="false">
      <c r="A1798" s="13"/>
      <c r="B1798" s="9"/>
      <c r="C1798" s="9"/>
      <c r="D1798" s="9"/>
      <c r="E1798" s="9"/>
      <c r="F1798" s="16" t="str">
        <f aca="false">IF(B1798="","",IF(COUNTIFS('PM Plan'!$A$5:$A$304,B1798,'PM Plan'!$B$5:$B$304,C1798)&gt;0,"OK","No matching asset + task in plan"))</f>
        <v/>
      </c>
    </row>
    <row r="1799" customFormat="false" ht="15" hidden="false" customHeight="false" outlineLevel="0" collapsed="false">
      <c r="A1799" s="13"/>
      <c r="B1799" s="9"/>
      <c r="C1799" s="9"/>
      <c r="D1799" s="9"/>
      <c r="E1799" s="9"/>
      <c r="F1799" s="16" t="str">
        <f aca="false">IF(B1799="","",IF(COUNTIFS('PM Plan'!$A$5:$A$304,B1799,'PM Plan'!$B$5:$B$304,C1799)&gt;0,"OK","No matching asset + task in plan"))</f>
        <v/>
      </c>
    </row>
    <row r="1800" customFormat="false" ht="15" hidden="false" customHeight="false" outlineLevel="0" collapsed="false">
      <c r="A1800" s="13"/>
      <c r="B1800" s="9"/>
      <c r="C1800" s="9"/>
      <c r="D1800" s="9"/>
      <c r="E1800" s="9"/>
      <c r="F1800" s="16" t="str">
        <f aca="false">IF(B1800="","",IF(COUNTIFS('PM Plan'!$A$5:$A$304,B1800,'PM Plan'!$B$5:$B$304,C1800)&gt;0,"OK","No matching asset + task in plan"))</f>
        <v/>
      </c>
    </row>
    <row r="1801" customFormat="false" ht="15" hidden="false" customHeight="false" outlineLevel="0" collapsed="false">
      <c r="A1801" s="13"/>
      <c r="B1801" s="9"/>
      <c r="C1801" s="9"/>
      <c r="D1801" s="9"/>
      <c r="E1801" s="9"/>
      <c r="F1801" s="16" t="str">
        <f aca="false">IF(B1801="","",IF(COUNTIFS('PM Plan'!$A$5:$A$304,B1801,'PM Plan'!$B$5:$B$304,C1801)&gt;0,"OK","No matching asset + task in plan"))</f>
        <v/>
      </c>
    </row>
    <row r="1802" customFormat="false" ht="15" hidden="false" customHeight="false" outlineLevel="0" collapsed="false">
      <c r="A1802" s="13"/>
      <c r="B1802" s="9"/>
      <c r="C1802" s="9"/>
      <c r="D1802" s="9"/>
      <c r="E1802" s="9"/>
      <c r="F1802" s="16" t="str">
        <f aca="false">IF(B1802="","",IF(COUNTIFS('PM Plan'!$A$5:$A$304,B1802,'PM Plan'!$B$5:$B$304,C1802)&gt;0,"OK","No matching asset + task in plan"))</f>
        <v/>
      </c>
    </row>
    <row r="1803" customFormat="false" ht="15" hidden="false" customHeight="false" outlineLevel="0" collapsed="false">
      <c r="A1803" s="13"/>
      <c r="B1803" s="9"/>
      <c r="C1803" s="9"/>
      <c r="D1803" s="9"/>
      <c r="E1803" s="9"/>
      <c r="F1803" s="16" t="str">
        <f aca="false">IF(B1803="","",IF(COUNTIFS('PM Plan'!$A$5:$A$304,B1803,'PM Plan'!$B$5:$B$304,C1803)&gt;0,"OK","No matching asset + task in plan"))</f>
        <v/>
      </c>
    </row>
    <row r="1804" customFormat="false" ht="15" hidden="false" customHeight="false" outlineLevel="0" collapsed="false">
      <c r="A1804" s="13"/>
      <c r="B1804" s="9"/>
      <c r="C1804" s="9"/>
      <c r="D1804" s="9"/>
      <c r="E1804" s="9"/>
      <c r="F1804" s="16" t="str">
        <f aca="false">IF(B1804="","",IF(COUNTIFS('PM Plan'!$A$5:$A$304,B1804,'PM Plan'!$B$5:$B$304,C1804)&gt;0,"OK","No matching asset + task in plan"))</f>
        <v/>
      </c>
    </row>
    <row r="1805" customFormat="false" ht="15" hidden="false" customHeight="false" outlineLevel="0" collapsed="false">
      <c r="A1805" s="13"/>
      <c r="B1805" s="9"/>
      <c r="C1805" s="9"/>
      <c r="D1805" s="9"/>
      <c r="E1805" s="9"/>
      <c r="F1805" s="16" t="str">
        <f aca="false">IF(B1805="","",IF(COUNTIFS('PM Plan'!$A$5:$A$304,B1805,'PM Plan'!$B$5:$B$304,C1805)&gt;0,"OK","No matching asset + task in plan"))</f>
        <v/>
      </c>
    </row>
    <row r="1806" customFormat="false" ht="15" hidden="false" customHeight="false" outlineLevel="0" collapsed="false">
      <c r="A1806" s="13"/>
      <c r="B1806" s="9"/>
      <c r="C1806" s="9"/>
      <c r="D1806" s="9"/>
      <c r="E1806" s="9"/>
      <c r="F1806" s="16" t="str">
        <f aca="false">IF(B1806="","",IF(COUNTIFS('PM Plan'!$A$5:$A$304,B1806,'PM Plan'!$B$5:$B$304,C1806)&gt;0,"OK","No matching asset + task in plan"))</f>
        <v/>
      </c>
    </row>
    <row r="1807" customFormat="false" ht="15" hidden="false" customHeight="false" outlineLevel="0" collapsed="false">
      <c r="A1807" s="13"/>
      <c r="B1807" s="9"/>
      <c r="C1807" s="9"/>
      <c r="D1807" s="9"/>
      <c r="E1807" s="9"/>
      <c r="F1807" s="16" t="str">
        <f aca="false">IF(B1807="","",IF(COUNTIFS('PM Plan'!$A$5:$A$304,B1807,'PM Plan'!$B$5:$B$304,C1807)&gt;0,"OK","No matching asset + task in plan"))</f>
        <v/>
      </c>
    </row>
    <row r="1808" customFormat="false" ht="15" hidden="false" customHeight="false" outlineLevel="0" collapsed="false">
      <c r="A1808" s="13"/>
      <c r="B1808" s="9"/>
      <c r="C1808" s="9"/>
      <c r="D1808" s="9"/>
      <c r="E1808" s="9"/>
      <c r="F1808" s="16" t="str">
        <f aca="false">IF(B1808="","",IF(COUNTIFS('PM Plan'!$A$5:$A$304,B1808,'PM Plan'!$B$5:$B$304,C1808)&gt;0,"OK","No matching asset + task in plan"))</f>
        <v/>
      </c>
    </row>
    <row r="1809" customFormat="false" ht="15" hidden="false" customHeight="false" outlineLevel="0" collapsed="false">
      <c r="A1809" s="13"/>
      <c r="B1809" s="9"/>
      <c r="C1809" s="9"/>
      <c r="D1809" s="9"/>
      <c r="E1809" s="9"/>
      <c r="F1809" s="16" t="str">
        <f aca="false">IF(B1809="","",IF(COUNTIFS('PM Plan'!$A$5:$A$304,B1809,'PM Plan'!$B$5:$B$304,C1809)&gt;0,"OK","No matching asset + task in plan"))</f>
        <v/>
      </c>
    </row>
    <row r="1810" customFormat="false" ht="15" hidden="false" customHeight="false" outlineLevel="0" collapsed="false">
      <c r="A1810" s="13"/>
      <c r="B1810" s="9"/>
      <c r="C1810" s="9"/>
      <c r="D1810" s="9"/>
      <c r="E1810" s="9"/>
      <c r="F1810" s="16" t="str">
        <f aca="false">IF(B1810="","",IF(COUNTIFS('PM Plan'!$A$5:$A$304,B1810,'PM Plan'!$B$5:$B$304,C1810)&gt;0,"OK","No matching asset + task in plan"))</f>
        <v/>
      </c>
    </row>
    <row r="1811" customFormat="false" ht="15" hidden="false" customHeight="false" outlineLevel="0" collapsed="false">
      <c r="A1811" s="13"/>
      <c r="B1811" s="9"/>
      <c r="C1811" s="9"/>
      <c r="D1811" s="9"/>
      <c r="E1811" s="9"/>
      <c r="F1811" s="16" t="str">
        <f aca="false">IF(B1811="","",IF(COUNTIFS('PM Plan'!$A$5:$A$304,B1811,'PM Plan'!$B$5:$B$304,C1811)&gt;0,"OK","No matching asset + task in plan"))</f>
        <v/>
      </c>
    </row>
    <row r="1812" customFormat="false" ht="15" hidden="false" customHeight="false" outlineLevel="0" collapsed="false">
      <c r="A1812" s="13"/>
      <c r="B1812" s="9"/>
      <c r="C1812" s="9"/>
      <c r="D1812" s="9"/>
      <c r="E1812" s="9"/>
      <c r="F1812" s="16" t="str">
        <f aca="false">IF(B1812="","",IF(COUNTIFS('PM Plan'!$A$5:$A$304,B1812,'PM Plan'!$B$5:$B$304,C1812)&gt;0,"OK","No matching asset + task in plan"))</f>
        <v/>
      </c>
    </row>
    <row r="1813" customFormat="false" ht="15" hidden="false" customHeight="false" outlineLevel="0" collapsed="false">
      <c r="A1813" s="13"/>
      <c r="B1813" s="9"/>
      <c r="C1813" s="9"/>
      <c r="D1813" s="9"/>
      <c r="E1813" s="9"/>
      <c r="F1813" s="16" t="str">
        <f aca="false">IF(B1813="","",IF(COUNTIFS('PM Plan'!$A$5:$A$304,B1813,'PM Plan'!$B$5:$B$304,C1813)&gt;0,"OK","No matching asset + task in plan"))</f>
        <v/>
      </c>
    </row>
    <row r="1814" customFormat="false" ht="15" hidden="false" customHeight="false" outlineLevel="0" collapsed="false">
      <c r="A1814" s="13"/>
      <c r="B1814" s="9"/>
      <c r="C1814" s="9"/>
      <c r="D1814" s="9"/>
      <c r="E1814" s="9"/>
      <c r="F1814" s="16" t="str">
        <f aca="false">IF(B1814="","",IF(COUNTIFS('PM Plan'!$A$5:$A$304,B1814,'PM Plan'!$B$5:$B$304,C1814)&gt;0,"OK","No matching asset + task in plan"))</f>
        <v/>
      </c>
    </row>
    <row r="1815" customFormat="false" ht="15" hidden="false" customHeight="false" outlineLevel="0" collapsed="false">
      <c r="A1815" s="13"/>
      <c r="B1815" s="9"/>
      <c r="C1815" s="9"/>
      <c r="D1815" s="9"/>
      <c r="E1815" s="9"/>
      <c r="F1815" s="16" t="str">
        <f aca="false">IF(B1815="","",IF(COUNTIFS('PM Plan'!$A$5:$A$304,B1815,'PM Plan'!$B$5:$B$304,C1815)&gt;0,"OK","No matching asset + task in plan"))</f>
        <v/>
      </c>
    </row>
    <row r="1816" customFormat="false" ht="15" hidden="false" customHeight="false" outlineLevel="0" collapsed="false">
      <c r="A1816" s="13"/>
      <c r="B1816" s="9"/>
      <c r="C1816" s="9"/>
      <c r="D1816" s="9"/>
      <c r="E1816" s="9"/>
      <c r="F1816" s="16" t="str">
        <f aca="false">IF(B1816="","",IF(COUNTIFS('PM Plan'!$A$5:$A$304,B1816,'PM Plan'!$B$5:$B$304,C1816)&gt;0,"OK","No matching asset + task in plan"))</f>
        <v/>
      </c>
    </row>
    <row r="1817" customFormat="false" ht="15" hidden="false" customHeight="false" outlineLevel="0" collapsed="false">
      <c r="A1817" s="13"/>
      <c r="B1817" s="9"/>
      <c r="C1817" s="9"/>
      <c r="D1817" s="9"/>
      <c r="E1817" s="9"/>
      <c r="F1817" s="16" t="str">
        <f aca="false">IF(B1817="","",IF(COUNTIFS('PM Plan'!$A$5:$A$304,B1817,'PM Plan'!$B$5:$B$304,C1817)&gt;0,"OK","No matching asset + task in plan"))</f>
        <v/>
      </c>
    </row>
    <row r="1818" customFormat="false" ht="15" hidden="false" customHeight="false" outlineLevel="0" collapsed="false">
      <c r="A1818" s="13"/>
      <c r="B1818" s="9"/>
      <c r="C1818" s="9"/>
      <c r="D1818" s="9"/>
      <c r="E1818" s="9"/>
      <c r="F1818" s="16" t="str">
        <f aca="false">IF(B1818="","",IF(COUNTIFS('PM Plan'!$A$5:$A$304,B1818,'PM Plan'!$B$5:$B$304,C1818)&gt;0,"OK","No matching asset + task in plan"))</f>
        <v/>
      </c>
    </row>
    <row r="1819" customFormat="false" ht="15" hidden="false" customHeight="false" outlineLevel="0" collapsed="false">
      <c r="A1819" s="13"/>
      <c r="B1819" s="9"/>
      <c r="C1819" s="9"/>
      <c r="D1819" s="9"/>
      <c r="E1819" s="9"/>
      <c r="F1819" s="16" t="str">
        <f aca="false">IF(B1819="","",IF(COUNTIFS('PM Plan'!$A$5:$A$304,B1819,'PM Plan'!$B$5:$B$304,C1819)&gt;0,"OK","No matching asset + task in plan"))</f>
        <v/>
      </c>
    </row>
    <row r="1820" customFormat="false" ht="15" hidden="false" customHeight="false" outlineLevel="0" collapsed="false">
      <c r="A1820" s="13"/>
      <c r="B1820" s="9"/>
      <c r="C1820" s="9"/>
      <c r="D1820" s="9"/>
      <c r="E1820" s="9"/>
      <c r="F1820" s="16" t="str">
        <f aca="false">IF(B1820="","",IF(COUNTIFS('PM Plan'!$A$5:$A$304,B1820,'PM Plan'!$B$5:$B$304,C1820)&gt;0,"OK","No matching asset + task in plan"))</f>
        <v/>
      </c>
    </row>
    <row r="1821" customFormat="false" ht="15" hidden="false" customHeight="false" outlineLevel="0" collapsed="false">
      <c r="A1821" s="13"/>
      <c r="B1821" s="9"/>
      <c r="C1821" s="9"/>
      <c r="D1821" s="9"/>
      <c r="E1821" s="9"/>
      <c r="F1821" s="16" t="str">
        <f aca="false">IF(B1821="","",IF(COUNTIFS('PM Plan'!$A$5:$A$304,B1821,'PM Plan'!$B$5:$B$304,C1821)&gt;0,"OK","No matching asset + task in plan"))</f>
        <v/>
      </c>
    </row>
    <row r="1822" customFormat="false" ht="15" hidden="false" customHeight="false" outlineLevel="0" collapsed="false">
      <c r="A1822" s="13"/>
      <c r="B1822" s="9"/>
      <c r="C1822" s="9"/>
      <c r="D1822" s="9"/>
      <c r="E1822" s="9"/>
      <c r="F1822" s="16" t="str">
        <f aca="false">IF(B1822="","",IF(COUNTIFS('PM Plan'!$A$5:$A$304,B1822,'PM Plan'!$B$5:$B$304,C1822)&gt;0,"OK","No matching asset + task in plan"))</f>
        <v/>
      </c>
    </row>
    <row r="1823" customFormat="false" ht="15" hidden="false" customHeight="false" outlineLevel="0" collapsed="false">
      <c r="A1823" s="13"/>
      <c r="B1823" s="9"/>
      <c r="C1823" s="9"/>
      <c r="D1823" s="9"/>
      <c r="E1823" s="9"/>
      <c r="F1823" s="16" t="str">
        <f aca="false">IF(B1823="","",IF(COUNTIFS('PM Plan'!$A$5:$A$304,B1823,'PM Plan'!$B$5:$B$304,C1823)&gt;0,"OK","No matching asset + task in plan"))</f>
        <v/>
      </c>
    </row>
    <row r="1824" customFormat="false" ht="15" hidden="false" customHeight="false" outlineLevel="0" collapsed="false">
      <c r="A1824" s="13"/>
      <c r="B1824" s="9"/>
      <c r="C1824" s="9"/>
      <c r="D1824" s="9"/>
      <c r="E1824" s="9"/>
      <c r="F1824" s="16" t="str">
        <f aca="false">IF(B1824="","",IF(COUNTIFS('PM Plan'!$A$5:$A$304,B1824,'PM Plan'!$B$5:$B$304,C1824)&gt;0,"OK","No matching asset + task in plan"))</f>
        <v/>
      </c>
    </row>
    <row r="1825" customFormat="false" ht="15" hidden="false" customHeight="false" outlineLevel="0" collapsed="false">
      <c r="A1825" s="13"/>
      <c r="B1825" s="9"/>
      <c r="C1825" s="9"/>
      <c r="D1825" s="9"/>
      <c r="E1825" s="9"/>
      <c r="F1825" s="16" t="str">
        <f aca="false">IF(B1825="","",IF(COUNTIFS('PM Plan'!$A$5:$A$304,B1825,'PM Plan'!$B$5:$B$304,C1825)&gt;0,"OK","No matching asset + task in plan"))</f>
        <v/>
      </c>
    </row>
    <row r="1826" customFormat="false" ht="15" hidden="false" customHeight="false" outlineLevel="0" collapsed="false">
      <c r="A1826" s="13"/>
      <c r="B1826" s="9"/>
      <c r="C1826" s="9"/>
      <c r="D1826" s="9"/>
      <c r="E1826" s="9"/>
      <c r="F1826" s="16" t="str">
        <f aca="false">IF(B1826="","",IF(COUNTIFS('PM Plan'!$A$5:$A$304,B1826,'PM Plan'!$B$5:$B$304,C1826)&gt;0,"OK","No matching asset + task in plan"))</f>
        <v/>
      </c>
    </row>
    <row r="1827" customFormat="false" ht="15" hidden="false" customHeight="false" outlineLevel="0" collapsed="false">
      <c r="A1827" s="13"/>
      <c r="B1827" s="9"/>
      <c r="C1827" s="9"/>
      <c r="D1827" s="9"/>
      <c r="E1827" s="9"/>
      <c r="F1827" s="16" t="str">
        <f aca="false">IF(B1827="","",IF(COUNTIFS('PM Plan'!$A$5:$A$304,B1827,'PM Plan'!$B$5:$B$304,C1827)&gt;0,"OK","No matching asset + task in plan"))</f>
        <v/>
      </c>
    </row>
    <row r="1828" customFormat="false" ht="15" hidden="false" customHeight="false" outlineLevel="0" collapsed="false">
      <c r="A1828" s="13"/>
      <c r="B1828" s="9"/>
      <c r="C1828" s="9"/>
      <c r="D1828" s="9"/>
      <c r="E1828" s="9"/>
      <c r="F1828" s="16" t="str">
        <f aca="false">IF(B1828="","",IF(COUNTIFS('PM Plan'!$A$5:$A$304,B1828,'PM Plan'!$B$5:$B$304,C1828)&gt;0,"OK","No matching asset + task in plan"))</f>
        <v/>
      </c>
    </row>
    <row r="1829" customFormat="false" ht="15" hidden="false" customHeight="false" outlineLevel="0" collapsed="false">
      <c r="A1829" s="13"/>
      <c r="B1829" s="9"/>
      <c r="C1829" s="9"/>
      <c r="D1829" s="9"/>
      <c r="E1829" s="9"/>
      <c r="F1829" s="16" t="str">
        <f aca="false">IF(B1829="","",IF(COUNTIFS('PM Plan'!$A$5:$A$304,B1829,'PM Plan'!$B$5:$B$304,C1829)&gt;0,"OK","No matching asset + task in plan"))</f>
        <v/>
      </c>
    </row>
    <row r="1830" customFormat="false" ht="15" hidden="false" customHeight="false" outlineLevel="0" collapsed="false">
      <c r="A1830" s="13"/>
      <c r="B1830" s="9"/>
      <c r="C1830" s="9"/>
      <c r="D1830" s="9"/>
      <c r="E1830" s="9"/>
      <c r="F1830" s="16" t="str">
        <f aca="false">IF(B1830="","",IF(COUNTIFS('PM Plan'!$A$5:$A$304,B1830,'PM Plan'!$B$5:$B$304,C1830)&gt;0,"OK","No matching asset + task in plan"))</f>
        <v/>
      </c>
    </row>
    <row r="1831" customFormat="false" ht="15" hidden="false" customHeight="false" outlineLevel="0" collapsed="false">
      <c r="A1831" s="13"/>
      <c r="B1831" s="9"/>
      <c r="C1831" s="9"/>
      <c r="D1831" s="9"/>
      <c r="E1831" s="9"/>
      <c r="F1831" s="16" t="str">
        <f aca="false">IF(B1831="","",IF(COUNTIFS('PM Plan'!$A$5:$A$304,B1831,'PM Plan'!$B$5:$B$304,C1831)&gt;0,"OK","No matching asset + task in plan"))</f>
        <v/>
      </c>
    </row>
    <row r="1832" customFormat="false" ht="15" hidden="false" customHeight="false" outlineLevel="0" collapsed="false">
      <c r="A1832" s="13"/>
      <c r="B1832" s="9"/>
      <c r="C1832" s="9"/>
      <c r="D1832" s="9"/>
      <c r="E1832" s="9"/>
      <c r="F1832" s="16" t="str">
        <f aca="false">IF(B1832="","",IF(COUNTIFS('PM Plan'!$A$5:$A$304,B1832,'PM Plan'!$B$5:$B$304,C1832)&gt;0,"OK","No matching asset + task in plan"))</f>
        <v/>
      </c>
    </row>
    <row r="1833" customFormat="false" ht="15" hidden="false" customHeight="false" outlineLevel="0" collapsed="false">
      <c r="A1833" s="13"/>
      <c r="B1833" s="9"/>
      <c r="C1833" s="9"/>
      <c r="D1833" s="9"/>
      <c r="E1833" s="9"/>
      <c r="F1833" s="16" t="str">
        <f aca="false">IF(B1833="","",IF(COUNTIFS('PM Plan'!$A$5:$A$304,B1833,'PM Plan'!$B$5:$B$304,C1833)&gt;0,"OK","No matching asset + task in plan"))</f>
        <v/>
      </c>
    </row>
    <row r="1834" customFormat="false" ht="15" hidden="false" customHeight="false" outlineLevel="0" collapsed="false">
      <c r="A1834" s="13"/>
      <c r="B1834" s="9"/>
      <c r="C1834" s="9"/>
      <c r="D1834" s="9"/>
      <c r="E1834" s="9"/>
      <c r="F1834" s="16" t="str">
        <f aca="false">IF(B1834="","",IF(COUNTIFS('PM Plan'!$A$5:$A$304,B1834,'PM Plan'!$B$5:$B$304,C1834)&gt;0,"OK","No matching asset + task in plan"))</f>
        <v/>
      </c>
    </row>
    <row r="1835" customFormat="false" ht="15" hidden="false" customHeight="false" outlineLevel="0" collapsed="false">
      <c r="A1835" s="13"/>
      <c r="B1835" s="9"/>
      <c r="C1835" s="9"/>
      <c r="D1835" s="9"/>
      <c r="E1835" s="9"/>
      <c r="F1835" s="16" t="str">
        <f aca="false">IF(B1835="","",IF(COUNTIFS('PM Plan'!$A$5:$A$304,B1835,'PM Plan'!$B$5:$B$304,C1835)&gt;0,"OK","No matching asset + task in plan"))</f>
        <v/>
      </c>
    </row>
    <row r="1836" customFormat="false" ht="15" hidden="false" customHeight="false" outlineLevel="0" collapsed="false">
      <c r="A1836" s="13"/>
      <c r="B1836" s="9"/>
      <c r="C1836" s="9"/>
      <c r="D1836" s="9"/>
      <c r="E1836" s="9"/>
      <c r="F1836" s="16" t="str">
        <f aca="false">IF(B1836="","",IF(COUNTIFS('PM Plan'!$A$5:$A$304,B1836,'PM Plan'!$B$5:$B$304,C1836)&gt;0,"OK","No matching asset + task in plan"))</f>
        <v/>
      </c>
    </row>
    <row r="1837" customFormat="false" ht="15" hidden="false" customHeight="false" outlineLevel="0" collapsed="false">
      <c r="A1837" s="13"/>
      <c r="B1837" s="9"/>
      <c r="C1837" s="9"/>
      <c r="D1837" s="9"/>
      <c r="E1837" s="9"/>
      <c r="F1837" s="16" t="str">
        <f aca="false">IF(B1837="","",IF(COUNTIFS('PM Plan'!$A$5:$A$304,B1837,'PM Plan'!$B$5:$B$304,C1837)&gt;0,"OK","No matching asset + task in plan"))</f>
        <v/>
      </c>
    </row>
    <row r="1838" customFormat="false" ht="15" hidden="false" customHeight="false" outlineLevel="0" collapsed="false">
      <c r="A1838" s="13"/>
      <c r="B1838" s="9"/>
      <c r="C1838" s="9"/>
      <c r="D1838" s="9"/>
      <c r="E1838" s="9"/>
      <c r="F1838" s="16" t="str">
        <f aca="false">IF(B1838="","",IF(COUNTIFS('PM Plan'!$A$5:$A$304,B1838,'PM Plan'!$B$5:$B$304,C1838)&gt;0,"OK","No matching asset + task in plan"))</f>
        <v/>
      </c>
    </row>
    <row r="1839" customFormat="false" ht="15" hidden="false" customHeight="false" outlineLevel="0" collapsed="false">
      <c r="A1839" s="13"/>
      <c r="B1839" s="9"/>
      <c r="C1839" s="9"/>
      <c r="D1839" s="9"/>
      <c r="E1839" s="9"/>
      <c r="F1839" s="16" t="str">
        <f aca="false">IF(B1839="","",IF(COUNTIFS('PM Plan'!$A$5:$A$304,B1839,'PM Plan'!$B$5:$B$304,C1839)&gt;0,"OK","No matching asset + task in plan"))</f>
        <v/>
      </c>
    </row>
    <row r="1840" customFormat="false" ht="15" hidden="false" customHeight="false" outlineLevel="0" collapsed="false">
      <c r="A1840" s="13"/>
      <c r="B1840" s="9"/>
      <c r="C1840" s="9"/>
      <c r="D1840" s="9"/>
      <c r="E1840" s="9"/>
      <c r="F1840" s="16" t="str">
        <f aca="false">IF(B1840="","",IF(COUNTIFS('PM Plan'!$A$5:$A$304,B1840,'PM Plan'!$B$5:$B$304,C1840)&gt;0,"OK","No matching asset + task in plan"))</f>
        <v/>
      </c>
    </row>
    <row r="1841" customFormat="false" ht="15" hidden="false" customHeight="false" outlineLevel="0" collapsed="false">
      <c r="A1841" s="13"/>
      <c r="B1841" s="9"/>
      <c r="C1841" s="9"/>
      <c r="D1841" s="9"/>
      <c r="E1841" s="9"/>
      <c r="F1841" s="16" t="str">
        <f aca="false">IF(B1841="","",IF(COUNTIFS('PM Plan'!$A$5:$A$304,B1841,'PM Plan'!$B$5:$B$304,C1841)&gt;0,"OK","No matching asset + task in plan"))</f>
        <v/>
      </c>
    </row>
    <row r="1842" customFormat="false" ht="15" hidden="false" customHeight="false" outlineLevel="0" collapsed="false">
      <c r="A1842" s="13"/>
      <c r="B1842" s="9"/>
      <c r="C1842" s="9"/>
      <c r="D1842" s="9"/>
      <c r="E1842" s="9"/>
      <c r="F1842" s="16" t="str">
        <f aca="false">IF(B1842="","",IF(COUNTIFS('PM Plan'!$A$5:$A$304,B1842,'PM Plan'!$B$5:$B$304,C1842)&gt;0,"OK","No matching asset + task in plan"))</f>
        <v/>
      </c>
    </row>
    <row r="1843" customFormat="false" ht="15" hidden="false" customHeight="false" outlineLevel="0" collapsed="false">
      <c r="A1843" s="13"/>
      <c r="B1843" s="9"/>
      <c r="C1843" s="9"/>
      <c r="D1843" s="9"/>
      <c r="E1843" s="9"/>
      <c r="F1843" s="16" t="str">
        <f aca="false">IF(B1843="","",IF(COUNTIFS('PM Plan'!$A$5:$A$304,B1843,'PM Plan'!$B$5:$B$304,C1843)&gt;0,"OK","No matching asset + task in plan"))</f>
        <v/>
      </c>
    </row>
    <row r="1844" customFormat="false" ht="15" hidden="false" customHeight="false" outlineLevel="0" collapsed="false">
      <c r="A1844" s="13"/>
      <c r="B1844" s="9"/>
      <c r="C1844" s="9"/>
      <c r="D1844" s="9"/>
      <c r="E1844" s="9"/>
      <c r="F1844" s="16" t="str">
        <f aca="false">IF(B1844="","",IF(COUNTIFS('PM Plan'!$A$5:$A$304,B1844,'PM Plan'!$B$5:$B$304,C1844)&gt;0,"OK","No matching asset + task in plan"))</f>
        <v/>
      </c>
    </row>
    <row r="1845" customFormat="false" ht="15" hidden="false" customHeight="false" outlineLevel="0" collapsed="false">
      <c r="A1845" s="13"/>
      <c r="B1845" s="9"/>
      <c r="C1845" s="9"/>
      <c r="D1845" s="9"/>
      <c r="E1845" s="9"/>
      <c r="F1845" s="16" t="str">
        <f aca="false">IF(B1845="","",IF(COUNTIFS('PM Plan'!$A$5:$A$304,B1845,'PM Plan'!$B$5:$B$304,C1845)&gt;0,"OK","No matching asset + task in plan"))</f>
        <v/>
      </c>
    </row>
    <row r="1846" customFormat="false" ht="15" hidden="false" customHeight="false" outlineLevel="0" collapsed="false">
      <c r="A1846" s="13"/>
      <c r="B1846" s="9"/>
      <c r="C1846" s="9"/>
      <c r="D1846" s="9"/>
      <c r="E1846" s="9"/>
      <c r="F1846" s="16" t="str">
        <f aca="false">IF(B1846="","",IF(COUNTIFS('PM Plan'!$A$5:$A$304,B1846,'PM Plan'!$B$5:$B$304,C1846)&gt;0,"OK","No matching asset + task in plan"))</f>
        <v/>
      </c>
    </row>
    <row r="1847" customFormat="false" ht="15" hidden="false" customHeight="false" outlineLevel="0" collapsed="false">
      <c r="A1847" s="13"/>
      <c r="B1847" s="9"/>
      <c r="C1847" s="9"/>
      <c r="D1847" s="9"/>
      <c r="E1847" s="9"/>
      <c r="F1847" s="16" t="str">
        <f aca="false">IF(B1847="","",IF(COUNTIFS('PM Plan'!$A$5:$A$304,B1847,'PM Plan'!$B$5:$B$304,C1847)&gt;0,"OK","No matching asset + task in plan"))</f>
        <v/>
      </c>
    </row>
    <row r="1848" customFormat="false" ht="15" hidden="false" customHeight="false" outlineLevel="0" collapsed="false">
      <c r="A1848" s="13"/>
      <c r="B1848" s="9"/>
      <c r="C1848" s="9"/>
      <c r="D1848" s="9"/>
      <c r="E1848" s="9"/>
      <c r="F1848" s="16" t="str">
        <f aca="false">IF(B1848="","",IF(COUNTIFS('PM Plan'!$A$5:$A$304,B1848,'PM Plan'!$B$5:$B$304,C1848)&gt;0,"OK","No matching asset + task in plan"))</f>
        <v/>
      </c>
    </row>
    <row r="1849" customFormat="false" ht="15" hidden="false" customHeight="false" outlineLevel="0" collapsed="false">
      <c r="A1849" s="13"/>
      <c r="B1849" s="9"/>
      <c r="C1849" s="9"/>
      <c r="D1849" s="9"/>
      <c r="E1849" s="9"/>
      <c r="F1849" s="16" t="str">
        <f aca="false">IF(B1849="","",IF(COUNTIFS('PM Plan'!$A$5:$A$304,B1849,'PM Plan'!$B$5:$B$304,C1849)&gt;0,"OK","No matching asset + task in plan"))</f>
        <v/>
      </c>
    </row>
    <row r="1850" customFormat="false" ht="15" hidden="false" customHeight="false" outlineLevel="0" collapsed="false">
      <c r="A1850" s="13"/>
      <c r="B1850" s="9"/>
      <c r="C1850" s="9"/>
      <c r="D1850" s="9"/>
      <c r="E1850" s="9"/>
      <c r="F1850" s="16" t="str">
        <f aca="false">IF(B1850="","",IF(COUNTIFS('PM Plan'!$A$5:$A$304,B1850,'PM Plan'!$B$5:$B$304,C1850)&gt;0,"OK","No matching asset + task in plan"))</f>
        <v/>
      </c>
    </row>
    <row r="1851" customFormat="false" ht="15" hidden="false" customHeight="false" outlineLevel="0" collapsed="false">
      <c r="A1851" s="13"/>
      <c r="B1851" s="9"/>
      <c r="C1851" s="9"/>
      <c r="D1851" s="9"/>
      <c r="E1851" s="9"/>
      <c r="F1851" s="16" t="str">
        <f aca="false">IF(B1851="","",IF(COUNTIFS('PM Plan'!$A$5:$A$304,B1851,'PM Plan'!$B$5:$B$304,C1851)&gt;0,"OK","No matching asset + task in plan"))</f>
        <v/>
      </c>
    </row>
    <row r="1852" customFormat="false" ht="15" hidden="false" customHeight="false" outlineLevel="0" collapsed="false">
      <c r="A1852" s="13"/>
      <c r="B1852" s="9"/>
      <c r="C1852" s="9"/>
      <c r="D1852" s="9"/>
      <c r="E1852" s="9"/>
      <c r="F1852" s="16" t="str">
        <f aca="false">IF(B1852="","",IF(COUNTIFS('PM Plan'!$A$5:$A$304,B1852,'PM Plan'!$B$5:$B$304,C1852)&gt;0,"OK","No matching asset + task in plan"))</f>
        <v/>
      </c>
    </row>
    <row r="1853" customFormat="false" ht="15" hidden="false" customHeight="false" outlineLevel="0" collapsed="false">
      <c r="A1853" s="13"/>
      <c r="B1853" s="9"/>
      <c r="C1853" s="9"/>
      <c r="D1853" s="9"/>
      <c r="E1853" s="9"/>
      <c r="F1853" s="16" t="str">
        <f aca="false">IF(B1853="","",IF(COUNTIFS('PM Plan'!$A$5:$A$304,B1853,'PM Plan'!$B$5:$B$304,C1853)&gt;0,"OK","No matching asset + task in plan"))</f>
        <v/>
      </c>
    </row>
    <row r="1854" customFormat="false" ht="15" hidden="false" customHeight="false" outlineLevel="0" collapsed="false">
      <c r="A1854" s="13"/>
      <c r="B1854" s="9"/>
      <c r="C1854" s="9"/>
      <c r="D1854" s="9"/>
      <c r="E1854" s="9"/>
      <c r="F1854" s="16" t="str">
        <f aca="false">IF(B1854="","",IF(COUNTIFS('PM Plan'!$A$5:$A$304,B1854,'PM Plan'!$B$5:$B$304,C1854)&gt;0,"OK","No matching asset + task in plan"))</f>
        <v/>
      </c>
    </row>
    <row r="1855" customFormat="false" ht="15" hidden="false" customHeight="false" outlineLevel="0" collapsed="false">
      <c r="A1855" s="13"/>
      <c r="B1855" s="9"/>
      <c r="C1855" s="9"/>
      <c r="D1855" s="9"/>
      <c r="E1855" s="9"/>
      <c r="F1855" s="16" t="str">
        <f aca="false">IF(B1855="","",IF(COUNTIFS('PM Plan'!$A$5:$A$304,B1855,'PM Plan'!$B$5:$B$304,C1855)&gt;0,"OK","No matching asset + task in plan"))</f>
        <v/>
      </c>
    </row>
    <row r="1856" customFormat="false" ht="15" hidden="false" customHeight="false" outlineLevel="0" collapsed="false">
      <c r="A1856" s="13"/>
      <c r="B1856" s="9"/>
      <c r="C1856" s="9"/>
      <c r="D1856" s="9"/>
      <c r="E1856" s="9"/>
      <c r="F1856" s="16" t="str">
        <f aca="false">IF(B1856="","",IF(COUNTIFS('PM Plan'!$A$5:$A$304,B1856,'PM Plan'!$B$5:$B$304,C1856)&gt;0,"OK","No matching asset + task in plan"))</f>
        <v/>
      </c>
    </row>
    <row r="1857" customFormat="false" ht="15" hidden="false" customHeight="false" outlineLevel="0" collapsed="false">
      <c r="A1857" s="13"/>
      <c r="B1857" s="9"/>
      <c r="C1857" s="9"/>
      <c r="D1857" s="9"/>
      <c r="E1857" s="9"/>
      <c r="F1857" s="16" t="str">
        <f aca="false">IF(B1857="","",IF(COUNTIFS('PM Plan'!$A$5:$A$304,B1857,'PM Plan'!$B$5:$B$304,C1857)&gt;0,"OK","No matching asset + task in plan"))</f>
        <v/>
      </c>
    </row>
    <row r="1858" customFormat="false" ht="15" hidden="false" customHeight="false" outlineLevel="0" collapsed="false">
      <c r="A1858" s="13"/>
      <c r="B1858" s="9"/>
      <c r="C1858" s="9"/>
      <c r="D1858" s="9"/>
      <c r="E1858" s="9"/>
      <c r="F1858" s="16" t="str">
        <f aca="false">IF(B1858="","",IF(COUNTIFS('PM Plan'!$A$5:$A$304,B1858,'PM Plan'!$B$5:$B$304,C1858)&gt;0,"OK","No matching asset + task in plan"))</f>
        <v/>
      </c>
    </row>
    <row r="1859" customFormat="false" ht="15" hidden="false" customHeight="false" outlineLevel="0" collapsed="false">
      <c r="A1859" s="13"/>
      <c r="B1859" s="9"/>
      <c r="C1859" s="9"/>
      <c r="D1859" s="9"/>
      <c r="E1859" s="9"/>
      <c r="F1859" s="16" t="str">
        <f aca="false">IF(B1859="","",IF(COUNTIFS('PM Plan'!$A$5:$A$304,B1859,'PM Plan'!$B$5:$B$304,C1859)&gt;0,"OK","No matching asset + task in plan"))</f>
        <v/>
      </c>
    </row>
    <row r="1860" customFormat="false" ht="15" hidden="false" customHeight="false" outlineLevel="0" collapsed="false">
      <c r="A1860" s="13"/>
      <c r="B1860" s="9"/>
      <c r="C1860" s="9"/>
      <c r="D1860" s="9"/>
      <c r="E1860" s="9"/>
      <c r="F1860" s="16" t="str">
        <f aca="false">IF(B1860="","",IF(COUNTIFS('PM Plan'!$A$5:$A$304,B1860,'PM Plan'!$B$5:$B$304,C1860)&gt;0,"OK","No matching asset + task in plan"))</f>
        <v/>
      </c>
    </row>
    <row r="1861" customFormat="false" ht="15" hidden="false" customHeight="false" outlineLevel="0" collapsed="false">
      <c r="A1861" s="13"/>
      <c r="B1861" s="9"/>
      <c r="C1861" s="9"/>
      <c r="D1861" s="9"/>
      <c r="E1861" s="9"/>
      <c r="F1861" s="16" t="str">
        <f aca="false">IF(B1861="","",IF(COUNTIFS('PM Plan'!$A$5:$A$304,B1861,'PM Plan'!$B$5:$B$304,C1861)&gt;0,"OK","No matching asset + task in plan"))</f>
        <v/>
      </c>
    </row>
    <row r="1862" customFormat="false" ht="15" hidden="false" customHeight="false" outlineLevel="0" collapsed="false">
      <c r="A1862" s="13"/>
      <c r="B1862" s="9"/>
      <c r="C1862" s="9"/>
      <c r="D1862" s="9"/>
      <c r="E1862" s="9"/>
      <c r="F1862" s="16" t="str">
        <f aca="false">IF(B1862="","",IF(COUNTIFS('PM Plan'!$A$5:$A$304,B1862,'PM Plan'!$B$5:$B$304,C1862)&gt;0,"OK","No matching asset + task in plan"))</f>
        <v/>
      </c>
    </row>
    <row r="1863" customFormat="false" ht="15" hidden="false" customHeight="false" outlineLevel="0" collapsed="false">
      <c r="A1863" s="13"/>
      <c r="B1863" s="9"/>
      <c r="C1863" s="9"/>
      <c r="D1863" s="9"/>
      <c r="E1863" s="9"/>
      <c r="F1863" s="16" t="str">
        <f aca="false">IF(B1863="","",IF(COUNTIFS('PM Plan'!$A$5:$A$304,B1863,'PM Plan'!$B$5:$B$304,C1863)&gt;0,"OK","No matching asset + task in plan"))</f>
        <v/>
      </c>
    </row>
    <row r="1864" customFormat="false" ht="15" hidden="false" customHeight="false" outlineLevel="0" collapsed="false">
      <c r="A1864" s="13"/>
      <c r="B1864" s="9"/>
      <c r="C1864" s="9"/>
      <c r="D1864" s="9"/>
      <c r="E1864" s="9"/>
      <c r="F1864" s="16" t="str">
        <f aca="false">IF(B1864="","",IF(COUNTIFS('PM Plan'!$A$5:$A$304,B1864,'PM Plan'!$B$5:$B$304,C1864)&gt;0,"OK","No matching asset + task in plan"))</f>
        <v/>
      </c>
    </row>
    <row r="1865" customFormat="false" ht="15" hidden="false" customHeight="false" outlineLevel="0" collapsed="false">
      <c r="A1865" s="13"/>
      <c r="B1865" s="9"/>
      <c r="C1865" s="9"/>
      <c r="D1865" s="9"/>
      <c r="E1865" s="9"/>
      <c r="F1865" s="16" t="str">
        <f aca="false">IF(B1865="","",IF(COUNTIFS('PM Plan'!$A$5:$A$304,B1865,'PM Plan'!$B$5:$B$304,C1865)&gt;0,"OK","No matching asset + task in plan"))</f>
        <v/>
      </c>
    </row>
    <row r="1866" customFormat="false" ht="15" hidden="false" customHeight="false" outlineLevel="0" collapsed="false">
      <c r="A1866" s="13"/>
      <c r="B1866" s="9"/>
      <c r="C1866" s="9"/>
      <c r="D1866" s="9"/>
      <c r="E1866" s="9"/>
      <c r="F1866" s="16" t="str">
        <f aca="false">IF(B1866="","",IF(COUNTIFS('PM Plan'!$A$5:$A$304,B1866,'PM Plan'!$B$5:$B$304,C1866)&gt;0,"OK","No matching asset + task in plan"))</f>
        <v/>
      </c>
    </row>
    <row r="1867" customFormat="false" ht="15" hidden="false" customHeight="false" outlineLevel="0" collapsed="false">
      <c r="A1867" s="13"/>
      <c r="B1867" s="9"/>
      <c r="C1867" s="9"/>
      <c r="D1867" s="9"/>
      <c r="E1867" s="9"/>
      <c r="F1867" s="16" t="str">
        <f aca="false">IF(B1867="","",IF(COUNTIFS('PM Plan'!$A$5:$A$304,B1867,'PM Plan'!$B$5:$B$304,C1867)&gt;0,"OK","No matching asset + task in plan"))</f>
        <v/>
      </c>
    </row>
    <row r="1868" customFormat="false" ht="15" hidden="false" customHeight="false" outlineLevel="0" collapsed="false">
      <c r="A1868" s="13"/>
      <c r="B1868" s="9"/>
      <c r="C1868" s="9"/>
      <c r="D1868" s="9"/>
      <c r="E1868" s="9"/>
      <c r="F1868" s="16" t="str">
        <f aca="false">IF(B1868="","",IF(COUNTIFS('PM Plan'!$A$5:$A$304,B1868,'PM Plan'!$B$5:$B$304,C1868)&gt;0,"OK","No matching asset + task in plan"))</f>
        <v/>
      </c>
    </row>
    <row r="1869" customFormat="false" ht="15" hidden="false" customHeight="false" outlineLevel="0" collapsed="false">
      <c r="A1869" s="13"/>
      <c r="B1869" s="9"/>
      <c r="C1869" s="9"/>
      <c r="D1869" s="9"/>
      <c r="E1869" s="9"/>
      <c r="F1869" s="16" t="str">
        <f aca="false">IF(B1869="","",IF(COUNTIFS('PM Plan'!$A$5:$A$304,B1869,'PM Plan'!$B$5:$B$304,C1869)&gt;0,"OK","No matching asset + task in plan"))</f>
        <v/>
      </c>
    </row>
    <row r="1870" customFormat="false" ht="15" hidden="false" customHeight="false" outlineLevel="0" collapsed="false">
      <c r="A1870" s="13"/>
      <c r="B1870" s="9"/>
      <c r="C1870" s="9"/>
      <c r="D1870" s="9"/>
      <c r="E1870" s="9"/>
      <c r="F1870" s="16" t="str">
        <f aca="false">IF(B1870="","",IF(COUNTIFS('PM Plan'!$A$5:$A$304,B1870,'PM Plan'!$B$5:$B$304,C1870)&gt;0,"OK","No matching asset + task in plan"))</f>
        <v/>
      </c>
    </row>
    <row r="1871" customFormat="false" ht="15" hidden="false" customHeight="false" outlineLevel="0" collapsed="false">
      <c r="A1871" s="13"/>
      <c r="B1871" s="9"/>
      <c r="C1871" s="9"/>
      <c r="D1871" s="9"/>
      <c r="E1871" s="9"/>
      <c r="F1871" s="16" t="str">
        <f aca="false">IF(B1871="","",IF(COUNTIFS('PM Plan'!$A$5:$A$304,B1871,'PM Plan'!$B$5:$B$304,C1871)&gt;0,"OK","No matching asset + task in plan"))</f>
        <v/>
      </c>
    </row>
    <row r="1872" customFormat="false" ht="15" hidden="false" customHeight="false" outlineLevel="0" collapsed="false">
      <c r="A1872" s="13"/>
      <c r="B1872" s="9"/>
      <c r="C1872" s="9"/>
      <c r="D1872" s="9"/>
      <c r="E1872" s="9"/>
      <c r="F1872" s="16" t="str">
        <f aca="false">IF(B1872="","",IF(COUNTIFS('PM Plan'!$A$5:$A$304,B1872,'PM Plan'!$B$5:$B$304,C1872)&gt;0,"OK","No matching asset + task in plan"))</f>
        <v/>
      </c>
    </row>
    <row r="1873" customFormat="false" ht="15" hidden="false" customHeight="false" outlineLevel="0" collapsed="false">
      <c r="A1873" s="13"/>
      <c r="B1873" s="9"/>
      <c r="C1873" s="9"/>
      <c r="D1873" s="9"/>
      <c r="E1873" s="9"/>
      <c r="F1873" s="16" t="str">
        <f aca="false">IF(B1873="","",IF(COUNTIFS('PM Plan'!$A$5:$A$304,B1873,'PM Plan'!$B$5:$B$304,C1873)&gt;0,"OK","No matching asset + task in plan"))</f>
        <v/>
      </c>
    </row>
    <row r="1874" customFormat="false" ht="15" hidden="false" customHeight="false" outlineLevel="0" collapsed="false">
      <c r="A1874" s="13"/>
      <c r="B1874" s="9"/>
      <c r="C1874" s="9"/>
      <c r="D1874" s="9"/>
      <c r="E1874" s="9"/>
      <c r="F1874" s="16" t="str">
        <f aca="false">IF(B1874="","",IF(COUNTIFS('PM Plan'!$A$5:$A$304,B1874,'PM Plan'!$B$5:$B$304,C1874)&gt;0,"OK","No matching asset + task in plan"))</f>
        <v/>
      </c>
    </row>
    <row r="1875" customFormat="false" ht="15" hidden="false" customHeight="false" outlineLevel="0" collapsed="false">
      <c r="A1875" s="13"/>
      <c r="B1875" s="9"/>
      <c r="C1875" s="9"/>
      <c r="D1875" s="9"/>
      <c r="E1875" s="9"/>
      <c r="F1875" s="16" t="str">
        <f aca="false">IF(B1875="","",IF(COUNTIFS('PM Plan'!$A$5:$A$304,B1875,'PM Plan'!$B$5:$B$304,C1875)&gt;0,"OK","No matching asset + task in plan"))</f>
        <v/>
      </c>
    </row>
    <row r="1876" customFormat="false" ht="15" hidden="false" customHeight="false" outlineLevel="0" collapsed="false">
      <c r="A1876" s="13"/>
      <c r="B1876" s="9"/>
      <c r="C1876" s="9"/>
      <c r="D1876" s="9"/>
      <c r="E1876" s="9"/>
      <c r="F1876" s="16" t="str">
        <f aca="false">IF(B1876="","",IF(COUNTIFS('PM Plan'!$A$5:$A$304,B1876,'PM Plan'!$B$5:$B$304,C1876)&gt;0,"OK","No matching asset + task in plan"))</f>
        <v/>
      </c>
    </row>
    <row r="1877" customFormat="false" ht="15" hidden="false" customHeight="false" outlineLevel="0" collapsed="false">
      <c r="A1877" s="13"/>
      <c r="B1877" s="9"/>
      <c r="C1877" s="9"/>
      <c r="D1877" s="9"/>
      <c r="E1877" s="9"/>
      <c r="F1877" s="16" t="str">
        <f aca="false">IF(B1877="","",IF(COUNTIFS('PM Plan'!$A$5:$A$304,B1877,'PM Plan'!$B$5:$B$304,C1877)&gt;0,"OK","No matching asset + task in plan"))</f>
        <v/>
      </c>
    </row>
    <row r="1878" customFormat="false" ht="15" hidden="false" customHeight="false" outlineLevel="0" collapsed="false">
      <c r="A1878" s="13"/>
      <c r="B1878" s="9"/>
      <c r="C1878" s="9"/>
      <c r="D1878" s="9"/>
      <c r="E1878" s="9"/>
      <c r="F1878" s="16" t="str">
        <f aca="false">IF(B1878="","",IF(COUNTIFS('PM Plan'!$A$5:$A$304,B1878,'PM Plan'!$B$5:$B$304,C1878)&gt;0,"OK","No matching asset + task in plan"))</f>
        <v/>
      </c>
    </row>
    <row r="1879" customFormat="false" ht="15" hidden="false" customHeight="false" outlineLevel="0" collapsed="false">
      <c r="A1879" s="13"/>
      <c r="B1879" s="9"/>
      <c r="C1879" s="9"/>
      <c r="D1879" s="9"/>
      <c r="E1879" s="9"/>
      <c r="F1879" s="16" t="str">
        <f aca="false">IF(B1879="","",IF(COUNTIFS('PM Plan'!$A$5:$A$304,B1879,'PM Plan'!$B$5:$B$304,C1879)&gt;0,"OK","No matching asset + task in plan"))</f>
        <v/>
      </c>
    </row>
    <row r="1880" customFormat="false" ht="15" hidden="false" customHeight="false" outlineLevel="0" collapsed="false">
      <c r="A1880" s="13"/>
      <c r="B1880" s="9"/>
      <c r="C1880" s="9"/>
      <c r="D1880" s="9"/>
      <c r="E1880" s="9"/>
      <c r="F1880" s="16" t="str">
        <f aca="false">IF(B1880="","",IF(COUNTIFS('PM Plan'!$A$5:$A$304,B1880,'PM Plan'!$B$5:$B$304,C1880)&gt;0,"OK","No matching asset + task in plan"))</f>
        <v/>
      </c>
    </row>
    <row r="1881" customFormat="false" ht="15" hidden="false" customHeight="false" outlineLevel="0" collapsed="false">
      <c r="A1881" s="13"/>
      <c r="B1881" s="9"/>
      <c r="C1881" s="9"/>
      <c r="D1881" s="9"/>
      <c r="E1881" s="9"/>
      <c r="F1881" s="16" t="str">
        <f aca="false">IF(B1881="","",IF(COUNTIFS('PM Plan'!$A$5:$A$304,B1881,'PM Plan'!$B$5:$B$304,C1881)&gt;0,"OK","No matching asset + task in plan"))</f>
        <v/>
      </c>
    </row>
    <row r="1882" customFormat="false" ht="15" hidden="false" customHeight="false" outlineLevel="0" collapsed="false">
      <c r="A1882" s="13"/>
      <c r="B1882" s="9"/>
      <c r="C1882" s="9"/>
      <c r="D1882" s="9"/>
      <c r="E1882" s="9"/>
      <c r="F1882" s="16" t="str">
        <f aca="false">IF(B1882="","",IF(COUNTIFS('PM Plan'!$A$5:$A$304,B1882,'PM Plan'!$B$5:$B$304,C1882)&gt;0,"OK","No matching asset + task in plan"))</f>
        <v/>
      </c>
    </row>
    <row r="1883" customFormat="false" ht="15" hidden="false" customHeight="false" outlineLevel="0" collapsed="false">
      <c r="A1883" s="13"/>
      <c r="B1883" s="9"/>
      <c r="C1883" s="9"/>
      <c r="D1883" s="9"/>
      <c r="E1883" s="9"/>
      <c r="F1883" s="16" t="str">
        <f aca="false">IF(B1883="","",IF(COUNTIFS('PM Plan'!$A$5:$A$304,B1883,'PM Plan'!$B$5:$B$304,C1883)&gt;0,"OK","No matching asset + task in plan"))</f>
        <v/>
      </c>
    </row>
    <row r="1884" customFormat="false" ht="15" hidden="false" customHeight="false" outlineLevel="0" collapsed="false">
      <c r="A1884" s="13"/>
      <c r="B1884" s="9"/>
      <c r="C1884" s="9"/>
      <c r="D1884" s="9"/>
      <c r="E1884" s="9"/>
      <c r="F1884" s="16" t="str">
        <f aca="false">IF(B1884="","",IF(COUNTIFS('PM Plan'!$A$5:$A$304,B1884,'PM Plan'!$B$5:$B$304,C1884)&gt;0,"OK","No matching asset + task in plan"))</f>
        <v/>
      </c>
    </row>
    <row r="1885" customFormat="false" ht="15" hidden="false" customHeight="false" outlineLevel="0" collapsed="false">
      <c r="A1885" s="13"/>
      <c r="B1885" s="9"/>
      <c r="C1885" s="9"/>
      <c r="D1885" s="9"/>
      <c r="E1885" s="9"/>
      <c r="F1885" s="16" t="str">
        <f aca="false">IF(B1885="","",IF(COUNTIFS('PM Plan'!$A$5:$A$304,B1885,'PM Plan'!$B$5:$B$304,C1885)&gt;0,"OK","No matching asset + task in plan"))</f>
        <v/>
      </c>
    </row>
    <row r="1886" customFormat="false" ht="15" hidden="false" customHeight="false" outlineLevel="0" collapsed="false">
      <c r="A1886" s="13"/>
      <c r="B1886" s="9"/>
      <c r="C1886" s="9"/>
      <c r="D1886" s="9"/>
      <c r="E1886" s="9"/>
      <c r="F1886" s="16" t="str">
        <f aca="false">IF(B1886="","",IF(COUNTIFS('PM Plan'!$A$5:$A$304,B1886,'PM Plan'!$B$5:$B$304,C1886)&gt;0,"OK","No matching asset + task in plan"))</f>
        <v/>
      </c>
    </row>
    <row r="1887" customFormat="false" ht="15" hidden="false" customHeight="false" outlineLevel="0" collapsed="false">
      <c r="A1887" s="13"/>
      <c r="B1887" s="9"/>
      <c r="C1887" s="9"/>
      <c r="D1887" s="9"/>
      <c r="E1887" s="9"/>
      <c r="F1887" s="16" t="str">
        <f aca="false">IF(B1887="","",IF(COUNTIFS('PM Plan'!$A$5:$A$304,B1887,'PM Plan'!$B$5:$B$304,C1887)&gt;0,"OK","No matching asset + task in plan"))</f>
        <v/>
      </c>
    </row>
    <row r="1888" customFormat="false" ht="15" hidden="false" customHeight="false" outlineLevel="0" collapsed="false">
      <c r="A1888" s="13"/>
      <c r="B1888" s="9"/>
      <c r="C1888" s="9"/>
      <c r="D1888" s="9"/>
      <c r="E1888" s="9"/>
      <c r="F1888" s="16" t="str">
        <f aca="false">IF(B1888="","",IF(COUNTIFS('PM Plan'!$A$5:$A$304,B1888,'PM Plan'!$B$5:$B$304,C1888)&gt;0,"OK","No matching asset + task in plan"))</f>
        <v/>
      </c>
    </row>
    <row r="1889" customFormat="false" ht="15" hidden="false" customHeight="false" outlineLevel="0" collapsed="false">
      <c r="A1889" s="13"/>
      <c r="B1889" s="9"/>
      <c r="C1889" s="9"/>
      <c r="D1889" s="9"/>
      <c r="E1889" s="9"/>
      <c r="F1889" s="16" t="str">
        <f aca="false">IF(B1889="","",IF(COUNTIFS('PM Plan'!$A$5:$A$304,B1889,'PM Plan'!$B$5:$B$304,C1889)&gt;0,"OK","No matching asset + task in plan"))</f>
        <v/>
      </c>
    </row>
    <row r="1890" customFormat="false" ht="15" hidden="false" customHeight="false" outlineLevel="0" collapsed="false">
      <c r="A1890" s="13"/>
      <c r="B1890" s="9"/>
      <c r="C1890" s="9"/>
      <c r="D1890" s="9"/>
      <c r="E1890" s="9"/>
      <c r="F1890" s="16" t="str">
        <f aca="false">IF(B1890="","",IF(COUNTIFS('PM Plan'!$A$5:$A$304,B1890,'PM Plan'!$B$5:$B$304,C1890)&gt;0,"OK","No matching asset + task in plan"))</f>
        <v/>
      </c>
    </row>
    <row r="1891" customFormat="false" ht="15" hidden="false" customHeight="false" outlineLevel="0" collapsed="false">
      <c r="A1891" s="13"/>
      <c r="B1891" s="9"/>
      <c r="C1891" s="9"/>
      <c r="D1891" s="9"/>
      <c r="E1891" s="9"/>
      <c r="F1891" s="16" t="str">
        <f aca="false">IF(B1891="","",IF(COUNTIFS('PM Plan'!$A$5:$A$304,B1891,'PM Plan'!$B$5:$B$304,C1891)&gt;0,"OK","No matching asset + task in plan"))</f>
        <v/>
      </c>
    </row>
    <row r="1892" customFormat="false" ht="15" hidden="false" customHeight="false" outlineLevel="0" collapsed="false">
      <c r="A1892" s="13"/>
      <c r="B1892" s="9"/>
      <c r="C1892" s="9"/>
      <c r="D1892" s="9"/>
      <c r="E1892" s="9"/>
      <c r="F1892" s="16" t="str">
        <f aca="false">IF(B1892="","",IF(COUNTIFS('PM Plan'!$A$5:$A$304,B1892,'PM Plan'!$B$5:$B$304,C1892)&gt;0,"OK","No matching asset + task in plan"))</f>
        <v/>
      </c>
    </row>
    <row r="1893" customFormat="false" ht="15" hidden="false" customHeight="false" outlineLevel="0" collapsed="false">
      <c r="A1893" s="13"/>
      <c r="B1893" s="9"/>
      <c r="C1893" s="9"/>
      <c r="D1893" s="9"/>
      <c r="E1893" s="9"/>
      <c r="F1893" s="16" t="str">
        <f aca="false">IF(B1893="","",IF(COUNTIFS('PM Plan'!$A$5:$A$304,B1893,'PM Plan'!$B$5:$B$304,C1893)&gt;0,"OK","No matching asset + task in plan"))</f>
        <v/>
      </c>
    </row>
    <row r="1894" customFormat="false" ht="15" hidden="false" customHeight="false" outlineLevel="0" collapsed="false">
      <c r="A1894" s="13"/>
      <c r="B1894" s="9"/>
      <c r="C1894" s="9"/>
      <c r="D1894" s="9"/>
      <c r="E1894" s="9"/>
      <c r="F1894" s="16" t="str">
        <f aca="false">IF(B1894="","",IF(COUNTIFS('PM Plan'!$A$5:$A$304,B1894,'PM Plan'!$B$5:$B$304,C1894)&gt;0,"OK","No matching asset + task in plan"))</f>
        <v/>
      </c>
    </row>
    <row r="1895" customFormat="false" ht="15" hidden="false" customHeight="false" outlineLevel="0" collapsed="false">
      <c r="A1895" s="13"/>
      <c r="B1895" s="9"/>
      <c r="C1895" s="9"/>
      <c r="D1895" s="9"/>
      <c r="E1895" s="9"/>
      <c r="F1895" s="16" t="str">
        <f aca="false">IF(B1895="","",IF(COUNTIFS('PM Plan'!$A$5:$A$304,B1895,'PM Plan'!$B$5:$B$304,C1895)&gt;0,"OK","No matching asset + task in plan"))</f>
        <v/>
      </c>
    </row>
    <row r="1896" customFormat="false" ht="15" hidden="false" customHeight="false" outlineLevel="0" collapsed="false">
      <c r="A1896" s="13"/>
      <c r="B1896" s="9"/>
      <c r="C1896" s="9"/>
      <c r="D1896" s="9"/>
      <c r="E1896" s="9"/>
      <c r="F1896" s="16" t="str">
        <f aca="false">IF(B1896="","",IF(COUNTIFS('PM Plan'!$A$5:$A$304,B1896,'PM Plan'!$B$5:$B$304,C1896)&gt;0,"OK","No matching asset + task in plan"))</f>
        <v/>
      </c>
    </row>
    <row r="1897" customFormat="false" ht="15" hidden="false" customHeight="false" outlineLevel="0" collapsed="false">
      <c r="A1897" s="13"/>
      <c r="B1897" s="9"/>
      <c r="C1897" s="9"/>
      <c r="D1897" s="9"/>
      <c r="E1897" s="9"/>
      <c r="F1897" s="16" t="str">
        <f aca="false">IF(B1897="","",IF(COUNTIFS('PM Plan'!$A$5:$A$304,B1897,'PM Plan'!$B$5:$B$304,C1897)&gt;0,"OK","No matching asset + task in plan"))</f>
        <v/>
      </c>
    </row>
    <row r="1898" customFormat="false" ht="15" hidden="false" customHeight="false" outlineLevel="0" collapsed="false">
      <c r="A1898" s="13"/>
      <c r="B1898" s="9"/>
      <c r="C1898" s="9"/>
      <c r="D1898" s="9"/>
      <c r="E1898" s="9"/>
      <c r="F1898" s="16" t="str">
        <f aca="false">IF(B1898="","",IF(COUNTIFS('PM Plan'!$A$5:$A$304,B1898,'PM Plan'!$B$5:$B$304,C1898)&gt;0,"OK","No matching asset + task in plan"))</f>
        <v/>
      </c>
    </row>
    <row r="1899" customFormat="false" ht="15" hidden="false" customHeight="false" outlineLevel="0" collapsed="false">
      <c r="A1899" s="13"/>
      <c r="B1899" s="9"/>
      <c r="C1899" s="9"/>
      <c r="D1899" s="9"/>
      <c r="E1899" s="9"/>
      <c r="F1899" s="16" t="str">
        <f aca="false">IF(B1899="","",IF(COUNTIFS('PM Plan'!$A$5:$A$304,B1899,'PM Plan'!$B$5:$B$304,C1899)&gt;0,"OK","No matching asset + task in plan"))</f>
        <v/>
      </c>
    </row>
    <row r="1900" customFormat="false" ht="15" hidden="false" customHeight="false" outlineLevel="0" collapsed="false">
      <c r="A1900" s="13"/>
      <c r="B1900" s="9"/>
      <c r="C1900" s="9"/>
      <c r="D1900" s="9"/>
      <c r="E1900" s="9"/>
      <c r="F1900" s="16" t="str">
        <f aca="false">IF(B1900="","",IF(COUNTIFS('PM Plan'!$A$5:$A$304,B1900,'PM Plan'!$B$5:$B$304,C1900)&gt;0,"OK","No matching asset + task in plan"))</f>
        <v/>
      </c>
    </row>
    <row r="1901" customFormat="false" ht="15" hidden="false" customHeight="false" outlineLevel="0" collapsed="false">
      <c r="A1901" s="13"/>
      <c r="B1901" s="9"/>
      <c r="C1901" s="9"/>
      <c r="D1901" s="9"/>
      <c r="E1901" s="9"/>
      <c r="F1901" s="16" t="str">
        <f aca="false">IF(B1901="","",IF(COUNTIFS('PM Plan'!$A$5:$A$304,B1901,'PM Plan'!$B$5:$B$304,C1901)&gt;0,"OK","No matching asset + task in plan"))</f>
        <v/>
      </c>
    </row>
    <row r="1902" customFormat="false" ht="15" hidden="false" customHeight="false" outlineLevel="0" collapsed="false">
      <c r="A1902" s="13"/>
      <c r="B1902" s="9"/>
      <c r="C1902" s="9"/>
      <c r="D1902" s="9"/>
      <c r="E1902" s="9"/>
      <c r="F1902" s="16" t="str">
        <f aca="false">IF(B1902="","",IF(COUNTIFS('PM Plan'!$A$5:$A$304,B1902,'PM Plan'!$B$5:$B$304,C1902)&gt;0,"OK","No matching asset + task in plan"))</f>
        <v/>
      </c>
    </row>
    <row r="1903" customFormat="false" ht="15" hidden="false" customHeight="false" outlineLevel="0" collapsed="false">
      <c r="A1903" s="13"/>
      <c r="B1903" s="9"/>
      <c r="C1903" s="9"/>
      <c r="D1903" s="9"/>
      <c r="E1903" s="9"/>
      <c r="F1903" s="16" t="str">
        <f aca="false">IF(B1903="","",IF(COUNTIFS('PM Plan'!$A$5:$A$304,B1903,'PM Plan'!$B$5:$B$304,C1903)&gt;0,"OK","No matching asset + task in plan"))</f>
        <v/>
      </c>
    </row>
    <row r="1904" customFormat="false" ht="15" hidden="false" customHeight="false" outlineLevel="0" collapsed="false">
      <c r="A1904" s="13"/>
      <c r="B1904" s="9"/>
      <c r="C1904" s="9"/>
      <c r="D1904" s="9"/>
      <c r="E1904" s="9"/>
      <c r="F1904" s="16" t="str">
        <f aca="false">IF(B1904="","",IF(COUNTIFS('PM Plan'!$A$5:$A$304,B1904,'PM Plan'!$B$5:$B$304,C1904)&gt;0,"OK","No matching asset + task in plan"))</f>
        <v/>
      </c>
    </row>
    <row r="1905" customFormat="false" ht="15" hidden="false" customHeight="false" outlineLevel="0" collapsed="false">
      <c r="A1905" s="13"/>
      <c r="B1905" s="9"/>
      <c r="C1905" s="9"/>
      <c r="D1905" s="9"/>
      <c r="E1905" s="9"/>
      <c r="F1905" s="16" t="str">
        <f aca="false">IF(B1905="","",IF(COUNTIFS('PM Plan'!$A$5:$A$304,B1905,'PM Plan'!$B$5:$B$304,C1905)&gt;0,"OK","No matching asset + task in plan"))</f>
        <v/>
      </c>
    </row>
    <row r="1906" customFormat="false" ht="15" hidden="false" customHeight="false" outlineLevel="0" collapsed="false">
      <c r="A1906" s="13"/>
      <c r="B1906" s="9"/>
      <c r="C1906" s="9"/>
      <c r="D1906" s="9"/>
      <c r="E1906" s="9"/>
      <c r="F1906" s="16" t="str">
        <f aca="false">IF(B1906="","",IF(COUNTIFS('PM Plan'!$A$5:$A$304,B1906,'PM Plan'!$B$5:$B$304,C1906)&gt;0,"OK","No matching asset + task in plan"))</f>
        <v/>
      </c>
    </row>
    <row r="1907" customFormat="false" ht="15" hidden="false" customHeight="false" outlineLevel="0" collapsed="false">
      <c r="A1907" s="13"/>
      <c r="B1907" s="9"/>
      <c r="C1907" s="9"/>
      <c r="D1907" s="9"/>
      <c r="E1907" s="9"/>
      <c r="F1907" s="16" t="str">
        <f aca="false">IF(B1907="","",IF(COUNTIFS('PM Plan'!$A$5:$A$304,B1907,'PM Plan'!$B$5:$B$304,C1907)&gt;0,"OK","No matching asset + task in plan"))</f>
        <v/>
      </c>
    </row>
    <row r="1908" customFormat="false" ht="15" hidden="false" customHeight="false" outlineLevel="0" collapsed="false">
      <c r="A1908" s="13"/>
      <c r="B1908" s="9"/>
      <c r="C1908" s="9"/>
      <c r="D1908" s="9"/>
      <c r="E1908" s="9"/>
      <c r="F1908" s="16" t="str">
        <f aca="false">IF(B1908="","",IF(COUNTIFS('PM Plan'!$A$5:$A$304,B1908,'PM Plan'!$B$5:$B$304,C1908)&gt;0,"OK","No matching asset + task in plan"))</f>
        <v/>
      </c>
    </row>
    <row r="1909" customFormat="false" ht="15" hidden="false" customHeight="false" outlineLevel="0" collapsed="false">
      <c r="A1909" s="13"/>
      <c r="B1909" s="9"/>
      <c r="C1909" s="9"/>
      <c r="D1909" s="9"/>
      <c r="E1909" s="9"/>
      <c r="F1909" s="16" t="str">
        <f aca="false">IF(B1909="","",IF(COUNTIFS('PM Plan'!$A$5:$A$304,B1909,'PM Plan'!$B$5:$B$304,C1909)&gt;0,"OK","No matching asset + task in plan"))</f>
        <v/>
      </c>
    </row>
    <row r="1910" customFormat="false" ht="15" hidden="false" customHeight="false" outlineLevel="0" collapsed="false">
      <c r="A1910" s="13"/>
      <c r="B1910" s="9"/>
      <c r="C1910" s="9"/>
      <c r="D1910" s="9"/>
      <c r="E1910" s="9"/>
      <c r="F1910" s="16" t="str">
        <f aca="false">IF(B1910="","",IF(COUNTIFS('PM Plan'!$A$5:$A$304,B1910,'PM Plan'!$B$5:$B$304,C1910)&gt;0,"OK","No matching asset + task in plan"))</f>
        <v/>
      </c>
    </row>
    <row r="1911" customFormat="false" ht="15" hidden="false" customHeight="false" outlineLevel="0" collapsed="false">
      <c r="A1911" s="13"/>
      <c r="B1911" s="9"/>
      <c r="C1911" s="9"/>
      <c r="D1911" s="9"/>
      <c r="E1911" s="9"/>
      <c r="F1911" s="16" t="str">
        <f aca="false">IF(B1911="","",IF(COUNTIFS('PM Plan'!$A$5:$A$304,B1911,'PM Plan'!$B$5:$B$304,C1911)&gt;0,"OK","No matching asset + task in plan"))</f>
        <v/>
      </c>
    </row>
    <row r="1912" customFormat="false" ht="15" hidden="false" customHeight="false" outlineLevel="0" collapsed="false">
      <c r="A1912" s="13"/>
      <c r="B1912" s="9"/>
      <c r="C1912" s="9"/>
      <c r="D1912" s="9"/>
      <c r="E1912" s="9"/>
      <c r="F1912" s="16" t="str">
        <f aca="false">IF(B1912="","",IF(COUNTIFS('PM Plan'!$A$5:$A$304,B1912,'PM Plan'!$B$5:$B$304,C1912)&gt;0,"OK","No matching asset + task in plan"))</f>
        <v/>
      </c>
    </row>
    <row r="1913" customFormat="false" ht="15" hidden="false" customHeight="false" outlineLevel="0" collapsed="false">
      <c r="A1913" s="13"/>
      <c r="B1913" s="9"/>
      <c r="C1913" s="9"/>
      <c r="D1913" s="9"/>
      <c r="E1913" s="9"/>
      <c r="F1913" s="16" t="str">
        <f aca="false">IF(B1913="","",IF(COUNTIFS('PM Plan'!$A$5:$A$304,B1913,'PM Plan'!$B$5:$B$304,C1913)&gt;0,"OK","No matching asset + task in plan"))</f>
        <v/>
      </c>
    </row>
    <row r="1914" customFormat="false" ht="15" hidden="false" customHeight="false" outlineLevel="0" collapsed="false">
      <c r="A1914" s="13"/>
      <c r="B1914" s="9"/>
      <c r="C1914" s="9"/>
      <c r="D1914" s="9"/>
      <c r="E1914" s="9"/>
      <c r="F1914" s="16" t="str">
        <f aca="false">IF(B1914="","",IF(COUNTIFS('PM Plan'!$A$5:$A$304,B1914,'PM Plan'!$B$5:$B$304,C1914)&gt;0,"OK","No matching asset + task in plan"))</f>
        <v/>
      </c>
    </row>
    <row r="1915" customFormat="false" ht="15" hidden="false" customHeight="false" outlineLevel="0" collapsed="false">
      <c r="A1915" s="13"/>
      <c r="B1915" s="9"/>
      <c r="C1915" s="9"/>
      <c r="D1915" s="9"/>
      <c r="E1915" s="9"/>
      <c r="F1915" s="16" t="str">
        <f aca="false">IF(B1915="","",IF(COUNTIFS('PM Plan'!$A$5:$A$304,B1915,'PM Plan'!$B$5:$B$304,C1915)&gt;0,"OK","No matching asset + task in plan"))</f>
        <v/>
      </c>
    </row>
    <row r="1916" customFormat="false" ht="15" hidden="false" customHeight="false" outlineLevel="0" collapsed="false">
      <c r="A1916" s="13"/>
      <c r="B1916" s="9"/>
      <c r="C1916" s="9"/>
      <c r="D1916" s="9"/>
      <c r="E1916" s="9"/>
      <c r="F1916" s="16" t="str">
        <f aca="false">IF(B1916="","",IF(COUNTIFS('PM Plan'!$A$5:$A$304,B1916,'PM Plan'!$B$5:$B$304,C1916)&gt;0,"OK","No matching asset + task in plan"))</f>
        <v/>
      </c>
    </row>
    <row r="1917" customFormat="false" ht="15" hidden="false" customHeight="false" outlineLevel="0" collapsed="false">
      <c r="A1917" s="13"/>
      <c r="B1917" s="9"/>
      <c r="C1917" s="9"/>
      <c r="D1917" s="9"/>
      <c r="E1917" s="9"/>
      <c r="F1917" s="16" t="str">
        <f aca="false">IF(B1917="","",IF(COUNTIFS('PM Plan'!$A$5:$A$304,B1917,'PM Plan'!$B$5:$B$304,C1917)&gt;0,"OK","No matching asset + task in plan"))</f>
        <v/>
      </c>
    </row>
    <row r="1918" customFormat="false" ht="15" hidden="false" customHeight="false" outlineLevel="0" collapsed="false">
      <c r="A1918" s="13"/>
      <c r="B1918" s="9"/>
      <c r="C1918" s="9"/>
      <c r="D1918" s="9"/>
      <c r="E1918" s="9"/>
      <c r="F1918" s="16" t="str">
        <f aca="false">IF(B1918="","",IF(COUNTIFS('PM Plan'!$A$5:$A$304,B1918,'PM Plan'!$B$5:$B$304,C1918)&gt;0,"OK","No matching asset + task in plan"))</f>
        <v/>
      </c>
    </row>
    <row r="1919" customFormat="false" ht="15" hidden="false" customHeight="false" outlineLevel="0" collapsed="false">
      <c r="A1919" s="13"/>
      <c r="B1919" s="9"/>
      <c r="C1919" s="9"/>
      <c r="D1919" s="9"/>
      <c r="E1919" s="9"/>
      <c r="F1919" s="16" t="str">
        <f aca="false">IF(B1919="","",IF(COUNTIFS('PM Plan'!$A$5:$A$304,B1919,'PM Plan'!$B$5:$B$304,C1919)&gt;0,"OK","No matching asset + task in plan"))</f>
        <v/>
      </c>
    </row>
    <row r="1920" customFormat="false" ht="15" hidden="false" customHeight="false" outlineLevel="0" collapsed="false">
      <c r="A1920" s="13"/>
      <c r="B1920" s="9"/>
      <c r="C1920" s="9"/>
      <c r="D1920" s="9"/>
      <c r="E1920" s="9"/>
      <c r="F1920" s="16" t="str">
        <f aca="false">IF(B1920="","",IF(COUNTIFS('PM Plan'!$A$5:$A$304,B1920,'PM Plan'!$B$5:$B$304,C1920)&gt;0,"OK","No matching asset + task in plan"))</f>
        <v/>
      </c>
    </row>
    <row r="1921" customFormat="false" ht="15" hidden="false" customHeight="false" outlineLevel="0" collapsed="false">
      <c r="A1921" s="13"/>
      <c r="B1921" s="9"/>
      <c r="C1921" s="9"/>
      <c r="D1921" s="9"/>
      <c r="E1921" s="9"/>
      <c r="F1921" s="16" t="str">
        <f aca="false">IF(B1921="","",IF(COUNTIFS('PM Plan'!$A$5:$A$304,B1921,'PM Plan'!$B$5:$B$304,C1921)&gt;0,"OK","No matching asset + task in plan"))</f>
        <v/>
      </c>
    </row>
    <row r="1922" customFormat="false" ht="15" hidden="false" customHeight="false" outlineLevel="0" collapsed="false">
      <c r="A1922" s="13"/>
      <c r="B1922" s="9"/>
      <c r="C1922" s="9"/>
      <c r="D1922" s="9"/>
      <c r="E1922" s="9"/>
      <c r="F1922" s="16" t="str">
        <f aca="false">IF(B1922="","",IF(COUNTIFS('PM Plan'!$A$5:$A$304,B1922,'PM Plan'!$B$5:$B$304,C1922)&gt;0,"OK","No matching asset + task in plan"))</f>
        <v/>
      </c>
    </row>
    <row r="1923" customFormat="false" ht="15" hidden="false" customHeight="false" outlineLevel="0" collapsed="false">
      <c r="A1923" s="13"/>
      <c r="B1923" s="9"/>
      <c r="C1923" s="9"/>
      <c r="D1923" s="9"/>
      <c r="E1923" s="9"/>
      <c r="F1923" s="16" t="str">
        <f aca="false">IF(B1923="","",IF(COUNTIFS('PM Plan'!$A$5:$A$304,B1923,'PM Plan'!$B$5:$B$304,C1923)&gt;0,"OK","No matching asset + task in plan"))</f>
        <v/>
      </c>
    </row>
    <row r="1924" customFormat="false" ht="15" hidden="false" customHeight="false" outlineLevel="0" collapsed="false">
      <c r="A1924" s="13"/>
      <c r="B1924" s="9"/>
      <c r="C1924" s="9"/>
      <c r="D1924" s="9"/>
      <c r="E1924" s="9"/>
      <c r="F1924" s="16" t="str">
        <f aca="false">IF(B1924="","",IF(COUNTIFS('PM Plan'!$A$5:$A$304,B1924,'PM Plan'!$B$5:$B$304,C1924)&gt;0,"OK","No matching asset + task in plan"))</f>
        <v/>
      </c>
    </row>
    <row r="1925" customFormat="false" ht="15" hidden="false" customHeight="false" outlineLevel="0" collapsed="false">
      <c r="A1925" s="13"/>
      <c r="B1925" s="9"/>
      <c r="C1925" s="9"/>
      <c r="D1925" s="9"/>
      <c r="E1925" s="9"/>
      <c r="F1925" s="16" t="str">
        <f aca="false">IF(B1925="","",IF(COUNTIFS('PM Plan'!$A$5:$A$304,B1925,'PM Plan'!$B$5:$B$304,C1925)&gt;0,"OK","No matching asset + task in plan"))</f>
        <v/>
      </c>
    </row>
    <row r="1926" customFormat="false" ht="15" hidden="false" customHeight="false" outlineLevel="0" collapsed="false">
      <c r="A1926" s="13"/>
      <c r="B1926" s="9"/>
      <c r="C1926" s="9"/>
      <c r="D1926" s="9"/>
      <c r="E1926" s="9"/>
      <c r="F1926" s="16" t="str">
        <f aca="false">IF(B1926="","",IF(COUNTIFS('PM Plan'!$A$5:$A$304,B1926,'PM Plan'!$B$5:$B$304,C1926)&gt;0,"OK","No matching asset + task in plan"))</f>
        <v/>
      </c>
    </row>
    <row r="1927" customFormat="false" ht="15" hidden="false" customHeight="false" outlineLevel="0" collapsed="false">
      <c r="A1927" s="13"/>
      <c r="B1927" s="9"/>
      <c r="C1927" s="9"/>
      <c r="D1927" s="9"/>
      <c r="E1927" s="9"/>
      <c r="F1927" s="16" t="str">
        <f aca="false">IF(B1927="","",IF(COUNTIFS('PM Plan'!$A$5:$A$304,B1927,'PM Plan'!$B$5:$B$304,C1927)&gt;0,"OK","No matching asset + task in plan"))</f>
        <v/>
      </c>
    </row>
    <row r="1928" customFormat="false" ht="15" hidden="false" customHeight="false" outlineLevel="0" collapsed="false">
      <c r="A1928" s="13"/>
      <c r="B1928" s="9"/>
      <c r="C1928" s="9"/>
      <c r="D1928" s="9"/>
      <c r="E1928" s="9"/>
      <c r="F1928" s="16" t="str">
        <f aca="false">IF(B1928="","",IF(COUNTIFS('PM Plan'!$A$5:$A$304,B1928,'PM Plan'!$B$5:$B$304,C1928)&gt;0,"OK","No matching asset + task in plan"))</f>
        <v/>
      </c>
    </row>
    <row r="1929" customFormat="false" ht="15" hidden="false" customHeight="false" outlineLevel="0" collapsed="false">
      <c r="A1929" s="13"/>
      <c r="B1929" s="9"/>
      <c r="C1929" s="9"/>
      <c r="D1929" s="9"/>
      <c r="E1929" s="9"/>
      <c r="F1929" s="16" t="str">
        <f aca="false">IF(B1929="","",IF(COUNTIFS('PM Plan'!$A$5:$A$304,B1929,'PM Plan'!$B$5:$B$304,C1929)&gt;0,"OK","No matching asset + task in plan"))</f>
        <v/>
      </c>
    </row>
    <row r="1930" customFormat="false" ht="15" hidden="false" customHeight="false" outlineLevel="0" collapsed="false">
      <c r="A1930" s="13"/>
      <c r="B1930" s="9"/>
      <c r="C1930" s="9"/>
      <c r="D1930" s="9"/>
      <c r="E1930" s="9"/>
      <c r="F1930" s="16" t="str">
        <f aca="false">IF(B1930="","",IF(COUNTIFS('PM Plan'!$A$5:$A$304,B1930,'PM Plan'!$B$5:$B$304,C1930)&gt;0,"OK","No matching asset + task in plan"))</f>
        <v/>
      </c>
    </row>
    <row r="1931" customFormat="false" ht="15" hidden="false" customHeight="false" outlineLevel="0" collapsed="false">
      <c r="A1931" s="13"/>
      <c r="B1931" s="9"/>
      <c r="C1931" s="9"/>
      <c r="D1931" s="9"/>
      <c r="E1931" s="9"/>
      <c r="F1931" s="16" t="str">
        <f aca="false">IF(B1931="","",IF(COUNTIFS('PM Plan'!$A$5:$A$304,B1931,'PM Plan'!$B$5:$B$304,C1931)&gt;0,"OK","No matching asset + task in plan"))</f>
        <v/>
      </c>
    </row>
    <row r="1932" customFormat="false" ht="15" hidden="false" customHeight="false" outlineLevel="0" collapsed="false">
      <c r="A1932" s="13"/>
      <c r="B1932" s="9"/>
      <c r="C1932" s="9"/>
      <c r="D1932" s="9"/>
      <c r="E1932" s="9"/>
      <c r="F1932" s="16" t="str">
        <f aca="false">IF(B1932="","",IF(COUNTIFS('PM Plan'!$A$5:$A$304,B1932,'PM Plan'!$B$5:$B$304,C1932)&gt;0,"OK","No matching asset + task in plan"))</f>
        <v/>
      </c>
    </row>
    <row r="1933" customFormat="false" ht="15" hidden="false" customHeight="false" outlineLevel="0" collapsed="false">
      <c r="A1933" s="13"/>
      <c r="B1933" s="9"/>
      <c r="C1933" s="9"/>
      <c r="D1933" s="9"/>
      <c r="E1933" s="9"/>
      <c r="F1933" s="16" t="str">
        <f aca="false">IF(B1933="","",IF(COUNTIFS('PM Plan'!$A$5:$A$304,B1933,'PM Plan'!$B$5:$B$304,C1933)&gt;0,"OK","No matching asset + task in plan"))</f>
        <v/>
      </c>
    </row>
    <row r="1934" customFormat="false" ht="15" hidden="false" customHeight="false" outlineLevel="0" collapsed="false">
      <c r="A1934" s="13"/>
      <c r="B1934" s="9"/>
      <c r="C1934" s="9"/>
      <c r="D1934" s="9"/>
      <c r="E1934" s="9"/>
      <c r="F1934" s="16" t="str">
        <f aca="false">IF(B1934="","",IF(COUNTIFS('PM Plan'!$A$5:$A$304,B1934,'PM Plan'!$B$5:$B$304,C1934)&gt;0,"OK","No matching asset + task in plan"))</f>
        <v/>
      </c>
    </row>
    <row r="1935" customFormat="false" ht="15" hidden="false" customHeight="false" outlineLevel="0" collapsed="false">
      <c r="A1935" s="13"/>
      <c r="B1935" s="9"/>
      <c r="C1935" s="9"/>
      <c r="D1935" s="9"/>
      <c r="E1935" s="9"/>
      <c r="F1935" s="16" t="str">
        <f aca="false">IF(B1935="","",IF(COUNTIFS('PM Plan'!$A$5:$A$304,B1935,'PM Plan'!$B$5:$B$304,C1935)&gt;0,"OK","No matching asset + task in plan"))</f>
        <v/>
      </c>
    </row>
    <row r="1936" customFormat="false" ht="15" hidden="false" customHeight="false" outlineLevel="0" collapsed="false">
      <c r="A1936" s="13"/>
      <c r="B1936" s="9"/>
      <c r="C1936" s="9"/>
      <c r="D1936" s="9"/>
      <c r="E1936" s="9"/>
      <c r="F1936" s="16" t="str">
        <f aca="false">IF(B1936="","",IF(COUNTIFS('PM Plan'!$A$5:$A$304,B1936,'PM Plan'!$B$5:$B$304,C1936)&gt;0,"OK","No matching asset + task in plan"))</f>
        <v/>
      </c>
    </row>
    <row r="1937" customFormat="false" ht="15" hidden="false" customHeight="false" outlineLevel="0" collapsed="false">
      <c r="A1937" s="13"/>
      <c r="B1937" s="9"/>
      <c r="C1937" s="9"/>
      <c r="D1937" s="9"/>
      <c r="E1937" s="9"/>
      <c r="F1937" s="16" t="str">
        <f aca="false">IF(B1937="","",IF(COUNTIFS('PM Plan'!$A$5:$A$304,B1937,'PM Plan'!$B$5:$B$304,C1937)&gt;0,"OK","No matching asset + task in plan"))</f>
        <v/>
      </c>
    </row>
    <row r="1938" customFormat="false" ht="15" hidden="false" customHeight="false" outlineLevel="0" collapsed="false">
      <c r="A1938" s="13"/>
      <c r="B1938" s="9"/>
      <c r="C1938" s="9"/>
      <c r="D1938" s="9"/>
      <c r="E1938" s="9"/>
      <c r="F1938" s="16" t="str">
        <f aca="false">IF(B1938="","",IF(COUNTIFS('PM Plan'!$A$5:$A$304,B1938,'PM Plan'!$B$5:$B$304,C1938)&gt;0,"OK","No matching asset + task in plan"))</f>
        <v/>
      </c>
    </row>
    <row r="1939" customFormat="false" ht="15" hidden="false" customHeight="false" outlineLevel="0" collapsed="false">
      <c r="A1939" s="13"/>
      <c r="B1939" s="9"/>
      <c r="C1939" s="9"/>
      <c r="D1939" s="9"/>
      <c r="E1939" s="9"/>
      <c r="F1939" s="16" t="str">
        <f aca="false">IF(B1939="","",IF(COUNTIFS('PM Plan'!$A$5:$A$304,B1939,'PM Plan'!$B$5:$B$304,C1939)&gt;0,"OK","No matching asset + task in plan"))</f>
        <v/>
      </c>
    </row>
    <row r="1940" customFormat="false" ht="15" hidden="false" customHeight="false" outlineLevel="0" collapsed="false">
      <c r="A1940" s="13"/>
      <c r="B1940" s="9"/>
      <c r="C1940" s="9"/>
      <c r="D1940" s="9"/>
      <c r="E1940" s="9"/>
      <c r="F1940" s="16" t="str">
        <f aca="false">IF(B1940="","",IF(COUNTIFS('PM Plan'!$A$5:$A$304,B1940,'PM Plan'!$B$5:$B$304,C1940)&gt;0,"OK","No matching asset + task in plan"))</f>
        <v/>
      </c>
    </row>
    <row r="1941" customFormat="false" ht="15" hidden="false" customHeight="false" outlineLevel="0" collapsed="false">
      <c r="A1941" s="13"/>
      <c r="B1941" s="9"/>
      <c r="C1941" s="9"/>
      <c r="D1941" s="9"/>
      <c r="E1941" s="9"/>
      <c r="F1941" s="16" t="str">
        <f aca="false">IF(B1941="","",IF(COUNTIFS('PM Plan'!$A$5:$A$304,B1941,'PM Plan'!$B$5:$B$304,C1941)&gt;0,"OK","No matching asset + task in plan"))</f>
        <v/>
      </c>
    </row>
    <row r="1942" customFormat="false" ht="15" hidden="false" customHeight="false" outlineLevel="0" collapsed="false">
      <c r="A1942" s="13"/>
      <c r="B1942" s="9"/>
      <c r="C1942" s="9"/>
      <c r="D1942" s="9"/>
      <c r="E1942" s="9"/>
      <c r="F1942" s="16" t="str">
        <f aca="false">IF(B1942="","",IF(COUNTIFS('PM Plan'!$A$5:$A$304,B1942,'PM Plan'!$B$5:$B$304,C1942)&gt;0,"OK","No matching asset + task in plan"))</f>
        <v/>
      </c>
    </row>
    <row r="1943" customFormat="false" ht="15" hidden="false" customHeight="false" outlineLevel="0" collapsed="false">
      <c r="A1943" s="13"/>
      <c r="B1943" s="9"/>
      <c r="C1943" s="9"/>
      <c r="D1943" s="9"/>
      <c r="E1943" s="9"/>
      <c r="F1943" s="16" t="str">
        <f aca="false">IF(B1943="","",IF(COUNTIFS('PM Plan'!$A$5:$A$304,B1943,'PM Plan'!$B$5:$B$304,C1943)&gt;0,"OK","No matching asset + task in plan"))</f>
        <v/>
      </c>
    </row>
    <row r="1944" customFormat="false" ht="15" hidden="false" customHeight="false" outlineLevel="0" collapsed="false">
      <c r="A1944" s="13"/>
      <c r="B1944" s="9"/>
      <c r="C1944" s="9"/>
      <c r="D1944" s="9"/>
      <c r="E1944" s="9"/>
      <c r="F1944" s="16" t="str">
        <f aca="false">IF(B1944="","",IF(COUNTIFS('PM Plan'!$A$5:$A$304,B1944,'PM Plan'!$B$5:$B$304,C1944)&gt;0,"OK","No matching asset + task in plan"))</f>
        <v/>
      </c>
    </row>
    <row r="1945" customFormat="false" ht="15" hidden="false" customHeight="false" outlineLevel="0" collapsed="false">
      <c r="A1945" s="13"/>
      <c r="B1945" s="9"/>
      <c r="C1945" s="9"/>
      <c r="D1945" s="9"/>
      <c r="E1945" s="9"/>
      <c r="F1945" s="16" t="str">
        <f aca="false">IF(B1945="","",IF(COUNTIFS('PM Plan'!$A$5:$A$304,B1945,'PM Plan'!$B$5:$B$304,C1945)&gt;0,"OK","No matching asset + task in plan"))</f>
        <v/>
      </c>
    </row>
    <row r="1946" customFormat="false" ht="15" hidden="false" customHeight="false" outlineLevel="0" collapsed="false">
      <c r="A1946" s="13"/>
      <c r="B1946" s="9"/>
      <c r="C1946" s="9"/>
      <c r="D1946" s="9"/>
      <c r="E1946" s="9"/>
      <c r="F1946" s="16" t="str">
        <f aca="false">IF(B1946="","",IF(COUNTIFS('PM Plan'!$A$5:$A$304,B1946,'PM Plan'!$B$5:$B$304,C1946)&gt;0,"OK","No matching asset + task in plan"))</f>
        <v/>
      </c>
    </row>
    <row r="1947" customFormat="false" ht="15" hidden="false" customHeight="false" outlineLevel="0" collapsed="false">
      <c r="A1947" s="13"/>
      <c r="B1947" s="9"/>
      <c r="C1947" s="9"/>
      <c r="D1947" s="9"/>
      <c r="E1947" s="9"/>
      <c r="F1947" s="16" t="str">
        <f aca="false">IF(B1947="","",IF(COUNTIFS('PM Plan'!$A$5:$A$304,B1947,'PM Plan'!$B$5:$B$304,C1947)&gt;0,"OK","No matching asset + task in plan"))</f>
        <v/>
      </c>
    </row>
    <row r="1948" customFormat="false" ht="15" hidden="false" customHeight="false" outlineLevel="0" collapsed="false">
      <c r="A1948" s="13"/>
      <c r="B1948" s="9"/>
      <c r="C1948" s="9"/>
      <c r="D1948" s="9"/>
      <c r="E1948" s="9"/>
      <c r="F1948" s="16" t="str">
        <f aca="false">IF(B1948="","",IF(COUNTIFS('PM Plan'!$A$5:$A$304,B1948,'PM Plan'!$B$5:$B$304,C1948)&gt;0,"OK","No matching asset + task in plan"))</f>
        <v/>
      </c>
    </row>
    <row r="1949" customFormat="false" ht="15" hidden="false" customHeight="false" outlineLevel="0" collapsed="false">
      <c r="A1949" s="13"/>
      <c r="B1949" s="9"/>
      <c r="C1949" s="9"/>
      <c r="D1949" s="9"/>
      <c r="E1949" s="9"/>
      <c r="F1949" s="16" t="str">
        <f aca="false">IF(B1949="","",IF(COUNTIFS('PM Plan'!$A$5:$A$304,B1949,'PM Plan'!$B$5:$B$304,C1949)&gt;0,"OK","No matching asset + task in plan"))</f>
        <v/>
      </c>
    </row>
    <row r="1950" customFormat="false" ht="15" hidden="false" customHeight="false" outlineLevel="0" collapsed="false">
      <c r="A1950" s="13"/>
      <c r="B1950" s="9"/>
      <c r="C1950" s="9"/>
      <c r="D1950" s="9"/>
      <c r="E1950" s="9"/>
      <c r="F1950" s="16" t="str">
        <f aca="false">IF(B1950="","",IF(COUNTIFS('PM Plan'!$A$5:$A$304,B1950,'PM Plan'!$B$5:$B$304,C1950)&gt;0,"OK","No matching asset + task in plan"))</f>
        <v/>
      </c>
    </row>
    <row r="1951" customFormat="false" ht="15" hidden="false" customHeight="false" outlineLevel="0" collapsed="false">
      <c r="A1951" s="13"/>
      <c r="B1951" s="9"/>
      <c r="C1951" s="9"/>
      <c r="D1951" s="9"/>
      <c r="E1951" s="9"/>
      <c r="F1951" s="16" t="str">
        <f aca="false">IF(B1951="","",IF(COUNTIFS('PM Plan'!$A$5:$A$304,B1951,'PM Plan'!$B$5:$B$304,C1951)&gt;0,"OK","No matching asset + task in plan"))</f>
        <v/>
      </c>
    </row>
    <row r="1952" customFormat="false" ht="15" hidden="false" customHeight="false" outlineLevel="0" collapsed="false">
      <c r="A1952" s="13"/>
      <c r="B1952" s="9"/>
      <c r="C1952" s="9"/>
      <c r="D1952" s="9"/>
      <c r="E1952" s="9"/>
      <c r="F1952" s="16" t="str">
        <f aca="false">IF(B1952="","",IF(COUNTIFS('PM Plan'!$A$5:$A$304,B1952,'PM Plan'!$B$5:$B$304,C1952)&gt;0,"OK","No matching asset + task in plan"))</f>
        <v/>
      </c>
    </row>
    <row r="1953" customFormat="false" ht="15" hidden="false" customHeight="false" outlineLevel="0" collapsed="false">
      <c r="A1953" s="13"/>
      <c r="B1953" s="9"/>
      <c r="C1953" s="9"/>
      <c r="D1953" s="9"/>
      <c r="E1953" s="9"/>
      <c r="F1953" s="16" t="str">
        <f aca="false">IF(B1953="","",IF(COUNTIFS('PM Plan'!$A$5:$A$304,B1953,'PM Plan'!$B$5:$B$304,C1953)&gt;0,"OK","No matching asset + task in plan"))</f>
        <v/>
      </c>
    </row>
    <row r="1954" customFormat="false" ht="15" hidden="false" customHeight="false" outlineLevel="0" collapsed="false">
      <c r="A1954" s="13"/>
      <c r="B1954" s="9"/>
      <c r="C1954" s="9"/>
      <c r="D1954" s="9"/>
      <c r="E1954" s="9"/>
      <c r="F1954" s="16" t="str">
        <f aca="false">IF(B1954="","",IF(COUNTIFS('PM Plan'!$A$5:$A$304,B1954,'PM Plan'!$B$5:$B$304,C1954)&gt;0,"OK","No matching asset + task in plan"))</f>
        <v/>
      </c>
    </row>
    <row r="1955" customFormat="false" ht="15" hidden="false" customHeight="false" outlineLevel="0" collapsed="false">
      <c r="A1955" s="13"/>
      <c r="B1955" s="9"/>
      <c r="C1955" s="9"/>
      <c r="D1955" s="9"/>
      <c r="E1955" s="9"/>
      <c r="F1955" s="16" t="str">
        <f aca="false">IF(B1955="","",IF(COUNTIFS('PM Plan'!$A$5:$A$304,B1955,'PM Plan'!$B$5:$B$304,C1955)&gt;0,"OK","No matching asset + task in plan"))</f>
        <v/>
      </c>
    </row>
    <row r="1956" customFormat="false" ht="15" hidden="false" customHeight="false" outlineLevel="0" collapsed="false">
      <c r="A1956" s="13"/>
      <c r="B1956" s="9"/>
      <c r="C1956" s="9"/>
      <c r="D1956" s="9"/>
      <c r="E1956" s="9"/>
      <c r="F1956" s="16" t="str">
        <f aca="false">IF(B1956="","",IF(COUNTIFS('PM Plan'!$A$5:$A$304,B1956,'PM Plan'!$B$5:$B$304,C1956)&gt;0,"OK","No matching asset + task in plan"))</f>
        <v/>
      </c>
    </row>
    <row r="1957" customFormat="false" ht="15" hidden="false" customHeight="false" outlineLevel="0" collapsed="false">
      <c r="A1957" s="13"/>
      <c r="B1957" s="9"/>
      <c r="C1957" s="9"/>
      <c r="D1957" s="9"/>
      <c r="E1957" s="9"/>
      <c r="F1957" s="16" t="str">
        <f aca="false">IF(B1957="","",IF(COUNTIFS('PM Plan'!$A$5:$A$304,B1957,'PM Plan'!$B$5:$B$304,C1957)&gt;0,"OK","No matching asset + task in plan"))</f>
        <v/>
      </c>
    </row>
    <row r="1958" customFormat="false" ht="15" hidden="false" customHeight="false" outlineLevel="0" collapsed="false">
      <c r="A1958" s="13"/>
      <c r="B1958" s="9"/>
      <c r="C1958" s="9"/>
      <c r="D1958" s="9"/>
      <c r="E1958" s="9"/>
      <c r="F1958" s="16" t="str">
        <f aca="false">IF(B1958="","",IF(COUNTIFS('PM Plan'!$A$5:$A$304,B1958,'PM Plan'!$B$5:$B$304,C1958)&gt;0,"OK","No matching asset + task in plan"))</f>
        <v/>
      </c>
    </row>
    <row r="1959" customFormat="false" ht="15" hidden="false" customHeight="false" outlineLevel="0" collapsed="false">
      <c r="A1959" s="13"/>
      <c r="B1959" s="9"/>
      <c r="C1959" s="9"/>
      <c r="D1959" s="9"/>
      <c r="E1959" s="9"/>
      <c r="F1959" s="16" t="str">
        <f aca="false">IF(B1959="","",IF(COUNTIFS('PM Plan'!$A$5:$A$304,B1959,'PM Plan'!$B$5:$B$304,C1959)&gt;0,"OK","No matching asset + task in plan"))</f>
        <v/>
      </c>
    </row>
    <row r="1960" customFormat="false" ht="15" hidden="false" customHeight="false" outlineLevel="0" collapsed="false">
      <c r="A1960" s="13"/>
      <c r="B1960" s="9"/>
      <c r="C1960" s="9"/>
      <c r="D1960" s="9"/>
      <c r="E1960" s="9"/>
      <c r="F1960" s="16" t="str">
        <f aca="false">IF(B1960="","",IF(COUNTIFS('PM Plan'!$A$5:$A$304,B1960,'PM Plan'!$B$5:$B$304,C1960)&gt;0,"OK","No matching asset + task in plan"))</f>
        <v/>
      </c>
    </row>
    <row r="1961" customFormat="false" ht="15" hidden="false" customHeight="false" outlineLevel="0" collapsed="false">
      <c r="A1961" s="13"/>
      <c r="B1961" s="9"/>
      <c r="C1961" s="9"/>
      <c r="D1961" s="9"/>
      <c r="E1961" s="9"/>
      <c r="F1961" s="16" t="str">
        <f aca="false">IF(B1961="","",IF(COUNTIFS('PM Plan'!$A$5:$A$304,B1961,'PM Plan'!$B$5:$B$304,C1961)&gt;0,"OK","No matching asset + task in plan"))</f>
        <v/>
      </c>
    </row>
    <row r="1962" customFormat="false" ht="15" hidden="false" customHeight="false" outlineLevel="0" collapsed="false">
      <c r="A1962" s="13"/>
      <c r="B1962" s="9"/>
      <c r="C1962" s="9"/>
      <c r="D1962" s="9"/>
      <c r="E1962" s="9"/>
      <c r="F1962" s="16" t="str">
        <f aca="false">IF(B1962="","",IF(COUNTIFS('PM Plan'!$A$5:$A$304,B1962,'PM Plan'!$B$5:$B$304,C1962)&gt;0,"OK","No matching asset + task in plan"))</f>
        <v/>
      </c>
    </row>
    <row r="1963" customFormat="false" ht="15" hidden="false" customHeight="false" outlineLevel="0" collapsed="false">
      <c r="A1963" s="13"/>
      <c r="B1963" s="9"/>
      <c r="C1963" s="9"/>
      <c r="D1963" s="9"/>
      <c r="E1963" s="9"/>
      <c r="F1963" s="16" t="str">
        <f aca="false">IF(B1963="","",IF(COUNTIFS('PM Plan'!$A$5:$A$304,B1963,'PM Plan'!$B$5:$B$304,C1963)&gt;0,"OK","No matching asset + task in plan"))</f>
        <v/>
      </c>
    </row>
    <row r="1964" customFormat="false" ht="15" hidden="false" customHeight="false" outlineLevel="0" collapsed="false">
      <c r="A1964" s="13"/>
      <c r="B1964" s="9"/>
      <c r="C1964" s="9"/>
      <c r="D1964" s="9"/>
      <c r="E1964" s="9"/>
      <c r="F1964" s="16" t="str">
        <f aca="false">IF(B1964="","",IF(COUNTIFS('PM Plan'!$A$5:$A$304,B1964,'PM Plan'!$B$5:$B$304,C1964)&gt;0,"OK","No matching asset + task in plan"))</f>
        <v/>
      </c>
    </row>
    <row r="1965" customFormat="false" ht="15" hidden="false" customHeight="false" outlineLevel="0" collapsed="false">
      <c r="A1965" s="13"/>
      <c r="B1965" s="9"/>
      <c r="C1965" s="9"/>
      <c r="D1965" s="9"/>
      <c r="E1965" s="9"/>
      <c r="F1965" s="16" t="str">
        <f aca="false">IF(B1965="","",IF(COUNTIFS('PM Plan'!$A$5:$A$304,B1965,'PM Plan'!$B$5:$B$304,C1965)&gt;0,"OK","No matching asset + task in plan"))</f>
        <v/>
      </c>
    </row>
    <row r="1966" customFormat="false" ht="15" hidden="false" customHeight="false" outlineLevel="0" collapsed="false">
      <c r="A1966" s="13"/>
      <c r="B1966" s="9"/>
      <c r="C1966" s="9"/>
      <c r="D1966" s="9"/>
      <c r="E1966" s="9"/>
      <c r="F1966" s="16" t="str">
        <f aca="false">IF(B1966="","",IF(COUNTIFS('PM Plan'!$A$5:$A$304,B1966,'PM Plan'!$B$5:$B$304,C1966)&gt;0,"OK","No matching asset + task in plan"))</f>
        <v/>
      </c>
    </row>
    <row r="1967" customFormat="false" ht="15" hidden="false" customHeight="false" outlineLevel="0" collapsed="false">
      <c r="A1967" s="13"/>
      <c r="B1967" s="9"/>
      <c r="C1967" s="9"/>
      <c r="D1967" s="9"/>
      <c r="E1967" s="9"/>
      <c r="F1967" s="16" t="str">
        <f aca="false">IF(B1967="","",IF(COUNTIFS('PM Plan'!$A$5:$A$304,B1967,'PM Plan'!$B$5:$B$304,C1967)&gt;0,"OK","No matching asset + task in plan"))</f>
        <v/>
      </c>
    </row>
    <row r="1968" customFormat="false" ht="15" hidden="false" customHeight="false" outlineLevel="0" collapsed="false">
      <c r="A1968" s="13"/>
      <c r="B1968" s="9"/>
      <c r="C1968" s="9"/>
      <c r="D1968" s="9"/>
      <c r="E1968" s="9"/>
      <c r="F1968" s="16" t="str">
        <f aca="false">IF(B1968="","",IF(COUNTIFS('PM Plan'!$A$5:$A$304,B1968,'PM Plan'!$B$5:$B$304,C1968)&gt;0,"OK","No matching asset + task in plan"))</f>
        <v/>
      </c>
    </row>
    <row r="1969" customFormat="false" ht="15" hidden="false" customHeight="false" outlineLevel="0" collapsed="false">
      <c r="A1969" s="13"/>
      <c r="B1969" s="9"/>
      <c r="C1969" s="9"/>
      <c r="D1969" s="9"/>
      <c r="E1969" s="9"/>
      <c r="F1969" s="16" t="str">
        <f aca="false">IF(B1969="","",IF(COUNTIFS('PM Plan'!$A$5:$A$304,B1969,'PM Plan'!$B$5:$B$304,C1969)&gt;0,"OK","No matching asset + task in plan"))</f>
        <v/>
      </c>
    </row>
    <row r="1970" customFormat="false" ht="15" hidden="false" customHeight="false" outlineLevel="0" collapsed="false">
      <c r="A1970" s="13"/>
      <c r="B1970" s="9"/>
      <c r="C1970" s="9"/>
      <c r="D1970" s="9"/>
      <c r="E1970" s="9"/>
      <c r="F1970" s="16" t="str">
        <f aca="false">IF(B1970="","",IF(COUNTIFS('PM Plan'!$A$5:$A$304,B1970,'PM Plan'!$B$5:$B$304,C1970)&gt;0,"OK","No matching asset + task in plan"))</f>
        <v/>
      </c>
    </row>
    <row r="1971" customFormat="false" ht="15" hidden="false" customHeight="false" outlineLevel="0" collapsed="false">
      <c r="A1971" s="13"/>
      <c r="B1971" s="9"/>
      <c r="C1971" s="9"/>
      <c r="D1971" s="9"/>
      <c r="E1971" s="9"/>
      <c r="F1971" s="16" t="str">
        <f aca="false">IF(B1971="","",IF(COUNTIFS('PM Plan'!$A$5:$A$304,B1971,'PM Plan'!$B$5:$B$304,C1971)&gt;0,"OK","No matching asset + task in plan"))</f>
        <v/>
      </c>
    </row>
    <row r="1972" customFormat="false" ht="15" hidden="false" customHeight="false" outlineLevel="0" collapsed="false">
      <c r="A1972" s="13"/>
      <c r="B1972" s="9"/>
      <c r="C1972" s="9"/>
      <c r="D1972" s="9"/>
      <c r="E1972" s="9"/>
      <c r="F1972" s="16" t="str">
        <f aca="false">IF(B1972="","",IF(COUNTIFS('PM Plan'!$A$5:$A$304,B1972,'PM Plan'!$B$5:$B$304,C1972)&gt;0,"OK","No matching asset + task in plan"))</f>
        <v/>
      </c>
    </row>
    <row r="1973" customFormat="false" ht="15" hidden="false" customHeight="false" outlineLevel="0" collapsed="false">
      <c r="A1973" s="13"/>
      <c r="B1973" s="9"/>
      <c r="C1973" s="9"/>
      <c r="D1973" s="9"/>
      <c r="E1973" s="9"/>
      <c r="F1973" s="16" t="str">
        <f aca="false">IF(B1973="","",IF(COUNTIFS('PM Plan'!$A$5:$A$304,B1973,'PM Plan'!$B$5:$B$304,C1973)&gt;0,"OK","No matching asset + task in plan"))</f>
        <v/>
      </c>
    </row>
    <row r="1974" customFormat="false" ht="15" hidden="false" customHeight="false" outlineLevel="0" collapsed="false">
      <c r="A1974" s="13"/>
      <c r="B1974" s="9"/>
      <c r="C1974" s="9"/>
      <c r="D1974" s="9"/>
      <c r="E1974" s="9"/>
      <c r="F1974" s="16" t="str">
        <f aca="false">IF(B1974="","",IF(COUNTIFS('PM Plan'!$A$5:$A$304,B1974,'PM Plan'!$B$5:$B$304,C1974)&gt;0,"OK","No matching asset + task in plan"))</f>
        <v/>
      </c>
    </row>
    <row r="1975" customFormat="false" ht="15" hidden="false" customHeight="false" outlineLevel="0" collapsed="false">
      <c r="A1975" s="13"/>
      <c r="B1975" s="9"/>
      <c r="C1975" s="9"/>
      <c r="D1975" s="9"/>
      <c r="E1975" s="9"/>
      <c r="F1975" s="16" t="str">
        <f aca="false">IF(B1975="","",IF(COUNTIFS('PM Plan'!$A$5:$A$304,B1975,'PM Plan'!$B$5:$B$304,C1975)&gt;0,"OK","No matching asset + task in plan"))</f>
        <v/>
      </c>
    </row>
    <row r="1976" customFormat="false" ht="15" hidden="false" customHeight="false" outlineLevel="0" collapsed="false">
      <c r="A1976" s="13"/>
      <c r="B1976" s="9"/>
      <c r="C1976" s="9"/>
      <c r="D1976" s="9"/>
      <c r="E1976" s="9"/>
      <c r="F1976" s="16" t="str">
        <f aca="false">IF(B1976="","",IF(COUNTIFS('PM Plan'!$A$5:$A$304,B1976,'PM Plan'!$B$5:$B$304,C1976)&gt;0,"OK","No matching asset + task in plan"))</f>
        <v/>
      </c>
    </row>
    <row r="1977" customFormat="false" ht="15" hidden="false" customHeight="false" outlineLevel="0" collapsed="false">
      <c r="A1977" s="13"/>
      <c r="B1977" s="9"/>
      <c r="C1977" s="9"/>
      <c r="D1977" s="9"/>
      <c r="E1977" s="9"/>
      <c r="F1977" s="16" t="str">
        <f aca="false">IF(B1977="","",IF(COUNTIFS('PM Plan'!$A$5:$A$304,B1977,'PM Plan'!$B$5:$B$304,C1977)&gt;0,"OK","No matching asset + task in plan"))</f>
        <v/>
      </c>
    </row>
    <row r="1978" customFormat="false" ht="15" hidden="false" customHeight="false" outlineLevel="0" collapsed="false">
      <c r="A1978" s="13"/>
      <c r="B1978" s="9"/>
      <c r="C1978" s="9"/>
      <c r="D1978" s="9"/>
      <c r="E1978" s="9"/>
      <c r="F1978" s="16" t="str">
        <f aca="false">IF(B1978="","",IF(COUNTIFS('PM Plan'!$A$5:$A$304,B1978,'PM Plan'!$B$5:$B$304,C1978)&gt;0,"OK","No matching asset + task in plan"))</f>
        <v/>
      </c>
    </row>
    <row r="1979" customFormat="false" ht="15" hidden="false" customHeight="false" outlineLevel="0" collapsed="false">
      <c r="A1979" s="13"/>
      <c r="B1979" s="9"/>
      <c r="C1979" s="9"/>
      <c r="D1979" s="9"/>
      <c r="E1979" s="9"/>
      <c r="F1979" s="16" t="str">
        <f aca="false">IF(B1979="","",IF(COUNTIFS('PM Plan'!$A$5:$A$304,B1979,'PM Plan'!$B$5:$B$304,C1979)&gt;0,"OK","No matching asset + task in plan"))</f>
        <v/>
      </c>
    </row>
    <row r="1980" customFormat="false" ht="15" hidden="false" customHeight="false" outlineLevel="0" collapsed="false">
      <c r="A1980" s="13"/>
      <c r="B1980" s="9"/>
      <c r="C1980" s="9"/>
      <c r="D1980" s="9"/>
      <c r="E1980" s="9"/>
      <c r="F1980" s="16" t="str">
        <f aca="false">IF(B1980="","",IF(COUNTIFS('PM Plan'!$A$5:$A$304,B1980,'PM Plan'!$B$5:$B$304,C1980)&gt;0,"OK","No matching asset + task in plan"))</f>
        <v/>
      </c>
    </row>
    <row r="1981" customFormat="false" ht="15" hidden="false" customHeight="false" outlineLevel="0" collapsed="false">
      <c r="A1981" s="13"/>
      <c r="B1981" s="9"/>
      <c r="C1981" s="9"/>
      <c r="D1981" s="9"/>
      <c r="E1981" s="9"/>
      <c r="F1981" s="16" t="str">
        <f aca="false">IF(B1981="","",IF(COUNTIFS('PM Plan'!$A$5:$A$304,B1981,'PM Plan'!$B$5:$B$304,C1981)&gt;0,"OK","No matching asset + task in plan"))</f>
        <v/>
      </c>
    </row>
    <row r="1982" customFormat="false" ht="15" hidden="false" customHeight="false" outlineLevel="0" collapsed="false">
      <c r="A1982" s="13"/>
      <c r="B1982" s="9"/>
      <c r="C1982" s="9"/>
      <c r="D1982" s="9"/>
      <c r="E1982" s="9"/>
      <c r="F1982" s="16" t="str">
        <f aca="false">IF(B1982="","",IF(COUNTIFS('PM Plan'!$A$5:$A$304,B1982,'PM Plan'!$B$5:$B$304,C1982)&gt;0,"OK","No matching asset + task in plan"))</f>
        <v/>
      </c>
    </row>
    <row r="1983" customFormat="false" ht="15" hidden="false" customHeight="false" outlineLevel="0" collapsed="false">
      <c r="A1983" s="13"/>
      <c r="B1983" s="9"/>
      <c r="C1983" s="9"/>
      <c r="D1983" s="9"/>
      <c r="E1983" s="9"/>
      <c r="F1983" s="16" t="str">
        <f aca="false">IF(B1983="","",IF(COUNTIFS('PM Plan'!$A$5:$A$304,B1983,'PM Plan'!$B$5:$B$304,C1983)&gt;0,"OK","No matching asset + task in plan"))</f>
        <v/>
      </c>
    </row>
    <row r="1984" customFormat="false" ht="15" hidden="false" customHeight="false" outlineLevel="0" collapsed="false">
      <c r="A1984" s="13"/>
      <c r="B1984" s="9"/>
      <c r="C1984" s="9"/>
      <c r="D1984" s="9"/>
      <c r="E1984" s="9"/>
      <c r="F1984" s="16" t="str">
        <f aca="false">IF(B1984="","",IF(COUNTIFS('PM Plan'!$A$5:$A$304,B1984,'PM Plan'!$B$5:$B$304,C1984)&gt;0,"OK","No matching asset + task in plan"))</f>
        <v/>
      </c>
    </row>
    <row r="1985" customFormat="false" ht="15" hidden="false" customHeight="false" outlineLevel="0" collapsed="false">
      <c r="A1985" s="13"/>
      <c r="B1985" s="9"/>
      <c r="C1985" s="9"/>
      <c r="D1985" s="9"/>
      <c r="E1985" s="9"/>
      <c r="F1985" s="16" t="str">
        <f aca="false">IF(B1985="","",IF(COUNTIFS('PM Plan'!$A$5:$A$304,B1985,'PM Plan'!$B$5:$B$304,C1985)&gt;0,"OK","No matching asset + task in plan"))</f>
        <v/>
      </c>
    </row>
    <row r="1986" customFormat="false" ht="15" hidden="false" customHeight="false" outlineLevel="0" collapsed="false">
      <c r="A1986" s="13"/>
      <c r="B1986" s="9"/>
      <c r="C1986" s="9"/>
      <c r="D1986" s="9"/>
      <c r="E1986" s="9"/>
      <c r="F1986" s="16" t="str">
        <f aca="false">IF(B1986="","",IF(COUNTIFS('PM Plan'!$A$5:$A$304,B1986,'PM Plan'!$B$5:$B$304,C1986)&gt;0,"OK","No matching asset + task in plan"))</f>
        <v/>
      </c>
    </row>
    <row r="1987" customFormat="false" ht="15" hidden="false" customHeight="false" outlineLevel="0" collapsed="false">
      <c r="A1987" s="13"/>
      <c r="B1987" s="9"/>
      <c r="C1987" s="9"/>
      <c r="D1987" s="9"/>
      <c r="E1987" s="9"/>
      <c r="F1987" s="16" t="str">
        <f aca="false">IF(B1987="","",IF(COUNTIFS('PM Plan'!$A$5:$A$304,B1987,'PM Plan'!$B$5:$B$304,C1987)&gt;0,"OK","No matching asset + task in plan"))</f>
        <v/>
      </c>
    </row>
    <row r="1988" customFormat="false" ht="15" hidden="false" customHeight="false" outlineLevel="0" collapsed="false">
      <c r="A1988" s="13"/>
      <c r="B1988" s="9"/>
      <c r="C1988" s="9"/>
      <c r="D1988" s="9"/>
      <c r="E1988" s="9"/>
      <c r="F1988" s="16" t="str">
        <f aca="false">IF(B1988="","",IF(COUNTIFS('PM Plan'!$A$5:$A$304,B1988,'PM Plan'!$B$5:$B$304,C1988)&gt;0,"OK","No matching asset + task in plan"))</f>
        <v/>
      </c>
    </row>
    <row r="1989" customFormat="false" ht="15" hidden="false" customHeight="false" outlineLevel="0" collapsed="false">
      <c r="A1989" s="13"/>
      <c r="B1989" s="9"/>
      <c r="C1989" s="9"/>
      <c r="D1989" s="9"/>
      <c r="E1989" s="9"/>
      <c r="F1989" s="16" t="str">
        <f aca="false">IF(B1989="","",IF(COUNTIFS('PM Plan'!$A$5:$A$304,B1989,'PM Plan'!$B$5:$B$304,C1989)&gt;0,"OK","No matching asset + task in plan"))</f>
        <v/>
      </c>
    </row>
    <row r="1990" customFormat="false" ht="15" hidden="false" customHeight="false" outlineLevel="0" collapsed="false">
      <c r="A1990" s="13"/>
      <c r="B1990" s="9"/>
      <c r="C1990" s="9"/>
      <c r="D1990" s="9"/>
      <c r="E1990" s="9"/>
      <c r="F1990" s="16" t="str">
        <f aca="false">IF(B1990="","",IF(COUNTIFS('PM Plan'!$A$5:$A$304,B1990,'PM Plan'!$B$5:$B$304,C1990)&gt;0,"OK","No matching asset + task in plan"))</f>
        <v/>
      </c>
    </row>
    <row r="1991" customFormat="false" ht="15" hidden="false" customHeight="false" outlineLevel="0" collapsed="false">
      <c r="A1991" s="13"/>
      <c r="B1991" s="9"/>
      <c r="C1991" s="9"/>
      <c r="D1991" s="9"/>
      <c r="E1991" s="9"/>
      <c r="F1991" s="16" t="str">
        <f aca="false">IF(B1991="","",IF(COUNTIFS('PM Plan'!$A$5:$A$304,B1991,'PM Plan'!$B$5:$B$304,C1991)&gt;0,"OK","No matching asset + task in plan"))</f>
        <v/>
      </c>
    </row>
    <row r="1992" customFormat="false" ht="15" hidden="false" customHeight="false" outlineLevel="0" collapsed="false">
      <c r="A1992" s="13"/>
      <c r="B1992" s="9"/>
      <c r="C1992" s="9"/>
      <c r="D1992" s="9"/>
      <c r="E1992" s="9"/>
      <c r="F1992" s="16" t="str">
        <f aca="false">IF(B1992="","",IF(COUNTIFS('PM Plan'!$A$5:$A$304,B1992,'PM Plan'!$B$5:$B$304,C1992)&gt;0,"OK","No matching asset + task in plan"))</f>
        <v/>
      </c>
    </row>
    <row r="1993" customFormat="false" ht="15" hidden="false" customHeight="false" outlineLevel="0" collapsed="false">
      <c r="A1993" s="13"/>
      <c r="B1993" s="9"/>
      <c r="C1993" s="9"/>
      <c r="D1993" s="9"/>
      <c r="E1993" s="9"/>
      <c r="F1993" s="16" t="str">
        <f aca="false">IF(B1993="","",IF(COUNTIFS('PM Plan'!$A$5:$A$304,B1993,'PM Plan'!$B$5:$B$304,C1993)&gt;0,"OK","No matching asset + task in plan"))</f>
        <v/>
      </c>
    </row>
    <row r="1994" customFormat="false" ht="15" hidden="false" customHeight="false" outlineLevel="0" collapsed="false">
      <c r="A1994" s="13"/>
      <c r="B1994" s="9"/>
      <c r="C1994" s="9"/>
      <c r="D1994" s="9"/>
      <c r="E1994" s="9"/>
      <c r="F1994" s="16" t="str">
        <f aca="false">IF(B1994="","",IF(COUNTIFS('PM Plan'!$A$5:$A$304,B1994,'PM Plan'!$B$5:$B$304,C1994)&gt;0,"OK","No matching asset + task in plan"))</f>
        <v/>
      </c>
    </row>
    <row r="1995" customFormat="false" ht="15" hidden="false" customHeight="false" outlineLevel="0" collapsed="false">
      <c r="A1995" s="13"/>
      <c r="B1995" s="9"/>
      <c r="C1995" s="9"/>
      <c r="D1995" s="9"/>
      <c r="E1995" s="9"/>
      <c r="F1995" s="16" t="str">
        <f aca="false">IF(B1995="","",IF(COUNTIFS('PM Plan'!$A$5:$A$304,B1995,'PM Plan'!$B$5:$B$304,C1995)&gt;0,"OK","No matching asset + task in plan"))</f>
        <v/>
      </c>
    </row>
    <row r="1996" customFormat="false" ht="15" hidden="false" customHeight="false" outlineLevel="0" collapsed="false">
      <c r="A1996" s="13"/>
      <c r="B1996" s="9"/>
      <c r="C1996" s="9"/>
      <c r="D1996" s="9"/>
      <c r="E1996" s="9"/>
      <c r="F1996" s="16" t="str">
        <f aca="false">IF(B1996="","",IF(COUNTIFS('PM Plan'!$A$5:$A$304,B1996,'PM Plan'!$B$5:$B$304,C1996)&gt;0,"OK","No matching asset + task in plan"))</f>
        <v/>
      </c>
    </row>
    <row r="1997" customFormat="false" ht="15" hidden="false" customHeight="false" outlineLevel="0" collapsed="false">
      <c r="A1997" s="13"/>
      <c r="B1997" s="9"/>
      <c r="C1997" s="9"/>
      <c r="D1997" s="9"/>
      <c r="E1997" s="9"/>
      <c r="F1997" s="16" t="str">
        <f aca="false">IF(B1997="","",IF(COUNTIFS('PM Plan'!$A$5:$A$304,B1997,'PM Plan'!$B$5:$B$304,C1997)&gt;0,"OK","No matching asset + task in plan"))</f>
        <v/>
      </c>
    </row>
    <row r="1998" customFormat="false" ht="15" hidden="false" customHeight="false" outlineLevel="0" collapsed="false">
      <c r="A1998" s="13"/>
      <c r="B1998" s="9"/>
      <c r="C1998" s="9"/>
      <c r="D1998" s="9"/>
      <c r="E1998" s="9"/>
      <c r="F1998" s="16" t="str">
        <f aca="false">IF(B1998="","",IF(COUNTIFS('PM Plan'!$A$5:$A$304,B1998,'PM Plan'!$B$5:$B$304,C1998)&gt;0,"OK","No matching asset + task in plan"))</f>
        <v/>
      </c>
    </row>
    <row r="1999" customFormat="false" ht="15" hidden="false" customHeight="false" outlineLevel="0" collapsed="false">
      <c r="A1999" s="13"/>
      <c r="B1999" s="9"/>
      <c r="C1999" s="9"/>
      <c r="D1999" s="9"/>
      <c r="E1999" s="9"/>
      <c r="F1999" s="16" t="str">
        <f aca="false">IF(B1999="","",IF(COUNTIFS('PM Plan'!$A$5:$A$304,B1999,'PM Plan'!$B$5:$B$304,C1999)&gt;0,"OK","No matching asset + task in plan"))</f>
        <v/>
      </c>
    </row>
    <row r="2000" customFormat="false" ht="15" hidden="false" customHeight="false" outlineLevel="0" collapsed="false">
      <c r="A2000" s="13"/>
      <c r="B2000" s="9"/>
      <c r="C2000" s="9"/>
      <c r="D2000" s="9"/>
      <c r="E2000" s="9"/>
      <c r="F2000" s="16" t="str">
        <f aca="false">IF(B2000="","",IF(COUNTIFS('PM Plan'!$A$5:$A$304,B2000,'PM Plan'!$B$5:$B$304,C2000)&gt;0,"OK","No matching asset + task in plan"))</f>
        <v/>
      </c>
    </row>
    <row r="2001" customFormat="false" ht="15" hidden="false" customHeight="false" outlineLevel="0" collapsed="false">
      <c r="A2001" s="13"/>
      <c r="B2001" s="9"/>
      <c r="C2001" s="9"/>
      <c r="D2001" s="9"/>
      <c r="E2001" s="9"/>
      <c r="F2001" s="16" t="str">
        <f aca="false">IF(B2001="","",IF(COUNTIFS('PM Plan'!$A$5:$A$304,B2001,'PM Plan'!$B$5:$B$304,C2001)&gt;0,"OK","No matching asset + task in plan"))</f>
        <v/>
      </c>
    </row>
    <row r="2002" customFormat="false" ht="15" hidden="false" customHeight="false" outlineLevel="0" collapsed="false">
      <c r="A2002" s="13"/>
      <c r="B2002" s="9"/>
      <c r="C2002" s="9"/>
      <c r="D2002" s="9"/>
      <c r="E2002" s="9"/>
      <c r="F2002" s="16" t="str">
        <f aca="false">IF(B2002="","",IF(COUNTIFS('PM Plan'!$A$5:$A$304,B2002,'PM Plan'!$B$5:$B$304,C2002)&gt;0,"OK","No matching asset + task in plan"))</f>
        <v/>
      </c>
    </row>
    <row r="2003" customFormat="false" ht="15" hidden="false" customHeight="false" outlineLevel="0" collapsed="false">
      <c r="A2003" s="13"/>
      <c r="B2003" s="9"/>
      <c r="C2003" s="9"/>
      <c r="D2003" s="9"/>
      <c r="E2003" s="9"/>
      <c r="F2003" s="16" t="str">
        <f aca="false">IF(B2003="","",IF(COUNTIFS('PM Plan'!$A$5:$A$304,B2003,'PM Plan'!$B$5:$B$304,C2003)&gt;0,"OK","No matching asset + task in plan"))</f>
        <v/>
      </c>
    </row>
    <row r="2004" customFormat="false" ht="15" hidden="false" customHeight="false" outlineLevel="0" collapsed="false">
      <c r="A2004" s="13"/>
      <c r="B2004" s="9"/>
      <c r="C2004" s="9"/>
      <c r="D2004" s="9"/>
      <c r="E2004" s="9"/>
      <c r="F2004" s="16" t="str">
        <f aca="false">IF(B2004="","",IF(COUNTIFS('PM Plan'!$A$5:$A$304,B2004,'PM Plan'!$B$5:$B$304,C2004)&gt;0,"OK","No matching asset + task in plan"))</f>
        <v/>
      </c>
    </row>
  </sheetData>
  <dataValidations count="2">
    <dataValidation allowBlank="true" errorStyle="stop" operator="between" showDropDown="false" showErrorMessage="false" showInputMessage="false" sqref="B5:B2004" type="list">
      <formula1>'PM Plan'!$A$5:$A$304</formula1>
      <formula2>0</formula2>
    </dataValidation>
    <dataValidation allowBlank="true" errorStyle="stop" operator="between" showDropDown="false" showErrorMessage="false" showInputMessage="false" sqref="C5:C2004" type="list">
      <formula1>'PM Plan'!$B$5:$B$304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2026-10-10T19:09:05Z</dcterms:created>
  <dc:creator>openpyxl</dc:creator>
  <dc:description/>
  <dc:language>en-US</dc:language>
  <cp:lastModifiedBy/>
  <dcterms:modified xsi:type="dcterms:W3CDTF">2026-10-10T19:09:06Z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