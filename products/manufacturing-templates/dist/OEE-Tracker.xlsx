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Production Log" sheetId="3" state="visible" r:id="rId5"/>
    <sheet name="Dash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<sst xmlns="http://schemas.openxmlformats.org/spreadsheetml/2006/main" count="88" uniqueCount="64">
  <si>
    <t xml:space="preserve">OEE Tracker</t>
  </si>
  <si>
    <t xml:space="preserve">Version 1.0</t>
  </si>
  <si>
    <t xml:space="preserve">What this does</t>
  </si>
  <si>
    <t xml:space="preserve">Log each shift's production per machine. The workbook calculates Availability, Performance, Quality and OEE for every shift and summarizes them by machine on the Dashboard, for any date range.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</si>
  <si>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</si>
  <si>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</si>
  <si>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</si>
  <si>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</si>
  <si>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 and each one's ideal cycle time (the fastest sustainable time to make one part, in seconds). For a line, use the time per finished unit at rated speed.</t>
  </si>
  <si>
    <t xml:space="preserve">2. Production Log: add one row per machine per shift. Planned stops are scheduled time the machine is not expected to run (breaks, planned meetings). Unplanned downtime is everything else it was stopped.</t>
  </si>
  <si>
    <t xml:space="preserve">3. Dashboard: optionally enter a From and To date. Leave them blank to include everything.</t>
  </si>
  <si>
    <t xml:space="preserve">4. The rows marked EXAMPLE show the expected format. Before you start, select their yellow cells and press Delete. Don't delete whole rows.</t>
  </si>
  <si>
    <t xml:space="preserve">How OEE is calculated</t>
  </si>
  <si>
    <t xml:space="preserve">Planned production time = shift length - planned stops.   Run time = planned production time - unplanned downtime.</t>
  </si>
  <si>
    <t xml:space="preserve">Availability = run time / planned production time.</t>
  </si>
  <si>
    <t xml:space="preserve">Performance = (ideal cycle time x total parts) / run time.</t>
  </si>
  <si>
    <t xml:space="preserve">Quality = good parts / total parts.   OEE = Availability x Performance x Quality.</t>
  </si>
  <si>
    <t xml:space="preserve">Dashboard OEE = total ideal time for good parts / total planned production time. Times and counts are summed first, so long and short shifts, and machines with different cycle times, are weighted correctly.</t>
  </si>
  <si>
    <t xml:space="preserve">Check column</t>
  </si>
  <si>
    <t xml:space="preserve">The Check column on the log flags common entry mistakes: a machine missing from Setup, rejects higher than total parts, downtime longer than planned time, missing or non-number entries. Rows with an error are left out of the Dashboard. 'Check: performance above 100%' is a warning only (usually a cycle time that is too slow in Setup, or a miscounted total); that row still counts.</t>
  </si>
  <si>
    <t xml:space="preserve">Target</t>
  </si>
  <si>
    <t xml:space="preserve">85% OEE is a commonly cited 'world-class' benchmark. Set your own target on the Dashboard; many plants start well below that, and improvement against your own baseline matters more.</t>
  </si>
  <si>
    <t xml:space="preserve">Setup</t>
  </si>
  <si>
    <t xml:space="preserve">List each machine once. Names must match exactly what you pick in the log.</t>
  </si>
  <si>
    <t xml:space="preserve">Machine</t>
  </si>
  <si>
    <t xml:space="preserve">Ideal cycle time
(seconds per part)</t>
  </si>
  <si>
    <t xml:space="preserve">Notes</t>
  </si>
  <si>
    <t xml:space="preserve">Check</t>
  </si>
  <si>
    <t xml:space="preserve">Press 01</t>
  </si>
  <si>
    <t xml:space="preserve">EXAMPLE</t>
  </si>
  <si>
    <t xml:space="preserve">CNC Lathe 02</t>
  </si>
  <si>
    <t xml:space="preserve">Packaging Line A</t>
  </si>
  <si>
    <t xml:space="preserve">Production Log</t>
  </si>
  <si>
    <t xml:space="preserve">One row per machine per shift. Fill in the yellow columns; grey columns calculate.</t>
  </si>
  <si>
    <t xml:space="preserve">Date</t>
  </si>
  <si>
    <t xml:space="preserve">Shift</t>
  </si>
  <si>
    <t xml:space="preserve">Shift length
(min)</t>
  </si>
  <si>
    <t xml:space="preserve">Planned stops
(min)</t>
  </si>
  <si>
    <t xml:space="preserve">Unplanned
downtime (min)</t>
  </si>
  <si>
    <t xml:space="preserve">Total parts</t>
  </si>
  <si>
    <t xml:space="preserve">Rejected
parts</t>
  </si>
  <si>
    <t xml:space="preserve">Planned production
time (min)</t>
  </si>
  <si>
    <t xml:space="preserve">Run time
(min)</t>
  </si>
  <si>
    <t xml:space="preserve">Ideal cycle
time (sec)</t>
  </si>
  <si>
    <t xml:space="preserve">Ideal run time
(min)</t>
  </si>
  <si>
    <t xml:space="preserve">Good parts</t>
  </si>
  <si>
    <t xml:space="preserve">Availability</t>
  </si>
  <si>
    <t xml:space="preserve">Performance</t>
  </si>
  <si>
    <t xml:space="preserve">Quality</t>
  </si>
  <si>
    <t xml:space="preserve">OEE</t>
  </si>
  <si>
    <t xml:space="preserve">Ideal time for
good parts (min)</t>
  </si>
  <si>
    <t xml:space="preserve">Row used
in totals</t>
  </si>
  <si>
    <t xml:space="preserve">Day</t>
  </si>
  <si>
    <t xml:space="preserve">Dashboard</t>
  </si>
  <si>
    <t xml:space="preserve">Summary by machine for the date range below. Leave dates blank to include all rows.</t>
  </si>
  <si>
    <t xml:space="preserve">From date</t>
  </si>
  <si>
    <t xml:space="preserve">To date</t>
  </si>
  <si>
    <t xml:space="preserve">OEE target</t>
  </si>
  <si>
    <t xml:space="preserve">Log rows whose Check shows an error are left out of these totals. The 'performance above 100%' warning still counts.</t>
  </si>
  <si>
    <t xml:space="preserve">Planned
time (min)</t>
  </si>
  <si>
    <t xml:space="preserve">Ideal run
time (min)</t>
  </si>
  <si>
    <t xml:space="preserve">OEE vs
target</t>
  </si>
  <si>
    <t xml:space="preserve">Ideal time for good parts (min)</t>
  </si>
  <si>
    <t xml:space="preserve">All machines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</si>
</sst>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yyyy\-mm\-dd"/>
    <numFmt numFmtId="167" formatCode="0"/>
    <numFmt numFmtId="168" formatCode="0.0%"/>
    <numFmt numFmtId="169" formatCode="General"/>
    <numFmt numFmtId="170" formatCode="0%"/>
    <numFmt numFmtId="171" formatCode="#,##0"/>
    <numFmt numFmtId="172" formatCode="\+0.0%;\-0.0%;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OEE by machine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Dashboard!K8</c:f>
              <c:strCache>
                <c:ptCount val="1"/>
                <c:pt idx="0">
                  <c:v>OEE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Dashboard!$A$9:$A$28</c:f>
              <c:strCache>
                <c:ptCount val="20"/>
                <c:pt idx="0">
                  <c:v>Press 01</c:v>
                </c:pt>
                <c:pt idx="1">
                  <c:v>CNC Lathe 02</c:v>
                </c:pt>
                <c:pt idx="2">
                  <c:v>Packaging Line A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Dashboard!$K$9:$K$28</c:f>
              <c:numCache>
                <c:formatCode>0.0%</c:formatCode>
                <c:ptCount val="20"/>
                <c:pt idx="0">
                  <c:v>0.760909090909091</c:v>
                </c:pt>
                <c:pt idx="1">
                  <c:v>0.798863636363636</c:v>
                </c:pt>
                <c:pt idx="2">
                  <c:v>0.821732954545455</c:v>
                </c:pt>
              </c:numCache>
            </c:numRef>
          </c:val>
        </c:ser>
        <c:gapWidth val="150"/>
        <c:overlap val="0"/>
        <c:axId val="54237866"/>
        <c:axId val="92088753"/>
      </c:barChart>
      <c:catAx>
        <c:axId val="542378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88753"/>
        <c:crosses val="autoZero"/>
        <c:auto val="1"/>
        <c:lblAlgn val="ctr"/>
        <c:lblOffset val="100"/>
        <c:noMultiLvlLbl val="0"/>
      </c:catAx>
      <c:valAx>
        <c:axId val="9208875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OEE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378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130680</xdr:rowOff>
    </xdr:from>
    <xdr:to>
      <xdr:col>6</xdr:col>
      <xdr:colOff>558720</xdr:colOff>
      <xdr:row>45</xdr:row>
      <xdr:rowOff>153000</xdr:rowOff>
    </xdr:to>
    <xdr:graphicFrame>
      <xdr:nvGraphicFramePr>
        <xdr:cNvPr id="0" name="Chart 1"/>
        <xdr:cNvGraphicFramePr/>
      </xdr:nvGraphicFramePr>
      <xdr:xfrm>
        <a:off x="0" y="61149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15" hidden="false" customHeight="false" outlineLevel="0" collapsed="false">
      <c r="B15" s="4" t="s">
        <v>10</v>
      </c>
    </row>
    <row r="16" customFormat="false" ht="23.8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3" t="s">
        <v>12</v>
      </c>
    </row>
    <row r="19" customFormat="false" ht="15" hidden="false" customHeight="false" outlineLevel="0" collapsed="false">
      <c r="B19" s="4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23.8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3" t="s">
        <v>18</v>
      </c>
    </row>
    <row r="26" customFormat="false" ht="46.25" hidden="false" customHeight="false" outlineLevel="0" collapsed="false">
      <c r="B26" s="4" t="s">
        <v>19</v>
      </c>
    </row>
    <row r="27" customFormat="false" ht="15" hidden="false" customHeight="false" outlineLevel="0" collapsed="false">
      <c r="B27" s="3" t="s">
        <v>20</v>
      </c>
    </row>
    <row r="29" customFormat="false" ht="23.85" hidden="false" customHeight="false" outlineLevel="0" collapsed="false">
      <c r="B29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36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31.5" hidden="false" customHeight="true" outlineLevel="0" collapsed="false">
      <c r="A4" s="7" t="s">
        <v>24</v>
      </c>
      <c r="B4" s="7" t="s">
        <v>25</v>
      </c>
      <c r="C4" s="7" t="s">
        <v>26</v>
      </c>
      <c r="D4" s="7" t="s">
        <v>27</v>
      </c>
    </row>
    <row r="5" customFormat="false" ht="15" hidden="false" customHeight="false" outlineLevel="0" collapsed="false">
      <c r="A5" s="8" t="s">
        <v>28</v>
      </c>
      <c r="B5" s="9" t="n">
        <v>12</v>
      </c>
      <c r="C5" s="8" t="s">
        <v>29</v>
      </c>
      <c r="D5" s="10" t="str">
        <f aca="false">IF(A5="","",IF(SUMPRODUCT(--($A$5:A5=A5))&gt;1,"Duplicate: only the first row is used",""))</f>
        <v/>
      </c>
    </row>
    <row r="6" customFormat="false" ht="15" hidden="false" customHeight="false" outlineLevel="0" collapsed="false">
      <c r="A6" s="8" t="s">
        <v>30</v>
      </c>
      <c r="B6" s="9" t="n">
        <v>95</v>
      </c>
      <c r="C6" s="8" t="s">
        <v>29</v>
      </c>
      <c r="D6" s="10" t="str">
        <f aca="false">IF(A6="","",IF(SUMPRODUCT(--($A$5:A6=A6))&gt;1,"Duplicate: only the first row is used",""))</f>
        <v/>
      </c>
    </row>
    <row r="7" customFormat="false" ht="15" hidden="false" customHeight="false" outlineLevel="0" collapsed="false">
      <c r="A7" s="8" t="s">
        <v>31</v>
      </c>
      <c r="B7" s="9" t="n">
        <v>2.5</v>
      </c>
      <c r="C7" s="8" t="s">
        <v>29</v>
      </c>
      <c r="D7" s="10" t="str">
        <f aca="false">IF(A7="","",IF(SUMPRODUCT(--($A$5:A7=A7))&gt;1,"Duplicate: only the first row is used",""))</f>
        <v/>
      </c>
    </row>
    <row r="8" customFormat="false" ht="15" hidden="false" customHeight="false" outlineLevel="0" collapsed="false">
      <c r="A8" s="8"/>
      <c r="B8" s="9"/>
      <c r="C8" s="8"/>
      <c r="D8" s="10" t="str">
        <f aca="false">IF(A8="","",IF(SUMPRODUCT(--($A$5:A8=A8))&gt;1,"Duplicate: only the first row is used",""))</f>
        <v/>
      </c>
    </row>
    <row r="9" customFormat="false" ht="15" hidden="false" customHeight="false" outlineLevel="0" collapsed="false">
      <c r="A9" s="8"/>
      <c r="B9" s="9"/>
      <c r="C9" s="8"/>
      <c r="D9" s="10" t="str">
        <f aca="false">IF(A9="","",IF(SUMPRODUCT(--($A$5:A9=A9))&gt;1,"Duplicate: only the first row is used",""))</f>
        <v/>
      </c>
    </row>
    <row r="10" customFormat="false" ht="15" hidden="false" customHeight="false" outlineLevel="0" collapsed="false">
      <c r="A10" s="8"/>
      <c r="B10" s="9"/>
      <c r="C10" s="8"/>
      <c r="D10" s="10" t="str">
        <f aca="false">IF(A10="","",IF(SUMPRODUCT(--($A$5:A10=A10))&gt;1,"Duplicate: only the first row is used",""))</f>
        <v/>
      </c>
    </row>
    <row r="11" customFormat="false" ht="15" hidden="false" customHeight="false" outlineLevel="0" collapsed="false">
      <c r="A11" s="8"/>
      <c r="B11" s="9"/>
      <c r="C11" s="8"/>
      <c r="D11" s="10" t="str">
        <f aca="false">IF(A11="","",IF(SUMPRODUCT(--($A$5:A11=A11))&gt;1,"Duplicate: only the first row is used",""))</f>
        <v/>
      </c>
    </row>
    <row r="12" customFormat="false" ht="15" hidden="false" customHeight="false" outlineLevel="0" collapsed="false">
      <c r="A12" s="8"/>
      <c r="B12" s="9"/>
      <c r="C12" s="8"/>
      <c r="D12" s="10" t="str">
        <f aca="false">IF(A12="","",IF(SUMPRODUCT(--($A$5:A12=A12))&gt;1,"Duplicate: only the first row is used",""))</f>
        <v/>
      </c>
    </row>
    <row r="13" customFormat="false" ht="15" hidden="false" customHeight="false" outlineLevel="0" collapsed="false">
      <c r="A13" s="8"/>
      <c r="B13" s="9"/>
      <c r="C13" s="8"/>
      <c r="D13" s="10" t="str">
        <f aca="false">IF(A13="","",IF(SUMPRODUCT(--($A$5:A13=A13))&gt;1,"Duplicate: only the first row is used",""))</f>
        <v/>
      </c>
    </row>
    <row r="14" customFormat="false" ht="15" hidden="false" customHeight="false" outlineLevel="0" collapsed="false">
      <c r="A14" s="8"/>
      <c r="B14" s="9"/>
      <c r="C14" s="8"/>
      <c r="D14" s="10" t="str">
        <f aca="false">IF(A14="","",IF(SUMPRODUCT(--($A$5:A14=A14))&gt;1,"Duplicate: only the first row is used",""))</f>
        <v/>
      </c>
    </row>
    <row r="15" customFormat="false" ht="15" hidden="false" customHeight="false" outlineLevel="0" collapsed="false">
      <c r="A15" s="8"/>
      <c r="B15" s="9"/>
      <c r="C15" s="8"/>
      <c r="D15" s="10" t="str">
        <f aca="false">IF(A15="","",IF(SUMPRODUCT(--($A$5:A15=A15))&gt;1,"Duplicate: only the first row is used",""))</f>
        <v/>
      </c>
    </row>
    <row r="16" customFormat="false" ht="15" hidden="false" customHeight="false" outlineLevel="0" collapsed="false">
      <c r="A16" s="8"/>
      <c r="B16" s="9"/>
      <c r="C16" s="8"/>
      <c r="D16" s="10" t="str">
        <f aca="false">IF(A16="","",IF(SUMPRODUCT(--($A$5:A16=A16))&gt;1,"Duplicate: only the first row is used",""))</f>
        <v/>
      </c>
    </row>
    <row r="17" customFormat="false" ht="15" hidden="false" customHeight="false" outlineLevel="0" collapsed="false">
      <c r="A17" s="8"/>
      <c r="B17" s="9"/>
      <c r="C17" s="8"/>
      <c r="D17" s="10" t="str">
        <f aca="false">IF(A17="","",IF(SUMPRODUCT(--($A$5:A17=A17))&gt;1,"Duplicate: only the first row is used",""))</f>
        <v/>
      </c>
    </row>
    <row r="18" customFormat="false" ht="15" hidden="false" customHeight="false" outlineLevel="0" collapsed="false">
      <c r="A18" s="8"/>
      <c r="B18" s="9"/>
      <c r="C18" s="8"/>
      <c r="D18" s="10" t="str">
        <f aca="false">IF(A18="","",IF(SUMPRODUCT(--($A$5:A18=A18))&gt;1,"Duplicate: only the first row is used",""))</f>
        <v/>
      </c>
    </row>
    <row r="19" customFormat="false" ht="15" hidden="false" customHeight="false" outlineLevel="0" collapsed="false">
      <c r="A19" s="8"/>
      <c r="B19" s="9"/>
      <c r="C19" s="8"/>
      <c r="D19" s="10" t="str">
        <f aca="false">IF(A19="","",IF(SUMPRODUCT(--($A$5:A19=A19))&gt;1,"Duplicate: only the first row is used",""))</f>
        <v/>
      </c>
    </row>
    <row r="20" customFormat="false" ht="15" hidden="false" customHeight="false" outlineLevel="0" collapsed="false">
      <c r="A20" s="8"/>
      <c r="B20" s="9"/>
      <c r="C20" s="8"/>
      <c r="D20" s="10" t="str">
        <f aca="false">IF(A20="","",IF(SUMPRODUCT(--($A$5:A20=A20))&gt;1,"Duplicate: only the first row is used",""))</f>
        <v/>
      </c>
    </row>
    <row r="21" customFormat="false" ht="15" hidden="false" customHeight="false" outlineLevel="0" collapsed="false">
      <c r="A21" s="8"/>
      <c r="B21" s="9"/>
      <c r="C21" s="8"/>
      <c r="D21" s="10" t="str">
        <f aca="false">IF(A21="","",IF(SUMPRODUCT(--($A$5:A21=A21))&gt;1,"Duplicate: only the first row is used",""))</f>
        <v/>
      </c>
    </row>
    <row r="22" customFormat="false" ht="15" hidden="false" customHeight="false" outlineLevel="0" collapsed="false">
      <c r="A22" s="8"/>
      <c r="B22" s="9"/>
      <c r="C22" s="8"/>
      <c r="D22" s="10" t="str">
        <f aca="false">IF(A22="","",IF(SUMPRODUCT(--($A$5:A22=A22))&gt;1,"Duplicate: only the first row is used",""))</f>
        <v/>
      </c>
    </row>
    <row r="23" customFormat="false" ht="15" hidden="false" customHeight="false" outlineLevel="0" collapsed="false">
      <c r="A23" s="8"/>
      <c r="B23" s="9"/>
      <c r="C23" s="8"/>
      <c r="D23" s="10" t="str">
        <f aca="false">IF(A23="","",IF(SUMPRODUCT(--($A$5:A23=A23))&gt;1,"Duplicate: only the first row is used",""))</f>
        <v/>
      </c>
    </row>
    <row r="24" customFormat="false" ht="15" hidden="false" customHeight="false" outlineLevel="0" collapsed="false">
      <c r="A24" s="8"/>
      <c r="B24" s="9"/>
      <c r="C24" s="8"/>
      <c r="D24" s="10" t="str">
        <f aca="false">IF(A24="","",IF(SUMPRODUCT(--($A$5:A24=A24))&gt;1,"Duplicate: only the first row is used",""))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7" min="16" style="0" width="10"/>
    <col collapsed="false" customWidth="true" hidden="false" outlineLevel="0" max="18" min="18" style="0" width="40"/>
    <col collapsed="false" customWidth="true" hidden="false" outlineLevel="0" max="19" min="19" style="0" width="15"/>
    <col collapsed="false" customWidth="true" hidden="false" outlineLevel="0" max="20" min="20" style="0" width="10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31.5" hidden="false" customHeight="true" outlineLevel="0" collapsed="false">
      <c r="A4" s="7" t="s">
        <v>34</v>
      </c>
      <c r="B4" s="7" t="s">
        <v>35</v>
      </c>
      <c r="C4" s="7" t="s">
        <v>24</v>
      </c>
      <c r="D4" s="7" t="s">
        <v>36</v>
      </c>
      <c r="E4" s="7" t="s">
        <v>37</v>
      </c>
      <c r="F4" s="7" t="s">
        <v>38</v>
      </c>
      <c r="G4" s="7" t="s">
        <v>39</v>
      </c>
      <c r="H4" s="7" t="s">
        <v>40</v>
      </c>
      <c r="I4" s="7" t="s">
        <v>41</v>
      </c>
      <c r="J4" s="7" t="s">
        <v>42</v>
      </c>
      <c r="K4" s="7" t="s">
        <v>43</v>
      </c>
      <c r="L4" s="7" t="s">
        <v>44</v>
      </c>
      <c r="M4" s="7" t="s">
        <v>45</v>
      </c>
      <c r="N4" s="7" t="s">
        <v>46</v>
      </c>
      <c r="O4" s="7" t="s">
        <v>47</v>
      </c>
      <c r="P4" s="7" t="s">
        <v>48</v>
      </c>
      <c r="Q4" s="7" t="s">
        <v>49</v>
      </c>
      <c r="R4" s="7" t="s">
        <v>27</v>
      </c>
      <c r="S4" s="7" t="s">
        <v>50</v>
      </c>
      <c r="T4" s="7" t="s">
        <v>51</v>
      </c>
    </row>
    <row r="5" customFormat="false" ht="15" hidden="false" customHeight="false" outlineLevel="0" collapsed="false">
      <c r="A5" s="11" t="n">
        <v>46266</v>
      </c>
      <c r="B5" s="8" t="s">
        <v>52</v>
      </c>
      <c r="C5" s="8" t="s">
        <v>28</v>
      </c>
      <c r="D5" s="8" t="n">
        <v>480</v>
      </c>
      <c r="E5" s="8" t="n">
        <v>40</v>
      </c>
      <c r="F5" s="8" t="n">
        <v>35</v>
      </c>
      <c r="G5" s="8" t="n">
        <v>1900</v>
      </c>
      <c r="H5" s="8" t="n">
        <v>22</v>
      </c>
      <c r="I5" s="12" t="n">
        <f aca="false">IF($T5,D5-N(E5),"")</f>
        <v>440</v>
      </c>
      <c r="J5" s="12" t="n">
        <f aca="false">IF($T5,I5-N(F5),"")</f>
        <v>405</v>
      </c>
      <c r="K5" s="13" t="n">
        <f aca="false">IF($C5="","",IF(SUMPRODUCT(--(Setup!$A$5:$A$24=$C5))&gt;0,INDEX(Setup!$B$5:$B$24,21-SUMPRODUCT(MAX((Setup!$A$5:$A$24=$C5)*(25-ROW(Setup!$A$5:$A$24))))),""))</f>
        <v>12</v>
      </c>
      <c r="L5" s="13" t="n">
        <f aca="false">IF($T5,K5*G5/60,"")</f>
        <v>380</v>
      </c>
      <c r="M5" s="12" t="n">
        <f aca="false">IF($T5,G5-N(H5),"")</f>
        <v>1878</v>
      </c>
      <c r="N5" s="14" t="n">
        <f aca="false">IF($T5,J5/I5,"")</f>
        <v>0.920454545454545</v>
      </c>
      <c r="O5" s="14" t="n">
        <f aca="false">IF(AND($T5,N(J5)&gt;0),L5/J5,"")</f>
        <v>0.938271604938272</v>
      </c>
      <c r="P5" s="14" t="n">
        <f aca="false">IF(AND($T5,N(G5)&gt;0),M5/G5,"")</f>
        <v>0.988421052631579</v>
      </c>
      <c r="Q5" s="14" t="n">
        <f aca="false">IF($T5,S5/I5,"")</f>
        <v>0.853636363636364</v>
      </c>
      <c r="R5" s="10" t="str">
        <f aca="false">IF($C5="","",IF(NOT(SUMPRODUCT(--(Setup!$A$5:$A$24=$C5))&gt;0),"Machine not in Setup",IF(OR(NOT(ISNUMBER(K5)),N(K5)&lt;=0),"Set an ideal cycle time in Setup",IF(NOT(ISNUMBER(A5)),"Enter a date",IF(OR(NOT(ISNUMBER(D5)),NOT(ISNUMBER(G5)),AND(E5&lt;&gt;"",NOT(ISNUMBER(E5))),AND(F5&lt;&gt;"",NOT(ISNUMBER(F5))),AND(H5&lt;&gt;"",NOT(ISNUMBER(H5)))),"Enter numbers: shift length and total parts are required",IF(OR(N(D5)&lt;=0,N(E5)&lt;0,N(F5)&lt;0,N(G5)&lt;0,N(H5)&lt;0),"Values must be 0 or more (shift length above 0)",IF(N(H5)&gt;N(G5),"Rejects &gt; total parts",IF(N(E5)&gt;=N(D5),"Planned stops &gt;= shift length",IF(N(F5)&gt;N(D5)-N(E5),"Downtime &gt; planned time",IF(AND(ISNUMBER(O5),O5&gt;1),"Check: performance above 100%","OK"))))))))))</f>
        <v>OK</v>
      </c>
      <c r="S5" s="13" t="n">
        <f aca="false">IF($T5,K5*M5/60,"")</f>
        <v>375.6</v>
      </c>
      <c r="T5" s="15" t="b">
        <f aca="false">IF($C5="",FALSE(),AND(SUMPRODUCT(--(Setup!$A$5:$A$24=$C5))&gt;0,ISNUMBER(A5),ISNUMBER(K5),N(K5)&gt;0,ISNUMBER(D5),N(D5)&gt;0,ISNUMBER(G5),N(G5)&gt;=0,OR(E5="",ISNUMBER(E5)),OR(F5="",ISNUMBER(F5)),OR(H5="",ISNUMBER(H5)),N(E5)&gt;=0,N(F5)&gt;=0,N(H5)&gt;=0,N(H5)&lt;=N(G5),N(E5)&lt;N(D5),N(F5)&lt;=N(D5)-N(E5)))</f>
        <v>1</v>
      </c>
    </row>
    <row r="6" customFormat="false" ht="15" hidden="false" customHeight="false" outlineLevel="0" collapsed="false">
      <c r="A6" s="11" t="n">
        <v>46266</v>
      </c>
      <c r="B6" s="8" t="s">
        <v>52</v>
      </c>
      <c r="C6" s="8" t="s">
        <v>30</v>
      </c>
      <c r="D6" s="8" t="n">
        <v>480</v>
      </c>
      <c r="E6" s="8" t="n">
        <v>40</v>
      </c>
      <c r="F6" s="8" t="n">
        <v>60</v>
      </c>
      <c r="G6" s="8" t="n">
        <v>210</v>
      </c>
      <c r="H6" s="8" t="n">
        <v>4</v>
      </c>
      <c r="I6" s="12" t="n">
        <f aca="false">IF($T6,D6-N(E6),"")</f>
        <v>440</v>
      </c>
      <c r="J6" s="12" t="n">
        <f aca="false">IF($T6,I6-N(F6),"")</f>
        <v>380</v>
      </c>
      <c r="K6" s="13" t="n">
        <f aca="false">IF($C6="","",IF(SUMPRODUCT(--(Setup!$A$5:$A$24=$C6))&gt;0,INDEX(Setup!$B$5:$B$24,21-SUMPRODUCT(MAX((Setup!$A$5:$A$24=$C6)*(25-ROW(Setup!$A$5:$A$24))))),""))</f>
        <v>95</v>
      </c>
      <c r="L6" s="13" t="n">
        <f aca="false">IF($T6,K6*G6/60,"")</f>
        <v>332.5</v>
      </c>
      <c r="M6" s="12" t="n">
        <f aca="false">IF($T6,G6-N(H6),"")</f>
        <v>206</v>
      </c>
      <c r="N6" s="14" t="n">
        <f aca="false">IF($T6,J6/I6,"")</f>
        <v>0.863636363636364</v>
      </c>
      <c r="O6" s="14" t="n">
        <f aca="false">IF(AND($T6,N(J6)&gt;0),L6/J6,"")</f>
        <v>0.875</v>
      </c>
      <c r="P6" s="14" t="n">
        <f aca="false">IF(AND($T6,N(G6)&gt;0),M6/G6,"")</f>
        <v>0.980952380952381</v>
      </c>
      <c r="Q6" s="14" t="n">
        <f aca="false">IF($T6,S6/I6,"")</f>
        <v>0.741287878787879</v>
      </c>
      <c r="R6" s="10" t="str">
        <f aca="false">IF($C6="","",IF(NOT(SUMPRODUCT(--(Setup!$A$5:$A$24=$C6))&gt;0),"Machine not in Setup",IF(OR(NOT(ISNUMBER(K6)),N(K6)&lt;=0),"Set an ideal cycle time in Setup",IF(NOT(ISNUMBER(A6)),"Enter a date",IF(OR(NOT(ISNUMBER(D6)),NOT(ISNUMBER(G6)),AND(E6&lt;&gt;"",NOT(ISNUMBER(E6))),AND(F6&lt;&gt;"",NOT(ISNUMBER(F6))),AND(H6&lt;&gt;"",NOT(ISNUMBER(H6)))),"Enter numbers: shift length and total parts are required",IF(OR(N(D6)&lt;=0,N(E6)&lt;0,N(F6)&lt;0,N(G6)&lt;0,N(H6)&lt;0),"Values must be 0 or more (shift length above 0)",IF(N(H6)&gt;N(G6),"Rejects &gt; total parts",IF(N(E6)&gt;=N(D6),"Planned stops &gt;= shift length",IF(N(F6)&gt;N(D6)-N(E6),"Downtime &gt; planned time",IF(AND(ISNUMBER(O6),O6&gt;1),"Check: performance above 100%","OK"))))))))))</f>
        <v>OK</v>
      </c>
      <c r="S6" s="13" t="n">
        <f aca="false">IF($T6,K6*M6/60,"")</f>
        <v>326.166666666667</v>
      </c>
      <c r="T6" s="15" t="b">
        <f aca="false">IF($C6="",FALSE(),AND(SUMPRODUCT(--(Setup!$A$5:$A$24=$C6))&gt;0,ISNUMBER(A6),ISNUMBER(K6),N(K6)&gt;0,ISNUMBER(D6),N(D6)&gt;0,ISNUMBER(G6),N(G6)&gt;=0,OR(E6="",ISNUMBER(E6)),OR(F6="",ISNUMBER(F6)),OR(H6="",ISNUMBER(H6)),N(E6)&gt;=0,N(F6)&gt;=0,N(H6)&gt;=0,N(H6)&lt;=N(G6),N(E6)&lt;N(D6),N(F6)&lt;=N(D6)-N(E6)))</f>
        <v>1</v>
      </c>
    </row>
    <row r="7" customFormat="false" ht="15" hidden="false" customHeight="false" outlineLevel="0" collapsed="false">
      <c r="A7" s="11" t="n">
        <v>46266</v>
      </c>
      <c r="B7" s="8" t="s">
        <v>52</v>
      </c>
      <c r="C7" s="8" t="s">
        <v>31</v>
      </c>
      <c r="D7" s="8" t="n">
        <v>480</v>
      </c>
      <c r="E7" s="8" t="n">
        <v>40</v>
      </c>
      <c r="F7" s="8" t="n">
        <v>25</v>
      </c>
      <c r="G7" s="8" t="n">
        <v>9200</v>
      </c>
      <c r="H7" s="8" t="n">
        <v>150</v>
      </c>
      <c r="I7" s="12" t="n">
        <f aca="false">IF($T7,D7-N(E7),"")</f>
        <v>440</v>
      </c>
      <c r="J7" s="12" t="n">
        <f aca="false">IF($T7,I7-N(F7),"")</f>
        <v>415</v>
      </c>
      <c r="K7" s="13" t="n">
        <f aca="false">IF($C7="","",IF(SUMPRODUCT(--(Setup!$A$5:$A$24=$C7))&gt;0,INDEX(Setup!$B$5:$B$24,21-SUMPRODUCT(MAX((Setup!$A$5:$A$24=$C7)*(25-ROW(Setup!$A$5:$A$24))))),""))</f>
        <v>2.5</v>
      </c>
      <c r="L7" s="13" t="n">
        <f aca="false">IF($T7,K7*G7/60,"")</f>
        <v>383.333333333333</v>
      </c>
      <c r="M7" s="12" t="n">
        <f aca="false">IF($T7,G7-N(H7),"")</f>
        <v>9050</v>
      </c>
      <c r="N7" s="14" t="n">
        <f aca="false">IF($T7,J7/I7,"")</f>
        <v>0.943181818181818</v>
      </c>
      <c r="O7" s="14" t="n">
        <f aca="false">IF(AND($T7,N(J7)&gt;0),L7/J7,"")</f>
        <v>0.923694779116466</v>
      </c>
      <c r="P7" s="14" t="n">
        <f aca="false">IF(AND($T7,N(G7)&gt;0),M7/G7,"")</f>
        <v>0.983695652173913</v>
      </c>
      <c r="Q7" s="14" t="n">
        <f aca="false">IF($T7,S7/I7,"")</f>
        <v>0.857007575757576</v>
      </c>
      <c r="R7" s="10" t="str">
        <f aca="false">IF($C7="","",IF(NOT(SUMPRODUCT(--(Setup!$A$5:$A$24=$C7))&gt;0),"Machine not in Setup",IF(OR(NOT(ISNUMBER(K7)),N(K7)&lt;=0),"Set an ideal cycle time in Setup",IF(NOT(ISNUMBER(A7)),"Enter a date",IF(OR(NOT(ISNUMBER(D7)),NOT(ISNUMBER(G7)),AND(E7&lt;&gt;"",NOT(ISNUMBER(E7))),AND(F7&lt;&gt;"",NOT(ISNUMBER(F7))),AND(H7&lt;&gt;"",NOT(ISNUMBER(H7)))),"Enter numbers: shift length and total parts are required",IF(OR(N(D7)&lt;=0,N(E7)&lt;0,N(F7)&lt;0,N(G7)&lt;0,N(H7)&lt;0),"Values must be 0 or more (shift length above 0)",IF(N(H7)&gt;N(G7),"Rejects &gt; total parts",IF(N(E7)&gt;=N(D7),"Planned stops &gt;= shift length",IF(N(F7)&gt;N(D7)-N(E7),"Downtime &gt; planned time",IF(AND(ISNUMBER(O7),O7&gt;1),"Check: performance above 100%","OK"))))))))))</f>
        <v>OK</v>
      </c>
      <c r="S7" s="13" t="n">
        <f aca="false">IF($T7,K7*M7/60,"")</f>
        <v>377.083333333333</v>
      </c>
      <c r="T7" s="15" t="b">
        <f aca="false">IF($C7="",FALSE(),AND(SUMPRODUCT(--(Setup!$A$5:$A$24=$C7))&gt;0,ISNUMBER(A7),ISNUMBER(K7),N(K7)&gt;0,ISNUMBER(D7),N(D7)&gt;0,ISNUMBER(G7),N(G7)&gt;=0,OR(E7="",ISNUMBER(E7)),OR(F7="",ISNUMBER(F7)),OR(H7="",ISNUMBER(H7)),N(E7)&gt;=0,N(F7)&gt;=0,N(H7)&gt;=0,N(H7)&lt;=N(G7),N(E7)&lt;N(D7),N(F7)&lt;=N(D7)-N(E7)))</f>
        <v>1</v>
      </c>
    </row>
    <row r="8" customFormat="false" ht="15" hidden="false" customHeight="false" outlineLevel="0" collapsed="false">
      <c r="A8" s="11" t="n">
        <v>46267</v>
      </c>
      <c r="B8" s="8" t="s">
        <v>52</v>
      </c>
      <c r="C8" s="8" t="s">
        <v>28</v>
      </c>
      <c r="D8" s="8" t="n">
        <v>480</v>
      </c>
      <c r="E8" s="8" t="n">
        <v>40</v>
      </c>
      <c r="F8" s="8" t="n">
        <v>90</v>
      </c>
      <c r="G8" s="8" t="n">
        <v>1500</v>
      </c>
      <c r="H8" s="8" t="n">
        <v>30</v>
      </c>
      <c r="I8" s="12" t="n">
        <f aca="false">IF($T8,D8-N(E8),"")</f>
        <v>440</v>
      </c>
      <c r="J8" s="12" t="n">
        <f aca="false">IF($T8,I8-N(F8),"")</f>
        <v>350</v>
      </c>
      <c r="K8" s="13" t="n">
        <f aca="false">IF($C8="","",IF(SUMPRODUCT(--(Setup!$A$5:$A$24=$C8))&gt;0,INDEX(Setup!$B$5:$B$24,21-SUMPRODUCT(MAX((Setup!$A$5:$A$24=$C8)*(25-ROW(Setup!$A$5:$A$24))))),""))</f>
        <v>12</v>
      </c>
      <c r="L8" s="13" t="n">
        <f aca="false">IF($T8,K8*G8/60,"")</f>
        <v>300</v>
      </c>
      <c r="M8" s="12" t="n">
        <f aca="false">IF($T8,G8-N(H8),"")</f>
        <v>1470</v>
      </c>
      <c r="N8" s="14" t="n">
        <f aca="false">IF($T8,J8/I8,"")</f>
        <v>0.795454545454545</v>
      </c>
      <c r="O8" s="14" t="n">
        <f aca="false">IF(AND($T8,N(J8)&gt;0),L8/J8,"")</f>
        <v>0.857142857142857</v>
      </c>
      <c r="P8" s="14" t="n">
        <f aca="false">IF(AND($T8,N(G8)&gt;0),M8/G8,"")</f>
        <v>0.98</v>
      </c>
      <c r="Q8" s="14" t="n">
        <f aca="false">IF($T8,S8/I8,"")</f>
        <v>0.668181818181818</v>
      </c>
      <c r="R8" s="10" t="str">
        <f aca="false">IF($C8="","",IF(NOT(SUMPRODUCT(--(Setup!$A$5:$A$24=$C8))&gt;0),"Machine not in Setup",IF(OR(NOT(ISNUMBER(K8)),N(K8)&lt;=0),"Set an ideal cycle time in Setup",IF(NOT(ISNUMBER(A8)),"Enter a date",IF(OR(NOT(ISNUMBER(D8)),NOT(ISNUMBER(G8)),AND(E8&lt;&gt;"",NOT(ISNUMBER(E8))),AND(F8&lt;&gt;"",NOT(ISNUMBER(F8))),AND(H8&lt;&gt;"",NOT(ISNUMBER(H8)))),"Enter numbers: shift length and total parts are required",IF(OR(N(D8)&lt;=0,N(E8)&lt;0,N(F8)&lt;0,N(G8)&lt;0,N(H8)&lt;0),"Values must be 0 or more (shift length above 0)",IF(N(H8)&gt;N(G8),"Rejects &gt; total parts",IF(N(E8)&gt;=N(D8),"Planned stops &gt;= shift length",IF(N(F8)&gt;N(D8)-N(E8),"Downtime &gt; planned time",IF(AND(ISNUMBER(O8),O8&gt;1),"Check: performance above 100%","OK"))))))))))</f>
        <v>OK</v>
      </c>
      <c r="S8" s="13" t="n">
        <f aca="false">IF($T8,K8*M8/60,"")</f>
        <v>294</v>
      </c>
      <c r="T8" s="15" t="b">
        <f aca="false">IF($C8="",FALSE(),AND(SUMPRODUCT(--(Setup!$A$5:$A$24=$C8))&gt;0,ISNUMBER(A8),ISNUMBER(K8),N(K8)&gt;0,ISNUMBER(D8),N(D8)&gt;0,ISNUMBER(G8),N(G8)&gt;=0,OR(E8="",ISNUMBER(E8)),OR(F8="",ISNUMBER(F8)),OR(H8="",ISNUMBER(H8)),N(E8)&gt;=0,N(F8)&gt;=0,N(H8)&gt;=0,N(H8)&lt;=N(G8),N(E8)&lt;N(D8),N(F8)&lt;=N(D8)-N(E8)))</f>
        <v>1</v>
      </c>
    </row>
    <row r="9" customFormat="false" ht="15" hidden="false" customHeight="false" outlineLevel="0" collapsed="false">
      <c r="A9" s="11" t="n">
        <v>46267</v>
      </c>
      <c r="B9" s="8" t="s">
        <v>52</v>
      </c>
      <c r="C9" s="8" t="s">
        <v>30</v>
      </c>
      <c r="D9" s="8" t="n">
        <v>480</v>
      </c>
      <c r="E9" s="8" t="n">
        <v>40</v>
      </c>
      <c r="F9" s="8" t="n">
        <v>20</v>
      </c>
      <c r="G9" s="8" t="n">
        <v>240</v>
      </c>
      <c r="H9" s="8" t="n">
        <v>2</v>
      </c>
      <c r="I9" s="12" t="n">
        <f aca="false">IF($T9,D9-N(E9),"")</f>
        <v>440</v>
      </c>
      <c r="J9" s="12" t="n">
        <f aca="false">IF($T9,I9-N(F9),"")</f>
        <v>420</v>
      </c>
      <c r="K9" s="13" t="n">
        <f aca="false">IF($C9="","",IF(SUMPRODUCT(--(Setup!$A$5:$A$24=$C9))&gt;0,INDEX(Setup!$B$5:$B$24,21-SUMPRODUCT(MAX((Setup!$A$5:$A$24=$C9)*(25-ROW(Setup!$A$5:$A$24))))),""))</f>
        <v>95</v>
      </c>
      <c r="L9" s="13" t="n">
        <f aca="false">IF($T9,K9*G9/60,"")</f>
        <v>380</v>
      </c>
      <c r="M9" s="12" t="n">
        <f aca="false">IF($T9,G9-N(H9),"")</f>
        <v>238</v>
      </c>
      <c r="N9" s="14" t="n">
        <f aca="false">IF($T9,J9/I9,"")</f>
        <v>0.954545454545455</v>
      </c>
      <c r="O9" s="14" t="n">
        <f aca="false">IF(AND($T9,N(J9)&gt;0),L9/J9,"")</f>
        <v>0.904761904761905</v>
      </c>
      <c r="P9" s="14" t="n">
        <f aca="false">IF(AND($T9,N(G9)&gt;0),M9/G9,"")</f>
        <v>0.991666666666667</v>
      </c>
      <c r="Q9" s="14" t="n">
        <f aca="false">IF($T9,S9/I9,"")</f>
        <v>0.856439393939394</v>
      </c>
      <c r="R9" s="10" t="str">
        <f aca="false">IF($C9="","",IF(NOT(SUMPRODUCT(--(Setup!$A$5:$A$24=$C9))&gt;0),"Machine not in Setup",IF(OR(NOT(ISNUMBER(K9)),N(K9)&lt;=0),"Set an ideal cycle time in Setup",IF(NOT(ISNUMBER(A9)),"Enter a date",IF(OR(NOT(ISNUMBER(D9)),NOT(ISNUMBER(G9)),AND(E9&lt;&gt;"",NOT(ISNUMBER(E9))),AND(F9&lt;&gt;"",NOT(ISNUMBER(F9))),AND(H9&lt;&gt;"",NOT(ISNUMBER(H9)))),"Enter numbers: shift length and total parts are required",IF(OR(N(D9)&lt;=0,N(E9)&lt;0,N(F9)&lt;0,N(G9)&lt;0,N(H9)&lt;0),"Values must be 0 or more (shift length above 0)",IF(N(H9)&gt;N(G9),"Rejects &gt; total parts",IF(N(E9)&gt;=N(D9),"Planned stops &gt;= shift length",IF(N(F9)&gt;N(D9)-N(E9),"Downtime &gt; planned time",IF(AND(ISNUMBER(O9),O9&gt;1),"Check: performance above 100%","OK"))))))))))</f>
        <v>OK</v>
      </c>
      <c r="S9" s="13" t="n">
        <f aca="false">IF($T9,K9*M9/60,"")</f>
        <v>376.833333333333</v>
      </c>
      <c r="T9" s="15" t="b">
        <f aca="false">IF($C9="",FALSE(),AND(SUMPRODUCT(--(Setup!$A$5:$A$24=$C9))&gt;0,ISNUMBER(A9),ISNUMBER(K9),N(K9)&gt;0,ISNUMBER(D9),N(D9)&gt;0,ISNUMBER(G9),N(G9)&gt;=0,OR(E9="",ISNUMBER(E9)),OR(F9="",ISNUMBER(F9)),OR(H9="",ISNUMBER(H9)),N(E9)&gt;=0,N(F9)&gt;=0,N(H9)&gt;=0,N(H9)&lt;=N(G9),N(E9)&lt;N(D9),N(F9)&lt;=N(D9)-N(E9)))</f>
        <v>1</v>
      </c>
    </row>
    <row r="10" customFormat="false" ht="15" hidden="false" customHeight="false" outlineLevel="0" collapsed="false">
      <c r="A10" s="11" t="n">
        <v>46267</v>
      </c>
      <c r="B10" s="8" t="s">
        <v>52</v>
      </c>
      <c r="C10" s="8" t="s">
        <v>31</v>
      </c>
      <c r="D10" s="8" t="n">
        <v>480</v>
      </c>
      <c r="E10" s="8" t="n">
        <v>40</v>
      </c>
      <c r="F10" s="8" t="n">
        <v>55</v>
      </c>
      <c r="G10" s="8" t="n">
        <v>8400</v>
      </c>
      <c r="H10" s="8" t="n">
        <v>95</v>
      </c>
      <c r="I10" s="12" t="n">
        <f aca="false">IF($T10,D10-N(E10),"")</f>
        <v>440</v>
      </c>
      <c r="J10" s="12" t="n">
        <f aca="false">IF($T10,I10-N(F10),"")</f>
        <v>385</v>
      </c>
      <c r="K10" s="13" t="n">
        <f aca="false">IF($C10="","",IF(SUMPRODUCT(--(Setup!$A$5:$A$24=$C10))&gt;0,INDEX(Setup!$B$5:$B$24,21-SUMPRODUCT(MAX((Setup!$A$5:$A$24=$C10)*(25-ROW(Setup!$A$5:$A$24))))),""))</f>
        <v>2.5</v>
      </c>
      <c r="L10" s="13" t="n">
        <f aca="false">IF($T10,K10*G10/60,"")</f>
        <v>350</v>
      </c>
      <c r="M10" s="12" t="n">
        <f aca="false">IF($T10,G10-N(H10),"")</f>
        <v>8305</v>
      </c>
      <c r="N10" s="14" t="n">
        <f aca="false">IF($T10,J10/I10,"")</f>
        <v>0.875</v>
      </c>
      <c r="O10" s="14" t="n">
        <f aca="false">IF(AND($T10,N(J10)&gt;0),L10/J10,"")</f>
        <v>0.909090909090909</v>
      </c>
      <c r="P10" s="14" t="n">
        <f aca="false">IF(AND($T10,N(G10)&gt;0),M10/G10,"")</f>
        <v>0.988690476190476</v>
      </c>
      <c r="Q10" s="14" t="n">
        <f aca="false">IF($T10,S10/I10,"")</f>
        <v>0.786458333333333</v>
      </c>
      <c r="R10" s="10" t="str">
        <f aca="false">IF($C10="","",IF(NOT(SUMPRODUCT(--(Setup!$A$5:$A$24=$C10))&gt;0),"Machine not in Setup",IF(OR(NOT(ISNUMBER(K10)),N(K10)&lt;=0),"Set an ideal cycle time in Setup",IF(NOT(ISNUMBER(A10)),"Enter a date",IF(OR(NOT(ISNUMBER(D10)),NOT(ISNUMBER(G10)),AND(E10&lt;&gt;"",NOT(ISNUMBER(E10))),AND(F10&lt;&gt;"",NOT(ISNUMBER(F10))),AND(H10&lt;&gt;"",NOT(ISNUMBER(H10)))),"Enter numbers: shift length and total parts are required",IF(OR(N(D10)&lt;=0,N(E10)&lt;0,N(F10)&lt;0,N(G10)&lt;0,N(H10)&lt;0),"Values must be 0 or more (shift length above 0)",IF(N(H10)&gt;N(G10),"Rejects &gt; total parts",IF(N(E10)&gt;=N(D10),"Planned stops &gt;= shift length",IF(N(F10)&gt;N(D10)-N(E10),"Downtime &gt; planned time",IF(AND(ISNUMBER(O10),O10&gt;1),"Check: performance above 100%","OK"))))))))))</f>
        <v>OK</v>
      </c>
      <c r="S10" s="13" t="n">
        <f aca="false">IF($T10,K10*M10/60,"")</f>
        <v>346.041666666667</v>
      </c>
      <c r="T10" s="15" t="b">
        <f aca="false">IF($C10="",FALSE(),AND(SUMPRODUCT(--(Setup!$A$5:$A$24=$C10))&gt;0,ISNUMBER(A10),ISNUMBER(K10),N(K10)&gt;0,ISNUMBER(D10),N(D10)&gt;0,ISNUMBER(G10),N(G10)&gt;=0,OR(E10="",ISNUMBER(E10)),OR(F10="",ISNUMBER(F10)),OR(H10="",ISNUMBER(H10)),N(E10)&gt;=0,N(F10)&gt;=0,N(H10)&gt;=0,N(H10)&lt;=N(G10),N(E10)&lt;N(D10),N(F10)&lt;=N(D10)-N(E10)))</f>
        <v>1</v>
      </c>
    </row>
    <row r="11" customFormat="false" ht="15" hidden="false" customHeight="false" outlineLevel="0" collapsed="false">
      <c r="A11" s="11"/>
      <c r="B11" s="8"/>
      <c r="C11" s="8"/>
      <c r="D11" s="8"/>
      <c r="E11" s="8"/>
      <c r="F11" s="8"/>
      <c r="G11" s="8"/>
      <c r="H11" s="8"/>
      <c r="I11" s="12" t="str">
        <f aca="false">IF($T11,D11-N(E11),"")</f>
        <v/>
      </c>
      <c r="J11" s="12" t="str">
        <f aca="false">IF($T11,I11-N(F11),"")</f>
        <v/>
      </c>
      <c r="K11" s="13" t="str">
        <f aca="false">IF($C11="","",IF(SUMPRODUCT(--(Setup!$A$5:$A$24=$C11))&gt;0,INDEX(Setup!$B$5:$B$24,21-SUMPRODUCT(MAX((Setup!$A$5:$A$24=$C11)*(25-ROW(Setup!$A$5:$A$24))))),""))</f>
        <v/>
      </c>
      <c r="L11" s="13" t="str">
        <f aca="false">IF($T11,K11*G11/60,"")</f>
        <v/>
      </c>
      <c r="M11" s="12" t="str">
        <f aca="false">IF($T11,G11-N(H11),"")</f>
        <v/>
      </c>
      <c r="N11" s="14" t="str">
        <f aca="false">IF($T11,J11/I11,"")</f>
        <v/>
      </c>
      <c r="O11" s="14" t="str">
        <f aca="false">IF(AND($T11,N(J11)&gt;0),L11/J11,"")</f>
        <v/>
      </c>
      <c r="P11" s="14" t="str">
        <f aca="false">IF(AND($T11,N(G11)&gt;0),M11/G11,"")</f>
        <v/>
      </c>
      <c r="Q11" s="14" t="str">
        <f aca="false">IF($T11,S11/I11,"")</f>
        <v/>
      </c>
      <c r="R11" s="10" t="str">
        <f aca="false">IF($C11="","",IF(NOT(SUMPRODUCT(--(Setup!$A$5:$A$24=$C11))&gt;0),"Machine not in Setup",IF(OR(NOT(ISNUMBER(K11)),N(K11)&lt;=0),"Set an ideal cycle time in Setup",IF(NOT(ISNUMBER(A11)),"Enter a date",IF(OR(NOT(ISNUMBER(D11)),NOT(ISNUMBER(G11)),AND(E11&lt;&gt;"",NOT(ISNUMBER(E11))),AND(F11&lt;&gt;"",NOT(ISNUMBER(F11))),AND(H11&lt;&gt;"",NOT(ISNUMBER(H11)))),"Enter numbers: shift length and total parts are required",IF(OR(N(D11)&lt;=0,N(E11)&lt;0,N(F11)&lt;0,N(G11)&lt;0,N(H11)&lt;0),"Values must be 0 or more (shift length above 0)",IF(N(H11)&gt;N(G11),"Rejects &gt; total parts",IF(N(E11)&gt;=N(D11),"Planned stops &gt;= shift length",IF(N(F11)&gt;N(D11)-N(E11),"Downtime &gt; planned time",IF(AND(ISNUMBER(O11),O11&gt;1),"Check: performance above 100%","OK"))))))))))</f>
        <v/>
      </c>
      <c r="S11" s="13" t="str">
        <f aca="false">IF($T11,K11*M11/60,"")</f>
        <v/>
      </c>
      <c r="T11" s="15" t="b">
        <f aca="false">IF($C11="",FALSE(),AND(SUMPRODUCT(--(Setup!$A$5:$A$24=$C11))&gt;0,ISNUMBER(A11),ISNUMBER(K11),N(K11)&gt;0,ISNUMBER(D11),N(D11)&gt;0,ISNUMBER(G11),N(G11)&gt;=0,OR(E11="",ISNUMBER(E11)),OR(F11="",ISNUMBER(F11)),OR(H11="",ISNUMBER(H11)),N(E11)&gt;=0,N(F11)&gt;=0,N(H11)&gt;=0,N(H11)&lt;=N(G11),N(E11)&lt;N(D11),N(F11)&lt;=N(D11)-N(E11)))</f>
        <v>0</v>
      </c>
    </row>
    <row r="12" customFormat="false" ht="15" hidden="false" customHeight="false" outlineLevel="0" collapsed="false">
      <c r="A12" s="11"/>
      <c r="B12" s="8"/>
      <c r="C12" s="8"/>
      <c r="D12" s="8"/>
      <c r="E12" s="8"/>
      <c r="F12" s="8"/>
      <c r="G12" s="8"/>
      <c r="H12" s="8"/>
      <c r="I12" s="12" t="str">
        <f aca="false">IF($T12,D12-N(E12),"")</f>
        <v/>
      </c>
      <c r="J12" s="12" t="str">
        <f aca="false">IF($T12,I12-N(F12),"")</f>
        <v/>
      </c>
      <c r="K12" s="13" t="str">
        <f aca="false">IF($C12="","",IF(SUMPRODUCT(--(Setup!$A$5:$A$24=$C12))&gt;0,INDEX(Setup!$B$5:$B$24,21-SUMPRODUCT(MAX((Setup!$A$5:$A$24=$C12)*(25-ROW(Setup!$A$5:$A$24))))),""))</f>
        <v/>
      </c>
      <c r="L12" s="13" t="str">
        <f aca="false">IF($T12,K12*G12/60,"")</f>
        <v/>
      </c>
      <c r="M12" s="12" t="str">
        <f aca="false">IF($T12,G12-N(H12),"")</f>
        <v/>
      </c>
      <c r="N12" s="14" t="str">
        <f aca="false">IF($T12,J12/I12,"")</f>
        <v/>
      </c>
      <c r="O12" s="14" t="str">
        <f aca="false">IF(AND($T12,N(J12)&gt;0),L12/J12,"")</f>
        <v/>
      </c>
      <c r="P12" s="14" t="str">
        <f aca="false">IF(AND($T12,N(G12)&gt;0),M12/G12,"")</f>
        <v/>
      </c>
      <c r="Q12" s="14" t="str">
        <f aca="false">IF($T12,S12/I12,"")</f>
        <v/>
      </c>
      <c r="R12" s="10" t="str">
        <f aca="false">IF($C12="","",IF(NOT(SUMPRODUCT(--(Setup!$A$5:$A$24=$C12))&gt;0),"Machine not in Setup",IF(OR(NOT(ISNUMBER(K12)),N(K12)&lt;=0),"Set an ideal cycle time in Setup",IF(NOT(ISNUMBER(A12)),"Enter a date",IF(OR(NOT(ISNUMBER(D12)),NOT(ISNUMBER(G12)),AND(E12&lt;&gt;"",NOT(ISNUMBER(E12))),AND(F12&lt;&gt;"",NOT(ISNUMBER(F12))),AND(H12&lt;&gt;"",NOT(ISNUMBER(H12)))),"Enter numbers: shift length and total parts are required",IF(OR(N(D12)&lt;=0,N(E12)&lt;0,N(F12)&lt;0,N(G12)&lt;0,N(H12)&lt;0),"Values must be 0 or more (shift length above 0)",IF(N(H12)&gt;N(G12),"Rejects &gt; total parts",IF(N(E12)&gt;=N(D12),"Planned stops &gt;= shift length",IF(N(F12)&gt;N(D12)-N(E12),"Downtime &gt; planned time",IF(AND(ISNUMBER(O12),O12&gt;1),"Check: performance above 100%","OK"))))))))))</f>
        <v/>
      </c>
      <c r="S12" s="13" t="str">
        <f aca="false">IF($T12,K12*M12/60,"")</f>
        <v/>
      </c>
      <c r="T12" s="15" t="b">
        <f aca="false">IF($C12="",FALSE(),AND(SUMPRODUCT(--(Setup!$A$5:$A$24=$C12))&gt;0,ISNUMBER(A12),ISNUMBER(K12),N(K12)&gt;0,ISNUMBER(D12),N(D12)&gt;0,ISNUMBER(G12),N(G12)&gt;=0,OR(E12="",ISNUMBER(E12)),OR(F12="",ISNUMBER(F12)),OR(H12="",ISNUMBER(H12)),N(E12)&gt;=0,N(F12)&gt;=0,N(H12)&gt;=0,N(H12)&lt;=N(G12),N(E12)&lt;N(D12),N(F12)&lt;=N(D12)-N(E12)))</f>
        <v>0</v>
      </c>
    </row>
    <row r="13" customFormat="false" ht="15" hidden="false" customHeight="false" outlineLevel="0" collapsed="false">
      <c r="A13" s="11"/>
      <c r="B13" s="8"/>
      <c r="C13" s="8"/>
      <c r="D13" s="8"/>
      <c r="E13" s="8"/>
      <c r="F13" s="8"/>
      <c r="G13" s="8"/>
      <c r="H13" s="8"/>
      <c r="I13" s="12" t="str">
        <f aca="false">IF($T13,D13-N(E13),"")</f>
        <v/>
      </c>
      <c r="J13" s="12" t="str">
        <f aca="false">IF($T13,I13-N(F13),"")</f>
        <v/>
      </c>
      <c r="K13" s="13" t="str">
        <f aca="false">IF($C13="","",IF(SUMPRODUCT(--(Setup!$A$5:$A$24=$C13))&gt;0,INDEX(Setup!$B$5:$B$24,21-SUMPRODUCT(MAX((Setup!$A$5:$A$24=$C13)*(25-ROW(Setup!$A$5:$A$24))))),""))</f>
        <v/>
      </c>
      <c r="L13" s="13" t="str">
        <f aca="false">IF($T13,K13*G13/60,"")</f>
        <v/>
      </c>
      <c r="M13" s="12" t="str">
        <f aca="false">IF($T13,G13-N(H13),"")</f>
        <v/>
      </c>
      <c r="N13" s="14" t="str">
        <f aca="false">IF($T13,J13/I13,"")</f>
        <v/>
      </c>
      <c r="O13" s="14" t="str">
        <f aca="false">IF(AND($T13,N(J13)&gt;0),L13/J13,"")</f>
        <v/>
      </c>
      <c r="P13" s="14" t="str">
        <f aca="false">IF(AND($T13,N(G13)&gt;0),M13/G13,"")</f>
        <v/>
      </c>
      <c r="Q13" s="14" t="str">
        <f aca="false">IF($T13,S13/I13,"")</f>
        <v/>
      </c>
      <c r="R13" s="10" t="str">
        <f aca="false">IF($C13="","",IF(NOT(SUMPRODUCT(--(Setup!$A$5:$A$24=$C13))&gt;0),"Machine not in Setup",IF(OR(NOT(ISNUMBER(K13)),N(K13)&lt;=0),"Set an ideal cycle time in Setup",IF(NOT(ISNUMBER(A13)),"Enter a date",IF(OR(NOT(ISNUMBER(D13)),NOT(ISNUMBER(G13)),AND(E13&lt;&gt;"",NOT(ISNUMBER(E13))),AND(F13&lt;&gt;"",NOT(ISNUMBER(F13))),AND(H13&lt;&gt;"",NOT(ISNUMBER(H13)))),"Enter numbers: shift length and total parts are required",IF(OR(N(D13)&lt;=0,N(E13)&lt;0,N(F13)&lt;0,N(G13)&lt;0,N(H13)&lt;0),"Values must be 0 or more (shift length above 0)",IF(N(H13)&gt;N(G13),"Rejects &gt; total parts",IF(N(E13)&gt;=N(D13),"Planned stops &gt;= shift length",IF(N(F13)&gt;N(D13)-N(E13),"Downtime &gt; planned time",IF(AND(ISNUMBER(O13),O13&gt;1),"Check: performance above 100%","OK"))))))))))</f>
        <v/>
      </c>
      <c r="S13" s="13" t="str">
        <f aca="false">IF($T13,K13*M13/60,"")</f>
        <v/>
      </c>
      <c r="T13" s="15" t="b">
        <f aca="false">IF($C13="",FALSE(),AND(SUMPRODUCT(--(Setup!$A$5:$A$24=$C13))&gt;0,ISNUMBER(A13),ISNUMBER(K13),N(K13)&gt;0,ISNUMBER(D13),N(D13)&gt;0,ISNUMBER(G13),N(G13)&gt;=0,OR(E13="",ISNUMBER(E13)),OR(F13="",ISNUMBER(F13)),OR(H13="",ISNUMBER(H13)),N(E13)&gt;=0,N(F13)&gt;=0,N(H13)&gt;=0,N(H13)&lt;=N(G13),N(E13)&lt;N(D13),N(F13)&lt;=N(D13)-N(E13)))</f>
        <v>0</v>
      </c>
    </row>
    <row r="14" customFormat="false" ht="15" hidden="false" customHeight="false" outlineLevel="0" collapsed="false">
      <c r="A14" s="11"/>
      <c r="B14" s="8"/>
      <c r="C14" s="8"/>
      <c r="D14" s="8"/>
      <c r="E14" s="8"/>
      <c r="F14" s="8"/>
      <c r="G14" s="8"/>
      <c r="H14" s="8"/>
      <c r="I14" s="12" t="str">
        <f aca="false">IF($T14,D14-N(E14),"")</f>
        <v/>
      </c>
      <c r="J14" s="12" t="str">
        <f aca="false">IF($T14,I14-N(F14),"")</f>
        <v/>
      </c>
      <c r="K14" s="13" t="str">
        <f aca="false">IF($C14="","",IF(SUMPRODUCT(--(Setup!$A$5:$A$24=$C14))&gt;0,INDEX(Setup!$B$5:$B$24,21-SUMPRODUCT(MAX((Setup!$A$5:$A$24=$C14)*(25-ROW(Setup!$A$5:$A$24))))),""))</f>
        <v/>
      </c>
      <c r="L14" s="13" t="str">
        <f aca="false">IF($T14,K14*G14/60,"")</f>
        <v/>
      </c>
      <c r="M14" s="12" t="str">
        <f aca="false">IF($T14,G14-N(H14),"")</f>
        <v/>
      </c>
      <c r="N14" s="14" t="str">
        <f aca="false">IF($T14,J14/I14,"")</f>
        <v/>
      </c>
      <c r="O14" s="14" t="str">
        <f aca="false">IF(AND($T14,N(J14)&gt;0),L14/J14,"")</f>
        <v/>
      </c>
      <c r="P14" s="14" t="str">
        <f aca="false">IF(AND($T14,N(G14)&gt;0),M14/G14,"")</f>
        <v/>
      </c>
      <c r="Q14" s="14" t="str">
        <f aca="false">IF($T14,S14/I14,"")</f>
        <v/>
      </c>
      <c r="R14" s="10" t="str">
        <f aca="false">IF($C14="","",IF(NOT(SUMPRODUCT(--(Setup!$A$5:$A$24=$C14))&gt;0),"Machine not in Setup",IF(OR(NOT(ISNUMBER(K14)),N(K14)&lt;=0),"Set an ideal cycle time in Setup",IF(NOT(ISNUMBER(A14)),"Enter a date",IF(OR(NOT(ISNUMBER(D14)),NOT(ISNUMBER(G14)),AND(E14&lt;&gt;"",NOT(ISNUMBER(E14))),AND(F14&lt;&gt;"",NOT(ISNUMBER(F14))),AND(H14&lt;&gt;"",NOT(ISNUMBER(H14)))),"Enter numbers: shift length and total parts are required",IF(OR(N(D14)&lt;=0,N(E14)&lt;0,N(F14)&lt;0,N(G14)&lt;0,N(H14)&lt;0),"Values must be 0 or more (shift length above 0)",IF(N(H14)&gt;N(G14),"Rejects &gt; total parts",IF(N(E14)&gt;=N(D14),"Planned stops &gt;= shift length",IF(N(F14)&gt;N(D14)-N(E14),"Downtime &gt; planned time",IF(AND(ISNUMBER(O14),O14&gt;1),"Check: performance above 100%","OK"))))))))))</f>
        <v/>
      </c>
      <c r="S14" s="13" t="str">
        <f aca="false">IF($T14,K14*M14/60,"")</f>
        <v/>
      </c>
      <c r="T14" s="15" t="b">
        <f aca="false">IF($C14="",FALSE(),AND(SUMPRODUCT(--(Setup!$A$5:$A$24=$C14))&gt;0,ISNUMBER(A14),ISNUMBER(K14),N(K14)&gt;0,ISNUMBER(D14),N(D14)&gt;0,ISNUMBER(G14),N(G14)&gt;=0,OR(E14="",ISNUMBER(E14)),OR(F14="",ISNUMBER(F14)),OR(H14="",ISNUMBER(H14)),N(E14)&gt;=0,N(F14)&gt;=0,N(H14)&gt;=0,N(H14)&lt;=N(G14),N(E14)&lt;N(D14),N(F14)&lt;=N(D14)-N(E14)))</f>
        <v>0</v>
      </c>
    </row>
    <row r="15" customFormat="false" ht="15" hidden="false" customHeight="false" outlineLevel="0" collapsed="false">
      <c r="A15" s="11"/>
      <c r="B15" s="8"/>
      <c r="C15" s="8"/>
      <c r="D15" s="8"/>
      <c r="E15" s="8"/>
      <c r="F15" s="8"/>
      <c r="G15" s="8"/>
      <c r="H15" s="8"/>
      <c r="I15" s="12" t="str">
        <f aca="false">IF($T15,D15-N(E15),"")</f>
        <v/>
      </c>
      <c r="J15" s="12" t="str">
        <f aca="false">IF($T15,I15-N(F15),"")</f>
        <v/>
      </c>
      <c r="K15" s="13" t="str">
        <f aca="false">IF($C15="","",IF(SUMPRODUCT(--(Setup!$A$5:$A$24=$C15))&gt;0,INDEX(Setup!$B$5:$B$24,21-SUMPRODUCT(MAX((Setup!$A$5:$A$24=$C15)*(25-ROW(Setup!$A$5:$A$24))))),""))</f>
        <v/>
      </c>
      <c r="L15" s="13" t="str">
        <f aca="false">IF($T15,K15*G15/60,"")</f>
        <v/>
      </c>
      <c r="M15" s="12" t="str">
        <f aca="false">IF($T15,G15-N(H15),"")</f>
        <v/>
      </c>
      <c r="N15" s="14" t="str">
        <f aca="false">IF($T15,J15/I15,"")</f>
        <v/>
      </c>
      <c r="O15" s="14" t="str">
        <f aca="false">IF(AND($T15,N(J15)&gt;0),L15/J15,"")</f>
        <v/>
      </c>
      <c r="P15" s="14" t="str">
        <f aca="false">IF(AND($T15,N(G15)&gt;0),M15/G15,"")</f>
        <v/>
      </c>
      <c r="Q15" s="14" t="str">
        <f aca="false">IF($T15,S15/I15,"")</f>
        <v/>
      </c>
      <c r="R15" s="10" t="str">
        <f aca="false">IF($C15="","",IF(NOT(SUMPRODUCT(--(Setup!$A$5:$A$24=$C15))&gt;0),"Machine not in Setup",IF(OR(NOT(ISNUMBER(K15)),N(K15)&lt;=0),"Set an ideal cycle time in Setup",IF(NOT(ISNUMBER(A15)),"Enter a date",IF(OR(NOT(ISNUMBER(D15)),NOT(ISNUMBER(G15)),AND(E15&lt;&gt;"",NOT(ISNUMBER(E15))),AND(F15&lt;&gt;"",NOT(ISNUMBER(F15))),AND(H15&lt;&gt;"",NOT(ISNUMBER(H15)))),"Enter numbers: shift length and total parts are required",IF(OR(N(D15)&lt;=0,N(E15)&lt;0,N(F15)&lt;0,N(G15)&lt;0,N(H15)&lt;0),"Values must be 0 or more (shift length above 0)",IF(N(H15)&gt;N(G15),"Rejects &gt; total parts",IF(N(E15)&gt;=N(D15),"Planned stops &gt;= shift length",IF(N(F15)&gt;N(D15)-N(E15),"Downtime &gt; planned time",IF(AND(ISNUMBER(O15),O15&gt;1),"Check: performance above 100%","OK"))))))))))</f>
        <v/>
      </c>
      <c r="S15" s="13" t="str">
        <f aca="false">IF($T15,K15*M15/60,"")</f>
        <v/>
      </c>
      <c r="T15" s="15" t="b">
        <f aca="false">IF($C15="",FALSE(),AND(SUMPRODUCT(--(Setup!$A$5:$A$24=$C15))&gt;0,ISNUMBER(A15),ISNUMBER(K15),N(K15)&gt;0,ISNUMBER(D15),N(D15)&gt;0,ISNUMBER(G15),N(G15)&gt;=0,OR(E15="",ISNUMBER(E15)),OR(F15="",ISNUMBER(F15)),OR(H15="",ISNUMBER(H15)),N(E15)&gt;=0,N(F15)&gt;=0,N(H15)&gt;=0,N(H15)&lt;=N(G15),N(E15)&lt;N(D15),N(F15)&lt;=N(D15)-N(E15)))</f>
        <v>0</v>
      </c>
    </row>
    <row r="16" customFormat="false" ht="15" hidden="false" customHeight="false" outlineLevel="0" collapsed="false">
      <c r="A16" s="11"/>
      <c r="B16" s="8"/>
      <c r="C16" s="8"/>
      <c r="D16" s="8"/>
      <c r="E16" s="8"/>
      <c r="F16" s="8"/>
      <c r="G16" s="8"/>
      <c r="H16" s="8"/>
      <c r="I16" s="12" t="str">
        <f aca="false">IF($T16,D16-N(E16),"")</f>
        <v/>
      </c>
      <c r="J16" s="12" t="str">
        <f aca="false">IF($T16,I16-N(F16),"")</f>
        <v/>
      </c>
      <c r="K16" s="13" t="str">
        <f aca="false">IF($C16="","",IF(SUMPRODUCT(--(Setup!$A$5:$A$24=$C16))&gt;0,INDEX(Setup!$B$5:$B$24,21-SUMPRODUCT(MAX((Setup!$A$5:$A$24=$C16)*(25-ROW(Setup!$A$5:$A$24))))),""))</f>
        <v/>
      </c>
      <c r="L16" s="13" t="str">
        <f aca="false">IF($T16,K16*G16/60,"")</f>
        <v/>
      </c>
      <c r="M16" s="12" t="str">
        <f aca="false">IF($T16,G16-N(H16),"")</f>
        <v/>
      </c>
      <c r="N16" s="14" t="str">
        <f aca="false">IF($T16,J16/I16,"")</f>
        <v/>
      </c>
      <c r="O16" s="14" t="str">
        <f aca="false">IF(AND($T16,N(J16)&gt;0),L16/J16,"")</f>
        <v/>
      </c>
      <c r="P16" s="14" t="str">
        <f aca="false">IF(AND($T16,N(G16)&gt;0),M16/G16,"")</f>
        <v/>
      </c>
      <c r="Q16" s="14" t="str">
        <f aca="false">IF($T16,S16/I16,"")</f>
        <v/>
      </c>
      <c r="R16" s="10" t="str">
        <f aca="false">IF($C16="","",IF(NOT(SUMPRODUCT(--(Setup!$A$5:$A$24=$C16))&gt;0),"Machine not in Setup",IF(OR(NOT(ISNUMBER(K16)),N(K16)&lt;=0),"Set an ideal cycle time in Setup",IF(NOT(ISNUMBER(A16)),"Enter a date",IF(OR(NOT(ISNUMBER(D16)),NOT(ISNUMBER(G16)),AND(E16&lt;&gt;"",NOT(ISNUMBER(E16))),AND(F16&lt;&gt;"",NOT(ISNUMBER(F16))),AND(H16&lt;&gt;"",NOT(ISNUMBER(H16)))),"Enter numbers: shift length and total parts are required",IF(OR(N(D16)&lt;=0,N(E16)&lt;0,N(F16)&lt;0,N(G16)&lt;0,N(H16)&lt;0),"Values must be 0 or more (shift length above 0)",IF(N(H16)&gt;N(G16),"Rejects &gt; total parts",IF(N(E16)&gt;=N(D16),"Planned stops &gt;= shift length",IF(N(F16)&gt;N(D16)-N(E16),"Downtime &gt; planned time",IF(AND(ISNUMBER(O16),O16&gt;1),"Check: performance above 100%","OK"))))))))))</f>
        <v/>
      </c>
      <c r="S16" s="13" t="str">
        <f aca="false">IF($T16,K16*M16/60,"")</f>
        <v/>
      </c>
      <c r="T16" s="15" t="b">
        <f aca="false">IF($C16="",FALSE(),AND(SUMPRODUCT(--(Setup!$A$5:$A$24=$C16))&gt;0,ISNUMBER(A16),ISNUMBER(K16),N(K16)&gt;0,ISNUMBER(D16),N(D16)&gt;0,ISNUMBER(G16),N(G16)&gt;=0,OR(E16="",ISNUMBER(E16)),OR(F16="",ISNUMBER(F16)),OR(H16="",ISNUMBER(H16)),N(E16)&gt;=0,N(F16)&gt;=0,N(H16)&gt;=0,N(H16)&lt;=N(G16),N(E16)&lt;N(D16),N(F16)&lt;=N(D16)-N(E16)))</f>
        <v>0</v>
      </c>
    </row>
    <row r="17" customFormat="false" ht="15" hidden="false" customHeight="false" outlineLevel="0" collapsed="false">
      <c r="A17" s="11"/>
      <c r="B17" s="8"/>
      <c r="C17" s="8"/>
      <c r="D17" s="8"/>
      <c r="E17" s="8"/>
      <c r="F17" s="8"/>
      <c r="G17" s="8"/>
      <c r="H17" s="8"/>
      <c r="I17" s="12" t="str">
        <f aca="false">IF($T17,D17-N(E17),"")</f>
        <v/>
      </c>
      <c r="J17" s="12" t="str">
        <f aca="false">IF($T17,I17-N(F17),"")</f>
        <v/>
      </c>
      <c r="K17" s="13" t="str">
        <f aca="false">IF($C17="","",IF(SUMPRODUCT(--(Setup!$A$5:$A$24=$C17))&gt;0,INDEX(Setup!$B$5:$B$24,21-SUMPRODUCT(MAX((Setup!$A$5:$A$24=$C17)*(25-ROW(Setup!$A$5:$A$24))))),""))</f>
        <v/>
      </c>
      <c r="L17" s="13" t="str">
        <f aca="false">IF($T17,K17*G17/60,"")</f>
        <v/>
      </c>
      <c r="M17" s="12" t="str">
        <f aca="false">IF($T17,G17-N(H17),"")</f>
        <v/>
      </c>
      <c r="N17" s="14" t="str">
        <f aca="false">IF($T17,J17/I17,"")</f>
        <v/>
      </c>
      <c r="O17" s="14" t="str">
        <f aca="false">IF(AND($T17,N(J17)&gt;0),L17/J17,"")</f>
        <v/>
      </c>
      <c r="P17" s="14" t="str">
        <f aca="false">IF(AND($T17,N(G17)&gt;0),M17/G17,"")</f>
        <v/>
      </c>
      <c r="Q17" s="14" t="str">
        <f aca="false">IF($T17,S17/I17,"")</f>
        <v/>
      </c>
      <c r="R17" s="10" t="str">
        <f aca="false">IF($C17="","",IF(NOT(SUMPRODUCT(--(Setup!$A$5:$A$24=$C17))&gt;0),"Machine not in Setup",IF(OR(NOT(ISNUMBER(K17)),N(K17)&lt;=0),"Set an ideal cycle time in Setup",IF(NOT(ISNUMBER(A17)),"Enter a date",IF(OR(NOT(ISNUMBER(D17)),NOT(ISNUMBER(G17)),AND(E17&lt;&gt;"",NOT(ISNUMBER(E17))),AND(F17&lt;&gt;"",NOT(ISNUMBER(F17))),AND(H17&lt;&gt;"",NOT(ISNUMBER(H17)))),"Enter numbers: shift length and total parts are required",IF(OR(N(D17)&lt;=0,N(E17)&lt;0,N(F17)&lt;0,N(G17)&lt;0,N(H17)&lt;0),"Values must be 0 or more (shift length above 0)",IF(N(H17)&gt;N(G17),"Rejects &gt; total parts",IF(N(E17)&gt;=N(D17),"Planned stops &gt;= shift length",IF(N(F17)&gt;N(D17)-N(E17),"Downtime &gt; planned time",IF(AND(ISNUMBER(O17),O17&gt;1),"Check: performance above 100%","OK"))))))))))</f>
        <v/>
      </c>
      <c r="S17" s="13" t="str">
        <f aca="false">IF($T17,K17*M17/60,"")</f>
        <v/>
      </c>
      <c r="T17" s="15" t="b">
        <f aca="false">IF($C17="",FALSE(),AND(SUMPRODUCT(--(Setup!$A$5:$A$24=$C17))&gt;0,ISNUMBER(A17),ISNUMBER(K17),N(K17)&gt;0,ISNUMBER(D17),N(D17)&gt;0,ISNUMBER(G17),N(G17)&gt;=0,OR(E17="",ISNUMBER(E17)),OR(F17="",ISNUMBER(F17)),OR(H17="",ISNUMBER(H17)),N(E17)&gt;=0,N(F17)&gt;=0,N(H17)&gt;=0,N(H17)&lt;=N(G17),N(E17)&lt;N(D17),N(F17)&lt;=N(D17)-N(E17)))</f>
        <v>0</v>
      </c>
    </row>
    <row r="18" customFormat="false" ht="15" hidden="false" customHeight="false" outlineLevel="0" collapsed="false">
      <c r="A18" s="11"/>
      <c r="B18" s="8"/>
      <c r="C18" s="8"/>
      <c r="D18" s="8"/>
      <c r="E18" s="8"/>
      <c r="F18" s="8"/>
      <c r="G18" s="8"/>
      <c r="H18" s="8"/>
      <c r="I18" s="12" t="str">
        <f aca="false">IF($T18,D18-N(E18),"")</f>
        <v/>
      </c>
      <c r="J18" s="12" t="str">
        <f aca="false">IF($T18,I18-N(F18),"")</f>
        <v/>
      </c>
      <c r="K18" s="13" t="str">
        <f aca="false">IF($C18="","",IF(SUMPRODUCT(--(Setup!$A$5:$A$24=$C18))&gt;0,INDEX(Setup!$B$5:$B$24,21-SUMPRODUCT(MAX((Setup!$A$5:$A$24=$C18)*(25-ROW(Setup!$A$5:$A$24))))),""))</f>
        <v/>
      </c>
      <c r="L18" s="13" t="str">
        <f aca="false">IF($T18,K18*G18/60,"")</f>
        <v/>
      </c>
      <c r="M18" s="12" t="str">
        <f aca="false">IF($T18,G18-N(H18),"")</f>
        <v/>
      </c>
      <c r="N18" s="14" t="str">
        <f aca="false">IF($T18,J18/I18,"")</f>
        <v/>
      </c>
      <c r="O18" s="14" t="str">
        <f aca="false">IF(AND($T18,N(J18)&gt;0),L18/J18,"")</f>
        <v/>
      </c>
      <c r="P18" s="14" t="str">
        <f aca="false">IF(AND($T18,N(G18)&gt;0),M18/G18,"")</f>
        <v/>
      </c>
      <c r="Q18" s="14" t="str">
        <f aca="false">IF($T18,S18/I18,"")</f>
        <v/>
      </c>
      <c r="R18" s="10" t="str">
        <f aca="false">IF($C18="","",IF(NOT(SUMPRODUCT(--(Setup!$A$5:$A$24=$C18))&gt;0),"Machine not in Setup",IF(OR(NOT(ISNUMBER(K18)),N(K18)&lt;=0),"Set an ideal cycle time in Setup",IF(NOT(ISNUMBER(A18)),"Enter a date",IF(OR(NOT(ISNUMBER(D18)),NOT(ISNUMBER(G18)),AND(E18&lt;&gt;"",NOT(ISNUMBER(E18))),AND(F18&lt;&gt;"",NOT(ISNUMBER(F18))),AND(H18&lt;&gt;"",NOT(ISNUMBER(H18)))),"Enter numbers: shift length and total parts are required",IF(OR(N(D18)&lt;=0,N(E18)&lt;0,N(F18)&lt;0,N(G18)&lt;0,N(H18)&lt;0),"Values must be 0 or more (shift length above 0)",IF(N(H18)&gt;N(G18),"Rejects &gt; total parts",IF(N(E18)&gt;=N(D18),"Planned stops &gt;= shift length",IF(N(F18)&gt;N(D18)-N(E18),"Downtime &gt; planned time",IF(AND(ISNUMBER(O18),O18&gt;1),"Check: performance above 100%","OK"))))))))))</f>
        <v/>
      </c>
      <c r="S18" s="13" t="str">
        <f aca="false">IF($T18,K18*M18/60,"")</f>
        <v/>
      </c>
      <c r="T18" s="15" t="b">
        <f aca="false">IF($C18="",FALSE(),AND(SUMPRODUCT(--(Setup!$A$5:$A$24=$C18))&gt;0,ISNUMBER(A18),ISNUMBER(K18),N(K18)&gt;0,ISNUMBER(D18),N(D18)&gt;0,ISNUMBER(G18),N(G18)&gt;=0,OR(E18="",ISNUMBER(E18)),OR(F18="",ISNUMBER(F18)),OR(H18="",ISNUMBER(H18)),N(E18)&gt;=0,N(F18)&gt;=0,N(H18)&gt;=0,N(H18)&lt;=N(G18),N(E18)&lt;N(D18),N(F18)&lt;=N(D18)-N(E18)))</f>
        <v>0</v>
      </c>
    </row>
    <row r="19" customFormat="false" ht="15" hidden="false" customHeight="false" outlineLevel="0" collapsed="false">
      <c r="A19" s="11"/>
      <c r="B19" s="8"/>
      <c r="C19" s="8"/>
      <c r="D19" s="8"/>
      <c r="E19" s="8"/>
      <c r="F19" s="8"/>
      <c r="G19" s="8"/>
      <c r="H19" s="8"/>
      <c r="I19" s="12" t="str">
        <f aca="false">IF($T19,D19-N(E19),"")</f>
        <v/>
      </c>
      <c r="J19" s="12" t="str">
        <f aca="false">IF($T19,I19-N(F19),"")</f>
        <v/>
      </c>
      <c r="K19" s="13" t="str">
        <f aca="false">IF($C19="","",IF(SUMPRODUCT(--(Setup!$A$5:$A$24=$C19))&gt;0,INDEX(Setup!$B$5:$B$24,21-SUMPRODUCT(MAX((Setup!$A$5:$A$24=$C19)*(25-ROW(Setup!$A$5:$A$24))))),""))</f>
        <v/>
      </c>
      <c r="L19" s="13" t="str">
        <f aca="false">IF($T19,K19*G19/60,"")</f>
        <v/>
      </c>
      <c r="M19" s="12" t="str">
        <f aca="false">IF($T19,G19-N(H19),"")</f>
        <v/>
      </c>
      <c r="N19" s="14" t="str">
        <f aca="false">IF($T19,J19/I19,"")</f>
        <v/>
      </c>
      <c r="O19" s="14" t="str">
        <f aca="false">IF(AND($T19,N(J19)&gt;0),L19/J19,"")</f>
        <v/>
      </c>
      <c r="P19" s="14" t="str">
        <f aca="false">IF(AND($T19,N(G19)&gt;0),M19/G19,"")</f>
        <v/>
      </c>
      <c r="Q19" s="14" t="str">
        <f aca="false">IF($T19,S19/I19,"")</f>
        <v/>
      </c>
      <c r="R19" s="10" t="str">
        <f aca="false">IF($C19="","",IF(NOT(SUMPRODUCT(--(Setup!$A$5:$A$24=$C19))&gt;0),"Machine not in Setup",IF(OR(NOT(ISNUMBER(K19)),N(K19)&lt;=0),"Set an ideal cycle time in Setup",IF(NOT(ISNUMBER(A19)),"Enter a date",IF(OR(NOT(ISNUMBER(D19)),NOT(ISNUMBER(G19)),AND(E19&lt;&gt;"",NOT(ISNUMBER(E19))),AND(F19&lt;&gt;"",NOT(ISNUMBER(F19))),AND(H19&lt;&gt;"",NOT(ISNUMBER(H19)))),"Enter numbers: shift length and total parts are required",IF(OR(N(D19)&lt;=0,N(E19)&lt;0,N(F19)&lt;0,N(G19)&lt;0,N(H19)&lt;0),"Values must be 0 or more (shift length above 0)",IF(N(H19)&gt;N(G19),"Rejects &gt; total parts",IF(N(E19)&gt;=N(D19),"Planned stops &gt;= shift length",IF(N(F19)&gt;N(D19)-N(E19),"Downtime &gt; planned time",IF(AND(ISNUMBER(O19),O19&gt;1),"Check: performance above 100%","OK"))))))))))</f>
        <v/>
      </c>
      <c r="S19" s="13" t="str">
        <f aca="false">IF($T19,K19*M19/60,"")</f>
        <v/>
      </c>
      <c r="T19" s="15" t="b">
        <f aca="false">IF($C19="",FALSE(),AND(SUMPRODUCT(--(Setup!$A$5:$A$24=$C19))&gt;0,ISNUMBER(A19),ISNUMBER(K19),N(K19)&gt;0,ISNUMBER(D19),N(D19)&gt;0,ISNUMBER(G19),N(G19)&gt;=0,OR(E19="",ISNUMBER(E19)),OR(F19="",ISNUMBER(F19)),OR(H19="",ISNUMBER(H19)),N(E19)&gt;=0,N(F19)&gt;=0,N(H19)&gt;=0,N(H19)&lt;=N(G19),N(E19)&lt;N(D19),N(F19)&lt;=N(D19)-N(E19)))</f>
        <v>0</v>
      </c>
    </row>
    <row r="20" customFormat="false" ht="15" hidden="false" customHeight="false" outlineLevel="0" collapsed="false">
      <c r="A20" s="11"/>
      <c r="B20" s="8"/>
      <c r="C20" s="8"/>
      <c r="D20" s="8"/>
      <c r="E20" s="8"/>
      <c r="F20" s="8"/>
      <c r="G20" s="8"/>
      <c r="H20" s="8"/>
      <c r="I20" s="12" t="str">
        <f aca="false">IF($T20,D20-N(E20),"")</f>
        <v/>
      </c>
      <c r="J20" s="12" t="str">
        <f aca="false">IF($T20,I20-N(F20),"")</f>
        <v/>
      </c>
      <c r="K20" s="13" t="str">
        <f aca="false">IF($C20="","",IF(SUMPRODUCT(--(Setup!$A$5:$A$24=$C20))&gt;0,INDEX(Setup!$B$5:$B$24,21-SUMPRODUCT(MAX((Setup!$A$5:$A$24=$C20)*(25-ROW(Setup!$A$5:$A$24))))),""))</f>
        <v/>
      </c>
      <c r="L20" s="13" t="str">
        <f aca="false">IF($T20,K20*G20/60,"")</f>
        <v/>
      </c>
      <c r="M20" s="12" t="str">
        <f aca="false">IF($T20,G20-N(H20),"")</f>
        <v/>
      </c>
      <c r="N20" s="14" t="str">
        <f aca="false">IF($T20,J20/I20,"")</f>
        <v/>
      </c>
      <c r="O20" s="14" t="str">
        <f aca="false">IF(AND($T20,N(J20)&gt;0),L20/J20,"")</f>
        <v/>
      </c>
      <c r="P20" s="14" t="str">
        <f aca="false">IF(AND($T20,N(G20)&gt;0),M20/G20,"")</f>
        <v/>
      </c>
      <c r="Q20" s="14" t="str">
        <f aca="false">IF($T20,S20/I20,"")</f>
        <v/>
      </c>
      <c r="R20" s="10" t="str">
        <f aca="false">IF($C20="","",IF(NOT(SUMPRODUCT(--(Setup!$A$5:$A$24=$C20))&gt;0),"Machine not in Setup",IF(OR(NOT(ISNUMBER(K20)),N(K20)&lt;=0),"Set an ideal cycle time in Setup",IF(NOT(ISNUMBER(A20)),"Enter a date",IF(OR(NOT(ISNUMBER(D20)),NOT(ISNUMBER(G20)),AND(E20&lt;&gt;"",NOT(ISNUMBER(E20))),AND(F20&lt;&gt;"",NOT(ISNUMBER(F20))),AND(H20&lt;&gt;"",NOT(ISNUMBER(H20)))),"Enter numbers: shift length and total parts are required",IF(OR(N(D20)&lt;=0,N(E20)&lt;0,N(F20)&lt;0,N(G20)&lt;0,N(H20)&lt;0),"Values must be 0 or more (shift length above 0)",IF(N(H20)&gt;N(G20),"Rejects &gt; total parts",IF(N(E20)&gt;=N(D20),"Planned stops &gt;= shift length",IF(N(F20)&gt;N(D20)-N(E20),"Downtime &gt; planned time",IF(AND(ISNUMBER(O20),O20&gt;1),"Check: performance above 100%","OK"))))))))))</f>
        <v/>
      </c>
      <c r="S20" s="13" t="str">
        <f aca="false">IF($T20,K20*M20/60,"")</f>
        <v/>
      </c>
      <c r="T20" s="15" t="b">
        <f aca="false">IF($C20="",FALSE(),AND(SUMPRODUCT(--(Setup!$A$5:$A$24=$C20))&gt;0,ISNUMBER(A20),ISNUMBER(K20),N(K20)&gt;0,ISNUMBER(D20),N(D20)&gt;0,ISNUMBER(G20),N(G20)&gt;=0,OR(E20="",ISNUMBER(E20)),OR(F20="",ISNUMBER(F20)),OR(H20="",ISNUMBER(H20)),N(E20)&gt;=0,N(F20)&gt;=0,N(H20)&gt;=0,N(H20)&lt;=N(G20),N(E20)&lt;N(D20),N(F20)&lt;=N(D20)-N(E20)))</f>
        <v>0</v>
      </c>
    </row>
    <row r="21" customFormat="false" ht="15" hidden="false" customHeight="false" outlineLevel="0" collapsed="false">
      <c r="A21" s="11"/>
      <c r="B21" s="8"/>
      <c r="C21" s="8"/>
      <c r="D21" s="8"/>
      <c r="E21" s="8"/>
      <c r="F21" s="8"/>
      <c r="G21" s="8"/>
      <c r="H21" s="8"/>
      <c r="I21" s="12" t="str">
        <f aca="false">IF($T21,D21-N(E21),"")</f>
        <v/>
      </c>
      <c r="J21" s="12" t="str">
        <f aca="false">IF($T21,I21-N(F21),"")</f>
        <v/>
      </c>
      <c r="K21" s="13" t="str">
        <f aca="false">IF($C21="","",IF(SUMPRODUCT(--(Setup!$A$5:$A$24=$C21))&gt;0,INDEX(Setup!$B$5:$B$24,21-SUMPRODUCT(MAX((Setup!$A$5:$A$24=$C21)*(25-ROW(Setup!$A$5:$A$24))))),""))</f>
        <v/>
      </c>
      <c r="L21" s="13" t="str">
        <f aca="false">IF($T21,K21*G21/60,"")</f>
        <v/>
      </c>
      <c r="M21" s="12" t="str">
        <f aca="false">IF($T21,G21-N(H21),"")</f>
        <v/>
      </c>
      <c r="N21" s="14" t="str">
        <f aca="false">IF($T21,J21/I21,"")</f>
        <v/>
      </c>
      <c r="O21" s="14" t="str">
        <f aca="false">IF(AND($T21,N(J21)&gt;0),L21/J21,"")</f>
        <v/>
      </c>
      <c r="P21" s="14" t="str">
        <f aca="false">IF(AND($T21,N(G21)&gt;0),M21/G21,"")</f>
        <v/>
      </c>
      <c r="Q21" s="14" t="str">
        <f aca="false">IF($T21,S21/I21,"")</f>
        <v/>
      </c>
      <c r="R21" s="10" t="str">
        <f aca="false">IF($C21="","",IF(NOT(SUMPRODUCT(--(Setup!$A$5:$A$24=$C21))&gt;0),"Machine not in Setup",IF(OR(NOT(ISNUMBER(K21)),N(K21)&lt;=0),"Set an ideal cycle time in Setup",IF(NOT(ISNUMBER(A21)),"Enter a date",IF(OR(NOT(ISNUMBER(D21)),NOT(ISNUMBER(G21)),AND(E21&lt;&gt;"",NOT(ISNUMBER(E21))),AND(F21&lt;&gt;"",NOT(ISNUMBER(F21))),AND(H21&lt;&gt;"",NOT(ISNUMBER(H21)))),"Enter numbers: shift length and total parts are required",IF(OR(N(D21)&lt;=0,N(E21)&lt;0,N(F21)&lt;0,N(G21)&lt;0,N(H21)&lt;0),"Values must be 0 or more (shift length above 0)",IF(N(H21)&gt;N(G21),"Rejects &gt; total parts",IF(N(E21)&gt;=N(D21),"Planned stops &gt;= shift length",IF(N(F21)&gt;N(D21)-N(E21),"Downtime &gt; planned time",IF(AND(ISNUMBER(O21),O21&gt;1),"Check: performance above 100%","OK"))))))))))</f>
        <v/>
      </c>
      <c r="S21" s="13" t="str">
        <f aca="false">IF($T21,K21*M21/60,"")</f>
        <v/>
      </c>
      <c r="T21" s="15" t="b">
        <f aca="false">IF($C21="",FALSE(),AND(SUMPRODUCT(--(Setup!$A$5:$A$24=$C21))&gt;0,ISNUMBER(A21),ISNUMBER(K21),N(K21)&gt;0,ISNUMBER(D21),N(D21)&gt;0,ISNUMBER(G21),N(G21)&gt;=0,OR(E21="",ISNUMBER(E21)),OR(F21="",ISNUMBER(F21)),OR(H21="",ISNUMBER(H21)),N(E21)&gt;=0,N(F21)&gt;=0,N(H21)&gt;=0,N(H21)&lt;=N(G21),N(E21)&lt;N(D21),N(F21)&lt;=N(D21)-N(E21)))</f>
        <v>0</v>
      </c>
    </row>
    <row r="22" customFormat="false" ht="15" hidden="false" customHeight="false" outlineLevel="0" collapsed="false">
      <c r="A22" s="11"/>
      <c r="B22" s="8"/>
      <c r="C22" s="8"/>
      <c r="D22" s="8"/>
      <c r="E22" s="8"/>
      <c r="F22" s="8"/>
      <c r="G22" s="8"/>
      <c r="H22" s="8"/>
      <c r="I22" s="12" t="str">
        <f aca="false">IF($T22,D22-N(E22),"")</f>
        <v/>
      </c>
      <c r="J22" s="12" t="str">
        <f aca="false">IF($T22,I22-N(F22),"")</f>
        <v/>
      </c>
      <c r="K22" s="13" t="str">
        <f aca="false">IF($C22="","",IF(SUMPRODUCT(--(Setup!$A$5:$A$24=$C22))&gt;0,INDEX(Setup!$B$5:$B$24,21-SUMPRODUCT(MAX((Setup!$A$5:$A$24=$C22)*(25-ROW(Setup!$A$5:$A$24))))),""))</f>
        <v/>
      </c>
      <c r="L22" s="13" t="str">
        <f aca="false">IF($T22,K22*G22/60,"")</f>
        <v/>
      </c>
      <c r="M22" s="12" t="str">
        <f aca="false">IF($T22,G22-N(H22),"")</f>
        <v/>
      </c>
      <c r="N22" s="14" t="str">
        <f aca="false">IF($T22,J22/I22,"")</f>
        <v/>
      </c>
      <c r="O22" s="14" t="str">
        <f aca="false">IF(AND($T22,N(J22)&gt;0),L22/J22,"")</f>
        <v/>
      </c>
      <c r="P22" s="14" t="str">
        <f aca="false">IF(AND($T22,N(G22)&gt;0),M22/G22,"")</f>
        <v/>
      </c>
      <c r="Q22" s="14" t="str">
        <f aca="false">IF($T22,S22/I22,"")</f>
        <v/>
      </c>
      <c r="R22" s="10" t="str">
        <f aca="false">IF($C22="","",IF(NOT(SUMPRODUCT(--(Setup!$A$5:$A$24=$C22))&gt;0),"Machine not in Setup",IF(OR(NOT(ISNUMBER(K22)),N(K22)&lt;=0),"Set an ideal cycle time in Setup",IF(NOT(ISNUMBER(A22)),"Enter a date",IF(OR(NOT(ISNUMBER(D22)),NOT(ISNUMBER(G22)),AND(E22&lt;&gt;"",NOT(ISNUMBER(E22))),AND(F22&lt;&gt;"",NOT(ISNUMBER(F22))),AND(H22&lt;&gt;"",NOT(ISNUMBER(H22)))),"Enter numbers: shift length and total parts are required",IF(OR(N(D22)&lt;=0,N(E22)&lt;0,N(F22)&lt;0,N(G22)&lt;0,N(H22)&lt;0),"Values must be 0 or more (shift length above 0)",IF(N(H22)&gt;N(G22),"Rejects &gt; total parts",IF(N(E22)&gt;=N(D22),"Planned stops &gt;= shift length",IF(N(F22)&gt;N(D22)-N(E22),"Downtime &gt; planned time",IF(AND(ISNUMBER(O22),O22&gt;1),"Check: performance above 100%","OK"))))))))))</f>
        <v/>
      </c>
      <c r="S22" s="13" t="str">
        <f aca="false">IF($T22,K22*M22/60,"")</f>
        <v/>
      </c>
      <c r="T22" s="15" t="b">
        <f aca="false">IF($C22="",FALSE(),AND(SUMPRODUCT(--(Setup!$A$5:$A$24=$C22))&gt;0,ISNUMBER(A22),ISNUMBER(K22),N(K22)&gt;0,ISNUMBER(D22),N(D22)&gt;0,ISNUMBER(G22),N(G22)&gt;=0,OR(E22="",ISNUMBER(E22)),OR(F22="",ISNUMBER(F22)),OR(H22="",ISNUMBER(H22)),N(E22)&gt;=0,N(F22)&gt;=0,N(H22)&gt;=0,N(H22)&lt;=N(G22),N(E22)&lt;N(D22),N(F22)&lt;=N(D22)-N(E22)))</f>
        <v>0</v>
      </c>
    </row>
    <row r="23" customFormat="false" ht="15" hidden="false" customHeight="false" outlineLevel="0" collapsed="false">
      <c r="A23" s="11"/>
      <c r="B23" s="8"/>
      <c r="C23" s="8"/>
      <c r="D23" s="8"/>
      <c r="E23" s="8"/>
      <c r="F23" s="8"/>
      <c r="G23" s="8"/>
      <c r="H23" s="8"/>
      <c r="I23" s="12" t="str">
        <f aca="false">IF($T23,D23-N(E23),"")</f>
        <v/>
      </c>
      <c r="J23" s="12" t="str">
        <f aca="false">IF($T23,I23-N(F23),"")</f>
        <v/>
      </c>
      <c r="K23" s="13" t="str">
        <f aca="false">IF($C23="","",IF(SUMPRODUCT(--(Setup!$A$5:$A$24=$C23))&gt;0,INDEX(Setup!$B$5:$B$24,21-SUMPRODUCT(MAX((Setup!$A$5:$A$24=$C23)*(25-ROW(Setup!$A$5:$A$24))))),""))</f>
        <v/>
      </c>
      <c r="L23" s="13" t="str">
        <f aca="false">IF($T23,K23*G23/60,"")</f>
        <v/>
      </c>
      <c r="M23" s="12" t="str">
        <f aca="false">IF($T23,G23-N(H23),"")</f>
        <v/>
      </c>
      <c r="N23" s="14" t="str">
        <f aca="false">IF($T23,J23/I23,"")</f>
        <v/>
      </c>
      <c r="O23" s="14" t="str">
        <f aca="false">IF(AND($T23,N(J23)&gt;0),L23/J23,"")</f>
        <v/>
      </c>
      <c r="P23" s="14" t="str">
        <f aca="false">IF(AND($T23,N(G23)&gt;0),M23/G23,"")</f>
        <v/>
      </c>
      <c r="Q23" s="14" t="str">
        <f aca="false">IF($T23,S23/I23,"")</f>
        <v/>
      </c>
      <c r="R23" s="10" t="str">
        <f aca="false">IF($C23="","",IF(NOT(SUMPRODUCT(--(Setup!$A$5:$A$24=$C23))&gt;0),"Machine not in Setup",IF(OR(NOT(ISNUMBER(K23)),N(K23)&lt;=0),"Set an ideal cycle time in Setup",IF(NOT(ISNUMBER(A23)),"Enter a date",IF(OR(NOT(ISNUMBER(D23)),NOT(ISNUMBER(G23)),AND(E23&lt;&gt;"",NOT(ISNUMBER(E23))),AND(F23&lt;&gt;"",NOT(ISNUMBER(F23))),AND(H23&lt;&gt;"",NOT(ISNUMBER(H23)))),"Enter numbers: shift length and total parts are required",IF(OR(N(D23)&lt;=0,N(E23)&lt;0,N(F23)&lt;0,N(G23)&lt;0,N(H23)&lt;0),"Values must be 0 or more (shift length above 0)",IF(N(H23)&gt;N(G23),"Rejects &gt; total parts",IF(N(E23)&gt;=N(D23),"Planned stops &gt;= shift length",IF(N(F23)&gt;N(D23)-N(E23),"Downtime &gt; planned time",IF(AND(ISNUMBER(O23),O23&gt;1),"Check: performance above 100%","OK"))))))))))</f>
        <v/>
      </c>
      <c r="S23" s="13" t="str">
        <f aca="false">IF($T23,K23*M23/60,"")</f>
        <v/>
      </c>
      <c r="T23" s="15" t="b">
        <f aca="false">IF($C23="",FALSE(),AND(SUMPRODUCT(--(Setup!$A$5:$A$24=$C23))&gt;0,ISNUMBER(A23),ISNUMBER(K23),N(K23)&gt;0,ISNUMBER(D23),N(D23)&gt;0,ISNUMBER(G23),N(G23)&gt;=0,OR(E23="",ISNUMBER(E23)),OR(F23="",ISNUMBER(F23)),OR(H23="",ISNUMBER(H23)),N(E23)&gt;=0,N(F23)&gt;=0,N(H23)&gt;=0,N(H23)&lt;=N(G23),N(E23)&lt;N(D23),N(F23)&lt;=N(D23)-N(E23)))</f>
        <v>0</v>
      </c>
    </row>
    <row r="24" customFormat="false" ht="15" hidden="false" customHeight="false" outlineLevel="0" collapsed="false">
      <c r="A24" s="11"/>
      <c r="B24" s="8"/>
      <c r="C24" s="8"/>
      <c r="D24" s="8"/>
      <c r="E24" s="8"/>
      <c r="F24" s="8"/>
      <c r="G24" s="8"/>
      <c r="H24" s="8"/>
      <c r="I24" s="12" t="str">
        <f aca="false">IF($T24,D24-N(E24),"")</f>
        <v/>
      </c>
      <c r="J24" s="12" t="str">
        <f aca="false">IF($T24,I24-N(F24),"")</f>
        <v/>
      </c>
      <c r="K24" s="13" t="str">
        <f aca="false">IF($C24="","",IF(SUMPRODUCT(--(Setup!$A$5:$A$24=$C24))&gt;0,INDEX(Setup!$B$5:$B$24,21-SUMPRODUCT(MAX((Setup!$A$5:$A$24=$C24)*(25-ROW(Setup!$A$5:$A$24))))),""))</f>
        <v/>
      </c>
      <c r="L24" s="13" t="str">
        <f aca="false">IF($T24,K24*G24/60,"")</f>
        <v/>
      </c>
      <c r="M24" s="12" t="str">
        <f aca="false">IF($T24,G24-N(H24),"")</f>
        <v/>
      </c>
      <c r="N24" s="14" t="str">
        <f aca="false">IF($T24,J24/I24,"")</f>
        <v/>
      </c>
      <c r="O24" s="14" t="str">
        <f aca="false">IF(AND($T24,N(J24)&gt;0),L24/J24,"")</f>
        <v/>
      </c>
      <c r="P24" s="14" t="str">
        <f aca="false">IF(AND($T24,N(G24)&gt;0),M24/G24,"")</f>
        <v/>
      </c>
      <c r="Q24" s="14" t="str">
        <f aca="false">IF($T24,S24/I24,"")</f>
        <v/>
      </c>
      <c r="R24" s="10" t="str">
        <f aca="false">IF($C24="","",IF(NOT(SUMPRODUCT(--(Setup!$A$5:$A$24=$C24))&gt;0),"Machine not in Setup",IF(OR(NOT(ISNUMBER(K24)),N(K24)&lt;=0),"Set an ideal cycle time in Setup",IF(NOT(ISNUMBER(A24)),"Enter a date",IF(OR(NOT(ISNUMBER(D24)),NOT(ISNUMBER(G24)),AND(E24&lt;&gt;"",NOT(ISNUMBER(E24))),AND(F24&lt;&gt;"",NOT(ISNUMBER(F24))),AND(H24&lt;&gt;"",NOT(ISNUMBER(H24)))),"Enter numbers: shift length and total parts are required",IF(OR(N(D24)&lt;=0,N(E24)&lt;0,N(F24)&lt;0,N(G24)&lt;0,N(H24)&lt;0),"Values must be 0 or more (shift length above 0)",IF(N(H24)&gt;N(G24),"Rejects &gt; total parts",IF(N(E24)&gt;=N(D24),"Planned stops &gt;= shift length",IF(N(F24)&gt;N(D24)-N(E24),"Downtime &gt; planned time",IF(AND(ISNUMBER(O24),O24&gt;1),"Check: performance above 100%","OK"))))))))))</f>
        <v/>
      </c>
      <c r="S24" s="13" t="str">
        <f aca="false">IF($T24,K24*M24/60,"")</f>
        <v/>
      </c>
      <c r="T24" s="15" t="b">
        <f aca="false">IF($C24="",FALSE(),AND(SUMPRODUCT(--(Setup!$A$5:$A$24=$C24))&gt;0,ISNUMBER(A24),ISNUMBER(K24),N(K24)&gt;0,ISNUMBER(D24),N(D24)&gt;0,ISNUMBER(G24),N(G24)&gt;=0,OR(E24="",ISNUMBER(E24)),OR(F24="",ISNUMBER(F24)),OR(H24="",ISNUMBER(H24)),N(E24)&gt;=0,N(F24)&gt;=0,N(H24)&gt;=0,N(H24)&lt;=N(G24),N(E24)&lt;N(D24),N(F24)&lt;=N(D24)-N(E24)))</f>
        <v>0</v>
      </c>
    </row>
    <row r="25" customFormat="false" ht="15" hidden="false" customHeight="false" outlineLevel="0" collapsed="false">
      <c r="A25" s="11"/>
      <c r="B25" s="8"/>
      <c r="C25" s="8"/>
      <c r="D25" s="8"/>
      <c r="E25" s="8"/>
      <c r="F25" s="8"/>
      <c r="G25" s="8"/>
      <c r="H25" s="8"/>
      <c r="I25" s="12" t="str">
        <f aca="false">IF($T25,D25-N(E25),"")</f>
        <v/>
      </c>
      <c r="J25" s="12" t="str">
        <f aca="false">IF($T25,I25-N(F25),"")</f>
        <v/>
      </c>
      <c r="K25" s="13" t="str">
        <f aca="false">IF($C25="","",IF(SUMPRODUCT(--(Setup!$A$5:$A$24=$C25))&gt;0,INDEX(Setup!$B$5:$B$24,21-SUMPRODUCT(MAX((Setup!$A$5:$A$24=$C25)*(25-ROW(Setup!$A$5:$A$24))))),""))</f>
        <v/>
      </c>
      <c r="L25" s="13" t="str">
        <f aca="false">IF($T25,K25*G25/60,"")</f>
        <v/>
      </c>
      <c r="M25" s="12" t="str">
        <f aca="false">IF($T25,G25-N(H25),"")</f>
        <v/>
      </c>
      <c r="N25" s="14" t="str">
        <f aca="false">IF($T25,J25/I25,"")</f>
        <v/>
      </c>
      <c r="O25" s="14" t="str">
        <f aca="false">IF(AND($T25,N(J25)&gt;0),L25/J25,"")</f>
        <v/>
      </c>
      <c r="P25" s="14" t="str">
        <f aca="false">IF(AND($T25,N(G25)&gt;0),M25/G25,"")</f>
        <v/>
      </c>
      <c r="Q25" s="14" t="str">
        <f aca="false">IF($T25,S25/I25,"")</f>
        <v/>
      </c>
      <c r="R25" s="10" t="str">
        <f aca="false">IF($C25="","",IF(NOT(SUMPRODUCT(--(Setup!$A$5:$A$24=$C25))&gt;0),"Machine not in Setup",IF(OR(NOT(ISNUMBER(K25)),N(K25)&lt;=0),"Set an ideal cycle time in Setup",IF(NOT(ISNUMBER(A25)),"Enter a date",IF(OR(NOT(ISNUMBER(D25)),NOT(ISNUMBER(G25)),AND(E25&lt;&gt;"",NOT(ISNUMBER(E25))),AND(F25&lt;&gt;"",NOT(ISNUMBER(F25))),AND(H25&lt;&gt;"",NOT(ISNUMBER(H25)))),"Enter numbers: shift length and total parts are required",IF(OR(N(D25)&lt;=0,N(E25)&lt;0,N(F25)&lt;0,N(G25)&lt;0,N(H25)&lt;0),"Values must be 0 or more (shift length above 0)",IF(N(H25)&gt;N(G25),"Rejects &gt; total parts",IF(N(E25)&gt;=N(D25),"Planned stops &gt;= shift length",IF(N(F25)&gt;N(D25)-N(E25),"Downtime &gt; planned time",IF(AND(ISNUMBER(O25),O25&gt;1),"Check: performance above 100%","OK"))))))))))</f>
        <v/>
      </c>
      <c r="S25" s="13" t="str">
        <f aca="false">IF($T25,K25*M25/60,"")</f>
        <v/>
      </c>
      <c r="T25" s="15" t="b">
        <f aca="false">IF($C25="",FALSE(),AND(SUMPRODUCT(--(Setup!$A$5:$A$24=$C25))&gt;0,ISNUMBER(A25),ISNUMBER(K25),N(K25)&gt;0,ISNUMBER(D25),N(D25)&gt;0,ISNUMBER(G25),N(G25)&gt;=0,OR(E25="",ISNUMBER(E25)),OR(F25="",ISNUMBER(F25)),OR(H25="",ISNUMBER(H25)),N(E25)&gt;=0,N(F25)&gt;=0,N(H25)&gt;=0,N(H25)&lt;=N(G25),N(E25)&lt;N(D25),N(F25)&lt;=N(D25)-N(E25)))</f>
        <v>0</v>
      </c>
    </row>
    <row r="26" customFormat="false" ht="15" hidden="false" customHeight="false" outlineLevel="0" collapsed="false">
      <c r="A26" s="11"/>
      <c r="B26" s="8"/>
      <c r="C26" s="8"/>
      <c r="D26" s="8"/>
      <c r="E26" s="8"/>
      <c r="F26" s="8"/>
      <c r="G26" s="8"/>
      <c r="H26" s="8"/>
      <c r="I26" s="12" t="str">
        <f aca="false">IF($T26,D26-N(E26),"")</f>
        <v/>
      </c>
      <c r="J26" s="12" t="str">
        <f aca="false">IF($T26,I26-N(F26),"")</f>
        <v/>
      </c>
      <c r="K26" s="13" t="str">
        <f aca="false">IF($C26="","",IF(SUMPRODUCT(--(Setup!$A$5:$A$24=$C26))&gt;0,INDEX(Setup!$B$5:$B$24,21-SUMPRODUCT(MAX((Setup!$A$5:$A$24=$C26)*(25-ROW(Setup!$A$5:$A$24))))),""))</f>
        <v/>
      </c>
      <c r="L26" s="13" t="str">
        <f aca="false">IF($T26,K26*G26/60,"")</f>
        <v/>
      </c>
      <c r="M26" s="12" t="str">
        <f aca="false">IF($T26,G26-N(H26),"")</f>
        <v/>
      </c>
      <c r="N26" s="14" t="str">
        <f aca="false">IF($T26,J26/I26,"")</f>
        <v/>
      </c>
      <c r="O26" s="14" t="str">
        <f aca="false">IF(AND($T26,N(J26)&gt;0),L26/J26,"")</f>
        <v/>
      </c>
      <c r="P26" s="14" t="str">
        <f aca="false">IF(AND($T26,N(G26)&gt;0),M26/G26,"")</f>
        <v/>
      </c>
      <c r="Q26" s="14" t="str">
        <f aca="false">IF($T26,S26/I26,"")</f>
        <v/>
      </c>
      <c r="R26" s="10" t="str">
        <f aca="false">IF($C26="","",IF(NOT(SUMPRODUCT(--(Setup!$A$5:$A$24=$C26))&gt;0),"Machine not in Setup",IF(OR(NOT(ISNUMBER(K26)),N(K26)&lt;=0),"Set an ideal cycle time in Setup",IF(NOT(ISNUMBER(A26)),"Enter a date",IF(OR(NOT(ISNUMBER(D26)),NOT(ISNUMBER(G26)),AND(E26&lt;&gt;"",NOT(ISNUMBER(E26))),AND(F26&lt;&gt;"",NOT(ISNUMBER(F26))),AND(H26&lt;&gt;"",NOT(ISNUMBER(H26)))),"Enter numbers: shift length and total parts are required",IF(OR(N(D26)&lt;=0,N(E26)&lt;0,N(F26)&lt;0,N(G26)&lt;0,N(H26)&lt;0),"Values must be 0 or more (shift length above 0)",IF(N(H26)&gt;N(G26),"Rejects &gt; total parts",IF(N(E26)&gt;=N(D26),"Planned stops &gt;= shift length",IF(N(F26)&gt;N(D26)-N(E26),"Downtime &gt; planned time",IF(AND(ISNUMBER(O26),O26&gt;1),"Check: performance above 100%","OK"))))))))))</f>
        <v/>
      </c>
      <c r="S26" s="13" t="str">
        <f aca="false">IF($T26,K26*M26/60,"")</f>
        <v/>
      </c>
      <c r="T26" s="15" t="b">
        <f aca="false">IF($C26="",FALSE(),AND(SUMPRODUCT(--(Setup!$A$5:$A$24=$C26))&gt;0,ISNUMBER(A26),ISNUMBER(K26),N(K26)&gt;0,ISNUMBER(D26),N(D26)&gt;0,ISNUMBER(G26),N(G26)&gt;=0,OR(E26="",ISNUMBER(E26)),OR(F26="",ISNUMBER(F26)),OR(H26="",ISNUMBER(H26)),N(E26)&gt;=0,N(F26)&gt;=0,N(H26)&gt;=0,N(H26)&lt;=N(G26),N(E26)&lt;N(D26),N(F26)&lt;=N(D26)-N(E26)))</f>
        <v>0</v>
      </c>
    </row>
    <row r="27" customFormat="false" ht="15" hidden="false" customHeight="false" outlineLevel="0" collapsed="false">
      <c r="A27" s="11"/>
      <c r="B27" s="8"/>
      <c r="C27" s="8"/>
      <c r="D27" s="8"/>
      <c r="E27" s="8"/>
      <c r="F27" s="8"/>
      <c r="G27" s="8"/>
      <c r="H27" s="8"/>
      <c r="I27" s="12" t="str">
        <f aca="false">IF($T27,D27-N(E27),"")</f>
        <v/>
      </c>
      <c r="J27" s="12" t="str">
        <f aca="false">IF($T27,I27-N(F27),"")</f>
        <v/>
      </c>
      <c r="K27" s="13" t="str">
        <f aca="false">IF($C27="","",IF(SUMPRODUCT(--(Setup!$A$5:$A$24=$C27))&gt;0,INDEX(Setup!$B$5:$B$24,21-SUMPRODUCT(MAX((Setup!$A$5:$A$24=$C27)*(25-ROW(Setup!$A$5:$A$24))))),""))</f>
        <v/>
      </c>
      <c r="L27" s="13" t="str">
        <f aca="false">IF($T27,K27*G27/60,"")</f>
        <v/>
      </c>
      <c r="M27" s="12" t="str">
        <f aca="false">IF($T27,G27-N(H27),"")</f>
        <v/>
      </c>
      <c r="N27" s="14" t="str">
        <f aca="false">IF($T27,J27/I27,"")</f>
        <v/>
      </c>
      <c r="O27" s="14" t="str">
        <f aca="false">IF(AND($T27,N(J27)&gt;0),L27/J27,"")</f>
        <v/>
      </c>
      <c r="P27" s="14" t="str">
        <f aca="false">IF(AND($T27,N(G27)&gt;0),M27/G27,"")</f>
        <v/>
      </c>
      <c r="Q27" s="14" t="str">
        <f aca="false">IF($T27,S27/I27,"")</f>
        <v/>
      </c>
      <c r="R27" s="10" t="str">
        <f aca="false">IF($C27="","",IF(NOT(SUMPRODUCT(--(Setup!$A$5:$A$24=$C27))&gt;0),"Machine not in Setup",IF(OR(NOT(ISNUMBER(K27)),N(K27)&lt;=0),"Set an ideal cycle time in Setup",IF(NOT(ISNUMBER(A27)),"Enter a date",IF(OR(NOT(ISNUMBER(D27)),NOT(ISNUMBER(G27)),AND(E27&lt;&gt;"",NOT(ISNUMBER(E27))),AND(F27&lt;&gt;"",NOT(ISNUMBER(F27))),AND(H27&lt;&gt;"",NOT(ISNUMBER(H27)))),"Enter numbers: shift length and total parts are required",IF(OR(N(D27)&lt;=0,N(E27)&lt;0,N(F27)&lt;0,N(G27)&lt;0,N(H27)&lt;0),"Values must be 0 or more (shift length above 0)",IF(N(H27)&gt;N(G27),"Rejects &gt; total parts",IF(N(E27)&gt;=N(D27),"Planned stops &gt;= shift length",IF(N(F27)&gt;N(D27)-N(E27),"Downtime &gt; planned time",IF(AND(ISNUMBER(O27),O27&gt;1),"Check: performance above 100%","OK"))))))))))</f>
        <v/>
      </c>
      <c r="S27" s="13" t="str">
        <f aca="false">IF($T27,K27*M27/60,"")</f>
        <v/>
      </c>
      <c r="T27" s="15" t="b">
        <f aca="false">IF($C27="",FALSE(),AND(SUMPRODUCT(--(Setup!$A$5:$A$24=$C27))&gt;0,ISNUMBER(A27),ISNUMBER(K27),N(K27)&gt;0,ISNUMBER(D27),N(D27)&gt;0,ISNUMBER(G27),N(G27)&gt;=0,OR(E27="",ISNUMBER(E27)),OR(F27="",ISNUMBER(F27)),OR(H27="",ISNUMBER(H27)),N(E27)&gt;=0,N(F27)&gt;=0,N(H27)&gt;=0,N(H27)&lt;=N(G27),N(E27)&lt;N(D27),N(F27)&lt;=N(D27)-N(E27)))</f>
        <v>0</v>
      </c>
    </row>
    <row r="28" customFormat="false" ht="15" hidden="false" customHeight="false" outlineLevel="0" collapsed="false">
      <c r="A28" s="11"/>
      <c r="B28" s="8"/>
      <c r="C28" s="8"/>
      <c r="D28" s="8"/>
      <c r="E28" s="8"/>
      <c r="F28" s="8"/>
      <c r="G28" s="8"/>
      <c r="H28" s="8"/>
      <c r="I28" s="12" t="str">
        <f aca="false">IF($T28,D28-N(E28),"")</f>
        <v/>
      </c>
      <c r="J28" s="12" t="str">
        <f aca="false">IF($T28,I28-N(F28),"")</f>
        <v/>
      </c>
      <c r="K28" s="13" t="str">
        <f aca="false">IF($C28="","",IF(SUMPRODUCT(--(Setup!$A$5:$A$24=$C28))&gt;0,INDEX(Setup!$B$5:$B$24,21-SUMPRODUCT(MAX((Setup!$A$5:$A$24=$C28)*(25-ROW(Setup!$A$5:$A$24))))),""))</f>
        <v/>
      </c>
      <c r="L28" s="13" t="str">
        <f aca="false">IF($T28,K28*G28/60,"")</f>
        <v/>
      </c>
      <c r="M28" s="12" t="str">
        <f aca="false">IF($T28,G28-N(H28),"")</f>
        <v/>
      </c>
      <c r="N28" s="14" t="str">
        <f aca="false">IF($T28,J28/I28,"")</f>
        <v/>
      </c>
      <c r="O28" s="14" t="str">
        <f aca="false">IF(AND($T28,N(J28)&gt;0),L28/J28,"")</f>
        <v/>
      </c>
      <c r="P28" s="14" t="str">
        <f aca="false">IF(AND($T28,N(G28)&gt;0),M28/G28,"")</f>
        <v/>
      </c>
      <c r="Q28" s="14" t="str">
        <f aca="false">IF($T28,S28/I28,"")</f>
        <v/>
      </c>
      <c r="R28" s="10" t="str">
        <f aca="false">IF($C28="","",IF(NOT(SUMPRODUCT(--(Setup!$A$5:$A$24=$C28))&gt;0),"Machine not in Setup",IF(OR(NOT(ISNUMBER(K28)),N(K28)&lt;=0),"Set an ideal cycle time in Setup",IF(NOT(ISNUMBER(A28)),"Enter a date",IF(OR(NOT(ISNUMBER(D28)),NOT(ISNUMBER(G28)),AND(E28&lt;&gt;"",NOT(ISNUMBER(E28))),AND(F28&lt;&gt;"",NOT(ISNUMBER(F28))),AND(H28&lt;&gt;"",NOT(ISNUMBER(H28)))),"Enter numbers: shift length and total parts are required",IF(OR(N(D28)&lt;=0,N(E28)&lt;0,N(F28)&lt;0,N(G28)&lt;0,N(H28)&lt;0),"Values must be 0 or more (shift length above 0)",IF(N(H28)&gt;N(G28),"Rejects &gt; total parts",IF(N(E28)&gt;=N(D28),"Planned stops &gt;= shift length",IF(N(F28)&gt;N(D28)-N(E28),"Downtime &gt; planned time",IF(AND(ISNUMBER(O28),O28&gt;1),"Check: performance above 100%","OK"))))))))))</f>
        <v/>
      </c>
      <c r="S28" s="13" t="str">
        <f aca="false">IF($T28,K28*M28/60,"")</f>
        <v/>
      </c>
      <c r="T28" s="15" t="b">
        <f aca="false">IF($C28="",FALSE(),AND(SUMPRODUCT(--(Setup!$A$5:$A$24=$C28))&gt;0,ISNUMBER(A28),ISNUMBER(K28),N(K28)&gt;0,ISNUMBER(D28),N(D28)&gt;0,ISNUMBER(G28),N(G28)&gt;=0,OR(E28="",ISNUMBER(E28)),OR(F28="",ISNUMBER(F28)),OR(H28="",ISNUMBER(H28)),N(E28)&gt;=0,N(F28)&gt;=0,N(H28)&gt;=0,N(H28)&lt;=N(G28),N(E28)&lt;N(D28),N(F28)&lt;=N(D28)-N(E28)))</f>
        <v>0</v>
      </c>
    </row>
    <row r="29" customFormat="false" ht="15" hidden="false" customHeight="false" outlineLevel="0" collapsed="false">
      <c r="A29" s="11"/>
      <c r="B29" s="8"/>
      <c r="C29" s="8"/>
      <c r="D29" s="8"/>
      <c r="E29" s="8"/>
      <c r="F29" s="8"/>
      <c r="G29" s="8"/>
      <c r="H29" s="8"/>
      <c r="I29" s="12" t="str">
        <f aca="false">IF($T29,D29-N(E29),"")</f>
        <v/>
      </c>
      <c r="J29" s="12" t="str">
        <f aca="false">IF($T29,I29-N(F29),"")</f>
        <v/>
      </c>
      <c r="K29" s="13" t="str">
        <f aca="false">IF($C29="","",IF(SUMPRODUCT(--(Setup!$A$5:$A$24=$C29))&gt;0,INDEX(Setup!$B$5:$B$24,21-SUMPRODUCT(MAX((Setup!$A$5:$A$24=$C29)*(25-ROW(Setup!$A$5:$A$24))))),""))</f>
        <v/>
      </c>
      <c r="L29" s="13" t="str">
        <f aca="false">IF($T29,K29*G29/60,"")</f>
        <v/>
      </c>
      <c r="M29" s="12" t="str">
        <f aca="false">IF($T29,G29-N(H29),"")</f>
        <v/>
      </c>
      <c r="N29" s="14" t="str">
        <f aca="false">IF($T29,J29/I29,"")</f>
        <v/>
      </c>
      <c r="O29" s="14" t="str">
        <f aca="false">IF(AND($T29,N(J29)&gt;0),L29/J29,"")</f>
        <v/>
      </c>
      <c r="P29" s="14" t="str">
        <f aca="false">IF(AND($T29,N(G29)&gt;0),M29/G29,"")</f>
        <v/>
      </c>
      <c r="Q29" s="14" t="str">
        <f aca="false">IF($T29,S29/I29,"")</f>
        <v/>
      </c>
      <c r="R29" s="10" t="str">
        <f aca="false">IF($C29="","",IF(NOT(SUMPRODUCT(--(Setup!$A$5:$A$24=$C29))&gt;0),"Machine not in Setup",IF(OR(NOT(ISNUMBER(K29)),N(K29)&lt;=0),"Set an ideal cycle time in Setup",IF(NOT(ISNUMBER(A29)),"Enter a date",IF(OR(NOT(ISNUMBER(D29)),NOT(ISNUMBER(G29)),AND(E29&lt;&gt;"",NOT(ISNUMBER(E29))),AND(F29&lt;&gt;"",NOT(ISNUMBER(F29))),AND(H29&lt;&gt;"",NOT(ISNUMBER(H29)))),"Enter numbers: shift length and total parts are required",IF(OR(N(D29)&lt;=0,N(E29)&lt;0,N(F29)&lt;0,N(G29)&lt;0,N(H29)&lt;0),"Values must be 0 or more (shift length above 0)",IF(N(H29)&gt;N(G29),"Rejects &gt; total parts",IF(N(E29)&gt;=N(D29),"Planned stops &gt;= shift length",IF(N(F29)&gt;N(D29)-N(E29),"Downtime &gt; planned time",IF(AND(ISNUMBER(O29),O29&gt;1),"Check: performance above 100%","OK"))))))))))</f>
        <v/>
      </c>
      <c r="S29" s="13" t="str">
        <f aca="false">IF($T29,K29*M29/60,"")</f>
        <v/>
      </c>
      <c r="T29" s="15" t="b">
        <f aca="false">IF($C29="",FALSE(),AND(SUMPRODUCT(--(Setup!$A$5:$A$24=$C29))&gt;0,ISNUMBER(A29),ISNUMBER(K29),N(K29)&gt;0,ISNUMBER(D29),N(D29)&gt;0,ISNUMBER(G29),N(G29)&gt;=0,OR(E29="",ISNUMBER(E29)),OR(F29="",ISNUMBER(F29)),OR(H29="",ISNUMBER(H29)),N(E29)&gt;=0,N(F29)&gt;=0,N(H29)&gt;=0,N(H29)&lt;=N(G29),N(E29)&lt;N(D29),N(F29)&lt;=N(D29)-N(E29)))</f>
        <v>0</v>
      </c>
    </row>
    <row r="30" customFormat="false" ht="15" hidden="false" customHeight="false" outlineLevel="0" collapsed="false">
      <c r="A30" s="11"/>
      <c r="B30" s="8"/>
      <c r="C30" s="8"/>
      <c r="D30" s="8"/>
      <c r="E30" s="8"/>
      <c r="F30" s="8"/>
      <c r="G30" s="8"/>
      <c r="H30" s="8"/>
      <c r="I30" s="12" t="str">
        <f aca="false">IF($T30,D30-N(E30),"")</f>
        <v/>
      </c>
      <c r="J30" s="12" t="str">
        <f aca="false">IF($T30,I30-N(F30),"")</f>
        <v/>
      </c>
      <c r="K30" s="13" t="str">
        <f aca="false">IF($C30="","",IF(SUMPRODUCT(--(Setup!$A$5:$A$24=$C30))&gt;0,INDEX(Setup!$B$5:$B$24,21-SUMPRODUCT(MAX((Setup!$A$5:$A$24=$C30)*(25-ROW(Setup!$A$5:$A$24))))),""))</f>
        <v/>
      </c>
      <c r="L30" s="13" t="str">
        <f aca="false">IF($T30,K30*G30/60,"")</f>
        <v/>
      </c>
      <c r="M30" s="12" t="str">
        <f aca="false">IF($T30,G30-N(H30),"")</f>
        <v/>
      </c>
      <c r="N30" s="14" t="str">
        <f aca="false">IF($T30,J30/I30,"")</f>
        <v/>
      </c>
      <c r="O30" s="14" t="str">
        <f aca="false">IF(AND($T30,N(J30)&gt;0),L30/J30,"")</f>
        <v/>
      </c>
      <c r="P30" s="14" t="str">
        <f aca="false">IF(AND($T30,N(G30)&gt;0),M30/G30,"")</f>
        <v/>
      </c>
      <c r="Q30" s="14" t="str">
        <f aca="false">IF($T30,S30/I30,"")</f>
        <v/>
      </c>
      <c r="R30" s="10" t="str">
        <f aca="false">IF($C30="","",IF(NOT(SUMPRODUCT(--(Setup!$A$5:$A$24=$C30))&gt;0),"Machine not in Setup",IF(OR(NOT(ISNUMBER(K30)),N(K30)&lt;=0),"Set an ideal cycle time in Setup",IF(NOT(ISNUMBER(A30)),"Enter a date",IF(OR(NOT(ISNUMBER(D30)),NOT(ISNUMBER(G30)),AND(E30&lt;&gt;"",NOT(ISNUMBER(E30))),AND(F30&lt;&gt;"",NOT(ISNUMBER(F30))),AND(H30&lt;&gt;"",NOT(ISNUMBER(H30)))),"Enter numbers: shift length and total parts are required",IF(OR(N(D30)&lt;=0,N(E30)&lt;0,N(F30)&lt;0,N(G30)&lt;0,N(H30)&lt;0),"Values must be 0 or more (shift length above 0)",IF(N(H30)&gt;N(G30),"Rejects &gt; total parts",IF(N(E30)&gt;=N(D30),"Planned stops &gt;= shift length",IF(N(F30)&gt;N(D30)-N(E30),"Downtime &gt; planned time",IF(AND(ISNUMBER(O30),O30&gt;1),"Check: performance above 100%","OK"))))))))))</f>
        <v/>
      </c>
      <c r="S30" s="13" t="str">
        <f aca="false">IF($T30,K30*M30/60,"")</f>
        <v/>
      </c>
      <c r="T30" s="15" t="b">
        <f aca="false">IF($C30="",FALSE(),AND(SUMPRODUCT(--(Setup!$A$5:$A$24=$C30))&gt;0,ISNUMBER(A30),ISNUMBER(K30),N(K30)&gt;0,ISNUMBER(D30),N(D30)&gt;0,ISNUMBER(G30),N(G30)&gt;=0,OR(E30="",ISNUMBER(E30)),OR(F30="",ISNUMBER(F30)),OR(H30="",ISNUMBER(H30)),N(E30)&gt;=0,N(F30)&gt;=0,N(H30)&gt;=0,N(H30)&lt;=N(G30),N(E30)&lt;N(D30),N(F30)&lt;=N(D30)-N(E30)))</f>
        <v>0</v>
      </c>
    </row>
    <row r="31" customFormat="false" ht="15" hidden="false" customHeight="false" outlineLevel="0" collapsed="false">
      <c r="A31" s="11"/>
      <c r="B31" s="8"/>
      <c r="C31" s="8"/>
      <c r="D31" s="8"/>
      <c r="E31" s="8"/>
      <c r="F31" s="8"/>
      <c r="G31" s="8"/>
      <c r="H31" s="8"/>
      <c r="I31" s="12" t="str">
        <f aca="false">IF($T31,D31-N(E31),"")</f>
        <v/>
      </c>
      <c r="J31" s="12" t="str">
        <f aca="false">IF($T31,I31-N(F31),"")</f>
        <v/>
      </c>
      <c r="K31" s="13" t="str">
        <f aca="false">IF($C31="","",IF(SUMPRODUCT(--(Setup!$A$5:$A$24=$C31))&gt;0,INDEX(Setup!$B$5:$B$24,21-SUMPRODUCT(MAX((Setup!$A$5:$A$24=$C31)*(25-ROW(Setup!$A$5:$A$24))))),""))</f>
        <v/>
      </c>
      <c r="L31" s="13" t="str">
        <f aca="false">IF($T31,K31*G31/60,"")</f>
        <v/>
      </c>
      <c r="M31" s="12" t="str">
        <f aca="false">IF($T31,G31-N(H31),"")</f>
        <v/>
      </c>
      <c r="N31" s="14" t="str">
        <f aca="false">IF($T31,J31/I31,"")</f>
        <v/>
      </c>
      <c r="O31" s="14" t="str">
        <f aca="false">IF(AND($T31,N(J31)&gt;0),L31/J31,"")</f>
        <v/>
      </c>
      <c r="P31" s="14" t="str">
        <f aca="false">IF(AND($T31,N(G31)&gt;0),M31/G31,"")</f>
        <v/>
      </c>
      <c r="Q31" s="14" t="str">
        <f aca="false">IF($T31,S31/I31,"")</f>
        <v/>
      </c>
      <c r="R31" s="10" t="str">
        <f aca="false">IF($C31="","",IF(NOT(SUMPRODUCT(--(Setup!$A$5:$A$24=$C31))&gt;0),"Machine not in Setup",IF(OR(NOT(ISNUMBER(K31)),N(K31)&lt;=0),"Set an ideal cycle time in Setup",IF(NOT(ISNUMBER(A31)),"Enter a date",IF(OR(NOT(ISNUMBER(D31)),NOT(ISNUMBER(G31)),AND(E31&lt;&gt;"",NOT(ISNUMBER(E31))),AND(F31&lt;&gt;"",NOT(ISNUMBER(F31))),AND(H31&lt;&gt;"",NOT(ISNUMBER(H31)))),"Enter numbers: shift length and total parts are required",IF(OR(N(D31)&lt;=0,N(E31)&lt;0,N(F31)&lt;0,N(G31)&lt;0,N(H31)&lt;0),"Values must be 0 or more (shift length above 0)",IF(N(H31)&gt;N(G31),"Rejects &gt; total parts",IF(N(E31)&gt;=N(D31),"Planned stops &gt;= shift length",IF(N(F31)&gt;N(D31)-N(E31),"Downtime &gt; planned time",IF(AND(ISNUMBER(O31),O31&gt;1),"Check: performance above 100%","OK"))))))))))</f>
        <v/>
      </c>
      <c r="S31" s="13" t="str">
        <f aca="false">IF($T31,K31*M31/60,"")</f>
        <v/>
      </c>
      <c r="T31" s="15" t="b">
        <f aca="false">IF($C31="",FALSE(),AND(SUMPRODUCT(--(Setup!$A$5:$A$24=$C31))&gt;0,ISNUMBER(A31),ISNUMBER(K31),N(K31)&gt;0,ISNUMBER(D31),N(D31)&gt;0,ISNUMBER(G31),N(G31)&gt;=0,OR(E31="",ISNUMBER(E31)),OR(F31="",ISNUMBER(F31)),OR(H31="",ISNUMBER(H31)),N(E31)&gt;=0,N(F31)&gt;=0,N(H31)&gt;=0,N(H31)&lt;=N(G31),N(E31)&lt;N(D31),N(F31)&lt;=N(D31)-N(E31)))</f>
        <v>0</v>
      </c>
    </row>
    <row r="32" customFormat="false" ht="15" hidden="false" customHeight="false" outlineLevel="0" collapsed="false">
      <c r="A32" s="11"/>
      <c r="B32" s="8"/>
      <c r="C32" s="8"/>
      <c r="D32" s="8"/>
      <c r="E32" s="8"/>
      <c r="F32" s="8"/>
      <c r="G32" s="8"/>
      <c r="H32" s="8"/>
      <c r="I32" s="12" t="str">
        <f aca="false">IF($T32,D32-N(E32),"")</f>
        <v/>
      </c>
      <c r="J32" s="12" t="str">
        <f aca="false">IF($T32,I32-N(F32),"")</f>
        <v/>
      </c>
      <c r="K32" s="13" t="str">
        <f aca="false">IF($C32="","",IF(SUMPRODUCT(--(Setup!$A$5:$A$24=$C32))&gt;0,INDEX(Setup!$B$5:$B$24,21-SUMPRODUCT(MAX((Setup!$A$5:$A$24=$C32)*(25-ROW(Setup!$A$5:$A$24))))),""))</f>
        <v/>
      </c>
      <c r="L32" s="13" t="str">
        <f aca="false">IF($T32,K32*G32/60,"")</f>
        <v/>
      </c>
      <c r="M32" s="12" t="str">
        <f aca="false">IF($T32,G32-N(H32),"")</f>
        <v/>
      </c>
      <c r="N32" s="14" t="str">
        <f aca="false">IF($T32,J32/I32,"")</f>
        <v/>
      </c>
      <c r="O32" s="14" t="str">
        <f aca="false">IF(AND($T32,N(J32)&gt;0),L32/J32,"")</f>
        <v/>
      </c>
      <c r="P32" s="14" t="str">
        <f aca="false">IF(AND($T32,N(G32)&gt;0),M32/G32,"")</f>
        <v/>
      </c>
      <c r="Q32" s="14" t="str">
        <f aca="false">IF($T32,S32/I32,"")</f>
        <v/>
      </c>
      <c r="R32" s="10" t="str">
        <f aca="false">IF($C32="","",IF(NOT(SUMPRODUCT(--(Setup!$A$5:$A$24=$C32))&gt;0),"Machine not in Setup",IF(OR(NOT(ISNUMBER(K32)),N(K32)&lt;=0),"Set an ideal cycle time in Setup",IF(NOT(ISNUMBER(A32)),"Enter a date",IF(OR(NOT(ISNUMBER(D32)),NOT(ISNUMBER(G32)),AND(E32&lt;&gt;"",NOT(ISNUMBER(E32))),AND(F32&lt;&gt;"",NOT(ISNUMBER(F32))),AND(H32&lt;&gt;"",NOT(ISNUMBER(H32)))),"Enter numbers: shift length and total parts are required",IF(OR(N(D32)&lt;=0,N(E32)&lt;0,N(F32)&lt;0,N(G32)&lt;0,N(H32)&lt;0),"Values must be 0 or more (shift length above 0)",IF(N(H32)&gt;N(G32),"Rejects &gt; total parts",IF(N(E32)&gt;=N(D32),"Planned stops &gt;= shift length",IF(N(F32)&gt;N(D32)-N(E32),"Downtime &gt; planned time",IF(AND(ISNUMBER(O32),O32&gt;1),"Check: performance above 100%","OK"))))))))))</f>
        <v/>
      </c>
      <c r="S32" s="13" t="str">
        <f aca="false">IF($T32,K32*M32/60,"")</f>
        <v/>
      </c>
      <c r="T32" s="15" t="b">
        <f aca="false">IF($C32="",FALSE(),AND(SUMPRODUCT(--(Setup!$A$5:$A$24=$C32))&gt;0,ISNUMBER(A32),ISNUMBER(K32),N(K32)&gt;0,ISNUMBER(D32),N(D32)&gt;0,ISNUMBER(G32),N(G32)&gt;=0,OR(E32="",ISNUMBER(E32)),OR(F32="",ISNUMBER(F32)),OR(H32="",ISNUMBER(H32)),N(E32)&gt;=0,N(F32)&gt;=0,N(H32)&gt;=0,N(H32)&lt;=N(G32),N(E32)&lt;N(D32),N(F32)&lt;=N(D32)-N(E32)))</f>
        <v>0</v>
      </c>
    </row>
    <row r="33" customFormat="false" ht="15" hidden="false" customHeight="false" outlineLevel="0" collapsed="false">
      <c r="A33" s="11"/>
      <c r="B33" s="8"/>
      <c r="C33" s="8"/>
      <c r="D33" s="8"/>
      <c r="E33" s="8"/>
      <c r="F33" s="8"/>
      <c r="G33" s="8"/>
      <c r="H33" s="8"/>
      <c r="I33" s="12" t="str">
        <f aca="false">IF($T33,D33-N(E33),"")</f>
        <v/>
      </c>
      <c r="J33" s="12" t="str">
        <f aca="false">IF($T33,I33-N(F33),"")</f>
        <v/>
      </c>
      <c r="K33" s="13" t="str">
        <f aca="false">IF($C33="","",IF(SUMPRODUCT(--(Setup!$A$5:$A$24=$C33))&gt;0,INDEX(Setup!$B$5:$B$24,21-SUMPRODUCT(MAX((Setup!$A$5:$A$24=$C33)*(25-ROW(Setup!$A$5:$A$24))))),""))</f>
        <v/>
      </c>
      <c r="L33" s="13" t="str">
        <f aca="false">IF($T33,K33*G33/60,"")</f>
        <v/>
      </c>
      <c r="M33" s="12" t="str">
        <f aca="false">IF($T33,G33-N(H33),"")</f>
        <v/>
      </c>
      <c r="N33" s="14" t="str">
        <f aca="false">IF($T33,J33/I33,"")</f>
        <v/>
      </c>
      <c r="O33" s="14" t="str">
        <f aca="false">IF(AND($T33,N(J33)&gt;0),L33/J33,"")</f>
        <v/>
      </c>
      <c r="P33" s="14" t="str">
        <f aca="false">IF(AND($T33,N(G33)&gt;0),M33/G33,"")</f>
        <v/>
      </c>
      <c r="Q33" s="14" t="str">
        <f aca="false">IF($T33,S33/I33,"")</f>
        <v/>
      </c>
      <c r="R33" s="10" t="str">
        <f aca="false">IF($C33="","",IF(NOT(SUMPRODUCT(--(Setup!$A$5:$A$24=$C33))&gt;0),"Machine not in Setup",IF(OR(NOT(ISNUMBER(K33)),N(K33)&lt;=0),"Set an ideal cycle time in Setup",IF(NOT(ISNUMBER(A33)),"Enter a date",IF(OR(NOT(ISNUMBER(D33)),NOT(ISNUMBER(G33)),AND(E33&lt;&gt;"",NOT(ISNUMBER(E33))),AND(F33&lt;&gt;"",NOT(ISNUMBER(F33))),AND(H33&lt;&gt;"",NOT(ISNUMBER(H33)))),"Enter numbers: shift length and total parts are required",IF(OR(N(D33)&lt;=0,N(E33)&lt;0,N(F33)&lt;0,N(G33)&lt;0,N(H33)&lt;0),"Values must be 0 or more (shift length above 0)",IF(N(H33)&gt;N(G33),"Rejects &gt; total parts",IF(N(E33)&gt;=N(D33),"Planned stops &gt;= shift length",IF(N(F33)&gt;N(D33)-N(E33),"Downtime &gt; planned time",IF(AND(ISNUMBER(O33),O33&gt;1),"Check: performance above 100%","OK"))))))))))</f>
        <v/>
      </c>
      <c r="S33" s="13" t="str">
        <f aca="false">IF($T33,K33*M33/60,"")</f>
        <v/>
      </c>
      <c r="T33" s="15" t="b">
        <f aca="false">IF($C33="",FALSE(),AND(SUMPRODUCT(--(Setup!$A$5:$A$24=$C33))&gt;0,ISNUMBER(A33),ISNUMBER(K33),N(K33)&gt;0,ISNUMBER(D33),N(D33)&gt;0,ISNUMBER(G33),N(G33)&gt;=0,OR(E33="",ISNUMBER(E33)),OR(F33="",ISNUMBER(F33)),OR(H33="",ISNUMBER(H33)),N(E33)&gt;=0,N(F33)&gt;=0,N(H33)&gt;=0,N(H33)&lt;=N(G33),N(E33)&lt;N(D33),N(F33)&lt;=N(D33)-N(E33)))</f>
        <v>0</v>
      </c>
    </row>
    <row r="34" customFormat="false" ht="15" hidden="false" customHeight="false" outlineLevel="0" collapsed="false">
      <c r="A34" s="11"/>
      <c r="B34" s="8"/>
      <c r="C34" s="8"/>
      <c r="D34" s="8"/>
      <c r="E34" s="8"/>
      <c r="F34" s="8"/>
      <c r="G34" s="8"/>
      <c r="H34" s="8"/>
      <c r="I34" s="12" t="str">
        <f aca="false">IF($T34,D34-N(E34),"")</f>
        <v/>
      </c>
      <c r="J34" s="12" t="str">
        <f aca="false">IF($T34,I34-N(F34),"")</f>
        <v/>
      </c>
      <c r="K34" s="13" t="str">
        <f aca="false">IF($C34="","",IF(SUMPRODUCT(--(Setup!$A$5:$A$24=$C34))&gt;0,INDEX(Setup!$B$5:$B$24,21-SUMPRODUCT(MAX((Setup!$A$5:$A$24=$C34)*(25-ROW(Setup!$A$5:$A$24))))),""))</f>
        <v/>
      </c>
      <c r="L34" s="13" t="str">
        <f aca="false">IF($T34,K34*G34/60,"")</f>
        <v/>
      </c>
      <c r="M34" s="12" t="str">
        <f aca="false">IF($T34,G34-N(H34),"")</f>
        <v/>
      </c>
      <c r="N34" s="14" t="str">
        <f aca="false">IF($T34,J34/I34,"")</f>
        <v/>
      </c>
      <c r="O34" s="14" t="str">
        <f aca="false">IF(AND($T34,N(J34)&gt;0),L34/J34,"")</f>
        <v/>
      </c>
      <c r="P34" s="14" t="str">
        <f aca="false">IF(AND($T34,N(G34)&gt;0),M34/G34,"")</f>
        <v/>
      </c>
      <c r="Q34" s="14" t="str">
        <f aca="false">IF($T34,S34/I34,"")</f>
        <v/>
      </c>
      <c r="R34" s="10" t="str">
        <f aca="false">IF($C34="","",IF(NOT(SUMPRODUCT(--(Setup!$A$5:$A$24=$C34))&gt;0),"Machine not in Setup",IF(OR(NOT(ISNUMBER(K34)),N(K34)&lt;=0),"Set an ideal cycle time in Setup",IF(NOT(ISNUMBER(A34)),"Enter a date",IF(OR(NOT(ISNUMBER(D34)),NOT(ISNUMBER(G34)),AND(E34&lt;&gt;"",NOT(ISNUMBER(E34))),AND(F34&lt;&gt;"",NOT(ISNUMBER(F34))),AND(H34&lt;&gt;"",NOT(ISNUMBER(H34)))),"Enter numbers: shift length and total parts are required",IF(OR(N(D34)&lt;=0,N(E34)&lt;0,N(F34)&lt;0,N(G34)&lt;0,N(H34)&lt;0),"Values must be 0 or more (shift length above 0)",IF(N(H34)&gt;N(G34),"Rejects &gt; total parts",IF(N(E34)&gt;=N(D34),"Planned stops &gt;= shift length",IF(N(F34)&gt;N(D34)-N(E34),"Downtime &gt; planned time",IF(AND(ISNUMBER(O34),O34&gt;1),"Check: performance above 100%","OK"))))))))))</f>
        <v/>
      </c>
      <c r="S34" s="13" t="str">
        <f aca="false">IF($T34,K34*M34/60,"")</f>
        <v/>
      </c>
      <c r="T34" s="15" t="b">
        <f aca="false">IF($C34="",FALSE(),AND(SUMPRODUCT(--(Setup!$A$5:$A$24=$C34))&gt;0,ISNUMBER(A34),ISNUMBER(K34),N(K34)&gt;0,ISNUMBER(D34),N(D34)&gt;0,ISNUMBER(G34),N(G34)&gt;=0,OR(E34="",ISNUMBER(E34)),OR(F34="",ISNUMBER(F34)),OR(H34="",ISNUMBER(H34)),N(E34)&gt;=0,N(F34)&gt;=0,N(H34)&gt;=0,N(H34)&lt;=N(G34),N(E34)&lt;N(D34),N(F34)&lt;=N(D34)-N(E34)))</f>
        <v>0</v>
      </c>
    </row>
    <row r="35" customFormat="false" ht="15" hidden="false" customHeight="false" outlineLevel="0" collapsed="false">
      <c r="A35" s="11"/>
      <c r="B35" s="8"/>
      <c r="C35" s="8"/>
      <c r="D35" s="8"/>
      <c r="E35" s="8"/>
      <c r="F35" s="8"/>
      <c r="G35" s="8"/>
      <c r="H35" s="8"/>
      <c r="I35" s="12" t="str">
        <f aca="false">IF($T35,D35-N(E35),"")</f>
        <v/>
      </c>
      <c r="J35" s="12" t="str">
        <f aca="false">IF($T35,I35-N(F35),"")</f>
        <v/>
      </c>
      <c r="K35" s="13" t="str">
        <f aca="false">IF($C35="","",IF(SUMPRODUCT(--(Setup!$A$5:$A$24=$C35))&gt;0,INDEX(Setup!$B$5:$B$24,21-SUMPRODUCT(MAX((Setup!$A$5:$A$24=$C35)*(25-ROW(Setup!$A$5:$A$24))))),""))</f>
        <v/>
      </c>
      <c r="L35" s="13" t="str">
        <f aca="false">IF($T35,K35*G35/60,"")</f>
        <v/>
      </c>
      <c r="M35" s="12" t="str">
        <f aca="false">IF($T35,G35-N(H35),"")</f>
        <v/>
      </c>
      <c r="N35" s="14" t="str">
        <f aca="false">IF($T35,J35/I35,"")</f>
        <v/>
      </c>
      <c r="O35" s="14" t="str">
        <f aca="false">IF(AND($T35,N(J35)&gt;0),L35/J35,"")</f>
        <v/>
      </c>
      <c r="P35" s="14" t="str">
        <f aca="false">IF(AND($T35,N(G35)&gt;0),M35/G35,"")</f>
        <v/>
      </c>
      <c r="Q35" s="14" t="str">
        <f aca="false">IF($T35,S35/I35,"")</f>
        <v/>
      </c>
      <c r="R35" s="10" t="str">
        <f aca="false">IF($C35="","",IF(NOT(SUMPRODUCT(--(Setup!$A$5:$A$24=$C35))&gt;0),"Machine not in Setup",IF(OR(NOT(ISNUMBER(K35)),N(K35)&lt;=0),"Set an ideal cycle time in Setup",IF(NOT(ISNUMBER(A35)),"Enter a date",IF(OR(NOT(ISNUMBER(D35)),NOT(ISNUMBER(G35)),AND(E35&lt;&gt;"",NOT(ISNUMBER(E35))),AND(F35&lt;&gt;"",NOT(ISNUMBER(F35))),AND(H35&lt;&gt;"",NOT(ISNUMBER(H35)))),"Enter numbers: shift length and total parts are required",IF(OR(N(D35)&lt;=0,N(E35)&lt;0,N(F35)&lt;0,N(G35)&lt;0,N(H35)&lt;0),"Values must be 0 or more (shift length above 0)",IF(N(H35)&gt;N(G35),"Rejects &gt; total parts",IF(N(E35)&gt;=N(D35),"Planned stops &gt;= shift length",IF(N(F35)&gt;N(D35)-N(E35),"Downtime &gt; planned time",IF(AND(ISNUMBER(O35),O35&gt;1),"Check: performance above 100%","OK"))))))))))</f>
        <v/>
      </c>
      <c r="S35" s="13" t="str">
        <f aca="false">IF($T35,K35*M35/60,"")</f>
        <v/>
      </c>
      <c r="T35" s="15" t="b">
        <f aca="false">IF($C35="",FALSE(),AND(SUMPRODUCT(--(Setup!$A$5:$A$24=$C35))&gt;0,ISNUMBER(A35),ISNUMBER(K35),N(K35)&gt;0,ISNUMBER(D35),N(D35)&gt;0,ISNUMBER(G35),N(G35)&gt;=0,OR(E35="",ISNUMBER(E35)),OR(F35="",ISNUMBER(F35)),OR(H35="",ISNUMBER(H35)),N(E35)&gt;=0,N(F35)&gt;=0,N(H35)&gt;=0,N(H35)&lt;=N(G35),N(E35)&lt;N(D35),N(F35)&lt;=N(D35)-N(E35)))</f>
        <v>0</v>
      </c>
    </row>
    <row r="36" customFormat="false" ht="15" hidden="false" customHeight="false" outlineLevel="0" collapsed="false">
      <c r="A36" s="11"/>
      <c r="B36" s="8"/>
      <c r="C36" s="8"/>
      <c r="D36" s="8"/>
      <c r="E36" s="8"/>
      <c r="F36" s="8"/>
      <c r="G36" s="8"/>
      <c r="H36" s="8"/>
      <c r="I36" s="12" t="str">
        <f aca="false">IF($T36,D36-N(E36),"")</f>
        <v/>
      </c>
      <c r="J36" s="12" t="str">
        <f aca="false">IF($T36,I36-N(F36),"")</f>
        <v/>
      </c>
      <c r="K36" s="13" t="str">
        <f aca="false">IF($C36="","",IF(SUMPRODUCT(--(Setup!$A$5:$A$24=$C36))&gt;0,INDEX(Setup!$B$5:$B$24,21-SUMPRODUCT(MAX((Setup!$A$5:$A$24=$C36)*(25-ROW(Setup!$A$5:$A$24))))),""))</f>
        <v/>
      </c>
      <c r="L36" s="13" t="str">
        <f aca="false">IF($T36,K36*G36/60,"")</f>
        <v/>
      </c>
      <c r="M36" s="12" t="str">
        <f aca="false">IF($T36,G36-N(H36),"")</f>
        <v/>
      </c>
      <c r="N36" s="14" t="str">
        <f aca="false">IF($T36,J36/I36,"")</f>
        <v/>
      </c>
      <c r="O36" s="14" t="str">
        <f aca="false">IF(AND($T36,N(J36)&gt;0),L36/J36,"")</f>
        <v/>
      </c>
      <c r="P36" s="14" t="str">
        <f aca="false">IF(AND($T36,N(G36)&gt;0),M36/G36,"")</f>
        <v/>
      </c>
      <c r="Q36" s="14" t="str">
        <f aca="false">IF($T36,S36/I36,"")</f>
        <v/>
      </c>
      <c r="R36" s="10" t="str">
        <f aca="false">IF($C36="","",IF(NOT(SUMPRODUCT(--(Setup!$A$5:$A$24=$C36))&gt;0),"Machine not in Setup",IF(OR(NOT(ISNUMBER(K36)),N(K36)&lt;=0),"Set an ideal cycle time in Setup",IF(NOT(ISNUMBER(A36)),"Enter a date",IF(OR(NOT(ISNUMBER(D36)),NOT(ISNUMBER(G36)),AND(E36&lt;&gt;"",NOT(ISNUMBER(E36))),AND(F36&lt;&gt;"",NOT(ISNUMBER(F36))),AND(H36&lt;&gt;"",NOT(ISNUMBER(H36)))),"Enter numbers: shift length and total parts are required",IF(OR(N(D36)&lt;=0,N(E36)&lt;0,N(F36)&lt;0,N(G36)&lt;0,N(H36)&lt;0),"Values must be 0 or more (shift length above 0)",IF(N(H36)&gt;N(G36),"Rejects &gt; total parts",IF(N(E36)&gt;=N(D36),"Planned stops &gt;= shift length",IF(N(F36)&gt;N(D36)-N(E36),"Downtime &gt; planned time",IF(AND(ISNUMBER(O36),O36&gt;1),"Check: performance above 100%","OK"))))))))))</f>
        <v/>
      </c>
      <c r="S36" s="13" t="str">
        <f aca="false">IF($T36,K36*M36/60,"")</f>
        <v/>
      </c>
      <c r="T36" s="15" t="b">
        <f aca="false">IF($C36="",FALSE(),AND(SUMPRODUCT(--(Setup!$A$5:$A$24=$C36))&gt;0,ISNUMBER(A36),ISNUMBER(K36),N(K36)&gt;0,ISNUMBER(D36),N(D36)&gt;0,ISNUMBER(G36),N(G36)&gt;=0,OR(E36="",ISNUMBER(E36)),OR(F36="",ISNUMBER(F36)),OR(H36="",ISNUMBER(H36)),N(E36)&gt;=0,N(F36)&gt;=0,N(H36)&gt;=0,N(H36)&lt;=N(G36),N(E36)&lt;N(D36),N(F36)&lt;=N(D36)-N(E36)))</f>
        <v>0</v>
      </c>
    </row>
    <row r="37" customFormat="false" ht="15" hidden="false" customHeight="false" outlineLevel="0" collapsed="false">
      <c r="A37" s="11"/>
      <c r="B37" s="8"/>
      <c r="C37" s="8"/>
      <c r="D37" s="8"/>
      <c r="E37" s="8"/>
      <c r="F37" s="8"/>
      <c r="G37" s="8"/>
      <c r="H37" s="8"/>
      <c r="I37" s="12" t="str">
        <f aca="false">IF($T37,D37-N(E37),"")</f>
        <v/>
      </c>
      <c r="J37" s="12" t="str">
        <f aca="false">IF($T37,I37-N(F37),"")</f>
        <v/>
      </c>
      <c r="K37" s="13" t="str">
        <f aca="false">IF($C37="","",IF(SUMPRODUCT(--(Setup!$A$5:$A$24=$C37))&gt;0,INDEX(Setup!$B$5:$B$24,21-SUMPRODUCT(MAX((Setup!$A$5:$A$24=$C37)*(25-ROW(Setup!$A$5:$A$24))))),""))</f>
        <v/>
      </c>
      <c r="L37" s="13" t="str">
        <f aca="false">IF($T37,K37*G37/60,"")</f>
        <v/>
      </c>
      <c r="M37" s="12" t="str">
        <f aca="false">IF($T37,G37-N(H37),"")</f>
        <v/>
      </c>
      <c r="N37" s="14" t="str">
        <f aca="false">IF($T37,J37/I37,"")</f>
        <v/>
      </c>
      <c r="O37" s="14" t="str">
        <f aca="false">IF(AND($T37,N(J37)&gt;0),L37/J37,"")</f>
        <v/>
      </c>
      <c r="P37" s="14" t="str">
        <f aca="false">IF(AND($T37,N(G37)&gt;0),M37/G37,"")</f>
        <v/>
      </c>
      <c r="Q37" s="14" t="str">
        <f aca="false">IF($T37,S37/I37,"")</f>
        <v/>
      </c>
      <c r="R37" s="10" t="str">
        <f aca="false">IF($C37="","",IF(NOT(SUMPRODUCT(--(Setup!$A$5:$A$24=$C37))&gt;0),"Machine not in Setup",IF(OR(NOT(ISNUMBER(K37)),N(K37)&lt;=0),"Set an ideal cycle time in Setup",IF(NOT(ISNUMBER(A37)),"Enter a date",IF(OR(NOT(ISNUMBER(D37)),NOT(ISNUMBER(G37)),AND(E37&lt;&gt;"",NOT(ISNUMBER(E37))),AND(F37&lt;&gt;"",NOT(ISNUMBER(F37))),AND(H37&lt;&gt;"",NOT(ISNUMBER(H37)))),"Enter numbers: shift length and total parts are required",IF(OR(N(D37)&lt;=0,N(E37)&lt;0,N(F37)&lt;0,N(G37)&lt;0,N(H37)&lt;0),"Values must be 0 or more (shift length above 0)",IF(N(H37)&gt;N(G37),"Rejects &gt; total parts",IF(N(E37)&gt;=N(D37),"Planned stops &gt;= shift length",IF(N(F37)&gt;N(D37)-N(E37),"Downtime &gt; planned time",IF(AND(ISNUMBER(O37),O37&gt;1),"Check: performance above 100%","OK"))))))))))</f>
        <v/>
      </c>
      <c r="S37" s="13" t="str">
        <f aca="false">IF($T37,K37*M37/60,"")</f>
        <v/>
      </c>
      <c r="T37" s="15" t="b">
        <f aca="false">IF($C37="",FALSE(),AND(SUMPRODUCT(--(Setup!$A$5:$A$24=$C37))&gt;0,ISNUMBER(A37),ISNUMBER(K37),N(K37)&gt;0,ISNUMBER(D37),N(D37)&gt;0,ISNUMBER(G37),N(G37)&gt;=0,OR(E37="",ISNUMBER(E37)),OR(F37="",ISNUMBER(F37)),OR(H37="",ISNUMBER(H37)),N(E37)&gt;=0,N(F37)&gt;=0,N(H37)&gt;=0,N(H37)&lt;=N(G37),N(E37)&lt;N(D37),N(F37)&lt;=N(D37)-N(E37)))</f>
        <v>0</v>
      </c>
    </row>
    <row r="38" customFormat="false" ht="15" hidden="false" customHeight="false" outlineLevel="0" collapsed="false">
      <c r="A38" s="11"/>
      <c r="B38" s="8"/>
      <c r="C38" s="8"/>
      <c r="D38" s="8"/>
      <c r="E38" s="8"/>
      <c r="F38" s="8"/>
      <c r="G38" s="8"/>
      <c r="H38" s="8"/>
      <c r="I38" s="12" t="str">
        <f aca="false">IF($T38,D38-N(E38),"")</f>
        <v/>
      </c>
      <c r="J38" s="12" t="str">
        <f aca="false">IF($T38,I38-N(F38),"")</f>
        <v/>
      </c>
      <c r="K38" s="13" t="str">
        <f aca="false">IF($C38="","",IF(SUMPRODUCT(--(Setup!$A$5:$A$24=$C38))&gt;0,INDEX(Setup!$B$5:$B$24,21-SUMPRODUCT(MAX((Setup!$A$5:$A$24=$C38)*(25-ROW(Setup!$A$5:$A$24))))),""))</f>
        <v/>
      </c>
      <c r="L38" s="13" t="str">
        <f aca="false">IF($T38,K38*G38/60,"")</f>
        <v/>
      </c>
      <c r="M38" s="12" t="str">
        <f aca="false">IF($T38,G38-N(H38),"")</f>
        <v/>
      </c>
      <c r="N38" s="14" t="str">
        <f aca="false">IF($T38,J38/I38,"")</f>
        <v/>
      </c>
      <c r="O38" s="14" t="str">
        <f aca="false">IF(AND($T38,N(J38)&gt;0),L38/J38,"")</f>
        <v/>
      </c>
      <c r="P38" s="14" t="str">
        <f aca="false">IF(AND($T38,N(G38)&gt;0),M38/G38,"")</f>
        <v/>
      </c>
      <c r="Q38" s="14" t="str">
        <f aca="false">IF($T38,S38/I38,"")</f>
        <v/>
      </c>
      <c r="R38" s="10" t="str">
        <f aca="false">IF($C38="","",IF(NOT(SUMPRODUCT(--(Setup!$A$5:$A$24=$C38))&gt;0),"Machine not in Setup",IF(OR(NOT(ISNUMBER(K38)),N(K38)&lt;=0),"Set an ideal cycle time in Setup",IF(NOT(ISNUMBER(A38)),"Enter a date",IF(OR(NOT(ISNUMBER(D38)),NOT(ISNUMBER(G38)),AND(E38&lt;&gt;"",NOT(ISNUMBER(E38))),AND(F38&lt;&gt;"",NOT(ISNUMBER(F38))),AND(H38&lt;&gt;"",NOT(ISNUMBER(H38)))),"Enter numbers: shift length and total parts are required",IF(OR(N(D38)&lt;=0,N(E38)&lt;0,N(F38)&lt;0,N(G38)&lt;0,N(H38)&lt;0),"Values must be 0 or more (shift length above 0)",IF(N(H38)&gt;N(G38),"Rejects &gt; total parts",IF(N(E38)&gt;=N(D38),"Planned stops &gt;= shift length",IF(N(F38)&gt;N(D38)-N(E38),"Downtime &gt; planned time",IF(AND(ISNUMBER(O38),O38&gt;1),"Check: performance above 100%","OK"))))))))))</f>
        <v/>
      </c>
      <c r="S38" s="13" t="str">
        <f aca="false">IF($T38,K38*M38/60,"")</f>
        <v/>
      </c>
      <c r="T38" s="15" t="b">
        <f aca="false">IF($C38="",FALSE(),AND(SUMPRODUCT(--(Setup!$A$5:$A$24=$C38))&gt;0,ISNUMBER(A38),ISNUMBER(K38),N(K38)&gt;0,ISNUMBER(D38),N(D38)&gt;0,ISNUMBER(G38),N(G38)&gt;=0,OR(E38="",ISNUMBER(E38)),OR(F38="",ISNUMBER(F38)),OR(H38="",ISNUMBER(H38)),N(E38)&gt;=0,N(F38)&gt;=0,N(H38)&gt;=0,N(H38)&lt;=N(G38),N(E38)&lt;N(D38),N(F38)&lt;=N(D38)-N(E38)))</f>
        <v>0</v>
      </c>
    </row>
    <row r="39" customFormat="false" ht="15" hidden="false" customHeight="false" outlineLevel="0" collapsed="false">
      <c r="A39" s="11"/>
      <c r="B39" s="8"/>
      <c r="C39" s="8"/>
      <c r="D39" s="8"/>
      <c r="E39" s="8"/>
      <c r="F39" s="8"/>
      <c r="G39" s="8"/>
      <c r="H39" s="8"/>
      <c r="I39" s="12" t="str">
        <f aca="false">IF($T39,D39-N(E39),"")</f>
        <v/>
      </c>
      <c r="J39" s="12" t="str">
        <f aca="false">IF($T39,I39-N(F39),"")</f>
        <v/>
      </c>
      <c r="K39" s="13" t="str">
        <f aca="false">IF($C39="","",IF(SUMPRODUCT(--(Setup!$A$5:$A$24=$C39))&gt;0,INDEX(Setup!$B$5:$B$24,21-SUMPRODUCT(MAX((Setup!$A$5:$A$24=$C39)*(25-ROW(Setup!$A$5:$A$24))))),""))</f>
        <v/>
      </c>
      <c r="L39" s="13" t="str">
        <f aca="false">IF($T39,K39*G39/60,"")</f>
        <v/>
      </c>
      <c r="M39" s="12" t="str">
        <f aca="false">IF($T39,G39-N(H39),"")</f>
        <v/>
      </c>
      <c r="N39" s="14" t="str">
        <f aca="false">IF($T39,J39/I39,"")</f>
        <v/>
      </c>
      <c r="O39" s="14" t="str">
        <f aca="false">IF(AND($T39,N(J39)&gt;0),L39/J39,"")</f>
        <v/>
      </c>
      <c r="P39" s="14" t="str">
        <f aca="false">IF(AND($T39,N(G39)&gt;0),M39/G39,"")</f>
        <v/>
      </c>
      <c r="Q39" s="14" t="str">
        <f aca="false">IF($T39,S39/I39,"")</f>
        <v/>
      </c>
      <c r="R39" s="10" t="str">
        <f aca="false">IF($C39="","",IF(NOT(SUMPRODUCT(--(Setup!$A$5:$A$24=$C39))&gt;0),"Machine not in Setup",IF(OR(NOT(ISNUMBER(K39)),N(K39)&lt;=0),"Set an ideal cycle time in Setup",IF(NOT(ISNUMBER(A39)),"Enter a date",IF(OR(NOT(ISNUMBER(D39)),NOT(ISNUMBER(G39)),AND(E39&lt;&gt;"",NOT(ISNUMBER(E39))),AND(F39&lt;&gt;"",NOT(ISNUMBER(F39))),AND(H39&lt;&gt;"",NOT(ISNUMBER(H39)))),"Enter numbers: shift length and total parts are required",IF(OR(N(D39)&lt;=0,N(E39)&lt;0,N(F39)&lt;0,N(G39)&lt;0,N(H39)&lt;0),"Values must be 0 or more (shift length above 0)",IF(N(H39)&gt;N(G39),"Rejects &gt; total parts",IF(N(E39)&gt;=N(D39),"Planned stops &gt;= shift length",IF(N(F39)&gt;N(D39)-N(E39),"Downtime &gt; planned time",IF(AND(ISNUMBER(O39),O39&gt;1),"Check: performance above 100%","OK"))))))))))</f>
        <v/>
      </c>
      <c r="S39" s="13" t="str">
        <f aca="false">IF($T39,K39*M39/60,"")</f>
        <v/>
      </c>
      <c r="T39" s="15" t="b">
        <f aca="false">IF($C39="",FALSE(),AND(SUMPRODUCT(--(Setup!$A$5:$A$24=$C39))&gt;0,ISNUMBER(A39),ISNUMBER(K39),N(K39)&gt;0,ISNUMBER(D39),N(D39)&gt;0,ISNUMBER(G39),N(G39)&gt;=0,OR(E39="",ISNUMBER(E39)),OR(F39="",ISNUMBER(F39)),OR(H39="",ISNUMBER(H39)),N(E39)&gt;=0,N(F39)&gt;=0,N(H39)&gt;=0,N(H39)&lt;=N(G39),N(E39)&lt;N(D39),N(F39)&lt;=N(D39)-N(E39)))</f>
        <v>0</v>
      </c>
    </row>
    <row r="40" customFormat="false" ht="15" hidden="false" customHeight="false" outlineLevel="0" collapsed="false">
      <c r="A40" s="11"/>
      <c r="B40" s="8"/>
      <c r="C40" s="8"/>
      <c r="D40" s="8"/>
      <c r="E40" s="8"/>
      <c r="F40" s="8"/>
      <c r="G40" s="8"/>
      <c r="H40" s="8"/>
      <c r="I40" s="12" t="str">
        <f aca="false">IF($T40,D40-N(E40),"")</f>
        <v/>
      </c>
      <c r="J40" s="12" t="str">
        <f aca="false">IF($T40,I40-N(F40),"")</f>
        <v/>
      </c>
      <c r="K40" s="13" t="str">
        <f aca="false">IF($C40="","",IF(SUMPRODUCT(--(Setup!$A$5:$A$24=$C40))&gt;0,INDEX(Setup!$B$5:$B$24,21-SUMPRODUCT(MAX((Setup!$A$5:$A$24=$C40)*(25-ROW(Setup!$A$5:$A$24))))),""))</f>
        <v/>
      </c>
      <c r="L40" s="13" t="str">
        <f aca="false">IF($T40,K40*G40/60,"")</f>
        <v/>
      </c>
      <c r="M40" s="12" t="str">
        <f aca="false">IF($T40,G40-N(H40),"")</f>
        <v/>
      </c>
      <c r="N40" s="14" t="str">
        <f aca="false">IF($T40,J40/I40,"")</f>
        <v/>
      </c>
      <c r="O40" s="14" t="str">
        <f aca="false">IF(AND($T40,N(J40)&gt;0),L40/J40,"")</f>
        <v/>
      </c>
      <c r="P40" s="14" t="str">
        <f aca="false">IF(AND($T40,N(G40)&gt;0),M40/G40,"")</f>
        <v/>
      </c>
      <c r="Q40" s="14" t="str">
        <f aca="false">IF($T40,S40/I40,"")</f>
        <v/>
      </c>
      <c r="R40" s="10" t="str">
        <f aca="false">IF($C40="","",IF(NOT(SUMPRODUCT(--(Setup!$A$5:$A$24=$C40))&gt;0),"Machine not in Setup",IF(OR(NOT(ISNUMBER(K40)),N(K40)&lt;=0),"Set an ideal cycle time in Setup",IF(NOT(ISNUMBER(A40)),"Enter a date",IF(OR(NOT(ISNUMBER(D40)),NOT(ISNUMBER(G40)),AND(E40&lt;&gt;"",NOT(ISNUMBER(E40))),AND(F40&lt;&gt;"",NOT(ISNUMBER(F40))),AND(H40&lt;&gt;"",NOT(ISNUMBER(H40)))),"Enter numbers: shift length and total parts are required",IF(OR(N(D40)&lt;=0,N(E40)&lt;0,N(F40)&lt;0,N(G40)&lt;0,N(H40)&lt;0),"Values must be 0 or more (shift length above 0)",IF(N(H40)&gt;N(G40),"Rejects &gt; total parts",IF(N(E40)&gt;=N(D40),"Planned stops &gt;= shift length",IF(N(F40)&gt;N(D40)-N(E40),"Downtime &gt; planned time",IF(AND(ISNUMBER(O40),O40&gt;1),"Check: performance above 100%","OK"))))))))))</f>
        <v/>
      </c>
      <c r="S40" s="13" t="str">
        <f aca="false">IF($T40,K40*M40/60,"")</f>
        <v/>
      </c>
      <c r="T40" s="15" t="b">
        <f aca="false">IF($C40="",FALSE(),AND(SUMPRODUCT(--(Setup!$A$5:$A$24=$C40))&gt;0,ISNUMBER(A40),ISNUMBER(K40),N(K40)&gt;0,ISNUMBER(D40),N(D40)&gt;0,ISNUMBER(G40),N(G40)&gt;=0,OR(E40="",ISNUMBER(E40)),OR(F40="",ISNUMBER(F40)),OR(H40="",ISNUMBER(H40)),N(E40)&gt;=0,N(F40)&gt;=0,N(H40)&gt;=0,N(H40)&lt;=N(G40),N(E40)&lt;N(D40),N(F40)&lt;=N(D40)-N(E40)))</f>
        <v>0</v>
      </c>
    </row>
    <row r="41" customFormat="false" ht="15" hidden="false" customHeight="false" outlineLevel="0" collapsed="false">
      <c r="A41" s="11"/>
      <c r="B41" s="8"/>
      <c r="C41" s="8"/>
      <c r="D41" s="8"/>
      <c r="E41" s="8"/>
      <c r="F41" s="8"/>
      <c r="G41" s="8"/>
      <c r="H41" s="8"/>
      <c r="I41" s="12" t="str">
        <f aca="false">IF($T41,D41-N(E41),"")</f>
        <v/>
      </c>
      <c r="J41" s="12" t="str">
        <f aca="false">IF($T41,I41-N(F41),"")</f>
        <v/>
      </c>
      <c r="K41" s="13" t="str">
        <f aca="false">IF($C41="","",IF(SUMPRODUCT(--(Setup!$A$5:$A$24=$C41))&gt;0,INDEX(Setup!$B$5:$B$24,21-SUMPRODUCT(MAX((Setup!$A$5:$A$24=$C41)*(25-ROW(Setup!$A$5:$A$24))))),""))</f>
        <v/>
      </c>
      <c r="L41" s="13" t="str">
        <f aca="false">IF($T41,K41*G41/60,"")</f>
        <v/>
      </c>
      <c r="M41" s="12" t="str">
        <f aca="false">IF($T41,G41-N(H41),"")</f>
        <v/>
      </c>
      <c r="N41" s="14" t="str">
        <f aca="false">IF($T41,J41/I41,"")</f>
        <v/>
      </c>
      <c r="O41" s="14" t="str">
        <f aca="false">IF(AND($T41,N(J41)&gt;0),L41/J41,"")</f>
        <v/>
      </c>
      <c r="P41" s="14" t="str">
        <f aca="false">IF(AND($T41,N(G41)&gt;0),M41/G41,"")</f>
        <v/>
      </c>
      <c r="Q41" s="14" t="str">
        <f aca="false">IF($T41,S41/I41,"")</f>
        <v/>
      </c>
      <c r="R41" s="10" t="str">
        <f aca="false">IF($C41="","",IF(NOT(SUMPRODUCT(--(Setup!$A$5:$A$24=$C41))&gt;0),"Machine not in Setup",IF(OR(NOT(ISNUMBER(K41)),N(K41)&lt;=0),"Set an ideal cycle time in Setup",IF(NOT(ISNUMBER(A41)),"Enter a date",IF(OR(NOT(ISNUMBER(D41)),NOT(ISNUMBER(G41)),AND(E41&lt;&gt;"",NOT(ISNUMBER(E41))),AND(F41&lt;&gt;"",NOT(ISNUMBER(F41))),AND(H41&lt;&gt;"",NOT(ISNUMBER(H41)))),"Enter numbers: shift length and total parts are required",IF(OR(N(D41)&lt;=0,N(E41)&lt;0,N(F41)&lt;0,N(G41)&lt;0,N(H41)&lt;0),"Values must be 0 or more (shift length above 0)",IF(N(H41)&gt;N(G41),"Rejects &gt; total parts",IF(N(E41)&gt;=N(D41),"Planned stops &gt;= shift length",IF(N(F41)&gt;N(D41)-N(E41),"Downtime &gt; planned time",IF(AND(ISNUMBER(O41),O41&gt;1),"Check: performance above 100%","OK"))))))))))</f>
        <v/>
      </c>
      <c r="S41" s="13" t="str">
        <f aca="false">IF($T41,K41*M41/60,"")</f>
        <v/>
      </c>
      <c r="T41" s="15" t="b">
        <f aca="false">IF($C41="",FALSE(),AND(SUMPRODUCT(--(Setup!$A$5:$A$24=$C41))&gt;0,ISNUMBER(A41),ISNUMBER(K41),N(K41)&gt;0,ISNUMBER(D41),N(D41)&gt;0,ISNUMBER(G41),N(G41)&gt;=0,OR(E41="",ISNUMBER(E41)),OR(F41="",ISNUMBER(F41)),OR(H41="",ISNUMBER(H41)),N(E41)&gt;=0,N(F41)&gt;=0,N(H41)&gt;=0,N(H41)&lt;=N(G41),N(E41)&lt;N(D41),N(F41)&lt;=N(D41)-N(E41)))</f>
        <v>0</v>
      </c>
    </row>
    <row r="42" customFormat="false" ht="15" hidden="false" customHeight="false" outlineLevel="0" collapsed="false">
      <c r="A42" s="11"/>
      <c r="B42" s="8"/>
      <c r="C42" s="8"/>
      <c r="D42" s="8"/>
      <c r="E42" s="8"/>
      <c r="F42" s="8"/>
      <c r="G42" s="8"/>
      <c r="H42" s="8"/>
      <c r="I42" s="12" t="str">
        <f aca="false">IF($T42,D42-N(E42),"")</f>
        <v/>
      </c>
      <c r="J42" s="12" t="str">
        <f aca="false">IF($T42,I42-N(F42),"")</f>
        <v/>
      </c>
      <c r="K42" s="13" t="str">
        <f aca="false">IF($C42="","",IF(SUMPRODUCT(--(Setup!$A$5:$A$24=$C42))&gt;0,INDEX(Setup!$B$5:$B$24,21-SUMPRODUCT(MAX((Setup!$A$5:$A$24=$C42)*(25-ROW(Setup!$A$5:$A$24))))),""))</f>
        <v/>
      </c>
      <c r="L42" s="13" t="str">
        <f aca="false">IF($T42,K42*G42/60,"")</f>
        <v/>
      </c>
      <c r="M42" s="12" t="str">
        <f aca="false">IF($T42,G42-N(H42),"")</f>
        <v/>
      </c>
      <c r="N42" s="14" t="str">
        <f aca="false">IF($T42,J42/I42,"")</f>
        <v/>
      </c>
      <c r="O42" s="14" t="str">
        <f aca="false">IF(AND($T42,N(J42)&gt;0),L42/J42,"")</f>
        <v/>
      </c>
      <c r="P42" s="14" t="str">
        <f aca="false">IF(AND($T42,N(G42)&gt;0),M42/G42,"")</f>
        <v/>
      </c>
      <c r="Q42" s="14" t="str">
        <f aca="false">IF($T42,S42/I42,"")</f>
        <v/>
      </c>
      <c r="R42" s="10" t="str">
        <f aca="false">IF($C42="","",IF(NOT(SUMPRODUCT(--(Setup!$A$5:$A$24=$C42))&gt;0),"Machine not in Setup",IF(OR(NOT(ISNUMBER(K42)),N(K42)&lt;=0),"Set an ideal cycle time in Setup",IF(NOT(ISNUMBER(A42)),"Enter a date",IF(OR(NOT(ISNUMBER(D42)),NOT(ISNUMBER(G42)),AND(E42&lt;&gt;"",NOT(ISNUMBER(E42))),AND(F42&lt;&gt;"",NOT(ISNUMBER(F42))),AND(H42&lt;&gt;"",NOT(ISNUMBER(H42)))),"Enter numbers: shift length and total parts are required",IF(OR(N(D42)&lt;=0,N(E42)&lt;0,N(F42)&lt;0,N(G42)&lt;0,N(H42)&lt;0),"Values must be 0 or more (shift length above 0)",IF(N(H42)&gt;N(G42),"Rejects &gt; total parts",IF(N(E42)&gt;=N(D42),"Planned stops &gt;= shift length",IF(N(F42)&gt;N(D42)-N(E42),"Downtime &gt; planned time",IF(AND(ISNUMBER(O42),O42&gt;1),"Check: performance above 100%","OK"))))))))))</f>
        <v/>
      </c>
      <c r="S42" s="13" t="str">
        <f aca="false">IF($T42,K42*M42/60,"")</f>
        <v/>
      </c>
      <c r="T42" s="15" t="b">
        <f aca="false">IF($C42="",FALSE(),AND(SUMPRODUCT(--(Setup!$A$5:$A$24=$C42))&gt;0,ISNUMBER(A42),ISNUMBER(K42),N(K42)&gt;0,ISNUMBER(D42),N(D42)&gt;0,ISNUMBER(G42),N(G42)&gt;=0,OR(E42="",ISNUMBER(E42)),OR(F42="",ISNUMBER(F42)),OR(H42="",ISNUMBER(H42)),N(E42)&gt;=0,N(F42)&gt;=0,N(H42)&gt;=0,N(H42)&lt;=N(G42),N(E42)&lt;N(D42),N(F42)&lt;=N(D42)-N(E42)))</f>
        <v>0</v>
      </c>
    </row>
    <row r="43" customFormat="false" ht="15" hidden="false" customHeight="false" outlineLevel="0" collapsed="false">
      <c r="A43" s="11"/>
      <c r="B43" s="8"/>
      <c r="C43" s="8"/>
      <c r="D43" s="8"/>
      <c r="E43" s="8"/>
      <c r="F43" s="8"/>
      <c r="G43" s="8"/>
      <c r="H43" s="8"/>
      <c r="I43" s="12" t="str">
        <f aca="false">IF($T43,D43-N(E43),"")</f>
        <v/>
      </c>
      <c r="J43" s="12" t="str">
        <f aca="false">IF($T43,I43-N(F43),"")</f>
        <v/>
      </c>
      <c r="K43" s="13" t="str">
        <f aca="false">IF($C43="","",IF(SUMPRODUCT(--(Setup!$A$5:$A$24=$C43))&gt;0,INDEX(Setup!$B$5:$B$24,21-SUMPRODUCT(MAX((Setup!$A$5:$A$24=$C43)*(25-ROW(Setup!$A$5:$A$24))))),""))</f>
        <v/>
      </c>
      <c r="L43" s="13" t="str">
        <f aca="false">IF($T43,K43*G43/60,"")</f>
        <v/>
      </c>
      <c r="M43" s="12" t="str">
        <f aca="false">IF($T43,G43-N(H43),"")</f>
        <v/>
      </c>
      <c r="N43" s="14" t="str">
        <f aca="false">IF($T43,J43/I43,"")</f>
        <v/>
      </c>
      <c r="O43" s="14" t="str">
        <f aca="false">IF(AND($T43,N(J43)&gt;0),L43/J43,"")</f>
        <v/>
      </c>
      <c r="P43" s="14" t="str">
        <f aca="false">IF(AND($T43,N(G43)&gt;0),M43/G43,"")</f>
        <v/>
      </c>
      <c r="Q43" s="14" t="str">
        <f aca="false">IF($T43,S43/I43,"")</f>
        <v/>
      </c>
      <c r="R43" s="10" t="str">
        <f aca="false">IF($C43="","",IF(NOT(SUMPRODUCT(--(Setup!$A$5:$A$24=$C43))&gt;0),"Machine not in Setup",IF(OR(NOT(ISNUMBER(K43)),N(K43)&lt;=0),"Set an ideal cycle time in Setup",IF(NOT(ISNUMBER(A43)),"Enter a date",IF(OR(NOT(ISNUMBER(D43)),NOT(ISNUMBER(G43)),AND(E43&lt;&gt;"",NOT(ISNUMBER(E43))),AND(F43&lt;&gt;"",NOT(ISNUMBER(F43))),AND(H43&lt;&gt;"",NOT(ISNUMBER(H43)))),"Enter numbers: shift length and total parts are required",IF(OR(N(D43)&lt;=0,N(E43)&lt;0,N(F43)&lt;0,N(G43)&lt;0,N(H43)&lt;0),"Values must be 0 or more (shift length above 0)",IF(N(H43)&gt;N(G43),"Rejects &gt; total parts",IF(N(E43)&gt;=N(D43),"Planned stops &gt;= shift length",IF(N(F43)&gt;N(D43)-N(E43),"Downtime &gt; planned time",IF(AND(ISNUMBER(O43),O43&gt;1),"Check: performance above 100%","OK"))))))))))</f>
        <v/>
      </c>
      <c r="S43" s="13" t="str">
        <f aca="false">IF($T43,K43*M43/60,"")</f>
        <v/>
      </c>
      <c r="T43" s="15" t="b">
        <f aca="false">IF($C43="",FALSE(),AND(SUMPRODUCT(--(Setup!$A$5:$A$24=$C43))&gt;0,ISNUMBER(A43),ISNUMBER(K43),N(K43)&gt;0,ISNUMBER(D43),N(D43)&gt;0,ISNUMBER(G43),N(G43)&gt;=0,OR(E43="",ISNUMBER(E43)),OR(F43="",ISNUMBER(F43)),OR(H43="",ISNUMBER(H43)),N(E43)&gt;=0,N(F43)&gt;=0,N(H43)&gt;=0,N(H43)&lt;=N(G43),N(E43)&lt;N(D43),N(F43)&lt;=N(D43)-N(E43)))</f>
        <v>0</v>
      </c>
    </row>
    <row r="44" customFormat="false" ht="15" hidden="false" customHeight="false" outlineLevel="0" collapsed="false">
      <c r="A44" s="11"/>
      <c r="B44" s="8"/>
      <c r="C44" s="8"/>
      <c r="D44" s="8"/>
      <c r="E44" s="8"/>
      <c r="F44" s="8"/>
      <c r="G44" s="8"/>
      <c r="H44" s="8"/>
      <c r="I44" s="12" t="str">
        <f aca="false">IF($T44,D44-N(E44),"")</f>
        <v/>
      </c>
      <c r="J44" s="12" t="str">
        <f aca="false">IF($T44,I44-N(F44),"")</f>
        <v/>
      </c>
      <c r="K44" s="13" t="str">
        <f aca="false">IF($C44="","",IF(SUMPRODUCT(--(Setup!$A$5:$A$24=$C44))&gt;0,INDEX(Setup!$B$5:$B$24,21-SUMPRODUCT(MAX((Setup!$A$5:$A$24=$C44)*(25-ROW(Setup!$A$5:$A$24))))),""))</f>
        <v/>
      </c>
      <c r="L44" s="13" t="str">
        <f aca="false">IF($T44,K44*G44/60,"")</f>
        <v/>
      </c>
      <c r="M44" s="12" t="str">
        <f aca="false">IF($T44,G44-N(H44),"")</f>
        <v/>
      </c>
      <c r="N44" s="14" t="str">
        <f aca="false">IF($T44,J44/I44,"")</f>
        <v/>
      </c>
      <c r="O44" s="14" t="str">
        <f aca="false">IF(AND($T44,N(J44)&gt;0),L44/J44,"")</f>
        <v/>
      </c>
      <c r="P44" s="14" t="str">
        <f aca="false">IF(AND($T44,N(G44)&gt;0),M44/G44,"")</f>
        <v/>
      </c>
      <c r="Q44" s="14" t="str">
        <f aca="false">IF($T44,S44/I44,"")</f>
        <v/>
      </c>
      <c r="R44" s="10" t="str">
        <f aca="false">IF($C44="","",IF(NOT(SUMPRODUCT(--(Setup!$A$5:$A$24=$C44))&gt;0),"Machine not in Setup",IF(OR(NOT(ISNUMBER(K44)),N(K44)&lt;=0),"Set an ideal cycle time in Setup",IF(NOT(ISNUMBER(A44)),"Enter a date",IF(OR(NOT(ISNUMBER(D44)),NOT(ISNUMBER(G44)),AND(E44&lt;&gt;"",NOT(ISNUMBER(E44))),AND(F44&lt;&gt;"",NOT(ISNUMBER(F44))),AND(H44&lt;&gt;"",NOT(ISNUMBER(H44)))),"Enter numbers: shift length and total parts are required",IF(OR(N(D44)&lt;=0,N(E44)&lt;0,N(F44)&lt;0,N(G44)&lt;0,N(H44)&lt;0),"Values must be 0 or more (shift length above 0)",IF(N(H44)&gt;N(G44),"Rejects &gt; total parts",IF(N(E44)&gt;=N(D44),"Planned stops &gt;= shift length",IF(N(F44)&gt;N(D44)-N(E44),"Downtime &gt; planned time",IF(AND(ISNUMBER(O44),O44&gt;1),"Check: performance above 100%","OK"))))))))))</f>
        <v/>
      </c>
      <c r="S44" s="13" t="str">
        <f aca="false">IF($T44,K44*M44/60,"")</f>
        <v/>
      </c>
      <c r="T44" s="15" t="b">
        <f aca="false">IF($C44="",FALSE(),AND(SUMPRODUCT(--(Setup!$A$5:$A$24=$C44))&gt;0,ISNUMBER(A44),ISNUMBER(K44),N(K44)&gt;0,ISNUMBER(D44),N(D44)&gt;0,ISNUMBER(G44),N(G44)&gt;=0,OR(E44="",ISNUMBER(E44)),OR(F44="",ISNUMBER(F44)),OR(H44="",ISNUMBER(H44)),N(E44)&gt;=0,N(F44)&gt;=0,N(H44)&gt;=0,N(H44)&lt;=N(G44),N(E44)&lt;N(D44),N(F44)&lt;=N(D44)-N(E44)))</f>
        <v>0</v>
      </c>
    </row>
    <row r="45" customFormat="false" ht="15" hidden="false" customHeight="false" outlineLevel="0" collapsed="false">
      <c r="A45" s="11"/>
      <c r="B45" s="8"/>
      <c r="C45" s="8"/>
      <c r="D45" s="8"/>
      <c r="E45" s="8"/>
      <c r="F45" s="8"/>
      <c r="G45" s="8"/>
      <c r="H45" s="8"/>
      <c r="I45" s="12" t="str">
        <f aca="false">IF($T45,D45-N(E45),"")</f>
        <v/>
      </c>
      <c r="J45" s="12" t="str">
        <f aca="false">IF($T45,I45-N(F45),"")</f>
        <v/>
      </c>
      <c r="K45" s="13" t="str">
        <f aca="false">IF($C45="","",IF(SUMPRODUCT(--(Setup!$A$5:$A$24=$C45))&gt;0,INDEX(Setup!$B$5:$B$24,21-SUMPRODUCT(MAX((Setup!$A$5:$A$24=$C45)*(25-ROW(Setup!$A$5:$A$24))))),""))</f>
        <v/>
      </c>
      <c r="L45" s="13" t="str">
        <f aca="false">IF($T45,K45*G45/60,"")</f>
        <v/>
      </c>
      <c r="M45" s="12" t="str">
        <f aca="false">IF($T45,G45-N(H45),"")</f>
        <v/>
      </c>
      <c r="N45" s="14" t="str">
        <f aca="false">IF($T45,J45/I45,"")</f>
        <v/>
      </c>
      <c r="O45" s="14" t="str">
        <f aca="false">IF(AND($T45,N(J45)&gt;0),L45/J45,"")</f>
        <v/>
      </c>
      <c r="P45" s="14" t="str">
        <f aca="false">IF(AND($T45,N(G45)&gt;0),M45/G45,"")</f>
        <v/>
      </c>
      <c r="Q45" s="14" t="str">
        <f aca="false">IF($T45,S45/I45,"")</f>
        <v/>
      </c>
      <c r="R45" s="10" t="str">
        <f aca="false">IF($C45="","",IF(NOT(SUMPRODUCT(--(Setup!$A$5:$A$24=$C45))&gt;0),"Machine not in Setup",IF(OR(NOT(ISNUMBER(K45)),N(K45)&lt;=0),"Set an ideal cycle time in Setup",IF(NOT(ISNUMBER(A45)),"Enter a date",IF(OR(NOT(ISNUMBER(D45)),NOT(ISNUMBER(G45)),AND(E45&lt;&gt;"",NOT(ISNUMBER(E45))),AND(F45&lt;&gt;"",NOT(ISNUMBER(F45))),AND(H45&lt;&gt;"",NOT(ISNUMBER(H45)))),"Enter numbers: shift length and total parts are required",IF(OR(N(D45)&lt;=0,N(E45)&lt;0,N(F45)&lt;0,N(G45)&lt;0,N(H45)&lt;0),"Values must be 0 or more (shift length above 0)",IF(N(H45)&gt;N(G45),"Rejects &gt; total parts",IF(N(E45)&gt;=N(D45),"Planned stops &gt;= shift length",IF(N(F45)&gt;N(D45)-N(E45),"Downtime &gt; planned time",IF(AND(ISNUMBER(O45),O45&gt;1),"Check: performance above 100%","OK"))))))))))</f>
        <v/>
      </c>
      <c r="S45" s="13" t="str">
        <f aca="false">IF($T45,K45*M45/60,"")</f>
        <v/>
      </c>
      <c r="T45" s="15" t="b">
        <f aca="false">IF($C45="",FALSE(),AND(SUMPRODUCT(--(Setup!$A$5:$A$24=$C45))&gt;0,ISNUMBER(A45),ISNUMBER(K45),N(K45)&gt;0,ISNUMBER(D45),N(D45)&gt;0,ISNUMBER(G45),N(G45)&gt;=0,OR(E45="",ISNUMBER(E45)),OR(F45="",ISNUMBER(F45)),OR(H45="",ISNUMBER(H45)),N(E45)&gt;=0,N(F45)&gt;=0,N(H45)&gt;=0,N(H45)&lt;=N(G45),N(E45)&lt;N(D45),N(F45)&lt;=N(D45)-N(E45)))</f>
        <v>0</v>
      </c>
    </row>
    <row r="46" customFormat="false" ht="15" hidden="false" customHeight="false" outlineLevel="0" collapsed="false">
      <c r="A46" s="11"/>
      <c r="B46" s="8"/>
      <c r="C46" s="8"/>
      <c r="D46" s="8"/>
      <c r="E46" s="8"/>
      <c r="F46" s="8"/>
      <c r="G46" s="8"/>
      <c r="H46" s="8"/>
      <c r="I46" s="12" t="str">
        <f aca="false">IF($T46,D46-N(E46),"")</f>
        <v/>
      </c>
      <c r="J46" s="12" t="str">
        <f aca="false">IF($T46,I46-N(F46),"")</f>
        <v/>
      </c>
      <c r="K46" s="13" t="str">
        <f aca="false">IF($C46="","",IF(SUMPRODUCT(--(Setup!$A$5:$A$24=$C46))&gt;0,INDEX(Setup!$B$5:$B$24,21-SUMPRODUCT(MAX((Setup!$A$5:$A$24=$C46)*(25-ROW(Setup!$A$5:$A$24))))),""))</f>
        <v/>
      </c>
      <c r="L46" s="13" t="str">
        <f aca="false">IF($T46,K46*G46/60,"")</f>
        <v/>
      </c>
      <c r="M46" s="12" t="str">
        <f aca="false">IF($T46,G46-N(H46),"")</f>
        <v/>
      </c>
      <c r="N46" s="14" t="str">
        <f aca="false">IF($T46,J46/I46,"")</f>
        <v/>
      </c>
      <c r="O46" s="14" t="str">
        <f aca="false">IF(AND($T46,N(J46)&gt;0),L46/J46,"")</f>
        <v/>
      </c>
      <c r="P46" s="14" t="str">
        <f aca="false">IF(AND($T46,N(G46)&gt;0),M46/G46,"")</f>
        <v/>
      </c>
      <c r="Q46" s="14" t="str">
        <f aca="false">IF($T46,S46/I46,"")</f>
        <v/>
      </c>
      <c r="R46" s="10" t="str">
        <f aca="false">IF($C46="","",IF(NOT(SUMPRODUCT(--(Setup!$A$5:$A$24=$C46))&gt;0),"Machine not in Setup",IF(OR(NOT(ISNUMBER(K46)),N(K46)&lt;=0),"Set an ideal cycle time in Setup",IF(NOT(ISNUMBER(A46)),"Enter a date",IF(OR(NOT(ISNUMBER(D46)),NOT(ISNUMBER(G46)),AND(E46&lt;&gt;"",NOT(ISNUMBER(E46))),AND(F46&lt;&gt;"",NOT(ISNUMBER(F46))),AND(H46&lt;&gt;"",NOT(ISNUMBER(H46)))),"Enter numbers: shift length and total parts are required",IF(OR(N(D46)&lt;=0,N(E46)&lt;0,N(F46)&lt;0,N(G46)&lt;0,N(H46)&lt;0),"Values must be 0 or more (shift length above 0)",IF(N(H46)&gt;N(G46),"Rejects &gt; total parts",IF(N(E46)&gt;=N(D46),"Planned stops &gt;= shift length",IF(N(F46)&gt;N(D46)-N(E46),"Downtime &gt; planned time",IF(AND(ISNUMBER(O46),O46&gt;1),"Check: performance above 100%","OK"))))))))))</f>
        <v/>
      </c>
      <c r="S46" s="13" t="str">
        <f aca="false">IF($T46,K46*M46/60,"")</f>
        <v/>
      </c>
      <c r="T46" s="15" t="b">
        <f aca="false">IF($C46="",FALSE(),AND(SUMPRODUCT(--(Setup!$A$5:$A$24=$C46))&gt;0,ISNUMBER(A46),ISNUMBER(K46),N(K46)&gt;0,ISNUMBER(D46),N(D46)&gt;0,ISNUMBER(G46),N(G46)&gt;=0,OR(E46="",ISNUMBER(E46)),OR(F46="",ISNUMBER(F46)),OR(H46="",ISNUMBER(H46)),N(E46)&gt;=0,N(F46)&gt;=0,N(H46)&gt;=0,N(H46)&lt;=N(G46),N(E46)&lt;N(D46),N(F46)&lt;=N(D46)-N(E46)))</f>
        <v>0</v>
      </c>
    </row>
    <row r="47" customFormat="false" ht="15" hidden="false" customHeight="false" outlineLevel="0" collapsed="false">
      <c r="A47" s="11"/>
      <c r="B47" s="8"/>
      <c r="C47" s="8"/>
      <c r="D47" s="8"/>
      <c r="E47" s="8"/>
      <c r="F47" s="8"/>
      <c r="G47" s="8"/>
      <c r="H47" s="8"/>
      <c r="I47" s="12" t="str">
        <f aca="false">IF($T47,D47-N(E47),"")</f>
        <v/>
      </c>
      <c r="J47" s="12" t="str">
        <f aca="false">IF($T47,I47-N(F47),"")</f>
        <v/>
      </c>
      <c r="K47" s="13" t="str">
        <f aca="false">IF($C47="","",IF(SUMPRODUCT(--(Setup!$A$5:$A$24=$C47))&gt;0,INDEX(Setup!$B$5:$B$24,21-SUMPRODUCT(MAX((Setup!$A$5:$A$24=$C47)*(25-ROW(Setup!$A$5:$A$24))))),""))</f>
        <v/>
      </c>
      <c r="L47" s="13" t="str">
        <f aca="false">IF($T47,K47*G47/60,"")</f>
        <v/>
      </c>
      <c r="M47" s="12" t="str">
        <f aca="false">IF($T47,G47-N(H47),"")</f>
        <v/>
      </c>
      <c r="N47" s="14" t="str">
        <f aca="false">IF($T47,J47/I47,"")</f>
        <v/>
      </c>
      <c r="O47" s="14" t="str">
        <f aca="false">IF(AND($T47,N(J47)&gt;0),L47/J47,"")</f>
        <v/>
      </c>
      <c r="P47" s="14" t="str">
        <f aca="false">IF(AND($T47,N(G47)&gt;0),M47/G47,"")</f>
        <v/>
      </c>
      <c r="Q47" s="14" t="str">
        <f aca="false">IF($T47,S47/I47,"")</f>
        <v/>
      </c>
      <c r="R47" s="10" t="str">
        <f aca="false">IF($C47="","",IF(NOT(SUMPRODUCT(--(Setup!$A$5:$A$24=$C47))&gt;0),"Machine not in Setup",IF(OR(NOT(ISNUMBER(K47)),N(K47)&lt;=0),"Set an ideal cycle time in Setup",IF(NOT(ISNUMBER(A47)),"Enter a date",IF(OR(NOT(ISNUMBER(D47)),NOT(ISNUMBER(G47)),AND(E47&lt;&gt;"",NOT(ISNUMBER(E47))),AND(F47&lt;&gt;"",NOT(ISNUMBER(F47))),AND(H47&lt;&gt;"",NOT(ISNUMBER(H47)))),"Enter numbers: shift length and total parts are required",IF(OR(N(D47)&lt;=0,N(E47)&lt;0,N(F47)&lt;0,N(G47)&lt;0,N(H47)&lt;0),"Values must be 0 or more (shift length above 0)",IF(N(H47)&gt;N(G47),"Rejects &gt; total parts",IF(N(E47)&gt;=N(D47),"Planned stops &gt;= shift length",IF(N(F47)&gt;N(D47)-N(E47),"Downtime &gt; planned time",IF(AND(ISNUMBER(O47),O47&gt;1),"Check: performance above 100%","OK"))))))))))</f>
        <v/>
      </c>
      <c r="S47" s="13" t="str">
        <f aca="false">IF($T47,K47*M47/60,"")</f>
        <v/>
      </c>
      <c r="T47" s="15" t="b">
        <f aca="false">IF($C47="",FALSE(),AND(SUMPRODUCT(--(Setup!$A$5:$A$24=$C47))&gt;0,ISNUMBER(A47),ISNUMBER(K47),N(K47)&gt;0,ISNUMBER(D47),N(D47)&gt;0,ISNUMBER(G47),N(G47)&gt;=0,OR(E47="",ISNUMBER(E47)),OR(F47="",ISNUMBER(F47)),OR(H47="",ISNUMBER(H47)),N(E47)&gt;=0,N(F47)&gt;=0,N(H47)&gt;=0,N(H47)&lt;=N(G47),N(E47)&lt;N(D47),N(F47)&lt;=N(D47)-N(E47)))</f>
        <v>0</v>
      </c>
    </row>
    <row r="48" customFormat="false" ht="15" hidden="false" customHeight="false" outlineLevel="0" collapsed="false">
      <c r="A48" s="11"/>
      <c r="B48" s="8"/>
      <c r="C48" s="8"/>
      <c r="D48" s="8"/>
      <c r="E48" s="8"/>
      <c r="F48" s="8"/>
      <c r="G48" s="8"/>
      <c r="H48" s="8"/>
      <c r="I48" s="12" t="str">
        <f aca="false">IF($T48,D48-N(E48),"")</f>
        <v/>
      </c>
      <c r="J48" s="12" t="str">
        <f aca="false">IF($T48,I48-N(F48),"")</f>
        <v/>
      </c>
      <c r="K48" s="13" t="str">
        <f aca="false">IF($C48="","",IF(SUMPRODUCT(--(Setup!$A$5:$A$24=$C48))&gt;0,INDEX(Setup!$B$5:$B$24,21-SUMPRODUCT(MAX((Setup!$A$5:$A$24=$C48)*(25-ROW(Setup!$A$5:$A$24))))),""))</f>
        <v/>
      </c>
      <c r="L48" s="13" t="str">
        <f aca="false">IF($T48,K48*G48/60,"")</f>
        <v/>
      </c>
      <c r="M48" s="12" t="str">
        <f aca="false">IF($T48,G48-N(H48),"")</f>
        <v/>
      </c>
      <c r="N48" s="14" t="str">
        <f aca="false">IF($T48,J48/I48,"")</f>
        <v/>
      </c>
      <c r="O48" s="14" t="str">
        <f aca="false">IF(AND($T48,N(J48)&gt;0),L48/J48,"")</f>
        <v/>
      </c>
      <c r="P48" s="14" t="str">
        <f aca="false">IF(AND($T48,N(G48)&gt;0),M48/G48,"")</f>
        <v/>
      </c>
      <c r="Q48" s="14" t="str">
        <f aca="false">IF($T48,S48/I48,"")</f>
        <v/>
      </c>
      <c r="R48" s="10" t="str">
        <f aca="false">IF($C48="","",IF(NOT(SUMPRODUCT(--(Setup!$A$5:$A$24=$C48))&gt;0),"Machine not in Setup",IF(OR(NOT(ISNUMBER(K48)),N(K48)&lt;=0),"Set an ideal cycle time in Setup",IF(NOT(ISNUMBER(A48)),"Enter a date",IF(OR(NOT(ISNUMBER(D48)),NOT(ISNUMBER(G48)),AND(E48&lt;&gt;"",NOT(ISNUMBER(E48))),AND(F48&lt;&gt;"",NOT(ISNUMBER(F48))),AND(H48&lt;&gt;"",NOT(ISNUMBER(H48)))),"Enter numbers: shift length and total parts are required",IF(OR(N(D48)&lt;=0,N(E48)&lt;0,N(F48)&lt;0,N(G48)&lt;0,N(H48)&lt;0),"Values must be 0 or more (shift length above 0)",IF(N(H48)&gt;N(G48),"Rejects &gt; total parts",IF(N(E48)&gt;=N(D48),"Planned stops &gt;= shift length",IF(N(F48)&gt;N(D48)-N(E48),"Downtime &gt; planned time",IF(AND(ISNUMBER(O48),O48&gt;1),"Check: performance above 100%","OK"))))))))))</f>
        <v/>
      </c>
      <c r="S48" s="13" t="str">
        <f aca="false">IF($T48,K48*M48/60,"")</f>
        <v/>
      </c>
      <c r="T48" s="15" t="b">
        <f aca="false">IF($C48="",FALSE(),AND(SUMPRODUCT(--(Setup!$A$5:$A$24=$C48))&gt;0,ISNUMBER(A48),ISNUMBER(K48),N(K48)&gt;0,ISNUMBER(D48),N(D48)&gt;0,ISNUMBER(G48),N(G48)&gt;=0,OR(E48="",ISNUMBER(E48)),OR(F48="",ISNUMBER(F48)),OR(H48="",ISNUMBER(H48)),N(E48)&gt;=0,N(F48)&gt;=0,N(H48)&gt;=0,N(H48)&lt;=N(G48),N(E48)&lt;N(D48),N(F48)&lt;=N(D48)-N(E48)))</f>
        <v>0</v>
      </c>
    </row>
    <row r="49" customFormat="false" ht="15" hidden="false" customHeight="false" outlineLevel="0" collapsed="false">
      <c r="A49" s="11"/>
      <c r="B49" s="8"/>
      <c r="C49" s="8"/>
      <c r="D49" s="8"/>
      <c r="E49" s="8"/>
      <c r="F49" s="8"/>
      <c r="G49" s="8"/>
      <c r="H49" s="8"/>
      <c r="I49" s="12" t="str">
        <f aca="false">IF($T49,D49-N(E49),"")</f>
        <v/>
      </c>
      <c r="J49" s="12" t="str">
        <f aca="false">IF($T49,I49-N(F49),"")</f>
        <v/>
      </c>
      <c r="K49" s="13" t="str">
        <f aca="false">IF($C49="","",IF(SUMPRODUCT(--(Setup!$A$5:$A$24=$C49))&gt;0,INDEX(Setup!$B$5:$B$24,21-SUMPRODUCT(MAX((Setup!$A$5:$A$24=$C49)*(25-ROW(Setup!$A$5:$A$24))))),""))</f>
        <v/>
      </c>
      <c r="L49" s="13" t="str">
        <f aca="false">IF($T49,K49*G49/60,"")</f>
        <v/>
      </c>
      <c r="M49" s="12" t="str">
        <f aca="false">IF($T49,G49-N(H49),"")</f>
        <v/>
      </c>
      <c r="N49" s="14" t="str">
        <f aca="false">IF($T49,J49/I49,"")</f>
        <v/>
      </c>
      <c r="O49" s="14" t="str">
        <f aca="false">IF(AND($T49,N(J49)&gt;0),L49/J49,"")</f>
        <v/>
      </c>
      <c r="P49" s="14" t="str">
        <f aca="false">IF(AND($T49,N(G49)&gt;0),M49/G49,"")</f>
        <v/>
      </c>
      <c r="Q49" s="14" t="str">
        <f aca="false">IF($T49,S49/I49,"")</f>
        <v/>
      </c>
      <c r="R49" s="10" t="str">
        <f aca="false">IF($C49="","",IF(NOT(SUMPRODUCT(--(Setup!$A$5:$A$24=$C49))&gt;0),"Machine not in Setup",IF(OR(NOT(ISNUMBER(K49)),N(K49)&lt;=0),"Set an ideal cycle time in Setup",IF(NOT(ISNUMBER(A49)),"Enter a date",IF(OR(NOT(ISNUMBER(D49)),NOT(ISNUMBER(G49)),AND(E49&lt;&gt;"",NOT(ISNUMBER(E49))),AND(F49&lt;&gt;"",NOT(ISNUMBER(F49))),AND(H49&lt;&gt;"",NOT(ISNUMBER(H49)))),"Enter numbers: shift length and total parts are required",IF(OR(N(D49)&lt;=0,N(E49)&lt;0,N(F49)&lt;0,N(G49)&lt;0,N(H49)&lt;0),"Values must be 0 or more (shift length above 0)",IF(N(H49)&gt;N(G49),"Rejects &gt; total parts",IF(N(E49)&gt;=N(D49),"Planned stops &gt;= shift length",IF(N(F49)&gt;N(D49)-N(E49),"Downtime &gt; planned time",IF(AND(ISNUMBER(O49),O49&gt;1),"Check: performance above 100%","OK"))))))))))</f>
        <v/>
      </c>
      <c r="S49" s="13" t="str">
        <f aca="false">IF($T49,K49*M49/60,"")</f>
        <v/>
      </c>
      <c r="T49" s="15" t="b">
        <f aca="false">IF($C49="",FALSE(),AND(SUMPRODUCT(--(Setup!$A$5:$A$24=$C49))&gt;0,ISNUMBER(A49),ISNUMBER(K49),N(K49)&gt;0,ISNUMBER(D49),N(D49)&gt;0,ISNUMBER(G49),N(G49)&gt;=0,OR(E49="",ISNUMBER(E49)),OR(F49="",ISNUMBER(F49)),OR(H49="",ISNUMBER(H49)),N(E49)&gt;=0,N(F49)&gt;=0,N(H49)&gt;=0,N(H49)&lt;=N(G49),N(E49)&lt;N(D49),N(F49)&lt;=N(D49)-N(E49)))</f>
        <v>0</v>
      </c>
    </row>
    <row r="50" customFormat="false" ht="15" hidden="false" customHeight="false" outlineLevel="0" collapsed="false">
      <c r="A50" s="11"/>
      <c r="B50" s="8"/>
      <c r="C50" s="8"/>
      <c r="D50" s="8"/>
      <c r="E50" s="8"/>
      <c r="F50" s="8"/>
      <c r="G50" s="8"/>
      <c r="H50" s="8"/>
      <c r="I50" s="12" t="str">
        <f aca="false">IF($T50,D50-N(E50),"")</f>
        <v/>
      </c>
      <c r="J50" s="12" t="str">
        <f aca="false">IF($T50,I50-N(F50),"")</f>
        <v/>
      </c>
      <c r="K50" s="13" t="str">
        <f aca="false">IF($C50="","",IF(SUMPRODUCT(--(Setup!$A$5:$A$24=$C50))&gt;0,INDEX(Setup!$B$5:$B$24,21-SUMPRODUCT(MAX((Setup!$A$5:$A$24=$C50)*(25-ROW(Setup!$A$5:$A$24))))),""))</f>
        <v/>
      </c>
      <c r="L50" s="13" t="str">
        <f aca="false">IF($T50,K50*G50/60,"")</f>
        <v/>
      </c>
      <c r="M50" s="12" t="str">
        <f aca="false">IF($T50,G50-N(H50),"")</f>
        <v/>
      </c>
      <c r="N50" s="14" t="str">
        <f aca="false">IF($T50,J50/I50,"")</f>
        <v/>
      </c>
      <c r="O50" s="14" t="str">
        <f aca="false">IF(AND($T50,N(J50)&gt;0),L50/J50,"")</f>
        <v/>
      </c>
      <c r="P50" s="14" t="str">
        <f aca="false">IF(AND($T50,N(G50)&gt;0),M50/G50,"")</f>
        <v/>
      </c>
      <c r="Q50" s="14" t="str">
        <f aca="false">IF($T50,S50/I50,"")</f>
        <v/>
      </c>
      <c r="R50" s="10" t="str">
        <f aca="false">IF($C50="","",IF(NOT(SUMPRODUCT(--(Setup!$A$5:$A$24=$C50))&gt;0),"Machine not in Setup",IF(OR(NOT(ISNUMBER(K50)),N(K50)&lt;=0),"Set an ideal cycle time in Setup",IF(NOT(ISNUMBER(A50)),"Enter a date",IF(OR(NOT(ISNUMBER(D50)),NOT(ISNUMBER(G50)),AND(E50&lt;&gt;"",NOT(ISNUMBER(E50))),AND(F50&lt;&gt;"",NOT(ISNUMBER(F50))),AND(H50&lt;&gt;"",NOT(ISNUMBER(H50)))),"Enter numbers: shift length and total parts are required",IF(OR(N(D50)&lt;=0,N(E50)&lt;0,N(F50)&lt;0,N(G50)&lt;0,N(H50)&lt;0),"Values must be 0 or more (shift length above 0)",IF(N(H50)&gt;N(G50),"Rejects &gt; total parts",IF(N(E50)&gt;=N(D50),"Planned stops &gt;= shift length",IF(N(F50)&gt;N(D50)-N(E50),"Downtime &gt; planned time",IF(AND(ISNUMBER(O50),O50&gt;1),"Check: performance above 100%","OK"))))))))))</f>
        <v/>
      </c>
      <c r="S50" s="13" t="str">
        <f aca="false">IF($T50,K50*M50/60,"")</f>
        <v/>
      </c>
      <c r="T50" s="15" t="b">
        <f aca="false">IF($C50="",FALSE(),AND(SUMPRODUCT(--(Setup!$A$5:$A$24=$C50))&gt;0,ISNUMBER(A50),ISNUMBER(K50),N(K50)&gt;0,ISNUMBER(D50),N(D50)&gt;0,ISNUMBER(G50),N(G50)&gt;=0,OR(E50="",ISNUMBER(E50)),OR(F50="",ISNUMBER(F50)),OR(H50="",ISNUMBER(H50)),N(E50)&gt;=0,N(F50)&gt;=0,N(H50)&gt;=0,N(H50)&lt;=N(G50),N(E50)&lt;N(D50),N(F50)&lt;=N(D50)-N(E50)))</f>
        <v>0</v>
      </c>
    </row>
    <row r="51" customFormat="false" ht="15" hidden="false" customHeight="false" outlineLevel="0" collapsed="false">
      <c r="A51" s="11"/>
      <c r="B51" s="8"/>
      <c r="C51" s="8"/>
      <c r="D51" s="8"/>
      <c r="E51" s="8"/>
      <c r="F51" s="8"/>
      <c r="G51" s="8"/>
      <c r="H51" s="8"/>
      <c r="I51" s="12" t="str">
        <f aca="false">IF($T51,D51-N(E51),"")</f>
        <v/>
      </c>
      <c r="J51" s="12" t="str">
        <f aca="false">IF($T51,I51-N(F51),"")</f>
        <v/>
      </c>
      <c r="K51" s="13" t="str">
        <f aca="false">IF($C51="","",IF(SUMPRODUCT(--(Setup!$A$5:$A$24=$C51))&gt;0,INDEX(Setup!$B$5:$B$24,21-SUMPRODUCT(MAX((Setup!$A$5:$A$24=$C51)*(25-ROW(Setup!$A$5:$A$24))))),""))</f>
        <v/>
      </c>
      <c r="L51" s="13" t="str">
        <f aca="false">IF($T51,K51*G51/60,"")</f>
        <v/>
      </c>
      <c r="M51" s="12" t="str">
        <f aca="false">IF($T51,G51-N(H51),"")</f>
        <v/>
      </c>
      <c r="N51" s="14" t="str">
        <f aca="false">IF($T51,J51/I51,"")</f>
        <v/>
      </c>
      <c r="O51" s="14" t="str">
        <f aca="false">IF(AND($T51,N(J51)&gt;0),L51/J51,"")</f>
        <v/>
      </c>
      <c r="P51" s="14" t="str">
        <f aca="false">IF(AND($T51,N(G51)&gt;0),M51/G51,"")</f>
        <v/>
      </c>
      <c r="Q51" s="14" t="str">
        <f aca="false">IF($T51,S51/I51,"")</f>
        <v/>
      </c>
      <c r="R51" s="10" t="str">
        <f aca="false">IF($C51="","",IF(NOT(SUMPRODUCT(--(Setup!$A$5:$A$24=$C51))&gt;0),"Machine not in Setup",IF(OR(NOT(ISNUMBER(K51)),N(K51)&lt;=0),"Set an ideal cycle time in Setup",IF(NOT(ISNUMBER(A51)),"Enter a date",IF(OR(NOT(ISNUMBER(D51)),NOT(ISNUMBER(G51)),AND(E51&lt;&gt;"",NOT(ISNUMBER(E51))),AND(F51&lt;&gt;"",NOT(ISNUMBER(F51))),AND(H51&lt;&gt;"",NOT(ISNUMBER(H51)))),"Enter numbers: shift length and total parts are required",IF(OR(N(D51)&lt;=0,N(E51)&lt;0,N(F51)&lt;0,N(G51)&lt;0,N(H51)&lt;0),"Values must be 0 or more (shift length above 0)",IF(N(H51)&gt;N(G51),"Rejects &gt; total parts",IF(N(E51)&gt;=N(D51),"Planned stops &gt;= shift length",IF(N(F51)&gt;N(D51)-N(E51),"Downtime &gt; planned time",IF(AND(ISNUMBER(O51),O51&gt;1),"Check: performance above 100%","OK"))))))))))</f>
        <v/>
      </c>
      <c r="S51" s="13" t="str">
        <f aca="false">IF($T51,K51*M51/60,"")</f>
        <v/>
      </c>
      <c r="T51" s="15" t="b">
        <f aca="false">IF($C51="",FALSE(),AND(SUMPRODUCT(--(Setup!$A$5:$A$24=$C51))&gt;0,ISNUMBER(A51),ISNUMBER(K51),N(K51)&gt;0,ISNUMBER(D51),N(D51)&gt;0,ISNUMBER(G51),N(G51)&gt;=0,OR(E51="",ISNUMBER(E51)),OR(F51="",ISNUMBER(F51)),OR(H51="",ISNUMBER(H51)),N(E51)&gt;=0,N(F51)&gt;=0,N(H51)&gt;=0,N(H51)&lt;=N(G51),N(E51)&lt;N(D51),N(F51)&lt;=N(D51)-N(E51)))</f>
        <v>0</v>
      </c>
    </row>
    <row r="52" customFormat="false" ht="15" hidden="false" customHeight="false" outlineLevel="0" collapsed="false">
      <c r="A52" s="11"/>
      <c r="B52" s="8"/>
      <c r="C52" s="8"/>
      <c r="D52" s="8"/>
      <c r="E52" s="8"/>
      <c r="F52" s="8"/>
      <c r="G52" s="8"/>
      <c r="H52" s="8"/>
      <c r="I52" s="12" t="str">
        <f aca="false">IF($T52,D52-N(E52),"")</f>
        <v/>
      </c>
      <c r="J52" s="12" t="str">
        <f aca="false">IF($T52,I52-N(F52),"")</f>
        <v/>
      </c>
      <c r="K52" s="13" t="str">
        <f aca="false">IF($C52="","",IF(SUMPRODUCT(--(Setup!$A$5:$A$24=$C52))&gt;0,INDEX(Setup!$B$5:$B$24,21-SUMPRODUCT(MAX((Setup!$A$5:$A$24=$C52)*(25-ROW(Setup!$A$5:$A$24))))),""))</f>
        <v/>
      </c>
      <c r="L52" s="13" t="str">
        <f aca="false">IF($T52,K52*G52/60,"")</f>
        <v/>
      </c>
      <c r="M52" s="12" t="str">
        <f aca="false">IF($T52,G52-N(H52),"")</f>
        <v/>
      </c>
      <c r="N52" s="14" t="str">
        <f aca="false">IF($T52,J52/I52,"")</f>
        <v/>
      </c>
      <c r="O52" s="14" t="str">
        <f aca="false">IF(AND($T52,N(J52)&gt;0),L52/J52,"")</f>
        <v/>
      </c>
      <c r="P52" s="14" t="str">
        <f aca="false">IF(AND($T52,N(G52)&gt;0),M52/G52,"")</f>
        <v/>
      </c>
      <c r="Q52" s="14" t="str">
        <f aca="false">IF($T52,S52/I52,"")</f>
        <v/>
      </c>
      <c r="R52" s="10" t="str">
        <f aca="false">IF($C52="","",IF(NOT(SUMPRODUCT(--(Setup!$A$5:$A$24=$C52))&gt;0),"Machine not in Setup",IF(OR(NOT(ISNUMBER(K52)),N(K52)&lt;=0),"Set an ideal cycle time in Setup",IF(NOT(ISNUMBER(A52)),"Enter a date",IF(OR(NOT(ISNUMBER(D52)),NOT(ISNUMBER(G52)),AND(E52&lt;&gt;"",NOT(ISNUMBER(E52))),AND(F52&lt;&gt;"",NOT(ISNUMBER(F52))),AND(H52&lt;&gt;"",NOT(ISNUMBER(H52)))),"Enter numbers: shift length and total parts are required",IF(OR(N(D52)&lt;=0,N(E52)&lt;0,N(F52)&lt;0,N(G52)&lt;0,N(H52)&lt;0),"Values must be 0 or more (shift length above 0)",IF(N(H52)&gt;N(G52),"Rejects &gt; total parts",IF(N(E52)&gt;=N(D52),"Planned stops &gt;= shift length",IF(N(F52)&gt;N(D52)-N(E52),"Downtime &gt; planned time",IF(AND(ISNUMBER(O52),O52&gt;1),"Check: performance above 100%","OK"))))))))))</f>
        <v/>
      </c>
      <c r="S52" s="13" t="str">
        <f aca="false">IF($T52,K52*M52/60,"")</f>
        <v/>
      </c>
      <c r="T52" s="15" t="b">
        <f aca="false">IF($C52="",FALSE(),AND(SUMPRODUCT(--(Setup!$A$5:$A$24=$C52))&gt;0,ISNUMBER(A52),ISNUMBER(K52),N(K52)&gt;0,ISNUMBER(D52),N(D52)&gt;0,ISNUMBER(G52),N(G52)&gt;=0,OR(E52="",ISNUMBER(E52)),OR(F52="",ISNUMBER(F52)),OR(H52="",ISNUMBER(H52)),N(E52)&gt;=0,N(F52)&gt;=0,N(H52)&gt;=0,N(H52)&lt;=N(G52),N(E52)&lt;N(D52),N(F52)&lt;=N(D52)-N(E52)))</f>
        <v>0</v>
      </c>
    </row>
    <row r="53" customFormat="false" ht="15" hidden="false" customHeight="false" outlineLevel="0" collapsed="false">
      <c r="A53" s="11"/>
      <c r="B53" s="8"/>
      <c r="C53" s="8"/>
      <c r="D53" s="8"/>
      <c r="E53" s="8"/>
      <c r="F53" s="8"/>
      <c r="G53" s="8"/>
      <c r="H53" s="8"/>
      <c r="I53" s="12" t="str">
        <f aca="false">IF($T53,D53-N(E53),"")</f>
        <v/>
      </c>
      <c r="J53" s="12" t="str">
        <f aca="false">IF($T53,I53-N(F53),"")</f>
        <v/>
      </c>
      <c r="K53" s="13" t="str">
        <f aca="false">IF($C53="","",IF(SUMPRODUCT(--(Setup!$A$5:$A$24=$C53))&gt;0,INDEX(Setup!$B$5:$B$24,21-SUMPRODUCT(MAX((Setup!$A$5:$A$24=$C53)*(25-ROW(Setup!$A$5:$A$24))))),""))</f>
        <v/>
      </c>
      <c r="L53" s="13" t="str">
        <f aca="false">IF($T53,K53*G53/60,"")</f>
        <v/>
      </c>
      <c r="M53" s="12" t="str">
        <f aca="false">IF($T53,G53-N(H53),"")</f>
        <v/>
      </c>
      <c r="N53" s="14" t="str">
        <f aca="false">IF($T53,J53/I53,"")</f>
        <v/>
      </c>
      <c r="O53" s="14" t="str">
        <f aca="false">IF(AND($T53,N(J53)&gt;0),L53/J53,"")</f>
        <v/>
      </c>
      <c r="P53" s="14" t="str">
        <f aca="false">IF(AND($T53,N(G53)&gt;0),M53/G53,"")</f>
        <v/>
      </c>
      <c r="Q53" s="14" t="str">
        <f aca="false">IF($T53,S53/I53,"")</f>
        <v/>
      </c>
      <c r="R53" s="10" t="str">
        <f aca="false">IF($C53="","",IF(NOT(SUMPRODUCT(--(Setup!$A$5:$A$24=$C53))&gt;0),"Machine not in Setup",IF(OR(NOT(ISNUMBER(K53)),N(K53)&lt;=0),"Set an ideal cycle time in Setup",IF(NOT(ISNUMBER(A53)),"Enter a date",IF(OR(NOT(ISNUMBER(D53)),NOT(ISNUMBER(G53)),AND(E53&lt;&gt;"",NOT(ISNUMBER(E53))),AND(F53&lt;&gt;"",NOT(ISNUMBER(F53))),AND(H53&lt;&gt;"",NOT(ISNUMBER(H53)))),"Enter numbers: shift length and total parts are required",IF(OR(N(D53)&lt;=0,N(E53)&lt;0,N(F53)&lt;0,N(G53)&lt;0,N(H53)&lt;0),"Values must be 0 or more (shift length above 0)",IF(N(H53)&gt;N(G53),"Rejects &gt; total parts",IF(N(E53)&gt;=N(D53),"Planned stops &gt;= shift length",IF(N(F53)&gt;N(D53)-N(E53),"Downtime &gt; planned time",IF(AND(ISNUMBER(O53),O53&gt;1),"Check: performance above 100%","OK"))))))))))</f>
        <v/>
      </c>
      <c r="S53" s="13" t="str">
        <f aca="false">IF($T53,K53*M53/60,"")</f>
        <v/>
      </c>
      <c r="T53" s="15" t="b">
        <f aca="false">IF($C53="",FALSE(),AND(SUMPRODUCT(--(Setup!$A$5:$A$24=$C53))&gt;0,ISNUMBER(A53),ISNUMBER(K53),N(K53)&gt;0,ISNUMBER(D53),N(D53)&gt;0,ISNUMBER(G53),N(G53)&gt;=0,OR(E53="",ISNUMBER(E53)),OR(F53="",ISNUMBER(F53)),OR(H53="",ISNUMBER(H53)),N(E53)&gt;=0,N(F53)&gt;=0,N(H53)&gt;=0,N(H53)&lt;=N(G53),N(E53)&lt;N(D53),N(F53)&lt;=N(D53)-N(E53)))</f>
        <v>0</v>
      </c>
    </row>
    <row r="54" customFormat="false" ht="15" hidden="false" customHeight="false" outlineLevel="0" collapsed="false">
      <c r="A54" s="11"/>
      <c r="B54" s="8"/>
      <c r="C54" s="8"/>
      <c r="D54" s="8"/>
      <c r="E54" s="8"/>
      <c r="F54" s="8"/>
      <c r="G54" s="8"/>
      <c r="H54" s="8"/>
      <c r="I54" s="12" t="str">
        <f aca="false">IF($T54,D54-N(E54),"")</f>
        <v/>
      </c>
      <c r="J54" s="12" t="str">
        <f aca="false">IF($T54,I54-N(F54),"")</f>
        <v/>
      </c>
      <c r="K54" s="13" t="str">
        <f aca="false">IF($C54="","",IF(SUMPRODUCT(--(Setup!$A$5:$A$24=$C54))&gt;0,INDEX(Setup!$B$5:$B$24,21-SUMPRODUCT(MAX((Setup!$A$5:$A$24=$C54)*(25-ROW(Setup!$A$5:$A$24))))),""))</f>
        <v/>
      </c>
      <c r="L54" s="13" t="str">
        <f aca="false">IF($T54,K54*G54/60,"")</f>
        <v/>
      </c>
      <c r="M54" s="12" t="str">
        <f aca="false">IF($T54,G54-N(H54),"")</f>
        <v/>
      </c>
      <c r="N54" s="14" t="str">
        <f aca="false">IF($T54,J54/I54,"")</f>
        <v/>
      </c>
      <c r="O54" s="14" t="str">
        <f aca="false">IF(AND($T54,N(J54)&gt;0),L54/J54,"")</f>
        <v/>
      </c>
      <c r="P54" s="14" t="str">
        <f aca="false">IF(AND($T54,N(G54)&gt;0),M54/G54,"")</f>
        <v/>
      </c>
      <c r="Q54" s="14" t="str">
        <f aca="false">IF($T54,S54/I54,"")</f>
        <v/>
      </c>
      <c r="R54" s="10" t="str">
        <f aca="false">IF($C54="","",IF(NOT(SUMPRODUCT(--(Setup!$A$5:$A$24=$C54))&gt;0),"Machine not in Setup",IF(OR(NOT(ISNUMBER(K54)),N(K54)&lt;=0),"Set an ideal cycle time in Setup",IF(NOT(ISNUMBER(A54)),"Enter a date",IF(OR(NOT(ISNUMBER(D54)),NOT(ISNUMBER(G54)),AND(E54&lt;&gt;"",NOT(ISNUMBER(E54))),AND(F54&lt;&gt;"",NOT(ISNUMBER(F54))),AND(H54&lt;&gt;"",NOT(ISNUMBER(H54)))),"Enter numbers: shift length and total parts are required",IF(OR(N(D54)&lt;=0,N(E54)&lt;0,N(F54)&lt;0,N(G54)&lt;0,N(H54)&lt;0),"Values must be 0 or more (shift length above 0)",IF(N(H54)&gt;N(G54),"Rejects &gt; total parts",IF(N(E54)&gt;=N(D54),"Planned stops &gt;= shift length",IF(N(F54)&gt;N(D54)-N(E54),"Downtime &gt; planned time",IF(AND(ISNUMBER(O54),O54&gt;1),"Check: performance above 100%","OK"))))))))))</f>
        <v/>
      </c>
      <c r="S54" s="13" t="str">
        <f aca="false">IF($T54,K54*M54/60,"")</f>
        <v/>
      </c>
      <c r="T54" s="15" t="b">
        <f aca="false">IF($C54="",FALSE(),AND(SUMPRODUCT(--(Setup!$A$5:$A$24=$C54))&gt;0,ISNUMBER(A54),ISNUMBER(K54),N(K54)&gt;0,ISNUMBER(D54),N(D54)&gt;0,ISNUMBER(G54),N(G54)&gt;=0,OR(E54="",ISNUMBER(E54)),OR(F54="",ISNUMBER(F54)),OR(H54="",ISNUMBER(H54)),N(E54)&gt;=0,N(F54)&gt;=0,N(H54)&gt;=0,N(H54)&lt;=N(G54),N(E54)&lt;N(D54),N(F54)&lt;=N(D54)-N(E54)))</f>
        <v>0</v>
      </c>
    </row>
    <row r="55" customFormat="false" ht="15" hidden="false" customHeight="false" outlineLevel="0" collapsed="false">
      <c r="A55" s="11"/>
      <c r="B55" s="8"/>
      <c r="C55" s="8"/>
      <c r="D55" s="8"/>
      <c r="E55" s="8"/>
      <c r="F55" s="8"/>
      <c r="G55" s="8"/>
      <c r="H55" s="8"/>
      <c r="I55" s="12" t="str">
        <f aca="false">IF($T55,D55-N(E55),"")</f>
        <v/>
      </c>
      <c r="J55" s="12" t="str">
        <f aca="false">IF($T55,I55-N(F55),"")</f>
        <v/>
      </c>
      <c r="K55" s="13" t="str">
        <f aca="false">IF($C55="","",IF(SUMPRODUCT(--(Setup!$A$5:$A$24=$C55))&gt;0,INDEX(Setup!$B$5:$B$24,21-SUMPRODUCT(MAX((Setup!$A$5:$A$24=$C55)*(25-ROW(Setup!$A$5:$A$24))))),""))</f>
        <v/>
      </c>
      <c r="L55" s="13" t="str">
        <f aca="false">IF($T55,K55*G55/60,"")</f>
        <v/>
      </c>
      <c r="M55" s="12" t="str">
        <f aca="false">IF($T55,G55-N(H55),"")</f>
        <v/>
      </c>
      <c r="N55" s="14" t="str">
        <f aca="false">IF($T55,J55/I55,"")</f>
        <v/>
      </c>
      <c r="O55" s="14" t="str">
        <f aca="false">IF(AND($T55,N(J55)&gt;0),L55/J55,"")</f>
        <v/>
      </c>
      <c r="P55" s="14" t="str">
        <f aca="false">IF(AND($T55,N(G55)&gt;0),M55/G55,"")</f>
        <v/>
      </c>
      <c r="Q55" s="14" t="str">
        <f aca="false">IF($T55,S55/I55,"")</f>
        <v/>
      </c>
      <c r="R55" s="10" t="str">
        <f aca="false">IF($C55="","",IF(NOT(SUMPRODUCT(--(Setup!$A$5:$A$24=$C55))&gt;0),"Machine not in Setup",IF(OR(NOT(ISNUMBER(K55)),N(K55)&lt;=0),"Set an ideal cycle time in Setup",IF(NOT(ISNUMBER(A55)),"Enter a date",IF(OR(NOT(ISNUMBER(D55)),NOT(ISNUMBER(G55)),AND(E55&lt;&gt;"",NOT(ISNUMBER(E55))),AND(F55&lt;&gt;"",NOT(ISNUMBER(F55))),AND(H55&lt;&gt;"",NOT(ISNUMBER(H55)))),"Enter numbers: shift length and total parts are required",IF(OR(N(D55)&lt;=0,N(E55)&lt;0,N(F55)&lt;0,N(G55)&lt;0,N(H55)&lt;0),"Values must be 0 or more (shift length above 0)",IF(N(H55)&gt;N(G55),"Rejects &gt; total parts",IF(N(E55)&gt;=N(D55),"Planned stops &gt;= shift length",IF(N(F55)&gt;N(D55)-N(E55),"Downtime &gt; planned time",IF(AND(ISNUMBER(O55),O55&gt;1),"Check: performance above 100%","OK"))))))))))</f>
        <v/>
      </c>
      <c r="S55" s="13" t="str">
        <f aca="false">IF($T55,K55*M55/60,"")</f>
        <v/>
      </c>
      <c r="T55" s="15" t="b">
        <f aca="false">IF($C55="",FALSE(),AND(SUMPRODUCT(--(Setup!$A$5:$A$24=$C55))&gt;0,ISNUMBER(A55),ISNUMBER(K55),N(K55)&gt;0,ISNUMBER(D55),N(D55)&gt;0,ISNUMBER(G55),N(G55)&gt;=0,OR(E55="",ISNUMBER(E55)),OR(F55="",ISNUMBER(F55)),OR(H55="",ISNUMBER(H55)),N(E55)&gt;=0,N(F55)&gt;=0,N(H55)&gt;=0,N(H55)&lt;=N(G55),N(E55)&lt;N(D55),N(F55)&lt;=N(D55)-N(E55)))</f>
        <v>0</v>
      </c>
    </row>
    <row r="56" customFormat="false" ht="15" hidden="false" customHeight="false" outlineLevel="0" collapsed="false">
      <c r="A56" s="11"/>
      <c r="B56" s="8"/>
      <c r="C56" s="8"/>
      <c r="D56" s="8"/>
      <c r="E56" s="8"/>
      <c r="F56" s="8"/>
      <c r="G56" s="8"/>
      <c r="H56" s="8"/>
      <c r="I56" s="12" t="str">
        <f aca="false">IF($T56,D56-N(E56),"")</f>
        <v/>
      </c>
      <c r="J56" s="12" t="str">
        <f aca="false">IF($T56,I56-N(F56),"")</f>
        <v/>
      </c>
      <c r="K56" s="13" t="str">
        <f aca="false">IF($C56="","",IF(SUMPRODUCT(--(Setup!$A$5:$A$24=$C56))&gt;0,INDEX(Setup!$B$5:$B$24,21-SUMPRODUCT(MAX((Setup!$A$5:$A$24=$C56)*(25-ROW(Setup!$A$5:$A$24))))),""))</f>
        <v/>
      </c>
      <c r="L56" s="13" t="str">
        <f aca="false">IF($T56,K56*G56/60,"")</f>
        <v/>
      </c>
      <c r="M56" s="12" t="str">
        <f aca="false">IF($T56,G56-N(H56),"")</f>
        <v/>
      </c>
      <c r="N56" s="14" t="str">
        <f aca="false">IF($T56,J56/I56,"")</f>
        <v/>
      </c>
      <c r="O56" s="14" t="str">
        <f aca="false">IF(AND($T56,N(J56)&gt;0),L56/J56,"")</f>
        <v/>
      </c>
      <c r="P56" s="14" t="str">
        <f aca="false">IF(AND($T56,N(G56)&gt;0),M56/G56,"")</f>
        <v/>
      </c>
      <c r="Q56" s="14" t="str">
        <f aca="false">IF($T56,S56/I56,"")</f>
        <v/>
      </c>
      <c r="R56" s="10" t="str">
        <f aca="false">IF($C56="","",IF(NOT(SUMPRODUCT(--(Setup!$A$5:$A$24=$C56))&gt;0),"Machine not in Setup",IF(OR(NOT(ISNUMBER(K56)),N(K56)&lt;=0),"Set an ideal cycle time in Setup",IF(NOT(ISNUMBER(A56)),"Enter a date",IF(OR(NOT(ISNUMBER(D56)),NOT(ISNUMBER(G56)),AND(E56&lt;&gt;"",NOT(ISNUMBER(E56))),AND(F56&lt;&gt;"",NOT(ISNUMBER(F56))),AND(H56&lt;&gt;"",NOT(ISNUMBER(H56)))),"Enter numbers: shift length and total parts are required",IF(OR(N(D56)&lt;=0,N(E56)&lt;0,N(F56)&lt;0,N(G56)&lt;0,N(H56)&lt;0),"Values must be 0 or more (shift length above 0)",IF(N(H56)&gt;N(G56),"Rejects &gt; total parts",IF(N(E56)&gt;=N(D56),"Planned stops &gt;= shift length",IF(N(F56)&gt;N(D56)-N(E56),"Downtime &gt; planned time",IF(AND(ISNUMBER(O56),O56&gt;1),"Check: performance above 100%","OK"))))))))))</f>
        <v/>
      </c>
      <c r="S56" s="13" t="str">
        <f aca="false">IF($T56,K56*M56/60,"")</f>
        <v/>
      </c>
      <c r="T56" s="15" t="b">
        <f aca="false">IF($C56="",FALSE(),AND(SUMPRODUCT(--(Setup!$A$5:$A$24=$C56))&gt;0,ISNUMBER(A56),ISNUMBER(K56),N(K56)&gt;0,ISNUMBER(D56),N(D56)&gt;0,ISNUMBER(G56),N(G56)&gt;=0,OR(E56="",ISNUMBER(E56)),OR(F56="",ISNUMBER(F56)),OR(H56="",ISNUMBER(H56)),N(E56)&gt;=0,N(F56)&gt;=0,N(H56)&gt;=0,N(H56)&lt;=N(G56),N(E56)&lt;N(D56),N(F56)&lt;=N(D56)-N(E56)))</f>
        <v>0</v>
      </c>
    </row>
    <row r="57" customFormat="false" ht="15" hidden="false" customHeight="false" outlineLevel="0" collapsed="false">
      <c r="A57" s="11"/>
      <c r="B57" s="8"/>
      <c r="C57" s="8"/>
      <c r="D57" s="8"/>
      <c r="E57" s="8"/>
      <c r="F57" s="8"/>
      <c r="G57" s="8"/>
      <c r="H57" s="8"/>
      <c r="I57" s="12" t="str">
        <f aca="false">IF($T57,D57-N(E57),"")</f>
        <v/>
      </c>
      <c r="J57" s="12" t="str">
        <f aca="false">IF($T57,I57-N(F57),"")</f>
        <v/>
      </c>
      <c r="K57" s="13" t="str">
        <f aca="false">IF($C57="","",IF(SUMPRODUCT(--(Setup!$A$5:$A$24=$C57))&gt;0,INDEX(Setup!$B$5:$B$24,21-SUMPRODUCT(MAX((Setup!$A$5:$A$24=$C57)*(25-ROW(Setup!$A$5:$A$24))))),""))</f>
        <v/>
      </c>
      <c r="L57" s="13" t="str">
        <f aca="false">IF($T57,K57*G57/60,"")</f>
        <v/>
      </c>
      <c r="M57" s="12" t="str">
        <f aca="false">IF($T57,G57-N(H57),"")</f>
        <v/>
      </c>
      <c r="N57" s="14" t="str">
        <f aca="false">IF($T57,J57/I57,"")</f>
        <v/>
      </c>
      <c r="O57" s="14" t="str">
        <f aca="false">IF(AND($T57,N(J57)&gt;0),L57/J57,"")</f>
        <v/>
      </c>
      <c r="P57" s="14" t="str">
        <f aca="false">IF(AND($T57,N(G57)&gt;0),M57/G57,"")</f>
        <v/>
      </c>
      <c r="Q57" s="14" t="str">
        <f aca="false">IF($T57,S57/I57,"")</f>
        <v/>
      </c>
      <c r="R57" s="10" t="str">
        <f aca="false">IF($C57="","",IF(NOT(SUMPRODUCT(--(Setup!$A$5:$A$24=$C57))&gt;0),"Machine not in Setup",IF(OR(NOT(ISNUMBER(K57)),N(K57)&lt;=0),"Set an ideal cycle time in Setup",IF(NOT(ISNUMBER(A57)),"Enter a date",IF(OR(NOT(ISNUMBER(D57)),NOT(ISNUMBER(G57)),AND(E57&lt;&gt;"",NOT(ISNUMBER(E57))),AND(F57&lt;&gt;"",NOT(ISNUMBER(F57))),AND(H57&lt;&gt;"",NOT(ISNUMBER(H57)))),"Enter numbers: shift length and total parts are required",IF(OR(N(D57)&lt;=0,N(E57)&lt;0,N(F57)&lt;0,N(G57)&lt;0,N(H57)&lt;0),"Values must be 0 or more (shift length above 0)",IF(N(H57)&gt;N(G57),"Rejects &gt; total parts",IF(N(E57)&gt;=N(D57),"Planned stops &gt;= shift length",IF(N(F57)&gt;N(D57)-N(E57),"Downtime &gt; planned time",IF(AND(ISNUMBER(O57),O57&gt;1),"Check: performance above 100%","OK"))))))))))</f>
        <v/>
      </c>
      <c r="S57" s="13" t="str">
        <f aca="false">IF($T57,K57*M57/60,"")</f>
        <v/>
      </c>
      <c r="T57" s="15" t="b">
        <f aca="false">IF($C57="",FALSE(),AND(SUMPRODUCT(--(Setup!$A$5:$A$24=$C57))&gt;0,ISNUMBER(A57),ISNUMBER(K57),N(K57)&gt;0,ISNUMBER(D57),N(D57)&gt;0,ISNUMBER(G57),N(G57)&gt;=0,OR(E57="",ISNUMBER(E57)),OR(F57="",ISNUMBER(F57)),OR(H57="",ISNUMBER(H57)),N(E57)&gt;=0,N(F57)&gt;=0,N(H57)&gt;=0,N(H57)&lt;=N(G57),N(E57)&lt;N(D57),N(F57)&lt;=N(D57)-N(E57)))</f>
        <v>0</v>
      </c>
    </row>
    <row r="58" customFormat="false" ht="15" hidden="false" customHeight="false" outlineLevel="0" collapsed="false">
      <c r="A58" s="11"/>
      <c r="B58" s="8"/>
      <c r="C58" s="8"/>
      <c r="D58" s="8"/>
      <c r="E58" s="8"/>
      <c r="F58" s="8"/>
      <c r="G58" s="8"/>
      <c r="H58" s="8"/>
      <c r="I58" s="12" t="str">
        <f aca="false">IF($T58,D58-N(E58),"")</f>
        <v/>
      </c>
      <c r="J58" s="12" t="str">
        <f aca="false">IF($T58,I58-N(F58),"")</f>
        <v/>
      </c>
      <c r="K58" s="13" t="str">
        <f aca="false">IF($C58="","",IF(SUMPRODUCT(--(Setup!$A$5:$A$24=$C58))&gt;0,INDEX(Setup!$B$5:$B$24,21-SUMPRODUCT(MAX((Setup!$A$5:$A$24=$C58)*(25-ROW(Setup!$A$5:$A$24))))),""))</f>
        <v/>
      </c>
      <c r="L58" s="13" t="str">
        <f aca="false">IF($T58,K58*G58/60,"")</f>
        <v/>
      </c>
      <c r="M58" s="12" t="str">
        <f aca="false">IF($T58,G58-N(H58),"")</f>
        <v/>
      </c>
      <c r="N58" s="14" t="str">
        <f aca="false">IF($T58,J58/I58,"")</f>
        <v/>
      </c>
      <c r="O58" s="14" t="str">
        <f aca="false">IF(AND($T58,N(J58)&gt;0),L58/J58,"")</f>
        <v/>
      </c>
      <c r="P58" s="14" t="str">
        <f aca="false">IF(AND($T58,N(G58)&gt;0),M58/G58,"")</f>
        <v/>
      </c>
      <c r="Q58" s="14" t="str">
        <f aca="false">IF($T58,S58/I58,"")</f>
        <v/>
      </c>
      <c r="R58" s="10" t="str">
        <f aca="false">IF($C58="","",IF(NOT(SUMPRODUCT(--(Setup!$A$5:$A$24=$C58))&gt;0),"Machine not in Setup",IF(OR(NOT(ISNUMBER(K58)),N(K58)&lt;=0),"Set an ideal cycle time in Setup",IF(NOT(ISNUMBER(A58)),"Enter a date",IF(OR(NOT(ISNUMBER(D58)),NOT(ISNUMBER(G58)),AND(E58&lt;&gt;"",NOT(ISNUMBER(E58))),AND(F58&lt;&gt;"",NOT(ISNUMBER(F58))),AND(H58&lt;&gt;"",NOT(ISNUMBER(H58)))),"Enter numbers: shift length and total parts are required",IF(OR(N(D58)&lt;=0,N(E58)&lt;0,N(F58)&lt;0,N(G58)&lt;0,N(H58)&lt;0),"Values must be 0 or more (shift length above 0)",IF(N(H58)&gt;N(G58),"Rejects &gt; total parts",IF(N(E58)&gt;=N(D58),"Planned stops &gt;= shift length",IF(N(F58)&gt;N(D58)-N(E58),"Downtime &gt; planned time",IF(AND(ISNUMBER(O58),O58&gt;1),"Check: performance above 100%","OK"))))))))))</f>
        <v/>
      </c>
      <c r="S58" s="13" t="str">
        <f aca="false">IF($T58,K58*M58/60,"")</f>
        <v/>
      </c>
      <c r="T58" s="15" t="b">
        <f aca="false">IF($C58="",FALSE(),AND(SUMPRODUCT(--(Setup!$A$5:$A$24=$C58))&gt;0,ISNUMBER(A58),ISNUMBER(K58),N(K58)&gt;0,ISNUMBER(D58),N(D58)&gt;0,ISNUMBER(G58),N(G58)&gt;=0,OR(E58="",ISNUMBER(E58)),OR(F58="",ISNUMBER(F58)),OR(H58="",ISNUMBER(H58)),N(E58)&gt;=0,N(F58)&gt;=0,N(H58)&gt;=0,N(H58)&lt;=N(G58),N(E58)&lt;N(D58),N(F58)&lt;=N(D58)-N(E58)))</f>
        <v>0</v>
      </c>
    </row>
    <row r="59" customFormat="false" ht="15" hidden="false" customHeight="false" outlineLevel="0" collapsed="false">
      <c r="A59" s="11"/>
      <c r="B59" s="8"/>
      <c r="C59" s="8"/>
      <c r="D59" s="8"/>
      <c r="E59" s="8"/>
      <c r="F59" s="8"/>
      <c r="G59" s="8"/>
      <c r="H59" s="8"/>
      <c r="I59" s="12" t="str">
        <f aca="false">IF($T59,D59-N(E59),"")</f>
        <v/>
      </c>
      <c r="J59" s="12" t="str">
        <f aca="false">IF($T59,I59-N(F59),"")</f>
        <v/>
      </c>
      <c r="K59" s="13" t="str">
        <f aca="false">IF($C59="","",IF(SUMPRODUCT(--(Setup!$A$5:$A$24=$C59))&gt;0,INDEX(Setup!$B$5:$B$24,21-SUMPRODUCT(MAX((Setup!$A$5:$A$24=$C59)*(25-ROW(Setup!$A$5:$A$24))))),""))</f>
        <v/>
      </c>
      <c r="L59" s="13" t="str">
        <f aca="false">IF($T59,K59*G59/60,"")</f>
        <v/>
      </c>
      <c r="M59" s="12" t="str">
        <f aca="false">IF($T59,G59-N(H59),"")</f>
        <v/>
      </c>
      <c r="N59" s="14" t="str">
        <f aca="false">IF($T59,J59/I59,"")</f>
        <v/>
      </c>
      <c r="O59" s="14" t="str">
        <f aca="false">IF(AND($T59,N(J59)&gt;0),L59/J59,"")</f>
        <v/>
      </c>
      <c r="P59" s="14" t="str">
        <f aca="false">IF(AND($T59,N(G59)&gt;0),M59/G59,"")</f>
        <v/>
      </c>
      <c r="Q59" s="14" t="str">
        <f aca="false">IF($T59,S59/I59,"")</f>
        <v/>
      </c>
      <c r="R59" s="10" t="str">
        <f aca="false">IF($C59="","",IF(NOT(SUMPRODUCT(--(Setup!$A$5:$A$24=$C59))&gt;0),"Machine not in Setup",IF(OR(NOT(ISNUMBER(K59)),N(K59)&lt;=0),"Set an ideal cycle time in Setup",IF(NOT(ISNUMBER(A59)),"Enter a date",IF(OR(NOT(ISNUMBER(D59)),NOT(ISNUMBER(G59)),AND(E59&lt;&gt;"",NOT(ISNUMBER(E59))),AND(F59&lt;&gt;"",NOT(ISNUMBER(F59))),AND(H59&lt;&gt;"",NOT(ISNUMBER(H59)))),"Enter numbers: shift length and total parts are required",IF(OR(N(D59)&lt;=0,N(E59)&lt;0,N(F59)&lt;0,N(G59)&lt;0,N(H59)&lt;0),"Values must be 0 or more (shift length above 0)",IF(N(H59)&gt;N(G59),"Rejects &gt; total parts",IF(N(E59)&gt;=N(D59),"Planned stops &gt;= shift length",IF(N(F59)&gt;N(D59)-N(E59),"Downtime &gt; planned time",IF(AND(ISNUMBER(O59),O59&gt;1),"Check: performance above 100%","OK"))))))))))</f>
        <v/>
      </c>
      <c r="S59" s="13" t="str">
        <f aca="false">IF($T59,K59*M59/60,"")</f>
        <v/>
      </c>
      <c r="T59" s="15" t="b">
        <f aca="false">IF($C59="",FALSE(),AND(SUMPRODUCT(--(Setup!$A$5:$A$24=$C59))&gt;0,ISNUMBER(A59),ISNUMBER(K59),N(K59)&gt;0,ISNUMBER(D59),N(D59)&gt;0,ISNUMBER(G59),N(G59)&gt;=0,OR(E59="",ISNUMBER(E59)),OR(F59="",ISNUMBER(F59)),OR(H59="",ISNUMBER(H59)),N(E59)&gt;=0,N(F59)&gt;=0,N(H59)&gt;=0,N(H59)&lt;=N(G59),N(E59)&lt;N(D59),N(F59)&lt;=N(D59)-N(E59)))</f>
        <v>0</v>
      </c>
    </row>
    <row r="60" customFormat="false" ht="15" hidden="false" customHeight="false" outlineLevel="0" collapsed="false">
      <c r="A60" s="11"/>
      <c r="B60" s="8"/>
      <c r="C60" s="8"/>
      <c r="D60" s="8"/>
      <c r="E60" s="8"/>
      <c r="F60" s="8"/>
      <c r="G60" s="8"/>
      <c r="H60" s="8"/>
      <c r="I60" s="12" t="str">
        <f aca="false">IF($T60,D60-N(E60),"")</f>
        <v/>
      </c>
      <c r="J60" s="12" t="str">
        <f aca="false">IF($T60,I60-N(F60),"")</f>
        <v/>
      </c>
      <c r="K60" s="13" t="str">
        <f aca="false">IF($C60="","",IF(SUMPRODUCT(--(Setup!$A$5:$A$24=$C60))&gt;0,INDEX(Setup!$B$5:$B$24,21-SUMPRODUCT(MAX((Setup!$A$5:$A$24=$C60)*(25-ROW(Setup!$A$5:$A$24))))),""))</f>
        <v/>
      </c>
      <c r="L60" s="13" t="str">
        <f aca="false">IF($T60,K60*G60/60,"")</f>
        <v/>
      </c>
      <c r="M60" s="12" t="str">
        <f aca="false">IF($T60,G60-N(H60),"")</f>
        <v/>
      </c>
      <c r="N60" s="14" t="str">
        <f aca="false">IF($T60,J60/I60,"")</f>
        <v/>
      </c>
      <c r="O60" s="14" t="str">
        <f aca="false">IF(AND($T60,N(J60)&gt;0),L60/J60,"")</f>
        <v/>
      </c>
      <c r="P60" s="14" t="str">
        <f aca="false">IF(AND($T60,N(G60)&gt;0),M60/G60,"")</f>
        <v/>
      </c>
      <c r="Q60" s="14" t="str">
        <f aca="false">IF($T60,S60/I60,"")</f>
        <v/>
      </c>
      <c r="R60" s="10" t="str">
        <f aca="false">IF($C60="","",IF(NOT(SUMPRODUCT(--(Setup!$A$5:$A$24=$C60))&gt;0),"Machine not in Setup",IF(OR(NOT(ISNUMBER(K60)),N(K60)&lt;=0),"Set an ideal cycle time in Setup",IF(NOT(ISNUMBER(A60)),"Enter a date",IF(OR(NOT(ISNUMBER(D60)),NOT(ISNUMBER(G60)),AND(E60&lt;&gt;"",NOT(ISNUMBER(E60))),AND(F60&lt;&gt;"",NOT(ISNUMBER(F60))),AND(H60&lt;&gt;"",NOT(ISNUMBER(H60)))),"Enter numbers: shift length and total parts are required",IF(OR(N(D60)&lt;=0,N(E60)&lt;0,N(F60)&lt;0,N(G60)&lt;0,N(H60)&lt;0),"Values must be 0 or more (shift length above 0)",IF(N(H60)&gt;N(G60),"Rejects &gt; total parts",IF(N(E60)&gt;=N(D60),"Planned stops &gt;= shift length",IF(N(F60)&gt;N(D60)-N(E60),"Downtime &gt; planned time",IF(AND(ISNUMBER(O60),O60&gt;1),"Check: performance above 100%","OK"))))))))))</f>
        <v/>
      </c>
      <c r="S60" s="13" t="str">
        <f aca="false">IF($T60,K60*M60/60,"")</f>
        <v/>
      </c>
      <c r="T60" s="15" t="b">
        <f aca="false">IF($C60="",FALSE(),AND(SUMPRODUCT(--(Setup!$A$5:$A$24=$C60))&gt;0,ISNUMBER(A60),ISNUMBER(K60),N(K60)&gt;0,ISNUMBER(D60),N(D60)&gt;0,ISNUMBER(G60),N(G60)&gt;=0,OR(E60="",ISNUMBER(E60)),OR(F60="",ISNUMBER(F60)),OR(H60="",ISNUMBER(H60)),N(E60)&gt;=0,N(F60)&gt;=0,N(H60)&gt;=0,N(H60)&lt;=N(G60),N(E60)&lt;N(D60),N(F60)&lt;=N(D60)-N(E60)))</f>
        <v>0</v>
      </c>
    </row>
    <row r="61" customFormat="false" ht="15" hidden="false" customHeight="false" outlineLevel="0" collapsed="false">
      <c r="A61" s="11"/>
      <c r="B61" s="8"/>
      <c r="C61" s="8"/>
      <c r="D61" s="8"/>
      <c r="E61" s="8"/>
      <c r="F61" s="8"/>
      <c r="G61" s="8"/>
      <c r="H61" s="8"/>
      <c r="I61" s="12" t="str">
        <f aca="false">IF($T61,D61-N(E61),"")</f>
        <v/>
      </c>
      <c r="J61" s="12" t="str">
        <f aca="false">IF($T61,I61-N(F61),"")</f>
        <v/>
      </c>
      <c r="K61" s="13" t="str">
        <f aca="false">IF($C61="","",IF(SUMPRODUCT(--(Setup!$A$5:$A$24=$C61))&gt;0,INDEX(Setup!$B$5:$B$24,21-SUMPRODUCT(MAX((Setup!$A$5:$A$24=$C61)*(25-ROW(Setup!$A$5:$A$24))))),""))</f>
        <v/>
      </c>
      <c r="L61" s="13" t="str">
        <f aca="false">IF($T61,K61*G61/60,"")</f>
        <v/>
      </c>
      <c r="M61" s="12" t="str">
        <f aca="false">IF($T61,G61-N(H61),"")</f>
        <v/>
      </c>
      <c r="N61" s="14" t="str">
        <f aca="false">IF($T61,J61/I61,"")</f>
        <v/>
      </c>
      <c r="O61" s="14" t="str">
        <f aca="false">IF(AND($T61,N(J61)&gt;0),L61/J61,"")</f>
        <v/>
      </c>
      <c r="P61" s="14" t="str">
        <f aca="false">IF(AND($T61,N(G61)&gt;0),M61/G61,"")</f>
        <v/>
      </c>
      <c r="Q61" s="14" t="str">
        <f aca="false">IF($T61,S61/I61,"")</f>
        <v/>
      </c>
      <c r="R61" s="10" t="str">
        <f aca="false">IF($C61="","",IF(NOT(SUMPRODUCT(--(Setup!$A$5:$A$24=$C61))&gt;0),"Machine not in Setup",IF(OR(NOT(ISNUMBER(K61)),N(K61)&lt;=0),"Set an ideal cycle time in Setup",IF(NOT(ISNUMBER(A61)),"Enter a date",IF(OR(NOT(ISNUMBER(D61)),NOT(ISNUMBER(G61)),AND(E61&lt;&gt;"",NOT(ISNUMBER(E61))),AND(F61&lt;&gt;"",NOT(ISNUMBER(F61))),AND(H61&lt;&gt;"",NOT(ISNUMBER(H61)))),"Enter numbers: shift length and total parts are required",IF(OR(N(D61)&lt;=0,N(E61)&lt;0,N(F61)&lt;0,N(G61)&lt;0,N(H61)&lt;0),"Values must be 0 or more (shift length above 0)",IF(N(H61)&gt;N(G61),"Rejects &gt; total parts",IF(N(E61)&gt;=N(D61),"Planned stops &gt;= shift length",IF(N(F61)&gt;N(D61)-N(E61),"Downtime &gt; planned time",IF(AND(ISNUMBER(O61),O61&gt;1),"Check: performance above 100%","OK"))))))))))</f>
        <v/>
      </c>
      <c r="S61" s="13" t="str">
        <f aca="false">IF($T61,K61*M61/60,"")</f>
        <v/>
      </c>
      <c r="T61" s="15" t="b">
        <f aca="false">IF($C61="",FALSE(),AND(SUMPRODUCT(--(Setup!$A$5:$A$24=$C61))&gt;0,ISNUMBER(A61),ISNUMBER(K61),N(K61)&gt;0,ISNUMBER(D61),N(D61)&gt;0,ISNUMBER(G61),N(G61)&gt;=0,OR(E61="",ISNUMBER(E61)),OR(F61="",ISNUMBER(F61)),OR(H61="",ISNUMBER(H61)),N(E61)&gt;=0,N(F61)&gt;=0,N(H61)&gt;=0,N(H61)&lt;=N(G61),N(E61)&lt;N(D61),N(F61)&lt;=N(D61)-N(E61)))</f>
        <v>0</v>
      </c>
    </row>
    <row r="62" customFormat="false" ht="15" hidden="false" customHeight="false" outlineLevel="0" collapsed="false">
      <c r="A62" s="11"/>
      <c r="B62" s="8"/>
      <c r="C62" s="8"/>
      <c r="D62" s="8"/>
      <c r="E62" s="8"/>
      <c r="F62" s="8"/>
      <c r="G62" s="8"/>
      <c r="H62" s="8"/>
      <c r="I62" s="12" t="str">
        <f aca="false">IF($T62,D62-N(E62),"")</f>
        <v/>
      </c>
      <c r="J62" s="12" t="str">
        <f aca="false">IF($T62,I62-N(F62),"")</f>
        <v/>
      </c>
      <c r="K62" s="13" t="str">
        <f aca="false">IF($C62="","",IF(SUMPRODUCT(--(Setup!$A$5:$A$24=$C62))&gt;0,INDEX(Setup!$B$5:$B$24,21-SUMPRODUCT(MAX((Setup!$A$5:$A$24=$C62)*(25-ROW(Setup!$A$5:$A$24))))),""))</f>
        <v/>
      </c>
      <c r="L62" s="13" t="str">
        <f aca="false">IF($T62,K62*G62/60,"")</f>
        <v/>
      </c>
      <c r="M62" s="12" t="str">
        <f aca="false">IF($T62,G62-N(H62),"")</f>
        <v/>
      </c>
      <c r="N62" s="14" t="str">
        <f aca="false">IF($T62,J62/I62,"")</f>
        <v/>
      </c>
      <c r="O62" s="14" t="str">
        <f aca="false">IF(AND($T62,N(J62)&gt;0),L62/J62,"")</f>
        <v/>
      </c>
      <c r="P62" s="14" t="str">
        <f aca="false">IF(AND($T62,N(G62)&gt;0),M62/G62,"")</f>
        <v/>
      </c>
      <c r="Q62" s="14" t="str">
        <f aca="false">IF($T62,S62/I62,"")</f>
        <v/>
      </c>
      <c r="R62" s="10" t="str">
        <f aca="false">IF($C62="","",IF(NOT(SUMPRODUCT(--(Setup!$A$5:$A$24=$C62))&gt;0),"Machine not in Setup",IF(OR(NOT(ISNUMBER(K62)),N(K62)&lt;=0),"Set an ideal cycle time in Setup",IF(NOT(ISNUMBER(A62)),"Enter a date",IF(OR(NOT(ISNUMBER(D62)),NOT(ISNUMBER(G62)),AND(E62&lt;&gt;"",NOT(ISNUMBER(E62))),AND(F62&lt;&gt;"",NOT(ISNUMBER(F62))),AND(H62&lt;&gt;"",NOT(ISNUMBER(H62)))),"Enter numbers: shift length and total parts are required",IF(OR(N(D62)&lt;=0,N(E62)&lt;0,N(F62)&lt;0,N(G62)&lt;0,N(H62)&lt;0),"Values must be 0 or more (shift length above 0)",IF(N(H62)&gt;N(G62),"Rejects &gt; total parts",IF(N(E62)&gt;=N(D62),"Planned stops &gt;= shift length",IF(N(F62)&gt;N(D62)-N(E62),"Downtime &gt; planned time",IF(AND(ISNUMBER(O62),O62&gt;1),"Check: performance above 100%","OK"))))))))))</f>
        <v/>
      </c>
      <c r="S62" s="13" t="str">
        <f aca="false">IF($T62,K62*M62/60,"")</f>
        <v/>
      </c>
      <c r="T62" s="15" t="b">
        <f aca="false">IF($C62="",FALSE(),AND(SUMPRODUCT(--(Setup!$A$5:$A$24=$C62))&gt;0,ISNUMBER(A62),ISNUMBER(K62),N(K62)&gt;0,ISNUMBER(D62),N(D62)&gt;0,ISNUMBER(G62),N(G62)&gt;=0,OR(E62="",ISNUMBER(E62)),OR(F62="",ISNUMBER(F62)),OR(H62="",ISNUMBER(H62)),N(E62)&gt;=0,N(F62)&gt;=0,N(H62)&gt;=0,N(H62)&lt;=N(G62),N(E62)&lt;N(D62),N(F62)&lt;=N(D62)-N(E62)))</f>
        <v>0</v>
      </c>
    </row>
    <row r="63" customFormat="false" ht="15" hidden="false" customHeight="false" outlineLevel="0" collapsed="false">
      <c r="A63" s="11"/>
      <c r="B63" s="8"/>
      <c r="C63" s="8"/>
      <c r="D63" s="8"/>
      <c r="E63" s="8"/>
      <c r="F63" s="8"/>
      <c r="G63" s="8"/>
      <c r="H63" s="8"/>
      <c r="I63" s="12" t="str">
        <f aca="false">IF($T63,D63-N(E63),"")</f>
        <v/>
      </c>
      <c r="J63" s="12" t="str">
        <f aca="false">IF($T63,I63-N(F63),"")</f>
        <v/>
      </c>
      <c r="K63" s="13" t="str">
        <f aca="false">IF($C63="","",IF(SUMPRODUCT(--(Setup!$A$5:$A$24=$C63))&gt;0,INDEX(Setup!$B$5:$B$24,21-SUMPRODUCT(MAX((Setup!$A$5:$A$24=$C63)*(25-ROW(Setup!$A$5:$A$24))))),""))</f>
        <v/>
      </c>
      <c r="L63" s="13" t="str">
        <f aca="false">IF($T63,K63*G63/60,"")</f>
        <v/>
      </c>
      <c r="M63" s="12" t="str">
        <f aca="false">IF($T63,G63-N(H63),"")</f>
        <v/>
      </c>
      <c r="N63" s="14" t="str">
        <f aca="false">IF($T63,J63/I63,"")</f>
        <v/>
      </c>
      <c r="O63" s="14" t="str">
        <f aca="false">IF(AND($T63,N(J63)&gt;0),L63/J63,"")</f>
        <v/>
      </c>
      <c r="P63" s="14" t="str">
        <f aca="false">IF(AND($T63,N(G63)&gt;0),M63/G63,"")</f>
        <v/>
      </c>
      <c r="Q63" s="14" t="str">
        <f aca="false">IF($T63,S63/I63,"")</f>
        <v/>
      </c>
      <c r="R63" s="10" t="str">
        <f aca="false">IF($C63="","",IF(NOT(SUMPRODUCT(--(Setup!$A$5:$A$24=$C63))&gt;0),"Machine not in Setup",IF(OR(NOT(ISNUMBER(K63)),N(K63)&lt;=0),"Set an ideal cycle time in Setup",IF(NOT(ISNUMBER(A63)),"Enter a date",IF(OR(NOT(ISNUMBER(D63)),NOT(ISNUMBER(G63)),AND(E63&lt;&gt;"",NOT(ISNUMBER(E63))),AND(F63&lt;&gt;"",NOT(ISNUMBER(F63))),AND(H63&lt;&gt;"",NOT(ISNUMBER(H63)))),"Enter numbers: shift length and total parts are required",IF(OR(N(D63)&lt;=0,N(E63)&lt;0,N(F63)&lt;0,N(G63)&lt;0,N(H63)&lt;0),"Values must be 0 or more (shift length above 0)",IF(N(H63)&gt;N(G63),"Rejects &gt; total parts",IF(N(E63)&gt;=N(D63),"Planned stops &gt;= shift length",IF(N(F63)&gt;N(D63)-N(E63),"Downtime &gt; planned time",IF(AND(ISNUMBER(O63),O63&gt;1),"Check: performance above 100%","OK"))))))))))</f>
        <v/>
      </c>
      <c r="S63" s="13" t="str">
        <f aca="false">IF($T63,K63*M63/60,"")</f>
        <v/>
      </c>
      <c r="T63" s="15" t="b">
        <f aca="false">IF($C63="",FALSE(),AND(SUMPRODUCT(--(Setup!$A$5:$A$24=$C63))&gt;0,ISNUMBER(A63),ISNUMBER(K63),N(K63)&gt;0,ISNUMBER(D63),N(D63)&gt;0,ISNUMBER(G63),N(G63)&gt;=0,OR(E63="",ISNUMBER(E63)),OR(F63="",ISNUMBER(F63)),OR(H63="",ISNUMBER(H63)),N(E63)&gt;=0,N(F63)&gt;=0,N(H63)&gt;=0,N(H63)&lt;=N(G63),N(E63)&lt;N(D63),N(F63)&lt;=N(D63)-N(E63)))</f>
        <v>0</v>
      </c>
    </row>
    <row r="64" customFormat="false" ht="15" hidden="false" customHeight="false" outlineLevel="0" collapsed="false">
      <c r="A64" s="11"/>
      <c r="B64" s="8"/>
      <c r="C64" s="8"/>
      <c r="D64" s="8"/>
      <c r="E64" s="8"/>
      <c r="F64" s="8"/>
      <c r="G64" s="8"/>
      <c r="H64" s="8"/>
      <c r="I64" s="12" t="str">
        <f aca="false">IF($T64,D64-N(E64),"")</f>
        <v/>
      </c>
      <c r="J64" s="12" t="str">
        <f aca="false">IF($T64,I64-N(F64),"")</f>
        <v/>
      </c>
      <c r="K64" s="13" t="str">
        <f aca="false">IF($C64="","",IF(SUMPRODUCT(--(Setup!$A$5:$A$24=$C64))&gt;0,INDEX(Setup!$B$5:$B$24,21-SUMPRODUCT(MAX((Setup!$A$5:$A$24=$C64)*(25-ROW(Setup!$A$5:$A$24))))),""))</f>
        <v/>
      </c>
      <c r="L64" s="13" t="str">
        <f aca="false">IF($T64,K64*G64/60,"")</f>
        <v/>
      </c>
      <c r="M64" s="12" t="str">
        <f aca="false">IF($T64,G64-N(H64),"")</f>
        <v/>
      </c>
      <c r="N64" s="14" t="str">
        <f aca="false">IF($T64,J64/I64,"")</f>
        <v/>
      </c>
      <c r="O64" s="14" t="str">
        <f aca="false">IF(AND($T64,N(J64)&gt;0),L64/J64,"")</f>
        <v/>
      </c>
      <c r="P64" s="14" t="str">
        <f aca="false">IF(AND($T64,N(G64)&gt;0),M64/G64,"")</f>
        <v/>
      </c>
      <c r="Q64" s="14" t="str">
        <f aca="false">IF($T64,S64/I64,"")</f>
        <v/>
      </c>
      <c r="R64" s="10" t="str">
        <f aca="false">IF($C64="","",IF(NOT(SUMPRODUCT(--(Setup!$A$5:$A$24=$C64))&gt;0),"Machine not in Setup",IF(OR(NOT(ISNUMBER(K64)),N(K64)&lt;=0),"Set an ideal cycle time in Setup",IF(NOT(ISNUMBER(A64)),"Enter a date",IF(OR(NOT(ISNUMBER(D64)),NOT(ISNUMBER(G64)),AND(E64&lt;&gt;"",NOT(ISNUMBER(E64))),AND(F64&lt;&gt;"",NOT(ISNUMBER(F64))),AND(H64&lt;&gt;"",NOT(ISNUMBER(H64)))),"Enter numbers: shift length and total parts are required",IF(OR(N(D64)&lt;=0,N(E64)&lt;0,N(F64)&lt;0,N(G64)&lt;0,N(H64)&lt;0),"Values must be 0 or more (shift length above 0)",IF(N(H64)&gt;N(G64),"Rejects &gt; total parts",IF(N(E64)&gt;=N(D64),"Planned stops &gt;= shift length",IF(N(F64)&gt;N(D64)-N(E64),"Downtime &gt; planned time",IF(AND(ISNUMBER(O64),O64&gt;1),"Check: performance above 100%","OK"))))))))))</f>
        <v/>
      </c>
      <c r="S64" s="13" t="str">
        <f aca="false">IF($T64,K64*M64/60,"")</f>
        <v/>
      </c>
      <c r="T64" s="15" t="b">
        <f aca="false">IF($C64="",FALSE(),AND(SUMPRODUCT(--(Setup!$A$5:$A$24=$C64))&gt;0,ISNUMBER(A64),ISNUMBER(K64),N(K64)&gt;0,ISNUMBER(D64),N(D64)&gt;0,ISNUMBER(G64),N(G64)&gt;=0,OR(E64="",ISNUMBER(E64)),OR(F64="",ISNUMBER(F64)),OR(H64="",ISNUMBER(H64)),N(E64)&gt;=0,N(F64)&gt;=0,N(H64)&gt;=0,N(H64)&lt;=N(G64),N(E64)&lt;N(D64),N(F64)&lt;=N(D64)-N(E64)))</f>
        <v>0</v>
      </c>
    </row>
    <row r="65" customFormat="false" ht="15" hidden="false" customHeight="false" outlineLevel="0" collapsed="false">
      <c r="A65" s="11"/>
      <c r="B65" s="8"/>
      <c r="C65" s="8"/>
      <c r="D65" s="8"/>
      <c r="E65" s="8"/>
      <c r="F65" s="8"/>
      <c r="G65" s="8"/>
      <c r="H65" s="8"/>
      <c r="I65" s="12" t="str">
        <f aca="false">IF($T65,D65-N(E65),"")</f>
        <v/>
      </c>
      <c r="J65" s="12" t="str">
        <f aca="false">IF($T65,I65-N(F65),"")</f>
        <v/>
      </c>
      <c r="K65" s="13" t="str">
        <f aca="false">IF($C65="","",IF(SUMPRODUCT(--(Setup!$A$5:$A$24=$C65))&gt;0,INDEX(Setup!$B$5:$B$24,21-SUMPRODUCT(MAX((Setup!$A$5:$A$24=$C65)*(25-ROW(Setup!$A$5:$A$24))))),""))</f>
        <v/>
      </c>
      <c r="L65" s="13" t="str">
        <f aca="false">IF($T65,K65*G65/60,"")</f>
        <v/>
      </c>
      <c r="M65" s="12" t="str">
        <f aca="false">IF($T65,G65-N(H65),"")</f>
        <v/>
      </c>
      <c r="N65" s="14" t="str">
        <f aca="false">IF($T65,J65/I65,"")</f>
        <v/>
      </c>
      <c r="O65" s="14" t="str">
        <f aca="false">IF(AND($T65,N(J65)&gt;0),L65/J65,"")</f>
        <v/>
      </c>
      <c r="P65" s="14" t="str">
        <f aca="false">IF(AND($T65,N(G65)&gt;0),M65/G65,"")</f>
        <v/>
      </c>
      <c r="Q65" s="14" t="str">
        <f aca="false">IF($T65,S65/I65,"")</f>
        <v/>
      </c>
      <c r="R65" s="10" t="str">
        <f aca="false">IF($C65="","",IF(NOT(SUMPRODUCT(--(Setup!$A$5:$A$24=$C65))&gt;0),"Machine not in Setup",IF(OR(NOT(ISNUMBER(K65)),N(K65)&lt;=0),"Set an ideal cycle time in Setup",IF(NOT(ISNUMBER(A65)),"Enter a date",IF(OR(NOT(ISNUMBER(D65)),NOT(ISNUMBER(G65)),AND(E65&lt;&gt;"",NOT(ISNUMBER(E65))),AND(F65&lt;&gt;"",NOT(ISNUMBER(F65))),AND(H65&lt;&gt;"",NOT(ISNUMBER(H65)))),"Enter numbers: shift length and total parts are required",IF(OR(N(D65)&lt;=0,N(E65)&lt;0,N(F65)&lt;0,N(G65)&lt;0,N(H65)&lt;0),"Values must be 0 or more (shift length above 0)",IF(N(H65)&gt;N(G65),"Rejects &gt; total parts",IF(N(E65)&gt;=N(D65),"Planned stops &gt;= shift length",IF(N(F65)&gt;N(D65)-N(E65),"Downtime &gt; planned time",IF(AND(ISNUMBER(O65),O65&gt;1),"Check: performance above 100%","OK"))))))))))</f>
        <v/>
      </c>
      <c r="S65" s="13" t="str">
        <f aca="false">IF($T65,K65*M65/60,"")</f>
        <v/>
      </c>
      <c r="T65" s="15" t="b">
        <f aca="false">IF($C65="",FALSE(),AND(SUMPRODUCT(--(Setup!$A$5:$A$24=$C65))&gt;0,ISNUMBER(A65),ISNUMBER(K65),N(K65)&gt;0,ISNUMBER(D65),N(D65)&gt;0,ISNUMBER(G65),N(G65)&gt;=0,OR(E65="",ISNUMBER(E65)),OR(F65="",ISNUMBER(F65)),OR(H65="",ISNUMBER(H65)),N(E65)&gt;=0,N(F65)&gt;=0,N(H65)&gt;=0,N(H65)&lt;=N(G65),N(E65)&lt;N(D65),N(F65)&lt;=N(D65)-N(E65)))</f>
        <v>0</v>
      </c>
    </row>
    <row r="66" customFormat="false" ht="15" hidden="false" customHeight="false" outlineLevel="0" collapsed="false">
      <c r="A66" s="11"/>
      <c r="B66" s="8"/>
      <c r="C66" s="8"/>
      <c r="D66" s="8"/>
      <c r="E66" s="8"/>
      <c r="F66" s="8"/>
      <c r="G66" s="8"/>
      <c r="H66" s="8"/>
      <c r="I66" s="12" t="str">
        <f aca="false">IF($T66,D66-N(E66),"")</f>
        <v/>
      </c>
      <c r="J66" s="12" t="str">
        <f aca="false">IF($T66,I66-N(F66),"")</f>
        <v/>
      </c>
      <c r="K66" s="13" t="str">
        <f aca="false">IF($C66="","",IF(SUMPRODUCT(--(Setup!$A$5:$A$24=$C66))&gt;0,INDEX(Setup!$B$5:$B$24,21-SUMPRODUCT(MAX((Setup!$A$5:$A$24=$C66)*(25-ROW(Setup!$A$5:$A$24))))),""))</f>
        <v/>
      </c>
      <c r="L66" s="13" t="str">
        <f aca="false">IF($T66,K66*G66/60,"")</f>
        <v/>
      </c>
      <c r="M66" s="12" t="str">
        <f aca="false">IF($T66,G66-N(H66),"")</f>
        <v/>
      </c>
      <c r="N66" s="14" t="str">
        <f aca="false">IF($T66,J66/I66,"")</f>
        <v/>
      </c>
      <c r="O66" s="14" t="str">
        <f aca="false">IF(AND($T66,N(J66)&gt;0),L66/J66,"")</f>
        <v/>
      </c>
      <c r="P66" s="14" t="str">
        <f aca="false">IF(AND($T66,N(G66)&gt;0),M66/G66,"")</f>
        <v/>
      </c>
      <c r="Q66" s="14" t="str">
        <f aca="false">IF($T66,S66/I66,"")</f>
        <v/>
      </c>
      <c r="R66" s="10" t="str">
        <f aca="false">IF($C66="","",IF(NOT(SUMPRODUCT(--(Setup!$A$5:$A$24=$C66))&gt;0),"Machine not in Setup",IF(OR(NOT(ISNUMBER(K66)),N(K66)&lt;=0),"Set an ideal cycle time in Setup",IF(NOT(ISNUMBER(A66)),"Enter a date",IF(OR(NOT(ISNUMBER(D66)),NOT(ISNUMBER(G66)),AND(E66&lt;&gt;"",NOT(ISNUMBER(E66))),AND(F66&lt;&gt;"",NOT(ISNUMBER(F66))),AND(H66&lt;&gt;"",NOT(ISNUMBER(H66)))),"Enter numbers: shift length and total parts are required",IF(OR(N(D66)&lt;=0,N(E66)&lt;0,N(F66)&lt;0,N(G66)&lt;0,N(H66)&lt;0),"Values must be 0 or more (shift length above 0)",IF(N(H66)&gt;N(G66),"Rejects &gt; total parts",IF(N(E66)&gt;=N(D66),"Planned stops &gt;= shift length",IF(N(F66)&gt;N(D66)-N(E66),"Downtime &gt; planned time",IF(AND(ISNUMBER(O66),O66&gt;1),"Check: performance above 100%","OK"))))))))))</f>
        <v/>
      </c>
      <c r="S66" s="13" t="str">
        <f aca="false">IF($T66,K66*M66/60,"")</f>
        <v/>
      </c>
      <c r="T66" s="15" t="b">
        <f aca="false">IF($C66="",FALSE(),AND(SUMPRODUCT(--(Setup!$A$5:$A$24=$C66))&gt;0,ISNUMBER(A66),ISNUMBER(K66),N(K66)&gt;0,ISNUMBER(D66),N(D66)&gt;0,ISNUMBER(G66),N(G66)&gt;=0,OR(E66="",ISNUMBER(E66)),OR(F66="",ISNUMBER(F66)),OR(H66="",ISNUMBER(H66)),N(E66)&gt;=0,N(F66)&gt;=0,N(H66)&gt;=0,N(H66)&lt;=N(G66),N(E66)&lt;N(D66),N(F66)&lt;=N(D66)-N(E66)))</f>
        <v>0</v>
      </c>
    </row>
    <row r="67" customFormat="false" ht="15" hidden="false" customHeight="false" outlineLevel="0" collapsed="false">
      <c r="A67" s="11"/>
      <c r="B67" s="8"/>
      <c r="C67" s="8"/>
      <c r="D67" s="8"/>
      <c r="E67" s="8"/>
      <c r="F67" s="8"/>
      <c r="G67" s="8"/>
      <c r="H67" s="8"/>
      <c r="I67" s="12" t="str">
        <f aca="false">IF($T67,D67-N(E67),"")</f>
        <v/>
      </c>
      <c r="J67" s="12" t="str">
        <f aca="false">IF($T67,I67-N(F67),"")</f>
        <v/>
      </c>
      <c r="K67" s="13" t="str">
        <f aca="false">IF($C67="","",IF(SUMPRODUCT(--(Setup!$A$5:$A$24=$C67))&gt;0,INDEX(Setup!$B$5:$B$24,21-SUMPRODUCT(MAX((Setup!$A$5:$A$24=$C67)*(25-ROW(Setup!$A$5:$A$24))))),""))</f>
        <v/>
      </c>
      <c r="L67" s="13" t="str">
        <f aca="false">IF($T67,K67*G67/60,"")</f>
        <v/>
      </c>
      <c r="M67" s="12" t="str">
        <f aca="false">IF($T67,G67-N(H67),"")</f>
        <v/>
      </c>
      <c r="N67" s="14" t="str">
        <f aca="false">IF($T67,J67/I67,"")</f>
        <v/>
      </c>
      <c r="O67" s="14" t="str">
        <f aca="false">IF(AND($T67,N(J67)&gt;0),L67/J67,"")</f>
        <v/>
      </c>
      <c r="P67" s="14" t="str">
        <f aca="false">IF(AND($T67,N(G67)&gt;0),M67/G67,"")</f>
        <v/>
      </c>
      <c r="Q67" s="14" t="str">
        <f aca="false">IF($T67,S67/I67,"")</f>
        <v/>
      </c>
      <c r="R67" s="10" t="str">
        <f aca="false">IF($C67="","",IF(NOT(SUMPRODUCT(--(Setup!$A$5:$A$24=$C67))&gt;0),"Machine not in Setup",IF(OR(NOT(ISNUMBER(K67)),N(K67)&lt;=0),"Set an ideal cycle time in Setup",IF(NOT(ISNUMBER(A67)),"Enter a date",IF(OR(NOT(ISNUMBER(D67)),NOT(ISNUMBER(G67)),AND(E67&lt;&gt;"",NOT(ISNUMBER(E67))),AND(F67&lt;&gt;"",NOT(ISNUMBER(F67))),AND(H67&lt;&gt;"",NOT(ISNUMBER(H67)))),"Enter numbers: shift length and total parts are required",IF(OR(N(D67)&lt;=0,N(E67)&lt;0,N(F67)&lt;0,N(G67)&lt;0,N(H67)&lt;0),"Values must be 0 or more (shift length above 0)",IF(N(H67)&gt;N(G67),"Rejects &gt; total parts",IF(N(E67)&gt;=N(D67),"Planned stops &gt;= shift length",IF(N(F67)&gt;N(D67)-N(E67),"Downtime &gt; planned time",IF(AND(ISNUMBER(O67),O67&gt;1),"Check: performance above 100%","OK"))))))))))</f>
        <v/>
      </c>
      <c r="S67" s="13" t="str">
        <f aca="false">IF($T67,K67*M67/60,"")</f>
        <v/>
      </c>
      <c r="T67" s="15" t="b">
        <f aca="false">IF($C67="",FALSE(),AND(SUMPRODUCT(--(Setup!$A$5:$A$24=$C67))&gt;0,ISNUMBER(A67),ISNUMBER(K67),N(K67)&gt;0,ISNUMBER(D67),N(D67)&gt;0,ISNUMBER(G67),N(G67)&gt;=0,OR(E67="",ISNUMBER(E67)),OR(F67="",ISNUMBER(F67)),OR(H67="",ISNUMBER(H67)),N(E67)&gt;=0,N(F67)&gt;=0,N(H67)&gt;=0,N(H67)&lt;=N(G67),N(E67)&lt;N(D67),N(F67)&lt;=N(D67)-N(E67)))</f>
        <v>0</v>
      </c>
    </row>
    <row r="68" customFormat="false" ht="15" hidden="false" customHeight="false" outlineLevel="0" collapsed="false">
      <c r="A68" s="11"/>
      <c r="B68" s="8"/>
      <c r="C68" s="8"/>
      <c r="D68" s="8"/>
      <c r="E68" s="8"/>
      <c r="F68" s="8"/>
      <c r="G68" s="8"/>
      <c r="H68" s="8"/>
      <c r="I68" s="12" t="str">
        <f aca="false">IF($T68,D68-N(E68),"")</f>
        <v/>
      </c>
      <c r="J68" s="12" t="str">
        <f aca="false">IF($T68,I68-N(F68),"")</f>
        <v/>
      </c>
      <c r="K68" s="13" t="str">
        <f aca="false">IF($C68="","",IF(SUMPRODUCT(--(Setup!$A$5:$A$24=$C68))&gt;0,INDEX(Setup!$B$5:$B$24,21-SUMPRODUCT(MAX((Setup!$A$5:$A$24=$C68)*(25-ROW(Setup!$A$5:$A$24))))),""))</f>
        <v/>
      </c>
      <c r="L68" s="13" t="str">
        <f aca="false">IF($T68,K68*G68/60,"")</f>
        <v/>
      </c>
      <c r="M68" s="12" t="str">
        <f aca="false">IF($T68,G68-N(H68),"")</f>
        <v/>
      </c>
      <c r="N68" s="14" t="str">
        <f aca="false">IF($T68,J68/I68,"")</f>
        <v/>
      </c>
      <c r="O68" s="14" t="str">
        <f aca="false">IF(AND($T68,N(J68)&gt;0),L68/J68,"")</f>
        <v/>
      </c>
      <c r="P68" s="14" t="str">
        <f aca="false">IF(AND($T68,N(G68)&gt;0),M68/G68,"")</f>
        <v/>
      </c>
      <c r="Q68" s="14" t="str">
        <f aca="false">IF($T68,S68/I68,"")</f>
        <v/>
      </c>
      <c r="R68" s="10" t="str">
        <f aca="false">IF($C68="","",IF(NOT(SUMPRODUCT(--(Setup!$A$5:$A$24=$C68))&gt;0),"Machine not in Setup",IF(OR(NOT(ISNUMBER(K68)),N(K68)&lt;=0),"Set an ideal cycle time in Setup",IF(NOT(ISNUMBER(A68)),"Enter a date",IF(OR(NOT(ISNUMBER(D68)),NOT(ISNUMBER(G68)),AND(E68&lt;&gt;"",NOT(ISNUMBER(E68))),AND(F68&lt;&gt;"",NOT(ISNUMBER(F68))),AND(H68&lt;&gt;"",NOT(ISNUMBER(H68)))),"Enter numbers: shift length and total parts are required",IF(OR(N(D68)&lt;=0,N(E68)&lt;0,N(F68)&lt;0,N(G68)&lt;0,N(H68)&lt;0),"Values must be 0 or more (shift length above 0)",IF(N(H68)&gt;N(G68),"Rejects &gt; total parts",IF(N(E68)&gt;=N(D68),"Planned stops &gt;= shift length",IF(N(F68)&gt;N(D68)-N(E68),"Downtime &gt; planned time",IF(AND(ISNUMBER(O68),O68&gt;1),"Check: performance above 100%","OK"))))))))))</f>
        <v/>
      </c>
      <c r="S68" s="13" t="str">
        <f aca="false">IF($T68,K68*M68/60,"")</f>
        <v/>
      </c>
      <c r="T68" s="15" t="b">
        <f aca="false">IF($C68="",FALSE(),AND(SUMPRODUCT(--(Setup!$A$5:$A$24=$C68))&gt;0,ISNUMBER(A68),ISNUMBER(K68),N(K68)&gt;0,ISNUMBER(D68),N(D68)&gt;0,ISNUMBER(G68),N(G68)&gt;=0,OR(E68="",ISNUMBER(E68)),OR(F68="",ISNUMBER(F68)),OR(H68="",ISNUMBER(H68)),N(E68)&gt;=0,N(F68)&gt;=0,N(H68)&gt;=0,N(H68)&lt;=N(G68),N(E68)&lt;N(D68),N(F68)&lt;=N(D68)-N(E68)))</f>
        <v>0</v>
      </c>
    </row>
    <row r="69" customFormat="false" ht="15" hidden="false" customHeight="false" outlineLevel="0" collapsed="false">
      <c r="A69" s="11"/>
      <c r="B69" s="8"/>
      <c r="C69" s="8"/>
      <c r="D69" s="8"/>
      <c r="E69" s="8"/>
      <c r="F69" s="8"/>
      <c r="G69" s="8"/>
      <c r="H69" s="8"/>
      <c r="I69" s="12" t="str">
        <f aca="false">IF($T69,D69-N(E69),"")</f>
        <v/>
      </c>
      <c r="J69" s="12" t="str">
        <f aca="false">IF($T69,I69-N(F69),"")</f>
        <v/>
      </c>
      <c r="K69" s="13" t="str">
        <f aca="false">IF($C69="","",IF(SUMPRODUCT(--(Setup!$A$5:$A$24=$C69))&gt;0,INDEX(Setup!$B$5:$B$24,21-SUMPRODUCT(MAX((Setup!$A$5:$A$24=$C69)*(25-ROW(Setup!$A$5:$A$24))))),""))</f>
        <v/>
      </c>
      <c r="L69" s="13" t="str">
        <f aca="false">IF($T69,K69*G69/60,"")</f>
        <v/>
      </c>
      <c r="M69" s="12" t="str">
        <f aca="false">IF($T69,G69-N(H69),"")</f>
        <v/>
      </c>
      <c r="N69" s="14" t="str">
        <f aca="false">IF($T69,J69/I69,"")</f>
        <v/>
      </c>
      <c r="O69" s="14" t="str">
        <f aca="false">IF(AND($T69,N(J69)&gt;0),L69/J69,"")</f>
        <v/>
      </c>
      <c r="P69" s="14" t="str">
        <f aca="false">IF(AND($T69,N(G69)&gt;0),M69/G69,"")</f>
        <v/>
      </c>
      <c r="Q69" s="14" t="str">
        <f aca="false">IF($T69,S69/I69,"")</f>
        <v/>
      </c>
      <c r="R69" s="10" t="str">
        <f aca="false">IF($C69="","",IF(NOT(SUMPRODUCT(--(Setup!$A$5:$A$24=$C69))&gt;0),"Machine not in Setup",IF(OR(NOT(ISNUMBER(K69)),N(K69)&lt;=0),"Set an ideal cycle time in Setup",IF(NOT(ISNUMBER(A69)),"Enter a date",IF(OR(NOT(ISNUMBER(D69)),NOT(ISNUMBER(G69)),AND(E69&lt;&gt;"",NOT(ISNUMBER(E69))),AND(F69&lt;&gt;"",NOT(ISNUMBER(F69))),AND(H69&lt;&gt;"",NOT(ISNUMBER(H69)))),"Enter numbers: shift length and total parts are required",IF(OR(N(D69)&lt;=0,N(E69)&lt;0,N(F69)&lt;0,N(G69)&lt;0,N(H69)&lt;0),"Values must be 0 or more (shift length above 0)",IF(N(H69)&gt;N(G69),"Rejects &gt; total parts",IF(N(E69)&gt;=N(D69),"Planned stops &gt;= shift length",IF(N(F69)&gt;N(D69)-N(E69),"Downtime &gt; planned time",IF(AND(ISNUMBER(O69),O69&gt;1),"Check: performance above 100%","OK"))))))))))</f>
        <v/>
      </c>
      <c r="S69" s="13" t="str">
        <f aca="false">IF($T69,K69*M69/60,"")</f>
        <v/>
      </c>
      <c r="T69" s="15" t="b">
        <f aca="false">IF($C69="",FALSE(),AND(SUMPRODUCT(--(Setup!$A$5:$A$24=$C69))&gt;0,ISNUMBER(A69),ISNUMBER(K69),N(K69)&gt;0,ISNUMBER(D69),N(D69)&gt;0,ISNUMBER(G69),N(G69)&gt;=0,OR(E69="",ISNUMBER(E69)),OR(F69="",ISNUMBER(F69)),OR(H69="",ISNUMBER(H69)),N(E69)&gt;=0,N(F69)&gt;=0,N(H69)&gt;=0,N(H69)&lt;=N(G69),N(E69)&lt;N(D69),N(F69)&lt;=N(D69)-N(E69)))</f>
        <v>0</v>
      </c>
    </row>
    <row r="70" customFormat="false" ht="15" hidden="false" customHeight="false" outlineLevel="0" collapsed="false">
      <c r="A70" s="11"/>
      <c r="B70" s="8"/>
      <c r="C70" s="8"/>
      <c r="D70" s="8"/>
      <c r="E70" s="8"/>
      <c r="F70" s="8"/>
      <c r="G70" s="8"/>
      <c r="H70" s="8"/>
      <c r="I70" s="12" t="str">
        <f aca="false">IF($T70,D70-N(E70),"")</f>
        <v/>
      </c>
      <c r="J70" s="12" t="str">
        <f aca="false">IF($T70,I70-N(F70),"")</f>
        <v/>
      </c>
      <c r="K70" s="13" t="str">
        <f aca="false">IF($C70="","",IF(SUMPRODUCT(--(Setup!$A$5:$A$24=$C70))&gt;0,INDEX(Setup!$B$5:$B$24,21-SUMPRODUCT(MAX((Setup!$A$5:$A$24=$C70)*(25-ROW(Setup!$A$5:$A$24))))),""))</f>
        <v/>
      </c>
      <c r="L70" s="13" t="str">
        <f aca="false">IF($T70,K70*G70/60,"")</f>
        <v/>
      </c>
      <c r="M70" s="12" t="str">
        <f aca="false">IF($T70,G70-N(H70),"")</f>
        <v/>
      </c>
      <c r="N70" s="14" t="str">
        <f aca="false">IF($T70,J70/I70,"")</f>
        <v/>
      </c>
      <c r="O70" s="14" t="str">
        <f aca="false">IF(AND($T70,N(J70)&gt;0),L70/J70,"")</f>
        <v/>
      </c>
      <c r="P70" s="14" t="str">
        <f aca="false">IF(AND($T70,N(G70)&gt;0),M70/G70,"")</f>
        <v/>
      </c>
      <c r="Q70" s="14" t="str">
        <f aca="false">IF($T70,S70/I70,"")</f>
        <v/>
      </c>
      <c r="R70" s="10" t="str">
        <f aca="false">IF($C70="","",IF(NOT(SUMPRODUCT(--(Setup!$A$5:$A$24=$C70))&gt;0),"Machine not in Setup",IF(OR(NOT(ISNUMBER(K70)),N(K70)&lt;=0),"Set an ideal cycle time in Setup",IF(NOT(ISNUMBER(A70)),"Enter a date",IF(OR(NOT(ISNUMBER(D70)),NOT(ISNUMBER(G70)),AND(E70&lt;&gt;"",NOT(ISNUMBER(E70))),AND(F70&lt;&gt;"",NOT(ISNUMBER(F70))),AND(H70&lt;&gt;"",NOT(ISNUMBER(H70)))),"Enter numbers: shift length and total parts are required",IF(OR(N(D70)&lt;=0,N(E70)&lt;0,N(F70)&lt;0,N(G70)&lt;0,N(H70)&lt;0),"Values must be 0 or more (shift length above 0)",IF(N(H70)&gt;N(G70),"Rejects &gt; total parts",IF(N(E70)&gt;=N(D70),"Planned stops &gt;= shift length",IF(N(F70)&gt;N(D70)-N(E70),"Downtime &gt; planned time",IF(AND(ISNUMBER(O70),O70&gt;1),"Check: performance above 100%","OK"))))))))))</f>
        <v/>
      </c>
      <c r="S70" s="13" t="str">
        <f aca="false">IF($T70,K70*M70/60,"")</f>
        <v/>
      </c>
      <c r="T70" s="15" t="b">
        <f aca="false">IF($C70="",FALSE(),AND(SUMPRODUCT(--(Setup!$A$5:$A$24=$C70))&gt;0,ISNUMBER(A70),ISNUMBER(K70),N(K70)&gt;0,ISNUMBER(D70),N(D70)&gt;0,ISNUMBER(G70),N(G70)&gt;=0,OR(E70="",ISNUMBER(E70)),OR(F70="",ISNUMBER(F70)),OR(H70="",ISNUMBER(H70)),N(E70)&gt;=0,N(F70)&gt;=0,N(H70)&gt;=0,N(H70)&lt;=N(G70),N(E70)&lt;N(D70),N(F70)&lt;=N(D70)-N(E70)))</f>
        <v>0</v>
      </c>
    </row>
    <row r="71" customFormat="false" ht="15" hidden="false" customHeight="false" outlineLevel="0" collapsed="false">
      <c r="A71" s="11"/>
      <c r="B71" s="8"/>
      <c r="C71" s="8"/>
      <c r="D71" s="8"/>
      <c r="E71" s="8"/>
      <c r="F71" s="8"/>
      <c r="G71" s="8"/>
      <c r="H71" s="8"/>
      <c r="I71" s="12" t="str">
        <f aca="false">IF($T71,D71-N(E71),"")</f>
        <v/>
      </c>
      <c r="J71" s="12" t="str">
        <f aca="false">IF($T71,I71-N(F71),"")</f>
        <v/>
      </c>
      <c r="K71" s="13" t="str">
        <f aca="false">IF($C71="","",IF(SUMPRODUCT(--(Setup!$A$5:$A$24=$C71))&gt;0,INDEX(Setup!$B$5:$B$24,21-SUMPRODUCT(MAX((Setup!$A$5:$A$24=$C71)*(25-ROW(Setup!$A$5:$A$24))))),""))</f>
        <v/>
      </c>
      <c r="L71" s="13" t="str">
        <f aca="false">IF($T71,K71*G71/60,"")</f>
        <v/>
      </c>
      <c r="M71" s="12" t="str">
        <f aca="false">IF($T71,G71-N(H71),"")</f>
        <v/>
      </c>
      <c r="N71" s="14" t="str">
        <f aca="false">IF($T71,J71/I71,"")</f>
        <v/>
      </c>
      <c r="O71" s="14" t="str">
        <f aca="false">IF(AND($T71,N(J71)&gt;0),L71/J71,"")</f>
        <v/>
      </c>
      <c r="P71" s="14" t="str">
        <f aca="false">IF(AND($T71,N(G71)&gt;0),M71/G71,"")</f>
        <v/>
      </c>
      <c r="Q71" s="14" t="str">
        <f aca="false">IF($T71,S71/I71,"")</f>
        <v/>
      </c>
      <c r="R71" s="10" t="str">
        <f aca="false">IF($C71="","",IF(NOT(SUMPRODUCT(--(Setup!$A$5:$A$24=$C71))&gt;0),"Machine not in Setup",IF(OR(NOT(ISNUMBER(K71)),N(K71)&lt;=0),"Set an ideal cycle time in Setup",IF(NOT(ISNUMBER(A71)),"Enter a date",IF(OR(NOT(ISNUMBER(D71)),NOT(ISNUMBER(G71)),AND(E71&lt;&gt;"",NOT(ISNUMBER(E71))),AND(F71&lt;&gt;"",NOT(ISNUMBER(F71))),AND(H71&lt;&gt;"",NOT(ISNUMBER(H71)))),"Enter numbers: shift length and total parts are required",IF(OR(N(D71)&lt;=0,N(E71)&lt;0,N(F71)&lt;0,N(G71)&lt;0,N(H71)&lt;0),"Values must be 0 or more (shift length above 0)",IF(N(H71)&gt;N(G71),"Rejects &gt; total parts",IF(N(E71)&gt;=N(D71),"Planned stops &gt;= shift length",IF(N(F71)&gt;N(D71)-N(E71),"Downtime &gt; planned time",IF(AND(ISNUMBER(O71),O71&gt;1),"Check: performance above 100%","OK"))))))))))</f>
        <v/>
      </c>
      <c r="S71" s="13" t="str">
        <f aca="false">IF($T71,K71*M71/60,"")</f>
        <v/>
      </c>
      <c r="T71" s="15" t="b">
        <f aca="false">IF($C71="",FALSE(),AND(SUMPRODUCT(--(Setup!$A$5:$A$24=$C71))&gt;0,ISNUMBER(A71),ISNUMBER(K71),N(K71)&gt;0,ISNUMBER(D71),N(D71)&gt;0,ISNUMBER(G71),N(G71)&gt;=0,OR(E71="",ISNUMBER(E71)),OR(F71="",ISNUMBER(F71)),OR(H71="",ISNUMBER(H71)),N(E71)&gt;=0,N(F71)&gt;=0,N(H71)&gt;=0,N(H71)&lt;=N(G71),N(E71)&lt;N(D71),N(F71)&lt;=N(D71)-N(E71)))</f>
        <v>0</v>
      </c>
    </row>
    <row r="72" customFormat="false" ht="15" hidden="false" customHeight="false" outlineLevel="0" collapsed="false">
      <c r="A72" s="11"/>
      <c r="B72" s="8"/>
      <c r="C72" s="8"/>
      <c r="D72" s="8"/>
      <c r="E72" s="8"/>
      <c r="F72" s="8"/>
      <c r="G72" s="8"/>
      <c r="H72" s="8"/>
      <c r="I72" s="12" t="str">
        <f aca="false">IF($T72,D72-N(E72),"")</f>
        <v/>
      </c>
      <c r="J72" s="12" t="str">
        <f aca="false">IF($T72,I72-N(F72),"")</f>
        <v/>
      </c>
      <c r="K72" s="13" t="str">
        <f aca="false">IF($C72="","",IF(SUMPRODUCT(--(Setup!$A$5:$A$24=$C72))&gt;0,INDEX(Setup!$B$5:$B$24,21-SUMPRODUCT(MAX((Setup!$A$5:$A$24=$C72)*(25-ROW(Setup!$A$5:$A$24))))),""))</f>
        <v/>
      </c>
      <c r="L72" s="13" t="str">
        <f aca="false">IF($T72,K72*G72/60,"")</f>
        <v/>
      </c>
      <c r="M72" s="12" t="str">
        <f aca="false">IF($T72,G72-N(H72),"")</f>
        <v/>
      </c>
      <c r="N72" s="14" t="str">
        <f aca="false">IF($T72,J72/I72,"")</f>
        <v/>
      </c>
      <c r="O72" s="14" t="str">
        <f aca="false">IF(AND($T72,N(J72)&gt;0),L72/J72,"")</f>
        <v/>
      </c>
      <c r="P72" s="14" t="str">
        <f aca="false">IF(AND($T72,N(G72)&gt;0),M72/G72,"")</f>
        <v/>
      </c>
      <c r="Q72" s="14" t="str">
        <f aca="false">IF($T72,S72/I72,"")</f>
        <v/>
      </c>
      <c r="R72" s="10" t="str">
        <f aca="false">IF($C72="","",IF(NOT(SUMPRODUCT(--(Setup!$A$5:$A$24=$C72))&gt;0),"Machine not in Setup",IF(OR(NOT(ISNUMBER(K72)),N(K72)&lt;=0),"Set an ideal cycle time in Setup",IF(NOT(ISNUMBER(A72)),"Enter a date",IF(OR(NOT(ISNUMBER(D72)),NOT(ISNUMBER(G72)),AND(E72&lt;&gt;"",NOT(ISNUMBER(E72))),AND(F72&lt;&gt;"",NOT(ISNUMBER(F72))),AND(H72&lt;&gt;"",NOT(ISNUMBER(H72)))),"Enter numbers: shift length and total parts are required",IF(OR(N(D72)&lt;=0,N(E72)&lt;0,N(F72)&lt;0,N(G72)&lt;0,N(H72)&lt;0),"Values must be 0 or more (shift length above 0)",IF(N(H72)&gt;N(G72),"Rejects &gt; total parts",IF(N(E72)&gt;=N(D72),"Planned stops &gt;= shift length",IF(N(F72)&gt;N(D72)-N(E72),"Downtime &gt; planned time",IF(AND(ISNUMBER(O72),O72&gt;1),"Check: performance above 100%","OK"))))))))))</f>
        <v/>
      </c>
      <c r="S72" s="13" t="str">
        <f aca="false">IF($T72,K72*M72/60,"")</f>
        <v/>
      </c>
      <c r="T72" s="15" t="b">
        <f aca="false">IF($C72="",FALSE(),AND(SUMPRODUCT(--(Setup!$A$5:$A$24=$C72))&gt;0,ISNUMBER(A72),ISNUMBER(K72),N(K72)&gt;0,ISNUMBER(D72),N(D72)&gt;0,ISNUMBER(G72),N(G72)&gt;=0,OR(E72="",ISNUMBER(E72)),OR(F72="",ISNUMBER(F72)),OR(H72="",ISNUMBER(H72)),N(E72)&gt;=0,N(F72)&gt;=0,N(H72)&gt;=0,N(H72)&lt;=N(G72),N(E72)&lt;N(D72),N(F72)&lt;=N(D72)-N(E72)))</f>
        <v>0</v>
      </c>
    </row>
    <row r="73" customFormat="false" ht="15" hidden="false" customHeight="false" outlineLevel="0" collapsed="false">
      <c r="A73" s="11"/>
      <c r="B73" s="8"/>
      <c r="C73" s="8"/>
      <c r="D73" s="8"/>
      <c r="E73" s="8"/>
      <c r="F73" s="8"/>
      <c r="G73" s="8"/>
      <c r="H73" s="8"/>
      <c r="I73" s="12" t="str">
        <f aca="false">IF($T73,D73-N(E73),"")</f>
        <v/>
      </c>
      <c r="J73" s="12" t="str">
        <f aca="false">IF($T73,I73-N(F73),"")</f>
        <v/>
      </c>
      <c r="K73" s="13" t="str">
        <f aca="false">IF($C73="","",IF(SUMPRODUCT(--(Setup!$A$5:$A$24=$C73))&gt;0,INDEX(Setup!$B$5:$B$24,21-SUMPRODUCT(MAX((Setup!$A$5:$A$24=$C73)*(25-ROW(Setup!$A$5:$A$24))))),""))</f>
        <v/>
      </c>
      <c r="L73" s="13" t="str">
        <f aca="false">IF($T73,K73*G73/60,"")</f>
        <v/>
      </c>
      <c r="M73" s="12" t="str">
        <f aca="false">IF($T73,G73-N(H73),"")</f>
        <v/>
      </c>
      <c r="N73" s="14" t="str">
        <f aca="false">IF($T73,J73/I73,"")</f>
        <v/>
      </c>
      <c r="O73" s="14" t="str">
        <f aca="false">IF(AND($T73,N(J73)&gt;0),L73/J73,"")</f>
        <v/>
      </c>
      <c r="P73" s="14" t="str">
        <f aca="false">IF(AND($T73,N(G73)&gt;0),M73/G73,"")</f>
        <v/>
      </c>
      <c r="Q73" s="14" t="str">
        <f aca="false">IF($T73,S73/I73,"")</f>
        <v/>
      </c>
      <c r="R73" s="10" t="str">
        <f aca="false">IF($C73="","",IF(NOT(SUMPRODUCT(--(Setup!$A$5:$A$24=$C73))&gt;0),"Machine not in Setup",IF(OR(NOT(ISNUMBER(K73)),N(K73)&lt;=0),"Set an ideal cycle time in Setup",IF(NOT(ISNUMBER(A73)),"Enter a date",IF(OR(NOT(ISNUMBER(D73)),NOT(ISNUMBER(G73)),AND(E73&lt;&gt;"",NOT(ISNUMBER(E73))),AND(F73&lt;&gt;"",NOT(ISNUMBER(F73))),AND(H73&lt;&gt;"",NOT(ISNUMBER(H73)))),"Enter numbers: shift length and total parts are required",IF(OR(N(D73)&lt;=0,N(E73)&lt;0,N(F73)&lt;0,N(G73)&lt;0,N(H73)&lt;0),"Values must be 0 or more (shift length above 0)",IF(N(H73)&gt;N(G73),"Rejects &gt; total parts",IF(N(E73)&gt;=N(D73),"Planned stops &gt;= shift length",IF(N(F73)&gt;N(D73)-N(E73),"Downtime &gt; planned time",IF(AND(ISNUMBER(O73),O73&gt;1),"Check: performance above 100%","OK"))))))))))</f>
        <v/>
      </c>
      <c r="S73" s="13" t="str">
        <f aca="false">IF($T73,K73*M73/60,"")</f>
        <v/>
      </c>
      <c r="T73" s="15" t="b">
        <f aca="false">IF($C73="",FALSE(),AND(SUMPRODUCT(--(Setup!$A$5:$A$24=$C73))&gt;0,ISNUMBER(A73),ISNUMBER(K73),N(K73)&gt;0,ISNUMBER(D73),N(D73)&gt;0,ISNUMBER(G73),N(G73)&gt;=0,OR(E73="",ISNUMBER(E73)),OR(F73="",ISNUMBER(F73)),OR(H73="",ISNUMBER(H73)),N(E73)&gt;=0,N(F73)&gt;=0,N(H73)&gt;=0,N(H73)&lt;=N(G73),N(E73)&lt;N(D73),N(F73)&lt;=N(D73)-N(E73)))</f>
        <v>0</v>
      </c>
    </row>
    <row r="74" customFormat="false" ht="15" hidden="false" customHeight="false" outlineLevel="0" collapsed="false">
      <c r="A74" s="11"/>
      <c r="B74" s="8"/>
      <c r="C74" s="8"/>
      <c r="D74" s="8"/>
      <c r="E74" s="8"/>
      <c r="F74" s="8"/>
      <c r="G74" s="8"/>
      <c r="H74" s="8"/>
      <c r="I74" s="12" t="str">
        <f aca="false">IF($T74,D74-N(E74),"")</f>
        <v/>
      </c>
      <c r="J74" s="12" t="str">
        <f aca="false">IF($T74,I74-N(F74),"")</f>
        <v/>
      </c>
      <c r="K74" s="13" t="str">
        <f aca="false">IF($C74="","",IF(SUMPRODUCT(--(Setup!$A$5:$A$24=$C74))&gt;0,INDEX(Setup!$B$5:$B$24,21-SUMPRODUCT(MAX((Setup!$A$5:$A$24=$C74)*(25-ROW(Setup!$A$5:$A$24))))),""))</f>
        <v/>
      </c>
      <c r="L74" s="13" t="str">
        <f aca="false">IF($T74,K74*G74/60,"")</f>
        <v/>
      </c>
      <c r="M74" s="12" t="str">
        <f aca="false">IF($T74,G74-N(H74),"")</f>
        <v/>
      </c>
      <c r="N74" s="14" t="str">
        <f aca="false">IF($T74,J74/I74,"")</f>
        <v/>
      </c>
      <c r="O74" s="14" t="str">
        <f aca="false">IF(AND($T74,N(J74)&gt;0),L74/J74,"")</f>
        <v/>
      </c>
      <c r="P74" s="14" t="str">
        <f aca="false">IF(AND($T74,N(G74)&gt;0),M74/G74,"")</f>
        <v/>
      </c>
      <c r="Q74" s="14" t="str">
        <f aca="false">IF($T74,S74/I74,"")</f>
        <v/>
      </c>
      <c r="R74" s="10" t="str">
        <f aca="false">IF($C74="","",IF(NOT(SUMPRODUCT(--(Setup!$A$5:$A$24=$C74))&gt;0),"Machine not in Setup",IF(OR(NOT(ISNUMBER(K74)),N(K74)&lt;=0),"Set an ideal cycle time in Setup",IF(NOT(ISNUMBER(A74)),"Enter a date",IF(OR(NOT(ISNUMBER(D74)),NOT(ISNUMBER(G74)),AND(E74&lt;&gt;"",NOT(ISNUMBER(E74))),AND(F74&lt;&gt;"",NOT(ISNUMBER(F74))),AND(H74&lt;&gt;"",NOT(ISNUMBER(H74)))),"Enter numbers: shift length and total parts are required",IF(OR(N(D74)&lt;=0,N(E74)&lt;0,N(F74)&lt;0,N(G74)&lt;0,N(H74)&lt;0),"Values must be 0 or more (shift length above 0)",IF(N(H74)&gt;N(G74),"Rejects &gt; total parts",IF(N(E74)&gt;=N(D74),"Planned stops &gt;= shift length",IF(N(F74)&gt;N(D74)-N(E74),"Downtime &gt; planned time",IF(AND(ISNUMBER(O74),O74&gt;1),"Check: performance above 100%","OK"))))))))))</f>
        <v/>
      </c>
      <c r="S74" s="13" t="str">
        <f aca="false">IF($T74,K74*M74/60,"")</f>
        <v/>
      </c>
      <c r="T74" s="15" t="b">
        <f aca="false">IF($C74="",FALSE(),AND(SUMPRODUCT(--(Setup!$A$5:$A$24=$C74))&gt;0,ISNUMBER(A74),ISNUMBER(K74),N(K74)&gt;0,ISNUMBER(D74),N(D74)&gt;0,ISNUMBER(G74),N(G74)&gt;=0,OR(E74="",ISNUMBER(E74)),OR(F74="",ISNUMBER(F74)),OR(H74="",ISNUMBER(H74)),N(E74)&gt;=0,N(F74)&gt;=0,N(H74)&gt;=0,N(H74)&lt;=N(G74),N(E74)&lt;N(D74),N(F74)&lt;=N(D74)-N(E74)))</f>
        <v>0</v>
      </c>
    </row>
    <row r="75" customFormat="false" ht="15" hidden="false" customHeight="false" outlineLevel="0" collapsed="false">
      <c r="A75" s="11"/>
      <c r="B75" s="8"/>
      <c r="C75" s="8"/>
      <c r="D75" s="8"/>
      <c r="E75" s="8"/>
      <c r="F75" s="8"/>
      <c r="G75" s="8"/>
      <c r="H75" s="8"/>
      <c r="I75" s="12" t="str">
        <f aca="false">IF($T75,D75-N(E75),"")</f>
        <v/>
      </c>
      <c r="J75" s="12" t="str">
        <f aca="false">IF($T75,I75-N(F75),"")</f>
        <v/>
      </c>
      <c r="K75" s="13" t="str">
        <f aca="false">IF($C75="","",IF(SUMPRODUCT(--(Setup!$A$5:$A$24=$C75))&gt;0,INDEX(Setup!$B$5:$B$24,21-SUMPRODUCT(MAX((Setup!$A$5:$A$24=$C75)*(25-ROW(Setup!$A$5:$A$24))))),""))</f>
        <v/>
      </c>
      <c r="L75" s="13" t="str">
        <f aca="false">IF($T75,K75*G75/60,"")</f>
        <v/>
      </c>
      <c r="M75" s="12" t="str">
        <f aca="false">IF($T75,G75-N(H75),"")</f>
        <v/>
      </c>
      <c r="N75" s="14" t="str">
        <f aca="false">IF($T75,J75/I75,"")</f>
        <v/>
      </c>
      <c r="O75" s="14" t="str">
        <f aca="false">IF(AND($T75,N(J75)&gt;0),L75/J75,"")</f>
        <v/>
      </c>
      <c r="P75" s="14" t="str">
        <f aca="false">IF(AND($T75,N(G75)&gt;0),M75/G75,"")</f>
        <v/>
      </c>
      <c r="Q75" s="14" t="str">
        <f aca="false">IF($T75,S75/I75,"")</f>
        <v/>
      </c>
      <c r="R75" s="10" t="str">
        <f aca="false">IF($C75="","",IF(NOT(SUMPRODUCT(--(Setup!$A$5:$A$24=$C75))&gt;0),"Machine not in Setup",IF(OR(NOT(ISNUMBER(K75)),N(K75)&lt;=0),"Set an ideal cycle time in Setup",IF(NOT(ISNUMBER(A75)),"Enter a date",IF(OR(NOT(ISNUMBER(D75)),NOT(ISNUMBER(G75)),AND(E75&lt;&gt;"",NOT(ISNUMBER(E75))),AND(F75&lt;&gt;"",NOT(ISNUMBER(F75))),AND(H75&lt;&gt;"",NOT(ISNUMBER(H75)))),"Enter numbers: shift length and total parts are required",IF(OR(N(D75)&lt;=0,N(E75)&lt;0,N(F75)&lt;0,N(G75)&lt;0,N(H75)&lt;0),"Values must be 0 or more (shift length above 0)",IF(N(H75)&gt;N(G75),"Rejects &gt; total parts",IF(N(E75)&gt;=N(D75),"Planned stops &gt;= shift length",IF(N(F75)&gt;N(D75)-N(E75),"Downtime &gt; planned time",IF(AND(ISNUMBER(O75),O75&gt;1),"Check: performance above 100%","OK"))))))))))</f>
        <v/>
      </c>
      <c r="S75" s="13" t="str">
        <f aca="false">IF($T75,K75*M75/60,"")</f>
        <v/>
      </c>
      <c r="T75" s="15" t="b">
        <f aca="false">IF($C75="",FALSE(),AND(SUMPRODUCT(--(Setup!$A$5:$A$24=$C75))&gt;0,ISNUMBER(A75),ISNUMBER(K75),N(K75)&gt;0,ISNUMBER(D75),N(D75)&gt;0,ISNUMBER(G75),N(G75)&gt;=0,OR(E75="",ISNUMBER(E75)),OR(F75="",ISNUMBER(F75)),OR(H75="",ISNUMBER(H75)),N(E75)&gt;=0,N(F75)&gt;=0,N(H75)&gt;=0,N(H75)&lt;=N(G75),N(E75)&lt;N(D75),N(F75)&lt;=N(D75)-N(E75)))</f>
        <v>0</v>
      </c>
    </row>
    <row r="76" customFormat="false" ht="15" hidden="false" customHeight="false" outlineLevel="0" collapsed="false">
      <c r="A76" s="11"/>
      <c r="B76" s="8"/>
      <c r="C76" s="8"/>
      <c r="D76" s="8"/>
      <c r="E76" s="8"/>
      <c r="F76" s="8"/>
      <c r="G76" s="8"/>
      <c r="H76" s="8"/>
      <c r="I76" s="12" t="str">
        <f aca="false">IF($T76,D76-N(E76),"")</f>
        <v/>
      </c>
      <c r="J76" s="12" t="str">
        <f aca="false">IF($T76,I76-N(F76),"")</f>
        <v/>
      </c>
      <c r="K76" s="13" t="str">
        <f aca="false">IF($C76="","",IF(SUMPRODUCT(--(Setup!$A$5:$A$24=$C76))&gt;0,INDEX(Setup!$B$5:$B$24,21-SUMPRODUCT(MAX((Setup!$A$5:$A$24=$C76)*(25-ROW(Setup!$A$5:$A$24))))),""))</f>
        <v/>
      </c>
      <c r="L76" s="13" t="str">
        <f aca="false">IF($T76,K76*G76/60,"")</f>
        <v/>
      </c>
      <c r="M76" s="12" t="str">
        <f aca="false">IF($T76,G76-N(H76),"")</f>
        <v/>
      </c>
      <c r="N76" s="14" t="str">
        <f aca="false">IF($T76,J76/I76,"")</f>
        <v/>
      </c>
      <c r="O76" s="14" t="str">
        <f aca="false">IF(AND($T76,N(J76)&gt;0),L76/J76,"")</f>
        <v/>
      </c>
      <c r="P76" s="14" t="str">
        <f aca="false">IF(AND($T76,N(G76)&gt;0),M76/G76,"")</f>
        <v/>
      </c>
      <c r="Q76" s="14" t="str">
        <f aca="false">IF($T76,S76/I76,"")</f>
        <v/>
      </c>
      <c r="R76" s="10" t="str">
        <f aca="false">IF($C76="","",IF(NOT(SUMPRODUCT(--(Setup!$A$5:$A$24=$C76))&gt;0),"Machine not in Setup",IF(OR(NOT(ISNUMBER(K76)),N(K76)&lt;=0),"Set an ideal cycle time in Setup",IF(NOT(ISNUMBER(A76)),"Enter a date",IF(OR(NOT(ISNUMBER(D76)),NOT(ISNUMBER(G76)),AND(E76&lt;&gt;"",NOT(ISNUMBER(E76))),AND(F76&lt;&gt;"",NOT(ISNUMBER(F76))),AND(H76&lt;&gt;"",NOT(ISNUMBER(H76)))),"Enter numbers: shift length and total parts are required",IF(OR(N(D76)&lt;=0,N(E76)&lt;0,N(F76)&lt;0,N(G76)&lt;0,N(H76)&lt;0),"Values must be 0 or more (shift length above 0)",IF(N(H76)&gt;N(G76),"Rejects &gt; total parts",IF(N(E76)&gt;=N(D76),"Planned stops &gt;= shift length",IF(N(F76)&gt;N(D76)-N(E76),"Downtime &gt; planned time",IF(AND(ISNUMBER(O76),O76&gt;1),"Check: performance above 100%","OK"))))))))))</f>
        <v/>
      </c>
      <c r="S76" s="13" t="str">
        <f aca="false">IF($T76,K76*M76/60,"")</f>
        <v/>
      </c>
      <c r="T76" s="15" t="b">
        <f aca="false">IF($C76="",FALSE(),AND(SUMPRODUCT(--(Setup!$A$5:$A$24=$C76))&gt;0,ISNUMBER(A76),ISNUMBER(K76),N(K76)&gt;0,ISNUMBER(D76),N(D76)&gt;0,ISNUMBER(G76),N(G76)&gt;=0,OR(E76="",ISNUMBER(E76)),OR(F76="",ISNUMBER(F76)),OR(H76="",ISNUMBER(H76)),N(E76)&gt;=0,N(F76)&gt;=0,N(H76)&gt;=0,N(H76)&lt;=N(G76),N(E76)&lt;N(D76),N(F76)&lt;=N(D76)-N(E76)))</f>
        <v>0</v>
      </c>
    </row>
    <row r="77" customFormat="false" ht="15" hidden="false" customHeight="false" outlineLevel="0" collapsed="false">
      <c r="A77" s="11"/>
      <c r="B77" s="8"/>
      <c r="C77" s="8"/>
      <c r="D77" s="8"/>
      <c r="E77" s="8"/>
      <c r="F77" s="8"/>
      <c r="G77" s="8"/>
      <c r="H77" s="8"/>
      <c r="I77" s="12" t="str">
        <f aca="false">IF($T77,D77-N(E77),"")</f>
        <v/>
      </c>
      <c r="J77" s="12" t="str">
        <f aca="false">IF($T77,I77-N(F77),"")</f>
        <v/>
      </c>
      <c r="K77" s="13" t="str">
        <f aca="false">IF($C77="","",IF(SUMPRODUCT(--(Setup!$A$5:$A$24=$C77))&gt;0,INDEX(Setup!$B$5:$B$24,21-SUMPRODUCT(MAX((Setup!$A$5:$A$24=$C77)*(25-ROW(Setup!$A$5:$A$24))))),""))</f>
        <v/>
      </c>
      <c r="L77" s="13" t="str">
        <f aca="false">IF($T77,K77*G77/60,"")</f>
        <v/>
      </c>
      <c r="M77" s="12" t="str">
        <f aca="false">IF($T77,G77-N(H77),"")</f>
        <v/>
      </c>
      <c r="N77" s="14" t="str">
        <f aca="false">IF($T77,J77/I77,"")</f>
        <v/>
      </c>
      <c r="O77" s="14" t="str">
        <f aca="false">IF(AND($T77,N(J77)&gt;0),L77/J77,"")</f>
        <v/>
      </c>
      <c r="P77" s="14" t="str">
        <f aca="false">IF(AND($T77,N(G77)&gt;0),M77/G77,"")</f>
        <v/>
      </c>
      <c r="Q77" s="14" t="str">
        <f aca="false">IF($T77,S77/I77,"")</f>
        <v/>
      </c>
      <c r="R77" s="10" t="str">
        <f aca="false">IF($C77="","",IF(NOT(SUMPRODUCT(--(Setup!$A$5:$A$24=$C77))&gt;0),"Machine not in Setup",IF(OR(NOT(ISNUMBER(K77)),N(K77)&lt;=0),"Set an ideal cycle time in Setup",IF(NOT(ISNUMBER(A77)),"Enter a date",IF(OR(NOT(ISNUMBER(D77)),NOT(ISNUMBER(G77)),AND(E77&lt;&gt;"",NOT(ISNUMBER(E77))),AND(F77&lt;&gt;"",NOT(ISNUMBER(F77))),AND(H77&lt;&gt;"",NOT(ISNUMBER(H77)))),"Enter numbers: shift length and total parts are required",IF(OR(N(D77)&lt;=0,N(E77)&lt;0,N(F77)&lt;0,N(G77)&lt;0,N(H77)&lt;0),"Values must be 0 or more (shift length above 0)",IF(N(H77)&gt;N(G77),"Rejects &gt; total parts",IF(N(E77)&gt;=N(D77),"Planned stops &gt;= shift length",IF(N(F77)&gt;N(D77)-N(E77),"Downtime &gt; planned time",IF(AND(ISNUMBER(O77),O77&gt;1),"Check: performance above 100%","OK"))))))))))</f>
        <v/>
      </c>
      <c r="S77" s="13" t="str">
        <f aca="false">IF($T77,K77*M77/60,"")</f>
        <v/>
      </c>
      <c r="T77" s="15" t="b">
        <f aca="false">IF($C77="",FALSE(),AND(SUMPRODUCT(--(Setup!$A$5:$A$24=$C77))&gt;0,ISNUMBER(A77),ISNUMBER(K77),N(K77)&gt;0,ISNUMBER(D77),N(D77)&gt;0,ISNUMBER(G77),N(G77)&gt;=0,OR(E77="",ISNUMBER(E77)),OR(F77="",ISNUMBER(F77)),OR(H77="",ISNUMBER(H77)),N(E77)&gt;=0,N(F77)&gt;=0,N(H77)&gt;=0,N(H77)&lt;=N(G77),N(E77)&lt;N(D77),N(F77)&lt;=N(D77)-N(E77)))</f>
        <v>0</v>
      </c>
    </row>
    <row r="78" customFormat="false" ht="15" hidden="false" customHeight="false" outlineLevel="0" collapsed="false">
      <c r="A78" s="11"/>
      <c r="B78" s="8"/>
      <c r="C78" s="8"/>
      <c r="D78" s="8"/>
      <c r="E78" s="8"/>
      <c r="F78" s="8"/>
      <c r="G78" s="8"/>
      <c r="H78" s="8"/>
      <c r="I78" s="12" t="str">
        <f aca="false">IF($T78,D78-N(E78),"")</f>
        <v/>
      </c>
      <c r="J78" s="12" t="str">
        <f aca="false">IF($T78,I78-N(F78),"")</f>
        <v/>
      </c>
      <c r="K78" s="13" t="str">
        <f aca="false">IF($C78="","",IF(SUMPRODUCT(--(Setup!$A$5:$A$24=$C78))&gt;0,INDEX(Setup!$B$5:$B$24,21-SUMPRODUCT(MAX((Setup!$A$5:$A$24=$C78)*(25-ROW(Setup!$A$5:$A$24))))),""))</f>
        <v/>
      </c>
      <c r="L78" s="13" t="str">
        <f aca="false">IF($T78,K78*G78/60,"")</f>
        <v/>
      </c>
      <c r="M78" s="12" t="str">
        <f aca="false">IF($T78,G78-N(H78),"")</f>
        <v/>
      </c>
      <c r="N78" s="14" t="str">
        <f aca="false">IF($T78,J78/I78,"")</f>
        <v/>
      </c>
      <c r="O78" s="14" t="str">
        <f aca="false">IF(AND($T78,N(J78)&gt;0),L78/J78,"")</f>
        <v/>
      </c>
      <c r="P78" s="14" t="str">
        <f aca="false">IF(AND($T78,N(G78)&gt;0),M78/G78,"")</f>
        <v/>
      </c>
      <c r="Q78" s="14" t="str">
        <f aca="false">IF($T78,S78/I78,"")</f>
        <v/>
      </c>
      <c r="R78" s="10" t="str">
        <f aca="false">IF($C78="","",IF(NOT(SUMPRODUCT(--(Setup!$A$5:$A$24=$C78))&gt;0),"Machine not in Setup",IF(OR(NOT(ISNUMBER(K78)),N(K78)&lt;=0),"Set an ideal cycle time in Setup",IF(NOT(ISNUMBER(A78)),"Enter a date",IF(OR(NOT(ISNUMBER(D78)),NOT(ISNUMBER(G78)),AND(E78&lt;&gt;"",NOT(ISNUMBER(E78))),AND(F78&lt;&gt;"",NOT(ISNUMBER(F78))),AND(H78&lt;&gt;"",NOT(ISNUMBER(H78)))),"Enter numbers: shift length and total parts are required",IF(OR(N(D78)&lt;=0,N(E78)&lt;0,N(F78)&lt;0,N(G78)&lt;0,N(H78)&lt;0),"Values must be 0 or more (shift length above 0)",IF(N(H78)&gt;N(G78),"Rejects &gt; total parts",IF(N(E78)&gt;=N(D78),"Planned stops &gt;= shift length",IF(N(F78)&gt;N(D78)-N(E78),"Downtime &gt; planned time",IF(AND(ISNUMBER(O78),O78&gt;1),"Check: performance above 100%","OK"))))))))))</f>
        <v/>
      </c>
      <c r="S78" s="13" t="str">
        <f aca="false">IF($T78,K78*M78/60,"")</f>
        <v/>
      </c>
      <c r="T78" s="15" t="b">
        <f aca="false">IF($C78="",FALSE(),AND(SUMPRODUCT(--(Setup!$A$5:$A$24=$C78))&gt;0,ISNUMBER(A78),ISNUMBER(K78),N(K78)&gt;0,ISNUMBER(D78),N(D78)&gt;0,ISNUMBER(G78),N(G78)&gt;=0,OR(E78="",ISNUMBER(E78)),OR(F78="",ISNUMBER(F78)),OR(H78="",ISNUMBER(H78)),N(E78)&gt;=0,N(F78)&gt;=0,N(H78)&gt;=0,N(H78)&lt;=N(G78),N(E78)&lt;N(D78),N(F78)&lt;=N(D78)-N(E78)))</f>
        <v>0</v>
      </c>
    </row>
    <row r="79" customFormat="false" ht="15" hidden="false" customHeight="false" outlineLevel="0" collapsed="false">
      <c r="A79" s="11"/>
      <c r="B79" s="8"/>
      <c r="C79" s="8"/>
      <c r="D79" s="8"/>
      <c r="E79" s="8"/>
      <c r="F79" s="8"/>
      <c r="G79" s="8"/>
      <c r="H79" s="8"/>
      <c r="I79" s="12" t="str">
        <f aca="false">IF($T79,D79-N(E79),"")</f>
        <v/>
      </c>
      <c r="J79" s="12" t="str">
        <f aca="false">IF($T79,I79-N(F79),"")</f>
        <v/>
      </c>
      <c r="K79" s="13" t="str">
        <f aca="false">IF($C79="","",IF(SUMPRODUCT(--(Setup!$A$5:$A$24=$C79))&gt;0,INDEX(Setup!$B$5:$B$24,21-SUMPRODUCT(MAX((Setup!$A$5:$A$24=$C79)*(25-ROW(Setup!$A$5:$A$24))))),""))</f>
        <v/>
      </c>
      <c r="L79" s="13" t="str">
        <f aca="false">IF($T79,K79*G79/60,"")</f>
        <v/>
      </c>
      <c r="M79" s="12" t="str">
        <f aca="false">IF($T79,G79-N(H79),"")</f>
        <v/>
      </c>
      <c r="N79" s="14" t="str">
        <f aca="false">IF($T79,J79/I79,"")</f>
        <v/>
      </c>
      <c r="O79" s="14" t="str">
        <f aca="false">IF(AND($T79,N(J79)&gt;0),L79/J79,"")</f>
        <v/>
      </c>
      <c r="P79" s="14" t="str">
        <f aca="false">IF(AND($T79,N(G79)&gt;0),M79/G79,"")</f>
        <v/>
      </c>
      <c r="Q79" s="14" t="str">
        <f aca="false">IF($T79,S79/I79,"")</f>
        <v/>
      </c>
      <c r="R79" s="10" t="str">
        <f aca="false">IF($C79="","",IF(NOT(SUMPRODUCT(--(Setup!$A$5:$A$24=$C79))&gt;0),"Machine not in Setup",IF(OR(NOT(ISNUMBER(K79)),N(K79)&lt;=0),"Set an ideal cycle time in Setup",IF(NOT(ISNUMBER(A79)),"Enter a date",IF(OR(NOT(ISNUMBER(D79)),NOT(ISNUMBER(G79)),AND(E79&lt;&gt;"",NOT(ISNUMBER(E79))),AND(F79&lt;&gt;"",NOT(ISNUMBER(F79))),AND(H79&lt;&gt;"",NOT(ISNUMBER(H79)))),"Enter numbers: shift length and total parts are required",IF(OR(N(D79)&lt;=0,N(E79)&lt;0,N(F79)&lt;0,N(G79)&lt;0,N(H79)&lt;0),"Values must be 0 or more (shift length above 0)",IF(N(H79)&gt;N(G79),"Rejects &gt; total parts",IF(N(E79)&gt;=N(D79),"Planned stops &gt;= shift length",IF(N(F79)&gt;N(D79)-N(E79),"Downtime &gt; planned time",IF(AND(ISNUMBER(O79),O79&gt;1),"Check: performance above 100%","OK"))))))))))</f>
        <v/>
      </c>
      <c r="S79" s="13" t="str">
        <f aca="false">IF($T79,K79*M79/60,"")</f>
        <v/>
      </c>
      <c r="T79" s="15" t="b">
        <f aca="false">IF($C79="",FALSE(),AND(SUMPRODUCT(--(Setup!$A$5:$A$24=$C79))&gt;0,ISNUMBER(A79),ISNUMBER(K79),N(K79)&gt;0,ISNUMBER(D79),N(D79)&gt;0,ISNUMBER(G79),N(G79)&gt;=0,OR(E79="",ISNUMBER(E79)),OR(F79="",ISNUMBER(F79)),OR(H79="",ISNUMBER(H79)),N(E79)&gt;=0,N(F79)&gt;=0,N(H79)&gt;=0,N(H79)&lt;=N(G79),N(E79)&lt;N(D79),N(F79)&lt;=N(D79)-N(E79)))</f>
        <v>0</v>
      </c>
    </row>
    <row r="80" customFormat="false" ht="15" hidden="false" customHeight="false" outlineLevel="0" collapsed="false">
      <c r="A80" s="11"/>
      <c r="B80" s="8"/>
      <c r="C80" s="8"/>
      <c r="D80" s="8"/>
      <c r="E80" s="8"/>
      <c r="F80" s="8"/>
      <c r="G80" s="8"/>
      <c r="H80" s="8"/>
      <c r="I80" s="12" t="str">
        <f aca="false">IF($T80,D80-N(E80),"")</f>
        <v/>
      </c>
      <c r="J80" s="12" t="str">
        <f aca="false">IF($T80,I80-N(F80),"")</f>
        <v/>
      </c>
      <c r="K80" s="13" t="str">
        <f aca="false">IF($C80="","",IF(SUMPRODUCT(--(Setup!$A$5:$A$24=$C80))&gt;0,INDEX(Setup!$B$5:$B$24,21-SUMPRODUCT(MAX((Setup!$A$5:$A$24=$C80)*(25-ROW(Setup!$A$5:$A$24))))),""))</f>
        <v/>
      </c>
      <c r="L80" s="13" t="str">
        <f aca="false">IF($T80,K80*G80/60,"")</f>
        <v/>
      </c>
      <c r="M80" s="12" t="str">
        <f aca="false">IF($T80,G80-N(H80),"")</f>
        <v/>
      </c>
      <c r="N80" s="14" t="str">
        <f aca="false">IF($T80,J80/I80,"")</f>
        <v/>
      </c>
      <c r="O80" s="14" t="str">
        <f aca="false">IF(AND($T80,N(J80)&gt;0),L80/J80,"")</f>
        <v/>
      </c>
      <c r="P80" s="14" t="str">
        <f aca="false">IF(AND($T80,N(G80)&gt;0),M80/G80,"")</f>
        <v/>
      </c>
      <c r="Q80" s="14" t="str">
        <f aca="false">IF($T80,S80/I80,"")</f>
        <v/>
      </c>
      <c r="R80" s="10" t="str">
        <f aca="false">IF($C80="","",IF(NOT(SUMPRODUCT(--(Setup!$A$5:$A$24=$C80))&gt;0),"Machine not in Setup",IF(OR(NOT(ISNUMBER(K80)),N(K80)&lt;=0),"Set an ideal cycle time in Setup",IF(NOT(ISNUMBER(A80)),"Enter a date",IF(OR(NOT(ISNUMBER(D80)),NOT(ISNUMBER(G80)),AND(E80&lt;&gt;"",NOT(ISNUMBER(E80))),AND(F80&lt;&gt;"",NOT(ISNUMBER(F80))),AND(H80&lt;&gt;"",NOT(ISNUMBER(H80)))),"Enter numbers: shift length and total parts are required",IF(OR(N(D80)&lt;=0,N(E80)&lt;0,N(F80)&lt;0,N(G80)&lt;0,N(H80)&lt;0),"Values must be 0 or more (shift length above 0)",IF(N(H80)&gt;N(G80),"Rejects &gt; total parts",IF(N(E80)&gt;=N(D80),"Planned stops &gt;= shift length",IF(N(F80)&gt;N(D80)-N(E80),"Downtime &gt; planned time",IF(AND(ISNUMBER(O80),O80&gt;1),"Check: performance above 100%","OK"))))))))))</f>
        <v/>
      </c>
      <c r="S80" s="13" t="str">
        <f aca="false">IF($T80,K80*M80/60,"")</f>
        <v/>
      </c>
      <c r="T80" s="15" t="b">
        <f aca="false">IF($C80="",FALSE(),AND(SUMPRODUCT(--(Setup!$A$5:$A$24=$C80))&gt;0,ISNUMBER(A80),ISNUMBER(K80),N(K80)&gt;0,ISNUMBER(D80),N(D80)&gt;0,ISNUMBER(G80),N(G80)&gt;=0,OR(E80="",ISNUMBER(E80)),OR(F80="",ISNUMBER(F80)),OR(H80="",ISNUMBER(H80)),N(E80)&gt;=0,N(F80)&gt;=0,N(H80)&gt;=0,N(H80)&lt;=N(G80),N(E80)&lt;N(D80),N(F80)&lt;=N(D80)-N(E80)))</f>
        <v>0</v>
      </c>
    </row>
    <row r="81" customFormat="false" ht="15" hidden="false" customHeight="false" outlineLevel="0" collapsed="false">
      <c r="A81" s="11"/>
      <c r="B81" s="8"/>
      <c r="C81" s="8"/>
      <c r="D81" s="8"/>
      <c r="E81" s="8"/>
      <c r="F81" s="8"/>
      <c r="G81" s="8"/>
      <c r="H81" s="8"/>
      <c r="I81" s="12" t="str">
        <f aca="false">IF($T81,D81-N(E81),"")</f>
        <v/>
      </c>
      <c r="J81" s="12" t="str">
        <f aca="false">IF($T81,I81-N(F81),"")</f>
        <v/>
      </c>
      <c r="K81" s="13" t="str">
        <f aca="false">IF($C81="","",IF(SUMPRODUCT(--(Setup!$A$5:$A$24=$C81))&gt;0,INDEX(Setup!$B$5:$B$24,21-SUMPRODUCT(MAX((Setup!$A$5:$A$24=$C81)*(25-ROW(Setup!$A$5:$A$24))))),""))</f>
        <v/>
      </c>
      <c r="L81" s="13" t="str">
        <f aca="false">IF($T81,K81*G81/60,"")</f>
        <v/>
      </c>
      <c r="M81" s="12" t="str">
        <f aca="false">IF($T81,G81-N(H81),"")</f>
        <v/>
      </c>
      <c r="N81" s="14" t="str">
        <f aca="false">IF($T81,J81/I81,"")</f>
        <v/>
      </c>
      <c r="O81" s="14" t="str">
        <f aca="false">IF(AND($T81,N(J81)&gt;0),L81/J81,"")</f>
        <v/>
      </c>
      <c r="P81" s="14" t="str">
        <f aca="false">IF(AND($T81,N(G81)&gt;0),M81/G81,"")</f>
        <v/>
      </c>
      <c r="Q81" s="14" t="str">
        <f aca="false">IF($T81,S81/I81,"")</f>
        <v/>
      </c>
      <c r="R81" s="10" t="str">
        <f aca="false">IF($C81="","",IF(NOT(SUMPRODUCT(--(Setup!$A$5:$A$24=$C81))&gt;0),"Machine not in Setup",IF(OR(NOT(ISNUMBER(K81)),N(K81)&lt;=0),"Set an ideal cycle time in Setup",IF(NOT(ISNUMBER(A81)),"Enter a date",IF(OR(NOT(ISNUMBER(D81)),NOT(ISNUMBER(G81)),AND(E81&lt;&gt;"",NOT(ISNUMBER(E81))),AND(F81&lt;&gt;"",NOT(ISNUMBER(F81))),AND(H81&lt;&gt;"",NOT(ISNUMBER(H81)))),"Enter numbers: shift length and total parts are required",IF(OR(N(D81)&lt;=0,N(E81)&lt;0,N(F81)&lt;0,N(G81)&lt;0,N(H81)&lt;0),"Values must be 0 or more (shift length above 0)",IF(N(H81)&gt;N(G81),"Rejects &gt; total parts",IF(N(E81)&gt;=N(D81),"Planned stops &gt;= shift length",IF(N(F81)&gt;N(D81)-N(E81),"Downtime &gt; planned time",IF(AND(ISNUMBER(O81),O81&gt;1),"Check: performance above 100%","OK"))))))))))</f>
        <v/>
      </c>
      <c r="S81" s="13" t="str">
        <f aca="false">IF($T81,K81*M81/60,"")</f>
        <v/>
      </c>
      <c r="T81" s="15" t="b">
        <f aca="false">IF($C81="",FALSE(),AND(SUMPRODUCT(--(Setup!$A$5:$A$24=$C81))&gt;0,ISNUMBER(A81),ISNUMBER(K81),N(K81)&gt;0,ISNUMBER(D81),N(D81)&gt;0,ISNUMBER(G81),N(G81)&gt;=0,OR(E81="",ISNUMBER(E81)),OR(F81="",ISNUMBER(F81)),OR(H81="",ISNUMBER(H81)),N(E81)&gt;=0,N(F81)&gt;=0,N(H81)&gt;=0,N(H81)&lt;=N(G81),N(E81)&lt;N(D81),N(F81)&lt;=N(D81)-N(E81)))</f>
        <v>0</v>
      </c>
    </row>
    <row r="82" customFormat="false" ht="15" hidden="false" customHeight="false" outlineLevel="0" collapsed="false">
      <c r="A82" s="11"/>
      <c r="B82" s="8"/>
      <c r="C82" s="8"/>
      <c r="D82" s="8"/>
      <c r="E82" s="8"/>
      <c r="F82" s="8"/>
      <c r="G82" s="8"/>
      <c r="H82" s="8"/>
      <c r="I82" s="12" t="str">
        <f aca="false">IF($T82,D82-N(E82),"")</f>
        <v/>
      </c>
      <c r="J82" s="12" t="str">
        <f aca="false">IF($T82,I82-N(F82),"")</f>
        <v/>
      </c>
      <c r="K82" s="13" t="str">
        <f aca="false">IF($C82="","",IF(SUMPRODUCT(--(Setup!$A$5:$A$24=$C82))&gt;0,INDEX(Setup!$B$5:$B$24,21-SUMPRODUCT(MAX((Setup!$A$5:$A$24=$C82)*(25-ROW(Setup!$A$5:$A$24))))),""))</f>
        <v/>
      </c>
      <c r="L82" s="13" t="str">
        <f aca="false">IF($T82,K82*G82/60,"")</f>
        <v/>
      </c>
      <c r="M82" s="12" t="str">
        <f aca="false">IF($T82,G82-N(H82),"")</f>
        <v/>
      </c>
      <c r="N82" s="14" t="str">
        <f aca="false">IF($T82,J82/I82,"")</f>
        <v/>
      </c>
      <c r="O82" s="14" t="str">
        <f aca="false">IF(AND($T82,N(J82)&gt;0),L82/J82,"")</f>
        <v/>
      </c>
      <c r="P82" s="14" t="str">
        <f aca="false">IF(AND($T82,N(G82)&gt;0),M82/G82,"")</f>
        <v/>
      </c>
      <c r="Q82" s="14" t="str">
        <f aca="false">IF($T82,S82/I82,"")</f>
        <v/>
      </c>
      <c r="R82" s="10" t="str">
        <f aca="false">IF($C82="","",IF(NOT(SUMPRODUCT(--(Setup!$A$5:$A$24=$C82))&gt;0),"Machine not in Setup",IF(OR(NOT(ISNUMBER(K82)),N(K82)&lt;=0),"Set an ideal cycle time in Setup",IF(NOT(ISNUMBER(A82)),"Enter a date",IF(OR(NOT(ISNUMBER(D82)),NOT(ISNUMBER(G82)),AND(E82&lt;&gt;"",NOT(ISNUMBER(E82))),AND(F82&lt;&gt;"",NOT(ISNUMBER(F82))),AND(H82&lt;&gt;"",NOT(ISNUMBER(H82)))),"Enter numbers: shift length and total parts are required",IF(OR(N(D82)&lt;=0,N(E82)&lt;0,N(F82)&lt;0,N(G82)&lt;0,N(H82)&lt;0),"Values must be 0 or more (shift length above 0)",IF(N(H82)&gt;N(G82),"Rejects &gt; total parts",IF(N(E82)&gt;=N(D82),"Planned stops &gt;= shift length",IF(N(F82)&gt;N(D82)-N(E82),"Downtime &gt; planned time",IF(AND(ISNUMBER(O82),O82&gt;1),"Check: performance above 100%","OK"))))))))))</f>
        <v/>
      </c>
      <c r="S82" s="13" t="str">
        <f aca="false">IF($T82,K82*M82/60,"")</f>
        <v/>
      </c>
      <c r="T82" s="15" t="b">
        <f aca="false">IF($C82="",FALSE(),AND(SUMPRODUCT(--(Setup!$A$5:$A$24=$C82))&gt;0,ISNUMBER(A82),ISNUMBER(K82),N(K82)&gt;0,ISNUMBER(D82),N(D82)&gt;0,ISNUMBER(G82),N(G82)&gt;=0,OR(E82="",ISNUMBER(E82)),OR(F82="",ISNUMBER(F82)),OR(H82="",ISNUMBER(H82)),N(E82)&gt;=0,N(F82)&gt;=0,N(H82)&gt;=0,N(H82)&lt;=N(G82),N(E82)&lt;N(D82),N(F82)&lt;=N(D82)-N(E82)))</f>
        <v>0</v>
      </c>
    </row>
    <row r="83" customFormat="false" ht="15" hidden="false" customHeight="false" outlineLevel="0" collapsed="false">
      <c r="A83" s="11"/>
      <c r="B83" s="8"/>
      <c r="C83" s="8"/>
      <c r="D83" s="8"/>
      <c r="E83" s="8"/>
      <c r="F83" s="8"/>
      <c r="G83" s="8"/>
      <c r="H83" s="8"/>
      <c r="I83" s="12" t="str">
        <f aca="false">IF($T83,D83-N(E83),"")</f>
        <v/>
      </c>
      <c r="J83" s="12" t="str">
        <f aca="false">IF($T83,I83-N(F83),"")</f>
        <v/>
      </c>
      <c r="K83" s="13" t="str">
        <f aca="false">IF($C83="","",IF(SUMPRODUCT(--(Setup!$A$5:$A$24=$C83))&gt;0,INDEX(Setup!$B$5:$B$24,21-SUMPRODUCT(MAX((Setup!$A$5:$A$24=$C83)*(25-ROW(Setup!$A$5:$A$24))))),""))</f>
        <v/>
      </c>
      <c r="L83" s="13" t="str">
        <f aca="false">IF($T83,K83*G83/60,"")</f>
        <v/>
      </c>
      <c r="M83" s="12" t="str">
        <f aca="false">IF($T83,G83-N(H83),"")</f>
        <v/>
      </c>
      <c r="N83" s="14" t="str">
        <f aca="false">IF($T83,J83/I83,"")</f>
        <v/>
      </c>
      <c r="O83" s="14" t="str">
        <f aca="false">IF(AND($T83,N(J83)&gt;0),L83/J83,"")</f>
        <v/>
      </c>
      <c r="P83" s="14" t="str">
        <f aca="false">IF(AND($T83,N(G83)&gt;0),M83/G83,"")</f>
        <v/>
      </c>
      <c r="Q83" s="14" t="str">
        <f aca="false">IF($T83,S83/I83,"")</f>
        <v/>
      </c>
      <c r="R83" s="10" t="str">
        <f aca="false">IF($C83="","",IF(NOT(SUMPRODUCT(--(Setup!$A$5:$A$24=$C83))&gt;0),"Machine not in Setup",IF(OR(NOT(ISNUMBER(K83)),N(K83)&lt;=0),"Set an ideal cycle time in Setup",IF(NOT(ISNUMBER(A83)),"Enter a date",IF(OR(NOT(ISNUMBER(D83)),NOT(ISNUMBER(G83)),AND(E83&lt;&gt;"",NOT(ISNUMBER(E83))),AND(F83&lt;&gt;"",NOT(ISNUMBER(F83))),AND(H83&lt;&gt;"",NOT(ISNUMBER(H83)))),"Enter numbers: shift length and total parts are required",IF(OR(N(D83)&lt;=0,N(E83)&lt;0,N(F83)&lt;0,N(G83)&lt;0,N(H83)&lt;0),"Values must be 0 or more (shift length above 0)",IF(N(H83)&gt;N(G83),"Rejects &gt; total parts",IF(N(E83)&gt;=N(D83),"Planned stops &gt;= shift length",IF(N(F83)&gt;N(D83)-N(E83),"Downtime &gt; planned time",IF(AND(ISNUMBER(O83),O83&gt;1),"Check: performance above 100%","OK"))))))))))</f>
        <v/>
      </c>
      <c r="S83" s="13" t="str">
        <f aca="false">IF($T83,K83*M83/60,"")</f>
        <v/>
      </c>
      <c r="T83" s="15" t="b">
        <f aca="false">IF($C83="",FALSE(),AND(SUMPRODUCT(--(Setup!$A$5:$A$24=$C83))&gt;0,ISNUMBER(A83),ISNUMBER(K83),N(K83)&gt;0,ISNUMBER(D83),N(D83)&gt;0,ISNUMBER(G83),N(G83)&gt;=0,OR(E83="",ISNUMBER(E83)),OR(F83="",ISNUMBER(F83)),OR(H83="",ISNUMBER(H83)),N(E83)&gt;=0,N(F83)&gt;=0,N(H83)&gt;=0,N(H83)&lt;=N(G83),N(E83)&lt;N(D83),N(F83)&lt;=N(D83)-N(E83)))</f>
        <v>0</v>
      </c>
    </row>
    <row r="84" customFormat="false" ht="15" hidden="false" customHeight="false" outlineLevel="0" collapsed="false">
      <c r="A84" s="11"/>
      <c r="B84" s="8"/>
      <c r="C84" s="8"/>
      <c r="D84" s="8"/>
      <c r="E84" s="8"/>
      <c r="F84" s="8"/>
      <c r="G84" s="8"/>
      <c r="H84" s="8"/>
      <c r="I84" s="12" t="str">
        <f aca="false">IF($T84,D84-N(E84),"")</f>
        <v/>
      </c>
      <c r="J84" s="12" t="str">
        <f aca="false">IF($T84,I84-N(F84),"")</f>
        <v/>
      </c>
      <c r="K84" s="13" t="str">
        <f aca="false">IF($C84="","",IF(SUMPRODUCT(--(Setup!$A$5:$A$24=$C84))&gt;0,INDEX(Setup!$B$5:$B$24,21-SUMPRODUCT(MAX((Setup!$A$5:$A$24=$C84)*(25-ROW(Setup!$A$5:$A$24))))),""))</f>
        <v/>
      </c>
      <c r="L84" s="13" t="str">
        <f aca="false">IF($T84,K84*G84/60,"")</f>
        <v/>
      </c>
      <c r="M84" s="12" t="str">
        <f aca="false">IF($T84,G84-N(H84),"")</f>
        <v/>
      </c>
      <c r="N84" s="14" t="str">
        <f aca="false">IF($T84,J84/I84,"")</f>
        <v/>
      </c>
      <c r="O84" s="14" t="str">
        <f aca="false">IF(AND($T84,N(J84)&gt;0),L84/J84,"")</f>
        <v/>
      </c>
      <c r="P84" s="14" t="str">
        <f aca="false">IF(AND($T84,N(G84)&gt;0),M84/G84,"")</f>
        <v/>
      </c>
      <c r="Q84" s="14" t="str">
        <f aca="false">IF($T84,S84/I84,"")</f>
        <v/>
      </c>
      <c r="R84" s="10" t="str">
        <f aca="false">IF($C84="","",IF(NOT(SUMPRODUCT(--(Setup!$A$5:$A$24=$C84))&gt;0),"Machine not in Setup",IF(OR(NOT(ISNUMBER(K84)),N(K84)&lt;=0),"Set an ideal cycle time in Setup",IF(NOT(ISNUMBER(A84)),"Enter a date",IF(OR(NOT(ISNUMBER(D84)),NOT(ISNUMBER(G84)),AND(E84&lt;&gt;"",NOT(ISNUMBER(E84))),AND(F84&lt;&gt;"",NOT(ISNUMBER(F84))),AND(H84&lt;&gt;"",NOT(ISNUMBER(H84)))),"Enter numbers: shift length and total parts are required",IF(OR(N(D84)&lt;=0,N(E84)&lt;0,N(F84)&lt;0,N(G84)&lt;0,N(H84)&lt;0),"Values must be 0 or more (shift length above 0)",IF(N(H84)&gt;N(G84),"Rejects &gt; total parts",IF(N(E84)&gt;=N(D84),"Planned stops &gt;= shift length",IF(N(F84)&gt;N(D84)-N(E84),"Downtime &gt; planned time",IF(AND(ISNUMBER(O84),O84&gt;1),"Check: performance above 100%","OK"))))))))))</f>
        <v/>
      </c>
      <c r="S84" s="13" t="str">
        <f aca="false">IF($T84,K84*M84/60,"")</f>
        <v/>
      </c>
      <c r="T84" s="15" t="b">
        <f aca="false">IF($C84="",FALSE(),AND(SUMPRODUCT(--(Setup!$A$5:$A$24=$C84))&gt;0,ISNUMBER(A84),ISNUMBER(K84),N(K84)&gt;0,ISNUMBER(D84),N(D84)&gt;0,ISNUMBER(G84),N(G84)&gt;=0,OR(E84="",ISNUMBER(E84)),OR(F84="",ISNUMBER(F84)),OR(H84="",ISNUMBER(H84)),N(E84)&gt;=0,N(F84)&gt;=0,N(H84)&gt;=0,N(H84)&lt;=N(G84),N(E84)&lt;N(D84),N(F84)&lt;=N(D84)-N(E84)))</f>
        <v>0</v>
      </c>
    </row>
    <row r="85" customFormat="false" ht="15" hidden="false" customHeight="false" outlineLevel="0" collapsed="false">
      <c r="A85" s="11"/>
      <c r="B85" s="8"/>
      <c r="C85" s="8"/>
      <c r="D85" s="8"/>
      <c r="E85" s="8"/>
      <c r="F85" s="8"/>
      <c r="G85" s="8"/>
      <c r="H85" s="8"/>
      <c r="I85" s="12" t="str">
        <f aca="false">IF($T85,D85-N(E85),"")</f>
        <v/>
      </c>
      <c r="J85" s="12" t="str">
        <f aca="false">IF($T85,I85-N(F85),"")</f>
        <v/>
      </c>
      <c r="K85" s="13" t="str">
        <f aca="false">IF($C85="","",IF(SUMPRODUCT(--(Setup!$A$5:$A$24=$C85))&gt;0,INDEX(Setup!$B$5:$B$24,21-SUMPRODUCT(MAX((Setup!$A$5:$A$24=$C85)*(25-ROW(Setup!$A$5:$A$24))))),""))</f>
        <v/>
      </c>
      <c r="L85" s="13" t="str">
        <f aca="false">IF($T85,K85*G85/60,"")</f>
        <v/>
      </c>
      <c r="M85" s="12" t="str">
        <f aca="false">IF($T85,G85-N(H85),"")</f>
        <v/>
      </c>
      <c r="N85" s="14" t="str">
        <f aca="false">IF($T85,J85/I85,"")</f>
        <v/>
      </c>
      <c r="O85" s="14" t="str">
        <f aca="false">IF(AND($T85,N(J85)&gt;0),L85/J85,"")</f>
        <v/>
      </c>
      <c r="P85" s="14" t="str">
        <f aca="false">IF(AND($T85,N(G85)&gt;0),M85/G85,"")</f>
        <v/>
      </c>
      <c r="Q85" s="14" t="str">
        <f aca="false">IF($T85,S85/I85,"")</f>
        <v/>
      </c>
      <c r="R85" s="10" t="str">
        <f aca="false">IF($C85="","",IF(NOT(SUMPRODUCT(--(Setup!$A$5:$A$24=$C85))&gt;0),"Machine not in Setup",IF(OR(NOT(ISNUMBER(K85)),N(K85)&lt;=0),"Set an ideal cycle time in Setup",IF(NOT(ISNUMBER(A85)),"Enter a date",IF(OR(NOT(ISNUMBER(D85)),NOT(ISNUMBER(G85)),AND(E85&lt;&gt;"",NOT(ISNUMBER(E85))),AND(F85&lt;&gt;"",NOT(ISNUMBER(F85))),AND(H85&lt;&gt;"",NOT(ISNUMBER(H85)))),"Enter numbers: shift length and total parts are required",IF(OR(N(D85)&lt;=0,N(E85)&lt;0,N(F85)&lt;0,N(G85)&lt;0,N(H85)&lt;0),"Values must be 0 or more (shift length above 0)",IF(N(H85)&gt;N(G85),"Rejects &gt; total parts",IF(N(E85)&gt;=N(D85),"Planned stops &gt;= shift length",IF(N(F85)&gt;N(D85)-N(E85),"Downtime &gt; planned time",IF(AND(ISNUMBER(O85),O85&gt;1),"Check: performance above 100%","OK"))))))))))</f>
        <v/>
      </c>
      <c r="S85" s="13" t="str">
        <f aca="false">IF($T85,K85*M85/60,"")</f>
        <v/>
      </c>
      <c r="T85" s="15" t="b">
        <f aca="false">IF($C85="",FALSE(),AND(SUMPRODUCT(--(Setup!$A$5:$A$24=$C85))&gt;0,ISNUMBER(A85),ISNUMBER(K85),N(K85)&gt;0,ISNUMBER(D85),N(D85)&gt;0,ISNUMBER(G85),N(G85)&gt;=0,OR(E85="",ISNUMBER(E85)),OR(F85="",ISNUMBER(F85)),OR(H85="",ISNUMBER(H85)),N(E85)&gt;=0,N(F85)&gt;=0,N(H85)&gt;=0,N(H85)&lt;=N(G85),N(E85)&lt;N(D85),N(F85)&lt;=N(D85)-N(E85)))</f>
        <v>0</v>
      </c>
    </row>
    <row r="86" customFormat="false" ht="15" hidden="false" customHeight="false" outlineLevel="0" collapsed="false">
      <c r="A86" s="11"/>
      <c r="B86" s="8"/>
      <c r="C86" s="8"/>
      <c r="D86" s="8"/>
      <c r="E86" s="8"/>
      <c r="F86" s="8"/>
      <c r="G86" s="8"/>
      <c r="H86" s="8"/>
      <c r="I86" s="12" t="str">
        <f aca="false">IF($T86,D86-N(E86),"")</f>
        <v/>
      </c>
      <c r="J86" s="12" t="str">
        <f aca="false">IF($T86,I86-N(F86),"")</f>
        <v/>
      </c>
      <c r="K86" s="13" t="str">
        <f aca="false">IF($C86="","",IF(SUMPRODUCT(--(Setup!$A$5:$A$24=$C86))&gt;0,INDEX(Setup!$B$5:$B$24,21-SUMPRODUCT(MAX((Setup!$A$5:$A$24=$C86)*(25-ROW(Setup!$A$5:$A$24))))),""))</f>
        <v/>
      </c>
      <c r="L86" s="13" t="str">
        <f aca="false">IF($T86,K86*G86/60,"")</f>
        <v/>
      </c>
      <c r="M86" s="12" t="str">
        <f aca="false">IF($T86,G86-N(H86),"")</f>
        <v/>
      </c>
      <c r="N86" s="14" t="str">
        <f aca="false">IF($T86,J86/I86,"")</f>
        <v/>
      </c>
      <c r="O86" s="14" t="str">
        <f aca="false">IF(AND($T86,N(J86)&gt;0),L86/J86,"")</f>
        <v/>
      </c>
      <c r="P86" s="14" t="str">
        <f aca="false">IF(AND($T86,N(G86)&gt;0),M86/G86,"")</f>
        <v/>
      </c>
      <c r="Q86" s="14" t="str">
        <f aca="false">IF($T86,S86/I86,"")</f>
        <v/>
      </c>
      <c r="R86" s="10" t="str">
        <f aca="false">IF($C86="","",IF(NOT(SUMPRODUCT(--(Setup!$A$5:$A$24=$C86))&gt;0),"Machine not in Setup",IF(OR(NOT(ISNUMBER(K86)),N(K86)&lt;=0),"Set an ideal cycle time in Setup",IF(NOT(ISNUMBER(A86)),"Enter a date",IF(OR(NOT(ISNUMBER(D86)),NOT(ISNUMBER(G86)),AND(E86&lt;&gt;"",NOT(ISNUMBER(E86))),AND(F86&lt;&gt;"",NOT(ISNUMBER(F86))),AND(H86&lt;&gt;"",NOT(ISNUMBER(H86)))),"Enter numbers: shift length and total parts are required",IF(OR(N(D86)&lt;=0,N(E86)&lt;0,N(F86)&lt;0,N(G86)&lt;0,N(H86)&lt;0),"Values must be 0 or more (shift length above 0)",IF(N(H86)&gt;N(G86),"Rejects &gt; total parts",IF(N(E86)&gt;=N(D86),"Planned stops &gt;= shift length",IF(N(F86)&gt;N(D86)-N(E86),"Downtime &gt; planned time",IF(AND(ISNUMBER(O86),O86&gt;1),"Check: performance above 100%","OK"))))))))))</f>
        <v/>
      </c>
      <c r="S86" s="13" t="str">
        <f aca="false">IF($T86,K86*M86/60,"")</f>
        <v/>
      </c>
      <c r="T86" s="15" t="b">
        <f aca="false">IF($C86="",FALSE(),AND(SUMPRODUCT(--(Setup!$A$5:$A$24=$C86))&gt;0,ISNUMBER(A86),ISNUMBER(K86),N(K86)&gt;0,ISNUMBER(D86),N(D86)&gt;0,ISNUMBER(G86),N(G86)&gt;=0,OR(E86="",ISNUMBER(E86)),OR(F86="",ISNUMBER(F86)),OR(H86="",ISNUMBER(H86)),N(E86)&gt;=0,N(F86)&gt;=0,N(H86)&gt;=0,N(H86)&lt;=N(G86),N(E86)&lt;N(D86),N(F86)&lt;=N(D86)-N(E86)))</f>
        <v>0</v>
      </c>
    </row>
    <row r="87" customFormat="false" ht="15" hidden="false" customHeight="false" outlineLevel="0" collapsed="false">
      <c r="A87" s="11"/>
      <c r="B87" s="8"/>
      <c r="C87" s="8"/>
      <c r="D87" s="8"/>
      <c r="E87" s="8"/>
      <c r="F87" s="8"/>
      <c r="G87" s="8"/>
      <c r="H87" s="8"/>
      <c r="I87" s="12" t="str">
        <f aca="false">IF($T87,D87-N(E87),"")</f>
        <v/>
      </c>
      <c r="J87" s="12" t="str">
        <f aca="false">IF($T87,I87-N(F87),"")</f>
        <v/>
      </c>
      <c r="K87" s="13" t="str">
        <f aca="false">IF($C87="","",IF(SUMPRODUCT(--(Setup!$A$5:$A$24=$C87))&gt;0,INDEX(Setup!$B$5:$B$24,21-SUMPRODUCT(MAX((Setup!$A$5:$A$24=$C87)*(25-ROW(Setup!$A$5:$A$24))))),""))</f>
        <v/>
      </c>
      <c r="L87" s="13" t="str">
        <f aca="false">IF($T87,K87*G87/60,"")</f>
        <v/>
      </c>
      <c r="M87" s="12" t="str">
        <f aca="false">IF($T87,G87-N(H87),"")</f>
        <v/>
      </c>
      <c r="N87" s="14" t="str">
        <f aca="false">IF($T87,J87/I87,"")</f>
        <v/>
      </c>
      <c r="O87" s="14" t="str">
        <f aca="false">IF(AND($T87,N(J87)&gt;0),L87/J87,"")</f>
        <v/>
      </c>
      <c r="P87" s="14" t="str">
        <f aca="false">IF(AND($T87,N(G87)&gt;0),M87/G87,"")</f>
        <v/>
      </c>
      <c r="Q87" s="14" t="str">
        <f aca="false">IF($T87,S87/I87,"")</f>
        <v/>
      </c>
      <c r="R87" s="10" t="str">
        <f aca="false">IF($C87="","",IF(NOT(SUMPRODUCT(--(Setup!$A$5:$A$24=$C87))&gt;0),"Machine not in Setup",IF(OR(NOT(ISNUMBER(K87)),N(K87)&lt;=0),"Set an ideal cycle time in Setup",IF(NOT(ISNUMBER(A87)),"Enter a date",IF(OR(NOT(ISNUMBER(D87)),NOT(ISNUMBER(G87)),AND(E87&lt;&gt;"",NOT(ISNUMBER(E87))),AND(F87&lt;&gt;"",NOT(ISNUMBER(F87))),AND(H87&lt;&gt;"",NOT(ISNUMBER(H87)))),"Enter numbers: shift length and total parts are required",IF(OR(N(D87)&lt;=0,N(E87)&lt;0,N(F87)&lt;0,N(G87)&lt;0,N(H87)&lt;0),"Values must be 0 or more (shift length above 0)",IF(N(H87)&gt;N(G87),"Rejects &gt; total parts",IF(N(E87)&gt;=N(D87),"Planned stops &gt;= shift length",IF(N(F87)&gt;N(D87)-N(E87),"Downtime &gt; planned time",IF(AND(ISNUMBER(O87),O87&gt;1),"Check: performance above 100%","OK"))))))))))</f>
        <v/>
      </c>
      <c r="S87" s="13" t="str">
        <f aca="false">IF($T87,K87*M87/60,"")</f>
        <v/>
      </c>
      <c r="T87" s="15" t="b">
        <f aca="false">IF($C87="",FALSE(),AND(SUMPRODUCT(--(Setup!$A$5:$A$24=$C87))&gt;0,ISNUMBER(A87),ISNUMBER(K87),N(K87)&gt;0,ISNUMBER(D87),N(D87)&gt;0,ISNUMBER(G87),N(G87)&gt;=0,OR(E87="",ISNUMBER(E87)),OR(F87="",ISNUMBER(F87)),OR(H87="",ISNUMBER(H87)),N(E87)&gt;=0,N(F87)&gt;=0,N(H87)&gt;=0,N(H87)&lt;=N(G87),N(E87)&lt;N(D87),N(F87)&lt;=N(D87)-N(E87)))</f>
        <v>0</v>
      </c>
    </row>
    <row r="88" customFormat="false" ht="15" hidden="false" customHeight="false" outlineLevel="0" collapsed="false">
      <c r="A88" s="11"/>
      <c r="B88" s="8"/>
      <c r="C88" s="8"/>
      <c r="D88" s="8"/>
      <c r="E88" s="8"/>
      <c r="F88" s="8"/>
      <c r="G88" s="8"/>
      <c r="H88" s="8"/>
      <c r="I88" s="12" t="str">
        <f aca="false">IF($T88,D88-N(E88),"")</f>
        <v/>
      </c>
      <c r="J88" s="12" t="str">
        <f aca="false">IF($T88,I88-N(F88),"")</f>
        <v/>
      </c>
      <c r="K88" s="13" t="str">
        <f aca="false">IF($C88="","",IF(SUMPRODUCT(--(Setup!$A$5:$A$24=$C88))&gt;0,INDEX(Setup!$B$5:$B$24,21-SUMPRODUCT(MAX((Setup!$A$5:$A$24=$C88)*(25-ROW(Setup!$A$5:$A$24))))),""))</f>
        <v/>
      </c>
      <c r="L88" s="13" t="str">
        <f aca="false">IF($T88,K88*G88/60,"")</f>
        <v/>
      </c>
      <c r="M88" s="12" t="str">
        <f aca="false">IF($T88,G88-N(H88),"")</f>
        <v/>
      </c>
      <c r="N88" s="14" t="str">
        <f aca="false">IF($T88,J88/I88,"")</f>
        <v/>
      </c>
      <c r="O88" s="14" t="str">
        <f aca="false">IF(AND($T88,N(J88)&gt;0),L88/J88,"")</f>
        <v/>
      </c>
      <c r="P88" s="14" t="str">
        <f aca="false">IF(AND($T88,N(G88)&gt;0),M88/G88,"")</f>
        <v/>
      </c>
      <c r="Q88" s="14" t="str">
        <f aca="false">IF($T88,S88/I88,"")</f>
        <v/>
      </c>
      <c r="R88" s="10" t="str">
        <f aca="false">IF($C88="","",IF(NOT(SUMPRODUCT(--(Setup!$A$5:$A$24=$C88))&gt;0),"Machine not in Setup",IF(OR(NOT(ISNUMBER(K88)),N(K88)&lt;=0),"Set an ideal cycle time in Setup",IF(NOT(ISNUMBER(A88)),"Enter a date",IF(OR(NOT(ISNUMBER(D88)),NOT(ISNUMBER(G88)),AND(E88&lt;&gt;"",NOT(ISNUMBER(E88))),AND(F88&lt;&gt;"",NOT(ISNUMBER(F88))),AND(H88&lt;&gt;"",NOT(ISNUMBER(H88)))),"Enter numbers: shift length and total parts are required",IF(OR(N(D88)&lt;=0,N(E88)&lt;0,N(F88)&lt;0,N(G88)&lt;0,N(H88)&lt;0),"Values must be 0 or more (shift length above 0)",IF(N(H88)&gt;N(G88),"Rejects &gt; total parts",IF(N(E88)&gt;=N(D88),"Planned stops &gt;= shift length",IF(N(F88)&gt;N(D88)-N(E88),"Downtime &gt; planned time",IF(AND(ISNUMBER(O88),O88&gt;1),"Check: performance above 100%","OK"))))))))))</f>
        <v/>
      </c>
      <c r="S88" s="13" t="str">
        <f aca="false">IF($T88,K88*M88/60,"")</f>
        <v/>
      </c>
      <c r="T88" s="15" t="b">
        <f aca="false">IF($C88="",FALSE(),AND(SUMPRODUCT(--(Setup!$A$5:$A$24=$C88))&gt;0,ISNUMBER(A88),ISNUMBER(K88),N(K88)&gt;0,ISNUMBER(D88),N(D88)&gt;0,ISNUMBER(G88),N(G88)&gt;=0,OR(E88="",ISNUMBER(E88)),OR(F88="",ISNUMBER(F88)),OR(H88="",ISNUMBER(H88)),N(E88)&gt;=0,N(F88)&gt;=0,N(H88)&gt;=0,N(H88)&lt;=N(G88),N(E88)&lt;N(D88),N(F88)&lt;=N(D88)-N(E88)))</f>
        <v>0</v>
      </c>
    </row>
    <row r="89" customFormat="false" ht="15" hidden="false" customHeight="false" outlineLevel="0" collapsed="false">
      <c r="A89" s="11"/>
      <c r="B89" s="8"/>
      <c r="C89" s="8"/>
      <c r="D89" s="8"/>
      <c r="E89" s="8"/>
      <c r="F89" s="8"/>
      <c r="G89" s="8"/>
      <c r="H89" s="8"/>
      <c r="I89" s="12" t="str">
        <f aca="false">IF($T89,D89-N(E89),"")</f>
        <v/>
      </c>
      <c r="J89" s="12" t="str">
        <f aca="false">IF($T89,I89-N(F89),"")</f>
        <v/>
      </c>
      <c r="K89" s="13" t="str">
        <f aca="false">IF($C89="","",IF(SUMPRODUCT(--(Setup!$A$5:$A$24=$C89))&gt;0,INDEX(Setup!$B$5:$B$24,21-SUMPRODUCT(MAX((Setup!$A$5:$A$24=$C89)*(25-ROW(Setup!$A$5:$A$24))))),""))</f>
        <v/>
      </c>
      <c r="L89" s="13" t="str">
        <f aca="false">IF($T89,K89*G89/60,"")</f>
        <v/>
      </c>
      <c r="M89" s="12" t="str">
        <f aca="false">IF($T89,G89-N(H89),"")</f>
        <v/>
      </c>
      <c r="N89" s="14" t="str">
        <f aca="false">IF($T89,J89/I89,"")</f>
        <v/>
      </c>
      <c r="O89" s="14" t="str">
        <f aca="false">IF(AND($T89,N(J89)&gt;0),L89/J89,"")</f>
        <v/>
      </c>
      <c r="P89" s="14" t="str">
        <f aca="false">IF(AND($T89,N(G89)&gt;0),M89/G89,"")</f>
        <v/>
      </c>
      <c r="Q89" s="14" t="str">
        <f aca="false">IF($T89,S89/I89,"")</f>
        <v/>
      </c>
      <c r="R89" s="10" t="str">
        <f aca="false">IF($C89="","",IF(NOT(SUMPRODUCT(--(Setup!$A$5:$A$24=$C89))&gt;0),"Machine not in Setup",IF(OR(NOT(ISNUMBER(K89)),N(K89)&lt;=0),"Set an ideal cycle time in Setup",IF(NOT(ISNUMBER(A89)),"Enter a date",IF(OR(NOT(ISNUMBER(D89)),NOT(ISNUMBER(G89)),AND(E89&lt;&gt;"",NOT(ISNUMBER(E89))),AND(F89&lt;&gt;"",NOT(ISNUMBER(F89))),AND(H89&lt;&gt;"",NOT(ISNUMBER(H89)))),"Enter numbers: shift length and total parts are required",IF(OR(N(D89)&lt;=0,N(E89)&lt;0,N(F89)&lt;0,N(G89)&lt;0,N(H89)&lt;0),"Values must be 0 or more (shift length above 0)",IF(N(H89)&gt;N(G89),"Rejects &gt; total parts",IF(N(E89)&gt;=N(D89),"Planned stops &gt;= shift length",IF(N(F89)&gt;N(D89)-N(E89),"Downtime &gt; planned time",IF(AND(ISNUMBER(O89),O89&gt;1),"Check: performance above 100%","OK"))))))))))</f>
        <v/>
      </c>
      <c r="S89" s="13" t="str">
        <f aca="false">IF($T89,K89*M89/60,"")</f>
        <v/>
      </c>
      <c r="T89" s="15" t="b">
        <f aca="false">IF($C89="",FALSE(),AND(SUMPRODUCT(--(Setup!$A$5:$A$24=$C89))&gt;0,ISNUMBER(A89),ISNUMBER(K89),N(K89)&gt;0,ISNUMBER(D89),N(D89)&gt;0,ISNUMBER(G89),N(G89)&gt;=0,OR(E89="",ISNUMBER(E89)),OR(F89="",ISNUMBER(F89)),OR(H89="",ISNUMBER(H89)),N(E89)&gt;=0,N(F89)&gt;=0,N(H89)&gt;=0,N(H89)&lt;=N(G89),N(E89)&lt;N(D89),N(F89)&lt;=N(D89)-N(E89)))</f>
        <v>0</v>
      </c>
    </row>
    <row r="90" customFormat="false" ht="15" hidden="false" customHeight="false" outlineLevel="0" collapsed="false">
      <c r="A90" s="11"/>
      <c r="B90" s="8"/>
      <c r="C90" s="8"/>
      <c r="D90" s="8"/>
      <c r="E90" s="8"/>
      <c r="F90" s="8"/>
      <c r="G90" s="8"/>
      <c r="H90" s="8"/>
      <c r="I90" s="12" t="str">
        <f aca="false">IF($T90,D90-N(E90),"")</f>
        <v/>
      </c>
      <c r="J90" s="12" t="str">
        <f aca="false">IF($T90,I90-N(F90),"")</f>
        <v/>
      </c>
      <c r="K90" s="13" t="str">
        <f aca="false">IF($C90="","",IF(SUMPRODUCT(--(Setup!$A$5:$A$24=$C90))&gt;0,INDEX(Setup!$B$5:$B$24,21-SUMPRODUCT(MAX((Setup!$A$5:$A$24=$C90)*(25-ROW(Setup!$A$5:$A$24))))),""))</f>
        <v/>
      </c>
      <c r="L90" s="13" t="str">
        <f aca="false">IF($T90,K90*G90/60,"")</f>
        <v/>
      </c>
      <c r="M90" s="12" t="str">
        <f aca="false">IF($T90,G90-N(H90),"")</f>
        <v/>
      </c>
      <c r="N90" s="14" t="str">
        <f aca="false">IF($T90,J90/I90,"")</f>
        <v/>
      </c>
      <c r="O90" s="14" t="str">
        <f aca="false">IF(AND($T90,N(J90)&gt;0),L90/J90,"")</f>
        <v/>
      </c>
      <c r="P90" s="14" t="str">
        <f aca="false">IF(AND($T90,N(G90)&gt;0),M90/G90,"")</f>
        <v/>
      </c>
      <c r="Q90" s="14" t="str">
        <f aca="false">IF($T90,S90/I90,"")</f>
        <v/>
      </c>
      <c r="R90" s="10" t="str">
        <f aca="false">IF($C90="","",IF(NOT(SUMPRODUCT(--(Setup!$A$5:$A$24=$C90))&gt;0),"Machine not in Setup",IF(OR(NOT(ISNUMBER(K90)),N(K90)&lt;=0),"Set an ideal cycle time in Setup",IF(NOT(ISNUMBER(A90)),"Enter a date",IF(OR(NOT(ISNUMBER(D90)),NOT(ISNUMBER(G90)),AND(E90&lt;&gt;"",NOT(ISNUMBER(E90))),AND(F90&lt;&gt;"",NOT(ISNUMBER(F90))),AND(H90&lt;&gt;"",NOT(ISNUMBER(H90)))),"Enter numbers: shift length and total parts are required",IF(OR(N(D90)&lt;=0,N(E90)&lt;0,N(F90)&lt;0,N(G90)&lt;0,N(H90)&lt;0),"Values must be 0 or more (shift length above 0)",IF(N(H90)&gt;N(G90),"Rejects &gt; total parts",IF(N(E90)&gt;=N(D90),"Planned stops &gt;= shift length",IF(N(F90)&gt;N(D90)-N(E90),"Downtime &gt; planned time",IF(AND(ISNUMBER(O90),O90&gt;1),"Check: performance above 100%","OK"))))))))))</f>
        <v/>
      </c>
      <c r="S90" s="13" t="str">
        <f aca="false">IF($T90,K90*M90/60,"")</f>
        <v/>
      </c>
      <c r="T90" s="15" t="b">
        <f aca="false">IF($C90="",FALSE(),AND(SUMPRODUCT(--(Setup!$A$5:$A$24=$C90))&gt;0,ISNUMBER(A90),ISNUMBER(K90),N(K90)&gt;0,ISNUMBER(D90),N(D90)&gt;0,ISNUMBER(G90),N(G90)&gt;=0,OR(E90="",ISNUMBER(E90)),OR(F90="",ISNUMBER(F90)),OR(H90="",ISNUMBER(H90)),N(E90)&gt;=0,N(F90)&gt;=0,N(H90)&gt;=0,N(H90)&lt;=N(G90),N(E90)&lt;N(D90),N(F90)&lt;=N(D90)-N(E90)))</f>
        <v>0</v>
      </c>
    </row>
    <row r="91" customFormat="false" ht="15" hidden="false" customHeight="false" outlineLevel="0" collapsed="false">
      <c r="A91" s="11"/>
      <c r="B91" s="8"/>
      <c r="C91" s="8"/>
      <c r="D91" s="8"/>
      <c r="E91" s="8"/>
      <c r="F91" s="8"/>
      <c r="G91" s="8"/>
      <c r="H91" s="8"/>
      <c r="I91" s="12" t="str">
        <f aca="false">IF($T91,D91-N(E91),"")</f>
        <v/>
      </c>
      <c r="J91" s="12" t="str">
        <f aca="false">IF($T91,I91-N(F91),"")</f>
        <v/>
      </c>
      <c r="K91" s="13" t="str">
        <f aca="false">IF($C91="","",IF(SUMPRODUCT(--(Setup!$A$5:$A$24=$C91))&gt;0,INDEX(Setup!$B$5:$B$24,21-SUMPRODUCT(MAX((Setup!$A$5:$A$24=$C91)*(25-ROW(Setup!$A$5:$A$24))))),""))</f>
        <v/>
      </c>
      <c r="L91" s="13" t="str">
        <f aca="false">IF($T91,K91*G91/60,"")</f>
        <v/>
      </c>
      <c r="M91" s="12" t="str">
        <f aca="false">IF($T91,G91-N(H91),"")</f>
        <v/>
      </c>
      <c r="N91" s="14" t="str">
        <f aca="false">IF($T91,J91/I91,"")</f>
        <v/>
      </c>
      <c r="O91" s="14" t="str">
        <f aca="false">IF(AND($T91,N(J91)&gt;0),L91/J91,"")</f>
        <v/>
      </c>
      <c r="P91" s="14" t="str">
        <f aca="false">IF(AND($T91,N(G91)&gt;0),M91/G91,"")</f>
        <v/>
      </c>
      <c r="Q91" s="14" t="str">
        <f aca="false">IF($T91,S91/I91,"")</f>
        <v/>
      </c>
      <c r="R91" s="10" t="str">
        <f aca="false">IF($C91="","",IF(NOT(SUMPRODUCT(--(Setup!$A$5:$A$24=$C91))&gt;0),"Machine not in Setup",IF(OR(NOT(ISNUMBER(K91)),N(K91)&lt;=0),"Set an ideal cycle time in Setup",IF(NOT(ISNUMBER(A91)),"Enter a date",IF(OR(NOT(ISNUMBER(D91)),NOT(ISNUMBER(G91)),AND(E91&lt;&gt;"",NOT(ISNUMBER(E91))),AND(F91&lt;&gt;"",NOT(ISNUMBER(F91))),AND(H91&lt;&gt;"",NOT(ISNUMBER(H91)))),"Enter numbers: shift length and total parts are required",IF(OR(N(D91)&lt;=0,N(E91)&lt;0,N(F91)&lt;0,N(G91)&lt;0,N(H91)&lt;0),"Values must be 0 or more (shift length above 0)",IF(N(H91)&gt;N(G91),"Rejects &gt; total parts",IF(N(E91)&gt;=N(D91),"Planned stops &gt;= shift length",IF(N(F91)&gt;N(D91)-N(E91),"Downtime &gt; planned time",IF(AND(ISNUMBER(O91),O91&gt;1),"Check: performance above 100%","OK"))))))))))</f>
        <v/>
      </c>
      <c r="S91" s="13" t="str">
        <f aca="false">IF($T91,K91*M91/60,"")</f>
        <v/>
      </c>
      <c r="T91" s="15" t="b">
        <f aca="false">IF($C91="",FALSE(),AND(SUMPRODUCT(--(Setup!$A$5:$A$24=$C91))&gt;0,ISNUMBER(A91),ISNUMBER(K91),N(K91)&gt;0,ISNUMBER(D91),N(D91)&gt;0,ISNUMBER(G91),N(G91)&gt;=0,OR(E91="",ISNUMBER(E91)),OR(F91="",ISNUMBER(F91)),OR(H91="",ISNUMBER(H91)),N(E91)&gt;=0,N(F91)&gt;=0,N(H91)&gt;=0,N(H91)&lt;=N(G91),N(E91)&lt;N(D91),N(F91)&lt;=N(D91)-N(E91)))</f>
        <v>0</v>
      </c>
    </row>
    <row r="92" customFormat="false" ht="15" hidden="false" customHeight="false" outlineLevel="0" collapsed="false">
      <c r="A92" s="11"/>
      <c r="B92" s="8"/>
      <c r="C92" s="8"/>
      <c r="D92" s="8"/>
      <c r="E92" s="8"/>
      <c r="F92" s="8"/>
      <c r="G92" s="8"/>
      <c r="H92" s="8"/>
      <c r="I92" s="12" t="str">
        <f aca="false">IF($T92,D92-N(E92),"")</f>
        <v/>
      </c>
      <c r="J92" s="12" t="str">
        <f aca="false">IF($T92,I92-N(F92),"")</f>
        <v/>
      </c>
      <c r="K92" s="13" t="str">
        <f aca="false">IF($C92="","",IF(SUMPRODUCT(--(Setup!$A$5:$A$24=$C92))&gt;0,INDEX(Setup!$B$5:$B$24,21-SUMPRODUCT(MAX((Setup!$A$5:$A$24=$C92)*(25-ROW(Setup!$A$5:$A$24))))),""))</f>
        <v/>
      </c>
      <c r="L92" s="13" t="str">
        <f aca="false">IF($T92,K92*G92/60,"")</f>
        <v/>
      </c>
      <c r="M92" s="12" t="str">
        <f aca="false">IF($T92,G92-N(H92),"")</f>
        <v/>
      </c>
      <c r="N92" s="14" t="str">
        <f aca="false">IF($T92,J92/I92,"")</f>
        <v/>
      </c>
      <c r="O92" s="14" t="str">
        <f aca="false">IF(AND($T92,N(J92)&gt;0),L92/J92,"")</f>
        <v/>
      </c>
      <c r="P92" s="14" t="str">
        <f aca="false">IF(AND($T92,N(G92)&gt;0),M92/G92,"")</f>
        <v/>
      </c>
      <c r="Q92" s="14" t="str">
        <f aca="false">IF($T92,S92/I92,"")</f>
        <v/>
      </c>
      <c r="R92" s="10" t="str">
        <f aca="false">IF($C92="","",IF(NOT(SUMPRODUCT(--(Setup!$A$5:$A$24=$C92))&gt;0),"Machine not in Setup",IF(OR(NOT(ISNUMBER(K92)),N(K92)&lt;=0),"Set an ideal cycle time in Setup",IF(NOT(ISNUMBER(A92)),"Enter a date",IF(OR(NOT(ISNUMBER(D92)),NOT(ISNUMBER(G92)),AND(E92&lt;&gt;"",NOT(ISNUMBER(E92))),AND(F92&lt;&gt;"",NOT(ISNUMBER(F92))),AND(H92&lt;&gt;"",NOT(ISNUMBER(H92)))),"Enter numbers: shift length and total parts are required",IF(OR(N(D92)&lt;=0,N(E92)&lt;0,N(F92)&lt;0,N(G92)&lt;0,N(H92)&lt;0),"Values must be 0 or more (shift length above 0)",IF(N(H92)&gt;N(G92),"Rejects &gt; total parts",IF(N(E92)&gt;=N(D92),"Planned stops &gt;= shift length",IF(N(F92)&gt;N(D92)-N(E92),"Downtime &gt; planned time",IF(AND(ISNUMBER(O92),O92&gt;1),"Check: performance above 100%","OK"))))))))))</f>
        <v/>
      </c>
      <c r="S92" s="13" t="str">
        <f aca="false">IF($T92,K92*M92/60,"")</f>
        <v/>
      </c>
      <c r="T92" s="15" t="b">
        <f aca="false">IF($C92="",FALSE(),AND(SUMPRODUCT(--(Setup!$A$5:$A$24=$C92))&gt;0,ISNUMBER(A92),ISNUMBER(K92),N(K92)&gt;0,ISNUMBER(D92),N(D92)&gt;0,ISNUMBER(G92),N(G92)&gt;=0,OR(E92="",ISNUMBER(E92)),OR(F92="",ISNUMBER(F92)),OR(H92="",ISNUMBER(H92)),N(E92)&gt;=0,N(F92)&gt;=0,N(H92)&gt;=0,N(H92)&lt;=N(G92),N(E92)&lt;N(D92),N(F92)&lt;=N(D92)-N(E92)))</f>
        <v>0</v>
      </c>
    </row>
    <row r="93" customFormat="false" ht="15" hidden="false" customHeight="false" outlineLevel="0" collapsed="false">
      <c r="A93" s="11"/>
      <c r="B93" s="8"/>
      <c r="C93" s="8"/>
      <c r="D93" s="8"/>
      <c r="E93" s="8"/>
      <c r="F93" s="8"/>
      <c r="G93" s="8"/>
      <c r="H93" s="8"/>
      <c r="I93" s="12" t="str">
        <f aca="false">IF($T93,D93-N(E93),"")</f>
        <v/>
      </c>
      <c r="J93" s="12" t="str">
        <f aca="false">IF($T93,I93-N(F93),"")</f>
        <v/>
      </c>
      <c r="K93" s="13" t="str">
        <f aca="false">IF($C93="","",IF(SUMPRODUCT(--(Setup!$A$5:$A$24=$C93))&gt;0,INDEX(Setup!$B$5:$B$24,21-SUMPRODUCT(MAX((Setup!$A$5:$A$24=$C93)*(25-ROW(Setup!$A$5:$A$24))))),""))</f>
        <v/>
      </c>
      <c r="L93" s="13" t="str">
        <f aca="false">IF($T93,K93*G93/60,"")</f>
        <v/>
      </c>
      <c r="M93" s="12" t="str">
        <f aca="false">IF($T93,G93-N(H93),"")</f>
        <v/>
      </c>
      <c r="N93" s="14" t="str">
        <f aca="false">IF($T93,J93/I93,"")</f>
        <v/>
      </c>
      <c r="O93" s="14" t="str">
        <f aca="false">IF(AND($T93,N(J93)&gt;0),L93/J93,"")</f>
        <v/>
      </c>
      <c r="P93" s="14" t="str">
        <f aca="false">IF(AND($T93,N(G93)&gt;0),M93/G93,"")</f>
        <v/>
      </c>
      <c r="Q93" s="14" t="str">
        <f aca="false">IF($T93,S93/I93,"")</f>
        <v/>
      </c>
      <c r="R93" s="10" t="str">
        <f aca="false">IF($C93="","",IF(NOT(SUMPRODUCT(--(Setup!$A$5:$A$24=$C93))&gt;0),"Machine not in Setup",IF(OR(NOT(ISNUMBER(K93)),N(K93)&lt;=0),"Set an ideal cycle time in Setup",IF(NOT(ISNUMBER(A93)),"Enter a date",IF(OR(NOT(ISNUMBER(D93)),NOT(ISNUMBER(G93)),AND(E93&lt;&gt;"",NOT(ISNUMBER(E93))),AND(F93&lt;&gt;"",NOT(ISNUMBER(F93))),AND(H93&lt;&gt;"",NOT(ISNUMBER(H93)))),"Enter numbers: shift length and total parts are required",IF(OR(N(D93)&lt;=0,N(E93)&lt;0,N(F93)&lt;0,N(G93)&lt;0,N(H93)&lt;0),"Values must be 0 or more (shift length above 0)",IF(N(H93)&gt;N(G93),"Rejects &gt; total parts",IF(N(E93)&gt;=N(D93),"Planned stops &gt;= shift length",IF(N(F93)&gt;N(D93)-N(E93),"Downtime &gt; planned time",IF(AND(ISNUMBER(O93),O93&gt;1),"Check: performance above 100%","OK"))))))))))</f>
        <v/>
      </c>
      <c r="S93" s="13" t="str">
        <f aca="false">IF($T93,K93*M93/60,"")</f>
        <v/>
      </c>
      <c r="T93" s="15" t="b">
        <f aca="false">IF($C93="",FALSE(),AND(SUMPRODUCT(--(Setup!$A$5:$A$24=$C93))&gt;0,ISNUMBER(A93),ISNUMBER(K93),N(K93)&gt;0,ISNUMBER(D93),N(D93)&gt;0,ISNUMBER(G93),N(G93)&gt;=0,OR(E93="",ISNUMBER(E93)),OR(F93="",ISNUMBER(F93)),OR(H93="",ISNUMBER(H93)),N(E93)&gt;=0,N(F93)&gt;=0,N(H93)&gt;=0,N(H93)&lt;=N(G93),N(E93)&lt;N(D93),N(F93)&lt;=N(D93)-N(E93)))</f>
        <v>0</v>
      </c>
    </row>
    <row r="94" customFormat="false" ht="15" hidden="false" customHeight="false" outlineLevel="0" collapsed="false">
      <c r="A94" s="11"/>
      <c r="B94" s="8"/>
      <c r="C94" s="8"/>
      <c r="D94" s="8"/>
      <c r="E94" s="8"/>
      <c r="F94" s="8"/>
      <c r="G94" s="8"/>
      <c r="H94" s="8"/>
      <c r="I94" s="12" t="str">
        <f aca="false">IF($T94,D94-N(E94),"")</f>
        <v/>
      </c>
      <c r="J94" s="12" t="str">
        <f aca="false">IF($T94,I94-N(F94),"")</f>
        <v/>
      </c>
      <c r="K94" s="13" t="str">
        <f aca="false">IF($C94="","",IF(SUMPRODUCT(--(Setup!$A$5:$A$24=$C94))&gt;0,INDEX(Setup!$B$5:$B$24,21-SUMPRODUCT(MAX((Setup!$A$5:$A$24=$C94)*(25-ROW(Setup!$A$5:$A$24))))),""))</f>
        <v/>
      </c>
      <c r="L94" s="13" t="str">
        <f aca="false">IF($T94,K94*G94/60,"")</f>
        <v/>
      </c>
      <c r="M94" s="12" t="str">
        <f aca="false">IF($T94,G94-N(H94),"")</f>
        <v/>
      </c>
      <c r="N94" s="14" t="str">
        <f aca="false">IF($T94,J94/I94,"")</f>
        <v/>
      </c>
      <c r="O94" s="14" t="str">
        <f aca="false">IF(AND($T94,N(J94)&gt;0),L94/J94,"")</f>
        <v/>
      </c>
      <c r="P94" s="14" t="str">
        <f aca="false">IF(AND($T94,N(G94)&gt;0),M94/G94,"")</f>
        <v/>
      </c>
      <c r="Q94" s="14" t="str">
        <f aca="false">IF($T94,S94/I94,"")</f>
        <v/>
      </c>
      <c r="R94" s="10" t="str">
        <f aca="false">IF($C94="","",IF(NOT(SUMPRODUCT(--(Setup!$A$5:$A$24=$C94))&gt;0),"Machine not in Setup",IF(OR(NOT(ISNUMBER(K94)),N(K94)&lt;=0),"Set an ideal cycle time in Setup",IF(NOT(ISNUMBER(A94)),"Enter a date",IF(OR(NOT(ISNUMBER(D94)),NOT(ISNUMBER(G94)),AND(E94&lt;&gt;"",NOT(ISNUMBER(E94))),AND(F94&lt;&gt;"",NOT(ISNUMBER(F94))),AND(H94&lt;&gt;"",NOT(ISNUMBER(H94)))),"Enter numbers: shift length and total parts are required",IF(OR(N(D94)&lt;=0,N(E94)&lt;0,N(F94)&lt;0,N(G94)&lt;0,N(H94)&lt;0),"Values must be 0 or more (shift length above 0)",IF(N(H94)&gt;N(G94),"Rejects &gt; total parts",IF(N(E94)&gt;=N(D94),"Planned stops &gt;= shift length",IF(N(F94)&gt;N(D94)-N(E94),"Downtime &gt; planned time",IF(AND(ISNUMBER(O94),O94&gt;1),"Check: performance above 100%","OK"))))))))))</f>
        <v/>
      </c>
      <c r="S94" s="13" t="str">
        <f aca="false">IF($T94,K94*M94/60,"")</f>
        <v/>
      </c>
      <c r="T94" s="15" t="b">
        <f aca="false">IF($C94="",FALSE(),AND(SUMPRODUCT(--(Setup!$A$5:$A$24=$C94))&gt;0,ISNUMBER(A94),ISNUMBER(K94),N(K94)&gt;0,ISNUMBER(D94),N(D94)&gt;0,ISNUMBER(G94),N(G94)&gt;=0,OR(E94="",ISNUMBER(E94)),OR(F94="",ISNUMBER(F94)),OR(H94="",ISNUMBER(H94)),N(E94)&gt;=0,N(F94)&gt;=0,N(H94)&gt;=0,N(H94)&lt;=N(G94),N(E94)&lt;N(D94),N(F94)&lt;=N(D94)-N(E94)))</f>
        <v>0</v>
      </c>
    </row>
    <row r="95" customFormat="false" ht="15" hidden="false" customHeight="false" outlineLevel="0" collapsed="false">
      <c r="A95" s="11"/>
      <c r="B95" s="8"/>
      <c r="C95" s="8"/>
      <c r="D95" s="8"/>
      <c r="E95" s="8"/>
      <c r="F95" s="8"/>
      <c r="G95" s="8"/>
      <c r="H95" s="8"/>
      <c r="I95" s="12" t="str">
        <f aca="false">IF($T95,D95-N(E95),"")</f>
        <v/>
      </c>
      <c r="J95" s="12" t="str">
        <f aca="false">IF($T95,I95-N(F95),"")</f>
        <v/>
      </c>
      <c r="K95" s="13" t="str">
        <f aca="false">IF($C95="","",IF(SUMPRODUCT(--(Setup!$A$5:$A$24=$C95))&gt;0,INDEX(Setup!$B$5:$B$24,21-SUMPRODUCT(MAX((Setup!$A$5:$A$24=$C95)*(25-ROW(Setup!$A$5:$A$24))))),""))</f>
        <v/>
      </c>
      <c r="L95" s="13" t="str">
        <f aca="false">IF($T95,K95*G95/60,"")</f>
        <v/>
      </c>
      <c r="M95" s="12" t="str">
        <f aca="false">IF($T95,G95-N(H95),"")</f>
        <v/>
      </c>
      <c r="N95" s="14" t="str">
        <f aca="false">IF($T95,J95/I95,"")</f>
        <v/>
      </c>
      <c r="O95" s="14" t="str">
        <f aca="false">IF(AND($T95,N(J95)&gt;0),L95/J95,"")</f>
        <v/>
      </c>
      <c r="P95" s="14" t="str">
        <f aca="false">IF(AND($T95,N(G95)&gt;0),M95/G95,"")</f>
        <v/>
      </c>
      <c r="Q95" s="14" t="str">
        <f aca="false">IF($T95,S95/I95,"")</f>
        <v/>
      </c>
      <c r="R95" s="10" t="str">
        <f aca="false">IF($C95="","",IF(NOT(SUMPRODUCT(--(Setup!$A$5:$A$24=$C95))&gt;0),"Machine not in Setup",IF(OR(NOT(ISNUMBER(K95)),N(K95)&lt;=0),"Set an ideal cycle time in Setup",IF(NOT(ISNUMBER(A95)),"Enter a date",IF(OR(NOT(ISNUMBER(D95)),NOT(ISNUMBER(G95)),AND(E95&lt;&gt;"",NOT(ISNUMBER(E95))),AND(F95&lt;&gt;"",NOT(ISNUMBER(F95))),AND(H95&lt;&gt;"",NOT(ISNUMBER(H95)))),"Enter numbers: shift length and total parts are required",IF(OR(N(D95)&lt;=0,N(E95)&lt;0,N(F95)&lt;0,N(G95)&lt;0,N(H95)&lt;0),"Values must be 0 or more (shift length above 0)",IF(N(H95)&gt;N(G95),"Rejects &gt; total parts",IF(N(E95)&gt;=N(D95),"Planned stops &gt;= shift length",IF(N(F95)&gt;N(D95)-N(E95),"Downtime &gt; planned time",IF(AND(ISNUMBER(O95),O95&gt;1),"Check: performance above 100%","OK"))))))))))</f>
        <v/>
      </c>
      <c r="S95" s="13" t="str">
        <f aca="false">IF($T95,K95*M95/60,"")</f>
        <v/>
      </c>
      <c r="T95" s="15" t="b">
        <f aca="false">IF($C95="",FALSE(),AND(SUMPRODUCT(--(Setup!$A$5:$A$24=$C95))&gt;0,ISNUMBER(A95),ISNUMBER(K95),N(K95)&gt;0,ISNUMBER(D95),N(D95)&gt;0,ISNUMBER(G95),N(G95)&gt;=0,OR(E95="",ISNUMBER(E95)),OR(F95="",ISNUMBER(F95)),OR(H95="",ISNUMBER(H95)),N(E95)&gt;=0,N(F95)&gt;=0,N(H95)&gt;=0,N(H95)&lt;=N(G95),N(E95)&lt;N(D95),N(F95)&lt;=N(D95)-N(E95)))</f>
        <v>0</v>
      </c>
    </row>
    <row r="96" customFormat="false" ht="15" hidden="false" customHeight="false" outlineLevel="0" collapsed="false">
      <c r="A96" s="11"/>
      <c r="B96" s="8"/>
      <c r="C96" s="8"/>
      <c r="D96" s="8"/>
      <c r="E96" s="8"/>
      <c r="F96" s="8"/>
      <c r="G96" s="8"/>
      <c r="H96" s="8"/>
      <c r="I96" s="12" t="str">
        <f aca="false">IF($T96,D96-N(E96),"")</f>
        <v/>
      </c>
      <c r="J96" s="12" t="str">
        <f aca="false">IF($T96,I96-N(F96),"")</f>
        <v/>
      </c>
      <c r="K96" s="13" t="str">
        <f aca="false">IF($C96="","",IF(SUMPRODUCT(--(Setup!$A$5:$A$24=$C96))&gt;0,INDEX(Setup!$B$5:$B$24,21-SUMPRODUCT(MAX((Setup!$A$5:$A$24=$C96)*(25-ROW(Setup!$A$5:$A$24))))),""))</f>
        <v/>
      </c>
      <c r="L96" s="13" t="str">
        <f aca="false">IF($T96,K96*G96/60,"")</f>
        <v/>
      </c>
      <c r="M96" s="12" t="str">
        <f aca="false">IF($T96,G96-N(H96),"")</f>
        <v/>
      </c>
      <c r="N96" s="14" t="str">
        <f aca="false">IF($T96,J96/I96,"")</f>
        <v/>
      </c>
      <c r="O96" s="14" t="str">
        <f aca="false">IF(AND($T96,N(J96)&gt;0),L96/J96,"")</f>
        <v/>
      </c>
      <c r="P96" s="14" t="str">
        <f aca="false">IF(AND($T96,N(G96)&gt;0),M96/G96,"")</f>
        <v/>
      </c>
      <c r="Q96" s="14" t="str">
        <f aca="false">IF($T96,S96/I96,"")</f>
        <v/>
      </c>
      <c r="R96" s="10" t="str">
        <f aca="false">IF($C96="","",IF(NOT(SUMPRODUCT(--(Setup!$A$5:$A$24=$C96))&gt;0),"Machine not in Setup",IF(OR(NOT(ISNUMBER(K96)),N(K96)&lt;=0),"Set an ideal cycle time in Setup",IF(NOT(ISNUMBER(A96)),"Enter a date",IF(OR(NOT(ISNUMBER(D96)),NOT(ISNUMBER(G96)),AND(E96&lt;&gt;"",NOT(ISNUMBER(E96))),AND(F96&lt;&gt;"",NOT(ISNUMBER(F96))),AND(H96&lt;&gt;"",NOT(ISNUMBER(H96)))),"Enter numbers: shift length and total parts are required",IF(OR(N(D96)&lt;=0,N(E96)&lt;0,N(F96)&lt;0,N(G96)&lt;0,N(H96)&lt;0),"Values must be 0 or more (shift length above 0)",IF(N(H96)&gt;N(G96),"Rejects &gt; total parts",IF(N(E96)&gt;=N(D96),"Planned stops &gt;= shift length",IF(N(F96)&gt;N(D96)-N(E96),"Downtime &gt; planned time",IF(AND(ISNUMBER(O96),O96&gt;1),"Check: performance above 100%","OK"))))))))))</f>
        <v/>
      </c>
      <c r="S96" s="13" t="str">
        <f aca="false">IF($T96,K96*M96/60,"")</f>
        <v/>
      </c>
      <c r="T96" s="15" t="b">
        <f aca="false">IF($C96="",FALSE(),AND(SUMPRODUCT(--(Setup!$A$5:$A$24=$C96))&gt;0,ISNUMBER(A96),ISNUMBER(K96),N(K96)&gt;0,ISNUMBER(D96),N(D96)&gt;0,ISNUMBER(G96),N(G96)&gt;=0,OR(E96="",ISNUMBER(E96)),OR(F96="",ISNUMBER(F96)),OR(H96="",ISNUMBER(H96)),N(E96)&gt;=0,N(F96)&gt;=0,N(H96)&gt;=0,N(H96)&lt;=N(G96),N(E96)&lt;N(D96),N(F96)&lt;=N(D96)-N(E96)))</f>
        <v>0</v>
      </c>
    </row>
    <row r="97" customFormat="false" ht="15" hidden="false" customHeight="false" outlineLevel="0" collapsed="false">
      <c r="A97" s="11"/>
      <c r="B97" s="8"/>
      <c r="C97" s="8"/>
      <c r="D97" s="8"/>
      <c r="E97" s="8"/>
      <c r="F97" s="8"/>
      <c r="G97" s="8"/>
      <c r="H97" s="8"/>
      <c r="I97" s="12" t="str">
        <f aca="false">IF($T97,D97-N(E97),"")</f>
        <v/>
      </c>
      <c r="J97" s="12" t="str">
        <f aca="false">IF($T97,I97-N(F97),"")</f>
        <v/>
      </c>
      <c r="K97" s="13" t="str">
        <f aca="false">IF($C97="","",IF(SUMPRODUCT(--(Setup!$A$5:$A$24=$C97))&gt;0,INDEX(Setup!$B$5:$B$24,21-SUMPRODUCT(MAX((Setup!$A$5:$A$24=$C97)*(25-ROW(Setup!$A$5:$A$24))))),""))</f>
        <v/>
      </c>
      <c r="L97" s="13" t="str">
        <f aca="false">IF($T97,K97*G97/60,"")</f>
        <v/>
      </c>
      <c r="M97" s="12" t="str">
        <f aca="false">IF($T97,G97-N(H97),"")</f>
        <v/>
      </c>
      <c r="N97" s="14" t="str">
        <f aca="false">IF($T97,J97/I97,"")</f>
        <v/>
      </c>
      <c r="O97" s="14" t="str">
        <f aca="false">IF(AND($T97,N(J97)&gt;0),L97/J97,"")</f>
        <v/>
      </c>
      <c r="P97" s="14" t="str">
        <f aca="false">IF(AND($T97,N(G97)&gt;0),M97/G97,"")</f>
        <v/>
      </c>
      <c r="Q97" s="14" t="str">
        <f aca="false">IF($T97,S97/I97,"")</f>
        <v/>
      </c>
      <c r="R97" s="10" t="str">
        <f aca="false">IF($C97="","",IF(NOT(SUMPRODUCT(--(Setup!$A$5:$A$24=$C97))&gt;0),"Machine not in Setup",IF(OR(NOT(ISNUMBER(K97)),N(K97)&lt;=0),"Set an ideal cycle time in Setup",IF(NOT(ISNUMBER(A97)),"Enter a date",IF(OR(NOT(ISNUMBER(D97)),NOT(ISNUMBER(G97)),AND(E97&lt;&gt;"",NOT(ISNUMBER(E97))),AND(F97&lt;&gt;"",NOT(ISNUMBER(F97))),AND(H97&lt;&gt;"",NOT(ISNUMBER(H97)))),"Enter numbers: shift length and total parts are required",IF(OR(N(D97)&lt;=0,N(E97)&lt;0,N(F97)&lt;0,N(G97)&lt;0,N(H97)&lt;0),"Values must be 0 or more (shift length above 0)",IF(N(H97)&gt;N(G97),"Rejects &gt; total parts",IF(N(E97)&gt;=N(D97),"Planned stops &gt;= shift length",IF(N(F97)&gt;N(D97)-N(E97),"Downtime &gt; planned time",IF(AND(ISNUMBER(O97),O97&gt;1),"Check: performance above 100%","OK"))))))))))</f>
        <v/>
      </c>
      <c r="S97" s="13" t="str">
        <f aca="false">IF($T97,K97*M97/60,"")</f>
        <v/>
      </c>
      <c r="T97" s="15" t="b">
        <f aca="false">IF($C97="",FALSE(),AND(SUMPRODUCT(--(Setup!$A$5:$A$24=$C97))&gt;0,ISNUMBER(A97),ISNUMBER(K97),N(K97)&gt;0,ISNUMBER(D97),N(D97)&gt;0,ISNUMBER(G97),N(G97)&gt;=0,OR(E97="",ISNUMBER(E97)),OR(F97="",ISNUMBER(F97)),OR(H97="",ISNUMBER(H97)),N(E97)&gt;=0,N(F97)&gt;=0,N(H97)&gt;=0,N(H97)&lt;=N(G97),N(E97)&lt;N(D97),N(F97)&lt;=N(D97)-N(E97)))</f>
        <v>0</v>
      </c>
    </row>
    <row r="98" customFormat="false" ht="15" hidden="false" customHeight="false" outlineLevel="0" collapsed="false">
      <c r="A98" s="11"/>
      <c r="B98" s="8"/>
      <c r="C98" s="8"/>
      <c r="D98" s="8"/>
      <c r="E98" s="8"/>
      <c r="F98" s="8"/>
      <c r="G98" s="8"/>
      <c r="H98" s="8"/>
      <c r="I98" s="12" t="str">
        <f aca="false">IF($T98,D98-N(E98),"")</f>
        <v/>
      </c>
      <c r="J98" s="12" t="str">
        <f aca="false">IF($T98,I98-N(F98),"")</f>
        <v/>
      </c>
      <c r="K98" s="13" t="str">
        <f aca="false">IF($C98="","",IF(SUMPRODUCT(--(Setup!$A$5:$A$24=$C98))&gt;0,INDEX(Setup!$B$5:$B$24,21-SUMPRODUCT(MAX((Setup!$A$5:$A$24=$C98)*(25-ROW(Setup!$A$5:$A$24))))),""))</f>
        <v/>
      </c>
      <c r="L98" s="13" t="str">
        <f aca="false">IF($T98,K98*G98/60,"")</f>
        <v/>
      </c>
      <c r="M98" s="12" t="str">
        <f aca="false">IF($T98,G98-N(H98),"")</f>
        <v/>
      </c>
      <c r="N98" s="14" t="str">
        <f aca="false">IF($T98,J98/I98,"")</f>
        <v/>
      </c>
      <c r="O98" s="14" t="str">
        <f aca="false">IF(AND($T98,N(J98)&gt;0),L98/J98,"")</f>
        <v/>
      </c>
      <c r="P98" s="14" t="str">
        <f aca="false">IF(AND($T98,N(G98)&gt;0),M98/G98,"")</f>
        <v/>
      </c>
      <c r="Q98" s="14" t="str">
        <f aca="false">IF($T98,S98/I98,"")</f>
        <v/>
      </c>
      <c r="R98" s="10" t="str">
        <f aca="false">IF($C98="","",IF(NOT(SUMPRODUCT(--(Setup!$A$5:$A$24=$C98))&gt;0),"Machine not in Setup",IF(OR(NOT(ISNUMBER(K98)),N(K98)&lt;=0),"Set an ideal cycle time in Setup",IF(NOT(ISNUMBER(A98)),"Enter a date",IF(OR(NOT(ISNUMBER(D98)),NOT(ISNUMBER(G98)),AND(E98&lt;&gt;"",NOT(ISNUMBER(E98))),AND(F98&lt;&gt;"",NOT(ISNUMBER(F98))),AND(H98&lt;&gt;"",NOT(ISNUMBER(H98)))),"Enter numbers: shift length and total parts are required",IF(OR(N(D98)&lt;=0,N(E98)&lt;0,N(F98)&lt;0,N(G98)&lt;0,N(H98)&lt;0),"Values must be 0 or more (shift length above 0)",IF(N(H98)&gt;N(G98),"Rejects &gt; total parts",IF(N(E98)&gt;=N(D98),"Planned stops &gt;= shift length",IF(N(F98)&gt;N(D98)-N(E98),"Downtime &gt; planned time",IF(AND(ISNUMBER(O98),O98&gt;1),"Check: performance above 100%","OK"))))))))))</f>
        <v/>
      </c>
      <c r="S98" s="13" t="str">
        <f aca="false">IF($T98,K98*M98/60,"")</f>
        <v/>
      </c>
      <c r="T98" s="15" t="b">
        <f aca="false">IF($C98="",FALSE(),AND(SUMPRODUCT(--(Setup!$A$5:$A$24=$C98))&gt;0,ISNUMBER(A98),ISNUMBER(K98),N(K98)&gt;0,ISNUMBER(D98),N(D98)&gt;0,ISNUMBER(G98),N(G98)&gt;=0,OR(E98="",ISNUMBER(E98)),OR(F98="",ISNUMBER(F98)),OR(H98="",ISNUMBER(H98)),N(E98)&gt;=0,N(F98)&gt;=0,N(H98)&gt;=0,N(H98)&lt;=N(G98),N(E98)&lt;N(D98),N(F98)&lt;=N(D98)-N(E98)))</f>
        <v>0</v>
      </c>
    </row>
    <row r="99" customFormat="false" ht="15" hidden="false" customHeight="false" outlineLevel="0" collapsed="false">
      <c r="A99" s="11"/>
      <c r="B99" s="8"/>
      <c r="C99" s="8"/>
      <c r="D99" s="8"/>
      <c r="E99" s="8"/>
      <c r="F99" s="8"/>
      <c r="G99" s="8"/>
      <c r="H99" s="8"/>
      <c r="I99" s="12" t="str">
        <f aca="false">IF($T99,D99-N(E99),"")</f>
        <v/>
      </c>
      <c r="J99" s="12" t="str">
        <f aca="false">IF($T99,I99-N(F99),"")</f>
        <v/>
      </c>
      <c r="K99" s="13" t="str">
        <f aca="false">IF($C99="","",IF(SUMPRODUCT(--(Setup!$A$5:$A$24=$C99))&gt;0,INDEX(Setup!$B$5:$B$24,21-SUMPRODUCT(MAX((Setup!$A$5:$A$24=$C99)*(25-ROW(Setup!$A$5:$A$24))))),""))</f>
        <v/>
      </c>
      <c r="L99" s="13" t="str">
        <f aca="false">IF($T99,K99*G99/60,"")</f>
        <v/>
      </c>
      <c r="M99" s="12" t="str">
        <f aca="false">IF($T99,G99-N(H99),"")</f>
        <v/>
      </c>
      <c r="N99" s="14" t="str">
        <f aca="false">IF($T99,J99/I99,"")</f>
        <v/>
      </c>
      <c r="O99" s="14" t="str">
        <f aca="false">IF(AND($T99,N(J99)&gt;0),L99/J99,"")</f>
        <v/>
      </c>
      <c r="P99" s="14" t="str">
        <f aca="false">IF(AND($T99,N(G99)&gt;0),M99/G99,"")</f>
        <v/>
      </c>
      <c r="Q99" s="14" t="str">
        <f aca="false">IF($T99,S99/I99,"")</f>
        <v/>
      </c>
      <c r="R99" s="10" t="str">
        <f aca="false">IF($C99="","",IF(NOT(SUMPRODUCT(--(Setup!$A$5:$A$24=$C99))&gt;0),"Machine not in Setup",IF(OR(NOT(ISNUMBER(K99)),N(K99)&lt;=0),"Set an ideal cycle time in Setup",IF(NOT(ISNUMBER(A99)),"Enter a date",IF(OR(NOT(ISNUMBER(D99)),NOT(ISNUMBER(G99)),AND(E99&lt;&gt;"",NOT(ISNUMBER(E99))),AND(F99&lt;&gt;"",NOT(ISNUMBER(F99))),AND(H99&lt;&gt;"",NOT(ISNUMBER(H99)))),"Enter numbers: shift length and total parts are required",IF(OR(N(D99)&lt;=0,N(E99)&lt;0,N(F99)&lt;0,N(G99)&lt;0,N(H99)&lt;0),"Values must be 0 or more (shift length above 0)",IF(N(H99)&gt;N(G99),"Rejects &gt; total parts",IF(N(E99)&gt;=N(D99),"Planned stops &gt;= shift length",IF(N(F99)&gt;N(D99)-N(E99),"Downtime &gt; planned time",IF(AND(ISNUMBER(O99),O99&gt;1),"Check: performance above 100%","OK"))))))))))</f>
        <v/>
      </c>
      <c r="S99" s="13" t="str">
        <f aca="false">IF($T99,K99*M99/60,"")</f>
        <v/>
      </c>
      <c r="T99" s="15" t="b">
        <f aca="false">IF($C99="",FALSE(),AND(SUMPRODUCT(--(Setup!$A$5:$A$24=$C99))&gt;0,ISNUMBER(A99),ISNUMBER(K99),N(K99)&gt;0,ISNUMBER(D99),N(D99)&gt;0,ISNUMBER(G99),N(G99)&gt;=0,OR(E99="",ISNUMBER(E99)),OR(F99="",ISNUMBER(F99)),OR(H99="",ISNUMBER(H99)),N(E99)&gt;=0,N(F99)&gt;=0,N(H99)&gt;=0,N(H99)&lt;=N(G99),N(E99)&lt;N(D99),N(F99)&lt;=N(D99)-N(E99)))</f>
        <v>0</v>
      </c>
    </row>
    <row r="100" customFormat="false" ht="15" hidden="false" customHeight="false" outlineLevel="0" collapsed="false">
      <c r="A100" s="11"/>
      <c r="B100" s="8"/>
      <c r="C100" s="8"/>
      <c r="D100" s="8"/>
      <c r="E100" s="8"/>
      <c r="F100" s="8"/>
      <c r="G100" s="8"/>
      <c r="H100" s="8"/>
      <c r="I100" s="12" t="str">
        <f aca="false">IF($T100,D100-N(E100),"")</f>
        <v/>
      </c>
      <c r="J100" s="12" t="str">
        <f aca="false">IF($T100,I100-N(F100),"")</f>
        <v/>
      </c>
      <c r="K100" s="13" t="str">
        <f aca="false">IF($C100="","",IF(SUMPRODUCT(--(Setup!$A$5:$A$24=$C100))&gt;0,INDEX(Setup!$B$5:$B$24,21-SUMPRODUCT(MAX((Setup!$A$5:$A$24=$C100)*(25-ROW(Setup!$A$5:$A$24))))),""))</f>
        <v/>
      </c>
      <c r="L100" s="13" t="str">
        <f aca="false">IF($T100,K100*G100/60,"")</f>
        <v/>
      </c>
      <c r="M100" s="12" t="str">
        <f aca="false">IF($T100,G100-N(H100),"")</f>
        <v/>
      </c>
      <c r="N100" s="14" t="str">
        <f aca="false">IF($T100,J100/I100,"")</f>
        <v/>
      </c>
      <c r="O100" s="14" t="str">
        <f aca="false">IF(AND($T100,N(J100)&gt;0),L100/J100,"")</f>
        <v/>
      </c>
      <c r="P100" s="14" t="str">
        <f aca="false">IF(AND($T100,N(G100)&gt;0),M100/G100,"")</f>
        <v/>
      </c>
      <c r="Q100" s="14" t="str">
        <f aca="false">IF($T100,S100/I100,"")</f>
        <v/>
      </c>
      <c r="R100" s="10" t="str">
        <f aca="false">IF($C100="","",IF(NOT(SUMPRODUCT(--(Setup!$A$5:$A$24=$C100))&gt;0),"Machine not in Setup",IF(OR(NOT(ISNUMBER(K100)),N(K100)&lt;=0),"Set an ideal cycle time in Setup",IF(NOT(ISNUMBER(A100)),"Enter a date",IF(OR(NOT(ISNUMBER(D100)),NOT(ISNUMBER(G100)),AND(E100&lt;&gt;"",NOT(ISNUMBER(E100))),AND(F100&lt;&gt;"",NOT(ISNUMBER(F100))),AND(H100&lt;&gt;"",NOT(ISNUMBER(H100)))),"Enter numbers: shift length and total parts are required",IF(OR(N(D100)&lt;=0,N(E100)&lt;0,N(F100)&lt;0,N(G100)&lt;0,N(H100)&lt;0),"Values must be 0 or more (shift length above 0)",IF(N(H100)&gt;N(G100),"Rejects &gt; total parts",IF(N(E100)&gt;=N(D100),"Planned stops &gt;= shift length",IF(N(F100)&gt;N(D100)-N(E100),"Downtime &gt; planned time",IF(AND(ISNUMBER(O100),O100&gt;1),"Check: performance above 100%","OK"))))))))))</f>
        <v/>
      </c>
      <c r="S100" s="13" t="str">
        <f aca="false">IF($T100,K100*M100/60,"")</f>
        <v/>
      </c>
      <c r="T100" s="15" t="b">
        <f aca="false">IF($C100="",FALSE(),AND(SUMPRODUCT(--(Setup!$A$5:$A$24=$C100))&gt;0,ISNUMBER(A100),ISNUMBER(K100),N(K100)&gt;0,ISNUMBER(D100),N(D100)&gt;0,ISNUMBER(G100),N(G100)&gt;=0,OR(E100="",ISNUMBER(E100)),OR(F100="",ISNUMBER(F100)),OR(H100="",ISNUMBER(H100)),N(E100)&gt;=0,N(F100)&gt;=0,N(H100)&gt;=0,N(H100)&lt;=N(G100),N(E100)&lt;N(D100),N(F100)&lt;=N(D100)-N(E100)))</f>
        <v>0</v>
      </c>
    </row>
    <row r="101" customFormat="false" ht="15" hidden="false" customHeight="false" outlineLevel="0" collapsed="false">
      <c r="A101" s="11"/>
      <c r="B101" s="8"/>
      <c r="C101" s="8"/>
      <c r="D101" s="8"/>
      <c r="E101" s="8"/>
      <c r="F101" s="8"/>
      <c r="G101" s="8"/>
      <c r="H101" s="8"/>
      <c r="I101" s="12" t="str">
        <f aca="false">IF($T101,D101-N(E101),"")</f>
        <v/>
      </c>
      <c r="J101" s="12" t="str">
        <f aca="false">IF($T101,I101-N(F101),"")</f>
        <v/>
      </c>
      <c r="K101" s="13" t="str">
        <f aca="false">IF($C101="","",IF(SUMPRODUCT(--(Setup!$A$5:$A$24=$C101))&gt;0,INDEX(Setup!$B$5:$B$24,21-SUMPRODUCT(MAX((Setup!$A$5:$A$24=$C101)*(25-ROW(Setup!$A$5:$A$24))))),""))</f>
        <v/>
      </c>
      <c r="L101" s="13" t="str">
        <f aca="false">IF($T101,K101*G101/60,"")</f>
        <v/>
      </c>
      <c r="M101" s="12" t="str">
        <f aca="false">IF($T101,G101-N(H101),"")</f>
        <v/>
      </c>
      <c r="N101" s="14" t="str">
        <f aca="false">IF($T101,J101/I101,"")</f>
        <v/>
      </c>
      <c r="O101" s="14" t="str">
        <f aca="false">IF(AND($T101,N(J101)&gt;0),L101/J101,"")</f>
        <v/>
      </c>
      <c r="P101" s="14" t="str">
        <f aca="false">IF(AND($T101,N(G101)&gt;0),M101/G101,"")</f>
        <v/>
      </c>
      <c r="Q101" s="14" t="str">
        <f aca="false">IF($T101,S101/I101,"")</f>
        <v/>
      </c>
      <c r="R101" s="10" t="str">
        <f aca="false">IF($C101="","",IF(NOT(SUMPRODUCT(--(Setup!$A$5:$A$24=$C101))&gt;0),"Machine not in Setup",IF(OR(NOT(ISNUMBER(K101)),N(K101)&lt;=0),"Set an ideal cycle time in Setup",IF(NOT(ISNUMBER(A101)),"Enter a date",IF(OR(NOT(ISNUMBER(D101)),NOT(ISNUMBER(G101)),AND(E101&lt;&gt;"",NOT(ISNUMBER(E101))),AND(F101&lt;&gt;"",NOT(ISNUMBER(F101))),AND(H101&lt;&gt;"",NOT(ISNUMBER(H101)))),"Enter numbers: shift length and total parts are required",IF(OR(N(D101)&lt;=0,N(E101)&lt;0,N(F101)&lt;0,N(G101)&lt;0,N(H101)&lt;0),"Values must be 0 or more (shift length above 0)",IF(N(H101)&gt;N(G101),"Rejects &gt; total parts",IF(N(E101)&gt;=N(D101),"Planned stops &gt;= shift length",IF(N(F101)&gt;N(D101)-N(E101),"Downtime &gt; planned time",IF(AND(ISNUMBER(O101),O101&gt;1),"Check: performance above 100%","OK"))))))))))</f>
        <v/>
      </c>
      <c r="S101" s="13" t="str">
        <f aca="false">IF($T101,K101*M101/60,"")</f>
        <v/>
      </c>
      <c r="T101" s="15" t="b">
        <f aca="false">IF($C101="",FALSE(),AND(SUMPRODUCT(--(Setup!$A$5:$A$24=$C101))&gt;0,ISNUMBER(A101),ISNUMBER(K101),N(K101)&gt;0,ISNUMBER(D101),N(D101)&gt;0,ISNUMBER(G101),N(G101)&gt;=0,OR(E101="",ISNUMBER(E101)),OR(F101="",ISNUMBER(F101)),OR(H101="",ISNUMBER(H101)),N(E101)&gt;=0,N(F101)&gt;=0,N(H101)&gt;=0,N(H101)&lt;=N(G101),N(E101)&lt;N(D101),N(F101)&lt;=N(D101)-N(E101)))</f>
        <v>0</v>
      </c>
    </row>
    <row r="102" customFormat="false" ht="15" hidden="false" customHeight="false" outlineLevel="0" collapsed="false">
      <c r="A102" s="11"/>
      <c r="B102" s="8"/>
      <c r="C102" s="8"/>
      <c r="D102" s="8"/>
      <c r="E102" s="8"/>
      <c r="F102" s="8"/>
      <c r="G102" s="8"/>
      <c r="H102" s="8"/>
      <c r="I102" s="12" t="str">
        <f aca="false">IF($T102,D102-N(E102),"")</f>
        <v/>
      </c>
      <c r="J102" s="12" t="str">
        <f aca="false">IF($T102,I102-N(F102),"")</f>
        <v/>
      </c>
      <c r="K102" s="13" t="str">
        <f aca="false">IF($C102="","",IF(SUMPRODUCT(--(Setup!$A$5:$A$24=$C102))&gt;0,INDEX(Setup!$B$5:$B$24,21-SUMPRODUCT(MAX((Setup!$A$5:$A$24=$C102)*(25-ROW(Setup!$A$5:$A$24))))),""))</f>
        <v/>
      </c>
      <c r="L102" s="13" t="str">
        <f aca="false">IF($T102,K102*G102/60,"")</f>
        <v/>
      </c>
      <c r="M102" s="12" t="str">
        <f aca="false">IF($T102,G102-N(H102),"")</f>
        <v/>
      </c>
      <c r="N102" s="14" t="str">
        <f aca="false">IF($T102,J102/I102,"")</f>
        <v/>
      </c>
      <c r="O102" s="14" t="str">
        <f aca="false">IF(AND($T102,N(J102)&gt;0),L102/J102,"")</f>
        <v/>
      </c>
      <c r="P102" s="14" t="str">
        <f aca="false">IF(AND($T102,N(G102)&gt;0),M102/G102,"")</f>
        <v/>
      </c>
      <c r="Q102" s="14" t="str">
        <f aca="false">IF($T102,S102/I102,"")</f>
        <v/>
      </c>
      <c r="R102" s="10" t="str">
        <f aca="false">IF($C102="","",IF(NOT(SUMPRODUCT(--(Setup!$A$5:$A$24=$C102))&gt;0),"Machine not in Setup",IF(OR(NOT(ISNUMBER(K102)),N(K102)&lt;=0),"Set an ideal cycle time in Setup",IF(NOT(ISNUMBER(A102)),"Enter a date",IF(OR(NOT(ISNUMBER(D102)),NOT(ISNUMBER(G102)),AND(E102&lt;&gt;"",NOT(ISNUMBER(E102))),AND(F102&lt;&gt;"",NOT(ISNUMBER(F102))),AND(H102&lt;&gt;"",NOT(ISNUMBER(H102)))),"Enter numbers: shift length and total parts are required",IF(OR(N(D102)&lt;=0,N(E102)&lt;0,N(F102)&lt;0,N(G102)&lt;0,N(H102)&lt;0),"Values must be 0 or more (shift length above 0)",IF(N(H102)&gt;N(G102),"Rejects &gt; total parts",IF(N(E102)&gt;=N(D102),"Planned stops &gt;= shift length",IF(N(F102)&gt;N(D102)-N(E102),"Downtime &gt; planned time",IF(AND(ISNUMBER(O102),O102&gt;1),"Check: performance above 100%","OK"))))))))))</f>
        <v/>
      </c>
      <c r="S102" s="13" t="str">
        <f aca="false">IF($T102,K102*M102/60,"")</f>
        <v/>
      </c>
      <c r="T102" s="15" t="b">
        <f aca="false">IF($C102="",FALSE(),AND(SUMPRODUCT(--(Setup!$A$5:$A$24=$C102))&gt;0,ISNUMBER(A102),ISNUMBER(K102),N(K102)&gt;0,ISNUMBER(D102),N(D102)&gt;0,ISNUMBER(G102),N(G102)&gt;=0,OR(E102="",ISNUMBER(E102)),OR(F102="",ISNUMBER(F102)),OR(H102="",ISNUMBER(H102)),N(E102)&gt;=0,N(F102)&gt;=0,N(H102)&gt;=0,N(H102)&lt;=N(G102),N(E102)&lt;N(D102),N(F102)&lt;=N(D102)-N(E102)))</f>
        <v>0</v>
      </c>
    </row>
    <row r="103" customFormat="false" ht="15" hidden="false" customHeight="false" outlineLevel="0" collapsed="false">
      <c r="A103" s="11"/>
      <c r="B103" s="8"/>
      <c r="C103" s="8"/>
      <c r="D103" s="8"/>
      <c r="E103" s="8"/>
      <c r="F103" s="8"/>
      <c r="G103" s="8"/>
      <c r="H103" s="8"/>
      <c r="I103" s="12" t="str">
        <f aca="false">IF($T103,D103-N(E103),"")</f>
        <v/>
      </c>
      <c r="J103" s="12" t="str">
        <f aca="false">IF($T103,I103-N(F103),"")</f>
        <v/>
      </c>
      <c r="K103" s="13" t="str">
        <f aca="false">IF($C103="","",IF(SUMPRODUCT(--(Setup!$A$5:$A$24=$C103))&gt;0,INDEX(Setup!$B$5:$B$24,21-SUMPRODUCT(MAX((Setup!$A$5:$A$24=$C103)*(25-ROW(Setup!$A$5:$A$24))))),""))</f>
        <v/>
      </c>
      <c r="L103" s="13" t="str">
        <f aca="false">IF($T103,K103*G103/60,"")</f>
        <v/>
      </c>
      <c r="M103" s="12" t="str">
        <f aca="false">IF($T103,G103-N(H103),"")</f>
        <v/>
      </c>
      <c r="N103" s="14" t="str">
        <f aca="false">IF($T103,J103/I103,"")</f>
        <v/>
      </c>
      <c r="O103" s="14" t="str">
        <f aca="false">IF(AND($T103,N(J103)&gt;0),L103/J103,"")</f>
        <v/>
      </c>
      <c r="P103" s="14" t="str">
        <f aca="false">IF(AND($T103,N(G103)&gt;0),M103/G103,"")</f>
        <v/>
      </c>
      <c r="Q103" s="14" t="str">
        <f aca="false">IF($T103,S103/I103,"")</f>
        <v/>
      </c>
      <c r="R103" s="10" t="str">
        <f aca="false">IF($C103="","",IF(NOT(SUMPRODUCT(--(Setup!$A$5:$A$24=$C103))&gt;0),"Machine not in Setup",IF(OR(NOT(ISNUMBER(K103)),N(K103)&lt;=0),"Set an ideal cycle time in Setup",IF(NOT(ISNUMBER(A103)),"Enter a date",IF(OR(NOT(ISNUMBER(D103)),NOT(ISNUMBER(G103)),AND(E103&lt;&gt;"",NOT(ISNUMBER(E103))),AND(F103&lt;&gt;"",NOT(ISNUMBER(F103))),AND(H103&lt;&gt;"",NOT(ISNUMBER(H103)))),"Enter numbers: shift length and total parts are required",IF(OR(N(D103)&lt;=0,N(E103)&lt;0,N(F103)&lt;0,N(G103)&lt;0,N(H103)&lt;0),"Values must be 0 or more (shift length above 0)",IF(N(H103)&gt;N(G103),"Rejects &gt; total parts",IF(N(E103)&gt;=N(D103),"Planned stops &gt;= shift length",IF(N(F103)&gt;N(D103)-N(E103),"Downtime &gt; planned time",IF(AND(ISNUMBER(O103),O103&gt;1),"Check: performance above 100%","OK"))))))))))</f>
        <v/>
      </c>
      <c r="S103" s="13" t="str">
        <f aca="false">IF($T103,K103*M103/60,"")</f>
        <v/>
      </c>
      <c r="T103" s="15" t="b">
        <f aca="false">IF($C103="",FALSE(),AND(SUMPRODUCT(--(Setup!$A$5:$A$24=$C103))&gt;0,ISNUMBER(A103),ISNUMBER(K103),N(K103)&gt;0,ISNUMBER(D103),N(D103)&gt;0,ISNUMBER(G103),N(G103)&gt;=0,OR(E103="",ISNUMBER(E103)),OR(F103="",ISNUMBER(F103)),OR(H103="",ISNUMBER(H103)),N(E103)&gt;=0,N(F103)&gt;=0,N(H103)&gt;=0,N(H103)&lt;=N(G103),N(E103)&lt;N(D103),N(F103)&lt;=N(D103)-N(E103)))</f>
        <v>0</v>
      </c>
    </row>
    <row r="104" customFormat="false" ht="15" hidden="false" customHeight="false" outlineLevel="0" collapsed="false">
      <c r="A104" s="11"/>
      <c r="B104" s="8"/>
      <c r="C104" s="8"/>
      <c r="D104" s="8"/>
      <c r="E104" s="8"/>
      <c r="F104" s="8"/>
      <c r="G104" s="8"/>
      <c r="H104" s="8"/>
      <c r="I104" s="12" t="str">
        <f aca="false">IF($T104,D104-N(E104),"")</f>
        <v/>
      </c>
      <c r="J104" s="12" t="str">
        <f aca="false">IF($T104,I104-N(F104),"")</f>
        <v/>
      </c>
      <c r="K104" s="13" t="str">
        <f aca="false">IF($C104="","",IF(SUMPRODUCT(--(Setup!$A$5:$A$24=$C104))&gt;0,INDEX(Setup!$B$5:$B$24,21-SUMPRODUCT(MAX((Setup!$A$5:$A$24=$C104)*(25-ROW(Setup!$A$5:$A$24))))),""))</f>
        <v/>
      </c>
      <c r="L104" s="13" t="str">
        <f aca="false">IF($T104,K104*G104/60,"")</f>
        <v/>
      </c>
      <c r="M104" s="12" t="str">
        <f aca="false">IF($T104,G104-N(H104),"")</f>
        <v/>
      </c>
      <c r="N104" s="14" t="str">
        <f aca="false">IF($T104,J104/I104,"")</f>
        <v/>
      </c>
      <c r="O104" s="14" t="str">
        <f aca="false">IF(AND($T104,N(J104)&gt;0),L104/J104,"")</f>
        <v/>
      </c>
      <c r="P104" s="14" t="str">
        <f aca="false">IF(AND($T104,N(G104)&gt;0),M104/G104,"")</f>
        <v/>
      </c>
      <c r="Q104" s="14" t="str">
        <f aca="false">IF($T104,S104/I104,"")</f>
        <v/>
      </c>
      <c r="R104" s="10" t="str">
        <f aca="false">IF($C104="","",IF(NOT(SUMPRODUCT(--(Setup!$A$5:$A$24=$C104))&gt;0),"Machine not in Setup",IF(OR(NOT(ISNUMBER(K104)),N(K104)&lt;=0),"Set an ideal cycle time in Setup",IF(NOT(ISNUMBER(A104)),"Enter a date",IF(OR(NOT(ISNUMBER(D104)),NOT(ISNUMBER(G104)),AND(E104&lt;&gt;"",NOT(ISNUMBER(E104))),AND(F104&lt;&gt;"",NOT(ISNUMBER(F104))),AND(H104&lt;&gt;"",NOT(ISNUMBER(H104)))),"Enter numbers: shift length and total parts are required",IF(OR(N(D104)&lt;=0,N(E104)&lt;0,N(F104)&lt;0,N(G104)&lt;0,N(H104)&lt;0),"Values must be 0 or more (shift length above 0)",IF(N(H104)&gt;N(G104),"Rejects &gt; total parts",IF(N(E104)&gt;=N(D104),"Planned stops &gt;= shift length",IF(N(F104)&gt;N(D104)-N(E104),"Downtime &gt; planned time",IF(AND(ISNUMBER(O104),O104&gt;1),"Check: performance above 100%","OK"))))))))))</f>
        <v/>
      </c>
      <c r="S104" s="13" t="str">
        <f aca="false">IF($T104,K104*M104/60,"")</f>
        <v/>
      </c>
      <c r="T104" s="15" t="b">
        <f aca="false">IF($C104="",FALSE(),AND(SUMPRODUCT(--(Setup!$A$5:$A$24=$C104))&gt;0,ISNUMBER(A104),ISNUMBER(K104),N(K104)&gt;0,ISNUMBER(D104),N(D104)&gt;0,ISNUMBER(G104),N(G104)&gt;=0,OR(E104="",ISNUMBER(E104)),OR(F104="",ISNUMBER(F104)),OR(H104="",ISNUMBER(H104)),N(E104)&gt;=0,N(F104)&gt;=0,N(H104)&gt;=0,N(H104)&lt;=N(G104),N(E104)&lt;N(D104),N(F104)&lt;=N(D104)-N(E104)))</f>
        <v>0</v>
      </c>
    </row>
    <row r="105" customFormat="false" ht="15" hidden="false" customHeight="false" outlineLevel="0" collapsed="false">
      <c r="A105" s="11"/>
      <c r="B105" s="8"/>
      <c r="C105" s="8"/>
      <c r="D105" s="8"/>
      <c r="E105" s="8"/>
      <c r="F105" s="8"/>
      <c r="G105" s="8"/>
      <c r="H105" s="8"/>
      <c r="I105" s="12" t="str">
        <f aca="false">IF($T105,D105-N(E105),"")</f>
        <v/>
      </c>
      <c r="J105" s="12" t="str">
        <f aca="false">IF($T105,I105-N(F105),"")</f>
        <v/>
      </c>
      <c r="K105" s="13" t="str">
        <f aca="false">IF($C105="","",IF(SUMPRODUCT(--(Setup!$A$5:$A$24=$C105))&gt;0,INDEX(Setup!$B$5:$B$24,21-SUMPRODUCT(MAX((Setup!$A$5:$A$24=$C105)*(25-ROW(Setup!$A$5:$A$24))))),""))</f>
        <v/>
      </c>
      <c r="L105" s="13" t="str">
        <f aca="false">IF($T105,K105*G105/60,"")</f>
        <v/>
      </c>
      <c r="M105" s="12" t="str">
        <f aca="false">IF($T105,G105-N(H105),"")</f>
        <v/>
      </c>
      <c r="N105" s="14" t="str">
        <f aca="false">IF($T105,J105/I105,"")</f>
        <v/>
      </c>
      <c r="O105" s="14" t="str">
        <f aca="false">IF(AND($T105,N(J105)&gt;0),L105/J105,"")</f>
        <v/>
      </c>
      <c r="P105" s="14" t="str">
        <f aca="false">IF(AND($T105,N(G105)&gt;0),M105/G105,"")</f>
        <v/>
      </c>
      <c r="Q105" s="14" t="str">
        <f aca="false">IF($T105,S105/I105,"")</f>
        <v/>
      </c>
      <c r="R105" s="10" t="str">
        <f aca="false">IF($C105="","",IF(NOT(SUMPRODUCT(--(Setup!$A$5:$A$24=$C105))&gt;0),"Machine not in Setup",IF(OR(NOT(ISNUMBER(K105)),N(K105)&lt;=0),"Set an ideal cycle time in Setup",IF(NOT(ISNUMBER(A105)),"Enter a date",IF(OR(NOT(ISNUMBER(D105)),NOT(ISNUMBER(G105)),AND(E105&lt;&gt;"",NOT(ISNUMBER(E105))),AND(F105&lt;&gt;"",NOT(ISNUMBER(F105))),AND(H105&lt;&gt;"",NOT(ISNUMBER(H105)))),"Enter numbers: shift length and total parts are required",IF(OR(N(D105)&lt;=0,N(E105)&lt;0,N(F105)&lt;0,N(G105)&lt;0,N(H105)&lt;0),"Values must be 0 or more (shift length above 0)",IF(N(H105)&gt;N(G105),"Rejects &gt; total parts",IF(N(E105)&gt;=N(D105),"Planned stops &gt;= shift length",IF(N(F105)&gt;N(D105)-N(E105),"Downtime &gt; planned time",IF(AND(ISNUMBER(O105),O105&gt;1),"Check: performance above 100%","OK"))))))))))</f>
        <v/>
      </c>
      <c r="S105" s="13" t="str">
        <f aca="false">IF($T105,K105*M105/60,"")</f>
        <v/>
      </c>
      <c r="T105" s="15" t="b">
        <f aca="false">IF($C105="",FALSE(),AND(SUMPRODUCT(--(Setup!$A$5:$A$24=$C105))&gt;0,ISNUMBER(A105),ISNUMBER(K105),N(K105)&gt;0,ISNUMBER(D105),N(D105)&gt;0,ISNUMBER(G105),N(G105)&gt;=0,OR(E105="",ISNUMBER(E105)),OR(F105="",ISNUMBER(F105)),OR(H105="",ISNUMBER(H105)),N(E105)&gt;=0,N(F105)&gt;=0,N(H105)&gt;=0,N(H105)&lt;=N(G105),N(E105)&lt;N(D105),N(F105)&lt;=N(D105)-N(E105)))</f>
        <v>0</v>
      </c>
    </row>
    <row r="106" customFormat="false" ht="15" hidden="false" customHeight="false" outlineLevel="0" collapsed="false">
      <c r="A106" s="11"/>
      <c r="B106" s="8"/>
      <c r="C106" s="8"/>
      <c r="D106" s="8"/>
      <c r="E106" s="8"/>
      <c r="F106" s="8"/>
      <c r="G106" s="8"/>
      <c r="H106" s="8"/>
      <c r="I106" s="12" t="str">
        <f aca="false">IF($T106,D106-N(E106),"")</f>
        <v/>
      </c>
      <c r="J106" s="12" t="str">
        <f aca="false">IF($T106,I106-N(F106),"")</f>
        <v/>
      </c>
      <c r="K106" s="13" t="str">
        <f aca="false">IF($C106="","",IF(SUMPRODUCT(--(Setup!$A$5:$A$24=$C106))&gt;0,INDEX(Setup!$B$5:$B$24,21-SUMPRODUCT(MAX((Setup!$A$5:$A$24=$C106)*(25-ROW(Setup!$A$5:$A$24))))),""))</f>
        <v/>
      </c>
      <c r="L106" s="13" t="str">
        <f aca="false">IF($T106,K106*G106/60,"")</f>
        <v/>
      </c>
      <c r="M106" s="12" t="str">
        <f aca="false">IF($T106,G106-N(H106),"")</f>
        <v/>
      </c>
      <c r="N106" s="14" t="str">
        <f aca="false">IF($T106,J106/I106,"")</f>
        <v/>
      </c>
      <c r="O106" s="14" t="str">
        <f aca="false">IF(AND($T106,N(J106)&gt;0),L106/J106,"")</f>
        <v/>
      </c>
      <c r="P106" s="14" t="str">
        <f aca="false">IF(AND($T106,N(G106)&gt;0),M106/G106,"")</f>
        <v/>
      </c>
      <c r="Q106" s="14" t="str">
        <f aca="false">IF($T106,S106/I106,"")</f>
        <v/>
      </c>
      <c r="R106" s="10" t="str">
        <f aca="false">IF($C106="","",IF(NOT(SUMPRODUCT(--(Setup!$A$5:$A$24=$C106))&gt;0),"Machine not in Setup",IF(OR(NOT(ISNUMBER(K106)),N(K106)&lt;=0),"Set an ideal cycle time in Setup",IF(NOT(ISNUMBER(A106)),"Enter a date",IF(OR(NOT(ISNUMBER(D106)),NOT(ISNUMBER(G106)),AND(E106&lt;&gt;"",NOT(ISNUMBER(E106))),AND(F106&lt;&gt;"",NOT(ISNUMBER(F106))),AND(H106&lt;&gt;"",NOT(ISNUMBER(H106)))),"Enter numbers: shift length and total parts are required",IF(OR(N(D106)&lt;=0,N(E106)&lt;0,N(F106)&lt;0,N(G106)&lt;0,N(H106)&lt;0),"Values must be 0 or more (shift length above 0)",IF(N(H106)&gt;N(G106),"Rejects &gt; total parts",IF(N(E106)&gt;=N(D106),"Planned stops &gt;= shift length",IF(N(F106)&gt;N(D106)-N(E106),"Downtime &gt; planned time",IF(AND(ISNUMBER(O106),O106&gt;1),"Check: performance above 100%","OK"))))))))))</f>
        <v/>
      </c>
      <c r="S106" s="13" t="str">
        <f aca="false">IF($T106,K106*M106/60,"")</f>
        <v/>
      </c>
      <c r="T106" s="15" t="b">
        <f aca="false">IF($C106="",FALSE(),AND(SUMPRODUCT(--(Setup!$A$5:$A$24=$C106))&gt;0,ISNUMBER(A106),ISNUMBER(K106),N(K106)&gt;0,ISNUMBER(D106),N(D106)&gt;0,ISNUMBER(G106),N(G106)&gt;=0,OR(E106="",ISNUMBER(E106)),OR(F106="",ISNUMBER(F106)),OR(H106="",ISNUMBER(H106)),N(E106)&gt;=0,N(F106)&gt;=0,N(H106)&gt;=0,N(H106)&lt;=N(G106),N(E106)&lt;N(D106),N(F106)&lt;=N(D106)-N(E106)))</f>
        <v>0</v>
      </c>
    </row>
    <row r="107" customFormat="false" ht="15" hidden="false" customHeight="false" outlineLevel="0" collapsed="false">
      <c r="A107" s="11"/>
      <c r="B107" s="8"/>
      <c r="C107" s="8"/>
      <c r="D107" s="8"/>
      <c r="E107" s="8"/>
      <c r="F107" s="8"/>
      <c r="G107" s="8"/>
      <c r="H107" s="8"/>
      <c r="I107" s="12" t="str">
        <f aca="false">IF($T107,D107-N(E107),"")</f>
        <v/>
      </c>
      <c r="J107" s="12" t="str">
        <f aca="false">IF($T107,I107-N(F107),"")</f>
        <v/>
      </c>
      <c r="K107" s="13" t="str">
        <f aca="false">IF($C107="","",IF(SUMPRODUCT(--(Setup!$A$5:$A$24=$C107))&gt;0,INDEX(Setup!$B$5:$B$24,21-SUMPRODUCT(MAX((Setup!$A$5:$A$24=$C107)*(25-ROW(Setup!$A$5:$A$24))))),""))</f>
        <v/>
      </c>
      <c r="L107" s="13" t="str">
        <f aca="false">IF($T107,K107*G107/60,"")</f>
        <v/>
      </c>
      <c r="M107" s="12" t="str">
        <f aca="false">IF($T107,G107-N(H107),"")</f>
        <v/>
      </c>
      <c r="N107" s="14" t="str">
        <f aca="false">IF($T107,J107/I107,"")</f>
        <v/>
      </c>
      <c r="O107" s="14" t="str">
        <f aca="false">IF(AND($T107,N(J107)&gt;0),L107/J107,"")</f>
        <v/>
      </c>
      <c r="P107" s="14" t="str">
        <f aca="false">IF(AND($T107,N(G107)&gt;0),M107/G107,"")</f>
        <v/>
      </c>
      <c r="Q107" s="14" t="str">
        <f aca="false">IF($T107,S107/I107,"")</f>
        <v/>
      </c>
      <c r="R107" s="10" t="str">
        <f aca="false">IF($C107="","",IF(NOT(SUMPRODUCT(--(Setup!$A$5:$A$24=$C107))&gt;0),"Machine not in Setup",IF(OR(NOT(ISNUMBER(K107)),N(K107)&lt;=0),"Set an ideal cycle time in Setup",IF(NOT(ISNUMBER(A107)),"Enter a date",IF(OR(NOT(ISNUMBER(D107)),NOT(ISNUMBER(G107)),AND(E107&lt;&gt;"",NOT(ISNUMBER(E107))),AND(F107&lt;&gt;"",NOT(ISNUMBER(F107))),AND(H107&lt;&gt;"",NOT(ISNUMBER(H107)))),"Enter numbers: shift length and total parts are required",IF(OR(N(D107)&lt;=0,N(E107)&lt;0,N(F107)&lt;0,N(G107)&lt;0,N(H107)&lt;0),"Values must be 0 or more (shift length above 0)",IF(N(H107)&gt;N(G107),"Rejects &gt; total parts",IF(N(E107)&gt;=N(D107),"Planned stops &gt;= shift length",IF(N(F107)&gt;N(D107)-N(E107),"Downtime &gt; planned time",IF(AND(ISNUMBER(O107),O107&gt;1),"Check: performance above 100%","OK"))))))))))</f>
        <v/>
      </c>
      <c r="S107" s="13" t="str">
        <f aca="false">IF($T107,K107*M107/60,"")</f>
        <v/>
      </c>
      <c r="T107" s="15" t="b">
        <f aca="false">IF($C107="",FALSE(),AND(SUMPRODUCT(--(Setup!$A$5:$A$24=$C107))&gt;0,ISNUMBER(A107),ISNUMBER(K107),N(K107)&gt;0,ISNUMBER(D107),N(D107)&gt;0,ISNUMBER(G107),N(G107)&gt;=0,OR(E107="",ISNUMBER(E107)),OR(F107="",ISNUMBER(F107)),OR(H107="",ISNUMBER(H107)),N(E107)&gt;=0,N(F107)&gt;=0,N(H107)&gt;=0,N(H107)&lt;=N(G107),N(E107)&lt;N(D107),N(F107)&lt;=N(D107)-N(E107)))</f>
        <v>0</v>
      </c>
    </row>
    <row r="108" customFormat="false" ht="15" hidden="false" customHeight="false" outlineLevel="0" collapsed="false">
      <c r="A108" s="11"/>
      <c r="B108" s="8"/>
      <c r="C108" s="8"/>
      <c r="D108" s="8"/>
      <c r="E108" s="8"/>
      <c r="F108" s="8"/>
      <c r="G108" s="8"/>
      <c r="H108" s="8"/>
      <c r="I108" s="12" t="str">
        <f aca="false">IF($T108,D108-N(E108),"")</f>
        <v/>
      </c>
      <c r="J108" s="12" t="str">
        <f aca="false">IF($T108,I108-N(F108),"")</f>
        <v/>
      </c>
      <c r="K108" s="13" t="str">
        <f aca="false">IF($C108="","",IF(SUMPRODUCT(--(Setup!$A$5:$A$24=$C108))&gt;0,INDEX(Setup!$B$5:$B$24,21-SUMPRODUCT(MAX((Setup!$A$5:$A$24=$C108)*(25-ROW(Setup!$A$5:$A$24))))),""))</f>
        <v/>
      </c>
      <c r="L108" s="13" t="str">
        <f aca="false">IF($T108,K108*G108/60,"")</f>
        <v/>
      </c>
      <c r="M108" s="12" t="str">
        <f aca="false">IF($T108,G108-N(H108),"")</f>
        <v/>
      </c>
      <c r="N108" s="14" t="str">
        <f aca="false">IF($T108,J108/I108,"")</f>
        <v/>
      </c>
      <c r="O108" s="14" t="str">
        <f aca="false">IF(AND($T108,N(J108)&gt;0),L108/J108,"")</f>
        <v/>
      </c>
      <c r="P108" s="14" t="str">
        <f aca="false">IF(AND($T108,N(G108)&gt;0),M108/G108,"")</f>
        <v/>
      </c>
      <c r="Q108" s="14" t="str">
        <f aca="false">IF($T108,S108/I108,"")</f>
        <v/>
      </c>
      <c r="R108" s="10" t="str">
        <f aca="false">IF($C108="","",IF(NOT(SUMPRODUCT(--(Setup!$A$5:$A$24=$C108))&gt;0),"Machine not in Setup",IF(OR(NOT(ISNUMBER(K108)),N(K108)&lt;=0),"Set an ideal cycle time in Setup",IF(NOT(ISNUMBER(A108)),"Enter a date",IF(OR(NOT(ISNUMBER(D108)),NOT(ISNUMBER(G108)),AND(E108&lt;&gt;"",NOT(ISNUMBER(E108))),AND(F108&lt;&gt;"",NOT(ISNUMBER(F108))),AND(H108&lt;&gt;"",NOT(ISNUMBER(H108)))),"Enter numbers: shift length and total parts are required",IF(OR(N(D108)&lt;=0,N(E108)&lt;0,N(F108)&lt;0,N(G108)&lt;0,N(H108)&lt;0),"Values must be 0 or more (shift length above 0)",IF(N(H108)&gt;N(G108),"Rejects &gt; total parts",IF(N(E108)&gt;=N(D108),"Planned stops &gt;= shift length",IF(N(F108)&gt;N(D108)-N(E108),"Downtime &gt; planned time",IF(AND(ISNUMBER(O108),O108&gt;1),"Check: performance above 100%","OK"))))))))))</f>
        <v/>
      </c>
      <c r="S108" s="13" t="str">
        <f aca="false">IF($T108,K108*M108/60,"")</f>
        <v/>
      </c>
      <c r="T108" s="15" t="b">
        <f aca="false">IF($C108="",FALSE(),AND(SUMPRODUCT(--(Setup!$A$5:$A$24=$C108))&gt;0,ISNUMBER(A108),ISNUMBER(K108),N(K108)&gt;0,ISNUMBER(D108),N(D108)&gt;0,ISNUMBER(G108),N(G108)&gt;=0,OR(E108="",ISNUMBER(E108)),OR(F108="",ISNUMBER(F108)),OR(H108="",ISNUMBER(H108)),N(E108)&gt;=0,N(F108)&gt;=0,N(H108)&gt;=0,N(H108)&lt;=N(G108),N(E108)&lt;N(D108),N(F108)&lt;=N(D108)-N(E108)))</f>
        <v>0</v>
      </c>
    </row>
    <row r="109" customFormat="false" ht="15" hidden="false" customHeight="false" outlineLevel="0" collapsed="false">
      <c r="A109" s="11"/>
      <c r="B109" s="8"/>
      <c r="C109" s="8"/>
      <c r="D109" s="8"/>
      <c r="E109" s="8"/>
      <c r="F109" s="8"/>
      <c r="G109" s="8"/>
      <c r="H109" s="8"/>
      <c r="I109" s="12" t="str">
        <f aca="false">IF($T109,D109-N(E109),"")</f>
        <v/>
      </c>
      <c r="J109" s="12" t="str">
        <f aca="false">IF($T109,I109-N(F109),"")</f>
        <v/>
      </c>
      <c r="K109" s="13" t="str">
        <f aca="false">IF($C109="","",IF(SUMPRODUCT(--(Setup!$A$5:$A$24=$C109))&gt;0,INDEX(Setup!$B$5:$B$24,21-SUMPRODUCT(MAX((Setup!$A$5:$A$24=$C109)*(25-ROW(Setup!$A$5:$A$24))))),""))</f>
        <v/>
      </c>
      <c r="L109" s="13" t="str">
        <f aca="false">IF($T109,K109*G109/60,"")</f>
        <v/>
      </c>
      <c r="M109" s="12" t="str">
        <f aca="false">IF($T109,G109-N(H109),"")</f>
        <v/>
      </c>
      <c r="N109" s="14" t="str">
        <f aca="false">IF($T109,J109/I109,"")</f>
        <v/>
      </c>
      <c r="O109" s="14" t="str">
        <f aca="false">IF(AND($T109,N(J109)&gt;0),L109/J109,"")</f>
        <v/>
      </c>
      <c r="P109" s="14" t="str">
        <f aca="false">IF(AND($T109,N(G109)&gt;0),M109/G109,"")</f>
        <v/>
      </c>
      <c r="Q109" s="14" t="str">
        <f aca="false">IF($T109,S109/I109,"")</f>
        <v/>
      </c>
      <c r="R109" s="10" t="str">
        <f aca="false">IF($C109="","",IF(NOT(SUMPRODUCT(--(Setup!$A$5:$A$24=$C109))&gt;0),"Machine not in Setup",IF(OR(NOT(ISNUMBER(K109)),N(K109)&lt;=0),"Set an ideal cycle time in Setup",IF(NOT(ISNUMBER(A109)),"Enter a date",IF(OR(NOT(ISNUMBER(D109)),NOT(ISNUMBER(G109)),AND(E109&lt;&gt;"",NOT(ISNUMBER(E109))),AND(F109&lt;&gt;"",NOT(ISNUMBER(F109))),AND(H109&lt;&gt;"",NOT(ISNUMBER(H109)))),"Enter numbers: shift length and total parts are required",IF(OR(N(D109)&lt;=0,N(E109)&lt;0,N(F109)&lt;0,N(G109)&lt;0,N(H109)&lt;0),"Values must be 0 or more (shift length above 0)",IF(N(H109)&gt;N(G109),"Rejects &gt; total parts",IF(N(E109)&gt;=N(D109),"Planned stops &gt;= shift length",IF(N(F109)&gt;N(D109)-N(E109),"Downtime &gt; planned time",IF(AND(ISNUMBER(O109),O109&gt;1),"Check: performance above 100%","OK"))))))))))</f>
        <v/>
      </c>
      <c r="S109" s="13" t="str">
        <f aca="false">IF($T109,K109*M109/60,"")</f>
        <v/>
      </c>
      <c r="T109" s="15" t="b">
        <f aca="false">IF($C109="",FALSE(),AND(SUMPRODUCT(--(Setup!$A$5:$A$24=$C109))&gt;0,ISNUMBER(A109),ISNUMBER(K109),N(K109)&gt;0,ISNUMBER(D109),N(D109)&gt;0,ISNUMBER(G109),N(G109)&gt;=0,OR(E109="",ISNUMBER(E109)),OR(F109="",ISNUMBER(F109)),OR(H109="",ISNUMBER(H109)),N(E109)&gt;=0,N(F109)&gt;=0,N(H109)&gt;=0,N(H109)&lt;=N(G109),N(E109)&lt;N(D109),N(F109)&lt;=N(D109)-N(E109)))</f>
        <v>0</v>
      </c>
    </row>
    <row r="110" customFormat="false" ht="15" hidden="false" customHeight="false" outlineLevel="0" collapsed="false">
      <c r="A110" s="11"/>
      <c r="B110" s="8"/>
      <c r="C110" s="8"/>
      <c r="D110" s="8"/>
      <c r="E110" s="8"/>
      <c r="F110" s="8"/>
      <c r="G110" s="8"/>
      <c r="H110" s="8"/>
      <c r="I110" s="12" t="str">
        <f aca="false">IF($T110,D110-N(E110),"")</f>
        <v/>
      </c>
      <c r="J110" s="12" t="str">
        <f aca="false">IF($T110,I110-N(F110),"")</f>
        <v/>
      </c>
      <c r="K110" s="13" t="str">
        <f aca="false">IF($C110="","",IF(SUMPRODUCT(--(Setup!$A$5:$A$24=$C110))&gt;0,INDEX(Setup!$B$5:$B$24,21-SUMPRODUCT(MAX((Setup!$A$5:$A$24=$C110)*(25-ROW(Setup!$A$5:$A$24))))),""))</f>
        <v/>
      </c>
      <c r="L110" s="13" t="str">
        <f aca="false">IF($T110,K110*G110/60,"")</f>
        <v/>
      </c>
      <c r="M110" s="12" t="str">
        <f aca="false">IF($T110,G110-N(H110),"")</f>
        <v/>
      </c>
      <c r="N110" s="14" t="str">
        <f aca="false">IF($T110,J110/I110,"")</f>
        <v/>
      </c>
      <c r="O110" s="14" t="str">
        <f aca="false">IF(AND($T110,N(J110)&gt;0),L110/J110,"")</f>
        <v/>
      </c>
      <c r="P110" s="14" t="str">
        <f aca="false">IF(AND($T110,N(G110)&gt;0),M110/G110,"")</f>
        <v/>
      </c>
      <c r="Q110" s="14" t="str">
        <f aca="false">IF($T110,S110/I110,"")</f>
        <v/>
      </c>
      <c r="R110" s="10" t="str">
        <f aca="false">IF($C110="","",IF(NOT(SUMPRODUCT(--(Setup!$A$5:$A$24=$C110))&gt;0),"Machine not in Setup",IF(OR(NOT(ISNUMBER(K110)),N(K110)&lt;=0),"Set an ideal cycle time in Setup",IF(NOT(ISNUMBER(A110)),"Enter a date",IF(OR(NOT(ISNUMBER(D110)),NOT(ISNUMBER(G110)),AND(E110&lt;&gt;"",NOT(ISNUMBER(E110))),AND(F110&lt;&gt;"",NOT(ISNUMBER(F110))),AND(H110&lt;&gt;"",NOT(ISNUMBER(H110)))),"Enter numbers: shift length and total parts are required",IF(OR(N(D110)&lt;=0,N(E110)&lt;0,N(F110)&lt;0,N(G110)&lt;0,N(H110)&lt;0),"Values must be 0 or more (shift length above 0)",IF(N(H110)&gt;N(G110),"Rejects &gt; total parts",IF(N(E110)&gt;=N(D110),"Planned stops &gt;= shift length",IF(N(F110)&gt;N(D110)-N(E110),"Downtime &gt; planned time",IF(AND(ISNUMBER(O110),O110&gt;1),"Check: performance above 100%","OK"))))))))))</f>
        <v/>
      </c>
      <c r="S110" s="13" t="str">
        <f aca="false">IF($T110,K110*M110/60,"")</f>
        <v/>
      </c>
      <c r="T110" s="15" t="b">
        <f aca="false">IF($C110="",FALSE(),AND(SUMPRODUCT(--(Setup!$A$5:$A$24=$C110))&gt;0,ISNUMBER(A110),ISNUMBER(K110),N(K110)&gt;0,ISNUMBER(D110),N(D110)&gt;0,ISNUMBER(G110),N(G110)&gt;=0,OR(E110="",ISNUMBER(E110)),OR(F110="",ISNUMBER(F110)),OR(H110="",ISNUMBER(H110)),N(E110)&gt;=0,N(F110)&gt;=0,N(H110)&gt;=0,N(H110)&lt;=N(G110),N(E110)&lt;N(D110),N(F110)&lt;=N(D110)-N(E110)))</f>
        <v>0</v>
      </c>
    </row>
    <row r="111" customFormat="false" ht="15" hidden="false" customHeight="false" outlineLevel="0" collapsed="false">
      <c r="A111" s="11"/>
      <c r="B111" s="8"/>
      <c r="C111" s="8"/>
      <c r="D111" s="8"/>
      <c r="E111" s="8"/>
      <c r="F111" s="8"/>
      <c r="G111" s="8"/>
      <c r="H111" s="8"/>
      <c r="I111" s="12" t="str">
        <f aca="false">IF($T111,D111-N(E111),"")</f>
        <v/>
      </c>
      <c r="J111" s="12" t="str">
        <f aca="false">IF($T111,I111-N(F111),"")</f>
        <v/>
      </c>
      <c r="K111" s="13" t="str">
        <f aca="false">IF($C111="","",IF(SUMPRODUCT(--(Setup!$A$5:$A$24=$C111))&gt;0,INDEX(Setup!$B$5:$B$24,21-SUMPRODUCT(MAX((Setup!$A$5:$A$24=$C111)*(25-ROW(Setup!$A$5:$A$24))))),""))</f>
        <v/>
      </c>
      <c r="L111" s="13" t="str">
        <f aca="false">IF($T111,K111*G111/60,"")</f>
        <v/>
      </c>
      <c r="M111" s="12" t="str">
        <f aca="false">IF($T111,G111-N(H111),"")</f>
        <v/>
      </c>
      <c r="N111" s="14" t="str">
        <f aca="false">IF($T111,J111/I111,"")</f>
        <v/>
      </c>
      <c r="O111" s="14" t="str">
        <f aca="false">IF(AND($T111,N(J111)&gt;0),L111/J111,"")</f>
        <v/>
      </c>
      <c r="P111" s="14" t="str">
        <f aca="false">IF(AND($T111,N(G111)&gt;0),M111/G111,"")</f>
        <v/>
      </c>
      <c r="Q111" s="14" t="str">
        <f aca="false">IF($T111,S111/I111,"")</f>
        <v/>
      </c>
      <c r="R111" s="10" t="str">
        <f aca="false">IF($C111="","",IF(NOT(SUMPRODUCT(--(Setup!$A$5:$A$24=$C111))&gt;0),"Machine not in Setup",IF(OR(NOT(ISNUMBER(K111)),N(K111)&lt;=0),"Set an ideal cycle time in Setup",IF(NOT(ISNUMBER(A111)),"Enter a date",IF(OR(NOT(ISNUMBER(D111)),NOT(ISNUMBER(G111)),AND(E111&lt;&gt;"",NOT(ISNUMBER(E111))),AND(F111&lt;&gt;"",NOT(ISNUMBER(F111))),AND(H111&lt;&gt;"",NOT(ISNUMBER(H111)))),"Enter numbers: shift length and total parts are required",IF(OR(N(D111)&lt;=0,N(E111)&lt;0,N(F111)&lt;0,N(G111)&lt;0,N(H111)&lt;0),"Values must be 0 or more (shift length above 0)",IF(N(H111)&gt;N(G111),"Rejects &gt; total parts",IF(N(E111)&gt;=N(D111),"Planned stops &gt;= shift length",IF(N(F111)&gt;N(D111)-N(E111),"Downtime &gt; planned time",IF(AND(ISNUMBER(O111),O111&gt;1),"Check: performance above 100%","OK"))))))))))</f>
        <v/>
      </c>
      <c r="S111" s="13" t="str">
        <f aca="false">IF($T111,K111*M111/60,"")</f>
        <v/>
      </c>
      <c r="T111" s="15" t="b">
        <f aca="false">IF($C111="",FALSE(),AND(SUMPRODUCT(--(Setup!$A$5:$A$24=$C111))&gt;0,ISNUMBER(A111),ISNUMBER(K111),N(K111)&gt;0,ISNUMBER(D111),N(D111)&gt;0,ISNUMBER(G111),N(G111)&gt;=0,OR(E111="",ISNUMBER(E111)),OR(F111="",ISNUMBER(F111)),OR(H111="",ISNUMBER(H111)),N(E111)&gt;=0,N(F111)&gt;=0,N(H111)&gt;=0,N(H111)&lt;=N(G111),N(E111)&lt;N(D111),N(F111)&lt;=N(D111)-N(E111)))</f>
        <v>0</v>
      </c>
    </row>
    <row r="112" customFormat="false" ht="15" hidden="false" customHeight="false" outlineLevel="0" collapsed="false">
      <c r="A112" s="11"/>
      <c r="B112" s="8"/>
      <c r="C112" s="8"/>
      <c r="D112" s="8"/>
      <c r="E112" s="8"/>
      <c r="F112" s="8"/>
      <c r="G112" s="8"/>
      <c r="H112" s="8"/>
      <c r="I112" s="12" t="str">
        <f aca="false">IF($T112,D112-N(E112),"")</f>
        <v/>
      </c>
      <c r="J112" s="12" t="str">
        <f aca="false">IF($T112,I112-N(F112),"")</f>
        <v/>
      </c>
      <c r="K112" s="13" t="str">
        <f aca="false">IF($C112="","",IF(SUMPRODUCT(--(Setup!$A$5:$A$24=$C112))&gt;0,INDEX(Setup!$B$5:$B$24,21-SUMPRODUCT(MAX((Setup!$A$5:$A$24=$C112)*(25-ROW(Setup!$A$5:$A$24))))),""))</f>
        <v/>
      </c>
      <c r="L112" s="13" t="str">
        <f aca="false">IF($T112,K112*G112/60,"")</f>
        <v/>
      </c>
      <c r="M112" s="12" t="str">
        <f aca="false">IF($T112,G112-N(H112),"")</f>
        <v/>
      </c>
      <c r="N112" s="14" t="str">
        <f aca="false">IF($T112,J112/I112,"")</f>
        <v/>
      </c>
      <c r="O112" s="14" t="str">
        <f aca="false">IF(AND($T112,N(J112)&gt;0),L112/J112,"")</f>
        <v/>
      </c>
      <c r="P112" s="14" t="str">
        <f aca="false">IF(AND($T112,N(G112)&gt;0),M112/G112,"")</f>
        <v/>
      </c>
      <c r="Q112" s="14" t="str">
        <f aca="false">IF($T112,S112/I112,"")</f>
        <v/>
      </c>
      <c r="R112" s="10" t="str">
        <f aca="false">IF($C112="","",IF(NOT(SUMPRODUCT(--(Setup!$A$5:$A$24=$C112))&gt;0),"Machine not in Setup",IF(OR(NOT(ISNUMBER(K112)),N(K112)&lt;=0),"Set an ideal cycle time in Setup",IF(NOT(ISNUMBER(A112)),"Enter a date",IF(OR(NOT(ISNUMBER(D112)),NOT(ISNUMBER(G112)),AND(E112&lt;&gt;"",NOT(ISNUMBER(E112))),AND(F112&lt;&gt;"",NOT(ISNUMBER(F112))),AND(H112&lt;&gt;"",NOT(ISNUMBER(H112)))),"Enter numbers: shift length and total parts are required",IF(OR(N(D112)&lt;=0,N(E112)&lt;0,N(F112)&lt;0,N(G112)&lt;0,N(H112)&lt;0),"Values must be 0 or more (shift length above 0)",IF(N(H112)&gt;N(G112),"Rejects &gt; total parts",IF(N(E112)&gt;=N(D112),"Planned stops &gt;= shift length",IF(N(F112)&gt;N(D112)-N(E112),"Downtime &gt; planned time",IF(AND(ISNUMBER(O112),O112&gt;1),"Check: performance above 100%","OK"))))))))))</f>
        <v/>
      </c>
      <c r="S112" s="13" t="str">
        <f aca="false">IF($T112,K112*M112/60,"")</f>
        <v/>
      </c>
      <c r="T112" s="15" t="b">
        <f aca="false">IF($C112="",FALSE(),AND(SUMPRODUCT(--(Setup!$A$5:$A$24=$C112))&gt;0,ISNUMBER(A112),ISNUMBER(K112),N(K112)&gt;0,ISNUMBER(D112),N(D112)&gt;0,ISNUMBER(G112),N(G112)&gt;=0,OR(E112="",ISNUMBER(E112)),OR(F112="",ISNUMBER(F112)),OR(H112="",ISNUMBER(H112)),N(E112)&gt;=0,N(F112)&gt;=0,N(H112)&gt;=0,N(H112)&lt;=N(G112),N(E112)&lt;N(D112),N(F112)&lt;=N(D112)-N(E112)))</f>
        <v>0</v>
      </c>
    </row>
    <row r="113" customFormat="false" ht="15" hidden="false" customHeight="false" outlineLevel="0" collapsed="false">
      <c r="A113" s="11"/>
      <c r="B113" s="8"/>
      <c r="C113" s="8"/>
      <c r="D113" s="8"/>
      <c r="E113" s="8"/>
      <c r="F113" s="8"/>
      <c r="G113" s="8"/>
      <c r="H113" s="8"/>
      <c r="I113" s="12" t="str">
        <f aca="false">IF($T113,D113-N(E113),"")</f>
        <v/>
      </c>
      <c r="J113" s="12" t="str">
        <f aca="false">IF($T113,I113-N(F113),"")</f>
        <v/>
      </c>
      <c r="K113" s="13" t="str">
        <f aca="false">IF($C113="","",IF(SUMPRODUCT(--(Setup!$A$5:$A$24=$C113))&gt;0,INDEX(Setup!$B$5:$B$24,21-SUMPRODUCT(MAX((Setup!$A$5:$A$24=$C113)*(25-ROW(Setup!$A$5:$A$24))))),""))</f>
        <v/>
      </c>
      <c r="L113" s="13" t="str">
        <f aca="false">IF($T113,K113*G113/60,"")</f>
        <v/>
      </c>
      <c r="M113" s="12" t="str">
        <f aca="false">IF($T113,G113-N(H113),"")</f>
        <v/>
      </c>
      <c r="N113" s="14" t="str">
        <f aca="false">IF($T113,J113/I113,"")</f>
        <v/>
      </c>
      <c r="O113" s="14" t="str">
        <f aca="false">IF(AND($T113,N(J113)&gt;0),L113/J113,"")</f>
        <v/>
      </c>
      <c r="P113" s="14" t="str">
        <f aca="false">IF(AND($T113,N(G113)&gt;0),M113/G113,"")</f>
        <v/>
      </c>
      <c r="Q113" s="14" t="str">
        <f aca="false">IF($T113,S113/I113,"")</f>
        <v/>
      </c>
      <c r="R113" s="10" t="str">
        <f aca="false">IF($C113="","",IF(NOT(SUMPRODUCT(--(Setup!$A$5:$A$24=$C113))&gt;0),"Machine not in Setup",IF(OR(NOT(ISNUMBER(K113)),N(K113)&lt;=0),"Set an ideal cycle time in Setup",IF(NOT(ISNUMBER(A113)),"Enter a date",IF(OR(NOT(ISNUMBER(D113)),NOT(ISNUMBER(G113)),AND(E113&lt;&gt;"",NOT(ISNUMBER(E113))),AND(F113&lt;&gt;"",NOT(ISNUMBER(F113))),AND(H113&lt;&gt;"",NOT(ISNUMBER(H113)))),"Enter numbers: shift length and total parts are required",IF(OR(N(D113)&lt;=0,N(E113)&lt;0,N(F113)&lt;0,N(G113)&lt;0,N(H113)&lt;0),"Values must be 0 or more (shift length above 0)",IF(N(H113)&gt;N(G113),"Rejects &gt; total parts",IF(N(E113)&gt;=N(D113),"Planned stops &gt;= shift length",IF(N(F113)&gt;N(D113)-N(E113),"Downtime &gt; planned time",IF(AND(ISNUMBER(O113),O113&gt;1),"Check: performance above 100%","OK"))))))))))</f>
        <v/>
      </c>
      <c r="S113" s="13" t="str">
        <f aca="false">IF($T113,K113*M113/60,"")</f>
        <v/>
      </c>
      <c r="T113" s="15" t="b">
        <f aca="false">IF($C113="",FALSE(),AND(SUMPRODUCT(--(Setup!$A$5:$A$24=$C113))&gt;0,ISNUMBER(A113),ISNUMBER(K113),N(K113)&gt;0,ISNUMBER(D113),N(D113)&gt;0,ISNUMBER(G113),N(G113)&gt;=0,OR(E113="",ISNUMBER(E113)),OR(F113="",ISNUMBER(F113)),OR(H113="",ISNUMBER(H113)),N(E113)&gt;=0,N(F113)&gt;=0,N(H113)&gt;=0,N(H113)&lt;=N(G113),N(E113)&lt;N(D113),N(F113)&lt;=N(D113)-N(E113)))</f>
        <v>0</v>
      </c>
    </row>
    <row r="114" customFormat="false" ht="15" hidden="false" customHeight="false" outlineLevel="0" collapsed="false">
      <c r="A114" s="11"/>
      <c r="B114" s="8"/>
      <c r="C114" s="8"/>
      <c r="D114" s="8"/>
      <c r="E114" s="8"/>
      <c r="F114" s="8"/>
      <c r="G114" s="8"/>
      <c r="H114" s="8"/>
      <c r="I114" s="12" t="str">
        <f aca="false">IF($T114,D114-N(E114),"")</f>
        <v/>
      </c>
      <c r="J114" s="12" t="str">
        <f aca="false">IF($T114,I114-N(F114),"")</f>
        <v/>
      </c>
      <c r="K114" s="13" t="str">
        <f aca="false">IF($C114="","",IF(SUMPRODUCT(--(Setup!$A$5:$A$24=$C114))&gt;0,INDEX(Setup!$B$5:$B$24,21-SUMPRODUCT(MAX((Setup!$A$5:$A$24=$C114)*(25-ROW(Setup!$A$5:$A$24))))),""))</f>
        <v/>
      </c>
      <c r="L114" s="13" t="str">
        <f aca="false">IF($T114,K114*G114/60,"")</f>
        <v/>
      </c>
      <c r="M114" s="12" t="str">
        <f aca="false">IF($T114,G114-N(H114),"")</f>
        <v/>
      </c>
      <c r="N114" s="14" t="str">
        <f aca="false">IF($T114,J114/I114,"")</f>
        <v/>
      </c>
      <c r="O114" s="14" t="str">
        <f aca="false">IF(AND($T114,N(J114)&gt;0),L114/J114,"")</f>
        <v/>
      </c>
      <c r="P114" s="14" t="str">
        <f aca="false">IF(AND($T114,N(G114)&gt;0),M114/G114,"")</f>
        <v/>
      </c>
      <c r="Q114" s="14" t="str">
        <f aca="false">IF($T114,S114/I114,"")</f>
        <v/>
      </c>
      <c r="R114" s="10" t="str">
        <f aca="false">IF($C114="","",IF(NOT(SUMPRODUCT(--(Setup!$A$5:$A$24=$C114))&gt;0),"Machine not in Setup",IF(OR(NOT(ISNUMBER(K114)),N(K114)&lt;=0),"Set an ideal cycle time in Setup",IF(NOT(ISNUMBER(A114)),"Enter a date",IF(OR(NOT(ISNUMBER(D114)),NOT(ISNUMBER(G114)),AND(E114&lt;&gt;"",NOT(ISNUMBER(E114))),AND(F114&lt;&gt;"",NOT(ISNUMBER(F114))),AND(H114&lt;&gt;"",NOT(ISNUMBER(H114)))),"Enter numbers: shift length and total parts are required",IF(OR(N(D114)&lt;=0,N(E114)&lt;0,N(F114)&lt;0,N(G114)&lt;0,N(H114)&lt;0),"Values must be 0 or more (shift length above 0)",IF(N(H114)&gt;N(G114),"Rejects &gt; total parts",IF(N(E114)&gt;=N(D114),"Planned stops &gt;= shift length",IF(N(F114)&gt;N(D114)-N(E114),"Downtime &gt; planned time",IF(AND(ISNUMBER(O114),O114&gt;1),"Check: performance above 100%","OK"))))))))))</f>
        <v/>
      </c>
      <c r="S114" s="13" t="str">
        <f aca="false">IF($T114,K114*M114/60,"")</f>
        <v/>
      </c>
      <c r="T114" s="15" t="b">
        <f aca="false">IF($C114="",FALSE(),AND(SUMPRODUCT(--(Setup!$A$5:$A$24=$C114))&gt;0,ISNUMBER(A114),ISNUMBER(K114),N(K114)&gt;0,ISNUMBER(D114),N(D114)&gt;0,ISNUMBER(G114),N(G114)&gt;=0,OR(E114="",ISNUMBER(E114)),OR(F114="",ISNUMBER(F114)),OR(H114="",ISNUMBER(H114)),N(E114)&gt;=0,N(F114)&gt;=0,N(H114)&gt;=0,N(H114)&lt;=N(G114),N(E114)&lt;N(D114),N(F114)&lt;=N(D114)-N(E114)))</f>
        <v>0</v>
      </c>
    </row>
    <row r="115" customFormat="false" ht="15" hidden="false" customHeight="false" outlineLevel="0" collapsed="false">
      <c r="A115" s="11"/>
      <c r="B115" s="8"/>
      <c r="C115" s="8"/>
      <c r="D115" s="8"/>
      <c r="E115" s="8"/>
      <c r="F115" s="8"/>
      <c r="G115" s="8"/>
      <c r="H115" s="8"/>
      <c r="I115" s="12" t="str">
        <f aca="false">IF($T115,D115-N(E115),"")</f>
        <v/>
      </c>
      <c r="J115" s="12" t="str">
        <f aca="false">IF($T115,I115-N(F115),"")</f>
        <v/>
      </c>
      <c r="K115" s="13" t="str">
        <f aca="false">IF($C115="","",IF(SUMPRODUCT(--(Setup!$A$5:$A$24=$C115))&gt;0,INDEX(Setup!$B$5:$B$24,21-SUMPRODUCT(MAX((Setup!$A$5:$A$24=$C115)*(25-ROW(Setup!$A$5:$A$24))))),""))</f>
        <v/>
      </c>
      <c r="L115" s="13" t="str">
        <f aca="false">IF($T115,K115*G115/60,"")</f>
        <v/>
      </c>
      <c r="M115" s="12" t="str">
        <f aca="false">IF($T115,G115-N(H115),"")</f>
        <v/>
      </c>
      <c r="N115" s="14" t="str">
        <f aca="false">IF($T115,J115/I115,"")</f>
        <v/>
      </c>
      <c r="O115" s="14" t="str">
        <f aca="false">IF(AND($T115,N(J115)&gt;0),L115/J115,"")</f>
        <v/>
      </c>
      <c r="P115" s="14" t="str">
        <f aca="false">IF(AND($T115,N(G115)&gt;0),M115/G115,"")</f>
        <v/>
      </c>
      <c r="Q115" s="14" t="str">
        <f aca="false">IF($T115,S115/I115,"")</f>
        <v/>
      </c>
      <c r="R115" s="10" t="str">
        <f aca="false">IF($C115="","",IF(NOT(SUMPRODUCT(--(Setup!$A$5:$A$24=$C115))&gt;0),"Machine not in Setup",IF(OR(NOT(ISNUMBER(K115)),N(K115)&lt;=0),"Set an ideal cycle time in Setup",IF(NOT(ISNUMBER(A115)),"Enter a date",IF(OR(NOT(ISNUMBER(D115)),NOT(ISNUMBER(G115)),AND(E115&lt;&gt;"",NOT(ISNUMBER(E115))),AND(F115&lt;&gt;"",NOT(ISNUMBER(F115))),AND(H115&lt;&gt;"",NOT(ISNUMBER(H115)))),"Enter numbers: shift length and total parts are required",IF(OR(N(D115)&lt;=0,N(E115)&lt;0,N(F115)&lt;0,N(G115)&lt;0,N(H115)&lt;0),"Values must be 0 or more (shift length above 0)",IF(N(H115)&gt;N(G115),"Rejects &gt; total parts",IF(N(E115)&gt;=N(D115),"Planned stops &gt;= shift length",IF(N(F115)&gt;N(D115)-N(E115),"Downtime &gt; planned time",IF(AND(ISNUMBER(O115),O115&gt;1),"Check: performance above 100%","OK"))))))))))</f>
        <v/>
      </c>
      <c r="S115" s="13" t="str">
        <f aca="false">IF($T115,K115*M115/60,"")</f>
        <v/>
      </c>
      <c r="T115" s="15" t="b">
        <f aca="false">IF($C115="",FALSE(),AND(SUMPRODUCT(--(Setup!$A$5:$A$24=$C115))&gt;0,ISNUMBER(A115),ISNUMBER(K115),N(K115)&gt;0,ISNUMBER(D115),N(D115)&gt;0,ISNUMBER(G115),N(G115)&gt;=0,OR(E115="",ISNUMBER(E115)),OR(F115="",ISNUMBER(F115)),OR(H115="",ISNUMBER(H115)),N(E115)&gt;=0,N(F115)&gt;=0,N(H115)&gt;=0,N(H115)&lt;=N(G115),N(E115)&lt;N(D115),N(F115)&lt;=N(D115)-N(E115)))</f>
        <v>0</v>
      </c>
    </row>
    <row r="116" customFormat="false" ht="15" hidden="false" customHeight="false" outlineLevel="0" collapsed="false">
      <c r="A116" s="11"/>
      <c r="B116" s="8"/>
      <c r="C116" s="8"/>
      <c r="D116" s="8"/>
      <c r="E116" s="8"/>
      <c r="F116" s="8"/>
      <c r="G116" s="8"/>
      <c r="H116" s="8"/>
      <c r="I116" s="12" t="str">
        <f aca="false">IF($T116,D116-N(E116),"")</f>
        <v/>
      </c>
      <c r="J116" s="12" t="str">
        <f aca="false">IF($T116,I116-N(F116),"")</f>
        <v/>
      </c>
      <c r="K116" s="13" t="str">
        <f aca="false">IF($C116="","",IF(SUMPRODUCT(--(Setup!$A$5:$A$24=$C116))&gt;0,INDEX(Setup!$B$5:$B$24,21-SUMPRODUCT(MAX((Setup!$A$5:$A$24=$C116)*(25-ROW(Setup!$A$5:$A$24))))),""))</f>
        <v/>
      </c>
      <c r="L116" s="13" t="str">
        <f aca="false">IF($T116,K116*G116/60,"")</f>
        <v/>
      </c>
      <c r="M116" s="12" t="str">
        <f aca="false">IF($T116,G116-N(H116),"")</f>
        <v/>
      </c>
      <c r="N116" s="14" t="str">
        <f aca="false">IF($T116,J116/I116,"")</f>
        <v/>
      </c>
      <c r="O116" s="14" t="str">
        <f aca="false">IF(AND($T116,N(J116)&gt;0),L116/J116,"")</f>
        <v/>
      </c>
      <c r="P116" s="14" t="str">
        <f aca="false">IF(AND($T116,N(G116)&gt;0),M116/G116,"")</f>
        <v/>
      </c>
      <c r="Q116" s="14" t="str">
        <f aca="false">IF($T116,S116/I116,"")</f>
        <v/>
      </c>
      <c r="R116" s="10" t="str">
        <f aca="false">IF($C116="","",IF(NOT(SUMPRODUCT(--(Setup!$A$5:$A$24=$C116))&gt;0),"Machine not in Setup",IF(OR(NOT(ISNUMBER(K116)),N(K116)&lt;=0),"Set an ideal cycle time in Setup",IF(NOT(ISNUMBER(A116)),"Enter a date",IF(OR(NOT(ISNUMBER(D116)),NOT(ISNUMBER(G116)),AND(E116&lt;&gt;"",NOT(ISNUMBER(E116))),AND(F116&lt;&gt;"",NOT(ISNUMBER(F116))),AND(H116&lt;&gt;"",NOT(ISNUMBER(H116)))),"Enter numbers: shift length and total parts are required",IF(OR(N(D116)&lt;=0,N(E116)&lt;0,N(F116)&lt;0,N(G116)&lt;0,N(H116)&lt;0),"Values must be 0 or more (shift length above 0)",IF(N(H116)&gt;N(G116),"Rejects &gt; total parts",IF(N(E116)&gt;=N(D116),"Planned stops &gt;= shift length",IF(N(F116)&gt;N(D116)-N(E116),"Downtime &gt; planned time",IF(AND(ISNUMBER(O116),O116&gt;1),"Check: performance above 100%","OK"))))))))))</f>
        <v/>
      </c>
      <c r="S116" s="13" t="str">
        <f aca="false">IF($T116,K116*M116/60,"")</f>
        <v/>
      </c>
      <c r="T116" s="15" t="b">
        <f aca="false">IF($C116="",FALSE(),AND(SUMPRODUCT(--(Setup!$A$5:$A$24=$C116))&gt;0,ISNUMBER(A116),ISNUMBER(K116),N(K116)&gt;0,ISNUMBER(D116),N(D116)&gt;0,ISNUMBER(G116),N(G116)&gt;=0,OR(E116="",ISNUMBER(E116)),OR(F116="",ISNUMBER(F116)),OR(H116="",ISNUMBER(H116)),N(E116)&gt;=0,N(F116)&gt;=0,N(H116)&gt;=0,N(H116)&lt;=N(G116),N(E116)&lt;N(D116),N(F116)&lt;=N(D116)-N(E116)))</f>
        <v>0</v>
      </c>
    </row>
    <row r="117" customFormat="false" ht="15" hidden="false" customHeight="false" outlineLevel="0" collapsed="false">
      <c r="A117" s="11"/>
      <c r="B117" s="8"/>
      <c r="C117" s="8"/>
      <c r="D117" s="8"/>
      <c r="E117" s="8"/>
      <c r="F117" s="8"/>
      <c r="G117" s="8"/>
      <c r="H117" s="8"/>
      <c r="I117" s="12" t="str">
        <f aca="false">IF($T117,D117-N(E117),"")</f>
        <v/>
      </c>
      <c r="J117" s="12" t="str">
        <f aca="false">IF($T117,I117-N(F117),"")</f>
        <v/>
      </c>
      <c r="K117" s="13" t="str">
        <f aca="false">IF($C117="","",IF(SUMPRODUCT(--(Setup!$A$5:$A$24=$C117))&gt;0,INDEX(Setup!$B$5:$B$24,21-SUMPRODUCT(MAX((Setup!$A$5:$A$24=$C117)*(25-ROW(Setup!$A$5:$A$24))))),""))</f>
        <v/>
      </c>
      <c r="L117" s="13" t="str">
        <f aca="false">IF($T117,K117*G117/60,"")</f>
        <v/>
      </c>
      <c r="M117" s="12" t="str">
        <f aca="false">IF($T117,G117-N(H117),"")</f>
        <v/>
      </c>
      <c r="N117" s="14" t="str">
        <f aca="false">IF($T117,J117/I117,"")</f>
        <v/>
      </c>
      <c r="O117" s="14" t="str">
        <f aca="false">IF(AND($T117,N(J117)&gt;0),L117/J117,"")</f>
        <v/>
      </c>
      <c r="P117" s="14" t="str">
        <f aca="false">IF(AND($T117,N(G117)&gt;0),M117/G117,"")</f>
        <v/>
      </c>
      <c r="Q117" s="14" t="str">
        <f aca="false">IF($T117,S117/I117,"")</f>
        <v/>
      </c>
      <c r="R117" s="10" t="str">
        <f aca="false">IF($C117="","",IF(NOT(SUMPRODUCT(--(Setup!$A$5:$A$24=$C117))&gt;0),"Machine not in Setup",IF(OR(NOT(ISNUMBER(K117)),N(K117)&lt;=0),"Set an ideal cycle time in Setup",IF(NOT(ISNUMBER(A117)),"Enter a date",IF(OR(NOT(ISNUMBER(D117)),NOT(ISNUMBER(G117)),AND(E117&lt;&gt;"",NOT(ISNUMBER(E117))),AND(F117&lt;&gt;"",NOT(ISNUMBER(F117))),AND(H117&lt;&gt;"",NOT(ISNUMBER(H117)))),"Enter numbers: shift length and total parts are required",IF(OR(N(D117)&lt;=0,N(E117)&lt;0,N(F117)&lt;0,N(G117)&lt;0,N(H117)&lt;0),"Values must be 0 or more (shift length above 0)",IF(N(H117)&gt;N(G117),"Rejects &gt; total parts",IF(N(E117)&gt;=N(D117),"Planned stops &gt;= shift length",IF(N(F117)&gt;N(D117)-N(E117),"Downtime &gt; planned time",IF(AND(ISNUMBER(O117),O117&gt;1),"Check: performance above 100%","OK"))))))))))</f>
        <v/>
      </c>
      <c r="S117" s="13" t="str">
        <f aca="false">IF($T117,K117*M117/60,"")</f>
        <v/>
      </c>
      <c r="T117" s="15" t="b">
        <f aca="false">IF($C117="",FALSE(),AND(SUMPRODUCT(--(Setup!$A$5:$A$24=$C117))&gt;0,ISNUMBER(A117),ISNUMBER(K117),N(K117)&gt;0,ISNUMBER(D117),N(D117)&gt;0,ISNUMBER(G117),N(G117)&gt;=0,OR(E117="",ISNUMBER(E117)),OR(F117="",ISNUMBER(F117)),OR(H117="",ISNUMBER(H117)),N(E117)&gt;=0,N(F117)&gt;=0,N(H117)&gt;=0,N(H117)&lt;=N(G117),N(E117)&lt;N(D117),N(F117)&lt;=N(D117)-N(E117)))</f>
        <v>0</v>
      </c>
    </row>
    <row r="118" customFormat="false" ht="15" hidden="false" customHeight="false" outlineLevel="0" collapsed="false">
      <c r="A118" s="11"/>
      <c r="B118" s="8"/>
      <c r="C118" s="8"/>
      <c r="D118" s="8"/>
      <c r="E118" s="8"/>
      <c r="F118" s="8"/>
      <c r="G118" s="8"/>
      <c r="H118" s="8"/>
      <c r="I118" s="12" t="str">
        <f aca="false">IF($T118,D118-N(E118),"")</f>
        <v/>
      </c>
      <c r="J118" s="12" t="str">
        <f aca="false">IF($T118,I118-N(F118),"")</f>
        <v/>
      </c>
      <c r="K118" s="13" t="str">
        <f aca="false">IF($C118="","",IF(SUMPRODUCT(--(Setup!$A$5:$A$24=$C118))&gt;0,INDEX(Setup!$B$5:$B$24,21-SUMPRODUCT(MAX((Setup!$A$5:$A$24=$C118)*(25-ROW(Setup!$A$5:$A$24))))),""))</f>
        <v/>
      </c>
      <c r="L118" s="13" t="str">
        <f aca="false">IF($T118,K118*G118/60,"")</f>
        <v/>
      </c>
      <c r="M118" s="12" t="str">
        <f aca="false">IF($T118,G118-N(H118),"")</f>
        <v/>
      </c>
      <c r="N118" s="14" t="str">
        <f aca="false">IF($T118,J118/I118,"")</f>
        <v/>
      </c>
      <c r="O118" s="14" t="str">
        <f aca="false">IF(AND($T118,N(J118)&gt;0),L118/J118,"")</f>
        <v/>
      </c>
      <c r="P118" s="14" t="str">
        <f aca="false">IF(AND($T118,N(G118)&gt;0),M118/G118,"")</f>
        <v/>
      </c>
      <c r="Q118" s="14" t="str">
        <f aca="false">IF($T118,S118/I118,"")</f>
        <v/>
      </c>
      <c r="R118" s="10" t="str">
        <f aca="false">IF($C118="","",IF(NOT(SUMPRODUCT(--(Setup!$A$5:$A$24=$C118))&gt;0),"Machine not in Setup",IF(OR(NOT(ISNUMBER(K118)),N(K118)&lt;=0),"Set an ideal cycle time in Setup",IF(NOT(ISNUMBER(A118)),"Enter a date",IF(OR(NOT(ISNUMBER(D118)),NOT(ISNUMBER(G118)),AND(E118&lt;&gt;"",NOT(ISNUMBER(E118))),AND(F118&lt;&gt;"",NOT(ISNUMBER(F118))),AND(H118&lt;&gt;"",NOT(ISNUMBER(H118)))),"Enter numbers: shift length and total parts are required",IF(OR(N(D118)&lt;=0,N(E118)&lt;0,N(F118)&lt;0,N(G118)&lt;0,N(H118)&lt;0),"Values must be 0 or more (shift length above 0)",IF(N(H118)&gt;N(G118),"Rejects &gt; total parts",IF(N(E118)&gt;=N(D118),"Planned stops &gt;= shift length",IF(N(F118)&gt;N(D118)-N(E118),"Downtime &gt; planned time",IF(AND(ISNUMBER(O118),O118&gt;1),"Check: performance above 100%","OK"))))))))))</f>
        <v/>
      </c>
      <c r="S118" s="13" t="str">
        <f aca="false">IF($T118,K118*M118/60,"")</f>
        <v/>
      </c>
      <c r="T118" s="15" t="b">
        <f aca="false">IF($C118="",FALSE(),AND(SUMPRODUCT(--(Setup!$A$5:$A$24=$C118))&gt;0,ISNUMBER(A118),ISNUMBER(K118),N(K118)&gt;0,ISNUMBER(D118),N(D118)&gt;0,ISNUMBER(G118),N(G118)&gt;=0,OR(E118="",ISNUMBER(E118)),OR(F118="",ISNUMBER(F118)),OR(H118="",ISNUMBER(H118)),N(E118)&gt;=0,N(F118)&gt;=0,N(H118)&gt;=0,N(H118)&lt;=N(G118),N(E118)&lt;N(D118),N(F118)&lt;=N(D118)-N(E118)))</f>
        <v>0</v>
      </c>
    </row>
    <row r="119" customFormat="false" ht="15" hidden="false" customHeight="false" outlineLevel="0" collapsed="false">
      <c r="A119" s="11"/>
      <c r="B119" s="8"/>
      <c r="C119" s="8"/>
      <c r="D119" s="8"/>
      <c r="E119" s="8"/>
      <c r="F119" s="8"/>
      <c r="G119" s="8"/>
      <c r="H119" s="8"/>
      <c r="I119" s="12" t="str">
        <f aca="false">IF($T119,D119-N(E119),"")</f>
        <v/>
      </c>
      <c r="J119" s="12" t="str">
        <f aca="false">IF($T119,I119-N(F119),"")</f>
        <v/>
      </c>
      <c r="K119" s="13" t="str">
        <f aca="false">IF($C119="","",IF(SUMPRODUCT(--(Setup!$A$5:$A$24=$C119))&gt;0,INDEX(Setup!$B$5:$B$24,21-SUMPRODUCT(MAX((Setup!$A$5:$A$24=$C119)*(25-ROW(Setup!$A$5:$A$24))))),""))</f>
        <v/>
      </c>
      <c r="L119" s="13" t="str">
        <f aca="false">IF($T119,K119*G119/60,"")</f>
        <v/>
      </c>
      <c r="M119" s="12" t="str">
        <f aca="false">IF($T119,G119-N(H119),"")</f>
        <v/>
      </c>
      <c r="N119" s="14" t="str">
        <f aca="false">IF($T119,J119/I119,"")</f>
        <v/>
      </c>
      <c r="O119" s="14" t="str">
        <f aca="false">IF(AND($T119,N(J119)&gt;0),L119/J119,"")</f>
        <v/>
      </c>
      <c r="P119" s="14" t="str">
        <f aca="false">IF(AND($T119,N(G119)&gt;0),M119/G119,"")</f>
        <v/>
      </c>
      <c r="Q119" s="14" t="str">
        <f aca="false">IF($T119,S119/I119,"")</f>
        <v/>
      </c>
      <c r="R119" s="10" t="str">
        <f aca="false">IF($C119="","",IF(NOT(SUMPRODUCT(--(Setup!$A$5:$A$24=$C119))&gt;0),"Machine not in Setup",IF(OR(NOT(ISNUMBER(K119)),N(K119)&lt;=0),"Set an ideal cycle time in Setup",IF(NOT(ISNUMBER(A119)),"Enter a date",IF(OR(NOT(ISNUMBER(D119)),NOT(ISNUMBER(G119)),AND(E119&lt;&gt;"",NOT(ISNUMBER(E119))),AND(F119&lt;&gt;"",NOT(ISNUMBER(F119))),AND(H119&lt;&gt;"",NOT(ISNUMBER(H119)))),"Enter numbers: shift length and total parts are required",IF(OR(N(D119)&lt;=0,N(E119)&lt;0,N(F119)&lt;0,N(G119)&lt;0,N(H119)&lt;0),"Values must be 0 or more (shift length above 0)",IF(N(H119)&gt;N(G119),"Rejects &gt; total parts",IF(N(E119)&gt;=N(D119),"Planned stops &gt;= shift length",IF(N(F119)&gt;N(D119)-N(E119),"Downtime &gt; planned time",IF(AND(ISNUMBER(O119),O119&gt;1),"Check: performance above 100%","OK"))))))))))</f>
        <v/>
      </c>
      <c r="S119" s="13" t="str">
        <f aca="false">IF($T119,K119*M119/60,"")</f>
        <v/>
      </c>
      <c r="T119" s="15" t="b">
        <f aca="false">IF($C119="",FALSE(),AND(SUMPRODUCT(--(Setup!$A$5:$A$24=$C119))&gt;0,ISNUMBER(A119),ISNUMBER(K119),N(K119)&gt;0,ISNUMBER(D119),N(D119)&gt;0,ISNUMBER(G119),N(G119)&gt;=0,OR(E119="",ISNUMBER(E119)),OR(F119="",ISNUMBER(F119)),OR(H119="",ISNUMBER(H119)),N(E119)&gt;=0,N(F119)&gt;=0,N(H119)&gt;=0,N(H119)&lt;=N(G119),N(E119)&lt;N(D119),N(F119)&lt;=N(D119)-N(E119)))</f>
        <v>0</v>
      </c>
    </row>
    <row r="120" customFormat="false" ht="15" hidden="false" customHeight="false" outlineLevel="0" collapsed="false">
      <c r="A120" s="11"/>
      <c r="B120" s="8"/>
      <c r="C120" s="8"/>
      <c r="D120" s="8"/>
      <c r="E120" s="8"/>
      <c r="F120" s="8"/>
      <c r="G120" s="8"/>
      <c r="H120" s="8"/>
      <c r="I120" s="12" t="str">
        <f aca="false">IF($T120,D120-N(E120),"")</f>
        <v/>
      </c>
      <c r="J120" s="12" t="str">
        <f aca="false">IF($T120,I120-N(F120),"")</f>
        <v/>
      </c>
      <c r="K120" s="13" t="str">
        <f aca="false">IF($C120="","",IF(SUMPRODUCT(--(Setup!$A$5:$A$24=$C120))&gt;0,INDEX(Setup!$B$5:$B$24,21-SUMPRODUCT(MAX((Setup!$A$5:$A$24=$C120)*(25-ROW(Setup!$A$5:$A$24))))),""))</f>
        <v/>
      </c>
      <c r="L120" s="13" t="str">
        <f aca="false">IF($T120,K120*G120/60,"")</f>
        <v/>
      </c>
      <c r="M120" s="12" t="str">
        <f aca="false">IF($T120,G120-N(H120),"")</f>
        <v/>
      </c>
      <c r="N120" s="14" t="str">
        <f aca="false">IF($T120,J120/I120,"")</f>
        <v/>
      </c>
      <c r="O120" s="14" t="str">
        <f aca="false">IF(AND($T120,N(J120)&gt;0),L120/J120,"")</f>
        <v/>
      </c>
      <c r="P120" s="14" t="str">
        <f aca="false">IF(AND($T120,N(G120)&gt;0),M120/G120,"")</f>
        <v/>
      </c>
      <c r="Q120" s="14" t="str">
        <f aca="false">IF($T120,S120/I120,"")</f>
        <v/>
      </c>
      <c r="R120" s="10" t="str">
        <f aca="false">IF($C120="","",IF(NOT(SUMPRODUCT(--(Setup!$A$5:$A$24=$C120))&gt;0),"Machine not in Setup",IF(OR(NOT(ISNUMBER(K120)),N(K120)&lt;=0),"Set an ideal cycle time in Setup",IF(NOT(ISNUMBER(A120)),"Enter a date",IF(OR(NOT(ISNUMBER(D120)),NOT(ISNUMBER(G120)),AND(E120&lt;&gt;"",NOT(ISNUMBER(E120))),AND(F120&lt;&gt;"",NOT(ISNUMBER(F120))),AND(H120&lt;&gt;"",NOT(ISNUMBER(H120)))),"Enter numbers: shift length and total parts are required",IF(OR(N(D120)&lt;=0,N(E120)&lt;0,N(F120)&lt;0,N(G120)&lt;0,N(H120)&lt;0),"Values must be 0 or more (shift length above 0)",IF(N(H120)&gt;N(G120),"Rejects &gt; total parts",IF(N(E120)&gt;=N(D120),"Planned stops &gt;= shift length",IF(N(F120)&gt;N(D120)-N(E120),"Downtime &gt; planned time",IF(AND(ISNUMBER(O120),O120&gt;1),"Check: performance above 100%","OK"))))))))))</f>
        <v/>
      </c>
      <c r="S120" s="13" t="str">
        <f aca="false">IF($T120,K120*M120/60,"")</f>
        <v/>
      </c>
      <c r="T120" s="15" t="b">
        <f aca="false">IF($C120="",FALSE(),AND(SUMPRODUCT(--(Setup!$A$5:$A$24=$C120))&gt;0,ISNUMBER(A120),ISNUMBER(K120),N(K120)&gt;0,ISNUMBER(D120),N(D120)&gt;0,ISNUMBER(G120),N(G120)&gt;=0,OR(E120="",ISNUMBER(E120)),OR(F120="",ISNUMBER(F120)),OR(H120="",ISNUMBER(H120)),N(E120)&gt;=0,N(F120)&gt;=0,N(H120)&gt;=0,N(H120)&lt;=N(G120),N(E120)&lt;N(D120),N(F120)&lt;=N(D120)-N(E120)))</f>
        <v>0</v>
      </c>
    </row>
    <row r="121" customFormat="false" ht="15" hidden="false" customHeight="false" outlineLevel="0" collapsed="false">
      <c r="A121" s="11"/>
      <c r="B121" s="8"/>
      <c r="C121" s="8"/>
      <c r="D121" s="8"/>
      <c r="E121" s="8"/>
      <c r="F121" s="8"/>
      <c r="G121" s="8"/>
      <c r="H121" s="8"/>
      <c r="I121" s="12" t="str">
        <f aca="false">IF($T121,D121-N(E121),"")</f>
        <v/>
      </c>
      <c r="J121" s="12" t="str">
        <f aca="false">IF($T121,I121-N(F121),"")</f>
        <v/>
      </c>
      <c r="K121" s="13" t="str">
        <f aca="false">IF($C121="","",IF(SUMPRODUCT(--(Setup!$A$5:$A$24=$C121))&gt;0,INDEX(Setup!$B$5:$B$24,21-SUMPRODUCT(MAX((Setup!$A$5:$A$24=$C121)*(25-ROW(Setup!$A$5:$A$24))))),""))</f>
        <v/>
      </c>
      <c r="L121" s="13" t="str">
        <f aca="false">IF($T121,K121*G121/60,"")</f>
        <v/>
      </c>
      <c r="M121" s="12" t="str">
        <f aca="false">IF($T121,G121-N(H121),"")</f>
        <v/>
      </c>
      <c r="N121" s="14" t="str">
        <f aca="false">IF($T121,J121/I121,"")</f>
        <v/>
      </c>
      <c r="O121" s="14" t="str">
        <f aca="false">IF(AND($T121,N(J121)&gt;0),L121/J121,"")</f>
        <v/>
      </c>
      <c r="P121" s="14" t="str">
        <f aca="false">IF(AND($T121,N(G121)&gt;0),M121/G121,"")</f>
        <v/>
      </c>
      <c r="Q121" s="14" t="str">
        <f aca="false">IF($T121,S121/I121,"")</f>
        <v/>
      </c>
      <c r="R121" s="10" t="str">
        <f aca="false">IF($C121="","",IF(NOT(SUMPRODUCT(--(Setup!$A$5:$A$24=$C121))&gt;0),"Machine not in Setup",IF(OR(NOT(ISNUMBER(K121)),N(K121)&lt;=0),"Set an ideal cycle time in Setup",IF(NOT(ISNUMBER(A121)),"Enter a date",IF(OR(NOT(ISNUMBER(D121)),NOT(ISNUMBER(G121)),AND(E121&lt;&gt;"",NOT(ISNUMBER(E121))),AND(F121&lt;&gt;"",NOT(ISNUMBER(F121))),AND(H121&lt;&gt;"",NOT(ISNUMBER(H121)))),"Enter numbers: shift length and total parts are required",IF(OR(N(D121)&lt;=0,N(E121)&lt;0,N(F121)&lt;0,N(G121)&lt;0,N(H121)&lt;0),"Values must be 0 or more (shift length above 0)",IF(N(H121)&gt;N(G121),"Rejects &gt; total parts",IF(N(E121)&gt;=N(D121),"Planned stops &gt;= shift length",IF(N(F121)&gt;N(D121)-N(E121),"Downtime &gt; planned time",IF(AND(ISNUMBER(O121),O121&gt;1),"Check: performance above 100%","OK"))))))))))</f>
        <v/>
      </c>
      <c r="S121" s="13" t="str">
        <f aca="false">IF($T121,K121*M121/60,"")</f>
        <v/>
      </c>
      <c r="T121" s="15" t="b">
        <f aca="false">IF($C121="",FALSE(),AND(SUMPRODUCT(--(Setup!$A$5:$A$24=$C121))&gt;0,ISNUMBER(A121),ISNUMBER(K121),N(K121)&gt;0,ISNUMBER(D121),N(D121)&gt;0,ISNUMBER(G121),N(G121)&gt;=0,OR(E121="",ISNUMBER(E121)),OR(F121="",ISNUMBER(F121)),OR(H121="",ISNUMBER(H121)),N(E121)&gt;=0,N(F121)&gt;=0,N(H121)&gt;=0,N(H121)&lt;=N(G121),N(E121)&lt;N(D121),N(F121)&lt;=N(D121)-N(E121)))</f>
        <v>0</v>
      </c>
    </row>
    <row r="122" customFormat="false" ht="15" hidden="false" customHeight="false" outlineLevel="0" collapsed="false">
      <c r="A122" s="11"/>
      <c r="B122" s="8"/>
      <c r="C122" s="8"/>
      <c r="D122" s="8"/>
      <c r="E122" s="8"/>
      <c r="F122" s="8"/>
      <c r="G122" s="8"/>
      <c r="H122" s="8"/>
      <c r="I122" s="12" t="str">
        <f aca="false">IF($T122,D122-N(E122),"")</f>
        <v/>
      </c>
      <c r="J122" s="12" t="str">
        <f aca="false">IF($T122,I122-N(F122),"")</f>
        <v/>
      </c>
      <c r="K122" s="13" t="str">
        <f aca="false">IF($C122="","",IF(SUMPRODUCT(--(Setup!$A$5:$A$24=$C122))&gt;0,INDEX(Setup!$B$5:$B$24,21-SUMPRODUCT(MAX((Setup!$A$5:$A$24=$C122)*(25-ROW(Setup!$A$5:$A$24))))),""))</f>
        <v/>
      </c>
      <c r="L122" s="13" t="str">
        <f aca="false">IF($T122,K122*G122/60,"")</f>
        <v/>
      </c>
      <c r="M122" s="12" t="str">
        <f aca="false">IF($T122,G122-N(H122),"")</f>
        <v/>
      </c>
      <c r="N122" s="14" t="str">
        <f aca="false">IF($T122,J122/I122,"")</f>
        <v/>
      </c>
      <c r="O122" s="14" t="str">
        <f aca="false">IF(AND($T122,N(J122)&gt;0),L122/J122,"")</f>
        <v/>
      </c>
      <c r="P122" s="14" t="str">
        <f aca="false">IF(AND($T122,N(G122)&gt;0),M122/G122,"")</f>
        <v/>
      </c>
      <c r="Q122" s="14" t="str">
        <f aca="false">IF($T122,S122/I122,"")</f>
        <v/>
      </c>
      <c r="R122" s="10" t="str">
        <f aca="false">IF($C122="","",IF(NOT(SUMPRODUCT(--(Setup!$A$5:$A$24=$C122))&gt;0),"Machine not in Setup",IF(OR(NOT(ISNUMBER(K122)),N(K122)&lt;=0),"Set an ideal cycle time in Setup",IF(NOT(ISNUMBER(A122)),"Enter a date",IF(OR(NOT(ISNUMBER(D122)),NOT(ISNUMBER(G122)),AND(E122&lt;&gt;"",NOT(ISNUMBER(E122))),AND(F122&lt;&gt;"",NOT(ISNUMBER(F122))),AND(H122&lt;&gt;"",NOT(ISNUMBER(H122)))),"Enter numbers: shift length and total parts are required",IF(OR(N(D122)&lt;=0,N(E122)&lt;0,N(F122)&lt;0,N(G122)&lt;0,N(H122)&lt;0),"Values must be 0 or more (shift length above 0)",IF(N(H122)&gt;N(G122),"Rejects &gt; total parts",IF(N(E122)&gt;=N(D122),"Planned stops &gt;= shift length",IF(N(F122)&gt;N(D122)-N(E122),"Downtime &gt; planned time",IF(AND(ISNUMBER(O122),O122&gt;1),"Check: performance above 100%","OK"))))))))))</f>
        <v/>
      </c>
      <c r="S122" s="13" t="str">
        <f aca="false">IF($T122,K122*M122/60,"")</f>
        <v/>
      </c>
      <c r="T122" s="15" t="b">
        <f aca="false">IF($C122="",FALSE(),AND(SUMPRODUCT(--(Setup!$A$5:$A$24=$C122))&gt;0,ISNUMBER(A122),ISNUMBER(K122),N(K122)&gt;0,ISNUMBER(D122),N(D122)&gt;0,ISNUMBER(G122),N(G122)&gt;=0,OR(E122="",ISNUMBER(E122)),OR(F122="",ISNUMBER(F122)),OR(H122="",ISNUMBER(H122)),N(E122)&gt;=0,N(F122)&gt;=0,N(H122)&gt;=0,N(H122)&lt;=N(G122),N(E122)&lt;N(D122),N(F122)&lt;=N(D122)-N(E122)))</f>
        <v>0</v>
      </c>
    </row>
    <row r="123" customFormat="false" ht="15" hidden="false" customHeight="false" outlineLevel="0" collapsed="false">
      <c r="A123" s="11"/>
      <c r="B123" s="8"/>
      <c r="C123" s="8"/>
      <c r="D123" s="8"/>
      <c r="E123" s="8"/>
      <c r="F123" s="8"/>
      <c r="G123" s="8"/>
      <c r="H123" s="8"/>
      <c r="I123" s="12" t="str">
        <f aca="false">IF($T123,D123-N(E123),"")</f>
        <v/>
      </c>
      <c r="J123" s="12" t="str">
        <f aca="false">IF($T123,I123-N(F123),"")</f>
        <v/>
      </c>
      <c r="K123" s="13" t="str">
        <f aca="false">IF($C123="","",IF(SUMPRODUCT(--(Setup!$A$5:$A$24=$C123))&gt;0,INDEX(Setup!$B$5:$B$24,21-SUMPRODUCT(MAX((Setup!$A$5:$A$24=$C123)*(25-ROW(Setup!$A$5:$A$24))))),""))</f>
        <v/>
      </c>
      <c r="L123" s="13" t="str">
        <f aca="false">IF($T123,K123*G123/60,"")</f>
        <v/>
      </c>
      <c r="M123" s="12" t="str">
        <f aca="false">IF($T123,G123-N(H123),"")</f>
        <v/>
      </c>
      <c r="N123" s="14" t="str">
        <f aca="false">IF($T123,J123/I123,"")</f>
        <v/>
      </c>
      <c r="O123" s="14" t="str">
        <f aca="false">IF(AND($T123,N(J123)&gt;0),L123/J123,"")</f>
        <v/>
      </c>
      <c r="P123" s="14" t="str">
        <f aca="false">IF(AND($T123,N(G123)&gt;0),M123/G123,"")</f>
        <v/>
      </c>
      <c r="Q123" s="14" t="str">
        <f aca="false">IF($T123,S123/I123,"")</f>
        <v/>
      </c>
      <c r="R123" s="10" t="str">
        <f aca="false">IF($C123="","",IF(NOT(SUMPRODUCT(--(Setup!$A$5:$A$24=$C123))&gt;0),"Machine not in Setup",IF(OR(NOT(ISNUMBER(K123)),N(K123)&lt;=0),"Set an ideal cycle time in Setup",IF(NOT(ISNUMBER(A123)),"Enter a date",IF(OR(NOT(ISNUMBER(D123)),NOT(ISNUMBER(G123)),AND(E123&lt;&gt;"",NOT(ISNUMBER(E123))),AND(F123&lt;&gt;"",NOT(ISNUMBER(F123))),AND(H123&lt;&gt;"",NOT(ISNUMBER(H123)))),"Enter numbers: shift length and total parts are required",IF(OR(N(D123)&lt;=0,N(E123)&lt;0,N(F123)&lt;0,N(G123)&lt;0,N(H123)&lt;0),"Values must be 0 or more (shift length above 0)",IF(N(H123)&gt;N(G123),"Rejects &gt; total parts",IF(N(E123)&gt;=N(D123),"Planned stops &gt;= shift length",IF(N(F123)&gt;N(D123)-N(E123),"Downtime &gt; planned time",IF(AND(ISNUMBER(O123),O123&gt;1),"Check: performance above 100%","OK"))))))))))</f>
        <v/>
      </c>
      <c r="S123" s="13" t="str">
        <f aca="false">IF($T123,K123*M123/60,"")</f>
        <v/>
      </c>
      <c r="T123" s="15" t="b">
        <f aca="false">IF($C123="",FALSE(),AND(SUMPRODUCT(--(Setup!$A$5:$A$24=$C123))&gt;0,ISNUMBER(A123),ISNUMBER(K123),N(K123)&gt;0,ISNUMBER(D123),N(D123)&gt;0,ISNUMBER(G123),N(G123)&gt;=0,OR(E123="",ISNUMBER(E123)),OR(F123="",ISNUMBER(F123)),OR(H123="",ISNUMBER(H123)),N(E123)&gt;=0,N(F123)&gt;=0,N(H123)&gt;=0,N(H123)&lt;=N(G123),N(E123)&lt;N(D123),N(F123)&lt;=N(D123)-N(E123)))</f>
        <v>0</v>
      </c>
    </row>
    <row r="124" customFormat="false" ht="15" hidden="false" customHeight="false" outlineLevel="0" collapsed="false">
      <c r="A124" s="11"/>
      <c r="B124" s="8"/>
      <c r="C124" s="8"/>
      <c r="D124" s="8"/>
      <c r="E124" s="8"/>
      <c r="F124" s="8"/>
      <c r="G124" s="8"/>
      <c r="H124" s="8"/>
      <c r="I124" s="12" t="str">
        <f aca="false">IF($T124,D124-N(E124),"")</f>
        <v/>
      </c>
      <c r="J124" s="12" t="str">
        <f aca="false">IF($T124,I124-N(F124),"")</f>
        <v/>
      </c>
      <c r="K124" s="13" t="str">
        <f aca="false">IF($C124="","",IF(SUMPRODUCT(--(Setup!$A$5:$A$24=$C124))&gt;0,INDEX(Setup!$B$5:$B$24,21-SUMPRODUCT(MAX((Setup!$A$5:$A$24=$C124)*(25-ROW(Setup!$A$5:$A$24))))),""))</f>
        <v/>
      </c>
      <c r="L124" s="13" t="str">
        <f aca="false">IF($T124,K124*G124/60,"")</f>
        <v/>
      </c>
      <c r="M124" s="12" t="str">
        <f aca="false">IF($T124,G124-N(H124),"")</f>
        <v/>
      </c>
      <c r="N124" s="14" t="str">
        <f aca="false">IF($T124,J124/I124,"")</f>
        <v/>
      </c>
      <c r="O124" s="14" t="str">
        <f aca="false">IF(AND($T124,N(J124)&gt;0),L124/J124,"")</f>
        <v/>
      </c>
      <c r="P124" s="14" t="str">
        <f aca="false">IF(AND($T124,N(G124)&gt;0),M124/G124,"")</f>
        <v/>
      </c>
      <c r="Q124" s="14" t="str">
        <f aca="false">IF($T124,S124/I124,"")</f>
        <v/>
      </c>
      <c r="R124" s="10" t="str">
        <f aca="false">IF($C124="","",IF(NOT(SUMPRODUCT(--(Setup!$A$5:$A$24=$C124))&gt;0),"Machine not in Setup",IF(OR(NOT(ISNUMBER(K124)),N(K124)&lt;=0),"Set an ideal cycle time in Setup",IF(NOT(ISNUMBER(A124)),"Enter a date",IF(OR(NOT(ISNUMBER(D124)),NOT(ISNUMBER(G124)),AND(E124&lt;&gt;"",NOT(ISNUMBER(E124))),AND(F124&lt;&gt;"",NOT(ISNUMBER(F124))),AND(H124&lt;&gt;"",NOT(ISNUMBER(H124)))),"Enter numbers: shift length and total parts are required",IF(OR(N(D124)&lt;=0,N(E124)&lt;0,N(F124)&lt;0,N(G124)&lt;0,N(H124)&lt;0),"Values must be 0 or more (shift length above 0)",IF(N(H124)&gt;N(G124),"Rejects &gt; total parts",IF(N(E124)&gt;=N(D124),"Planned stops &gt;= shift length",IF(N(F124)&gt;N(D124)-N(E124),"Downtime &gt; planned time",IF(AND(ISNUMBER(O124),O124&gt;1),"Check: performance above 100%","OK"))))))))))</f>
        <v/>
      </c>
      <c r="S124" s="13" t="str">
        <f aca="false">IF($T124,K124*M124/60,"")</f>
        <v/>
      </c>
      <c r="T124" s="15" t="b">
        <f aca="false">IF($C124="",FALSE(),AND(SUMPRODUCT(--(Setup!$A$5:$A$24=$C124))&gt;0,ISNUMBER(A124),ISNUMBER(K124),N(K124)&gt;0,ISNUMBER(D124),N(D124)&gt;0,ISNUMBER(G124),N(G124)&gt;=0,OR(E124="",ISNUMBER(E124)),OR(F124="",ISNUMBER(F124)),OR(H124="",ISNUMBER(H124)),N(E124)&gt;=0,N(F124)&gt;=0,N(H124)&gt;=0,N(H124)&lt;=N(G124),N(E124)&lt;N(D124),N(F124)&lt;=N(D124)-N(E124)))</f>
        <v>0</v>
      </c>
    </row>
    <row r="125" customFormat="false" ht="15" hidden="false" customHeight="false" outlineLevel="0" collapsed="false">
      <c r="A125" s="11"/>
      <c r="B125" s="8"/>
      <c r="C125" s="8"/>
      <c r="D125" s="8"/>
      <c r="E125" s="8"/>
      <c r="F125" s="8"/>
      <c r="G125" s="8"/>
      <c r="H125" s="8"/>
      <c r="I125" s="12" t="str">
        <f aca="false">IF($T125,D125-N(E125),"")</f>
        <v/>
      </c>
      <c r="J125" s="12" t="str">
        <f aca="false">IF($T125,I125-N(F125),"")</f>
        <v/>
      </c>
      <c r="K125" s="13" t="str">
        <f aca="false">IF($C125="","",IF(SUMPRODUCT(--(Setup!$A$5:$A$24=$C125))&gt;0,INDEX(Setup!$B$5:$B$24,21-SUMPRODUCT(MAX((Setup!$A$5:$A$24=$C125)*(25-ROW(Setup!$A$5:$A$24))))),""))</f>
        <v/>
      </c>
      <c r="L125" s="13" t="str">
        <f aca="false">IF($T125,K125*G125/60,"")</f>
        <v/>
      </c>
      <c r="M125" s="12" t="str">
        <f aca="false">IF($T125,G125-N(H125),"")</f>
        <v/>
      </c>
      <c r="N125" s="14" t="str">
        <f aca="false">IF($T125,J125/I125,"")</f>
        <v/>
      </c>
      <c r="O125" s="14" t="str">
        <f aca="false">IF(AND($T125,N(J125)&gt;0),L125/J125,"")</f>
        <v/>
      </c>
      <c r="P125" s="14" t="str">
        <f aca="false">IF(AND($T125,N(G125)&gt;0),M125/G125,"")</f>
        <v/>
      </c>
      <c r="Q125" s="14" t="str">
        <f aca="false">IF($T125,S125/I125,"")</f>
        <v/>
      </c>
      <c r="R125" s="10" t="str">
        <f aca="false">IF($C125="","",IF(NOT(SUMPRODUCT(--(Setup!$A$5:$A$24=$C125))&gt;0),"Machine not in Setup",IF(OR(NOT(ISNUMBER(K125)),N(K125)&lt;=0),"Set an ideal cycle time in Setup",IF(NOT(ISNUMBER(A125)),"Enter a date",IF(OR(NOT(ISNUMBER(D125)),NOT(ISNUMBER(G125)),AND(E125&lt;&gt;"",NOT(ISNUMBER(E125))),AND(F125&lt;&gt;"",NOT(ISNUMBER(F125))),AND(H125&lt;&gt;"",NOT(ISNUMBER(H125)))),"Enter numbers: shift length and total parts are required",IF(OR(N(D125)&lt;=0,N(E125)&lt;0,N(F125)&lt;0,N(G125)&lt;0,N(H125)&lt;0),"Values must be 0 or more (shift length above 0)",IF(N(H125)&gt;N(G125),"Rejects &gt; total parts",IF(N(E125)&gt;=N(D125),"Planned stops &gt;= shift length",IF(N(F125)&gt;N(D125)-N(E125),"Downtime &gt; planned time",IF(AND(ISNUMBER(O125),O125&gt;1),"Check: performance above 100%","OK"))))))))))</f>
        <v/>
      </c>
      <c r="S125" s="13" t="str">
        <f aca="false">IF($T125,K125*M125/60,"")</f>
        <v/>
      </c>
      <c r="T125" s="15" t="b">
        <f aca="false">IF($C125="",FALSE(),AND(SUMPRODUCT(--(Setup!$A$5:$A$24=$C125))&gt;0,ISNUMBER(A125),ISNUMBER(K125),N(K125)&gt;0,ISNUMBER(D125),N(D125)&gt;0,ISNUMBER(G125),N(G125)&gt;=0,OR(E125="",ISNUMBER(E125)),OR(F125="",ISNUMBER(F125)),OR(H125="",ISNUMBER(H125)),N(E125)&gt;=0,N(F125)&gt;=0,N(H125)&gt;=0,N(H125)&lt;=N(G125),N(E125)&lt;N(D125),N(F125)&lt;=N(D125)-N(E125)))</f>
        <v>0</v>
      </c>
    </row>
    <row r="126" customFormat="false" ht="15" hidden="false" customHeight="false" outlineLevel="0" collapsed="false">
      <c r="A126" s="11"/>
      <c r="B126" s="8"/>
      <c r="C126" s="8"/>
      <c r="D126" s="8"/>
      <c r="E126" s="8"/>
      <c r="F126" s="8"/>
      <c r="G126" s="8"/>
      <c r="H126" s="8"/>
      <c r="I126" s="12" t="str">
        <f aca="false">IF($T126,D126-N(E126),"")</f>
        <v/>
      </c>
      <c r="J126" s="12" t="str">
        <f aca="false">IF($T126,I126-N(F126),"")</f>
        <v/>
      </c>
      <c r="K126" s="13" t="str">
        <f aca="false">IF($C126="","",IF(SUMPRODUCT(--(Setup!$A$5:$A$24=$C126))&gt;0,INDEX(Setup!$B$5:$B$24,21-SUMPRODUCT(MAX((Setup!$A$5:$A$24=$C126)*(25-ROW(Setup!$A$5:$A$24))))),""))</f>
        <v/>
      </c>
      <c r="L126" s="13" t="str">
        <f aca="false">IF($T126,K126*G126/60,"")</f>
        <v/>
      </c>
      <c r="M126" s="12" t="str">
        <f aca="false">IF($T126,G126-N(H126),"")</f>
        <v/>
      </c>
      <c r="N126" s="14" t="str">
        <f aca="false">IF($T126,J126/I126,"")</f>
        <v/>
      </c>
      <c r="O126" s="14" t="str">
        <f aca="false">IF(AND($T126,N(J126)&gt;0),L126/J126,"")</f>
        <v/>
      </c>
      <c r="P126" s="14" t="str">
        <f aca="false">IF(AND($T126,N(G126)&gt;0),M126/G126,"")</f>
        <v/>
      </c>
      <c r="Q126" s="14" t="str">
        <f aca="false">IF($T126,S126/I126,"")</f>
        <v/>
      </c>
      <c r="R126" s="10" t="str">
        <f aca="false">IF($C126="","",IF(NOT(SUMPRODUCT(--(Setup!$A$5:$A$24=$C126))&gt;0),"Machine not in Setup",IF(OR(NOT(ISNUMBER(K126)),N(K126)&lt;=0),"Set an ideal cycle time in Setup",IF(NOT(ISNUMBER(A126)),"Enter a date",IF(OR(NOT(ISNUMBER(D126)),NOT(ISNUMBER(G126)),AND(E126&lt;&gt;"",NOT(ISNUMBER(E126))),AND(F126&lt;&gt;"",NOT(ISNUMBER(F126))),AND(H126&lt;&gt;"",NOT(ISNUMBER(H126)))),"Enter numbers: shift length and total parts are required",IF(OR(N(D126)&lt;=0,N(E126)&lt;0,N(F126)&lt;0,N(G126)&lt;0,N(H126)&lt;0),"Values must be 0 or more (shift length above 0)",IF(N(H126)&gt;N(G126),"Rejects &gt; total parts",IF(N(E126)&gt;=N(D126),"Planned stops &gt;= shift length",IF(N(F126)&gt;N(D126)-N(E126),"Downtime &gt; planned time",IF(AND(ISNUMBER(O126),O126&gt;1),"Check: performance above 100%","OK"))))))))))</f>
        <v/>
      </c>
      <c r="S126" s="13" t="str">
        <f aca="false">IF($T126,K126*M126/60,"")</f>
        <v/>
      </c>
      <c r="T126" s="15" t="b">
        <f aca="false">IF($C126="",FALSE(),AND(SUMPRODUCT(--(Setup!$A$5:$A$24=$C126))&gt;0,ISNUMBER(A126),ISNUMBER(K126),N(K126)&gt;0,ISNUMBER(D126),N(D126)&gt;0,ISNUMBER(G126),N(G126)&gt;=0,OR(E126="",ISNUMBER(E126)),OR(F126="",ISNUMBER(F126)),OR(H126="",ISNUMBER(H126)),N(E126)&gt;=0,N(F126)&gt;=0,N(H126)&gt;=0,N(H126)&lt;=N(G126),N(E126)&lt;N(D126),N(F126)&lt;=N(D126)-N(E126)))</f>
        <v>0</v>
      </c>
    </row>
    <row r="127" customFormat="false" ht="15" hidden="false" customHeight="false" outlineLevel="0" collapsed="false">
      <c r="A127" s="11"/>
      <c r="B127" s="8"/>
      <c r="C127" s="8"/>
      <c r="D127" s="8"/>
      <c r="E127" s="8"/>
      <c r="F127" s="8"/>
      <c r="G127" s="8"/>
      <c r="H127" s="8"/>
      <c r="I127" s="12" t="str">
        <f aca="false">IF($T127,D127-N(E127),"")</f>
        <v/>
      </c>
      <c r="J127" s="12" t="str">
        <f aca="false">IF($T127,I127-N(F127),"")</f>
        <v/>
      </c>
      <c r="K127" s="13" t="str">
        <f aca="false">IF($C127="","",IF(SUMPRODUCT(--(Setup!$A$5:$A$24=$C127))&gt;0,INDEX(Setup!$B$5:$B$24,21-SUMPRODUCT(MAX((Setup!$A$5:$A$24=$C127)*(25-ROW(Setup!$A$5:$A$24))))),""))</f>
        <v/>
      </c>
      <c r="L127" s="13" t="str">
        <f aca="false">IF($T127,K127*G127/60,"")</f>
        <v/>
      </c>
      <c r="M127" s="12" t="str">
        <f aca="false">IF($T127,G127-N(H127),"")</f>
        <v/>
      </c>
      <c r="N127" s="14" t="str">
        <f aca="false">IF($T127,J127/I127,"")</f>
        <v/>
      </c>
      <c r="O127" s="14" t="str">
        <f aca="false">IF(AND($T127,N(J127)&gt;0),L127/J127,"")</f>
        <v/>
      </c>
      <c r="P127" s="14" t="str">
        <f aca="false">IF(AND($T127,N(G127)&gt;0),M127/G127,"")</f>
        <v/>
      </c>
      <c r="Q127" s="14" t="str">
        <f aca="false">IF($T127,S127/I127,"")</f>
        <v/>
      </c>
      <c r="R127" s="10" t="str">
        <f aca="false">IF($C127="","",IF(NOT(SUMPRODUCT(--(Setup!$A$5:$A$24=$C127))&gt;0),"Machine not in Setup",IF(OR(NOT(ISNUMBER(K127)),N(K127)&lt;=0),"Set an ideal cycle time in Setup",IF(NOT(ISNUMBER(A127)),"Enter a date",IF(OR(NOT(ISNUMBER(D127)),NOT(ISNUMBER(G127)),AND(E127&lt;&gt;"",NOT(ISNUMBER(E127))),AND(F127&lt;&gt;"",NOT(ISNUMBER(F127))),AND(H127&lt;&gt;"",NOT(ISNUMBER(H127)))),"Enter numbers: shift length and total parts are required",IF(OR(N(D127)&lt;=0,N(E127)&lt;0,N(F127)&lt;0,N(G127)&lt;0,N(H127)&lt;0),"Values must be 0 or more (shift length above 0)",IF(N(H127)&gt;N(G127),"Rejects &gt; total parts",IF(N(E127)&gt;=N(D127),"Planned stops &gt;= shift length",IF(N(F127)&gt;N(D127)-N(E127),"Downtime &gt; planned time",IF(AND(ISNUMBER(O127),O127&gt;1),"Check: performance above 100%","OK"))))))))))</f>
        <v/>
      </c>
      <c r="S127" s="13" t="str">
        <f aca="false">IF($T127,K127*M127/60,"")</f>
        <v/>
      </c>
      <c r="T127" s="15" t="b">
        <f aca="false">IF($C127="",FALSE(),AND(SUMPRODUCT(--(Setup!$A$5:$A$24=$C127))&gt;0,ISNUMBER(A127),ISNUMBER(K127),N(K127)&gt;0,ISNUMBER(D127),N(D127)&gt;0,ISNUMBER(G127),N(G127)&gt;=0,OR(E127="",ISNUMBER(E127)),OR(F127="",ISNUMBER(F127)),OR(H127="",ISNUMBER(H127)),N(E127)&gt;=0,N(F127)&gt;=0,N(H127)&gt;=0,N(H127)&lt;=N(G127),N(E127)&lt;N(D127),N(F127)&lt;=N(D127)-N(E127)))</f>
        <v>0</v>
      </c>
    </row>
    <row r="128" customFormat="false" ht="15" hidden="false" customHeight="false" outlineLevel="0" collapsed="false">
      <c r="A128" s="11"/>
      <c r="B128" s="8"/>
      <c r="C128" s="8"/>
      <c r="D128" s="8"/>
      <c r="E128" s="8"/>
      <c r="F128" s="8"/>
      <c r="G128" s="8"/>
      <c r="H128" s="8"/>
      <c r="I128" s="12" t="str">
        <f aca="false">IF($T128,D128-N(E128),"")</f>
        <v/>
      </c>
      <c r="J128" s="12" t="str">
        <f aca="false">IF($T128,I128-N(F128),"")</f>
        <v/>
      </c>
      <c r="K128" s="13" t="str">
        <f aca="false">IF($C128="","",IF(SUMPRODUCT(--(Setup!$A$5:$A$24=$C128))&gt;0,INDEX(Setup!$B$5:$B$24,21-SUMPRODUCT(MAX((Setup!$A$5:$A$24=$C128)*(25-ROW(Setup!$A$5:$A$24))))),""))</f>
        <v/>
      </c>
      <c r="L128" s="13" t="str">
        <f aca="false">IF($T128,K128*G128/60,"")</f>
        <v/>
      </c>
      <c r="M128" s="12" t="str">
        <f aca="false">IF($T128,G128-N(H128),"")</f>
        <v/>
      </c>
      <c r="N128" s="14" t="str">
        <f aca="false">IF($T128,J128/I128,"")</f>
        <v/>
      </c>
      <c r="O128" s="14" t="str">
        <f aca="false">IF(AND($T128,N(J128)&gt;0),L128/J128,"")</f>
        <v/>
      </c>
      <c r="P128" s="14" t="str">
        <f aca="false">IF(AND($T128,N(G128)&gt;0),M128/G128,"")</f>
        <v/>
      </c>
      <c r="Q128" s="14" t="str">
        <f aca="false">IF($T128,S128/I128,"")</f>
        <v/>
      </c>
      <c r="R128" s="10" t="str">
        <f aca="false">IF($C128="","",IF(NOT(SUMPRODUCT(--(Setup!$A$5:$A$24=$C128))&gt;0),"Machine not in Setup",IF(OR(NOT(ISNUMBER(K128)),N(K128)&lt;=0),"Set an ideal cycle time in Setup",IF(NOT(ISNUMBER(A128)),"Enter a date",IF(OR(NOT(ISNUMBER(D128)),NOT(ISNUMBER(G128)),AND(E128&lt;&gt;"",NOT(ISNUMBER(E128))),AND(F128&lt;&gt;"",NOT(ISNUMBER(F128))),AND(H128&lt;&gt;"",NOT(ISNUMBER(H128)))),"Enter numbers: shift length and total parts are required",IF(OR(N(D128)&lt;=0,N(E128)&lt;0,N(F128)&lt;0,N(G128)&lt;0,N(H128)&lt;0),"Values must be 0 or more (shift length above 0)",IF(N(H128)&gt;N(G128),"Rejects &gt; total parts",IF(N(E128)&gt;=N(D128),"Planned stops &gt;= shift length",IF(N(F128)&gt;N(D128)-N(E128),"Downtime &gt; planned time",IF(AND(ISNUMBER(O128),O128&gt;1),"Check: performance above 100%","OK"))))))))))</f>
        <v/>
      </c>
      <c r="S128" s="13" t="str">
        <f aca="false">IF($T128,K128*M128/60,"")</f>
        <v/>
      </c>
      <c r="T128" s="15" t="b">
        <f aca="false">IF($C128="",FALSE(),AND(SUMPRODUCT(--(Setup!$A$5:$A$24=$C128))&gt;0,ISNUMBER(A128),ISNUMBER(K128),N(K128)&gt;0,ISNUMBER(D128),N(D128)&gt;0,ISNUMBER(G128),N(G128)&gt;=0,OR(E128="",ISNUMBER(E128)),OR(F128="",ISNUMBER(F128)),OR(H128="",ISNUMBER(H128)),N(E128)&gt;=0,N(F128)&gt;=0,N(H128)&gt;=0,N(H128)&lt;=N(G128),N(E128)&lt;N(D128),N(F128)&lt;=N(D128)-N(E128)))</f>
        <v>0</v>
      </c>
    </row>
    <row r="129" customFormat="false" ht="15" hidden="false" customHeight="false" outlineLevel="0" collapsed="false">
      <c r="A129" s="11"/>
      <c r="B129" s="8"/>
      <c r="C129" s="8"/>
      <c r="D129" s="8"/>
      <c r="E129" s="8"/>
      <c r="F129" s="8"/>
      <c r="G129" s="8"/>
      <c r="H129" s="8"/>
      <c r="I129" s="12" t="str">
        <f aca="false">IF($T129,D129-N(E129),"")</f>
        <v/>
      </c>
      <c r="J129" s="12" t="str">
        <f aca="false">IF($T129,I129-N(F129),"")</f>
        <v/>
      </c>
      <c r="K129" s="13" t="str">
        <f aca="false">IF($C129="","",IF(SUMPRODUCT(--(Setup!$A$5:$A$24=$C129))&gt;0,INDEX(Setup!$B$5:$B$24,21-SUMPRODUCT(MAX((Setup!$A$5:$A$24=$C129)*(25-ROW(Setup!$A$5:$A$24))))),""))</f>
        <v/>
      </c>
      <c r="L129" s="13" t="str">
        <f aca="false">IF($T129,K129*G129/60,"")</f>
        <v/>
      </c>
      <c r="M129" s="12" t="str">
        <f aca="false">IF($T129,G129-N(H129),"")</f>
        <v/>
      </c>
      <c r="N129" s="14" t="str">
        <f aca="false">IF($T129,J129/I129,"")</f>
        <v/>
      </c>
      <c r="O129" s="14" t="str">
        <f aca="false">IF(AND($T129,N(J129)&gt;0),L129/J129,"")</f>
        <v/>
      </c>
      <c r="P129" s="14" t="str">
        <f aca="false">IF(AND($T129,N(G129)&gt;0),M129/G129,"")</f>
        <v/>
      </c>
      <c r="Q129" s="14" t="str">
        <f aca="false">IF($T129,S129/I129,"")</f>
        <v/>
      </c>
      <c r="R129" s="10" t="str">
        <f aca="false">IF($C129="","",IF(NOT(SUMPRODUCT(--(Setup!$A$5:$A$24=$C129))&gt;0),"Machine not in Setup",IF(OR(NOT(ISNUMBER(K129)),N(K129)&lt;=0),"Set an ideal cycle time in Setup",IF(NOT(ISNUMBER(A129)),"Enter a date",IF(OR(NOT(ISNUMBER(D129)),NOT(ISNUMBER(G129)),AND(E129&lt;&gt;"",NOT(ISNUMBER(E129))),AND(F129&lt;&gt;"",NOT(ISNUMBER(F129))),AND(H129&lt;&gt;"",NOT(ISNUMBER(H129)))),"Enter numbers: shift length and total parts are required",IF(OR(N(D129)&lt;=0,N(E129)&lt;0,N(F129)&lt;0,N(G129)&lt;0,N(H129)&lt;0),"Values must be 0 or more (shift length above 0)",IF(N(H129)&gt;N(G129),"Rejects &gt; total parts",IF(N(E129)&gt;=N(D129),"Planned stops &gt;= shift length",IF(N(F129)&gt;N(D129)-N(E129),"Downtime &gt; planned time",IF(AND(ISNUMBER(O129),O129&gt;1),"Check: performance above 100%","OK"))))))))))</f>
        <v/>
      </c>
      <c r="S129" s="13" t="str">
        <f aca="false">IF($T129,K129*M129/60,"")</f>
        <v/>
      </c>
      <c r="T129" s="15" t="b">
        <f aca="false">IF($C129="",FALSE(),AND(SUMPRODUCT(--(Setup!$A$5:$A$24=$C129))&gt;0,ISNUMBER(A129),ISNUMBER(K129),N(K129)&gt;0,ISNUMBER(D129),N(D129)&gt;0,ISNUMBER(G129),N(G129)&gt;=0,OR(E129="",ISNUMBER(E129)),OR(F129="",ISNUMBER(F129)),OR(H129="",ISNUMBER(H129)),N(E129)&gt;=0,N(F129)&gt;=0,N(H129)&gt;=0,N(H129)&lt;=N(G129),N(E129)&lt;N(D129),N(F129)&lt;=N(D129)-N(E129)))</f>
        <v>0</v>
      </c>
    </row>
    <row r="130" customFormat="false" ht="15" hidden="false" customHeight="false" outlineLevel="0" collapsed="false">
      <c r="A130" s="11"/>
      <c r="B130" s="8"/>
      <c r="C130" s="8"/>
      <c r="D130" s="8"/>
      <c r="E130" s="8"/>
      <c r="F130" s="8"/>
      <c r="G130" s="8"/>
      <c r="H130" s="8"/>
      <c r="I130" s="12" t="str">
        <f aca="false">IF($T130,D130-N(E130),"")</f>
        <v/>
      </c>
      <c r="J130" s="12" t="str">
        <f aca="false">IF($T130,I130-N(F130),"")</f>
        <v/>
      </c>
      <c r="K130" s="13" t="str">
        <f aca="false">IF($C130="","",IF(SUMPRODUCT(--(Setup!$A$5:$A$24=$C130))&gt;0,INDEX(Setup!$B$5:$B$24,21-SUMPRODUCT(MAX((Setup!$A$5:$A$24=$C130)*(25-ROW(Setup!$A$5:$A$24))))),""))</f>
        <v/>
      </c>
      <c r="L130" s="13" t="str">
        <f aca="false">IF($T130,K130*G130/60,"")</f>
        <v/>
      </c>
      <c r="M130" s="12" t="str">
        <f aca="false">IF($T130,G130-N(H130),"")</f>
        <v/>
      </c>
      <c r="N130" s="14" t="str">
        <f aca="false">IF($T130,J130/I130,"")</f>
        <v/>
      </c>
      <c r="O130" s="14" t="str">
        <f aca="false">IF(AND($T130,N(J130)&gt;0),L130/J130,"")</f>
        <v/>
      </c>
      <c r="P130" s="14" t="str">
        <f aca="false">IF(AND($T130,N(G130)&gt;0),M130/G130,"")</f>
        <v/>
      </c>
      <c r="Q130" s="14" t="str">
        <f aca="false">IF($T130,S130/I130,"")</f>
        <v/>
      </c>
      <c r="R130" s="10" t="str">
        <f aca="false">IF($C130="","",IF(NOT(SUMPRODUCT(--(Setup!$A$5:$A$24=$C130))&gt;0),"Machine not in Setup",IF(OR(NOT(ISNUMBER(K130)),N(K130)&lt;=0),"Set an ideal cycle time in Setup",IF(NOT(ISNUMBER(A130)),"Enter a date",IF(OR(NOT(ISNUMBER(D130)),NOT(ISNUMBER(G130)),AND(E130&lt;&gt;"",NOT(ISNUMBER(E130))),AND(F130&lt;&gt;"",NOT(ISNUMBER(F130))),AND(H130&lt;&gt;"",NOT(ISNUMBER(H130)))),"Enter numbers: shift length and total parts are required",IF(OR(N(D130)&lt;=0,N(E130)&lt;0,N(F130)&lt;0,N(G130)&lt;0,N(H130)&lt;0),"Values must be 0 or more (shift length above 0)",IF(N(H130)&gt;N(G130),"Rejects &gt; total parts",IF(N(E130)&gt;=N(D130),"Planned stops &gt;= shift length",IF(N(F130)&gt;N(D130)-N(E130),"Downtime &gt; planned time",IF(AND(ISNUMBER(O130),O130&gt;1),"Check: performance above 100%","OK"))))))))))</f>
        <v/>
      </c>
      <c r="S130" s="13" t="str">
        <f aca="false">IF($T130,K130*M130/60,"")</f>
        <v/>
      </c>
      <c r="T130" s="15" t="b">
        <f aca="false">IF($C130="",FALSE(),AND(SUMPRODUCT(--(Setup!$A$5:$A$24=$C130))&gt;0,ISNUMBER(A130),ISNUMBER(K130),N(K130)&gt;0,ISNUMBER(D130),N(D130)&gt;0,ISNUMBER(G130),N(G130)&gt;=0,OR(E130="",ISNUMBER(E130)),OR(F130="",ISNUMBER(F130)),OR(H130="",ISNUMBER(H130)),N(E130)&gt;=0,N(F130)&gt;=0,N(H130)&gt;=0,N(H130)&lt;=N(G130),N(E130)&lt;N(D130),N(F130)&lt;=N(D130)-N(E130)))</f>
        <v>0</v>
      </c>
    </row>
    <row r="131" customFormat="false" ht="15" hidden="false" customHeight="false" outlineLevel="0" collapsed="false">
      <c r="A131" s="11"/>
      <c r="B131" s="8"/>
      <c r="C131" s="8"/>
      <c r="D131" s="8"/>
      <c r="E131" s="8"/>
      <c r="F131" s="8"/>
      <c r="G131" s="8"/>
      <c r="H131" s="8"/>
      <c r="I131" s="12" t="str">
        <f aca="false">IF($T131,D131-N(E131),"")</f>
        <v/>
      </c>
      <c r="J131" s="12" t="str">
        <f aca="false">IF($T131,I131-N(F131),"")</f>
        <v/>
      </c>
      <c r="K131" s="13" t="str">
        <f aca="false">IF($C131="","",IF(SUMPRODUCT(--(Setup!$A$5:$A$24=$C131))&gt;0,INDEX(Setup!$B$5:$B$24,21-SUMPRODUCT(MAX((Setup!$A$5:$A$24=$C131)*(25-ROW(Setup!$A$5:$A$24))))),""))</f>
        <v/>
      </c>
      <c r="L131" s="13" t="str">
        <f aca="false">IF($T131,K131*G131/60,"")</f>
        <v/>
      </c>
      <c r="M131" s="12" t="str">
        <f aca="false">IF($T131,G131-N(H131),"")</f>
        <v/>
      </c>
      <c r="N131" s="14" t="str">
        <f aca="false">IF($T131,J131/I131,"")</f>
        <v/>
      </c>
      <c r="O131" s="14" t="str">
        <f aca="false">IF(AND($T131,N(J131)&gt;0),L131/J131,"")</f>
        <v/>
      </c>
      <c r="P131" s="14" t="str">
        <f aca="false">IF(AND($T131,N(G131)&gt;0),M131/G131,"")</f>
        <v/>
      </c>
      <c r="Q131" s="14" t="str">
        <f aca="false">IF($T131,S131/I131,"")</f>
        <v/>
      </c>
      <c r="R131" s="10" t="str">
        <f aca="false">IF($C131="","",IF(NOT(SUMPRODUCT(--(Setup!$A$5:$A$24=$C131))&gt;0),"Machine not in Setup",IF(OR(NOT(ISNUMBER(K131)),N(K131)&lt;=0),"Set an ideal cycle time in Setup",IF(NOT(ISNUMBER(A131)),"Enter a date",IF(OR(NOT(ISNUMBER(D131)),NOT(ISNUMBER(G131)),AND(E131&lt;&gt;"",NOT(ISNUMBER(E131))),AND(F131&lt;&gt;"",NOT(ISNUMBER(F131))),AND(H131&lt;&gt;"",NOT(ISNUMBER(H131)))),"Enter numbers: shift length and total parts are required",IF(OR(N(D131)&lt;=0,N(E131)&lt;0,N(F131)&lt;0,N(G131)&lt;0,N(H131)&lt;0),"Values must be 0 or more (shift length above 0)",IF(N(H131)&gt;N(G131),"Rejects &gt; total parts",IF(N(E131)&gt;=N(D131),"Planned stops &gt;= shift length",IF(N(F131)&gt;N(D131)-N(E131),"Downtime &gt; planned time",IF(AND(ISNUMBER(O131),O131&gt;1),"Check: performance above 100%","OK"))))))))))</f>
        <v/>
      </c>
      <c r="S131" s="13" t="str">
        <f aca="false">IF($T131,K131*M131/60,"")</f>
        <v/>
      </c>
      <c r="T131" s="15" t="b">
        <f aca="false">IF($C131="",FALSE(),AND(SUMPRODUCT(--(Setup!$A$5:$A$24=$C131))&gt;0,ISNUMBER(A131),ISNUMBER(K131),N(K131)&gt;0,ISNUMBER(D131),N(D131)&gt;0,ISNUMBER(G131),N(G131)&gt;=0,OR(E131="",ISNUMBER(E131)),OR(F131="",ISNUMBER(F131)),OR(H131="",ISNUMBER(H131)),N(E131)&gt;=0,N(F131)&gt;=0,N(H131)&gt;=0,N(H131)&lt;=N(G131),N(E131)&lt;N(D131),N(F131)&lt;=N(D131)-N(E131)))</f>
        <v>0</v>
      </c>
    </row>
    <row r="132" customFormat="false" ht="15" hidden="false" customHeight="false" outlineLevel="0" collapsed="false">
      <c r="A132" s="11"/>
      <c r="B132" s="8"/>
      <c r="C132" s="8"/>
      <c r="D132" s="8"/>
      <c r="E132" s="8"/>
      <c r="F132" s="8"/>
      <c r="G132" s="8"/>
      <c r="H132" s="8"/>
      <c r="I132" s="12" t="str">
        <f aca="false">IF($T132,D132-N(E132),"")</f>
        <v/>
      </c>
      <c r="J132" s="12" t="str">
        <f aca="false">IF($T132,I132-N(F132),"")</f>
        <v/>
      </c>
      <c r="K132" s="13" t="str">
        <f aca="false">IF($C132="","",IF(SUMPRODUCT(--(Setup!$A$5:$A$24=$C132))&gt;0,INDEX(Setup!$B$5:$B$24,21-SUMPRODUCT(MAX((Setup!$A$5:$A$24=$C132)*(25-ROW(Setup!$A$5:$A$24))))),""))</f>
        <v/>
      </c>
      <c r="L132" s="13" t="str">
        <f aca="false">IF($T132,K132*G132/60,"")</f>
        <v/>
      </c>
      <c r="M132" s="12" t="str">
        <f aca="false">IF($T132,G132-N(H132),"")</f>
        <v/>
      </c>
      <c r="N132" s="14" t="str">
        <f aca="false">IF($T132,J132/I132,"")</f>
        <v/>
      </c>
      <c r="O132" s="14" t="str">
        <f aca="false">IF(AND($T132,N(J132)&gt;0),L132/J132,"")</f>
        <v/>
      </c>
      <c r="P132" s="14" t="str">
        <f aca="false">IF(AND($T132,N(G132)&gt;0),M132/G132,"")</f>
        <v/>
      </c>
      <c r="Q132" s="14" t="str">
        <f aca="false">IF($T132,S132/I132,"")</f>
        <v/>
      </c>
      <c r="R132" s="10" t="str">
        <f aca="false">IF($C132="","",IF(NOT(SUMPRODUCT(--(Setup!$A$5:$A$24=$C132))&gt;0),"Machine not in Setup",IF(OR(NOT(ISNUMBER(K132)),N(K132)&lt;=0),"Set an ideal cycle time in Setup",IF(NOT(ISNUMBER(A132)),"Enter a date",IF(OR(NOT(ISNUMBER(D132)),NOT(ISNUMBER(G132)),AND(E132&lt;&gt;"",NOT(ISNUMBER(E132))),AND(F132&lt;&gt;"",NOT(ISNUMBER(F132))),AND(H132&lt;&gt;"",NOT(ISNUMBER(H132)))),"Enter numbers: shift length and total parts are required",IF(OR(N(D132)&lt;=0,N(E132)&lt;0,N(F132)&lt;0,N(G132)&lt;0,N(H132)&lt;0),"Values must be 0 or more (shift length above 0)",IF(N(H132)&gt;N(G132),"Rejects &gt; total parts",IF(N(E132)&gt;=N(D132),"Planned stops &gt;= shift length",IF(N(F132)&gt;N(D132)-N(E132),"Downtime &gt; planned time",IF(AND(ISNUMBER(O132),O132&gt;1),"Check: performance above 100%","OK"))))))))))</f>
        <v/>
      </c>
      <c r="S132" s="13" t="str">
        <f aca="false">IF($T132,K132*M132/60,"")</f>
        <v/>
      </c>
      <c r="T132" s="15" t="b">
        <f aca="false">IF($C132="",FALSE(),AND(SUMPRODUCT(--(Setup!$A$5:$A$24=$C132))&gt;0,ISNUMBER(A132),ISNUMBER(K132),N(K132)&gt;0,ISNUMBER(D132),N(D132)&gt;0,ISNUMBER(G132),N(G132)&gt;=0,OR(E132="",ISNUMBER(E132)),OR(F132="",ISNUMBER(F132)),OR(H132="",ISNUMBER(H132)),N(E132)&gt;=0,N(F132)&gt;=0,N(H132)&gt;=0,N(H132)&lt;=N(G132),N(E132)&lt;N(D132),N(F132)&lt;=N(D132)-N(E132)))</f>
        <v>0</v>
      </c>
    </row>
    <row r="133" customFormat="false" ht="15" hidden="false" customHeight="false" outlineLevel="0" collapsed="false">
      <c r="A133" s="11"/>
      <c r="B133" s="8"/>
      <c r="C133" s="8"/>
      <c r="D133" s="8"/>
      <c r="E133" s="8"/>
      <c r="F133" s="8"/>
      <c r="G133" s="8"/>
      <c r="H133" s="8"/>
      <c r="I133" s="12" t="str">
        <f aca="false">IF($T133,D133-N(E133),"")</f>
        <v/>
      </c>
      <c r="J133" s="12" t="str">
        <f aca="false">IF($T133,I133-N(F133),"")</f>
        <v/>
      </c>
      <c r="K133" s="13" t="str">
        <f aca="false">IF($C133="","",IF(SUMPRODUCT(--(Setup!$A$5:$A$24=$C133))&gt;0,INDEX(Setup!$B$5:$B$24,21-SUMPRODUCT(MAX((Setup!$A$5:$A$24=$C133)*(25-ROW(Setup!$A$5:$A$24))))),""))</f>
        <v/>
      </c>
      <c r="L133" s="13" t="str">
        <f aca="false">IF($T133,K133*G133/60,"")</f>
        <v/>
      </c>
      <c r="M133" s="12" t="str">
        <f aca="false">IF($T133,G133-N(H133),"")</f>
        <v/>
      </c>
      <c r="N133" s="14" t="str">
        <f aca="false">IF($T133,J133/I133,"")</f>
        <v/>
      </c>
      <c r="O133" s="14" t="str">
        <f aca="false">IF(AND($T133,N(J133)&gt;0),L133/J133,"")</f>
        <v/>
      </c>
      <c r="P133" s="14" t="str">
        <f aca="false">IF(AND($T133,N(G133)&gt;0),M133/G133,"")</f>
        <v/>
      </c>
      <c r="Q133" s="14" t="str">
        <f aca="false">IF($T133,S133/I133,"")</f>
        <v/>
      </c>
      <c r="R133" s="10" t="str">
        <f aca="false">IF($C133="","",IF(NOT(SUMPRODUCT(--(Setup!$A$5:$A$24=$C133))&gt;0),"Machine not in Setup",IF(OR(NOT(ISNUMBER(K133)),N(K133)&lt;=0),"Set an ideal cycle time in Setup",IF(NOT(ISNUMBER(A133)),"Enter a date",IF(OR(NOT(ISNUMBER(D133)),NOT(ISNUMBER(G133)),AND(E133&lt;&gt;"",NOT(ISNUMBER(E133))),AND(F133&lt;&gt;"",NOT(ISNUMBER(F133))),AND(H133&lt;&gt;"",NOT(ISNUMBER(H133)))),"Enter numbers: shift length and total parts are required",IF(OR(N(D133)&lt;=0,N(E133)&lt;0,N(F133)&lt;0,N(G133)&lt;0,N(H133)&lt;0),"Values must be 0 or more (shift length above 0)",IF(N(H133)&gt;N(G133),"Rejects &gt; total parts",IF(N(E133)&gt;=N(D133),"Planned stops &gt;= shift length",IF(N(F133)&gt;N(D133)-N(E133),"Downtime &gt; planned time",IF(AND(ISNUMBER(O133),O133&gt;1),"Check: performance above 100%","OK"))))))))))</f>
        <v/>
      </c>
      <c r="S133" s="13" t="str">
        <f aca="false">IF($T133,K133*M133/60,"")</f>
        <v/>
      </c>
      <c r="T133" s="15" t="b">
        <f aca="false">IF($C133="",FALSE(),AND(SUMPRODUCT(--(Setup!$A$5:$A$24=$C133))&gt;0,ISNUMBER(A133),ISNUMBER(K133),N(K133)&gt;0,ISNUMBER(D133),N(D133)&gt;0,ISNUMBER(G133),N(G133)&gt;=0,OR(E133="",ISNUMBER(E133)),OR(F133="",ISNUMBER(F133)),OR(H133="",ISNUMBER(H133)),N(E133)&gt;=0,N(F133)&gt;=0,N(H133)&gt;=0,N(H133)&lt;=N(G133),N(E133)&lt;N(D133),N(F133)&lt;=N(D133)-N(E133)))</f>
        <v>0</v>
      </c>
    </row>
    <row r="134" customFormat="false" ht="15" hidden="false" customHeight="false" outlineLevel="0" collapsed="false">
      <c r="A134" s="11"/>
      <c r="B134" s="8"/>
      <c r="C134" s="8"/>
      <c r="D134" s="8"/>
      <c r="E134" s="8"/>
      <c r="F134" s="8"/>
      <c r="G134" s="8"/>
      <c r="H134" s="8"/>
      <c r="I134" s="12" t="str">
        <f aca="false">IF($T134,D134-N(E134),"")</f>
        <v/>
      </c>
      <c r="J134" s="12" t="str">
        <f aca="false">IF($T134,I134-N(F134),"")</f>
        <v/>
      </c>
      <c r="K134" s="13" t="str">
        <f aca="false">IF($C134="","",IF(SUMPRODUCT(--(Setup!$A$5:$A$24=$C134))&gt;0,INDEX(Setup!$B$5:$B$24,21-SUMPRODUCT(MAX((Setup!$A$5:$A$24=$C134)*(25-ROW(Setup!$A$5:$A$24))))),""))</f>
        <v/>
      </c>
      <c r="L134" s="13" t="str">
        <f aca="false">IF($T134,K134*G134/60,"")</f>
        <v/>
      </c>
      <c r="M134" s="12" t="str">
        <f aca="false">IF($T134,G134-N(H134),"")</f>
        <v/>
      </c>
      <c r="N134" s="14" t="str">
        <f aca="false">IF($T134,J134/I134,"")</f>
        <v/>
      </c>
      <c r="O134" s="14" t="str">
        <f aca="false">IF(AND($T134,N(J134)&gt;0),L134/J134,"")</f>
        <v/>
      </c>
      <c r="P134" s="14" t="str">
        <f aca="false">IF(AND($T134,N(G134)&gt;0),M134/G134,"")</f>
        <v/>
      </c>
      <c r="Q134" s="14" t="str">
        <f aca="false">IF($T134,S134/I134,"")</f>
        <v/>
      </c>
      <c r="R134" s="10" t="str">
        <f aca="false">IF($C134="","",IF(NOT(SUMPRODUCT(--(Setup!$A$5:$A$24=$C134))&gt;0),"Machine not in Setup",IF(OR(NOT(ISNUMBER(K134)),N(K134)&lt;=0),"Set an ideal cycle time in Setup",IF(NOT(ISNUMBER(A134)),"Enter a date",IF(OR(NOT(ISNUMBER(D134)),NOT(ISNUMBER(G134)),AND(E134&lt;&gt;"",NOT(ISNUMBER(E134))),AND(F134&lt;&gt;"",NOT(ISNUMBER(F134))),AND(H134&lt;&gt;"",NOT(ISNUMBER(H134)))),"Enter numbers: shift length and total parts are required",IF(OR(N(D134)&lt;=0,N(E134)&lt;0,N(F134)&lt;0,N(G134)&lt;0,N(H134)&lt;0),"Values must be 0 or more (shift length above 0)",IF(N(H134)&gt;N(G134),"Rejects &gt; total parts",IF(N(E134)&gt;=N(D134),"Planned stops &gt;= shift length",IF(N(F134)&gt;N(D134)-N(E134),"Downtime &gt; planned time",IF(AND(ISNUMBER(O134),O134&gt;1),"Check: performance above 100%","OK"))))))))))</f>
        <v/>
      </c>
      <c r="S134" s="13" t="str">
        <f aca="false">IF($T134,K134*M134/60,"")</f>
        <v/>
      </c>
      <c r="T134" s="15" t="b">
        <f aca="false">IF($C134="",FALSE(),AND(SUMPRODUCT(--(Setup!$A$5:$A$24=$C134))&gt;0,ISNUMBER(A134),ISNUMBER(K134),N(K134)&gt;0,ISNUMBER(D134),N(D134)&gt;0,ISNUMBER(G134),N(G134)&gt;=0,OR(E134="",ISNUMBER(E134)),OR(F134="",ISNUMBER(F134)),OR(H134="",ISNUMBER(H134)),N(E134)&gt;=0,N(F134)&gt;=0,N(H134)&gt;=0,N(H134)&lt;=N(G134),N(E134)&lt;N(D134),N(F134)&lt;=N(D134)-N(E134)))</f>
        <v>0</v>
      </c>
    </row>
    <row r="135" customFormat="false" ht="15" hidden="false" customHeight="false" outlineLevel="0" collapsed="false">
      <c r="A135" s="11"/>
      <c r="B135" s="8"/>
      <c r="C135" s="8"/>
      <c r="D135" s="8"/>
      <c r="E135" s="8"/>
      <c r="F135" s="8"/>
      <c r="G135" s="8"/>
      <c r="H135" s="8"/>
      <c r="I135" s="12" t="str">
        <f aca="false">IF($T135,D135-N(E135),"")</f>
        <v/>
      </c>
      <c r="J135" s="12" t="str">
        <f aca="false">IF($T135,I135-N(F135),"")</f>
        <v/>
      </c>
      <c r="K135" s="13" t="str">
        <f aca="false">IF($C135="","",IF(SUMPRODUCT(--(Setup!$A$5:$A$24=$C135))&gt;0,INDEX(Setup!$B$5:$B$24,21-SUMPRODUCT(MAX((Setup!$A$5:$A$24=$C135)*(25-ROW(Setup!$A$5:$A$24))))),""))</f>
        <v/>
      </c>
      <c r="L135" s="13" t="str">
        <f aca="false">IF($T135,K135*G135/60,"")</f>
        <v/>
      </c>
      <c r="M135" s="12" t="str">
        <f aca="false">IF($T135,G135-N(H135),"")</f>
        <v/>
      </c>
      <c r="N135" s="14" t="str">
        <f aca="false">IF($T135,J135/I135,"")</f>
        <v/>
      </c>
      <c r="O135" s="14" t="str">
        <f aca="false">IF(AND($T135,N(J135)&gt;0),L135/J135,"")</f>
        <v/>
      </c>
      <c r="P135" s="14" t="str">
        <f aca="false">IF(AND($T135,N(G135)&gt;0),M135/G135,"")</f>
        <v/>
      </c>
      <c r="Q135" s="14" t="str">
        <f aca="false">IF($T135,S135/I135,"")</f>
        <v/>
      </c>
      <c r="R135" s="10" t="str">
        <f aca="false">IF($C135="","",IF(NOT(SUMPRODUCT(--(Setup!$A$5:$A$24=$C135))&gt;0),"Machine not in Setup",IF(OR(NOT(ISNUMBER(K135)),N(K135)&lt;=0),"Set an ideal cycle time in Setup",IF(NOT(ISNUMBER(A135)),"Enter a date",IF(OR(NOT(ISNUMBER(D135)),NOT(ISNUMBER(G135)),AND(E135&lt;&gt;"",NOT(ISNUMBER(E135))),AND(F135&lt;&gt;"",NOT(ISNUMBER(F135))),AND(H135&lt;&gt;"",NOT(ISNUMBER(H135)))),"Enter numbers: shift length and total parts are required",IF(OR(N(D135)&lt;=0,N(E135)&lt;0,N(F135)&lt;0,N(G135)&lt;0,N(H135)&lt;0),"Values must be 0 or more (shift length above 0)",IF(N(H135)&gt;N(G135),"Rejects &gt; total parts",IF(N(E135)&gt;=N(D135),"Planned stops &gt;= shift length",IF(N(F135)&gt;N(D135)-N(E135),"Downtime &gt; planned time",IF(AND(ISNUMBER(O135),O135&gt;1),"Check: performance above 100%","OK"))))))))))</f>
        <v/>
      </c>
      <c r="S135" s="13" t="str">
        <f aca="false">IF($T135,K135*M135/60,"")</f>
        <v/>
      </c>
      <c r="T135" s="15" t="b">
        <f aca="false">IF($C135="",FALSE(),AND(SUMPRODUCT(--(Setup!$A$5:$A$24=$C135))&gt;0,ISNUMBER(A135),ISNUMBER(K135),N(K135)&gt;0,ISNUMBER(D135),N(D135)&gt;0,ISNUMBER(G135),N(G135)&gt;=0,OR(E135="",ISNUMBER(E135)),OR(F135="",ISNUMBER(F135)),OR(H135="",ISNUMBER(H135)),N(E135)&gt;=0,N(F135)&gt;=0,N(H135)&gt;=0,N(H135)&lt;=N(G135),N(E135)&lt;N(D135),N(F135)&lt;=N(D135)-N(E135)))</f>
        <v>0</v>
      </c>
    </row>
    <row r="136" customFormat="false" ht="15" hidden="false" customHeight="false" outlineLevel="0" collapsed="false">
      <c r="A136" s="11"/>
      <c r="B136" s="8"/>
      <c r="C136" s="8"/>
      <c r="D136" s="8"/>
      <c r="E136" s="8"/>
      <c r="F136" s="8"/>
      <c r="G136" s="8"/>
      <c r="H136" s="8"/>
      <c r="I136" s="12" t="str">
        <f aca="false">IF($T136,D136-N(E136),"")</f>
        <v/>
      </c>
      <c r="J136" s="12" t="str">
        <f aca="false">IF($T136,I136-N(F136),"")</f>
        <v/>
      </c>
      <c r="K136" s="13" t="str">
        <f aca="false">IF($C136="","",IF(SUMPRODUCT(--(Setup!$A$5:$A$24=$C136))&gt;0,INDEX(Setup!$B$5:$B$24,21-SUMPRODUCT(MAX((Setup!$A$5:$A$24=$C136)*(25-ROW(Setup!$A$5:$A$24))))),""))</f>
        <v/>
      </c>
      <c r="L136" s="13" t="str">
        <f aca="false">IF($T136,K136*G136/60,"")</f>
        <v/>
      </c>
      <c r="M136" s="12" t="str">
        <f aca="false">IF($T136,G136-N(H136),"")</f>
        <v/>
      </c>
      <c r="N136" s="14" t="str">
        <f aca="false">IF($T136,J136/I136,"")</f>
        <v/>
      </c>
      <c r="O136" s="14" t="str">
        <f aca="false">IF(AND($T136,N(J136)&gt;0),L136/J136,"")</f>
        <v/>
      </c>
      <c r="P136" s="14" t="str">
        <f aca="false">IF(AND($T136,N(G136)&gt;0),M136/G136,"")</f>
        <v/>
      </c>
      <c r="Q136" s="14" t="str">
        <f aca="false">IF($T136,S136/I136,"")</f>
        <v/>
      </c>
      <c r="R136" s="10" t="str">
        <f aca="false">IF($C136="","",IF(NOT(SUMPRODUCT(--(Setup!$A$5:$A$24=$C136))&gt;0),"Machine not in Setup",IF(OR(NOT(ISNUMBER(K136)),N(K136)&lt;=0),"Set an ideal cycle time in Setup",IF(NOT(ISNUMBER(A136)),"Enter a date",IF(OR(NOT(ISNUMBER(D136)),NOT(ISNUMBER(G136)),AND(E136&lt;&gt;"",NOT(ISNUMBER(E136))),AND(F136&lt;&gt;"",NOT(ISNUMBER(F136))),AND(H136&lt;&gt;"",NOT(ISNUMBER(H136)))),"Enter numbers: shift length and total parts are required",IF(OR(N(D136)&lt;=0,N(E136)&lt;0,N(F136)&lt;0,N(G136)&lt;0,N(H136)&lt;0),"Values must be 0 or more (shift length above 0)",IF(N(H136)&gt;N(G136),"Rejects &gt; total parts",IF(N(E136)&gt;=N(D136),"Planned stops &gt;= shift length",IF(N(F136)&gt;N(D136)-N(E136),"Downtime &gt; planned time",IF(AND(ISNUMBER(O136),O136&gt;1),"Check: performance above 100%","OK"))))))))))</f>
        <v/>
      </c>
      <c r="S136" s="13" t="str">
        <f aca="false">IF($T136,K136*M136/60,"")</f>
        <v/>
      </c>
      <c r="T136" s="15" t="b">
        <f aca="false">IF($C136="",FALSE(),AND(SUMPRODUCT(--(Setup!$A$5:$A$24=$C136))&gt;0,ISNUMBER(A136),ISNUMBER(K136),N(K136)&gt;0,ISNUMBER(D136),N(D136)&gt;0,ISNUMBER(G136),N(G136)&gt;=0,OR(E136="",ISNUMBER(E136)),OR(F136="",ISNUMBER(F136)),OR(H136="",ISNUMBER(H136)),N(E136)&gt;=0,N(F136)&gt;=0,N(H136)&gt;=0,N(H136)&lt;=N(G136),N(E136)&lt;N(D136),N(F136)&lt;=N(D136)-N(E136)))</f>
        <v>0</v>
      </c>
    </row>
    <row r="137" customFormat="false" ht="15" hidden="false" customHeight="false" outlineLevel="0" collapsed="false">
      <c r="A137" s="11"/>
      <c r="B137" s="8"/>
      <c r="C137" s="8"/>
      <c r="D137" s="8"/>
      <c r="E137" s="8"/>
      <c r="F137" s="8"/>
      <c r="G137" s="8"/>
      <c r="H137" s="8"/>
      <c r="I137" s="12" t="str">
        <f aca="false">IF($T137,D137-N(E137),"")</f>
        <v/>
      </c>
      <c r="J137" s="12" t="str">
        <f aca="false">IF($T137,I137-N(F137),"")</f>
        <v/>
      </c>
      <c r="K137" s="13" t="str">
        <f aca="false">IF($C137="","",IF(SUMPRODUCT(--(Setup!$A$5:$A$24=$C137))&gt;0,INDEX(Setup!$B$5:$B$24,21-SUMPRODUCT(MAX((Setup!$A$5:$A$24=$C137)*(25-ROW(Setup!$A$5:$A$24))))),""))</f>
        <v/>
      </c>
      <c r="L137" s="13" t="str">
        <f aca="false">IF($T137,K137*G137/60,"")</f>
        <v/>
      </c>
      <c r="M137" s="12" t="str">
        <f aca="false">IF($T137,G137-N(H137),"")</f>
        <v/>
      </c>
      <c r="N137" s="14" t="str">
        <f aca="false">IF($T137,J137/I137,"")</f>
        <v/>
      </c>
      <c r="O137" s="14" t="str">
        <f aca="false">IF(AND($T137,N(J137)&gt;0),L137/J137,"")</f>
        <v/>
      </c>
      <c r="P137" s="14" t="str">
        <f aca="false">IF(AND($T137,N(G137)&gt;0),M137/G137,"")</f>
        <v/>
      </c>
      <c r="Q137" s="14" t="str">
        <f aca="false">IF($T137,S137/I137,"")</f>
        <v/>
      </c>
      <c r="R137" s="10" t="str">
        <f aca="false">IF($C137="","",IF(NOT(SUMPRODUCT(--(Setup!$A$5:$A$24=$C137))&gt;0),"Machine not in Setup",IF(OR(NOT(ISNUMBER(K137)),N(K137)&lt;=0),"Set an ideal cycle time in Setup",IF(NOT(ISNUMBER(A137)),"Enter a date",IF(OR(NOT(ISNUMBER(D137)),NOT(ISNUMBER(G137)),AND(E137&lt;&gt;"",NOT(ISNUMBER(E137))),AND(F137&lt;&gt;"",NOT(ISNUMBER(F137))),AND(H137&lt;&gt;"",NOT(ISNUMBER(H137)))),"Enter numbers: shift length and total parts are required",IF(OR(N(D137)&lt;=0,N(E137)&lt;0,N(F137)&lt;0,N(G137)&lt;0,N(H137)&lt;0),"Values must be 0 or more (shift length above 0)",IF(N(H137)&gt;N(G137),"Rejects &gt; total parts",IF(N(E137)&gt;=N(D137),"Planned stops &gt;= shift length",IF(N(F137)&gt;N(D137)-N(E137),"Downtime &gt; planned time",IF(AND(ISNUMBER(O137),O137&gt;1),"Check: performance above 100%","OK"))))))))))</f>
        <v/>
      </c>
      <c r="S137" s="13" t="str">
        <f aca="false">IF($T137,K137*M137/60,"")</f>
        <v/>
      </c>
      <c r="T137" s="15" t="b">
        <f aca="false">IF($C137="",FALSE(),AND(SUMPRODUCT(--(Setup!$A$5:$A$24=$C137))&gt;0,ISNUMBER(A137),ISNUMBER(K137),N(K137)&gt;0,ISNUMBER(D137),N(D137)&gt;0,ISNUMBER(G137),N(G137)&gt;=0,OR(E137="",ISNUMBER(E137)),OR(F137="",ISNUMBER(F137)),OR(H137="",ISNUMBER(H137)),N(E137)&gt;=0,N(F137)&gt;=0,N(H137)&gt;=0,N(H137)&lt;=N(G137),N(E137)&lt;N(D137),N(F137)&lt;=N(D137)-N(E137)))</f>
        <v>0</v>
      </c>
    </row>
    <row r="138" customFormat="false" ht="15" hidden="false" customHeight="false" outlineLevel="0" collapsed="false">
      <c r="A138" s="11"/>
      <c r="B138" s="8"/>
      <c r="C138" s="8"/>
      <c r="D138" s="8"/>
      <c r="E138" s="8"/>
      <c r="F138" s="8"/>
      <c r="G138" s="8"/>
      <c r="H138" s="8"/>
      <c r="I138" s="12" t="str">
        <f aca="false">IF($T138,D138-N(E138),"")</f>
        <v/>
      </c>
      <c r="J138" s="12" t="str">
        <f aca="false">IF($T138,I138-N(F138),"")</f>
        <v/>
      </c>
      <c r="K138" s="13" t="str">
        <f aca="false">IF($C138="","",IF(SUMPRODUCT(--(Setup!$A$5:$A$24=$C138))&gt;0,INDEX(Setup!$B$5:$B$24,21-SUMPRODUCT(MAX((Setup!$A$5:$A$24=$C138)*(25-ROW(Setup!$A$5:$A$24))))),""))</f>
        <v/>
      </c>
      <c r="L138" s="13" t="str">
        <f aca="false">IF($T138,K138*G138/60,"")</f>
        <v/>
      </c>
      <c r="M138" s="12" t="str">
        <f aca="false">IF($T138,G138-N(H138),"")</f>
        <v/>
      </c>
      <c r="N138" s="14" t="str">
        <f aca="false">IF($T138,J138/I138,"")</f>
        <v/>
      </c>
      <c r="O138" s="14" t="str">
        <f aca="false">IF(AND($T138,N(J138)&gt;0),L138/J138,"")</f>
        <v/>
      </c>
      <c r="P138" s="14" t="str">
        <f aca="false">IF(AND($T138,N(G138)&gt;0),M138/G138,"")</f>
        <v/>
      </c>
      <c r="Q138" s="14" t="str">
        <f aca="false">IF($T138,S138/I138,"")</f>
        <v/>
      </c>
      <c r="R138" s="10" t="str">
        <f aca="false">IF($C138="","",IF(NOT(SUMPRODUCT(--(Setup!$A$5:$A$24=$C138))&gt;0),"Machine not in Setup",IF(OR(NOT(ISNUMBER(K138)),N(K138)&lt;=0),"Set an ideal cycle time in Setup",IF(NOT(ISNUMBER(A138)),"Enter a date",IF(OR(NOT(ISNUMBER(D138)),NOT(ISNUMBER(G138)),AND(E138&lt;&gt;"",NOT(ISNUMBER(E138))),AND(F138&lt;&gt;"",NOT(ISNUMBER(F138))),AND(H138&lt;&gt;"",NOT(ISNUMBER(H138)))),"Enter numbers: shift length and total parts are required",IF(OR(N(D138)&lt;=0,N(E138)&lt;0,N(F138)&lt;0,N(G138)&lt;0,N(H138)&lt;0),"Values must be 0 or more (shift length above 0)",IF(N(H138)&gt;N(G138),"Rejects &gt; total parts",IF(N(E138)&gt;=N(D138),"Planned stops &gt;= shift length",IF(N(F138)&gt;N(D138)-N(E138),"Downtime &gt; planned time",IF(AND(ISNUMBER(O138),O138&gt;1),"Check: performance above 100%","OK"))))))))))</f>
        <v/>
      </c>
      <c r="S138" s="13" t="str">
        <f aca="false">IF($T138,K138*M138/60,"")</f>
        <v/>
      </c>
      <c r="T138" s="15" t="b">
        <f aca="false">IF($C138="",FALSE(),AND(SUMPRODUCT(--(Setup!$A$5:$A$24=$C138))&gt;0,ISNUMBER(A138),ISNUMBER(K138),N(K138)&gt;0,ISNUMBER(D138),N(D138)&gt;0,ISNUMBER(G138),N(G138)&gt;=0,OR(E138="",ISNUMBER(E138)),OR(F138="",ISNUMBER(F138)),OR(H138="",ISNUMBER(H138)),N(E138)&gt;=0,N(F138)&gt;=0,N(H138)&gt;=0,N(H138)&lt;=N(G138),N(E138)&lt;N(D138),N(F138)&lt;=N(D138)-N(E138)))</f>
        <v>0</v>
      </c>
    </row>
    <row r="139" customFormat="false" ht="15" hidden="false" customHeight="false" outlineLevel="0" collapsed="false">
      <c r="A139" s="11"/>
      <c r="B139" s="8"/>
      <c r="C139" s="8"/>
      <c r="D139" s="8"/>
      <c r="E139" s="8"/>
      <c r="F139" s="8"/>
      <c r="G139" s="8"/>
      <c r="H139" s="8"/>
      <c r="I139" s="12" t="str">
        <f aca="false">IF($T139,D139-N(E139),"")</f>
        <v/>
      </c>
      <c r="J139" s="12" t="str">
        <f aca="false">IF($T139,I139-N(F139),"")</f>
        <v/>
      </c>
      <c r="K139" s="13" t="str">
        <f aca="false">IF($C139="","",IF(SUMPRODUCT(--(Setup!$A$5:$A$24=$C139))&gt;0,INDEX(Setup!$B$5:$B$24,21-SUMPRODUCT(MAX((Setup!$A$5:$A$24=$C139)*(25-ROW(Setup!$A$5:$A$24))))),""))</f>
        <v/>
      </c>
      <c r="L139" s="13" t="str">
        <f aca="false">IF($T139,K139*G139/60,"")</f>
        <v/>
      </c>
      <c r="M139" s="12" t="str">
        <f aca="false">IF($T139,G139-N(H139),"")</f>
        <v/>
      </c>
      <c r="N139" s="14" t="str">
        <f aca="false">IF($T139,J139/I139,"")</f>
        <v/>
      </c>
      <c r="O139" s="14" t="str">
        <f aca="false">IF(AND($T139,N(J139)&gt;0),L139/J139,"")</f>
        <v/>
      </c>
      <c r="P139" s="14" t="str">
        <f aca="false">IF(AND($T139,N(G139)&gt;0),M139/G139,"")</f>
        <v/>
      </c>
      <c r="Q139" s="14" t="str">
        <f aca="false">IF($T139,S139/I139,"")</f>
        <v/>
      </c>
      <c r="R139" s="10" t="str">
        <f aca="false">IF($C139="","",IF(NOT(SUMPRODUCT(--(Setup!$A$5:$A$24=$C139))&gt;0),"Machine not in Setup",IF(OR(NOT(ISNUMBER(K139)),N(K139)&lt;=0),"Set an ideal cycle time in Setup",IF(NOT(ISNUMBER(A139)),"Enter a date",IF(OR(NOT(ISNUMBER(D139)),NOT(ISNUMBER(G139)),AND(E139&lt;&gt;"",NOT(ISNUMBER(E139))),AND(F139&lt;&gt;"",NOT(ISNUMBER(F139))),AND(H139&lt;&gt;"",NOT(ISNUMBER(H139)))),"Enter numbers: shift length and total parts are required",IF(OR(N(D139)&lt;=0,N(E139)&lt;0,N(F139)&lt;0,N(G139)&lt;0,N(H139)&lt;0),"Values must be 0 or more (shift length above 0)",IF(N(H139)&gt;N(G139),"Rejects &gt; total parts",IF(N(E139)&gt;=N(D139),"Planned stops &gt;= shift length",IF(N(F139)&gt;N(D139)-N(E139),"Downtime &gt; planned time",IF(AND(ISNUMBER(O139),O139&gt;1),"Check: performance above 100%","OK"))))))))))</f>
        <v/>
      </c>
      <c r="S139" s="13" t="str">
        <f aca="false">IF($T139,K139*M139/60,"")</f>
        <v/>
      </c>
      <c r="T139" s="15" t="b">
        <f aca="false">IF($C139="",FALSE(),AND(SUMPRODUCT(--(Setup!$A$5:$A$24=$C139))&gt;0,ISNUMBER(A139),ISNUMBER(K139),N(K139)&gt;0,ISNUMBER(D139),N(D139)&gt;0,ISNUMBER(G139),N(G139)&gt;=0,OR(E139="",ISNUMBER(E139)),OR(F139="",ISNUMBER(F139)),OR(H139="",ISNUMBER(H139)),N(E139)&gt;=0,N(F139)&gt;=0,N(H139)&gt;=0,N(H139)&lt;=N(G139),N(E139)&lt;N(D139),N(F139)&lt;=N(D139)-N(E139)))</f>
        <v>0</v>
      </c>
    </row>
    <row r="140" customFormat="false" ht="15" hidden="false" customHeight="false" outlineLevel="0" collapsed="false">
      <c r="A140" s="11"/>
      <c r="B140" s="8"/>
      <c r="C140" s="8"/>
      <c r="D140" s="8"/>
      <c r="E140" s="8"/>
      <c r="F140" s="8"/>
      <c r="G140" s="8"/>
      <c r="H140" s="8"/>
      <c r="I140" s="12" t="str">
        <f aca="false">IF($T140,D140-N(E140),"")</f>
        <v/>
      </c>
      <c r="J140" s="12" t="str">
        <f aca="false">IF($T140,I140-N(F140),"")</f>
        <v/>
      </c>
      <c r="K140" s="13" t="str">
        <f aca="false">IF($C140="","",IF(SUMPRODUCT(--(Setup!$A$5:$A$24=$C140))&gt;0,INDEX(Setup!$B$5:$B$24,21-SUMPRODUCT(MAX((Setup!$A$5:$A$24=$C140)*(25-ROW(Setup!$A$5:$A$24))))),""))</f>
        <v/>
      </c>
      <c r="L140" s="13" t="str">
        <f aca="false">IF($T140,K140*G140/60,"")</f>
        <v/>
      </c>
      <c r="M140" s="12" t="str">
        <f aca="false">IF($T140,G140-N(H140),"")</f>
        <v/>
      </c>
      <c r="N140" s="14" t="str">
        <f aca="false">IF($T140,J140/I140,"")</f>
        <v/>
      </c>
      <c r="O140" s="14" t="str">
        <f aca="false">IF(AND($T140,N(J140)&gt;0),L140/J140,"")</f>
        <v/>
      </c>
      <c r="P140" s="14" t="str">
        <f aca="false">IF(AND($T140,N(G140)&gt;0),M140/G140,"")</f>
        <v/>
      </c>
      <c r="Q140" s="14" t="str">
        <f aca="false">IF($T140,S140/I140,"")</f>
        <v/>
      </c>
      <c r="R140" s="10" t="str">
        <f aca="false">IF($C140="","",IF(NOT(SUMPRODUCT(--(Setup!$A$5:$A$24=$C140))&gt;0),"Machine not in Setup",IF(OR(NOT(ISNUMBER(K140)),N(K140)&lt;=0),"Set an ideal cycle time in Setup",IF(NOT(ISNUMBER(A140)),"Enter a date",IF(OR(NOT(ISNUMBER(D140)),NOT(ISNUMBER(G140)),AND(E140&lt;&gt;"",NOT(ISNUMBER(E140))),AND(F140&lt;&gt;"",NOT(ISNUMBER(F140))),AND(H140&lt;&gt;"",NOT(ISNUMBER(H140)))),"Enter numbers: shift length and total parts are required",IF(OR(N(D140)&lt;=0,N(E140)&lt;0,N(F140)&lt;0,N(G140)&lt;0,N(H140)&lt;0),"Values must be 0 or more (shift length above 0)",IF(N(H140)&gt;N(G140),"Rejects &gt; total parts",IF(N(E140)&gt;=N(D140),"Planned stops &gt;= shift length",IF(N(F140)&gt;N(D140)-N(E140),"Downtime &gt; planned time",IF(AND(ISNUMBER(O140),O140&gt;1),"Check: performance above 100%","OK"))))))))))</f>
        <v/>
      </c>
      <c r="S140" s="13" t="str">
        <f aca="false">IF($T140,K140*M140/60,"")</f>
        <v/>
      </c>
      <c r="T140" s="15" t="b">
        <f aca="false">IF($C140="",FALSE(),AND(SUMPRODUCT(--(Setup!$A$5:$A$24=$C140))&gt;0,ISNUMBER(A140),ISNUMBER(K140),N(K140)&gt;0,ISNUMBER(D140),N(D140)&gt;0,ISNUMBER(G140),N(G140)&gt;=0,OR(E140="",ISNUMBER(E140)),OR(F140="",ISNUMBER(F140)),OR(H140="",ISNUMBER(H140)),N(E140)&gt;=0,N(F140)&gt;=0,N(H140)&gt;=0,N(H140)&lt;=N(G140),N(E140)&lt;N(D140),N(F140)&lt;=N(D140)-N(E140)))</f>
        <v>0</v>
      </c>
    </row>
    <row r="141" customFormat="false" ht="15" hidden="false" customHeight="false" outlineLevel="0" collapsed="false">
      <c r="A141" s="11"/>
      <c r="B141" s="8"/>
      <c r="C141" s="8"/>
      <c r="D141" s="8"/>
      <c r="E141" s="8"/>
      <c r="F141" s="8"/>
      <c r="G141" s="8"/>
      <c r="H141" s="8"/>
      <c r="I141" s="12" t="str">
        <f aca="false">IF($T141,D141-N(E141),"")</f>
        <v/>
      </c>
      <c r="J141" s="12" t="str">
        <f aca="false">IF($T141,I141-N(F141),"")</f>
        <v/>
      </c>
      <c r="K141" s="13" t="str">
        <f aca="false">IF($C141="","",IF(SUMPRODUCT(--(Setup!$A$5:$A$24=$C141))&gt;0,INDEX(Setup!$B$5:$B$24,21-SUMPRODUCT(MAX((Setup!$A$5:$A$24=$C141)*(25-ROW(Setup!$A$5:$A$24))))),""))</f>
        <v/>
      </c>
      <c r="L141" s="13" t="str">
        <f aca="false">IF($T141,K141*G141/60,"")</f>
        <v/>
      </c>
      <c r="M141" s="12" t="str">
        <f aca="false">IF($T141,G141-N(H141),"")</f>
        <v/>
      </c>
      <c r="N141" s="14" t="str">
        <f aca="false">IF($T141,J141/I141,"")</f>
        <v/>
      </c>
      <c r="O141" s="14" t="str">
        <f aca="false">IF(AND($T141,N(J141)&gt;0),L141/J141,"")</f>
        <v/>
      </c>
      <c r="P141" s="14" t="str">
        <f aca="false">IF(AND($T141,N(G141)&gt;0),M141/G141,"")</f>
        <v/>
      </c>
      <c r="Q141" s="14" t="str">
        <f aca="false">IF($T141,S141/I141,"")</f>
        <v/>
      </c>
      <c r="R141" s="10" t="str">
        <f aca="false">IF($C141="","",IF(NOT(SUMPRODUCT(--(Setup!$A$5:$A$24=$C141))&gt;0),"Machine not in Setup",IF(OR(NOT(ISNUMBER(K141)),N(K141)&lt;=0),"Set an ideal cycle time in Setup",IF(NOT(ISNUMBER(A141)),"Enter a date",IF(OR(NOT(ISNUMBER(D141)),NOT(ISNUMBER(G141)),AND(E141&lt;&gt;"",NOT(ISNUMBER(E141))),AND(F141&lt;&gt;"",NOT(ISNUMBER(F141))),AND(H141&lt;&gt;"",NOT(ISNUMBER(H141)))),"Enter numbers: shift length and total parts are required",IF(OR(N(D141)&lt;=0,N(E141)&lt;0,N(F141)&lt;0,N(G141)&lt;0,N(H141)&lt;0),"Values must be 0 or more (shift length above 0)",IF(N(H141)&gt;N(G141),"Rejects &gt; total parts",IF(N(E141)&gt;=N(D141),"Planned stops &gt;= shift length",IF(N(F141)&gt;N(D141)-N(E141),"Downtime &gt; planned time",IF(AND(ISNUMBER(O141),O141&gt;1),"Check: performance above 100%","OK"))))))))))</f>
        <v/>
      </c>
      <c r="S141" s="13" t="str">
        <f aca="false">IF($T141,K141*M141/60,"")</f>
        <v/>
      </c>
      <c r="T141" s="15" t="b">
        <f aca="false">IF($C141="",FALSE(),AND(SUMPRODUCT(--(Setup!$A$5:$A$24=$C141))&gt;0,ISNUMBER(A141),ISNUMBER(K141),N(K141)&gt;0,ISNUMBER(D141),N(D141)&gt;0,ISNUMBER(G141),N(G141)&gt;=0,OR(E141="",ISNUMBER(E141)),OR(F141="",ISNUMBER(F141)),OR(H141="",ISNUMBER(H141)),N(E141)&gt;=0,N(F141)&gt;=0,N(H141)&gt;=0,N(H141)&lt;=N(G141),N(E141)&lt;N(D141),N(F141)&lt;=N(D141)-N(E141)))</f>
        <v>0</v>
      </c>
    </row>
    <row r="142" customFormat="false" ht="15" hidden="false" customHeight="false" outlineLevel="0" collapsed="false">
      <c r="A142" s="11"/>
      <c r="B142" s="8"/>
      <c r="C142" s="8"/>
      <c r="D142" s="8"/>
      <c r="E142" s="8"/>
      <c r="F142" s="8"/>
      <c r="G142" s="8"/>
      <c r="H142" s="8"/>
      <c r="I142" s="12" t="str">
        <f aca="false">IF($T142,D142-N(E142),"")</f>
        <v/>
      </c>
      <c r="J142" s="12" t="str">
        <f aca="false">IF($T142,I142-N(F142),"")</f>
        <v/>
      </c>
      <c r="K142" s="13" t="str">
        <f aca="false">IF($C142="","",IF(SUMPRODUCT(--(Setup!$A$5:$A$24=$C142))&gt;0,INDEX(Setup!$B$5:$B$24,21-SUMPRODUCT(MAX((Setup!$A$5:$A$24=$C142)*(25-ROW(Setup!$A$5:$A$24))))),""))</f>
        <v/>
      </c>
      <c r="L142" s="13" t="str">
        <f aca="false">IF($T142,K142*G142/60,"")</f>
        <v/>
      </c>
      <c r="M142" s="12" t="str">
        <f aca="false">IF($T142,G142-N(H142),"")</f>
        <v/>
      </c>
      <c r="N142" s="14" t="str">
        <f aca="false">IF($T142,J142/I142,"")</f>
        <v/>
      </c>
      <c r="O142" s="14" t="str">
        <f aca="false">IF(AND($T142,N(J142)&gt;0),L142/J142,"")</f>
        <v/>
      </c>
      <c r="P142" s="14" t="str">
        <f aca="false">IF(AND($T142,N(G142)&gt;0),M142/G142,"")</f>
        <v/>
      </c>
      <c r="Q142" s="14" t="str">
        <f aca="false">IF($T142,S142/I142,"")</f>
        <v/>
      </c>
      <c r="R142" s="10" t="str">
        <f aca="false">IF($C142="","",IF(NOT(SUMPRODUCT(--(Setup!$A$5:$A$24=$C142))&gt;0),"Machine not in Setup",IF(OR(NOT(ISNUMBER(K142)),N(K142)&lt;=0),"Set an ideal cycle time in Setup",IF(NOT(ISNUMBER(A142)),"Enter a date",IF(OR(NOT(ISNUMBER(D142)),NOT(ISNUMBER(G142)),AND(E142&lt;&gt;"",NOT(ISNUMBER(E142))),AND(F142&lt;&gt;"",NOT(ISNUMBER(F142))),AND(H142&lt;&gt;"",NOT(ISNUMBER(H142)))),"Enter numbers: shift length and total parts are required",IF(OR(N(D142)&lt;=0,N(E142)&lt;0,N(F142)&lt;0,N(G142)&lt;0,N(H142)&lt;0),"Values must be 0 or more (shift length above 0)",IF(N(H142)&gt;N(G142),"Rejects &gt; total parts",IF(N(E142)&gt;=N(D142),"Planned stops &gt;= shift length",IF(N(F142)&gt;N(D142)-N(E142),"Downtime &gt; planned time",IF(AND(ISNUMBER(O142),O142&gt;1),"Check: performance above 100%","OK"))))))))))</f>
        <v/>
      </c>
      <c r="S142" s="13" t="str">
        <f aca="false">IF($T142,K142*M142/60,"")</f>
        <v/>
      </c>
      <c r="T142" s="15" t="b">
        <f aca="false">IF($C142="",FALSE(),AND(SUMPRODUCT(--(Setup!$A$5:$A$24=$C142))&gt;0,ISNUMBER(A142),ISNUMBER(K142),N(K142)&gt;0,ISNUMBER(D142),N(D142)&gt;0,ISNUMBER(G142),N(G142)&gt;=0,OR(E142="",ISNUMBER(E142)),OR(F142="",ISNUMBER(F142)),OR(H142="",ISNUMBER(H142)),N(E142)&gt;=0,N(F142)&gt;=0,N(H142)&gt;=0,N(H142)&lt;=N(G142),N(E142)&lt;N(D142),N(F142)&lt;=N(D142)-N(E142)))</f>
        <v>0</v>
      </c>
    </row>
    <row r="143" customFormat="false" ht="15" hidden="false" customHeight="false" outlineLevel="0" collapsed="false">
      <c r="A143" s="11"/>
      <c r="B143" s="8"/>
      <c r="C143" s="8"/>
      <c r="D143" s="8"/>
      <c r="E143" s="8"/>
      <c r="F143" s="8"/>
      <c r="G143" s="8"/>
      <c r="H143" s="8"/>
      <c r="I143" s="12" t="str">
        <f aca="false">IF($T143,D143-N(E143),"")</f>
        <v/>
      </c>
      <c r="J143" s="12" t="str">
        <f aca="false">IF($T143,I143-N(F143),"")</f>
        <v/>
      </c>
      <c r="K143" s="13" t="str">
        <f aca="false">IF($C143="","",IF(SUMPRODUCT(--(Setup!$A$5:$A$24=$C143))&gt;0,INDEX(Setup!$B$5:$B$24,21-SUMPRODUCT(MAX((Setup!$A$5:$A$24=$C143)*(25-ROW(Setup!$A$5:$A$24))))),""))</f>
        <v/>
      </c>
      <c r="L143" s="13" t="str">
        <f aca="false">IF($T143,K143*G143/60,"")</f>
        <v/>
      </c>
      <c r="M143" s="12" t="str">
        <f aca="false">IF($T143,G143-N(H143),"")</f>
        <v/>
      </c>
      <c r="N143" s="14" t="str">
        <f aca="false">IF($T143,J143/I143,"")</f>
        <v/>
      </c>
      <c r="O143" s="14" t="str">
        <f aca="false">IF(AND($T143,N(J143)&gt;0),L143/J143,"")</f>
        <v/>
      </c>
      <c r="P143" s="14" t="str">
        <f aca="false">IF(AND($T143,N(G143)&gt;0),M143/G143,"")</f>
        <v/>
      </c>
      <c r="Q143" s="14" t="str">
        <f aca="false">IF($T143,S143/I143,"")</f>
        <v/>
      </c>
      <c r="R143" s="10" t="str">
        <f aca="false">IF($C143="","",IF(NOT(SUMPRODUCT(--(Setup!$A$5:$A$24=$C143))&gt;0),"Machine not in Setup",IF(OR(NOT(ISNUMBER(K143)),N(K143)&lt;=0),"Set an ideal cycle time in Setup",IF(NOT(ISNUMBER(A143)),"Enter a date",IF(OR(NOT(ISNUMBER(D143)),NOT(ISNUMBER(G143)),AND(E143&lt;&gt;"",NOT(ISNUMBER(E143))),AND(F143&lt;&gt;"",NOT(ISNUMBER(F143))),AND(H143&lt;&gt;"",NOT(ISNUMBER(H143)))),"Enter numbers: shift length and total parts are required",IF(OR(N(D143)&lt;=0,N(E143)&lt;0,N(F143)&lt;0,N(G143)&lt;0,N(H143)&lt;0),"Values must be 0 or more (shift length above 0)",IF(N(H143)&gt;N(G143),"Rejects &gt; total parts",IF(N(E143)&gt;=N(D143),"Planned stops &gt;= shift length",IF(N(F143)&gt;N(D143)-N(E143),"Downtime &gt; planned time",IF(AND(ISNUMBER(O143),O143&gt;1),"Check: performance above 100%","OK"))))))))))</f>
        <v/>
      </c>
      <c r="S143" s="13" t="str">
        <f aca="false">IF($T143,K143*M143/60,"")</f>
        <v/>
      </c>
      <c r="T143" s="15" t="b">
        <f aca="false">IF($C143="",FALSE(),AND(SUMPRODUCT(--(Setup!$A$5:$A$24=$C143))&gt;0,ISNUMBER(A143),ISNUMBER(K143),N(K143)&gt;0,ISNUMBER(D143),N(D143)&gt;0,ISNUMBER(G143),N(G143)&gt;=0,OR(E143="",ISNUMBER(E143)),OR(F143="",ISNUMBER(F143)),OR(H143="",ISNUMBER(H143)),N(E143)&gt;=0,N(F143)&gt;=0,N(H143)&gt;=0,N(H143)&lt;=N(G143),N(E143)&lt;N(D143),N(F143)&lt;=N(D143)-N(E143)))</f>
        <v>0</v>
      </c>
    </row>
    <row r="144" customFormat="false" ht="15" hidden="false" customHeight="false" outlineLevel="0" collapsed="false">
      <c r="A144" s="11"/>
      <c r="B144" s="8"/>
      <c r="C144" s="8"/>
      <c r="D144" s="8"/>
      <c r="E144" s="8"/>
      <c r="F144" s="8"/>
      <c r="G144" s="8"/>
      <c r="H144" s="8"/>
      <c r="I144" s="12" t="str">
        <f aca="false">IF($T144,D144-N(E144),"")</f>
        <v/>
      </c>
      <c r="J144" s="12" t="str">
        <f aca="false">IF($T144,I144-N(F144),"")</f>
        <v/>
      </c>
      <c r="K144" s="13" t="str">
        <f aca="false">IF($C144="","",IF(SUMPRODUCT(--(Setup!$A$5:$A$24=$C144))&gt;0,INDEX(Setup!$B$5:$B$24,21-SUMPRODUCT(MAX((Setup!$A$5:$A$24=$C144)*(25-ROW(Setup!$A$5:$A$24))))),""))</f>
        <v/>
      </c>
      <c r="L144" s="13" t="str">
        <f aca="false">IF($T144,K144*G144/60,"")</f>
        <v/>
      </c>
      <c r="M144" s="12" t="str">
        <f aca="false">IF($T144,G144-N(H144),"")</f>
        <v/>
      </c>
      <c r="N144" s="14" t="str">
        <f aca="false">IF($T144,J144/I144,"")</f>
        <v/>
      </c>
      <c r="O144" s="14" t="str">
        <f aca="false">IF(AND($T144,N(J144)&gt;0),L144/J144,"")</f>
        <v/>
      </c>
      <c r="P144" s="14" t="str">
        <f aca="false">IF(AND($T144,N(G144)&gt;0),M144/G144,"")</f>
        <v/>
      </c>
      <c r="Q144" s="14" t="str">
        <f aca="false">IF($T144,S144/I144,"")</f>
        <v/>
      </c>
      <c r="R144" s="10" t="str">
        <f aca="false">IF($C144="","",IF(NOT(SUMPRODUCT(--(Setup!$A$5:$A$24=$C144))&gt;0),"Machine not in Setup",IF(OR(NOT(ISNUMBER(K144)),N(K144)&lt;=0),"Set an ideal cycle time in Setup",IF(NOT(ISNUMBER(A144)),"Enter a date",IF(OR(NOT(ISNUMBER(D144)),NOT(ISNUMBER(G144)),AND(E144&lt;&gt;"",NOT(ISNUMBER(E144))),AND(F144&lt;&gt;"",NOT(ISNUMBER(F144))),AND(H144&lt;&gt;"",NOT(ISNUMBER(H144)))),"Enter numbers: shift length and total parts are required",IF(OR(N(D144)&lt;=0,N(E144)&lt;0,N(F144)&lt;0,N(G144)&lt;0,N(H144)&lt;0),"Values must be 0 or more (shift length above 0)",IF(N(H144)&gt;N(G144),"Rejects &gt; total parts",IF(N(E144)&gt;=N(D144),"Planned stops &gt;= shift length",IF(N(F144)&gt;N(D144)-N(E144),"Downtime &gt; planned time",IF(AND(ISNUMBER(O144),O144&gt;1),"Check: performance above 100%","OK"))))))))))</f>
        <v/>
      </c>
      <c r="S144" s="13" t="str">
        <f aca="false">IF($T144,K144*M144/60,"")</f>
        <v/>
      </c>
      <c r="T144" s="15" t="b">
        <f aca="false">IF($C144="",FALSE(),AND(SUMPRODUCT(--(Setup!$A$5:$A$24=$C144))&gt;0,ISNUMBER(A144),ISNUMBER(K144),N(K144)&gt;0,ISNUMBER(D144),N(D144)&gt;0,ISNUMBER(G144),N(G144)&gt;=0,OR(E144="",ISNUMBER(E144)),OR(F144="",ISNUMBER(F144)),OR(H144="",ISNUMBER(H144)),N(E144)&gt;=0,N(F144)&gt;=0,N(H144)&gt;=0,N(H144)&lt;=N(G144),N(E144)&lt;N(D144),N(F144)&lt;=N(D144)-N(E144)))</f>
        <v>0</v>
      </c>
    </row>
    <row r="145" customFormat="false" ht="15" hidden="false" customHeight="false" outlineLevel="0" collapsed="false">
      <c r="A145" s="11"/>
      <c r="B145" s="8"/>
      <c r="C145" s="8"/>
      <c r="D145" s="8"/>
      <c r="E145" s="8"/>
      <c r="F145" s="8"/>
      <c r="G145" s="8"/>
      <c r="H145" s="8"/>
      <c r="I145" s="12" t="str">
        <f aca="false">IF($T145,D145-N(E145),"")</f>
        <v/>
      </c>
      <c r="J145" s="12" t="str">
        <f aca="false">IF($T145,I145-N(F145),"")</f>
        <v/>
      </c>
      <c r="K145" s="13" t="str">
        <f aca="false">IF($C145="","",IF(SUMPRODUCT(--(Setup!$A$5:$A$24=$C145))&gt;0,INDEX(Setup!$B$5:$B$24,21-SUMPRODUCT(MAX((Setup!$A$5:$A$24=$C145)*(25-ROW(Setup!$A$5:$A$24))))),""))</f>
        <v/>
      </c>
      <c r="L145" s="13" t="str">
        <f aca="false">IF($T145,K145*G145/60,"")</f>
        <v/>
      </c>
      <c r="M145" s="12" t="str">
        <f aca="false">IF($T145,G145-N(H145),"")</f>
        <v/>
      </c>
      <c r="N145" s="14" t="str">
        <f aca="false">IF($T145,J145/I145,"")</f>
        <v/>
      </c>
      <c r="O145" s="14" t="str">
        <f aca="false">IF(AND($T145,N(J145)&gt;0),L145/J145,"")</f>
        <v/>
      </c>
      <c r="P145" s="14" t="str">
        <f aca="false">IF(AND($T145,N(G145)&gt;0),M145/G145,"")</f>
        <v/>
      </c>
      <c r="Q145" s="14" t="str">
        <f aca="false">IF($T145,S145/I145,"")</f>
        <v/>
      </c>
      <c r="R145" s="10" t="str">
        <f aca="false">IF($C145="","",IF(NOT(SUMPRODUCT(--(Setup!$A$5:$A$24=$C145))&gt;0),"Machine not in Setup",IF(OR(NOT(ISNUMBER(K145)),N(K145)&lt;=0),"Set an ideal cycle time in Setup",IF(NOT(ISNUMBER(A145)),"Enter a date",IF(OR(NOT(ISNUMBER(D145)),NOT(ISNUMBER(G145)),AND(E145&lt;&gt;"",NOT(ISNUMBER(E145))),AND(F145&lt;&gt;"",NOT(ISNUMBER(F145))),AND(H145&lt;&gt;"",NOT(ISNUMBER(H145)))),"Enter numbers: shift length and total parts are required",IF(OR(N(D145)&lt;=0,N(E145)&lt;0,N(F145)&lt;0,N(G145)&lt;0,N(H145)&lt;0),"Values must be 0 or more (shift length above 0)",IF(N(H145)&gt;N(G145),"Rejects &gt; total parts",IF(N(E145)&gt;=N(D145),"Planned stops &gt;= shift length",IF(N(F145)&gt;N(D145)-N(E145),"Downtime &gt; planned time",IF(AND(ISNUMBER(O145),O145&gt;1),"Check: performance above 100%","OK"))))))))))</f>
        <v/>
      </c>
      <c r="S145" s="13" t="str">
        <f aca="false">IF($T145,K145*M145/60,"")</f>
        <v/>
      </c>
      <c r="T145" s="15" t="b">
        <f aca="false">IF($C145="",FALSE(),AND(SUMPRODUCT(--(Setup!$A$5:$A$24=$C145))&gt;0,ISNUMBER(A145),ISNUMBER(K145),N(K145)&gt;0,ISNUMBER(D145),N(D145)&gt;0,ISNUMBER(G145),N(G145)&gt;=0,OR(E145="",ISNUMBER(E145)),OR(F145="",ISNUMBER(F145)),OR(H145="",ISNUMBER(H145)),N(E145)&gt;=0,N(F145)&gt;=0,N(H145)&gt;=0,N(H145)&lt;=N(G145),N(E145)&lt;N(D145),N(F145)&lt;=N(D145)-N(E145)))</f>
        <v>0</v>
      </c>
    </row>
    <row r="146" customFormat="false" ht="15" hidden="false" customHeight="false" outlineLevel="0" collapsed="false">
      <c r="A146" s="11"/>
      <c r="B146" s="8"/>
      <c r="C146" s="8"/>
      <c r="D146" s="8"/>
      <c r="E146" s="8"/>
      <c r="F146" s="8"/>
      <c r="G146" s="8"/>
      <c r="H146" s="8"/>
      <c r="I146" s="12" t="str">
        <f aca="false">IF($T146,D146-N(E146),"")</f>
        <v/>
      </c>
      <c r="J146" s="12" t="str">
        <f aca="false">IF($T146,I146-N(F146),"")</f>
        <v/>
      </c>
      <c r="K146" s="13" t="str">
        <f aca="false">IF($C146="","",IF(SUMPRODUCT(--(Setup!$A$5:$A$24=$C146))&gt;0,INDEX(Setup!$B$5:$B$24,21-SUMPRODUCT(MAX((Setup!$A$5:$A$24=$C146)*(25-ROW(Setup!$A$5:$A$24))))),""))</f>
        <v/>
      </c>
      <c r="L146" s="13" t="str">
        <f aca="false">IF($T146,K146*G146/60,"")</f>
        <v/>
      </c>
      <c r="M146" s="12" t="str">
        <f aca="false">IF($T146,G146-N(H146),"")</f>
        <v/>
      </c>
      <c r="N146" s="14" t="str">
        <f aca="false">IF($T146,J146/I146,"")</f>
        <v/>
      </c>
      <c r="O146" s="14" t="str">
        <f aca="false">IF(AND($T146,N(J146)&gt;0),L146/J146,"")</f>
        <v/>
      </c>
      <c r="P146" s="14" t="str">
        <f aca="false">IF(AND($T146,N(G146)&gt;0),M146/G146,"")</f>
        <v/>
      </c>
      <c r="Q146" s="14" t="str">
        <f aca="false">IF($T146,S146/I146,"")</f>
        <v/>
      </c>
      <c r="R146" s="10" t="str">
        <f aca="false">IF($C146="","",IF(NOT(SUMPRODUCT(--(Setup!$A$5:$A$24=$C146))&gt;0),"Machine not in Setup",IF(OR(NOT(ISNUMBER(K146)),N(K146)&lt;=0),"Set an ideal cycle time in Setup",IF(NOT(ISNUMBER(A146)),"Enter a date",IF(OR(NOT(ISNUMBER(D146)),NOT(ISNUMBER(G146)),AND(E146&lt;&gt;"",NOT(ISNUMBER(E146))),AND(F146&lt;&gt;"",NOT(ISNUMBER(F146))),AND(H146&lt;&gt;"",NOT(ISNUMBER(H146)))),"Enter numbers: shift length and total parts are required",IF(OR(N(D146)&lt;=0,N(E146)&lt;0,N(F146)&lt;0,N(G146)&lt;0,N(H146)&lt;0),"Values must be 0 or more (shift length above 0)",IF(N(H146)&gt;N(G146),"Rejects &gt; total parts",IF(N(E146)&gt;=N(D146),"Planned stops &gt;= shift length",IF(N(F146)&gt;N(D146)-N(E146),"Downtime &gt; planned time",IF(AND(ISNUMBER(O146),O146&gt;1),"Check: performance above 100%","OK"))))))))))</f>
        <v/>
      </c>
      <c r="S146" s="13" t="str">
        <f aca="false">IF($T146,K146*M146/60,"")</f>
        <v/>
      </c>
      <c r="T146" s="15" t="b">
        <f aca="false">IF($C146="",FALSE(),AND(SUMPRODUCT(--(Setup!$A$5:$A$24=$C146))&gt;0,ISNUMBER(A146),ISNUMBER(K146),N(K146)&gt;0,ISNUMBER(D146),N(D146)&gt;0,ISNUMBER(G146),N(G146)&gt;=0,OR(E146="",ISNUMBER(E146)),OR(F146="",ISNUMBER(F146)),OR(H146="",ISNUMBER(H146)),N(E146)&gt;=0,N(F146)&gt;=0,N(H146)&gt;=0,N(H146)&lt;=N(G146),N(E146)&lt;N(D146),N(F146)&lt;=N(D146)-N(E146)))</f>
        <v>0</v>
      </c>
    </row>
    <row r="147" customFormat="false" ht="15" hidden="false" customHeight="false" outlineLevel="0" collapsed="false">
      <c r="A147" s="11"/>
      <c r="B147" s="8"/>
      <c r="C147" s="8"/>
      <c r="D147" s="8"/>
      <c r="E147" s="8"/>
      <c r="F147" s="8"/>
      <c r="G147" s="8"/>
      <c r="H147" s="8"/>
      <c r="I147" s="12" t="str">
        <f aca="false">IF($T147,D147-N(E147),"")</f>
        <v/>
      </c>
      <c r="J147" s="12" t="str">
        <f aca="false">IF($T147,I147-N(F147),"")</f>
        <v/>
      </c>
      <c r="K147" s="13" t="str">
        <f aca="false">IF($C147="","",IF(SUMPRODUCT(--(Setup!$A$5:$A$24=$C147))&gt;0,INDEX(Setup!$B$5:$B$24,21-SUMPRODUCT(MAX((Setup!$A$5:$A$24=$C147)*(25-ROW(Setup!$A$5:$A$24))))),""))</f>
        <v/>
      </c>
      <c r="L147" s="13" t="str">
        <f aca="false">IF($T147,K147*G147/60,"")</f>
        <v/>
      </c>
      <c r="M147" s="12" t="str">
        <f aca="false">IF($T147,G147-N(H147),"")</f>
        <v/>
      </c>
      <c r="N147" s="14" t="str">
        <f aca="false">IF($T147,J147/I147,"")</f>
        <v/>
      </c>
      <c r="O147" s="14" t="str">
        <f aca="false">IF(AND($T147,N(J147)&gt;0),L147/J147,"")</f>
        <v/>
      </c>
      <c r="P147" s="14" t="str">
        <f aca="false">IF(AND($T147,N(G147)&gt;0),M147/G147,"")</f>
        <v/>
      </c>
      <c r="Q147" s="14" t="str">
        <f aca="false">IF($T147,S147/I147,"")</f>
        <v/>
      </c>
      <c r="R147" s="10" t="str">
        <f aca="false">IF($C147="","",IF(NOT(SUMPRODUCT(--(Setup!$A$5:$A$24=$C147))&gt;0),"Machine not in Setup",IF(OR(NOT(ISNUMBER(K147)),N(K147)&lt;=0),"Set an ideal cycle time in Setup",IF(NOT(ISNUMBER(A147)),"Enter a date",IF(OR(NOT(ISNUMBER(D147)),NOT(ISNUMBER(G147)),AND(E147&lt;&gt;"",NOT(ISNUMBER(E147))),AND(F147&lt;&gt;"",NOT(ISNUMBER(F147))),AND(H147&lt;&gt;"",NOT(ISNUMBER(H147)))),"Enter numbers: shift length and total parts are required",IF(OR(N(D147)&lt;=0,N(E147)&lt;0,N(F147)&lt;0,N(G147)&lt;0,N(H147)&lt;0),"Values must be 0 or more (shift length above 0)",IF(N(H147)&gt;N(G147),"Rejects &gt; total parts",IF(N(E147)&gt;=N(D147),"Planned stops &gt;= shift length",IF(N(F147)&gt;N(D147)-N(E147),"Downtime &gt; planned time",IF(AND(ISNUMBER(O147),O147&gt;1),"Check: performance above 100%","OK"))))))))))</f>
        <v/>
      </c>
      <c r="S147" s="13" t="str">
        <f aca="false">IF($T147,K147*M147/60,"")</f>
        <v/>
      </c>
      <c r="T147" s="15" t="b">
        <f aca="false">IF($C147="",FALSE(),AND(SUMPRODUCT(--(Setup!$A$5:$A$24=$C147))&gt;0,ISNUMBER(A147),ISNUMBER(K147),N(K147)&gt;0,ISNUMBER(D147),N(D147)&gt;0,ISNUMBER(G147),N(G147)&gt;=0,OR(E147="",ISNUMBER(E147)),OR(F147="",ISNUMBER(F147)),OR(H147="",ISNUMBER(H147)),N(E147)&gt;=0,N(F147)&gt;=0,N(H147)&gt;=0,N(H147)&lt;=N(G147),N(E147)&lt;N(D147),N(F147)&lt;=N(D147)-N(E147)))</f>
        <v>0</v>
      </c>
    </row>
    <row r="148" customFormat="false" ht="15" hidden="false" customHeight="false" outlineLevel="0" collapsed="false">
      <c r="A148" s="11"/>
      <c r="B148" s="8"/>
      <c r="C148" s="8"/>
      <c r="D148" s="8"/>
      <c r="E148" s="8"/>
      <c r="F148" s="8"/>
      <c r="G148" s="8"/>
      <c r="H148" s="8"/>
      <c r="I148" s="12" t="str">
        <f aca="false">IF($T148,D148-N(E148),"")</f>
        <v/>
      </c>
      <c r="J148" s="12" t="str">
        <f aca="false">IF($T148,I148-N(F148),"")</f>
        <v/>
      </c>
      <c r="K148" s="13" t="str">
        <f aca="false">IF($C148="","",IF(SUMPRODUCT(--(Setup!$A$5:$A$24=$C148))&gt;0,INDEX(Setup!$B$5:$B$24,21-SUMPRODUCT(MAX((Setup!$A$5:$A$24=$C148)*(25-ROW(Setup!$A$5:$A$24))))),""))</f>
        <v/>
      </c>
      <c r="L148" s="13" t="str">
        <f aca="false">IF($T148,K148*G148/60,"")</f>
        <v/>
      </c>
      <c r="M148" s="12" t="str">
        <f aca="false">IF($T148,G148-N(H148),"")</f>
        <v/>
      </c>
      <c r="N148" s="14" t="str">
        <f aca="false">IF($T148,J148/I148,"")</f>
        <v/>
      </c>
      <c r="O148" s="14" t="str">
        <f aca="false">IF(AND($T148,N(J148)&gt;0),L148/J148,"")</f>
        <v/>
      </c>
      <c r="P148" s="14" t="str">
        <f aca="false">IF(AND($T148,N(G148)&gt;0),M148/G148,"")</f>
        <v/>
      </c>
      <c r="Q148" s="14" t="str">
        <f aca="false">IF($T148,S148/I148,"")</f>
        <v/>
      </c>
      <c r="R148" s="10" t="str">
        <f aca="false">IF($C148="","",IF(NOT(SUMPRODUCT(--(Setup!$A$5:$A$24=$C148))&gt;0),"Machine not in Setup",IF(OR(NOT(ISNUMBER(K148)),N(K148)&lt;=0),"Set an ideal cycle time in Setup",IF(NOT(ISNUMBER(A148)),"Enter a date",IF(OR(NOT(ISNUMBER(D148)),NOT(ISNUMBER(G148)),AND(E148&lt;&gt;"",NOT(ISNUMBER(E148))),AND(F148&lt;&gt;"",NOT(ISNUMBER(F148))),AND(H148&lt;&gt;"",NOT(ISNUMBER(H148)))),"Enter numbers: shift length and total parts are required",IF(OR(N(D148)&lt;=0,N(E148)&lt;0,N(F148)&lt;0,N(G148)&lt;0,N(H148)&lt;0),"Values must be 0 or more (shift length above 0)",IF(N(H148)&gt;N(G148),"Rejects &gt; total parts",IF(N(E148)&gt;=N(D148),"Planned stops &gt;= shift length",IF(N(F148)&gt;N(D148)-N(E148),"Downtime &gt; planned time",IF(AND(ISNUMBER(O148),O148&gt;1),"Check: performance above 100%","OK"))))))))))</f>
        <v/>
      </c>
      <c r="S148" s="13" t="str">
        <f aca="false">IF($T148,K148*M148/60,"")</f>
        <v/>
      </c>
      <c r="T148" s="15" t="b">
        <f aca="false">IF($C148="",FALSE(),AND(SUMPRODUCT(--(Setup!$A$5:$A$24=$C148))&gt;0,ISNUMBER(A148),ISNUMBER(K148),N(K148)&gt;0,ISNUMBER(D148),N(D148)&gt;0,ISNUMBER(G148),N(G148)&gt;=0,OR(E148="",ISNUMBER(E148)),OR(F148="",ISNUMBER(F148)),OR(H148="",ISNUMBER(H148)),N(E148)&gt;=0,N(F148)&gt;=0,N(H148)&gt;=0,N(H148)&lt;=N(G148),N(E148)&lt;N(D148),N(F148)&lt;=N(D148)-N(E148)))</f>
        <v>0</v>
      </c>
    </row>
    <row r="149" customFormat="false" ht="15" hidden="false" customHeight="false" outlineLevel="0" collapsed="false">
      <c r="A149" s="11"/>
      <c r="B149" s="8"/>
      <c r="C149" s="8"/>
      <c r="D149" s="8"/>
      <c r="E149" s="8"/>
      <c r="F149" s="8"/>
      <c r="G149" s="8"/>
      <c r="H149" s="8"/>
      <c r="I149" s="12" t="str">
        <f aca="false">IF($T149,D149-N(E149),"")</f>
        <v/>
      </c>
      <c r="J149" s="12" t="str">
        <f aca="false">IF($T149,I149-N(F149),"")</f>
        <v/>
      </c>
      <c r="K149" s="13" t="str">
        <f aca="false">IF($C149="","",IF(SUMPRODUCT(--(Setup!$A$5:$A$24=$C149))&gt;0,INDEX(Setup!$B$5:$B$24,21-SUMPRODUCT(MAX((Setup!$A$5:$A$24=$C149)*(25-ROW(Setup!$A$5:$A$24))))),""))</f>
        <v/>
      </c>
      <c r="L149" s="13" t="str">
        <f aca="false">IF($T149,K149*G149/60,"")</f>
        <v/>
      </c>
      <c r="M149" s="12" t="str">
        <f aca="false">IF($T149,G149-N(H149),"")</f>
        <v/>
      </c>
      <c r="N149" s="14" t="str">
        <f aca="false">IF($T149,J149/I149,"")</f>
        <v/>
      </c>
      <c r="O149" s="14" t="str">
        <f aca="false">IF(AND($T149,N(J149)&gt;0),L149/J149,"")</f>
        <v/>
      </c>
      <c r="P149" s="14" t="str">
        <f aca="false">IF(AND($T149,N(G149)&gt;0),M149/G149,"")</f>
        <v/>
      </c>
      <c r="Q149" s="14" t="str">
        <f aca="false">IF($T149,S149/I149,"")</f>
        <v/>
      </c>
      <c r="R149" s="10" t="str">
        <f aca="false">IF($C149="","",IF(NOT(SUMPRODUCT(--(Setup!$A$5:$A$24=$C149))&gt;0),"Machine not in Setup",IF(OR(NOT(ISNUMBER(K149)),N(K149)&lt;=0),"Set an ideal cycle time in Setup",IF(NOT(ISNUMBER(A149)),"Enter a date",IF(OR(NOT(ISNUMBER(D149)),NOT(ISNUMBER(G149)),AND(E149&lt;&gt;"",NOT(ISNUMBER(E149))),AND(F149&lt;&gt;"",NOT(ISNUMBER(F149))),AND(H149&lt;&gt;"",NOT(ISNUMBER(H149)))),"Enter numbers: shift length and total parts are required",IF(OR(N(D149)&lt;=0,N(E149)&lt;0,N(F149)&lt;0,N(G149)&lt;0,N(H149)&lt;0),"Values must be 0 or more (shift length above 0)",IF(N(H149)&gt;N(G149),"Rejects &gt; total parts",IF(N(E149)&gt;=N(D149),"Planned stops &gt;= shift length",IF(N(F149)&gt;N(D149)-N(E149),"Downtime &gt; planned time",IF(AND(ISNUMBER(O149),O149&gt;1),"Check: performance above 100%","OK"))))))))))</f>
        <v/>
      </c>
      <c r="S149" s="13" t="str">
        <f aca="false">IF($T149,K149*M149/60,"")</f>
        <v/>
      </c>
      <c r="T149" s="15" t="b">
        <f aca="false">IF($C149="",FALSE(),AND(SUMPRODUCT(--(Setup!$A$5:$A$24=$C149))&gt;0,ISNUMBER(A149),ISNUMBER(K149),N(K149)&gt;0,ISNUMBER(D149),N(D149)&gt;0,ISNUMBER(G149),N(G149)&gt;=0,OR(E149="",ISNUMBER(E149)),OR(F149="",ISNUMBER(F149)),OR(H149="",ISNUMBER(H149)),N(E149)&gt;=0,N(F149)&gt;=0,N(H149)&gt;=0,N(H149)&lt;=N(G149),N(E149)&lt;N(D149),N(F149)&lt;=N(D149)-N(E149)))</f>
        <v>0</v>
      </c>
    </row>
    <row r="150" customFormat="false" ht="15" hidden="false" customHeight="false" outlineLevel="0" collapsed="false">
      <c r="A150" s="11"/>
      <c r="B150" s="8"/>
      <c r="C150" s="8"/>
      <c r="D150" s="8"/>
      <c r="E150" s="8"/>
      <c r="F150" s="8"/>
      <c r="G150" s="8"/>
      <c r="H150" s="8"/>
      <c r="I150" s="12" t="str">
        <f aca="false">IF($T150,D150-N(E150),"")</f>
        <v/>
      </c>
      <c r="J150" s="12" t="str">
        <f aca="false">IF($T150,I150-N(F150),"")</f>
        <v/>
      </c>
      <c r="K150" s="13" t="str">
        <f aca="false">IF($C150="","",IF(SUMPRODUCT(--(Setup!$A$5:$A$24=$C150))&gt;0,INDEX(Setup!$B$5:$B$24,21-SUMPRODUCT(MAX((Setup!$A$5:$A$24=$C150)*(25-ROW(Setup!$A$5:$A$24))))),""))</f>
        <v/>
      </c>
      <c r="L150" s="13" t="str">
        <f aca="false">IF($T150,K150*G150/60,"")</f>
        <v/>
      </c>
      <c r="M150" s="12" t="str">
        <f aca="false">IF($T150,G150-N(H150),"")</f>
        <v/>
      </c>
      <c r="N150" s="14" t="str">
        <f aca="false">IF($T150,J150/I150,"")</f>
        <v/>
      </c>
      <c r="O150" s="14" t="str">
        <f aca="false">IF(AND($T150,N(J150)&gt;0),L150/J150,"")</f>
        <v/>
      </c>
      <c r="P150" s="14" t="str">
        <f aca="false">IF(AND($T150,N(G150)&gt;0),M150/G150,"")</f>
        <v/>
      </c>
      <c r="Q150" s="14" t="str">
        <f aca="false">IF($T150,S150/I150,"")</f>
        <v/>
      </c>
      <c r="R150" s="10" t="str">
        <f aca="false">IF($C150="","",IF(NOT(SUMPRODUCT(--(Setup!$A$5:$A$24=$C150))&gt;0),"Machine not in Setup",IF(OR(NOT(ISNUMBER(K150)),N(K150)&lt;=0),"Set an ideal cycle time in Setup",IF(NOT(ISNUMBER(A150)),"Enter a date",IF(OR(NOT(ISNUMBER(D150)),NOT(ISNUMBER(G150)),AND(E150&lt;&gt;"",NOT(ISNUMBER(E150))),AND(F150&lt;&gt;"",NOT(ISNUMBER(F150))),AND(H150&lt;&gt;"",NOT(ISNUMBER(H150)))),"Enter numbers: shift length and total parts are required",IF(OR(N(D150)&lt;=0,N(E150)&lt;0,N(F150)&lt;0,N(G150)&lt;0,N(H150)&lt;0),"Values must be 0 or more (shift length above 0)",IF(N(H150)&gt;N(G150),"Rejects &gt; total parts",IF(N(E150)&gt;=N(D150),"Planned stops &gt;= shift length",IF(N(F150)&gt;N(D150)-N(E150),"Downtime &gt; planned time",IF(AND(ISNUMBER(O150),O150&gt;1),"Check: performance above 100%","OK"))))))))))</f>
        <v/>
      </c>
      <c r="S150" s="13" t="str">
        <f aca="false">IF($T150,K150*M150/60,"")</f>
        <v/>
      </c>
      <c r="T150" s="15" t="b">
        <f aca="false">IF($C150="",FALSE(),AND(SUMPRODUCT(--(Setup!$A$5:$A$24=$C150))&gt;0,ISNUMBER(A150),ISNUMBER(K150),N(K150)&gt;0,ISNUMBER(D150),N(D150)&gt;0,ISNUMBER(G150),N(G150)&gt;=0,OR(E150="",ISNUMBER(E150)),OR(F150="",ISNUMBER(F150)),OR(H150="",ISNUMBER(H150)),N(E150)&gt;=0,N(F150)&gt;=0,N(H150)&gt;=0,N(H150)&lt;=N(G150),N(E150)&lt;N(D150),N(F150)&lt;=N(D150)-N(E150)))</f>
        <v>0</v>
      </c>
    </row>
    <row r="151" customFormat="false" ht="15" hidden="false" customHeight="false" outlineLevel="0" collapsed="false">
      <c r="A151" s="11"/>
      <c r="B151" s="8"/>
      <c r="C151" s="8"/>
      <c r="D151" s="8"/>
      <c r="E151" s="8"/>
      <c r="F151" s="8"/>
      <c r="G151" s="8"/>
      <c r="H151" s="8"/>
      <c r="I151" s="12" t="str">
        <f aca="false">IF($T151,D151-N(E151),"")</f>
        <v/>
      </c>
      <c r="J151" s="12" t="str">
        <f aca="false">IF($T151,I151-N(F151),"")</f>
        <v/>
      </c>
      <c r="K151" s="13" t="str">
        <f aca="false">IF($C151="","",IF(SUMPRODUCT(--(Setup!$A$5:$A$24=$C151))&gt;0,INDEX(Setup!$B$5:$B$24,21-SUMPRODUCT(MAX((Setup!$A$5:$A$24=$C151)*(25-ROW(Setup!$A$5:$A$24))))),""))</f>
        <v/>
      </c>
      <c r="L151" s="13" t="str">
        <f aca="false">IF($T151,K151*G151/60,"")</f>
        <v/>
      </c>
      <c r="M151" s="12" t="str">
        <f aca="false">IF($T151,G151-N(H151),"")</f>
        <v/>
      </c>
      <c r="N151" s="14" t="str">
        <f aca="false">IF($T151,J151/I151,"")</f>
        <v/>
      </c>
      <c r="O151" s="14" t="str">
        <f aca="false">IF(AND($T151,N(J151)&gt;0),L151/J151,"")</f>
        <v/>
      </c>
      <c r="P151" s="14" t="str">
        <f aca="false">IF(AND($T151,N(G151)&gt;0),M151/G151,"")</f>
        <v/>
      </c>
      <c r="Q151" s="14" t="str">
        <f aca="false">IF($T151,S151/I151,"")</f>
        <v/>
      </c>
      <c r="R151" s="10" t="str">
        <f aca="false">IF($C151="","",IF(NOT(SUMPRODUCT(--(Setup!$A$5:$A$24=$C151))&gt;0),"Machine not in Setup",IF(OR(NOT(ISNUMBER(K151)),N(K151)&lt;=0),"Set an ideal cycle time in Setup",IF(NOT(ISNUMBER(A151)),"Enter a date",IF(OR(NOT(ISNUMBER(D151)),NOT(ISNUMBER(G151)),AND(E151&lt;&gt;"",NOT(ISNUMBER(E151))),AND(F151&lt;&gt;"",NOT(ISNUMBER(F151))),AND(H151&lt;&gt;"",NOT(ISNUMBER(H151)))),"Enter numbers: shift length and total parts are required",IF(OR(N(D151)&lt;=0,N(E151)&lt;0,N(F151)&lt;0,N(G151)&lt;0,N(H151)&lt;0),"Values must be 0 or more (shift length above 0)",IF(N(H151)&gt;N(G151),"Rejects &gt; total parts",IF(N(E151)&gt;=N(D151),"Planned stops &gt;= shift length",IF(N(F151)&gt;N(D151)-N(E151),"Downtime &gt; planned time",IF(AND(ISNUMBER(O151),O151&gt;1),"Check: performance above 100%","OK"))))))))))</f>
        <v/>
      </c>
      <c r="S151" s="13" t="str">
        <f aca="false">IF($T151,K151*M151/60,"")</f>
        <v/>
      </c>
      <c r="T151" s="15" t="b">
        <f aca="false">IF($C151="",FALSE(),AND(SUMPRODUCT(--(Setup!$A$5:$A$24=$C151))&gt;0,ISNUMBER(A151),ISNUMBER(K151),N(K151)&gt;0,ISNUMBER(D151),N(D151)&gt;0,ISNUMBER(G151),N(G151)&gt;=0,OR(E151="",ISNUMBER(E151)),OR(F151="",ISNUMBER(F151)),OR(H151="",ISNUMBER(H151)),N(E151)&gt;=0,N(F151)&gt;=0,N(H151)&gt;=0,N(H151)&lt;=N(G151),N(E151)&lt;N(D151),N(F151)&lt;=N(D151)-N(E151)))</f>
        <v>0</v>
      </c>
    </row>
    <row r="152" customFormat="false" ht="15" hidden="false" customHeight="false" outlineLevel="0" collapsed="false">
      <c r="A152" s="11"/>
      <c r="B152" s="8"/>
      <c r="C152" s="8"/>
      <c r="D152" s="8"/>
      <c r="E152" s="8"/>
      <c r="F152" s="8"/>
      <c r="G152" s="8"/>
      <c r="H152" s="8"/>
      <c r="I152" s="12" t="str">
        <f aca="false">IF($T152,D152-N(E152),"")</f>
        <v/>
      </c>
      <c r="J152" s="12" t="str">
        <f aca="false">IF($T152,I152-N(F152),"")</f>
        <v/>
      </c>
      <c r="K152" s="13" t="str">
        <f aca="false">IF($C152="","",IF(SUMPRODUCT(--(Setup!$A$5:$A$24=$C152))&gt;0,INDEX(Setup!$B$5:$B$24,21-SUMPRODUCT(MAX((Setup!$A$5:$A$24=$C152)*(25-ROW(Setup!$A$5:$A$24))))),""))</f>
        <v/>
      </c>
      <c r="L152" s="13" t="str">
        <f aca="false">IF($T152,K152*G152/60,"")</f>
        <v/>
      </c>
      <c r="M152" s="12" t="str">
        <f aca="false">IF($T152,G152-N(H152),"")</f>
        <v/>
      </c>
      <c r="N152" s="14" t="str">
        <f aca="false">IF($T152,J152/I152,"")</f>
        <v/>
      </c>
      <c r="O152" s="14" t="str">
        <f aca="false">IF(AND($T152,N(J152)&gt;0),L152/J152,"")</f>
        <v/>
      </c>
      <c r="P152" s="14" t="str">
        <f aca="false">IF(AND($T152,N(G152)&gt;0),M152/G152,"")</f>
        <v/>
      </c>
      <c r="Q152" s="14" t="str">
        <f aca="false">IF($T152,S152/I152,"")</f>
        <v/>
      </c>
      <c r="R152" s="10" t="str">
        <f aca="false">IF($C152="","",IF(NOT(SUMPRODUCT(--(Setup!$A$5:$A$24=$C152))&gt;0),"Machine not in Setup",IF(OR(NOT(ISNUMBER(K152)),N(K152)&lt;=0),"Set an ideal cycle time in Setup",IF(NOT(ISNUMBER(A152)),"Enter a date",IF(OR(NOT(ISNUMBER(D152)),NOT(ISNUMBER(G152)),AND(E152&lt;&gt;"",NOT(ISNUMBER(E152))),AND(F152&lt;&gt;"",NOT(ISNUMBER(F152))),AND(H152&lt;&gt;"",NOT(ISNUMBER(H152)))),"Enter numbers: shift length and total parts are required",IF(OR(N(D152)&lt;=0,N(E152)&lt;0,N(F152)&lt;0,N(G152)&lt;0,N(H152)&lt;0),"Values must be 0 or more (shift length above 0)",IF(N(H152)&gt;N(G152),"Rejects &gt; total parts",IF(N(E152)&gt;=N(D152),"Planned stops &gt;= shift length",IF(N(F152)&gt;N(D152)-N(E152),"Downtime &gt; planned time",IF(AND(ISNUMBER(O152),O152&gt;1),"Check: performance above 100%","OK"))))))))))</f>
        <v/>
      </c>
      <c r="S152" s="13" t="str">
        <f aca="false">IF($T152,K152*M152/60,"")</f>
        <v/>
      </c>
      <c r="T152" s="15" t="b">
        <f aca="false">IF($C152="",FALSE(),AND(SUMPRODUCT(--(Setup!$A$5:$A$24=$C152))&gt;0,ISNUMBER(A152),ISNUMBER(K152),N(K152)&gt;0,ISNUMBER(D152),N(D152)&gt;0,ISNUMBER(G152),N(G152)&gt;=0,OR(E152="",ISNUMBER(E152)),OR(F152="",ISNUMBER(F152)),OR(H152="",ISNUMBER(H152)),N(E152)&gt;=0,N(F152)&gt;=0,N(H152)&gt;=0,N(H152)&lt;=N(G152),N(E152)&lt;N(D152),N(F152)&lt;=N(D152)-N(E152)))</f>
        <v>0</v>
      </c>
    </row>
    <row r="153" customFormat="false" ht="15" hidden="false" customHeight="false" outlineLevel="0" collapsed="false">
      <c r="A153" s="11"/>
      <c r="B153" s="8"/>
      <c r="C153" s="8"/>
      <c r="D153" s="8"/>
      <c r="E153" s="8"/>
      <c r="F153" s="8"/>
      <c r="G153" s="8"/>
      <c r="H153" s="8"/>
      <c r="I153" s="12" t="str">
        <f aca="false">IF($T153,D153-N(E153),"")</f>
        <v/>
      </c>
      <c r="J153" s="12" t="str">
        <f aca="false">IF($T153,I153-N(F153),"")</f>
        <v/>
      </c>
      <c r="K153" s="13" t="str">
        <f aca="false">IF($C153="","",IF(SUMPRODUCT(--(Setup!$A$5:$A$24=$C153))&gt;0,INDEX(Setup!$B$5:$B$24,21-SUMPRODUCT(MAX((Setup!$A$5:$A$24=$C153)*(25-ROW(Setup!$A$5:$A$24))))),""))</f>
        <v/>
      </c>
      <c r="L153" s="13" t="str">
        <f aca="false">IF($T153,K153*G153/60,"")</f>
        <v/>
      </c>
      <c r="M153" s="12" t="str">
        <f aca="false">IF($T153,G153-N(H153),"")</f>
        <v/>
      </c>
      <c r="N153" s="14" t="str">
        <f aca="false">IF($T153,J153/I153,"")</f>
        <v/>
      </c>
      <c r="O153" s="14" t="str">
        <f aca="false">IF(AND($T153,N(J153)&gt;0),L153/J153,"")</f>
        <v/>
      </c>
      <c r="P153" s="14" t="str">
        <f aca="false">IF(AND($T153,N(G153)&gt;0),M153/G153,"")</f>
        <v/>
      </c>
      <c r="Q153" s="14" t="str">
        <f aca="false">IF($T153,S153/I153,"")</f>
        <v/>
      </c>
      <c r="R153" s="10" t="str">
        <f aca="false">IF($C153="","",IF(NOT(SUMPRODUCT(--(Setup!$A$5:$A$24=$C153))&gt;0),"Machine not in Setup",IF(OR(NOT(ISNUMBER(K153)),N(K153)&lt;=0),"Set an ideal cycle time in Setup",IF(NOT(ISNUMBER(A153)),"Enter a date",IF(OR(NOT(ISNUMBER(D153)),NOT(ISNUMBER(G153)),AND(E153&lt;&gt;"",NOT(ISNUMBER(E153))),AND(F153&lt;&gt;"",NOT(ISNUMBER(F153))),AND(H153&lt;&gt;"",NOT(ISNUMBER(H153)))),"Enter numbers: shift length and total parts are required",IF(OR(N(D153)&lt;=0,N(E153)&lt;0,N(F153)&lt;0,N(G153)&lt;0,N(H153)&lt;0),"Values must be 0 or more (shift length above 0)",IF(N(H153)&gt;N(G153),"Rejects &gt; total parts",IF(N(E153)&gt;=N(D153),"Planned stops &gt;= shift length",IF(N(F153)&gt;N(D153)-N(E153),"Downtime &gt; planned time",IF(AND(ISNUMBER(O153),O153&gt;1),"Check: performance above 100%","OK"))))))))))</f>
        <v/>
      </c>
      <c r="S153" s="13" t="str">
        <f aca="false">IF($T153,K153*M153/60,"")</f>
        <v/>
      </c>
      <c r="T153" s="15" t="b">
        <f aca="false">IF($C153="",FALSE(),AND(SUMPRODUCT(--(Setup!$A$5:$A$24=$C153))&gt;0,ISNUMBER(A153),ISNUMBER(K153),N(K153)&gt;0,ISNUMBER(D153),N(D153)&gt;0,ISNUMBER(G153),N(G153)&gt;=0,OR(E153="",ISNUMBER(E153)),OR(F153="",ISNUMBER(F153)),OR(H153="",ISNUMBER(H153)),N(E153)&gt;=0,N(F153)&gt;=0,N(H153)&gt;=0,N(H153)&lt;=N(G153),N(E153)&lt;N(D153),N(F153)&lt;=N(D153)-N(E153)))</f>
        <v>0</v>
      </c>
    </row>
    <row r="154" customFormat="false" ht="15" hidden="false" customHeight="false" outlineLevel="0" collapsed="false">
      <c r="A154" s="11"/>
      <c r="B154" s="8"/>
      <c r="C154" s="8"/>
      <c r="D154" s="8"/>
      <c r="E154" s="8"/>
      <c r="F154" s="8"/>
      <c r="G154" s="8"/>
      <c r="H154" s="8"/>
      <c r="I154" s="12" t="str">
        <f aca="false">IF($T154,D154-N(E154),"")</f>
        <v/>
      </c>
      <c r="J154" s="12" t="str">
        <f aca="false">IF($T154,I154-N(F154),"")</f>
        <v/>
      </c>
      <c r="K154" s="13" t="str">
        <f aca="false">IF($C154="","",IF(SUMPRODUCT(--(Setup!$A$5:$A$24=$C154))&gt;0,INDEX(Setup!$B$5:$B$24,21-SUMPRODUCT(MAX((Setup!$A$5:$A$24=$C154)*(25-ROW(Setup!$A$5:$A$24))))),""))</f>
        <v/>
      </c>
      <c r="L154" s="13" t="str">
        <f aca="false">IF($T154,K154*G154/60,"")</f>
        <v/>
      </c>
      <c r="M154" s="12" t="str">
        <f aca="false">IF($T154,G154-N(H154),"")</f>
        <v/>
      </c>
      <c r="N154" s="14" t="str">
        <f aca="false">IF($T154,J154/I154,"")</f>
        <v/>
      </c>
      <c r="O154" s="14" t="str">
        <f aca="false">IF(AND($T154,N(J154)&gt;0),L154/J154,"")</f>
        <v/>
      </c>
      <c r="P154" s="14" t="str">
        <f aca="false">IF(AND($T154,N(G154)&gt;0),M154/G154,"")</f>
        <v/>
      </c>
      <c r="Q154" s="14" t="str">
        <f aca="false">IF($T154,S154/I154,"")</f>
        <v/>
      </c>
      <c r="R154" s="10" t="str">
        <f aca="false">IF($C154="","",IF(NOT(SUMPRODUCT(--(Setup!$A$5:$A$24=$C154))&gt;0),"Machine not in Setup",IF(OR(NOT(ISNUMBER(K154)),N(K154)&lt;=0),"Set an ideal cycle time in Setup",IF(NOT(ISNUMBER(A154)),"Enter a date",IF(OR(NOT(ISNUMBER(D154)),NOT(ISNUMBER(G154)),AND(E154&lt;&gt;"",NOT(ISNUMBER(E154))),AND(F154&lt;&gt;"",NOT(ISNUMBER(F154))),AND(H154&lt;&gt;"",NOT(ISNUMBER(H154)))),"Enter numbers: shift length and total parts are required",IF(OR(N(D154)&lt;=0,N(E154)&lt;0,N(F154)&lt;0,N(G154)&lt;0,N(H154)&lt;0),"Values must be 0 or more (shift length above 0)",IF(N(H154)&gt;N(G154),"Rejects &gt; total parts",IF(N(E154)&gt;=N(D154),"Planned stops &gt;= shift length",IF(N(F154)&gt;N(D154)-N(E154),"Downtime &gt; planned time",IF(AND(ISNUMBER(O154),O154&gt;1),"Check: performance above 100%","OK"))))))))))</f>
        <v/>
      </c>
      <c r="S154" s="13" t="str">
        <f aca="false">IF($T154,K154*M154/60,"")</f>
        <v/>
      </c>
      <c r="T154" s="15" t="b">
        <f aca="false">IF($C154="",FALSE(),AND(SUMPRODUCT(--(Setup!$A$5:$A$24=$C154))&gt;0,ISNUMBER(A154),ISNUMBER(K154),N(K154)&gt;0,ISNUMBER(D154),N(D154)&gt;0,ISNUMBER(G154),N(G154)&gt;=0,OR(E154="",ISNUMBER(E154)),OR(F154="",ISNUMBER(F154)),OR(H154="",ISNUMBER(H154)),N(E154)&gt;=0,N(F154)&gt;=0,N(H154)&gt;=0,N(H154)&lt;=N(G154),N(E154)&lt;N(D154),N(F154)&lt;=N(D154)-N(E154)))</f>
        <v>0</v>
      </c>
    </row>
    <row r="155" customFormat="false" ht="15" hidden="false" customHeight="false" outlineLevel="0" collapsed="false">
      <c r="A155" s="11"/>
      <c r="B155" s="8"/>
      <c r="C155" s="8"/>
      <c r="D155" s="8"/>
      <c r="E155" s="8"/>
      <c r="F155" s="8"/>
      <c r="G155" s="8"/>
      <c r="H155" s="8"/>
      <c r="I155" s="12" t="str">
        <f aca="false">IF($T155,D155-N(E155),"")</f>
        <v/>
      </c>
      <c r="J155" s="12" t="str">
        <f aca="false">IF($T155,I155-N(F155),"")</f>
        <v/>
      </c>
      <c r="K155" s="13" t="str">
        <f aca="false">IF($C155="","",IF(SUMPRODUCT(--(Setup!$A$5:$A$24=$C155))&gt;0,INDEX(Setup!$B$5:$B$24,21-SUMPRODUCT(MAX((Setup!$A$5:$A$24=$C155)*(25-ROW(Setup!$A$5:$A$24))))),""))</f>
        <v/>
      </c>
      <c r="L155" s="13" t="str">
        <f aca="false">IF($T155,K155*G155/60,"")</f>
        <v/>
      </c>
      <c r="M155" s="12" t="str">
        <f aca="false">IF($T155,G155-N(H155),"")</f>
        <v/>
      </c>
      <c r="N155" s="14" t="str">
        <f aca="false">IF($T155,J155/I155,"")</f>
        <v/>
      </c>
      <c r="O155" s="14" t="str">
        <f aca="false">IF(AND($T155,N(J155)&gt;0),L155/J155,"")</f>
        <v/>
      </c>
      <c r="P155" s="14" t="str">
        <f aca="false">IF(AND($T155,N(G155)&gt;0),M155/G155,"")</f>
        <v/>
      </c>
      <c r="Q155" s="14" t="str">
        <f aca="false">IF($T155,S155/I155,"")</f>
        <v/>
      </c>
      <c r="R155" s="10" t="str">
        <f aca="false">IF($C155="","",IF(NOT(SUMPRODUCT(--(Setup!$A$5:$A$24=$C155))&gt;0),"Machine not in Setup",IF(OR(NOT(ISNUMBER(K155)),N(K155)&lt;=0),"Set an ideal cycle time in Setup",IF(NOT(ISNUMBER(A155)),"Enter a date",IF(OR(NOT(ISNUMBER(D155)),NOT(ISNUMBER(G155)),AND(E155&lt;&gt;"",NOT(ISNUMBER(E155))),AND(F155&lt;&gt;"",NOT(ISNUMBER(F155))),AND(H155&lt;&gt;"",NOT(ISNUMBER(H155)))),"Enter numbers: shift length and total parts are required",IF(OR(N(D155)&lt;=0,N(E155)&lt;0,N(F155)&lt;0,N(G155)&lt;0,N(H155)&lt;0),"Values must be 0 or more (shift length above 0)",IF(N(H155)&gt;N(G155),"Rejects &gt; total parts",IF(N(E155)&gt;=N(D155),"Planned stops &gt;= shift length",IF(N(F155)&gt;N(D155)-N(E155),"Downtime &gt; planned time",IF(AND(ISNUMBER(O155),O155&gt;1),"Check: performance above 100%","OK"))))))))))</f>
        <v/>
      </c>
      <c r="S155" s="13" t="str">
        <f aca="false">IF($T155,K155*M155/60,"")</f>
        <v/>
      </c>
      <c r="T155" s="15" t="b">
        <f aca="false">IF($C155="",FALSE(),AND(SUMPRODUCT(--(Setup!$A$5:$A$24=$C155))&gt;0,ISNUMBER(A155),ISNUMBER(K155),N(K155)&gt;0,ISNUMBER(D155),N(D155)&gt;0,ISNUMBER(G155),N(G155)&gt;=0,OR(E155="",ISNUMBER(E155)),OR(F155="",ISNUMBER(F155)),OR(H155="",ISNUMBER(H155)),N(E155)&gt;=0,N(F155)&gt;=0,N(H155)&gt;=0,N(H155)&lt;=N(G155),N(E155)&lt;N(D155),N(F155)&lt;=N(D155)-N(E155)))</f>
        <v>0</v>
      </c>
    </row>
    <row r="156" customFormat="false" ht="15" hidden="false" customHeight="false" outlineLevel="0" collapsed="false">
      <c r="A156" s="11"/>
      <c r="B156" s="8"/>
      <c r="C156" s="8"/>
      <c r="D156" s="8"/>
      <c r="E156" s="8"/>
      <c r="F156" s="8"/>
      <c r="G156" s="8"/>
      <c r="H156" s="8"/>
      <c r="I156" s="12" t="str">
        <f aca="false">IF($T156,D156-N(E156),"")</f>
        <v/>
      </c>
      <c r="J156" s="12" t="str">
        <f aca="false">IF($T156,I156-N(F156),"")</f>
        <v/>
      </c>
      <c r="K156" s="13" t="str">
        <f aca="false">IF($C156="","",IF(SUMPRODUCT(--(Setup!$A$5:$A$24=$C156))&gt;0,INDEX(Setup!$B$5:$B$24,21-SUMPRODUCT(MAX((Setup!$A$5:$A$24=$C156)*(25-ROW(Setup!$A$5:$A$24))))),""))</f>
        <v/>
      </c>
      <c r="L156" s="13" t="str">
        <f aca="false">IF($T156,K156*G156/60,"")</f>
        <v/>
      </c>
      <c r="M156" s="12" t="str">
        <f aca="false">IF($T156,G156-N(H156),"")</f>
        <v/>
      </c>
      <c r="N156" s="14" t="str">
        <f aca="false">IF($T156,J156/I156,"")</f>
        <v/>
      </c>
      <c r="O156" s="14" t="str">
        <f aca="false">IF(AND($T156,N(J156)&gt;0),L156/J156,"")</f>
        <v/>
      </c>
      <c r="P156" s="14" t="str">
        <f aca="false">IF(AND($T156,N(G156)&gt;0),M156/G156,"")</f>
        <v/>
      </c>
      <c r="Q156" s="14" t="str">
        <f aca="false">IF($T156,S156/I156,"")</f>
        <v/>
      </c>
      <c r="R156" s="10" t="str">
        <f aca="false">IF($C156="","",IF(NOT(SUMPRODUCT(--(Setup!$A$5:$A$24=$C156))&gt;0),"Machine not in Setup",IF(OR(NOT(ISNUMBER(K156)),N(K156)&lt;=0),"Set an ideal cycle time in Setup",IF(NOT(ISNUMBER(A156)),"Enter a date",IF(OR(NOT(ISNUMBER(D156)),NOT(ISNUMBER(G156)),AND(E156&lt;&gt;"",NOT(ISNUMBER(E156))),AND(F156&lt;&gt;"",NOT(ISNUMBER(F156))),AND(H156&lt;&gt;"",NOT(ISNUMBER(H156)))),"Enter numbers: shift length and total parts are required",IF(OR(N(D156)&lt;=0,N(E156)&lt;0,N(F156)&lt;0,N(G156)&lt;0,N(H156)&lt;0),"Values must be 0 or more (shift length above 0)",IF(N(H156)&gt;N(G156),"Rejects &gt; total parts",IF(N(E156)&gt;=N(D156),"Planned stops &gt;= shift length",IF(N(F156)&gt;N(D156)-N(E156),"Downtime &gt; planned time",IF(AND(ISNUMBER(O156),O156&gt;1),"Check: performance above 100%","OK"))))))))))</f>
        <v/>
      </c>
      <c r="S156" s="13" t="str">
        <f aca="false">IF($T156,K156*M156/60,"")</f>
        <v/>
      </c>
      <c r="T156" s="15" t="b">
        <f aca="false">IF($C156="",FALSE(),AND(SUMPRODUCT(--(Setup!$A$5:$A$24=$C156))&gt;0,ISNUMBER(A156),ISNUMBER(K156),N(K156)&gt;0,ISNUMBER(D156),N(D156)&gt;0,ISNUMBER(G156),N(G156)&gt;=0,OR(E156="",ISNUMBER(E156)),OR(F156="",ISNUMBER(F156)),OR(H156="",ISNUMBER(H156)),N(E156)&gt;=0,N(F156)&gt;=0,N(H156)&gt;=0,N(H156)&lt;=N(G156),N(E156)&lt;N(D156),N(F156)&lt;=N(D156)-N(E156)))</f>
        <v>0</v>
      </c>
    </row>
    <row r="157" customFormat="false" ht="15" hidden="false" customHeight="false" outlineLevel="0" collapsed="false">
      <c r="A157" s="11"/>
      <c r="B157" s="8"/>
      <c r="C157" s="8"/>
      <c r="D157" s="8"/>
      <c r="E157" s="8"/>
      <c r="F157" s="8"/>
      <c r="G157" s="8"/>
      <c r="H157" s="8"/>
      <c r="I157" s="12" t="str">
        <f aca="false">IF($T157,D157-N(E157),"")</f>
        <v/>
      </c>
      <c r="J157" s="12" t="str">
        <f aca="false">IF($T157,I157-N(F157),"")</f>
        <v/>
      </c>
      <c r="K157" s="13" t="str">
        <f aca="false">IF($C157="","",IF(SUMPRODUCT(--(Setup!$A$5:$A$24=$C157))&gt;0,INDEX(Setup!$B$5:$B$24,21-SUMPRODUCT(MAX((Setup!$A$5:$A$24=$C157)*(25-ROW(Setup!$A$5:$A$24))))),""))</f>
        <v/>
      </c>
      <c r="L157" s="13" t="str">
        <f aca="false">IF($T157,K157*G157/60,"")</f>
        <v/>
      </c>
      <c r="M157" s="12" t="str">
        <f aca="false">IF($T157,G157-N(H157),"")</f>
        <v/>
      </c>
      <c r="N157" s="14" t="str">
        <f aca="false">IF($T157,J157/I157,"")</f>
        <v/>
      </c>
      <c r="O157" s="14" t="str">
        <f aca="false">IF(AND($T157,N(J157)&gt;0),L157/J157,"")</f>
        <v/>
      </c>
      <c r="P157" s="14" t="str">
        <f aca="false">IF(AND($T157,N(G157)&gt;0),M157/G157,"")</f>
        <v/>
      </c>
      <c r="Q157" s="14" t="str">
        <f aca="false">IF($T157,S157/I157,"")</f>
        <v/>
      </c>
      <c r="R157" s="10" t="str">
        <f aca="false">IF($C157="","",IF(NOT(SUMPRODUCT(--(Setup!$A$5:$A$24=$C157))&gt;0),"Machine not in Setup",IF(OR(NOT(ISNUMBER(K157)),N(K157)&lt;=0),"Set an ideal cycle time in Setup",IF(NOT(ISNUMBER(A157)),"Enter a date",IF(OR(NOT(ISNUMBER(D157)),NOT(ISNUMBER(G157)),AND(E157&lt;&gt;"",NOT(ISNUMBER(E157))),AND(F157&lt;&gt;"",NOT(ISNUMBER(F157))),AND(H157&lt;&gt;"",NOT(ISNUMBER(H157)))),"Enter numbers: shift length and total parts are required",IF(OR(N(D157)&lt;=0,N(E157)&lt;0,N(F157)&lt;0,N(G157)&lt;0,N(H157)&lt;0),"Values must be 0 or more (shift length above 0)",IF(N(H157)&gt;N(G157),"Rejects &gt; total parts",IF(N(E157)&gt;=N(D157),"Planned stops &gt;= shift length",IF(N(F157)&gt;N(D157)-N(E157),"Downtime &gt; planned time",IF(AND(ISNUMBER(O157),O157&gt;1),"Check: performance above 100%","OK"))))))))))</f>
        <v/>
      </c>
      <c r="S157" s="13" t="str">
        <f aca="false">IF($T157,K157*M157/60,"")</f>
        <v/>
      </c>
      <c r="T157" s="15" t="b">
        <f aca="false">IF($C157="",FALSE(),AND(SUMPRODUCT(--(Setup!$A$5:$A$24=$C157))&gt;0,ISNUMBER(A157),ISNUMBER(K157),N(K157)&gt;0,ISNUMBER(D157),N(D157)&gt;0,ISNUMBER(G157),N(G157)&gt;=0,OR(E157="",ISNUMBER(E157)),OR(F157="",ISNUMBER(F157)),OR(H157="",ISNUMBER(H157)),N(E157)&gt;=0,N(F157)&gt;=0,N(H157)&gt;=0,N(H157)&lt;=N(G157),N(E157)&lt;N(D157),N(F157)&lt;=N(D157)-N(E157)))</f>
        <v>0</v>
      </c>
    </row>
    <row r="158" customFormat="false" ht="15" hidden="false" customHeight="false" outlineLevel="0" collapsed="false">
      <c r="A158" s="11"/>
      <c r="B158" s="8"/>
      <c r="C158" s="8"/>
      <c r="D158" s="8"/>
      <c r="E158" s="8"/>
      <c r="F158" s="8"/>
      <c r="G158" s="8"/>
      <c r="H158" s="8"/>
      <c r="I158" s="12" t="str">
        <f aca="false">IF($T158,D158-N(E158),"")</f>
        <v/>
      </c>
      <c r="J158" s="12" t="str">
        <f aca="false">IF($T158,I158-N(F158),"")</f>
        <v/>
      </c>
      <c r="K158" s="13" t="str">
        <f aca="false">IF($C158="","",IF(SUMPRODUCT(--(Setup!$A$5:$A$24=$C158))&gt;0,INDEX(Setup!$B$5:$B$24,21-SUMPRODUCT(MAX((Setup!$A$5:$A$24=$C158)*(25-ROW(Setup!$A$5:$A$24))))),""))</f>
        <v/>
      </c>
      <c r="L158" s="13" t="str">
        <f aca="false">IF($T158,K158*G158/60,"")</f>
        <v/>
      </c>
      <c r="M158" s="12" t="str">
        <f aca="false">IF($T158,G158-N(H158),"")</f>
        <v/>
      </c>
      <c r="N158" s="14" t="str">
        <f aca="false">IF($T158,J158/I158,"")</f>
        <v/>
      </c>
      <c r="O158" s="14" t="str">
        <f aca="false">IF(AND($T158,N(J158)&gt;0),L158/J158,"")</f>
        <v/>
      </c>
      <c r="P158" s="14" t="str">
        <f aca="false">IF(AND($T158,N(G158)&gt;0),M158/G158,"")</f>
        <v/>
      </c>
      <c r="Q158" s="14" t="str">
        <f aca="false">IF($T158,S158/I158,"")</f>
        <v/>
      </c>
      <c r="R158" s="10" t="str">
        <f aca="false">IF($C158="","",IF(NOT(SUMPRODUCT(--(Setup!$A$5:$A$24=$C158))&gt;0),"Machine not in Setup",IF(OR(NOT(ISNUMBER(K158)),N(K158)&lt;=0),"Set an ideal cycle time in Setup",IF(NOT(ISNUMBER(A158)),"Enter a date",IF(OR(NOT(ISNUMBER(D158)),NOT(ISNUMBER(G158)),AND(E158&lt;&gt;"",NOT(ISNUMBER(E158))),AND(F158&lt;&gt;"",NOT(ISNUMBER(F158))),AND(H158&lt;&gt;"",NOT(ISNUMBER(H158)))),"Enter numbers: shift length and total parts are required",IF(OR(N(D158)&lt;=0,N(E158)&lt;0,N(F158)&lt;0,N(G158)&lt;0,N(H158)&lt;0),"Values must be 0 or more (shift length above 0)",IF(N(H158)&gt;N(G158),"Rejects &gt; total parts",IF(N(E158)&gt;=N(D158),"Planned stops &gt;= shift length",IF(N(F158)&gt;N(D158)-N(E158),"Downtime &gt; planned time",IF(AND(ISNUMBER(O158),O158&gt;1),"Check: performance above 100%","OK"))))))))))</f>
        <v/>
      </c>
      <c r="S158" s="13" t="str">
        <f aca="false">IF($T158,K158*M158/60,"")</f>
        <v/>
      </c>
      <c r="T158" s="15" t="b">
        <f aca="false">IF($C158="",FALSE(),AND(SUMPRODUCT(--(Setup!$A$5:$A$24=$C158))&gt;0,ISNUMBER(A158),ISNUMBER(K158),N(K158)&gt;0,ISNUMBER(D158),N(D158)&gt;0,ISNUMBER(G158),N(G158)&gt;=0,OR(E158="",ISNUMBER(E158)),OR(F158="",ISNUMBER(F158)),OR(H158="",ISNUMBER(H158)),N(E158)&gt;=0,N(F158)&gt;=0,N(H158)&gt;=0,N(H158)&lt;=N(G158),N(E158)&lt;N(D158),N(F158)&lt;=N(D158)-N(E158)))</f>
        <v>0</v>
      </c>
    </row>
    <row r="159" customFormat="false" ht="15" hidden="false" customHeight="false" outlineLevel="0" collapsed="false">
      <c r="A159" s="11"/>
      <c r="B159" s="8"/>
      <c r="C159" s="8"/>
      <c r="D159" s="8"/>
      <c r="E159" s="8"/>
      <c r="F159" s="8"/>
      <c r="G159" s="8"/>
      <c r="H159" s="8"/>
      <c r="I159" s="12" t="str">
        <f aca="false">IF($T159,D159-N(E159),"")</f>
        <v/>
      </c>
      <c r="J159" s="12" t="str">
        <f aca="false">IF($T159,I159-N(F159),"")</f>
        <v/>
      </c>
      <c r="K159" s="13" t="str">
        <f aca="false">IF($C159="","",IF(SUMPRODUCT(--(Setup!$A$5:$A$24=$C159))&gt;0,INDEX(Setup!$B$5:$B$24,21-SUMPRODUCT(MAX((Setup!$A$5:$A$24=$C159)*(25-ROW(Setup!$A$5:$A$24))))),""))</f>
        <v/>
      </c>
      <c r="L159" s="13" t="str">
        <f aca="false">IF($T159,K159*G159/60,"")</f>
        <v/>
      </c>
      <c r="M159" s="12" t="str">
        <f aca="false">IF($T159,G159-N(H159),"")</f>
        <v/>
      </c>
      <c r="N159" s="14" t="str">
        <f aca="false">IF($T159,J159/I159,"")</f>
        <v/>
      </c>
      <c r="O159" s="14" t="str">
        <f aca="false">IF(AND($T159,N(J159)&gt;0),L159/J159,"")</f>
        <v/>
      </c>
      <c r="P159" s="14" t="str">
        <f aca="false">IF(AND($T159,N(G159)&gt;0),M159/G159,"")</f>
        <v/>
      </c>
      <c r="Q159" s="14" t="str">
        <f aca="false">IF($T159,S159/I159,"")</f>
        <v/>
      </c>
      <c r="R159" s="10" t="str">
        <f aca="false">IF($C159="","",IF(NOT(SUMPRODUCT(--(Setup!$A$5:$A$24=$C159))&gt;0),"Machine not in Setup",IF(OR(NOT(ISNUMBER(K159)),N(K159)&lt;=0),"Set an ideal cycle time in Setup",IF(NOT(ISNUMBER(A159)),"Enter a date",IF(OR(NOT(ISNUMBER(D159)),NOT(ISNUMBER(G159)),AND(E159&lt;&gt;"",NOT(ISNUMBER(E159))),AND(F159&lt;&gt;"",NOT(ISNUMBER(F159))),AND(H159&lt;&gt;"",NOT(ISNUMBER(H159)))),"Enter numbers: shift length and total parts are required",IF(OR(N(D159)&lt;=0,N(E159)&lt;0,N(F159)&lt;0,N(G159)&lt;0,N(H159)&lt;0),"Values must be 0 or more (shift length above 0)",IF(N(H159)&gt;N(G159),"Rejects &gt; total parts",IF(N(E159)&gt;=N(D159),"Planned stops &gt;= shift length",IF(N(F159)&gt;N(D159)-N(E159),"Downtime &gt; planned time",IF(AND(ISNUMBER(O159),O159&gt;1),"Check: performance above 100%","OK"))))))))))</f>
        <v/>
      </c>
      <c r="S159" s="13" t="str">
        <f aca="false">IF($T159,K159*M159/60,"")</f>
        <v/>
      </c>
      <c r="T159" s="15" t="b">
        <f aca="false">IF($C159="",FALSE(),AND(SUMPRODUCT(--(Setup!$A$5:$A$24=$C159))&gt;0,ISNUMBER(A159),ISNUMBER(K159),N(K159)&gt;0,ISNUMBER(D159),N(D159)&gt;0,ISNUMBER(G159),N(G159)&gt;=0,OR(E159="",ISNUMBER(E159)),OR(F159="",ISNUMBER(F159)),OR(H159="",ISNUMBER(H159)),N(E159)&gt;=0,N(F159)&gt;=0,N(H159)&gt;=0,N(H159)&lt;=N(G159),N(E159)&lt;N(D159),N(F159)&lt;=N(D159)-N(E159)))</f>
        <v>0</v>
      </c>
    </row>
    <row r="160" customFormat="false" ht="15" hidden="false" customHeight="false" outlineLevel="0" collapsed="false">
      <c r="A160" s="11"/>
      <c r="B160" s="8"/>
      <c r="C160" s="8"/>
      <c r="D160" s="8"/>
      <c r="E160" s="8"/>
      <c r="F160" s="8"/>
      <c r="G160" s="8"/>
      <c r="H160" s="8"/>
      <c r="I160" s="12" t="str">
        <f aca="false">IF($T160,D160-N(E160),"")</f>
        <v/>
      </c>
      <c r="J160" s="12" t="str">
        <f aca="false">IF($T160,I160-N(F160),"")</f>
        <v/>
      </c>
      <c r="K160" s="13" t="str">
        <f aca="false">IF($C160="","",IF(SUMPRODUCT(--(Setup!$A$5:$A$24=$C160))&gt;0,INDEX(Setup!$B$5:$B$24,21-SUMPRODUCT(MAX((Setup!$A$5:$A$24=$C160)*(25-ROW(Setup!$A$5:$A$24))))),""))</f>
        <v/>
      </c>
      <c r="L160" s="13" t="str">
        <f aca="false">IF($T160,K160*G160/60,"")</f>
        <v/>
      </c>
      <c r="M160" s="12" t="str">
        <f aca="false">IF($T160,G160-N(H160),"")</f>
        <v/>
      </c>
      <c r="N160" s="14" t="str">
        <f aca="false">IF($T160,J160/I160,"")</f>
        <v/>
      </c>
      <c r="O160" s="14" t="str">
        <f aca="false">IF(AND($T160,N(J160)&gt;0),L160/J160,"")</f>
        <v/>
      </c>
      <c r="P160" s="14" t="str">
        <f aca="false">IF(AND($T160,N(G160)&gt;0),M160/G160,"")</f>
        <v/>
      </c>
      <c r="Q160" s="14" t="str">
        <f aca="false">IF($T160,S160/I160,"")</f>
        <v/>
      </c>
      <c r="R160" s="10" t="str">
        <f aca="false">IF($C160="","",IF(NOT(SUMPRODUCT(--(Setup!$A$5:$A$24=$C160))&gt;0),"Machine not in Setup",IF(OR(NOT(ISNUMBER(K160)),N(K160)&lt;=0),"Set an ideal cycle time in Setup",IF(NOT(ISNUMBER(A160)),"Enter a date",IF(OR(NOT(ISNUMBER(D160)),NOT(ISNUMBER(G160)),AND(E160&lt;&gt;"",NOT(ISNUMBER(E160))),AND(F160&lt;&gt;"",NOT(ISNUMBER(F160))),AND(H160&lt;&gt;"",NOT(ISNUMBER(H160)))),"Enter numbers: shift length and total parts are required",IF(OR(N(D160)&lt;=0,N(E160)&lt;0,N(F160)&lt;0,N(G160)&lt;0,N(H160)&lt;0),"Values must be 0 or more (shift length above 0)",IF(N(H160)&gt;N(G160),"Rejects &gt; total parts",IF(N(E160)&gt;=N(D160),"Planned stops &gt;= shift length",IF(N(F160)&gt;N(D160)-N(E160),"Downtime &gt; planned time",IF(AND(ISNUMBER(O160),O160&gt;1),"Check: performance above 100%","OK"))))))))))</f>
        <v/>
      </c>
      <c r="S160" s="13" t="str">
        <f aca="false">IF($T160,K160*M160/60,"")</f>
        <v/>
      </c>
      <c r="T160" s="15" t="b">
        <f aca="false">IF($C160="",FALSE(),AND(SUMPRODUCT(--(Setup!$A$5:$A$24=$C160))&gt;0,ISNUMBER(A160),ISNUMBER(K160),N(K160)&gt;0,ISNUMBER(D160),N(D160)&gt;0,ISNUMBER(G160),N(G160)&gt;=0,OR(E160="",ISNUMBER(E160)),OR(F160="",ISNUMBER(F160)),OR(H160="",ISNUMBER(H160)),N(E160)&gt;=0,N(F160)&gt;=0,N(H160)&gt;=0,N(H160)&lt;=N(G160),N(E160)&lt;N(D160),N(F160)&lt;=N(D160)-N(E160)))</f>
        <v>0</v>
      </c>
    </row>
    <row r="161" customFormat="false" ht="15" hidden="false" customHeight="false" outlineLevel="0" collapsed="false">
      <c r="A161" s="11"/>
      <c r="B161" s="8"/>
      <c r="C161" s="8"/>
      <c r="D161" s="8"/>
      <c r="E161" s="8"/>
      <c r="F161" s="8"/>
      <c r="G161" s="8"/>
      <c r="H161" s="8"/>
      <c r="I161" s="12" t="str">
        <f aca="false">IF($T161,D161-N(E161),"")</f>
        <v/>
      </c>
      <c r="J161" s="12" t="str">
        <f aca="false">IF($T161,I161-N(F161),"")</f>
        <v/>
      </c>
      <c r="K161" s="13" t="str">
        <f aca="false">IF($C161="","",IF(SUMPRODUCT(--(Setup!$A$5:$A$24=$C161))&gt;0,INDEX(Setup!$B$5:$B$24,21-SUMPRODUCT(MAX((Setup!$A$5:$A$24=$C161)*(25-ROW(Setup!$A$5:$A$24))))),""))</f>
        <v/>
      </c>
      <c r="L161" s="13" t="str">
        <f aca="false">IF($T161,K161*G161/60,"")</f>
        <v/>
      </c>
      <c r="M161" s="12" t="str">
        <f aca="false">IF($T161,G161-N(H161),"")</f>
        <v/>
      </c>
      <c r="N161" s="14" t="str">
        <f aca="false">IF($T161,J161/I161,"")</f>
        <v/>
      </c>
      <c r="O161" s="14" t="str">
        <f aca="false">IF(AND($T161,N(J161)&gt;0),L161/J161,"")</f>
        <v/>
      </c>
      <c r="P161" s="14" t="str">
        <f aca="false">IF(AND($T161,N(G161)&gt;0),M161/G161,"")</f>
        <v/>
      </c>
      <c r="Q161" s="14" t="str">
        <f aca="false">IF($T161,S161/I161,"")</f>
        <v/>
      </c>
      <c r="R161" s="10" t="str">
        <f aca="false">IF($C161="","",IF(NOT(SUMPRODUCT(--(Setup!$A$5:$A$24=$C161))&gt;0),"Machine not in Setup",IF(OR(NOT(ISNUMBER(K161)),N(K161)&lt;=0),"Set an ideal cycle time in Setup",IF(NOT(ISNUMBER(A161)),"Enter a date",IF(OR(NOT(ISNUMBER(D161)),NOT(ISNUMBER(G161)),AND(E161&lt;&gt;"",NOT(ISNUMBER(E161))),AND(F161&lt;&gt;"",NOT(ISNUMBER(F161))),AND(H161&lt;&gt;"",NOT(ISNUMBER(H161)))),"Enter numbers: shift length and total parts are required",IF(OR(N(D161)&lt;=0,N(E161)&lt;0,N(F161)&lt;0,N(G161)&lt;0,N(H161)&lt;0),"Values must be 0 or more (shift length above 0)",IF(N(H161)&gt;N(G161),"Rejects &gt; total parts",IF(N(E161)&gt;=N(D161),"Planned stops &gt;= shift length",IF(N(F161)&gt;N(D161)-N(E161),"Downtime &gt; planned time",IF(AND(ISNUMBER(O161),O161&gt;1),"Check: performance above 100%","OK"))))))))))</f>
        <v/>
      </c>
      <c r="S161" s="13" t="str">
        <f aca="false">IF($T161,K161*M161/60,"")</f>
        <v/>
      </c>
      <c r="T161" s="15" t="b">
        <f aca="false">IF($C161="",FALSE(),AND(SUMPRODUCT(--(Setup!$A$5:$A$24=$C161))&gt;0,ISNUMBER(A161),ISNUMBER(K161),N(K161)&gt;0,ISNUMBER(D161),N(D161)&gt;0,ISNUMBER(G161),N(G161)&gt;=0,OR(E161="",ISNUMBER(E161)),OR(F161="",ISNUMBER(F161)),OR(H161="",ISNUMBER(H161)),N(E161)&gt;=0,N(F161)&gt;=0,N(H161)&gt;=0,N(H161)&lt;=N(G161),N(E161)&lt;N(D161),N(F161)&lt;=N(D161)-N(E161)))</f>
        <v>0</v>
      </c>
    </row>
    <row r="162" customFormat="false" ht="15" hidden="false" customHeight="false" outlineLevel="0" collapsed="false">
      <c r="A162" s="11"/>
      <c r="B162" s="8"/>
      <c r="C162" s="8"/>
      <c r="D162" s="8"/>
      <c r="E162" s="8"/>
      <c r="F162" s="8"/>
      <c r="G162" s="8"/>
      <c r="H162" s="8"/>
      <c r="I162" s="12" t="str">
        <f aca="false">IF($T162,D162-N(E162),"")</f>
        <v/>
      </c>
      <c r="J162" s="12" t="str">
        <f aca="false">IF($T162,I162-N(F162),"")</f>
        <v/>
      </c>
      <c r="K162" s="13" t="str">
        <f aca="false">IF($C162="","",IF(SUMPRODUCT(--(Setup!$A$5:$A$24=$C162))&gt;0,INDEX(Setup!$B$5:$B$24,21-SUMPRODUCT(MAX((Setup!$A$5:$A$24=$C162)*(25-ROW(Setup!$A$5:$A$24))))),""))</f>
        <v/>
      </c>
      <c r="L162" s="13" t="str">
        <f aca="false">IF($T162,K162*G162/60,"")</f>
        <v/>
      </c>
      <c r="M162" s="12" t="str">
        <f aca="false">IF($T162,G162-N(H162),"")</f>
        <v/>
      </c>
      <c r="N162" s="14" t="str">
        <f aca="false">IF($T162,J162/I162,"")</f>
        <v/>
      </c>
      <c r="O162" s="14" t="str">
        <f aca="false">IF(AND($T162,N(J162)&gt;0),L162/J162,"")</f>
        <v/>
      </c>
      <c r="P162" s="14" t="str">
        <f aca="false">IF(AND($T162,N(G162)&gt;0),M162/G162,"")</f>
        <v/>
      </c>
      <c r="Q162" s="14" t="str">
        <f aca="false">IF($T162,S162/I162,"")</f>
        <v/>
      </c>
      <c r="R162" s="10" t="str">
        <f aca="false">IF($C162="","",IF(NOT(SUMPRODUCT(--(Setup!$A$5:$A$24=$C162))&gt;0),"Machine not in Setup",IF(OR(NOT(ISNUMBER(K162)),N(K162)&lt;=0),"Set an ideal cycle time in Setup",IF(NOT(ISNUMBER(A162)),"Enter a date",IF(OR(NOT(ISNUMBER(D162)),NOT(ISNUMBER(G162)),AND(E162&lt;&gt;"",NOT(ISNUMBER(E162))),AND(F162&lt;&gt;"",NOT(ISNUMBER(F162))),AND(H162&lt;&gt;"",NOT(ISNUMBER(H162)))),"Enter numbers: shift length and total parts are required",IF(OR(N(D162)&lt;=0,N(E162)&lt;0,N(F162)&lt;0,N(G162)&lt;0,N(H162)&lt;0),"Values must be 0 or more (shift length above 0)",IF(N(H162)&gt;N(G162),"Rejects &gt; total parts",IF(N(E162)&gt;=N(D162),"Planned stops &gt;= shift length",IF(N(F162)&gt;N(D162)-N(E162),"Downtime &gt; planned time",IF(AND(ISNUMBER(O162),O162&gt;1),"Check: performance above 100%","OK"))))))))))</f>
        <v/>
      </c>
      <c r="S162" s="13" t="str">
        <f aca="false">IF($T162,K162*M162/60,"")</f>
        <v/>
      </c>
      <c r="T162" s="15" t="b">
        <f aca="false">IF($C162="",FALSE(),AND(SUMPRODUCT(--(Setup!$A$5:$A$24=$C162))&gt;0,ISNUMBER(A162),ISNUMBER(K162),N(K162)&gt;0,ISNUMBER(D162),N(D162)&gt;0,ISNUMBER(G162),N(G162)&gt;=0,OR(E162="",ISNUMBER(E162)),OR(F162="",ISNUMBER(F162)),OR(H162="",ISNUMBER(H162)),N(E162)&gt;=0,N(F162)&gt;=0,N(H162)&gt;=0,N(H162)&lt;=N(G162),N(E162)&lt;N(D162),N(F162)&lt;=N(D162)-N(E162)))</f>
        <v>0</v>
      </c>
    </row>
    <row r="163" customFormat="false" ht="15" hidden="false" customHeight="false" outlineLevel="0" collapsed="false">
      <c r="A163" s="11"/>
      <c r="B163" s="8"/>
      <c r="C163" s="8"/>
      <c r="D163" s="8"/>
      <c r="E163" s="8"/>
      <c r="F163" s="8"/>
      <c r="G163" s="8"/>
      <c r="H163" s="8"/>
      <c r="I163" s="12" t="str">
        <f aca="false">IF($T163,D163-N(E163),"")</f>
        <v/>
      </c>
      <c r="J163" s="12" t="str">
        <f aca="false">IF($T163,I163-N(F163),"")</f>
        <v/>
      </c>
      <c r="K163" s="13" t="str">
        <f aca="false">IF($C163="","",IF(SUMPRODUCT(--(Setup!$A$5:$A$24=$C163))&gt;0,INDEX(Setup!$B$5:$B$24,21-SUMPRODUCT(MAX((Setup!$A$5:$A$24=$C163)*(25-ROW(Setup!$A$5:$A$24))))),""))</f>
        <v/>
      </c>
      <c r="L163" s="13" t="str">
        <f aca="false">IF($T163,K163*G163/60,"")</f>
        <v/>
      </c>
      <c r="M163" s="12" t="str">
        <f aca="false">IF($T163,G163-N(H163),"")</f>
        <v/>
      </c>
      <c r="N163" s="14" t="str">
        <f aca="false">IF($T163,J163/I163,"")</f>
        <v/>
      </c>
      <c r="O163" s="14" t="str">
        <f aca="false">IF(AND($T163,N(J163)&gt;0),L163/J163,"")</f>
        <v/>
      </c>
      <c r="P163" s="14" t="str">
        <f aca="false">IF(AND($T163,N(G163)&gt;0),M163/G163,"")</f>
        <v/>
      </c>
      <c r="Q163" s="14" t="str">
        <f aca="false">IF($T163,S163/I163,"")</f>
        <v/>
      </c>
      <c r="R163" s="10" t="str">
        <f aca="false">IF($C163="","",IF(NOT(SUMPRODUCT(--(Setup!$A$5:$A$24=$C163))&gt;0),"Machine not in Setup",IF(OR(NOT(ISNUMBER(K163)),N(K163)&lt;=0),"Set an ideal cycle time in Setup",IF(NOT(ISNUMBER(A163)),"Enter a date",IF(OR(NOT(ISNUMBER(D163)),NOT(ISNUMBER(G163)),AND(E163&lt;&gt;"",NOT(ISNUMBER(E163))),AND(F163&lt;&gt;"",NOT(ISNUMBER(F163))),AND(H163&lt;&gt;"",NOT(ISNUMBER(H163)))),"Enter numbers: shift length and total parts are required",IF(OR(N(D163)&lt;=0,N(E163)&lt;0,N(F163)&lt;0,N(G163)&lt;0,N(H163)&lt;0),"Values must be 0 or more (shift length above 0)",IF(N(H163)&gt;N(G163),"Rejects &gt; total parts",IF(N(E163)&gt;=N(D163),"Planned stops &gt;= shift length",IF(N(F163)&gt;N(D163)-N(E163),"Downtime &gt; planned time",IF(AND(ISNUMBER(O163),O163&gt;1),"Check: performance above 100%","OK"))))))))))</f>
        <v/>
      </c>
      <c r="S163" s="13" t="str">
        <f aca="false">IF($T163,K163*M163/60,"")</f>
        <v/>
      </c>
      <c r="T163" s="15" t="b">
        <f aca="false">IF($C163="",FALSE(),AND(SUMPRODUCT(--(Setup!$A$5:$A$24=$C163))&gt;0,ISNUMBER(A163),ISNUMBER(K163),N(K163)&gt;0,ISNUMBER(D163),N(D163)&gt;0,ISNUMBER(G163),N(G163)&gt;=0,OR(E163="",ISNUMBER(E163)),OR(F163="",ISNUMBER(F163)),OR(H163="",ISNUMBER(H163)),N(E163)&gt;=0,N(F163)&gt;=0,N(H163)&gt;=0,N(H163)&lt;=N(G163),N(E163)&lt;N(D163),N(F163)&lt;=N(D163)-N(E163)))</f>
        <v>0</v>
      </c>
    </row>
    <row r="164" customFormat="false" ht="15" hidden="false" customHeight="false" outlineLevel="0" collapsed="false">
      <c r="A164" s="11"/>
      <c r="B164" s="8"/>
      <c r="C164" s="8"/>
      <c r="D164" s="8"/>
      <c r="E164" s="8"/>
      <c r="F164" s="8"/>
      <c r="G164" s="8"/>
      <c r="H164" s="8"/>
      <c r="I164" s="12" t="str">
        <f aca="false">IF($T164,D164-N(E164),"")</f>
        <v/>
      </c>
      <c r="J164" s="12" t="str">
        <f aca="false">IF($T164,I164-N(F164),"")</f>
        <v/>
      </c>
      <c r="K164" s="13" t="str">
        <f aca="false">IF($C164="","",IF(SUMPRODUCT(--(Setup!$A$5:$A$24=$C164))&gt;0,INDEX(Setup!$B$5:$B$24,21-SUMPRODUCT(MAX((Setup!$A$5:$A$24=$C164)*(25-ROW(Setup!$A$5:$A$24))))),""))</f>
        <v/>
      </c>
      <c r="L164" s="13" t="str">
        <f aca="false">IF($T164,K164*G164/60,"")</f>
        <v/>
      </c>
      <c r="M164" s="12" t="str">
        <f aca="false">IF($T164,G164-N(H164),"")</f>
        <v/>
      </c>
      <c r="N164" s="14" t="str">
        <f aca="false">IF($T164,J164/I164,"")</f>
        <v/>
      </c>
      <c r="O164" s="14" t="str">
        <f aca="false">IF(AND($T164,N(J164)&gt;0),L164/J164,"")</f>
        <v/>
      </c>
      <c r="P164" s="14" t="str">
        <f aca="false">IF(AND($T164,N(G164)&gt;0),M164/G164,"")</f>
        <v/>
      </c>
      <c r="Q164" s="14" t="str">
        <f aca="false">IF($T164,S164/I164,"")</f>
        <v/>
      </c>
      <c r="R164" s="10" t="str">
        <f aca="false">IF($C164="","",IF(NOT(SUMPRODUCT(--(Setup!$A$5:$A$24=$C164))&gt;0),"Machine not in Setup",IF(OR(NOT(ISNUMBER(K164)),N(K164)&lt;=0),"Set an ideal cycle time in Setup",IF(NOT(ISNUMBER(A164)),"Enter a date",IF(OR(NOT(ISNUMBER(D164)),NOT(ISNUMBER(G164)),AND(E164&lt;&gt;"",NOT(ISNUMBER(E164))),AND(F164&lt;&gt;"",NOT(ISNUMBER(F164))),AND(H164&lt;&gt;"",NOT(ISNUMBER(H164)))),"Enter numbers: shift length and total parts are required",IF(OR(N(D164)&lt;=0,N(E164)&lt;0,N(F164)&lt;0,N(G164)&lt;0,N(H164)&lt;0),"Values must be 0 or more (shift length above 0)",IF(N(H164)&gt;N(G164),"Rejects &gt; total parts",IF(N(E164)&gt;=N(D164),"Planned stops &gt;= shift length",IF(N(F164)&gt;N(D164)-N(E164),"Downtime &gt; planned time",IF(AND(ISNUMBER(O164),O164&gt;1),"Check: performance above 100%","OK"))))))))))</f>
        <v/>
      </c>
      <c r="S164" s="13" t="str">
        <f aca="false">IF($T164,K164*M164/60,"")</f>
        <v/>
      </c>
      <c r="T164" s="15" t="b">
        <f aca="false">IF($C164="",FALSE(),AND(SUMPRODUCT(--(Setup!$A$5:$A$24=$C164))&gt;0,ISNUMBER(A164),ISNUMBER(K164),N(K164)&gt;0,ISNUMBER(D164),N(D164)&gt;0,ISNUMBER(G164),N(G164)&gt;=0,OR(E164="",ISNUMBER(E164)),OR(F164="",ISNUMBER(F164)),OR(H164="",ISNUMBER(H164)),N(E164)&gt;=0,N(F164)&gt;=0,N(H164)&gt;=0,N(H164)&lt;=N(G164),N(E164)&lt;N(D164),N(F164)&lt;=N(D164)-N(E164)))</f>
        <v>0</v>
      </c>
    </row>
    <row r="165" customFormat="false" ht="15" hidden="false" customHeight="false" outlineLevel="0" collapsed="false">
      <c r="A165" s="11"/>
      <c r="B165" s="8"/>
      <c r="C165" s="8"/>
      <c r="D165" s="8"/>
      <c r="E165" s="8"/>
      <c r="F165" s="8"/>
      <c r="G165" s="8"/>
      <c r="H165" s="8"/>
      <c r="I165" s="12" t="str">
        <f aca="false">IF($T165,D165-N(E165),"")</f>
        <v/>
      </c>
      <c r="J165" s="12" t="str">
        <f aca="false">IF($T165,I165-N(F165),"")</f>
        <v/>
      </c>
      <c r="K165" s="13" t="str">
        <f aca="false">IF($C165="","",IF(SUMPRODUCT(--(Setup!$A$5:$A$24=$C165))&gt;0,INDEX(Setup!$B$5:$B$24,21-SUMPRODUCT(MAX((Setup!$A$5:$A$24=$C165)*(25-ROW(Setup!$A$5:$A$24))))),""))</f>
        <v/>
      </c>
      <c r="L165" s="13" t="str">
        <f aca="false">IF($T165,K165*G165/60,"")</f>
        <v/>
      </c>
      <c r="M165" s="12" t="str">
        <f aca="false">IF($T165,G165-N(H165),"")</f>
        <v/>
      </c>
      <c r="N165" s="14" t="str">
        <f aca="false">IF($T165,J165/I165,"")</f>
        <v/>
      </c>
      <c r="O165" s="14" t="str">
        <f aca="false">IF(AND($T165,N(J165)&gt;0),L165/J165,"")</f>
        <v/>
      </c>
      <c r="P165" s="14" t="str">
        <f aca="false">IF(AND($T165,N(G165)&gt;0),M165/G165,"")</f>
        <v/>
      </c>
      <c r="Q165" s="14" t="str">
        <f aca="false">IF($T165,S165/I165,"")</f>
        <v/>
      </c>
      <c r="R165" s="10" t="str">
        <f aca="false">IF($C165="","",IF(NOT(SUMPRODUCT(--(Setup!$A$5:$A$24=$C165))&gt;0),"Machine not in Setup",IF(OR(NOT(ISNUMBER(K165)),N(K165)&lt;=0),"Set an ideal cycle time in Setup",IF(NOT(ISNUMBER(A165)),"Enter a date",IF(OR(NOT(ISNUMBER(D165)),NOT(ISNUMBER(G165)),AND(E165&lt;&gt;"",NOT(ISNUMBER(E165))),AND(F165&lt;&gt;"",NOT(ISNUMBER(F165))),AND(H165&lt;&gt;"",NOT(ISNUMBER(H165)))),"Enter numbers: shift length and total parts are required",IF(OR(N(D165)&lt;=0,N(E165)&lt;0,N(F165)&lt;0,N(G165)&lt;0,N(H165)&lt;0),"Values must be 0 or more (shift length above 0)",IF(N(H165)&gt;N(G165),"Rejects &gt; total parts",IF(N(E165)&gt;=N(D165),"Planned stops &gt;= shift length",IF(N(F165)&gt;N(D165)-N(E165),"Downtime &gt; planned time",IF(AND(ISNUMBER(O165),O165&gt;1),"Check: performance above 100%","OK"))))))))))</f>
        <v/>
      </c>
      <c r="S165" s="13" t="str">
        <f aca="false">IF($T165,K165*M165/60,"")</f>
        <v/>
      </c>
      <c r="T165" s="15" t="b">
        <f aca="false">IF($C165="",FALSE(),AND(SUMPRODUCT(--(Setup!$A$5:$A$24=$C165))&gt;0,ISNUMBER(A165),ISNUMBER(K165),N(K165)&gt;0,ISNUMBER(D165),N(D165)&gt;0,ISNUMBER(G165),N(G165)&gt;=0,OR(E165="",ISNUMBER(E165)),OR(F165="",ISNUMBER(F165)),OR(H165="",ISNUMBER(H165)),N(E165)&gt;=0,N(F165)&gt;=0,N(H165)&gt;=0,N(H165)&lt;=N(G165),N(E165)&lt;N(D165),N(F165)&lt;=N(D165)-N(E165)))</f>
        <v>0</v>
      </c>
    </row>
    <row r="166" customFormat="false" ht="15" hidden="false" customHeight="false" outlineLevel="0" collapsed="false">
      <c r="A166" s="11"/>
      <c r="B166" s="8"/>
      <c r="C166" s="8"/>
      <c r="D166" s="8"/>
      <c r="E166" s="8"/>
      <c r="F166" s="8"/>
      <c r="G166" s="8"/>
      <c r="H166" s="8"/>
      <c r="I166" s="12" t="str">
        <f aca="false">IF($T166,D166-N(E166),"")</f>
        <v/>
      </c>
      <c r="J166" s="12" t="str">
        <f aca="false">IF($T166,I166-N(F166),"")</f>
        <v/>
      </c>
      <c r="K166" s="13" t="str">
        <f aca="false">IF($C166="","",IF(SUMPRODUCT(--(Setup!$A$5:$A$24=$C166))&gt;0,INDEX(Setup!$B$5:$B$24,21-SUMPRODUCT(MAX((Setup!$A$5:$A$24=$C166)*(25-ROW(Setup!$A$5:$A$24))))),""))</f>
        <v/>
      </c>
      <c r="L166" s="13" t="str">
        <f aca="false">IF($T166,K166*G166/60,"")</f>
        <v/>
      </c>
      <c r="M166" s="12" t="str">
        <f aca="false">IF($T166,G166-N(H166),"")</f>
        <v/>
      </c>
      <c r="N166" s="14" t="str">
        <f aca="false">IF($T166,J166/I166,"")</f>
        <v/>
      </c>
      <c r="O166" s="14" t="str">
        <f aca="false">IF(AND($T166,N(J166)&gt;0),L166/J166,"")</f>
        <v/>
      </c>
      <c r="P166" s="14" t="str">
        <f aca="false">IF(AND($T166,N(G166)&gt;0),M166/G166,"")</f>
        <v/>
      </c>
      <c r="Q166" s="14" t="str">
        <f aca="false">IF($T166,S166/I166,"")</f>
        <v/>
      </c>
      <c r="R166" s="10" t="str">
        <f aca="false">IF($C166="","",IF(NOT(SUMPRODUCT(--(Setup!$A$5:$A$24=$C166))&gt;0),"Machine not in Setup",IF(OR(NOT(ISNUMBER(K166)),N(K166)&lt;=0),"Set an ideal cycle time in Setup",IF(NOT(ISNUMBER(A166)),"Enter a date",IF(OR(NOT(ISNUMBER(D166)),NOT(ISNUMBER(G166)),AND(E166&lt;&gt;"",NOT(ISNUMBER(E166))),AND(F166&lt;&gt;"",NOT(ISNUMBER(F166))),AND(H166&lt;&gt;"",NOT(ISNUMBER(H166)))),"Enter numbers: shift length and total parts are required",IF(OR(N(D166)&lt;=0,N(E166)&lt;0,N(F166)&lt;0,N(G166)&lt;0,N(H166)&lt;0),"Values must be 0 or more (shift length above 0)",IF(N(H166)&gt;N(G166),"Rejects &gt; total parts",IF(N(E166)&gt;=N(D166),"Planned stops &gt;= shift length",IF(N(F166)&gt;N(D166)-N(E166),"Downtime &gt; planned time",IF(AND(ISNUMBER(O166),O166&gt;1),"Check: performance above 100%","OK"))))))))))</f>
        <v/>
      </c>
      <c r="S166" s="13" t="str">
        <f aca="false">IF($T166,K166*M166/60,"")</f>
        <v/>
      </c>
      <c r="T166" s="15" t="b">
        <f aca="false">IF($C166="",FALSE(),AND(SUMPRODUCT(--(Setup!$A$5:$A$24=$C166))&gt;0,ISNUMBER(A166),ISNUMBER(K166),N(K166)&gt;0,ISNUMBER(D166),N(D166)&gt;0,ISNUMBER(G166),N(G166)&gt;=0,OR(E166="",ISNUMBER(E166)),OR(F166="",ISNUMBER(F166)),OR(H166="",ISNUMBER(H166)),N(E166)&gt;=0,N(F166)&gt;=0,N(H166)&gt;=0,N(H166)&lt;=N(G166),N(E166)&lt;N(D166),N(F166)&lt;=N(D166)-N(E166)))</f>
        <v>0</v>
      </c>
    </row>
    <row r="167" customFormat="false" ht="15" hidden="false" customHeight="false" outlineLevel="0" collapsed="false">
      <c r="A167" s="11"/>
      <c r="B167" s="8"/>
      <c r="C167" s="8"/>
      <c r="D167" s="8"/>
      <c r="E167" s="8"/>
      <c r="F167" s="8"/>
      <c r="G167" s="8"/>
      <c r="H167" s="8"/>
      <c r="I167" s="12" t="str">
        <f aca="false">IF($T167,D167-N(E167),"")</f>
        <v/>
      </c>
      <c r="J167" s="12" t="str">
        <f aca="false">IF($T167,I167-N(F167),"")</f>
        <v/>
      </c>
      <c r="K167" s="13" t="str">
        <f aca="false">IF($C167="","",IF(SUMPRODUCT(--(Setup!$A$5:$A$24=$C167))&gt;0,INDEX(Setup!$B$5:$B$24,21-SUMPRODUCT(MAX((Setup!$A$5:$A$24=$C167)*(25-ROW(Setup!$A$5:$A$24))))),""))</f>
        <v/>
      </c>
      <c r="L167" s="13" t="str">
        <f aca="false">IF($T167,K167*G167/60,"")</f>
        <v/>
      </c>
      <c r="M167" s="12" t="str">
        <f aca="false">IF($T167,G167-N(H167),"")</f>
        <v/>
      </c>
      <c r="N167" s="14" t="str">
        <f aca="false">IF($T167,J167/I167,"")</f>
        <v/>
      </c>
      <c r="O167" s="14" t="str">
        <f aca="false">IF(AND($T167,N(J167)&gt;0),L167/J167,"")</f>
        <v/>
      </c>
      <c r="P167" s="14" t="str">
        <f aca="false">IF(AND($T167,N(G167)&gt;0),M167/G167,"")</f>
        <v/>
      </c>
      <c r="Q167" s="14" t="str">
        <f aca="false">IF($T167,S167/I167,"")</f>
        <v/>
      </c>
      <c r="R167" s="10" t="str">
        <f aca="false">IF($C167="","",IF(NOT(SUMPRODUCT(--(Setup!$A$5:$A$24=$C167))&gt;0),"Machine not in Setup",IF(OR(NOT(ISNUMBER(K167)),N(K167)&lt;=0),"Set an ideal cycle time in Setup",IF(NOT(ISNUMBER(A167)),"Enter a date",IF(OR(NOT(ISNUMBER(D167)),NOT(ISNUMBER(G167)),AND(E167&lt;&gt;"",NOT(ISNUMBER(E167))),AND(F167&lt;&gt;"",NOT(ISNUMBER(F167))),AND(H167&lt;&gt;"",NOT(ISNUMBER(H167)))),"Enter numbers: shift length and total parts are required",IF(OR(N(D167)&lt;=0,N(E167)&lt;0,N(F167)&lt;0,N(G167)&lt;0,N(H167)&lt;0),"Values must be 0 or more (shift length above 0)",IF(N(H167)&gt;N(G167),"Rejects &gt; total parts",IF(N(E167)&gt;=N(D167),"Planned stops &gt;= shift length",IF(N(F167)&gt;N(D167)-N(E167),"Downtime &gt; planned time",IF(AND(ISNUMBER(O167),O167&gt;1),"Check: performance above 100%","OK"))))))))))</f>
        <v/>
      </c>
      <c r="S167" s="13" t="str">
        <f aca="false">IF($T167,K167*M167/60,"")</f>
        <v/>
      </c>
      <c r="T167" s="15" t="b">
        <f aca="false">IF($C167="",FALSE(),AND(SUMPRODUCT(--(Setup!$A$5:$A$24=$C167))&gt;0,ISNUMBER(A167),ISNUMBER(K167),N(K167)&gt;0,ISNUMBER(D167),N(D167)&gt;0,ISNUMBER(G167),N(G167)&gt;=0,OR(E167="",ISNUMBER(E167)),OR(F167="",ISNUMBER(F167)),OR(H167="",ISNUMBER(H167)),N(E167)&gt;=0,N(F167)&gt;=0,N(H167)&gt;=0,N(H167)&lt;=N(G167),N(E167)&lt;N(D167),N(F167)&lt;=N(D167)-N(E167)))</f>
        <v>0</v>
      </c>
    </row>
    <row r="168" customFormat="false" ht="15" hidden="false" customHeight="false" outlineLevel="0" collapsed="false">
      <c r="A168" s="11"/>
      <c r="B168" s="8"/>
      <c r="C168" s="8"/>
      <c r="D168" s="8"/>
      <c r="E168" s="8"/>
      <c r="F168" s="8"/>
      <c r="G168" s="8"/>
      <c r="H168" s="8"/>
      <c r="I168" s="12" t="str">
        <f aca="false">IF($T168,D168-N(E168),"")</f>
        <v/>
      </c>
      <c r="J168" s="12" t="str">
        <f aca="false">IF($T168,I168-N(F168),"")</f>
        <v/>
      </c>
      <c r="K168" s="13" t="str">
        <f aca="false">IF($C168="","",IF(SUMPRODUCT(--(Setup!$A$5:$A$24=$C168))&gt;0,INDEX(Setup!$B$5:$B$24,21-SUMPRODUCT(MAX((Setup!$A$5:$A$24=$C168)*(25-ROW(Setup!$A$5:$A$24))))),""))</f>
        <v/>
      </c>
      <c r="L168" s="13" t="str">
        <f aca="false">IF($T168,K168*G168/60,"")</f>
        <v/>
      </c>
      <c r="M168" s="12" t="str">
        <f aca="false">IF($T168,G168-N(H168),"")</f>
        <v/>
      </c>
      <c r="N168" s="14" t="str">
        <f aca="false">IF($T168,J168/I168,"")</f>
        <v/>
      </c>
      <c r="O168" s="14" t="str">
        <f aca="false">IF(AND($T168,N(J168)&gt;0),L168/J168,"")</f>
        <v/>
      </c>
      <c r="P168" s="14" t="str">
        <f aca="false">IF(AND($T168,N(G168)&gt;0),M168/G168,"")</f>
        <v/>
      </c>
      <c r="Q168" s="14" t="str">
        <f aca="false">IF($T168,S168/I168,"")</f>
        <v/>
      </c>
      <c r="R168" s="10" t="str">
        <f aca="false">IF($C168="","",IF(NOT(SUMPRODUCT(--(Setup!$A$5:$A$24=$C168))&gt;0),"Machine not in Setup",IF(OR(NOT(ISNUMBER(K168)),N(K168)&lt;=0),"Set an ideal cycle time in Setup",IF(NOT(ISNUMBER(A168)),"Enter a date",IF(OR(NOT(ISNUMBER(D168)),NOT(ISNUMBER(G168)),AND(E168&lt;&gt;"",NOT(ISNUMBER(E168))),AND(F168&lt;&gt;"",NOT(ISNUMBER(F168))),AND(H168&lt;&gt;"",NOT(ISNUMBER(H168)))),"Enter numbers: shift length and total parts are required",IF(OR(N(D168)&lt;=0,N(E168)&lt;0,N(F168)&lt;0,N(G168)&lt;0,N(H168)&lt;0),"Values must be 0 or more (shift length above 0)",IF(N(H168)&gt;N(G168),"Rejects &gt; total parts",IF(N(E168)&gt;=N(D168),"Planned stops &gt;= shift length",IF(N(F168)&gt;N(D168)-N(E168),"Downtime &gt; planned time",IF(AND(ISNUMBER(O168),O168&gt;1),"Check: performance above 100%","OK"))))))))))</f>
        <v/>
      </c>
      <c r="S168" s="13" t="str">
        <f aca="false">IF($T168,K168*M168/60,"")</f>
        <v/>
      </c>
      <c r="T168" s="15" t="b">
        <f aca="false">IF($C168="",FALSE(),AND(SUMPRODUCT(--(Setup!$A$5:$A$24=$C168))&gt;0,ISNUMBER(A168),ISNUMBER(K168),N(K168)&gt;0,ISNUMBER(D168),N(D168)&gt;0,ISNUMBER(G168),N(G168)&gt;=0,OR(E168="",ISNUMBER(E168)),OR(F168="",ISNUMBER(F168)),OR(H168="",ISNUMBER(H168)),N(E168)&gt;=0,N(F168)&gt;=0,N(H168)&gt;=0,N(H168)&lt;=N(G168),N(E168)&lt;N(D168),N(F168)&lt;=N(D168)-N(E168)))</f>
        <v>0</v>
      </c>
    </row>
    <row r="169" customFormat="false" ht="15" hidden="false" customHeight="false" outlineLevel="0" collapsed="false">
      <c r="A169" s="11"/>
      <c r="B169" s="8"/>
      <c r="C169" s="8"/>
      <c r="D169" s="8"/>
      <c r="E169" s="8"/>
      <c r="F169" s="8"/>
      <c r="G169" s="8"/>
      <c r="H169" s="8"/>
      <c r="I169" s="12" t="str">
        <f aca="false">IF($T169,D169-N(E169),"")</f>
        <v/>
      </c>
      <c r="J169" s="12" t="str">
        <f aca="false">IF($T169,I169-N(F169),"")</f>
        <v/>
      </c>
      <c r="K169" s="13" t="str">
        <f aca="false">IF($C169="","",IF(SUMPRODUCT(--(Setup!$A$5:$A$24=$C169))&gt;0,INDEX(Setup!$B$5:$B$24,21-SUMPRODUCT(MAX((Setup!$A$5:$A$24=$C169)*(25-ROW(Setup!$A$5:$A$24))))),""))</f>
        <v/>
      </c>
      <c r="L169" s="13" t="str">
        <f aca="false">IF($T169,K169*G169/60,"")</f>
        <v/>
      </c>
      <c r="M169" s="12" t="str">
        <f aca="false">IF($T169,G169-N(H169),"")</f>
        <v/>
      </c>
      <c r="N169" s="14" t="str">
        <f aca="false">IF($T169,J169/I169,"")</f>
        <v/>
      </c>
      <c r="O169" s="14" t="str">
        <f aca="false">IF(AND($T169,N(J169)&gt;0),L169/J169,"")</f>
        <v/>
      </c>
      <c r="P169" s="14" t="str">
        <f aca="false">IF(AND($T169,N(G169)&gt;0),M169/G169,"")</f>
        <v/>
      </c>
      <c r="Q169" s="14" t="str">
        <f aca="false">IF($T169,S169/I169,"")</f>
        <v/>
      </c>
      <c r="R169" s="10" t="str">
        <f aca="false">IF($C169="","",IF(NOT(SUMPRODUCT(--(Setup!$A$5:$A$24=$C169))&gt;0),"Machine not in Setup",IF(OR(NOT(ISNUMBER(K169)),N(K169)&lt;=0),"Set an ideal cycle time in Setup",IF(NOT(ISNUMBER(A169)),"Enter a date",IF(OR(NOT(ISNUMBER(D169)),NOT(ISNUMBER(G169)),AND(E169&lt;&gt;"",NOT(ISNUMBER(E169))),AND(F169&lt;&gt;"",NOT(ISNUMBER(F169))),AND(H169&lt;&gt;"",NOT(ISNUMBER(H169)))),"Enter numbers: shift length and total parts are required",IF(OR(N(D169)&lt;=0,N(E169)&lt;0,N(F169)&lt;0,N(G169)&lt;0,N(H169)&lt;0),"Values must be 0 or more (shift length above 0)",IF(N(H169)&gt;N(G169),"Rejects &gt; total parts",IF(N(E169)&gt;=N(D169),"Planned stops &gt;= shift length",IF(N(F169)&gt;N(D169)-N(E169),"Downtime &gt; planned time",IF(AND(ISNUMBER(O169),O169&gt;1),"Check: performance above 100%","OK"))))))))))</f>
        <v/>
      </c>
      <c r="S169" s="13" t="str">
        <f aca="false">IF($T169,K169*M169/60,"")</f>
        <v/>
      </c>
      <c r="T169" s="15" t="b">
        <f aca="false">IF($C169="",FALSE(),AND(SUMPRODUCT(--(Setup!$A$5:$A$24=$C169))&gt;0,ISNUMBER(A169),ISNUMBER(K169),N(K169)&gt;0,ISNUMBER(D169),N(D169)&gt;0,ISNUMBER(G169),N(G169)&gt;=0,OR(E169="",ISNUMBER(E169)),OR(F169="",ISNUMBER(F169)),OR(H169="",ISNUMBER(H169)),N(E169)&gt;=0,N(F169)&gt;=0,N(H169)&gt;=0,N(H169)&lt;=N(G169),N(E169)&lt;N(D169),N(F169)&lt;=N(D169)-N(E169)))</f>
        <v>0</v>
      </c>
    </row>
    <row r="170" customFormat="false" ht="15" hidden="false" customHeight="false" outlineLevel="0" collapsed="false">
      <c r="A170" s="11"/>
      <c r="B170" s="8"/>
      <c r="C170" s="8"/>
      <c r="D170" s="8"/>
      <c r="E170" s="8"/>
      <c r="F170" s="8"/>
      <c r="G170" s="8"/>
      <c r="H170" s="8"/>
      <c r="I170" s="12" t="str">
        <f aca="false">IF($T170,D170-N(E170),"")</f>
        <v/>
      </c>
      <c r="J170" s="12" t="str">
        <f aca="false">IF($T170,I170-N(F170),"")</f>
        <v/>
      </c>
      <c r="K170" s="13" t="str">
        <f aca="false">IF($C170="","",IF(SUMPRODUCT(--(Setup!$A$5:$A$24=$C170))&gt;0,INDEX(Setup!$B$5:$B$24,21-SUMPRODUCT(MAX((Setup!$A$5:$A$24=$C170)*(25-ROW(Setup!$A$5:$A$24))))),""))</f>
        <v/>
      </c>
      <c r="L170" s="13" t="str">
        <f aca="false">IF($T170,K170*G170/60,"")</f>
        <v/>
      </c>
      <c r="M170" s="12" t="str">
        <f aca="false">IF($T170,G170-N(H170),"")</f>
        <v/>
      </c>
      <c r="N170" s="14" t="str">
        <f aca="false">IF($T170,J170/I170,"")</f>
        <v/>
      </c>
      <c r="O170" s="14" t="str">
        <f aca="false">IF(AND($T170,N(J170)&gt;0),L170/J170,"")</f>
        <v/>
      </c>
      <c r="P170" s="14" t="str">
        <f aca="false">IF(AND($T170,N(G170)&gt;0),M170/G170,"")</f>
        <v/>
      </c>
      <c r="Q170" s="14" t="str">
        <f aca="false">IF($T170,S170/I170,"")</f>
        <v/>
      </c>
      <c r="R170" s="10" t="str">
        <f aca="false">IF($C170="","",IF(NOT(SUMPRODUCT(--(Setup!$A$5:$A$24=$C170))&gt;0),"Machine not in Setup",IF(OR(NOT(ISNUMBER(K170)),N(K170)&lt;=0),"Set an ideal cycle time in Setup",IF(NOT(ISNUMBER(A170)),"Enter a date",IF(OR(NOT(ISNUMBER(D170)),NOT(ISNUMBER(G170)),AND(E170&lt;&gt;"",NOT(ISNUMBER(E170))),AND(F170&lt;&gt;"",NOT(ISNUMBER(F170))),AND(H170&lt;&gt;"",NOT(ISNUMBER(H170)))),"Enter numbers: shift length and total parts are required",IF(OR(N(D170)&lt;=0,N(E170)&lt;0,N(F170)&lt;0,N(G170)&lt;0,N(H170)&lt;0),"Values must be 0 or more (shift length above 0)",IF(N(H170)&gt;N(G170),"Rejects &gt; total parts",IF(N(E170)&gt;=N(D170),"Planned stops &gt;= shift length",IF(N(F170)&gt;N(D170)-N(E170),"Downtime &gt; planned time",IF(AND(ISNUMBER(O170),O170&gt;1),"Check: performance above 100%","OK"))))))))))</f>
        <v/>
      </c>
      <c r="S170" s="13" t="str">
        <f aca="false">IF($T170,K170*M170/60,"")</f>
        <v/>
      </c>
      <c r="T170" s="15" t="b">
        <f aca="false">IF($C170="",FALSE(),AND(SUMPRODUCT(--(Setup!$A$5:$A$24=$C170))&gt;0,ISNUMBER(A170),ISNUMBER(K170),N(K170)&gt;0,ISNUMBER(D170),N(D170)&gt;0,ISNUMBER(G170),N(G170)&gt;=0,OR(E170="",ISNUMBER(E170)),OR(F170="",ISNUMBER(F170)),OR(H170="",ISNUMBER(H170)),N(E170)&gt;=0,N(F170)&gt;=0,N(H170)&gt;=0,N(H170)&lt;=N(G170),N(E170)&lt;N(D170),N(F170)&lt;=N(D170)-N(E170)))</f>
        <v>0</v>
      </c>
    </row>
    <row r="171" customFormat="false" ht="15" hidden="false" customHeight="false" outlineLevel="0" collapsed="false">
      <c r="A171" s="11"/>
      <c r="B171" s="8"/>
      <c r="C171" s="8"/>
      <c r="D171" s="8"/>
      <c r="E171" s="8"/>
      <c r="F171" s="8"/>
      <c r="G171" s="8"/>
      <c r="H171" s="8"/>
      <c r="I171" s="12" t="str">
        <f aca="false">IF($T171,D171-N(E171),"")</f>
        <v/>
      </c>
      <c r="J171" s="12" t="str">
        <f aca="false">IF($T171,I171-N(F171),"")</f>
        <v/>
      </c>
      <c r="K171" s="13" t="str">
        <f aca="false">IF($C171="","",IF(SUMPRODUCT(--(Setup!$A$5:$A$24=$C171))&gt;0,INDEX(Setup!$B$5:$B$24,21-SUMPRODUCT(MAX((Setup!$A$5:$A$24=$C171)*(25-ROW(Setup!$A$5:$A$24))))),""))</f>
        <v/>
      </c>
      <c r="L171" s="13" t="str">
        <f aca="false">IF($T171,K171*G171/60,"")</f>
        <v/>
      </c>
      <c r="M171" s="12" t="str">
        <f aca="false">IF($T171,G171-N(H171),"")</f>
        <v/>
      </c>
      <c r="N171" s="14" t="str">
        <f aca="false">IF($T171,J171/I171,"")</f>
        <v/>
      </c>
      <c r="O171" s="14" t="str">
        <f aca="false">IF(AND($T171,N(J171)&gt;0),L171/J171,"")</f>
        <v/>
      </c>
      <c r="P171" s="14" t="str">
        <f aca="false">IF(AND($T171,N(G171)&gt;0),M171/G171,"")</f>
        <v/>
      </c>
      <c r="Q171" s="14" t="str">
        <f aca="false">IF($T171,S171/I171,"")</f>
        <v/>
      </c>
      <c r="R171" s="10" t="str">
        <f aca="false">IF($C171="","",IF(NOT(SUMPRODUCT(--(Setup!$A$5:$A$24=$C171))&gt;0),"Machine not in Setup",IF(OR(NOT(ISNUMBER(K171)),N(K171)&lt;=0),"Set an ideal cycle time in Setup",IF(NOT(ISNUMBER(A171)),"Enter a date",IF(OR(NOT(ISNUMBER(D171)),NOT(ISNUMBER(G171)),AND(E171&lt;&gt;"",NOT(ISNUMBER(E171))),AND(F171&lt;&gt;"",NOT(ISNUMBER(F171))),AND(H171&lt;&gt;"",NOT(ISNUMBER(H171)))),"Enter numbers: shift length and total parts are required",IF(OR(N(D171)&lt;=0,N(E171)&lt;0,N(F171)&lt;0,N(G171)&lt;0,N(H171)&lt;0),"Values must be 0 or more (shift length above 0)",IF(N(H171)&gt;N(G171),"Rejects &gt; total parts",IF(N(E171)&gt;=N(D171),"Planned stops &gt;= shift length",IF(N(F171)&gt;N(D171)-N(E171),"Downtime &gt; planned time",IF(AND(ISNUMBER(O171),O171&gt;1),"Check: performance above 100%","OK"))))))))))</f>
        <v/>
      </c>
      <c r="S171" s="13" t="str">
        <f aca="false">IF($T171,K171*M171/60,"")</f>
        <v/>
      </c>
      <c r="T171" s="15" t="b">
        <f aca="false">IF($C171="",FALSE(),AND(SUMPRODUCT(--(Setup!$A$5:$A$24=$C171))&gt;0,ISNUMBER(A171),ISNUMBER(K171),N(K171)&gt;0,ISNUMBER(D171),N(D171)&gt;0,ISNUMBER(G171),N(G171)&gt;=0,OR(E171="",ISNUMBER(E171)),OR(F171="",ISNUMBER(F171)),OR(H171="",ISNUMBER(H171)),N(E171)&gt;=0,N(F171)&gt;=0,N(H171)&gt;=0,N(H171)&lt;=N(G171),N(E171)&lt;N(D171),N(F171)&lt;=N(D171)-N(E171)))</f>
        <v>0</v>
      </c>
    </row>
    <row r="172" customFormat="false" ht="15" hidden="false" customHeight="false" outlineLevel="0" collapsed="false">
      <c r="A172" s="11"/>
      <c r="B172" s="8"/>
      <c r="C172" s="8"/>
      <c r="D172" s="8"/>
      <c r="E172" s="8"/>
      <c r="F172" s="8"/>
      <c r="G172" s="8"/>
      <c r="H172" s="8"/>
      <c r="I172" s="12" t="str">
        <f aca="false">IF($T172,D172-N(E172),"")</f>
        <v/>
      </c>
      <c r="J172" s="12" t="str">
        <f aca="false">IF($T172,I172-N(F172),"")</f>
        <v/>
      </c>
      <c r="K172" s="13" t="str">
        <f aca="false">IF($C172="","",IF(SUMPRODUCT(--(Setup!$A$5:$A$24=$C172))&gt;0,INDEX(Setup!$B$5:$B$24,21-SUMPRODUCT(MAX((Setup!$A$5:$A$24=$C172)*(25-ROW(Setup!$A$5:$A$24))))),""))</f>
        <v/>
      </c>
      <c r="L172" s="13" t="str">
        <f aca="false">IF($T172,K172*G172/60,"")</f>
        <v/>
      </c>
      <c r="M172" s="12" t="str">
        <f aca="false">IF($T172,G172-N(H172),"")</f>
        <v/>
      </c>
      <c r="N172" s="14" t="str">
        <f aca="false">IF($T172,J172/I172,"")</f>
        <v/>
      </c>
      <c r="O172" s="14" t="str">
        <f aca="false">IF(AND($T172,N(J172)&gt;0),L172/J172,"")</f>
        <v/>
      </c>
      <c r="P172" s="14" t="str">
        <f aca="false">IF(AND($T172,N(G172)&gt;0),M172/G172,"")</f>
        <v/>
      </c>
      <c r="Q172" s="14" t="str">
        <f aca="false">IF($T172,S172/I172,"")</f>
        <v/>
      </c>
      <c r="R172" s="10" t="str">
        <f aca="false">IF($C172="","",IF(NOT(SUMPRODUCT(--(Setup!$A$5:$A$24=$C172))&gt;0),"Machine not in Setup",IF(OR(NOT(ISNUMBER(K172)),N(K172)&lt;=0),"Set an ideal cycle time in Setup",IF(NOT(ISNUMBER(A172)),"Enter a date",IF(OR(NOT(ISNUMBER(D172)),NOT(ISNUMBER(G172)),AND(E172&lt;&gt;"",NOT(ISNUMBER(E172))),AND(F172&lt;&gt;"",NOT(ISNUMBER(F172))),AND(H172&lt;&gt;"",NOT(ISNUMBER(H172)))),"Enter numbers: shift length and total parts are required",IF(OR(N(D172)&lt;=0,N(E172)&lt;0,N(F172)&lt;0,N(G172)&lt;0,N(H172)&lt;0),"Values must be 0 or more (shift length above 0)",IF(N(H172)&gt;N(G172),"Rejects &gt; total parts",IF(N(E172)&gt;=N(D172),"Planned stops &gt;= shift length",IF(N(F172)&gt;N(D172)-N(E172),"Downtime &gt; planned time",IF(AND(ISNUMBER(O172),O172&gt;1),"Check: performance above 100%","OK"))))))))))</f>
        <v/>
      </c>
      <c r="S172" s="13" t="str">
        <f aca="false">IF($T172,K172*M172/60,"")</f>
        <v/>
      </c>
      <c r="T172" s="15" t="b">
        <f aca="false">IF($C172="",FALSE(),AND(SUMPRODUCT(--(Setup!$A$5:$A$24=$C172))&gt;0,ISNUMBER(A172),ISNUMBER(K172),N(K172)&gt;0,ISNUMBER(D172),N(D172)&gt;0,ISNUMBER(G172),N(G172)&gt;=0,OR(E172="",ISNUMBER(E172)),OR(F172="",ISNUMBER(F172)),OR(H172="",ISNUMBER(H172)),N(E172)&gt;=0,N(F172)&gt;=0,N(H172)&gt;=0,N(H172)&lt;=N(G172),N(E172)&lt;N(D172),N(F172)&lt;=N(D172)-N(E172)))</f>
        <v>0</v>
      </c>
    </row>
    <row r="173" customFormat="false" ht="15" hidden="false" customHeight="false" outlineLevel="0" collapsed="false">
      <c r="A173" s="11"/>
      <c r="B173" s="8"/>
      <c r="C173" s="8"/>
      <c r="D173" s="8"/>
      <c r="E173" s="8"/>
      <c r="F173" s="8"/>
      <c r="G173" s="8"/>
      <c r="H173" s="8"/>
      <c r="I173" s="12" t="str">
        <f aca="false">IF($T173,D173-N(E173),"")</f>
        <v/>
      </c>
      <c r="J173" s="12" t="str">
        <f aca="false">IF($T173,I173-N(F173),"")</f>
        <v/>
      </c>
      <c r="K173" s="13" t="str">
        <f aca="false">IF($C173="","",IF(SUMPRODUCT(--(Setup!$A$5:$A$24=$C173))&gt;0,INDEX(Setup!$B$5:$B$24,21-SUMPRODUCT(MAX((Setup!$A$5:$A$24=$C173)*(25-ROW(Setup!$A$5:$A$24))))),""))</f>
        <v/>
      </c>
      <c r="L173" s="13" t="str">
        <f aca="false">IF($T173,K173*G173/60,"")</f>
        <v/>
      </c>
      <c r="M173" s="12" t="str">
        <f aca="false">IF($T173,G173-N(H173),"")</f>
        <v/>
      </c>
      <c r="N173" s="14" t="str">
        <f aca="false">IF($T173,J173/I173,"")</f>
        <v/>
      </c>
      <c r="O173" s="14" t="str">
        <f aca="false">IF(AND($T173,N(J173)&gt;0),L173/J173,"")</f>
        <v/>
      </c>
      <c r="P173" s="14" t="str">
        <f aca="false">IF(AND($T173,N(G173)&gt;0),M173/G173,"")</f>
        <v/>
      </c>
      <c r="Q173" s="14" t="str">
        <f aca="false">IF($T173,S173/I173,"")</f>
        <v/>
      </c>
      <c r="R173" s="10" t="str">
        <f aca="false">IF($C173="","",IF(NOT(SUMPRODUCT(--(Setup!$A$5:$A$24=$C173))&gt;0),"Machine not in Setup",IF(OR(NOT(ISNUMBER(K173)),N(K173)&lt;=0),"Set an ideal cycle time in Setup",IF(NOT(ISNUMBER(A173)),"Enter a date",IF(OR(NOT(ISNUMBER(D173)),NOT(ISNUMBER(G173)),AND(E173&lt;&gt;"",NOT(ISNUMBER(E173))),AND(F173&lt;&gt;"",NOT(ISNUMBER(F173))),AND(H173&lt;&gt;"",NOT(ISNUMBER(H173)))),"Enter numbers: shift length and total parts are required",IF(OR(N(D173)&lt;=0,N(E173)&lt;0,N(F173)&lt;0,N(G173)&lt;0,N(H173)&lt;0),"Values must be 0 or more (shift length above 0)",IF(N(H173)&gt;N(G173),"Rejects &gt; total parts",IF(N(E173)&gt;=N(D173),"Planned stops &gt;= shift length",IF(N(F173)&gt;N(D173)-N(E173),"Downtime &gt; planned time",IF(AND(ISNUMBER(O173),O173&gt;1),"Check: performance above 100%","OK"))))))))))</f>
        <v/>
      </c>
      <c r="S173" s="13" t="str">
        <f aca="false">IF($T173,K173*M173/60,"")</f>
        <v/>
      </c>
      <c r="T173" s="15" t="b">
        <f aca="false">IF($C173="",FALSE(),AND(SUMPRODUCT(--(Setup!$A$5:$A$24=$C173))&gt;0,ISNUMBER(A173),ISNUMBER(K173),N(K173)&gt;0,ISNUMBER(D173),N(D173)&gt;0,ISNUMBER(G173),N(G173)&gt;=0,OR(E173="",ISNUMBER(E173)),OR(F173="",ISNUMBER(F173)),OR(H173="",ISNUMBER(H173)),N(E173)&gt;=0,N(F173)&gt;=0,N(H173)&gt;=0,N(H173)&lt;=N(G173),N(E173)&lt;N(D173),N(F173)&lt;=N(D173)-N(E173)))</f>
        <v>0</v>
      </c>
    </row>
    <row r="174" customFormat="false" ht="15" hidden="false" customHeight="false" outlineLevel="0" collapsed="false">
      <c r="A174" s="11"/>
      <c r="B174" s="8"/>
      <c r="C174" s="8"/>
      <c r="D174" s="8"/>
      <c r="E174" s="8"/>
      <c r="F174" s="8"/>
      <c r="G174" s="8"/>
      <c r="H174" s="8"/>
      <c r="I174" s="12" t="str">
        <f aca="false">IF($T174,D174-N(E174),"")</f>
        <v/>
      </c>
      <c r="J174" s="12" t="str">
        <f aca="false">IF($T174,I174-N(F174),"")</f>
        <v/>
      </c>
      <c r="K174" s="13" t="str">
        <f aca="false">IF($C174="","",IF(SUMPRODUCT(--(Setup!$A$5:$A$24=$C174))&gt;0,INDEX(Setup!$B$5:$B$24,21-SUMPRODUCT(MAX((Setup!$A$5:$A$24=$C174)*(25-ROW(Setup!$A$5:$A$24))))),""))</f>
        <v/>
      </c>
      <c r="L174" s="13" t="str">
        <f aca="false">IF($T174,K174*G174/60,"")</f>
        <v/>
      </c>
      <c r="M174" s="12" t="str">
        <f aca="false">IF($T174,G174-N(H174),"")</f>
        <v/>
      </c>
      <c r="N174" s="14" t="str">
        <f aca="false">IF($T174,J174/I174,"")</f>
        <v/>
      </c>
      <c r="O174" s="14" t="str">
        <f aca="false">IF(AND($T174,N(J174)&gt;0),L174/J174,"")</f>
        <v/>
      </c>
      <c r="P174" s="14" t="str">
        <f aca="false">IF(AND($T174,N(G174)&gt;0),M174/G174,"")</f>
        <v/>
      </c>
      <c r="Q174" s="14" t="str">
        <f aca="false">IF($T174,S174/I174,"")</f>
        <v/>
      </c>
      <c r="R174" s="10" t="str">
        <f aca="false">IF($C174="","",IF(NOT(SUMPRODUCT(--(Setup!$A$5:$A$24=$C174))&gt;0),"Machine not in Setup",IF(OR(NOT(ISNUMBER(K174)),N(K174)&lt;=0),"Set an ideal cycle time in Setup",IF(NOT(ISNUMBER(A174)),"Enter a date",IF(OR(NOT(ISNUMBER(D174)),NOT(ISNUMBER(G174)),AND(E174&lt;&gt;"",NOT(ISNUMBER(E174))),AND(F174&lt;&gt;"",NOT(ISNUMBER(F174))),AND(H174&lt;&gt;"",NOT(ISNUMBER(H174)))),"Enter numbers: shift length and total parts are required",IF(OR(N(D174)&lt;=0,N(E174)&lt;0,N(F174)&lt;0,N(G174)&lt;0,N(H174)&lt;0),"Values must be 0 or more (shift length above 0)",IF(N(H174)&gt;N(G174),"Rejects &gt; total parts",IF(N(E174)&gt;=N(D174),"Planned stops &gt;= shift length",IF(N(F174)&gt;N(D174)-N(E174),"Downtime &gt; planned time",IF(AND(ISNUMBER(O174),O174&gt;1),"Check: performance above 100%","OK"))))))))))</f>
        <v/>
      </c>
      <c r="S174" s="13" t="str">
        <f aca="false">IF($T174,K174*M174/60,"")</f>
        <v/>
      </c>
      <c r="T174" s="15" t="b">
        <f aca="false">IF($C174="",FALSE(),AND(SUMPRODUCT(--(Setup!$A$5:$A$24=$C174))&gt;0,ISNUMBER(A174),ISNUMBER(K174),N(K174)&gt;0,ISNUMBER(D174),N(D174)&gt;0,ISNUMBER(G174),N(G174)&gt;=0,OR(E174="",ISNUMBER(E174)),OR(F174="",ISNUMBER(F174)),OR(H174="",ISNUMBER(H174)),N(E174)&gt;=0,N(F174)&gt;=0,N(H174)&gt;=0,N(H174)&lt;=N(G174),N(E174)&lt;N(D174),N(F174)&lt;=N(D174)-N(E174)))</f>
        <v>0</v>
      </c>
    </row>
    <row r="175" customFormat="false" ht="15" hidden="false" customHeight="false" outlineLevel="0" collapsed="false">
      <c r="A175" s="11"/>
      <c r="B175" s="8"/>
      <c r="C175" s="8"/>
      <c r="D175" s="8"/>
      <c r="E175" s="8"/>
      <c r="F175" s="8"/>
      <c r="G175" s="8"/>
      <c r="H175" s="8"/>
      <c r="I175" s="12" t="str">
        <f aca="false">IF($T175,D175-N(E175),"")</f>
        <v/>
      </c>
      <c r="J175" s="12" t="str">
        <f aca="false">IF($T175,I175-N(F175),"")</f>
        <v/>
      </c>
      <c r="K175" s="13" t="str">
        <f aca="false">IF($C175="","",IF(SUMPRODUCT(--(Setup!$A$5:$A$24=$C175))&gt;0,INDEX(Setup!$B$5:$B$24,21-SUMPRODUCT(MAX((Setup!$A$5:$A$24=$C175)*(25-ROW(Setup!$A$5:$A$24))))),""))</f>
        <v/>
      </c>
      <c r="L175" s="13" t="str">
        <f aca="false">IF($T175,K175*G175/60,"")</f>
        <v/>
      </c>
      <c r="M175" s="12" t="str">
        <f aca="false">IF($T175,G175-N(H175),"")</f>
        <v/>
      </c>
      <c r="N175" s="14" t="str">
        <f aca="false">IF($T175,J175/I175,"")</f>
        <v/>
      </c>
      <c r="O175" s="14" t="str">
        <f aca="false">IF(AND($T175,N(J175)&gt;0),L175/J175,"")</f>
        <v/>
      </c>
      <c r="P175" s="14" t="str">
        <f aca="false">IF(AND($T175,N(G175)&gt;0),M175/G175,"")</f>
        <v/>
      </c>
      <c r="Q175" s="14" t="str">
        <f aca="false">IF($T175,S175/I175,"")</f>
        <v/>
      </c>
      <c r="R175" s="10" t="str">
        <f aca="false">IF($C175="","",IF(NOT(SUMPRODUCT(--(Setup!$A$5:$A$24=$C175))&gt;0),"Machine not in Setup",IF(OR(NOT(ISNUMBER(K175)),N(K175)&lt;=0),"Set an ideal cycle time in Setup",IF(NOT(ISNUMBER(A175)),"Enter a date",IF(OR(NOT(ISNUMBER(D175)),NOT(ISNUMBER(G175)),AND(E175&lt;&gt;"",NOT(ISNUMBER(E175))),AND(F175&lt;&gt;"",NOT(ISNUMBER(F175))),AND(H175&lt;&gt;"",NOT(ISNUMBER(H175)))),"Enter numbers: shift length and total parts are required",IF(OR(N(D175)&lt;=0,N(E175)&lt;0,N(F175)&lt;0,N(G175)&lt;0,N(H175)&lt;0),"Values must be 0 or more (shift length above 0)",IF(N(H175)&gt;N(G175),"Rejects &gt; total parts",IF(N(E175)&gt;=N(D175),"Planned stops &gt;= shift length",IF(N(F175)&gt;N(D175)-N(E175),"Downtime &gt; planned time",IF(AND(ISNUMBER(O175),O175&gt;1),"Check: performance above 100%","OK"))))))))))</f>
        <v/>
      </c>
      <c r="S175" s="13" t="str">
        <f aca="false">IF($T175,K175*M175/60,"")</f>
        <v/>
      </c>
      <c r="T175" s="15" t="b">
        <f aca="false">IF($C175="",FALSE(),AND(SUMPRODUCT(--(Setup!$A$5:$A$24=$C175))&gt;0,ISNUMBER(A175),ISNUMBER(K175),N(K175)&gt;0,ISNUMBER(D175),N(D175)&gt;0,ISNUMBER(G175),N(G175)&gt;=0,OR(E175="",ISNUMBER(E175)),OR(F175="",ISNUMBER(F175)),OR(H175="",ISNUMBER(H175)),N(E175)&gt;=0,N(F175)&gt;=0,N(H175)&gt;=0,N(H175)&lt;=N(G175),N(E175)&lt;N(D175),N(F175)&lt;=N(D175)-N(E175)))</f>
        <v>0</v>
      </c>
    </row>
    <row r="176" customFormat="false" ht="15" hidden="false" customHeight="false" outlineLevel="0" collapsed="false">
      <c r="A176" s="11"/>
      <c r="B176" s="8"/>
      <c r="C176" s="8"/>
      <c r="D176" s="8"/>
      <c r="E176" s="8"/>
      <c r="F176" s="8"/>
      <c r="G176" s="8"/>
      <c r="H176" s="8"/>
      <c r="I176" s="12" t="str">
        <f aca="false">IF($T176,D176-N(E176),"")</f>
        <v/>
      </c>
      <c r="J176" s="12" t="str">
        <f aca="false">IF($T176,I176-N(F176),"")</f>
        <v/>
      </c>
      <c r="K176" s="13" t="str">
        <f aca="false">IF($C176="","",IF(SUMPRODUCT(--(Setup!$A$5:$A$24=$C176))&gt;0,INDEX(Setup!$B$5:$B$24,21-SUMPRODUCT(MAX((Setup!$A$5:$A$24=$C176)*(25-ROW(Setup!$A$5:$A$24))))),""))</f>
        <v/>
      </c>
      <c r="L176" s="13" t="str">
        <f aca="false">IF($T176,K176*G176/60,"")</f>
        <v/>
      </c>
      <c r="M176" s="12" t="str">
        <f aca="false">IF($T176,G176-N(H176),"")</f>
        <v/>
      </c>
      <c r="N176" s="14" t="str">
        <f aca="false">IF($T176,J176/I176,"")</f>
        <v/>
      </c>
      <c r="O176" s="14" t="str">
        <f aca="false">IF(AND($T176,N(J176)&gt;0),L176/J176,"")</f>
        <v/>
      </c>
      <c r="P176" s="14" t="str">
        <f aca="false">IF(AND($T176,N(G176)&gt;0),M176/G176,"")</f>
        <v/>
      </c>
      <c r="Q176" s="14" t="str">
        <f aca="false">IF($T176,S176/I176,"")</f>
        <v/>
      </c>
      <c r="R176" s="10" t="str">
        <f aca="false">IF($C176="","",IF(NOT(SUMPRODUCT(--(Setup!$A$5:$A$24=$C176))&gt;0),"Machine not in Setup",IF(OR(NOT(ISNUMBER(K176)),N(K176)&lt;=0),"Set an ideal cycle time in Setup",IF(NOT(ISNUMBER(A176)),"Enter a date",IF(OR(NOT(ISNUMBER(D176)),NOT(ISNUMBER(G176)),AND(E176&lt;&gt;"",NOT(ISNUMBER(E176))),AND(F176&lt;&gt;"",NOT(ISNUMBER(F176))),AND(H176&lt;&gt;"",NOT(ISNUMBER(H176)))),"Enter numbers: shift length and total parts are required",IF(OR(N(D176)&lt;=0,N(E176)&lt;0,N(F176)&lt;0,N(G176)&lt;0,N(H176)&lt;0),"Values must be 0 or more (shift length above 0)",IF(N(H176)&gt;N(G176),"Rejects &gt; total parts",IF(N(E176)&gt;=N(D176),"Planned stops &gt;= shift length",IF(N(F176)&gt;N(D176)-N(E176),"Downtime &gt; planned time",IF(AND(ISNUMBER(O176),O176&gt;1),"Check: performance above 100%","OK"))))))))))</f>
        <v/>
      </c>
      <c r="S176" s="13" t="str">
        <f aca="false">IF($T176,K176*M176/60,"")</f>
        <v/>
      </c>
      <c r="T176" s="15" t="b">
        <f aca="false">IF($C176="",FALSE(),AND(SUMPRODUCT(--(Setup!$A$5:$A$24=$C176))&gt;0,ISNUMBER(A176),ISNUMBER(K176),N(K176)&gt;0,ISNUMBER(D176),N(D176)&gt;0,ISNUMBER(G176),N(G176)&gt;=0,OR(E176="",ISNUMBER(E176)),OR(F176="",ISNUMBER(F176)),OR(H176="",ISNUMBER(H176)),N(E176)&gt;=0,N(F176)&gt;=0,N(H176)&gt;=0,N(H176)&lt;=N(G176),N(E176)&lt;N(D176),N(F176)&lt;=N(D176)-N(E176)))</f>
        <v>0</v>
      </c>
    </row>
    <row r="177" customFormat="false" ht="15" hidden="false" customHeight="false" outlineLevel="0" collapsed="false">
      <c r="A177" s="11"/>
      <c r="B177" s="8"/>
      <c r="C177" s="8"/>
      <c r="D177" s="8"/>
      <c r="E177" s="8"/>
      <c r="F177" s="8"/>
      <c r="G177" s="8"/>
      <c r="H177" s="8"/>
      <c r="I177" s="12" t="str">
        <f aca="false">IF($T177,D177-N(E177),"")</f>
        <v/>
      </c>
      <c r="J177" s="12" t="str">
        <f aca="false">IF($T177,I177-N(F177),"")</f>
        <v/>
      </c>
      <c r="K177" s="13" t="str">
        <f aca="false">IF($C177="","",IF(SUMPRODUCT(--(Setup!$A$5:$A$24=$C177))&gt;0,INDEX(Setup!$B$5:$B$24,21-SUMPRODUCT(MAX((Setup!$A$5:$A$24=$C177)*(25-ROW(Setup!$A$5:$A$24))))),""))</f>
        <v/>
      </c>
      <c r="L177" s="13" t="str">
        <f aca="false">IF($T177,K177*G177/60,"")</f>
        <v/>
      </c>
      <c r="M177" s="12" t="str">
        <f aca="false">IF($T177,G177-N(H177),"")</f>
        <v/>
      </c>
      <c r="N177" s="14" t="str">
        <f aca="false">IF($T177,J177/I177,"")</f>
        <v/>
      </c>
      <c r="O177" s="14" t="str">
        <f aca="false">IF(AND($T177,N(J177)&gt;0),L177/J177,"")</f>
        <v/>
      </c>
      <c r="P177" s="14" t="str">
        <f aca="false">IF(AND($T177,N(G177)&gt;0),M177/G177,"")</f>
        <v/>
      </c>
      <c r="Q177" s="14" t="str">
        <f aca="false">IF($T177,S177/I177,"")</f>
        <v/>
      </c>
      <c r="R177" s="10" t="str">
        <f aca="false">IF($C177="","",IF(NOT(SUMPRODUCT(--(Setup!$A$5:$A$24=$C177))&gt;0),"Machine not in Setup",IF(OR(NOT(ISNUMBER(K177)),N(K177)&lt;=0),"Set an ideal cycle time in Setup",IF(NOT(ISNUMBER(A177)),"Enter a date",IF(OR(NOT(ISNUMBER(D177)),NOT(ISNUMBER(G177)),AND(E177&lt;&gt;"",NOT(ISNUMBER(E177))),AND(F177&lt;&gt;"",NOT(ISNUMBER(F177))),AND(H177&lt;&gt;"",NOT(ISNUMBER(H177)))),"Enter numbers: shift length and total parts are required",IF(OR(N(D177)&lt;=0,N(E177)&lt;0,N(F177)&lt;0,N(G177)&lt;0,N(H177)&lt;0),"Values must be 0 or more (shift length above 0)",IF(N(H177)&gt;N(G177),"Rejects &gt; total parts",IF(N(E177)&gt;=N(D177),"Planned stops &gt;= shift length",IF(N(F177)&gt;N(D177)-N(E177),"Downtime &gt; planned time",IF(AND(ISNUMBER(O177),O177&gt;1),"Check: performance above 100%","OK"))))))))))</f>
        <v/>
      </c>
      <c r="S177" s="13" t="str">
        <f aca="false">IF($T177,K177*M177/60,"")</f>
        <v/>
      </c>
      <c r="T177" s="15" t="b">
        <f aca="false">IF($C177="",FALSE(),AND(SUMPRODUCT(--(Setup!$A$5:$A$24=$C177))&gt;0,ISNUMBER(A177),ISNUMBER(K177),N(K177)&gt;0,ISNUMBER(D177),N(D177)&gt;0,ISNUMBER(G177),N(G177)&gt;=0,OR(E177="",ISNUMBER(E177)),OR(F177="",ISNUMBER(F177)),OR(H177="",ISNUMBER(H177)),N(E177)&gt;=0,N(F177)&gt;=0,N(H177)&gt;=0,N(H177)&lt;=N(G177),N(E177)&lt;N(D177),N(F177)&lt;=N(D177)-N(E177)))</f>
        <v>0</v>
      </c>
    </row>
    <row r="178" customFormat="false" ht="15" hidden="false" customHeight="false" outlineLevel="0" collapsed="false">
      <c r="A178" s="11"/>
      <c r="B178" s="8"/>
      <c r="C178" s="8"/>
      <c r="D178" s="8"/>
      <c r="E178" s="8"/>
      <c r="F178" s="8"/>
      <c r="G178" s="8"/>
      <c r="H178" s="8"/>
      <c r="I178" s="12" t="str">
        <f aca="false">IF($T178,D178-N(E178),"")</f>
        <v/>
      </c>
      <c r="J178" s="12" t="str">
        <f aca="false">IF($T178,I178-N(F178),"")</f>
        <v/>
      </c>
      <c r="K178" s="13" t="str">
        <f aca="false">IF($C178="","",IF(SUMPRODUCT(--(Setup!$A$5:$A$24=$C178))&gt;0,INDEX(Setup!$B$5:$B$24,21-SUMPRODUCT(MAX((Setup!$A$5:$A$24=$C178)*(25-ROW(Setup!$A$5:$A$24))))),""))</f>
        <v/>
      </c>
      <c r="L178" s="13" t="str">
        <f aca="false">IF($T178,K178*G178/60,"")</f>
        <v/>
      </c>
      <c r="M178" s="12" t="str">
        <f aca="false">IF($T178,G178-N(H178),"")</f>
        <v/>
      </c>
      <c r="N178" s="14" t="str">
        <f aca="false">IF($T178,J178/I178,"")</f>
        <v/>
      </c>
      <c r="O178" s="14" t="str">
        <f aca="false">IF(AND($T178,N(J178)&gt;0),L178/J178,"")</f>
        <v/>
      </c>
      <c r="P178" s="14" t="str">
        <f aca="false">IF(AND($T178,N(G178)&gt;0),M178/G178,"")</f>
        <v/>
      </c>
      <c r="Q178" s="14" t="str">
        <f aca="false">IF($T178,S178/I178,"")</f>
        <v/>
      </c>
      <c r="R178" s="10" t="str">
        <f aca="false">IF($C178="","",IF(NOT(SUMPRODUCT(--(Setup!$A$5:$A$24=$C178))&gt;0),"Machine not in Setup",IF(OR(NOT(ISNUMBER(K178)),N(K178)&lt;=0),"Set an ideal cycle time in Setup",IF(NOT(ISNUMBER(A178)),"Enter a date",IF(OR(NOT(ISNUMBER(D178)),NOT(ISNUMBER(G178)),AND(E178&lt;&gt;"",NOT(ISNUMBER(E178))),AND(F178&lt;&gt;"",NOT(ISNUMBER(F178))),AND(H178&lt;&gt;"",NOT(ISNUMBER(H178)))),"Enter numbers: shift length and total parts are required",IF(OR(N(D178)&lt;=0,N(E178)&lt;0,N(F178)&lt;0,N(G178)&lt;0,N(H178)&lt;0),"Values must be 0 or more (shift length above 0)",IF(N(H178)&gt;N(G178),"Rejects &gt; total parts",IF(N(E178)&gt;=N(D178),"Planned stops &gt;= shift length",IF(N(F178)&gt;N(D178)-N(E178),"Downtime &gt; planned time",IF(AND(ISNUMBER(O178),O178&gt;1),"Check: performance above 100%","OK"))))))))))</f>
        <v/>
      </c>
      <c r="S178" s="13" t="str">
        <f aca="false">IF($T178,K178*M178/60,"")</f>
        <v/>
      </c>
      <c r="T178" s="15" t="b">
        <f aca="false">IF($C178="",FALSE(),AND(SUMPRODUCT(--(Setup!$A$5:$A$24=$C178))&gt;0,ISNUMBER(A178),ISNUMBER(K178),N(K178)&gt;0,ISNUMBER(D178),N(D178)&gt;0,ISNUMBER(G178),N(G178)&gt;=0,OR(E178="",ISNUMBER(E178)),OR(F178="",ISNUMBER(F178)),OR(H178="",ISNUMBER(H178)),N(E178)&gt;=0,N(F178)&gt;=0,N(H178)&gt;=0,N(H178)&lt;=N(G178),N(E178)&lt;N(D178),N(F178)&lt;=N(D178)-N(E178)))</f>
        <v>0</v>
      </c>
    </row>
    <row r="179" customFormat="false" ht="15" hidden="false" customHeight="false" outlineLevel="0" collapsed="false">
      <c r="A179" s="11"/>
      <c r="B179" s="8"/>
      <c r="C179" s="8"/>
      <c r="D179" s="8"/>
      <c r="E179" s="8"/>
      <c r="F179" s="8"/>
      <c r="G179" s="8"/>
      <c r="H179" s="8"/>
      <c r="I179" s="12" t="str">
        <f aca="false">IF($T179,D179-N(E179),"")</f>
        <v/>
      </c>
      <c r="J179" s="12" t="str">
        <f aca="false">IF($T179,I179-N(F179),"")</f>
        <v/>
      </c>
      <c r="K179" s="13" t="str">
        <f aca="false">IF($C179="","",IF(SUMPRODUCT(--(Setup!$A$5:$A$24=$C179))&gt;0,INDEX(Setup!$B$5:$B$24,21-SUMPRODUCT(MAX((Setup!$A$5:$A$24=$C179)*(25-ROW(Setup!$A$5:$A$24))))),""))</f>
        <v/>
      </c>
      <c r="L179" s="13" t="str">
        <f aca="false">IF($T179,K179*G179/60,"")</f>
        <v/>
      </c>
      <c r="M179" s="12" t="str">
        <f aca="false">IF($T179,G179-N(H179),"")</f>
        <v/>
      </c>
      <c r="N179" s="14" t="str">
        <f aca="false">IF($T179,J179/I179,"")</f>
        <v/>
      </c>
      <c r="O179" s="14" t="str">
        <f aca="false">IF(AND($T179,N(J179)&gt;0),L179/J179,"")</f>
        <v/>
      </c>
      <c r="P179" s="14" t="str">
        <f aca="false">IF(AND($T179,N(G179)&gt;0),M179/G179,"")</f>
        <v/>
      </c>
      <c r="Q179" s="14" t="str">
        <f aca="false">IF($T179,S179/I179,"")</f>
        <v/>
      </c>
      <c r="R179" s="10" t="str">
        <f aca="false">IF($C179="","",IF(NOT(SUMPRODUCT(--(Setup!$A$5:$A$24=$C179))&gt;0),"Machine not in Setup",IF(OR(NOT(ISNUMBER(K179)),N(K179)&lt;=0),"Set an ideal cycle time in Setup",IF(NOT(ISNUMBER(A179)),"Enter a date",IF(OR(NOT(ISNUMBER(D179)),NOT(ISNUMBER(G179)),AND(E179&lt;&gt;"",NOT(ISNUMBER(E179))),AND(F179&lt;&gt;"",NOT(ISNUMBER(F179))),AND(H179&lt;&gt;"",NOT(ISNUMBER(H179)))),"Enter numbers: shift length and total parts are required",IF(OR(N(D179)&lt;=0,N(E179)&lt;0,N(F179)&lt;0,N(G179)&lt;0,N(H179)&lt;0),"Values must be 0 or more (shift length above 0)",IF(N(H179)&gt;N(G179),"Rejects &gt; total parts",IF(N(E179)&gt;=N(D179),"Planned stops &gt;= shift length",IF(N(F179)&gt;N(D179)-N(E179),"Downtime &gt; planned time",IF(AND(ISNUMBER(O179),O179&gt;1),"Check: performance above 100%","OK"))))))))))</f>
        <v/>
      </c>
      <c r="S179" s="13" t="str">
        <f aca="false">IF($T179,K179*M179/60,"")</f>
        <v/>
      </c>
      <c r="T179" s="15" t="b">
        <f aca="false">IF($C179="",FALSE(),AND(SUMPRODUCT(--(Setup!$A$5:$A$24=$C179))&gt;0,ISNUMBER(A179),ISNUMBER(K179),N(K179)&gt;0,ISNUMBER(D179),N(D179)&gt;0,ISNUMBER(G179),N(G179)&gt;=0,OR(E179="",ISNUMBER(E179)),OR(F179="",ISNUMBER(F179)),OR(H179="",ISNUMBER(H179)),N(E179)&gt;=0,N(F179)&gt;=0,N(H179)&gt;=0,N(H179)&lt;=N(G179),N(E179)&lt;N(D179),N(F179)&lt;=N(D179)-N(E179)))</f>
        <v>0</v>
      </c>
    </row>
    <row r="180" customFormat="false" ht="15" hidden="false" customHeight="false" outlineLevel="0" collapsed="false">
      <c r="A180" s="11"/>
      <c r="B180" s="8"/>
      <c r="C180" s="8"/>
      <c r="D180" s="8"/>
      <c r="E180" s="8"/>
      <c r="F180" s="8"/>
      <c r="G180" s="8"/>
      <c r="H180" s="8"/>
      <c r="I180" s="12" t="str">
        <f aca="false">IF($T180,D180-N(E180),"")</f>
        <v/>
      </c>
      <c r="J180" s="12" t="str">
        <f aca="false">IF($T180,I180-N(F180),"")</f>
        <v/>
      </c>
      <c r="K180" s="13" t="str">
        <f aca="false">IF($C180="","",IF(SUMPRODUCT(--(Setup!$A$5:$A$24=$C180))&gt;0,INDEX(Setup!$B$5:$B$24,21-SUMPRODUCT(MAX((Setup!$A$5:$A$24=$C180)*(25-ROW(Setup!$A$5:$A$24))))),""))</f>
        <v/>
      </c>
      <c r="L180" s="13" t="str">
        <f aca="false">IF($T180,K180*G180/60,"")</f>
        <v/>
      </c>
      <c r="M180" s="12" t="str">
        <f aca="false">IF($T180,G180-N(H180),"")</f>
        <v/>
      </c>
      <c r="N180" s="14" t="str">
        <f aca="false">IF($T180,J180/I180,"")</f>
        <v/>
      </c>
      <c r="O180" s="14" t="str">
        <f aca="false">IF(AND($T180,N(J180)&gt;0),L180/J180,"")</f>
        <v/>
      </c>
      <c r="P180" s="14" t="str">
        <f aca="false">IF(AND($T180,N(G180)&gt;0),M180/G180,"")</f>
        <v/>
      </c>
      <c r="Q180" s="14" t="str">
        <f aca="false">IF($T180,S180/I180,"")</f>
        <v/>
      </c>
      <c r="R180" s="10" t="str">
        <f aca="false">IF($C180="","",IF(NOT(SUMPRODUCT(--(Setup!$A$5:$A$24=$C180))&gt;0),"Machine not in Setup",IF(OR(NOT(ISNUMBER(K180)),N(K180)&lt;=0),"Set an ideal cycle time in Setup",IF(NOT(ISNUMBER(A180)),"Enter a date",IF(OR(NOT(ISNUMBER(D180)),NOT(ISNUMBER(G180)),AND(E180&lt;&gt;"",NOT(ISNUMBER(E180))),AND(F180&lt;&gt;"",NOT(ISNUMBER(F180))),AND(H180&lt;&gt;"",NOT(ISNUMBER(H180)))),"Enter numbers: shift length and total parts are required",IF(OR(N(D180)&lt;=0,N(E180)&lt;0,N(F180)&lt;0,N(G180)&lt;0,N(H180)&lt;0),"Values must be 0 or more (shift length above 0)",IF(N(H180)&gt;N(G180),"Rejects &gt; total parts",IF(N(E180)&gt;=N(D180),"Planned stops &gt;= shift length",IF(N(F180)&gt;N(D180)-N(E180),"Downtime &gt; planned time",IF(AND(ISNUMBER(O180),O180&gt;1),"Check: performance above 100%","OK"))))))))))</f>
        <v/>
      </c>
      <c r="S180" s="13" t="str">
        <f aca="false">IF($T180,K180*M180/60,"")</f>
        <v/>
      </c>
      <c r="T180" s="15" t="b">
        <f aca="false">IF($C180="",FALSE(),AND(SUMPRODUCT(--(Setup!$A$5:$A$24=$C180))&gt;0,ISNUMBER(A180),ISNUMBER(K180),N(K180)&gt;0,ISNUMBER(D180),N(D180)&gt;0,ISNUMBER(G180),N(G180)&gt;=0,OR(E180="",ISNUMBER(E180)),OR(F180="",ISNUMBER(F180)),OR(H180="",ISNUMBER(H180)),N(E180)&gt;=0,N(F180)&gt;=0,N(H180)&gt;=0,N(H180)&lt;=N(G180),N(E180)&lt;N(D180),N(F180)&lt;=N(D180)-N(E180)))</f>
        <v>0</v>
      </c>
    </row>
    <row r="181" customFormat="false" ht="15" hidden="false" customHeight="false" outlineLevel="0" collapsed="false">
      <c r="A181" s="11"/>
      <c r="B181" s="8"/>
      <c r="C181" s="8"/>
      <c r="D181" s="8"/>
      <c r="E181" s="8"/>
      <c r="F181" s="8"/>
      <c r="G181" s="8"/>
      <c r="H181" s="8"/>
      <c r="I181" s="12" t="str">
        <f aca="false">IF($T181,D181-N(E181),"")</f>
        <v/>
      </c>
      <c r="J181" s="12" t="str">
        <f aca="false">IF($T181,I181-N(F181),"")</f>
        <v/>
      </c>
      <c r="K181" s="13" t="str">
        <f aca="false">IF($C181="","",IF(SUMPRODUCT(--(Setup!$A$5:$A$24=$C181))&gt;0,INDEX(Setup!$B$5:$B$24,21-SUMPRODUCT(MAX((Setup!$A$5:$A$24=$C181)*(25-ROW(Setup!$A$5:$A$24))))),""))</f>
        <v/>
      </c>
      <c r="L181" s="13" t="str">
        <f aca="false">IF($T181,K181*G181/60,"")</f>
        <v/>
      </c>
      <c r="M181" s="12" t="str">
        <f aca="false">IF($T181,G181-N(H181),"")</f>
        <v/>
      </c>
      <c r="N181" s="14" t="str">
        <f aca="false">IF($T181,J181/I181,"")</f>
        <v/>
      </c>
      <c r="O181" s="14" t="str">
        <f aca="false">IF(AND($T181,N(J181)&gt;0),L181/J181,"")</f>
        <v/>
      </c>
      <c r="P181" s="14" t="str">
        <f aca="false">IF(AND($T181,N(G181)&gt;0),M181/G181,"")</f>
        <v/>
      </c>
      <c r="Q181" s="14" t="str">
        <f aca="false">IF($T181,S181/I181,"")</f>
        <v/>
      </c>
      <c r="R181" s="10" t="str">
        <f aca="false">IF($C181="","",IF(NOT(SUMPRODUCT(--(Setup!$A$5:$A$24=$C181))&gt;0),"Machine not in Setup",IF(OR(NOT(ISNUMBER(K181)),N(K181)&lt;=0),"Set an ideal cycle time in Setup",IF(NOT(ISNUMBER(A181)),"Enter a date",IF(OR(NOT(ISNUMBER(D181)),NOT(ISNUMBER(G181)),AND(E181&lt;&gt;"",NOT(ISNUMBER(E181))),AND(F181&lt;&gt;"",NOT(ISNUMBER(F181))),AND(H181&lt;&gt;"",NOT(ISNUMBER(H181)))),"Enter numbers: shift length and total parts are required",IF(OR(N(D181)&lt;=0,N(E181)&lt;0,N(F181)&lt;0,N(G181)&lt;0,N(H181)&lt;0),"Values must be 0 or more (shift length above 0)",IF(N(H181)&gt;N(G181),"Rejects &gt; total parts",IF(N(E181)&gt;=N(D181),"Planned stops &gt;= shift length",IF(N(F181)&gt;N(D181)-N(E181),"Downtime &gt; planned time",IF(AND(ISNUMBER(O181),O181&gt;1),"Check: performance above 100%","OK"))))))))))</f>
        <v/>
      </c>
      <c r="S181" s="13" t="str">
        <f aca="false">IF($T181,K181*M181/60,"")</f>
        <v/>
      </c>
      <c r="T181" s="15" t="b">
        <f aca="false">IF($C181="",FALSE(),AND(SUMPRODUCT(--(Setup!$A$5:$A$24=$C181))&gt;0,ISNUMBER(A181),ISNUMBER(K181),N(K181)&gt;0,ISNUMBER(D181),N(D181)&gt;0,ISNUMBER(G181),N(G181)&gt;=0,OR(E181="",ISNUMBER(E181)),OR(F181="",ISNUMBER(F181)),OR(H181="",ISNUMBER(H181)),N(E181)&gt;=0,N(F181)&gt;=0,N(H181)&gt;=0,N(H181)&lt;=N(G181),N(E181)&lt;N(D181),N(F181)&lt;=N(D181)-N(E181)))</f>
        <v>0</v>
      </c>
    </row>
    <row r="182" customFormat="false" ht="15" hidden="false" customHeight="false" outlineLevel="0" collapsed="false">
      <c r="A182" s="11"/>
      <c r="B182" s="8"/>
      <c r="C182" s="8"/>
      <c r="D182" s="8"/>
      <c r="E182" s="8"/>
      <c r="F182" s="8"/>
      <c r="G182" s="8"/>
      <c r="H182" s="8"/>
      <c r="I182" s="12" t="str">
        <f aca="false">IF($T182,D182-N(E182),"")</f>
        <v/>
      </c>
      <c r="J182" s="12" t="str">
        <f aca="false">IF($T182,I182-N(F182),"")</f>
        <v/>
      </c>
      <c r="K182" s="13" t="str">
        <f aca="false">IF($C182="","",IF(SUMPRODUCT(--(Setup!$A$5:$A$24=$C182))&gt;0,INDEX(Setup!$B$5:$B$24,21-SUMPRODUCT(MAX((Setup!$A$5:$A$24=$C182)*(25-ROW(Setup!$A$5:$A$24))))),""))</f>
        <v/>
      </c>
      <c r="L182" s="13" t="str">
        <f aca="false">IF($T182,K182*G182/60,"")</f>
        <v/>
      </c>
      <c r="M182" s="12" t="str">
        <f aca="false">IF($T182,G182-N(H182),"")</f>
        <v/>
      </c>
      <c r="N182" s="14" t="str">
        <f aca="false">IF($T182,J182/I182,"")</f>
        <v/>
      </c>
      <c r="O182" s="14" t="str">
        <f aca="false">IF(AND($T182,N(J182)&gt;0),L182/J182,"")</f>
        <v/>
      </c>
      <c r="P182" s="14" t="str">
        <f aca="false">IF(AND($T182,N(G182)&gt;0),M182/G182,"")</f>
        <v/>
      </c>
      <c r="Q182" s="14" t="str">
        <f aca="false">IF($T182,S182/I182,"")</f>
        <v/>
      </c>
      <c r="R182" s="10" t="str">
        <f aca="false">IF($C182="","",IF(NOT(SUMPRODUCT(--(Setup!$A$5:$A$24=$C182))&gt;0),"Machine not in Setup",IF(OR(NOT(ISNUMBER(K182)),N(K182)&lt;=0),"Set an ideal cycle time in Setup",IF(NOT(ISNUMBER(A182)),"Enter a date",IF(OR(NOT(ISNUMBER(D182)),NOT(ISNUMBER(G182)),AND(E182&lt;&gt;"",NOT(ISNUMBER(E182))),AND(F182&lt;&gt;"",NOT(ISNUMBER(F182))),AND(H182&lt;&gt;"",NOT(ISNUMBER(H182)))),"Enter numbers: shift length and total parts are required",IF(OR(N(D182)&lt;=0,N(E182)&lt;0,N(F182)&lt;0,N(G182)&lt;0,N(H182)&lt;0),"Values must be 0 or more (shift length above 0)",IF(N(H182)&gt;N(G182),"Rejects &gt; total parts",IF(N(E182)&gt;=N(D182),"Planned stops &gt;= shift length",IF(N(F182)&gt;N(D182)-N(E182),"Downtime &gt; planned time",IF(AND(ISNUMBER(O182),O182&gt;1),"Check: performance above 100%","OK"))))))))))</f>
        <v/>
      </c>
      <c r="S182" s="13" t="str">
        <f aca="false">IF($T182,K182*M182/60,"")</f>
        <v/>
      </c>
      <c r="T182" s="15" t="b">
        <f aca="false">IF($C182="",FALSE(),AND(SUMPRODUCT(--(Setup!$A$5:$A$24=$C182))&gt;0,ISNUMBER(A182),ISNUMBER(K182),N(K182)&gt;0,ISNUMBER(D182),N(D182)&gt;0,ISNUMBER(G182),N(G182)&gt;=0,OR(E182="",ISNUMBER(E182)),OR(F182="",ISNUMBER(F182)),OR(H182="",ISNUMBER(H182)),N(E182)&gt;=0,N(F182)&gt;=0,N(H182)&gt;=0,N(H182)&lt;=N(G182),N(E182)&lt;N(D182),N(F182)&lt;=N(D182)-N(E182)))</f>
        <v>0</v>
      </c>
    </row>
    <row r="183" customFormat="false" ht="15" hidden="false" customHeight="false" outlineLevel="0" collapsed="false">
      <c r="A183" s="11"/>
      <c r="B183" s="8"/>
      <c r="C183" s="8"/>
      <c r="D183" s="8"/>
      <c r="E183" s="8"/>
      <c r="F183" s="8"/>
      <c r="G183" s="8"/>
      <c r="H183" s="8"/>
      <c r="I183" s="12" t="str">
        <f aca="false">IF($T183,D183-N(E183),"")</f>
        <v/>
      </c>
      <c r="J183" s="12" t="str">
        <f aca="false">IF($T183,I183-N(F183),"")</f>
        <v/>
      </c>
      <c r="K183" s="13" t="str">
        <f aca="false">IF($C183="","",IF(SUMPRODUCT(--(Setup!$A$5:$A$24=$C183))&gt;0,INDEX(Setup!$B$5:$B$24,21-SUMPRODUCT(MAX((Setup!$A$5:$A$24=$C183)*(25-ROW(Setup!$A$5:$A$24))))),""))</f>
        <v/>
      </c>
      <c r="L183" s="13" t="str">
        <f aca="false">IF($T183,K183*G183/60,"")</f>
        <v/>
      </c>
      <c r="M183" s="12" t="str">
        <f aca="false">IF($T183,G183-N(H183),"")</f>
        <v/>
      </c>
      <c r="N183" s="14" t="str">
        <f aca="false">IF($T183,J183/I183,"")</f>
        <v/>
      </c>
      <c r="O183" s="14" t="str">
        <f aca="false">IF(AND($T183,N(J183)&gt;0),L183/J183,"")</f>
        <v/>
      </c>
      <c r="P183" s="14" t="str">
        <f aca="false">IF(AND($T183,N(G183)&gt;0),M183/G183,"")</f>
        <v/>
      </c>
      <c r="Q183" s="14" t="str">
        <f aca="false">IF($T183,S183/I183,"")</f>
        <v/>
      </c>
      <c r="R183" s="10" t="str">
        <f aca="false">IF($C183="","",IF(NOT(SUMPRODUCT(--(Setup!$A$5:$A$24=$C183))&gt;0),"Machine not in Setup",IF(OR(NOT(ISNUMBER(K183)),N(K183)&lt;=0),"Set an ideal cycle time in Setup",IF(NOT(ISNUMBER(A183)),"Enter a date",IF(OR(NOT(ISNUMBER(D183)),NOT(ISNUMBER(G183)),AND(E183&lt;&gt;"",NOT(ISNUMBER(E183))),AND(F183&lt;&gt;"",NOT(ISNUMBER(F183))),AND(H183&lt;&gt;"",NOT(ISNUMBER(H183)))),"Enter numbers: shift length and total parts are required",IF(OR(N(D183)&lt;=0,N(E183)&lt;0,N(F183)&lt;0,N(G183)&lt;0,N(H183)&lt;0),"Values must be 0 or more (shift length above 0)",IF(N(H183)&gt;N(G183),"Rejects &gt; total parts",IF(N(E183)&gt;=N(D183),"Planned stops &gt;= shift length",IF(N(F183)&gt;N(D183)-N(E183),"Downtime &gt; planned time",IF(AND(ISNUMBER(O183),O183&gt;1),"Check: performance above 100%","OK"))))))))))</f>
        <v/>
      </c>
      <c r="S183" s="13" t="str">
        <f aca="false">IF($T183,K183*M183/60,"")</f>
        <v/>
      </c>
      <c r="T183" s="15" t="b">
        <f aca="false">IF($C183="",FALSE(),AND(SUMPRODUCT(--(Setup!$A$5:$A$24=$C183))&gt;0,ISNUMBER(A183),ISNUMBER(K183),N(K183)&gt;0,ISNUMBER(D183),N(D183)&gt;0,ISNUMBER(G183),N(G183)&gt;=0,OR(E183="",ISNUMBER(E183)),OR(F183="",ISNUMBER(F183)),OR(H183="",ISNUMBER(H183)),N(E183)&gt;=0,N(F183)&gt;=0,N(H183)&gt;=0,N(H183)&lt;=N(G183),N(E183)&lt;N(D183),N(F183)&lt;=N(D183)-N(E183)))</f>
        <v>0</v>
      </c>
    </row>
    <row r="184" customFormat="false" ht="15" hidden="false" customHeight="false" outlineLevel="0" collapsed="false">
      <c r="A184" s="11"/>
      <c r="B184" s="8"/>
      <c r="C184" s="8"/>
      <c r="D184" s="8"/>
      <c r="E184" s="8"/>
      <c r="F184" s="8"/>
      <c r="G184" s="8"/>
      <c r="H184" s="8"/>
      <c r="I184" s="12" t="str">
        <f aca="false">IF($T184,D184-N(E184),"")</f>
        <v/>
      </c>
      <c r="J184" s="12" t="str">
        <f aca="false">IF($T184,I184-N(F184),"")</f>
        <v/>
      </c>
      <c r="K184" s="13" t="str">
        <f aca="false">IF($C184="","",IF(SUMPRODUCT(--(Setup!$A$5:$A$24=$C184))&gt;0,INDEX(Setup!$B$5:$B$24,21-SUMPRODUCT(MAX((Setup!$A$5:$A$24=$C184)*(25-ROW(Setup!$A$5:$A$24))))),""))</f>
        <v/>
      </c>
      <c r="L184" s="13" t="str">
        <f aca="false">IF($T184,K184*G184/60,"")</f>
        <v/>
      </c>
      <c r="M184" s="12" t="str">
        <f aca="false">IF($T184,G184-N(H184),"")</f>
        <v/>
      </c>
      <c r="N184" s="14" t="str">
        <f aca="false">IF($T184,J184/I184,"")</f>
        <v/>
      </c>
      <c r="O184" s="14" t="str">
        <f aca="false">IF(AND($T184,N(J184)&gt;0),L184/J184,"")</f>
        <v/>
      </c>
      <c r="P184" s="14" t="str">
        <f aca="false">IF(AND($T184,N(G184)&gt;0),M184/G184,"")</f>
        <v/>
      </c>
      <c r="Q184" s="14" t="str">
        <f aca="false">IF($T184,S184/I184,"")</f>
        <v/>
      </c>
      <c r="R184" s="10" t="str">
        <f aca="false">IF($C184="","",IF(NOT(SUMPRODUCT(--(Setup!$A$5:$A$24=$C184))&gt;0),"Machine not in Setup",IF(OR(NOT(ISNUMBER(K184)),N(K184)&lt;=0),"Set an ideal cycle time in Setup",IF(NOT(ISNUMBER(A184)),"Enter a date",IF(OR(NOT(ISNUMBER(D184)),NOT(ISNUMBER(G184)),AND(E184&lt;&gt;"",NOT(ISNUMBER(E184))),AND(F184&lt;&gt;"",NOT(ISNUMBER(F184))),AND(H184&lt;&gt;"",NOT(ISNUMBER(H184)))),"Enter numbers: shift length and total parts are required",IF(OR(N(D184)&lt;=0,N(E184)&lt;0,N(F184)&lt;0,N(G184)&lt;0,N(H184)&lt;0),"Values must be 0 or more (shift length above 0)",IF(N(H184)&gt;N(G184),"Rejects &gt; total parts",IF(N(E184)&gt;=N(D184),"Planned stops &gt;= shift length",IF(N(F184)&gt;N(D184)-N(E184),"Downtime &gt; planned time",IF(AND(ISNUMBER(O184),O184&gt;1),"Check: performance above 100%","OK"))))))))))</f>
        <v/>
      </c>
      <c r="S184" s="13" t="str">
        <f aca="false">IF($T184,K184*M184/60,"")</f>
        <v/>
      </c>
      <c r="T184" s="15" t="b">
        <f aca="false">IF($C184="",FALSE(),AND(SUMPRODUCT(--(Setup!$A$5:$A$24=$C184))&gt;0,ISNUMBER(A184),ISNUMBER(K184),N(K184)&gt;0,ISNUMBER(D184),N(D184)&gt;0,ISNUMBER(G184),N(G184)&gt;=0,OR(E184="",ISNUMBER(E184)),OR(F184="",ISNUMBER(F184)),OR(H184="",ISNUMBER(H184)),N(E184)&gt;=0,N(F184)&gt;=0,N(H184)&gt;=0,N(H184)&lt;=N(G184),N(E184)&lt;N(D184),N(F184)&lt;=N(D184)-N(E184)))</f>
        <v>0</v>
      </c>
    </row>
    <row r="185" customFormat="false" ht="15" hidden="false" customHeight="false" outlineLevel="0" collapsed="false">
      <c r="A185" s="11"/>
      <c r="B185" s="8"/>
      <c r="C185" s="8"/>
      <c r="D185" s="8"/>
      <c r="E185" s="8"/>
      <c r="F185" s="8"/>
      <c r="G185" s="8"/>
      <c r="H185" s="8"/>
      <c r="I185" s="12" t="str">
        <f aca="false">IF($T185,D185-N(E185),"")</f>
        <v/>
      </c>
      <c r="J185" s="12" t="str">
        <f aca="false">IF($T185,I185-N(F185),"")</f>
        <v/>
      </c>
      <c r="K185" s="13" t="str">
        <f aca="false">IF($C185="","",IF(SUMPRODUCT(--(Setup!$A$5:$A$24=$C185))&gt;0,INDEX(Setup!$B$5:$B$24,21-SUMPRODUCT(MAX((Setup!$A$5:$A$24=$C185)*(25-ROW(Setup!$A$5:$A$24))))),""))</f>
        <v/>
      </c>
      <c r="L185" s="13" t="str">
        <f aca="false">IF($T185,K185*G185/60,"")</f>
        <v/>
      </c>
      <c r="M185" s="12" t="str">
        <f aca="false">IF($T185,G185-N(H185),"")</f>
        <v/>
      </c>
      <c r="N185" s="14" t="str">
        <f aca="false">IF($T185,J185/I185,"")</f>
        <v/>
      </c>
      <c r="O185" s="14" t="str">
        <f aca="false">IF(AND($T185,N(J185)&gt;0),L185/J185,"")</f>
        <v/>
      </c>
      <c r="P185" s="14" t="str">
        <f aca="false">IF(AND($T185,N(G185)&gt;0),M185/G185,"")</f>
        <v/>
      </c>
      <c r="Q185" s="14" t="str">
        <f aca="false">IF($T185,S185/I185,"")</f>
        <v/>
      </c>
      <c r="R185" s="10" t="str">
        <f aca="false">IF($C185="","",IF(NOT(SUMPRODUCT(--(Setup!$A$5:$A$24=$C185))&gt;0),"Machine not in Setup",IF(OR(NOT(ISNUMBER(K185)),N(K185)&lt;=0),"Set an ideal cycle time in Setup",IF(NOT(ISNUMBER(A185)),"Enter a date",IF(OR(NOT(ISNUMBER(D185)),NOT(ISNUMBER(G185)),AND(E185&lt;&gt;"",NOT(ISNUMBER(E185))),AND(F185&lt;&gt;"",NOT(ISNUMBER(F185))),AND(H185&lt;&gt;"",NOT(ISNUMBER(H185)))),"Enter numbers: shift length and total parts are required",IF(OR(N(D185)&lt;=0,N(E185)&lt;0,N(F185)&lt;0,N(G185)&lt;0,N(H185)&lt;0),"Values must be 0 or more (shift length above 0)",IF(N(H185)&gt;N(G185),"Rejects &gt; total parts",IF(N(E185)&gt;=N(D185),"Planned stops &gt;= shift length",IF(N(F185)&gt;N(D185)-N(E185),"Downtime &gt; planned time",IF(AND(ISNUMBER(O185),O185&gt;1),"Check: performance above 100%","OK"))))))))))</f>
        <v/>
      </c>
      <c r="S185" s="13" t="str">
        <f aca="false">IF($T185,K185*M185/60,"")</f>
        <v/>
      </c>
      <c r="T185" s="15" t="b">
        <f aca="false">IF($C185="",FALSE(),AND(SUMPRODUCT(--(Setup!$A$5:$A$24=$C185))&gt;0,ISNUMBER(A185),ISNUMBER(K185),N(K185)&gt;0,ISNUMBER(D185),N(D185)&gt;0,ISNUMBER(G185),N(G185)&gt;=0,OR(E185="",ISNUMBER(E185)),OR(F185="",ISNUMBER(F185)),OR(H185="",ISNUMBER(H185)),N(E185)&gt;=0,N(F185)&gt;=0,N(H185)&gt;=0,N(H185)&lt;=N(G185),N(E185)&lt;N(D185),N(F185)&lt;=N(D185)-N(E185)))</f>
        <v>0</v>
      </c>
    </row>
    <row r="186" customFormat="false" ht="15" hidden="false" customHeight="false" outlineLevel="0" collapsed="false">
      <c r="A186" s="11"/>
      <c r="B186" s="8"/>
      <c r="C186" s="8"/>
      <c r="D186" s="8"/>
      <c r="E186" s="8"/>
      <c r="F186" s="8"/>
      <c r="G186" s="8"/>
      <c r="H186" s="8"/>
      <c r="I186" s="12" t="str">
        <f aca="false">IF($T186,D186-N(E186),"")</f>
        <v/>
      </c>
      <c r="J186" s="12" t="str">
        <f aca="false">IF($T186,I186-N(F186),"")</f>
        <v/>
      </c>
      <c r="K186" s="13" t="str">
        <f aca="false">IF($C186="","",IF(SUMPRODUCT(--(Setup!$A$5:$A$24=$C186))&gt;0,INDEX(Setup!$B$5:$B$24,21-SUMPRODUCT(MAX((Setup!$A$5:$A$24=$C186)*(25-ROW(Setup!$A$5:$A$24))))),""))</f>
        <v/>
      </c>
      <c r="L186" s="13" t="str">
        <f aca="false">IF($T186,K186*G186/60,"")</f>
        <v/>
      </c>
      <c r="M186" s="12" t="str">
        <f aca="false">IF($T186,G186-N(H186),"")</f>
        <v/>
      </c>
      <c r="N186" s="14" t="str">
        <f aca="false">IF($T186,J186/I186,"")</f>
        <v/>
      </c>
      <c r="O186" s="14" t="str">
        <f aca="false">IF(AND($T186,N(J186)&gt;0),L186/J186,"")</f>
        <v/>
      </c>
      <c r="P186" s="14" t="str">
        <f aca="false">IF(AND($T186,N(G186)&gt;0),M186/G186,"")</f>
        <v/>
      </c>
      <c r="Q186" s="14" t="str">
        <f aca="false">IF($T186,S186/I186,"")</f>
        <v/>
      </c>
      <c r="R186" s="10" t="str">
        <f aca="false">IF($C186="","",IF(NOT(SUMPRODUCT(--(Setup!$A$5:$A$24=$C186))&gt;0),"Machine not in Setup",IF(OR(NOT(ISNUMBER(K186)),N(K186)&lt;=0),"Set an ideal cycle time in Setup",IF(NOT(ISNUMBER(A186)),"Enter a date",IF(OR(NOT(ISNUMBER(D186)),NOT(ISNUMBER(G186)),AND(E186&lt;&gt;"",NOT(ISNUMBER(E186))),AND(F186&lt;&gt;"",NOT(ISNUMBER(F186))),AND(H186&lt;&gt;"",NOT(ISNUMBER(H186)))),"Enter numbers: shift length and total parts are required",IF(OR(N(D186)&lt;=0,N(E186)&lt;0,N(F186)&lt;0,N(G186)&lt;0,N(H186)&lt;0),"Values must be 0 or more (shift length above 0)",IF(N(H186)&gt;N(G186),"Rejects &gt; total parts",IF(N(E186)&gt;=N(D186),"Planned stops &gt;= shift length",IF(N(F186)&gt;N(D186)-N(E186),"Downtime &gt; planned time",IF(AND(ISNUMBER(O186),O186&gt;1),"Check: performance above 100%","OK"))))))))))</f>
        <v/>
      </c>
      <c r="S186" s="13" t="str">
        <f aca="false">IF($T186,K186*M186/60,"")</f>
        <v/>
      </c>
      <c r="T186" s="15" t="b">
        <f aca="false">IF($C186="",FALSE(),AND(SUMPRODUCT(--(Setup!$A$5:$A$24=$C186))&gt;0,ISNUMBER(A186),ISNUMBER(K186),N(K186)&gt;0,ISNUMBER(D186),N(D186)&gt;0,ISNUMBER(G186),N(G186)&gt;=0,OR(E186="",ISNUMBER(E186)),OR(F186="",ISNUMBER(F186)),OR(H186="",ISNUMBER(H186)),N(E186)&gt;=0,N(F186)&gt;=0,N(H186)&gt;=0,N(H186)&lt;=N(G186),N(E186)&lt;N(D186),N(F186)&lt;=N(D186)-N(E186)))</f>
        <v>0</v>
      </c>
    </row>
    <row r="187" customFormat="false" ht="15" hidden="false" customHeight="false" outlineLevel="0" collapsed="false">
      <c r="A187" s="11"/>
      <c r="B187" s="8"/>
      <c r="C187" s="8"/>
      <c r="D187" s="8"/>
      <c r="E187" s="8"/>
      <c r="F187" s="8"/>
      <c r="G187" s="8"/>
      <c r="H187" s="8"/>
      <c r="I187" s="12" t="str">
        <f aca="false">IF($T187,D187-N(E187),"")</f>
        <v/>
      </c>
      <c r="J187" s="12" t="str">
        <f aca="false">IF($T187,I187-N(F187),"")</f>
        <v/>
      </c>
      <c r="K187" s="13" t="str">
        <f aca="false">IF($C187="","",IF(SUMPRODUCT(--(Setup!$A$5:$A$24=$C187))&gt;0,INDEX(Setup!$B$5:$B$24,21-SUMPRODUCT(MAX((Setup!$A$5:$A$24=$C187)*(25-ROW(Setup!$A$5:$A$24))))),""))</f>
        <v/>
      </c>
      <c r="L187" s="13" t="str">
        <f aca="false">IF($T187,K187*G187/60,"")</f>
        <v/>
      </c>
      <c r="M187" s="12" t="str">
        <f aca="false">IF($T187,G187-N(H187),"")</f>
        <v/>
      </c>
      <c r="N187" s="14" t="str">
        <f aca="false">IF($T187,J187/I187,"")</f>
        <v/>
      </c>
      <c r="O187" s="14" t="str">
        <f aca="false">IF(AND($T187,N(J187)&gt;0),L187/J187,"")</f>
        <v/>
      </c>
      <c r="P187" s="14" t="str">
        <f aca="false">IF(AND($T187,N(G187)&gt;0),M187/G187,"")</f>
        <v/>
      </c>
      <c r="Q187" s="14" t="str">
        <f aca="false">IF($T187,S187/I187,"")</f>
        <v/>
      </c>
      <c r="R187" s="10" t="str">
        <f aca="false">IF($C187="","",IF(NOT(SUMPRODUCT(--(Setup!$A$5:$A$24=$C187))&gt;0),"Machine not in Setup",IF(OR(NOT(ISNUMBER(K187)),N(K187)&lt;=0),"Set an ideal cycle time in Setup",IF(NOT(ISNUMBER(A187)),"Enter a date",IF(OR(NOT(ISNUMBER(D187)),NOT(ISNUMBER(G187)),AND(E187&lt;&gt;"",NOT(ISNUMBER(E187))),AND(F187&lt;&gt;"",NOT(ISNUMBER(F187))),AND(H187&lt;&gt;"",NOT(ISNUMBER(H187)))),"Enter numbers: shift length and total parts are required",IF(OR(N(D187)&lt;=0,N(E187)&lt;0,N(F187)&lt;0,N(G187)&lt;0,N(H187)&lt;0),"Values must be 0 or more (shift length above 0)",IF(N(H187)&gt;N(G187),"Rejects &gt; total parts",IF(N(E187)&gt;=N(D187),"Planned stops &gt;= shift length",IF(N(F187)&gt;N(D187)-N(E187),"Downtime &gt; planned time",IF(AND(ISNUMBER(O187),O187&gt;1),"Check: performance above 100%","OK"))))))))))</f>
        <v/>
      </c>
      <c r="S187" s="13" t="str">
        <f aca="false">IF($T187,K187*M187/60,"")</f>
        <v/>
      </c>
      <c r="T187" s="15" t="b">
        <f aca="false">IF($C187="",FALSE(),AND(SUMPRODUCT(--(Setup!$A$5:$A$24=$C187))&gt;0,ISNUMBER(A187),ISNUMBER(K187),N(K187)&gt;0,ISNUMBER(D187),N(D187)&gt;0,ISNUMBER(G187),N(G187)&gt;=0,OR(E187="",ISNUMBER(E187)),OR(F187="",ISNUMBER(F187)),OR(H187="",ISNUMBER(H187)),N(E187)&gt;=0,N(F187)&gt;=0,N(H187)&gt;=0,N(H187)&lt;=N(G187),N(E187)&lt;N(D187),N(F187)&lt;=N(D187)-N(E187)))</f>
        <v>0</v>
      </c>
    </row>
    <row r="188" customFormat="false" ht="15" hidden="false" customHeight="false" outlineLevel="0" collapsed="false">
      <c r="A188" s="11"/>
      <c r="B188" s="8"/>
      <c r="C188" s="8"/>
      <c r="D188" s="8"/>
      <c r="E188" s="8"/>
      <c r="F188" s="8"/>
      <c r="G188" s="8"/>
      <c r="H188" s="8"/>
      <c r="I188" s="12" t="str">
        <f aca="false">IF($T188,D188-N(E188),"")</f>
        <v/>
      </c>
      <c r="J188" s="12" t="str">
        <f aca="false">IF($T188,I188-N(F188),"")</f>
        <v/>
      </c>
      <c r="K188" s="13" t="str">
        <f aca="false">IF($C188="","",IF(SUMPRODUCT(--(Setup!$A$5:$A$24=$C188))&gt;0,INDEX(Setup!$B$5:$B$24,21-SUMPRODUCT(MAX((Setup!$A$5:$A$24=$C188)*(25-ROW(Setup!$A$5:$A$24))))),""))</f>
        <v/>
      </c>
      <c r="L188" s="13" t="str">
        <f aca="false">IF($T188,K188*G188/60,"")</f>
        <v/>
      </c>
      <c r="M188" s="12" t="str">
        <f aca="false">IF($T188,G188-N(H188),"")</f>
        <v/>
      </c>
      <c r="N188" s="14" t="str">
        <f aca="false">IF($T188,J188/I188,"")</f>
        <v/>
      </c>
      <c r="O188" s="14" t="str">
        <f aca="false">IF(AND($T188,N(J188)&gt;0),L188/J188,"")</f>
        <v/>
      </c>
      <c r="P188" s="14" t="str">
        <f aca="false">IF(AND($T188,N(G188)&gt;0),M188/G188,"")</f>
        <v/>
      </c>
      <c r="Q188" s="14" t="str">
        <f aca="false">IF($T188,S188/I188,"")</f>
        <v/>
      </c>
      <c r="R188" s="10" t="str">
        <f aca="false">IF($C188="","",IF(NOT(SUMPRODUCT(--(Setup!$A$5:$A$24=$C188))&gt;0),"Machine not in Setup",IF(OR(NOT(ISNUMBER(K188)),N(K188)&lt;=0),"Set an ideal cycle time in Setup",IF(NOT(ISNUMBER(A188)),"Enter a date",IF(OR(NOT(ISNUMBER(D188)),NOT(ISNUMBER(G188)),AND(E188&lt;&gt;"",NOT(ISNUMBER(E188))),AND(F188&lt;&gt;"",NOT(ISNUMBER(F188))),AND(H188&lt;&gt;"",NOT(ISNUMBER(H188)))),"Enter numbers: shift length and total parts are required",IF(OR(N(D188)&lt;=0,N(E188)&lt;0,N(F188)&lt;0,N(G188)&lt;0,N(H188)&lt;0),"Values must be 0 or more (shift length above 0)",IF(N(H188)&gt;N(G188),"Rejects &gt; total parts",IF(N(E188)&gt;=N(D188),"Planned stops &gt;= shift length",IF(N(F188)&gt;N(D188)-N(E188),"Downtime &gt; planned time",IF(AND(ISNUMBER(O188),O188&gt;1),"Check: performance above 100%","OK"))))))))))</f>
        <v/>
      </c>
      <c r="S188" s="13" t="str">
        <f aca="false">IF($T188,K188*M188/60,"")</f>
        <v/>
      </c>
      <c r="T188" s="15" t="b">
        <f aca="false">IF($C188="",FALSE(),AND(SUMPRODUCT(--(Setup!$A$5:$A$24=$C188))&gt;0,ISNUMBER(A188),ISNUMBER(K188),N(K188)&gt;0,ISNUMBER(D188),N(D188)&gt;0,ISNUMBER(G188),N(G188)&gt;=0,OR(E188="",ISNUMBER(E188)),OR(F188="",ISNUMBER(F188)),OR(H188="",ISNUMBER(H188)),N(E188)&gt;=0,N(F188)&gt;=0,N(H188)&gt;=0,N(H188)&lt;=N(G188),N(E188)&lt;N(D188),N(F188)&lt;=N(D188)-N(E188)))</f>
        <v>0</v>
      </c>
    </row>
    <row r="189" customFormat="false" ht="15" hidden="false" customHeight="false" outlineLevel="0" collapsed="false">
      <c r="A189" s="11"/>
      <c r="B189" s="8"/>
      <c r="C189" s="8"/>
      <c r="D189" s="8"/>
      <c r="E189" s="8"/>
      <c r="F189" s="8"/>
      <c r="G189" s="8"/>
      <c r="H189" s="8"/>
      <c r="I189" s="12" t="str">
        <f aca="false">IF($T189,D189-N(E189),"")</f>
        <v/>
      </c>
      <c r="J189" s="12" t="str">
        <f aca="false">IF($T189,I189-N(F189),"")</f>
        <v/>
      </c>
      <c r="K189" s="13" t="str">
        <f aca="false">IF($C189="","",IF(SUMPRODUCT(--(Setup!$A$5:$A$24=$C189))&gt;0,INDEX(Setup!$B$5:$B$24,21-SUMPRODUCT(MAX((Setup!$A$5:$A$24=$C189)*(25-ROW(Setup!$A$5:$A$24))))),""))</f>
        <v/>
      </c>
      <c r="L189" s="13" t="str">
        <f aca="false">IF($T189,K189*G189/60,"")</f>
        <v/>
      </c>
      <c r="M189" s="12" t="str">
        <f aca="false">IF($T189,G189-N(H189),"")</f>
        <v/>
      </c>
      <c r="N189" s="14" t="str">
        <f aca="false">IF($T189,J189/I189,"")</f>
        <v/>
      </c>
      <c r="O189" s="14" t="str">
        <f aca="false">IF(AND($T189,N(J189)&gt;0),L189/J189,"")</f>
        <v/>
      </c>
      <c r="P189" s="14" t="str">
        <f aca="false">IF(AND($T189,N(G189)&gt;0),M189/G189,"")</f>
        <v/>
      </c>
      <c r="Q189" s="14" t="str">
        <f aca="false">IF($T189,S189/I189,"")</f>
        <v/>
      </c>
      <c r="R189" s="10" t="str">
        <f aca="false">IF($C189="","",IF(NOT(SUMPRODUCT(--(Setup!$A$5:$A$24=$C189))&gt;0),"Machine not in Setup",IF(OR(NOT(ISNUMBER(K189)),N(K189)&lt;=0),"Set an ideal cycle time in Setup",IF(NOT(ISNUMBER(A189)),"Enter a date",IF(OR(NOT(ISNUMBER(D189)),NOT(ISNUMBER(G189)),AND(E189&lt;&gt;"",NOT(ISNUMBER(E189))),AND(F189&lt;&gt;"",NOT(ISNUMBER(F189))),AND(H189&lt;&gt;"",NOT(ISNUMBER(H189)))),"Enter numbers: shift length and total parts are required",IF(OR(N(D189)&lt;=0,N(E189)&lt;0,N(F189)&lt;0,N(G189)&lt;0,N(H189)&lt;0),"Values must be 0 or more (shift length above 0)",IF(N(H189)&gt;N(G189),"Rejects &gt; total parts",IF(N(E189)&gt;=N(D189),"Planned stops &gt;= shift length",IF(N(F189)&gt;N(D189)-N(E189),"Downtime &gt; planned time",IF(AND(ISNUMBER(O189),O189&gt;1),"Check: performance above 100%","OK"))))))))))</f>
        <v/>
      </c>
      <c r="S189" s="13" t="str">
        <f aca="false">IF($T189,K189*M189/60,"")</f>
        <v/>
      </c>
      <c r="T189" s="15" t="b">
        <f aca="false">IF($C189="",FALSE(),AND(SUMPRODUCT(--(Setup!$A$5:$A$24=$C189))&gt;0,ISNUMBER(A189),ISNUMBER(K189),N(K189)&gt;0,ISNUMBER(D189),N(D189)&gt;0,ISNUMBER(G189),N(G189)&gt;=0,OR(E189="",ISNUMBER(E189)),OR(F189="",ISNUMBER(F189)),OR(H189="",ISNUMBER(H189)),N(E189)&gt;=0,N(F189)&gt;=0,N(H189)&gt;=0,N(H189)&lt;=N(G189),N(E189)&lt;N(D189),N(F189)&lt;=N(D189)-N(E189)))</f>
        <v>0</v>
      </c>
    </row>
    <row r="190" customFormat="false" ht="15" hidden="false" customHeight="false" outlineLevel="0" collapsed="false">
      <c r="A190" s="11"/>
      <c r="B190" s="8"/>
      <c r="C190" s="8"/>
      <c r="D190" s="8"/>
      <c r="E190" s="8"/>
      <c r="F190" s="8"/>
      <c r="G190" s="8"/>
      <c r="H190" s="8"/>
      <c r="I190" s="12" t="str">
        <f aca="false">IF($T190,D190-N(E190),"")</f>
        <v/>
      </c>
      <c r="J190" s="12" t="str">
        <f aca="false">IF($T190,I190-N(F190),"")</f>
        <v/>
      </c>
      <c r="K190" s="13" t="str">
        <f aca="false">IF($C190="","",IF(SUMPRODUCT(--(Setup!$A$5:$A$24=$C190))&gt;0,INDEX(Setup!$B$5:$B$24,21-SUMPRODUCT(MAX((Setup!$A$5:$A$24=$C190)*(25-ROW(Setup!$A$5:$A$24))))),""))</f>
        <v/>
      </c>
      <c r="L190" s="13" t="str">
        <f aca="false">IF($T190,K190*G190/60,"")</f>
        <v/>
      </c>
      <c r="M190" s="12" t="str">
        <f aca="false">IF($T190,G190-N(H190),"")</f>
        <v/>
      </c>
      <c r="N190" s="14" t="str">
        <f aca="false">IF($T190,J190/I190,"")</f>
        <v/>
      </c>
      <c r="O190" s="14" t="str">
        <f aca="false">IF(AND($T190,N(J190)&gt;0),L190/J190,"")</f>
        <v/>
      </c>
      <c r="P190" s="14" t="str">
        <f aca="false">IF(AND($T190,N(G190)&gt;0),M190/G190,"")</f>
        <v/>
      </c>
      <c r="Q190" s="14" t="str">
        <f aca="false">IF($T190,S190/I190,"")</f>
        <v/>
      </c>
      <c r="R190" s="10" t="str">
        <f aca="false">IF($C190="","",IF(NOT(SUMPRODUCT(--(Setup!$A$5:$A$24=$C190))&gt;0),"Machine not in Setup",IF(OR(NOT(ISNUMBER(K190)),N(K190)&lt;=0),"Set an ideal cycle time in Setup",IF(NOT(ISNUMBER(A190)),"Enter a date",IF(OR(NOT(ISNUMBER(D190)),NOT(ISNUMBER(G190)),AND(E190&lt;&gt;"",NOT(ISNUMBER(E190))),AND(F190&lt;&gt;"",NOT(ISNUMBER(F190))),AND(H190&lt;&gt;"",NOT(ISNUMBER(H190)))),"Enter numbers: shift length and total parts are required",IF(OR(N(D190)&lt;=0,N(E190)&lt;0,N(F190)&lt;0,N(G190)&lt;0,N(H190)&lt;0),"Values must be 0 or more (shift length above 0)",IF(N(H190)&gt;N(G190),"Rejects &gt; total parts",IF(N(E190)&gt;=N(D190),"Planned stops &gt;= shift length",IF(N(F190)&gt;N(D190)-N(E190),"Downtime &gt; planned time",IF(AND(ISNUMBER(O190),O190&gt;1),"Check: performance above 100%","OK"))))))))))</f>
        <v/>
      </c>
      <c r="S190" s="13" t="str">
        <f aca="false">IF($T190,K190*M190/60,"")</f>
        <v/>
      </c>
      <c r="T190" s="15" t="b">
        <f aca="false">IF($C190="",FALSE(),AND(SUMPRODUCT(--(Setup!$A$5:$A$24=$C190))&gt;0,ISNUMBER(A190),ISNUMBER(K190),N(K190)&gt;0,ISNUMBER(D190),N(D190)&gt;0,ISNUMBER(G190),N(G190)&gt;=0,OR(E190="",ISNUMBER(E190)),OR(F190="",ISNUMBER(F190)),OR(H190="",ISNUMBER(H190)),N(E190)&gt;=0,N(F190)&gt;=0,N(H190)&gt;=0,N(H190)&lt;=N(G190),N(E190)&lt;N(D190),N(F190)&lt;=N(D190)-N(E190)))</f>
        <v>0</v>
      </c>
    </row>
    <row r="191" customFormat="false" ht="15" hidden="false" customHeight="false" outlineLevel="0" collapsed="false">
      <c r="A191" s="11"/>
      <c r="B191" s="8"/>
      <c r="C191" s="8"/>
      <c r="D191" s="8"/>
      <c r="E191" s="8"/>
      <c r="F191" s="8"/>
      <c r="G191" s="8"/>
      <c r="H191" s="8"/>
      <c r="I191" s="12" t="str">
        <f aca="false">IF($T191,D191-N(E191),"")</f>
        <v/>
      </c>
      <c r="J191" s="12" t="str">
        <f aca="false">IF($T191,I191-N(F191),"")</f>
        <v/>
      </c>
      <c r="K191" s="13" t="str">
        <f aca="false">IF($C191="","",IF(SUMPRODUCT(--(Setup!$A$5:$A$24=$C191))&gt;0,INDEX(Setup!$B$5:$B$24,21-SUMPRODUCT(MAX((Setup!$A$5:$A$24=$C191)*(25-ROW(Setup!$A$5:$A$24))))),""))</f>
        <v/>
      </c>
      <c r="L191" s="13" t="str">
        <f aca="false">IF($T191,K191*G191/60,"")</f>
        <v/>
      </c>
      <c r="M191" s="12" t="str">
        <f aca="false">IF($T191,G191-N(H191),"")</f>
        <v/>
      </c>
      <c r="N191" s="14" t="str">
        <f aca="false">IF($T191,J191/I191,"")</f>
        <v/>
      </c>
      <c r="O191" s="14" t="str">
        <f aca="false">IF(AND($T191,N(J191)&gt;0),L191/J191,"")</f>
        <v/>
      </c>
      <c r="P191" s="14" t="str">
        <f aca="false">IF(AND($T191,N(G191)&gt;0),M191/G191,"")</f>
        <v/>
      </c>
      <c r="Q191" s="14" t="str">
        <f aca="false">IF($T191,S191/I191,"")</f>
        <v/>
      </c>
      <c r="R191" s="10" t="str">
        <f aca="false">IF($C191="","",IF(NOT(SUMPRODUCT(--(Setup!$A$5:$A$24=$C191))&gt;0),"Machine not in Setup",IF(OR(NOT(ISNUMBER(K191)),N(K191)&lt;=0),"Set an ideal cycle time in Setup",IF(NOT(ISNUMBER(A191)),"Enter a date",IF(OR(NOT(ISNUMBER(D191)),NOT(ISNUMBER(G191)),AND(E191&lt;&gt;"",NOT(ISNUMBER(E191))),AND(F191&lt;&gt;"",NOT(ISNUMBER(F191))),AND(H191&lt;&gt;"",NOT(ISNUMBER(H191)))),"Enter numbers: shift length and total parts are required",IF(OR(N(D191)&lt;=0,N(E191)&lt;0,N(F191)&lt;0,N(G191)&lt;0,N(H191)&lt;0),"Values must be 0 or more (shift length above 0)",IF(N(H191)&gt;N(G191),"Rejects &gt; total parts",IF(N(E191)&gt;=N(D191),"Planned stops &gt;= shift length",IF(N(F191)&gt;N(D191)-N(E191),"Downtime &gt; planned time",IF(AND(ISNUMBER(O191),O191&gt;1),"Check: performance above 100%","OK"))))))))))</f>
        <v/>
      </c>
      <c r="S191" s="13" t="str">
        <f aca="false">IF($T191,K191*M191/60,"")</f>
        <v/>
      </c>
      <c r="T191" s="15" t="b">
        <f aca="false">IF($C191="",FALSE(),AND(SUMPRODUCT(--(Setup!$A$5:$A$24=$C191))&gt;0,ISNUMBER(A191),ISNUMBER(K191),N(K191)&gt;0,ISNUMBER(D191),N(D191)&gt;0,ISNUMBER(G191),N(G191)&gt;=0,OR(E191="",ISNUMBER(E191)),OR(F191="",ISNUMBER(F191)),OR(H191="",ISNUMBER(H191)),N(E191)&gt;=0,N(F191)&gt;=0,N(H191)&gt;=0,N(H191)&lt;=N(G191),N(E191)&lt;N(D191),N(F191)&lt;=N(D191)-N(E191)))</f>
        <v>0</v>
      </c>
    </row>
    <row r="192" customFormat="false" ht="15" hidden="false" customHeight="false" outlineLevel="0" collapsed="false">
      <c r="A192" s="11"/>
      <c r="B192" s="8"/>
      <c r="C192" s="8"/>
      <c r="D192" s="8"/>
      <c r="E192" s="8"/>
      <c r="F192" s="8"/>
      <c r="G192" s="8"/>
      <c r="H192" s="8"/>
      <c r="I192" s="12" t="str">
        <f aca="false">IF($T192,D192-N(E192),"")</f>
        <v/>
      </c>
      <c r="J192" s="12" t="str">
        <f aca="false">IF($T192,I192-N(F192),"")</f>
        <v/>
      </c>
      <c r="K192" s="13" t="str">
        <f aca="false">IF($C192="","",IF(SUMPRODUCT(--(Setup!$A$5:$A$24=$C192))&gt;0,INDEX(Setup!$B$5:$B$24,21-SUMPRODUCT(MAX((Setup!$A$5:$A$24=$C192)*(25-ROW(Setup!$A$5:$A$24))))),""))</f>
        <v/>
      </c>
      <c r="L192" s="13" t="str">
        <f aca="false">IF($T192,K192*G192/60,"")</f>
        <v/>
      </c>
      <c r="M192" s="12" t="str">
        <f aca="false">IF($T192,G192-N(H192),"")</f>
        <v/>
      </c>
      <c r="N192" s="14" t="str">
        <f aca="false">IF($T192,J192/I192,"")</f>
        <v/>
      </c>
      <c r="O192" s="14" t="str">
        <f aca="false">IF(AND($T192,N(J192)&gt;0),L192/J192,"")</f>
        <v/>
      </c>
      <c r="P192" s="14" t="str">
        <f aca="false">IF(AND($T192,N(G192)&gt;0),M192/G192,"")</f>
        <v/>
      </c>
      <c r="Q192" s="14" t="str">
        <f aca="false">IF($T192,S192/I192,"")</f>
        <v/>
      </c>
      <c r="R192" s="10" t="str">
        <f aca="false">IF($C192="","",IF(NOT(SUMPRODUCT(--(Setup!$A$5:$A$24=$C192))&gt;0),"Machine not in Setup",IF(OR(NOT(ISNUMBER(K192)),N(K192)&lt;=0),"Set an ideal cycle time in Setup",IF(NOT(ISNUMBER(A192)),"Enter a date",IF(OR(NOT(ISNUMBER(D192)),NOT(ISNUMBER(G192)),AND(E192&lt;&gt;"",NOT(ISNUMBER(E192))),AND(F192&lt;&gt;"",NOT(ISNUMBER(F192))),AND(H192&lt;&gt;"",NOT(ISNUMBER(H192)))),"Enter numbers: shift length and total parts are required",IF(OR(N(D192)&lt;=0,N(E192)&lt;0,N(F192)&lt;0,N(G192)&lt;0,N(H192)&lt;0),"Values must be 0 or more (shift length above 0)",IF(N(H192)&gt;N(G192),"Rejects &gt; total parts",IF(N(E192)&gt;=N(D192),"Planned stops &gt;= shift length",IF(N(F192)&gt;N(D192)-N(E192),"Downtime &gt; planned time",IF(AND(ISNUMBER(O192),O192&gt;1),"Check: performance above 100%","OK"))))))))))</f>
        <v/>
      </c>
      <c r="S192" s="13" t="str">
        <f aca="false">IF($T192,K192*M192/60,"")</f>
        <v/>
      </c>
      <c r="T192" s="15" t="b">
        <f aca="false">IF($C192="",FALSE(),AND(SUMPRODUCT(--(Setup!$A$5:$A$24=$C192))&gt;0,ISNUMBER(A192),ISNUMBER(K192),N(K192)&gt;0,ISNUMBER(D192),N(D192)&gt;0,ISNUMBER(G192),N(G192)&gt;=0,OR(E192="",ISNUMBER(E192)),OR(F192="",ISNUMBER(F192)),OR(H192="",ISNUMBER(H192)),N(E192)&gt;=0,N(F192)&gt;=0,N(H192)&gt;=0,N(H192)&lt;=N(G192),N(E192)&lt;N(D192),N(F192)&lt;=N(D192)-N(E192)))</f>
        <v>0</v>
      </c>
    </row>
    <row r="193" customFormat="false" ht="15" hidden="false" customHeight="false" outlineLevel="0" collapsed="false">
      <c r="A193" s="11"/>
      <c r="B193" s="8"/>
      <c r="C193" s="8"/>
      <c r="D193" s="8"/>
      <c r="E193" s="8"/>
      <c r="F193" s="8"/>
      <c r="G193" s="8"/>
      <c r="H193" s="8"/>
      <c r="I193" s="12" t="str">
        <f aca="false">IF($T193,D193-N(E193),"")</f>
        <v/>
      </c>
      <c r="J193" s="12" t="str">
        <f aca="false">IF($T193,I193-N(F193),"")</f>
        <v/>
      </c>
      <c r="K193" s="13" t="str">
        <f aca="false">IF($C193="","",IF(SUMPRODUCT(--(Setup!$A$5:$A$24=$C193))&gt;0,INDEX(Setup!$B$5:$B$24,21-SUMPRODUCT(MAX((Setup!$A$5:$A$24=$C193)*(25-ROW(Setup!$A$5:$A$24))))),""))</f>
        <v/>
      </c>
      <c r="L193" s="13" t="str">
        <f aca="false">IF($T193,K193*G193/60,"")</f>
        <v/>
      </c>
      <c r="M193" s="12" t="str">
        <f aca="false">IF($T193,G193-N(H193),"")</f>
        <v/>
      </c>
      <c r="N193" s="14" t="str">
        <f aca="false">IF($T193,J193/I193,"")</f>
        <v/>
      </c>
      <c r="O193" s="14" t="str">
        <f aca="false">IF(AND($T193,N(J193)&gt;0),L193/J193,"")</f>
        <v/>
      </c>
      <c r="P193" s="14" t="str">
        <f aca="false">IF(AND($T193,N(G193)&gt;0),M193/G193,"")</f>
        <v/>
      </c>
      <c r="Q193" s="14" t="str">
        <f aca="false">IF($T193,S193/I193,"")</f>
        <v/>
      </c>
      <c r="R193" s="10" t="str">
        <f aca="false">IF($C193="","",IF(NOT(SUMPRODUCT(--(Setup!$A$5:$A$24=$C193))&gt;0),"Machine not in Setup",IF(OR(NOT(ISNUMBER(K193)),N(K193)&lt;=0),"Set an ideal cycle time in Setup",IF(NOT(ISNUMBER(A193)),"Enter a date",IF(OR(NOT(ISNUMBER(D193)),NOT(ISNUMBER(G193)),AND(E193&lt;&gt;"",NOT(ISNUMBER(E193))),AND(F193&lt;&gt;"",NOT(ISNUMBER(F193))),AND(H193&lt;&gt;"",NOT(ISNUMBER(H193)))),"Enter numbers: shift length and total parts are required",IF(OR(N(D193)&lt;=0,N(E193)&lt;0,N(F193)&lt;0,N(G193)&lt;0,N(H193)&lt;0),"Values must be 0 or more (shift length above 0)",IF(N(H193)&gt;N(G193),"Rejects &gt; total parts",IF(N(E193)&gt;=N(D193),"Planned stops &gt;= shift length",IF(N(F193)&gt;N(D193)-N(E193),"Downtime &gt; planned time",IF(AND(ISNUMBER(O193),O193&gt;1),"Check: performance above 100%","OK"))))))))))</f>
        <v/>
      </c>
      <c r="S193" s="13" t="str">
        <f aca="false">IF($T193,K193*M193/60,"")</f>
        <v/>
      </c>
      <c r="T193" s="15" t="b">
        <f aca="false">IF($C193="",FALSE(),AND(SUMPRODUCT(--(Setup!$A$5:$A$24=$C193))&gt;0,ISNUMBER(A193),ISNUMBER(K193),N(K193)&gt;0,ISNUMBER(D193),N(D193)&gt;0,ISNUMBER(G193),N(G193)&gt;=0,OR(E193="",ISNUMBER(E193)),OR(F193="",ISNUMBER(F193)),OR(H193="",ISNUMBER(H193)),N(E193)&gt;=0,N(F193)&gt;=0,N(H193)&gt;=0,N(H193)&lt;=N(G193),N(E193)&lt;N(D193),N(F193)&lt;=N(D193)-N(E193)))</f>
        <v>0</v>
      </c>
    </row>
    <row r="194" customFormat="false" ht="15" hidden="false" customHeight="false" outlineLevel="0" collapsed="false">
      <c r="A194" s="11"/>
      <c r="B194" s="8"/>
      <c r="C194" s="8"/>
      <c r="D194" s="8"/>
      <c r="E194" s="8"/>
      <c r="F194" s="8"/>
      <c r="G194" s="8"/>
      <c r="H194" s="8"/>
      <c r="I194" s="12" t="str">
        <f aca="false">IF($T194,D194-N(E194),"")</f>
        <v/>
      </c>
      <c r="J194" s="12" t="str">
        <f aca="false">IF($T194,I194-N(F194),"")</f>
        <v/>
      </c>
      <c r="K194" s="13" t="str">
        <f aca="false">IF($C194="","",IF(SUMPRODUCT(--(Setup!$A$5:$A$24=$C194))&gt;0,INDEX(Setup!$B$5:$B$24,21-SUMPRODUCT(MAX((Setup!$A$5:$A$24=$C194)*(25-ROW(Setup!$A$5:$A$24))))),""))</f>
        <v/>
      </c>
      <c r="L194" s="13" t="str">
        <f aca="false">IF($T194,K194*G194/60,"")</f>
        <v/>
      </c>
      <c r="M194" s="12" t="str">
        <f aca="false">IF($T194,G194-N(H194),"")</f>
        <v/>
      </c>
      <c r="N194" s="14" t="str">
        <f aca="false">IF($T194,J194/I194,"")</f>
        <v/>
      </c>
      <c r="O194" s="14" t="str">
        <f aca="false">IF(AND($T194,N(J194)&gt;0),L194/J194,"")</f>
        <v/>
      </c>
      <c r="P194" s="14" t="str">
        <f aca="false">IF(AND($T194,N(G194)&gt;0),M194/G194,"")</f>
        <v/>
      </c>
      <c r="Q194" s="14" t="str">
        <f aca="false">IF($T194,S194/I194,"")</f>
        <v/>
      </c>
      <c r="R194" s="10" t="str">
        <f aca="false">IF($C194="","",IF(NOT(SUMPRODUCT(--(Setup!$A$5:$A$24=$C194))&gt;0),"Machine not in Setup",IF(OR(NOT(ISNUMBER(K194)),N(K194)&lt;=0),"Set an ideal cycle time in Setup",IF(NOT(ISNUMBER(A194)),"Enter a date",IF(OR(NOT(ISNUMBER(D194)),NOT(ISNUMBER(G194)),AND(E194&lt;&gt;"",NOT(ISNUMBER(E194))),AND(F194&lt;&gt;"",NOT(ISNUMBER(F194))),AND(H194&lt;&gt;"",NOT(ISNUMBER(H194)))),"Enter numbers: shift length and total parts are required",IF(OR(N(D194)&lt;=0,N(E194)&lt;0,N(F194)&lt;0,N(G194)&lt;0,N(H194)&lt;0),"Values must be 0 or more (shift length above 0)",IF(N(H194)&gt;N(G194),"Rejects &gt; total parts",IF(N(E194)&gt;=N(D194),"Planned stops &gt;= shift length",IF(N(F194)&gt;N(D194)-N(E194),"Downtime &gt; planned time",IF(AND(ISNUMBER(O194),O194&gt;1),"Check: performance above 100%","OK"))))))))))</f>
        <v/>
      </c>
      <c r="S194" s="13" t="str">
        <f aca="false">IF($T194,K194*M194/60,"")</f>
        <v/>
      </c>
      <c r="T194" s="15" t="b">
        <f aca="false">IF($C194="",FALSE(),AND(SUMPRODUCT(--(Setup!$A$5:$A$24=$C194))&gt;0,ISNUMBER(A194),ISNUMBER(K194),N(K194)&gt;0,ISNUMBER(D194),N(D194)&gt;0,ISNUMBER(G194),N(G194)&gt;=0,OR(E194="",ISNUMBER(E194)),OR(F194="",ISNUMBER(F194)),OR(H194="",ISNUMBER(H194)),N(E194)&gt;=0,N(F194)&gt;=0,N(H194)&gt;=0,N(H194)&lt;=N(G194),N(E194)&lt;N(D194),N(F194)&lt;=N(D194)-N(E194)))</f>
        <v>0</v>
      </c>
    </row>
    <row r="195" customFormat="false" ht="15" hidden="false" customHeight="false" outlineLevel="0" collapsed="false">
      <c r="A195" s="11"/>
      <c r="B195" s="8"/>
      <c r="C195" s="8"/>
      <c r="D195" s="8"/>
      <c r="E195" s="8"/>
      <c r="F195" s="8"/>
      <c r="G195" s="8"/>
      <c r="H195" s="8"/>
      <c r="I195" s="12" t="str">
        <f aca="false">IF($T195,D195-N(E195),"")</f>
        <v/>
      </c>
      <c r="J195" s="12" t="str">
        <f aca="false">IF($T195,I195-N(F195),"")</f>
        <v/>
      </c>
      <c r="K195" s="13" t="str">
        <f aca="false">IF($C195="","",IF(SUMPRODUCT(--(Setup!$A$5:$A$24=$C195))&gt;0,INDEX(Setup!$B$5:$B$24,21-SUMPRODUCT(MAX((Setup!$A$5:$A$24=$C195)*(25-ROW(Setup!$A$5:$A$24))))),""))</f>
        <v/>
      </c>
      <c r="L195" s="13" t="str">
        <f aca="false">IF($T195,K195*G195/60,"")</f>
        <v/>
      </c>
      <c r="M195" s="12" t="str">
        <f aca="false">IF($T195,G195-N(H195),"")</f>
        <v/>
      </c>
      <c r="N195" s="14" t="str">
        <f aca="false">IF($T195,J195/I195,"")</f>
        <v/>
      </c>
      <c r="O195" s="14" t="str">
        <f aca="false">IF(AND($T195,N(J195)&gt;0),L195/J195,"")</f>
        <v/>
      </c>
      <c r="P195" s="14" t="str">
        <f aca="false">IF(AND($T195,N(G195)&gt;0),M195/G195,"")</f>
        <v/>
      </c>
      <c r="Q195" s="14" t="str">
        <f aca="false">IF($T195,S195/I195,"")</f>
        <v/>
      </c>
      <c r="R195" s="10" t="str">
        <f aca="false">IF($C195="","",IF(NOT(SUMPRODUCT(--(Setup!$A$5:$A$24=$C195))&gt;0),"Machine not in Setup",IF(OR(NOT(ISNUMBER(K195)),N(K195)&lt;=0),"Set an ideal cycle time in Setup",IF(NOT(ISNUMBER(A195)),"Enter a date",IF(OR(NOT(ISNUMBER(D195)),NOT(ISNUMBER(G195)),AND(E195&lt;&gt;"",NOT(ISNUMBER(E195))),AND(F195&lt;&gt;"",NOT(ISNUMBER(F195))),AND(H195&lt;&gt;"",NOT(ISNUMBER(H195)))),"Enter numbers: shift length and total parts are required",IF(OR(N(D195)&lt;=0,N(E195)&lt;0,N(F195)&lt;0,N(G195)&lt;0,N(H195)&lt;0),"Values must be 0 or more (shift length above 0)",IF(N(H195)&gt;N(G195),"Rejects &gt; total parts",IF(N(E195)&gt;=N(D195),"Planned stops &gt;= shift length",IF(N(F195)&gt;N(D195)-N(E195),"Downtime &gt; planned time",IF(AND(ISNUMBER(O195),O195&gt;1),"Check: performance above 100%","OK"))))))))))</f>
        <v/>
      </c>
      <c r="S195" s="13" t="str">
        <f aca="false">IF($T195,K195*M195/60,"")</f>
        <v/>
      </c>
      <c r="T195" s="15" t="b">
        <f aca="false">IF($C195="",FALSE(),AND(SUMPRODUCT(--(Setup!$A$5:$A$24=$C195))&gt;0,ISNUMBER(A195),ISNUMBER(K195),N(K195)&gt;0,ISNUMBER(D195),N(D195)&gt;0,ISNUMBER(G195),N(G195)&gt;=0,OR(E195="",ISNUMBER(E195)),OR(F195="",ISNUMBER(F195)),OR(H195="",ISNUMBER(H195)),N(E195)&gt;=0,N(F195)&gt;=0,N(H195)&gt;=0,N(H195)&lt;=N(G195),N(E195)&lt;N(D195),N(F195)&lt;=N(D195)-N(E195)))</f>
        <v>0</v>
      </c>
    </row>
    <row r="196" customFormat="false" ht="15" hidden="false" customHeight="false" outlineLevel="0" collapsed="false">
      <c r="A196" s="11"/>
      <c r="B196" s="8"/>
      <c r="C196" s="8"/>
      <c r="D196" s="8"/>
      <c r="E196" s="8"/>
      <c r="F196" s="8"/>
      <c r="G196" s="8"/>
      <c r="H196" s="8"/>
      <c r="I196" s="12" t="str">
        <f aca="false">IF($T196,D196-N(E196),"")</f>
        <v/>
      </c>
      <c r="J196" s="12" t="str">
        <f aca="false">IF($T196,I196-N(F196),"")</f>
        <v/>
      </c>
      <c r="K196" s="13" t="str">
        <f aca="false">IF($C196="","",IF(SUMPRODUCT(--(Setup!$A$5:$A$24=$C196))&gt;0,INDEX(Setup!$B$5:$B$24,21-SUMPRODUCT(MAX((Setup!$A$5:$A$24=$C196)*(25-ROW(Setup!$A$5:$A$24))))),""))</f>
        <v/>
      </c>
      <c r="L196" s="13" t="str">
        <f aca="false">IF($T196,K196*G196/60,"")</f>
        <v/>
      </c>
      <c r="M196" s="12" t="str">
        <f aca="false">IF($T196,G196-N(H196),"")</f>
        <v/>
      </c>
      <c r="N196" s="14" t="str">
        <f aca="false">IF($T196,J196/I196,"")</f>
        <v/>
      </c>
      <c r="O196" s="14" t="str">
        <f aca="false">IF(AND($T196,N(J196)&gt;0),L196/J196,"")</f>
        <v/>
      </c>
      <c r="P196" s="14" t="str">
        <f aca="false">IF(AND($T196,N(G196)&gt;0),M196/G196,"")</f>
        <v/>
      </c>
      <c r="Q196" s="14" t="str">
        <f aca="false">IF($T196,S196/I196,"")</f>
        <v/>
      </c>
      <c r="R196" s="10" t="str">
        <f aca="false">IF($C196="","",IF(NOT(SUMPRODUCT(--(Setup!$A$5:$A$24=$C196))&gt;0),"Machine not in Setup",IF(OR(NOT(ISNUMBER(K196)),N(K196)&lt;=0),"Set an ideal cycle time in Setup",IF(NOT(ISNUMBER(A196)),"Enter a date",IF(OR(NOT(ISNUMBER(D196)),NOT(ISNUMBER(G196)),AND(E196&lt;&gt;"",NOT(ISNUMBER(E196))),AND(F196&lt;&gt;"",NOT(ISNUMBER(F196))),AND(H196&lt;&gt;"",NOT(ISNUMBER(H196)))),"Enter numbers: shift length and total parts are required",IF(OR(N(D196)&lt;=0,N(E196)&lt;0,N(F196)&lt;0,N(G196)&lt;0,N(H196)&lt;0),"Values must be 0 or more (shift length above 0)",IF(N(H196)&gt;N(G196),"Rejects &gt; total parts",IF(N(E196)&gt;=N(D196),"Planned stops &gt;= shift length",IF(N(F196)&gt;N(D196)-N(E196),"Downtime &gt; planned time",IF(AND(ISNUMBER(O196),O196&gt;1),"Check: performance above 100%","OK"))))))))))</f>
        <v/>
      </c>
      <c r="S196" s="13" t="str">
        <f aca="false">IF($T196,K196*M196/60,"")</f>
        <v/>
      </c>
      <c r="T196" s="15" t="b">
        <f aca="false">IF($C196="",FALSE(),AND(SUMPRODUCT(--(Setup!$A$5:$A$24=$C196))&gt;0,ISNUMBER(A196),ISNUMBER(K196),N(K196)&gt;0,ISNUMBER(D196),N(D196)&gt;0,ISNUMBER(G196),N(G196)&gt;=0,OR(E196="",ISNUMBER(E196)),OR(F196="",ISNUMBER(F196)),OR(H196="",ISNUMBER(H196)),N(E196)&gt;=0,N(F196)&gt;=0,N(H196)&gt;=0,N(H196)&lt;=N(G196),N(E196)&lt;N(D196),N(F196)&lt;=N(D196)-N(E196)))</f>
        <v>0</v>
      </c>
    </row>
    <row r="197" customFormat="false" ht="15" hidden="false" customHeight="false" outlineLevel="0" collapsed="false">
      <c r="A197" s="11"/>
      <c r="B197" s="8"/>
      <c r="C197" s="8"/>
      <c r="D197" s="8"/>
      <c r="E197" s="8"/>
      <c r="F197" s="8"/>
      <c r="G197" s="8"/>
      <c r="H197" s="8"/>
      <c r="I197" s="12" t="str">
        <f aca="false">IF($T197,D197-N(E197),"")</f>
        <v/>
      </c>
      <c r="J197" s="12" t="str">
        <f aca="false">IF($T197,I197-N(F197),"")</f>
        <v/>
      </c>
      <c r="K197" s="13" t="str">
        <f aca="false">IF($C197="","",IF(SUMPRODUCT(--(Setup!$A$5:$A$24=$C197))&gt;0,INDEX(Setup!$B$5:$B$24,21-SUMPRODUCT(MAX((Setup!$A$5:$A$24=$C197)*(25-ROW(Setup!$A$5:$A$24))))),""))</f>
        <v/>
      </c>
      <c r="L197" s="13" t="str">
        <f aca="false">IF($T197,K197*G197/60,"")</f>
        <v/>
      </c>
      <c r="M197" s="12" t="str">
        <f aca="false">IF($T197,G197-N(H197),"")</f>
        <v/>
      </c>
      <c r="N197" s="14" t="str">
        <f aca="false">IF($T197,J197/I197,"")</f>
        <v/>
      </c>
      <c r="O197" s="14" t="str">
        <f aca="false">IF(AND($T197,N(J197)&gt;0),L197/J197,"")</f>
        <v/>
      </c>
      <c r="P197" s="14" t="str">
        <f aca="false">IF(AND($T197,N(G197)&gt;0),M197/G197,"")</f>
        <v/>
      </c>
      <c r="Q197" s="14" t="str">
        <f aca="false">IF($T197,S197/I197,"")</f>
        <v/>
      </c>
      <c r="R197" s="10" t="str">
        <f aca="false">IF($C197="","",IF(NOT(SUMPRODUCT(--(Setup!$A$5:$A$24=$C197))&gt;0),"Machine not in Setup",IF(OR(NOT(ISNUMBER(K197)),N(K197)&lt;=0),"Set an ideal cycle time in Setup",IF(NOT(ISNUMBER(A197)),"Enter a date",IF(OR(NOT(ISNUMBER(D197)),NOT(ISNUMBER(G197)),AND(E197&lt;&gt;"",NOT(ISNUMBER(E197))),AND(F197&lt;&gt;"",NOT(ISNUMBER(F197))),AND(H197&lt;&gt;"",NOT(ISNUMBER(H197)))),"Enter numbers: shift length and total parts are required",IF(OR(N(D197)&lt;=0,N(E197)&lt;0,N(F197)&lt;0,N(G197)&lt;0,N(H197)&lt;0),"Values must be 0 or more (shift length above 0)",IF(N(H197)&gt;N(G197),"Rejects &gt; total parts",IF(N(E197)&gt;=N(D197),"Planned stops &gt;= shift length",IF(N(F197)&gt;N(D197)-N(E197),"Downtime &gt; planned time",IF(AND(ISNUMBER(O197),O197&gt;1),"Check: performance above 100%","OK"))))))))))</f>
        <v/>
      </c>
      <c r="S197" s="13" t="str">
        <f aca="false">IF($T197,K197*M197/60,"")</f>
        <v/>
      </c>
      <c r="T197" s="15" t="b">
        <f aca="false">IF($C197="",FALSE(),AND(SUMPRODUCT(--(Setup!$A$5:$A$24=$C197))&gt;0,ISNUMBER(A197),ISNUMBER(K197),N(K197)&gt;0,ISNUMBER(D197),N(D197)&gt;0,ISNUMBER(G197),N(G197)&gt;=0,OR(E197="",ISNUMBER(E197)),OR(F197="",ISNUMBER(F197)),OR(H197="",ISNUMBER(H197)),N(E197)&gt;=0,N(F197)&gt;=0,N(H197)&gt;=0,N(H197)&lt;=N(G197),N(E197)&lt;N(D197),N(F197)&lt;=N(D197)-N(E197)))</f>
        <v>0</v>
      </c>
    </row>
    <row r="198" customFormat="false" ht="15" hidden="false" customHeight="false" outlineLevel="0" collapsed="false">
      <c r="A198" s="11"/>
      <c r="B198" s="8"/>
      <c r="C198" s="8"/>
      <c r="D198" s="8"/>
      <c r="E198" s="8"/>
      <c r="F198" s="8"/>
      <c r="G198" s="8"/>
      <c r="H198" s="8"/>
      <c r="I198" s="12" t="str">
        <f aca="false">IF($T198,D198-N(E198),"")</f>
        <v/>
      </c>
      <c r="J198" s="12" t="str">
        <f aca="false">IF($T198,I198-N(F198),"")</f>
        <v/>
      </c>
      <c r="K198" s="13" t="str">
        <f aca="false">IF($C198="","",IF(SUMPRODUCT(--(Setup!$A$5:$A$24=$C198))&gt;0,INDEX(Setup!$B$5:$B$24,21-SUMPRODUCT(MAX((Setup!$A$5:$A$24=$C198)*(25-ROW(Setup!$A$5:$A$24))))),""))</f>
        <v/>
      </c>
      <c r="L198" s="13" t="str">
        <f aca="false">IF($T198,K198*G198/60,"")</f>
        <v/>
      </c>
      <c r="M198" s="12" t="str">
        <f aca="false">IF($T198,G198-N(H198),"")</f>
        <v/>
      </c>
      <c r="N198" s="14" t="str">
        <f aca="false">IF($T198,J198/I198,"")</f>
        <v/>
      </c>
      <c r="O198" s="14" t="str">
        <f aca="false">IF(AND($T198,N(J198)&gt;0),L198/J198,"")</f>
        <v/>
      </c>
      <c r="P198" s="14" t="str">
        <f aca="false">IF(AND($T198,N(G198)&gt;0),M198/G198,"")</f>
        <v/>
      </c>
      <c r="Q198" s="14" t="str">
        <f aca="false">IF($T198,S198/I198,"")</f>
        <v/>
      </c>
      <c r="R198" s="10" t="str">
        <f aca="false">IF($C198="","",IF(NOT(SUMPRODUCT(--(Setup!$A$5:$A$24=$C198))&gt;0),"Machine not in Setup",IF(OR(NOT(ISNUMBER(K198)),N(K198)&lt;=0),"Set an ideal cycle time in Setup",IF(NOT(ISNUMBER(A198)),"Enter a date",IF(OR(NOT(ISNUMBER(D198)),NOT(ISNUMBER(G198)),AND(E198&lt;&gt;"",NOT(ISNUMBER(E198))),AND(F198&lt;&gt;"",NOT(ISNUMBER(F198))),AND(H198&lt;&gt;"",NOT(ISNUMBER(H198)))),"Enter numbers: shift length and total parts are required",IF(OR(N(D198)&lt;=0,N(E198)&lt;0,N(F198)&lt;0,N(G198)&lt;0,N(H198)&lt;0),"Values must be 0 or more (shift length above 0)",IF(N(H198)&gt;N(G198),"Rejects &gt; total parts",IF(N(E198)&gt;=N(D198),"Planned stops &gt;= shift length",IF(N(F198)&gt;N(D198)-N(E198),"Downtime &gt; planned time",IF(AND(ISNUMBER(O198),O198&gt;1),"Check: performance above 100%","OK"))))))))))</f>
        <v/>
      </c>
      <c r="S198" s="13" t="str">
        <f aca="false">IF($T198,K198*M198/60,"")</f>
        <v/>
      </c>
      <c r="T198" s="15" t="b">
        <f aca="false">IF($C198="",FALSE(),AND(SUMPRODUCT(--(Setup!$A$5:$A$24=$C198))&gt;0,ISNUMBER(A198),ISNUMBER(K198),N(K198)&gt;0,ISNUMBER(D198),N(D198)&gt;0,ISNUMBER(G198),N(G198)&gt;=0,OR(E198="",ISNUMBER(E198)),OR(F198="",ISNUMBER(F198)),OR(H198="",ISNUMBER(H198)),N(E198)&gt;=0,N(F198)&gt;=0,N(H198)&gt;=0,N(H198)&lt;=N(G198),N(E198)&lt;N(D198),N(F198)&lt;=N(D198)-N(E198)))</f>
        <v>0</v>
      </c>
    </row>
    <row r="199" customFormat="false" ht="15" hidden="false" customHeight="false" outlineLevel="0" collapsed="false">
      <c r="A199" s="11"/>
      <c r="B199" s="8"/>
      <c r="C199" s="8"/>
      <c r="D199" s="8"/>
      <c r="E199" s="8"/>
      <c r="F199" s="8"/>
      <c r="G199" s="8"/>
      <c r="H199" s="8"/>
      <c r="I199" s="12" t="str">
        <f aca="false">IF($T199,D199-N(E199),"")</f>
        <v/>
      </c>
      <c r="J199" s="12" t="str">
        <f aca="false">IF($T199,I199-N(F199),"")</f>
        <v/>
      </c>
      <c r="K199" s="13" t="str">
        <f aca="false">IF($C199="","",IF(SUMPRODUCT(--(Setup!$A$5:$A$24=$C199))&gt;0,INDEX(Setup!$B$5:$B$24,21-SUMPRODUCT(MAX((Setup!$A$5:$A$24=$C199)*(25-ROW(Setup!$A$5:$A$24))))),""))</f>
        <v/>
      </c>
      <c r="L199" s="13" t="str">
        <f aca="false">IF($T199,K199*G199/60,"")</f>
        <v/>
      </c>
      <c r="M199" s="12" t="str">
        <f aca="false">IF($T199,G199-N(H199),"")</f>
        <v/>
      </c>
      <c r="N199" s="14" t="str">
        <f aca="false">IF($T199,J199/I199,"")</f>
        <v/>
      </c>
      <c r="O199" s="14" t="str">
        <f aca="false">IF(AND($T199,N(J199)&gt;0),L199/J199,"")</f>
        <v/>
      </c>
      <c r="P199" s="14" t="str">
        <f aca="false">IF(AND($T199,N(G199)&gt;0),M199/G199,"")</f>
        <v/>
      </c>
      <c r="Q199" s="14" t="str">
        <f aca="false">IF($T199,S199/I199,"")</f>
        <v/>
      </c>
      <c r="R199" s="10" t="str">
        <f aca="false">IF($C199="","",IF(NOT(SUMPRODUCT(--(Setup!$A$5:$A$24=$C199))&gt;0),"Machine not in Setup",IF(OR(NOT(ISNUMBER(K199)),N(K199)&lt;=0),"Set an ideal cycle time in Setup",IF(NOT(ISNUMBER(A199)),"Enter a date",IF(OR(NOT(ISNUMBER(D199)),NOT(ISNUMBER(G199)),AND(E199&lt;&gt;"",NOT(ISNUMBER(E199))),AND(F199&lt;&gt;"",NOT(ISNUMBER(F199))),AND(H199&lt;&gt;"",NOT(ISNUMBER(H199)))),"Enter numbers: shift length and total parts are required",IF(OR(N(D199)&lt;=0,N(E199)&lt;0,N(F199)&lt;0,N(G199)&lt;0,N(H199)&lt;0),"Values must be 0 or more (shift length above 0)",IF(N(H199)&gt;N(G199),"Rejects &gt; total parts",IF(N(E199)&gt;=N(D199),"Planned stops &gt;= shift length",IF(N(F199)&gt;N(D199)-N(E199),"Downtime &gt; planned time",IF(AND(ISNUMBER(O199),O199&gt;1),"Check: performance above 100%","OK"))))))))))</f>
        <v/>
      </c>
      <c r="S199" s="13" t="str">
        <f aca="false">IF($T199,K199*M199/60,"")</f>
        <v/>
      </c>
      <c r="T199" s="15" t="b">
        <f aca="false">IF($C199="",FALSE(),AND(SUMPRODUCT(--(Setup!$A$5:$A$24=$C199))&gt;0,ISNUMBER(A199),ISNUMBER(K199),N(K199)&gt;0,ISNUMBER(D199),N(D199)&gt;0,ISNUMBER(G199),N(G199)&gt;=0,OR(E199="",ISNUMBER(E199)),OR(F199="",ISNUMBER(F199)),OR(H199="",ISNUMBER(H199)),N(E199)&gt;=0,N(F199)&gt;=0,N(H199)&gt;=0,N(H199)&lt;=N(G199),N(E199)&lt;N(D199),N(F199)&lt;=N(D199)-N(E199)))</f>
        <v>0</v>
      </c>
    </row>
    <row r="200" customFormat="false" ht="15" hidden="false" customHeight="false" outlineLevel="0" collapsed="false">
      <c r="A200" s="11"/>
      <c r="B200" s="8"/>
      <c r="C200" s="8"/>
      <c r="D200" s="8"/>
      <c r="E200" s="8"/>
      <c r="F200" s="8"/>
      <c r="G200" s="8"/>
      <c r="H200" s="8"/>
      <c r="I200" s="12" t="str">
        <f aca="false">IF($T200,D200-N(E200),"")</f>
        <v/>
      </c>
      <c r="J200" s="12" t="str">
        <f aca="false">IF($T200,I200-N(F200),"")</f>
        <v/>
      </c>
      <c r="K200" s="13" t="str">
        <f aca="false">IF($C200="","",IF(SUMPRODUCT(--(Setup!$A$5:$A$24=$C200))&gt;0,INDEX(Setup!$B$5:$B$24,21-SUMPRODUCT(MAX((Setup!$A$5:$A$24=$C200)*(25-ROW(Setup!$A$5:$A$24))))),""))</f>
        <v/>
      </c>
      <c r="L200" s="13" t="str">
        <f aca="false">IF($T200,K200*G200/60,"")</f>
        <v/>
      </c>
      <c r="M200" s="12" t="str">
        <f aca="false">IF($T200,G200-N(H200),"")</f>
        <v/>
      </c>
      <c r="N200" s="14" t="str">
        <f aca="false">IF($T200,J200/I200,"")</f>
        <v/>
      </c>
      <c r="O200" s="14" t="str">
        <f aca="false">IF(AND($T200,N(J200)&gt;0),L200/J200,"")</f>
        <v/>
      </c>
      <c r="P200" s="14" t="str">
        <f aca="false">IF(AND($T200,N(G200)&gt;0),M200/G200,"")</f>
        <v/>
      </c>
      <c r="Q200" s="14" t="str">
        <f aca="false">IF($T200,S200/I200,"")</f>
        <v/>
      </c>
      <c r="R200" s="10" t="str">
        <f aca="false">IF($C200="","",IF(NOT(SUMPRODUCT(--(Setup!$A$5:$A$24=$C200))&gt;0),"Machine not in Setup",IF(OR(NOT(ISNUMBER(K200)),N(K200)&lt;=0),"Set an ideal cycle time in Setup",IF(NOT(ISNUMBER(A200)),"Enter a date",IF(OR(NOT(ISNUMBER(D200)),NOT(ISNUMBER(G200)),AND(E200&lt;&gt;"",NOT(ISNUMBER(E200))),AND(F200&lt;&gt;"",NOT(ISNUMBER(F200))),AND(H200&lt;&gt;"",NOT(ISNUMBER(H200)))),"Enter numbers: shift length and total parts are required",IF(OR(N(D200)&lt;=0,N(E200)&lt;0,N(F200)&lt;0,N(G200)&lt;0,N(H200)&lt;0),"Values must be 0 or more (shift length above 0)",IF(N(H200)&gt;N(G200),"Rejects &gt; total parts",IF(N(E200)&gt;=N(D200),"Planned stops &gt;= shift length",IF(N(F200)&gt;N(D200)-N(E200),"Downtime &gt; planned time",IF(AND(ISNUMBER(O200),O200&gt;1),"Check: performance above 100%","OK"))))))))))</f>
        <v/>
      </c>
      <c r="S200" s="13" t="str">
        <f aca="false">IF($T200,K200*M200/60,"")</f>
        <v/>
      </c>
      <c r="T200" s="15" t="b">
        <f aca="false">IF($C200="",FALSE(),AND(SUMPRODUCT(--(Setup!$A$5:$A$24=$C200))&gt;0,ISNUMBER(A200),ISNUMBER(K200),N(K200)&gt;0,ISNUMBER(D200),N(D200)&gt;0,ISNUMBER(G200),N(G200)&gt;=0,OR(E200="",ISNUMBER(E200)),OR(F200="",ISNUMBER(F200)),OR(H200="",ISNUMBER(H200)),N(E200)&gt;=0,N(F200)&gt;=0,N(H200)&gt;=0,N(H200)&lt;=N(G200),N(E200)&lt;N(D200),N(F200)&lt;=N(D200)-N(E200)))</f>
        <v>0</v>
      </c>
    </row>
    <row r="201" customFormat="false" ht="15" hidden="false" customHeight="false" outlineLevel="0" collapsed="false">
      <c r="A201" s="11"/>
      <c r="B201" s="8"/>
      <c r="C201" s="8"/>
      <c r="D201" s="8"/>
      <c r="E201" s="8"/>
      <c r="F201" s="8"/>
      <c r="G201" s="8"/>
      <c r="H201" s="8"/>
      <c r="I201" s="12" t="str">
        <f aca="false">IF($T201,D201-N(E201),"")</f>
        <v/>
      </c>
      <c r="J201" s="12" t="str">
        <f aca="false">IF($T201,I201-N(F201),"")</f>
        <v/>
      </c>
      <c r="K201" s="13" t="str">
        <f aca="false">IF($C201="","",IF(SUMPRODUCT(--(Setup!$A$5:$A$24=$C201))&gt;0,INDEX(Setup!$B$5:$B$24,21-SUMPRODUCT(MAX((Setup!$A$5:$A$24=$C201)*(25-ROW(Setup!$A$5:$A$24))))),""))</f>
        <v/>
      </c>
      <c r="L201" s="13" t="str">
        <f aca="false">IF($T201,K201*G201/60,"")</f>
        <v/>
      </c>
      <c r="M201" s="12" t="str">
        <f aca="false">IF($T201,G201-N(H201),"")</f>
        <v/>
      </c>
      <c r="N201" s="14" t="str">
        <f aca="false">IF($T201,J201/I201,"")</f>
        <v/>
      </c>
      <c r="O201" s="14" t="str">
        <f aca="false">IF(AND($T201,N(J201)&gt;0),L201/J201,"")</f>
        <v/>
      </c>
      <c r="P201" s="14" t="str">
        <f aca="false">IF(AND($T201,N(G201)&gt;0),M201/G201,"")</f>
        <v/>
      </c>
      <c r="Q201" s="14" t="str">
        <f aca="false">IF($T201,S201/I201,"")</f>
        <v/>
      </c>
      <c r="R201" s="10" t="str">
        <f aca="false">IF($C201="","",IF(NOT(SUMPRODUCT(--(Setup!$A$5:$A$24=$C201))&gt;0),"Machine not in Setup",IF(OR(NOT(ISNUMBER(K201)),N(K201)&lt;=0),"Set an ideal cycle time in Setup",IF(NOT(ISNUMBER(A201)),"Enter a date",IF(OR(NOT(ISNUMBER(D201)),NOT(ISNUMBER(G201)),AND(E201&lt;&gt;"",NOT(ISNUMBER(E201))),AND(F201&lt;&gt;"",NOT(ISNUMBER(F201))),AND(H201&lt;&gt;"",NOT(ISNUMBER(H201)))),"Enter numbers: shift length and total parts are required",IF(OR(N(D201)&lt;=0,N(E201)&lt;0,N(F201)&lt;0,N(G201)&lt;0,N(H201)&lt;0),"Values must be 0 or more (shift length above 0)",IF(N(H201)&gt;N(G201),"Rejects &gt; total parts",IF(N(E201)&gt;=N(D201),"Planned stops &gt;= shift length",IF(N(F201)&gt;N(D201)-N(E201),"Downtime &gt; planned time",IF(AND(ISNUMBER(O201),O201&gt;1),"Check: performance above 100%","OK"))))))))))</f>
        <v/>
      </c>
      <c r="S201" s="13" t="str">
        <f aca="false">IF($T201,K201*M201/60,"")</f>
        <v/>
      </c>
      <c r="T201" s="15" t="b">
        <f aca="false">IF($C201="",FALSE(),AND(SUMPRODUCT(--(Setup!$A$5:$A$24=$C201))&gt;0,ISNUMBER(A201),ISNUMBER(K201),N(K201)&gt;0,ISNUMBER(D201),N(D201)&gt;0,ISNUMBER(G201),N(G201)&gt;=0,OR(E201="",ISNUMBER(E201)),OR(F201="",ISNUMBER(F201)),OR(H201="",ISNUMBER(H201)),N(E201)&gt;=0,N(F201)&gt;=0,N(H201)&gt;=0,N(H201)&lt;=N(G201),N(E201)&lt;N(D201),N(F201)&lt;=N(D201)-N(E201)))</f>
        <v>0</v>
      </c>
    </row>
    <row r="202" customFormat="false" ht="15" hidden="false" customHeight="false" outlineLevel="0" collapsed="false">
      <c r="A202" s="11"/>
      <c r="B202" s="8"/>
      <c r="C202" s="8"/>
      <c r="D202" s="8"/>
      <c r="E202" s="8"/>
      <c r="F202" s="8"/>
      <c r="G202" s="8"/>
      <c r="H202" s="8"/>
      <c r="I202" s="12" t="str">
        <f aca="false">IF($T202,D202-N(E202),"")</f>
        <v/>
      </c>
      <c r="J202" s="12" t="str">
        <f aca="false">IF($T202,I202-N(F202),"")</f>
        <v/>
      </c>
      <c r="K202" s="13" t="str">
        <f aca="false">IF($C202="","",IF(SUMPRODUCT(--(Setup!$A$5:$A$24=$C202))&gt;0,INDEX(Setup!$B$5:$B$24,21-SUMPRODUCT(MAX((Setup!$A$5:$A$24=$C202)*(25-ROW(Setup!$A$5:$A$24))))),""))</f>
        <v/>
      </c>
      <c r="L202" s="13" t="str">
        <f aca="false">IF($T202,K202*G202/60,"")</f>
        <v/>
      </c>
      <c r="M202" s="12" t="str">
        <f aca="false">IF($T202,G202-N(H202),"")</f>
        <v/>
      </c>
      <c r="N202" s="14" t="str">
        <f aca="false">IF($T202,J202/I202,"")</f>
        <v/>
      </c>
      <c r="O202" s="14" t="str">
        <f aca="false">IF(AND($T202,N(J202)&gt;0),L202/J202,"")</f>
        <v/>
      </c>
      <c r="P202" s="14" t="str">
        <f aca="false">IF(AND($T202,N(G202)&gt;0),M202/G202,"")</f>
        <v/>
      </c>
      <c r="Q202" s="14" t="str">
        <f aca="false">IF($T202,S202/I202,"")</f>
        <v/>
      </c>
      <c r="R202" s="10" t="str">
        <f aca="false">IF($C202="","",IF(NOT(SUMPRODUCT(--(Setup!$A$5:$A$24=$C202))&gt;0),"Machine not in Setup",IF(OR(NOT(ISNUMBER(K202)),N(K202)&lt;=0),"Set an ideal cycle time in Setup",IF(NOT(ISNUMBER(A202)),"Enter a date",IF(OR(NOT(ISNUMBER(D202)),NOT(ISNUMBER(G202)),AND(E202&lt;&gt;"",NOT(ISNUMBER(E202))),AND(F202&lt;&gt;"",NOT(ISNUMBER(F202))),AND(H202&lt;&gt;"",NOT(ISNUMBER(H202)))),"Enter numbers: shift length and total parts are required",IF(OR(N(D202)&lt;=0,N(E202)&lt;0,N(F202)&lt;0,N(G202)&lt;0,N(H202)&lt;0),"Values must be 0 or more (shift length above 0)",IF(N(H202)&gt;N(G202),"Rejects &gt; total parts",IF(N(E202)&gt;=N(D202),"Planned stops &gt;= shift length",IF(N(F202)&gt;N(D202)-N(E202),"Downtime &gt; planned time",IF(AND(ISNUMBER(O202),O202&gt;1),"Check: performance above 100%","OK"))))))))))</f>
        <v/>
      </c>
      <c r="S202" s="13" t="str">
        <f aca="false">IF($T202,K202*M202/60,"")</f>
        <v/>
      </c>
      <c r="T202" s="15" t="b">
        <f aca="false">IF($C202="",FALSE(),AND(SUMPRODUCT(--(Setup!$A$5:$A$24=$C202))&gt;0,ISNUMBER(A202),ISNUMBER(K202),N(K202)&gt;0,ISNUMBER(D202),N(D202)&gt;0,ISNUMBER(G202),N(G202)&gt;=0,OR(E202="",ISNUMBER(E202)),OR(F202="",ISNUMBER(F202)),OR(H202="",ISNUMBER(H202)),N(E202)&gt;=0,N(F202)&gt;=0,N(H202)&gt;=0,N(H202)&lt;=N(G202),N(E202)&lt;N(D202),N(F202)&lt;=N(D202)-N(E202)))</f>
        <v>0</v>
      </c>
    </row>
    <row r="203" customFormat="false" ht="15" hidden="false" customHeight="false" outlineLevel="0" collapsed="false">
      <c r="A203" s="11"/>
      <c r="B203" s="8"/>
      <c r="C203" s="8"/>
      <c r="D203" s="8"/>
      <c r="E203" s="8"/>
      <c r="F203" s="8"/>
      <c r="G203" s="8"/>
      <c r="H203" s="8"/>
      <c r="I203" s="12" t="str">
        <f aca="false">IF($T203,D203-N(E203),"")</f>
        <v/>
      </c>
      <c r="J203" s="12" t="str">
        <f aca="false">IF($T203,I203-N(F203),"")</f>
        <v/>
      </c>
      <c r="K203" s="13" t="str">
        <f aca="false">IF($C203="","",IF(SUMPRODUCT(--(Setup!$A$5:$A$24=$C203))&gt;0,INDEX(Setup!$B$5:$B$24,21-SUMPRODUCT(MAX((Setup!$A$5:$A$24=$C203)*(25-ROW(Setup!$A$5:$A$24))))),""))</f>
        <v/>
      </c>
      <c r="L203" s="13" t="str">
        <f aca="false">IF($T203,K203*G203/60,"")</f>
        <v/>
      </c>
      <c r="M203" s="12" t="str">
        <f aca="false">IF($T203,G203-N(H203),"")</f>
        <v/>
      </c>
      <c r="N203" s="14" t="str">
        <f aca="false">IF($T203,J203/I203,"")</f>
        <v/>
      </c>
      <c r="O203" s="14" t="str">
        <f aca="false">IF(AND($T203,N(J203)&gt;0),L203/J203,"")</f>
        <v/>
      </c>
      <c r="P203" s="14" t="str">
        <f aca="false">IF(AND($T203,N(G203)&gt;0),M203/G203,"")</f>
        <v/>
      </c>
      <c r="Q203" s="14" t="str">
        <f aca="false">IF($T203,S203/I203,"")</f>
        <v/>
      </c>
      <c r="R203" s="10" t="str">
        <f aca="false">IF($C203="","",IF(NOT(SUMPRODUCT(--(Setup!$A$5:$A$24=$C203))&gt;0),"Machine not in Setup",IF(OR(NOT(ISNUMBER(K203)),N(K203)&lt;=0),"Set an ideal cycle time in Setup",IF(NOT(ISNUMBER(A203)),"Enter a date",IF(OR(NOT(ISNUMBER(D203)),NOT(ISNUMBER(G203)),AND(E203&lt;&gt;"",NOT(ISNUMBER(E203))),AND(F203&lt;&gt;"",NOT(ISNUMBER(F203))),AND(H203&lt;&gt;"",NOT(ISNUMBER(H203)))),"Enter numbers: shift length and total parts are required",IF(OR(N(D203)&lt;=0,N(E203)&lt;0,N(F203)&lt;0,N(G203)&lt;0,N(H203)&lt;0),"Values must be 0 or more (shift length above 0)",IF(N(H203)&gt;N(G203),"Rejects &gt; total parts",IF(N(E203)&gt;=N(D203),"Planned stops &gt;= shift length",IF(N(F203)&gt;N(D203)-N(E203),"Downtime &gt; planned time",IF(AND(ISNUMBER(O203),O203&gt;1),"Check: performance above 100%","OK"))))))))))</f>
        <v/>
      </c>
      <c r="S203" s="13" t="str">
        <f aca="false">IF($T203,K203*M203/60,"")</f>
        <v/>
      </c>
      <c r="T203" s="15" t="b">
        <f aca="false">IF($C203="",FALSE(),AND(SUMPRODUCT(--(Setup!$A$5:$A$24=$C203))&gt;0,ISNUMBER(A203),ISNUMBER(K203),N(K203)&gt;0,ISNUMBER(D203),N(D203)&gt;0,ISNUMBER(G203),N(G203)&gt;=0,OR(E203="",ISNUMBER(E203)),OR(F203="",ISNUMBER(F203)),OR(H203="",ISNUMBER(H203)),N(E203)&gt;=0,N(F203)&gt;=0,N(H203)&gt;=0,N(H203)&lt;=N(G203),N(E203)&lt;N(D203),N(F203)&lt;=N(D203)-N(E203)))</f>
        <v>0</v>
      </c>
    </row>
    <row r="204" customFormat="false" ht="15" hidden="false" customHeight="false" outlineLevel="0" collapsed="false">
      <c r="A204" s="11"/>
      <c r="B204" s="8"/>
      <c r="C204" s="8"/>
      <c r="D204" s="8"/>
      <c r="E204" s="8"/>
      <c r="F204" s="8"/>
      <c r="G204" s="8"/>
      <c r="H204" s="8"/>
      <c r="I204" s="12" t="str">
        <f aca="false">IF($T204,D204-N(E204),"")</f>
        <v/>
      </c>
      <c r="J204" s="12" t="str">
        <f aca="false">IF($T204,I204-N(F204),"")</f>
        <v/>
      </c>
      <c r="K204" s="13" t="str">
        <f aca="false">IF($C204="","",IF(SUMPRODUCT(--(Setup!$A$5:$A$24=$C204))&gt;0,INDEX(Setup!$B$5:$B$24,21-SUMPRODUCT(MAX((Setup!$A$5:$A$24=$C204)*(25-ROW(Setup!$A$5:$A$24))))),""))</f>
        <v/>
      </c>
      <c r="L204" s="13" t="str">
        <f aca="false">IF($T204,K204*G204/60,"")</f>
        <v/>
      </c>
      <c r="M204" s="12" t="str">
        <f aca="false">IF($T204,G204-N(H204),"")</f>
        <v/>
      </c>
      <c r="N204" s="14" t="str">
        <f aca="false">IF($T204,J204/I204,"")</f>
        <v/>
      </c>
      <c r="O204" s="14" t="str">
        <f aca="false">IF(AND($T204,N(J204)&gt;0),L204/J204,"")</f>
        <v/>
      </c>
      <c r="P204" s="14" t="str">
        <f aca="false">IF(AND($T204,N(G204)&gt;0),M204/G204,"")</f>
        <v/>
      </c>
      <c r="Q204" s="14" t="str">
        <f aca="false">IF($T204,S204/I204,"")</f>
        <v/>
      </c>
      <c r="R204" s="10" t="str">
        <f aca="false">IF($C204="","",IF(NOT(SUMPRODUCT(--(Setup!$A$5:$A$24=$C204))&gt;0),"Machine not in Setup",IF(OR(NOT(ISNUMBER(K204)),N(K204)&lt;=0),"Set an ideal cycle time in Setup",IF(NOT(ISNUMBER(A204)),"Enter a date",IF(OR(NOT(ISNUMBER(D204)),NOT(ISNUMBER(G204)),AND(E204&lt;&gt;"",NOT(ISNUMBER(E204))),AND(F204&lt;&gt;"",NOT(ISNUMBER(F204))),AND(H204&lt;&gt;"",NOT(ISNUMBER(H204)))),"Enter numbers: shift length and total parts are required",IF(OR(N(D204)&lt;=0,N(E204)&lt;0,N(F204)&lt;0,N(G204)&lt;0,N(H204)&lt;0),"Values must be 0 or more (shift length above 0)",IF(N(H204)&gt;N(G204),"Rejects &gt; total parts",IF(N(E204)&gt;=N(D204),"Planned stops &gt;= shift length",IF(N(F204)&gt;N(D204)-N(E204),"Downtime &gt; planned time",IF(AND(ISNUMBER(O204),O204&gt;1),"Check: performance above 100%","OK"))))))))))</f>
        <v/>
      </c>
      <c r="S204" s="13" t="str">
        <f aca="false">IF($T204,K204*M204/60,"")</f>
        <v/>
      </c>
      <c r="T204" s="15" t="b">
        <f aca="false">IF($C204="",FALSE(),AND(SUMPRODUCT(--(Setup!$A$5:$A$24=$C204))&gt;0,ISNUMBER(A204),ISNUMBER(K204),N(K204)&gt;0,ISNUMBER(D204),N(D204)&gt;0,ISNUMBER(G204),N(G204)&gt;=0,OR(E204="",ISNUMBER(E204)),OR(F204="",ISNUMBER(F204)),OR(H204="",ISNUMBER(H204)),N(E204)&gt;=0,N(F204)&gt;=0,N(H204)&gt;=0,N(H204)&lt;=N(G204),N(E204)&lt;N(D204),N(F204)&lt;=N(D204)-N(E204)))</f>
        <v>0</v>
      </c>
    </row>
    <row r="205" customFormat="false" ht="15" hidden="false" customHeight="false" outlineLevel="0" collapsed="false">
      <c r="A205" s="11"/>
      <c r="B205" s="8"/>
      <c r="C205" s="8"/>
      <c r="D205" s="8"/>
      <c r="E205" s="8"/>
      <c r="F205" s="8"/>
      <c r="G205" s="8"/>
      <c r="H205" s="8"/>
      <c r="I205" s="12" t="str">
        <f aca="false">IF($T205,D205-N(E205),"")</f>
        <v/>
      </c>
      <c r="J205" s="12" t="str">
        <f aca="false">IF($T205,I205-N(F205),"")</f>
        <v/>
      </c>
      <c r="K205" s="13" t="str">
        <f aca="false">IF($C205="","",IF(SUMPRODUCT(--(Setup!$A$5:$A$24=$C205))&gt;0,INDEX(Setup!$B$5:$B$24,21-SUMPRODUCT(MAX((Setup!$A$5:$A$24=$C205)*(25-ROW(Setup!$A$5:$A$24))))),""))</f>
        <v/>
      </c>
      <c r="L205" s="13" t="str">
        <f aca="false">IF($T205,K205*G205/60,"")</f>
        <v/>
      </c>
      <c r="M205" s="12" t="str">
        <f aca="false">IF($T205,G205-N(H205),"")</f>
        <v/>
      </c>
      <c r="N205" s="14" t="str">
        <f aca="false">IF($T205,J205/I205,"")</f>
        <v/>
      </c>
      <c r="O205" s="14" t="str">
        <f aca="false">IF(AND($T205,N(J205)&gt;0),L205/J205,"")</f>
        <v/>
      </c>
      <c r="P205" s="14" t="str">
        <f aca="false">IF(AND($T205,N(G205)&gt;0),M205/G205,"")</f>
        <v/>
      </c>
      <c r="Q205" s="14" t="str">
        <f aca="false">IF($T205,S205/I205,"")</f>
        <v/>
      </c>
      <c r="R205" s="10" t="str">
        <f aca="false">IF($C205="","",IF(NOT(SUMPRODUCT(--(Setup!$A$5:$A$24=$C205))&gt;0),"Machine not in Setup",IF(OR(NOT(ISNUMBER(K205)),N(K205)&lt;=0),"Set an ideal cycle time in Setup",IF(NOT(ISNUMBER(A205)),"Enter a date",IF(OR(NOT(ISNUMBER(D205)),NOT(ISNUMBER(G205)),AND(E205&lt;&gt;"",NOT(ISNUMBER(E205))),AND(F205&lt;&gt;"",NOT(ISNUMBER(F205))),AND(H205&lt;&gt;"",NOT(ISNUMBER(H205)))),"Enter numbers: shift length and total parts are required",IF(OR(N(D205)&lt;=0,N(E205)&lt;0,N(F205)&lt;0,N(G205)&lt;0,N(H205)&lt;0),"Values must be 0 or more (shift length above 0)",IF(N(H205)&gt;N(G205),"Rejects &gt; total parts",IF(N(E205)&gt;=N(D205),"Planned stops &gt;= shift length",IF(N(F205)&gt;N(D205)-N(E205),"Downtime &gt; planned time",IF(AND(ISNUMBER(O205),O205&gt;1),"Check: performance above 100%","OK"))))))))))</f>
        <v/>
      </c>
      <c r="S205" s="13" t="str">
        <f aca="false">IF($T205,K205*M205/60,"")</f>
        <v/>
      </c>
      <c r="T205" s="15" t="b">
        <f aca="false">IF($C205="",FALSE(),AND(SUMPRODUCT(--(Setup!$A$5:$A$24=$C205))&gt;0,ISNUMBER(A205),ISNUMBER(K205),N(K205)&gt;0,ISNUMBER(D205),N(D205)&gt;0,ISNUMBER(G205),N(G205)&gt;=0,OR(E205="",ISNUMBER(E205)),OR(F205="",ISNUMBER(F205)),OR(H205="",ISNUMBER(H205)),N(E205)&gt;=0,N(F205)&gt;=0,N(H205)&gt;=0,N(H205)&lt;=N(G205),N(E205)&lt;N(D205),N(F205)&lt;=N(D205)-N(E205)))</f>
        <v>0</v>
      </c>
    </row>
    <row r="206" customFormat="false" ht="15" hidden="false" customHeight="false" outlineLevel="0" collapsed="false">
      <c r="A206" s="11"/>
      <c r="B206" s="8"/>
      <c r="C206" s="8"/>
      <c r="D206" s="8"/>
      <c r="E206" s="8"/>
      <c r="F206" s="8"/>
      <c r="G206" s="8"/>
      <c r="H206" s="8"/>
      <c r="I206" s="12" t="str">
        <f aca="false">IF($T206,D206-N(E206),"")</f>
        <v/>
      </c>
      <c r="J206" s="12" t="str">
        <f aca="false">IF($T206,I206-N(F206),"")</f>
        <v/>
      </c>
      <c r="K206" s="13" t="str">
        <f aca="false">IF($C206="","",IF(SUMPRODUCT(--(Setup!$A$5:$A$24=$C206))&gt;0,INDEX(Setup!$B$5:$B$24,21-SUMPRODUCT(MAX((Setup!$A$5:$A$24=$C206)*(25-ROW(Setup!$A$5:$A$24))))),""))</f>
        <v/>
      </c>
      <c r="L206" s="13" t="str">
        <f aca="false">IF($T206,K206*G206/60,"")</f>
        <v/>
      </c>
      <c r="M206" s="12" t="str">
        <f aca="false">IF($T206,G206-N(H206),"")</f>
        <v/>
      </c>
      <c r="N206" s="14" t="str">
        <f aca="false">IF($T206,J206/I206,"")</f>
        <v/>
      </c>
      <c r="O206" s="14" t="str">
        <f aca="false">IF(AND($T206,N(J206)&gt;0),L206/J206,"")</f>
        <v/>
      </c>
      <c r="P206" s="14" t="str">
        <f aca="false">IF(AND($T206,N(G206)&gt;0),M206/G206,"")</f>
        <v/>
      </c>
      <c r="Q206" s="14" t="str">
        <f aca="false">IF($T206,S206/I206,"")</f>
        <v/>
      </c>
      <c r="R206" s="10" t="str">
        <f aca="false">IF($C206="","",IF(NOT(SUMPRODUCT(--(Setup!$A$5:$A$24=$C206))&gt;0),"Machine not in Setup",IF(OR(NOT(ISNUMBER(K206)),N(K206)&lt;=0),"Set an ideal cycle time in Setup",IF(NOT(ISNUMBER(A206)),"Enter a date",IF(OR(NOT(ISNUMBER(D206)),NOT(ISNUMBER(G206)),AND(E206&lt;&gt;"",NOT(ISNUMBER(E206))),AND(F206&lt;&gt;"",NOT(ISNUMBER(F206))),AND(H206&lt;&gt;"",NOT(ISNUMBER(H206)))),"Enter numbers: shift length and total parts are required",IF(OR(N(D206)&lt;=0,N(E206)&lt;0,N(F206)&lt;0,N(G206)&lt;0,N(H206)&lt;0),"Values must be 0 or more (shift length above 0)",IF(N(H206)&gt;N(G206),"Rejects &gt; total parts",IF(N(E206)&gt;=N(D206),"Planned stops &gt;= shift length",IF(N(F206)&gt;N(D206)-N(E206),"Downtime &gt; planned time",IF(AND(ISNUMBER(O206),O206&gt;1),"Check: performance above 100%","OK"))))))))))</f>
        <v/>
      </c>
      <c r="S206" s="13" t="str">
        <f aca="false">IF($T206,K206*M206/60,"")</f>
        <v/>
      </c>
      <c r="T206" s="15" t="b">
        <f aca="false">IF($C206="",FALSE(),AND(SUMPRODUCT(--(Setup!$A$5:$A$24=$C206))&gt;0,ISNUMBER(A206),ISNUMBER(K206),N(K206)&gt;0,ISNUMBER(D206),N(D206)&gt;0,ISNUMBER(G206),N(G206)&gt;=0,OR(E206="",ISNUMBER(E206)),OR(F206="",ISNUMBER(F206)),OR(H206="",ISNUMBER(H206)),N(E206)&gt;=0,N(F206)&gt;=0,N(H206)&gt;=0,N(H206)&lt;=N(G206),N(E206)&lt;N(D206),N(F206)&lt;=N(D206)-N(E206)))</f>
        <v>0</v>
      </c>
    </row>
    <row r="207" customFormat="false" ht="15" hidden="false" customHeight="false" outlineLevel="0" collapsed="false">
      <c r="A207" s="11"/>
      <c r="B207" s="8"/>
      <c r="C207" s="8"/>
      <c r="D207" s="8"/>
      <c r="E207" s="8"/>
      <c r="F207" s="8"/>
      <c r="G207" s="8"/>
      <c r="H207" s="8"/>
      <c r="I207" s="12" t="str">
        <f aca="false">IF($T207,D207-N(E207),"")</f>
        <v/>
      </c>
      <c r="J207" s="12" t="str">
        <f aca="false">IF($T207,I207-N(F207),"")</f>
        <v/>
      </c>
      <c r="K207" s="13" t="str">
        <f aca="false">IF($C207="","",IF(SUMPRODUCT(--(Setup!$A$5:$A$24=$C207))&gt;0,INDEX(Setup!$B$5:$B$24,21-SUMPRODUCT(MAX((Setup!$A$5:$A$24=$C207)*(25-ROW(Setup!$A$5:$A$24))))),""))</f>
        <v/>
      </c>
      <c r="L207" s="13" t="str">
        <f aca="false">IF($T207,K207*G207/60,"")</f>
        <v/>
      </c>
      <c r="M207" s="12" t="str">
        <f aca="false">IF($T207,G207-N(H207),"")</f>
        <v/>
      </c>
      <c r="N207" s="14" t="str">
        <f aca="false">IF($T207,J207/I207,"")</f>
        <v/>
      </c>
      <c r="O207" s="14" t="str">
        <f aca="false">IF(AND($T207,N(J207)&gt;0),L207/J207,"")</f>
        <v/>
      </c>
      <c r="P207" s="14" t="str">
        <f aca="false">IF(AND($T207,N(G207)&gt;0),M207/G207,"")</f>
        <v/>
      </c>
      <c r="Q207" s="14" t="str">
        <f aca="false">IF($T207,S207/I207,"")</f>
        <v/>
      </c>
      <c r="R207" s="10" t="str">
        <f aca="false">IF($C207="","",IF(NOT(SUMPRODUCT(--(Setup!$A$5:$A$24=$C207))&gt;0),"Machine not in Setup",IF(OR(NOT(ISNUMBER(K207)),N(K207)&lt;=0),"Set an ideal cycle time in Setup",IF(NOT(ISNUMBER(A207)),"Enter a date",IF(OR(NOT(ISNUMBER(D207)),NOT(ISNUMBER(G207)),AND(E207&lt;&gt;"",NOT(ISNUMBER(E207))),AND(F207&lt;&gt;"",NOT(ISNUMBER(F207))),AND(H207&lt;&gt;"",NOT(ISNUMBER(H207)))),"Enter numbers: shift length and total parts are required",IF(OR(N(D207)&lt;=0,N(E207)&lt;0,N(F207)&lt;0,N(G207)&lt;0,N(H207)&lt;0),"Values must be 0 or more (shift length above 0)",IF(N(H207)&gt;N(G207),"Rejects &gt; total parts",IF(N(E207)&gt;=N(D207),"Planned stops &gt;= shift length",IF(N(F207)&gt;N(D207)-N(E207),"Downtime &gt; planned time",IF(AND(ISNUMBER(O207),O207&gt;1),"Check: performance above 100%","OK"))))))))))</f>
        <v/>
      </c>
      <c r="S207" s="13" t="str">
        <f aca="false">IF($T207,K207*M207/60,"")</f>
        <v/>
      </c>
      <c r="T207" s="15" t="b">
        <f aca="false">IF($C207="",FALSE(),AND(SUMPRODUCT(--(Setup!$A$5:$A$24=$C207))&gt;0,ISNUMBER(A207),ISNUMBER(K207),N(K207)&gt;0,ISNUMBER(D207),N(D207)&gt;0,ISNUMBER(G207),N(G207)&gt;=0,OR(E207="",ISNUMBER(E207)),OR(F207="",ISNUMBER(F207)),OR(H207="",ISNUMBER(H207)),N(E207)&gt;=0,N(F207)&gt;=0,N(H207)&gt;=0,N(H207)&lt;=N(G207),N(E207)&lt;N(D207),N(F207)&lt;=N(D207)-N(E207)))</f>
        <v>0</v>
      </c>
    </row>
    <row r="208" customFormat="false" ht="15" hidden="false" customHeight="false" outlineLevel="0" collapsed="false">
      <c r="A208" s="11"/>
      <c r="B208" s="8"/>
      <c r="C208" s="8"/>
      <c r="D208" s="8"/>
      <c r="E208" s="8"/>
      <c r="F208" s="8"/>
      <c r="G208" s="8"/>
      <c r="H208" s="8"/>
      <c r="I208" s="12" t="str">
        <f aca="false">IF($T208,D208-N(E208),"")</f>
        <v/>
      </c>
      <c r="J208" s="12" t="str">
        <f aca="false">IF($T208,I208-N(F208),"")</f>
        <v/>
      </c>
      <c r="K208" s="13" t="str">
        <f aca="false">IF($C208="","",IF(SUMPRODUCT(--(Setup!$A$5:$A$24=$C208))&gt;0,INDEX(Setup!$B$5:$B$24,21-SUMPRODUCT(MAX((Setup!$A$5:$A$24=$C208)*(25-ROW(Setup!$A$5:$A$24))))),""))</f>
        <v/>
      </c>
      <c r="L208" s="13" t="str">
        <f aca="false">IF($T208,K208*G208/60,"")</f>
        <v/>
      </c>
      <c r="M208" s="12" t="str">
        <f aca="false">IF($T208,G208-N(H208),"")</f>
        <v/>
      </c>
      <c r="N208" s="14" t="str">
        <f aca="false">IF($T208,J208/I208,"")</f>
        <v/>
      </c>
      <c r="O208" s="14" t="str">
        <f aca="false">IF(AND($T208,N(J208)&gt;0),L208/J208,"")</f>
        <v/>
      </c>
      <c r="P208" s="14" t="str">
        <f aca="false">IF(AND($T208,N(G208)&gt;0),M208/G208,"")</f>
        <v/>
      </c>
      <c r="Q208" s="14" t="str">
        <f aca="false">IF($T208,S208/I208,"")</f>
        <v/>
      </c>
      <c r="R208" s="10" t="str">
        <f aca="false">IF($C208="","",IF(NOT(SUMPRODUCT(--(Setup!$A$5:$A$24=$C208))&gt;0),"Machine not in Setup",IF(OR(NOT(ISNUMBER(K208)),N(K208)&lt;=0),"Set an ideal cycle time in Setup",IF(NOT(ISNUMBER(A208)),"Enter a date",IF(OR(NOT(ISNUMBER(D208)),NOT(ISNUMBER(G208)),AND(E208&lt;&gt;"",NOT(ISNUMBER(E208))),AND(F208&lt;&gt;"",NOT(ISNUMBER(F208))),AND(H208&lt;&gt;"",NOT(ISNUMBER(H208)))),"Enter numbers: shift length and total parts are required",IF(OR(N(D208)&lt;=0,N(E208)&lt;0,N(F208)&lt;0,N(G208)&lt;0,N(H208)&lt;0),"Values must be 0 or more (shift length above 0)",IF(N(H208)&gt;N(G208),"Rejects &gt; total parts",IF(N(E208)&gt;=N(D208),"Planned stops &gt;= shift length",IF(N(F208)&gt;N(D208)-N(E208),"Downtime &gt; planned time",IF(AND(ISNUMBER(O208),O208&gt;1),"Check: performance above 100%","OK"))))))))))</f>
        <v/>
      </c>
      <c r="S208" s="13" t="str">
        <f aca="false">IF($T208,K208*M208/60,"")</f>
        <v/>
      </c>
      <c r="T208" s="15" t="b">
        <f aca="false">IF($C208="",FALSE(),AND(SUMPRODUCT(--(Setup!$A$5:$A$24=$C208))&gt;0,ISNUMBER(A208),ISNUMBER(K208),N(K208)&gt;0,ISNUMBER(D208),N(D208)&gt;0,ISNUMBER(G208),N(G208)&gt;=0,OR(E208="",ISNUMBER(E208)),OR(F208="",ISNUMBER(F208)),OR(H208="",ISNUMBER(H208)),N(E208)&gt;=0,N(F208)&gt;=0,N(H208)&gt;=0,N(H208)&lt;=N(G208),N(E208)&lt;N(D208),N(F208)&lt;=N(D208)-N(E208)))</f>
        <v>0</v>
      </c>
    </row>
    <row r="209" customFormat="false" ht="15" hidden="false" customHeight="false" outlineLevel="0" collapsed="false">
      <c r="A209" s="11"/>
      <c r="B209" s="8"/>
      <c r="C209" s="8"/>
      <c r="D209" s="8"/>
      <c r="E209" s="8"/>
      <c r="F209" s="8"/>
      <c r="G209" s="8"/>
      <c r="H209" s="8"/>
      <c r="I209" s="12" t="str">
        <f aca="false">IF($T209,D209-N(E209),"")</f>
        <v/>
      </c>
      <c r="J209" s="12" t="str">
        <f aca="false">IF($T209,I209-N(F209),"")</f>
        <v/>
      </c>
      <c r="K209" s="13" t="str">
        <f aca="false">IF($C209="","",IF(SUMPRODUCT(--(Setup!$A$5:$A$24=$C209))&gt;0,INDEX(Setup!$B$5:$B$24,21-SUMPRODUCT(MAX((Setup!$A$5:$A$24=$C209)*(25-ROW(Setup!$A$5:$A$24))))),""))</f>
        <v/>
      </c>
      <c r="L209" s="13" t="str">
        <f aca="false">IF($T209,K209*G209/60,"")</f>
        <v/>
      </c>
      <c r="M209" s="12" t="str">
        <f aca="false">IF($T209,G209-N(H209),"")</f>
        <v/>
      </c>
      <c r="N209" s="14" t="str">
        <f aca="false">IF($T209,J209/I209,"")</f>
        <v/>
      </c>
      <c r="O209" s="14" t="str">
        <f aca="false">IF(AND($T209,N(J209)&gt;0),L209/J209,"")</f>
        <v/>
      </c>
      <c r="P209" s="14" t="str">
        <f aca="false">IF(AND($T209,N(G209)&gt;0),M209/G209,"")</f>
        <v/>
      </c>
      <c r="Q209" s="14" t="str">
        <f aca="false">IF($T209,S209/I209,"")</f>
        <v/>
      </c>
      <c r="R209" s="10" t="str">
        <f aca="false">IF($C209="","",IF(NOT(SUMPRODUCT(--(Setup!$A$5:$A$24=$C209))&gt;0),"Machine not in Setup",IF(OR(NOT(ISNUMBER(K209)),N(K209)&lt;=0),"Set an ideal cycle time in Setup",IF(NOT(ISNUMBER(A209)),"Enter a date",IF(OR(NOT(ISNUMBER(D209)),NOT(ISNUMBER(G209)),AND(E209&lt;&gt;"",NOT(ISNUMBER(E209))),AND(F209&lt;&gt;"",NOT(ISNUMBER(F209))),AND(H209&lt;&gt;"",NOT(ISNUMBER(H209)))),"Enter numbers: shift length and total parts are required",IF(OR(N(D209)&lt;=0,N(E209)&lt;0,N(F209)&lt;0,N(G209)&lt;0,N(H209)&lt;0),"Values must be 0 or more (shift length above 0)",IF(N(H209)&gt;N(G209),"Rejects &gt; total parts",IF(N(E209)&gt;=N(D209),"Planned stops &gt;= shift length",IF(N(F209)&gt;N(D209)-N(E209),"Downtime &gt; planned time",IF(AND(ISNUMBER(O209),O209&gt;1),"Check: performance above 100%","OK"))))))))))</f>
        <v/>
      </c>
      <c r="S209" s="13" t="str">
        <f aca="false">IF($T209,K209*M209/60,"")</f>
        <v/>
      </c>
      <c r="T209" s="15" t="b">
        <f aca="false">IF($C209="",FALSE(),AND(SUMPRODUCT(--(Setup!$A$5:$A$24=$C209))&gt;0,ISNUMBER(A209),ISNUMBER(K209),N(K209)&gt;0,ISNUMBER(D209),N(D209)&gt;0,ISNUMBER(G209),N(G209)&gt;=0,OR(E209="",ISNUMBER(E209)),OR(F209="",ISNUMBER(F209)),OR(H209="",ISNUMBER(H209)),N(E209)&gt;=0,N(F209)&gt;=0,N(H209)&gt;=0,N(H209)&lt;=N(G209),N(E209)&lt;N(D209),N(F209)&lt;=N(D209)-N(E209)))</f>
        <v>0</v>
      </c>
    </row>
    <row r="210" customFormat="false" ht="15" hidden="false" customHeight="false" outlineLevel="0" collapsed="false">
      <c r="A210" s="11"/>
      <c r="B210" s="8"/>
      <c r="C210" s="8"/>
      <c r="D210" s="8"/>
      <c r="E210" s="8"/>
      <c r="F210" s="8"/>
      <c r="G210" s="8"/>
      <c r="H210" s="8"/>
      <c r="I210" s="12" t="str">
        <f aca="false">IF($T210,D210-N(E210),"")</f>
        <v/>
      </c>
      <c r="J210" s="12" t="str">
        <f aca="false">IF($T210,I210-N(F210),"")</f>
        <v/>
      </c>
      <c r="K210" s="13" t="str">
        <f aca="false">IF($C210="","",IF(SUMPRODUCT(--(Setup!$A$5:$A$24=$C210))&gt;0,INDEX(Setup!$B$5:$B$24,21-SUMPRODUCT(MAX((Setup!$A$5:$A$24=$C210)*(25-ROW(Setup!$A$5:$A$24))))),""))</f>
        <v/>
      </c>
      <c r="L210" s="13" t="str">
        <f aca="false">IF($T210,K210*G210/60,"")</f>
        <v/>
      </c>
      <c r="M210" s="12" t="str">
        <f aca="false">IF($T210,G210-N(H210),"")</f>
        <v/>
      </c>
      <c r="N210" s="14" t="str">
        <f aca="false">IF($T210,J210/I210,"")</f>
        <v/>
      </c>
      <c r="O210" s="14" t="str">
        <f aca="false">IF(AND($T210,N(J210)&gt;0),L210/J210,"")</f>
        <v/>
      </c>
      <c r="P210" s="14" t="str">
        <f aca="false">IF(AND($T210,N(G210)&gt;0),M210/G210,"")</f>
        <v/>
      </c>
      <c r="Q210" s="14" t="str">
        <f aca="false">IF($T210,S210/I210,"")</f>
        <v/>
      </c>
      <c r="R210" s="10" t="str">
        <f aca="false">IF($C210="","",IF(NOT(SUMPRODUCT(--(Setup!$A$5:$A$24=$C210))&gt;0),"Machine not in Setup",IF(OR(NOT(ISNUMBER(K210)),N(K210)&lt;=0),"Set an ideal cycle time in Setup",IF(NOT(ISNUMBER(A210)),"Enter a date",IF(OR(NOT(ISNUMBER(D210)),NOT(ISNUMBER(G210)),AND(E210&lt;&gt;"",NOT(ISNUMBER(E210))),AND(F210&lt;&gt;"",NOT(ISNUMBER(F210))),AND(H210&lt;&gt;"",NOT(ISNUMBER(H210)))),"Enter numbers: shift length and total parts are required",IF(OR(N(D210)&lt;=0,N(E210)&lt;0,N(F210)&lt;0,N(G210)&lt;0,N(H210)&lt;0),"Values must be 0 or more (shift length above 0)",IF(N(H210)&gt;N(G210),"Rejects &gt; total parts",IF(N(E210)&gt;=N(D210),"Planned stops &gt;= shift length",IF(N(F210)&gt;N(D210)-N(E210),"Downtime &gt; planned time",IF(AND(ISNUMBER(O210),O210&gt;1),"Check: performance above 100%","OK"))))))))))</f>
        <v/>
      </c>
      <c r="S210" s="13" t="str">
        <f aca="false">IF($T210,K210*M210/60,"")</f>
        <v/>
      </c>
      <c r="T210" s="15" t="b">
        <f aca="false">IF($C210="",FALSE(),AND(SUMPRODUCT(--(Setup!$A$5:$A$24=$C210))&gt;0,ISNUMBER(A210),ISNUMBER(K210),N(K210)&gt;0,ISNUMBER(D210),N(D210)&gt;0,ISNUMBER(G210),N(G210)&gt;=0,OR(E210="",ISNUMBER(E210)),OR(F210="",ISNUMBER(F210)),OR(H210="",ISNUMBER(H210)),N(E210)&gt;=0,N(F210)&gt;=0,N(H210)&gt;=0,N(H210)&lt;=N(G210),N(E210)&lt;N(D210),N(F210)&lt;=N(D210)-N(E210)))</f>
        <v>0</v>
      </c>
    </row>
    <row r="211" customFormat="false" ht="15" hidden="false" customHeight="false" outlineLevel="0" collapsed="false">
      <c r="A211" s="11"/>
      <c r="B211" s="8"/>
      <c r="C211" s="8"/>
      <c r="D211" s="8"/>
      <c r="E211" s="8"/>
      <c r="F211" s="8"/>
      <c r="G211" s="8"/>
      <c r="H211" s="8"/>
      <c r="I211" s="12" t="str">
        <f aca="false">IF($T211,D211-N(E211),"")</f>
        <v/>
      </c>
      <c r="J211" s="12" t="str">
        <f aca="false">IF($T211,I211-N(F211),"")</f>
        <v/>
      </c>
      <c r="K211" s="13" t="str">
        <f aca="false">IF($C211="","",IF(SUMPRODUCT(--(Setup!$A$5:$A$24=$C211))&gt;0,INDEX(Setup!$B$5:$B$24,21-SUMPRODUCT(MAX((Setup!$A$5:$A$24=$C211)*(25-ROW(Setup!$A$5:$A$24))))),""))</f>
        <v/>
      </c>
      <c r="L211" s="13" t="str">
        <f aca="false">IF($T211,K211*G211/60,"")</f>
        <v/>
      </c>
      <c r="M211" s="12" t="str">
        <f aca="false">IF($T211,G211-N(H211),"")</f>
        <v/>
      </c>
      <c r="N211" s="14" t="str">
        <f aca="false">IF($T211,J211/I211,"")</f>
        <v/>
      </c>
      <c r="O211" s="14" t="str">
        <f aca="false">IF(AND($T211,N(J211)&gt;0),L211/J211,"")</f>
        <v/>
      </c>
      <c r="P211" s="14" t="str">
        <f aca="false">IF(AND($T211,N(G211)&gt;0),M211/G211,"")</f>
        <v/>
      </c>
      <c r="Q211" s="14" t="str">
        <f aca="false">IF($T211,S211/I211,"")</f>
        <v/>
      </c>
      <c r="R211" s="10" t="str">
        <f aca="false">IF($C211="","",IF(NOT(SUMPRODUCT(--(Setup!$A$5:$A$24=$C211))&gt;0),"Machine not in Setup",IF(OR(NOT(ISNUMBER(K211)),N(K211)&lt;=0),"Set an ideal cycle time in Setup",IF(NOT(ISNUMBER(A211)),"Enter a date",IF(OR(NOT(ISNUMBER(D211)),NOT(ISNUMBER(G211)),AND(E211&lt;&gt;"",NOT(ISNUMBER(E211))),AND(F211&lt;&gt;"",NOT(ISNUMBER(F211))),AND(H211&lt;&gt;"",NOT(ISNUMBER(H211)))),"Enter numbers: shift length and total parts are required",IF(OR(N(D211)&lt;=0,N(E211)&lt;0,N(F211)&lt;0,N(G211)&lt;0,N(H211)&lt;0),"Values must be 0 or more (shift length above 0)",IF(N(H211)&gt;N(G211),"Rejects &gt; total parts",IF(N(E211)&gt;=N(D211),"Planned stops &gt;= shift length",IF(N(F211)&gt;N(D211)-N(E211),"Downtime &gt; planned time",IF(AND(ISNUMBER(O211),O211&gt;1),"Check: performance above 100%","OK"))))))))))</f>
        <v/>
      </c>
      <c r="S211" s="13" t="str">
        <f aca="false">IF($T211,K211*M211/60,"")</f>
        <v/>
      </c>
      <c r="T211" s="15" t="b">
        <f aca="false">IF($C211="",FALSE(),AND(SUMPRODUCT(--(Setup!$A$5:$A$24=$C211))&gt;0,ISNUMBER(A211),ISNUMBER(K211),N(K211)&gt;0,ISNUMBER(D211),N(D211)&gt;0,ISNUMBER(G211),N(G211)&gt;=0,OR(E211="",ISNUMBER(E211)),OR(F211="",ISNUMBER(F211)),OR(H211="",ISNUMBER(H211)),N(E211)&gt;=0,N(F211)&gt;=0,N(H211)&gt;=0,N(H211)&lt;=N(G211),N(E211)&lt;N(D211),N(F211)&lt;=N(D211)-N(E211)))</f>
        <v>0</v>
      </c>
    </row>
    <row r="212" customFormat="false" ht="15" hidden="false" customHeight="false" outlineLevel="0" collapsed="false">
      <c r="A212" s="11"/>
      <c r="B212" s="8"/>
      <c r="C212" s="8"/>
      <c r="D212" s="8"/>
      <c r="E212" s="8"/>
      <c r="F212" s="8"/>
      <c r="G212" s="8"/>
      <c r="H212" s="8"/>
      <c r="I212" s="12" t="str">
        <f aca="false">IF($T212,D212-N(E212),"")</f>
        <v/>
      </c>
      <c r="J212" s="12" t="str">
        <f aca="false">IF($T212,I212-N(F212),"")</f>
        <v/>
      </c>
      <c r="K212" s="13" t="str">
        <f aca="false">IF($C212="","",IF(SUMPRODUCT(--(Setup!$A$5:$A$24=$C212))&gt;0,INDEX(Setup!$B$5:$B$24,21-SUMPRODUCT(MAX((Setup!$A$5:$A$24=$C212)*(25-ROW(Setup!$A$5:$A$24))))),""))</f>
        <v/>
      </c>
      <c r="L212" s="13" t="str">
        <f aca="false">IF($T212,K212*G212/60,"")</f>
        <v/>
      </c>
      <c r="M212" s="12" t="str">
        <f aca="false">IF($T212,G212-N(H212),"")</f>
        <v/>
      </c>
      <c r="N212" s="14" t="str">
        <f aca="false">IF($T212,J212/I212,"")</f>
        <v/>
      </c>
      <c r="O212" s="14" t="str">
        <f aca="false">IF(AND($T212,N(J212)&gt;0),L212/J212,"")</f>
        <v/>
      </c>
      <c r="P212" s="14" t="str">
        <f aca="false">IF(AND($T212,N(G212)&gt;0),M212/G212,"")</f>
        <v/>
      </c>
      <c r="Q212" s="14" t="str">
        <f aca="false">IF($T212,S212/I212,"")</f>
        <v/>
      </c>
      <c r="R212" s="10" t="str">
        <f aca="false">IF($C212="","",IF(NOT(SUMPRODUCT(--(Setup!$A$5:$A$24=$C212))&gt;0),"Machine not in Setup",IF(OR(NOT(ISNUMBER(K212)),N(K212)&lt;=0),"Set an ideal cycle time in Setup",IF(NOT(ISNUMBER(A212)),"Enter a date",IF(OR(NOT(ISNUMBER(D212)),NOT(ISNUMBER(G212)),AND(E212&lt;&gt;"",NOT(ISNUMBER(E212))),AND(F212&lt;&gt;"",NOT(ISNUMBER(F212))),AND(H212&lt;&gt;"",NOT(ISNUMBER(H212)))),"Enter numbers: shift length and total parts are required",IF(OR(N(D212)&lt;=0,N(E212)&lt;0,N(F212)&lt;0,N(G212)&lt;0,N(H212)&lt;0),"Values must be 0 or more (shift length above 0)",IF(N(H212)&gt;N(G212),"Rejects &gt; total parts",IF(N(E212)&gt;=N(D212),"Planned stops &gt;= shift length",IF(N(F212)&gt;N(D212)-N(E212),"Downtime &gt; planned time",IF(AND(ISNUMBER(O212),O212&gt;1),"Check: performance above 100%","OK"))))))))))</f>
        <v/>
      </c>
      <c r="S212" s="13" t="str">
        <f aca="false">IF($T212,K212*M212/60,"")</f>
        <v/>
      </c>
      <c r="T212" s="15" t="b">
        <f aca="false">IF($C212="",FALSE(),AND(SUMPRODUCT(--(Setup!$A$5:$A$24=$C212))&gt;0,ISNUMBER(A212),ISNUMBER(K212),N(K212)&gt;0,ISNUMBER(D212),N(D212)&gt;0,ISNUMBER(G212),N(G212)&gt;=0,OR(E212="",ISNUMBER(E212)),OR(F212="",ISNUMBER(F212)),OR(H212="",ISNUMBER(H212)),N(E212)&gt;=0,N(F212)&gt;=0,N(H212)&gt;=0,N(H212)&lt;=N(G212),N(E212)&lt;N(D212),N(F212)&lt;=N(D212)-N(E212)))</f>
        <v>0</v>
      </c>
    </row>
    <row r="213" customFormat="false" ht="15" hidden="false" customHeight="false" outlineLevel="0" collapsed="false">
      <c r="A213" s="11"/>
      <c r="B213" s="8"/>
      <c r="C213" s="8"/>
      <c r="D213" s="8"/>
      <c r="E213" s="8"/>
      <c r="F213" s="8"/>
      <c r="G213" s="8"/>
      <c r="H213" s="8"/>
      <c r="I213" s="12" t="str">
        <f aca="false">IF($T213,D213-N(E213),"")</f>
        <v/>
      </c>
      <c r="J213" s="12" t="str">
        <f aca="false">IF($T213,I213-N(F213),"")</f>
        <v/>
      </c>
      <c r="K213" s="13" t="str">
        <f aca="false">IF($C213="","",IF(SUMPRODUCT(--(Setup!$A$5:$A$24=$C213))&gt;0,INDEX(Setup!$B$5:$B$24,21-SUMPRODUCT(MAX((Setup!$A$5:$A$24=$C213)*(25-ROW(Setup!$A$5:$A$24))))),""))</f>
        <v/>
      </c>
      <c r="L213" s="13" t="str">
        <f aca="false">IF($T213,K213*G213/60,"")</f>
        <v/>
      </c>
      <c r="M213" s="12" t="str">
        <f aca="false">IF($T213,G213-N(H213),"")</f>
        <v/>
      </c>
      <c r="N213" s="14" t="str">
        <f aca="false">IF($T213,J213/I213,"")</f>
        <v/>
      </c>
      <c r="O213" s="14" t="str">
        <f aca="false">IF(AND($T213,N(J213)&gt;0),L213/J213,"")</f>
        <v/>
      </c>
      <c r="P213" s="14" t="str">
        <f aca="false">IF(AND($T213,N(G213)&gt;0),M213/G213,"")</f>
        <v/>
      </c>
      <c r="Q213" s="14" t="str">
        <f aca="false">IF($T213,S213/I213,"")</f>
        <v/>
      </c>
      <c r="R213" s="10" t="str">
        <f aca="false">IF($C213="","",IF(NOT(SUMPRODUCT(--(Setup!$A$5:$A$24=$C213))&gt;0),"Machine not in Setup",IF(OR(NOT(ISNUMBER(K213)),N(K213)&lt;=0),"Set an ideal cycle time in Setup",IF(NOT(ISNUMBER(A213)),"Enter a date",IF(OR(NOT(ISNUMBER(D213)),NOT(ISNUMBER(G213)),AND(E213&lt;&gt;"",NOT(ISNUMBER(E213))),AND(F213&lt;&gt;"",NOT(ISNUMBER(F213))),AND(H213&lt;&gt;"",NOT(ISNUMBER(H213)))),"Enter numbers: shift length and total parts are required",IF(OR(N(D213)&lt;=0,N(E213)&lt;0,N(F213)&lt;0,N(G213)&lt;0,N(H213)&lt;0),"Values must be 0 or more (shift length above 0)",IF(N(H213)&gt;N(G213),"Rejects &gt; total parts",IF(N(E213)&gt;=N(D213),"Planned stops &gt;= shift length",IF(N(F213)&gt;N(D213)-N(E213),"Downtime &gt; planned time",IF(AND(ISNUMBER(O213),O213&gt;1),"Check: performance above 100%","OK"))))))))))</f>
        <v/>
      </c>
      <c r="S213" s="13" t="str">
        <f aca="false">IF($T213,K213*M213/60,"")</f>
        <v/>
      </c>
      <c r="T213" s="15" t="b">
        <f aca="false">IF($C213="",FALSE(),AND(SUMPRODUCT(--(Setup!$A$5:$A$24=$C213))&gt;0,ISNUMBER(A213),ISNUMBER(K213),N(K213)&gt;0,ISNUMBER(D213),N(D213)&gt;0,ISNUMBER(G213),N(G213)&gt;=0,OR(E213="",ISNUMBER(E213)),OR(F213="",ISNUMBER(F213)),OR(H213="",ISNUMBER(H213)),N(E213)&gt;=0,N(F213)&gt;=0,N(H213)&gt;=0,N(H213)&lt;=N(G213),N(E213)&lt;N(D213),N(F213)&lt;=N(D213)-N(E213)))</f>
        <v>0</v>
      </c>
    </row>
    <row r="214" customFormat="false" ht="15" hidden="false" customHeight="false" outlineLevel="0" collapsed="false">
      <c r="A214" s="11"/>
      <c r="B214" s="8"/>
      <c r="C214" s="8"/>
      <c r="D214" s="8"/>
      <c r="E214" s="8"/>
      <c r="F214" s="8"/>
      <c r="G214" s="8"/>
      <c r="H214" s="8"/>
      <c r="I214" s="12" t="str">
        <f aca="false">IF($T214,D214-N(E214),"")</f>
        <v/>
      </c>
      <c r="J214" s="12" t="str">
        <f aca="false">IF($T214,I214-N(F214),"")</f>
        <v/>
      </c>
      <c r="K214" s="13" t="str">
        <f aca="false">IF($C214="","",IF(SUMPRODUCT(--(Setup!$A$5:$A$24=$C214))&gt;0,INDEX(Setup!$B$5:$B$24,21-SUMPRODUCT(MAX((Setup!$A$5:$A$24=$C214)*(25-ROW(Setup!$A$5:$A$24))))),""))</f>
        <v/>
      </c>
      <c r="L214" s="13" t="str">
        <f aca="false">IF($T214,K214*G214/60,"")</f>
        <v/>
      </c>
      <c r="M214" s="12" t="str">
        <f aca="false">IF($T214,G214-N(H214),"")</f>
        <v/>
      </c>
      <c r="N214" s="14" t="str">
        <f aca="false">IF($T214,J214/I214,"")</f>
        <v/>
      </c>
      <c r="O214" s="14" t="str">
        <f aca="false">IF(AND($T214,N(J214)&gt;0),L214/J214,"")</f>
        <v/>
      </c>
      <c r="P214" s="14" t="str">
        <f aca="false">IF(AND($T214,N(G214)&gt;0),M214/G214,"")</f>
        <v/>
      </c>
      <c r="Q214" s="14" t="str">
        <f aca="false">IF($T214,S214/I214,"")</f>
        <v/>
      </c>
      <c r="R214" s="10" t="str">
        <f aca="false">IF($C214="","",IF(NOT(SUMPRODUCT(--(Setup!$A$5:$A$24=$C214))&gt;0),"Machine not in Setup",IF(OR(NOT(ISNUMBER(K214)),N(K214)&lt;=0),"Set an ideal cycle time in Setup",IF(NOT(ISNUMBER(A214)),"Enter a date",IF(OR(NOT(ISNUMBER(D214)),NOT(ISNUMBER(G214)),AND(E214&lt;&gt;"",NOT(ISNUMBER(E214))),AND(F214&lt;&gt;"",NOT(ISNUMBER(F214))),AND(H214&lt;&gt;"",NOT(ISNUMBER(H214)))),"Enter numbers: shift length and total parts are required",IF(OR(N(D214)&lt;=0,N(E214)&lt;0,N(F214)&lt;0,N(G214)&lt;0,N(H214)&lt;0),"Values must be 0 or more (shift length above 0)",IF(N(H214)&gt;N(G214),"Rejects &gt; total parts",IF(N(E214)&gt;=N(D214),"Planned stops &gt;= shift length",IF(N(F214)&gt;N(D214)-N(E214),"Downtime &gt; planned time",IF(AND(ISNUMBER(O214),O214&gt;1),"Check: performance above 100%","OK"))))))))))</f>
        <v/>
      </c>
      <c r="S214" s="13" t="str">
        <f aca="false">IF($T214,K214*M214/60,"")</f>
        <v/>
      </c>
      <c r="T214" s="15" t="b">
        <f aca="false">IF($C214="",FALSE(),AND(SUMPRODUCT(--(Setup!$A$5:$A$24=$C214))&gt;0,ISNUMBER(A214),ISNUMBER(K214),N(K214)&gt;0,ISNUMBER(D214),N(D214)&gt;0,ISNUMBER(G214),N(G214)&gt;=0,OR(E214="",ISNUMBER(E214)),OR(F214="",ISNUMBER(F214)),OR(H214="",ISNUMBER(H214)),N(E214)&gt;=0,N(F214)&gt;=0,N(H214)&gt;=0,N(H214)&lt;=N(G214),N(E214)&lt;N(D214),N(F214)&lt;=N(D214)-N(E214)))</f>
        <v>0</v>
      </c>
    </row>
    <row r="215" customFormat="false" ht="15" hidden="false" customHeight="false" outlineLevel="0" collapsed="false">
      <c r="A215" s="11"/>
      <c r="B215" s="8"/>
      <c r="C215" s="8"/>
      <c r="D215" s="8"/>
      <c r="E215" s="8"/>
      <c r="F215" s="8"/>
      <c r="G215" s="8"/>
      <c r="H215" s="8"/>
      <c r="I215" s="12" t="str">
        <f aca="false">IF($T215,D215-N(E215),"")</f>
        <v/>
      </c>
      <c r="J215" s="12" t="str">
        <f aca="false">IF($T215,I215-N(F215),"")</f>
        <v/>
      </c>
      <c r="K215" s="13" t="str">
        <f aca="false">IF($C215="","",IF(SUMPRODUCT(--(Setup!$A$5:$A$24=$C215))&gt;0,INDEX(Setup!$B$5:$B$24,21-SUMPRODUCT(MAX((Setup!$A$5:$A$24=$C215)*(25-ROW(Setup!$A$5:$A$24))))),""))</f>
        <v/>
      </c>
      <c r="L215" s="13" t="str">
        <f aca="false">IF($T215,K215*G215/60,"")</f>
        <v/>
      </c>
      <c r="M215" s="12" t="str">
        <f aca="false">IF($T215,G215-N(H215),"")</f>
        <v/>
      </c>
      <c r="N215" s="14" t="str">
        <f aca="false">IF($T215,J215/I215,"")</f>
        <v/>
      </c>
      <c r="O215" s="14" t="str">
        <f aca="false">IF(AND($T215,N(J215)&gt;0),L215/J215,"")</f>
        <v/>
      </c>
      <c r="P215" s="14" t="str">
        <f aca="false">IF(AND($T215,N(G215)&gt;0),M215/G215,"")</f>
        <v/>
      </c>
      <c r="Q215" s="14" t="str">
        <f aca="false">IF($T215,S215/I215,"")</f>
        <v/>
      </c>
      <c r="R215" s="10" t="str">
        <f aca="false">IF($C215="","",IF(NOT(SUMPRODUCT(--(Setup!$A$5:$A$24=$C215))&gt;0),"Machine not in Setup",IF(OR(NOT(ISNUMBER(K215)),N(K215)&lt;=0),"Set an ideal cycle time in Setup",IF(NOT(ISNUMBER(A215)),"Enter a date",IF(OR(NOT(ISNUMBER(D215)),NOT(ISNUMBER(G215)),AND(E215&lt;&gt;"",NOT(ISNUMBER(E215))),AND(F215&lt;&gt;"",NOT(ISNUMBER(F215))),AND(H215&lt;&gt;"",NOT(ISNUMBER(H215)))),"Enter numbers: shift length and total parts are required",IF(OR(N(D215)&lt;=0,N(E215)&lt;0,N(F215)&lt;0,N(G215)&lt;0,N(H215)&lt;0),"Values must be 0 or more (shift length above 0)",IF(N(H215)&gt;N(G215),"Rejects &gt; total parts",IF(N(E215)&gt;=N(D215),"Planned stops &gt;= shift length",IF(N(F215)&gt;N(D215)-N(E215),"Downtime &gt; planned time",IF(AND(ISNUMBER(O215),O215&gt;1),"Check: performance above 100%","OK"))))))))))</f>
        <v/>
      </c>
      <c r="S215" s="13" t="str">
        <f aca="false">IF($T215,K215*M215/60,"")</f>
        <v/>
      </c>
      <c r="T215" s="15" t="b">
        <f aca="false">IF($C215="",FALSE(),AND(SUMPRODUCT(--(Setup!$A$5:$A$24=$C215))&gt;0,ISNUMBER(A215),ISNUMBER(K215),N(K215)&gt;0,ISNUMBER(D215),N(D215)&gt;0,ISNUMBER(G215),N(G215)&gt;=0,OR(E215="",ISNUMBER(E215)),OR(F215="",ISNUMBER(F215)),OR(H215="",ISNUMBER(H215)),N(E215)&gt;=0,N(F215)&gt;=0,N(H215)&gt;=0,N(H215)&lt;=N(G215),N(E215)&lt;N(D215),N(F215)&lt;=N(D215)-N(E215)))</f>
        <v>0</v>
      </c>
    </row>
    <row r="216" customFormat="false" ht="15" hidden="false" customHeight="false" outlineLevel="0" collapsed="false">
      <c r="A216" s="11"/>
      <c r="B216" s="8"/>
      <c r="C216" s="8"/>
      <c r="D216" s="8"/>
      <c r="E216" s="8"/>
      <c r="F216" s="8"/>
      <c r="G216" s="8"/>
      <c r="H216" s="8"/>
      <c r="I216" s="12" t="str">
        <f aca="false">IF($T216,D216-N(E216),"")</f>
        <v/>
      </c>
      <c r="J216" s="12" t="str">
        <f aca="false">IF($T216,I216-N(F216),"")</f>
        <v/>
      </c>
      <c r="K216" s="13" t="str">
        <f aca="false">IF($C216="","",IF(SUMPRODUCT(--(Setup!$A$5:$A$24=$C216))&gt;0,INDEX(Setup!$B$5:$B$24,21-SUMPRODUCT(MAX((Setup!$A$5:$A$24=$C216)*(25-ROW(Setup!$A$5:$A$24))))),""))</f>
        <v/>
      </c>
      <c r="L216" s="13" t="str">
        <f aca="false">IF($T216,K216*G216/60,"")</f>
        <v/>
      </c>
      <c r="M216" s="12" t="str">
        <f aca="false">IF($T216,G216-N(H216),"")</f>
        <v/>
      </c>
      <c r="N216" s="14" t="str">
        <f aca="false">IF($T216,J216/I216,"")</f>
        <v/>
      </c>
      <c r="O216" s="14" t="str">
        <f aca="false">IF(AND($T216,N(J216)&gt;0),L216/J216,"")</f>
        <v/>
      </c>
      <c r="P216" s="14" t="str">
        <f aca="false">IF(AND($T216,N(G216)&gt;0),M216/G216,"")</f>
        <v/>
      </c>
      <c r="Q216" s="14" t="str">
        <f aca="false">IF($T216,S216/I216,"")</f>
        <v/>
      </c>
      <c r="R216" s="10" t="str">
        <f aca="false">IF($C216="","",IF(NOT(SUMPRODUCT(--(Setup!$A$5:$A$24=$C216))&gt;0),"Machine not in Setup",IF(OR(NOT(ISNUMBER(K216)),N(K216)&lt;=0),"Set an ideal cycle time in Setup",IF(NOT(ISNUMBER(A216)),"Enter a date",IF(OR(NOT(ISNUMBER(D216)),NOT(ISNUMBER(G216)),AND(E216&lt;&gt;"",NOT(ISNUMBER(E216))),AND(F216&lt;&gt;"",NOT(ISNUMBER(F216))),AND(H216&lt;&gt;"",NOT(ISNUMBER(H216)))),"Enter numbers: shift length and total parts are required",IF(OR(N(D216)&lt;=0,N(E216)&lt;0,N(F216)&lt;0,N(G216)&lt;0,N(H216)&lt;0),"Values must be 0 or more (shift length above 0)",IF(N(H216)&gt;N(G216),"Rejects &gt; total parts",IF(N(E216)&gt;=N(D216),"Planned stops &gt;= shift length",IF(N(F216)&gt;N(D216)-N(E216),"Downtime &gt; planned time",IF(AND(ISNUMBER(O216),O216&gt;1),"Check: performance above 100%","OK"))))))))))</f>
        <v/>
      </c>
      <c r="S216" s="13" t="str">
        <f aca="false">IF($T216,K216*M216/60,"")</f>
        <v/>
      </c>
      <c r="T216" s="15" t="b">
        <f aca="false">IF($C216="",FALSE(),AND(SUMPRODUCT(--(Setup!$A$5:$A$24=$C216))&gt;0,ISNUMBER(A216),ISNUMBER(K216),N(K216)&gt;0,ISNUMBER(D216),N(D216)&gt;0,ISNUMBER(G216),N(G216)&gt;=0,OR(E216="",ISNUMBER(E216)),OR(F216="",ISNUMBER(F216)),OR(H216="",ISNUMBER(H216)),N(E216)&gt;=0,N(F216)&gt;=0,N(H216)&gt;=0,N(H216)&lt;=N(G216),N(E216)&lt;N(D216),N(F216)&lt;=N(D216)-N(E216)))</f>
        <v>0</v>
      </c>
    </row>
    <row r="217" customFormat="false" ht="15" hidden="false" customHeight="false" outlineLevel="0" collapsed="false">
      <c r="A217" s="11"/>
      <c r="B217" s="8"/>
      <c r="C217" s="8"/>
      <c r="D217" s="8"/>
      <c r="E217" s="8"/>
      <c r="F217" s="8"/>
      <c r="G217" s="8"/>
      <c r="H217" s="8"/>
      <c r="I217" s="12" t="str">
        <f aca="false">IF($T217,D217-N(E217),"")</f>
        <v/>
      </c>
      <c r="J217" s="12" t="str">
        <f aca="false">IF($T217,I217-N(F217),"")</f>
        <v/>
      </c>
      <c r="K217" s="13" t="str">
        <f aca="false">IF($C217="","",IF(SUMPRODUCT(--(Setup!$A$5:$A$24=$C217))&gt;0,INDEX(Setup!$B$5:$B$24,21-SUMPRODUCT(MAX((Setup!$A$5:$A$24=$C217)*(25-ROW(Setup!$A$5:$A$24))))),""))</f>
        <v/>
      </c>
      <c r="L217" s="13" t="str">
        <f aca="false">IF($T217,K217*G217/60,"")</f>
        <v/>
      </c>
      <c r="M217" s="12" t="str">
        <f aca="false">IF($T217,G217-N(H217),"")</f>
        <v/>
      </c>
      <c r="N217" s="14" t="str">
        <f aca="false">IF($T217,J217/I217,"")</f>
        <v/>
      </c>
      <c r="O217" s="14" t="str">
        <f aca="false">IF(AND($T217,N(J217)&gt;0),L217/J217,"")</f>
        <v/>
      </c>
      <c r="P217" s="14" t="str">
        <f aca="false">IF(AND($T217,N(G217)&gt;0),M217/G217,"")</f>
        <v/>
      </c>
      <c r="Q217" s="14" t="str">
        <f aca="false">IF($T217,S217/I217,"")</f>
        <v/>
      </c>
      <c r="R217" s="10" t="str">
        <f aca="false">IF($C217="","",IF(NOT(SUMPRODUCT(--(Setup!$A$5:$A$24=$C217))&gt;0),"Machine not in Setup",IF(OR(NOT(ISNUMBER(K217)),N(K217)&lt;=0),"Set an ideal cycle time in Setup",IF(NOT(ISNUMBER(A217)),"Enter a date",IF(OR(NOT(ISNUMBER(D217)),NOT(ISNUMBER(G217)),AND(E217&lt;&gt;"",NOT(ISNUMBER(E217))),AND(F217&lt;&gt;"",NOT(ISNUMBER(F217))),AND(H217&lt;&gt;"",NOT(ISNUMBER(H217)))),"Enter numbers: shift length and total parts are required",IF(OR(N(D217)&lt;=0,N(E217)&lt;0,N(F217)&lt;0,N(G217)&lt;0,N(H217)&lt;0),"Values must be 0 or more (shift length above 0)",IF(N(H217)&gt;N(G217),"Rejects &gt; total parts",IF(N(E217)&gt;=N(D217),"Planned stops &gt;= shift length",IF(N(F217)&gt;N(D217)-N(E217),"Downtime &gt; planned time",IF(AND(ISNUMBER(O217),O217&gt;1),"Check: performance above 100%","OK"))))))))))</f>
        <v/>
      </c>
      <c r="S217" s="13" t="str">
        <f aca="false">IF($T217,K217*M217/60,"")</f>
        <v/>
      </c>
      <c r="T217" s="15" t="b">
        <f aca="false">IF($C217="",FALSE(),AND(SUMPRODUCT(--(Setup!$A$5:$A$24=$C217))&gt;0,ISNUMBER(A217),ISNUMBER(K217),N(K217)&gt;0,ISNUMBER(D217),N(D217)&gt;0,ISNUMBER(G217),N(G217)&gt;=0,OR(E217="",ISNUMBER(E217)),OR(F217="",ISNUMBER(F217)),OR(H217="",ISNUMBER(H217)),N(E217)&gt;=0,N(F217)&gt;=0,N(H217)&gt;=0,N(H217)&lt;=N(G217),N(E217)&lt;N(D217),N(F217)&lt;=N(D217)-N(E217)))</f>
        <v>0</v>
      </c>
    </row>
    <row r="218" customFormat="false" ht="15" hidden="false" customHeight="false" outlineLevel="0" collapsed="false">
      <c r="A218" s="11"/>
      <c r="B218" s="8"/>
      <c r="C218" s="8"/>
      <c r="D218" s="8"/>
      <c r="E218" s="8"/>
      <c r="F218" s="8"/>
      <c r="G218" s="8"/>
      <c r="H218" s="8"/>
      <c r="I218" s="12" t="str">
        <f aca="false">IF($T218,D218-N(E218),"")</f>
        <v/>
      </c>
      <c r="J218" s="12" t="str">
        <f aca="false">IF($T218,I218-N(F218),"")</f>
        <v/>
      </c>
      <c r="K218" s="13" t="str">
        <f aca="false">IF($C218="","",IF(SUMPRODUCT(--(Setup!$A$5:$A$24=$C218))&gt;0,INDEX(Setup!$B$5:$B$24,21-SUMPRODUCT(MAX((Setup!$A$5:$A$24=$C218)*(25-ROW(Setup!$A$5:$A$24))))),""))</f>
        <v/>
      </c>
      <c r="L218" s="13" t="str">
        <f aca="false">IF($T218,K218*G218/60,"")</f>
        <v/>
      </c>
      <c r="M218" s="12" t="str">
        <f aca="false">IF($T218,G218-N(H218),"")</f>
        <v/>
      </c>
      <c r="N218" s="14" t="str">
        <f aca="false">IF($T218,J218/I218,"")</f>
        <v/>
      </c>
      <c r="O218" s="14" t="str">
        <f aca="false">IF(AND($T218,N(J218)&gt;0),L218/J218,"")</f>
        <v/>
      </c>
      <c r="P218" s="14" t="str">
        <f aca="false">IF(AND($T218,N(G218)&gt;0),M218/G218,"")</f>
        <v/>
      </c>
      <c r="Q218" s="14" t="str">
        <f aca="false">IF($T218,S218/I218,"")</f>
        <v/>
      </c>
      <c r="R218" s="10" t="str">
        <f aca="false">IF($C218="","",IF(NOT(SUMPRODUCT(--(Setup!$A$5:$A$24=$C218))&gt;0),"Machine not in Setup",IF(OR(NOT(ISNUMBER(K218)),N(K218)&lt;=0),"Set an ideal cycle time in Setup",IF(NOT(ISNUMBER(A218)),"Enter a date",IF(OR(NOT(ISNUMBER(D218)),NOT(ISNUMBER(G218)),AND(E218&lt;&gt;"",NOT(ISNUMBER(E218))),AND(F218&lt;&gt;"",NOT(ISNUMBER(F218))),AND(H218&lt;&gt;"",NOT(ISNUMBER(H218)))),"Enter numbers: shift length and total parts are required",IF(OR(N(D218)&lt;=0,N(E218)&lt;0,N(F218)&lt;0,N(G218)&lt;0,N(H218)&lt;0),"Values must be 0 or more (shift length above 0)",IF(N(H218)&gt;N(G218),"Rejects &gt; total parts",IF(N(E218)&gt;=N(D218),"Planned stops &gt;= shift length",IF(N(F218)&gt;N(D218)-N(E218),"Downtime &gt; planned time",IF(AND(ISNUMBER(O218),O218&gt;1),"Check: performance above 100%","OK"))))))))))</f>
        <v/>
      </c>
      <c r="S218" s="13" t="str">
        <f aca="false">IF($T218,K218*M218/60,"")</f>
        <v/>
      </c>
      <c r="T218" s="15" t="b">
        <f aca="false">IF($C218="",FALSE(),AND(SUMPRODUCT(--(Setup!$A$5:$A$24=$C218))&gt;0,ISNUMBER(A218),ISNUMBER(K218),N(K218)&gt;0,ISNUMBER(D218),N(D218)&gt;0,ISNUMBER(G218),N(G218)&gt;=0,OR(E218="",ISNUMBER(E218)),OR(F218="",ISNUMBER(F218)),OR(H218="",ISNUMBER(H218)),N(E218)&gt;=0,N(F218)&gt;=0,N(H218)&gt;=0,N(H218)&lt;=N(G218),N(E218)&lt;N(D218),N(F218)&lt;=N(D218)-N(E218)))</f>
        <v>0</v>
      </c>
    </row>
    <row r="219" customFormat="false" ht="15" hidden="false" customHeight="false" outlineLevel="0" collapsed="false">
      <c r="A219" s="11"/>
      <c r="B219" s="8"/>
      <c r="C219" s="8"/>
      <c r="D219" s="8"/>
      <c r="E219" s="8"/>
      <c r="F219" s="8"/>
      <c r="G219" s="8"/>
      <c r="H219" s="8"/>
      <c r="I219" s="12" t="str">
        <f aca="false">IF($T219,D219-N(E219),"")</f>
        <v/>
      </c>
      <c r="J219" s="12" t="str">
        <f aca="false">IF($T219,I219-N(F219),"")</f>
        <v/>
      </c>
      <c r="K219" s="13" t="str">
        <f aca="false">IF($C219="","",IF(SUMPRODUCT(--(Setup!$A$5:$A$24=$C219))&gt;0,INDEX(Setup!$B$5:$B$24,21-SUMPRODUCT(MAX((Setup!$A$5:$A$24=$C219)*(25-ROW(Setup!$A$5:$A$24))))),""))</f>
        <v/>
      </c>
      <c r="L219" s="13" t="str">
        <f aca="false">IF($T219,K219*G219/60,"")</f>
        <v/>
      </c>
      <c r="M219" s="12" t="str">
        <f aca="false">IF($T219,G219-N(H219),"")</f>
        <v/>
      </c>
      <c r="N219" s="14" t="str">
        <f aca="false">IF($T219,J219/I219,"")</f>
        <v/>
      </c>
      <c r="O219" s="14" t="str">
        <f aca="false">IF(AND($T219,N(J219)&gt;0),L219/J219,"")</f>
        <v/>
      </c>
      <c r="P219" s="14" t="str">
        <f aca="false">IF(AND($T219,N(G219)&gt;0),M219/G219,"")</f>
        <v/>
      </c>
      <c r="Q219" s="14" t="str">
        <f aca="false">IF($T219,S219/I219,"")</f>
        <v/>
      </c>
      <c r="R219" s="10" t="str">
        <f aca="false">IF($C219="","",IF(NOT(SUMPRODUCT(--(Setup!$A$5:$A$24=$C219))&gt;0),"Machine not in Setup",IF(OR(NOT(ISNUMBER(K219)),N(K219)&lt;=0),"Set an ideal cycle time in Setup",IF(NOT(ISNUMBER(A219)),"Enter a date",IF(OR(NOT(ISNUMBER(D219)),NOT(ISNUMBER(G219)),AND(E219&lt;&gt;"",NOT(ISNUMBER(E219))),AND(F219&lt;&gt;"",NOT(ISNUMBER(F219))),AND(H219&lt;&gt;"",NOT(ISNUMBER(H219)))),"Enter numbers: shift length and total parts are required",IF(OR(N(D219)&lt;=0,N(E219)&lt;0,N(F219)&lt;0,N(G219)&lt;0,N(H219)&lt;0),"Values must be 0 or more (shift length above 0)",IF(N(H219)&gt;N(G219),"Rejects &gt; total parts",IF(N(E219)&gt;=N(D219),"Planned stops &gt;= shift length",IF(N(F219)&gt;N(D219)-N(E219),"Downtime &gt; planned time",IF(AND(ISNUMBER(O219),O219&gt;1),"Check: performance above 100%","OK"))))))))))</f>
        <v/>
      </c>
      <c r="S219" s="13" t="str">
        <f aca="false">IF($T219,K219*M219/60,"")</f>
        <v/>
      </c>
      <c r="T219" s="15" t="b">
        <f aca="false">IF($C219="",FALSE(),AND(SUMPRODUCT(--(Setup!$A$5:$A$24=$C219))&gt;0,ISNUMBER(A219),ISNUMBER(K219),N(K219)&gt;0,ISNUMBER(D219),N(D219)&gt;0,ISNUMBER(G219),N(G219)&gt;=0,OR(E219="",ISNUMBER(E219)),OR(F219="",ISNUMBER(F219)),OR(H219="",ISNUMBER(H219)),N(E219)&gt;=0,N(F219)&gt;=0,N(H219)&gt;=0,N(H219)&lt;=N(G219),N(E219)&lt;N(D219),N(F219)&lt;=N(D219)-N(E219)))</f>
        <v>0</v>
      </c>
    </row>
    <row r="220" customFormat="false" ht="15" hidden="false" customHeight="false" outlineLevel="0" collapsed="false">
      <c r="A220" s="11"/>
      <c r="B220" s="8"/>
      <c r="C220" s="8"/>
      <c r="D220" s="8"/>
      <c r="E220" s="8"/>
      <c r="F220" s="8"/>
      <c r="G220" s="8"/>
      <c r="H220" s="8"/>
      <c r="I220" s="12" t="str">
        <f aca="false">IF($T220,D220-N(E220),"")</f>
        <v/>
      </c>
      <c r="J220" s="12" t="str">
        <f aca="false">IF($T220,I220-N(F220),"")</f>
        <v/>
      </c>
      <c r="K220" s="13" t="str">
        <f aca="false">IF($C220="","",IF(SUMPRODUCT(--(Setup!$A$5:$A$24=$C220))&gt;0,INDEX(Setup!$B$5:$B$24,21-SUMPRODUCT(MAX((Setup!$A$5:$A$24=$C220)*(25-ROW(Setup!$A$5:$A$24))))),""))</f>
        <v/>
      </c>
      <c r="L220" s="13" t="str">
        <f aca="false">IF($T220,K220*G220/60,"")</f>
        <v/>
      </c>
      <c r="M220" s="12" t="str">
        <f aca="false">IF($T220,G220-N(H220),"")</f>
        <v/>
      </c>
      <c r="N220" s="14" t="str">
        <f aca="false">IF($T220,J220/I220,"")</f>
        <v/>
      </c>
      <c r="O220" s="14" t="str">
        <f aca="false">IF(AND($T220,N(J220)&gt;0),L220/J220,"")</f>
        <v/>
      </c>
      <c r="P220" s="14" t="str">
        <f aca="false">IF(AND($T220,N(G220)&gt;0),M220/G220,"")</f>
        <v/>
      </c>
      <c r="Q220" s="14" t="str">
        <f aca="false">IF($T220,S220/I220,"")</f>
        <v/>
      </c>
      <c r="R220" s="10" t="str">
        <f aca="false">IF($C220="","",IF(NOT(SUMPRODUCT(--(Setup!$A$5:$A$24=$C220))&gt;0),"Machine not in Setup",IF(OR(NOT(ISNUMBER(K220)),N(K220)&lt;=0),"Set an ideal cycle time in Setup",IF(NOT(ISNUMBER(A220)),"Enter a date",IF(OR(NOT(ISNUMBER(D220)),NOT(ISNUMBER(G220)),AND(E220&lt;&gt;"",NOT(ISNUMBER(E220))),AND(F220&lt;&gt;"",NOT(ISNUMBER(F220))),AND(H220&lt;&gt;"",NOT(ISNUMBER(H220)))),"Enter numbers: shift length and total parts are required",IF(OR(N(D220)&lt;=0,N(E220)&lt;0,N(F220)&lt;0,N(G220)&lt;0,N(H220)&lt;0),"Values must be 0 or more (shift length above 0)",IF(N(H220)&gt;N(G220),"Rejects &gt; total parts",IF(N(E220)&gt;=N(D220),"Planned stops &gt;= shift length",IF(N(F220)&gt;N(D220)-N(E220),"Downtime &gt; planned time",IF(AND(ISNUMBER(O220),O220&gt;1),"Check: performance above 100%","OK"))))))))))</f>
        <v/>
      </c>
      <c r="S220" s="13" t="str">
        <f aca="false">IF($T220,K220*M220/60,"")</f>
        <v/>
      </c>
      <c r="T220" s="15" t="b">
        <f aca="false">IF($C220="",FALSE(),AND(SUMPRODUCT(--(Setup!$A$5:$A$24=$C220))&gt;0,ISNUMBER(A220),ISNUMBER(K220),N(K220)&gt;0,ISNUMBER(D220),N(D220)&gt;0,ISNUMBER(G220),N(G220)&gt;=0,OR(E220="",ISNUMBER(E220)),OR(F220="",ISNUMBER(F220)),OR(H220="",ISNUMBER(H220)),N(E220)&gt;=0,N(F220)&gt;=0,N(H220)&gt;=0,N(H220)&lt;=N(G220),N(E220)&lt;N(D220),N(F220)&lt;=N(D220)-N(E220)))</f>
        <v>0</v>
      </c>
    </row>
    <row r="221" customFormat="false" ht="15" hidden="false" customHeight="false" outlineLevel="0" collapsed="false">
      <c r="A221" s="11"/>
      <c r="B221" s="8"/>
      <c r="C221" s="8"/>
      <c r="D221" s="8"/>
      <c r="E221" s="8"/>
      <c r="F221" s="8"/>
      <c r="G221" s="8"/>
      <c r="H221" s="8"/>
      <c r="I221" s="12" t="str">
        <f aca="false">IF($T221,D221-N(E221),"")</f>
        <v/>
      </c>
      <c r="J221" s="12" t="str">
        <f aca="false">IF($T221,I221-N(F221),"")</f>
        <v/>
      </c>
      <c r="K221" s="13" t="str">
        <f aca="false">IF($C221="","",IF(SUMPRODUCT(--(Setup!$A$5:$A$24=$C221))&gt;0,INDEX(Setup!$B$5:$B$24,21-SUMPRODUCT(MAX((Setup!$A$5:$A$24=$C221)*(25-ROW(Setup!$A$5:$A$24))))),""))</f>
        <v/>
      </c>
      <c r="L221" s="13" t="str">
        <f aca="false">IF($T221,K221*G221/60,"")</f>
        <v/>
      </c>
      <c r="M221" s="12" t="str">
        <f aca="false">IF($T221,G221-N(H221),"")</f>
        <v/>
      </c>
      <c r="N221" s="14" t="str">
        <f aca="false">IF($T221,J221/I221,"")</f>
        <v/>
      </c>
      <c r="O221" s="14" t="str">
        <f aca="false">IF(AND($T221,N(J221)&gt;0),L221/J221,"")</f>
        <v/>
      </c>
      <c r="P221" s="14" t="str">
        <f aca="false">IF(AND($T221,N(G221)&gt;0),M221/G221,"")</f>
        <v/>
      </c>
      <c r="Q221" s="14" t="str">
        <f aca="false">IF($T221,S221/I221,"")</f>
        <v/>
      </c>
      <c r="R221" s="10" t="str">
        <f aca="false">IF($C221="","",IF(NOT(SUMPRODUCT(--(Setup!$A$5:$A$24=$C221))&gt;0),"Machine not in Setup",IF(OR(NOT(ISNUMBER(K221)),N(K221)&lt;=0),"Set an ideal cycle time in Setup",IF(NOT(ISNUMBER(A221)),"Enter a date",IF(OR(NOT(ISNUMBER(D221)),NOT(ISNUMBER(G221)),AND(E221&lt;&gt;"",NOT(ISNUMBER(E221))),AND(F221&lt;&gt;"",NOT(ISNUMBER(F221))),AND(H221&lt;&gt;"",NOT(ISNUMBER(H221)))),"Enter numbers: shift length and total parts are required",IF(OR(N(D221)&lt;=0,N(E221)&lt;0,N(F221)&lt;0,N(G221)&lt;0,N(H221)&lt;0),"Values must be 0 or more (shift length above 0)",IF(N(H221)&gt;N(G221),"Rejects &gt; total parts",IF(N(E221)&gt;=N(D221),"Planned stops &gt;= shift length",IF(N(F221)&gt;N(D221)-N(E221),"Downtime &gt; planned time",IF(AND(ISNUMBER(O221),O221&gt;1),"Check: performance above 100%","OK"))))))))))</f>
        <v/>
      </c>
      <c r="S221" s="13" t="str">
        <f aca="false">IF($T221,K221*M221/60,"")</f>
        <v/>
      </c>
      <c r="T221" s="15" t="b">
        <f aca="false">IF($C221="",FALSE(),AND(SUMPRODUCT(--(Setup!$A$5:$A$24=$C221))&gt;0,ISNUMBER(A221),ISNUMBER(K221),N(K221)&gt;0,ISNUMBER(D221),N(D221)&gt;0,ISNUMBER(G221),N(G221)&gt;=0,OR(E221="",ISNUMBER(E221)),OR(F221="",ISNUMBER(F221)),OR(H221="",ISNUMBER(H221)),N(E221)&gt;=0,N(F221)&gt;=0,N(H221)&gt;=0,N(H221)&lt;=N(G221),N(E221)&lt;N(D221),N(F221)&lt;=N(D221)-N(E221)))</f>
        <v>0</v>
      </c>
    </row>
    <row r="222" customFormat="false" ht="15" hidden="false" customHeight="false" outlineLevel="0" collapsed="false">
      <c r="A222" s="11"/>
      <c r="B222" s="8"/>
      <c r="C222" s="8"/>
      <c r="D222" s="8"/>
      <c r="E222" s="8"/>
      <c r="F222" s="8"/>
      <c r="G222" s="8"/>
      <c r="H222" s="8"/>
      <c r="I222" s="12" t="str">
        <f aca="false">IF($T222,D222-N(E222),"")</f>
        <v/>
      </c>
      <c r="J222" s="12" t="str">
        <f aca="false">IF($T222,I222-N(F222),"")</f>
        <v/>
      </c>
      <c r="K222" s="13" t="str">
        <f aca="false">IF($C222="","",IF(SUMPRODUCT(--(Setup!$A$5:$A$24=$C222))&gt;0,INDEX(Setup!$B$5:$B$24,21-SUMPRODUCT(MAX((Setup!$A$5:$A$24=$C222)*(25-ROW(Setup!$A$5:$A$24))))),""))</f>
        <v/>
      </c>
      <c r="L222" s="13" t="str">
        <f aca="false">IF($T222,K222*G222/60,"")</f>
        <v/>
      </c>
      <c r="M222" s="12" t="str">
        <f aca="false">IF($T222,G222-N(H222),"")</f>
        <v/>
      </c>
      <c r="N222" s="14" t="str">
        <f aca="false">IF($T222,J222/I222,"")</f>
        <v/>
      </c>
      <c r="O222" s="14" t="str">
        <f aca="false">IF(AND($T222,N(J222)&gt;0),L222/J222,"")</f>
        <v/>
      </c>
      <c r="P222" s="14" t="str">
        <f aca="false">IF(AND($T222,N(G222)&gt;0),M222/G222,"")</f>
        <v/>
      </c>
      <c r="Q222" s="14" t="str">
        <f aca="false">IF($T222,S222/I222,"")</f>
        <v/>
      </c>
      <c r="R222" s="10" t="str">
        <f aca="false">IF($C222="","",IF(NOT(SUMPRODUCT(--(Setup!$A$5:$A$24=$C222))&gt;0),"Machine not in Setup",IF(OR(NOT(ISNUMBER(K222)),N(K222)&lt;=0),"Set an ideal cycle time in Setup",IF(NOT(ISNUMBER(A222)),"Enter a date",IF(OR(NOT(ISNUMBER(D222)),NOT(ISNUMBER(G222)),AND(E222&lt;&gt;"",NOT(ISNUMBER(E222))),AND(F222&lt;&gt;"",NOT(ISNUMBER(F222))),AND(H222&lt;&gt;"",NOT(ISNUMBER(H222)))),"Enter numbers: shift length and total parts are required",IF(OR(N(D222)&lt;=0,N(E222)&lt;0,N(F222)&lt;0,N(G222)&lt;0,N(H222)&lt;0),"Values must be 0 or more (shift length above 0)",IF(N(H222)&gt;N(G222),"Rejects &gt; total parts",IF(N(E222)&gt;=N(D222),"Planned stops &gt;= shift length",IF(N(F222)&gt;N(D222)-N(E222),"Downtime &gt; planned time",IF(AND(ISNUMBER(O222),O222&gt;1),"Check: performance above 100%","OK"))))))))))</f>
        <v/>
      </c>
      <c r="S222" s="13" t="str">
        <f aca="false">IF($T222,K222*M222/60,"")</f>
        <v/>
      </c>
      <c r="T222" s="15" t="b">
        <f aca="false">IF($C222="",FALSE(),AND(SUMPRODUCT(--(Setup!$A$5:$A$24=$C222))&gt;0,ISNUMBER(A222),ISNUMBER(K222),N(K222)&gt;0,ISNUMBER(D222),N(D222)&gt;0,ISNUMBER(G222),N(G222)&gt;=0,OR(E222="",ISNUMBER(E222)),OR(F222="",ISNUMBER(F222)),OR(H222="",ISNUMBER(H222)),N(E222)&gt;=0,N(F222)&gt;=0,N(H222)&gt;=0,N(H222)&lt;=N(G222),N(E222)&lt;N(D222),N(F222)&lt;=N(D222)-N(E222)))</f>
        <v>0</v>
      </c>
    </row>
    <row r="223" customFormat="false" ht="15" hidden="false" customHeight="false" outlineLevel="0" collapsed="false">
      <c r="A223" s="11"/>
      <c r="B223" s="8"/>
      <c r="C223" s="8"/>
      <c r="D223" s="8"/>
      <c r="E223" s="8"/>
      <c r="F223" s="8"/>
      <c r="G223" s="8"/>
      <c r="H223" s="8"/>
      <c r="I223" s="12" t="str">
        <f aca="false">IF($T223,D223-N(E223),"")</f>
        <v/>
      </c>
      <c r="J223" s="12" t="str">
        <f aca="false">IF($T223,I223-N(F223),"")</f>
        <v/>
      </c>
      <c r="K223" s="13" t="str">
        <f aca="false">IF($C223="","",IF(SUMPRODUCT(--(Setup!$A$5:$A$24=$C223))&gt;0,INDEX(Setup!$B$5:$B$24,21-SUMPRODUCT(MAX((Setup!$A$5:$A$24=$C223)*(25-ROW(Setup!$A$5:$A$24))))),""))</f>
        <v/>
      </c>
      <c r="L223" s="13" t="str">
        <f aca="false">IF($T223,K223*G223/60,"")</f>
        <v/>
      </c>
      <c r="M223" s="12" t="str">
        <f aca="false">IF($T223,G223-N(H223),"")</f>
        <v/>
      </c>
      <c r="N223" s="14" t="str">
        <f aca="false">IF($T223,J223/I223,"")</f>
        <v/>
      </c>
      <c r="O223" s="14" t="str">
        <f aca="false">IF(AND($T223,N(J223)&gt;0),L223/J223,"")</f>
        <v/>
      </c>
      <c r="P223" s="14" t="str">
        <f aca="false">IF(AND($T223,N(G223)&gt;0),M223/G223,"")</f>
        <v/>
      </c>
      <c r="Q223" s="14" t="str">
        <f aca="false">IF($T223,S223/I223,"")</f>
        <v/>
      </c>
      <c r="R223" s="10" t="str">
        <f aca="false">IF($C223="","",IF(NOT(SUMPRODUCT(--(Setup!$A$5:$A$24=$C223))&gt;0),"Machine not in Setup",IF(OR(NOT(ISNUMBER(K223)),N(K223)&lt;=0),"Set an ideal cycle time in Setup",IF(NOT(ISNUMBER(A223)),"Enter a date",IF(OR(NOT(ISNUMBER(D223)),NOT(ISNUMBER(G223)),AND(E223&lt;&gt;"",NOT(ISNUMBER(E223))),AND(F223&lt;&gt;"",NOT(ISNUMBER(F223))),AND(H223&lt;&gt;"",NOT(ISNUMBER(H223)))),"Enter numbers: shift length and total parts are required",IF(OR(N(D223)&lt;=0,N(E223)&lt;0,N(F223)&lt;0,N(G223)&lt;0,N(H223)&lt;0),"Values must be 0 or more (shift length above 0)",IF(N(H223)&gt;N(G223),"Rejects &gt; total parts",IF(N(E223)&gt;=N(D223),"Planned stops &gt;= shift length",IF(N(F223)&gt;N(D223)-N(E223),"Downtime &gt; planned time",IF(AND(ISNUMBER(O223),O223&gt;1),"Check: performance above 100%","OK"))))))))))</f>
        <v/>
      </c>
      <c r="S223" s="13" t="str">
        <f aca="false">IF($T223,K223*M223/60,"")</f>
        <v/>
      </c>
      <c r="T223" s="15" t="b">
        <f aca="false">IF($C223="",FALSE(),AND(SUMPRODUCT(--(Setup!$A$5:$A$24=$C223))&gt;0,ISNUMBER(A223),ISNUMBER(K223),N(K223)&gt;0,ISNUMBER(D223),N(D223)&gt;0,ISNUMBER(G223),N(G223)&gt;=0,OR(E223="",ISNUMBER(E223)),OR(F223="",ISNUMBER(F223)),OR(H223="",ISNUMBER(H223)),N(E223)&gt;=0,N(F223)&gt;=0,N(H223)&gt;=0,N(H223)&lt;=N(G223),N(E223)&lt;N(D223),N(F223)&lt;=N(D223)-N(E223)))</f>
        <v>0</v>
      </c>
    </row>
    <row r="224" customFormat="false" ht="15" hidden="false" customHeight="false" outlineLevel="0" collapsed="false">
      <c r="A224" s="11"/>
      <c r="B224" s="8"/>
      <c r="C224" s="8"/>
      <c r="D224" s="8"/>
      <c r="E224" s="8"/>
      <c r="F224" s="8"/>
      <c r="G224" s="8"/>
      <c r="H224" s="8"/>
      <c r="I224" s="12" t="str">
        <f aca="false">IF($T224,D224-N(E224),"")</f>
        <v/>
      </c>
      <c r="J224" s="12" t="str">
        <f aca="false">IF($T224,I224-N(F224),"")</f>
        <v/>
      </c>
      <c r="K224" s="13" t="str">
        <f aca="false">IF($C224="","",IF(SUMPRODUCT(--(Setup!$A$5:$A$24=$C224))&gt;0,INDEX(Setup!$B$5:$B$24,21-SUMPRODUCT(MAX((Setup!$A$5:$A$24=$C224)*(25-ROW(Setup!$A$5:$A$24))))),""))</f>
        <v/>
      </c>
      <c r="L224" s="13" t="str">
        <f aca="false">IF($T224,K224*G224/60,"")</f>
        <v/>
      </c>
      <c r="M224" s="12" t="str">
        <f aca="false">IF($T224,G224-N(H224),"")</f>
        <v/>
      </c>
      <c r="N224" s="14" t="str">
        <f aca="false">IF($T224,J224/I224,"")</f>
        <v/>
      </c>
      <c r="O224" s="14" t="str">
        <f aca="false">IF(AND($T224,N(J224)&gt;0),L224/J224,"")</f>
        <v/>
      </c>
      <c r="P224" s="14" t="str">
        <f aca="false">IF(AND($T224,N(G224)&gt;0),M224/G224,"")</f>
        <v/>
      </c>
      <c r="Q224" s="14" t="str">
        <f aca="false">IF($T224,S224/I224,"")</f>
        <v/>
      </c>
      <c r="R224" s="10" t="str">
        <f aca="false">IF($C224="","",IF(NOT(SUMPRODUCT(--(Setup!$A$5:$A$24=$C224))&gt;0),"Machine not in Setup",IF(OR(NOT(ISNUMBER(K224)),N(K224)&lt;=0),"Set an ideal cycle time in Setup",IF(NOT(ISNUMBER(A224)),"Enter a date",IF(OR(NOT(ISNUMBER(D224)),NOT(ISNUMBER(G224)),AND(E224&lt;&gt;"",NOT(ISNUMBER(E224))),AND(F224&lt;&gt;"",NOT(ISNUMBER(F224))),AND(H224&lt;&gt;"",NOT(ISNUMBER(H224)))),"Enter numbers: shift length and total parts are required",IF(OR(N(D224)&lt;=0,N(E224)&lt;0,N(F224)&lt;0,N(G224)&lt;0,N(H224)&lt;0),"Values must be 0 or more (shift length above 0)",IF(N(H224)&gt;N(G224),"Rejects &gt; total parts",IF(N(E224)&gt;=N(D224),"Planned stops &gt;= shift length",IF(N(F224)&gt;N(D224)-N(E224),"Downtime &gt; planned time",IF(AND(ISNUMBER(O224),O224&gt;1),"Check: performance above 100%","OK"))))))))))</f>
        <v/>
      </c>
      <c r="S224" s="13" t="str">
        <f aca="false">IF($T224,K224*M224/60,"")</f>
        <v/>
      </c>
      <c r="T224" s="15" t="b">
        <f aca="false">IF($C224="",FALSE(),AND(SUMPRODUCT(--(Setup!$A$5:$A$24=$C224))&gt;0,ISNUMBER(A224),ISNUMBER(K224),N(K224)&gt;0,ISNUMBER(D224),N(D224)&gt;0,ISNUMBER(G224),N(G224)&gt;=0,OR(E224="",ISNUMBER(E224)),OR(F224="",ISNUMBER(F224)),OR(H224="",ISNUMBER(H224)),N(E224)&gt;=0,N(F224)&gt;=0,N(H224)&gt;=0,N(H224)&lt;=N(G224),N(E224)&lt;N(D224),N(F224)&lt;=N(D224)-N(E224)))</f>
        <v>0</v>
      </c>
    </row>
    <row r="225" customFormat="false" ht="15" hidden="false" customHeight="false" outlineLevel="0" collapsed="false">
      <c r="A225" s="11"/>
      <c r="B225" s="8"/>
      <c r="C225" s="8"/>
      <c r="D225" s="8"/>
      <c r="E225" s="8"/>
      <c r="F225" s="8"/>
      <c r="G225" s="8"/>
      <c r="H225" s="8"/>
      <c r="I225" s="12" t="str">
        <f aca="false">IF($T225,D225-N(E225),"")</f>
        <v/>
      </c>
      <c r="J225" s="12" t="str">
        <f aca="false">IF($T225,I225-N(F225),"")</f>
        <v/>
      </c>
      <c r="K225" s="13" t="str">
        <f aca="false">IF($C225="","",IF(SUMPRODUCT(--(Setup!$A$5:$A$24=$C225))&gt;0,INDEX(Setup!$B$5:$B$24,21-SUMPRODUCT(MAX((Setup!$A$5:$A$24=$C225)*(25-ROW(Setup!$A$5:$A$24))))),""))</f>
        <v/>
      </c>
      <c r="L225" s="13" t="str">
        <f aca="false">IF($T225,K225*G225/60,"")</f>
        <v/>
      </c>
      <c r="M225" s="12" t="str">
        <f aca="false">IF($T225,G225-N(H225),"")</f>
        <v/>
      </c>
      <c r="N225" s="14" t="str">
        <f aca="false">IF($T225,J225/I225,"")</f>
        <v/>
      </c>
      <c r="O225" s="14" t="str">
        <f aca="false">IF(AND($T225,N(J225)&gt;0),L225/J225,"")</f>
        <v/>
      </c>
      <c r="P225" s="14" t="str">
        <f aca="false">IF(AND($T225,N(G225)&gt;0),M225/G225,"")</f>
        <v/>
      </c>
      <c r="Q225" s="14" t="str">
        <f aca="false">IF($T225,S225/I225,"")</f>
        <v/>
      </c>
      <c r="R225" s="10" t="str">
        <f aca="false">IF($C225="","",IF(NOT(SUMPRODUCT(--(Setup!$A$5:$A$24=$C225))&gt;0),"Machine not in Setup",IF(OR(NOT(ISNUMBER(K225)),N(K225)&lt;=0),"Set an ideal cycle time in Setup",IF(NOT(ISNUMBER(A225)),"Enter a date",IF(OR(NOT(ISNUMBER(D225)),NOT(ISNUMBER(G225)),AND(E225&lt;&gt;"",NOT(ISNUMBER(E225))),AND(F225&lt;&gt;"",NOT(ISNUMBER(F225))),AND(H225&lt;&gt;"",NOT(ISNUMBER(H225)))),"Enter numbers: shift length and total parts are required",IF(OR(N(D225)&lt;=0,N(E225)&lt;0,N(F225)&lt;0,N(G225)&lt;0,N(H225)&lt;0),"Values must be 0 or more (shift length above 0)",IF(N(H225)&gt;N(G225),"Rejects &gt; total parts",IF(N(E225)&gt;=N(D225),"Planned stops &gt;= shift length",IF(N(F225)&gt;N(D225)-N(E225),"Downtime &gt; planned time",IF(AND(ISNUMBER(O225),O225&gt;1),"Check: performance above 100%","OK"))))))))))</f>
        <v/>
      </c>
      <c r="S225" s="13" t="str">
        <f aca="false">IF($T225,K225*M225/60,"")</f>
        <v/>
      </c>
      <c r="T225" s="15" t="b">
        <f aca="false">IF($C225="",FALSE(),AND(SUMPRODUCT(--(Setup!$A$5:$A$24=$C225))&gt;0,ISNUMBER(A225),ISNUMBER(K225),N(K225)&gt;0,ISNUMBER(D225),N(D225)&gt;0,ISNUMBER(G225),N(G225)&gt;=0,OR(E225="",ISNUMBER(E225)),OR(F225="",ISNUMBER(F225)),OR(H225="",ISNUMBER(H225)),N(E225)&gt;=0,N(F225)&gt;=0,N(H225)&gt;=0,N(H225)&lt;=N(G225),N(E225)&lt;N(D225),N(F225)&lt;=N(D225)-N(E225)))</f>
        <v>0</v>
      </c>
    </row>
    <row r="226" customFormat="false" ht="15" hidden="false" customHeight="false" outlineLevel="0" collapsed="false">
      <c r="A226" s="11"/>
      <c r="B226" s="8"/>
      <c r="C226" s="8"/>
      <c r="D226" s="8"/>
      <c r="E226" s="8"/>
      <c r="F226" s="8"/>
      <c r="G226" s="8"/>
      <c r="H226" s="8"/>
      <c r="I226" s="12" t="str">
        <f aca="false">IF($T226,D226-N(E226),"")</f>
        <v/>
      </c>
      <c r="J226" s="12" t="str">
        <f aca="false">IF($T226,I226-N(F226),"")</f>
        <v/>
      </c>
      <c r="K226" s="13" t="str">
        <f aca="false">IF($C226="","",IF(SUMPRODUCT(--(Setup!$A$5:$A$24=$C226))&gt;0,INDEX(Setup!$B$5:$B$24,21-SUMPRODUCT(MAX((Setup!$A$5:$A$24=$C226)*(25-ROW(Setup!$A$5:$A$24))))),""))</f>
        <v/>
      </c>
      <c r="L226" s="13" t="str">
        <f aca="false">IF($T226,K226*G226/60,"")</f>
        <v/>
      </c>
      <c r="M226" s="12" t="str">
        <f aca="false">IF($T226,G226-N(H226),"")</f>
        <v/>
      </c>
      <c r="N226" s="14" t="str">
        <f aca="false">IF($T226,J226/I226,"")</f>
        <v/>
      </c>
      <c r="O226" s="14" t="str">
        <f aca="false">IF(AND($T226,N(J226)&gt;0),L226/J226,"")</f>
        <v/>
      </c>
      <c r="P226" s="14" t="str">
        <f aca="false">IF(AND($T226,N(G226)&gt;0),M226/G226,"")</f>
        <v/>
      </c>
      <c r="Q226" s="14" t="str">
        <f aca="false">IF($T226,S226/I226,"")</f>
        <v/>
      </c>
      <c r="R226" s="10" t="str">
        <f aca="false">IF($C226="","",IF(NOT(SUMPRODUCT(--(Setup!$A$5:$A$24=$C226))&gt;0),"Machine not in Setup",IF(OR(NOT(ISNUMBER(K226)),N(K226)&lt;=0),"Set an ideal cycle time in Setup",IF(NOT(ISNUMBER(A226)),"Enter a date",IF(OR(NOT(ISNUMBER(D226)),NOT(ISNUMBER(G226)),AND(E226&lt;&gt;"",NOT(ISNUMBER(E226))),AND(F226&lt;&gt;"",NOT(ISNUMBER(F226))),AND(H226&lt;&gt;"",NOT(ISNUMBER(H226)))),"Enter numbers: shift length and total parts are required",IF(OR(N(D226)&lt;=0,N(E226)&lt;0,N(F226)&lt;0,N(G226)&lt;0,N(H226)&lt;0),"Values must be 0 or more (shift length above 0)",IF(N(H226)&gt;N(G226),"Rejects &gt; total parts",IF(N(E226)&gt;=N(D226),"Planned stops &gt;= shift length",IF(N(F226)&gt;N(D226)-N(E226),"Downtime &gt; planned time",IF(AND(ISNUMBER(O226),O226&gt;1),"Check: performance above 100%","OK"))))))))))</f>
        <v/>
      </c>
      <c r="S226" s="13" t="str">
        <f aca="false">IF($T226,K226*M226/60,"")</f>
        <v/>
      </c>
      <c r="T226" s="15" t="b">
        <f aca="false">IF($C226="",FALSE(),AND(SUMPRODUCT(--(Setup!$A$5:$A$24=$C226))&gt;0,ISNUMBER(A226),ISNUMBER(K226),N(K226)&gt;0,ISNUMBER(D226),N(D226)&gt;0,ISNUMBER(G226),N(G226)&gt;=0,OR(E226="",ISNUMBER(E226)),OR(F226="",ISNUMBER(F226)),OR(H226="",ISNUMBER(H226)),N(E226)&gt;=0,N(F226)&gt;=0,N(H226)&gt;=0,N(H226)&lt;=N(G226),N(E226)&lt;N(D226),N(F226)&lt;=N(D226)-N(E226)))</f>
        <v>0</v>
      </c>
    </row>
    <row r="227" customFormat="false" ht="15" hidden="false" customHeight="false" outlineLevel="0" collapsed="false">
      <c r="A227" s="11"/>
      <c r="B227" s="8"/>
      <c r="C227" s="8"/>
      <c r="D227" s="8"/>
      <c r="E227" s="8"/>
      <c r="F227" s="8"/>
      <c r="G227" s="8"/>
      <c r="H227" s="8"/>
      <c r="I227" s="12" t="str">
        <f aca="false">IF($T227,D227-N(E227),"")</f>
        <v/>
      </c>
      <c r="J227" s="12" t="str">
        <f aca="false">IF($T227,I227-N(F227),"")</f>
        <v/>
      </c>
      <c r="K227" s="13" t="str">
        <f aca="false">IF($C227="","",IF(SUMPRODUCT(--(Setup!$A$5:$A$24=$C227))&gt;0,INDEX(Setup!$B$5:$B$24,21-SUMPRODUCT(MAX((Setup!$A$5:$A$24=$C227)*(25-ROW(Setup!$A$5:$A$24))))),""))</f>
        <v/>
      </c>
      <c r="L227" s="13" t="str">
        <f aca="false">IF($T227,K227*G227/60,"")</f>
        <v/>
      </c>
      <c r="M227" s="12" t="str">
        <f aca="false">IF($T227,G227-N(H227),"")</f>
        <v/>
      </c>
      <c r="N227" s="14" t="str">
        <f aca="false">IF($T227,J227/I227,"")</f>
        <v/>
      </c>
      <c r="O227" s="14" t="str">
        <f aca="false">IF(AND($T227,N(J227)&gt;0),L227/J227,"")</f>
        <v/>
      </c>
      <c r="P227" s="14" t="str">
        <f aca="false">IF(AND($T227,N(G227)&gt;0),M227/G227,"")</f>
        <v/>
      </c>
      <c r="Q227" s="14" t="str">
        <f aca="false">IF($T227,S227/I227,"")</f>
        <v/>
      </c>
      <c r="R227" s="10" t="str">
        <f aca="false">IF($C227="","",IF(NOT(SUMPRODUCT(--(Setup!$A$5:$A$24=$C227))&gt;0),"Machine not in Setup",IF(OR(NOT(ISNUMBER(K227)),N(K227)&lt;=0),"Set an ideal cycle time in Setup",IF(NOT(ISNUMBER(A227)),"Enter a date",IF(OR(NOT(ISNUMBER(D227)),NOT(ISNUMBER(G227)),AND(E227&lt;&gt;"",NOT(ISNUMBER(E227))),AND(F227&lt;&gt;"",NOT(ISNUMBER(F227))),AND(H227&lt;&gt;"",NOT(ISNUMBER(H227)))),"Enter numbers: shift length and total parts are required",IF(OR(N(D227)&lt;=0,N(E227)&lt;0,N(F227)&lt;0,N(G227)&lt;0,N(H227)&lt;0),"Values must be 0 or more (shift length above 0)",IF(N(H227)&gt;N(G227),"Rejects &gt; total parts",IF(N(E227)&gt;=N(D227),"Planned stops &gt;= shift length",IF(N(F227)&gt;N(D227)-N(E227),"Downtime &gt; planned time",IF(AND(ISNUMBER(O227),O227&gt;1),"Check: performance above 100%","OK"))))))))))</f>
        <v/>
      </c>
      <c r="S227" s="13" t="str">
        <f aca="false">IF($T227,K227*M227/60,"")</f>
        <v/>
      </c>
      <c r="T227" s="15" t="b">
        <f aca="false">IF($C227="",FALSE(),AND(SUMPRODUCT(--(Setup!$A$5:$A$24=$C227))&gt;0,ISNUMBER(A227),ISNUMBER(K227),N(K227)&gt;0,ISNUMBER(D227),N(D227)&gt;0,ISNUMBER(G227),N(G227)&gt;=0,OR(E227="",ISNUMBER(E227)),OR(F227="",ISNUMBER(F227)),OR(H227="",ISNUMBER(H227)),N(E227)&gt;=0,N(F227)&gt;=0,N(H227)&gt;=0,N(H227)&lt;=N(G227),N(E227)&lt;N(D227),N(F227)&lt;=N(D227)-N(E227)))</f>
        <v>0</v>
      </c>
    </row>
    <row r="228" customFormat="false" ht="15" hidden="false" customHeight="false" outlineLevel="0" collapsed="false">
      <c r="A228" s="11"/>
      <c r="B228" s="8"/>
      <c r="C228" s="8"/>
      <c r="D228" s="8"/>
      <c r="E228" s="8"/>
      <c r="F228" s="8"/>
      <c r="G228" s="8"/>
      <c r="H228" s="8"/>
      <c r="I228" s="12" t="str">
        <f aca="false">IF($T228,D228-N(E228),"")</f>
        <v/>
      </c>
      <c r="J228" s="12" t="str">
        <f aca="false">IF($T228,I228-N(F228),"")</f>
        <v/>
      </c>
      <c r="K228" s="13" t="str">
        <f aca="false">IF($C228="","",IF(SUMPRODUCT(--(Setup!$A$5:$A$24=$C228))&gt;0,INDEX(Setup!$B$5:$B$24,21-SUMPRODUCT(MAX((Setup!$A$5:$A$24=$C228)*(25-ROW(Setup!$A$5:$A$24))))),""))</f>
        <v/>
      </c>
      <c r="L228" s="13" t="str">
        <f aca="false">IF($T228,K228*G228/60,"")</f>
        <v/>
      </c>
      <c r="M228" s="12" t="str">
        <f aca="false">IF($T228,G228-N(H228),"")</f>
        <v/>
      </c>
      <c r="N228" s="14" t="str">
        <f aca="false">IF($T228,J228/I228,"")</f>
        <v/>
      </c>
      <c r="O228" s="14" t="str">
        <f aca="false">IF(AND($T228,N(J228)&gt;0),L228/J228,"")</f>
        <v/>
      </c>
      <c r="P228" s="14" t="str">
        <f aca="false">IF(AND($T228,N(G228)&gt;0),M228/G228,"")</f>
        <v/>
      </c>
      <c r="Q228" s="14" t="str">
        <f aca="false">IF($T228,S228/I228,"")</f>
        <v/>
      </c>
      <c r="R228" s="10" t="str">
        <f aca="false">IF($C228="","",IF(NOT(SUMPRODUCT(--(Setup!$A$5:$A$24=$C228))&gt;0),"Machine not in Setup",IF(OR(NOT(ISNUMBER(K228)),N(K228)&lt;=0),"Set an ideal cycle time in Setup",IF(NOT(ISNUMBER(A228)),"Enter a date",IF(OR(NOT(ISNUMBER(D228)),NOT(ISNUMBER(G228)),AND(E228&lt;&gt;"",NOT(ISNUMBER(E228))),AND(F228&lt;&gt;"",NOT(ISNUMBER(F228))),AND(H228&lt;&gt;"",NOT(ISNUMBER(H228)))),"Enter numbers: shift length and total parts are required",IF(OR(N(D228)&lt;=0,N(E228)&lt;0,N(F228)&lt;0,N(G228)&lt;0,N(H228)&lt;0),"Values must be 0 or more (shift length above 0)",IF(N(H228)&gt;N(G228),"Rejects &gt; total parts",IF(N(E228)&gt;=N(D228),"Planned stops &gt;= shift length",IF(N(F228)&gt;N(D228)-N(E228),"Downtime &gt; planned time",IF(AND(ISNUMBER(O228),O228&gt;1),"Check: performance above 100%","OK"))))))))))</f>
        <v/>
      </c>
      <c r="S228" s="13" t="str">
        <f aca="false">IF($T228,K228*M228/60,"")</f>
        <v/>
      </c>
      <c r="T228" s="15" t="b">
        <f aca="false">IF($C228="",FALSE(),AND(SUMPRODUCT(--(Setup!$A$5:$A$24=$C228))&gt;0,ISNUMBER(A228),ISNUMBER(K228),N(K228)&gt;0,ISNUMBER(D228),N(D228)&gt;0,ISNUMBER(G228),N(G228)&gt;=0,OR(E228="",ISNUMBER(E228)),OR(F228="",ISNUMBER(F228)),OR(H228="",ISNUMBER(H228)),N(E228)&gt;=0,N(F228)&gt;=0,N(H228)&gt;=0,N(H228)&lt;=N(G228),N(E228)&lt;N(D228),N(F228)&lt;=N(D228)-N(E228)))</f>
        <v>0</v>
      </c>
    </row>
    <row r="229" customFormat="false" ht="15" hidden="false" customHeight="false" outlineLevel="0" collapsed="false">
      <c r="A229" s="11"/>
      <c r="B229" s="8"/>
      <c r="C229" s="8"/>
      <c r="D229" s="8"/>
      <c r="E229" s="8"/>
      <c r="F229" s="8"/>
      <c r="G229" s="8"/>
      <c r="H229" s="8"/>
      <c r="I229" s="12" t="str">
        <f aca="false">IF($T229,D229-N(E229),"")</f>
        <v/>
      </c>
      <c r="J229" s="12" t="str">
        <f aca="false">IF($T229,I229-N(F229),"")</f>
        <v/>
      </c>
      <c r="K229" s="13" t="str">
        <f aca="false">IF($C229="","",IF(SUMPRODUCT(--(Setup!$A$5:$A$24=$C229))&gt;0,INDEX(Setup!$B$5:$B$24,21-SUMPRODUCT(MAX((Setup!$A$5:$A$24=$C229)*(25-ROW(Setup!$A$5:$A$24))))),""))</f>
        <v/>
      </c>
      <c r="L229" s="13" t="str">
        <f aca="false">IF($T229,K229*G229/60,"")</f>
        <v/>
      </c>
      <c r="M229" s="12" t="str">
        <f aca="false">IF($T229,G229-N(H229),"")</f>
        <v/>
      </c>
      <c r="N229" s="14" t="str">
        <f aca="false">IF($T229,J229/I229,"")</f>
        <v/>
      </c>
      <c r="O229" s="14" t="str">
        <f aca="false">IF(AND($T229,N(J229)&gt;0),L229/J229,"")</f>
        <v/>
      </c>
      <c r="P229" s="14" t="str">
        <f aca="false">IF(AND($T229,N(G229)&gt;0),M229/G229,"")</f>
        <v/>
      </c>
      <c r="Q229" s="14" t="str">
        <f aca="false">IF($T229,S229/I229,"")</f>
        <v/>
      </c>
      <c r="R229" s="10" t="str">
        <f aca="false">IF($C229="","",IF(NOT(SUMPRODUCT(--(Setup!$A$5:$A$24=$C229))&gt;0),"Machine not in Setup",IF(OR(NOT(ISNUMBER(K229)),N(K229)&lt;=0),"Set an ideal cycle time in Setup",IF(NOT(ISNUMBER(A229)),"Enter a date",IF(OR(NOT(ISNUMBER(D229)),NOT(ISNUMBER(G229)),AND(E229&lt;&gt;"",NOT(ISNUMBER(E229))),AND(F229&lt;&gt;"",NOT(ISNUMBER(F229))),AND(H229&lt;&gt;"",NOT(ISNUMBER(H229)))),"Enter numbers: shift length and total parts are required",IF(OR(N(D229)&lt;=0,N(E229)&lt;0,N(F229)&lt;0,N(G229)&lt;0,N(H229)&lt;0),"Values must be 0 or more (shift length above 0)",IF(N(H229)&gt;N(G229),"Rejects &gt; total parts",IF(N(E229)&gt;=N(D229),"Planned stops &gt;= shift length",IF(N(F229)&gt;N(D229)-N(E229),"Downtime &gt; planned time",IF(AND(ISNUMBER(O229),O229&gt;1),"Check: performance above 100%","OK"))))))))))</f>
        <v/>
      </c>
      <c r="S229" s="13" t="str">
        <f aca="false">IF($T229,K229*M229/60,"")</f>
        <v/>
      </c>
      <c r="T229" s="15" t="b">
        <f aca="false">IF($C229="",FALSE(),AND(SUMPRODUCT(--(Setup!$A$5:$A$24=$C229))&gt;0,ISNUMBER(A229),ISNUMBER(K229),N(K229)&gt;0,ISNUMBER(D229),N(D229)&gt;0,ISNUMBER(G229),N(G229)&gt;=0,OR(E229="",ISNUMBER(E229)),OR(F229="",ISNUMBER(F229)),OR(H229="",ISNUMBER(H229)),N(E229)&gt;=0,N(F229)&gt;=0,N(H229)&gt;=0,N(H229)&lt;=N(G229),N(E229)&lt;N(D229),N(F229)&lt;=N(D229)-N(E229)))</f>
        <v>0</v>
      </c>
    </row>
    <row r="230" customFormat="false" ht="15" hidden="false" customHeight="false" outlineLevel="0" collapsed="false">
      <c r="A230" s="11"/>
      <c r="B230" s="8"/>
      <c r="C230" s="8"/>
      <c r="D230" s="8"/>
      <c r="E230" s="8"/>
      <c r="F230" s="8"/>
      <c r="G230" s="8"/>
      <c r="H230" s="8"/>
      <c r="I230" s="12" t="str">
        <f aca="false">IF($T230,D230-N(E230),"")</f>
        <v/>
      </c>
      <c r="J230" s="12" t="str">
        <f aca="false">IF($T230,I230-N(F230),"")</f>
        <v/>
      </c>
      <c r="K230" s="13" t="str">
        <f aca="false">IF($C230="","",IF(SUMPRODUCT(--(Setup!$A$5:$A$24=$C230))&gt;0,INDEX(Setup!$B$5:$B$24,21-SUMPRODUCT(MAX((Setup!$A$5:$A$24=$C230)*(25-ROW(Setup!$A$5:$A$24))))),""))</f>
        <v/>
      </c>
      <c r="L230" s="13" t="str">
        <f aca="false">IF($T230,K230*G230/60,"")</f>
        <v/>
      </c>
      <c r="M230" s="12" t="str">
        <f aca="false">IF($T230,G230-N(H230),"")</f>
        <v/>
      </c>
      <c r="N230" s="14" t="str">
        <f aca="false">IF($T230,J230/I230,"")</f>
        <v/>
      </c>
      <c r="O230" s="14" t="str">
        <f aca="false">IF(AND($T230,N(J230)&gt;0),L230/J230,"")</f>
        <v/>
      </c>
      <c r="P230" s="14" t="str">
        <f aca="false">IF(AND($T230,N(G230)&gt;0),M230/G230,"")</f>
        <v/>
      </c>
      <c r="Q230" s="14" t="str">
        <f aca="false">IF($T230,S230/I230,"")</f>
        <v/>
      </c>
      <c r="R230" s="10" t="str">
        <f aca="false">IF($C230="","",IF(NOT(SUMPRODUCT(--(Setup!$A$5:$A$24=$C230))&gt;0),"Machine not in Setup",IF(OR(NOT(ISNUMBER(K230)),N(K230)&lt;=0),"Set an ideal cycle time in Setup",IF(NOT(ISNUMBER(A230)),"Enter a date",IF(OR(NOT(ISNUMBER(D230)),NOT(ISNUMBER(G230)),AND(E230&lt;&gt;"",NOT(ISNUMBER(E230))),AND(F230&lt;&gt;"",NOT(ISNUMBER(F230))),AND(H230&lt;&gt;"",NOT(ISNUMBER(H230)))),"Enter numbers: shift length and total parts are required",IF(OR(N(D230)&lt;=0,N(E230)&lt;0,N(F230)&lt;0,N(G230)&lt;0,N(H230)&lt;0),"Values must be 0 or more (shift length above 0)",IF(N(H230)&gt;N(G230),"Rejects &gt; total parts",IF(N(E230)&gt;=N(D230),"Planned stops &gt;= shift length",IF(N(F230)&gt;N(D230)-N(E230),"Downtime &gt; planned time",IF(AND(ISNUMBER(O230),O230&gt;1),"Check: performance above 100%","OK"))))))))))</f>
        <v/>
      </c>
      <c r="S230" s="13" t="str">
        <f aca="false">IF($T230,K230*M230/60,"")</f>
        <v/>
      </c>
      <c r="T230" s="15" t="b">
        <f aca="false">IF($C230="",FALSE(),AND(SUMPRODUCT(--(Setup!$A$5:$A$24=$C230))&gt;0,ISNUMBER(A230),ISNUMBER(K230),N(K230)&gt;0,ISNUMBER(D230),N(D230)&gt;0,ISNUMBER(G230),N(G230)&gt;=0,OR(E230="",ISNUMBER(E230)),OR(F230="",ISNUMBER(F230)),OR(H230="",ISNUMBER(H230)),N(E230)&gt;=0,N(F230)&gt;=0,N(H230)&gt;=0,N(H230)&lt;=N(G230),N(E230)&lt;N(D230),N(F230)&lt;=N(D230)-N(E230)))</f>
        <v>0</v>
      </c>
    </row>
    <row r="231" customFormat="false" ht="15" hidden="false" customHeight="false" outlineLevel="0" collapsed="false">
      <c r="A231" s="11"/>
      <c r="B231" s="8"/>
      <c r="C231" s="8"/>
      <c r="D231" s="8"/>
      <c r="E231" s="8"/>
      <c r="F231" s="8"/>
      <c r="G231" s="8"/>
      <c r="H231" s="8"/>
      <c r="I231" s="12" t="str">
        <f aca="false">IF($T231,D231-N(E231),"")</f>
        <v/>
      </c>
      <c r="J231" s="12" t="str">
        <f aca="false">IF($T231,I231-N(F231),"")</f>
        <v/>
      </c>
      <c r="K231" s="13" t="str">
        <f aca="false">IF($C231="","",IF(SUMPRODUCT(--(Setup!$A$5:$A$24=$C231))&gt;0,INDEX(Setup!$B$5:$B$24,21-SUMPRODUCT(MAX((Setup!$A$5:$A$24=$C231)*(25-ROW(Setup!$A$5:$A$24))))),""))</f>
        <v/>
      </c>
      <c r="L231" s="13" t="str">
        <f aca="false">IF($T231,K231*G231/60,"")</f>
        <v/>
      </c>
      <c r="M231" s="12" t="str">
        <f aca="false">IF($T231,G231-N(H231),"")</f>
        <v/>
      </c>
      <c r="N231" s="14" t="str">
        <f aca="false">IF($T231,J231/I231,"")</f>
        <v/>
      </c>
      <c r="O231" s="14" t="str">
        <f aca="false">IF(AND($T231,N(J231)&gt;0),L231/J231,"")</f>
        <v/>
      </c>
      <c r="P231" s="14" t="str">
        <f aca="false">IF(AND($T231,N(G231)&gt;0),M231/G231,"")</f>
        <v/>
      </c>
      <c r="Q231" s="14" t="str">
        <f aca="false">IF($T231,S231/I231,"")</f>
        <v/>
      </c>
      <c r="R231" s="10" t="str">
        <f aca="false">IF($C231="","",IF(NOT(SUMPRODUCT(--(Setup!$A$5:$A$24=$C231))&gt;0),"Machine not in Setup",IF(OR(NOT(ISNUMBER(K231)),N(K231)&lt;=0),"Set an ideal cycle time in Setup",IF(NOT(ISNUMBER(A231)),"Enter a date",IF(OR(NOT(ISNUMBER(D231)),NOT(ISNUMBER(G231)),AND(E231&lt;&gt;"",NOT(ISNUMBER(E231))),AND(F231&lt;&gt;"",NOT(ISNUMBER(F231))),AND(H231&lt;&gt;"",NOT(ISNUMBER(H231)))),"Enter numbers: shift length and total parts are required",IF(OR(N(D231)&lt;=0,N(E231)&lt;0,N(F231)&lt;0,N(G231)&lt;0,N(H231)&lt;0),"Values must be 0 or more (shift length above 0)",IF(N(H231)&gt;N(G231),"Rejects &gt; total parts",IF(N(E231)&gt;=N(D231),"Planned stops &gt;= shift length",IF(N(F231)&gt;N(D231)-N(E231),"Downtime &gt; planned time",IF(AND(ISNUMBER(O231),O231&gt;1),"Check: performance above 100%","OK"))))))))))</f>
        <v/>
      </c>
      <c r="S231" s="13" t="str">
        <f aca="false">IF($T231,K231*M231/60,"")</f>
        <v/>
      </c>
      <c r="T231" s="15" t="b">
        <f aca="false">IF($C231="",FALSE(),AND(SUMPRODUCT(--(Setup!$A$5:$A$24=$C231))&gt;0,ISNUMBER(A231),ISNUMBER(K231),N(K231)&gt;0,ISNUMBER(D231),N(D231)&gt;0,ISNUMBER(G231),N(G231)&gt;=0,OR(E231="",ISNUMBER(E231)),OR(F231="",ISNUMBER(F231)),OR(H231="",ISNUMBER(H231)),N(E231)&gt;=0,N(F231)&gt;=0,N(H231)&gt;=0,N(H231)&lt;=N(G231),N(E231)&lt;N(D231),N(F231)&lt;=N(D231)-N(E231)))</f>
        <v>0</v>
      </c>
    </row>
    <row r="232" customFormat="false" ht="15" hidden="false" customHeight="false" outlineLevel="0" collapsed="false">
      <c r="A232" s="11"/>
      <c r="B232" s="8"/>
      <c r="C232" s="8"/>
      <c r="D232" s="8"/>
      <c r="E232" s="8"/>
      <c r="F232" s="8"/>
      <c r="G232" s="8"/>
      <c r="H232" s="8"/>
      <c r="I232" s="12" t="str">
        <f aca="false">IF($T232,D232-N(E232),"")</f>
        <v/>
      </c>
      <c r="J232" s="12" t="str">
        <f aca="false">IF($T232,I232-N(F232),"")</f>
        <v/>
      </c>
      <c r="K232" s="13" t="str">
        <f aca="false">IF($C232="","",IF(SUMPRODUCT(--(Setup!$A$5:$A$24=$C232))&gt;0,INDEX(Setup!$B$5:$B$24,21-SUMPRODUCT(MAX((Setup!$A$5:$A$24=$C232)*(25-ROW(Setup!$A$5:$A$24))))),""))</f>
        <v/>
      </c>
      <c r="L232" s="13" t="str">
        <f aca="false">IF($T232,K232*G232/60,"")</f>
        <v/>
      </c>
      <c r="M232" s="12" t="str">
        <f aca="false">IF($T232,G232-N(H232),"")</f>
        <v/>
      </c>
      <c r="N232" s="14" t="str">
        <f aca="false">IF($T232,J232/I232,"")</f>
        <v/>
      </c>
      <c r="O232" s="14" t="str">
        <f aca="false">IF(AND($T232,N(J232)&gt;0),L232/J232,"")</f>
        <v/>
      </c>
      <c r="P232" s="14" t="str">
        <f aca="false">IF(AND($T232,N(G232)&gt;0),M232/G232,"")</f>
        <v/>
      </c>
      <c r="Q232" s="14" t="str">
        <f aca="false">IF($T232,S232/I232,"")</f>
        <v/>
      </c>
      <c r="R232" s="10" t="str">
        <f aca="false">IF($C232="","",IF(NOT(SUMPRODUCT(--(Setup!$A$5:$A$24=$C232))&gt;0),"Machine not in Setup",IF(OR(NOT(ISNUMBER(K232)),N(K232)&lt;=0),"Set an ideal cycle time in Setup",IF(NOT(ISNUMBER(A232)),"Enter a date",IF(OR(NOT(ISNUMBER(D232)),NOT(ISNUMBER(G232)),AND(E232&lt;&gt;"",NOT(ISNUMBER(E232))),AND(F232&lt;&gt;"",NOT(ISNUMBER(F232))),AND(H232&lt;&gt;"",NOT(ISNUMBER(H232)))),"Enter numbers: shift length and total parts are required",IF(OR(N(D232)&lt;=0,N(E232)&lt;0,N(F232)&lt;0,N(G232)&lt;0,N(H232)&lt;0),"Values must be 0 or more (shift length above 0)",IF(N(H232)&gt;N(G232),"Rejects &gt; total parts",IF(N(E232)&gt;=N(D232),"Planned stops &gt;= shift length",IF(N(F232)&gt;N(D232)-N(E232),"Downtime &gt; planned time",IF(AND(ISNUMBER(O232),O232&gt;1),"Check: performance above 100%","OK"))))))))))</f>
        <v/>
      </c>
      <c r="S232" s="13" t="str">
        <f aca="false">IF($T232,K232*M232/60,"")</f>
        <v/>
      </c>
      <c r="T232" s="15" t="b">
        <f aca="false">IF($C232="",FALSE(),AND(SUMPRODUCT(--(Setup!$A$5:$A$24=$C232))&gt;0,ISNUMBER(A232),ISNUMBER(K232),N(K232)&gt;0,ISNUMBER(D232),N(D232)&gt;0,ISNUMBER(G232),N(G232)&gt;=0,OR(E232="",ISNUMBER(E232)),OR(F232="",ISNUMBER(F232)),OR(H232="",ISNUMBER(H232)),N(E232)&gt;=0,N(F232)&gt;=0,N(H232)&gt;=0,N(H232)&lt;=N(G232),N(E232)&lt;N(D232),N(F232)&lt;=N(D232)-N(E232)))</f>
        <v>0</v>
      </c>
    </row>
    <row r="233" customFormat="false" ht="15" hidden="false" customHeight="false" outlineLevel="0" collapsed="false">
      <c r="A233" s="11"/>
      <c r="B233" s="8"/>
      <c r="C233" s="8"/>
      <c r="D233" s="8"/>
      <c r="E233" s="8"/>
      <c r="F233" s="8"/>
      <c r="G233" s="8"/>
      <c r="H233" s="8"/>
      <c r="I233" s="12" t="str">
        <f aca="false">IF($T233,D233-N(E233),"")</f>
        <v/>
      </c>
      <c r="J233" s="12" t="str">
        <f aca="false">IF($T233,I233-N(F233),"")</f>
        <v/>
      </c>
      <c r="K233" s="13" t="str">
        <f aca="false">IF($C233="","",IF(SUMPRODUCT(--(Setup!$A$5:$A$24=$C233))&gt;0,INDEX(Setup!$B$5:$B$24,21-SUMPRODUCT(MAX((Setup!$A$5:$A$24=$C233)*(25-ROW(Setup!$A$5:$A$24))))),""))</f>
        <v/>
      </c>
      <c r="L233" s="13" t="str">
        <f aca="false">IF($T233,K233*G233/60,"")</f>
        <v/>
      </c>
      <c r="M233" s="12" t="str">
        <f aca="false">IF($T233,G233-N(H233),"")</f>
        <v/>
      </c>
      <c r="N233" s="14" t="str">
        <f aca="false">IF($T233,J233/I233,"")</f>
        <v/>
      </c>
      <c r="O233" s="14" t="str">
        <f aca="false">IF(AND($T233,N(J233)&gt;0),L233/J233,"")</f>
        <v/>
      </c>
      <c r="P233" s="14" t="str">
        <f aca="false">IF(AND($T233,N(G233)&gt;0),M233/G233,"")</f>
        <v/>
      </c>
      <c r="Q233" s="14" t="str">
        <f aca="false">IF($T233,S233/I233,"")</f>
        <v/>
      </c>
      <c r="R233" s="10" t="str">
        <f aca="false">IF($C233="","",IF(NOT(SUMPRODUCT(--(Setup!$A$5:$A$24=$C233))&gt;0),"Machine not in Setup",IF(OR(NOT(ISNUMBER(K233)),N(K233)&lt;=0),"Set an ideal cycle time in Setup",IF(NOT(ISNUMBER(A233)),"Enter a date",IF(OR(NOT(ISNUMBER(D233)),NOT(ISNUMBER(G233)),AND(E233&lt;&gt;"",NOT(ISNUMBER(E233))),AND(F233&lt;&gt;"",NOT(ISNUMBER(F233))),AND(H233&lt;&gt;"",NOT(ISNUMBER(H233)))),"Enter numbers: shift length and total parts are required",IF(OR(N(D233)&lt;=0,N(E233)&lt;0,N(F233)&lt;0,N(G233)&lt;0,N(H233)&lt;0),"Values must be 0 or more (shift length above 0)",IF(N(H233)&gt;N(G233),"Rejects &gt; total parts",IF(N(E233)&gt;=N(D233),"Planned stops &gt;= shift length",IF(N(F233)&gt;N(D233)-N(E233),"Downtime &gt; planned time",IF(AND(ISNUMBER(O233),O233&gt;1),"Check: performance above 100%","OK"))))))))))</f>
        <v/>
      </c>
      <c r="S233" s="13" t="str">
        <f aca="false">IF($T233,K233*M233/60,"")</f>
        <v/>
      </c>
      <c r="T233" s="15" t="b">
        <f aca="false">IF($C233="",FALSE(),AND(SUMPRODUCT(--(Setup!$A$5:$A$24=$C233))&gt;0,ISNUMBER(A233),ISNUMBER(K233),N(K233)&gt;0,ISNUMBER(D233),N(D233)&gt;0,ISNUMBER(G233),N(G233)&gt;=0,OR(E233="",ISNUMBER(E233)),OR(F233="",ISNUMBER(F233)),OR(H233="",ISNUMBER(H233)),N(E233)&gt;=0,N(F233)&gt;=0,N(H233)&gt;=0,N(H233)&lt;=N(G233),N(E233)&lt;N(D233),N(F233)&lt;=N(D233)-N(E233)))</f>
        <v>0</v>
      </c>
    </row>
    <row r="234" customFormat="false" ht="15" hidden="false" customHeight="false" outlineLevel="0" collapsed="false">
      <c r="A234" s="11"/>
      <c r="B234" s="8"/>
      <c r="C234" s="8"/>
      <c r="D234" s="8"/>
      <c r="E234" s="8"/>
      <c r="F234" s="8"/>
      <c r="G234" s="8"/>
      <c r="H234" s="8"/>
      <c r="I234" s="12" t="str">
        <f aca="false">IF($T234,D234-N(E234),"")</f>
        <v/>
      </c>
      <c r="J234" s="12" t="str">
        <f aca="false">IF($T234,I234-N(F234),"")</f>
        <v/>
      </c>
      <c r="K234" s="13" t="str">
        <f aca="false">IF($C234="","",IF(SUMPRODUCT(--(Setup!$A$5:$A$24=$C234))&gt;0,INDEX(Setup!$B$5:$B$24,21-SUMPRODUCT(MAX((Setup!$A$5:$A$24=$C234)*(25-ROW(Setup!$A$5:$A$24))))),""))</f>
        <v/>
      </c>
      <c r="L234" s="13" t="str">
        <f aca="false">IF($T234,K234*G234/60,"")</f>
        <v/>
      </c>
      <c r="M234" s="12" t="str">
        <f aca="false">IF($T234,G234-N(H234),"")</f>
        <v/>
      </c>
      <c r="N234" s="14" t="str">
        <f aca="false">IF($T234,J234/I234,"")</f>
        <v/>
      </c>
      <c r="O234" s="14" t="str">
        <f aca="false">IF(AND($T234,N(J234)&gt;0),L234/J234,"")</f>
        <v/>
      </c>
      <c r="P234" s="14" t="str">
        <f aca="false">IF(AND($T234,N(G234)&gt;0),M234/G234,"")</f>
        <v/>
      </c>
      <c r="Q234" s="14" t="str">
        <f aca="false">IF($T234,S234/I234,"")</f>
        <v/>
      </c>
      <c r="R234" s="10" t="str">
        <f aca="false">IF($C234="","",IF(NOT(SUMPRODUCT(--(Setup!$A$5:$A$24=$C234))&gt;0),"Machine not in Setup",IF(OR(NOT(ISNUMBER(K234)),N(K234)&lt;=0),"Set an ideal cycle time in Setup",IF(NOT(ISNUMBER(A234)),"Enter a date",IF(OR(NOT(ISNUMBER(D234)),NOT(ISNUMBER(G234)),AND(E234&lt;&gt;"",NOT(ISNUMBER(E234))),AND(F234&lt;&gt;"",NOT(ISNUMBER(F234))),AND(H234&lt;&gt;"",NOT(ISNUMBER(H234)))),"Enter numbers: shift length and total parts are required",IF(OR(N(D234)&lt;=0,N(E234)&lt;0,N(F234)&lt;0,N(G234)&lt;0,N(H234)&lt;0),"Values must be 0 or more (shift length above 0)",IF(N(H234)&gt;N(G234),"Rejects &gt; total parts",IF(N(E234)&gt;=N(D234),"Planned stops &gt;= shift length",IF(N(F234)&gt;N(D234)-N(E234),"Downtime &gt; planned time",IF(AND(ISNUMBER(O234),O234&gt;1),"Check: performance above 100%","OK"))))))))))</f>
        <v/>
      </c>
      <c r="S234" s="13" t="str">
        <f aca="false">IF($T234,K234*M234/60,"")</f>
        <v/>
      </c>
      <c r="T234" s="15" t="b">
        <f aca="false">IF($C234="",FALSE(),AND(SUMPRODUCT(--(Setup!$A$5:$A$24=$C234))&gt;0,ISNUMBER(A234),ISNUMBER(K234),N(K234)&gt;0,ISNUMBER(D234),N(D234)&gt;0,ISNUMBER(G234),N(G234)&gt;=0,OR(E234="",ISNUMBER(E234)),OR(F234="",ISNUMBER(F234)),OR(H234="",ISNUMBER(H234)),N(E234)&gt;=0,N(F234)&gt;=0,N(H234)&gt;=0,N(H234)&lt;=N(G234),N(E234)&lt;N(D234),N(F234)&lt;=N(D234)-N(E234)))</f>
        <v>0</v>
      </c>
    </row>
    <row r="235" customFormat="false" ht="15" hidden="false" customHeight="false" outlineLevel="0" collapsed="false">
      <c r="A235" s="11"/>
      <c r="B235" s="8"/>
      <c r="C235" s="8"/>
      <c r="D235" s="8"/>
      <c r="E235" s="8"/>
      <c r="F235" s="8"/>
      <c r="G235" s="8"/>
      <c r="H235" s="8"/>
      <c r="I235" s="12" t="str">
        <f aca="false">IF($T235,D235-N(E235),"")</f>
        <v/>
      </c>
      <c r="J235" s="12" t="str">
        <f aca="false">IF($T235,I235-N(F235),"")</f>
        <v/>
      </c>
      <c r="K235" s="13" t="str">
        <f aca="false">IF($C235="","",IF(SUMPRODUCT(--(Setup!$A$5:$A$24=$C235))&gt;0,INDEX(Setup!$B$5:$B$24,21-SUMPRODUCT(MAX((Setup!$A$5:$A$24=$C235)*(25-ROW(Setup!$A$5:$A$24))))),""))</f>
        <v/>
      </c>
      <c r="L235" s="13" t="str">
        <f aca="false">IF($T235,K235*G235/60,"")</f>
        <v/>
      </c>
      <c r="M235" s="12" t="str">
        <f aca="false">IF($T235,G235-N(H235),"")</f>
        <v/>
      </c>
      <c r="N235" s="14" t="str">
        <f aca="false">IF($T235,J235/I235,"")</f>
        <v/>
      </c>
      <c r="O235" s="14" t="str">
        <f aca="false">IF(AND($T235,N(J235)&gt;0),L235/J235,"")</f>
        <v/>
      </c>
      <c r="P235" s="14" t="str">
        <f aca="false">IF(AND($T235,N(G235)&gt;0),M235/G235,"")</f>
        <v/>
      </c>
      <c r="Q235" s="14" t="str">
        <f aca="false">IF($T235,S235/I235,"")</f>
        <v/>
      </c>
      <c r="R235" s="10" t="str">
        <f aca="false">IF($C235="","",IF(NOT(SUMPRODUCT(--(Setup!$A$5:$A$24=$C235))&gt;0),"Machine not in Setup",IF(OR(NOT(ISNUMBER(K235)),N(K235)&lt;=0),"Set an ideal cycle time in Setup",IF(NOT(ISNUMBER(A235)),"Enter a date",IF(OR(NOT(ISNUMBER(D235)),NOT(ISNUMBER(G235)),AND(E235&lt;&gt;"",NOT(ISNUMBER(E235))),AND(F235&lt;&gt;"",NOT(ISNUMBER(F235))),AND(H235&lt;&gt;"",NOT(ISNUMBER(H235)))),"Enter numbers: shift length and total parts are required",IF(OR(N(D235)&lt;=0,N(E235)&lt;0,N(F235)&lt;0,N(G235)&lt;0,N(H235)&lt;0),"Values must be 0 or more (shift length above 0)",IF(N(H235)&gt;N(G235),"Rejects &gt; total parts",IF(N(E235)&gt;=N(D235),"Planned stops &gt;= shift length",IF(N(F235)&gt;N(D235)-N(E235),"Downtime &gt; planned time",IF(AND(ISNUMBER(O235),O235&gt;1),"Check: performance above 100%","OK"))))))))))</f>
        <v/>
      </c>
      <c r="S235" s="13" t="str">
        <f aca="false">IF($T235,K235*M235/60,"")</f>
        <v/>
      </c>
      <c r="T235" s="15" t="b">
        <f aca="false">IF($C235="",FALSE(),AND(SUMPRODUCT(--(Setup!$A$5:$A$24=$C235))&gt;0,ISNUMBER(A235),ISNUMBER(K235),N(K235)&gt;0,ISNUMBER(D235),N(D235)&gt;0,ISNUMBER(G235),N(G235)&gt;=0,OR(E235="",ISNUMBER(E235)),OR(F235="",ISNUMBER(F235)),OR(H235="",ISNUMBER(H235)),N(E235)&gt;=0,N(F235)&gt;=0,N(H235)&gt;=0,N(H235)&lt;=N(G235),N(E235)&lt;N(D235),N(F235)&lt;=N(D235)-N(E235)))</f>
        <v>0</v>
      </c>
    </row>
    <row r="236" customFormat="false" ht="15" hidden="false" customHeight="false" outlineLevel="0" collapsed="false">
      <c r="A236" s="11"/>
      <c r="B236" s="8"/>
      <c r="C236" s="8"/>
      <c r="D236" s="8"/>
      <c r="E236" s="8"/>
      <c r="F236" s="8"/>
      <c r="G236" s="8"/>
      <c r="H236" s="8"/>
      <c r="I236" s="12" t="str">
        <f aca="false">IF($T236,D236-N(E236),"")</f>
        <v/>
      </c>
      <c r="J236" s="12" t="str">
        <f aca="false">IF($T236,I236-N(F236),"")</f>
        <v/>
      </c>
      <c r="K236" s="13" t="str">
        <f aca="false">IF($C236="","",IF(SUMPRODUCT(--(Setup!$A$5:$A$24=$C236))&gt;0,INDEX(Setup!$B$5:$B$24,21-SUMPRODUCT(MAX((Setup!$A$5:$A$24=$C236)*(25-ROW(Setup!$A$5:$A$24))))),""))</f>
        <v/>
      </c>
      <c r="L236" s="13" t="str">
        <f aca="false">IF($T236,K236*G236/60,"")</f>
        <v/>
      </c>
      <c r="M236" s="12" t="str">
        <f aca="false">IF($T236,G236-N(H236),"")</f>
        <v/>
      </c>
      <c r="N236" s="14" t="str">
        <f aca="false">IF($T236,J236/I236,"")</f>
        <v/>
      </c>
      <c r="O236" s="14" t="str">
        <f aca="false">IF(AND($T236,N(J236)&gt;0),L236/J236,"")</f>
        <v/>
      </c>
      <c r="P236" s="14" t="str">
        <f aca="false">IF(AND($T236,N(G236)&gt;0),M236/G236,"")</f>
        <v/>
      </c>
      <c r="Q236" s="14" t="str">
        <f aca="false">IF($T236,S236/I236,"")</f>
        <v/>
      </c>
      <c r="R236" s="10" t="str">
        <f aca="false">IF($C236="","",IF(NOT(SUMPRODUCT(--(Setup!$A$5:$A$24=$C236))&gt;0),"Machine not in Setup",IF(OR(NOT(ISNUMBER(K236)),N(K236)&lt;=0),"Set an ideal cycle time in Setup",IF(NOT(ISNUMBER(A236)),"Enter a date",IF(OR(NOT(ISNUMBER(D236)),NOT(ISNUMBER(G236)),AND(E236&lt;&gt;"",NOT(ISNUMBER(E236))),AND(F236&lt;&gt;"",NOT(ISNUMBER(F236))),AND(H236&lt;&gt;"",NOT(ISNUMBER(H236)))),"Enter numbers: shift length and total parts are required",IF(OR(N(D236)&lt;=0,N(E236)&lt;0,N(F236)&lt;0,N(G236)&lt;0,N(H236)&lt;0),"Values must be 0 or more (shift length above 0)",IF(N(H236)&gt;N(G236),"Rejects &gt; total parts",IF(N(E236)&gt;=N(D236),"Planned stops &gt;= shift length",IF(N(F236)&gt;N(D236)-N(E236),"Downtime &gt; planned time",IF(AND(ISNUMBER(O236),O236&gt;1),"Check: performance above 100%","OK"))))))))))</f>
        <v/>
      </c>
      <c r="S236" s="13" t="str">
        <f aca="false">IF($T236,K236*M236/60,"")</f>
        <v/>
      </c>
      <c r="T236" s="15" t="b">
        <f aca="false">IF($C236="",FALSE(),AND(SUMPRODUCT(--(Setup!$A$5:$A$24=$C236))&gt;0,ISNUMBER(A236),ISNUMBER(K236),N(K236)&gt;0,ISNUMBER(D236),N(D236)&gt;0,ISNUMBER(G236),N(G236)&gt;=0,OR(E236="",ISNUMBER(E236)),OR(F236="",ISNUMBER(F236)),OR(H236="",ISNUMBER(H236)),N(E236)&gt;=0,N(F236)&gt;=0,N(H236)&gt;=0,N(H236)&lt;=N(G236),N(E236)&lt;N(D236),N(F236)&lt;=N(D236)-N(E236)))</f>
        <v>0</v>
      </c>
    </row>
    <row r="237" customFormat="false" ht="15" hidden="false" customHeight="false" outlineLevel="0" collapsed="false">
      <c r="A237" s="11"/>
      <c r="B237" s="8"/>
      <c r="C237" s="8"/>
      <c r="D237" s="8"/>
      <c r="E237" s="8"/>
      <c r="F237" s="8"/>
      <c r="G237" s="8"/>
      <c r="H237" s="8"/>
      <c r="I237" s="12" t="str">
        <f aca="false">IF($T237,D237-N(E237),"")</f>
        <v/>
      </c>
      <c r="J237" s="12" t="str">
        <f aca="false">IF($T237,I237-N(F237),"")</f>
        <v/>
      </c>
      <c r="K237" s="13" t="str">
        <f aca="false">IF($C237="","",IF(SUMPRODUCT(--(Setup!$A$5:$A$24=$C237))&gt;0,INDEX(Setup!$B$5:$B$24,21-SUMPRODUCT(MAX((Setup!$A$5:$A$24=$C237)*(25-ROW(Setup!$A$5:$A$24))))),""))</f>
        <v/>
      </c>
      <c r="L237" s="13" t="str">
        <f aca="false">IF($T237,K237*G237/60,"")</f>
        <v/>
      </c>
      <c r="M237" s="12" t="str">
        <f aca="false">IF($T237,G237-N(H237),"")</f>
        <v/>
      </c>
      <c r="N237" s="14" t="str">
        <f aca="false">IF($T237,J237/I237,"")</f>
        <v/>
      </c>
      <c r="O237" s="14" t="str">
        <f aca="false">IF(AND($T237,N(J237)&gt;0),L237/J237,"")</f>
        <v/>
      </c>
      <c r="P237" s="14" t="str">
        <f aca="false">IF(AND($T237,N(G237)&gt;0),M237/G237,"")</f>
        <v/>
      </c>
      <c r="Q237" s="14" t="str">
        <f aca="false">IF($T237,S237/I237,"")</f>
        <v/>
      </c>
      <c r="R237" s="10" t="str">
        <f aca="false">IF($C237="","",IF(NOT(SUMPRODUCT(--(Setup!$A$5:$A$24=$C237))&gt;0),"Machine not in Setup",IF(OR(NOT(ISNUMBER(K237)),N(K237)&lt;=0),"Set an ideal cycle time in Setup",IF(NOT(ISNUMBER(A237)),"Enter a date",IF(OR(NOT(ISNUMBER(D237)),NOT(ISNUMBER(G237)),AND(E237&lt;&gt;"",NOT(ISNUMBER(E237))),AND(F237&lt;&gt;"",NOT(ISNUMBER(F237))),AND(H237&lt;&gt;"",NOT(ISNUMBER(H237)))),"Enter numbers: shift length and total parts are required",IF(OR(N(D237)&lt;=0,N(E237)&lt;0,N(F237)&lt;0,N(G237)&lt;0,N(H237)&lt;0),"Values must be 0 or more (shift length above 0)",IF(N(H237)&gt;N(G237),"Rejects &gt; total parts",IF(N(E237)&gt;=N(D237),"Planned stops &gt;= shift length",IF(N(F237)&gt;N(D237)-N(E237),"Downtime &gt; planned time",IF(AND(ISNUMBER(O237),O237&gt;1),"Check: performance above 100%","OK"))))))))))</f>
        <v/>
      </c>
      <c r="S237" s="13" t="str">
        <f aca="false">IF($T237,K237*M237/60,"")</f>
        <v/>
      </c>
      <c r="T237" s="15" t="b">
        <f aca="false">IF($C237="",FALSE(),AND(SUMPRODUCT(--(Setup!$A$5:$A$24=$C237))&gt;0,ISNUMBER(A237),ISNUMBER(K237),N(K237)&gt;0,ISNUMBER(D237),N(D237)&gt;0,ISNUMBER(G237),N(G237)&gt;=0,OR(E237="",ISNUMBER(E237)),OR(F237="",ISNUMBER(F237)),OR(H237="",ISNUMBER(H237)),N(E237)&gt;=0,N(F237)&gt;=0,N(H237)&gt;=0,N(H237)&lt;=N(G237),N(E237)&lt;N(D237),N(F237)&lt;=N(D237)-N(E237)))</f>
        <v>0</v>
      </c>
    </row>
    <row r="238" customFormat="false" ht="15" hidden="false" customHeight="false" outlineLevel="0" collapsed="false">
      <c r="A238" s="11"/>
      <c r="B238" s="8"/>
      <c r="C238" s="8"/>
      <c r="D238" s="8"/>
      <c r="E238" s="8"/>
      <c r="F238" s="8"/>
      <c r="G238" s="8"/>
      <c r="H238" s="8"/>
      <c r="I238" s="12" t="str">
        <f aca="false">IF($T238,D238-N(E238),"")</f>
        <v/>
      </c>
      <c r="J238" s="12" t="str">
        <f aca="false">IF($T238,I238-N(F238),"")</f>
        <v/>
      </c>
      <c r="K238" s="13" t="str">
        <f aca="false">IF($C238="","",IF(SUMPRODUCT(--(Setup!$A$5:$A$24=$C238))&gt;0,INDEX(Setup!$B$5:$B$24,21-SUMPRODUCT(MAX((Setup!$A$5:$A$24=$C238)*(25-ROW(Setup!$A$5:$A$24))))),""))</f>
        <v/>
      </c>
      <c r="L238" s="13" t="str">
        <f aca="false">IF($T238,K238*G238/60,"")</f>
        <v/>
      </c>
      <c r="M238" s="12" t="str">
        <f aca="false">IF($T238,G238-N(H238),"")</f>
        <v/>
      </c>
      <c r="N238" s="14" t="str">
        <f aca="false">IF($T238,J238/I238,"")</f>
        <v/>
      </c>
      <c r="O238" s="14" t="str">
        <f aca="false">IF(AND($T238,N(J238)&gt;0),L238/J238,"")</f>
        <v/>
      </c>
      <c r="P238" s="14" t="str">
        <f aca="false">IF(AND($T238,N(G238)&gt;0),M238/G238,"")</f>
        <v/>
      </c>
      <c r="Q238" s="14" t="str">
        <f aca="false">IF($T238,S238/I238,"")</f>
        <v/>
      </c>
      <c r="R238" s="10" t="str">
        <f aca="false">IF($C238="","",IF(NOT(SUMPRODUCT(--(Setup!$A$5:$A$24=$C238))&gt;0),"Machine not in Setup",IF(OR(NOT(ISNUMBER(K238)),N(K238)&lt;=0),"Set an ideal cycle time in Setup",IF(NOT(ISNUMBER(A238)),"Enter a date",IF(OR(NOT(ISNUMBER(D238)),NOT(ISNUMBER(G238)),AND(E238&lt;&gt;"",NOT(ISNUMBER(E238))),AND(F238&lt;&gt;"",NOT(ISNUMBER(F238))),AND(H238&lt;&gt;"",NOT(ISNUMBER(H238)))),"Enter numbers: shift length and total parts are required",IF(OR(N(D238)&lt;=0,N(E238)&lt;0,N(F238)&lt;0,N(G238)&lt;0,N(H238)&lt;0),"Values must be 0 or more (shift length above 0)",IF(N(H238)&gt;N(G238),"Rejects &gt; total parts",IF(N(E238)&gt;=N(D238),"Planned stops &gt;= shift length",IF(N(F238)&gt;N(D238)-N(E238),"Downtime &gt; planned time",IF(AND(ISNUMBER(O238),O238&gt;1),"Check: performance above 100%","OK"))))))))))</f>
        <v/>
      </c>
      <c r="S238" s="13" t="str">
        <f aca="false">IF($T238,K238*M238/60,"")</f>
        <v/>
      </c>
      <c r="T238" s="15" t="b">
        <f aca="false">IF($C238="",FALSE(),AND(SUMPRODUCT(--(Setup!$A$5:$A$24=$C238))&gt;0,ISNUMBER(A238),ISNUMBER(K238),N(K238)&gt;0,ISNUMBER(D238),N(D238)&gt;0,ISNUMBER(G238),N(G238)&gt;=0,OR(E238="",ISNUMBER(E238)),OR(F238="",ISNUMBER(F238)),OR(H238="",ISNUMBER(H238)),N(E238)&gt;=0,N(F238)&gt;=0,N(H238)&gt;=0,N(H238)&lt;=N(G238),N(E238)&lt;N(D238),N(F238)&lt;=N(D238)-N(E238)))</f>
        <v>0</v>
      </c>
    </row>
    <row r="239" customFormat="false" ht="15" hidden="false" customHeight="false" outlineLevel="0" collapsed="false">
      <c r="A239" s="11"/>
      <c r="B239" s="8"/>
      <c r="C239" s="8"/>
      <c r="D239" s="8"/>
      <c r="E239" s="8"/>
      <c r="F239" s="8"/>
      <c r="G239" s="8"/>
      <c r="H239" s="8"/>
      <c r="I239" s="12" t="str">
        <f aca="false">IF($T239,D239-N(E239),"")</f>
        <v/>
      </c>
      <c r="J239" s="12" t="str">
        <f aca="false">IF($T239,I239-N(F239),"")</f>
        <v/>
      </c>
      <c r="K239" s="13" t="str">
        <f aca="false">IF($C239="","",IF(SUMPRODUCT(--(Setup!$A$5:$A$24=$C239))&gt;0,INDEX(Setup!$B$5:$B$24,21-SUMPRODUCT(MAX((Setup!$A$5:$A$24=$C239)*(25-ROW(Setup!$A$5:$A$24))))),""))</f>
        <v/>
      </c>
      <c r="L239" s="13" t="str">
        <f aca="false">IF($T239,K239*G239/60,"")</f>
        <v/>
      </c>
      <c r="M239" s="12" t="str">
        <f aca="false">IF($T239,G239-N(H239),"")</f>
        <v/>
      </c>
      <c r="N239" s="14" t="str">
        <f aca="false">IF($T239,J239/I239,"")</f>
        <v/>
      </c>
      <c r="O239" s="14" t="str">
        <f aca="false">IF(AND($T239,N(J239)&gt;0),L239/J239,"")</f>
        <v/>
      </c>
      <c r="P239" s="14" t="str">
        <f aca="false">IF(AND($T239,N(G239)&gt;0),M239/G239,"")</f>
        <v/>
      </c>
      <c r="Q239" s="14" t="str">
        <f aca="false">IF($T239,S239/I239,"")</f>
        <v/>
      </c>
      <c r="R239" s="10" t="str">
        <f aca="false">IF($C239="","",IF(NOT(SUMPRODUCT(--(Setup!$A$5:$A$24=$C239))&gt;0),"Machine not in Setup",IF(OR(NOT(ISNUMBER(K239)),N(K239)&lt;=0),"Set an ideal cycle time in Setup",IF(NOT(ISNUMBER(A239)),"Enter a date",IF(OR(NOT(ISNUMBER(D239)),NOT(ISNUMBER(G239)),AND(E239&lt;&gt;"",NOT(ISNUMBER(E239))),AND(F239&lt;&gt;"",NOT(ISNUMBER(F239))),AND(H239&lt;&gt;"",NOT(ISNUMBER(H239)))),"Enter numbers: shift length and total parts are required",IF(OR(N(D239)&lt;=0,N(E239)&lt;0,N(F239)&lt;0,N(G239)&lt;0,N(H239)&lt;0),"Values must be 0 or more (shift length above 0)",IF(N(H239)&gt;N(G239),"Rejects &gt; total parts",IF(N(E239)&gt;=N(D239),"Planned stops &gt;= shift length",IF(N(F239)&gt;N(D239)-N(E239),"Downtime &gt; planned time",IF(AND(ISNUMBER(O239),O239&gt;1),"Check: performance above 100%","OK"))))))))))</f>
        <v/>
      </c>
      <c r="S239" s="13" t="str">
        <f aca="false">IF($T239,K239*M239/60,"")</f>
        <v/>
      </c>
      <c r="T239" s="15" t="b">
        <f aca="false">IF($C239="",FALSE(),AND(SUMPRODUCT(--(Setup!$A$5:$A$24=$C239))&gt;0,ISNUMBER(A239),ISNUMBER(K239),N(K239)&gt;0,ISNUMBER(D239),N(D239)&gt;0,ISNUMBER(G239),N(G239)&gt;=0,OR(E239="",ISNUMBER(E239)),OR(F239="",ISNUMBER(F239)),OR(H239="",ISNUMBER(H239)),N(E239)&gt;=0,N(F239)&gt;=0,N(H239)&gt;=0,N(H239)&lt;=N(G239),N(E239)&lt;N(D239),N(F239)&lt;=N(D239)-N(E239)))</f>
        <v>0</v>
      </c>
    </row>
    <row r="240" customFormat="false" ht="15" hidden="false" customHeight="false" outlineLevel="0" collapsed="false">
      <c r="A240" s="11"/>
      <c r="B240" s="8"/>
      <c r="C240" s="8"/>
      <c r="D240" s="8"/>
      <c r="E240" s="8"/>
      <c r="F240" s="8"/>
      <c r="G240" s="8"/>
      <c r="H240" s="8"/>
      <c r="I240" s="12" t="str">
        <f aca="false">IF($T240,D240-N(E240),"")</f>
        <v/>
      </c>
      <c r="J240" s="12" t="str">
        <f aca="false">IF($T240,I240-N(F240),"")</f>
        <v/>
      </c>
      <c r="K240" s="13" t="str">
        <f aca="false">IF($C240="","",IF(SUMPRODUCT(--(Setup!$A$5:$A$24=$C240))&gt;0,INDEX(Setup!$B$5:$B$24,21-SUMPRODUCT(MAX((Setup!$A$5:$A$24=$C240)*(25-ROW(Setup!$A$5:$A$24))))),""))</f>
        <v/>
      </c>
      <c r="L240" s="13" t="str">
        <f aca="false">IF($T240,K240*G240/60,"")</f>
        <v/>
      </c>
      <c r="M240" s="12" t="str">
        <f aca="false">IF($T240,G240-N(H240),"")</f>
        <v/>
      </c>
      <c r="N240" s="14" t="str">
        <f aca="false">IF($T240,J240/I240,"")</f>
        <v/>
      </c>
      <c r="O240" s="14" t="str">
        <f aca="false">IF(AND($T240,N(J240)&gt;0),L240/J240,"")</f>
        <v/>
      </c>
      <c r="P240" s="14" t="str">
        <f aca="false">IF(AND($T240,N(G240)&gt;0),M240/G240,"")</f>
        <v/>
      </c>
      <c r="Q240" s="14" t="str">
        <f aca="false">IF($T240,S240/I240,"")</f>
        <v/>
      </c>
      <c r="R240" s="10" t="str">
        <f aca="false">IF($C240="","",IF(NOT(SUMPRODUCT(--(Setup!$A$5:$A$24=$C240))&gt;0),"Machine not in Setup",IF(OR(NOT(ISNUMBER(K240)),N(K240)&lt;=0),"Set an ideal cycle time in Setup",IF(NOT(ISNUMBER(A240)),"Enter a date",IF(OR(NOT(ISNUMBER(D240)),NOT(ISNUMBER(G240)),AND(E240&lt;&gt;"",NOT(ISNUMBER(E240))),AND(F240&lt;&gt;"",NOT(ISNUMBER(F240))),AND(H240&lt;&gt;"",NOT(ISNUMBER(H240)))),"Enter numbers: shift length and total parts are required",IF(OR(N(D240)&lt;=0,N(E240)&lt;0,N(F240)&lt;0,N(G240)&lt;0,N(H240)&lt;0),"Values must be 0 or more (shift length above 0)",IF(N(H240)&gt;N(G240),"Rejects &gt; total parts",IF(N(E240)&gt;=N(D240),"Planned stops &gt;= shift length",IF(N(F240)&gt;N(D240)-N(E240),"Downtime &gt; planned time",IF(AND(ISNUMBER(O240),O240&gt;1),"Check: performance above 100%","OK"))))))))))</f>
        <v/>
      </c>
      <c r="S240" s="13" t="str">
        <f aca="false">IF($T240,K240*M240/60,"")</f>
        <v/>
      </c>
      <c r="T240" s="15" t="b">
        <f aca="false">IF($C240="",FALSE(),AND(SUMPRODUCT(--(Setup!$A$5:$A$24=$C240))&gt;0,ISNUMBER(A240),ISNUMBER(K240),N(K240)&gt;0,ISNUMBER(D240),N(D240)&gt;0,ISNUMBER(G240),N(G240)&gt;=0,OR(E240="",ISNUMBER(E240)),OR(F240="",ISNUMBER(F240)),OR(H240="",ISNUMBER(H240)),N(E240)&gt;=0,N(F240)&gt;=0,N(H240)&gt;=0,N(H240)&lt;=N(G240),N(E240)&lt;N(D240),N(F240)&lt;=N(D240)-N(E240)))</f>
        <v>0</v>
      </c>
    </row>
    <row r="241" customFormat="false" ht="15" hidden="false" customHeight="false" outlineLevel="0" collapsed="false">
      <c r="A241" s="11"/>
      <c r="B241" s="8"/>
      <c r="C241" s="8"/>
      <c r="D241" s="8"/>
      <c r="E241" s="8"/>
      <c r="F241" s="8"/>
      <c r="G241" s="8"/>
      <c r="H241" s="8"/>
      <c r="I241" s="12" t="str">
        <f aca="false">IF($T241,D241-N(E241),"")</f>
        <v/>
      </c>
      <c r="J241" s="12" t="str">
        <f aca="false">IF($T241,I241-N(F241),"")</f>
        <v/>
      </c>
      <c r="K241" s="13" t="str">
        <f aca="false">IF($C241="","",IF(SUMPRODUCT(--(Setup!$A$5:$A$24=$C241))&gt;0,INDEX(Setup!$B$5:$B$24,21-SUMPRODUCT(MAX((Setup!$A$5:$A$24=$C241)*(25-ROW(Setup!$A$5:$A$24))))),""))</f>
        <v/>
      </c>
      <c r="L241" s="13" t="str">
        <f aca="false">IF($T241,K241*G241/60,"")</f>
        <v/>
      </c>
      <c r="M241" s="12" t="str">
        <f aca="false">IF($T241,G241-N(H241),"")</f>
        <v/>
      </c>
      <c r="N241" s="14" t="str">
        <f aca="false">IF($T241,J241/I241,"")</f>
        <v/>
      </c>
      <c r="O241" s="14" t="str">
        <f aca="false">IF(AND($T241,N(J241)&gt;0),L241/J241,"")</f>
        <v/>
      </c>
      <c r="P241" s="14" t="str">
        <f aca="false">IF(AND($T241,N(G241)&gt;0),M241/G241,"")</f>
        <v/>
      </c>
      <c r="Q241" s="14" t="str">
        <f aca="false">IF($T241,S241/I241,"")</f>
        <v/>
      </c>
      <c r="R241" s="10" t="str">
        <f aca="false">IF($C241="","",IF(NOT(SUMPRODUCT(--(Setup!$A$5:$A$24=$C241))&gt;0),"Machine not in Setup",IF(OR(NOT(ISNUMBER(K241)),N(K241)&lt;=0),"Set an ideal cycle time in Setup",IF(NOT(ISNUMBER(A241)),"Enter a date",IF(OR(NOT(ISNUMBER(D241)),NOT(ISNUMBER(G241)),AND(E241&lt;&gt;"",NOT(ISNUMBER(E241))),AND(F241&lt;&gt;"",NOT(ISNUMBER(F241))),AND(H241&lt;&gt;"",NOT(ISNUMBER(H241)))),"Enter numbers: shift length and total parts are required",IF(OR(N(D241)&lt;=0,N(E241)&lt;0,N(F241)&lt;0,N(G241)&lt;0,N(H241)&lt;0),"Values must be 0 or more (shift length above 0)",IF(N(H241)&gt;N(G241),"Rejects &gt; total parts",IF(N(E241)&gt;=N(D241),"Planned stops &gt;= shift length",IF(N(F241)&gt;N(D241)-N(E241),"Downtime &gt; planned time",IF(AND(ISNUMBER(O241),O241&gt;1),"Check: performance above 100%","OK"))))))))))</f>
        <v/>
      </c>
      <c r="S241" s="13" t="str">
        <f aca="false">IF($T241,K241*M241/60,"")</f>
        <v/>
      </c>
      <c r="T241" s="15" t="b">
        <f aca="false">IF($C241="",FALSE(),AND(SUMPRODUCT(--(Setup!$A$5:$A$24=$C241))&gt;0,ISNUMBER(A241),ISNUMBER(K241),N(K241)&gt;0,ISNUMBER(D241),N(D241)&gt;0,ISNUMBER(G241),N(G241)&gt;=0,OR(E241="",ISNUMBER(E241)),OR(F241="",ISNUMBER(F241)),OR(H241="",ISNUMBER(H241)),N(E241)&gt;=0,N(F241)&gt;=0,N(H241)&gt;=0,N(H241)&lt;=N(G241),N(E241)&lt;N(D241),N(F241)&lt;=N(D241)-N(E241)))</f>
        <v>0</v>
      </c>
    </row>
    <row r="242" customFormat="false" ht="15" hidden="false" customHeight="false" outlineLevel="0" collapsed="false">
      <c r="A242" s="11"/>
      <c r="B242" s="8"/>
      <c r="C242" s="8"/>
      <c r="D242" s="8"/>
      <c r="E242" s="8"/>
      <c r="F242" s="8"/>
      <c r="G242" s="8"/>
      <c r="H242" s="8"/>
      <c r="I242" s="12" t="str">
        <f aca="false">IF($T242,D242-N(E242),"")</f>
        <v/>
      </c>
      <c r="J242" s="12" t="str">
        <f aca="false">IF($T242,I242-N(F242),"")</f>
        <v/>
      </c>
      <c r="K242" s="13" t="str">
        <f aca="false">IF($C242="","",IF(SUMPRODUCT(--(Setup!$A$5:$A$24=$C242))&gt;0,INDEX(Setup!$B$5:$B$24,21-SUMPRODUCT(MAX((Setup!$A$5:$A$24=$C242)*(25-ROW(Setup!$A$5:$A$24))))),""))</f>
        <v/>
      </c>
      <c r="L242" s="13" t="str">
        <f aca="false">IF($T242,K242*G242/60,"")</f>
        <v/>
      </c>
      <c r="M242" s="12" t="str">
        <f aca="false">IF($T242,G242-N(H242),"")</f>
        <v/>
      </c>
      <c r="N242" s="14" t="str">
        <f aca="false">IF($T242,J242/I242,"")</f>
        <v/>
      </c>
      <c r="O242" s="14" t="str">
        <f aca="false">IF(AND($T242,N(J242)&gt;0),L242/J242,"")</f>
        <v/>
      </c>
      <c r="P242" s="14" t="str">
        <f aca="false">IF(AND($T242,N(G242)&gt;0),M242/G242,"")</f>
        <v/>
      </c>
      <c r="Q242" s="14" t="str">
        <f aca="false">IF($T242,S242/I242,"")</f>
        <v/>
      </c>
      <c r="R242" s="10" t="str">
        <f aca="false">IF($C242="","",IF(NOT(SUMPRODUCT(--(Setup!$A$5:$A$24=$C242))&gt;0),"Machine not in Setup",IF(OR(NOT(ISNUMBER(K242)),N(K242)&lt;=0),"Set an ideal cycle time in Setup",IF(NOT(ISNUMBER(A242)),"Enter a date",IF(OR(NOT(ISNUMBER(D242)),NOT(ISNUMBER(G242)),AND(E242&lt;&gt;"",NOT(ISNUMBER(E242))),AND(F242&lt;&gt;"",NOT(ISNUMBER(F242))),AND(H242&lt;&gt;"",NOT(ISNUMBER(H242)))),"Enter numbers: shift length and total parts are required",IF(OR(N(D242)&lt;=0,N(E242)&lt;0,N(F242)&lt;0,N(G242)&lt;0,N(H242)&lt;0),"Values must be 0 or more (shift length above 0)",IF(N(H242)&gt;N(G242),"Rejects &gt; total parts",IF(N(E242)&gt;=N(D242),"Planned stops &gt;= shift length",IF(N(F242)&gt;N(D242)-N(E242),"Downtime &gt; planned time",IF(AND(ISNUMBER(O242),O242&gt;1),"Check: performance above 100%","OK"))))))))))</f>
        <v/>
      </c>
      <c r="S242" s="13" t="str">
        <f aca="false">IF($T242,K242*M242/60,"")</f>
        <v/>
      </c>
      <c r="T242" s="15" t="b">
        <f aca="false">IF($C242="",FALSE(),AND(SUMPRODUCT(--(Setup!$A$5:$A$24=$C242))&gt;0,ISNUMBER(A242),ISNUMBER(K242),N(K242)&gt;0,ISNUMBER(D242),N(D242)&gt;0,ISNUMBER(G242),N(G242)&gt;=0,OR(E242="",ISNUMBER(E242)),OR(F242="",ISNUMBER(F242)),OR(H242="",ISNUMBER(H242)),N(E242)&gt;=0,N(F242)&gt;=0,N(H242)&gt;=0,N(H242)&lt;=N(G242),N(E242)&lt;N(D242),N(F242)&lt;=N(D242)-N(E242)))</f>
        <v>0</v>
      </c>
    </row>
    <row r="243" customFormat="false" ht="15" hidden="false" customHeight="false" outlineLevel="0" collapsed="false">
      <c r="A243" s="11"/>
      <c r="B243" s="8"/>
      <c r="C243" s="8"/>
      <c r="D243" s="8"/>
      <c r="E243" s="8"/>
      <c r="F243" s="8"/>
      <c r="G243" s="8"/>
      <c r="H243" s="8"/>
      <c r="I243" s="12" t="str">
        <f aca="false">IF($T243,D243-N(E243),"")</f>
        <v/>
      </c>
      <c r="J243" s="12" t="str">
        <f aca="false">IF($T243,I243-N(F243),"")</f>
        <v/>
      </c>
      <c r="K243" s="13" t="str">
        <f aca="false">IF($C243="","",IF(SUMPRODUCT(--(Setup!$A$5:$A$24=$C243))&gt;0,INDEX(Setup!$B$5:$B$24,21-SUMPRODUCT(MAX((Setup!$A$5:$A$24=$C243)*(25-ROW(Setup!$A$5:$A$24))))),""))</f>
        <v/>
      </c>
      <c r="L243" s="13" t="str">
        <f aca="false">IF($T243,K243*G243/60,"")</f>
        <v/>
      </c>
      <c r="M243" s="12" t="str">
        <f aca="false">IF($T243,G243-N(H243),"")</f>
        <v/>
      </c>
      <c r="N243" s="14" t="str">
        <f aca="false">IF($T243,J243/I243,"")</f>
        <v/>
      </c>
      <c r="O243" s="14" t="str">
        <f aca="false">IF(AND($T243,N(J243)&gt;0),L243/J243,"")</f>
        <v/>
      </c>
      <c r="P243" s="14" t="str">
        <f aca="false">IF(AND($T243,N(G243)&gt;0),M243/G243,"")</f>
        <v/>
      </c>
      <c r="Q243" s="14" t="str">
        <f aca="false">IF($T243,S243/I243,"")</f>
        <v/>
      </c>
      <c r="R243" s="10" t="str">
        <f aca="false">IF($C243="","",IF(NOT(SUMPRODUCT(--(Setup!$A$5:$A$24=$C243))&gt;0),"Machine not in Setup",IF(OR(NOT(ISNUMBER(K243)),N(K243)&lt;=0),"Set an ideal cycle time in Setup",IF(NOT(ISNUMBER(A243)),"Enter a date",IF(OR(NOT(ISNUMBER(D243)),NOT(ISNUMBER(G243)),AND(E243&lt;&gt;"",NOT(ISNUMBER(E243))),AND(F243&lt;&gt;"",NOT(ISNUMBER(F243))),AND(H243&lt;&gt;"",NOT(ISNUMBER(H243)))),"Enter numbers: shift length and total parts are required",IF(OR(N(D243)&lt;=0,N(E243)&lt;0,N(F243)&lt;0,N(G243)&lt;0,N(H243)&lt;0),"Values must be 0 or more (shift length above 0)",IF(N(H243)&gt;N(G243),"Rejects &gt; total parts",IF(N(E243)&gt;=N(D243),"Planned stops &gt;= shift length",IF(N(F243)&gt;N(D243)-N(E243),"Downtime &gt; planned time",IF(AND(ISNUMBER(O243),O243&gt;1),"Check: performance above 100%","OK"))))))))))</f>
        <v/>
      </c>
      <c r="S243" s="13" t="str">
        <f aca="false">IF($T243,K243*M243/60,"")</f>
        <v/>
      </c>
      <c r="T243" s="15" t="b">
        <f aca="false">IF($C243="",FALSE(),AND(SUMPRODUCT(--(Setup!$A$5:$A$24=$C243))&gt;0,ISNUMBER(A243),ISNUMBER(K243),N(K243)&gt;0,ISNUMBER(D243),N(D243)&gt;0,ISNUMBER(G243),N(G243)&gt;=0,OR(E243="",ISNUMBER(E243)),OR(F243="",ISNUMBER(F243)),OR(H243="",ISNUMBER(H243)),N(E243)&gt;=0,N(F243)&gt;=0,N(H243)&gt;=0,N(H243)&lt;=N(G243),N(E243)&lt;N(D243),N(F243)&lt;=N(D243)-N(E243)))</f>
        <v>0</v>
      </c>
    </row>
    <row r="244" customFormat="false" ht="15" hidden="false" customHeight="false" outlineLevel="0" collapsed="false">
      <c r="A244" s="11"/>
      <c r="B244" s="8"/>
      <c r="C244" s="8"/>
      <c r="D244" s="8"/>
      <c r="E244" s="8"/>
      <c r="F244" s="8"/>
      <c r="G244" s="8"/>
      <c r="H244" s="8"/>
      <c r="I244" s="12" t="str">
        <f aca="false">IF($T244,D244-N(E244),"")</f>
        <v/>
      </c>
      <c r="J244" s="12" t="str">
        <f aca="false">IF($T244,I244-N(F244),"")</f>
        <v/>
      </c>
      <c r="K244" s="13" t="str">
        <f aca="false">IF($C244="","",IF(SUMPRODUCT(--(Setup!$A$5:$A$24=$C244))&gt;0,INDEX(Setup!$B$5:$B$24,21-SUMPRODUCT(MAX((Setup!$A$5:$A$24=$C244)*(25-ROW(Setup!$A$5:$A$24))))),""))</f>
        <v/>
      </c>
      <c r="L244" s="13" t="str">
        <f aca="false">IF($T244,K244*G244/60,"")</f>
        <v/>
      </c>
      <c r="M244" s="12" t="str">
        <f aca="false">IF($T244,G244-N(H244),"")</f>
        <v/>
      </c>
      <c r="N244" s="14" t="str">
        <f aca="false">IF($T244,J244/I244,"")</f>
        <v/>
      </c>
      <c r="O244" s="14" t="str">
        <f aca="false">IF(AND($T244,N(J244)&gt;0),L244/J244,"")</f>
        <v/>
      </c>
      <c r="P244" s="14" t="str">
        <f aca="false">IF(AND($T244,N(G244)&gt;0),M244/G244,"")</f>
        <v/>
      </c>
      <c r="Q244" s="14" t="str">
        <f aca="false">IF($T244,S244/I244,"")</f>
        <v/>
      </c>
      <c r="R244" s="10" t="str">
        <f aca="false">IF($C244="","",IF(NOT(SUMPRODUCT(--(Setup!$A$5:$A$24=$C244))&gt;0),"Machine not in Setup",IF(OR(NOT(ISNUMBER(K244)),N(K244)&lt;=0),"Set an ideal cycle time in Setup",IF(NOT(ISNUMBER(A244)),"Enter a date",IF(OR(NOT(ISNUMBER(D244)),NOT(ISNUMBER(G244)),AND(E244&lt;&gt;"",NOT(ISNUMBER(E244))),AND(F244&lt;&gt;"",NOT(ISNUMBER(F244))),AND(H244&lt;&gt;"",NOT(ISNUMBER(H244)))),"Enter numbers: shift length and total parts are required",IF(OR(N(D244)&lt;=0,N(E244)&lt;0,N(F244)&lt;0,N(G244)&lt;0,N(H244)&lt;0),"Values must be 0 or more (shift length above 0)",IF(N(H244)&gt;N(G244),"Rejects &gt; total parts",IF(N(E244)&gt;=N(D244),"Planned stops &gt;= shift length",IF(N(F244)&gt;N(D244)-N(E244),"Downtime &gt; planned time",IF(AND(ISNUMBER(O244),O244&gt;1),"Check: performance above 100%","OK"))))))))))</f>
        <v/>
      </c>
      <c r="S244" s="13" t="str">
        <f aca="false">IF($T244,K244*M244/60,"")</f>
        <v/>
      </c>
      <c r="T244" s="15" t="b">
        <f aca="false">IF($C244="",FALSE(),AND(SUMPRODUCT(--(Setup!$A$5:$A$24=$C244))&gt;0,ISNUMBER(A244),ISNUMBER(K244),N(K244)&gt;0,ISNUMBER(D244),N(D244)&gt;0,ISNUMBER(G244),N(G244)&gt;=0,OR(E244="",ISNUMBER(E244)),OR(F244="",ISNUMBER(F244)),OR(H244="",ISNUMBER(H244)),N(E244)&gt;=0,N(F244)&gt;=0,N(H244)&gt;=0,N(H244)&lt;=N(G244),N(E244)&lt;N(D244),N(F244)&lt;=N(D244)-N(E244)))</f>
        <v>0</v>
      </c>
    </row>
    <row r="245" customFormat="false" ht="15" hidden="false" customHeight="false" outlineLevel="0" collapsed="false">
      <c r="A245" s="11"/>
      <c r="B245" s="8"/>
      <c r="C245" s="8"/>
      <c r="D245" s="8"/>
      <c r="E245" s="8"/>
      <c r="F245" s="8"/>
      <c r="G245" s="8"/>
      <c r="H245" s="8"/>
      <c r="I245" s="12" t="str">
        <f aca="false">IF($T245,D245-N(E245),"")</f>
        <v/>
      </c>
      <c r="J245" s="12" t="str">
        <f aca="false">IF($T245,I245-N(F245),"")</f>
        <v/>
      </c>
      <c r="K245" s="13" t="str">
        <f aca="false">IF($C245="","",IF(SUMPRODUCT(--(Setup!$A$5:$A$24=$C245))&gt;0,INDEX(Setup!$B$5:$B$24,21-SUMPRODUCT(MAX((Setup!$A$5:$A$24=$C245)*(25-ROW(Setup!$A$5:$A$24))))),""))</f>
        <v/>
      </c>
      <c r="L245" s="13" t="str">
        <f aca="false">IF($T245,K245*G245/60,"")</f>
        <v/>
      </c>
      <c r="M245" s="12" t="str">
        <f aca="false">IF($T245,G245-N(H245),"")</f>
        <v/>
      </c>
      <c r="N245" s="14" t="str">
        <f aca="false">IF($T245,J245/I245,"")</f>
        <v/>
      </c>
      <c r="O245" s="14" t="str">
        <f aca="false">IF(AND($T245,N(J245)&gt;0),L245/J245,"")</f>
        <v/>
      </c>
      <c r="P245" s="14" t="str">
        <f aca="false">IF(AND($T245,N(G245)&gt;0),M245/G245,"")</f>
        <v/>
      </c>
      <c r="Q245" s="14" t="str">
        <f aca="false">IF($T245,S245/I245,"")</f>
        <v/>
      </c>
      <c r="R245" s="10" t="str">
        <f aca="false">IF($C245="","",IF(NOT(SUMPRODUCT(--(Setup!$A$5:$A$24=$C245))&gt;0),"Machine not in Setup",IF(OR(NOT(ISNUMBER(K245)),N(K245)&lt;=0),"Set an ideal cycle time in Setup",IF(NOT(ISNUMBER(A245)),"Enter a date",IF(OR(NOT(ISNUMBER(D245)),NOT(ISNUMBER(G245)),AND(E245&lt;&gt;"",NOT(ISNUMBER(E245))),AND(F245&lt;&gt;"",NOT(ISNUMBER(F245))),AND(H245&lt;&gt;"",NOT(ISNUMBER(H245)))),"Enter numbers: shift length and total parts are required",IF(OR(N(D245)&lt;=0,N(E245)&lt;0,N(F245)&lt;0,N(G245)&lt;0,N(H245)&lt;0),"Values must be 0 or more (shift length above 0)",IF(N(H245)&gt;N(G245),"Rejects &gt; total parts",IF(N(E245)&gt;=N(D245),"Planned stops &gt;= shift length",IF(N(F245)&gt;N(D245)-N(E245),"Downtime &gt; planned time",IF(AND(ISNUMBER(O245),O245&gt;1),"Check: performance above 100%","OK"))))))))))</f>
        <v/>
      </c>
      <c r="S245" s="13" t="str">
        <f aca="false">IF($T245,K245*M245/60,"")</f>
        <v/>
      </c>
      <c r="T245" s="15" t="b">
        <f aca="false">IF($C245="",FALSE(),AND(SUMPRODUCT(--(Setup!$A$5:$A$24=$C245))&gt;0,ISNUMBER(A245),ISNUMBER(K245),N(K245)&gt;0,ISNUMBER(D245),N(D245)&gt;0,ISNUMBER(G245),N(G245)&gt;=0,OR(E245="",ISNUMBER(E245)),OR(F245="",ISNUMBER(F245)),OR(H245="",ISNUMBER(H245)),N(E245)&gt;=0,N(F245)&gt;=0,N(H245)&gt;=0,N(H245)&lt;=N(G245),N(E245)&lt;N(D245),N(F245)&lt;=N(D245)-N(E245)))</f>
        <v>0</v>
      </c>
    </row>
    <row r="246" customFormat="false" ht="15" hidden="false" customHeight="false" outlineLevel="0" collapsed="false">
      <c r="A246" s="11"/>
      <c r="B246" s="8"/>
      <c r="C246" s="8"/>
      <c r="D246" s="8"/>
      <c r="E246" s="8"/>
      <c r="F246" s="8"/>
      <c r="G246" s="8"/>
      <c r="H246" s="8"/>
      <c r="I246" s="12" t="str">
        <f aca="false">IF($T246,D246-N(E246),"")</f>
        <v/>
      </c>
      <c r="J246" s="12" t="str">
        <f aca="false">IF($T246,I246-N(F246),"")</f>
        <v/>
      </c>
      <c r="K246" s="13" t="str">
        <f aca="false">IF($C246="","",IF(SUMPRODUCT(--(Setup!$A$5:$A$24=$C246))&gt;0,INDEX(Setup!$B$5:$B$24,21-SUMPRODUCT(MAX((Setup!$A$5:$A$24=$C246)*(25-ROW(Setup!$A$5:$A$24))))),""))</f>
        <v/>
      </c>
      <c r="L246" s="13" t="str">
        <f aca="false">IF($T246,K246*G246/60,"")</f>
        <v/>
      </c>
      <c r="M246" s="12" t="str">
        <f aca="false">IF($T246,G246-N(H246),"")</f>
        <v/>
      </c>
      <c r="N246" s="14" t="str">
        <f aca="false">IF($T246,J246/I246,"")</f>
        <v/>
      </c>
      <c r="O246" s="14" t="str">
        <f aca="false">IF(AND($T246,N(J246)&gt;0),L246/J246,"")</f>
        <v/>
      </c>
      <c r="P246" s="14" t="str">
        <f aca="false">IF(AND($T246,N(G246)&gt;0),M246/G246,"")</f>
        <v/>
      </c>
      <c r="Q246" s="14" t="str">
        <f aca="false">IF($T246,S246/I246,"")</f>
        <v/>
      </c>
      <c r="R246" s="10" t="str">
        <f aca="false">IF($C246="","",IF(NOT(SUMPRODUCT(--(Setup!$A$5:$A$24=$C246))&gt;0),"Machine not in Setup",IF(OR(NOT(ISNUMBER(K246)),N(K246)&lt;=0),"Set an ideal cycle time in Setup",IF(NOT(ISNUMBER(A246)),"Enter a date",IF(OR(NOT(ISNUMBER(D246)),NOT(ISNUMBER(G246)),AND(E246&lt;&gt;"",NOT(ISNUMBER(E246))),AND(F246&lt;&gt;"",NOT(ISNUMBER(F246))),AND(H246&lt;&gt;"",NOT(ISNUMBER(H246)))),"Enter numbers: shift length and total parts are required",IF(OR(N(D246)&lt;=0,N(E246)&lt;0,N(F246)&lt;0,N(G246)&lt;0,N(H246)&lt;0),"Values must be 0 or more (shift length above 0)",IF(N(H246)&gt;N(G246),"Rejects &gt; total parts",IF(N(E246)&gt;=N(D246),"Planned stops &gt;= shift length",IF(N(F246)&gt;N(D246)-N(E246),"Downtime &gt; planned time",IF(AND(ISNUMBER(O246),O246&gt;1),"Check: performance above 100%","OK"))))))))))</f>
        <v/>
      </c>
      <c r="S246" s="13" t="str">
        <f aca="false">IF($T246,K246*M246/60,"")</f>
        <v/>
      </c>
      <c r="T246" s="15" t="b">
        <f aca="false">IF($C246="",FALSE(),AND(SUMPRODUCT(--(Setup!$A$5:$A$24=$C246))&gt;0,ISNUMBER(A246),ISNUMBER(K246),N(K246)&gt;0,ISNUMBER(D246),N(D246)&gt;0,ISNUMBER(G246),N(G246)&gt;=0,OR(E246="",ISNUMBER(E246)),OR(F246="",ISNUMBER(F246)),OR(H246="",ISNUMBER(H246)),N(E246)&gt;=0,N(F246)&gt;=0,N(H246)&gt;=0,N(H246)&lt;=N(G246),N(E246)&lt;N(D246),N(F246)&lt;=N(D246)-N(E246)))</f>
        <v>0</v>
      </c>
    </row>
    <row r="247" customFormat="false" ht="15" hidden="false" customHeight="false" outlineLevel="0" collapsed="false">
      <c r="A247" s="11"/>
      <c r="B247" s="8"/>
      <c r="C247" s="8"/>
      <c r="D247" s="8"/>
      <c r="E247" s="8"/>
      <c r="F247" s="8"/>
      <c r="G247" s="8"/>
      <c r="H247" s="8"/>
      <c r="I247" s="12" t="str">
        <f aca="false">IF($T247,D247-N(E247),"")</f>
        <v/>
      </c>
      <c r="J247" s="12" t="str">
        <f aca="false">IF($T247,I247-N(F247),"")</f>
        <v/>
      </c>
      <c r="K247" s="13" t="str">
        <f aca="false">IF($C247="","",IF(SUMPRODUCT(--(Setup!$A$5:$A$24=$C247))&gt;0,INDEX(Setup!$B$5:$B$24,21-SUMPRODUCT(MAX((Setup!$A$5:$A$24=$C247)*(25-ROW(Setup!$A$5:$A$24))))),""))</f>
        <v/>
      </c>
      <c r="L247" s="13" t="str">
        <f aca="false">IF($T247,K247*G247/60,"")</f>
        <v/>
      </c>
      <c r="M247" s="12" t="str">
        <f aca="false">IF($T247,G247-N(H247),"")</f>
        <v/>
      </c>
      <c r="N247" s="14" t="str">
        <f aca="false">IF($T247,J247/I247,"")</f>
        <v/>
      </c>
      <c r="O247" s="14" t="str">
        <f aca="false">IF(AND($T247,N(J247)&gt;0),L247/J247,"")</f>
        <v/>
      </c>
      <c r="P247" s="14" t="str">
        <f aca="false">IF(AND($T247,N(G247)&gt;0),M247/G247,"")</f>
        <v/>
      </c>
      <c r="Q247" s="14" t="str">
        <f aca="false">IF($T247,S247/I247,"")</f>
        <v/>
      </c>
      <c r="R247" s="10" t="str">
        <f aca="false">IF($C247="","",IF(NOT(SUMPRODUCT(--(Setup!$A$5:$A$24=$C247))&gt;0),"Machine not in Setup",IF(OR(NOT(ISNUMBER(K247)),N(K247)&lt;=0),"Set an ideal cycle time in Setup",IF(NOT(ISNUMBER(A247)),"Enter a date",IF(OR(NOT(ISNUMBER(D247)),NOT(ISNUMBER(G247)),AND(E247&lt;&gt;"",NOT(ISNUMBER(E247))),AND(F247&lt;&gt;"",NOT(ISNUMBER(F247))),AND(H247&lt;&gt;"",NOT(ISNUMBER(H247)))),"Enter numbers: shift length and total parts are required",IF(OR(N(D247)&lt;=0,N(E247)&lt;0,N(F247)&lt;0,N(G247)&lt;0,N(H247)&lt;0),"Values must be 0 or more (shift length above 0)",IF(N(H247)&gt;N(G247),"Rejects &gt; total parts",IF(N(E247)&gt;=N(D247),"Planned stops &gt;= shift length",IF(N(F247)&gt;N(D247)-N(E247),"Downtime &gt; planned time",IF(AND(ISNUMBER(O247),O247&gt;1),"Check: performance above 100%","OK"))))))))))</f>
        <v/>
      </c>
      <c r="S247" s="13" t="str">
        <f aca="false">IF($T247,K247*M247/60,"")</f>
        <v/>
      </c>
      <c r="T247" s="15" t="b">
        <f aca="false">IF($C247="",FALSE(),AND(SUMPRODUCT(--(Setup!$A$5:$A$24=$C247))&gt;0,ISNUMBER(A247),ISNUMBER(K247),N(K247)&gt;0,ISNUMBER(D247),N(D247)&gt;0,ISNUMBER(G247),N(G247)&gt;=0,OR(E247="",ISNUMBER(E247)),OR(F247="",ISNUMBER(F247)),OR(H247="",ISNUMBER(H247)),N(E247)&gt;=0,N(F247)&gt;=0,N(H247)&gt;=0,N(H247)&lt;=N(G247),N(E247)&lt;N(D247),N(F247)&lt;=N(D247)-N(E247)))</f>
        <v>0</v>
      </c>
    </row>
    <row r="248" customFormat="false" ht="15" hidden="false" customHeight="false" outlineLevel="0" collapsed="false">
      <c r="A248" s="11"/>
      <c r="B248" s="8"/>
      <c r="C248" s="8"/>
      <c r="D248" s="8"/>
      <c r="E248" s="8"/>
      <c r="F248" s="8"/>
      <c r="G248" s="8"/>
      <c r="H248" s="8"/>
      <c r="I248" s="12" t="str">
        <f aca="false">IF($T248,D248-N(E248),"")</f>
        <v/>
      </c>
      <c r="J248" s="12" t="str">
        <f aca="false">IF($T248,I248-N(F248),"")</f>
        <v/>
      </c>
      <c r="K248" s="13" t="str">
        <f aca="false">IF($C248="","",IF(SUMPRODUCT(--(Setup!$A$5:$A$24=$C248))&gt;0,INDEX(Setup!$B$5:$B$24,21-SUMPRODUCT(MAX((Setup!$A$5:$A$24=$C248)*(25-ROW(Setup!$A$5:$A$24))))),""))</f>
        <v/>
      </c>
      <c r="L248" s="13" t="str">
        <f aca="false">IF($T248,K248*G248/60,"")</f>
        <v/>
      </c>
      <c r="M248" s="12" t="str">
        <f aca="false">IF($T248,G248-N(H248),"")</f>
        <v/>
      </c>
      <c r="N248" s="14" t="str">
        <f aca="false">IF($T248,J248/I248,"")</f>
        <v/>
      </c>
      <c r="O248" s="14" t="str">
        <f aca="false">IF(AND($T248,N(J248)&gt;0),L248/J248,"")</f>
        <v/>
      </c>
      <c r="P248" s="14" t="str">
        <f aca="false">IF(AND($T248,N(G248)&gt;0),M248/G248,"")</f>
        <v/>
      </c>
      <c r="Q248" s="14" t="str">
        <f aca="false">IF($T248,S248/I248,"")</f>
        <v/>
      </c>
      <c r="R248" s="10" t="str">
        <f aca="false">IF($C248="","",IF(NOT(SUMPRODUCT(--(Setup!$A$5:$A$24=$C248))&gt;0),"Machine not in Setup",IF(OR(NOT(ISNUMBER(K248)),N(K248)&lt;=0),"Set an ideal cycle time in Setup",IF(NOT(ISNUMBER(A248)),"Enter a date",IF(OR(NOT(ISNUMBER(D248)),NOT(ISNUMBER(G248)),AND(E248&lt;&gt;"",NOT(ISNUMBER(E248))),AND(F248&lt;&gt;"",NOT(ISNUMBER(F248))),AND(H248&lt;&gt;"",NOT(ISNUMBER(H248)))),"Enter numbers: shift length and total parts are required",IF(OR(N(D248)&lt;=0,N(E248)&lt;0,N(F248)&lt;0,N(G248)&lt;0,N(H248)&lt;0),"Values must be 0 or more (shift length above 0)",IF(N(H248)&gt;N(G248),"Rejects &gt; total parts",IF(N(E248)&gt;=N(D248),"Planned stops &gt;= shift length",IF(N(F248)&gt;N(D248)-N(E248),"Downtime &gt; planned time",IF(AND(ISNUMBER(O248),O248&gt;1),"Check: performance above 100%","OK"))))))))))</f>
        <v/>
      </c>
      <c r="S248" s="13" t="str">
        <f aca="false">IF($T248,K248*M248/60,"")</f>
        <v/>
      </c>
      <c r="T248" s="15" t="b">
        <f aca="false">IF($C248="",FALSE(),AND(SUMPRODUCT(--(Setup!$A$5:$A$24=$C248))&gt;0,ISNUMBER(A248),ISNUMBER(K248),N(K248)&gt;0,ISNUMBER(D248),N(D248)&gt;0,ISNUMBER(G248),N(G248)&gt;=0,OR(E248="",ISNUMBER(E248)),OR(F248="",ISNUMBER(F248)),OR(H248="",ISNUMBER(H248)),N(E248)&gt;=0,N(F248)&gt;=0,N(H248)&gt;=0,N(H248)&lt;=N(G248),N(E248)&lt;N(D248),N(F248)&lt;=N(D248)-N(E248)))</f>
        <v>0</v>
      </c>
    </row>
    <row r="249" customFormat="false" ht="15" hidden="false" customHeight="false" outlineLevel="0" collapsed="false">
      <c r="A249" s="11"/>
      <c r="B249" s="8"/>
      <c r="C249" s="8"/>
      <c r="D249" s="8"/>
      <c r="E249" s="8"/>
      <c r="F249" s="8"/>
      <c r="G249" s="8"/>
      <c r="H249" s="8"/>
      <c r="I249" s="12" t="str">
        <f aca="false">IF($T249,D249-N(E249),"")</f>
        <v/>
      </c>
      <c r="J249" s="12" t="str">
        <f aca="false">IF($T249,I249-N(F249),"")</f>
        <v/>
      </c>
      <c r="K249" s="13" t="str">
        <f aca="false">IF($C249="","",IF(SUMPRODUCT(--(Setup!$A$5:$A$24=$C249))&gt;0,INDEX(Setup!$B$5:$B$24,21-SUMPRODUCT(MAX((Setup!$A$5:$A$24=$C249)*(25-ROW(Setup!$A$5:$A$24))))),""))</f>
        <v/>
      </c>
      <c r="L249" s="13" t="str">
        <f aca="false">IF($T249,K249*G249/60,"")</f>
        <v/>
      </c>
      <c r="M249" s="12" t="str">
        <f aca="false">IF($T249,G249-N(H249),"")</f>
        <v/>
      </c>
      <c r="N249" s="14" t="str">
        <f aca="false">IF($T249,J249/I249,"")</f>
        <v/>
      </c>
      <c r="O249" s="14" t="str">
        <f aca="false">IF(AND($T249,N(J249)&gt;0),L249/J249,"")</f>
        <v/>
      </c>
      <c r="P249" s="14" t="str">
        <f aca="false">IF(AND($T249,N(G249)&gt;0),M249/G249,"")</f>
        <v/>
      </c>
      <c r="Q249" s="14" t="str">
        <f aca="false">IF($T249,S249/I249,"")</f>
        <v/>
      </c>
      <c r="R249" s="10" t="str">
        <f aca="false">IF($C249="","",IF(NOT(SUMPRODUCT(--(Setup!$A$5:$A$24=$C249))&gt;0),"Machine not in Setup",IF(OR(NOT(ISNUMBER(K249)),N(K249)&lt;=0),"Set an ideal cycle time in Setup",IF(NOT(ISNUMBER(A249)),"Enter a date",IF(OR(NOT(ISNUMBER(D249)),NOT(ISNUMBER(G249)),AND(E249&lt;&gt;"",NOT(ISNUMBER(E249))),AND(F249&lt;&gt;"",NOT(ISNUMBER(F249))),AND(H249&lt;&gt;"",NOT(ISNUMBER(H249)))),"Enter numbers: shift length and total parts are required",IF(OR(N(D249)&lt;=0,N(E249)&lt;0,N(F249)&lt;0,N(G249)&lt;0,N(H249)&lt;0),"Values must be 0 or more (shift length above 0)",IF(N(H249)&gt;N(G249),"Rejects &gt; total parts",IF(N(E249)&gt;=N(D249),"Planned stops &gt;= shift length",IF(N(F249)&gt;N(D249)-N(E249),"Downtime &gt; planned time",IF(AND(ISNUMBER(O249),O249&gt;1),"Check: performance above 100%","OK"))))))))))</f>
        <v/>
      </c>
      <c r="S249" s="13" t="str">
        <f aca="false">IF($T249,K249*M249/60,"")</f>
        <v/>
      </c>
      <c r="T249" s="15" t="b">
        <f aca="false">IF($C249="",FALSE(),AND(SUMPRODUCT(--(Setup!$A$5:$A$24=$C249))&gt;0,ISNUMBER(A249),ISNUMBER(K249),N(K249)&gt;0,ISNUMBER(D249),N(D249)&gt;0,ISNUMBER(G249),N(G249)&gt;=0,OR(E249="",ISNUMBER(E249)),OR(F249="",ISNUMBER(F249)),OR(H249="",ISNUMBER(H249)),N(E249)&gt;=0,N(F249)&gt;=0,N(H249)&gt;=0,N(H249)&lt;=N(G249),N(E249)&lt;N(D249),N(F249)&lt;=N(D249)-N(E249)))</f>
        <v>0</v>
      </c>
    </row>
    <row r="250" customFormat="false" ht="15" hidden="false" customHeight="false" outlineLevel="0" collapsed="false">
      <c r="A250" s="11"/>
      <c r="B250" s="8"/>
      <c r="C250" s="8"/>
      <c r="D250" s="8"/>
      <c r="E250" s="8"/>
      <c r="F250" s="8"/>
      <c r="G250" s="8"/>
      <c r="H250" s="8"/>
      <c r="I250" s="12" t="str">
        <f aca="false">IF($T250,D250-N(E250),"")</f>
        <v/>
      </c>
      <c r="J250" s="12" t="str">
        <f aca="false">IF($T250,I250-N(F250),"")</f>
        <v/>
      </c>
      <c r="K250" s="13" t="str">
        <f aca="false">IF($C250="","",IF(SUMPRODUCT(--(Setup!$A$5:$A$24=$C250))&gt;0,INDEX(Setup!$B$5:$B$24,21-SUMPRODUCT(MAX((Setup!$A$5:$A$24=$C250)*(25-ROW(Setup!$A$5:$A$24))))),""))</f>
        <v/>
      </c>
      <c r="L250" s="13" t="str">
        <f aca="false">IF($T250,K250*G250/60,"")</f>
        <v/>
      </c>
      <c r="M250" s="12" t="str">
        <f aca="false">IF($T250,G250-N(H250),"")</f>
        <v/>
      </c>
      <c r="N250" s="14" t="str">
        <f aca="false">IF($T250,J250/I250,"")</f>
        <v/>
      </c>
      <c r="O250" s="14" t="str">
        <f aca="false">IF(AND($T250,N(J250)&gt;0),L250/J250,"")</f>
        <v/>
      </c>
      <c r="P250" s="14" t="str">
        <f aca="false">IF(AND($T250,N(G250)&gt;0),M250/G250,"")</f>
        <v/>
      </c>
      <c r="Q250" s="14" t="str">
        <f aca="false">IF($T250,S250/I250,"")</f>
        <v/>
      </c>
      <c r="R250" s="10" t="str">
        <f aca="false">IF($C250="","",IF(NOT(SUMPRODUCT(--(Setup!$A$5:$A$24=$C250))&gt;0),"Machine not in Setup",IF(OR(NOT(ISNUMBER(K250)),N(K250)&lt;=0),"Set an ideal cycle time in Setup",IF(NOT(ISNUMBER(A250)),"Enter a date",IF(OR(NOT(ISNUMBER(D250)),NOT(ISNUMBER(G250)),AND(E250&lt;&gt;"",NOT(ISNUMBER(E250))),AND(F250&lt;&gt;"",NOT(ISNUMBER(F250))),AND(H250&lt;&gt;"",NOT(ISNUMBER(H250)))),"Enter numbers: shift length and total parts are required",IF(OR(N(D250)&lt;=0,N(E250)&lt;0,N(F250)&lt;0,N(G250)&lt;0,N(H250)&lt;0),"Values must be 0 or more (shift length above 0)",IF(N(H250)&gt;N(G250),"Rejects &gt; total parts",IF(N(E250)&gt;=N(D250),"Planned stops &gt;= shift length",IF(N(F250)&gt;N(D250)-N(E250),"Downtime &gt; planned time",IF(AND(ISNUMBER(O250),O250&gt;1),"Check: performance above 100%","OK"))))))))))</f>
        <v/>
      </c>
      <c r="S250" s="13" t="str">
        <f aca="false">IF($T250,K250*M250/60,"")</f>
        <v/>
      </c>
      <c r="T250" s="15" t="b">
        <f aca="false">IF($C250="",FALSE(),AND(SUMPRODUCT(--(Setup!$A$5:$A$24=$C250))&gt;0,ISNUMBER(A250),ISNUMBER(K250),N(K250)&gt;0,ISNUMBER(D250),N(D250)&gt;0,ISNUMBER(G250),N(G250)&gt;=0,OR(E250="",ISNUMBER(E250)),OR(F250="",ISNUMBER(F250)),OR(H250="",ISNUMBER(H250)),N(E250)&gt;=0,N(F250)&gt;=0,N(H250)&gt;=0,N(H250)&lt;=N(G250),N(E250)&lt;N(D250),N(F250)&lt;=N(D250)-N(E250)))</f>
        <v>0</v>
      </c>
    </row>
    <row r="251" customFormat="false" ht="15" hidden="false" customHeight="false" outlineLevel="0" collapsed="false">
      <c r="A251" s="11"/>
      <c r="B251" s="8"/>
      <c r="C251" s="8"/>
      <c r="D251" s="8"/>
      <c r="E251" s="8"/>
      <c r="F251" s="8"/>
      <c r="G251" s="8"/>
      <c r="H251" s="8"/>
      <c r="I251" s="12" t="str">
        <f aca="false">IF($T251,D251-N(E251),"")</f>
        <v/>
      </c>
      <c r="J251" s="12" t="str">
        <f aca="false">IF($T251,I251-N(F251),"")</f>
        <v/>
      </c>
      <c r="K251" s="13" t="str">
        <f aca="false">IF($C251="","",IF(SUMPRODUCT(--(Setup!$A$5:$A$24=$C251))&gt;0,INDEX(Setup!$B$5:$B$24,21-SUMPRODUCT(MAX((Setup!$A$5:$A$24=$C251)*(25-ROW(Setup!$A$5:$A$24))))),""))</f>
        <v/>
      </c>
      <c r="L251" s="13" t="str">
        <f aca="false">IF($T251,K251*G251/60,"")</f>
        <v/>
      </c>
      <c r="M251" s="12" t="str">
        <f aca="false">IF($T251,G251-N(H251),"")</f>
        <v/>
      </c>
      <c r="N251" s="14" t="str">
        <f aca="false">IF($T251,J251/I251,"")</f>
        <v/>
      </c>
      <c r="O251" s="14" t="str">
        <f aca="false">IF(AND($T251,N(J251)&gt;0),L251/J251,"")</f>
        <v/>
      </c>
      <c r="P251" s="14" t="str">
        <f aca="false">IF(AND($T251,N(G251)&gt;0),M251/G251,"")</f>
        <v/>
      </c>
      <c r="Q251" s="14" t="str">
        <f aca="false">IF($T251,S251/I251,"")</f>
        <v/>
      </c>
      <c r="R251" s="10" t="str">
        <f aca="false">IF($C251="","",IF(NOT(SUMPRODUCT(--(Setup!$A$5:$A$24=$C251))&gt;0),"Machine not in Setup",IF(OR(NOT(ISNUMBER(K251)),N(K251)&lt;=0),"Set an ideal cycle time in Setup",IF(NOT(ISNUMBER(A251)),"Enter a date",IF(OR(NOT(ISNUMBER(D251)),NOT(ISNUMBER(G251)),AND(E251&lt;&gt;"",NOT(ISNUMBER(E251))),AND(F251&lt;&gt;"",NOT(ISNUMBER(F251))),AND(H251&lt;&gt;"",NOT(ISNUMBER(H251)))),"Enter numbers: shift length and total parts are required",IF(OR(N(D251)&lt;=0,N(E251)&lt;0,N(F251)&lt;0,N(G251)&lt;0,N(H251)&lt;0),"Values must be 0 or more (shift length above 0)",IF(N(H251)&gt;N(G251),"Rejects &gt; total parts",IF(N(E251)&gt;=N(D251),"Planned stops &gt;= shift length",IF(N(F251)&gt;N(D251)-N(E251),"Downtime &gt; planned time",IF(AND(ISNUMBER(O251),O251&gt;1),"Check: performance above 100%","OK"))))))))))</f>
        <v/>
      </c>
      <c r="S251" s="13" t="str">
        <f aca="false">IF($T251,K251*M251/60,"")</f>
        <v/>
      </c>
      <c r="T251" s="15" t="b">
        <f aca="false">IF($C251="",FALSE(),AND(SUMPRODUCT(--(Setup!$A$5:$A$24=$C251))&gt;0,ISNUMBER(A251),ISNUMBER(K251),N(K251)&gt;0,ISNUMBER(D251),N(D251)&gt;0,ISNUMBER(G251),N(G251)&gt;=0,OR(E251="",ISNUMBER(E251)),OR(F251="",ISNUMBER(F251)),OR(H251="",ISNUMBER(H251)),N(E251)&gt;=0,N(F251)&gt;=0,N(H251)&gt;=0,N(H251)&lt;=N(G251),N(E251)&lt;N(D251),N(F251)&lt;=N(D251)-N(E251)))</f>
        <v>0</v>
      </c>
    </row>
    <row r="252" customFormat="false" ht="15" hidden="false" customHeight="false" outlineLevel="0" collapsed="false">
      <c r="A252" s="11"/>
      <c r="B252" s="8"/>
      <c r="C252" s="8"/>
      <c r="D252" s="8"/>
      <c r="E252" s="8"/>
      <c r="F252" s="8"/>
      <c r="G252" s="8"/>
      <c r="H252" s="8"/>
      <c r="I252" s="12" t="str">
        <f aca="false">IF($T252,D252-N(E252),"")</f>
        <v/>
      </c>
      <c r="J252" s="12" t="str">
        <f aca="false">IF($T252,I252-N(F252),"")</f>
        <v/>
      </c>
      <c r="K252" s="13" t="str">
        <f aca="false">IF($C252="","",IF(SUMPRODUCT(--(Setup!$A$5:$A$24=$C252))&gt;0,INDEX(Setup!$B$5:$B$24,21-SUMPRODUCT(MAX((Setup!$A$5:$A$24=$C252)*(25-ROW(Setup!$A$5:$A$24))))),""))</f>
        <v/>
      </c>
      <c r="L252" s="13" t="str">
        <f aca="false">IF($T252,K252*G252/60,"")</f>
        <v/>
      </c>
      <c r="M252" s="12" t="str">
        <f aca="false">IF($T252,G252-N(H252),"")</f>
        <v/>
      </c>
      <c r="N252" s="14" t="str">
        <f aca="false">IF($T252,J252/I252,"")</f>
        <v/>
      </c>
      <c r="O252" s="14" t="str">
        <f aca="false">IF(AND($T252,N(J252)&gt;0),L252/J252,"")</f>
        <v/>
      </c>
      <c r="P252" s="14" t="str">
        <f aca="false">IF(AND($T252,N(G252)&gt;0),M252/G252,"")</f>
        <v/>
      </c>
      <c r="Q252" s="14" t="str">
        <f aca="false">IF($T252,S252/I252,"")</f>
        <v/>
      </c>
      <c r="R252" s="10" t="str">
        <f aca="false">IF($C252="","",IF(NOT(SUMPRODUCT(--(Setup!$A$5:$A$24=$C252))&gt;0),"Machine not in Setup",IF(OR(NOT(ISNUMBER(K252)),N(K252)&lt;=0),"Set an ideal cycle time in Setup",IF(NOT(ISNUMBER(A252)),"Enter a date",IF(OR(NOT(ISNUMBER(D252)),NOT(ISNUMBER(G252)),AND(E252&lt;&gt;"",NOT(ISNUMBER(E252))),AND(F252&lt;&gt;"",NOT(ISNUMBER(F252))),AND(H252&lt;&gt;"",NOT(ISNUMBER(H252)))),"Enter numbers: shift length and total parts are required",IF(OR(N(D252)&lt;=0,N(E252)&lt;0,N(F252)&lt;0,N(G252)&lt;0,N(H252)&lt;0),"Values must be 0 or more (shift length above 0)",IF(N(H252)&gt;N(G252),"Rejects &gt; total parts",IF(N(E252)&gt;=N(D252),"Planned stops &gt;= shift length",IF(N(F252)&gt;N(D252)-N(E252),"Downtime &gt; planned time",IF(AND(ISNUMBER(O252),O252&gt;1),"Check: performance above 100%","OK"))))))))))</f>
        <v/>
      </c>
      <c r="S252" s="13" t="str">
        <f aca="false">IF($T252,K252*M252/60,"")</f>
        <v/>
      </c>
      <c r="T252" s="15" t="b">
        <f aca="false">IF($C252="",FALSE(),AND(SUMPRODUCT(--(Setup!$A$5:$A$24=$C252))&gt;0,ISNUMBER(A252),ISNUMBER(K252),N(K252)&gt;0,ISNUMBER(D252),N(D252)&gt;0,ISNUMBER(G252),N(G252)&gt;=0,OR(E252="",ISNUMBER(E252)),OR(F252="",ISNUMBER(F252)),OR(H252="",ISNUMBER(H252)),N(E252)&gt;=0,N(F252)&gt;=0,N(H252)&gt;=0,N(H252)&lt;=N(G252),N(E252)&lt;N(D252),N(F252)&lt;=N(D252)-N(E252)))</f>
        <v>0</v>
      </c>
    </row>
    <row r="253" customFormat="false" ht="15" hidden="false" customHeight="false" outlineLevel="0" collapsed="false">
      <c r="A253" s="11"/>
      <c r="B253" s="8"/>
      <c r="C253" s="8"/>
      <c r="D253" s="8"/>
      <c r="E253" s="8"/>
      <c r="F253" s="8"/>
      <c r="G253" s="8"/>
      <c r="H253" s="8"/>
      <c r="I253" s="12" t="str">
        <f aca="false">IF($T253,D253-N(E253),"")</f>
        <v/>
      </c>
      <c r="J253" s="12" t="str">
        <f aca="false">IF($T253,I253-N(F253),"")</f>
        <v/>
      </c>
      <c r="K253" s="13" t="str">
        <f aca="false">IF($C253="","",IF(SUMPRODUCT(--(Setup!$A$5:$A$24=$C253))&gt;0,INDEX(Setup!$B$5:$B$24,21-SUMPRODUCT(MAX((Setup!$A$5:$A$24=$C253)*(25-ROW(Setup!$A$5:$A$24))))),""))</f>
        <v/>
      </c>
      <c r="L253" s="13" t="str">
        <f aca="false">IF($T253,K253*G253/60,"")</f>
        <v/>
      </c>
      <c r="M253" s="12" t="str">
        <f aca="false">IF($T253,G253-N(H253),"")</f>
        <v/>
      </c>
      <c r="N253" s="14" t="str">
        <f aca="false">IF($T253,J253/I253,"")</f>
        <v/>
      </c>
      <c r="O253" s="14" t="str">
        <f aca="false">IF(AND($T253,N(J253)&gt;0),L253/J253,"")</f>
        <v/>
      </c>
      <c r="P253" s="14" t="str">
        <f aca="false">IF(AND($T253,N(G253)&gt;0),M253/G253,"")</f>
        <v/>
      </c>
      <c r="Q253" s="14" t="str">
        <f aca="false">IF($T253,S253/I253,"")</f>
        <v/>
      </c>
      <c r="R253" s="10" t="str">
        <f aca="false">IF($C253="","",IF(NOT(SUMPRODUCT(--(Setup!$A$5:$A$24=$C253))&gt;0),"Machine not in Setup",IF(OR(NOT(ISNUMBER(K253)),N(K253)&lt;=0),"Set an ideal cycle time in Setup",IF(NOT(ISNUMBER(A253)),"Enter a date",IF(OR(NOT(ISNUMBER(D253)),NOT(ISNUMBER(G253)),AND(E253&lt;&gt;"",NOT(ISNUMBER(E253))),AND(F253&lt;&gt;"",NOT(ISNUMBER(F253))),AND(H253&lt;&gt;"",NOT(ISNUMBER(H253)))),"Enter numbers: shift length and total parts are required",IF(OR(N(D253)&lt;=0,N(E253)&lt;0,N(F253)&lt;0,N(G253)&lt;0,N(H253)&lt;0),"Values must be 0 or more (shift length above 0)",IF(N(H253)&gt;N(G253),"Rejects &gt; total parts",IF(N(E253)&gt;=N(D253),"Planned stops &gt;= shift length",IF(N(F253)&gt;N(D253)-N(E253),"Downtime &gt; planned time",IF(AND(ISNUMBER(O253),O253&gt;1),"Check: performance above 100%","OK"))))))))))</f>
        <v/>
      </c>
      <c r="S253" s="13" t="str">
        <f aca="false">IF($T253,K253*M253/60,"")</f>
        <v/>
      </c>
      <c r="T253" s="15" t="b">
        <f aca="false">IF($C253="",FALSE(),AND(SUMPRODUCT(--(Setup!$A$5:$A$24=$C253))&gt;0,ISNUMBER(A253),ISNUMBER(K253),N(K253)&gt;0,ISNUMBER(D253),N(D253)&gt;0,ISNUMBER(G253),N(G253)&gt;=0,OR(E253="",ISNUMBER(E253)),OR(F253="",ISNUMBER(F253)),OR(H253="",ISNUMBER(H253)),N(E253)&gt;=0,N(F253)&gt;=0,N(H253)&gt;=0,N(H253)&lt;=N(G253),N(E253)&lt;N(D253),N(F253)&lt;=N(D253)-N(E253)))</f>
        <v>0</v>
      </c>
    </row>
    <row r="254" customFormat="false" ht="15" hidden="false" customHeight="false" outlineLevel="0" collapsed="false">
      <c r="A254" s="11"/>
      <c r="B254" s="8"/>
      <c r="C254" s="8"/>
      <c r="D254" s="8"/>
      <c r="E254" s="8"/>
      <c r="F254" s="8"/>
      <c r="G254" s="8"/>
      <c r="H254" s="8"/>
      <c r="I254" s="12" t="str">
        <f aca="false">IF($T254,D254-N(E254),"")</f>
        <v/>
      </c>
      <c r="J254" s="12" t="str">
        <f aca="false">IF($T254,I254-N(F254),"")</f>
        <v/>
      </c>
      <c r="K254" s="13" t="str">
        <f aca="false">IF($C254="","",IF(SUMPRODUCT(--(Setup!$A$5:$A$24=$C254))&gt;0,INDEX(Setup!$B$5:$B$24,21-SUMPRODUCT(MAX((Setup!$A$5:$A$24=$C254)*(25-ROW(Setup!$A$5:$A$24))))),""))</f>
        <v/>
      </c>
      <c r="L254" s="13" t="str">
        <f aca="false">IF($T254,K254*G254/60,"")</f>
        <v/>
      </c>
      <c r="M254" s="12" t="str">
        <f aca="false">IF($T254,G254-N(H254),"")</f>
        <v/>
      </c>
      <c r="N254" s="14" t="str">
        <f aca="false">IF($T254,J254/I254,"")</f>
        <v/>
      </c>
      <c r="O254" s="14" t="str">
        <f aca="false">IF(AND($T254,N(J254)&gt;0),L254/J254,"")</f>
        <v/>
      </c>
      <c r="P254" s="14" t="str">
        <f aca="false">IF(AND($T254,N(G254)&gt;0),M254/G254,"")</f>
        <v/>
      </c>
      <c r="Q254" s="14" t="str">
        <f aca="false">IF($T254,S254/I254,"")</f>
        <v/>
      </c>
      <c r="R254" s="10" t="str">
        <f aca="false">IF($C254="","",IF(NOT(SUMPRODUCT(--(Setup!$A$5:$A$24=$C254))&gt;0),"Machine not in Setup",IF(OR(NOT(ISNUMBER(K254)),N(K254)&lt;=0),"Set an ideal cycle time in Setup",IF(NOT(ISNUMBER(A254)),"Enter a date",IF(OR(NOT(ISNUMBER(D254)),NOT(ISNUMBER(G254)),AND(E254&lt;&gt;"",NOT(ISNUMBER(E254))),AND(F254&lt;&gt;"",NOT(ISNUMBER(F254))),AND(H254&lt;&gt;"",NOT(ISNUMBER(H254)))),"Enter numbers: shift length and total parts are required",IF(OR(N(D254)&lt;=0,N(E254)&lt;0,N(F254)&lt;0,N(G254)&lt;0,N(H254)&lt;0),"Values must be 0 or more (shift length above 0)",IF(N(H254)&gt;N(G254),"Rejects &gt; total parts",IF(N(E254)&gt;=N(D254),"Planned stops &gt;= shift length",IF(N(F254)&gt;N(D254)-N(E254),"Downtime &gt; planned time",IF(AND(ISNUMBER(O254),O254&gt;1),"Check: performance above 100%","OK"))))))))))</f>
        <v/>
      </c>
      <c r="S254" s="13" t="str">
        <f aca="false">IF($T254,K254*M254/60,"")</f>
        <v/>
      </c>
      <c r="T254" s="15" t="b">
        <f aca="false">IF($C254="",FALSE(),AND(SUMPRODUCT(--(Setup!$A$5:$A$24=$C254))&gt;0,ISNUMBER(A254),ISNUMBER(K254),N(K254)&gt;0,ISNUMBER(D254),N(D254)&gt;0,ISNUMBER(G254),N(G254)&gt;=0,OR(E254="",ISNUMBER(E254)),OR(F254="",ISNUMBER(F254)),OR(H254="",ISNUMBER(H254)),N(E254)&gt;=0,N(F254)&gt;=0,N(H254)&gt;=0,N(H254)&lt;=N(G254),N(E254)&lt;N(D254),N(F254)&lt;=N(D254)-N(E254)))</f>
        <v>0</v>
      </c>
    </row>
    <row r="255" customFormat="false" ht="15" hidden="false" customHeight="false" outlineLevel="0" collapsed="false">
      <c r="A255" s="11"/>
      <c r="B255" s="8"/>
      <c r="C255" s="8"/>
      <c r="D255" s="8"/>
      <c r="E255" s="8"/>
      <c r="F255" s="8"/>
      <c r="G255" s="8"/>
      <c r="H255" s="8"/>
      <c r="I255" s="12" t="str">
        <f aca="false">IF($T255,D255-N(E255),"")</f>
        <v/>
      </c>
      <c r="J255" s="12" t="str">
        <f aca="false">IF($T255,I255-N(F255),"")</f>
        <v/>
      </c>
      <c r="K255" s="13" t="str">
        <f aca="false">IF($C255="","",IF(SUMPRODUCT(--(Setup!$A$5:$A$24=$C255))&gt;0,INDEX(Setup!$B$5:$B$24,21-SUMPRODUCT(MAX((Setup!$A$5:$A$24=$C255)*(25-ROW(Setup!$A$5:$A$24))))),""))</f>
        <v/>
      </c>
      <c r="L255" s="13" t="str">
        <f aca="false">IF($T255,K255*G255/60,"")</f>
        <v/>
      </c>
      <c r="M255" s="12" t="str">
        <f aca="false">IF($T255,G255-N(H255),"")</f>
        <v/>
      </c>
      <c r="N255" s="14" t="str">
        <f aca="false">IF($T255,J255/I255,"")</f>
        <v/>
      </c>
      <c r="O255" s="14" t="str">
        <f aca="false">IF(AND($T255,N(J255)&gt;0),L255/J255,"")</f>
        <v/>
      </c>
      <c r="P255" s="14" t="str">
        <f aca="false">IF(AND($T255,N(G255)&gt;0),M255/G255,"")</f>
        <v/>
      </c>
      <c r="Q255" s="14" t="str">
        <f aca="false">IF($T255,S255/I255,"")</f>
        <v/>
      </c>
      <c r="R255" s="10" t="str">
        <f aca="false">IF($C255="","",IF(NOT(SUMPRODUCT(--(Setup!$A$5:$A$24=$C255))&gt;0),"Machine not in Setup",IF(OR(NOT(ISNUMBER(K255)),N(K255)&lt;=0),"Set an ideal cycle time in Setup",IF(NOT(ISNUMBER(A255)),"Enter a date",IF(OR(NOT(ISNUMBER(D255)),NOT(ISNUMBER(G255)),AND(E255&lt;&gt;"",NOT(ISNUMBER(E255))),AND(F255&lt;&gt;"",NOT(ISNUMBER(F255))),AND(H255&lt;&gt;"",NOT(ISNUMBER(H255)))),"Enter numbers: shift length and total parts are required",IF(OR(N(D255)&lt;=0,N(E255)&lt;0,N(F255)&lt;0,N(G255)&lt;0,N(H255)&lt;0),"Values must be 0 or more (shift length above 0)",IF(N(H255)&gt;N(G255),"Rejects &gt; total parts",IF(N(E255)&gt;=N(D255),"Planned stops &gt;= shift length",IF(N(F255)&gt;N(D255)-N(E255),"Downtime &gt; planned time",IF(AND(ISNUMBER(O255),O255&gt;1),"Check: performance above 100%","OK"))))))))))</f>
        <v/>
      </c>
      <c r="S255" s="13" t="str">
        <f aca="false">IF($T255,K255*M255/60,"")</f>
        <v/>
      </c>
      <c r="T255" s="15" t="b">
        <f aca="false">IF($C255="",FALSE(),AND(SUMPRODUCT(--(Setup!$A$5:$A$24=$C255))&gt;0,ISNUMBER(A255),ISNUMBER(K255),N(K255)&gt;0,ISNUMBER(D255),N(D255)&gt;0,ISNUMBER(G255),N(G255)&gt;=0,OR(E255="",ISNUMBER(E255)),OR(F255="",ISNUMBER(F255)),OR(H255="",ISNUMBER(H255)),N(E255)&gt;=0,N(F255)&gt;=0,N(H255)&gt;=0,N(H255)&lt;=N(G255),N(E255)&lt;N(D255),N(F255)&lt;=N(D255)-N(E255)))</f>
        <v>0</v>
      </c>
    </row>
    <row r="256" customFormat="false" ht="15" hidden="false" customHeight="false" outlineLevel="0" collapsed="false">
      <c r="A256" s="11"/>
      <c r="B256" s="8"/>
      <c r="C256" s="8"/>
      <c r="D256" s="8"/>
      <c r="E256" s="8"/>
      <c r="F256" s="8"/>
      <c r="G256" s="8"/>
      <c r="H256" s="8"/>
      <c r="I256" s="12" t="str">
        <f aca="false">IF($T256,D256-N(E256),"")</f>
        <v/>
      </c>
      <c r="J256" s="12" t="str">
        <f aca="false">IF($T256,I256-N(F256),"")</f>
        <v/>
      </c>
      <c r="K256" s="13" t="str">
        <f aca="false">IF($C256="","",IF(SUMPRODUCT(--(Setup!$A$5:$A$24=$C256))&gt;0,INDEX(Setup!$B$5:$B$24,21-SUMPRODUCT(MAX((Setup!$A$5:$A$24=$C256)*(25-ROW(Setup!$A$5:$A$24))))),""))</f>
        <v/>
      </c>
      <c r="L256" s="13" t="str">
        <f aca="false">IF($T256,K256*G256/60,"")</f>
        <v/>
      </c>
      <c r="M256" s="12" t="str">
        <f aca="false">IF($T256,G256-N(H256),"")</f>
        <v/>
      </c>
      <c r="N256" s="14" t="str">
        <f aca="false">IF($T256,J256/I256,"")</f>
        <v/>
      </c>
      <c r="O256" s="14" t="str">
        <f aca="false">IF(AND($T256,N(J256)&gt;0),L256/J256,"")</f>
        <v/>
      </c>
      <c r="P256" s="14" t="str">
        <f aca="false">IF(AND($T256,N(G256)&gt;0),M256/G256,"")</f>
        <v/>
      </c>
      <c r="Q256" s="14" t="str">
        <f aca="false">IF($T256,S256/I256,"")</f>
        <v/>
      </c>
      <c r="R256" s="10" t="str">
        <f aca="false">IF($C256="","",IF(NOT(SUMPRODUCT(--(Setup!$A$5:$A$24=$C256))&gt;0),"Machine not in Setup",IF(OR(NOT(ISNUMBER(K256)),N(K256)&lt;=0),"Set an ideal cycle time in Setup",IF(NOT(ISNUMBER(A256)),"Enter a date",IF(OR(NOT(ISNUMBER(D256)),NOT(ISNUMBER(G256)),AND(E256&lt;&gt;"",NOT(ISNUMBER(E256))),AND(F256&lt;&gt;"",NOT(ISNUMBER(F256))),AND(H256&lt;&gt;"",NOT(ISNUMBER(H256)))),"Enter numbers: shift length and total parts are required",IF(OR(N(D256)&lt;=0,N(E256)&lt;0,N(F256)&lt;0,N(G256)&lt;0,N(H256)&lt;0),"Values must be 0 or more (shift length above 0)",IF(N(H256)&gt;N(G256),"Rejects &gt; total parts",IF(N(E256)&gt;=N(D256),"Planned stops &gt;= shift length",IF(N(F256)&gt;N(D256)-N(E256),"Downtime &gt; planned time",IF(AND(ISNUMBER(O256),O256&gt;1),"Check: performance above 100%","OK"))))))))))</f>
        <v/>
      </c>
      <c r="S256" s="13" t="str">
        <f aca="false">IF($T256,K256*M256/60,"")</f>
        <v/>
      </c>
      <c r="T256" s="15" t="b">
        <f aca="false">IF($C256="",FALSE(),AND(SUMPRODUCT(--(Setup!$A$5:$A$24=$C256))&gt;0,ISNUMBER(A256),ISNUMBER(K256),N(K256)&gt;0,ISNUMBER(D256),N(D256)&gt;0,ISNUMBER(G256),N(G256)&gt;=0,OR(E256="",ISNUMBER(E256)),OR(F256="",ISNUMBER(F256)),OR(H256="",ISNUMBER(H256)),N(E256)&gt;=0,N(F256)&gt;=0,N(H256)&gt;=0,N(H256)&lt;=N(G256),N(E256)&lt;N(D256),N(F256)&lt;=N(D256)-N(E256)))</f>
        <v>0</v>
      </c>
    </row>
    <row r="257" customFormat="false" ht="15" hidden="false" customHeight="false" outlineLevel="0" collapsed="false">
      <c r="A257" s="11"/>
      <c r="B257" s="8"/>
      <c r="C257" s="8"/>
      <c r="D257" s="8"/>
      <c r="E257" s="8"/>
      <c r="F257" s="8"/>
      <c r="G257" s="8"/>
      <c r="H257" s="8"/>
      <c r="I257" s="12" t="str">
        <f aca="false">IF($T257,D257-N(E257),"")</f>
        <v/>
      </c>
      <c r="J257" s="12" t="str">
        <f aca="false">IF($T257,I257-N(F257),"")</f>
        <v/>
      </c>
      <c r="K257" s="13" t="str">
        <f aca="false">IF($C257="","",IF(SUMPRODUCT(--(Setup!$A$5:$A$24=$C257))&gt;0,INDEX(Setup!$B$5:$B$24,21-SUMPRODUCT(MAX((Setup!$A$5:$A$24=$C257)*(25-ROW(Setup!$A$5:$A$24))))),""))</f>
        <v/>
      </c>
      <c r="L257" s="13" t="str">
        <f aca="false">IF($T257,K257*G257/60,"")</f>
        <v/>
      </c>
      <c r="M257" s="12" t="str">
        <f aca="false">IF($T257,G257-N(H257),"")</f>
        <v/>
      </c>
      <c r="N257" s="14" t="str">
        <f aca="false">IF($T257,J257/I257,"")</f>
        <v/>
      </c>
      <c r="O257" s="14" t="str">
        <f aca="false">IF(AND($T257,N(J257)&gt;0),L257/J257,"")</f>
        <v/>
      </c>
      <c r="P257" s="14" t="str">
        <f aca="false">IF(AND($T257,N(G257)&gt;0),M257/G257,"")</f>
        <v/>
      </c>
      <c r="Q257" s="14" t="str">
        <f aca="false">IF($T257,S257/I257,"")</f>
        <v/>
      </c>
      <c r="R257" s="10" t="str">
        <f aca="false">IF($C257="","",IF(NOT(SUMPRODUCT(--(Setup!$A$5:$A$24=$C257))&gt;0),"Machine not in Setup",IF(OR(NOT(ISNUMBER(K257)),N(K257)&lt;=0),"Set an ideal cycle time in Setup",IF(NOT(ISNUMBER(A257)),"Enter a date",IF(OR(NOT(ISNUMBER(D257)),NOT(ISNUMBER(G257)),AND(E257&lt;&gt;"",NOT(ISNUMBER(E257))),AND(F257&lt;&gt;"",NOT(ISNUMBER(F257))),AND(H257&lt;&gt;"",NOT(ISNUMBER(H257)))),"Enter numbers: shift length and total parts are required",IF(OR(N(D257)&lt;=0,N(E257)&lt;0,N(F257)&lt;0,N(G257)&lt;0,N(H257)&lt;0),"Values must be 0 or more (shift length above 0)",IF(N(H257)&gt;N(G257),"Rejects &gt; total parts",IF(N(E257)&gt;=N(D257),"Planned stops &gt;= shift length",IF(N(F257)&gt;N(D257)-N(E257),"Downtime &gt; planned time",IF(AND(ISNUMBER(O257),O257&gt;1),"Check: performance above 100%","OK"))))))))))</f>
        <v/>
      </c>
      <c r="S257" s="13" t="str">
        <f aca="false">IF($T257,K257*M257/60,"")</f>
        <v/>
      </c>
      <c r="T257" s="15" t="b">
        <f aca="false">IF($C257="",FALSE(),AND(SUMPRODUCT(--(Setup!$A$5:$A$24=$C257))&gt;0,ISNUMBER(A257),ISNUMBER(K257),N(K257)&gt;0,ISNUMBER(D257),N(D257)&gt;0,ISNUMBER(G257),N(G257)&gt;=0,OR(E257="",ISNUMBER(E257)),OR(F257="",ISNUMBER(F257)),OR(H257="",ISNUMBER(H257)),N(E257)&gt;=0,N(F257)&gt;=0,N(H257)&gt;=0,N(H257)&lt;=N(G257),N(E257)&lt;N(D257),N(F257)&lt;=N(D257)-N(E257)))</f>
        <v>0</v>
      </c>
    </row>
    <row r="258" customFormat="false" ht="15" hidden="false" customHeight="false" outlineLevel="0" collapsed="false">
      <c r="A258" s="11"/>
      <c r="B258" s="8"/>
      <c r="C258" s="8"/>
      <c r="D258" s="8"/>
      <c r="E258" s="8"/>
      <c r="F258" s="8"/>
      <c r="G258" s="8"/>
      <c r="H258" s="8"/>
      <c r="I258" s="12" t="str">
        <f aca="false">IF($T258,D258-N(E258),"")</f>
        <v/>
      </c>
      <c r="J258" s="12" t="str">
        <f aca="false">IF($T258,I258-N(F258),"")</f>
        <v/>
      </c>
      <c r="K258" s="13" t="str">
        <f aca="false">IF($C258="","",IF(SUMPRODUCT(--(Setup!$A$5:$A$24=$C258))&gt;0,INDEX(Setup!$B$5:$B$24,21-SUMPRODUCT(MAX((Setup!$A$5:$A$24=$C258)*(25-ROW(Setup!$A$5:$A$24))))),""))</f>
        <v/>
      </c>
      <c r="L258" s="13" t="str">
        <f aca="false">IF($T258,K258*G258/60,"")</f>
        <v/>
      </c>
      <c r="M258" s="12" t="str">
        <f aca="false">IF($T258,G258-N(H258),"")</f>
        <v/>
      </c>
      <c r="N258" s="14" t="str">
        <f aca="false">IF($T258,J258/I258,"")</f>
        <v/>
      </c>
      <c r="O258" s="14" t="str">
        <f aca="false">IF(AND($T258,N(J258)&gt;0),L258/J258,"")</f>
        <v/>
      </c>
      <c r="P258" s="14" t="str">
        <f aca="false">IF(AND($T258,N(G258)&gt;0),M258/G258,"")</f>
        <v/>
      </c>
      <c r="Q258" s="14" t="str">
        <f aca="false">IF($T258,S258/I258,"")</f>
        <v/>
      </c>
      <c r="R258" s="10" t="str">
        <f aca="false">IF($C258="","",IF(NOT(SUMPRODUCT(--(Setup!$A$5:$A$24=$C258))&gt;0),"Machine not in Setup",IF(OR(NOT(ISNUMBER(K258)),N(K258)&lt;=0),"Set an ideal cycle time in Setup",IF(NOT(ISNUMBER(A258)),"Enter a date",IF(OR(NOT(ISNUMBER(D258)),NOT(ISNUMBER(G258)),AND(E258&lt;&gt;"",NOT(ISNUMBER(E258))),AND(F258&lt;&gt;"",NOT(ISNUMBER(F258))),AND(H258&lt;&gt;"",NOT(ISNUMBER(H258)))),"Enter numbers: shift length and total parts are required",IF(OR(N(D258)&lt;=0,N(E258)&lt;0,N(F258)&lt;0,N(G258)&lt;0,N(H258)&lt;0),"Values must be 0 or more (shift length above 0)",IF(N(H258)&gt;N(G258),"Rejects &gt; total parts",IF(N(E258)&gt;=N(D258),"Planned stops &gt;= shift length",IF(N(F258)&gt;N(D258)-N(E258),"Downtime &gt; planned time",IF(AND(ISNUMBER(O258),O258&gt;1),"Check: performance above 100%","OK"))))))))))</f>
        <v/>
      </c>
      <c r="S258" s="13" t="str">
        <f aca="false">IF($T258,K258*M258/60,"")</f>
        <v/>
      </c>
      <c r="T258" s="15" t="b">
        <f aca="false">IF($C258="",FALSE(),AND(SUMPRODUCT(--(Setup!$A$5:$A$24=$C258))&gt;0,ISNUMBER(A258),ISNUMBER(K258),N(K258)&gt;0,ISNUMBER(D258),N(D258)&gt;0,ISNUMBER(G258),N(G258)&gt;=0,OR(E258="",ISNUMBER(E258)),OR(F258="",ISNUMBER(F258)),OR(H258="",ISNUMBER(H258)),N(E258)&gt;=0,N(F258)&gt;=0,N(H258)&gt;=0,N(H258)&lt;=N(G258),N(E258)&lt;N(D258),N(F258)&lt;=N(D258)-N(E258)))</f>
        <v>0</v>
      </c>
    </row>
    <row r="259" customFormat="false" ht="15" hidden="false" customHeight="false" outlineLevel="0" collapsed="false">
      <c r="A259" s="11"/>
      <c r="B259" s="8"/>
      <c r="C259" s="8"/>
      <c r="D259" s="8"/>
      <c r="E259" s="8"/>
      <c r="F259" s="8"/>
      <c r="G259" s="8"/>
      <c r="H259" s="8"/>
      <c r="I259" s="12" t="str">
        <f aca="false">IF($T259,D259-N(E259),"")</f>
        <v/>
      </c>
      <c r="J259" s="12" t="str">
        <f aca="false">IF($T259,I259-N(F259),"")</f>
        <v/>
      </c>
      <c r="K259" s="13" t="str">
        <f aca="false">IF($C259="","",IF(SUMPRODUCT(--(Setup!$A$5:$A$24=$C259))&gt;0,INDEX(Setup!$B$5:$B$24,21-SUMPRODUCT(MAX((Setup!$A$5:$A$24=$C259)*(25-ROW(Setup!$A$5:$A$24))))),""))</f>
        <v/>
      </c>
      <c r="L259" s="13" t="str">
        <f aca="false">IF($T259,K259*G259/60,"")</f>
        <v/>
      </c>
      <c r="M259" s="12" t="str">
        <f aca="false">IF($T259,G259-N(H259),"")</f>
        <v/>
      </c>
      <c r="N259" s="14" t="str">
        <f aca="false">IF($T259,J259/I259,"")</f>
        <v/>
      </c>
      <c r="O259" s="14" t="str">
        <f aca="false">IF(AND($T259,N(J259)&gt;0),L259/J259,"")</f>
        <v/>
      </c>
      <c r="P259" s="14" t="str">
        <f aca="false">IF(AND($T259,N(G259)&gt;0),M259/G259,"")</f>
        <v/>
      </c>
      <c r="Q259" s="14" t="str">
        <f aca="false">IF($T259,S259/I259,"")</f>
        <v/>
      </c>
      <c r="R259" s="10" t="str">
        <f aca="false">IF($C259="","",IF(NOT(SUMPRODUCT(--(Setup!$A$5:$A$24=$C259))&gt;0),"Machine not in Setup",IF(OR(NOT(ISNUMBER(K259)),N(K259)&lt;=0),"Set an ideal cycle time in Setup",IF(NOT(ISNUMBER(A259)),"Enter a date",IF(OR(NOT(ISNUMBER(D259)),NOT(ISNUMBER(G259)),AND(E259&lt;&gt;"",NOT(ISNUMBER(E259))),AND(F259&lt;&gt;"",NOT(ISNUMBER(F259))),AND(H259&lt;&gt;"",NOT(ISNUMBER(H259)))),"Enter numbers: shift length and total parts are required",IF(OR(N(D259)&lt;=0,N(E259)&lt;0,N(F259)&lt;0,N(G259)&lt;0,N(H259)&lt;0),"Values must be 0 or more (shift length above 0)",IF(N(H259)&gt;N(G259),"Rejects &gt; total parts",IF(N(E259)&gt;=N(D259),"Planned stops &gt;= shift length",IF(N(F259)&gt;N(D259)-N(E259),"Downtime &gt; planned time",IF(AND(ISNUMBER(O259),O259&gt;1),"Check: performance above 100%","OK"))))))))))</f>
        <v/>
      </c>
      <c r="S259" s="13" t="str">
        <f aca="false">IF($T259,K259*M259/60,"")</f>
        <v/>
      </c>
      <c r="T259" s="15" t="b">
        <f aca="false">IF($C259="",FALSE(),AND(SUMPRODUCT(--(Setup!$A$5:$A$24=$C259))&gt;0,ISNUMBER(A259),ISNUMBER(K259),N(K259)&gt;0,ISNUMBER(D259),N(D259)&gt;0,ISNUMBER(G259),N(G259)&gt;=0,OR(E259="",ISNUMBER(E259)),OR(F259="",ISNUMBER(F259)),OR(H259="",ISNUMBER(H259)),N(E259)&gt;=0,N(F259)&gt;=0,N(H259)&gt;=0,N(H259)&lt;=N(G259),N(E259)&lt;N(D259),N(F259)&lt;=N(D259)-N(E259)))</f>
        <v>0</v>
      </c>
    </row>
    <row r="260" customFormat="false" ht="15" hidden="false" customHeight="false" outlineLevel="0" collapsed="false">
      <c r="A260" s="11"/>
      <c r="B260" s="8"/>
      <c r="C260" s="8"/>
      <c r="D260" s="8"/>
      <c r="E260" s="8"/>
      <c r="F260" s="8"/>
      <c r="G260" s="8"/>
      <c r="H260" s="8"/>
      <c r="I260" s="12" t="str">
        <f aca="false">IF($T260,D260-N(E260),"")</f>
        <v/>
      </c>
      <c r="J260" s="12" t="str">
        <f aca="false">IF($T260,I260-N(F260),"")</f>
        <v/>
      </c>
      <c r="K260" s="13" t="str">
        <f aca="false">IF($C260="","",IF(SUMPRODUCT(--(Setup!$A$5:$A$24=$C260))&gt;0,INDEX(Setup!$B$5:$B$24,21-SUMPRODUCT(MAX((Setup!$A$5:$A$24=$C260)*(25-ROW(Setup!$A$5:$A$24))))),""))</f>
        <v/>
      </c>
      <c r="L260" s="13" t="str">
        <f aca="false">IF($T260,K260*G260/60,"")</f>
        <v/>
      </c>
      <c r="M260" s="12" t="str">
        <f aca="false">IF($T260,G260-N(H260),"")</f>
        <v/>
      </c>
      <c r="N260" s="14" t="str">
        <f aca="false">IF($T260,J260/I260,"")</f>
        <v/>
      </c>
      <c r="O260" s="14" t="str">
        <f aca="false">IF(AND($T260,N(J260)&gt;0),L260/J260,"")</f>
        <v/>
      </c>
      <c r="P260" s="14" t="str">
        <f aca="false">IF(AND($T260,N(G260)&gt;0),M260/G260,"")</f>
        <v/>
      </c>
      <c r="Q260" s="14" t="str">
        <f aca="false">IF($T260,S260/I260,"")</f>
        <v/>
      </c>
      <c r="R260" s="10" t="str">
        <f aca="false">IF($C260="","",IF(NOT(SUMPRODUCT(--(Setup!$A$5:$A$24=$C260))&gt;0),"Machine not in Setup",IF(OR(NOT(ISNUMBER(K260)),N(K260)&lt;=0),"Set an ideal cycle time in Setup",IF(NOT(ISNUMBER(A260)),"Enter a date",IF(OR(NOT(ISNUMBER(D260)),NOT(ISNUMBER(G260)),AND(E260&lt;&gt;"",NOT(ISNUMBER(E260))),AND(F260&lt;&gt;"",NOT(ISNUMBER(F260))),AND(H260&lt;&gt;"",NOT(ISNUMBER(H260)))),"Enter numbers: shift length and total parts are required",IF(OR(N(D260)&lt;=0,N(E260)&lt;0,N(F260)&lt;0,N(G260)&lt;0,N(H260)&lt;0),"Values must be 0 or more (shift length above 0)",IF(N(H260)&gt;N(G260),"Rejects &gt; total parts",IF(N(E260)&gt;=N(D260),"Planned stops &gt;= shift length",IF(N(F260)&gt;N(D260)-N(E260),"Downtime &gt; planned time",IF(AND(ISNUMBER(O260),O260&gt;1),"Check: performance above 100%","OK"))))))))))</f>
        <v/>
      </c>
      <c r="S260" s="13" t="str">
        <f aca="false">IF($T260,K260*M260/60,"")</f>
        <v/>
      </c>
      <c r="T260" s="15" t="b">
        <f aca="false">IF($C260="",FALSE(),AND(SUMPRODUCT(--(Setup!$A$5:$A$24=$C260))&gt;0,ISNUMBER(A260),ISNUMBER(K260),N(K260)&gt;0,ISNUMBER(D260),N(D260)&gt;0,ISNUMBER(G260),N(G260)&gt;=0,OR(E260="",ISNUMBER(E260)),OR(F260="",ISNUMBER(F260)),OR(H260="",ISNUMBER(H260)),N(E260)&gt;=0,N(F260)&gt;=0,N(H260)&gt;=0,N(H260)&lt;=N(G260),N(E260)&lt;N(D260),N(F260)&lt;=N(D260)-N(E260)))</f>
        <v>0</v>
      </c>
    </row>
    <row r="261" customFormat="false" ht="15" hidden="false" customHeight="false" outlineLevel="0" collapsed="false">
      <c r="A261" s="11"/>
      <c r="B261" s="8"/>
      <c r="C261" s="8"/>
      <c r="D261" s="8"/>
      <c r="E261" s="8"/>
      <c r="F261" s="8"/>
      <c r="G261" s="8"/>
      <c r="H261" s="8"/>
      <c r="I261" s="12" t="str">
        <f aca="false">IF($T261,D261-N(E261),"")</f>
        <v/>
      </c>
      <c r="J261" s="12" t="str">
        <f aca="false">IF($T261,I261-N(F261),"")</f>
        <v/>
      </c>
      <c r="K261" s="13" t="str">
        <f aca="false">IF($C261="","",IF(SUMPRODUCT(--(Setup!$A$5:$A$24=$C261))&gt;0,INDEX(Setup!$B$5:$B$24,21-SUMPRODUCT(MAX((Setup!$A$5:$A$24=$C261)*(25-ROW(Setup!$A$5:$A$24))))),""))</f>
        <v/>
      </c>
      <c r="L261" s="13" t="str">
        <f aca="false">IF($T261,K261*G261/60,"")</f>
        <v/>
      </c>
      <c r="M261" s="12" t="str">
        <f aca="false">IF($T261,G261-N(H261),"")</f>
        <v/>
      </c>
      <c r="N261" s="14" t="str">
        <f aca="false">IF($T261,J261/I261,"")</f>
        <v/>
      </c>
      <c r="O261" s="14" t="str">
        <f aca="false">IF(AND($T261,N(J261)&gt;0),L261/J261,"")</f>
        <v/>
      </c>
      <c r="P261" s="14" t="str">
        <f aca="false">IF(AND($T261,N(G261)&gt;0),M261/G261,"")</f>
        <v/>
      </c>
      <c r="Q261" s="14" t="str">
        <f aca="false">IF($T261,S261/I261,"")</f>
        <v/>
      </c>
      <c r="R261" s="10" t="str">
        <f aca="false">IF($C261="","",IF(NOT(SUMPRODUCT(--(Setup!$A$5:$A$24=$C261))&gt;0),"Machine not in Setup",IF(OR(NOT(ISNUMBER(K261)),N(K261)&lt;=0),"Set an ideal cycle time in Setup",IF(NOT(ISNUMBER(A261)),"Enter a date",IF(OR(NOT(ISNUMBER(D261)),NOT(ISNUMBER(G261)),AND(E261&lt;&gt;"",NOT(ISNUMBER(E261))),AND(F261&lt;&gt;"",NOT(ISNUMBER(F261))),AND(H261&lt;&gt;"",NOT(ISNUMBER(H261)))),"Enter numbers: shift length and total parts are required",IF(OR(N(D261)&lt;=0,N(E261)&lt;0,N(F261)&lt;0,N(G261)&lt;0,N(H261)&lt;0),"Values must be 0 or more (shift length above 0)",IF(N(H261)&gt;N(G261),"Rejects &gt; total parts",IF(N(E261)&gt;=N(D261),"Planned stops &gt;= shift length",IF(N(F261)&gt;N(D261)-N(E261),"Downtime &gt; planned time",IF(AND(ISNUMBER(O261),O261&gt;1),"Check: performance above 100%","OK"))))))))))</f>
        <v/>
      </c>
      <c r="S261" s="13" t="str">
        <f aca="false">IF($T261,K261*M261/60,"")</f>
        <v/>
      </c>
      <c r="T261" s="15" t="b">
        <f aca="false">IF($C261="",FALSE(),AND(SUMPRODUCT(--(Setup!$A$5:$A$24=$C261))&gt;0,ISNUMBER(A261),ISNUMBER(K261),N(K261)&gt;0,ISNUMBER(D261),N(D261)&gt;0,ISNUMBER(G261),N(G261)&gt;=0,OR(E261="",ISNUMBER(E261)),OR(F261="",ISNUMBER(F261)),OR(H261="",ISNUMBER(H261)),N(E261)&gt;=0,N(F261)&gt;=0,N(H261)&gt;=0,N(H261)&lt;=N(G261),N(E261)&lt;N(D261),N(F261)&lt;=N(D261)-N(E261)))</f>
        <v>0</v>
      </c>
    </row>
    <row r="262" customFormat="false" ht="15" hidden="false" customHeight="false" outlineLevel="0" collapsed="false">
      <c r="A262" s="11"/>
      <c r="B262" s="8"/>
      <c r="C262" s="8"/>
      <c r="D262" s="8"/>
      <c r="E262" s="8"/>
      <c r="F262" s="8"/>
      <c r="G262" s="8"/>
      <c r="H262" s="8"/>
      <c r="I262" s="12" t="str">
        <f aca="false">IF($T262,D262-N(E262),"")</f>
        <v/>
      </c>
      <c r="J262" s="12" t="str">
        <f aca="false">IF($T262,I262-N(F262),"")</f>
        <v/>
      </c>
      <c r="K262" s="13" t="str">
        <f aca="false">IF($C262="","",IF(SUMPRODUCT(--(Setup!$A$5:$A$24=$C262))&gt;0,INDEX(Setup!$B$5:$B$24,21-SUMPRODUCT(MAX((Setup!$A$5:$A$24=$C262)*(25-ROW(Setup!$A$5:$A$24))))),""))</f>
        <v/>
      </c>
      <c r="L262" s="13" t="str">
        <f aca="false">IF($T262,K262*G262/60,"")</f>
        <v/>
      </c>
      <c r="M262" s="12" t="str">
        <f aca="false">IF($T262,G262-N(H262),"")</f>
        <v/>
      </c>
      <c r="N262" s="14" t="str">
        <f aca="false">IF($T262,J262/I262,"")</f>
        <v/>
      </c>
      <c r="O262" s="14" t="str">
        <f aca="false">IF(AND($T262,N(J262)&gt;0),L262/J262,"")</f>
        <v/>
      </c>
      <c r="P262" s="14" t="str">
        <f aca="false">IF(AND($T262,N(G262)&gt;0),M262/G262,"")</f>
        <v/>
      </c>
      <c r="Q262" s="14" t="str">
        <f aca="false">IF($T262,S262/I262,"")</f>
        <v/>
      </c>
      <c r="R262" s="10" t="str">
        <f aca="false">IF($C262="","",IF(NOT(SUMPRODUCT(--(Setup!$A$5:$A$24=$C262))&gt;0),"Machine not in Setup",IF(OR(NOT(ISNUMBER(K262)),N(K262)&lt;=0),"Set an ideal cycle time in Setup",IF(NOT(ISNUMBER(A262)),"Enter a date",IF(OR(NOT(ISNUMBER(D262)),NOT(ISNUMBER(G262)),AND(E262&lt;&gt;"",NOT(ISNUMBER(E262))),AND(F262&lt;&gt;"",NOT(ISNUMBER(F262))),AND(H262&lt;&gt;"",NOT(ISNUMBER(H262)))),"Enter numbers: shift length and total parts are required",IF(OR(N(D262)&lt;=0,N(E262)&lt;0,N(F262)&lt;0,N(G262)&lt;0,N(H262)&lt;0),"Values must be 0 or more (shift length above 0)",IF(N(H262)&gt;N(G262),"Rejects &gt; total parts",IF(N(E262)&gt;=N(D262),"Planned stops &gt;= shift length",IF(N(F262)&gt;N(D262)-N(E262),"Downtime &gt; planned time",IF(AND(ISNUMBER(O262),O262&gt;1),"Check: performance above 100%","OK"))))))))))</f>
        <v/>
      </c>
      <c r="S262" s="13" t="str">
        <f aca="false">IF($T262,K262*M262/60,"")</f>
        <v/>
      </c>
      <c r="T262" s="15" t="b">
        <f aca="false">IF($C262="",FALSE(),AND(SUMPRODUCT(--(Setup!$A$5:$A$24=$C262))&gt;0,ISNUMBER(A262),ISNUMBER(K262),N(K262)&gt;0,ISNUMBER(D262),N(D262)&gt;0,ISNUMBER(G262),N(G262)&gt;=0,OR(E262="",ISNUMBER(E262)),OR(F262="",ISNUMBER(F262)),OR(H262="",ISNUMBER(H262)),N(E262)&gt;=0,N(F262)&gt;=0,N(H262)&gt;=0,N(H262)&lt;=N(G262),N(E262)&lt;N(D262),N(F262)&lt;=N(D262)-N(E262)))</f>
        <v>0</v>
      </c>
    </row>
    <row r="263" customFormat="false" ht="15" hidden="false" customHeight="false" outlineLevel="0" collapsed="false">
      <c r="A263" s="11"/>
      <c r="B263" s="8"/>
      <c r="C263" s="8"/>
      <c r="D263" s="8"/>
      <c r="E263" s="8"/>
      <c r="F263" s="8"/>
      <c r="G263" s="8"/>
      <c r="H263" s="8"/>
      <c r="I263" s="12" t="str">
        <f aca="false">IF($T263,D263-N(E263),"")</f>
        <v/>
      </c>
      <c r="J263" s="12" t="str">
        <f aca="false">IF($T263,I263-N(F263),"")</f>
        <v/>
      </c>
      <c r="K263" s="13" t="str">
        <f aca="false">IF($C263="","",IF(SUMPRODUCT(--(Setup!$A$5:$A$24=$C263))&gt;0,INDEX(Setup!$B$5:$B$24,21-SUMPRODUCT(MAX((Setup!$A$5:$A$24=$C263)*(25-ROW(Setup!$A$5:$A$24))))),""))</f>
        <v/>
      </c>
      <c r="L263" s="13" t="str">
        <f aca="false">IF($T263,K263*G263/60,"")</f>
        <v/>
      </c>
      <c r="M263" s="12" t="str">
        <f aca="false">IF($T263,G263-N(H263),"")</f>
        <v/>
      </c>
      <c r="N263" s="14" t="str">
        <f aca="false">IF($T263,J263/I263,"")</f>
        <v/>
      </c>
      <c r="O263" s="14" t="str">
        <f aca="false">IF(AND($T263,N(J263)&gt;0),L263/J263,"")</f>
        <v/>
      </c>
      <c r="P263" s="14" t="str">
        <f aca="false">IF(AND($T263,N(G263)&gt;0),M263/G263,"")</f>
        <v/>
      </c>
      <c r="Q263" s="14" t="str">
        <f aca="false">IF($T263,S263/I263,"")</f>
        <v/>
      </c>
      <c r="R263" s="10" t="str">
        <f aca="false">IF($C263="","",IF(NOT(SUMPRODUCT(--(Setup!$A$5:$A$24=$C263))&gt;0),"Machine not in Setup",IF(OR(NOT(ISNUMBER(K263)),N(K263)&lt;=0),"Set an ideal cycle time in Setup",IF(NOT(ISNUMBER(A263)),"Enter a date",IF(OR(NOT(ISNUMBER(D263)),NOT(ISNUMBER(G263)),AND(E263&lt;&gt;"",NOT(ISNUMBER(E263))),AND(F263&lt;&gt;"",NOT(ISNUMBER(F263))),AND(H263&lt;&gt;"",NOT(ISNUMBER(H263)))),"Enter numbers: shift length and total parts are required",IF(OR(N(D263)&lt;=0,N(E263)&lt;0,N(F263)&lt;0,N(G263)&lt;0,N(H263)&lt;0),"Values must be 0 or more (shift length above 0)",IF(N(H263)&gt;N(G263),"Rejects &gt; total parts",IF(N(E263)&gt;=N(D263),"Planned stops &gt;= shift length",IF(N(F263)&gt;N(D263)-N(E263),"Downtime &gt; planned time",IF(AND(ISNUMBER(O263),O263&gt;1),"Check: performance above 100%","OK"))))))))))</f>
        <v/>
      </c>
      <c r="S263" s="13" t="str">
        <f aca="false">IF($T263,K263*M263/60,"")</f>
        <v/>
      </c>
      <c r="T263" s="15" t="b">
        <f aca="false">IF($C263="",FALSE(),AND(SUMPRODUCT(--(Setup!$A$5:$A$24=$C263))&gt;0,ISNUMBER(A263),ISNUMBER(K263),N(K263)&gt;0,ISNUMBER(D263),N(D263)&gt;0,ISNUMBER(G263),N(G263)&gt;=0,OR(E263="",ISNUMBER(E263)),OR(F263="",ISNUMBER(F263)),OR(H263="",ISNUMBER(H263)),N(E263)&gt;=0,N(F263)&gt;=0,N(H263)&gt;=0,N(H263)&lt;=N(G263),N(E263)&lt;N(D263),N(F263)&lt;=N(D263)-N(E263)))</f>
        <v>0</v>
      </c>
    </row>
    <row r="264" customFormat="false" ht="15" hidden="false" customHeight="false" outlineLevel="0" collapsed="false">
      <c r="A264" s="11"/>
      <c r="B264" s="8"/>
      <c r="C264" s="8"/>
      <c r="D264" s="8"/>
      <c r="E264" s="8"/>
      <c r="F264" s="8"/>
      <c r="G264" s="8"/>
      <c r="H264" s="8"/>
      <c r="I264" s="12" t="str">
        <f aca="false">IF($T264,D264-N(E264),"")</f>
        <v/>
      </c>
      <c r="J264" s="12" t="str">
        <f aca="false">IF($T264,I264-N(F264),"")</f>
        <v/>
      </c>
      <c r="K264" s="13" t="str">
        <f aca="false">IF($C264="","",IF(SUMPRODUCT(--(Setup!$A$5:$A$24=$C264))&gt;0,INDEX(Setup!$B$5:$B$24,21-SUMPRODUCT(MAX((Setup!$A$5:$A$24=$C264)*(25-ROW(Setup!$A$5:$A$24))))),""))</f>
        <v/>
      </c>
      <c r="L264" s="13" t="str">
        <f aca="false">IF($T264,K264*G264/60,"")</f>
        <v/>
      </c>
      <c r="M264" s="12" t="str">
        <f aca="false">IF($T264,G264-N(H264),"")</f>
        <v/>
      </c>
      <c r="N264" s="14" t="str">
        <f aca="false">IF($T264,J264/I264,"")</f>
        <v/>
      </c>
      <c r="O264" s="14" t="str">
        <f aca="false">IF(AND($T264,N(J264)&gt;0),L264/J264,"")</f>
        <v/>
      </c>
      <c r="P264" s="14" t="str">
        <f aca="false">IF(AND($T264,N(G264)&gt;0),M264/G264,"")</f>
        <v/>
      </c>
      <c r="Q264" s="14" t="str">
        <f aca="false">IF($T264,S264/I264,"")</f>
        <v/>
      </c>
      <c r="R264" s="10" t="str">
        <f aca="false">IF($C264="","",IF(NOT(SUMPRODUCT(--(Setup!$A$5:$A$24=$C264))&gt;0),"Machine not in Setup",IF(OR(NOT(ISNUMBER(K264)),N(K264)&lt;=0),"Set an ideal cycle time in Setup",IF(NOT(ISNUMBER(A264)),"Enter a date",IF(OR(NOT(ISNUMBER(D264)),NOT(ISNUMBER(G264)),AND(E264&lt;&gt;"",NOT(ISNUMBER(E264))),AND(F264&lt;&gt;"",NOT(ISNUMBER(F264))),AND(H264&lt;&gt;"",NOT(ISNUMBER(H264)))),"Enter numbers: shift length and total parts are required",IF(OR(N(D264)&lt;=0,N(E264)&lt;0,N(F264)&lt;0,N(G264)&lt;0,N(H264)&lt;0),"Values must be 0 or more (shift length above 0)",IF(N(H264)&gt;N(G264),"Rejects &gt; total parts",IF(N(E264)&gt;=N(D264),"Planned stops &gt;= shift length",IF(N(F264)&gt;N(D264)-N(E264),"Downtime &gt; planned time",IF(AND(ISNUMBER(O264),O264&gt;1),"Check: performance above 100%","OK"))))))))))</f>
        <v/>
      </c>
      <c r="S264" s="13" t="str">
        <f aca="false">IF($T264,K264*M264/60,"")</f>
        <v/>
      </c>
      <c r="T264" s="15" t="b">
        <f aca="false">IF($C264="",FALSE(),AND(SUMPRODUCT(--(Setup!$A$5:$A$24=$C264))&gt;0,ISNUMBER(A264),ISNUMBER(K264),N(K264)&gt;0,ISNUMBER(D264),N(D264)&gt;0,ISNUMBER(G264),N(G264)&gt;=0,OR(E264="",ISNUMBER(E264)),OR(F264="",ISNUMBER(F264)),OR(H264="",ISNUMBER(H264)),N(E264)&gt;=0,N(F264)&gt;=0,N(H264)&gt;=0,N(H264)&lt;=N(G264),N(E264)&lt;N(D264),N(F264)&lt;=N(D264)-N(E264)))</f>
        <v>0</v>
      </c>
    </row>
    <row r="265" customFormat="false" ht="15" hidden="false" customHeight="false" outlineLevel="0" collapsed="false">
      <c r="A265" s="11"/>
      <c r="B265" s="8"/>
      <c r="C265" s="8"/>
      <c r="D265" s="8"/>
      <c r="E265" s="8"/>
      <c r="F265" s="8"/>
      <c r="G265" s="8"/>
      <c r="H265" s="8"/>
      <c r="I265" s="12" t="str">
        <f aca="false">IF($T265,D265-N(E265),"")</f>
        <v/>
      </c>
      <c r="J265" s="12" t="str">
        <f aca="false">IF($T265,I265-N(F265),"")</f>
        <v/>
      </c>
      <c r="K265" s="13" t="str">
        <f aca="false">IF($C265="","",IF(SUMPRODUCT(--(Setup!$A$5:$A$24=$C265))&gt;0,INDEX(Setup!$B$5:$B$24,21-SUMPRODUCT(MAX((Setup!$A$5:$A$24=$C265)*(25-ROW(Setup!$A$5:$A$24))))),""))</f>
        <v/>
      </c>
      <c r="L265" s="13" t="str">
        <f aca="false">IF($T265,K265*G265/60,"")</f>
        <v/>
      </c>
      <c r="M265" s="12" t="str">
        <f aca="false">IF($T265,G265-N(H265),"")</f>
        <v/>
      </c>
      <c r="N265" s="14" t="str">
        <f aca="false">IF($T265,J265/I265,"")</f>
        <v/>
      </c>
      <c r="O265" s="14" t="str">
        <f aca="false">IF(AND($T265,N(J265)&gt;0),L265/J265,"")</f>
        <v/>
      </c>
      <c r="P265" s="14" t="str">
        <f aca="false">IF(AND($T265,N(G265)&gt;0),M265/G265,"")</f>
        <v/>
      </c>
      <c r="Q265" s="14" t="str">
        <f aca="false">IF($T265,S265/I265,"")</f>
        <v/>
      </c>
      <c r="R265" s="10" t="str">
        <f aca="false">IF($C265="","",IF(NOT(SUMPRODUCT(--(Setup!$A$5:$A$24=$C265))&gt;0),"Machine not in Setup",IF(OR(NOT(ISNUMBER(K265)),N(K265)&lt;=0),"Set an ideal cycle time in Setup",IF(NOT(ISNUMBER(A265)),"Enter a date",IF(OR(NOT(ISNUMBER(D265)),NOT(ISNUMBER(G265)),AND(E265&lt;&gt;"",NOT(ISNUMBER(E265))),AND(F265&lt;&gt;"",NOT(ISNUMBER(F265))),AND(H265&lt;&gt;"",NOT(ISNUMBER(H265)))),"Enter numbers: shift length and total parts are required",IF(OR(N(D265)&lt;=0,N(E265)&lt;0,N(F265)&lt;0,N(G265)&lt;0,N(H265)&lt;0),"Values must be 0 or more (shift length above 0)",IF(N(H265)&gt;N(G265),"Rejects &gt; total parts",IF(N(E265)&gt;=N(D265),"Planned stops &gt;= shift length",IF(N(F265)&gt;N(D265)-N(E265),"Downtime &gt; planned time",IF(AND(ISNUMBER(O265),O265&gt;1),"Check: performance above 100%","OK"))))))))))</f>
        <v/>
      </c>
      <c r="S265" s="13" t="str">
        <f aca="false">IF($T265,K265*M265/60,"")</f>
        <v/>
      </c>
      <c r="T265" s="15" t="b">
        <f aca="false">IF($C265="",FALSE(),AND(SUMPRODUCT(--(Setup!$A$5:$A$24=$C265))&gt;0,ISNUMBER(A265),ISNUMBER(K265),N(K265)&gt;0,ISNUMBER(D265),N(D265)&gt;0,ISNUMBER(G265),N(G265)&gt;=0,OR(E265="",ISNUMBER(E265)),OR(F265="",ISNUMBER(F265)),OR(H265="",ISNUMBER(H265)),N(E265)&gt;=0,N(F265)&gt;=0,N(H265)&gt;=0,N(H265)&lt;=N(G265),N(E265)&lt;N(D265),N(F265)&lt;=N(D265)-N(E265)))</f>
        <v>0</v>
      </c>
    </row>
    <row r="266" customFormat="false" ht="15" hidden="false" customHeight="false" outlineLevel="0" collapsed="false">
      <c r="A266" s="11"/>
      <c r="B266" s="8"/>
      <c r="C266" s="8"/>
      <c r="D266" s="8"/>
      <c r="E266" s="8"/>
      <c r="F266" s="8"/>
      <c r="G266" s="8"/>
      <c r="H266" s="8"/>
      <c r="I266" s="12" t="str">
        <f aca="false">IF($T266,D266-N(E266),"")</f>
        <v/>
      </c>
      <c r="J266" s="12" t="str">
        <f aca="false">IF($T266,I266-N(F266),"")</f>
        <v/>
      </c>
      <c r="K266" s="13" t="str">
        <f aca="false">IF($C266="","",IF(SUMPRODUCT(--(Setup!$A$5:$A$24=$C266))&gt;0,INDEX(Setup!$B$5:$B$24,21-SUMPRODUCT(MAX((Setup!$A$5:$A$24=$C266)*(25-ROW(Setup!$A$5:$A$24))))),""))</f>
        <v/>
      </c>
      <c r="L266" s="13" t="str">
        <f aca="false">IF($T266,K266*G266/60,"")</f>
        <v/>
      </c>
      <c r="M266" s="12" t="str">
        <f aca="false">IF($T266,G266-N(H266),"")</f>
        <v/>
      </c>
      <c r="N266" s="14" t="str">
        <f aca="false">IF($T266,J266/I266,"")</f>
        <v/>
      </c>
      <c r="O266" s="14" t="str">
        <f aca="false">IF(AND($T266,N(J266)&gt;0),L266/J266,"")</f>
        <v/>
      </c>
      <c r="P266" s="14" t="str">
        <f aca="false">IF(AND($T266,N(G266)&gt;0),M266/G266,"")</f>
        <v/>
      </c>
      <c r="Q266" s="14" t="str">
        <f aca="false">IF($T266,S266/I266,"")</f>
        <v/>
      </c>
      <c r="R266" s="10" t="str">
        <f aca="false">IF($C266="","",IF(NOT(SUMPRODUCT(--(Setup!$A$5:$A$24=$C266))&gt;0),"Machine not in Setup",IF(OR(NOT(ISNUMBER(K266)),N(K266)&lt;=0),"Set an ideal cycle time in Setup",IF(NOT(ISNUMBER(A266)),"Enter a date",IF(OR(NOT(ISNUMBER(D266)),NOT(ISNUMBER(G266)),AND(E266&lt;&gt;"",NOT(ISNUMBER(E266))),AND(F266&lt;&gt;"",NOT(ISNUMBER(F266))),AND(H266&lt;&gt;"",NOT(ISNUMBER(H266)))),"Enter numbers: shift length and total parts are required",IF(OR(N(D266)&lt;=0,N(E266)&lt;0,N(F266)&lt;0,N(G266)&lt;0,N(H266)&lt;0),"Values must be 0 or more (shift length above 0)",IF(N(H266)&gt;N(G266),"Rejects &gt; total parts",IF(N(E266)&gt;=N(D266),"Planned stops &gt;= shift length",IF(N(F266)&gt;N(D266)-N(E266),"Downtime &gt; planned time",IF(AND(ISNUMBER(O266),O266&gt;1),"Check: performance above 100%","OK"))))))))))</f>
        <v/>
      </c>
      <c r="S266" s="13" t="str">
        <f aca="false">IF($T266,K266*M266/60,"")</f>
        <v/>
      </c>
      <c r="T266" s="15" t="b">
        <f aca="false">IF($C266="",FALSE(),AND(SUMPRODUCT(--(Setup!$A$5:$A$24=$C266))&gt;0,ISNUMBER(A266),ISNUMBER(K266),N(K266)&gt;0,ISNUMBER(D266),N(D266)&gt;0,ISNUMBER(G266),N(G266)&gt;=0,OR(E266="",ISNUMBER(E266)),OR(F266="",ISNUMBER(F266)),OR(H266="",ISNUMBER(H266)),N(E266)&gt;=0,N(F266)&gt;=0,N(H266)&gt;=0,N(H266)&lt;=N(G266),N(E266)&lt;N(D266),N(F266)&lt;=N(D266)-N(E266)))</f>
        <v>0</v>
      </c>
    </row>
    <row r="267" customFormat="false" ht="15" hidden="false" customHeight="false" outlineLevel="0" collapsed="false">
      <c r="A267" s="11"/>
      <c r="B267" s="8"/>
      <c r="C267" s="8"/>
      <c r="D267" s="8"/>
      <c r="E267" s="8"/>
      <c r="F267" s="8"/>
      <c r="G267" s="8"/>
      <c r="H267" s="8"/>
      <c r="I267" s="12" t="str">
        <f aca="false">IF($T267,D267-N(E267),"")</f>
        <v/>
      </c>
      <c r="J267" s="12" t="str">
        <f aca="false">IF($T267,I267-N(F267),"")</f>
        <v/>
      </c>
      <c r="K267" s="13" t="str">
        <f aca="false">IF($C267="","",IF(SUMPRODUCT(--(Setup!$A$5:$A$24=$C267))&gt;0,INDEX(Setup!$B$5:$B$24,21-SUMPRODUCT(MAX((Setup!$A$5:$A$24=$C267)*(25-ROW(Setup!$A$5:$A$24))))),""))</f>
        <v/>
      </c>
      <c r="L267" s="13" t="str">
        <f aca="false">IF($T267,K267*G267/60,"")</f>
        <v/>
      </c>
      <c r="M267" s="12" t="str">
        <f aca="false">IF($T267,G267-N(H267),"")</f>
        <v/>
      </c>
      <c r="N267" s="14" t="str">
        <f aca="false">IF($T267,J267/I267,"")</f>
        <v/>
      </c>
      <c r="O267" s="14" t="str">
        <f aca="false">IF(AND($T267,N(J267)&gt;0),L267/J267,"")</f>
        <v/>
      </c>
      <c r="P267" s="14" t="str">
        <f aca="false">IF(AND($T267,N(G267)&gt;0),M267/G267,"")</f>
        <v/>
      </c>
      <c r="Q267" s="14" t="str">
        <f aca="false">IF($T267,S267/I267,"")</f>
        <v/>
      </c>
      <c r="R267" s="10" t="str">
        <f aca="false">IF($C267="","",IF(NOT(SUMPRODUCT(--(Setup!$A$5:$A$24=$C267))&gt;0),"Machine not in Setup",IF(OR(NOT(ISNUMBER(K267)),N(K267)&lt;=0),"Set an ideal cycle time in Setup",IF(NOT(ISNUMBER(A267)),"Enter a date",IF(OR(NOT(ISNUMBER(D267)),NOT(ISNUMBER(G267)),AND(E267&lt;&gt;"",NOT(ISNUMBER(E267))),AND(F267&lt;&gt;"",NOT(ISNUMBER(F267))),AND(H267&lt;&gt;"",NOT(ISNUMBER(H267)))),"Enter numbers: shift length and total parts are required",IF(OR(N(D267)&lt;=0,N(E267)&lt;0,N(F267)&lt;0,N(G267)&lt;0,N(H267)&lt;0),"Values must be 0 or more (shift length above 0)",IF(N(H267)&gt;N(G267),"Rejects &gt; total parts",IF(N(E267)&gt;=N(D267),"Planned stops &gt;= shift length",IF(N(F267)&gt;N(D267)-N(E267),"Downtime &gt; planned time",IF(AND(ISNUMBER(O267),O267&gt;1),"Check: performance above 100%","OK"))))))))))</f>
        <v/>
      </c>
      <c r="S267" s="13" t="str">
        <f aca="false">IF($T267,K267*M267/60,"")</f>
        <v/>
      </c>
      <c r="T267" s="15" t="b">
        <f aca="false">IF($C267="",FALSE(),AND(SUMPRODUCT(--(Setup!$A$5:$A$24=$C267))&gt;0,ISNUMBER(A267),ISNUMBER(K267),N(K267)&gt;0,ISNUMBER(D267),N(D267)&gt;0,ISNUMBER(G267),N(G267)&gt;=0,OR(E267="",ISNUMBER(E267)),OR(F267="",ISNUMBER(F267)),OR(H267="",ISNUMBER(H267)),N(E267)&gt;=0,N(F267)&gt;=0,N(H267)&gt;=0,N(H267)&lt;=N(G267),N(E267)&lt;N(D267),N(F267)&lt;=N(D267)-N(E267)))</f>
        <v>0</v>
      </c>
    </row>
    <row r="268" customFormat="false" ht="15" hidden="false" customHeight="false" outlineLevel="0" collapsed="false">
      <c r="A268" s="11"/>
      <c r="B268" s="8"/>
      <c r="C268" s="8"/>
      <c r="D268" s="8"/>
      <c r="E268" s="8"/>
      <c r="F268" s="8"/>
      <c r="G268" s="8"/>
      <c r="H268" s="8"/>
      <c r="I268" s="12" t="str">
        <f aca="false">IF($T268,D268-N(E268),"")</f>
        <v/>
      </c>
      <c r="J268" s="12" t="str">
        <f aca="false">IF($T268,I268-N(F268),"")</f>
        <v/>
      </c>
      <c r="K268" s="13" t="str">
        <f aca="false">IF($C268="","",IF(SUMPRODUCT(--(Setup!$A$5:$A$24=$C268))&gt;0,INDEX(Setup!$B$5:$B$24,21-SUMPRODUCT(MAX((Setup!$A$5:$A$24=$C268)*(25-ROW(Setup!$A$5:$A$24))))),""))</f>
        <v/>
      </c>
      <c r="L268" s="13" t="str">
        <f aca="false">IF($T268,K268*G268/60,"")</f>
        <v/>
      </c>
      <c r="M268" s="12" t="str">
        <f aca="false">IF($T268,G268-N(H268),"")</f>
        <v/>
      </c>
      <c r="N268" s="14" t="str">
        <f aca="false">IF($T268,J268/I268,"")</f>
        <v/>
      </c>
      <c r="O268" s="14" t="str">
        <f aca="false">IF(AND($T268,N(J268)&gt;0),L268/J268,"")</f>
        <v/>
      </c>
      <c r="P268" s="14" t="str">
        <f aca="false">IF(AND($T268,N(G268)&gt;0),M268/G268,"")</f>
        <v/>
      </c>
      <c r="Q268" s="14" t="str">
        <f aca="false">IF($T268,S268/I268,"")</f>
        <v/>
      </c>
      <c r="R268" s="10" t="str">
        <f aca="false">IF($C268="","",IF(NOT(SUMPRODUCT(--(Setup!$A$5:$A$24=$C268))&gt;0),"Machine not in Setup",IF(OR(NOT(ISNUMBER(K268)),N(K268)&lt;=0),"Set an ideal cycle time in Setup",IF(NOT(ISNUMBER(A268)),"Enter a date",IF(OR(NOT(ISNUMBER(D268)),NOT(ISNUMBER(G268)),AND(E268&lt;&gt;"",NOT(ISNUMBER(E268))),AND(F268&lt;&gt;"",NOT(ISNUMBER(F268))),AND(H268&lt;&gt;"",NOT(ISNUMBER(H268)))),"Enter numbers: shift length and total parts are required",IF(OR(N(D268)&lt;=0,N(E268)&lt;0,N(F268)&lt;0,N(G268)&lt;0,N(H268)&lt;0),"Values must be 0 or more (shift length above 0)",IF(N(H268)&gt;N(G268),"Rejects &gt; total parts",IF(N(E268)&gt;=N(D268),"Planned stops &gt;= shift length",IF(N(F268)&gt;N(D268)-N(E268),"Downtime &gt; planned time",IF(AND(ISNUMBER(O268),O268&gt;1),"Check: performance above 100%","OK"))))))))))</f>
        <v/>
      </c>
      <c r="S268" s="13" t="str">
        <f aca="false">IF($T268,K268*M268/60,"")</f>
        <v/>
      </c>
      <c r="T268" s="15" t="b">
        <f aca="false">IF($C268="",FALSE(),AND(SUMPRODUCT(--(Setup!$A$5:$A$24=$C268))&gt;0,ISNUMBER(A268),ISNUMBER(K268),N(K268)&gt;0,ISNUMBER(D268),N(D268)&gt;0,ISNUMBER(G268),N(G268)&gt;=0,OR(E268="",ISNUMBER(E268)),OR(F268="",ISNUMBER(F268)),OR(H268="",ISNUMBER(H268)),N(E268)&gt;=0,N(F268)&gt;=0,N(H268)&gt;=0,N(H268)&lt;=N(G268),N(E268)&lt;N(D268),N(F268)&lt;=N(D268)-N(E268)))</f>
        <v>0</v>
      </c>
    </row>
    <row r="269" customFormat="false" ht="15" hidden="false" customHeight="false" outlineLevel="0" collapsed="false">
      <c r="A269" s="11"/>
      <c r="B269" s="8"/>
      <c r="C269" s="8"/>
      <c r="D269" s="8"/>
      <c r="E269" s="8"/>
      <c r="F269" s="8"/>
      <c r="G269" s="8"/>
      <c r="H269" s="8"/>
      <c r="I269" s="12" t="str">
        <f aca="false">IF($T269,D269-N(E269),"")</f>
        <v/>
      </c>
      <c r="J269" s="12" t="str">
        <f aca="false">IF($T269,I269-N(F269),"")</f>
        <v/>
      </c>
      <c r="K269" s="13" t="str">
        <f aca="false">IF($C269="","",IF(SUMPRODUCT(--(Setup!$A$5:$A$24=$C269))&gt;0,INDEX(Setup!$B$5:$B$24,21-SUMPRODUCT(MAX((Setup!$A$5:$A$24=$C269)*(25-ROW(Setup!$A$5:$A$24))))),""))</f>
        <v/>
      </c>
      <c r="L269" s="13" t="str">
        <f aca="false">IF($T269,K269*G269/60,"")</f>
        <v/>
      </c>
      <c r="M269" s="12" t="str">
        <f aca="false">IF($T269,G269-N(H269),"")</f>
        <v/>
      </c>
      <c r="N269" s="14" t="str">
        <f aca="false">IF($T269,J269/I269,"")</f>
        <v/>
      </c>
      <c r="O269" s="14" t="str">
        <f aca="false">IF(AND($T269,N(J269)&gt;0),L269/J269,"")</f>
        <v/>
      </c>
      <c r="P269" s="14" t="str">
        <f aca="false">IF(AND($T269,N(G269)&gt;0),M269/G269,"")</f>
        <v/>
      </c>
      <c r="Q269" s="14" t="str">
        <f aca="false">IF($T269,S269/I269,"")</f>
        <v/>
      </c>
      <c r="R269" s="10" t="str">
        <f aca="false">IF($C269="","",IF(NOT(SUMPRODUCT(--(Setup!$A$5:$A$24=$C269))&gt;0),"Machine not in Setup",IF(OR(NOT(ISNUMBER(K269)),N(K269)&lt;=0),"Set an ideal cycle time in Setup",IF(NOT(ISNUMBER(A269)),"Enter a date",IF(OR(NOT(ISNUMBER(D269)),NOT(ISNUMBER(G269)),AND(E269&lt;&gt;"",NOT(ISNUMBER(E269))),AND(F269&lt;&gt;"",NOT(ISNUMBER(F269))),AND(H269&lt;&gt;"",NOT(ISNUMBER(H269)))),"Enter numbers: shift length and total parts are required",IF(OR(N(D269)&lt;=0,N(E269)&lt;0,N(F269)&lt;0,N(G269)&lt;0,N(H269)&lt;0),"Values must be 0 or more (shift length above 0)",IF(N(H269)&gt;N(G269),"Rejects &gt; total parts",IF(N(E269)&gt;=N(D269),"Planned stops &gt;= shift length",IF(N(F269)&gt;N(D269)-N(E269),"Downtime &gt; planned time",IF(AND(ISNUMBER(O269),O269&gt;1),"Check: performance above 100%","OK"))))))))))</f>
        <v/>
      </c>
      <c r="S269" s="13" t="str">
        <f aca="false">IF($T269,K269*M269/60,"")</f>
        <v/>
      </c>
      <c r="T269" s="15" t="b">
        <f aca="false">IF($C269="",FALSE(),AND(SUMPRODUCT(--(Setup!$A$5:$A$24=$C269))&gt;0,ISNUMBER(A269),ISNUMBER(K269),N(K269)&gt;0,ISNUMBER(D269),N(D269)&gt;0,ISNUMBER(G269),N(G269)&gt;=0,OR(E269="",ISNUMBER(E269)),OR(F269="",ISNUMBER(F269)),OR(H269="",ISNUMBER(H269)),N(E269)&gt;=0,N(F269)&gt;=0,N(H269)&gt;=0,N(H269)&lt;=N(G269),N(E269)&lt;N(D269),N(F269)&lt;=N(D269)-N(E269)))</f>
        <v>0</v>
      </c>
    </row>
    <row r="270" customFormat="false" ht="15" hidden="false" customHeight="false" outlineLevel="0" collapsed="false">
      <c r="A270" s="11"/>
      <c r="B270" s="8"/>
      <c r="C270" s="8"/>
      <c r="D270" s="8"/>
      <c r="E270" s="8"/>
      <c r="F270" s="8"/>
      <c r="G270" s="8"/>
      <c r="H270" s="8"/>
      <c r="I270" s="12" t="str">
        <f aca="false">IF($T270,D270-N(E270),"")</f>
        <v/>
      </c>
      <c r="J270" s="12" t="str">
        <f aca="false">IF($T270,I270-N(F270),"")</f>
        <v/>
      </c>
      <c r="K270" s="13" t="str">
        <f aca="false">IF($C270="","",IF(SUMPRODUCT(--(Setup!$A$5:$A$24=$C270))&gt;0,INDEX(Setup!$B$5:$B$24,21-SUMPRODUCT(MAX((Setup!$A$5:$A$24=$C270)*(25-ROW(Setup!$A$5:$A$24))))),""))</f>
        <v/>
      </c>
      <c r="L270" s="13" t="str">
        <f aca="false">IF($T270,K270*G270/60,"")</f>
        <v/>
      </c>
      <c r="M270" s="12" t="str">
        <f aca="false">IF($T270,G270-N(H270),"")</f>
        <v/>
      </c>
      <c r="N270" s="14" t="str">
        <f aca="false">IF($T270,J270/I270,"")</f>
        <v/>
      </c>
      <c r="O270" s="14" t="str">
        <f aca="false">IF(AND($T270,N(J270)&gt;0),L270/J270,"")</f>
        <v/>
      </c>
      <c r="P270" s="14" t="str">
        <f aca="false">IF(AND($T270,N(G270)&gt;0),M270/G270,"")</f>
        <v/>
      </c>
      <c r="Q270" s="14" t="str">
        <f aca="false">IF($T270,S270/I270,"")</f>
        <v/>
      </c>
      <c r="R270" s="10" t="str">
        <f aca="false">IF($C270="","",IF(NOT(SUMPRODUCT(--(Setup!$A$5:$A$24=$C270))&gt;0),"Machine not in Setup",IF(OR(NOT(ISNUMBER(K270)),N(K270)&lt;=0),"Set an ideal cycle time in Setup",IF(NOT(ISNUMBER(A270)),"Enter a date",IF(OR(NOT(ISNUMBER(D270)),NOT(ISNUMBER(G270)),AND(E270&lt;&gt;"",NOT(ISNUMBER(E270))),AND(F270&lt;&gt;"",NOT(ISNUMBER(F270))),AND(H270&lt;&gt;"",NOT(ISNUMBER(H270)))),"Enter numbers: shift length and total parts are required",IF(OR(N(D270)&lt;=0,N(E270)&lt;0,N(F270)&lt;0,N(G270)&lt;0,N(H270)&lt;0),"Values must be 0 or more (shift length above 0)",IF(N(H270)&gt;N(G270),"Rejects &gt; total parts",IF(N(E270)&gt;=N(D270),"Planned stops &gt;= shift length",IF(N(F270)&gt;N(D270)-N(E270),"Downtime &gt; planned time",IF(AND(ISNUMBER(O270),O270&gt;1),"Check: performance above 100%","OK"))))))))))</f>
        <v/>
      </c>
      <c r="S270" s="13" t="str">
        <f aca="false">IF($T270,K270*M270/60,"")</f>
        <v/>
      </c>
      <c r="T270" s="15" t="b">
        <f aca="false">IF($C270="",FALSE(),AND(SUMPRODUCT(--(Setup!$A$5:$A$24=$C270))&gt;0,ISNUMBER(A270),ISNUMBER(K270),N(K270)&gt;0,ISNUMBER(D270),N(D270)&gt;0,ISNUMBER(G270),N(G270)&gt;=0,OR(E270="",ISNUMBER(E270)),OR(F270="",ISNUMBER(F270)),OR(H270="",ISNUMBER(H270)),N(E270)&gt;=0,N(F270)&gt;=0,N(H270)&gt;=0,N(H270)&lt;=N(G270),N(E270)&lt;N(D270),N(F270)&lt;=N(D270)-N(E270)))</f>
        <v>0</v>
      </c>
    </row>
    <row r="271" customFormat="false" ht="15" hidden="false" customHeight="false" outlineLevel="0" collapsed="false">
      <c r="A271" s="11"/>
      <c r="B271" s="8"/>
      <c r="C271" s="8"/>
      <c r="D271" s="8"/>
      <c r="E271" s="8"/>
      <c r="F271" s="8"/>
      <c r="G271" s="8"/>
      <c r="H271" s="8"/>
      <c r="I271" s="12" t="str">
        <f aca="false">IF($T271,D271-N(E271),"")</f>
        <v/>
      </c>
      <c r="J271" s="12" t="str">
        <f aca="false">IF($T271,I271-N(F271),"")</f>
        <v/>
      </c>
      <c r="K271" s="13" t="str">
        <f aca="false">IF($C271="","",IF(SUMPRODUCT(--(Setup!$A$5:$A$24=$C271))&gt;0,INDEX(Setup!$B$5:$B$24,21-SUMPRODUCT(MAX((Setup!$A$5:$A$24=$C271)*(25-ROW(Setup!$A$5:$A$24))))),""))</f>
        <v/>
      </c>
      <c r="L271" s="13" t="str">
        <f aca="false">IF($T271,K271*G271/60,"")</f>
        <v/>
      </c>
      <c r="M271" s="12" t="str">
        <f aca="false">IF($T271,G271-N(H271),"")</f>
        <v/>
      </c>
      <c r="N271" s="14" t="str">
        <f aca="false">IF($T271,J271/I271,"")</f>
        <v/>
      </c>
      <c r="O271" s="14" t="str">
        <f aca="false">IF(AND($T271,N(J271)&gt;0),L271/J271,"")</f>
        <v/>
      </c>
      <c r="P271" s="14" t="str">
        <f aca="false">IF(AND($T271,N(G271)&gt;0),M271/G271,"")</f>
        <v/>
      </c>
      <c r="Q271" s="14" t="str">
        <f aca="false">IF($T271,S271/I271,"")</f>
        <v/>
      </c>
      <c r="R271" s="10" t="str">
        <f aca="false">IF($C271="","",IF(NOT(SUMPRODUCT(--(Setup!$A$5:$A$24=$C271))&gt;0),"Machine not in Setup",IF(OR(NOT(ISNUMBER(K271)),N(K271)&lt;=0),"Set an ideal cycle time in Setup",IF(NOT(ISNUMBER(A271)),"Enter a date",IF(OR(NOT(ISNUMBER(D271)),NOT(ISNUMBER(G271)),AND(E271&lt;&gt;"",NOT(ISNUMBER(E271))),AND(F271&lt;&gt;"",NOT(ISNUMBER(F271))),AND(H271&lt;&gt;"",NOT(ISNUMBER(H271)))),"Enter numbers: shift length and total parts are required",IF(OR(N(D271)&lt;=0,N(E271)&lt;0,N(F271)&lt;0,N(G271)&lt;0,N(H271)&lt;0),"Values must be 0 or more (shift length above 0)",IF(N(H271)&gt;N(G271),"Rejects &gt; total parts",IF(N(E271)&gt;=N(D271),"Planned stops &gt;= shift length",IF(N(F271)&gt;N(D271)-N(E271),"Downtime &gt; planned time",IF(AND(ISNUMBER(O271),O271&gt;1),"Check: performance above 100%","OK"))))))))))</f>
        <v/>
      </c>
      <c r="S271" s="13" t="str">
        <f aca="false">IF($T271,K271*M271/60,"")</f>
        <v/>
      </c>
      <c r="T271" s="15" t="b">
        <f aca="false">IF($C271="",FALSE(),AND(SUMPRODUCT(--(Setup!$A$5:$A$24=$C271))&gt;0,ISNUMBER(A271),ISNUMBER(K271),N(K271)&gt;0,ISNUMBER(D271),N(D271)&gt;0,ISNUMBER(G271),N(G271)&gt;=0,OR(E271="",ISNUMBER(E271)),OR(F271="",ISNUMBER(F271)),OR(H271="",ISNUMBER(H271)),N(E271)&gt;=0,N(F271)&gt;=0,N(H271)&gt;=0,N(H271)&lt;=N(G271),N(E271)&lt;N(D271),N(F271)&lt;=N(D271)-N(E271)))</f>
        <v>0</v>
      </c>
    </row>
    <row r="272" customFormat="false" ht="15" hidden="false" customHeight="false" outlineLevel="0" collapsed="false">
      <c r="A272" s="11"/>
      <c r="B272" s="8"/>
      <c r="C272" s="8"/>
      <c r="D272" s="8"/>
      <c r="E272" s="8"/>
      <c r="F272" s="8"/>
      <c r="G272" s="8"/>
      <c r="H272" s="8"/>
      <c r="I272" s="12" t="str">
        <f aca="false">IF($T272,D272-N(E272),"")</f>
        <v/>
      </c>
      <c r="J272" s="12" t="str">
        <f aca="false">IF($T272,I272-N(F272),"")</f>
        <v/>
      </c>
      <c r="K272" s="13" t="str">
        <f aca="false">IF($C272="","",IF(SUMPRODUCT(--(Setup!$A$5:$A$24=$C272))&gt;0,INDEX(Setup!$B$5:$B$24,21-SUMPRODUCT(MAX((Setup!$A$5:$A$24=$C272)*(25-ROW(Setup!$A$5:$A$24))))),""))</f>
        <v/>
      </c>
      <c r="L272" s="13" t="str">
        <f aca="false">IF($T272,K272*G272/60,"")</f>
        <v/>
      </c>
      <c r="M272" s="12" t="str">
        <f aca="false">IF($T272,G272-N(H272),"")</f>
        <v/>
      </c>
      <c r="N272" s="14" t="str">
        <f aca="false">IF($T272,J272/I272,"")</f>
        <v/>
      </c>
      <c r="O272" s="14" t="str">
        <f aca="false">IF(AND($T272,N(J272)&gt;0),L272/J272,"")</f>
        <v/>
      </c>
      <c r="P272" s="14" t="str">
        <f aca="false">IF(AND($T272,N(G272)&gt;0),M272/G272,"")</f>
        <v/>
      </c>
      <c r="Q272" s="14" t="str">
        <f aca="false">IF($T272,S272/I272,"")</f>
        <v/>
      </c>
      <c r="R272" s="10" t="str">
        <f aca="false">IF($C272="","",IF(NOT(SUMPRODUCT(--(Setup!$A$5:$A$24=$C272))&gt;0),"Machine not in Setup",IF(OR(NOT(ISNUMBER(K272)),N(K272)&lt;=0),"Set an ideal cycle time in Setup",IF(NOT(ISNUMBER(A272)),"Enter a date",IF(OR(NOT(ISNUMBER(D272)),NOT(ISNUMBER(G272)),AND(E272&lt;&gt;"",NOT(ISNUMBER(E272))),AND(F272&lt;&gt;"",NOT(ISNUMBER(F272))),AND(H272&lt;&gt;"",NOT(ISNUMBER(H272)))),"Enter numbers: shift length and total parts are required",IF(OR(N(D272)&lt;=0,N(E272)&lt;0,N(F272)&lt;0,N(G272)&lt;0,N(H272)&lt;0),"Values must be 0 or more (shift length above 0)",IF(N(H272)&gt;N(G272),"Rejects &gt; total parts",IF(N(E272)&gt;=N(D272),"Planned stops &gt;= shift length",IF(N(F272)&gt;N(D272)-N(E272),"Downtime &gt; planned time",IF(AND(ISNUMBER(O272),O272&gt;1),"Check: performance above 100%","OK"))))))))))</f>
        <v/>
      </c>
      <c r="S272" s="13" t="str">
        <f aca="false">IF($T272,K272*M272/60,"")</f>
        <v/>
      </c>
      <c r="T272" s="15" t="b">
        <f aca="false">IF($C272="",FALSE(),AND(SUMPRODUCT(--(Setup!$A$5:$A$24=$C272))&gt;0,ISNUMBER(A272),ISNUMBER(K272),N(K272)&gt;0,ISNUMBER(D272),N(D272)&gt;0,ISNUMBER(G272),N(G272)&gt;=0,OR(E272="",ISNUMBER(E272)),OR(F272="",ISNUMBER(F272)),OR(H272="",ISNUMBER(H272)),N(E272)&gt;=0,N(F272)&gt;=0,N(H272)&gt;=0,N(H272)&lt;=N(G272),N(E272)&lt;N(D272),N(F272)&lt;=N(D272)-N(E272)))</f>
        <v>0</v>
      </c>
    </row>
    <row r="273" customFormat="false" ht="15" hidden="false" customHeight="false" outlineLevel="0" collapsed="false">
      <c r="A273" s="11"/>
      <c r="B273" s="8"/>
      <c r="C273" s="8"/>
      <c r="D273" s="8"/>
      <c r="E273" s="8"/>
      <c r="F273" s="8"/>
      <c r="G273" s="8"/>
      <c r="H273" s="8"/>
      <c r="I273" s="12" t="str">
        <f aca="false">IF($T273,D273-N(E273),"")</f>
        <v/>
      </c>
      <c r="J273" s="12" t="str">
        <f aca="false">IF($T273,I273-N(F273),"")</f>
        <v/>
      </c>
      <c r="K273" s="13" t="str">
        <f aca="false">IF($C273="","",IF(SUMPRODUCT(--(Setup!$A$5:$A$24=$C273))&gt;0,INDEX(Setup!$B$5:$B$24,21-SUMPRODUCT(MAX((Setup!$A$5:$A$24=$C273)*(25-ROW(Setup!$A$5:$A$24))))),""))</f>
        <v/>
      </c>
      <c r="L273" s="13" t="str">
        <f aca="false">IF($T273,K273*G273/60,"")</f>
        <v/>
      </c>
      <c r="M273" s="12" t="str">
        <f aca="false">IF($T273,G273-N(H273),"")</f>
        <v/>
      </c>
      <c r="N273" s="14" t="str">
        <f aca="false">IF($T273,J273/I273,"")</f>
        <v/>
      </c>
      <c r="O273" s="14" t="str">
        <f aca="false">IF(AND($T273,N(J273)&gt;0),L273/J273,"")</f>
        <v/>
      </c>
      <c r="P273" s="14" t="str">
        <f aca="false">IF(AND($T273,N(G273)&gt;0),M273/G273,"")</f>
        <v/>
      </c>
      <c r="Q273" s="14" t="str">
        <f aca="false">IF($T273,S273/I273,"")</f>
        <v/>
      </c>
      <c r="R273" s="10" t="str">
        <f aca="false">IF($C273="","",IF(NOT(SUMPRODUCT(--(Setup!$A$5:$A$24=$C273))&gt;0),"Machine not in Setup",IF(OR(NOT(ISNUMBER(K273)),N(K273)&lt;=0),"Set an ideal cycle time in Setup",IF(NOT(ISNUMBER(A273)),"Enter a date",IF(OR(NOT(ISNUMBER(D273)),NOT(ISNUMBER(G273)),AND(E273&lt;&gt;"",NOT(ISNUMBER(E273))),AND(F273&lt;&gt;"",NOT(ISNUMBER(F273))),AND(H273&lt;&gt;"",NOT(ISNUMBER(H273)))),"Enter numbers: shift length and total parts are required",IF(OR(N(D273)&lt;=0,N(E273)&lt;0,N(F273)&lt;0,N(G273)&lt;0,N(H273)&lt;0),"Values must be 0 or more (shift length above 0)",IF(N(H273)&gt;N(G273),"Rejects &gt; total parts",IF(N(E273)&gt;=N(D273),"Planned stops &gt;= shift length",IF(N(F273)&gt;N(D273)-N(E273),"Downtime &gt; planned time",IF(AND(ISNUMBER(O273),O273&gt;1),"Check: performance above 100%","OK"))))))))))</f>
        <v/>
      </c>
      <c r="S273" s="13" t="str">
        <f aca="false">IF($T273,K273*M273/60,"")</f>
        <v/>
      </c>
      <c r="T273" s="15" t="b">
        <f aca="false">IF($C273="",FALSE(),AND(SUMPRODUCT(--(Setup!$A$5:$A$24=$C273))&gt;0,ISNUMBER(A273),ISNUMBER(K273),N(K273)&gt;0,ISNUMBER(D273),N(D273)&gt;0,ISNUMBER(G273),N(G273)&gt;=0,OR(E273="",ISNUMBER(E273)),OR(F273="",ISNUMBER(F273)),OR(H273="",ISNUMBER(H273)),N(E273)&gt;=0,N(F273)&gt;=0,N(H273)&gt;=0,N(H273)&lt;=N(G273),N(E273)&lt;N(D273),N(F273)&lt;=N(D273)-N(E273)))</f>
        <v>0</v>
      </c>
    </row>
    <row r="274" customFormat="false" ht="15" hidden="false" customHeight="false" outlineLevel="0" collapsed="false">
      <c r="A274" s="11"/>
      <c r="B274" s="8"/>
      <c r="C274" s="8"/>
      <c r="D274" s="8"/>
      <c r="E274" s="8"/>
      <c r="F274" s="8"/>
      <c r="G274" s="8"/>
      <c r="H274" s="8"/>
      <c r="I274" s="12" t="str">
        <f aca="false">IF($T274,D274-N(E274),"")</f>
        <v/>
      </c>
      <c r="J274" s="12" t="str">
        <f aca="false">IF($T274,I274-N(F274),"")</f>
        <v/>
      </c>
      <c r="K274" s="13" t="str">
        <f aca="false">IF($C274="","",IF(SUMPRODUCT(--(Setup!$A$5:$A$24=$C274))&gt;0,INDEX(Setup!$B$5:$B$24,21-SUMPRODUCT(MAX((Setup!$A$5:$A$24=$C274)*(25-ROW(Setup!$A$5:$A$24))))),""))</f>
        <v/>
      </c>
      <c r="L274" s="13" t="str">
        <f aca="false">IF($T274,K274*G274/60,"")</f>
        <v/>
      </c>
      <c r="M274" s="12" t="str">
        <f aca="false">IF($T274,G274-N(H274),"")</f>
        <v/>
      </c>
      <c r="N274" s="14" t="str">
        <f aca="false">IF($T274,J274/I274,"")</f>
        <v/>
      </c>
      <c r="O274" s="14" t="str">
        <f aca="false">IF(AND($T274,N(J274)&gt;0),L274/J274,"")</f>
        <v/>
      </c>
      <c r="P274" s="14" t="str">
        <f aca="false">IF(AND($T274,N(G274)&gt;0),M274/G274,"")</f>
        <v/>
      </c>
      <c r="Q274" s="14" t="str">
        <f aca="false">IF($T274,S274/I274,"")</f>
        <v/>
      </c>
      <c r="R274" s="10" t="str">
        <f aca="false">IF($C274="","",IF(NOT(SUMPRODUCT(--(Setup!$A$5:$A$24=$C274))&gt;0),"Machine not in Setup",IF(OR(NOT(ISNUMBER(K274)),N(K274)&lt;=0),"Set an ideal cycle time in Setup",IF(NOT(ISNUMBER(A274)),"Enter a date",IF(OR(NOT(ISNUMBER(D274)),NOT(ISNUMBER(G274)),AND(E274&lt;&gt;"",NOT(ISNUMBER(E274))),AND(F274&lt;&gt;"",NOT(ISNUMBER(F274))),AND(H274&lt;&gt;"",NOT(ISNUMBER(H274)))),"Enter numbers: shift length and total parts are required",IF(OR(N(D274)&lt;=0,N(E274)&lt;0,N(F274)&lt;0,N(G274)&lt;0,N(H274)&lt;0),"Values must be 0 or more (shift length above 0)",IF(N(H274)&gt;N(G274),"Rejects &gt; total parts",IF(N(E274)&gt;=N(D274),"Planned stops &gt;= shift length",IF(N(F274)&gt;N(D274)-N(E274),"Downtime &gt; planned time",IF(AND(ISNUMBER(O274),O274&gt;1),"Check: performance above 100%","OK"))))))))))</f>
        <v/>
      </c>
      <c r="S274" s="13" t="str">
        <f aca="false">IF($T274,K274*M274/60,"")</f>
        <v/>
      </c>
      <c r="T274" s="15" t="b">
        <f aca="false">IF($C274="",FALSE(),AND(SUMPRODUCT(--(Setup!$A$5:$A$24=$C274))&gt;0,ISNUMBER(A274),ISNUMBER(K274),N(K274)&gt;0,ISNUMBER(D274),N(D274)&gt;0,ISNUMBER(G274),N(G274)&gt;=0,OR(E274="",ISNUMBER(E274)),OR(F274="",ISNUMBER(F274)),OR(H274="",ISNUMBER(H274)),N(E274)&gt;=0,N(F274)&gt;=0,N(H274)&gt;=0,N(H274)&lt;=N(G274),N(E274)&lt;N(D274),N(F274)&lt;=N(D274)-N(E274)))</f>
        <v>0</v>
      </c>
    </row>
    <row r="275" customFormat="false" ht="15" hidden="false" customHeight="false" outlineLevel="0" collapsed="false">
      <c r="A275" s="11"/>
      <c r="B275" s="8"/>
      <c r="C275" s="8"/>
      <c r="D275" s="8"/>
      <c r="E275" s="8"/>
      <c r="F275" s="8"/>
      <c r="G275" s="8"/>
      <c r="H275" s="8"/>
      <c r="I275" s="12" t="str">
        <f aca="false">IF($T275,D275-N(E275),"")</f>
        <v/>
      </c>
      <c r="J275" s="12" t="str">
        <f aca="false">IF($T275,I275-N(F275),"")</f>
        <v/>
      </c>
      <c r="K275" s="13" t="str">
        <f aca="false">IF($C275="","",IF(SUMPRODUCT(--(Setup!$A$5:$A$24=$C275))&gt;0,INDEX(Setup!$B$5:$B$24,21-SUMPRODUCT(MAX((Setup!$A$5:$A$24=$C275)*(25-ROW(Setup!$A$5:$A$24))))),""))</f>
        <v/>
      </c>
      <c r="L275" s="13" t="str">
        <f aca="false">IF($T275,K275*G275/60,"")</f>
        <v/>
      </c>
      <c r="M275" s="12" t="str">
        <f aca="false">IF($T275,G275-N(H275),"")</f>
        <v/>
      </c>
      <c r="N275" s="14" t="str">
        <f aca="false">IF($T275,J275/I275,"")</f>
        <v/>
      </c>
      <c r="O275" s="14" t="str">
        <f aca="false">IF(AND($T275,N(J275)&gt;0),L275/J275,"")</f>
        <v/>
      </c>
      <c r="P275" s="14" t="str">
        <f aca="false">IF(AND($T275,N(G275)&gt;0),M275/G275,"")</f>
        <v/>
      </c>
      <c r="Q275" s="14" t="str">
        <f aca="false">IF($T275,S275/I275,"")</f>
        <v/>
      </c>
      <c r="R275" s="10" t="str">
        <f aca="false">IF($C275="","",IF(NOT(SUMPRODUCT(--(Setup!$A$5:$A$24=$C275))&gt;0),"Machine not in Setup",IF(OR(NOT(ISNUMBER(K275)),N(K275)&lt;=0),"Set an ideal cycle time in Setup",IF(NOT(ISNUMBER(A275)),"Enter a date",IF(OR(NOT(ISNUMBER(D275)),NOT(ISNUMBER(G275)),AND(E275&lt;&gt;"",NOT(ISNUMBER(E275))),AND(F275&lt;&gt;"",NOT(ISNUMBER(F275))),AND(H275&lt;&gt;"",NOT(ISNUMBER(H275)))),"Enter numbers: shift length and total parts are required",IF(OR(N(D275)&lt;=0,N(E275)&lt;0,N(F275)&lt;0,N(G275)&lt;0,N(H275)&lt;0),"Values must be 0 or more (shift length above 0)",IF(N(H275)&gt;N(G275),"Rejects &gt; total parts",IF(N(E275)&gt;=N(D275),"Planned stops &gt;= shift length",IF(N(F275)&gt;N(D275)-N(E275),"Downtime &gt; planned time",IF(AND(ISNUMBER(O275),O275&gt;1),"Check: performance above 100%","OK"))))))))))</f>
        <v/>
      </c>
      <c r="S275" s="13" t="str">
        <f aca="false">IF($T275,K275*M275/60,"")</f>
        <v/>
      </c>
      <c r="T275" s="15" t="b">
        <f aca="false">IF($C275="",FALSE(),AND(SUMPRODUCT(--(Setup!$A$5:$A$24=$C275))&gt;0,ISNUMBER(A275),ISNUMBER(K275),N(K275)&gt;0,ISNUMBER(D275),N(D275)&gt;0,ISNUMBER(G275),N(G275)&gt;=0,OR(E275="",ISNUMBER(E275)),OR(F275="",ISNUMBER(F275)),OR(H275="",ISNUMBER(H275)),N(E275)&gt;=0,N(F275)&gt;=0,N(H275)&gt;=0,N(H275)&lt;=N(G275),N(E275)&lt;N(D275),N(F275)&lt;=N(D275)-N(E275)))</f>
        <v>0</v>
      </c>
    </row>
    <row r="276" customFormat="false" ht="15" hidden="false" customHeight="false" outlineLevel="0" collapsed="false">
      <c r="A276" s="11"/>
      <c r="B276" s="8"/>
      <c r="C276" s="8"/>
      <c r="D276" s="8"/>
      <c r="E276" s="8"/>
      <c r="F276" s="8"/>
      <c r="G276" s="8"/>
      <c r="H276" s="8"/>
      <c r="I276" s="12" t="str">
        <f aca="false">IF($T276,D276-N(E276),"")</f>
        <v/>
      </c>
      <c r="J276" s="12" t="str">
        <f aca="false">IF($T276,I276-N(F276),"")</f>
        <v/>
      </c>
      <c r="K276" s="13" t="str">
        <f aca="false">IF($C276="","",IF(SUMPRODUCT(--(Setup!$A$5:$A$24=$C276))&gt;0,INDEX(Setup!$B$5:$B$24,21-SUMPRODUCT(MAX((Setup!$A$5:$A$24=$C276)*(25-ROW(Setup!$A$5:$A$24))))),""))</f>
        <v/>
      </c>
      <c r="L276" s="13" t="str">
        <f aca="false">IF($T276,K276*G276/60,"")</f>
        <v/>
      </c>
      <c r="M276" s="12" t="str">
        <f aca="false">IF($T276,G276-N(H276),"")</f>
        <v/>
      </c>
      <c r="N276" s="14" t="str">
        <f aca="false">IF($T276,J276/I276,"")</f>
        <v/>
      </c>
      <c r="O276" s="14" t="str">
        <f aca="false">IF(AND($T276,N(J276)&gt;0),L276/J276,"")</f>
        <v/>
      </c>
      <c r="P276" s="14" t="str">
        <f aca="false">IF(AND($T276,N(G276)&gt;0),M276/G276,"")</f>
        <v/>
      </c>
      <c r="Q276" s="14" t="str">
        <f aca="false">IF($T276,S276/I276,"")</f>
        <v/>
      </c>
      <c r="R276" s="10" t="str">
        <f aca="false">IF($C276="","",IF(NOT(SUMPRODUCT(--(Setup!$A$5:$A$24=$C276))&gt;0),"Machine not in Setup",IF(OR(NOT(ISNUMBER(K276)),N(K276)&lt;=0),"Set an ideal cycle time in Setup",IF(NOT(ISNUMBER(A276)),"Enter a date",IF(OR(NOT(ISNUMBER(D276)),NOT(ISNUMBER(G276)),AND(E276&lt;&gt;"",NOT(ISNUMBER(E276))),AND(F276&lt;&gt;"",NOT(ISNUMBER(F276))),AND(H276&lt;&gt;"",NOT(ISNUMBER(H276)))),"Enter numbers: shift length and total parts are required",IF(OR(N(D276)&lt;=0,N(E276)&lt;0,N(F276)&lt;0,N(G276)&lt;0,N(H276)&lt;0),"Values must be 0 or more (shift length above 0)",IF(N(H276)&gt;N(G276),"Rejects &gt; total parts",IF(N(E276)&gt;=N(D276),"Planned stops &gt;= shift length",IF(N(F276)&gt;N(D276)-N(E276),"Downtime &gt; planned time",IF(AND(ISNUMBER(O276),O276&gt;1),"Check: performance above 100%","OK"))))))))))</f>
        <v/>
      </c>
      <c r="S276" s="13" t="str">
        <f aca="false">IF($T276,K276*M276/60,"")</f>
        <v/>
      </c>
      <c r="T276" s="15" t="b">
        <f aca="false">IF($C276="",FALSE(),AND(SUMPRODUCT(--(Setup!$A$5:$A$24=$C276))&gt;0,ISNUMBER(A276),ISNUMBER(K276),N(K276)&gt;0,ISNUMBER(D276),N(D276)&gt;0,ISNUMBER(G276),N(G276)&gt;=0,OR(E276="",ISNUMBER(E276)),OR(F276="",ISNUMBER(F276)),OR(H276="",ISNUMBER(H276)),N(E276)&gt;=0,N(F276)&gt;=0,N(H276)&gt;=0,N(H276)&lt;=N(G276),N(E276)&lt;N(D276),N(F276)&lt;=N(D276)-N(E276)))</f>
        <v>0</v>
      </c>
    </row>
    <row r="277" customFormat="false" ht="15" hidden="false" customHeight="false" outlineLevel="0" collapsed="false">
      <c r="A277" s="11"/>
      <c r="B277" s="8"/>
      <c r="C277" s="8"/>
      <c r="D277" s="8"/>
      <c r="E277" s="8"/>
      <c r="F277" s="8"/>
      <c r="G277" s="8"/>
      <c r="H277" s="8"/>
      <c r="I277" s="12" t="str">
        <f aca="false">IF($T277,D277-N(E277),"")</f>
        <v/>
      </c>
      <c r="J277" s="12" t="str">
        <f aca="false">IF($T277,I277-N(F277),"")</f>
        <v/>
      </c>
      <c r="K277" s="13" t="str">
        <f aca="false">IF($C277="","",IF(SUMPRODUCT(--(Setup!$A$5:$A$24=$C277))&gt;0,INDEX(Setup!$B$5:$B$24,21-SUMPRODUCT(MAX((Setup!$A$5:$A$24=$C277)*(25-ROW(Setup!$A$5:$A$24))))),""))</f>
        <v/>
      </c>
      <c r="L277" s="13" t="str">
        <f aca="false">IF($T277,K277*G277/60,"")</f>
        <v/>
      </c>
      <c r="M277" s="12" t="str">
        <f aca="false">IF($T277,G277-N(H277),"")</f>
        <v/>
      </c>
      <c r="N277" s="14" t="str">
        <f aca="false">IF($T277,J277/I277,"")</f>
        <v/>
      </c>
      <c r="O277" s="14" t="str">
        <f aca="false">IF(AND($T277,N(J277)&gt;0),L277/J277,"")</f>
        <v/>
      </c>
      <c r="P277" s="14" t="str">
        <f aca="false">IF(AND($T277,N(G277)&gt;0),M277/G277,"")</f>
        <v/>
      </c>
      <c r="Q277" s="14" t="str">
        <f aca="false">IF($T277,S277/I277,"")</f>
        <v/>
      </c>
      <c r="R277" s="10" t="str">
        <f aca="false">IF($C277="","",IF(NOT(SUMPRODUCT(--(Setup!$A$5:$A$24=$C277))&gt;0),"Machine not in Setup",IF(OR(NOT(ISNUMBER(K277)),N(K277)&lt;=0),"Set an ideal cycle time in Setup",IF(NOT(ISNUMBER(A277)),"Enter a date",IF(OR(NOT(ISNUMBER(D277)),NOT(ISNUMBER(G277)),AND(E277&lt;&gt;"",NOT(ISNUMBER(E277))),AND(F277&lt;&gt;"",NOT(ISNUMBER(F277))),AND(H277&lt;&gt;"",NOT(ISNUMBER(H277)))),"Enter numbers: shift length and total parts are required",IF(OR(N(D277)&lt;=0,N(E277)&lt;0,N(F277)&lt;0,N(G277)&lt;0,N(H277)&lt;0),"Values must be 0 or more (shift length above 0)",IF(N(H277)&gt;N(G277),"Rejects &gt; total parts",IF(N(E277)&gt;=N(D277),"Planned stops &gt;= shift length",IF(N(F277)&gt;N(D277)-N(E277),"Downtime &gt; planned time",IF(AND(ISNUMBER(O277),O277&gt;1),"Check: performance above 100%","OK"))))))))))</f>
        <v/>
      </c>
      <c r="S277" s="13" t="str">
        <f aca="false">IF($T277,K277*M277/60,"")</f>
        <v/>
      </c>
      <c r="T277" s="15" t="b">
        <f aca="false">IF($C277="",FALSE(),AND(SUMPRODUCT(--(Setup!$A$5:$A$24=$C277))&gt;0,ISNUMBER(A277),ISNUMBER(K277),N(K277)&gt;0,ISNUMBER(D277),N(D277)&gt;0,ISNUMBER(G277),N(G277)&gt;=0,OR(E277="",ISNUMBER(E277)),OR(F277="",ISNUMBER(F277)),OR(H277="",ISNUMBER(H277)),N(E277)&gt;=0,N(F277)&gt;=0,N(H277)&gt;=0,N(H277)&lt;=N(G277),N(E277)&lt;N(D277),N(F277)&lt;=N(D277)-N(E277)))</f>
        <v>0</v>
      </c>
    </row>
    <row r="278" customFormat="false" ht="15" hidden="false" customHeight="false" outlineLevel="0" collapsed="false">
      <c r="A278" s="11"/>
      <c r="B278" s="8"/>
      <c r="C278" s="8"/>
      <c r="D278" s="8"/>
      <c r="E278" s="8"/>
      <c r="F278" s="8"/>
      <c r="G278" s="8"/>
      <c r="H278" s="8"/>
      <c r="I278" s="12" t="str">
        <f aca="false">IF($T278,D278-N(E278),"")</f>
        <v/>
      </c>
      <c r="J278" s="12" t="str">
        <f aca="false">IF($T278,I278-N(F278),"")</f>
        <v/>
      </c>
      <c r="K278" s="13" t="str">
        <f aca="false">IF($C278="","",IF(SUMPRODUCT(--(Setup!$A$5:$A$24=$C278))&gt;0,INDEX(Setup!$B$5:$B$24,21-SUMPRODUCT(MAX((Setup!$A$5:$A$24=$C278)*(25-ROW(Setup!$A$5:$A$24))))),""))</f>
        <v/>
      </c>
      <c r="L278" s="13" t="str">
        <f aca="false">IF($T278,K278*G278/60,"")</f>
        <v/>
      </c>
      <c r="M278" s="12" t="str">
        <f aca="false">IF($T278,G278-N(H278),"")</f>
        <v/>
      </c>
      <c r="N278" s="14" t="str">
        <f aca="false">IF($T278,J278/I278,"")</f>
        <v/>
      </c>
      <c r="O278" s="14" t="str">
        <f aca="false">IF(AND($T278,N(J278)&gt;0),L278/J278,"")</f>
        <v/>
      </c>
      <c r="P278" s="14" t="str">
        <f aca="false">IF(AND($T278,N(G278)&gt;0),M278/G278,"")</f>
        <v/>
      </c>
      <c r="Q278" s="14" t="str">
        <f aca="false">IF($T278,S278/I278,"")</f>
        <v/>
      </c>
      <c r="R278" s="10" t="str">
        <f aca="false">IF($C278="","",IF(NOT(SUMPRODUCT(--(Setup!$A$5:$A$24=$C278))&gt;0),"Machine not in Setup",IF(OR(NOT(ISNUMBER(K278)),N(K278)&lt;=0),"Set an ideal cycle time in Setup",IF(NOT(ISNUMBER(A278)),"Enter a date",IF(OR(NOT(ISNUMBER(D278)),NOT(ISNUMBER(G278)),AND(E278&lt;&gt;"",NOT(ISNUMBER(E278))),AND(F278&lt;&gt;"",NOT(ISNUMBER(F278))),AND(H278&lt;&gt;"",NOT(ISNUMBER(H278)))),"Enter numbers: shift length and total parts are required",IF(OR(N(D278)&lt;=0,N(E278)&lt;0,N(F278)&lt;0,N(G278)&lt;0,N(H278)&lt;0),"Values must be 0 or more (shift length above 0)",IF(N(H278)&gt;N(G278),"Rejects &gt; total parts",IF(N(E278)&gt;=N(D278),"Planned stops &gt;= shift length",IF(N(F278)&gt;N(D278)-N(E278),"Downtime &gt; planned time",IF(AND(ISNUMBER(O278),O278&gt;1),"Check: performance above 100%","OK"))))))))))</f>
        <v/>
      </c>
      <c r="S278" s="13" t="str">
        <f aca="false">IF($T278,K278*M278/60,"")</f>
        <v/>
      </c>
      <c r="T278" s="15" t="b">
        <f aca="false">IF($C278="",FALSE(),AND(SUMPRODUCT(--(Setup!$A$5:$A$24=$C278))&gt;0,ISNUMBER(A278),ISNUMBER(K278),N(K278)&gt;0,ISNUMBER(D278),N(D278)&gt;0,ISNUMBER(G278),N(G278)&gt;=0,OR(E278="",ISNUMBER(E278)),OR(F278="",ISNUMBER(F278)),OR(H278="",ISNUMBER(H278)),N(E278)&gt;=0,N(F278)&gt;=0,N(H278)&gt;=0,N(H278)&lt;=N(G278),N(E278)&lt;N(D278),N(F278)&lt;=N(D278)-N(E278)))</f>
        <v>0</v>
      </c>
    </row>
    <row r="279" customFormat="false" ht="15" hidden="false" customHeight="false" outlineLevel="0" collapsed="false">
      <c r="A279" s="11"/>
      <c r="B279" s="8"/>
      <c r="C279" s="8"/>
      <c r="D279" s="8"/>
      <c r="E279" s="8"/>
      <c r="F279" s="8"/>
      <c r="G279" s="8"/>
      <c r="H279" s="8"/>
      <c r="I279" s="12" t="str">
        <f aca="false">IF($T279,D279-N(E279),"")</f>
        <v/>
      </c>
      <c r="J279" s="12" t="str">
        <f aca="false">IF($T279,I279-N(F279),"")</f>
        <v/>
      </c>
      <c r="K279" s="13" t="str">
        <f aca="false">IF($C279="","",IF(SUMPRODUCT(--(Setup!$A$5:$A$24=$C279))&gt;0,INDEX(Setup!$B$5:$B$24,21-SUMPRODUCT(MAX((Setup!$A$5:$A$24=$C279)*(25-ROW(Setup!$A$5:$A$24))))),""))</f>
        <v/>
      </c>
      <c r="L279" s="13" t="str">
        <f aca="false">IF($T279,K279*G279/60,"")</f>
        <v/>
      </c>
      <c r="M279" s="12" t="str">
        <f aca="false">IF($T279,G279-N(H279),"")</f>
        <v/>
      </c>
      <c r="N279" s="14" t="str">
        <f aca="false">IF($T279,J279/I279,"")</f>
        <v/>
      </c>
      <c r="O279" s="14" t="str">
        <f aca="false">IF(AND($T279,N(J279)&gt;0),L279/J279,"")</f>
        <v/>
      </c>
      <c r="P279" s="14" t="str">
        <f aca="false">IF(AND($T279,N(G279)&gt;0),M279/G279,"")</f>
        <v/>
      </c>
      <c r="Q279" s="14" t="str">
        <f aca="false">IF($T279,S279/I279,"")</f>
        <v/>
      </c>
      <c r="R279" s="10" t="str">
        <f aca="false">IF($C279="","",IF(NOT(SUMPRODUCT(--(Setup!$A$5:$A$24=$C279))&gt;0),"Machine not in Setup",IF(OR(NOT(ISNUMBER(K279)),N(K279)&lt;=0),"Set an ideal cycle time in Setup",IF(NOT(ISNUMBER(A279)),"Enter a date",IF(OR(NOT(ISNUMBER(D279)),NOT(ISNUMBER(G279)),AND(E279&lt;&gt;"",NOT(ISNUMBER(E279))),AND(F279&lt;&gt;"",NOT(ISNUMBER(F279))),AND(H279&lt;&gt;"",NOT(ISNUMBER(H279)))),"Enter numbers: shift length and total parts are required",IF(OR(N(D279)&lt;=0,N(E279)&lt;0,N(F279)&lt;0,N(G279)&lt;0,N(H279)&lt;0),"Values must be 0 or more (shift length above 0)",IF(N(H279)&gt;N(G279),"Rejects &gt; total parts",IF(N(E279)&gt;=N(D279),"Planned stops &gt;= shift length",IF(N(F279)&gt;N(D279)-N(E279),"Downtime &gt; planned time",IF(AND(ISNUMBER(O279),O279&gt;1),"Check: performance above 100%","OK"))))))))))</f>
        <v/>
      </c>
      <c r="S279" s="13" t="str">
        <f aca="false">IF($T279,K279*M279/60,"")</f>
        <v/>
      </c>
      <c r="T279" s="15" t="b">
        <f aca="false">IF($C279="",FALSE(),AND(SUMPRODUCT(--(Setup!$A$5:$A$24=$C279))&gt;0,ISNUMBER(A279),ISNUMBER(K279),N(K279)&gt;0,ISNUMBER(D279),N(D279)&gt;0,ISNUMBER(G279),N(G279)&gt;=0,OR(E279="",ISNUMBER(E279)),OR(F279="",ISNUMBER(F279)),OR(H279="",ISNUMBER(H279)),N(E279)&gt;=0,N(F279)&gt;=0,N(H279)&gt;=0,N(H279)&lt;=N(G279),N(E279)&lt;N(D279),N(F279)&lt;=N(D279)-N(E279)))</f>
        <v>0</v>
      </c>
    </row>
    <row r="280" customFormat="false" ht="15" hidden="false" customHeight="false" outlineLevel="0" collapsed="false">
      <c r="A280" s="11"/>
      <c r="B280" s="8"/>
      <c r="C280" s="8"/>
      <c r="D280" s="8"/>
      <c r="E280" s="8"/>
      <c r="F280" s="8"/>
      <c r="G280" s="8"/>
      <c r="H280" s="8"/>
      <c r="I280" s="12" t="str">
        <f aca="false">IF($T280,D280-N(E280),"")</f>
        <v/>
      </c>
      <c r="J280" s="12" t="str">
        <f aca="false">IF($T280,I280-N(F280),"")</f>
        <v/>
      </c>
      <c r="K280" s="13" t="str">
        <f aca="false">IF($C280="","",IF(SUMPRODUCT(--(Setup!$A$5:$A$24=$C280))&gt;0,INDEX(Setup!$B$5:$B$24,21-SUMPRODUCT(MAX((Setup!$A$5:$A$24=$C280)*(25-ROW(Setup!$A$5:$A$24))))),""))</f>
        <v/>
      </c>
      <c r="L280" s="13" t="str">
        <f aca="false">IF($T280,K280*G280/60,"")</f>
        <v/>
      </c>
      <c r="M280" s="12" t="str">
        <f aca="false">IF($T280,G280-N(H280),"")</f>
        <v/>
      </c>
      <c r="N280" s="14" t="str">
        <f aca="false">IF($T280,J280/I280,"")</f>
        <v/>
      </c>
      <c r="O280" s="14" t="str">
        <f aca="false">IF(AND($T280,N(J280)&gt;0),L280/J280,"")</f>
        <v/>
      </c>
      <c r="P280" s="14" t="str">
        <f aca="false">IF(AND($T280,N(G280)&gt;0),M280/G280,"")</f>
        <v/>
      </c>
      <c r="Q280" s="14" t="str">
        <f aca="false">IF($T280,S280/I280,"")</f>
        <v/>
      </c>
      <c r="R280" s="10" t="str">
        <f aca="false">IF($C280="","",IF(NOT(SUMPRODUCT(--(Setup!$A$5:$A$24=$C280))&gt;0),"Machine not in Setup",IF(OR(NOT(ISNUMBER(K280)),N(K280)&lt;=0),"Set an ideal cycle time in Setup",IF(NOT(ISNUMBER(A280)),"Enter a date",IF(OR(NOT(ISNUMBER(D280)),NOT(ISNUMBER(G280)),AND(E280&lt;&gt;"",NOT(ISNUMBER(E280))),AND(F280&lt;&gt;"",NOT(ISNUMBER(F280))),AND(H280&lt;&gt;"",NOT(ISNUMBER(H280)))),"Enter numbers: shift length and total parts are required",IF(OR(N(D280)&lt;=0,N(E280)&lt;0,N(F280)&lt;0,N(G280)&lt;0,N(H280)&lt;0),"Values must be 0 or more (shift length above 0)",IF(N(H280)&gt;N(G280),"Rejects &gt; total parts",IF(N(E280)&gt;=N(D280),"Planned stops &gt;= shift length",IF(N(F280)&gt;N(D280)-N(E280),"Downtime &gt; planned time",IF(AND(ISNUMBER(O280),O280&gt;1),"Check: performance above 100%","OK"))))))))))</f>
        <v/>
      </c>
      <c r="S280" s="13" t="str">
        <f aca="false">IF($T280,K280*M280/60,"")</f>
        <v/>
      </c>
      <c r="T280" s="15" t="b">
        <f aca="false">IF($C280="",FALSE(),AND(SUMPRODUCT(--(Setup!$A$5:$A$24=$C280))&gt;0,ISNUMBER(A280),ISNUMBER(K280),N(K280)&gt;0,ISNUMBER(D280),N(D280)&gt;0,ISNUMBER(G280),N(G280)&gt;=0,OR(E280="",ISNUMBER(E280)),OR(F280="",ISNUMBER(F280)),OR(H280="",ISNUMBER(H280)),N(E280)&gt;=0,N(F280)&gt;=0,N(H280)&gt;=0,N(H280)&lt;=N(G280),N(E280)&lt;N(D280),N(F280)&lt;=N(D280)-N(E280)))</f>
        <v>0</v>
      </c>
    </row>
    <row r="281" customFormat="false" ht="15" hidden="false" customHeight="false" outlineLevel="0" collapsed="false">
      <c r="A281" s="11"/>
      <c r="B281" s="8"/>
      <c r="C281" s="8"/>
      <c r="D281" s="8"/>
      <c r="E281" s="8"/>
      <c r="F281" s="8"/>
      <c r="G281" s="8"/>
      <c r="H281" s="8"/>
      <c r="I281" s="12" t="str">
        <f aca="false">IF($T281,D281-N(E281),"")</f>
        <v/>
      </c>
      <c r="J281" s="12" t="str">
        <f aca="false">IF($T281,I281-N(F281),"")</f>
        <v/>
      </c>
      <c r="K281" s="13" t="str">
        <f aca="false">IF($C281="","",IF(SUMPRODUCT(--(Setup!$A$5:$A$24=$C281))&gt;0,INDEX(Setup!$B$5:$B$24,21-SUMPRODUCT(MAX((Setup!$A$5:$A$24=$C281)*(25-ROW(Setup!$A$5:$A$24))))),""))</f>
        <v/>
      </c>
      <c r="L281" s="13" t="str">
        <f aca="false">IF($T281,K281*G281/60,"")</f>
        <v/>
      </c>
      <c r="M281" s="12" t="str">
        <f aca="false">IF($T281,G281-N(H281),"")</f>
        <v/>
      </c>
      <c r="N281" s="14" t="str">
        <f aca="false">IF($T281,J281/I281,"")</f>
        <v/>
      </c>
      <c r="O281" s="14" t="str">
        <f aca="false">IF(AND($T281,N(J281)&gt;0),L281/J281,"")</f>
        <v/>
      </c>
      <c r="P281" s="14" t="str">
        <f aca="false">IF(AND($T281,N(G281)&gt;0),M281/G281,"")</f>
        <v/>
      </c>
      <c r="Q281" s="14" t="str">
        <f aca="false">IF($T281,S281/I281,"")</f>
        <v/>
      </c>
      <c r="R281" s="10" t="str">
        <f aca="false">IF($C281="","",IF(NOT(SUMPRODUCT(--(Setup!$A$5:$A$24=$C281))&gt;0),"Machine not in Setup",IF(OR(NOT(ISNUMBER(K281)),N(K281)&lt;=0),"Set an ideal cycle time in Setup",IF(NOT(ISNUMBER(A281)),"Enter a date",IF(OR(NOT(ISNUMBER(D281)),NOT(ISNUMBER(G281)),AND(E281&lt;&gt;"",NOT(ISNUMBER(E281))),AND(F281&lt;&gt;"",NOT(ISNUMBER(F281))),AND(H281&lt;&gt;"",NOT(ISNUMBER(H281)))),"Enter numbers: shift length and total parts are required",IF(OR(N(D281)&lt;=0,N(E281)&lt;0,N(F281)&lt;0,N(G281)&lt;0,N(H281)&lt;0),"Values must be 0 or more (shift length above 0)",IF(N(H281)&gt;N(G281),"Rejects &gt; total parts",IF(N(E281)&gt;=N(D281),"Planned stops &gt;= shift length",IF(N(F281)&gt;N(D281)-N(E281),"Downtime &gt; planned time",IF(AND(ISNUMBER(O281),O281&gt;1),"Check: performance above 100%","OK"))))))))))</f>
        <v/>
      </c>
      <c r="S281" s="13" t="str">
        <f aca="false">IF($T281,K281*M281/60,"")</f>
        <v/>
      </c>
      <c r="T281" s="15" t="b">
        <f aca="false">IF($C281="",FALSE(),AND(SUMPRODUCT(--(Setup!$A$5:$A$24=$C281))&gt;0,ISNUMBER(A281),ISNUMBER(K281),N(K281)&gt;0,ISNUMBER(D281),N(D281)&gt;0,ISNUMBER(G281),N(G281)&gt;=0,OR(E281="",ISNUMBER(E281)),OR(F281="",ISNUMBER(F281)),OR(H281="",ISNUMBER(H281)),N(E281)&gt;=0,N(F281)&gt;=0,N(H281)&gt;=0,N(H281)&lt;=N(G281),N(E281)&lt;N(D281),N(F281)&lt;=N(D281)-N(E281)))</f>
        <v>0</v>
      </c>
    </row>
    <row r="282" customFormat="false" ht="15" hidden="false" customHeight="false" outlineLevel="0" collapsed="false">
      <c r="A282" s="11"/>
      <c r="B282" s="8"/>
      <c r="C282" s="8"/>
      <c r="D282" s="8"/>
      <c r="E282" s="8"/>
      <c r="F282" s="8"/>
      <c r="G282" s="8"/>
      <c r="H282" s="8"/>
      <c r="I282" s="12" t="str">
        <f aca="false">IF($T282,D282-N(E282),"")</f>
        <v/>
      </c>
      <c r="J282" s="12" t="str">
        <f aca="false">IF($T282,I282-N(F282),"")</f>
        <v/>
      </c>
      <c r="K282" s="13" t="str">
        <f aca="false">IF($C282="","",IF(SUMPRODUCT(--(Setup!$A$5:$A$24=$C282))&gt;0,INDEX(Setup!$B$5:$B$24,21-SUMPRODUCT(MAX((Setup!$A$5:$A$24=$C282)*(25-ROW(Setup!$A$5:$A$24))))),""))</f>
        <v/>
      </c>
      <c r="L282" s="13" t="str">
        <f aca="false">IF($T282,K282*G282/60,"")</f>
        <v/>
      </c>
      <c r="M282" s="12" t="str">
        <f aca="false">IF($T282,G282-N(H282),"")</f>
        <v/>
      </c>
      <c r="N282" s="14" t="str">
        <f aca="false">IF($T282,J282/I282,"")</f>
        <v/>
      </c>
      <c r="O282" s="14" t="str">
        <f aca="false">IF(AND($T282,N(J282)&gt;0),L282/J282,"")</f>
        <v/>
      </c>
      <c r="P282" s="14" t="str">
        <f aca="false">IF(AND($T282,N(G282)&gt;0),M282/G282,"")</f>
        <v/>
      </c>
      <c r="Q282" s="14" t="str">
        <f aca="false">IF($T282,S282/I282,"")</f>
        <v/>
      </c>
      <c r="R282" s="10" t="str">
        <f aca="false">IF($C282="","",IF(NOT(SUMPRODUCT(--(Setup!$A$5:$A$24=$C282))&gt;0),"Machine not in Setup",IF(OR(NOT(ISNUMBER(K282)),N(K282)&lt;=0),"Set an ideal cycle time in Setup",IF(NOT(ISNUMBER(A282)),"Enter a date",IF(OR(NOT(ISNUMBER(D282)),NOT(ISNUMBER(G282)),AND(E282&lt;&gt;"",NOT(ISNUMBER(E282))),AND(F282&lt;&gt;"",NOT(ISNUMBER(F282))),AND(H282&lt;&gt;"",NOT(ISNUMBER(H282)))),"Enter numbers: shift length and total parts are required",IF(OR(N(D282)&lt;=0,N(E282)&lt;0,N(F282)&lt;0,N(G282)&lt;0,N(H282)&lt;0),"Values must be 0 or more (shift length above 0)",IF(N(H282)&gt;N(G282),"Rejects &gt; total parts",IF(N(E282)&gt;=N(D282),"Planned stops &gt;= shift length",IF(N(F282)&gt;N(D282)-N(E282),"Downtime &gt; planned time",IF(AND(ISNUMBER(O282),O282&gt;1),"Check: performance above 100%","OK"))))))))))</f>
        <v/>
      </c>
      <c r="S282" s="13" t="str">
        <f aca="false">IF($T282,K282*M282/60,"")</f>
        <v/>
      </c>
      <c r="T282" s="15" t="b">
        <f aca="false">IF($C282="",FALSE(),AND(SUMPRODUCT(--(Setup!$A$5:$A$24=$C282))&gt;0,ISNUMBER(A282),ISNUMBER(K282),N(K282)&gt;0,ISNUMBER(D282),N(D282)&gt;0,ISNUMBER(G282),N(G282)&gt;=0,OR(E282="",ISNUMBER(E282)),OR(F282="",ISNUMBER(F282)),OR(H282="",ISNUMBER(H282)),N(E282)&gt;=0,N(F282)&gt;=0,N(H282)&gt;=0,N(H282)&lt;=N(G282),N(E282)&lt;N(D282),N(F282)&lt;=N(D282)-N(E282)))</f>
        <v>0</v>
      </c>
    </row>
    <row r="283" customFormat="false" ht="15" hidden="false" customHeight="false" outlineLevel="0" collapsed="false">
      <c r="A283" s="11"/>
      <c r="B283" s="8"/>
      <c r="C283" s="8"/>
      <c r="D283" s="8"/>
      <c r="E283" s="8"/>
      <c r="F283" s="8"/>
      <c r="G283" s="8"/>
      <c r="H283" s="8"/>
      <c r="I283" s="12" t="str">
        <f aca="false">IF($T283,D283-N(E283),"")</f>
        <v/>
      </c>
      <c r="J283" s="12" t="str">
        <f aca="false">IF($T283,I283-N(F283),"")</f>
        <v/>
      </c>
      <c r="K283" s="13" t="str">
        <f aca="false">IF($C283="","",IF(SUMPRODUCT(--(Setup!$A$5:$A$24=$C283))&gt;0,INDEX(Setup!$B$5:$B$24,21-SUMPRODUCT(MAX((Setup!$A$5:$A$24=$C283)*(25-ROW(Setup!$A$5:$A$24))))),""))</f>
        <v/>
      </c>
      <c r="L283" s="13" t="str">
        <f aca="false">IF($T283,K283*G283/60,"")</f>
        <v/>
      </c>
      <c r="M283" s="12" t="str">
        <f aca="false">IF($T283,G283-N(H283),"")</f>
        <v/>
      </c>
      <c r="N283" s="14" t="str">
        <f aca="false">IF($T283,J283/I283,"")</f>
        <v/>
      </c>
      <c r="O283" s="14" t="str">
        <f aca="false">IF(AND($T283,N(J283)&gt;0),L283/J283,"")</f>
        <v/>
      </c>
      <c r="P283" s="14" t="str">
        <f aca="false">IF(AND($T283,N(G283)&gt;0),M283/G283,"")</f>
        <v/>
      </c>
      <c r="Q283" s="14" t="str">
        <f aca="false">IF($T283,S283/I283,"")</f>
        <v/>
      </c>
      <c r="R283" s="10" t="str">
        <f aca="false">IF($C283="","",IF(NOT(SUMPRODUCT(--(Setup!$A$5:$A$24=$C283))&gt;0),"Machine not in Setup",IF(OR(NOT(ISNUMBER(K283)),N(K283)&lt;=0),"Set an ideal cycle time in Setup",IF(NOT(ISNUMBER(A283)),"Enter a date",IF(OR(NOT(ISNUMBER(D283)),NOT(ISNUMBER(G283)),AND(E283&lt;&gt;"",NOT(ISNUMBER(E283))),AND(F283&lt;&gt;"",NOT(ISNUMBER(F283))),AND(H283&lt;&gt;"",NOT(ISNUMBER(H283)))),"Enter numbers: shift length and total parts are required",IF(OR(N(D283)&lt;=0,N(E283)&lt;0,N(F283)&lt;0,N(G283)&lt;0,N(H283)&lt;0),"Values must be 0 or more (shift length above 0)",IF(N(H283)&gt;N(G283),"Rejects &gt; total parts",IF(N(E283)&gt;=N(D283),"Planned stops &gt;= shift length",IF(N(F283)&gt;N(D283)-N(E283),"Downtime &gt; planned time",IF(AND(ISNUMBER(O283),O283&gt;1),"Check: performance above 100%","OK"))))))))))</f>
        <v/>
      </c>
      <c r="S283" s="13" t="str">
        <f aca="false">IF($T283,K283*M283/60,"")</f>
        <v/>
      </c>
      <c r="T283" s="15" t="b">
        <f aca="false">IF($C283="",FALSE(),AND(SUMPRODUCT(--(Setup!$A$5:$A$24=$C283))&gt;0,ISNUMBER(A283),ISNUMBER(K283),N(K283)&gt;0,ISNUMBER(D283),N(D283)&gt;0,ISNUMBER(G283),N(G283)&gt;=0,OR(E283="",ISNUMBER(E283)),OR(F283="",ISNUMBER(F283)),OR(H283="",ISNUMBER(H283)),N(E283)&gt;=0,N(F283)&gt;=0,N(H283)&gt;=0,N(H283)&lt;=N(G283),N(E283)&lt;N(D283),N(F283)&lt;=N(D283)-N(E283)))</f>
        <v>0</v>
      </c>
    </row>
    <row r="284" customFormat="false" ht="15" hidden="false" customHeight="false" outlineLevel="0" collapsed="false">
      <c r="A284" s="11"/>
      <c r="B284" s="8"/>
      <c r="C284" s="8"/>
      <c r="D284" s="8"/>
      <c r="E284" s="8"/>
      <c r="F284" s="8"/>
      <c r="G284" s="8"/>
      <c r="H284" s="8"/>
      <c r="I284" s="12" t="str">
        <f aca="false">IF($T284,D284-N(E284),"")</f>
        <v/>
      </c>
      <c r="J284" s="12" t="str">
        <f aca="false">IF($T284,I284-N(F284),"")</f>
        <v/>
      </c>
      <c r="K284" s="13" t="str">
        <f aca="false">IF($C284="","",IF(SUMPRODUCT(--(Setup!$A$5:$A$24=$C284))&gt;0,INDEX(Setup!$B$5:$B$24,21-SUMPRODUCT(MAX((Setup!$A$5:$A$24=$C284)*(25-ROW(Setup!$A$5:$A$24))))),""))</f>
        <v/>
      </c>
      <c r="L284" s="13" t="str">
        <f aca="false">IF($T284,K284*G284/60,"")</f>
        <v/>
      </c>
      <c r="M284" s="12" t="str">
        <f aca="false">IF($T284,G284-N(H284),"")</f>
        <v/>
      </c>
      <c r="N284" s="14" t="str">
        <f aca="false">IF($T284,J284/I284,"")</f>
        <v/>
      </c>
      <c r="O284" s="14" t="str">
        <f aca="false">IF(AND($T284,N(J284)&gt;0),L284/J284,"")</f>
        <v/>
      </c>
      <c r="P284" s="14" t="str">
        <f aca="false">IF(AND($T284,N(G284)&gt;0),M284/G284,"")</f>
        <v/>
      </c>
      <c r="Q284" s="14" t="str">
        <f aca="false">IF($T284,S284/I284,"")</f>
        <v/>
      </c>
      <c r="R284" s="10" t="str">
        <f aca="false">IF($C284="","",IF(NOT(SUMPRODUCT(--(Setup!$A$5:$A$24=$C284))&gt;0),"Machine not in Setup",IF(OR(NOT(ISNUMBER(K284)),N(K284)&lt;=0),"Set an ideal cycle time in Setup",IF(NOT(ISNUMBER(A284)),"Enter a date",IF(OR(NOT(ISNUMBER(D284)),NOT(ISNUMBER(G284)),AND(E284&lt;&gt;"",NOT(ISNUMBER(E284))),AND(F284&lt;&gt;"",NOT(ISNUMBER(F284))),AND(H284&lt;&gt;"",NOT(ISNUMBER(H284)))),"Enter numbers: shift length and total parts are required",IF(OR(N(D284)&lt;=0,N(E284)&lt;0,N(F284)&lt;0,N(G284)&lt;0,N(H284)&lt;0),"Values must be 0 or more (shift length above 0)",IF(N(H284)&gt;N(G284),"Rejects &gt; total parts",IF(N(E284)&gt;=N(D284),"Planned stops &gt;= shift length",IF(N(F284)&gt;N(D284)-N(E284),"Downtime &gt; planned time",IF(AND(ISNUMBER(O284),O284&gt;1),"Check: performance above 100%","OK"))))))))))</f>
        <v/>
      </c>
      <c r="S284" s="13" t="str">
        <f aca="false">IF($T284,K284*M284/60,"")</f>
        <v/>
      </c>
      <c r="T284" s="15" t="b">
        <f aca="false">IF($C284="",FALSE(),AND(SUMPRODUCT(--(Setup!$A$5:$A$24=$C284))&gt;0,ISNUMBER(A284),ISNUMBER(K284),N(K284)&gt;0,ISNUMBER(D284),N(D284)&gt;0,ISNUMBER(G284),N(G284)&gt;=0,OR(E284="",ISNUMBER(E284)),OR(F284="",ISNUMBER(F284)),OR(H284="",ISNUMBER(H284)),N(E284)&gt;=0,N(F284)&gt;=0,N(H284)&gt;=0,N(H284)&lt;=N(G284),N(E284)&lt;N(D284),N(F284)&lt;=N(D284)-N(E284)))</f>
        <v>0</v>
      </c>
    </row>
    <row r="285" customFormat="false" ht="15" hidden="false" customHeight="false" outlineLevel="0" collapsed="false">
      <c r="A285" s="11"/>
      <c r="B285" s="8"/>
      <c r="C285" s="8"/>
      <c r="D285" s="8"/>
      <c r="E285" s="8"/>
      <c r="F285" s="8"/>
      <c r="G285" s="8"/>
      <c r="H285" s="8"/>
      <c r="I285" s="12" t="str">
        <f aca="false">IF($T285,D285-N(E285),"")</f>
        <v/>
      </c>
      <c r="J285" s="12" t="str">
        <f aca="false">IF($T285,I285-N(F285),"")</f>
        <v/>
      </c>
      <c r="K285" s="13" t="str">
        <f aca="false">IF($C285="","",IF(SUMPRODUCT(--(Setup!$A$5:$A$24=$C285))&gt;0,INDEX(Setup!$B$5:$B$24,21-SUMPRODUCT(MAX((Setup!$A$5:$A$24=$C285)*(25-ROW(Setup!$A$5:$A$24))))),""))</f>
        <v/>
      </c>
      <c r="L285" s="13" t="str">
        <f aca="false">IF($T285,K285*G285/60,"")</f>
        <v/>
      </c>
      <c r="M285" s="12" t="str">
        <f aca="false">IF($T285,G285-N(H285),"")</f>
        <v/>
      </c>
      <c r="N285" s="14" t="str">
        <f aca="false">IF($T285,J285/I285,"")</f>
        <v/>
      </c>
      <c r="O285" s="14" t="str">
        <f aca="false">IF(AND($T285,N(J285)&gt;0),L285/J285,"")</f>
        <v/>
      </c>
      <c r="P285" s="14" t="str">
        <f aca="false">IF(AND($T285,N(G285)&gt;0),M285/G285,"")</f>
        <v/>
      </c>
      <c r="Q285" s="14" t="str">
        <f aca="false">IF($T285,S285/I285,"")</f>
        <v/>
      </c>
      <c r="R285" s="10" t="str">
        <f aca="false">IF($C285="","",IF(NOT(SUMPRODUCT(--(Setup!$A$5:$A$24=$C285))&gt;0),"Machine not in Setup",IF(OR(NOT(ISNUMBER(K285)),N(K285)&lt;=0),"Set an ideal cycle time in Setup",IF(NOT(ISNUMBER(A285)),"Enter a date",IF(OR(NOT(ISNUMBER(D285)),NOT(ISNUMBER(G285)),AND(E285&lt;&gt;"",NOT(ISNUMBER(E285))),AND(F285&lt;&gt;"",NOT(ISNUMBER(F285))),AND(H285&lt;&gt;"",NOT(ISNUMBER(H285)))),"Enter numbers: shift length and total parts are required",IF(OR(N(D285)&lt;=0,N(E285)&lt;0,N(F285)&lt;0,N(G285)&lt;0,N(H285)&lt;0),"Values must be 0 or more (shift length above 0)",IF(N(H285)&gt;N(G285),"Rejects &gt; total parts",IF(N(E285)&gt;=N(D285),"Planned stops &gt;= shift length",IF(N(F285)&gt;N(D285)-N(E285),"Downtime &gt; planned time",IF(AND(ISNUMBER(O285),O285&gt;1),"Check: performance above 100%","OK"))))))))))</f>
        <v/>
      </c>
      <c r="S285" s="13" t="str">
        <f aca="false">IF($T285,K285*M285/60,"")</f>
        <v/>
      </c>
      <c r="T285" s="15" t="b">
        <f aca="false">IF($C285="",FALSE(),AND(SUMPRODUCT(--(Setup!$A$5:$A$24=$C285))&gt;0,ISNUMBER(A285),ISNUMBER(K285),N(K285)&gt;0,ISNUMBER(D285),N(D285)&gt;0,ISNUMBER(G285),N(G285)&gt;=0,OR(E285="",ISNUMBER(E285)),OR(F285="",ISNUMBER(F285)),OR(H285="",ISNUMBER(H285)),N(E285)&gt;=0,N(F285)&gt;=0,N(H285)&gt;=0,N(H285)&lt;=N(G285),N(E285)&lt;N(D285),N(F285)&lt;=N(D285)-N(E285)))</f>
        <v>0</v>
      </c>
    </row>
    <row r="286" customFormat="false" ht="15" hidden="false" customHeight="false" outlineLevel="0" collapsed="false">
      <c r="A286" s="11"/>
      <c r="B286" s="8"/>
      <c r="C286" s="8"/>
      <c r="D286" s="8"/>
      <c r="E286" s="8"/>
      <c r="F286" s="8"/>
      <c r="G286" s="8"/>
      <c r="H286" s="8"/>
      <c r="I286" s="12" t="str">
        <f aca="false">IF($T286,D286-N(E286),"")</f>
        <v/>
      </c>
      <c r="J286" s="12" t="str">
        <f aca="false">IF($T286,I286-N(F286),"")</f>
        <v/>
      </c>
      <c r="K286" s="13" t="str">
        <f aca="false">IF($C286="","",IF(SUMPRODUCT(--(Setup!$A$5:$A$24=$C286))&gt;0,INDEX(Setup!$B$5:$B$24,21-SUMPRODUCT(MAX((Setup!$A$5:$A$24=$C286)*(25-ROW(Setup!$A$5:$A$24))))),""))</f>
        <v/>
      </c>
      <c r="L286" s="13" t="str">
        <f aca="false">IF($T286,K286*G286/60,"")</f>
        <v/>
      </c>
      <c r="M286" s="12" t="str">
        <f aca="false">IF($T286,G286-N(H286),"")</f>
        <v/>
      </c>
      <c r="N286" s="14" t="str">
        <f aca="false">IF($T286,J286/I286,"")</f>
        <v/>
      </c>
      <c r="O286" s="14" t="str">
        <f aca="false">IF(AND($T286,N(J286)&gt;0),L286/J286,"")</f>
        <v/>
      </c>
      <c r="P286" s="14" t="str">
        <f aca="false">IF(AND($T286,N(G286)&gt;0),M286/G286,"")</f>
        <v/>
      </c>
      <c r="Q286" s="14" t="str">
        <f aca="false">IF($T286,S286/I286,"")</f>
        <v/>
      </c>
      <c r="R286" s="10" t="str">
        <f aca="false">IF($C286="","",IF(NOT(SUMPRODUCT(--(Setup!$A$5:$A$24=$C286))&gt;0),"Machine not in Setup",IF(OR(NOT(ISNUMBER(K286)),N(K286)&lt;=0),"Set an ideal cycle time in Setup",IF(NOT(ISNUMBER(A286)),"Enter a date",IF(OR(NOT(ISNUMBER(D286)),NOT(ISNUMBER(G286)),AND(E286&lt;&gt;"",NOT(ISNUMBER(E286))),AND(F286&lt;&gt;"",NOT(ISNUMBER(F286))),AND(H286&lt;&gt;"",NOT(ISNUMBER(H286)))),"Enter numbers: shift length and total parts are required",IF(OR(N(D286)&lt;=0,N(E286)&lt;0,N(F286)&lt;0,N(G286)&lt;0,N(H286)&lt;0),"Values must be 0 or more (shift length above 0)",IF(N(H286)&gt;N(G286),"Rejects &gt; total parts",IF(N(E286)&gt;=N(D286),"Planned stops &gt;= shift length",IF(N(F286)&gt;N(D286)-N(E286),"Downtime &gt; planned time",IF(AND(ISNUMBER(O286),O286&gt;1),"Check: performance above 100%","OK"))))))))))</f>
        <v/>
      </c>
      <c r="S286" s="13" t="str">
        <f aca="false">IF($T286,K286*M286/60,"")</f>
        <v/>
      </c>
      <c r="T286" s="15" t="b">
        <f aca="false">IF($C286="",FALSE(),AND(SUMPRODUCT(--(Setup!$A$5:$A$24=$C286))&gt;0,ISNUMBER(A286),ISNUMBER(K286),N(K286)&gt;0,ISNUMBER(D286),N(D286)&gt;0,ISNUMBER(G286),N(G286)&gt;=0,OR(E286="",ISNUMBER(E286)),OR(F286="",ISNUMBER(F286)),OR(H286="",ISNUMBER(H286)),N(E286)&gt;=0,N(F286)&gt;=0,N(H286)&gt;=0,N(H286)&lt;=N(G286),N(E286)&lt;N(D286),N(F286)&lt;=N(D286)-N(E286)))</f>
        <v>0</v>
      </c>
    </row>
    <row r="287" customFormat="false" ht="15" hidden="false" customHeight="false" outlineLevel="0" collapsed="false">
      <c r="A287" s="11"/>
      <c r="B287" s="8"/>
      <c r="C287" s="8"/>
      <c r="D287" s="8"/>
      <c r="E287" s="8"/>
      <c r="F287" s="8"/>
      <c r="G287" s="8"/>
      <c r="H287" s="8"/>
      <c r="I287" s="12" t="str">
        <f aca="false">IF($T287,D287-N(E287),"")</f>
        <v/>
      </c>
      <c r="J287" s="12" t="str">
        <f aca="false">IF($T287,I287-N(F287),"")</f>
        <v/>
      </c>
      <c r="K287" s="13" t="str">
        <f aca="false">IF($C287="","",IF(SUMPRODUCT(--(Setup!$A$5:$A$24=$C287))&gt;0,INDEX(Setup!$B$5:$B$24,21-SUMPRODUCT(MAX((Setup!$A$5:$A$24=$C287)*(25-ROW(Setup!$A$5:$A$24))))),""))</f>
        <v/>
      </c>
      <c r="L287" s="13" t="str">
        <f aca="false">IF($T287,K287*G287/60,"")</f>
        <v/>
      </c>
      <c r="M287" s="12" t="str">
        <f aca="false">IF($T287,G287-N(H287),"")</f>
        <v/>
      </c>
      <c r="N287" s="14" t="str">
        <f aca="false">IF($T287,J287/I287,"")</f>
        <v/>
      </c>
      <c r="O287" s="14" t="str">
        <f aca="false">IF(AND($T287,N(J287)&gt;0),L287/J287,"")</f>
        <v/>
      </c>
      <c r="P287" s="14" t="str">
        <f aca="false">IF(AND($T287,N(G287)&gt;0),M287/G287,"")</f>
        <v/>
      </c>
      <c r="Q287" s="14" t="str">
        <f aca="false">IF($T287,S287/I287,"")</f>
        <v/>
      </c>
      <c r="R287" s="10" t="str">
        <f aca="false">IF($C287="","",IF(NOT(SUMPRODUCT(--(Setup!$A$5:$A$24=$C287))&gt;0),"Machine not in Setup",IF(OR(NOT(ISNUMBER(K287)),N(K287)&lt;=0),"Set an ideal cycle time in Setup",IF(NOT(ISNUMBER(A287)),"Enter a date",IF(OR(NOT(ISNUMBER(D287)),NOT(ISNUMBER(G287)),AND(E287&lt;&gt;"",NOT(ISNUMBER(E287))),AND(F287&lt;&gt;"",NOT(ISNUMBER(F287))),AND(H287&lt;&gt;"",NOT(ISNUMBER(H287)))),"Enter numbers: shift length and total parts are required",IF(OR(N(D287)&lt;=0,N(E287)&lt;0,N(F287)&lt;0,N(G287)&lt;0,N(H287)&lt;0),"Values must be 0 or more (shift length above 0)",IF(N(H287)&gt;N(G287),"Rejects &gt; total parts",IF(N(E287)&gt;=N(D287),"Planned stops &gt;= shift length",IF(N(F287)&gt;N(D287)-N(E287),"Downtime &gt; planned time",IF(AND(ISNUMBER(O287),O287&gt;1),"Check: performance above 100%","OK"))))))))))</f>
        <v/>
      </c>
      <c r="S287" s="13" t="str">
        <f aca="false">IF($T287,K287*M287/60,"")</f>
        <v/>
      </c>
      <c r="T287" s="15" t="b">
        <f aca="false">IF($C287="",FALSE(),AND(SUMPRODUCT(--(Setup!$A$5:$A$24=$C287))&gt;0,ISNUMBER(A287),ISNUMBER(K287),N(K287)&gt;0,ISNUMBER(D287),N(D287)&gt;0,ISNUMBER(G287),N(G287)&gt;=0,OR(E287="",ISNUMBER(E287)),OR(F287="",ISNUMBER(F287)),OR(H287="",ISNUMBER(H287)),N(E287)&gt;=0,N(F287)&gt;=0,N(H287)&gt;=0,N(H287)&lt;=N(G287),N(E287)&lt;N(D287),N(F287)&lt;=N(D287)-N(E287)))</f>
        <v>0</v>
      </c>
    </row>
    <row r="288" customFormat="false" ht="15" hidden="false" customHeight="false" outlineLevel="0" collapsed="false">
      <c r="A288" s="11"/>
      <c r="B288" s="8"/>
      <c r="C288" s="8"/>
      <c r="D288" s="8"/>
      <c r="E288" s="8"/>
      <c r="F288" s="8"/>
      <c r="G288" s="8"/>
      <c r="H288" s="8"/>
      <c r="I288" s="12" t="str">
        <f aca="false">IF($T288,D288-N(E288),"")</f>
        <v/>
      </c>
      <c r="J288" s="12" t="str">
        <f aca="false">IF($T288,I288-N(F288),"")</f>
        <v/>
      </c>
      <c r="K288" s="13" t="str">
        <f aca="false">IF($C288="","",IF(SUMPRODUCT(--(Setup!$A$5:$A$24=$C288))&gt;0,INDEX(Setup!$B$5:$B$24,21-SUMPRODUCT(MAX((Setup!$A$5:$A$24=$C288)*(25-ROW(Setup!$A$5:$A$24))))),""))</f>
        <v/>
      </c>
      <c r="L288" s="13" t="str">
        <f aca="false">IF($T288,K288*G288/60,"")</f>
        <v/>
      </c>
      <c r="M288" s="12" t="str">
        <f aca="false">IF($T288,G288-N(H288),"")</f>
        <v/>
      </c>
      <c r="N288" s="14" t="str">
        <f aca="false">IF($T288,J288/I288,"")</f>
        <v/>
      </c>
      <c r="O288" s="14" t="str">
        <f aca="false">IF(AND($T288,N(J288)&gt;0),L288/J288,"")</f>
        <v/>
      </c>
      <c r="P288" s="14" t="str">
        <f aca="false">IF(AND($T288,N(G288)&gt;0),M288/G288,"")</f>
        <v/>
      </c>
      <c r="Q288" s="14" t="str">
        <f aca="false">IF($T288,S288/I288,"")</f>
        <v/>
      </c>
      <c r="R288" s="10" t="str">
        <f aca="false">IF($C288="","",IF(NOT(SUMPRODUCT(--(Setup!$A$5:$A$24=$C288))&gt;0),"Machine not in Setup",IF(OR(NOT(ISNUMBER(K288)),N(K288)&lt;=0),"Set an ideal cycle time in Setup",IF(NOT(ISNUMBER(A288)),"Enter a date",IF(OR(NOT(ISNUMBER(D288)),NOT(ISNUMBER(G288)),AND(E288&lt;&gt;"",NOT(ISNUMBER(E288))),AND(F288&lt;&gt;"",NOT(ISNUMBER(F288))),AND(H288&lt;&gt;"",NOT(ISNUMBER(H288)))),"Enter numbers: shift length and total parts are required",IF(OR(N(D288)&lt;=0,N(E288)&lt;0,N(F288)&lt;0,N(G288)&lt;0,N(H288)&lt;0),"Values must be 0 or more (shift length above 0)",IF(N(H288)&gt;N(G288),"Rejects &gt; total parts",IF(N(E288)&gt;=N(D288),"Planned stops &gt;= shift length",IF(N(F288)&gt;N(D288)-N(E288),"Downtime &gt; planned time",IF(AND(ISNUMBER(O288),O288&gt;1),"Check: performance above 100%","OK"))))))))))</f>
        <v/>
      </c>
      <c r="S288" s="13" t="str">
        <f aca="false">IF($T288,K288*M288/60,"")</f>
        <v/>
      </c>
      <c r="T288" s="15" t="b">
        <f aca="false">IF($C288="",FALSE(),AND(SUMPRODUCT(--(Setup!$A$5:$A$24=$C288))&gt;0,ISNUMBER(A288),ISNUMBER(K288),N(K288)&gt;0,ISNUMBER(D288),N(D288)&gt;0,ISNUMBER(G288),N(G288)&gt;=0,OR(E288="",ISNUMBER(E288)),OR(F288="",ISNUMBER(F288)),OR(H288="",ISNUMBER(H288)),N(E288)&gt;=0,N(F288)&gt;=0,N(H288)&gt;=0,N(H288)&lt;=N(G288),N(E288)&lt;N(D288),N(F288)&lt;=N(D288)-N(E288)))</f>
        <v>0</v>
      </c>
    </row>
    <row r="289" customFormat="false" ht="15" hidden="false" customHeight="false" outlineLevel="0" collapsed="false">
      <c r="A289" s="11"/>
      <c r="B289" s="8"/>
      <c r="C289" s="8"/>
      <c r="D289" s="8"/>
      <c r="E289" s="8"/>
      <c r="F289" s="8"/>
      <c r="G289" s="8"/>
      <c r="H289" s="8"/>
      <c r="I289" s="12" t="str">
        <f aca="false">IF($T289,D289-N(E289),"")</f>
        <v/>
      </c>
      <c r="J289" s="12" t="str">
        <f aca="false">IF($T289,I289-N(F289),"")</f>
        <v/>
      </c>
      <c r="K289" s="13" t="str">
        <f aca="false">IF($C289="","",IF(SUMPRODUCT(--(Setup!$A$5:$A$24=$C289))&gt;0,INDEX(Setup!$B$5:$B$24,21-SUMPRODUCT(MAX((Setup!$A$5:$A$24=$C289)*(25-ROW(Setup!$A$5:$A$24))))),""))</f>
        <v/>
      </c>
      <c r="L289" s="13" t="str">
        <f aca="false">IF($T289,K289*G289/60,"")</f>
        <v/>
      </c>
      <c r="M289" s="12" t="str">
        <f aca="false">IF($T289,G289-N(H289),"")</f>
        <v/>
      </c>
      <c r="N289" s="14" t="str">
        <f aca="false">IF($T289,J289/I289,"")</f>
        <v/>
      </c>
      <c r="O289" s="14" t="str">
        <f aca="false">IF(AND($T289,N(J289)&gt;0),L289/J289,"")</f>
        <v/>
      </c>
      <c r="P289" s="14" t="str">
        <f aca="false">IF(AND($T289,N(G289)&gt;0),M289/G289,"")</f>
        <v/>
      </c>
      <c r="Q289" s="14" t="str">
        <f aca="false">IF($T289,S289/I289,"")</f>
        <v/>
      </c>
      <c r="R289" s="10" t="str">
        <f aca="false">IF($C289="","",IF(NOT(SUMPRODUCT(--(Setup!$A$5:$A$24=$C289))&gt;0),"Machine not in Setup",IF(OR(NOT(ISNUMBER(K289)),N(K289)&lt;=0),"Set an ideal cycle time in Setup",IF(NOT(ISNUMBER(A289)),"Enter a date",IF(OR(NOT(ISNUMBER(D289)),NOT(ISNUMBER(G289)),AND(E289&lt;&gt;"",NOT(ISNUMBER(E289))),AND(F289&lt;&gt;"",NOT(ISNUMBER(F289))),AND(H289&lt;&gt;"",NOT(ISNUMBER(H289)))),"Enter numbers: shift length and total parts are required",IF(OR(N(D289)&lt;=0,N(E289)&lt;0,N(F289)&lt;0,N(G289)&lt;0,N(H289)&lt;0),"Values must be 0 or more (shift length above 0)",IF(N(H289)&gt;N(G289),"Rejects &gt; total parts",IF(N(E289)&gt;=N(D289),"Planned stops &gt;= shift length",IF(N(F289)&gt;N(D289)-N(E289),"Downtime &gt; planned time",IF(AND(ISNUMBER(O289),O289&gt;1),"Check: performance above 100%","OK"))))))))))</f>
        <v/>
      </c>
      <c r="S289" s="13" t="str">
        <f aca="false">IF($T289,K289*M289/60,"")</f>
        <v/>
      </c>
      <c r="T289" s="15" t="b">
        <f aca="false">IF($C289="",FALSE(),AND(SUMPRODUCT(--(Setup!$A$5:$A$24=$C289))&gt;0,ISNUMBER(A289),ISNUMBER(K289),N(K289)&gt;0,ISNUMBER(D289),N(D289)&gt;0,ISNUMBER(G289),N(G289)&gt;=0,OR(E289="",ISNUMBER(E289)),OR(F289="",ISNUMBER(F289)),OR(H289="",ISNUMBER(H289)),N(E289)&gt;=0,N(F289)&gt;=0,N(H289)&gt;=0,N(H289)&lt;=N(G289),N(E289)&lt;N(D289),N(F289)&lt;=N(D289)-N(E289)))</f>
        <v>0</v>
      </c>
    </row>
    <row r="290" customFormat="false" ht="15" hidden="false" customHeight="false" outlineLevel="0" collapsed="false">
      <c r="A290" s="11"/>
      <c r="B290" s="8"/>
      <c r="C290" s="8"/>
      <c r="D290" s="8"/>
      <c r="E290" s="8"/>
      <c r="F290" s="8"/>
      <c r="G290" s="8"/>
      <c r="H290" s="8"/>
      <c r="I290" s="12" t="str">
        <f aca="false">IF($T290,D290-N(E290),"")</f>
        <v/>
      </c>
      <c r="J290" s="12" t="str">
        <f aca="false">IF($T290,I290-N(F290),"")</f>
        <v/>
      </c>
      <c r="K290" s="13" t="str">
        <f aca="false">IF($C290="","",IF(SUMPRODUCT(--(Setup!$A$5:$A$24=$C290))&gt;0,INDEX(Setup!$B$5:$B$24,21-SUMPRODUCT(MAX((Setup!$A$5:$A$24=$C290)*(25-ROW(Setup!$A$5:$A$24))))),""))</f>
        <v/>
      </c>
      <c r="L290" s="13" t="str">
        <f aca="false">IF($T290,K290*G290/60,"")</f>
        <v/>
      </c>
      <c r="M290" s="12" t="str">
        <f aca="false">IF($T290,G290-N(H290),"")</f>
        <v/>
      </c>
      <c r="N290" s="14" t="str">
        <f aca="false">IF($T290,J290/I290,"")</f>
        <v/>
      </c>
      <c r="O290" s="14" t="str">
        <f aca="false">IF(AND($T290,N(J290)&gt;0),L290/J290,"")</f>
        <v/>
      </c>
      <c r="P290" s="14" t="str">
        <f aca="false">IF(AND($T290,N(G290)&gt;0),M290/G290,"")</f>
        <v/>
      </c>
      <c r="Q290" s="14" t="str">
        <f aca="false">IF($T290,S290/I290,"")</f>
        <v/>
      </c>
      <c r="R290" s="10" t="str">
        <f aca="false">IF($C290="","",IF(NOT(SUMPRODUCT(--(Setup!$A$5:$A$24=$C290))&gt;0),"Machine not in Setup",IF(OR(NOT(ISNUMBER(K290)),N(K290)&lt;=0),"Set an ideal cycle time in Setup",IF(NOT(ISNUMBER(A290)),"Enter a date",IF(OR(NOT(ISNUMBER(D290)),NOT(ISNUMBER(G290)),AND(E290&lt;&gt;"",NOT(ISNUMBER(E290))),AND(F290&lt;&gt;"",NOT(ISNUMBER(F290))),AND(H290&lt;&gt;"",NOT(ISNUMBER(H290)))),"Enter numbers: shift length and total parts are required",IF(OR(N(D290)&lt;=0,N(E290)&lt;0,N(F290)&lt;0,N(G290)&lt;0,N(H290)&lt;0),"Values must be 0 or more (shift length above 0)",IF(N(H290)&gt;N(G290),"Rejects &gt; total parts",IF(N(E290)&gt;=N(D290),"Planned stops &gt;= shift length",IF(N(F290)&gt;N(D290)-N(E290),"Downtime &gt; planned time",IF(AND(ISNUMBER(O290),O290&gt;1),"Check: performance above 100%","OK"))))))))))</f>
        <v/>
      </c>
      <c r="S290" s="13" t="str">
        <f aca="false">IF($T290,K290*M290/60,"")</f>
        <v/>
      </c>
      <c r="T290" s="15" t="b">
        <f aca="false">IF($C290="",FALSE(),AND(SUMPRODUCT(--(Setup!$A$5:$A$24=$C290))&gt;0,ISNUMBER(A290),ISNUMBER(K290),N(K290)&gt;0,ISNUMBER(D290),N(D290)&gt;0,ISNUMBER(G290),N(G290)&gt;=0,OR(E290="",ISNUMBER(E290)),OR(F290="",ISNUMBER(F290)),OR(H290="",ISNUMBER(H290)),N(E290)&gt;=0,N(F290)&gt;=0,N(H290)&gt;=0,N(H290)&lt;=N(G290),N(E290)&lt;N(D290),N(F290)&lt;=N(D290)-N(E290)))</f>
        <v>0</v>
      </c>
    </row>
    <row r="291" customFormat="false" ht="15" hidden="false" customHeight="false" outlineLevel="0" collapsed="false">
      <c r="A291" s="11"/>
      <c r="B291" s="8"/>
      <c r="C291" s="8"/>
      <c r="D291" s="8"/>
      <c r="E291" s="8"/>
      <c r="F291" s="8"/>
      <c r="G291" s="8"/>
      <c r="H291" s="8"/>
      <c r="I291" s="12" t="str">
        <f aca="false">IF($T291,D291-N(E291),"")</f>
        <v/>
      </c>
      <c r="J291" s="12" t="str">
        <f aca="false">IF($T291,I291-N(F291),"")</f>
        <v/>
      </c>
      <c r="K291" s="13" t="str">
        <f aca="false">IF($C291="","",IF(SUMPRODUCT(--(Setup!$A$5:$A$24=$C291))&gt;0,INDEX(Setup!$B$5:$B$24,21-SUMPRODUCT(MAX((Setup!$A$5:$A$24=$C291)*(25-ROW(Setup!$A$5:$A$24))))),""))</f>
        <v/>
      </c>
      <c r="L291" s="13" t="str">
        <f aca="false">IF($T291,K291*G291/60,"")</f>
        <v/>
      </c>
      <c r="M291" s="12" t="str">
        <f aca="false">IF($T291,G291-N(H291),"")</f>
        <v/>
      </c>
      <c r="N291" s="14" t="str">
        <f aca="false">IF($T291,J291/I291,"")</f>
        <v/>
      </c>
      <c r="O291" s="14" t="str">
        <f aca="false">IF(AND($T291,N(J291)&gt;0),L291/J291,"")</f>
        <v/>
      </c>
      <c r="P291" s="14" t="str">
        <f aca="false">IF(AND($T291,N(G291)&gt;0),M291/G291,"")</f>
        <v/>
      </c>
      <c r="Q291" s="14" t="str">
        <f aca="false">IF($T291,S291/I291,"")</f>
        <v/>
      </c>
      <c r="R291" s="10" t="str">
        <f aca="false">IF($C291="","",IF(NOT(SUMPRODUCT(--(Setup!$A$5:$A$24=$C291))&gt;0),"Machine not in Setup",IF(OR(NOT(ISNUMBER(K291)),N(K291)&lt;=0),"Set an ideal cycle time in Setup",IF(NOT(ISNUMBER(A291)),"Enter a date",IF(OR(NOT(ISNUMBER(D291)),NOT(ISNUMBER(G291)),AND(E291&lt;&gt;"",NOT(ISNUMBER(E291))),AND(F291&lt;&gt;"",NOT(ISNUMBER(F291))),AND(H291&lt;&gt;"",NOT(ISNUMBER(H291)))),"Enter numbers: shift length and total parts are required",IF(OR(N(D291)&lt;=0,N(E291)&lt;0,N(F291)&lt;0,N(G291)&lt;0,N(H291)&lt;0),"Values must be 0 or more (shift length above 0)",IF(N(H291)&gt;N(G291),"Rejects &gt; total parts",IF(N(E291)&gt;=N(D291),"Planned stops &gt;= shift length",IF(N(F291)&gt;N(D291)-N(E291),"Downtime &gt; planned time",IF(AND(ISNUMBER(O291),O291&gt;1),"Check: performance above 100%","OK"))))))))))</f>
        <v/>
      </c>
      <c r="S291" s="13" t="str">
        <f aca="false">IF($T291,K291*M291/60,"")</f>
        <v/>
      </c>
      <c r="T291" s="15" t="b">
        <f aca="false">IF($C291="",FALSE(),AND(SUMPRODUCT(--(Setup!$A$5:$A$24=$C291))&gt;0,ISNUMBER(A291),ISNUMBER(K291),N(K291)&gt;0,ISNUMBER(D291),N(D291)&gt;0,ISNUMBER(G291),N(G291)&gt;=0,OR(E291="",ISNUMBER(E291)),OR(F291="",ISNUMBER(F291)),OR(H291="",ISNUMBER(H291)),N(E291)&gt;=0,N(F291)&gt;=0,N(H291)&gt;=0,N(H291)&lt;=N(G291),N(E291)&lt;N(D291),N(F291)&lt;=N(D291)-N(E291)))</f>
        <v>0</v>
      </c>
    </row>
    <row r="292" customFormat="false" ht="15" hidden="false" customHeight="false" outlineLevel="0" collapsed="false">
      <c r="A292" s="11"/>
      <c r="B292" s="8"/>
      <c r="C292" s="8"/>
      <c r="D292" s="8"/>
      <c r="E292" s="8"/>
      <c r="F292" s="8"/>
      <c r="G292" s="8"/>
      <c r="H292" s="8"/>
      <c r="I292" s="12" t="str">
        <f aca="false">IF($T292,D292-N(E292),"")</f>
        <v/>
      </c>
      <c r="J292" s="12" t="str">
        <f aca="false">IF($T292,I292-N(F292),"")</f>
        <v/>
      </c>
      <c r="K292" s="13" t="str">
        <f aca="false">IF($C292="","",IF(SUMPRODUCT(--(Setup!$A$5:$A$24=$C292))&gt;0,INDEX(Setup!$B$5:$B$24,21-SUMPRODUCT(MAX((Setup!$A$5:$A$24=$C292)*(25-ROW(Setup!$A$5:$A$24))))),""))</f>
        <v/>
      </c>
      <c r="L292" s="13" t="str">
        <f aca="false">IF($T292,K292*G292/60,"")</f>
        <v/>
      </c>
      <c r="M292" s="12" t="str">
        <f aca="false">IF($T292,G292-N(H292),"")</f>
        <v/>
      </c>
      <c r="N292" s="14" t="str">
        <f aca="false">IF($T292,J292/I292,"")</f>
        <v/>
      </c>
      <c r="O292" s="14" t="str">
        <f aca="false">IF(AND($T292,N(J292)&gt;0),L292/J292,"")</f>
        <v/>
      </c>
      <c r="P292" s="14" t="str">
        <f aca="false">IF(AND($T292,N(G292)&gt;0),M292/G292,"")</f>
        <v/>
      </c>
      <c r="Q292" s="14" t="str">
        <f aca="false">IF($T292,S292/I292,"")</f>
        <v/>
      </c>
      <c r="R292" s="10" t="str">
        <f aca="false">IF($C292="","",IF(NOT(SUMPRODUCT(--(Setup!$A$5:$A$24=$C292))&gt;0),"Machine not in Setup",IF(OR(NOT(ISNUMBER(K292)),N(K292)&lt;=0),"Set an ideal cycle time in Setup",IF(NOT(ISNUMBER(A292)),"Enter a date",IF(OR(NOT(ISNUMBER(D292)),NOT(ISNUMBER(G292)),AND(E292&lt;&gt;"",NOT(ISNUMBER(E292))),AND(F292&lt;&gt;"",NOT(ISNUMBER(F292))),AND(H292&lt;&gt;"",NOT(ISNUMBER(H292)))),"Enter numbers: shift length and total parts are required",IF(OR(N(D292)&lt;=0,N(E292)&lt;0,N(F292)&lt;0,N(G292)&lt;0,N(H292)&lt;0),"Values must be 0 or more (shift length above 0)",IF(N(H292)&gt;N(G292),"Rejects &gt; total parts",IF(N(E292)&gt;=N(D292),"Planned stops &gt;= shift length",IF(N(F292)&gt;N(D292)-N(E292),"Downtime &gt; planned time",IF(AND(ISNUMBER(O292),O292&gt;1),"Check: performance above 100%","OK"))))))))))</f>
        <v/>
      </c>
      <c r="S292" s="13" t="str">
        <f aca="false">IF($T292,K292*M292/60,"")</f>
        <v/>
      </c>
      <c r="T292" s="15" t="b">
        <f aca="false">IF($C292="",FALSE(),AND(SUMPRODUCT(--(Setup!$A$5:$A$24=$C292))&gt;0,ISNUMBER(A292),ISNUMBER(K292),N(K292)&gt;0,ISNUMBER(D292),N(D292)&gt;0,ISNUMBER(G292),N(G292)&gt;=0,OR(E292="",ISNUMBER(E292)),OR(F292="",ISNUMBER(F292)),OR(H292="",ISNUMBER(H292)),N(E292)&gt;=0,N(F292)&gt;=0,N(H292)&gt;=0,N(H292)&lt;=N(G292),N(E292)&lt;N(D292),N(F292)&lt;=N(D292)-N(E292)))</f>
        <v>0</v>
      </c>
    </row>
    <row r="293" customFormat="false" ht="15" hidden="false" customHeight="false" outlineLevel="0" collapsed="false">
      <c r="A293" s="11"/>
      <c r="B293" s="8"/>
      <c r="C293" s="8"/>
      <c r="D293" s="8"/>
      <c r="E293" s="8"/>
      <c r="F293" s="8"/>
      <c r="G293" s="8"/>
      <c r="H293" s="8"/>
      <c r="I293" s="12" t="str">
        <f aca="false">IF($T293,D293-N(E293),"")</f>
        <v/>
      </c>
      <c r="J293" s="12" t="str">
        <f aca="false">IF($T293,I293-N(F293),"")</f>
        <v/>
      </c>
      <c r="K293" s="13" t="str">
        <f aca="false">IF($C293="","",IF(SUMPRODUCT(--(Setup!$A$5:$A$24=$C293))&gt;0,INDEX(Setup!$B$5:$B$24,21-SUMPRODUCT(MAX((Setup!$A$5:$A$24=$C293)*(25-ROW(Setup!$A$5:$A$24))))),""))</f>
        <v/>
      </c>
      <c r="L293" s="13" t="str">
        <f aca="false">IF($T293,K293*G293/60,"")</f>
        <v/>
      </c>
      <c r="M293" s="12" t="str">
        <f aca="false">IF($T293,G293-N(H293),"")</f>
        <v/>
      </c>
      <c r="N293" s="14" t="str">
        <f aca="false">IF($T293,J293/I293,"")</f>
        <v/>
      </c>
      <c r="O293" s="14" t="str">
        <f aca="false">IF(AND($T293,N(J293)&gt;0),L293/J293,"")</f>
        <v/>
      </c>
      <c r="P293" s="14" t="str">
        <f aca="false">IF(AND($T293,N(G293)&gt;0),M293/G293,"")</f>
        <v/>
      </c>
      <c r="Q293" s="14" t="str">
        <f aca="false">IF($T293,S293/I293,"")</f>
        <v/>
      </c>
      <c r="R293" s="10" t="str">
        <f aca="false">IF($C293="","",IF(NOT(SUMPRODUCT(--(Setup!$A$5:$A$24=$C293))&gt;0),"Machine not in Setup",IF(OR(NOT(ISNUMBER(K293)),N(K293)&lt;=0),"Set an ideal cycle time in Setup",IF(NOT(ISNUMBER(A293)),"Enter a date",IF(OR(NOT(ISNUMBER(D293)),NOT(ISNUMBER(G293)),AND(E293&lt;&gt;"",NOT(ISNUMBER(E293))),AND(F293&lt;&gt;"",NOT(ISNUMBER(F293))),AND(H293&lt;&gt;"",NOT(ISNUMBER(H293)))),"Enter numbers: shift length and total parts are required",IF(OR(N(D293)&lt;=0,N(E293)&lt;0,N(F293)&lt;0,N(G293)&lt;0,N(H293)&lt;0),"Values must be 0 or more (shift length above 0)",IF(N(H293)&gt;N(G293),"Rejects &gt; total parts",IF(N(E293)&gt;=N(D293),"Planned stops &gt;= shift length",IF(N(F293)&gt;N(D293)-N(E293),"Downtime &gt; planned time",IF(AND(ISNUMBER(O293),O293&gt;1),"Check: performance above 100%","OK"))))))))))</f>
        <v/>
      </c>
      <c r="S293" s="13" t="str">
        <f aca="false">IF($T293,K293*M293/60,"")</f>
        <v/>
      </c>
      <c r="T293" s="15" t="b">
        <f aca="false">IF($C293="",FALSE(),AND(SUMPRODUCT(--(Setup!$A$5:$A$24=$C293))&gt;0,ISNUMBER(A293),ISNUMBER(K293),N(K293)&gt;0,ISNUMBER(D293),N(D293)&gt;0,ISNUMBER(G293),N(G293)&gt;=0,OR(E293="",ISNUMBER(E293)),OR(F293="",ISNUMBER(F293)),OR(H293="",ISNUMBER(H293)),N(E293)&gt;=0,N(F293)&gt;=0,N(H293)&gt;=0,N(H293)&lt;=N(G293),N(E293)&lt;N(D293),N(F293)&lt;=N(D293)-N(E293)))</f>
        <v>0</v>
      </c>
    </row>
    <row r="294" customFormat="false" ht="15" hidden="false" customHeight="false" outlineLevel="0" collapsed="false">
      <c r="A294" s="11"/>
      <c r="B294" s="8"/>
      <c r="C294" s="8"/>
      <c r="D294" s="8"/>
      <c r="E294" s="8"/>
      <c r="F294" s="8"/>
      <c r="G294" s="8"/>
      <c r="H294" s="8"/>
      <c r="I294" s="12" t="str">
        <f aca="false">IF($T294,D294-N(E294),"")</f>
        <v/>
      </c>
      <c r="J294" s="12" t="str">
        <f aca="false">IF($T294,I294-N(F294),"")</f>
        <v/>
      </c>
      <c r="K294" s="13" t="str">
        <f aca="false">IF($C294="","",IF(SUMPRODUCT(--(Setup!$A$5:$A$24=$C294))&gt;0,INDEX(Setup!$B$5:$B$24,21-SUMPRODUCT(MAX((Setup!$A$5:$A$24=$C294)*(25-ROW(Setup!$A$5:$A$24))))),""))</f>
        <v/>
      </c>
      <c r="L294" s="13" t="str">
        <f aca="false">IF($T294,K294*G294/60,"")</f>
        <v/>
      </c>
      <c r="M294" s="12" t="str">
        <f aca="false">IF($T294,G294-N(H294),"")</f>
        <v/>
      </c>
      <c r="N294" s="14" t="str">
        <f aca="false">IF($T294,J294/I294,"")</f>
        <v/>
      </c>
      <c r="O294" s="14" t="str">
        <f aca="false">IF(AND($T294,N(J294)&gt;0),L294/J294,"")</f>
        <v/>
      </c>
      <c r="P294" s="14" t="str">
        <f aca="false">IF(AND($T294,N(G294)&gt;0),M294/G294,"")</f>
        <v/>
      </c>
      <c r="Q294" s="14" t="str">
        <f aca="false">IF($T294,S294/I294,"")</f>
        <v/>
      </c>
      <c r="R294" s="10" t="str">
        <f aca="false">IF($C294="","",IF(NOT(SUMPRODUCT(--(Setup!$A$5:$A$24=$C294))&gt;0),"Machine not in Setup",IF(OR(NOT(ISNUMBER(K294)),N(K294)&lt;=0),"Set an ideal cycle time in Setup",IF(NOT(ISNUMBER(A294)),"Enter a date",IF(OR(NOT(ISNUMBER(D294)),NOT(ISNUMBER(G294)),AND(E294&lt;&gt;"",NOT(ISNUMBER(E294))),AND(F294&lt;&gt;"",NOT(ISNUMBER(F294))),AND(H294&lt;&gt;"",NOT(ISNUMBER(H294)))),"Enter numbers: shift length and total parts are required",IF(OR(N(D294)&lt;=0,N(E294)&lt;0,N(F294)&lt;0,N(G294)&lt;0,N(H294)&lt;0),"Values must be 0 or more (shift length above 0)",IF(N(H294)&gt;N(G294),"Rejects &gt; total parts",IF(N(E294)&gt;=N(D294),"Planned stops &gt;= shift length",IF(N(F294)&gt;N(D294)-N(E294),"Downtime &gt; planned time",IF(AND(ISNUMBER(O294),O294&gt;1),"Check: performance above 100%","OK"))))))))))</f>
        <v/>
      </c>
      <c r="S294" s="13" t="str">
        <f aca="false">IF($T294,K294*M294/60,"")</f>
        <v/>
      </c>
      <c r="T294" s="15" t="b">
        <f aca="false">IF($C294="",FALSE(),AND(SUMPRODUCT(--(Setup!$A$5:$A$24=$C294))&gt;0,ISNUMBER(A294),ISNUMBER(K294),N(K294)&gt;0,ISNUMBER(D294),N(D294)&gt;0,ISNUMBER(G294),N(G294)&gt;=0,OR(E294="",ISNUMBER(E294)),OR(F294="",ISNUMBER(F294)),OR(H294="",ISNUMBER(H294)),N(E294)&gt;=0,N(F294)&gt;=0,N(H294)&gt;=0,N(H294)&lt;=N(G294),N(E294)&lt;N(D294),N(F294)&lt;=N(D294)-N(E294)))</f>
        <v>0</v>
      </c>
    </row>
    <row r="295" customFormat="false" ht="15" hidden="false" customHeight="false" outlineLevel="0" collapsed="false">
      <c r="A295" s="11"/>
      <c r="B295" s="8"/>
      <c r="C295" s="8"/>
      <c r="D295" s="8"/>
      <c r="E295" s="8"/>
      <c r="F295" s="8"/>
      <c r="G295" s="8"/>
      <c r="H295" s="8"/>
      <c r="I295" s="12" t="str">
        <f aca="false">IF($T295,D295-N(E295),"")</f>
        <v/>
      </c>
      <c r="J295" s="12" t="str">
        <f aca="false">IF($T295,I295-N(F295),"")</f>
        <v/>
      </c>
      <c r="K295" s="13" t="str">
        <f aca="false">IF($C295="","",IF(SUMPRODUCT(--(Setup!$A$5:$A$24=$C295))&gt;0,INDEX(Setup!$B$5:$B$24,21-SUMPRODUCT(MAX((Setup!$A$5:$A$24=$C295)*(25-ROW(Setup!$A$5:$A$24))))),""))</f>
        <v/>
      </c>
      <c r="L295" s="13" t="str">
        <f aca="false">IF($T295,K295*G295/60,"")</f>
        <v/>
      </c>
      <c r="M295" s="12" t="str">
        <f aca="false">IF($T295,G295-N(H295),"")</f>
        <v/>
      </c>
      <c r="N295" s="14" t="str">
        <f aca="false">IF($T295,J295/I295,"")</f>
        <v/>
      </c>
      <c r="O295" s="14" t="str">
        <f aca="false">IF(AND($T295,N(J295)&gt;0),L295/J295,"")</f>
        <v/>
      </c>
      <c r="P295" s="14" t="str">
        <f aca="false">IF(AND($T295,N(G295)&gt;0),M295/G295,"")</f>
        <v/>
      </c>
      <c r="Q295" s="14" t="str">
        <f aca="false">IF($T295,S295/I295,"")</f>
        <v/>
      </c>
      <c r="R295" s="10" t="str">
        <f aca="false">IF($C295="","",IF(NOT(SUMPRODUCT(--(Setup!$A$5:$A$24=$C295))&gt;0),"Machine not in Setup",IF(OR(NOT(ISNUMBER(K295)),N(K295)&lt;=0),"Set an ideal cycle time in Setup",IF(NOT(ISNUMBER(A295)),"Enter a date",IF(OR(NOT(ISNUMBER(D295)),NOT(ISNUMBER(G295)),AND(E295&lt;&gt;"",NOT(ISNUMBER(E295))),AND(F295&lt;&gt;"",NOT(ISNUMBER(F295))),AND(H295&lt;&gt;"",NOT(ISNUMBER(H295)))),"Enter numbers: shift length and total parts are required",IF(OR(N(D295)&lt;=0,N(E295)&lt;0,N(F295)&lt;0,N(G295)&lt;0,N(H295)&lt;0),"Values must be 0 or more (shift length above 0)",IF(N(H295)&gt;N(G295),"Rejects &gt; total parts",IF(N(E295)&gt;=N(D295),"Planned stops &gt;= shift length",IF(N(F295)&gt;N(D295)-N(E295),"Downtime &gt; planned time",IF(AND(ISNUMBER(O295),O295&gt;1),"Check: performance above 100%","OK"))))))))))</f>
        <v/>
      </c>
      <c r="S295" s="13" t="str">
        <f aca="false">IF($T295,K295*M295/60,"")</f>
        <v/>
      </c>
      <c r="T295" s="15" t="b">
        <f aca="false">IF($C295="",FALSE(),AND(SUMPRODUCT(--(Setup!$A$5:$A$24=$C295))&gt;0,ISNUMBER(A295),ISNUMBER(K295),N(K295)&gt;0,ISNUMBER(D295),N(D295)&gt;0,ISNUMBER(G295),N(G295)&gt;=0,OR(E295="",ISNUMBER(E295)),OR(F295="",ISNUMBER(F295)),OR(H295="",ISNUMBER(H295)),N(E295)&gt;=0,N(F295)&gt;=0,N(H295)&gt;=0,N(H295)&lt;=N(G295),N(E295)&lt;N(D295),N(F295)&lt;=N(D295)-N(E295)))</f>
        <v>0</v>
      </c>
    </row>
    <row r="296" customFormat="false" ht="15" hidden="false" customHeight="false" outlineLevel="0" collapsed="false">
      <c r="A296" s="11"/>
      <c r="B296" s="8"/>
      <c r="C296" s="8"/>
      <c r="D296" s="8"/>
      <c r="E296" s="8"/>
      <c r="F296" s="8"/>
      <c r="G296" s="8"/>
      <c r="H296" s="8"/>
      <c r="I296" s="12" t="str">
        <f aca="false">IF($T296,D296-N(E296),"")</f>
        <v/>
      </c>
      <c r="J296" s="12" t="str">
        <f aca="false">IF($T296,I296-N(F296),"")</f>
        <v/>
      </c>
      <c r="K296" s="13" t="str">
        <f aca="false">IF($C296="","",IF(SUMPRODUCT(--(Setup!$A$5:$A$24=$C296))&gt;0,INDEX(Setup!$B$5:$B$24,21-SUMPRODUCT(MAX((Setup!$A$5:$A$24=$C296)*(25-ROW(Setup!$A$5:$A$24))))),""))</f>
        <v/>
      </c>
      <c r="L296" s="13" t="str">
        <f aca="false">IF($T296,K296*G296/60,"")</f>
        <v/>
      </c>
      <c r="M296" s="12" t="str">
        <f aca="false">IF($T296,G296-N(H296),"")</f>
        <v/>
      </c>
      <c r="N296" s="14" t="str">
        <f aca="false">IF($T296,J296/I296,"")</f>
        <v/>
      </c>
      <c r="O296" s="14" t="str">
        <f aca="false">IF(AND($T296,N(J296)&gt;0),L296/J296,"")</f>
        <v/>
      </c>
      <c r="P296" s="14" t="str">
        <f aca="false">IF(AND($T296,N(G296)&gt;0),M296/G296,"")</f>
        <v/>
      </c>
      <c r="Q296" s="14" t="str">
        <f aca="false">IF($T296,S296/I296,"")</f>
        <v/>
      </c>
      <c r="R296" s="10" t="str">
        <f aca="false">IF($C296="","",IF(NOT(SUMPRODUCT(--(Setup!$A$5:$A$24=$C296))&gt;0),"Machine not in Setup",IF(OR(NOT(ISNUMBER(K296)),N(K296)&lt;=0),"Set an ideal cycle time in Setup",IF(NOT(ISNUMBER(A296)),"Enter a date",IF(OR(NOT(ISNUMBER(D296)),NOT(ISNUMBER(G296)),AND(E296&lt;&gt;"",NOT(ISNUMBER(E296))),AND(F296&lt;&gt;"",NOT(ISNUMBER(F296))),AND(H296&lt;&gt;"",NOT(ISNUMBER(H296)))),"Enter numbers: shift length and total parts are required",IF(OR(N(D296)&lt;=0,N(E296)&lt;0,N(F296)&lt;0,N(G296)&lt;0,N(H296)&lt;0),"Values must be 0 or more (shift length above 0)",IF(N(H296)&gt;N(G296),"Rejects &gt; total parts",IF(N(E296)&gt;=N(D296),"Planned stops &gt;= shift length",IF(N(F296)&gt;N(D296)-N(E296),"Downtime &gt; planned time",IF(AND(ISNUMBER(O296),O296&gt;1),"Check: performance above 100%","OK"))))))))))</f>
        <v/>
      </c>
      <c r="S296" s="13" t="str">
        <f aca="false">IF($T296,K296*M296/60,"")</f>
        <v/>
      </c>
      <c r="T296" s="15" t="b">
        <f aca="false">IF($C296="",FALSE(),AND(SUMPRODUCT(--(Setup!$A$5:$A$24=$C296))&gt;0,ISNUMBER(A296),ISNUMBER(K296),N(K296)&gt;0,ISNUMBER(D296),N(D296)&gt;0,ISNUMBER(G296),N(G296)&gt;=0,OR(E296="",ISNUMBER(E296)),OR(F296="",ISNUMBER(F296)),OR(H296="",ISNUMBER(H296)),N(E296)&gt;=0,N(F296)&gt;=0,N(H296)&gt;=0,N(H296)&lt;=N(G296),N(E296)&lt;N(D296),N(F296)&lt;=N(D296)-N(E296)))</f>
        <v>0</v>
      </c>
    </row>
    <row r="297" customFormat="false" ht="15" hidden="false" customHeight="false" outlineLevel="0" collapsed="false">
      <c r="A297" s="11"/>
      <c r="B297" s="8"/>
      <c r="C297" s="8"/>
      <c r="D297" s="8"/>
      <c r="E297" s="8"/>
      <c r="F297" s="8"/>
      <c r="G297" s="8"/>
      <c r="H297" s="8"/>
      <c r="I297" s="12" t="str">
        <f aca="false">IF($T297,D297-N(E297),"")</f>
        <v/>
      </c>
      <c r="J297" s="12" t="str">
        <f aca="false">IF($T297,I297-N(F297),"")</f>
        <v/>
      </c>
      <c r="K297" s="13" t="str">
        <f aca="false">IF($C297="","",IF(SUMPRODUCT(--(Setup!$A$5:$A$24=$C297))&gt;0,INDEX(Setup!$B$5:$B$24,21-SUMPRODUCT(MAX((Setup!$A$5:$A$24=$C297)*(25-ROW(Setup!$A$5:$A$24))))),""))</f>
        <v/>
      </c>
      <c r="L297" s="13" t="str">
        <f aca="false">IF($T297,K297*G297/60,"")</f>
        <v/>
      </c>
      <c r="M297" s="12" t="str">
        <f aca="false">IF($T297,G297-N(H297),"")</f>
        <v/>
      </c>
      <c r="N297" s="14" t="str">
        <f aca="false">IF($T297,J297/I297,"")</f>
        <v/>
      </c>
      <c r="O297" s="14" t="str">
        <f aca="false">IF(AND($T297,N(J297)&gt;0),L297/J297,"")</f>
        <v/>
      </c>
      <c r="P297" s="14" t="str">
        <f aca="false">IF(AND($T297,N(G297)&gt;0),M297/G297,"")</f>
        <v/>
      </c>
      <c r="Q297" s="14" t="str">
        <f aca="false">IF($T297,S297/I297,"")</f>
        <v/>
      </c>
      <c r="R297" s="10" t="str">
        <f aca="false">IF($C297="","",IF(NOT(SUMPRODUCT(--(Setup!$A$5:$A$24=$C297))&gt;0),"Machine not in Setup",IF(OR(NOT(ISNUMBER(K297)),N(K297)&lt;=0),"Set an ideal cycle time in Setup",IF(NOT(ISNUMBER(A297)),"Enter a date",IF(OR(NOT(ISNUMBER(D297)),NOT(ISNUMBER(G297)),AND(E297&lt;&gt;"",NOT(ISNUMBER(E297))),AND(F297&lt;&gt;"",NOT(ISNUMBER(F297))),AND(H297&lt;&gt;"",NOT(ISNUMBER(H297)))),"Enter numbers: shift length and total parts are required",IF(OR(N(D297)&lt;=0,N(E297)&lt;0,N(F297)&lt;0,N(G297)&lt;0,N(H297)&lt;0),"Values must be 0 or more (shift length above 0)",IF(N(H297)&gt;N(G297),"Rejects &gt; total parts",IF(N(E297)&gt;=N(D297),"Planned stops &gt;= shift length",IF(N(F297)&gt;N(D297)-N(E297),"Downtime &gt; planned time",IF(AND(ISNUMBER(O297),O297&gt;1),"Check: performance above 100%","OK"))))))))))</f>
        <v/>
      </c>
      <c r="S297" s="13" t="str">
        <f aca="false">IF($T297,K297*M297/60,"")</f>
        <v/>
      </c>
      <c r="T297" s="15" t="b">
        <f aca="false">IF($C297="",FALSE(),AND(SUMPRODUCT(--(Setup!$A$5:$A$24=$C297))&gt;0,ISNUMBER(A297),ISNUMBER(K297),N(K297)&gt;0,ISNUMBER(D297),N(D297)&gt;0,ISNUMBER(G297),N(G297)&gt;=0,OR(E297="",ISNUMBER(E297)),OR(F297="",ISNUMBER(F297)),OR(H297="",ISNUMBER(H297)),N(E297)&gt;=0,N(F297)&gt;=0,N(H297)&gt;=0,N(H297)&lt;=N(G297),N(E297)&lt;N(D297),N(F297)&lt;=N(D297)-N(E297)))</f>
        <v>0</v>
      </c>
    </row>
    <row r="298" customFormat="false" ht="15" hidden="false" customHeight="false" outlineLevel="0" collapsed="false">
      <c r="A298" s="11"/>
      <c r="B298" s="8"/>
      <c r="C298" s="8"/>
      <c r="D298" s="8"/>
      <c r="E298" s="8"/>
      <c r="F298" s="8"/>
      <c r="G298" s="8"/>
      <c r="H298" s="8"/>
      <c r="I298" s="12" t="str">
        <f aca="false">IF($T298,D298-N(E298),"")</f>
        <v/>
      </c>
      <c r="J298" s="12" t="str">
        <f aca="false">IF($T298,I298-N(F298),"")</f>
        <v/>
      </c>
      <c r="K298" s="13" t="str">
        <f aca="false">IF($C298="","",IF(SUMPRODUCT(--(Setup!$A$5:$A$24=$C298))&gt;0,INDEX(Setup!$B$5:$B$24,21-SUMPRODUCT(MAX((Setup!$A$5:$A$24=$C298)*(25-ROW(Setup!$A$5:$A$24))))),""))</f>
        <v/>
      </c>
      <c r="L298" s="13" t="str">
        <f aca="false">IF($T298,K298*G298/60,"")</f>
        <v/>
      </c>
      <c r="M298" s="12" t="str">
        <f aca="false">IF($T298,G298-N(H298),"")</f>
        <v/>
      </c>
      <c r="N298" s="14" t="str">
        <f aca="false">IF($T298,J298/I298,"")</f>
        <v/>
      </c>
      <c r="O298" s="14" t="str">
        <f aca="false">IF(AND($T298,N(J298)&gt;0),L298/J298,"")</f>
        <v/>
      </c>
      <c r="P298" s="14" t="str">
        <f aca="false">IF(AND($T298,N(G298)&gt;0),M298/G298,"")</f>
        <v/>
      </c>
      <c r="Q298" s="14" t="str">
        <f aca="false">IF($T298,S298/I298,"")</f>
        <v/>
      </c>
      <c r="R298" s="10" t="str">
        <f aca="false">IF($C298="","",IF(NOT(SUMPRODUCT(--(Setup!$A$5:$A$24=$C298))&gt;0),"Machine not in Setup",IF(OR(NOT(ISNUMBER(K298)),N(K298)&lt;=0),"Set an ideal cycle time in Setup",IF(NOT(ISNUMBER(A298)),"Enter a date",IF(OR(NOT(ISNUMBER(D298)),NOT(ISNUMBER(G298)),AND(E298&lt;&gt;"",NOT(ISNUMBER(E298))),AND(F298&lt;&gt;"",NOT(ISNUMBER(F298))),AND(H298&lt;&gt;"",NOT(ISNUMBER(H298)))),"Enter numbers: shift length and total parts are required",IF(OR(N(D298)&lt;=0,N(E298)&lt;0,N(F298)&lt;0,N(G298)&lt;0,N(H298)&lt;0),"Values must be 0 or more (shift length above 0)",IF(N(H298)&gt;N(G298),"Rejects &gt; total parts",IF(N(E298)&gt;=N(D298),"Planned stops &gt;= shift length",IF(N(F298)&gt;N(D298)-N(E298),"Downtime &gt; planned time",IF(AND(ISNUMBER(O298),O298&gt;1),"Check: performance above 100%","OK"))))))))))</f>
        <v/>
      </c>
      <c r="S298" s="13" t="str">
        <f aca="false">IF($T298,K298*M298/60,"")</f>
        <v/>
      </c>
      <c r="T298" s="15" t="b">
        <f aca="false">IF($C298="",FALSE(),AND(SUMPRODUCT(--(Setup!$A$5:$A$24=$C298))&gt;0,ISNUMBER(A298),ISNUMBER(K298),N(K298)&gt;0,ISNUMBER(D298),N(D298)&gt;0,ISNUMBER(G298),N(G298)&gt;=0,OR(E298="",ISNUMBER(E298)),OR(F298="",ISNUMBER(F298)),OR(H298="",ISNUMBER(H298)),N(E298)&gt;=0,N(F298)&gt;=0,N(H298)&gt;=0,N(H298)&lt;=N(G298),N(E298)&lt;N(D298),N(F298)&lt;=N(D298)-N(E298)))</f>
        <v>0</v>
      </c>
    </row>
    <row r="299" customFormat="false" ht="15" hidden="false" customHeight="false" outlineLevel="0" collapsed="false">
      <c r="A299" s="11"/>
      <c r="B299" s="8"/>
      <c r="C299" s="8"/>
      <c r="D299" s="8"/>
      <c r="E299" s="8"/>
      <c r="F299" s="8"/>
      <c r="G299" s="8"/>
      <c r="H299" s="8"/>
      <c r="I299" s="12" t="str">
        <f aca="false">IF($T299,D299-N(E299),"")</f>
        <v/>
      </c>
      <c r="J299" s="12" t="str">
        <f aca="false">IF($T299,I299-N(F299),"")</f>
        <v/>
      </c>
      <c r="K299" s="13" t="str">
        <f aca="false">IF($C299="","",IF(SUMPRODUCT(--(Setup!$A$5:$A$24=$C299))&gt;0,INDEX(Setup!$B$5:$B$24,21-SUMPRODUCT(MAX((Setup!$A$5:$A$24=$C299)*(25-ROW(Setup!$A$5:$A$24))))),""))</f>
        <v/>
      </c>
      <c r="L299" s="13" t="str">
        <f aca="false">IF($T299,K299*G299/60,"")</f>
        <v/>
      </c>
      <c r="M299" s="12" t="str">
        <f aca="false">IF($T299,G299-N(H299),"")</f>
        <v/>
      </c>
      <c r="N299" s="14" t="str">
        <f aca="false">IF($T299,J299/I299,"")</f>
        <v/>
      </c>
      <c r="O299" s="14" t="str">
        <f aca="false">IF(AND($T299,N(J299)&gt;0),L299/J299,"")</f>
        <v/>
      </c>
      <c r="P299" s="14" t="str">
        <f aca="false">IF(AND($T299,N(G299)&gt;0),M299/G299,"")</f>
        <v/>
      </c>
      <c r="Q299" s="14" t="str">
        <f aca="false">IF($T299,S299/I299,"")</f>
        <v/>
      </c>
      <c r="R299" s="10" t="str">
        <f aca="false">IF($C299="","",IF(NOT(SUMPRODUCT(--(Setup!$A$5:$A$24=$C299))&gt;0),"Machine not in Setup",IF(OR(NOT(ISNUMBER(K299)),N(K299)&lt;=0),"Set an ideal cycle time in Setup",IF(NOT(ISNUMBER(A299)),"Enter a date",IF(OR(NOT(ISNUMBER(D299)),NOT(ISNUMBER(G299)),AND(E299&lt;&gt;"",NOT(ISNUMBER(E299))),AND(F299&lt;&gt;"",NOT(ISNUMBER(F299))),AND(H299&lt;&gt;"",NOT(ISNUMBER(H299)))),"Enter numbers: shift length and total parts are required",IF(OR(N(D299)&lt;=0,N(E299)&lt;0,N(F299)&lt;0,N(G299)&lt;0,N(H299)&lt;0),"Values must be 0 or more (shift length above 0)",IF(N(H299)&gt;N(G299),"Rejects &gt; total parts",IF(N(E299)&gt;=N(D299),"Planned stops &gt;= shift length",IF(N(F299)&gt;N(D299)-N(E299),"Downtime &gt; planned time",IF(AND(ISNUMBER(O299),O299&gt;1),"Check: performance above 100%","OK"))))))))))</f>
        <v/>
      </c>
      <c r="S299" s="13" t="str">
        <f aca="false">IF($T299,K299*M299/60,"")</f>
        <v/>
      </c>
      <c r="T299" s="15" t="b">
        <f aca="false">IF($C299="",FALSE(),AND(SUMPRODUCT(--(Setup!$A$5:$A$24=$C299))&gt;0,ISNUMBER(A299),ISNUMBER(K299),N(K299)&gt;0,ISNUMBER(D299),N(D299)&gt;0,ISNUMBER(G299),N(G299)&gt;=0,OR(E299="",ISNUMBER(E299)),OR(F299="",ISNUMBER(F299)),OR(H299="",ISNUMBER(H299)),N(E299)&gt;=0,N(F299)&gt;=0,N(H299)&gt;=0,N(H299)&lt;=N(G299),N(E299)&lt;N(D299),N(F299)&lt;=N(D299)-N(E299)))</f>
        <v>0</v>
      </c>
    </row>
    <row r="300" customFormat="false" ht="15" hidden="false" customHeight="false" outlineLevel="0" collapsed="false">
      <c r="A300" s="11"/>
      <c r="B300" s="8"/>
      <c r="C300" s="8"/>
      <c r="D300" s="8"/>
      <c r="E300" s="8"/>
      <c r="F300" s="8"/>
      <c r="G300" s="8"/>
      <c r="H300" s="8"/>
      <c r="I300" s="12" t="str">
        <f aca="false">IF($T300,D300-N(E300),"")</f>
        <v/>
      </c>
      <c r="J300" s="12" t="str">
        <f aca="false">IF($T300,I300-N(F300),"")</f>
        <v/>
      </c>
      <c r="K300" s="13" t="str">
        <f aca="false">IF($C300="","",IF(SUMPRODUCT(--(Setup!$A$5:$A$24=$C300))&gt;0,INDEX(Setup!$B$5:$B$24,21-SUMPRODUCT(MAX((Setup!$A$5:$A$24=$C300)*(25-ROW(Setup!$A$5:$A$24))))),""))</f>
        <v/>
      </c>
      <c r="L300" s="13" t="str">
        <f aca="false">IF($T300,K300*G300/60,"")</f>
        <v/>
      </c>
      <c r="M300" s="12" t="str">
        <f aca="false">IF($T300,G300-N(H300),"")</f>
        <v/>
      </c>
      <c r="N300" s="14" t="str">
        <f aca="false">IF($T300,J300/I300,"")</f>
        <v/>
      </c>
      <c r="O300" s="14" t="str">
        <f aca="false">IF(AND($T300,N(J300)&gt;0),L300/J300,"")</f>
        <v/>
      </c>
      <c r="P300" s="14" t="str">
        <f aca="false">IF(AND($T300,N(G300)&gt;0),M300/G300,"")</f>
        <v/>
      </c>
      <c r="Q300" s="14" t="str">
        <f aca="false">IF($T300,S300/I300,"")</f>
        <v/>
      </c>
      <c r="R300" s="10" t="str">
        <f aca="false">IF($C300="","",IF(NOT(SUMPRODUCT(--(Setup!$A$5:$A$24=$C300))&gt;0),"Machine not in Setup",IF(OR(NOT(ISNUMBER(K300)),N(K300)&lt;=0),"Set an ideal cycle time in Setup",IF(NOT(ISNUMBER(A300)),"Enter a date",IF(OR(NOT(ISNUMBER(D300)),NOT(ISNUMBER(G300)),AND(E300&lt;&gt;"",NOT(ISNUMBER(E300))),AND(F300&lt;&gt;"",NOT(ISNUMBER(F300))),AND(H300&lt;&gt;"",NOT(ISNUMBER(H300)))),"Enter numbers: shift length and total parts are required",IF(OR(N(D300)&lt;=0,N(E300)&lt;0,N(F300)&lt;0,N(G300)&lt;0,N(H300)&lt;0),"Values must be 0 or more (shift length above 0)",IF(N(H300)&gt;N(G300),"Rejects &gt; total parts",IF(N(E300)&gt;=N(D300),"Planned stops &gt;= shift length",IF(N(F300)&gt;N(D300)-N(E300),"Downtime &gt; planned time",IF(AND(ISNUMBER(O300),O300&gt;1),"Check: performance above 100%","OK"))))))))))</f>
        <v/>
      </c>
      <c r="S300" s="13" t="str">
        <f aca="false">IF($T300,K300*M300/60,"")</f>
        <v/>
      </c>
      <c r="T300" s="15" t="b">
        <f aca="false">IF($C300="",FALSE(),AND(SUMPRODUCT(--(Setup!$A$5:$A$24=$C300))&gt;0,ISNUMBER(A300),ISNUMBER(K300),N(K300)&gt;0,ISNUMBER(D300),N(D300)&gt;0,ISNUMBER(G300),N(G300)&gt;=0,OR(E300="",ISNUMBER(E300)),OR(F300="",ISNUMBER(F300)),OR(H300="",ISNUMBER(H300)),N(E300)&gt;=0,N(F300)&gt;=0,N(H300)&gt;=0,N(H300)&lt;=N(G300),N(E300)&lt;N(D300),N(F300)&lt;=N(D300)-N(E300)))</f>
        <v>0</v>
      </c>
    </row>
    <row r="301" customFormat="false" ht="15" hidden="false" customHeight="false" outlineLevel="0" collapsed="false">
      <c r="A301" s="11"/>
      <c r="B301" s="8"/>
      <c r="C301" s="8"/>
      <c r="D301" s="8"/>
      <c r="E301" s="8"/>
      <c r="F301" s="8"/>
      <c r="G301" s="8"/>
      <c r="H301" s="8"/>
      <c r="I301" s="12" t="str">
        <f aca="false">IF($T301,D301-N(E301),"")</f>
        <v/>
      </c>
      <c r="J301" s="12" t="str">
        <f aca="false">IF($T301,I301-N(F301),"")</f>
        <v/>
      </c>
      <c r="K301" s="13" t="str">
        <f aca="false">IF($C301="","",IF(SUMPRODUCT(--(Setup!$A$5:$A$24=$C301))&gt;0,INDEX(Setup!$B$5:$B$24,21-SUMPRODUCT(MAX((Setup!$A$5:$A$24=$C301)*(25-ROW(Setup!$A$5:$A$24))))),""))</f>
        <v/>
      </c>
      <c r="L301" s="13" t="str">
        <f aca="false">IF($T301,K301*G301/60,"")</f>
        <v/>
      </c>
      <c r="M301" s="12" t="str">
        <f aca="false">IF($T301,G301-N(H301),"")</f>
        <v/>
      </c>
      <c r="N301" s="14" t="str">
        <f aca="false">IF($T301,J301/I301,"")</f>
        <v/>
      </c>
      <c r="O301" s="14" t="str">
        <f aca="false">IF(AND($T301,N(J301)&gt;0),L301/J301,"")</f>
        <v/>
      </c>
      <c r="P301" s="14" t="str">
        <f aca="false">IF(AND($T301,N(G301)&gt;0),M301/G301,"")</f>
        <v/>
      </c>
      <c r="Q301" s="14" t="str">
        <f aca="false">IF($T301,S301/I301,"")</f>
        <v/>
      </c>
      <c r="R301" s="10" t="str">
        <f aca="false">IF($C301="","",IF(NOT(SUMPRODUCT(--(Setup!$A$5:$A$24=$C301))&gt;0),"Machine not in Setup",IF(OR(NOT(ISNUMBER(K301)),N(K301)&lt;=0),"Set an ideal cycle time in Setup",IF(NOT(ISNUMBER(A301)),"Enter a date",IF(OR(NOT(ISNUMBER(D301)),NOT(ISNUMBER(G301)),AND(E301&lt;&gt;"",NOT(ISNUMBER(E301))),AND(F301&lt;&gt;"",NOT(ISNUMBER(F301))),AND(H301&lt;&gt;"",NOT(ISNUMBER(H301)))),"Enter numbers: shift length and total parts are required",IF(OR(N(D301)&lt;=0,N(E301)&lt;0,N(F301)&lt;0,N(G301)&lt;0,N(H301)&lt;0),"Values must be 0 or more (shift length above 0)",IF(N(H301)&gt;N(G301),"Rejects &gt; total parts",IF(N(E301)&gt;=N(D301),"Planned stops &gt;= shift length",IF(N(F301)&gt;N(D301)-N(E301),"Downtime &gt; planned time",IF(AND(ISNUMBER(O301),O301&gt;1),"Check: performance above 100%","OK"))))))))))</f>
        <v/>
      </c>
      <c r="S301" s="13" t="str">
        <f aca="false">IF($T301,K301*M301/60,"")</f>
        <v/>
      </c>
      <c r="T301" s="15" t="b">
        <f aca="false">IF($C301="",FALSE(),AND(SUMPRODUCT(--(Setup!$A$5:$A$24=$C301))&gt;0,ISNUMBER(A301),ISNUMBER(K301),N(K301)&gt;0,ISNUMBER(D301),N(D301)&gt;0,ISNUMBER(G301),N(G301)&gt;=0,OR(E301="",ISNUMBER(E301)),OR(F301="",ISNUMBER(F301)),OR(H301="",ISNUMBER(H301)),N(E301)&gt;=0,N(F301)&gt;=0,N(H301)&gt;=0,N(H301)&lt;=N(G301),N(E301)&lt;N(D301),N(F301)&lt;=N(D301)-N(E301)))</f>
        <v>0</v>
      </c>
    </row>
    <row r="302" customFormat="false" ht="15" hidden="false" customHeight="false" outlineLevel="0" collapsed="false">
      <c r="A302" s="11"/>
      <c r="B302" s="8"/>
      <c r="C302" s="8"/>
      <c r="D302" s="8"/>
      <c r="E302" s="8"/>
      <c r="F302" s="8"/>
      <c r="G302" s="8"/>
      <c r="H302" s="8"/>
      <c r="I302" s="12" t="str">
        <f aca="false">IF($T302,D302-N(E302),"")</f>
        <v/>
      </c>
      <c r="J302" s="12" t="str">
        <f aca="false">IF($T302,I302-N(F302),"")</f>
        <v/>
      </c>
      <c r="K302" s="13" t="str">
        <f aca="false">IF($C302="","",IF(SUMPRODUCT(--(Setup!$A$5:$A$24=$C302))&gt;0,INDEX(Setup!$B$5:$B$24,21-SUMPRODUCT(MAX((Setup!$A$5:$A$24=$C302)*(25-ROW(Setup!$A$5:$A$24))))),""))</f>
        <v/>
      </c>
      <c r="L302" s="13" t="str">
        <f aca="false">IF($T302,K302*G302/60,"")</f>
        <v/>
      </c>
      <c r="M302" s="12" t="str">
        <f aca="false">IF($T302,G302-N(H302),"")</f>
        <v/>
      </c>
      <c r="N302" s="14" t="str">
        <f aca="false">IF($T302,J302/I302,"")</f>
        <v/>
      </c>
      <c r="O302" s="14" t="str">
        <f aca="false">IF(AND($T302,N(J302)&gt;0),L302/J302,"")</f>
        <v/>
      </c>
      <c r="P302" s="14" t="str">
        <f aca="false">IF(AND($T302,N(G302)&gt;0),M302/G302,"")</f>
        <v/>
      </c>
      <c r="Q302" s="14" t="str">
        <f aca="false">IF($T302,S302/I302,"")</f>
        <v/>
      </c>
      <c r="R302" s="10" t="str">
        <f aca="false">IF($C302="","",IF(NOT(SUMPRODUCT(--(Setup!$A$5:$A$24=$C302))&gt;0),"Machine not in Setup",IF(OR(NOT(ISNUMBER(K302)),N(K302)&lt;=0),"Set an ideal cycle time in Setup",IF(NOT(ISNUMBER(A302)),"Enter a date",IF(OR(NOT(ISNUMBER(D302)),NOT(ISNUMBER(G302)),AND(E302&lt;&gt;"",NOT(ISNUMBER(E302))),AND(F302&lt;&gt;"",NOT(ISNUMBER(F302))),AND(H302&lt;&gt;"",NOT(ISNUMBER(H302)))),"Enter numbers: shift length and total parts are required",IF(OR(N(D302)&lt;=0,N(E302)&lt;0,N(F302)&lt;0,N(G302)&lt;0,N(H302)&lt;0),"Values must be 0 or more (shift length above 0)",IF(N(H302)&gt;N(G302),"Rejects &gt; total parts",IF(N(E302)&gt;=N(D302),"Planned stops &gt;= shift length",IF(N(F302)&gt;N(D302)-N(E302),"Downtime &gt; planned time",IF(AND(ISNUMBER(O302),O302&gt;1),"Check: performance above 100%","OK"))))))))))</f>
        <v/>
      </c>
      <c r="S302" s="13" t="str">
        <f aca="false">IF($T302,K302*M302/60,"")</f>
        <v/>
      </c>
      <c r="T302" s="15" t="b">
        <f aca="false">IF($C302="",FALSE(),AND(SUMPRODUCT(--(Setup!$A$5:$A$24=$C302))&gt;0,ISNUMBER(A302),ISNUMBER(K302),N(K302)&gt;0,ISNUMBER(D302),N(D302)&gt;0,ISNUMBER(G302),N(G302)&gt;=0,OR(E302="",ISNUMBER(E302)),OR(F302="",ISNUMBER(F302)),OR(H302="",ISNUMBER(H302)),N(E302)&gt;=0,N(F302)&gt;=0,N(H302)&gt;=0,N(H302)&lt;=N(G302),N(E302)&lt;N(D302),N(F302)&lt;=N(D302)-N(E302)))</f>
        <v>0</v>
      </c>
    </row>
    <row r="303" customFormat="false" ht="15" hidden="false" customHeight="false" outlineLevel="0" collapsed="false">
      <c r="A303" s="11"/>
      <c r="B303" s="8"/>
      <c r="C303" s="8"/>
      <c r="D303" s="8"/>
      <c r="E303" s="8"/>
      <c r="F303" s="8"/>
      <c r="G303" s="8"/>
      <c r="H303" s="8"/>
      <c r="I303" s="12" t="str">
        <f aca="false">IF($T303,D303-N(E303),"")</f>
        <v/>
      </c>
      <c r="J303" s="12" t="str">
        <f aca="false">IF($T303,I303-N(F303),"")</f>
        <v/>
      </c>
      <c r="K303" s="13" t="str">
        <f aca="false">IF($C303="","",IF(SUMPRODUCT(--(Setup!$A$5:$A$24=$C303))&gt;0,INDEX(Setup!$B$5:$B$24,21-SUMPRODUCT(MAX((Setup!$A$5:$A$24=$C303)*(25-ROW(Setup!$A$5:$A$24))))),""))</f>
        <v/>
      </c>
      <c r="L303" s="13" t="str">
        <f aca="false">IF($T303,K303*G303/60,"")</f>
        <v/>
      </c>
      <c r="M303" s="12" t="str">
        <f aca="false">IF($T303,G303-N(H303),"")</f>
        <v/>
      </c>
      <c r="N303" s="14" t="str">
        <f aca="false">IF($T303,J303/I303,"")</f>
        <v/>
      </c>
      <c r="O303" s="14" t="str">
        <f aca="false">IF(AND($T303,N(J303)&gt;0),L303/J303,"")</f>
        <v/>
      </c>
      <c r="P303" s="14" t="str">
        <f aca="false">IF(AND($T303,N(G303)&gt;0),M303/G303,"")</f>
        <v/>
      </c>
      <c r="Q303" s="14" t="str">
        <f aca="false">IF($T303,S303/I303,"")</f>
        <v/>
      </c>
      <c r="R303" s="10" t="str">
        <f aca="false">IF($C303="","",IF(NOT(SUMPRODUCT(--(Setup!$A$5:$A$24=$C303))&gt;0),"Machine not in Setup",IF(OR(NOT(ISNUMBER(K303)),N(K303)&lt;=0),"Set an ideal cycle time in Setup",IF(NOT(ISNUMBER(A303)),"Enter a date",IF(OR(NOT(ISNUMBER(D303)),NOT(ISNUMBER(G303)),AND(E303&lt;&gt;"",NOT(ISNUMBER(E303))),AND(F303&lt;&gt;"",NOT(ISNUMBER(F303))),AND(H303&lt;&gt;"",NOT(ISNUMBER(H303)))),"Enter numbers: shift length and total parts are required",IF(OR(N(D303)&lt;=0,N(E303)&lt;0,N(F303)&lt;0,N(G303)&lt;0,N(H303)&lt;0),"Values must be 0 or more (shift length above 0)",IF(N(H303)&gt;N(G303),"Rejects &gt; total parts",IF(N(E303)&gt;=N(D303),"Planned stops &gt;= shift length",IF(N(F303)&gt;N(D303)-N(E303),"Downtime &gt; planned time",IF(AND(ISNUMBER(O303),O303&gt;1),"Check: performance above 100%","OK"))))))))))</f>
        <v/>
      </c>
      <c r="S303" s="13" t="str">
        <f aca="false">IF($T303,K303*M303/60,"")</f>
        <v/>
      </c>
      <c r="T303" s="15" t="b">
        <f aca="false">IF($C303="",FALSE(),AND(SUMPRODUCT(--(Setup!$A$5:$A$24=$C303))&gt;0,ISNUMBER(A303),ISNUMBER(K303),N(K303)&gt;0,ISNUMBER(D303),N(D303)&gt;0,ISNUMBER(G303),N(G303)&gt;=0,OR(E303="",ISNUMBER(E303)),OR(F303="",ISNUMBER(F303)),OR(H303="",ISNUMBER(H303)),N(E303)&gt;=0,N(F303)&gt;=0,N(H303)&gt;=0,N(H303)&lt;=N(G303),N(E303)&lt;N(D303),N(F303)&lt;=N(D303)-N(E303)))</f>
        <v>0</v>
      </c>
    </row>
    <row r="304" customFormat="false" ht="15" hidden="false" customHeight="false" outlineLevel="0" collapsed="false">
      <c r="A304" s="11"/>
      <c r="B304" s="8"/>
      <c r="C304" s="8"/>
      <c r="D304" s="8"/>
      <c r="E304" s="8"/>
      <c r="F304" s="8"/>
      <c r="G304" s="8"/>
      <c r="H304" s="8"/>
      <c r="I304" s="12" t="str">
        <f aca="false">IF($T304,D304-N(E304),"")</f>
        <v/>
      </c>
      <c r="J304" s="12" t="str">
        <f aca="false">IF($T304,I304-N(F304),"")</f>
        <v/>
      </c>
      <c r="K304" s="13" t="str">
        <f aca="false">IF($C304="","",IF(SUMPRODUCT(--(Setup!$A$5:$A$24=$C304))&gt;0,INDEX(Setup!$B$5:$B$24,21-SUMPRODUCT(MAX((Setup!$A$5:$A$24=$C304)*(25-ROW(Setup!$A$5:$A$24))))),""))</f>
        <v/>
      </c>
      <c r="L304" s="13" t="str">
        <f aca="false">IF($T304,K304*G304/60,"")</f>
        <v/>
      </c>
      <c r="M304" s="12" t="str">
        <f aca="false">IF($T304,G304-N(H304),"")</f>
        <v/>
      </c>
      <c r="N304" s="14" t="str">
        <f aca="false">IF($T304,J304/I304,"")</f>
        <v/>
      </c>
      <c r="O304" s="14" t="str">
        <f aca="false">IF(AND($T304,N(J304)&gt;0),L304/J304,"")</f>
        <v/>
      </c>
      <c r="P304" s="14" t="str">
        <f aca="false">IF(AND($T304,N(G304)&gt;0),M304/G304,"")</f>
        <v/>
      </c>
      <c r="Q304" s="14" t="str">
        <f aca="false">IF($T304,S304/I304,"")</f>
        <v/>
      </c>
      <c r="R304" s="10" t="str">
        <f aca="false">IF($C304="","",IF(NOT(SUMPRODUCT(--(Setup!$A$5:$A$24=$C304))&gt;0),"Machine not in Setup",IF(OR(NOT(ISNUMBER(K304)),N(K304)&lt;=0),"Set an ideal cycle time in Setup",IF(NOT(ISNUMBER(A304)),"Enter a date",IF(OR(NOT(ISNUMBER(D304)),NOT(ISNUMBER(G304)),AND(E304&lt;&gt;"",NOT(ISNUMBER(E304))),AND(F304&lt;&gt;"",NOT(ISNUMBER(F304))),AND(H304&lt;&gt;"",NOT(ISNUMBER(H304)))),"Enter numbers: shift length and total parts are required",IF(OR(N(D304)&lt;=0,N(E304)&lt;0,N(F304)&lt;0,N(G304)&lt;0,N(H304)&lt;0),"Values must be 0 or more (shift length above 0)",IF(N(H304)&gt;N(G304),"Rejects &gt; total parts",IF(N(E304)&gt;=N(D304),"Planned stops &gt;= shift length",IF(N(F304)&gt;N(D304)-N(E304),"Downtime &gt; planned time",IF(AND(ISNUMBER(O304),O304&gt;1),"Check: performance above 100%","OK"))))))))))</f>
        <v/>
      </c>
      <c r="S304" s="13" t="str">
        <f aca="false">IF($T304,K304*M304/60,"")</f>
        <v/>
      </c>
      <c r="T304" s="15" t="b">
        <f aca="false">IF($C304="",FALSE(),AND(SUMPRODUCT(--(Setup!$A$5:$A$24=$C304))&gt;0,ISNUMBER(A304),ISNUMBER(K304),N(K304)&gt;0,ISNUMBER(D304),N(D304)&gt;0,ISNUMBER(G304),N(G304)&gt;=0,OR(E304="",ISNUMBER(E304)),OR(F304="",ISNUMBER(F304)),OR(H304="",ISNUMBER(H304)),N(E304)&gt;=0,N(F304)&gt;=0,N(H304)&gt;=0,N(H304)&lt;=N(G304),N(E304)&lt;N(D304),N(F304)&lt;=N(D304)-N(E304)))</f>
        <v>0</v>
      </c>
    </row>
    <row r="305" customFormat="false" ht="15" hidden="false" customHeight="false" outlineLevel="0" collapsed="false">
      <c r="A305" s="11"/>
      <c r="B305" s="8"/>
      <c r="C305" s="8"/>
      <c r="D305" s="8"/>
      <c r="E305" s="8"/>
      <c r="F305" s="8"/>
      <c r="G305" s="8"/>
      <c r="H305" s="8"/>
      <c r="I305" s="12" t="str">
        <f aca="false">IF($T305,D305-N(E305),"")</f>
        <v/>
      </c>
      <c r="J305" s="12" t="str">
        <f aca="false">IF($T305,I305-N(F305),"")</f>
        <v/>
      </c>
      <c r="K305" s="13" t="str">
        <f aca="false">IF($C305="","",IF(SUMPRODUCT(--(Setup!$A$5:$A$24=$C305))&gt;0,INDEX(Setup!$B$5:$B$24,21-SUMPRODUCT(MAX((Setup!$A$5:$A$24=$C305)*(25-ROW(Setup!$A$5:$A$24))))),""))</f>
        <v/>
      </c>
      <c r="L305" s="13" t="str">
        <f aca="false">IF($T305,K305*G305/60,"")</f>
        <v/>
      </c>
      <c r="M305" s="12" t="str">
        <f aca="false">IF($T305,G305-N(H305),"")</f>
        <v/>
      </c>
      <c r="N305" s="14" t="str">
        <f aca="false">IF($T305,J305/I305,"")</f>
        <v/>
      </c>
      <c r="O305" s="14" t="str">
        <f aca="false">IF(AND($T305,N(J305)&gt;0),L305/J305,"")</f>
        <v/>
      </c>
      <c r="P305" s="14" t="str">
        <f aca="false">IF(AND($T305,N(G305)&gt;0),M305/G305,"")</f>
        <v/>
      </c>
      <c r="Q305" s="14" t="str">
        <f aca="false">IF($T305,S305/I305,"")</f>
        <v/>
      </c>
      <c r="R305" s="10" t="str">
        <f aca="false">IF($C305="","",IF(NOT(SUMPRODUCT(--(Setup!$A$5:$A$24=$C305))&gt;0),"Machine not in Setup",IF(OR(NOT(ISNUMBER(K305)),N(K305)&lt;=0),"Set an ideal cycle time in Setup",IF(NOT(ISNUMBER(A305)),"Enter a date",IF(OR(NOT(ISNUMBER(D305)),NOT(ISNUMBER(G305)),AND(E305&lt;&gt;"",NOT(ISNUMBER(E305))),AND(F305&lt;&gt;"",NOT(ISNUMBER(F305))),AND(H305&lt;&gt;"",NOT(ISNUMBER(H305)))),"Enter numbers: shift length and total parts are required",IF(OR(N(D305)&lt;=0,N(E305)&lt;0,N(F305)&lt;0,N(G305)&lt;0,N(H305)&lt;0),"Values must be 0 or more (shift length above 0)",IF(N(H305)&gt;N(G305),"Rejects &gt; total parts",IF(N(E305)&gt;=N(D305),"Planned stops &gt;= shift length",IF(N(F305)&gt;N(D305)-N(E305),"Downtime &gt; planned time",IF(AND(ISNUMBER(O305),O305&gt;1),"Check: performance above 100%","OK"))))))))))</f>
        <v/>
      </c>
      <c r="S305" s="13" t="str">
        <f aca="false">IF($T305,K305*M305/60,"")</f>
        <v/>
      </c>
      <c r="T305" s="15" t="b">
        <f aca="false">IF($C305="",FALSE(),AND(SUMPRODUCT(--(Setup!$A$5:$A$24=$C305))&gt;0,ISNUMBER(A305),ISNUMBER(K305),N(K305)&gt;0,ISNUMBER(D305),N(D305)&gt;0,ISNUMBER(G305),N(G305)&gt;=0,OR(E305="",ISNUMBER(E305)),OR(F305="",ISNUMBER(F305)),OR(H305="",ISNUMBER(H305)),N(E305)&gt;=0,N(F305)&gt;=0,N(H305)&gt;=0,N(H305)&lt;=N(G305),N(E305)&lt;N(D305),N(F305)&lt;=N(D305)-N(E305)))</f>
        <v>0</v>
      </c>
    </row>
    <row r="306" customFormat="false" ht="15" hidden="false" customHeight="false" outlineLevel="0" collapsed="false">
      <c r="A306" s="11"/>
      <c r="B306" s="8"/>
      <c r="C306" s="8"/>
      <c r="D306" s="8"/>
      <c r="E306" s="8"/>
      <c r="F306" s="8"/>
      <c r="G306" s="8"/>
      <c r="H306" s="8"/>
      <c r="I306" s="12" t="str">
        <f aca="false">IF($T306,D306-N(E306),"")</f>
        <v/>
      </c>
      <c r="J306" s="12" t="str">
        <f aca="false">IF($T306,I306-N(F306),"")</f>
        <v/>
      </c>
      <c r="K306" s="13" t="str">
        <f aca="false">IF($C306="","",IF(SUMPRODUCT(--(Setup!$A$5:$A$24=$C306))&gt;0,INDEX(Setup!$B$5:$B$24,21-SUMPRODUCT(MAX((Setup!$A$5:$A$24=$C306)*(25-ROW(Setup!$A$5:$A$24))))),""))</f>
        <v/>
      </c>
      <c r="L306" s="13" t="str">
        <f aca="false">IF($T306,K306*G306/60,"")</f>
        <v/>
      </c>
      <c r="M306" s="12" t="str">
        <f aca="false">IF($T306,G306-N(H306),"")</f>
        <v/>
      </c>
      <c r="N306" s="14" t="str">
        <f aca="false">IF($T306,J306/I306,"")</f>
        <v/>
      </c>
      <c r="O306" s="14" t="str">
        <f aca="false">IF(AND($T306,N(J306)&gt;0),L306/J306,"")</f>
        <v/>
      </c>
      <c r="P306" s="14" t="str">
        <f aca="false">IF(AND($T306,N(G306)&gt;0),M306/G306,"")</f>
        <v/>
      </c>
      <c r="Q306" s="14" t="str">
        <f aca="false">IF($T306,S306/I306,"")</f>
        <v/>
      </c>
      <c r="R306" s="10" t="str">
        <f aca="false">IF($C306="","",IF(NOT(SUMPRODUCT(--(Setup!$A$5:$A$24=$C306))&gt;0),"Machine not in Setup",IF(OR(NOT(ISNUMBER(K306)),N(K306)&lt;=0),"Set an ideal cycle time in Setup",IF(NOT(ISNUMBER(A306)),"Enter a date",IF(OR(NOT(ISNUMBER(D306)),NOT(ISNUMBER(G306)),AND(E306&lt;&gt;"",NOT(ISNUMBER(E306))),AND(F306&lt;&gt;"",NOT(ISNUMBER(F306))),AND(H306&lt;&gt;"",NOT(ISNUMBER(H306)))),"Enter numbers: shift length and total parts are required",IF(OR(N(D306)&lt;=0,N(E306)&lt;0,N(F306)&lt;0,N(G306)&lt;0,N(H306)&lt;0),"Values must be 0 or more (shift length above 0)",IF(N(H306)&gt;N(G306),"Rejects &gt; total parts",IF(N(E306)&gt;=N(D306),"Planned stops &gt;= shift length",IF(N(F306)&gt;N(D306)-N(E306),"Downtime &gt; planned time",IF(AND(ISNUMBER(O306),O306&gt;1),"Check: performance above 100%","OK"))))))))))</f>
        <v/>
      </c>
      <c r="S306" s="13" t="str">
        <f aca="false">IF($T306,K306*M306/60,"")</f>
        <v/>
      </c>
      <c r="T306" s="15" t="b">
        <f aca="false">IF($C306="",FALSE(),AND(SUMPRODUCT(--(Setup!$A$5:$A$24=$C306))&gt;0,ISNUMBER(A306),ISNUMBER(K306),N(K306)&gt;0,ISNUMBER(D306),N(D306)&gt;0,ISNUMBER(G306),N(G306)&gt;=0,OR(E306="",ISNUMBER(E306)),OR(F306="",ISNUMBER(F306)),OR(H306="",ISNUMBER(H306)),N(E306)&gt;=0,N(F306)&gt;=0,N(H306)&gt;=0,N(H306)&lt;=N(G306),N(E306)&lt;N(D306),N(F306)&lt;=N(D306)-N(E306)))</f>
        <v>0</v>
      </c>
    </row>
    <row r="307" customFormat="false" ht="15" hidden="false" customHeight="false" outlineLevel="0" collapsed="false">
      <c r="A307" s="11"/>
      <c r="B307" s="8"/>
      <c r="C307" s="8"/>
      <c r="D307" s="8"/>
      <c r="E307" s="8"/>
      <c r="F307" s="8"/>
      <c r="G307" s="8"/>
      <c r="H307" s="8"/>
      <c r="I307" s="12" t="str">
        <f aca="false">IF($T307,D307-N(E307),"")</f>
        <v/>
      </c>
      <c r="J307" s="12" t="str">
        <f aca="false">IF($T307,I307-N(F307),"")</f>
        <v/>
      </c>
      <c r="K307" s="13" t="str">
        <f aca="false">IF($C307="","",IF(SUMPRODUCT(--(Setup!$A$5:$A$24=$C307))&gt;0,INDEX(Setup!$B$5:$B$24,21-SUMPRODUCT(MAX((Setup!$A$5:$A$24=$C307)*(25-ROW(Setup!$A$5:$A$24))))),""))</f>
        <v/>
      </c>
      <c r="L307" s="13" t="str">
        <f aca="false">IF($T307,K307*G307/60,"")</f>
        <v/>
      </c>
      <c r="M307" s="12" t="str">
        <f aca="false">IF($T307,G307-N(H307),"")</f>
        <v/>
      </c>
      <c r="N307" s="14" t="str">
        <f aca="false">IF($T307,J307/I307,"")</f>
        <v/>
      </c>
      <c r="O307" s="14" t="str">
        <f aca="false">IF(AND($T307,N(J307)&gt;0),L307/J307,"")</f>
        <v/>
      </c>
      <c r="P307" s="14" t="str">
        <f aca="false">IF(AND($T307,N(G307)&gt;0),M307/G307,"")</f>
        <v/>
      </c>
      <c r="Q307" s="14" t="str">
        <f aca="false">IF($T307,S307/I307,"")</f>
        <v/>
      </c>
      <c r="R307" s="10" t="str">
        <f aca="false">IF($C307="","",IF(NOT(SUMPRODUCT(--(Setup!$A$5:$A$24=$C307))&gt;0),"Machine not in Setup",IF(OR(NOT(ISNUMBER(K307)),N(K307)&lt;=0),"Set an ideal cycle time in Setup",IF(NOT(ISNUMBER(A307)),"Enter a date",IF(OR(NOT(ISNUMBER(D307)),NOT(ISNUMBER(G307)),AND(E307&lt;&gt;"",NOT(ISNUMBER(E307))),AND(F307&lt;&gt;"",NOT(ISNUMBER(F307))),AND(H307&lt;&gt;"",NOT(ISNUMBER(H307)))),"Enter numbers: shift length and total parts are required",IF(OR(N(D307)&lt;=0,N(E307)&lt;0,N(F307)&lt;0,N(G307)&lt;0,N(H307)&lt;0),"Values must be 0 or more (shift length above 0)",IF(N(H307)&gt;N(G307),"Rejects &gt; total parts",IF(N(E307)&gt;=N(D307),"Planned stops &gt;= shift length",IF(N(F307)&gt;N(D307)-N(E307),"Downtime &gt; planned time",IF(AND(ISNUMBER(O307),O307&gt;1),"Check: performance above 100%","OK"))))))))))</f>
        <v/>
      </c>
      <c r="S307" s="13" t="str">
        <f aca="false">IF($T307,K307*M307/60,"")</f>
        <v/>
      </c>
      <c r="T307" s="15" t="b">
        <f aca="false">IF($C307="",FALSE(),AND(SUMPRODUCT(--(Setup!$A$5:$A$24=$C307))&gt;0,ISNUMBER(A307),ISNUMBER(K307),N(K307)&gt;0,ISNUMBER(D307),N(D307)&gt;0,ISNUMBER(G307),N(G307)&gt;=0,OR(E307="",ISNUMBER(E307)),OR(F307="",ISNUMBER(F307)),OR(H307="",ISNUMBER(H307)),N(E307)&gt;=0,N(F307)&gt;=0,N(H307)&gt;=0,N(H307)&lt;=N(G307),N(E307)&lt;N(D307),N(F307)&lt;=N(D307)-N(E307)))</f>
        <v>0</v>
      </c>
    </row>
    <row r="308" customFormat="false" ht="15" hidden="false" customHeight="false" outlineLevel="0" collapsed="false">
      <c r="A308" s="11"/>
      <c r="B308" s="8"/>
      <c r="C308" s="8"/>
      <c r="D308" s="8"/>
      <c r="E308" s="8"/>
      <c r="F308" s="8"/>
      <c r="G308" s="8"/>
      <c r="H308" s="8"/>
      <c r="I308" s="12" t="str">
        <f aca="false">IF($T308,D308-N(E308),"")</f>
        <v/>
      </c>
      <c r="J308" s="12" t="str">
        <f aca="false">IF($T308,I308-N(F308),"")</f>
        <v/>
      </c>
      <c r="K308" s="13" t="str">
        <f aca="false">IF($C308="","",IF(SUMPRODUCT(--(Setup!$A$5:$A$24=$C308))&gt;0,INDEX(Setup!$B$5:$B$24,21-SUMPRODUCT(MAX((Setup!$A$5:$A$24=$C308)*(25-ROW(Setup!$A$5:$A$24))))),""))</f>
        <v/>
      </c>
      <c r="L308" s="13" t="str">
        <f aca="false">IF($T308,K308*G308/60,"")</f>
        <v/>
      </c>
      <c r="M308" s="12" t="str">
        <f aca="false">IF($T308,G308-N(H308),"")</f>
        <v/>
      </c>
      <c r="N308" s="14" t="str">
        <f aca="false">IF($T308,J308/I308,"")</f>
        <v/>
      </c>
      <c r="O308" s="14" t="str">
        <f aca="false">IF(AND($T308,N(J308)&gt;0),L308/J308,"")</f>
        <v/>
      </c>
      <c r="P308" s="14" t="str">
        <f aca="false">IF(AND($T308,N(G308)&gt;0),M308/G308,"")</f>
        <v/>
      </c>
      <c r="Q308" s="14" t="str">
        <f aca="false">IF($T308,S308/I308,"")</f>
        <v/>
      </c>
      <c r="R308" s="10" t="str">
        <f aca="false">IF($C308="","",IF(NOT(SUMPRODUCT(--(Setup!$A$5:$A$24=$C308))&gt;0),"Machine not in Setup",IF(OR(NOT(ISNUMBER(K308)),N(K308)&lt;=0),"Set an ideal cycle time in Setup",IF(NOT(ISNUMBER(A308)),"Enter a date",IF(OR(NOT(ISNUMBER(D308)),NOT(ISNUMBER(G308)),AND(E308&lt;&gt;"",NOT(ISNUMBER(E308))),AND(F308&lt;&gt;"",NOT(ISNUMBER(F308))),AND(H308&lt;&gt;"",NOT(ISNUMBER(H308)))),"Enter numbers: shift length and total parts are required",IF(OR(N(D308)&lt;=0,N(E308)&lt;0,N(F308)&lt;0,N(G308)&lt;0,N(H308)&lt;0),"Values must be 0 or more (shift length above 0)",IF(N(H308)&gt;N(G308),"Rejects &gt; total parts",IF(N(E308)&gt;=N(D308),"Planned stops &gt;= shift length",IF(N(F308)&gt;N(D308)-N(E308),"Downtime &gt; planned time",IF(AND(ISNUMBER(O308),O308&gt;1),"Check: performance above 100%","OK"))))))))))</f>
        <v/>
      </c>
      <c r="S308" s="13" t="str">
        <f aca="false">IF($T308,K308*M308/60,"")</f>
        <v/>
      </c>
      <c r="T308" s="15" t="b">
        <f aca="false">IF($C308="",FALSE(),AND(SUMPRODUCT(--(Setup!$A$5:$A$24=$C308))&gt;0,ISNUMBER(A308),ISNUMBER(K308),N(K308)&gt;0,ISNUMBER(D308),N(D308)&gt;0,ISNUMBER(G308),N(G308)&gt;=0,OR(E308="",ISNUMBER(E308)),OR(F308="",ISNUMBER(F308)),OR(H308="",ISNUMBER(H308)),N(E308)&gt;=0,N(F308)&gt;=0,N(H308)&gt;=0,N(H308)&lt;=N(G308),N(E308)&lt;N(D308),N(F308)&lt;=N(D308)-N(E308)))</f>
        <v>0</v>
      </c>
    </row>
    <row r="309" customFormat="false" ht="15" hidden="false" customHeight="false" outlineLevel="0" collapsed="false">
      <c r="A309" s="11"/>
      <c r="B309" s="8"/>
      <c r="C309" s="8"/>
      <c r="D309" s="8"/>
      <c r="E309" s="8"/>
      <c r="F309" s="8"/>
      <c r="G309" s="8"/>
      <c r="H309" s="8"/>
      <c r="I309" s="12" t="str">
        <f aca="false">IF($T309,D309-N(E309),"")</f>
        <v/>
      </c>
      <c r="J309" s="12" t="str">
        <f aca="false">IF($T309,I309-N(F309),"")</f>
        <v/>
      </c>
      <c r="K309" s="13" t="str">
        <f aca="false">IF($C309="","",IF(SUMPRODUCT(--(Setup!$A$5:$A$24=$C309))&gt;0,INDEX(Setup!$B$5:$B$24,21-SUMPRODUCT(MAX((Setup!$A$5:$A$24=$C309)*(25-ROW(Setup!$A$5:$A$24))))),""))</f>
        <v/>
      </c>
      <c r="L309" s="13" t="str">
        <f aca="false">IF($T309,K309*G309/60,"")</f>
        <v/>
      </c>
      <c r="M309" s="12" t="str">
        <f aca="false">IF($T309,G309-N(H309),"")</f>
        <v/>
      </c>
      <c r="N309" s="14" t="str">
        <f aca="false">IF($T309,J309/I309,"")</f>
        <v/>
      </c>
      <c r="O309" s="14" t="str">
        <f aca="false">IF(AND($T309,N(J309)&gt;0),L309/J309,"")</f>
        <v/>
      </c>
      <c r="P309" s="14" t="str">
        <f aca="false">IF(AND($T309,N(G309)&gt;0),M309/G309,"")</f>
        <v/>
      </c>
      <c r="Q309" s="14" t="str">
        <f aca="false">IF($T309,S309/I309,"")</f>
        <v/>
      </c>
      <c r="R309" s="10" t="str">
        <f aca="false">IF($C309="","",IF(NOT(SUMPRODUCT(--(Setup!$A$5:$A$24=$C309))&gt;0),"Machine not in Setup",IF(OR(NOT(ISNUMBER(K309)),N(K309)&lt;=0),"Set an ideal cycle time in Setup",IF(NOT(ISNUMBER(A309)),"Enter a date",IF(OR(NOT(ISNUMBER(D309)),NOT(ISNUMBER(G309)),AND(E309&lt;&gt;"",NOT(ISNUMBER(E309))),AND(F309&lt;&gt;"",NOT(ISNUMBER(F309))),AND(H309&lt;&gt;"",NOT(ISNUMBER(H309)))),"Enter numbers: shift length and total parts are required",IF(OR(N(D309)&lt;=0,N(E309)&lt;0,N(F309)&lt;0,N(G309)&lt;0,N(H309)&lt;0),"Values must be 0 or more (shift length above 0)",IF(N(H309)&gt;N(G309),"Rejects &gt; total parts",IF(N(E309)&gt;=N(D309),"Planned stops &gt;= shift length",IF(N(F309)&gt;N(D309)-N(E309),"Downtime &gt; planned time",IF(AND(ISNUMBER(O309),O309&gt;1),"Check: performance above 100%","OK"))))))))))</f>
        <v/>
      </c>
      <c r="S309" s="13" t="str">
        <f aca="false">IF($T309,K309*M309/60,"")</f>
        <v/>
      </c>
      <c r="T309" s="15" t="b">
        <f aca="false">IF($C309="",FALSE(),AND(SUMPRODUCT(--(Setup!$A$5:$A$24=$C309))&gt;0,ISNUMBER(A309),ISNUMBER(K309),N(K309)&gt;0,ISNUMBER(D309),N(D309)&gt;0,ISNUMBER(G309),N(G309)&gt;=0,OR(E309="",ISNUMBER(E309)),OR(F309="",ISNUMBER(F309)),OR(H309="",ISNUMBER(H309)),N(E309)&gt;=0,N(F309)&gt;=0,N(H309)&gt;=0,N(H309)&lt;=N(G309),N(E309)&lt;N(D309),N(F309)&lt;=N(D309)-N(E309)))</f>
        <v>0</v>
      </c>
    </row>
    <row r="310" customFormat="false" ht="15" hidden="false" customHeight="false" outlineLevel="0" collapsed="false">
      <c r="A310" s="11"/>
      <c r="B310" s="8"/>
      <c r="C310" s="8"/>
      <c r="D310" s="8"/>
      <c r="E310" s="8"/>
      <c r="F310" s="8"/>
      <c r="G310" s="8"/>
      <c r="H310" s="8"/>
      <c r="I310" s="12" t="str">
        <f aca="false">IF($T310,D310-N(E310),"")</f>
        <v/>
      </c>
      <c r="J310" s="12" t="str">
        <f aca="false">IF($T310,I310-N(F310),"")</f>
        <v/>
      </c>
      <c r="K310" s="13" t="str">
        <f aca="false">IF($C310="","",IF(SUMPRODUCT(--(Setup!$A$5:$A$24=$C310))&gt;0,INDEX(Setup!$B$5:$B$24,21-SUMPRODUCT(MAX((Setup!$A$5:$A$24=$C310)*(25-ROW(Setup!$A$5:$A$24))))),""))</f>
        <v/>
      </c>
      <c r="L310" s="13" t="str">
        <f aca="false">IF($T310,K310*G310/60,"")</f>
        <v/>
      </c>
      <c r="M310" s="12" t="str">
        <f aca="false">IF($T310,G310-N(H310),"")</f>
        <v/>
      </c>
      <c r="N310" s="14" t="str">
        <f aca="false">IF($T310,J310/I310,"")</f>
        <v/>
      </c>
      <c r="O310" s="14" t="str">
        <f aca="false">IF(AND($T310,N(J310)&gt;0),L310/J310,"")</f>
        <v/>
      </c>
      <c r="P310" s="14" t="str">
        <f aca="false">IF(AND($T310,N(G310)&gt;0),M310/G310,"")</f>
        <v/>
      </c>
      <c r="Q310" s="14" t="str">
        <f aca="false">IF($T310,S310/I310,"")</f>
        <v/>
      </c>
      <c r="R310" s="10" t="str">
        <f aca="false">IF($C310="","",IF(NOT(SUMPRODUCT(--(Setup!$A$5:$A$24=$C310))&gt;0),"Machine not in Setup",IF(OR(NOT(ISNUMBER(K310)),N(K310)&lt;=0),"Set an ideal cycle time in Setup",IF(NOT(ISNUMBER(A310)),"Enter a date",IF(OR(NOT(ISNUMBER(D310)),NOT(ISNUMBER(G310)),AND(E310&lt;&gt;"",NOT(ISNUMBER(E310))),AND(F310&lt;&gt;"",NOT(ISNUMBER(F310))),AND(H310&lt;&gt;"",NOT(ISNUMBER(H310)))),"Enter numbers: shift length and total parts are required",IF(OR(N(D310)&lt;=0,N(E310)&lt;0,N(F310)&lt;0,N(G310)&lt;0,N(H310)&lt;0),"Values must be 0 or more (shift length above 0)",IF(N(H310)&gt;N(G310),"Rejects &gt; total parts",IF(N(E310)&gt;=N(D310),"Planned stops &gt;= shift length",IF(N(F310)&gt;N(D310)-N(E310),"Downtime &gt; planned time",IF(AND(ISNUMBER(O310),O310&gt;1),"Check: performance above 100%","OK"))))))))))</f>
        <v/>
      </c>
      <c r="S310" s="13" t="str">
        <f aca="false">IF($T310,K310*M310/60,"")</f>
        <v/>
      </c>
      <c r="T310" s="15" t="b">
        <f aca="false">IF($C310="",FALSE(),AND(SUMPRODUCT(--(Setup!$A$5:$A$24=$C310))&gt;0,ISNUMBER(A310),ISNUMBER(K310),N(K310)&gt;0,ISNUMBER(D310),N(D310)&gt;0,ISNUMBER(G310),N(G310)&gt;=0,OR(E310="",ISNUMBER(E310)),OR(F310="",ISNUMBER(F310)),OR(H310="",ISNUMBER(H310)),N(E310)&gt;=0,N(F310)&gt;=0,N(H310)&gt;=0,N(H310)&lt;=N(G310),N(E310)&lt;N(D310),N(F310)&lt;=N(D310)-N(E310)))</f>
        <v>0</v>
      </c>
    </row>
    <row r="311" customFormat="false" ht="15" hidden="false" customHeight="false" outlineLevel="0" collapsed="false">
      <c r="A311" s="11"/>
      <c r="B311" s="8"/>
      <c r="C311" s="8"/>
      <c r="D311" s="8"/>
      <c r="E311" s="8"/>
      <c r="F311" s="8"/>
      <c r="G311" s="8"/>
      <c r="H311" s="8"/>
      <c r="I311" s="12" t="str">
        <f aca="false">IF($T311,D311-N(E311),"")</f>
        <v/>
      </c>
      <c r="J311" s="12" t="str">
        <f aca="false">IF($T311,I311-N(F311),"")</f>
        <v/>
      </c>
      <c r="K311" s="13" t="str">
        <f aca="false">IF($C311="","",IF(SUMPRODUCT(--(Setup!$A$5:$A$24=$C311))&gt;0,INDEX(Setup!$B$5:$B$24,21-SUMPRODUCT(MAX((Setup!$A$5:$A$24=$C311)*(25-ROW(Setup!$A$5:$A$24))))),""))</f>
        <v/>
      </c>
      <c r="L311" s="13" t="str">
        <f aca="false">IF($T311,K311*G311/60,"")</f>
        <v/>
      </c>
      <c r="M311" s="12" t="str">
        <f aca="false">IF($T311,G311-N(H311),"")</f>
        <v/>
      </c>
      <c r="N311" s="14" t="str">
        <f aca="false">IF($T311,J311/I311,"")</f>
        <v/>
      </c>
      <c r="O311" s="14" t="str">
        <f aca="false">IF(AND($T311,N(J311)&gt;0),L311/J311,"")</f>
        <v/>
      </c>
      <c r="P311" s="14" t="str">
        <f aca="false">IF(AND($T311,N(G311)&gt;0),M311/G311,"")</f>
        <v/>
      </c>
      <c r="Q311" s="14" t="str">
        <f aca="false">IF($T311,S311/I311,"")</f>
        <v/>
      </c>
      <c r="R311" s="10" t="str">
        <f aca="false">IF($C311="","",IF(NOT(SUMPRODUCT(--(Setup!$A$5:$A$24=$C311))&gt;0),"Machine not in Setup",IF(OR(NOT(ISNUMBER(K311)),N(K311)&lt;=0),"Set an ideal cycle time in Setup",IF(NOT(ISNUMBER(A311)),"Enter a date",IF(OR(NOT(ISNUMBER(D311)),NOT(ISNUMBER(G311)),AND(E311&lt;&gt;"",NOT(ISNUMBER(E311))),AND(F311&lt;&gt;"",NOT(ISNUMBER(F311))),AND(H311&lt;&gt;"",NOT(ISNUMBER(H311)))),"Enter numbers: shift length and total parts are required",IF(OR(N(D311)&lt;=0,N(E311)&lt;0,N(F311)&lt;0,N(G311)&lt;0,N(H311)&lt;0),"Values must be 0 or more (shift length above 0)",IF(N(H311)&gt;N(G311),"Rejects &gt; total parts",IF(N(E311)&gt;=N(D311),"Planned stops &gt;= shift length",IF(N(F311)&gt;N(D311)-N(E311),"Downtime &gt; planned time",IF(AND(ISNUMBER(O311),O311&gt;1),"Check: performance above 100%","OK"))))))))))</f>
        <v/>
      </c>
      <c r="S311" s="13" t="str">
        <f aca="false">IF($T311,K311*M311/60,"")</f>
        <v/>
      </c>
      <c r="T311" s="15" t="b">
        <f aca="false">IF($C311="",FALSE(),AND(SUMPRODUCT(--(Setup!$A$5:$A$24=$C311))&gt;0,ISNUMBER(A311),ISNUMBER(K311),N(K311)&gt;0,ISNUMBER(D311),N(D311)&gt;0,ISNUMBER(G311),N(G311)&gt;=0,OR(E311="",ISNUMBER(E311)),OR(F311="",ISNUMBER(F311)),OR(H311="",ISNUMBER(H311)),N(E311)&gt;=0,N(F311)&gt;=0,N(H311)&gt;=0,N(H311)&lt;=N(G311),N(E311)&lt;N(D311),N(F311)&lt;=N(D311)-N(E311)))</f>
        <v>0</v>
      </c>
    </row>
    <row r="312" customFormat="false" ht="15" hidden="false" customHeight="false" outlineLevel="0" collapsed="false">
      <c r="A312" s="11"/>
      <c r="B312" s="8"/>
      <c r="C312" s="8"/>
      <c r="D312" s="8"/>
      <c r="E312" s="8"/>
      <c r="F312" s="8"/>
      <c r="G312" s="8"/>
      <c r="H312" s="8"/>
      <c r="I312" s="12" t="str">
        <f aca="false">IF($T312,D312-N(E312),"")</f>
        <v/>
      </c>
      <c r="J312" s="12" t="str">
        <f aca="false">IF($T312,I312-N(F312),"")</f>
        <v/>
      </c>
      <c r="K312" s="13" t="str">
        <f aca="false">IF($C312="","",IF(SUMPRODUCT(--(Setup!$A$5:$A$24=$C312))&gt;0,INDEX(Setup!$B$5:$B$24,21-SUMPRODUCT(MAX((Setup!$A$5:$A$24=$C312)*(25-ROW(Setup!$A$5:$A$24))))),""))</f>
        <v/>
      </c>
      <c r="L312" s="13" t="str">
        <f aca="false">IF($T312,K312*G312/60,"")</f>
        <v/>
      </c>
      <c r="M312" s="12" t="str">
        <f aca="false">IF($T312,G312-N(H312),"")</f>
        <v/>
      </c>
      <c r="N312" s="14" t="str">
        <f aca="false">IF($T312,J312/I312,"")</f>
        <v/>
      </c>
      <c r="O312" s="14" t="str">
        <f aca="false">IF(AND($T312,N(J312)&gt;0),L312/J312,"")</f>
        <v/>
      </c>
      <c r="P312" s="14" t="str">
        <f aca="false">IF(AND($T312,N(G312)&gt;0),M312/G312,"")</f>
        <v/>
      </c>
      <c r="Q312" s="14" t="str">
        <f aca="false">IF($T312,S312/I312,"")</f>
        <v/>
      </c>
      <c r="R312" s="10" t="str">
        <f aca="false">IF($C312="","",IF(NOT(SUMPRODUCT(--(Setup!$A$5:$A$24=$C312))&gt;0),"Machine not in Setup",IF(OR(NOT(ISNUMBER(K312)),N(K312)&lt;=0),"Set an ideal cycle time in Setup",IF(NOT(ISNUMBER(A312)),"Enter a date",IF(OR(NOT(ISNUMBER(D312)),NOT(ISNUMBER(G312)),AND(E312&lt;&gt;"",NOT(ISNUMBER(E312))),AND(F312&lt;&gt;"",NOT(ISNUMBER(F312))),AND(H312&lt;&gt;"",NOT(ISNUMBER(H312)))),"Enter numbers: shift length and total parts are required",IF(OR(N(D312)&lt;=0,N(E312)&lt;0,N(F312)&lt;0,N(G312)&lt;0,N(H312)&lt;0),"Values must be 0 or more (shift length above 0)",IF(N(H312)&gt;N(G312),"Rejects &gt; total parts",IF(N(E312)&gt;=N(D312),"Planned stops &gt;= shift length",IF(N(F312)&gt;N(D312)-N(E312),"Downtime &gt; planned time",IF(AND(ISNUMBER(O312),O312&gt;1),"Check: performance above 100%","OK"))))))))))</f>
        <v/>
      </c>
      <c r="S312" s="13" t="str">
        <f aca="false">IF($T312,K312*M312/60,"")</f>
        <v/>
      </c>
      <c r="T312" s="15" t="b">
        <f aca="false">IF($C312="",FALSE(),AND(SUMPRODUCT(--(Setup!$A$5:$A$24=$C312))&gt;0,ISNUMBER(A312),ISNUMBER(K312),N(K312)&gt;0,ISNUMBER(D312),N(D312)&gt;0,ISNUMBER(G312),N(G312)&gt;=0,OR(E312="",ISNUMBER(E312)),OR(F312="",ISNUMBER(F312)),OR(H312="",ISNUMBER(H312)),N(E312)&gt;=0,N(F312)&gt;=0,N(H312)&gt;=0,N(H312)&lt;=N(G312),N(E312)&lt;N(D312),N(F312)&lt;=N(D312)-N(E312)))</f>
        <v>0</v>
      </c>
    </row>
    <row r="313" customFormat="false" ht="15" hidden="false" customHeight="false" outlineLevel="0" collapsed="false">
      <c r="A313" s="11"/>
      <c r="B313" s="8"/>
      <c r="C313" s="8"/>
      <c r="D313" s="8"/>
      <c r="E313" s="8"/>
      <c r="F313" s="8"/>
      <c r="G313" s="8"/>
      <c r="H313" s="8"/>
      <c r="I313" s="12" t="str">
        <f aca="false">IF($T313,D313-N(E313),"")</f>
        <v/>
      </c>
      <c r="J313" s="12" t="str">
        <f aca="false">IF($T313,I313-N(F313),"")</f>
        <v/>
      </c>
      <c r="K313" s="13" t="str">
        <f aca="false">IF($C313="","",IF(SUMPRODUCT(--(Setup!$A$5:$A$24=$C313))&gt;0,INDEX(Setup!$B$5:$B$24,21-SUMPRODUCT(MAX((Setup!$A$5:$A$24=$C313)*(25-ROW(Setup!$A$5:$A$24))))),""))</f>
        <v/>
      </c>
      <c r="L313" s="13" t="str">
        <f aca="false">IF($T313,K313*G313/60,"")</f>
        <v/>
      </c>
      <c r="M313" s="12" t="str">
        <f aca="false">IF($T313,G313-N(H313),"")</f>
        <v/>
      </c>
      <c r="N313" s="14" t="str">
        <f aca="false">IF($T313,J313/I313,"")</f>
        <v/>
      </c>
      <c r="O313" s="14" t="str">
        <f aca="false">IF(AND($T313,N(J313)&gt;0),L313/J313,"")</f>
        <v/>
      </c>
      <c r="P313" s="14" t="str">
        <f aca="false">IF(AND($T313,N(G313)&gt;0),M313/G313,"")</f>
        <v/>
      </c>
      <c r="Q313" s="14" t="str">
        <f aca="false">IF($T313,S313/I313,"")</f>
        <v/>
      </c>
      <c r="R313" s="10" t="str">
        <f aca="false">IF($C313="","",IF(NOT(SUMPRODUCT(--(Setup!$A$5:$A$24=$C313))&gt;0),"Machine not in Setup",IF(OR(NOT(ISNUMBER(K313)),N(K313)&lt;=0),"Set an ideal cycle time in Setup",IF(NOT(ISNUMBER(A313)),"Enter a date",IF(OR(NOT(ISNUMBER(D313)),NOT(ISNUMBER(G313)),AND(E313&lt;&gt;"",NOT(ISNUMBER(E313))),AND(F313&lt;&gt;"",NOT(ISNUMBER(F313))),AND(H313&lt;&gt;"",NOT(ISNUMBER(H313)))),"Enter numbers: shift length and total parts are required",IF(OR(N(D313)&lt;=0,N(E313)&lt;0,N(F313)&lt;0,N(G313)&lt;0,N(H313)&lt;0),"Values must be 0 or more (shift length above 0)",IF(N(H313)&gt;N(G313),"Rejects &gt; total parts",IF(N(E313)&gt;=N(D313),"Planned stops &gt;= shift length",IF(N(F313)&gt;N(D313)-N(E313),"Downtime &gt; planned time",IF(AND(ISNUMBER(O313),O313&gt;1),"Check: performance above 100%","OK"))))))))))</f>
        <v/>
      </c>
      <c r="S313" s="13" t="str">
        <f aca="false">IF($T313,K313*M313/60,"")</f>
        <v/>
      </c>
      <c r="T313" s="15" t="b">
        <f aca="false">IF($C313="",FALSE(),AND(SUMPRODUCT(--(Setup!$A$5:$A$24=$C313))&gt;0,ISNUMBER(A313),ISNUMBER(K313),N(K313)&gt;0,ISNUMBER(D313),N(D313)&gt;0,ISNUMBER(G313),N(G313)&gt;=0,OR(E313="",ISNUMBER(E313)),OR(F313="",ISNUMBER(F313)),OR(H313="",ISNUMBER(H313)),N(E313)&gt;=0,N(F313)&gt;=0,N(H313)&gt;=0,N(H313)&lt;=N(G313),N(E313)&lt;N(D313),N(F313)&lt;=N(D313)-N(E313)))</f>
        <v>0</v>
      </c>
    </row>
    <row r="314" customFormat="false" ht="15" hidden="false" customHeight="false" outlineLevel="0" collapsed="false">
      <c r="A314" s="11"/>
      <c r="B314" s="8"/>
      <c r="C314" s="8"/>
      <c r="D314" s="8"/>
      <c r="E314" s="8"/>
      <c r="F314" s="8"/>
      <c r="G314" s="8"/>
      <c r="H314" s="8"/>
      <c r="I314" s="12" t="str">
        <f aca="false">IF($T314,D314-N(E314),"")</f>
        <v/>
      </c>
      <c r="J314" s="12" t="str">
        <f aca="false">IF($T314,I314-N(F314),"")</f>
        <v/>
      </c>
      <c r="K314" s="13" t="str">
        <f aca="false">IF($C314="","",IF(SUMPRODUCT(--(Setup!$A$5:$A$24=$C314))&gt;0,INDEX(Setup!$B$5:$B$24,21-SUMPRODUCT(MAX((Setup!$A$5:$A$24=$C314)*(25-ROW(Setup!$A$5:$A$24))))),""))</f>
        <v/>
      </c>
      <c r="L314" s="13" t="str">
        <f aca="false">IF($T314,K314*G314/60,"")</f>
        <v/>
      </c>
      <c r="M314" s="12" t="str">
        <f aca="false">IF($T314,G314-N(H314),"")</f>
        <v/>
      </c>
      <c r="N314" s="14" t="str">
        <f aca="false">IF($T314,J314/I314,"")</f>
        <v/>
      </c>
      <c r="O314" s="14" t="str">
        <f aca="false">IF(AND($T314,N(J314)&gt;0),L314/J314,"")</f>
        <v/>
      </c>
      <c r="P314" s="14" t="str">
        <f aca="false">IF(AND($T314,N(G314)&gt;0),M314/G314,"")</f>
        <v/>
      </c>
      <c r="Q314" s="14" t="str">
        <f aca="false">IF($T314,S314/I314,"")</f>
        <v/>
      </c>
      <c r="R314" s="10" t="str">
        <f aca="false">IF($C314="","",IF(NOT(SUMPRODUCT(--(Setup!$A$5:$A$24=$C314))&gt;0),"Machine not in Setup",IF(OR(NOT(ISNUMBER(K314)),N(K314)&lt;=0),"Set an ideal cycle time in Setup",IF(NOT(ISNUMBER(A314)),"Enter a date",IF(OR(NOT(ISNUMBER(D314)),NOT(ISNUMBER(G314)),AND(E314&lt;&gt;"",NOT(ISNUMBER(E314))),AND(F314&lt;&gt;"",NOT(ISNUMBER(F314))),AND(H314&lt;&gt;"",NOT(ISNUMBER(H314)))),"Enter numbers: shift length and total parts are required",IF(OR(N(D314)&lt;=0,N(E314)&lt;0,N(F314)&lt;0,N(G314)&lt;0,N(H314)&lt;0),"Values must be 0 or more (shift length above 0)",IF(N(H314)&gt;N(G314),"Rejects &gt; total parts",IF(N(E314)&gt;=N(D314),"Planned stops &gt;= shift length",IF(N(F314)&gt;N(D314)-N(E314),"Downtime &gt; planned time",IF(AND(ISNUMBER(O314),O314&gt;1),"Check: performance above 100%","OK"))))))))))</f>
        <v/>
      </c>
      <c r="S314" s="13" t="str">
        <f aca="false">IF($T314,K314*M314/60,"")</f>
        <v/>
      </c>
      <c r="T314" s="15" t="b">
        <f aca="false">IF($C314="",FALSE(),AND(SUMPRODUCT(--(Setup!$A$5:$A$24=$C314))&gt;0,ISNUMBER(A314),ISNUMBER(K314),N(K314)&gt;0,ISNUMBER(D314),N(D314)&gt;0,ISNUMBER(G314),N(G314)&gt;=0,OR(E314="",ISNUMBER(E314)),OR(F314="",ISNUMBER(F314)),OR(H314="",ISNUMBER(H314)),N(E314)&gt;=0,N(F314)&gt;=0,N(H314)&gt;=0,N(H314)&lt;=N(G314),N(E314)&lt;N(D314),N(F314)&lt;=N(D314)-N(E314)))</f>
        <v>0</v>
      </c>
    </row>
    <row r="315" customFormat="false" ht="15" hidden="false" customHeight="false" outlineLevel="0" collapsed="false">
      <c r="A315" s="11"/>
      <c r="B315" s="8"/>
      <c r="C315" s="8"/>
      <c r="D315" s="8"/>
      <c r="E315" s="8"/>
      <c r="F315" s="8"/>
      <c r="G315" s="8"/>
      <c r="H315" s="8"/>
      <c r="I315" s="12" t="str">
        <f aca="false">IF($T315,D315-N(E315),"")</f>
        <v/>
      </c>
      <c r="J315" s="12" t="str">
        <f aca="false">IF($T315,I315-N(F315),"")</f>
        <v/>
      </c>
      <c r="K315" s="13" t="str">
        <f aca="false">IF($C315="","",IF(SUMPRODUCT(--(Setup!$A$5:$A$24=$C315))&gt;0,INDEX(Setup!$B$5:$B$24,21-SUMPRODUCT(MAX((Setup!$A$5:$A$24=$C315)*(25-ROW(Setup!$A$5:$A$24))))),""))</f>
        <v/>
      </c>
      <c r="L315" s="13" t="str">
        <f aca="false">IF($T315,K315*G315/60,"")</f>
        <v/>
      </c>
      <c r="M315" s="12" t="str">
        <f aca="false">IF($T315,G315-N(H315),"")</f>
        <v/>
      </c>
      <c r="N315" s="14" t="str">
        <f aca="false">IF($T315,J315/I315,"")</f>
        <v/>
      </c>
      <c r="O315" s="14" t="str">
        <f aca="false">IF(AND($T315,N(J315)&gt;0),L315/J315,"")</f>
        <v/>
      </c>
      <c r="P315" s="14" t="str">
        <f aca="false">IF(AND($T315,N(G315)&gt;0),M315/G315,"")</f>
        <v/>
      </c>
      <c r="Q315" s="14" t="str">
        <f aca="false">IF($T315,S315/I315,"")</f>
        <v/>
      </c>
      <c r="R315" s="10" t="str">
        <f aca="false">IF($C315="","",IF(NOT(SUMPRODUCT(--(Setup!$A$5:$A$24=$C315))&gt;0),"Machine not in Setup",IF(OR(NOT(ISNUMBER(K315)),N(K315)&lt;=0),"Set an ideal cycle time in Setup",IF(NOT(ISNUMBER(A315)),"Enter a date",IF(OR(NOT(ISNUMBER(D315)),NOT(ISNUMBER(G315)),AND(E315&lt;&gt;"",NOT(ISNUMBER(E315))),AND(F315&lt;&gt;"",NOT(ISNUMBER(F315))),AND(H315&lt;&gt;"",NOT(ISNUMBER(H315)))),"Enter numbers: shift length and total parts are required",IF(OR(N(D315)&lt;=0,N(E315)&lt;0,N(F315)&lt;0,N(G315)&lt;0,N(H315)&lt;0),"Values must be 0 or more (shift length above 0)",IF(N(H315)&gt;N(G315),"Rejects &gt; total parts",IF(N(E315)&gt;=N(D315),"Planned stops &gt;= shift length",IF(N(F315)&gt;N(D315)-N(E315),"Downtime &gt; planned time",IF(AND(ISNUMBER(O315),O315&gt;1),"Check: performance above 100%","OK"))))))))))</f>
        <v/>
      </c>
      <c r="S315" s="13" t="str">
        <f aca="false">IF($T315,K315*M315/60,"")</f>
        <v/>
      </c>
      <c r="T315" s="15" t="b">
        <f aca="false">IF($C315="",FALSE(),AND(SUMPRODUCT(--(Setup!$A$5:$A$24=$C315))&gt;0,ISNUMBER(A315),ISNUMBER(K315),N(K315)&gt;0,ISNUMBER(D315),N(D315)&gt;0,ISNUMBER(G315),N(G315)&gt;=0,OR(E315="",ISNUMBER(E315)),OR(F315="",ISNUMBER(F315)),OR(H315="",ISNUMBER(H315)),N(E315)&gt;=0,N(F315)&gt;=0,N(H315)&gt;=0,N(H315)&lt;=N(G315),N(E315)&lt;N(D315),N(F315)&lt;=N(D315)-N(E315)))</f>
        <v>0</v>
      </c>
    </row>
    <row r="316" customFormat="false" ht="15" hidden="false" customHeight="false" outlineLevel="0" collapsed="false">
      <c r="A316" s="11"/>
      <c r="B316" s="8"/>
      <c r="C316" s="8"/>
      <c r="D316" s="8"/>
      <c r="E316" s="8"/>
      <c r="F316" s="8"/>
      <c r="G316" s="8"/>
      <c r="H316" s="8"/>
      <c r="I316" s="12" t="str">
        <f aca="false">IF($T316,D316-N(E316),"")</f>
        <v/>
      </c>
      <c r="J316" s="12" t="str">
        <f aca="false">IF($T316,I316-N(F316),"")</f>
        <v/>
      </c>
      <c r="K316" s="13" t="str">
        <f aca="false">IF($C316="","",IF(SUMPRODUCT(--(Setup!$A$5:$A$24=$C316))&gt;0,INDEX(Setup!$B$5:$B$24,21-SUMPRODUCT(MAX((Setup!$A$5:$A$24=$C316)*(25-ROW(Setup!$A$5:$A$24))))),""))</f>
        <v/>
      </c>
      <c r="L316" s="13" t="str">
        <f aca="false">IF($T316,K316*G316/60,"")</f>
        <v/>
      </c>
      <c r="M316" s="12" t="str">
        <f aca="false">IF($T316,G316-N(H316),"")</f>
        <v/>
      </c>
      <c r="N316" s="14" t="str">
        <f aca="false">IF($T316,J316/I316,"")</f>
        <v/>
      </c>
      <c r="O316" s="14" t="str">
        <f aca="false">IF(AND($T316,N(J316)&gt;0),L316/J316,"")</f>
        <v/>
      </c>
      <c r="P316" s="14" t="str">
        <f aca="false">IF(AND($T316,N(G316)&gt;0),M316/G316,"")</f>
        <v/>
      </c>
      <c r="Q316" s="14" t="str">
        <f aca="false">IF($T316,S316/I316,"")</f>
        <v/>
      </c>
      <c r="R316" s="10" t="str">
        <f aca="false">IF($C316="","",IF(NOT(SUMPRODUCT(--(Setup!$A$5:$A$24=$C316))&gt;0),"Machine not in Setup",IF(OR(NOT(ISNUMBER(K316)),N(K316)&lt;=0),"Set an ideal cycle time in Setup",IF(NOT(ISNUMBER(A316)),"Enter a date",IF(OR(NOT(ISNUMBER(D316)),NOT(ISNUMBER(G316)),AND(E316&lt;&gt;"",NOT(ISNUMBER(E316))),AND(F316&lt;&gt;"",NOT(ISNUMBER(F316))),AND(H316&lt;&gt;"",NOT(ISNUMBER(H316)))),"Enter numbers: shift length and total parts are required",IF(OR(N(D316)&lt;=0,N(E316)&lt;0,N(F316)&lt;0,N(G316)&lt;0,N(H316)&lt;0),"Values must be 0 or more (shift length above 0)",IF(N(H316)&gt;N(G316),"Rejects &gt; total parts",IF(N(E316)&gt;=N(D316),"Planned stops &gt;= shift length",IF(N(F316)&gt;N(D316)-N(E316),"Downtime &gt; planned time",IF(AND(ISNUMBER(O316),O316&gt;1),"Check: performance above 100%","OK"))))))))))</f>
        <v/>
      </c>
      <c r="S316" s="13" t="str">
        <f aca="false">IF($T316,K316*M316/60,"")</f>
        <v/>
      </c>
      <c r="T316" s="15" t="b">
        <f aca="false">IF($C316="",FALSE(),AND(SUMPRODUCT(--(Setup!$A$5:$A$24=$C316))&gt;0,ISNUMBER(A316),ISNUMBER(K316),N(K316)&gt;0,ISNUMBER(D316),N(D316)&gt;0,ISNUMBER(G316),N(G316)&gt;=0,OR(E316="",ISNUMBER(E316)),OR(F316="",ISNUMBER(F316)),OR(H316="",ISNUMBER(H316)),N(E316)&gt;=0,N(F316)&gt;=0,N(H316)&gt;=0,N(H316)&lt;=N(G316),N(E316)&lt;N(D316),N(F316)&lt;=N(D316)-N(E316)))</f>
        <v>0</v>
      </c>
    </row>
    <row r="317" customFormat="false" ht="15" hidden="false" customHeight="false" outlineLevel="0" collapsed="false">
      <c r="A317" s="11"/>
      <c r="B317" s="8"/>
      <c r="C317" s="8"/>
      <c r="D317" s="8"/>
      <c r="E317" s="8"/>
      <c r="F317" s="8"/>
      <c r="G317" s="8"/>
      <c r="H317" s="8"/>
      <c r="I317" s="12" t="str">
        <f aca="false">IF($T317,D317-N(E317),"")</f>
        <v/>
      </c>
      <c r="J317" s="12" t="str">
        <f aca="false">IF($T317,I317-N(F317),"")</f>
        <v/>
      </c>
      <c r="K317" s="13" t="str">
        <f aca="false">IF($C317="","",IF(SUMPRODUCT(--(Setup!$A$5:$A$24=$C317))&gt;0,INDEX(Setup!$B$5:$B$24,21-SUMPRODUCT(MAX((Setup!$A$5:$A$24=$C317)*(25-ROW(Setup!$A$5:$A$24))))),""))</f>
        <v/>
      </c>
      <c r="L317" s="13" t="str">
        <f aca="false">IF($T317,K317*G317/60,"")</f>
        <v/>
      </c>
      <c r="M317" s="12" t="str">
        <f aca="false">IF($T317,G317-N(H317),"")</f>
        <v/>
      </c>
      <c r="N317" s="14" t="str">
        <f aca="false">IF($T317,J317/I317,"")</f>
        <v/>
      </c>
      <c r="O317" s="14" t="str">
        <f aca="false">IF(AND($T317,N(J317)&gt;0),L317/J317,"")</f>
        <v/>
      </c>
      <c r="P317" s="14" t="str">
        <f aca="false">IF(AND($T317,N(G317)&gt;0),M317/G317,"")</f>
        <v/>
      </c>
      <c r="Q317" s="14" t="str">
        <f aca="false">IF($T317,S317/I317,"")</f>
        <v/>
      </c>
      <c r="R317" s="10" t="str">
        <f aca="false">IF($C317="","",IF(NOT(SUMPRODUCT(--(Setup!$A$5:$A$24=$C317))&gt;0),"Machine not in Setup",IF(OR(NOT(ISNUMBER(K317)),N(K317)&lt;=0),"Set an ideal cycle time in Setup",IF(NOT(ISNUMBER(A317)),"Enter a date",IF(OR(NOT(ISNUMBER(D317)),NOT(ISNUMBER(G317)),AND(E317&lt;&gt;"",NOT(ISNUMBER(E317))),AND(F317&lt;&gt;"",NOT(ISNUMBER(F317))),AND(H317&lt;&gt;"",NOT(ISNUMBER(H317)))),"Enter numbers: shift length and total parts are required",IF(OR(N(D317)&lt;=0,N(E317)&lt;0,N(F317)&lt;0,N(G317)&lt;0,N(H317)&lt;0),"Values must be 0 or more (shift length above 0)",IF(N(H317)&gt;N(G317),"Rejects &gt; total parts",IF(N(E317)&gt;=N(D317),"Planned stops &gt;= shift length",IF(N(F317)&gt;N(D317)-N(E317),"Downtime &gt; planned time",IF(AND(ISNUMBER(O317),O317&gt;1),"Check: performance above 100%","OK"))))))))))</f>
        <v/>
      </c>
      <c r="S317" s="13" t="str">
        <f aca="false">IF($T317,K317*M317/60,"")</f>
        <v/>
      </c>
      <c r="T317" s="15" t="b">
        <f aca="false">IF($C317="",FALSE(),AND(SUMPRODUCT(--(Setup!$A$5:$A$24=$C317))&gt;0,ISNUMBER(A317),ISNUMBER(K317),N(K317)&gt;0,ISNUMBER(D317),N(D317)&gt;0,ISNUMBER(G317),N(G317)&gt;=0,OR(E317="",ISNUMBER(E317)),OR(F317="",ISNUMBER(F317)),OR(H317="",ISNUMBER(H317)),N(E317)&gt;=0,N(F317)&gt;=0,N(H317)&gt;=0,N(H317)&lt;=N(G317),N(E317)&lt;N(D317),N(F317)&lt;=N(D317)-N(E317)))</f>
        <v>0</v>
      </c>
    </row>
    <row r="318" customFormat="false" ht="15" hidden="false" customHeight="false" outlineLevel="0" collapsed="false">
      <c r="A318" s="11"/>
      <c r="B318" s="8"/>
      <c r="C318" s="8"/>
      <c r="D318" s="8"/>
      <c r="E318" s="8"/>
      <c r="F318" s="8"/>
      <c r="G318" s="8"/>
      <c r="H318" s="8"/>
      <c r="I318" s="12" t="str">
        <f aca="false">IF($T318,D318-N(E318),"")</f>
        <v/>
      </c>
      <c r="J318" s="12" t="str">
        <f aca="false">IF($T318,I318-N(F318),"")</f>
        <v/>
      </c>
      <c r="K318" s="13" t="str">
        <f aca="false">IF($C318="","",IF(SUMPRODUCT(--(Setup!$A$5:$A$24=$C318))&gt;0,INDEX(Setup!$B$5:$B$24,21-SUMPRODUCT(MAX((Setup!$A$5:$A$24=$C318)*(25-ROW(Setup!$A$5:$A$24))))),""))</f>
        <v/>
      </c>
      <c r="L318" s="13" t="str">
        <f aca="false">IF($T318,K318*G318/60,"")</f>
        <v/>
      </c>
      <c r="M318" s="12" t="str">
        <f aca="false">IF($T318,G318-N(H318),"")</f>
        <v/>
      </c>
      <c r="N318" s="14" t="str">
        <f aca="false">IF($T318,J318/I318,"")</f>
        <v/>
      </c>
      <c r="O318" s="14" t="str">
        <f aca="false">IF(AND($T318,N(J318)&gt;0),L318/J318,"")</f>
        <v/>
      </c>
      <c r="P318" s="14" t="str">
        <f aca="false">IF(AND($T318,N(G318)&gt;0),M318/G318,"")</f>
        <v/>
      </c>
      <c r="Q318" s="14" t="str">
        <f aca="false">IF($T318,S318/I318,"")</f>
        <v/>
      </c>
      <c r="R318" s="10" t="str">
        <f aca="false">IF($C318="","",IF(NOT(SUMPRODUCT(--(Setup!$A$5:$A$24=$C318))&gt;0),"Machine not in Setup",IF(OR(NOT(ISNUMBER(K318)),N(K318)&lt;=0),"Set an ideal cycle time in Setup",IF(NOT(ISNUMBER(A318)),"Enter a date",IF(OR(NOT(ISNUMBER(D318)),NOT(ISNUMBER(G318)),AND(E318&lt;&gt;"",NOT(ISNUMBER(E318))),AND(F318&lt;&gt;"",NOT(ISNUMBER(F318))),AND(H318&lt;&gt;"",NOT(ISNUMBER(H318)))),"Enter numbers: shift length and total parts are required",IF(OR(N(D318)&lt;=0,N(E318)&lt;0,N(F318)&lt;0,N(G318)&lt;0,N(H318)&lt;0),"Values must be 0 or more (shift length above 0)",IF(N(H318)&gt;N(G318),"Rejects &gt; total parts",IF(N(E318)&gt;=N(D318),"Planned stops &gt;= shift length",IF(N(F318)&gt;N(D318)-N(E318),"Downtime &gt; planned time",IF(AND(ISNUMBER(O318),O318&gt;1),"Check: performance above 100%","OK"))))))))))</f>
        <v/>
      </c>
      <c r="S318" s="13" t="str">
        <f aca="false">IF($T318,K318*M318/60,"")</f>
        <v/>
      </c>
      <c r="T318" s="15" t="b">
        <f aca="false">IF($C318="",FALSE(),AND(SUMPRODUCT(--(Setup!$A$5:$A$24=$C318))&gt;0,ISNUMBER(A318),ISNUMBER(K318),N(K318)&gt;0,ISNUMBER(D318),N(D318)&gt;0,ISNUMBER(G318),N(G318)&gt;=0,OR(E318="",ISNUMBER(E318)),OR(F318="",ISNUMBER(F318)),OR(H318="",ISNUMBER(H318)),N(E318)&gt;=0,N(F318)&gt;=0,N(H318)&gt;=0,N(H318)&lt;=N(G318),N(E318)&lt;N(D318),N(F318)&lt;=N(D318)-N(E318)))</f>
        <v>0</v>
      </c>
    </row>
    <row r="319" customFormat="false" ht="15" hidden="false" customHeight="false" outlineLevel="0" collapsed="false">
      <c r="A319" s="11"/>
      <c r="B319" s="8"/>
      <c r="C319" s="8"/>
      <c r="D319" s="8"/>
      <c r="E319" s="8"/>
      <c r="F319" s="8"/>
      <c r="G319" s="8"/>
      <c r="H319" s="8"/>
      <c r="I319" s="12" t="str">
        <f aca="false">IF($T319,D319-N(E319),"")</f>
        <v/>
      </c>
      <c r="J319" s="12" t="str">
        <f aca="false">IF($T319,I319-N(F319),"")</f>
        <v/>
      </c>
      <c r="K319" s="13" t="str">
        <f aca="false">IF($C319="","",IF(SUMPRODUCT(--(Setup!$A$5:$A$24=$C319))&gt;0,INDEX(Setup!$B$5:$B$24,21-SUMPRODUCT(MAX((Setup!$A$5:$A$24=$C319)*(25-ROW(Setup!$A$5:$A$24))))),""))</f>
        <v/>
      </c>
      <c r="L319" s="13" t="str">
        <f aca="false">IF($T319,K319*G319/60,"")</f>
        <v/>
      </c>
      <c r="M319" s="12" t="str">
        <f aca="false">IF($T319,G319-N(H319),"")</f>
        <v/>
      </c>
      <c r="N319" s="14" t="str">
        <f aca="false">IF($T319,J319/I319,"")</f>
        <v/>
      </c>
      <c r="O319" s="14" t="str">
        <f aca="false">IF(AND($T319,N(J319)&gt;0),L319/J319,"")</f>
        <v/>
      </c>
      <c r="P319" s="14" t="str">
        <f aca="false">IF(AND($T319,N(G319)&gt;0),M319/G319,"")</f>
        <v/>
      </c>
      <c r="Q319" s="14" t="str">
        <f aca="false">IF($T319,S319/I319,"")</f>
        <v/>
      </c>
      <c r="R319" s="10" t="str">
        <f aca="false">IF($C319="","",IF(NOT(SUMPRODUCT(--(Setup!$A$5:$A$24=$C319))&gt;0),"Machine not in Setup",IF(OR(NOT(ISNUMBER(K319)),N(K319)&lt;=0),"Set an ideal cycle time in Setup",IF(NOT(ISNUMBER(A319)),"Enter a date",IF(OR(NOT(ISNUMBER(D319)),NOT(ISNUMBER(G319)),AND(E319&lt;&gt;"",NOT(ISNUMBER(E319))),AND(F319&lt;&gt;"",NOT(ISNUMBER(F319))),AND(H319&lt;&gt;"",NOT(ISNUMBER(H319)))),"Enter numbers: shift length and total parts are required",IF(OR(N(D319)&lt;=0,N(E319)&lt;0,N(F319)&lt;0,N(G319)&lt;0,N(H319)&lt;0),"Values must be 0 or more (shift length above 0)",IF(N(H319)&gt;N(G319),"Rejects &gt; total parts",IF(N(E319)&gt;=N(D319),"Planned stops &gt;= shift length",IF(N(F319)&gt;N(D319)-N(E319),"Downtime &gt; planned time",IF(AND(ISNUMBER(O319),O319&gt;1),"Check: performance above 100%","OK"))))))))))</f>
        <v/>
      </c>
      <c r="S319" s="13" t="str">
        <f aca="false">IF($T319,K319*M319/60,"")</f>
        <v/>
      </c>
      <c r="T319" s="15" t="b">
        <f aca="false">IF($C319="",FALSE(),AND(SUMPRODUCT(--(Setup!$A$5:$A$24=$C319))&gt;0,ISNUMBER(A319),ISNUMBER(K319),N(K319)&gt;0,ISNUMBER(D319),N(D319)&gt;0,ISNUMBER(G319),N(G319)&gt;=0,OR(E319="",ISNUMBER(E319)),OR(F319="",ISNUMBER(F319)),OR(H319="",ISNUMBER(H319)),N(E319)&gt;=0,N(F319)&gt;=0,N(H319)&gt;=0,N(H319)&lt;=N(G319),N(E319)&lt;N(D319),N(F319)&lt;=N(D319)-N(E319)))</f>
        <v>0</v>
      </c>
    </row>
    <row r="320" customFormat="false" ht="15" hidden="false" customHeight="false" outlineLevel="0" collapsed="false">
      <c r="A320" s="11"/>
      <c r="B320" s="8"/>
      <c r="C320" s="8"/>
      <c r="D320" s="8"/>
      <c r="E320" s="8"/>
      <c r="F320" s="8"/>
      <c r="G320" s="8"/>
      <c r="H320" s="8"/>
      <c r="I320" s="12" t="str">
        <f aca="false">IF($T320,D320-N(E320),"")</f>
        <v/>
      </c>
      <c r="J320" s="12" t="str">
        <f aca="false">IF($T320,I320-N(F320),"")</f>
        <v/>
      </c>
      <c r="K320" s="13" t="str">
        <f aca="false">IF($C320="","",IF(SUMPRODUCT(--(Setup!$A$5:$A$24=$C320))&gt;0,INDEX(Setup!$B$5:$B$24,21-SUMPRODUCT(MAX((Setup!$A$5:$A$24=$C320)*(25-ROW(Setup!$A$5:$A$24))))),""))</f>
        <v/>
      </c>
      <c r="L320" s="13" t="str">
        <f aca="false">IF($T320,K320*G320/60,"")</f>
        <v/>
      </c>
      <c r="M320" s="12" t="str">
        <f aca="false">IF($T320,G320-N(H320),"")</f>
        <v/>
      </c>
      <c r="N320" s="14" t="str">
        <f aca="false">IF($T320,J320/I320,"")</f>
        <v/>
      </c>
      <c r="O320" s="14" t="str">
        <f aca="false">IF(AND($T320,N(J320)&gt;0),L320/J320,"")</f>
        <v/>
      </c>
      <c r="P320" s="14" t="str">
        <f aca="false">IF(AND($T320,N(G320)&gt;0),M320/G320,"")</f>
        <v/>
      </c>
      <c r="Q320" s="14" t="str">
        <f aca="false">IF($T320,S320/I320,"")</f>
        <v/>
      </c>
      <c r="R320" s="10" t="str">
        <f aca="false">IF($C320="","",IF(NOT(SUMPRODUCT(--(Setup!$A$5:$A$24=$C320))&gt;0),"Machine not in Setup",IF(OR(NOT(ISNUMBER(K320)),N(K320)&lt;=0),"Set an ideal cycle time in Setup",IF(NOT(ISNUMBER(A320)),"Enter a date",IF(OR(NOT(ISNUMBER(D320)),NOT(ISNUMBER(G320)),AND(E320&lt;&gt;"",NOT(ISNUMBER(E320))),AND(F320&lt;&gt;"",NOT(ISNUMBER(F320))),AND(H320&lt;&gt;"",NOT(ISNUMBER(H320)))),"Enter numbers: shift length and total parts are required",IF(OR(N(D320)&lt;=0,N(E320)&lt;0,N(F320)&lt;0,N(G320)&lt;0,N(H320)&lt;0),"Values must be 0 or more (shift length above 0)",IF(N(H320)&gt;N(G320),"Rejects &gt; total parts",IF(N(E320)&gt;=N(D320),"Planned stops &gt;= shift length",IF(N(F320)&gt;N(D320)-N(E320),"Downtime &gt; planned time",IF(AND(ISNUMBER(O320),O320&gt;1),"Check: performance above 100%","OK"))))))))))</f>
        <v/>
      </c>
      <c r="S320" s="13" t="str">
        <f aca="false">IF($T320,K320*M320/60,"")</f>
        <v/>
      </c>
      <c r="T320" s="15" t="b">
        <f aca="false">IF($C320="",FALSE(),AND(SUMPRODUCT(--(Setup!$A$5:$A$24=$C320))&gt;0,ISNUMBER(A320),ISNUMBER(K320),N(K320)&gt;0,ISNUMBER(D320),N(D320)&gt;0,ISNUMBER(G320),N(G320)&gt;=0,OR(E320="",ISNUMBER(E320)),OR(F320="",ISNUMBER(F320)),OR(H320="",ISNUMBER(H320)),N(E320)&gt;=0,N(F320)&gt;=0,N(H320)&gt;=0,N(H320)&lt;=N(G320),N(E320)&lt;N(D320),N(F320)&lt;=N(D320)-N(E320)))</f>
        <v>0</v>
      </c>
    </row>
    <row r="321" customFormat="false" ht="15" hidden="false" customHeight="false" outlineLevel="0" collapsed="false">
      <c r="A321" s="11"/>
      <c r="B321" s="8"/>
      <c r="C321" s="8"/>
      <c r="D321" s="8"/>
      <c r="E321" s="8"/>
      <c r="F321" s="8"/>
      <c r="G321" s="8"/>
      <c r="H321" s="8"/>
      <c r="I321" s="12" t="str">
        <f aca="false">IF($T321,D321-N(E321),"")</f>
        <v/>
      </c>
      <c r="J321" s="12" t="str">
        <f aca="false">IF($T321,I321-N(F321),"")</f>
        <v/>
      </c>
      <c r="K321" s="13" t="str">
        <f aca="false">IF($C321="","",IF(SUMPRODUCT(--(Setup!$A$5:$A$24=$C321))&gt;0,INDEX(Setup!$B$5:$B$24,21-SUMPRODUCT(MAX((Setup!$A$5:$A$24=$C321)*(25-ROW(Setup!$A$5:$A$24))))),""))</f>
        <v/>
      </c>
      <c r="L321" s="13" t="str">
        <f aca="false">IF($T321,K321*G321/60,"")</f>
        <v/>
      </c>
      <c r="M321" s="12" t="str">
        <f aca="false">IF($T321,G321-N(H321),"")</f>
        <v/>
      </c>
      <c r="N321" s="14" t="str">
        <f aca="false">IF($T321,J321/I321,"")</f>
        <v/>
      </c>
      <c r="O321" s="14" t="str">
        <f aca="false">IF(AND($T321,N(J321)&gt;0),L321/J321,"")</f>
        <v/>
      </c>
      <c r="P321" s="14" t="str">
        <f aca="false">IF(AND($T321,N(G321)&gt;0),M321/G321,"")</f>
        <v/>
      </c>
      <c r="Q321" s="14" t="str">
        <f aca="false">IF($T321,S321/I321,"")</f>
        <v/>
      </c>
      <c r="R321" s="10" t="str">
        <f aca="false">IF($C321="","",IF(NOT(SUMPRODUCT(--(Setup!$A$5:$A$24=$C321))&gt;0),"Machine not in Setup",IF(OR(NOT(ISNUMBER(K321)),N(K321)&lt;=0),"Set an ideal cycle time in Setup",IF(NOT(ISNUMBER(A321)),"Enter a date",IF(OR(NOT(ISNUMBER(D321)),NOT(ISNUMBER(G321)),AND(E321&lt;&gt;"",NOT(ISNUMBER(E321))),AND(F321&lt;&gt;"",NOT(ISNUMBER(F321))),AND(H321&lt;&gt;"",NOT(ISNUMBER(H321)))),"Enter numbers: shift length and total parts are required",IF(OR(N(D321)&lt;=0,N(E321)&lt;0,N(F321)&lt;0,N(G321)&lt;0,N(H321)&lt;0),"Values must be 0 or more (shift length above 0)",IF(N(H321)&gt;N(G321),"Rejects &gt; total parts",IF(N(E321)&gt;=N(D321),"Planned stops &gt;= shift length",IF(N(F321)&gt;N(D321)-N(E321),"Downtime &gt; planned time",IF(AND(ISNUMBER(O321),O321&gt;1),"Check: performance above 100%","OK"))))))))))</f>
        <v/>
      </c>
      <c r="S321" s="13" t="str">
        <f aca="false">IF($T321,K321*M321/60,"")</f>
        <v/>
      </c>
      <c r="T321" s="15" t="b">
        <f aca="false">IF($C321="",FALSE(),AND(SUMPRODUCT(--(Setup!$A$5:$A$24=$C321))&gt;0,ISNUMBER(A321),ISNUMBER(K321),N(K321)&gt;0,ISNUMBER(D321),N(D321)&gt;0,ISNUMBER(G321),N(G321)&gt;=0,OR(E321="",ISNUMBER(E321)),OR(F321="",ISNUMBER(F321)),OR(H321="",ISNUMBER(H321)),N(E321)&gt;=0,N(F321)&gt;=0,N(H321)&gt;=0,N(H321)&lt;=N(G321),N(E321)&lt;N(D321),N(F321)&lt;=N(D321)-N(E321)))</f>
        <v>0</v>
      </c>
    </row>
    <row r="322" customFormat="false" ht="15" hidden="false" customHeight="false" outlineLevel="0" collapsed="false">
      <c r="A322" s="11"/>
      <c r="B322" s="8"/>
      <c r="C322" s="8"/>
      <c r="D322" s="8"/>
      <c r="E322" s="8"/>
      <c r="F322" s="8"/>
      <c r="G322" s="8"/>
      <c r="H322" s="8"/>
      <c r="I322" s="12" t="str">
        <f aca="false">IF($T322,D322-N(E322),"")</f>
        <v/>
      </c>
      <c r="J322" s="12" t="str">
        <f aca="false">IF($T322,I322-N(F322),"")</f>
        <v/>
      </c>
      <c r="K322" s="13" t="str">
        <f aca="false">IF($C322="","",IF(SUMPRODUCT(--(Setup!$A$5:$A$24=$C322))&gt;0,INDEX(Setup!$B$5:$B$24,21-SUMPRODUCT(MAX((Setup!$A$5:$A$24=$C322)*(25-ROW(Setup!$A$5:$A$24))))),""))</f>
        <v/>
      </c>
      <c r="L322" s="13" t="str">
        <f aca="false">IF($T322,K322*G322/60,"")</f>
        <v/>
      </c>
      <c r="M322" s="12" t="str">
        <f aca="false">IF($T322,G322-N(H322),"")</f>
        <v/>
      </c>
      <c r="N322" s="14" t="str">
        <f aca="false">IF($T322,J322/I322,"")</f>
        <v/>
      </c>
      <c r="O322" s="14" t="str">
        <f aca="false">IF(AND($T322,N(J322)&gt;0),L322/J322,"")</f>
        <v/>
      </c>
      <c r="P322" s="14" t="str">
        <f aca="false">IF(AND($T322,N(G322)&gt;0),M322/G322,"")</f>
        <v/>
      </c>
      <c r="Q322" s="14" t="str">
        <f aca="false">IF($T322,S322/I322,"")</f>
        <v/>
      </c>
      <c r="R322" s="10" t="str">
        <f aca="false">IF($C322="","",IF(NOT(SUMPRODUCT(--(Setup!$A$5:$A$24=$C322))&gt;0),"Machine not in Setup",IF(OR(NOT(ISNUMBER(K322)),N(K322)&lt;=0),"Set an ideal cycle time in Setup",IF(NOT(ISNUMBER(A322)),"Enter a date",IF(OR(NOT(ISNUMBER(D322)),NOT(ISNUMBER(G322)),AND(E322&lt;&gt;"",NOT(ISNUMBER(E322))),AND(F322&lt;&gt;"",NOT(ISNUMBER(F322))),AND(H322&lt;&gt;"",NOT(ISNUMBER(H322)))),"Enter numbers: shift length and total parts are required",IF(OR(N(D322)&lt;=0,N(E322)&lt;0,N(F322)&lt;0,N(G322)&lt;0,N(H322)&lt;0),"Values must be 0 or more (shift length above 0)",IF(N(H322)&gt;N(G322),"Rejects &gt; total parts",IF(N(E322)&gt;=N(D322),"Planned stops &gt;= shift length",IF(N(F322)&gt;N(D322)-N(E322),"Downtime &gt; planned time",IF(AND(ISNUMBER(O322),O322&gt;1),"Check: performance above 100%","OK"))))))))))</f>
        <v/>
      </c>
      <c r="S322" s="13" t="str">
        <f aca="false">IF($T322,K322*M322/60,"")</f>
        <v/>
      </c>
      <c r="T322" s="15" t="b">
        <f aca="false">IF($C322="",FALSE(),AND(SUMPRODUCT(--(Setup!$A$5:$A$24=$C322))&gt;0,ISNUMBER(A322),ISNUMBER(K322),N(K322)&gt;0,ISNUMBER(D322),N(D322)&gt;0,ISNUMBER(G322),N(G322)&gt;=0,OR(E322="",ISNUMBER(E322)),OR(F322="",ISNUMBER(F322)),OR(H322="",ISNUMBER(H322)),N(E322)&gt;=0,N(F322)&gt;=0,N(H322)&gt;=0,N(H322)&lt;=N(G322),N(E322)&lt;N(D322),N(F322)&lt;=N(D322)-N(E322)))</f>
        <v>0</v>
      </c>
    </row>
    <row r="323" customFormat="false" ht="15" hidden="false" customHeight="false" outlineLevel="0" collapsed="false">
      <c r="A323" s="11"/>
      <c r="B323" s="8"/>
      <c r="C323" s="8"/>
      <c r="D323" s="8"/>
      <c r="E323" s="8"/>
      <c r="F323" s="8"/>
      <c r="G323" s="8"/>
      <c r="H323" s="8"/>
      <c r="I323" s="12" t="str">
        <f aca="false">IF($T323,D323-N(E323),"")</f>
        <v/>
      </c>
      <c r="J323" s="12" t="str">
        <f aca="false">IF($T323,I323-N(F323),"")</f>
        <v/>
      </c>
      <c r="K323" s="13" t="str">
        <f aca="false">IF($C323="","",IF(SUMPRODUCT(--(Setup!$A$5:$A$24=$C323))&gt;0,INDEX(Setup!$B$5:$B$24,21-SUMPRODUCT(MAX((Setup!$A$5:$A$24=$C323)*(25-ROW(Setup!$A$5:$A$24))))),""))</f>
        <v/>
      </c>
      <c r="L323" s="13" t="str">
        <f aca="false">IF($T323,K323*G323/60,"")</f>
        <v/>
      </c>
      <c r="M323" s="12" t="str">
        <f aca="false">IF($T323,G323-N(H323),"")</f>
        <v/>
      </c>
      <c r="N323" s="14" t="str">
        <f aca="false">IF($T323,J323/I323,"")</f>
        <v/>
      </c>
      <c r="O323" s="14" t="str">
        <f aca="false">IF(AND($T323,N(J323)&gt;0),L323/J323,"")</f>
        <v/>
      </c>
      <c r="P323" s="14" t="str">
        <f aca="false">IF(AND($T323,N(G323)&gt;0),M323/G323,"")</f>
        <v/>
      </c>
      <c r="Q323" s="14" t="str">
        <f aca="false">IF($T323,S323/I323,"")</f>
        <v/>
      </c>
      <c r="R323" s="10" t="str">
        <f aca="false">IF($C323="","",IF(NOT(SUMPRODUCT(--(Setup!$A$5:$A$24=$C323))&gt;0),"Machine not in Setup",IF(OR(NOT(ISNUMBER(K323)),N(K323)&lt;=0),"Set an ideal cycle time in Setup",IF(NOT(ISNUMBER(A323)),"Enter a date",IF(OR(NOT(ISNUMBER(D323)),NOT(ISNUMBER(G323)),AND(E323&lt;&gt;"",NOT(ISNUMBER(E323))),AND(F323&lt;&gt;"",NOT(ISNUMBER(F323))),AND(H323&lt;&gt;"",NOT(ISNUMBER(H323)))),"Enter numbers: shift length and total parts are required",IF(OR(N(D323)&lt;=0,N(E323)&lt;0,N(F323)&lt;0,N(G323)&lt;0,N(H323)&lt;0),"Values must be 0 or more (shift length above 0)",IF(N(H323)&gt;N(G323),"Rejects &gt; total parts",IF(N(E323)&gt;=N(D323),"Planned stops &gt;= shift length",IF(N(F323)&gt;N(D323)-N(E323),"Downtime &gt; planned time",IF(AND(ISNUMBER(O323),O323&gt;1),"Check: performance above 100%","OK"))))))))))</f>
        <v/>
      </c>
      <c r="S323" s="13" t="str">
        <f aca="false">IF($T323,K323*M323/60,"")</f>
        <v/>
      </c>
      <c r="T323" s="15" t="b">
        <f aca="false">IF($C323="",FALSE(),AND(SUMPRODUCT(--(Setup!$A$5:$A$24=$C323))&gt;0,ISNUMBER(A323),ISNUMBER(K323),N(K323)&gt;0,ISNUMBER(D323),N(D323)&gt;0,ISNUMBER(G323),N(G323)&gt;=0,OR(E323="",ISNUMBER(E323)),OR(F323="",ISNUMBER(F323)),OR(H323="",ISNUMBER(H323)),N(E323)&gt;=0,N(F323)&gt;=0,N(H323)&gt;=0,N(H323)&lt;=N(G323),N(E323)&lt;N(D323),N(F323)&lt;=N(D323)-N(E323)))</f>
        <v>0</v>
      </c>
    </row>
    <row r="324" customFormat="false" ht="15" hidden="false" customHeight="false" outlineLevel="0" collapsed="false">
      <c r="A324" s="11"/>
      <c r="B324" s="8"/>
      <c r="C324" s="8"/>
      <c r="D324" s="8"/>
      <c r="E324" s="8"/>
      <c r="F324" s="8"/>
      <c r="G324" s="8"/>
      <c r="H324" s="8"/>
      <c r="I324" s="12" t="str">
        <f aca="false">IF($T324,D324-N(E324),"")</f>
        <v/>
      </c>
      <c r="J324" s="12" t="str">
        <f aca="false">IF($T324,I324-N(F324),"")</f>
        <v/>
      </c>
      <c r="K324" s="13" t="str">
        <f aca="false">IF($C324="","",IF(SUMPRODUCT(--(Setup!$A$5:$A$24=$C324))&gt;0,INDEX(Setup!$B$5:$B$24,21-SUMPRODUCT(MAX((Setup!$A$5:$A$24=$C324)*(25-ROW(Setup!$A$5:$A$24))))),""))</f>
        <v/>
      </c>
      <c r="L324" s="13" t="str">
        <f aca="false">IF($T324,K324*G324/60,"")</f>
        <v/>
      </c>
      <c r="M324" s="12" t="str">
        <f aca="false">IF($T324,G324-N(H324),"")</f>
        <v/>
      </c>
      <c r="N324" s="14" t="str">
        <f aca="false">IF($T324,J324/I324,"")</f>
        <v/>
      </c>
      <c r="O324" s="14" t="str">
        <f aca="false">IF(AND($T324,N(J324)&gt;0),L324/J324,"")</f>
        <v/>
      </c>
      <c r="P324" s="14" t="str">
        <f aca="false">IF(AND($T324,N(G324)&gt;0),M324/G324,"")</f>
        <v/>
      </c>
      <c r="Q324" s="14" t="str">
        <f aca="false">IF($T324,S324/I324,"")</f>
        <v/>
      </c>
      <c r="R324" s="10" t="str">
        <f aca="false">IF($C324="","",IF(NOT(SUMPRODUCT(--(Setup!$A$5:$A$24=$C324))&gt;0),"Machine not in Setup",IF(OR(NOT(ISNUMBER(K324)),N(K324)&lt;=0),"Set an ideal cycle time in Setup",IF(NOT(ISNUMBER(A324)),"Enter a date",IF(OR(NOT(ISNUMBER(D324)),NOT(ISNUMBER(G324)),AND(E324&lt;&gt;"",NOT(ISNUMBER(E324))),AND(F324&lt;&gt;"",NOT(ISNUMBER(F324))),AND(H324&lt;&gt;"",NOT(ISNUMBER(H324)))),"Enter numbers: shift length and total parts are required",IF(OR(N(D324)&lt;=0,N(E324)&lt;0,N(F324)&lt;0,N(G324)&lt;0,N(H324)&lt;0),"Values must be 0 or more (shift length above 0)",IF(N(H324)&gt;N(G324),"Rejects &gt; total parts",IF(N(E324)&gt;=N(D324),"Planned stops &gt;= shift length",IF(N(F324)&gt;N(D324)-N(E324),"Downtime &gt; planned time",IF(AND(ISNUMBER(O324),O324&gt;1),"Check: performance above 100%","OK"))))))))))</f>
        <v/>
      </c>
      <c r="S324" s="13" t="str">
        <f aca="false">IF($T324,K324*M324/60,"")</f>
        <v/>
      </c>
      <c r="T324" s="15" t="b">
        <f aca="false">IF($C324="",FALSE(),AND(SUMPRODUCT(--(Setup!$A$5:$A$24=$C324))&gt;0,ISNUMBER(A324),ISNUMBER(K324),N(K324)&gt;0,ISNUMBER(D324),N(D324)&gt;0,ISNUMBER(G324),N(G324)&gt;=0,OR(E324="",ISNUMBER(E324)),OR(F324="",ISNUMBER(F324)),OR(H324="",ISNUMBER(H324)),N(E324)&gt;=0,N(F324)&gt;=0,N(H324)&gt;=0,N(H324)&lt;=N(G324),N(E324)&lt;N(D324),N(F324)&lt;=N(D324)-N(E324)))</f>
        <v>0</v>
      </c>
    </row>
    <row r="325" customFormat="false" ht="15" hidden="false" customHeight="false" outlineLevel="0" collapsed="false">
      <c r="A325" s="11"/>
      <c r="B325" s="8"/>
      <c r="C325" s="8"/>
      <c r="D325" s="8"/>
      <c r="E325" s="8"/>
      <c r="F325" s="8"/>
      <c r="G325" s="8"/>
      <c r="H325" s="8"/>
      <c r="I325" s="12" t="str">
        <f aca="false">IF($T325,D325-N(E325),"")</f>
        <v/>
      </c>
      <c r="J325" s="12" t="str">
        <f aca="false">IF($T325,I325-N(F325),"")</f>
        <v/>
      </c>
      <c r="K325" s="13" t="str">
        <f aca="false">IF($C325="","",IF(SUMPRODUCT(--(Setup!$A$5:$A$24=$C325))&gt;0,INDEX(Setup!$B$5:$B$24,21-SUMPRODUCT(MAX((Setup!$A$5:$A$24=$C325)*(25-ROW(Setup!$A$5:$A$24))))),""))</f>
        <v/>
      </c>
      <c r="L325" s="13" t="str">
        <f aca="false">IF($T325,K325*G325/60,"")</f>
        <v/>
      </c>
      <c r="M325" s="12" t="str">
        <f aca="false">IF($T325,G325-N(H325),"")</f>
        <v/>
      </c>
      <c r="N325" s="14" t="str">
        <f aca="false">IF($T325,J325/I325,"")</f>
        <v/>
      </c>
      <c r="O325" s="14" t="str">
        <f aca="false">IF(AND($T325,N(J325)&gt;0),L325/J325,"")</f>
        <v/>
      </c>
      <c r="P325" s="14" t="str">
        <f aca="false">IF(AND($T325,N(G325)&gt;0),M325/G325,"")</f>
        <v/>
      </c>
      <c r="Q325" s="14" t="str">
        <f aca="false">IF($T325,S325/I325,"")</f>
        <v/>
      </c>
      <c r="R325" s="10" t="str">
        <f aca="false">IF($C325="","",IF(NOT(SUMPRODUCT(--(Setup!$A$5:$A$24=$C325))&gt;0),"Machine not in Setup",IF(OR(NOT(ISNUMBER(K325)),N(K325)&lt;=0),"Set an ideal cycle time in Setup",IF(NOT(ISNUMBER(A325)),"Enter a date",IF(OR(NOT(ISNUMBER(D325)),NOT(ISNUMBER(G325)),AND(E325&lt;&gt;"",NOT(ISNUMBER(E325))),AND(F325&lt;&gt;"",NOT(ISNUMBER(F325))),AND(H325&lt;&gt;"",NOT(ISNUMBER(H325)))),"Enter numbers: shift length and total parts are required",IF(OR(N(D325)&lt;=0,N(E325)&lt;0,N(F325)&lt;0,N(G325)&lt;0,N(H325)&lt;0),"Values must be 0 or more (shift length above 0)",IF(N(H325)&gt;N(G325),"Rejects &gt; total parts",IF(N(E325)&gt;=N(D325),"Planned stops &gt;= shift length",IF(N(F325)&gt;N(D325)-N(E325),"Downtime &gt; planned time",IF(AND(ISNUMBER(O325),O325&gt;1),"Check: performance above 100%","OK"))))))))))</f>
        <v/>
      </c>
      <c r="S325" s="13" t="str">
        <f aca="false">IF($T325,K325*M325/60,"")</f>
        <v/>
      </c>
      <c r="T325" s="15" t="b">
        <f aca="false">IF($C325="",FALSE(),AND(SUMPRODUCT(--(Setup!$A$5:$A$24=$C325))&gt;0,ISNUMBER(A325),ISNUMBER(K325),N(K325)&gt;0,ISNUMBER(D325),N(D325)&gt;0,ISNUMBER(G325),N(G325)&gt;=0,OR(E325="",ISNUMBER(E325)),OR(F325="",ISNUMBER(F325)),OR(H325="",ISNUMBER(H325)),N(E325)&gt;=0,N(F325)&gt;=0,N(H325)&gt;=0,N(H325)&lt;=N(G325),N(E325)&lt;N(D325),N(F325)&lt;=N(D325)-N(E325)))</f>
        <v>0</v>
      </c>
    </row>
    <row r="326" customFormat="false" ht="15" hidden="false" customHeight="false" outlineLevel="0" collapsed="false">
      <c r="A326" s="11"/>
      <c r="B326" s="8"/>
      <c r="C326" s="8"/>
      <c r="D326" s="8"/>
      <c r="E326" s="8"/>
      <c r="F326" s="8"/>
      <c r="G326" s="8"/>
      <c r="H326" s="8"/>
      <c r="I326" s="12" t="str">
        <f aca="false">IF($T326,D326-N(E326),"")</f>
        <v/>
      </c>
      <c r="J326" s="12" t="str">
        <f aca="false">IF($T326,I326-N(F326),"")</f>
        <v/>
      </c>
      <c r="K326" s="13" t="str">
        <f aca="false">IF($C326="","",IF(SUMPRODUCT(--(Setup!$A$5:$A$24=$C326))&gt;0,INDEX(Setup!$B$5:$B$24,21-SUMPRODUCT(MAX((Setup!$A$5:$A$24=$C326)*(25-ROW(Setup!$A$5:$A$24))))),""))</f>
        <v/>
      </c>
      <c r="L326" s="13" t="str">
        <f aca="false">IF($T326,K326*G326/60,"")</f>
        <v/>
      </c>
      <c r="M326" s="12" t="str">
        <f aca="false">IF($T326,G326-N(H326),"")</f>
        <v/>
      </c>
      <c r="N326" s="14" t="str">
        <f aca="false">IF($T326,J326/I326,"")</f>
        <v/>
      </c>
      <c r="O326" s="14" t="str">
        <f aca="false">IF(AND($T326,N(J326)&gt;0),L326/J326,"")</f>
        <v/>
      </c>
      <c r="P326" s="14" t="str">
        <f aca="false">IF(AND($T326,N(G326)&gt;0),M326/G326,"")</f>
        <v/>
      </c>
      <c r="Q326" s="14" t="str">
        <f aca="false">IF($T326,S326/I326,"")</f>
        <v/>
      </c>
      <c r="R326" s="10" t="str">
        <f aca="false">IF($C326="","",IF(NOT(SUMPRODUCT(--(Setup!$A$5:$A$24=$C326))&gt;0),"Machine not in Setup",IF(OR(NOT(ISNUMBER(K326)),N(K326)&lt;=0),"Set an ideal cycle time in Setup",IF(NOT(ISNUMBER(A326)),"Enter a date",IF(OR(NOT(ISNUMBER(D326)),NOT(ISNUMBER(G326)),AND(E326&lt;&gt;"",NOT(ISNUMBER(E326))),AND(F326&lt;&gt;"",NOT(ISNUMBER(F326))),AND(H326&lt;&gt;"",NOT(ISNUMBER(H326)))),"Enter numbers: shift length and total parts are required",IF(OR(N(D326)&lt;=0,N(E326)&lt;0,N(F326)&lt;0,N(G326)&lt;0,N(H326)&lt;0),"Values must be 0 or more (shift length above 0)",IF(N(H326)&gt;N(G326),"Rejects &gt; total parts",IF(N(E326)&gt;=N(D326),"Planned stops &gt;= shift length",IF(N(F326)&gt;N(D326)-N(E326),"Downtime &gt; planned time",IF(AND(ISNUMBER(O326),O326&gt;1),"Check: performance above 100%","OK"))))))))))</f>
        <v/>
      </c>
      <c r="S326" s="13" t="str">
        <f aca="false">IF($T326,K326*M326/60,"")</f>
        <v/>
      </c>
      <c r="T326" s="15" t="b">
        <f aca="false">IF($C326="",FALSE(),AND(SUMPRODUCT(--(Setup!$A$5:$A$24=$C326))&gt;0,ISNUMBER(A326),ISNUMBER(K326),N(K326)&gt;0,ISNUMBER(D326),N(D326)&gt;0,ISNUMBER(G326),N(G326)&gt;=0,OR(E326="",ISNUMBER(E326)),OR(F326="",ISNUMBER(F326)),OR(H326="",ISNUMBER(H326)),N(E326)&gt;=0,N(F326)&gt;=0,N(H326)&gt;=0,N(H326)&lt;=N(G326),N(E326)&lt;N(D326),N(F326)&lt;=N(D326)-N(E326)))</f>
        <v>0</v>
      </c>
    </row>
    <row r="327" customFormat="false" ht="15" hidden="false" customHeight="false" outlineLevel="0" collapsed="false">
      <c r="A327" s="11"/>
      <c r="B327" s="8"/>
      <c r="C327" s="8"/>
      <c r="D327" s="8"/>
      <c r="E327" s="8"/>
      <c r="F327" s="8"/>
      <c r="G327" s="8"/>
      <c r="H327" s="8"/>
      <c r="I327" s="12" t="str">
        <f aca="false">IF($T327,D327-N(E327),"")</f>
        <v/>
      </c>
      <c r="J327" s="12" t="str">
        <f aca="false">IF($T327,I327-N(F327),"")</f>
        <v/>
      </c>
      <c r="K327" s="13" t="str">
        <f aca="false">IF($C327="","",IF(SUMPRODUCT(--(Setup!$A$5:$A$24=$C327))&gt;0,INDEX(Setup!$B$5:$B$24,21-SUMPRODUCT(MAX((Setup!$A$5:$A$24=$C327)*(25-ROW(Setup!$A$5:$A$24))))),""))</f>
        <v/>
      </c>
      <c r="L327" s="13" t="str">
        <f aca="false">IF($T327,K327*G327/60,"")</f>
        <v/>
      </c>
      <c r="M327" s="12" t="str">
        <f aca="false">IF($T327,G327-N(H327),"")</f>
        <v/>
      </c>
      <c r="N327" s="14" t="str">
        <f aca="false">IF($T327,J327/I327,"")</f>
        <v/>
      </c>
      <c r="O327" s="14" t="str">
        <f aca="false">IF(AND($T327,N(J327)&gt;0),L327/J327,"")</f>
        <v/>
      </c>
      <c r="P327" s="14" t="str">
        <f aca="false">IF(AND($T327,N(G327)&gt;0),M327/G327,"")</f>
        <v/>
      </c>
      <c r="Q327" s="14" t="str">
        <f aca="false">IF($T327,S327/I327,"")</f>
        <v/>
      </c>
      <c r="R327" s="10" t="str">
        <f aca="false">IF($C327="","",IF(NOT(SUMPRODUCT(--(Setup!$A$5:$A$24=$C327))&gt;0),"Machine not in Setup",IF(OR(NOT(ISNUMBER(K327)),N(K327)&lt;=0),"Set an ideal cycle time in Setup",IF(NOT(ISNUMBER(A327)),"Enter a date",IF(OR(NOT(ISNUMBER(D327)),NOT(ISNUMBER(G327)),AND(E327&lt;&gt;"",NOT(ISNUMBER(E327))),AND(F327&lt;&gt;"",NOT(ISNUMBER(F327))),AND(H327&lt;&gt;"",NOT(ISNUMBER(H327)))),"Enter numbers: shift length and total parts are required",IF(OR(N(D327)&lt;=0,N(E327)&lt;0,N(F327)&lt;0,N(G327)&lt;0,N(H327)&lt;0),"Values must be 0 or more (shift length above 0)",IF(N(H327)&gt;N(G327),"Rejects &gt; total parts",IF(N(E327)&gt;=N(D327),"Planned stops &gt;= shift length",IF(N(F327)&gt;N(D327)-N(E327),"Downtime &gt; planned time",IF(AND(ISNUMBER(O327),O327&gt;1),"Check: performance above 100%","OK"))))))))))</f>
        <v/>
      </c>
      <c r="S327" s="13" t="str">
        <f aca="false">IF($T327,K327*M327/60,"")</f>
        <v/>
      </c>
      <c r="T327" s="15" t="b">
        <f aca="false">IF($C327="",FALSE(),AND(SUMPRODUCT(--(Setup!$A$5:$A$24=$C327))&gt;0,ISNUMBER(A327),ISNUMBER(K327),N(K327)&gt;0,ISNUMBER(D327),N(D327)&gt;0,ISNUMBER(G327),N(G327)&gt;=0,OR(E327="",ISNUMBER(E327)),OR(F327="",ISNUMBER(F327)),OR(H327="",ISNUMBER(H327)),N(E327)&gt;=0,N(F327)&gt;=0,N(H327)&gt;=0,N(H327)&lt;=N(G327),N(E327)&lt;N(D327),N(F327)&lt;=N(D327)-N(E327)))</f>
        <v>0</v>
      </c>
    </row>
    <row r="328" customFormat="false" ht="15" hidden="false" customHeight="false" outlineLevel="0" collapsed="false">
      <c r="A328" s="11"/>
      <c r="B328" s="8"/>
      <c r="C328" s="8"/>
      <c r="D328" s="8"/>
      <c r="E328" s="8"/>
      <c r="F328" s="8"/>
      <c r="G328" s="8"/>
      <c r="H328" s="8"/>
      <c r="I328" s="12" t="str">
        <f aca="false">IF($T328,D328-N(E328),"")</f>
        <v/>
      </c>
      <c r="J328" s="12" t="str">
        <f aca="false">IF($T328,I328-N(F328),"")</f>
        <v/>
      </c>
      <c r="K328" s="13" t="str">
        <f aca="false">IF($C328="","",IF(SUMPRODUCT(--(Setup!$A$5:$A$24=$C328))&gt;0,INDEX(Setup!$B$5:$B$24,21-SUMPRODUCT(MAX((Setup!$A$5:$A$24=$C328)*(25-ROW(Setup!$A$5:$A$24))))),""))</f>
        <v/>
      </c>
      <c r="L328" s="13" t="str">
        <f aca="false">IF($T328,K328*G328/60,"")</f>
        <v/>
      </c>
      <c r="M328" s="12" t="str">
        <f aca="false">IF($T328,G328-N(H328),"")</f>
        <v/>
      </c>
      <c r="N328" s="14" t="str">
        <f aca="false">IF($T328,J328/I328,"")</f>
        <v/>
      </c>
      <c r="O328" s="14" t="str">
        <f aca="false">IF(AND($T328,N(J328)&gt;0),L328/J328,"")</f>
        <v/>
      </c>
      <c r="P328" s="14" t="str">
        <f aca="false">IF(AND($T328,N(G328)&gt;0),M328/G328,"")</f>
        <v/>
      </c>
      <c r="Q328" s="14" t="str">
        <f aca="false">IF($T328,S328/I328,"")</f>
        <v/>
      </c>
      <c r="R328" s="10" t="str">
        <f aca="false">IF($C328="","",IF(NOT(SUMPRODUCT(--(Setup!$A$5:$A$24=$C328))&gt;0),"Machine not in Setup",IF(OR(NOT(ISNUMBER(K328)),N(K328)&lt;=0),"Set an ideal cycle time in Setup",IF(NOT(ISNUMBER(A328)),"Enter a date",IF(OR(NOT(ISNUMBER(D328)),NOT(ISNUMBER(G328)),AND(E328&lt;&gt;"",NOT(ISNUMBER(E328))),AND(F328&lt;&gt;"",NOT(ISNUMBER(F328))),AND(H328&lt;&gt;"",NOT(ISNUMBER(H328)))),"Enter numbers: shift length and total parts are required",IF(OR(N(D328)&lt;=0,N(E328)&lt;0,N(F328)&lt;0,N(G328)&lt;0,N(H328)&lt;0),"Values must be 0 or more (shift length above 0)",IF(N(H328)&gt;N(G328),"Rejects &gt; total parts",IF(N(E328)&gt;=N(D328),"Planned stops &gt;= shift length",IF(N(F328)&gt;N(D328)-N(E328),"Downtime &gt; planned time",IF(AND(ISNUMBER(O328),O328&gt;1),"Check: performance above 100%","OK"))))))))))</f>
        <v/>
      </c>
      <c r="S328" s="13" t="str">
        <f aca="false">IF($T328,K328*M328/60,"")</f>
        <v/>
      </c>
      <c r="T328" s="15" t="b">
        <f aca="false">IF($C328="",FALSE(),AND(SUMPRODUCT(--(Setup!$A$5:$A$24=$C328))&gt;0,ISNUMBER(A328),ISNUMBER(K328),N(K328)&gt;0,ISNUMBER(D328),N(D328)&gt;0,ISNUMBER(G328),N(G328)&gt;=0,OR(E328="",ISNUMBER(E328)),OR(F328="",ISNUMBER(F328)),OR(H328="",ISNUMBER(H328)),N(E328)&gt;=0,N(F328)&gt;=0,N(H328)&gt;=0,N(H328)&lt;=N(G328),N(E328)&lt;N(D328),N(F328)&lt;=N(D328)-N(E328)))</f>
        <v>0</v>
      </c>
    </row>
    <row r="329" customFormat="false" ht="15" hidden="false" customHeight="false" outlineLevel="0" collapsed="false">
      <c r="A329" s="11"/>
      <c r="B329" s="8"/>
      <c r="C329" s="8"/>
      <c r="D329" s="8"/>
      <c r="E329" s="8"/>
      <c r="F329" s="8"/>
      <c r="G329" s="8"/>
      <c r="H329" s="8"/>
      <c r="I329" s="12" t="str">
        <f aca="false">IF($T329,D329-N(E329),"")</f>
        <v/>
      </c>
      <c r="J329" s="12" t="str">
        <f aca="false">IF($T329,I329-N(F329),"")</f>
        <v/>
      </c>
      <c r="K329" s="13" t="str">
        <f aca="false">IF($C329="","",IF(SUMPRODUCT(--(Setup!$A$5:$A$24=$C329))&gt;0,INDEX(Setup!$B$5:$B$24,21-SUMPRODUCT(MAX((Setup!$A$5:$A$24=$C329)*(25-ROW(Setup!$A$5:$A$24))))),""))</f>
        <v/>
      </c>
      <c r="L329" s="13" t="str">
        <f aca="false">IF($T329,K329*G329/60,"")</f>
        <v/>
      </c>
      <c r="M329" s="12" t="str">
        <f aca="false">IF($T329,G329-N(H329),"")</f>
        <v/>
      </c>
      <c r="N329" s="14" t="str">
        <f aca="false">IF($T329,J329/I329,"")</f>
        <v/>
      </c>
      <c r="O329" s="14" t="str">
        <f aca="false">IF(AND($T329,N(J329)&gt;0),L329/J329,"")</f>
        <v/>
      </c>
      <c r="P329" s="14" t="str">
        <f aca="false">IF(AND($T329,N(G329)&gt;0),M329/G329,"")</f>
        <v/>
      </c>
      <c r="Q329" s="14" t="str">
        <f aca="false">IF($T329,S329/I329,"")</f>
        <v/>
      </c>
      <c r="R329" s="10" t="str">
        <f aca="false">IF($C329="","",IF(NOT(SUMPRODUCT(--(Setup!$A$5:$A$24=$C329))&gt;0),"Machine not in Setup",IF(OR(NOT(ISNUMBER(K329)),N(K329)&lt;=0),"Set an ideal cycle time in Setup",IF(NOT(ISNUMBER(A329)),"Enter a date",IF(OR(NOT(ISNUMBER(D329)),NOT(ISNUMBER(G329)),AND(E329&lt;&gt;"",NOT(ISNUMBER(E329))),AND(F329&lt;&gt;"",NOT(ISNUMBER(F329))),AND(H329&lt;&gt;"",NOT(ISNUMBER(H329)))),"Enter numbers: shift length and total parts are required",IF(OR(N(D329)&lt;=0,N(E329)&lt;0,N(F329)&lt;0,N(G329)&lt;0,N(H329)&lt;0),"Values must be 0 or more (shift length above 0)",IF(N(H329)&gt;N(G329),"Rejects &gt; total parts",IF(N(E329)&gt;=N(D329),"Planned stops &gt;= shift length",IF(N(F329)&gt;N(D329)-N(E329),"Downtime &gt; planned time",IF(AND(ISNUMBER(O329),O329&gt;1),"Check: performance above 100%","OK"))))))))))</f>
        <v/>
      </c>
      <c r="S329" s="13" t="str">
        <f aca="false">IF($T329,K329*M329/60,"")</f>
        <v/>
      </c>
      <c r="T329" s="15" t="b">
        <f aca="false">IF($C329="",FALSE(),AND(SUMPRODUCT(--(Setup!$A$5:$A$24=$C329))&gt;0,ISNUMBER(A329),ISNUMBER(K329),N(K329)&gt;0,ISNUMBER(D329),N(D329)&gt;0,ISNUMBER(G329),N(G329)&gt;=0,OR(E329="",ISNUMBER(E329)),OR(F329="",ISNUMBER(F329)),OR(H329="",ISNUMBER(H329)),N(E329)&gt;=0,N(F329)&gt;=0,N(H329)&gt;=0,N(H329)&lt;=N(G329),N(E329)&lt;N(D329),N(F329)&lt;=N(D329)-N(E329)))</f>
        <v>0</v>
      </c>
    </row>
    <row r="330" customFormat="false" ht="15" hidden="false" customHeight="false" outlineLevel="0" collapsed="false">
      <c r="A330" s="11"/>
      <c r="B330" s="8"/>
      <c r="C330" s="8"/>
      <c r="D330" s="8"/>
      <c r="E330" s="8"/>
      <c r="F330" s="8"/>
      <c r="G330" s="8"/>
      <c r="H330" s="8"/>
      <c r="I330" s="12" t="str">
        <f aca="false">IF($T330,D330-N(E330),"")</f>
        <v/>
      </c>
      <c r="J330" s="12" t="str">
        <f aca="false">IF($T330,I330-N(F330),"")</f>
        <v/>
      </c>
      <c r="K330" s="13" t="str">
        <f aca="false">IF($C330="","",IF(SUMPRODUCT(--(Setup!$A$5:$A$24=$C330))&gt;0,INDEX(Setup!$B$5:$B$24,21-SUMPRODUCT(MAX((Setup!$A$5:$A$24=$C330)*(25-ROW(Setup!$A$5:$A$24))))),""))</f>
        <v/>
      </c>
      <c r="L330" s="13" t="str">
        <f aca="false">IF($T330,K330*G330/60,"")</f>
        <v/>
      </c>
      <c r="M330" s="12" t="str">
        <f aca="false">IF($T330,G330-N(H330),"")</f>
        <v/>
      </c>
      <c r="N330" s="14" t="str">
        <f aca="false">IF($T330,J330/I330,"")</f>
        <v/>
      </c>
      <c r="O330" s="14" t="str">
        <f aca="false">IF(AND($T330,N(J330)&gt;0),L330/J330,"")</f>
        <v/>
      </c>
      <c r="P330" s="14" t="str">
        <f aca="false">IF(AND($T330,N(G330)&gt;0),M330/G330,"")</f>
        <v/>
      </c>
      <c r="Q330" s="14" t="str">
        <f aca="false">IF($T330,S330/I330,"")</f>
        <v/>
      </c>
      <c r="R330" s="10" t="str">
        <f aca="false">IF($C330="","",IF(NOT(SUMPRODUCT(--(Setup!$A$5:$A$24=$C330))&gt;0),"Machine not in Setup",IF(OR(NOT(ISNUMBER(K330)),N(K330)&lt;=0),"Set an ideal cycle time in Setup",IF(NOT(ISNUMBER(A330)),"Enter a date",IF(OR(NOT(ISNUMBER(D330)),NOT(ISNUMBER(G330)),AND(E330&lt;&gt;"",NOT(ISNUMBER(E330))),AND(F330&lt;&gt;"",NOT(ISNUMBER(F330))),AND(H330&lt;&gt;"",NOT(ISNUMBER(H330)))),"Enter numbers: shift length and total parts are required",IF(OR(N(D330)&lt;=0,N(E330)&lt;0,N(F330)&lt;0,N(G330)&lt;0,N(H330)&lt;0),"Values must be 0 or more (shift length above 0)",IF(N(H330)&gt;N(G330),"Rejects &gt; total parts",IF(N(E330)&gt;=N(D330),"Planned stops &gt;= shift length",IF(N(F330)&gt;N(D330)-N(E330),"Downtime &gt; planned time",IF(AND(ISNUMBER(O330),O330&gt;1),"Check: performance above 100%","OK"))))))))))</f>
        <v/>
      </c>
      <c r="S330" s="13" t="str">
        <f aca="false">IF($T330,K330*M330/60,"")</f>
        <v/>
      </c>
      <c r="T330" s="15" t="b">
        <f aca="false">IF($C330="",FALSE(),AND(SUMPRODUCT(--(Setup!$A$5:$A$24=$C330))&gt;0,ISNUMBER(A330),ISNUMBER(K330),N(K330)&gt;0,ISNUMBER(D330),N(D330)&gt;0,ISNUMBER(G330),N(G330)&gt;=0,OR(E330="",ISNUMBER(E330)),OR(F330="",ISNUMBER(F330)),OR(H330="",ISNUMBER(H330)),N(E330)&gt;=0,N(F330)&gt;=0,N(H330)&gt;=0,N(H330)&lt;=N(G330),N(E330)&lt;N(D330),N(F330)&lt;=N(D330)-N(E330)))</f>
        <v>0</v>
      </c>
    </row>
    <row r="331" customFormat="false" ht="15" hidden="false" customHeight="false" outlineLevel="0" collapsed="false">
      <c r="A331" s="11"/>
      <c r="B331" s="8"/>
      <c r="C331" s="8"/>
      <c r="D331" s="8"/>
      <c r="E331" s="8"/>
      <c r="F331" s="8"/>
      <c r="G331" s="8"/>
      <c r="H331" s="8"/>
      <c r="I331" s="12" t="str">
        <f aca="false">IF($T331,D331-N(E331),"")</f>
        <v/>
      </c>
      <c r="J331" s="12" t="str">
        <f aca="false">IF($T331,I331-N(F331),"")</f>
        <v/>
      </c>
      <c r="K331" s="13" t="str">
        <f aca="false">IF($C331="","",IF(SUMPRODUCT(--(Setup!$A$5:$A$24=$C331))&gt;0,INDEX(Setup!$B$5:$B$24,21-SUMPRODUCT(MAX((Setup!$A$5:$A$24=$C331)*(25-ROW(Setup!$A$5:$A$24))))),""))</f>
        <v/>
      </c>
      <c r="L331" s="13" t="str">
        <f aca="false">IF($T331,K331*G331/60,"")</f>
        <v/>
      </c>
      <c r="M331" s="12" t="str">
        <f aca="false">IF($T331,G331-N(H331),"")</f>
        <v/>
      </c>
      <c r="N331" s="14" t="str">
        <f aca="false">IF($T331,J331/I331,"")</f>
        <v/>
      </c>
      <c r="O331" s="14" t="str">
        <f aca="false">IF(AND($T331,N(J331)&gt;0),L331/J331,"")</f>
        <v/>
      </c>
      <c r="P331" s="14" t="str">
        <f aca="false">IF(AND($T331,N(G331)&gt;0),M331/G331,"")</f>
        <v/>
      </c>
      <c r="Q331" s="14" t="str">
        <f aca="false">IF($T331,S331/I331,"")</f>
        <v/>
      </c>
      <c r="R331" s="10" t="str">
        <f aca="false">IF($C331="","",IF(NOT(SUMPRODUCT(--(Setup!$A$5:$A$24=$C331))&gt;0),"Machine not in Setup",IF(OR(NOT(ISNUMBER(K331)),N(K331)&lt;=0),"Set an ideal cycle time in Setup",IF(NOT(ISNUMBER(A331)),"Enter a date",IF(OR(NOT(ISNUMBER(D331)),NOT(ISNUMBER(G331)),AND(E331&lt;&gt;"",NOT(ISNUMBER(E331))),AND(F331&lt;&gt;"",NOT(ISNUMBER(F331))),AND(H331&lt;&gt;"",NOT(ISNUMBER(H331)))),"Enter numbers: shift length and total parts are required",IF(OR(N(D331)&lt;=0,N(E331)&lt;0,N(F331)&lt;0,N(G331)&lt;0,N(H331)&lt;0),"Values must be 0 or more (shift length above 0)",IF(N(H331)&gt;N(G331),"Rejects &gt; total parts",IF(N(E331)&gt;=N(D331),"Planned stops &gt;= shift length",IF(N(F331)&gt;N(D331)-N(E331),"Downtime &gt; planned time",IF(AND(ISNUMBER(O331),O331&gt;1),"Check: performance above 100%","OK"))))))))))</f>
        <v/>
      </c>
      <c r="S331" s="13" t="str">
        <f aca="false">IF($T331,K331*M331/60,"")</f>
        <v/>
      </c>
      <c r="T331" s="15" t="b">
        <f aca="false">IF($C331="",FALSE(),AND(SUMPRODUCT(--(Setup!$A$5:$A$24=$C331))&gt;0,ISNUMBER(A331),ISNUMBER(K331),N(K331)&gt;0,ISNUMBER(D331),N(D331)&gt;0,ISNUMBER(G331),N(G331)&gt;=0,OR(E331="",ISNUMBER(E331)),OR(F331="",ISNUMBER(F331)),OR(H331="",ISNUMBER(H331)),N(E331)&gt;=0,N(F331)&gt;=0,N(H331)&gt;=0,N(H331)&lt;=N(G331),N(E331)&lt;N(D331),N(F331)&lt;=N(D331)-N(E331)))</f>
        <v>0</v>
      </c>
    </row>
    <row r="332" customFormat="false" ht="15" hidden="false" customHeight="false" outlineLevel="0" collapsed="false">
      <c r="A332" s="11"/>
      <c r="B332" s="8"/>
      <c r="C332" s="8"/>
      <c r="D332" s="8"/>
      <c r="E332" s="8"/>
      <c r="F332" s="8"/>
      <c r="G332" s="8"/>
      <c r="H332" s="8"/>
      <c r="I332" s="12" t="str">
        <f aca="false">IF($T332,D332-N(E332),"")</f>
        <v/>
      </c>
      <c r="J332" s="12" t="str">
        <f aca="false">IF($T332,I332-N(F332),"")</f>
        <v/>
      </c>
      <c r="K332" s="13" t="str">
        <f aca="false">IF($C332="","",IF(SUMPRODUCT(--(Setup!$A$5:$A$24=$C332))&gt;0,INDEX(Setup!$B$5:$B$24,21-SUMPRODUCT(MAX((Setup!$A$5:$A$24=$C332)*(25-ROW(Setup!$A$5:$A$24))))),""))</f>
        <v/>
      </c>
      <c r="L332" s="13" t="str">
        <f aca="false">IF($T332,K332*G332/60,"")</f>
        <v/>
      </c>
      <c r="M332" s="12" t="str">
        <f aca="false">IF($T332,G332-N(H332),"")</f>
        <v/>
      </c>
      <c r="N332" s="14" t="str">
        <f aca="false">IF($T332,J332/I332,"")</f>
        <v/>
      </c>
      <c r="O332" s="14" t="str">
        <f aca="false">IF(AND($T332,N(J332)&gt;0),L332/J332,"")</f>
        <v/>
      </c>
      <c r="P332" s="14" t="str">
        <f aca="false">IF(AND($T332,N(G332)&gt;0),M332/G332,"")</f>
        <v/>
      </c>
      <c r="Q332" s="14" t="str">
        <f aca="false">IF($T332,S332/I332,"")</f>
        <v/>
      </c>
      <c r="R332" s="10" t="str">
        <f aca="false">IF($C332="","",IF(NOT(SUMPRODUCT(--(Setup!$A$5:$A$24=$C332))&gt;0),"Machine not in Setup",IF(OR(NOT(ISNUMBER(K332)),N(K332)&lt;=0),"Set an ideal cycle time in Setup",IF(NOT(ISNUMBER(A332)),"Enter a date",IF(OR(NOT(ISNUMBER(D332)),NOT(ISNUMBER(G332)),AND(E332&lt;&gt;"",NOT(ISNUMBER(E332))),AND(F332&lt;&gt;"",NOT(ISNUMBER(F332))),AND(H332&lt;&gt;"",NOT(ISNUMBER(H332)))),"Enter numbers: shift length and total parts are required",IF(OR(N(D332)&lt;=0,N(E332)&lt;0,N(F332)&lt;0,N(G332)&lt;0,N(H332)&lt;0),"Values must be 0 or more (shift length above 0)",IF(N(H332)&gt;N(G332),"Rejects &gt; total parts",IF(N(E332)&gt;=N(D332),"Planned stops &gt;= shift length",IF(N(F332)&gt;N(D332)-N(E332),"Downtime &gt; planned time",IF(AND(ISNUMBER(O332),O332&gt;1),"Check: performance above 100%","OK"))))))))))</f>
        <v/>
      </c>
      <c r="S332" s="13" t="str">
        <f aca="false">IF($T332,K332*M332/60,"")</f>
        <v/>
      </c>
      <c r="T332" s="15" t="b">
        <f aca="false">IF($C332="",FALSE(),AND(SUMPRODUCT(--(Setup!$A$5:$A$24=$C332))&gt;0,ISNUMBER(A332),ISNUMBER(K332),N(K332)&gt;0,ISNUMBER(D332),N(D332)&gt;0,ISNUMBER(G332),N(G332)&gt;=0,OR(E332="",ISNUMBER(E332)),OR(F332="",ISNUMBER(F332)),OR(H332="",ISNUMBER(H332)),N(E332)&gt;=0,N(F332)&gt;=0,N(H332)&gt;=0,N(H332)&lt;=N(G332),N(E332)&lt;N(D332),N(F332)&lt;=N(D332)-N(E332)))</f>
        <v>0</v>
      </c>
    </row>
    <row r="333" customFormat="false" ht="15" hidden="false" customHeight="false" outlineLevel="0" collapsed="false">
      <c r="A333" s="11"/>
      <c r="B333" s="8"/>
      <c r="C333" s="8"/>
      <c r="D333" s="8"/>
      <c r="E333" s="8"/>
      <c r="F333" s="8"/>
      <c r="G333" s="8"/>
      <c r="H333" s="8"/>
      <c r="I333" s="12" t="str">
        <f aca="false">IF($T333,D333-N(E333),"")</f>
        <v/>
      </c>
      <c r="J333" s="12" t="str">
        <f aca="false">IF($T333,I333-N(F333),"")</f>
        <v/>
      </c>
      <c r="K333" s="13" t="str">
        <f aca="false">IF($C333="","",IF(SUMPRODUCT(--(Setup!$A$5:$A$24=$C333))&gt;0,INDEX(Setup!$B$5:$B$24,21-SUMPRODUCT(MAX((Setup!$A$5:$A$24=$C333)*(25-ROW(Setup!$A$5:$A$24))))),""))</f>
        <v/>
      </c>
      <c r="L333" s="13" t="str">
        <f aca="false">IF($T333,K333*G333/60,"")</f>
        <v/>
      </c>
      <c r="M333" s="12" t="str">
        <f aca="false">IF($T333,G333-N(H333),"")</f>
        <v/>
      </c>
      <c r="N333" s="14" t="str">
        <f aca="false">IF($T333,J333/I333,"")</f>
        <v/>
      </c>
      <c r="O333" s="14" t="str">
        <f aca="false">IF(AND($T333,N(J333)&gt;0),L333/J333,"")</f>
        <v/>
      </c>
      <c r="P333" s="14" t="str">
        <f aca="false">IF(AND($T333,N(G333)&gt;0),M333/G333,"")</f>
        <v/>
      </c>
      <c r="Q333" s="14" t="str">
        <f aca="false">IF($T333,S333/I333,"")</f>
        <v/>
      </c>
      <c r="R333" s="10" t="str">
        <f aca="false">IF($C333="","",IF(NOT(SUMPRODUCT(--(Setup!$A$5:$A$24=$C333))&gt;0),"Machine not in Setup",IF(OR(NOT(ISNUMBER(K333)),N(K333)&lt;=0),"Set an ideal cycle time in Setup",IF(NOT(ISNUMBER(A333)),"Enter a date",IF(OR(NOT(ISNUMBER(D333)),NOT(ISNUMBER(G333)),AND(E333&lt;&gt;"",NOT(ISNUMBER(E333))),AND(F333&lt;&gt;"",NOT(ISNUMBER(F333))),AND(H333&lt;&gt;"",NOT(ISNUMBER(H333)))),"Enter numbers: shift length and total parts are required",IF(OR(N(D333)&lt;=0,N(E333)&lt;0,N(F333)&lt;0,N(G333)&lt;0,N(H333)&lt;0),"Values must be 0 or more (shift length above 0)",IF(N(H333)&gt;N(G333),"Rejects &gt; total parts",IF(N(E333)&gt;=N(D333),"Planned stops &gt;= shift length",IF(N(F333)&gt;N(D333)-N(E333),"Downtime &gt; planned time",IF(AND(ISNUMBER(O333),O333&gt;1),"Check: performance above 100%","OK"))))))))))</f>
        <v/>
      </c>
      <c r="S333" s="13" t="str">
        <f aca="false">IF($T333,K333*M333/60,"")</f>
        <v/>
      </c>
      <c r="T333" s="15" t="b">
        <f aca="false">IF($C333="",FALSE(),AND(SUMPRODUCT(--(Setup!$A$5:$A$24=$C333))&gt;0,ISNUMBER(A333),ISNUMBER(K333),N(K333)&gt;0,ISNUMBER(D333),N(D333)&gt;0,ISNUMBER(G333),N(G333)&gt;=0,OR(E333="",ISNUMBER(E333)),OR(F333="",ISNUMBER(F333)),OR(H333="",ISNUMBER(H333)),N(E333)&gt;=0,N(F333)&gt;=0,N(H333)&gt;=0,N(H333)&lt;=N(G333),N(E333)&lt;N(D333),N(F333)&lt;=N(D333)-N(E333)))</f>
        <v>0</v>
      </c>
    </row>
    <row r="334" customFormat="false" ht="15" hidden="false" customHeight="false" outlineLevel="0" collapsed="false">
      <c r="A334" s="11"/>
      <c r="B334" s="8"/>
      <c r="C334" s="8"/>
      <c r="D334" s="8"/>
      <c r="E334" s="8"/>
      <c r="F334" s="8"/>
      <c r="G334" s="8"/>
      <c r="H334" s="8"/>
      <c r="I334" s="12" t="str">
        <f aca="false">IF($T334,D334-N(E334),"")</f>
        <v/>
      </c>
      <c r="J334" s="12" t="str">
        <f aca="false">IF($T334,I334-N(F334),"")</f>
        <v/>
      </c>
      <c r="K334" s="13" t="str">
        <f aca="false">IF($C334="","",IF(SUMPRODUCT(--(Setup!$A$5:$A$24=$C334))&gt;0,INDEX(Setup!$B$5:$B$24,21-SUMPRODUCT(MAX((Setup!$A$5:$A$24=$C334)*(25-ROW(Setup!$A$5:$A$24))))),""))</f>
        <v/>
      </c>
      <c r="L334" s="13" t="str">
        <f aca="false">IF($T334,K334*G334/60,"")</f>
        <v/>
      </c>
      <c r="M334" s="12" t="str">
        <f aca="false">IF($T334,G334-N(H334),"")</f>
        <v/>
      </c>
      <c r="N334" s="14" t="str">
        <f aca="false">IF($T334,J334/I334,"")</f>
        <v/>
      </c>
      <c r="O334" s="14" t="str">
        <f aca="false">IF(AND($T334,N(J334)&gt;0),L334/J334,"")</f>
        <v/>
      </c>
      <c r="P334" s="14" t="str">
        <f aca="false">IF(AND($T334,N(G334)&gt;0),M334/G334,"")</f>
        <v/>
      </c>
      <c r="Q334" s="14" t="str">
        <f aca="false">IF($T334,S334/I334,"")</f>
        <v/>
      </c>
      <c r="R334" s="10" t="str">
        <f aca="false">IF($C334="","",IF(NOT(SUMPRODUCT(--(Setup!$A$5:$A$24=$C334))&gt;0),"Machine not in Setup",IF(OR(NOT(ISNUMBER(K334)),N(K334)&lt;=0),"Set an ideal cycle time in Setup",IF(NOT(ISNUMBER(A334)),"Enter a date",IF(OR(NOT(ISNUMBER(D334)),NOT(ISNUMBER(G334)),AND(E334&lt;&gt;"",NOT(ISNUMBER(E334))),AND(F334&lt;&gt;"",NOT(ISNUMBER(F334))),AND(H334&lt;&gt;"",NOT(ISNUMBER(H334)))),"Enter numbers: shift length and total parts are required",IF(OR(N(D334)&lt;=0,N(E334)&lt;0,N(F334)&lt;0,N(G334)&lt;0,N(H334)&lt;0),"Values must be 0 or more (shift length above 0)",IF(N(H334)&gt;N(G334),"Rejects &gt; total parts",IF(N(E334)&gt;=N(D334),"Planned stops &gt;= shift length",IF(N(F334)&gt;N(D334)-N(E334),"Downtime &gt; planned time",IF(AND(ISNUMBER(O334),O334&gt;1),"Check: performance above 100%","OK"))))))))))</f>
        <v/>
      </c>
      <c r="S334" s="13" t="str">
        <f aca="false">IF($T334,K334*M334/60,"")</f>
        <v/>
      </c>
      <c r="T334" s="15" t="b">
        <f aca="false">IF($C334="",FALSE(),AND(SUMPRODUCT(--(Setup!$A$5:$A$24=$C334))&gt;0,ISNUMBER(A334),ISNUMBER(K334),N(K334)&gt;0,ISNUMBER(D334),N(D334)&gt;0,ISNUMBER(G334),N(G334)&gt;=0,OR(E334="",ISNUMBER(E334)),OR(F334="",ISNUMBER(F334)),OR(H334="",ISNUMBER(H334)),N(E334)&gt;=0,N(F334)&gt;=0,N(H334)&gt;=0,N(H334)&lt;=N(G334),N(E334)&lt;N(D334),N(F334)&lt;=N(D334)-N(E334)))</f>
        <v>0</v>
      </c>
    </row>
    <row r="335" customFormat="false" ht="15" hidden="false" customHeight="false" outlineLevel="0" collapsed="false">
      <c r="A335" s="11"/>
      <c r="B335" s="8"/>
      <c r="C335" s="8"/>
      <c r="D335" s="8"/>
      <c r="E335" s="8"/>
      <c r="F335" s="8"/>
      <c r="G335" s="8"/>
      <c r="H335" s="8"/>
      <c r="I335" s="12" t="str">
        <f aca="false">IF($T335,D335-N(E335),"")</f>
        <v/>
      </c>
      <c r="J335" s="12" t="str">
        <f aca="false">IF($T335,I335-N(F335),"")</f>
        <v/>
      </c>
      <c r="K335" s="13" t="str">
        <f aca="false">IF($C335="","",IF(SUMPRODUCT(--(Setup!$A$5:$A$24=$C335))&gt;0,INDEX(Setup!$B$5:$B$24,21-SUMPRODUCT(MAX((Setup!$A$5:$A$24=$C335)*(25-ROW(Setup!$A$5:$A$24))))),""))</f>
        <v/>
      </c>
      <c r="L335" s="13" t="str">
        <f aca="false">IF($T335,K335*G335/60,"")</f>
        <v/>
      </c>
      <c r="M335" s="12" t="str">
        <f aca="false">IF($T335,G335-N(H335),"")</f>
        <v/>
      </c>
      <c r="N335" s="14" t="str">
        <f aca="false">IF($T335,J335/I335,"")</f>
        <v/>
      </c>
      <c r="O335" s="14" t="str">
        <f aca="false">IF(AND($T335,N(J335)&gt;0),L335/J335,"")</f>
        <v/>
      </c>
      <c r="P335" s="14" t="str">
        <f aca="false">IF(AND($T335,N(G335)&gt;0),M335/G335,"")</f>
        <v/>
      </c>
      <c r="Q335" s="14" t="str">
        <f aca="false">IF($T335,S335/I335,"")</f>
        <v/>
      </c>
      <c r="R335" s="10" t="str">
        <f aca="false">IF($C335="","",IF(NOT(SUMPRODUCT(--(Setup!$A$5:$A$24=$C335))&gt;0),"Machine not in Setup",IF(OR(NOT(ISNUMBER(K335)),N(K335)&lt;=0),"Set an ideal cycle time in Setup",IF(NOT(ISNUMBER(A335)),"Enter a date",IF(OR(NOT(ISNUMBER(D335)),NOT(ISNUMBER(G335)),AND(E335&lt;&gt;"",NOT(ISNUMBER(E335))),AND(F335&lt;&gt;"",NOT(ISNUMBER(F335))),AND(H335&lt;&gt;"",NOT(ISNUMBER(H335)))),"Enter numbers: shift length and total parts are required",IF(OR(N(D335)&lt;=0,N(E335)&lt;0,N(F335)&lt;0,N(G335)&lt;0,N(H335)&lt;0),"Values must be 0 or more (shift length above 0)",IF(N(H335)&gt;N(G335),"Rejects &gt; total parts",IF(N(E335)&gt;=N(D335),"Planned stops &gt;= shift length",IF(N(F335)&gt;N(D335)-N(E335),"Downtime &gt; planned time",IF(AND(ISNUMBER(O335),O335&gt;1),"Check: performance above 100%","OK"))))))))))</f>
        <v/>
      </c>
      <c r="S335" s="13" t="str">
        <f aca="false">IF($T335,K335*M335/60,"")</f>
        <v/>
      </c>
      <c r="T335" s="15" t="b">
        <f aca="false">IF($C335="",FALSE(),AND(SUMPRODUCT(--(Setup!$A$5:$A$24=$C335))&gt;0,ISNUMBER(A335),ISNUMBER(K335),N(K335)&gt;0,ISNUMBER(D335),N(D335)&gt;0,ISNUMBER(G335),N(G335)&gt;=0,OR(E335="",ISNUMBER(E335)),OR(F335="",ISNUMBER(F335)),OR(H335="",ISNUMBER(H335)),N(E335)&gt;=0,N(F335)&gt;=0,N(H335)&gt;=0,N(H335)&lt;=N(G335),N(E335)&lt;N(D335),N(F335)&lt;=N(D335)-N(E335)))</f>
        <v>0</v>
      </c>
    </row>
    <row r="336" customFormat="false" ht="15" hidden="false" customHeight="false" outlineLevel="0" collapsed="false">
      <c r="A336" s="11"/>
      <c r="B336" s="8"/>
      <c r="C336" s="8"/>
      <c r="D336" s="8"/>
      <c r="E336" s="8"/>
      <c r="F336" s="8"/>
      <c r="G336" s="8"/>
      <c r="H336" s="8"/>
      <c r="I336" s="12" t="str">
        <f aca="false">IF($T336,D336-N(E336),"")</f>
        <v/>
      </c>
      <c r="J336" s="12" t="str">
        <f aca="false">IF($T336,I336-N(F336),"")</f>
        <v/>
      </c>
      <c r="K336" s="13" t="str">
        <f aca="false">IF($C336="","",IF(SUMPRODUCT(--(Setup!$A$5:$A$24=$C336))&gt;0,INDEX(Setup!$B$5:$B$24,21-SUMPRODUCT(MAX((Setup!$A$5:$A$24=$C336)*(25-ROW(Setup!$A$5:$A$24))))),""))</f>
        <v/>
      </c>
      <c r="L336" s="13" t="str">
        <f aca="false">IF($T336,K336*G336/60,"")</f>
        <v/>
      </c>
      <c r="M336" s="12" t="str">
        <f aca="false">IF($T336,G336-N(H336),"")</f>
        <v/>
      </c>
      <c r="N336" s="14" t="str">
        <f aca="false">IF($T336,J336/I336,"")</f>
        <v/>
      </c>
      <c r="O336" s="14" t="str">
        <f aca="false">IF(AND($T336,N(J336)&gt;0),L336/J336,"")</f>
        <v/>
      </c>
      <c r="P336" s="14" t="str">
        <f aca="false">IF(AND($T336,N(G336)&gt;0),M336/G336,"")</f>
        <v/>
      </c>
      <c r="Q336" s="14" t="str">
        <f aca="false">IF($T336,S336/I336,"")</f>
        <v/>
      </c>
      <c r="R336" s="10" t="str">
        <f aca="false">IF($C336="","",IF(NOT(SUMPRODUCT(--(Setup!$A$5:$A$24=$C336))&gt;0),"Machine not in Setup",IF(OR(NOT(ISNUMBER(K336)),N(K336)&lt;=0),"Set an ideal cycle time in Setup",IF(NOT(ISNUMBER(A336)),"Enter a date",IF(OR(NOT(ISNUMBER(D336)),NOT(ISNUMBER(G336)),AND(E336&lt;&gt;"",NOT(ISNUMBER(E336))),AND(F336&lt;&gt;"",NOT(ISNUMBER(F336))),AND(H336&lt;&gt;"",NOT(ISNUMBER(H336)))),"Enter numbers: shift length and total parts are required",IF(OR(N(D336)&lt;=0,N(E336)&lt;0,N(F336)&lt;0,N(G336)&lt;0,N(H336)&lt;0),"Values must be 0 or more (shift length above 0)",IF(N(H336)&gt;N(G336),"Rejects &gt; total parts",IF(N(E336)&gt;=N(D336),"Planned stops &gt;= shift length",IF(N(F336)&gt;N(D336)-N(E336),"Downtime &gt; planned time",IF(AND(ISNUMBER(O336),O336&gt;1),"Check: performance above 100%","OK"))))))))))</f>
        <v/>
      </c>
      <c r="S336" s="13" t="str">
        <f aca="false">IF($T336,K336*M336/60,"")</f>
        <v/>
      </c>
      <c r="T336" s="15" t="b">
        <f aca="false">IF($C336="",FALSE(),AND(SUMPRODUCT(--(Setup!$A$5:$A$24=$C336))&gt;0,ISNUMBER(A336),ISNUMBER(K336),N(K336)&gt;0,ISNUMBER(D336),N(D336)&gt;0,ISNUMBER(G336),N(G336)&gt;=0,OR(E336="",ISNUMBER(E336)),OR(F336="",ISNUMBER(F336)),OR(H336="",ISNUMBER(H336)),N(E336)&gt;=0,N(F336)&gt;=0,N(H336)&gt;=0,N(H336)&lt;=N(G336),N(E336)&lt;N(D336),N(F336)&lt;=N(D336)-N(E336)))</f>
        <v>0</v>
      </c>
    </row>
    <row r="337" customFormat="false" ht="15" hidden="false" customHeight="false" outlineLevel="0" collapsed="false">
      <c r="A337" s="11"/>
      <c r="B337" s="8"/>
      <c r="C337" s="8"/>
      <c r="D337" s="8"/>
      <c r="E337" s="8"/>
      <c r="F337" s="8"/>
      <c r="G337" s="8"/>
      <c r="H337" s="8"/>
      <c r="I337" s="12" t="str">
        <f aca="false">IF($T337,D337-N(E337),"")</f>
        <v/>
      </c>
      <c r="J337" s="12" t="str">
        <f aca="false">IF($T337,I337-N(F337),"")</f>
        <v/>
      </c>
      <c r="K337" s="13" t="str">
        <f aca="false">IF($C337="","",IF(SUMPRODUCT(--(Setup!$A$5:$A$24=$C337))&gt;0,INDEX(Setup!$B$5:$B$24,21-SUMPRODUCT(MAX((Setup!$A$5:$A$24=$C337)*(25-ROW(Setup!$A$5:$A$24))))),""))</f>
        <v/>
      </c>
      <c r="L337" s="13" t="str">
        <f aca="false">IF($T337,K337*G337/60,"")</f>
        <v/>
      </c>
      <c r="M337" s="12" t="str">
        <f aca="false">IF($T337,G337-N(H337),"")</f>
        <v/>
      </c>
      <c r="N337" s="14" t="str">
        <f aca="false">IF($T337,J337/I337,"")</f>
        <v/>
      </c>
      <c r="O337" s="14" t="str">
        <f aca="false">IF(AND($T337,N(J337)&gt;0),L337/J337,"")</f>
        <v/>
      </c>
      <c r="P337" s="14" t="str">
        <f aca="false">IF(AND($T337,N(G337)&gt;0),M337/G337,"")</f>
        <v/>
      </c>
      <c r="Q337" s="14" t="str">
        <f aca="false">IF($T337,S337/I337,"")</f>
        <v/>
      </c>
      <c r="R337" s="10" t="str">
        <f aca="false">IF($C337="","",IF(NOT(SUMPRODUCT(--(Setup!$A$5:$A$24=$C337))&gt;0),"Machine not in Setup",IF(OR(NOT(ISNUMBER(K337)),N(K337)&lt;=0),"Set an ideal cycle time in Setup",IF(NOT(ISNUMBER(A337)),"Enter a date",IF(OR(NOT(ISNUMBER(D337)),NOT(ISNUMBER(G337)),AND(E337&lt;&gt;"",NOT(ISNUMBER(E337))),AND(F337&lt;&gt;"",NOT(ISNUMBER(F337))),AND(H337&lt;&gt;"",NOT(ISNUMBER(H337)))),"Enter numbers: shift length and total parts are required",IF(OR(N(D337)&lt;=0,N(E337)&lt;0,N(F337)&lt;0,N(G337)&lt;0,N(H337)&lt;0),"Values must be 0 or more (shift length above 0)",IF(N(H337)&gt;N(G337),"Rejects &gt; total parts",IF(N(E337)&gt;=N(D337),"Planned stops &gt;= shift length",IF(N(F337)&gt;N(D337)-N(E337),"Downtime &gt; planned time",IF(AND(ISNUMBER(O337),O337&gt;1),"Check: performance above 100%","OK"))))))))))</f>
        <v/>
      </c>
      <c r="S337" s="13" t="str">
        <f aca="false">IF($T337,K337*M337/60,"")</f>
        <v/>
      </c>
      <c r="T337" s="15" t="b">
        <f aca="false">IF($C337="",FALSE(),AND(SUMPRODUCT(--(Setup!$A$5:$A$24=$C337))&gt;0,ISNUMBER(A337),ISNUMBER(K337),N(K337)&gt;0,ISNUMBER(D337),N(D337)&gt;0,ISNUMBER(G337),N(G337)&gt;=0,OR(E337="",ISNUMBER(E337)),OR(F337="",ISNUMBER(F337)),OR(H337="",ISNUMBER(H337)),N(E337)&gt;=0,N(F337)&gt;=0,N(H337)&gt;=0,N(H337)&lt;=N(G337),N(E337)&lt;N(D337),N(F337)&lt;=N(D337)-N(E337)))</f>
        <v>0</v>
      </c>
    </row>
    <row r="338" customFormat="false" ht="15" hidden="false" customHeight="false" outlineLevel="0" collapsed="false">
      <c r="A338" s="11"/>
      <c r="B338" s="8"/>
      <c r="C338" s="8"/>
      <c r="D338" s="8"/>
      <c r="E338" s="8"/>
      <c r="F338" s="8"/>
      <c r="G338" s="8"/>
      <c r="H338" s="8"/>
      <c r="I338" s="12" t="str">
        <f aca="false">IF($T338,D338-N(E338),"")</f>
        <v/>
      </c>
      <c r="J338" s="12" t="str">
        <f aca="false">IF($T338,I338-N(F338),"")</f>
        <v/>
      </c>
      <c r="K338" s="13" t="str">
        <f aca="false">IF($C338="","",IF(SUMPRODUCT(--(Setup!$A$5:$A$24=$C338))&gt;0,INDEX(Setup!$B$5:$B$24,21-SUMPRODUCT(MAX((Setup!$A$5:$A$24=$C338)*(25-ROW(Setup!$A$5:$A$24))))),""))</f>
        <v/>
      </c>
      <c r="L338" s="13" t="str">
        <f aca="false">IF($T338,K338*G338/60,"")</f>
        <v/>
      </c>
      <c r="M338" s="12" t="str">
        <f aca="false">IF($T338,G338-N(H338),"")</f>
        <v/>
      </c>
      <c r="N338" s="14" t="str">
        <f aca="false">IF($T338,J338/I338,"")</f>
        <v/>
      </c>
      <c r="O338" s="14" t="str">
        <f aca="false">IF(AND($T338,N(J338)&gt;0),L338/J338,"")</f>
        <v/>
      </c>
      <c r="P338" s="14" t="str">
        <f aca="false">IF(AND($T338,N(G338)&gt;0),M338/G338,"")</f>
        <v/>
      </c>
      <c r="Q338" s="14" t="str">
        <f aca="false">IF($T338,S338/I338,"")</f>
        <v/>
      </c>
      <c r="R338" s="10" t="str">
        <f aca="false">IF($C338="","",IF(NOT(SUMPRODUCT(--(Setup!$A$5:$A$24=$C338))&gt;0),"Machine not in Setup",IF(OR(NOT(ISNUMBER(K338)),N(K338)&lt;=0),"Set an ideal cycle time in Setup",IF(NOT(ISNUMBER(A338)),"Enter a date",IF(OR(NOT(ISNUMBER(D338)),NOT(ISNUMBER(G338)),AND(E338&lt;&gt;"",NOT(ISNUMBER(E338))),AND(F338&lt;&gt;"",NOT(ISNUMBER(F338))),AND(H338&lt;&gt;"",NOT(ISNUMBER(H338)))),"Enter numbers: shift length and total parts are required",IF(OR(N(D338)&lt;=0,N(E338)&lt;0,N(F338)&lt;0,N(G338)&lt;0,N(H338)&lt;0),"Values must be 0 or more (shift length above 0)",IF(N(H338)&gt;N(G338),"Rejects &gt; total parts",IF(N(E338)&gt;=N(D338),"Planned stops &gt;= shift length",IF(N(F338)&gt;N(D338)-N(E338),"Downtime &gt; planned time",IF(AND(ISNUMBER(O338),O338&gt;1),"Check: performance above 100%","OK"))))))))))</f>
        <v/>
      </c>
      <c r="S338" s="13" t="str">
        <f aca="false">IF($T338,K338*M338/60,"")</f>
        <v/>
      </c>
      <c r="T338" s="15" t="b">
        <f aca="false">IF($C338="",FALSE(),AND(SUMPRODUCT(--(Setup!$A$5:$A$24=$C338))&gt;0,ISNUMBER(A338),ISNUMBER(K338),N(K338)&gt;0,ISNUMBER(D338),N(D338)&gt;0,ISNUMBER(G338),N(G338)&gt;=0,OR(E338="",ISNUMBER(E338)),OR(F338="",ISNUMBER(F338)),OR(H338="",ISNUMBER(H338)),N(E338)&gt;=0,N(F338)&gt;=0,N(H338)&gt;=0,N(H338)&lt;=N(G338),N(E338)&lt;N(D338),N(F338)&lt;=N(D338)-N(E338)))</f>
        <v>0</v>
      </c>
    </row>
    <row r="339" customFormat="false" ht="15" hidden="false" customHeight="false" outlineLevel="0" collapsed="false">
      <c r="A339" s="11"/>
      <c r="B339" s="8"/>
      <c r="C339" s="8"/>
      <c r="D339" s="8"/>
      <c r="E339" s="8"/>
      <c r="F339" s="8"/>
      <c r="G339" s="8"/>
      <c r="H339" s="8"/>
      <c r="I339" s="12" t="str">
        <f aca="false">IF($T339,D339-N(E339),"")</f>
        <v/>
      </c>
      <c r="J339" s="12" t="str">
        <f aca="false">IF($T339,I339-N(F339),"")</f>
        <v/>
      </c>
      <c r="K339" s="13" t="str">
        <f aca="false">IF($C339="","",IF(SUMPRODUCT(--(Setup!$A$5:$A$24=$C339))&gt;0,INDEX(Setup!$B$5:$B$24,21-SUMPRODUCT(MAX((Setup!$A$5:$A$24=$C339)*(25-ROW(Setup!$A$5:$A$24))))),""))</f>
        <v/>
      </c>
      <c r="L339" s="13" t="str">
        <f aca="false">IF($T339,K339*G339/60,"")</f>
        <v/>
      </c>
      <c r="M339" s="12" t="str">
        <f aca="false">IF($T339,G339-N(H339),"")</f>
        <v/>
      </c>
      <c r="N339" s="14" t="str">
        <f aca="false">IF($T339,J339/I339,"")</f>
        <v/>
      </c>
      <c r="O339" s="14" t="str">
        <f aca="false">IF(AND($T339,N(J339)&gt;0),L339/J339,"")</f>
        <v/>
      </c>
      <c r="P339" s="14" t="str">
        <f aca="false">IF(AND($T339,N(G339)&gt;0),M339/G339,"")</f>
        <v/>
      </c>
      <c r="Q339" s="14" t="str">
        <f aca="false">IF($T339,S339/I339,"")</f>
        <v/>
      </c>
      <c r="R339" s="10" t="str">
        <f aca="false">IF($C339="","",IF(NOT(SUMPRODUCT(--(Setup!$A$5:$A$24=$C339))&gt;0),"Machine not in Setup",IF(OR(NOT(ISNUMBER(K339)),N(K339)&lt;=0),"Set an ideal cycle time in Setup",IF(NOT(ISNUMBER(A339)),"Enter a date",IF(OR(NOT(ISNUMBER(D339)),NOT(ISNUMBER(G339)),AND(E339&lt;&gt;"",NOT(ISNUMBER(E339))),AND(F339&lt;&gt;"",NOT(ISNUMBER(F339))),AND(H339&lt;&gt;"",NOT(ISNUMBER(H339)))),"Enter numbers: shift length and total parts are required",IF(OR(N(D339)&lt;=0,N(E339)&lt;0,N(F339)&lt;0,N(G339)&lt;0,N(H339)&lt;0),"Values must be 0 or more (shift length above 0)",IF(N(H339)&gt;N(G339),"Rejects &gt; total parts",IF(N(E339)&gt;=N(D339),"Planned stops &gt;= shift length",IF(N(F339)&gt;N(D339)-N(E339),"Downtime &gt; planned time",IF(AND(ISNUMBER(O339),O339&gt;1),"Check: performance above 100%","OK"))))))))))</f>
        <v/>
      </c>
      <c r="S339" s="13" t="str">
        <f aca="false">IF($T339,K339*M339/60,"")</f>
        <v/>
      </c>
      <c r="T339" s="15" t="b">
        <f aca="false">IF($C339="",FALSE(),AND(SUMPRODUCT(--(Setup!$A$5:$A$24=$C339))&gt;0,ISNUMBER(A339),ISNUMBER(K339),N(K339)&gt;0,ISNUMBER(D339),N(D339)&gt;0,ISNUMBER(G339),N(G339)&gt;=0,OR(E339="",ISNUMBER(E339)),OR(F339="",ISNUMBER(F339)),OR(H339="",ISNUMBER(H339)),N(E339)&gt;=0,N(F339)&gt;=0,N(H339)&gt;=0,N(H339)&lt;=N(G339),N(E339)&lt;N(D339),N(F339)&lt;=N(D339)-N(E339)))</f>
        <v>0</v>
      </c>
    </row>
    <row r="340" customFormat="false" ht="15" hidden="false" customHeight="false" outlineLevel="0" collapsed="false">
      <c r="A340" s="11"/>
      <c r="B340" s="8"/>
      <c r="C340" s="8"/>
      <c r="D340" s="8"/>
      <c r="E340" s="8"/>
      <c r="F340" s="8"/>
      <c r="G340" s="8"/>
      <c r="H340" s="8"/>
      <c r="I340" s="12" t="str">
        <f aca="false">IF($T340,D340-N(E340),"")</f>
        <v/>
      </c>
      <c r="J340" s="12" t="str">
        <f aca="false">IF($T340,I340-N(F340),"")</f>
        <v/>
      </c>
      <c r="K340" s="13" t="str">
        <f aca="false">IF($C340="","",IF(SUMPRODUCT(--(Setup!$A$5:$A$24=$C340))&gt;0,INDEX(Setup!$B$5:$B$24,21-SUMPRODUCT(MAX((Setup!$A$5:$A$24=$C340)*(25-ROW(Setup!$A$5:$A$24))))),""))</f>
        <v/>
      </c>
      <c r="L340" s="13" t="str">
        <f aca="false">IF($T340,K340*G340/60,"")</f>
        <v/>
      </c>
      <c r="M340" s="12" t="str">
        <f aca="false">IF($T340,G340-N(H340),"")</f>
        <v/>
      </c>
      <c r="N340" s="14" t="str">
        <f aca="false">IF($T340,J340/I340,"")</f>
        <v/>
      </c>
      <c r="O340" s="14" t="str">
        <f aca="false">IF(AND($T340,N(J340)&gt;0),L340/J340,"")</f>
        <v/>
      </c>
      <c r="P340" s="14" t="str">
        <f aca="false">IF(AND($T340,N(G340)&gt;0),M340/G340,"")</f>
        <v/>
      </c>
      <c r="Q340" s="14" t="str">
        <f aca="false">IF($T340,S340/I340,"")</f>
        <v/>
      </c>
      <c r="R340" s="10" t="str">
        <f aca="false">IF($C340="","",IF(NOT(SUMPRODUCT(--(Setup!$A$5:$A$24=$C340))&gt;0),"Machine not in Setup",IF(OR(NOT(ISNUMBER(K340)),N(K340)&lt;=0),"Set an ideal cycle time in Setup",IF(NOT(ISNUMBER(A340)),"Enter a date",IF(OR(NOT(ISNUMBER(D340)),NOT(ISNUMBER(G340)),AND(E340&lt;&gt;"",NOT(ISNUMBER(E340))),AND(F340&lt;&gt;"",NOT(ISNUMBER(F340))),AND(H340&lt;&gt;"",NOT(ISNUMBER(H340)))),"Enter numbers: shift length and total parts are required",IF(OR(N(D340)&lt;=0,N(E340)&lt;0,N(F340)&lt;0,N(G340)&lt;0,N(H340)&lt;0),"Values must be 0 or more (shift length above 0)",IF(N(H340)&gt;N(G340),"Rejects &gt; total parts",IF(N(E340)&gt;=N(D340),"Planned stops &gt;= shift length",IF(N(F340)&gt;N(D340)-N(E340),"Downtime &gt; planned time",IF(AND(ISNUMBER(O340),O340&gt;1),"Check: performance above 100%","OK"))))))))))</f>
        <v/>
      </c>
      <c r="S340" s="13" t="str">
        <f aca="false">IF($T340,K340*M340/60,"")</f>
        <v/>
      </c>
      <c r="T340" s="15" t="b">
        <f aca="false">IF($C340="",FALSE(),AND(SUMPRODUCT(--(Setup!$A$5:$A$24=$C340))&gt;0,ISNUMBER(A340),ISNUMBER(K340),N(K340)&gt;0,ISNUMBER(D340),N(D340)&gt;0,ISNUMBER(G340),N(G340)&gt;=0,OR(E340="",ISNUMBER(E340)),OR(F340="",ISNUMBER(F340)),OR(H340="",ISNUMBER(H340)),N(E340)&gt;=0,N(F340)&gt;=0,N(H340)&gt;=0,N(H340)&lt;=N(G340),N(E340)&lt;N(D340),N(F340)&lt;=N(D340)-N(E340)))</f>
        <v>0</v>
      </c>
    </row>
    <row r="341" customFormat="false" ht="15" hidden="false" customHeight="false" outlineLevel="0" collapsed="false">
      <c r="A341" s="11"/>
      <c r="B341" s="8"/>
      <c r="C341" s="8"/>
      <c r="D341" s="8"/>
      <c r="E341" s="8"/>
      <c r="F341" s="8"/>
      <c r="G341" s="8"/>
      <c r="H341" s="8"/>
      <c r="I341" s="12" t="str">
        <f aca="false">IF($T341,D341-N(E341),"")</f>
        <v/>
      </c>
      <c r="J341" s="12" t="str">
        <f aca="false">IF($T341,I341-N(F341),"")</f>
        <v/>
      </c>
      <c r="K341" s="13" t="str">
        <f aca="false">IF($C341="","",IF(SUMPRODUCT(--(Setup!$A$5:$A$24=$C341))&gt;0,INDEX(Setup!$B$5:$B$24,21-SUMPRODUCT(MAX((Setup!$A$5:$A$24=$C341)*(25-ROW(Setup!$A$5:$A$24))))),""))</f>
        <v/>
      </c>
      <c r="L341" s="13" t="str">
        <f aca="false">IF($T341,K341*G341/60,"")</f>
        <v/>
      </c>
      <c r="M341" s="12" t="str">
        <f aca="false">IF($T341,G341-N(H341),"")</f>
        <v/>
      </c>
      <c r="N341" s="14" t="str">
        <f aca="false">IF($T341,J341/I341,"")</f>
        <v/>
      </c>
      <c r="O341" s="14" t="str">
        <f aca="false">IF(AND($T341,N(J341)&gt;0),L341/J341,"")</f>
        <v/>
      </c>
      <c r="P341" s="14" t="str">
        <f aca="false">IF(AND($T341,N(G341)&gt;0),M341/G341,"")</f>
        <v/>
      </c>
      <c r="Q341" s="14" t="str">
        <f aca="false">IF($T341,S341/I341,"")</f>
        <v/>
      </c>
      <c r="R341" s="10" t="str">
        <f aca="false">IF($C341="","",IF(NOT(SUMPRODUCT(--(Setup!$A$5:$A$24=$C341))&gt;0),"Machine not in Setup",IF(OR(NOT(ISNUMBER(K341)),N(K341)&lt;=0),"Set an ideal cycle time in Setup",IF(NOT(ISNUMBER(A341)),"Enter a date",IF(OR(NOT(ISNUMBER(D341)),NOT(ISNUMBER(G341)),AND(E341&lt;&gt;"",NOT(ISNUMBER(E341))),AND(F341&lt;&gt;"",NOT(ISNUMBER(F341))),AND(H341&lt;&gt;"",NOT(ISNUMBER(H341)))),"Enter numbers: shift length and total parts are required",IF(OR(N(D341)&lt;=0,N(E341)&lt;0,N(F341)&lt;0,N(G341)&lt;0,N(H341)&lt;0),"Values must be 0 or more (shift length above 0)",IF(N(H341)&gt;N(G341),"Rejects &gt; total parts",IF(N(E341)&gt;=N(D341),"Planned stops &gt;= shift length",IF(N(F341)&gt;N(D341)-N(E341),"Downtime &gt; planned time",IF(AND(ISNUMBER(O341),O341&gt;1),"Check: performance above 100%","OK"))))))))))</f>
        <v/>
      </c>
      <c r="S341" s="13" t="str">
        <f aca="false">IF($T341,K341*M341/60,"")</f>
        <v/>
      </c>
      <c r="T341" s="15" t="b">
        <f aca="false">IF($C341="",FALSE(),AND(SUMPRODUCT(--(Setup!$A$5:$A$24=$C341))&gt;0,ISNUMBER(A341),ISNUMBER(K341),N(K341)&gt;0,ISNUMBER(D341),N(D341)&gt;0,ISNUMBER(G341),N(G341)&gt;=0,OR(E341="",ISNUMBER(E341)),OR(F341="",ISNUMBER(F341)),OR(H341="",ISNUMBER(H341)),N(E341)&gt;=0,N(F341)&gt;=0,N(H341)&gt;=0,N(H341)&lt;=N(G341),N(E341)&lt;N(D341),N(F341)&lt;=N(D341)-N(E341)))</f>
        <v>0</v>
      </c>
    </row>
    <row r="342" customFormat="false" ht="15" hidden="false" customHeight="false" outlineLevel="0" collapsed="false">
      <c r="A342" s="11"/>
      <c r="B342" s="8"/>
      <c r="C342" s="8"/>
      <c r="D342" s="8"/>
      <c r="E342" s="8"/>
      <c r="F342" s="8"/>
      <c r="G342" s="8"/>
      <c r="H342" s="8"/>
      <c r="I342" s="12" t="str">
        <f aca="false">IF($T342,D342-N(E342),"")</f>
        <v/>
      </c>
      <c r="J342" s="12" t="str">
        <f aca="false">IF($T342,I342-N(F342),"")</f>
        <v/>
      </c>
      <c r="K342" s="13" t="str">
        <f aca="false">IF($C342="","",IF(SUMPRODUCT(--(Setup!$A$5:$A$24=$C342))&gt;0,INDEX(Setup!$B$5:$B$24,21-SUMPRODUCT(MAX((Setup!$A$5:$A$24=$C342)*(25-ROW(Setup!$A$5:$A$24))))),""))</f>
        <v/>
      </c>
      <c r="L342" s="13" t="str">
        <f aca="false">IF($T342,K342*G342/60,"")</f>
        <v/>
      </c>
      <c r="M342" s="12" t="str">
        <f aca="false">IF($T342,G342-N(H342),"")</f>
        <v/>
      </c>
      <c r="N342" s="14" t="str">
        <f aca="false">IF($T342,J342/I342,"")</f>
        <v/>
      </c>
      <c r="O342" s="14" t="str">
        <f aca="false">IF(AND($T342,N(J342)&gt;0),L342/J342,"")</f>
        <v/>
      </c>
      <c r="P342" s="14" t="str">
        <f aca="false">IF(AND($T342,N(G342)&gt;0),M342/G342,"")</f>
        <v/>
      </c>
      <c r="Q342" s="14" t="str">
        <f aca="false">IF($T342,S342/I342,"")</f>
        <v/>
      </c>
      <c r="R342" s="10" t="str">
        <f aca="false">IF($C342="","",IF(NOT(SUMPRODUCT(--(Setup!$A$5:$A$24=$C342))&gt;0),"Machine not in Setup",IF(OR(NOT(ISNUMBER(K342)),N(K342)&lt;=0),"Set an ideal cycle time in Setup",IF(NOT(ISNUMBER(A342)),"Enter a date",IF(OR(NOT(ISNUMBER(D342)),NOT(ISNUMBER(G342)),AND(E342&lt;&gt;"",NOT(ISNUMBER(E342))),AND(F342&lt;&gt;"",NOT(ISNUMBER(F342))),AND(H342&lt;&gt;"",NOT(ISNUMBER(H342)))),"Enter numbers: shift length and total parts are required",IF(OR(N(D342)&lt;=0,N(E342)&lt;0,N(F342)&lt;0,N(G342)&lt;0,N(H342)&lt;0),"Values must be 0 or more (shift length above 0)",IF(N(H342)&gt;N(G342),"Rejects &gt; total parts",IF(N(E342)&gt;=N(D342),"Planned stops &gt;= shift length",IF(N(F342)&gt;N(D342)-N(E342),"Downtime &gt; planned time",IF(AND(ISNUMBER(O342),O342&gt;1),"Check: performance above 100%","OK"))))))))))</f>
        <v/>
      </c>
      <c r="S342" s="13" t="str">
        <f aca="false">IF($T342,K342*M342/60,"")</f>
        <v/>
      </c>
      <c r="T342" s="15" t="b">
        <f aca="false">IF($C342="",FALSE(),AND(SUMPRODUCT(--(Setup!$A$5:$A$24=$C342))&gt;0,ISNUMBER(A342),ISNUMBER(K342),N(K342)&gt;0,ISNUMBER(D342),N(D342)&gt;0,ISNUMBER(G342),N(G342)&gt;=0,OR(E342="",ISNUMBER(E342)),OR(F342="",ISNUMBER(F342)),OR(H342="",ISNUMBER(H342)),N(E342)&gt;=0,N(F342)&gt;=0,N(H342)&gt;=0,N(H342)&lt;=N(G342),N(E342)&lt;N(D342),N(F342)&lt;=N(D342)-N(E342)))</f>
        <v>0</v>
      </c>
    </row>
    <row r="343" customFormat="false" ht="15" hidden="false" customHeight="false" outlineLevel="0" collapsed="false">
      <c r="A343" s="11"/>
      <c r="B343" s="8"/>
      <c r="C343" s="8"/>
      <c r="D343" s="8"/>
      <c r="E343" s="8"/>
      <c r="F343" s="8"/>
      <c r="G343" s="8"/>
      <c r="H343" s="8"/>
      <c r="I343" s="12" t="str">
        <f aca="false">IF($T343,D343-N(E343),"")</f>
        <v/>
      </c>
      <c r="J343" s="12" t="str">
        <f aca="false">IF($T343,I343-N(F343),"")</f>
        <v/>
      </c>
      <c r="K343" s="13" t="str">
        <f aca="false">IF($C343="","",IF(SUMPRODUCT(--(Setup!$A$5:$A$24=$C343))&gt;0,INDEX(Setup!$B$5:$B$24,21-SUMPRODUCT(MAX((Setup!$A$5:$A$24=$C343)*(25-ROW(Setup!$A$5:$A$24))))),""))</f>
        <v/>
      </c>
      <c r="L343" s="13" t="str">
        <f aca="false">IF($T343,K343*G343/60,"")</f>
        <v/>
      </c>
      <c r="M343" s="12" t="str">
        <f aca="false">IF($T343,G343-N(H343),"")</f>
        <v/>
      </c>
      <c r="N343" s="14" t="str">
        <f aca="false">IF($T343,J343/I343,"")</f>
        <v/>
      </c>
      <c r="O343" s="14" t="str">
        <f aca="false">IF(AND($T343,N(J343)&gt;0),L343/J343,"")</f>
        <v/>
      </c>
      <c r="P343" s="14" t="str">
        <f aca="false">IF(AND($T343,N(G343)&gt;0),M343/G343,"")</f>
        <v/>
      </c>
      <c r="Q343" s="14" t="str">
        <f aca="false">IF($T343,S343/I343,"")</f>
        <v/>
      </c>
      <c r="R343" s="10" t="str">
        <f aca="false">IF($C343="","",IF(NOT(SUMPRODUCT(--(Setup!$A$5:$A$24=$C343))&gt;0),"Machine not in Setup",IF(OR(NOT(ISNUMBER(K343)),N(K343)&lt;=0),"Set an ideal cycle time in Setup",IF(NOT(ISNUMBER(A343)),"Enter a date",IF(OR(NOT(ISNUMBER(D343)),NOT(ISNUMBER(G343)),AND(E343&lt;&gt;"",NOT(ISNUMBER(E343))),AND(F343&lt;&gt;"",NOT(ISNUMBER(F343))),AND(H343&lt;&gt;"",NOT(ISNUMBER(H343)))),"Enter numbers: shift length and total parts are required",IF(OR(N(D343)&lt;=0,N(E343)&lt;0,N(F343)&lt;0,N(G343)&lt;0,N(H343)&lt;0),"Values must be 0 or more (shift length above 0)",IF(N(H343)&gt;N(G343),"Rejects &gt; total parts",IF(N(E343)&gt;=N(D343),"Planned stops &gt;= shift length",IF(N(F343)&gt;N(D343)-N(E343),"Downtime &gt; planned time",IF(AND(ISNUMBER(O343),O343&gt;1),"Check: performance above 100%","OK"))))))))))</f>
        <v/>
      </c>
      <c r="S343" s="13" t="str">
        <f aca="false">IF($T343,K343*M343/60,"")</f>
        <v/>
      </c>
      <c r="T343" s="15" t="b">
        <f aca="false">IF($C343="",FALSE(),AND(SUMPRODUCT(--(Setup!$A$5:$A$24=$C343))&gt;0,ISNUMBER(A343),ISNUMBER(K343),N(K343)&gt;0,ISNUMBER(D343),N(D343)&gt;0,ISNUMBER(G343),N(G343)&gt;=0,OR(E343="",ISNUMBER(E343)),OR(F343="",ISNUMBER(F343)),OR(H343="",ISNUMBER(H343)),N(E343)&gt;=0,N(F343)&gt;=0,N(H343)&gt;=0,N(H343)&lt;=N(G343),N(E343)&lt;N(D343),N(F343)&lt;=N(D343)-N(E343)))</f>
        <v>0</v>
      </c>
    </row>
    <row r="344" customFormat="false" ht="15" hidden="false" customHeight="false" outlineLevel="0" collapsed="false">
      <c r="A344" s="11"/>
      <c r="B344" s="8"/>
      <c r="C344" s="8"/>
      <c r="D344" s="8"/>
      <c r="E344" s="8"/>
      <c r="F344" s="8"/>
      <c r="G344" s="8"/>
      <c r="H344" s="8"/>
      <c r="I344" s="12" t="str">
        <f aca="false">IF($T344,D344-N(E344),"")</f>
        <v/>
      </c>
      <c r="J344" s="12" t="str">
        <f aca="false">IF($T344,I344-N(F344),"")</f>
        <v/>
      </c>
      <c r="K344" s="13" t="str">
        <f aca="false">IF($C344="","",IF(SUMPRODUCT(--(Setup!$A$5:$A$24=$C344))&gt;0,INDEX(Setup!$B$5:$B$24,21-SUMPRODUCT(MAX((Setup!$A$5:$A$24=$C344)*(25-ROW(Setup!$A$5:$A$24))))),""))</f>
        <v/>
      </c>
      <c r="L344" s="13" t="str">
        <f aca="false">IF($T344,K344*G344/60,"")</f>
        <v/>
      </c>
      <c r="M344" s="12" t="str">
        <f aca="false">IF($T344,G344-N(H344),"")</f>
        <v/>
      </c>
      <c r="N344" s="14" t="str">
        <f aca="false">IF($T344,J344/I344,"")</f>
        <v/>
      </c>
      <c r="O344" s="14" t="str">
        <f aca="false">IF(AND($T344,N(J344)&gt;0),L344/J344,"")</f>
        <v/>
      </c>
      <c r="P344" s="14" t="str">
        <f aca="false">IF(AND($T344,N(G344)&gt;0),M344/G344,"")</f>
        <v/>
      </c>
      <c r="Q344" s="14" t="str">
        <f aca="false">IF($T344,S344/I344,"")</f>
        <v/>
      </c>
      <c r="R344" s="10" t="str">
        <f aca="false">IF($C344="","",IF(NOT(SUMPRODUCT(--(Setup!$A$5:$A$24=$C344))&gt;0),"Machine not in Setup",IF(OR(NOT(ISNUMBER(K344)),N(K344)&lt;=0),"Set an ideal cycle time in Setup",IF(NOT(ISNUMBER(A344)),"Enter a date",IF(OR(NOT(ISNUMBER(D344)),NOT(ISNUMBER(G344)),AND(E344&lt;&gt;"",NOT(ISNUMBER(E344))),AND(F344&lt;&gt;"",NOT(ISNUMBER(F344))),AND(H344&lt;&gt;"",NOT(ISNUMBER(H344)))),"Enter numbers: shift length and total parts are required",IF(OR(N(D344)&lt;=0,N(E344)&lt;0,N(F344)&lt;0,N(G344)&lt;0,N(H344)&lt;0),"Values must be 0 or more (shift length above 0)",IF(N(H344)&gt;N(G344),"Rejects &gt; total parts",IF(N(E344)&gt;=N(D344),"Planned stops &gt;= shift length",IF(N(F344)&gt;N(D344)-N(E344),"Downtime &gt; planned time",IF(AND(ISNUMBER(O344),O344&gt;1),"Check: performance above 100%","OK"))))))))))</f>
        <v/>
      </c>
      <c r="S344" s="13" t="str">
        <f aca="false">IF($T344,K344*M344/60,"")</f>
        <v/>
      </c>
      <c r="T344" s="15" t="b">
        <f aca="false">IF($C344="",FALSE(),AND(SUMPRODUCT(--(Setup!$A$5:$A$24=$C344))&gt;0,ISNUMBER(A344),ISNUMBER(K344),N(K344)&gt;0,ISNUMBER(D344),N(D344)&gt;0,ISNUMBER(G344),N(G344)&gt;=0,OR(E344="",ISNUMBER(E344)),OR(F344="",ISNUMBER(F344)),OR(H344="",ISNUMBER(H344)),N(E344)&gt;=0,N(F344)&gt;=0,N(H344)&gt;=0,N(H344)&lt;=N(G344),N(E344)&lt;N(D344),N(F344)&lt;=N(D344)-N(E344)))</f>
        <v>0</v>
      </c>
    </row>
    <row r="345" customFormat="false" ht="15" hidden="false" customHeight="false" outlineLevel="0" collapsed="false">
      <c r="A345" s="11"/>
      <c r="B345" s="8"/>
      <c r="C345" s="8"/>
      <c r="D345" s="8"/>
      <c r="E345" s="8"/>
      <c r="F345" s="8"/>
      <c r="G345" s="8"/>
      <c r="H345" s="8"/>
      <c r="I345" s="12" t="str">
        <f aca="false">IF($T345,D345-N(E345),"")</f>
        <v/>
      </c>
      <c r="J345" s="12" t="str">
        <f aca="false">IF($T345,I345-N(F345),"")</f>
        <v/>
      </c>
      <c r="K345" s="13" t="str">
        <f aca="false">IF($C345="","",IF(SUMPRODUCT(--(Setup!$A$5:$A$24=$C345))&gt;0,INDEX(Setup!$B$5:$B$24,21-SUMPRODUCT(MAX((Setup!$A$5:$A$24=$C345)*(25-ROW(Setup!$A$5:$A$24))))),""))</f>
        <v/>
      </c>
      <c r="L345" s="13" t="str">
        <f aca="false">IF($T345,K345*G345/60,"")</f>
        <v/>
      </c>
      <c r="M345" s="12" t="str">
        <f aca="false">IF($T345,G345-N(H345),"")</f>
        <v/>
      </c>
      <c r="N345" s="14" t="str">
        <f aca="false">IF($T345,J345/I345,"")</f>
        <v/>
      </c>
      <c r="O345" s="14" t="str">
        <f aca="false">IF(AND($T345,N(J345)&gt;0),L345/J345,"")</f>
        <v/>
      </c>
      <c r="P345" s="14" t="str">
        <f aca="false">IF(AND($T345,N(G345)&gt;0),M345/G345,"")</f>
        <v/>
      </c>
      <c r="Q345" s="14" t="str">
        <f aca="false">IF($T345,S345/I345,"")</f>
        <v/>
      </c>
      <c r="R345" s="10" t="str">
        <f aca="false">IF($C345="","",IF(NOT(SUMPRODUCT(--(Setup!$A$5:$A$24=$C345))&gt;0),"Machine not in Setup",IF(OR(NOT(ISNUMBER(K345)),N(K345)&lt;=0),"Set an ideal cycle time in Setup",IF(NOT(ISNUMBER(A345)),"Enter a date",IF(OR(NOT(ISNUMBER(D345)),NOT(ISNUMBER(G345)),AND(E345&lt;&gt;"",NOT(ISNUMBER(E345))),AND(F345&lt;&gt;"",NOT(ISNUMBER(F345))),AND(H345&lt;&gt;"",NOT(ISNUMBER(H345)))),"Enter numbers: shift length and total parts are required",IF(OR(N(D345)&lt;=0,N(E345)&lt;0,N(F345)&lt;0,N(G345)&lt;0,N(H345)&lt;0),"Values must be 0 or more (shift length above 0)",IF(N(H345)&gt;N(G345),"Rejects &gt; total parts",IF(N(E345)&gt;=N(D345),"Planned stops &gt;= shift length",IF(N(F345)&gt;N(D345)-N(E345),"Downtime &gt; planned time",IF(AND(ISNUMBER(O345),O345&gt;1),"Check: performance above 100%","OK"))))))))))</f>
        <v/>
      </c>
      <c r="S345" s="13" t="str">
        <f aca="false">IF($T345,K345*M345/60,"")</f>
        <v/>
      </c>
      <c r="T345" s="15" t="b">
        <f aca="false">IF($C345="",FALSE(),AND(SUMPRODUCT(--(Setup!$A$5:$A$24=$C345))&gt;0,ISNUMBER(A345),ISNUMBER(K345),N(K345)&gt;0,ISNUMBER(D345),N(D345)&gt;0,ISNUMBER(G345),N(G345)&gt;=0,OR(E345="",ISNUMBER(E345)),OR(F345="",ISNUMBER(F345)),OR(H345="",ISNUMBER(H345)),N(E345)&gt;=0,N(F345)&gt;=0,N(H345)&gt;=0,N(H345)&lt;=N(G345),N(E345)&lt;N(D345),N(F345)&lt;=N(D345)-N(E345)))</f>
        <v>0</v>
      </c>
    </row>
    <row r="346" customFormat="false" ht="15" hidden="false" customHeight="false" outlineLevel="0" collapsed="false">
      <c r="A346" s="11"/>
      <c r="B346" s="8"/>
      <c r="C346" s="8"/>
      <c r="D346" s="8"/>
      <c r="E346" s="8"/>
      <c r="F346" s="8"/>
      <c r="G346" s="8"/>
      <c r="H346" s="8"/>
      <c r="I346" s="12" t="str">
        <f aca="false">IF($T346,D346-N(E346),"")</f>
        <v/>
      </c>
      <c r="J346" s="12" t="str">
        <f aca="false">IF($T346,I346-N(F346),"")</f>
        <v/>
      </c>
      <c r="K346" s="13" t="str">
        <f aca="false">IF($C346="","",IF(SUMPRODUCT(--(Setup!$A$5:$A$24=$C346))&gt;0,INDEX(Setup!$B$5:$B$24,21-SUMPRODUCT(MAX((Setup!$A$5:$A$24=$C346)*(25-ROW(Setup!$A$5:$A$24))))),""))</f>
        <v/>
      </c>
      <c r="L346" s="13" t="str">
        <f aca="false">IF($T346,K346*G346/60,"")</f>
        <v/>
      </c>
      <c r="M346" s="12" t="str">
        <f aca="false">IF($T346,G346-N(H346),"")</f>
        <v/>
      </c>
      <c r="N346" s="14" t="str">
        <f aca="false">IF($T346,J346/I346,"")</f>
        <v/>
      </c>
      <c r="O346" s="14" t="str">
        <f aca="false">IF(AND($T346,N(J346)&gt;0),L346/J346,"")</f>
        <v/>
      </c>
      <c r="P346" s="14" t="str">
        <f aca="false">IF(AND($T346,N(G346)&gt;0),M346/G346,"")</f>
        <v/>
      </c>
      <c r="Q346" s="14" t="str">
        <f aca="false">IF($T346,S346/I346,"")</f>
        <v/>
      </c>
      <c r="R346" s="10" t="str">
        <f aca="false">IF($C346="","",IF(NOT(SUMPRODUCT(--(Setup!$A$5:$A$24=$C346))&gt;0),"Machine not in Setup",IF(OR(NOT(ISNUMBER(K346)),N(K346)&lt;=0),"Set an ideal cycle time in Setup",IF(NOT(ISNUMBER(A346)),"Enter a date",IF(OR(NOT(ISNUMBER(D346)),NOT(ISNUMBER(G346)),AND(E346&lt;&gt;"",NOT(ISNUMBER(E346))),AND(F346&lt;&gt;"",NOT(ISNUMBER(F346))),AND(H346&lt;&gt;"",NOT(ISNUMBER(H346)))),"Enter numbers: shift length and total parts are required",IF(OR(N(D346)&lt;=0,N(E346)&lt;0,N(F346)&lt;0,N(G346)&lt;0,N(H346)&lt;0),"Values must be 0 or more (shift length above 0)",IF(N(H346)&gt;N(G346),"Rejects &gt; total parts",IF(N(E346)&gt;=N(D346),"Planned stops &gt;= shift length",IF(N(F346)&gt;N(D346)-N(E346),"Downtime &gt; planned time",IF(AND(ISNUMBER(O346),O346&gt;1),"Check: performance above 100%","OK"))))))))))</f>
        <v/>
      </c>
      <c r="S346" s="13" t="str">
        <f aca="false">IF($T346,K346*M346/60,"")</f>
        <v/>
      </c>
      <c r="T346" s="15" t="b">
        <f aca="false">IF($C346="",FALSE(),AND(SUMPRODUCT(--(Setup!$A$5:$A$24=$C346))&gt;0,ISNUMBER(A346),ISNUMBER(K346),N(K346)&gt;0,ISNUMBER(D346),N(D346)&gt;0,ISNUMBER(G346),N(G346)&gt;=0,OR(E346="",ISNUMBER(E346)),OR(F346="",ISNUMBER(F346)),OR(H346="",ISNUMBER(H346)),N(E346)&gt;=0,N(F346)&gt;=0,N(H346)&gt;=0,N(H346)&lt;=N(G346),N(E346)&lt;N(D346),N(F346)&lt;=N(D346)-N(E346)))</f>
        <v>0</v>
      </c>
    </row>
    <row r="347" customFormat="false" ht="15" hidden="false" customHeight="false" outlineLevel="0" collapsed="false">
      <c r="A347" s="11"/>
      <c r="B347" s="8"/>
      <c r="C347" s="8"/>
      <c r="D347" s="8"/>
      <c r="E347" s="8"/>
      <c r="F347" s="8"/>
      <c r="G347" s="8"/>
      <c r="H347" s="8"/>
      <c r="I347" s="12" t="str">
        <f aca="false">IF($T347,D347-N(E347),"")</f>
        <v/>
      </c>
      <c r="J347" s="12" t="str">
        <f aca="false">IF($T347,I347-N(F347),"")</f>
        <v/>
      </c>
      <c r="K347" s="13" t="str">
        <f aca="false">IF($C347="","",IF(SUMPRODUCT(--(Setup!$A$5:$A$24=$C347))&gt;0,INDEX(Setup!$B$5:$B$24,21-SUMPRODUCT(MAX((Setup!$A$5:$A$24=$C347)*(25-ROW(Setup!$A$5:$A$24))))),""))</f>
        <v/>
      </c>
      <c r="L347" s="13" t="str">
        <f aca="false">IF($T347,K347*G347/60,"")</f>
        <v/>
      </c>
      <c r="M347" s="12" t="str">
        <f aca="false">IF($T347,G347-N(H347),"")</f>
        <v/>
      </c>
      <c r="N347" s="14" t="str">
        <f aca="false">IF($T347,J347/I347,"")</f>
        <v/>
      </c>
      <c r="O347" s="14" t="str">
        <f aca="false">IF(AND($T347,N(J347)&gt;0),L347/J347,"")</f>
        <v/>
      </c>
      <c r="P347" s="14" t="str">
        <f aca="false">IF(AND($T347,N(G347)&gt;0),M347/G347,"")</f>
        <v/>
      </c>
      <c r="Q347" s="14" t="str">
        <f aca="false">IF($T347,S347/I347,"")</f>
        <v/>
      </c>
      <c r="R347" s="10" t="str">
        <f aca="false">IF($C347="","",IF(NOT(SUMPRODUCT(--(Setup!$A$5:$A$24=$C347))&gt;0),"Machine not in Setup",IF(OR(NOT(ISNUMBER(K347)),N(K347)&lt;=0),"Set an ideal cycle time in Setup",IF(NOT(ISNUMBER(A347)),"Enter a date",IF(OR(NOT(ISNUMBER(D347)),NOT(ISNUMBER(G347)),AND(E347&lt;&gt;"",NOT(ISNUMBER(E347))),AND(F347&lt;&gt;"",NOT(ISNUMBER(F347))),AND(H347&lt;&gt;"",NOT(ISNUMBER(H347)))),"Enter numbers: shift length and total parts are required",IF(OR(N(D347)&lt;=0,N(E347)&lt;0,N(F347)&lt;0,N(G347)&lt;0,N(H347)&lt;0),"Values must be 0 or more (shift length above 0)",IF(N(H347)&gt;N(G347),"Rejects &gt; total parts",IF(N(E347)&gt;=N(D347),"Planned stops &gt;= shift length",IF(N(F347)&gt;N(D347)-N(E347),"Downtime &gt; planned time",IF(AND(ISNUMBER(O347),O347&gt;1),"Check: performance above 100%","OK"))))))))))</f>
        <v/>
      </c>
      <c r="S347" s="13" t="str">
        <f aca="false">IF($T347,K347*M347/60,"")</f>
        <v/>
      </c>
      <c r="T347" s="15" t="b">
        <f aca="false">IF($C347="",FALSE(),AND(SUMPRODUCT(--(Setup!$A$5:$A$24=$C347))&gt;0,ISNUMBER(A347),ISNUMBER(K347),N(K347)&gt;0,ISNUMBER(D347),N(D347)&gt;0,ISNUMBER(G347),N(G347)&gt;=0,OR(E347="",ISNUMBER(E347)),OR(F347="",ISNUMBER(F347)),OR(H347="",ISNUMBER(H347)),N(E347)&gt;=0,N(F347)&gt;=0,N(H347)&gt;=0,N(H347)&lt;=N(G347),N(E347)&lt;N(D347),N(F347)&lt;=N(D347)-N(E347)))</f>
        <v>0</v>
      </c>
    </row>
    <row r="348" customFormat="false" ht="15" hidden="false" customHeight="false" outlineLevel="0" collapsed="false">
      <c r="A348" s="11"/>
      <c r="B348" s="8"/>
      <c r="C348" s="8"/>
      <c r="D348" s="8"/>
      <c r="E348" s="8"/>
      <c r="F348" s="8"/>
      <c r="G348" s="8"/>
      <c r="H348" s="8"/>
      <c r="I348" s="12" t="str">
        <f aca="false">IF($T348,D348-N(E348),"")</f>
        <v/>
      </c>
      <c r="J348" s="12" t="str">
        <f aca="false">IF($T348,I348-N(F348),"")</f>
        <v/>
      </c>
      <c r="K348" s="13" t="str">
        <f aca="false">IF($C348="","",IF(SUMPRODUCT(--(Setup!$A$5:$A$24=$C348))&gt;0,INDEX(Setup!$B$5:$B$24,21-SUMPRODUCT(MAX((Setup!$A$5:$A$24=$C348)*(25-ROW(Setup!$A$5:$A$24))))),""))</f>
        <v/>
      </c>
      <c r="L348" s="13" t="str">
        <f aca="false">IF($T348,K348*G348/60,"")</f>
        <v/>
      </c>
      <c r="M348" s="12" t="str">
        <f aca="false">IF($T348,G348-N(H348),"")</f>
        <v/>
      </c>
      <c r="N348" s="14" t="str">
        <f aca="false">IF($T348,J348/I348,"")</f>
        <v/>
      </c>
      <c r="O348" s="14" t="str">
        <f aca="false">IF(AND($T348,N(J348)&gt;0),L348/J348,"")</f>
        <v/>
      </c>
      <c r="P348" s="14" t="str">
        <f aca="false">IF(AND($T348,N(G348)&gt;0),M348/G348,"")</f>
        <v/>
      </c>
      <c r="Q348" s="14" t="str">
        <f aca="false">IF($T348,S348/I348,"")</f>
        <v/>
      </c>
      <c r="R348" s="10" t="str">
        <f aca="false">IF($C348="","",IF(NOT(SUMPRODUCT(--(Setup!$A$5:$A$24=$C348))&gt;0),"Machine not in Setup",IF(OR(NOT(ISNUMBER(K348)),N(K348)&lt;=0),"Set an ideal cycle time in Setup",IF(NOT(ISNUMBER(A348)),"Enter a date",IF(OR(NOT(ISNUMBER(D348)),NOT(ISNUMBER(G348)),AND(E348&lt;&gt;"",NOT(ISNUMBER(E348))),AND(F348&lt;&gt;"",NOT(ISNUMBER(F348))),AND(H348&lt;&gt;"",NOT(ISNUMBER(H348)))),"Enter numbers: shift length and total parts are required",IF(OR(N(D348)&lt;=0,N(E348)&lt;0,N(F348)&lt;0,N(G348)&lt;0,N(H348)&lt;0),"Values must be 0 or more (shift length above 0)",IF(N(H348)&gt;N(G348),"Rejects &gt; total parts",IF(N(E348)&gt;=N(D348),"Planned stops &gt;= shift length",IF(N(F348)&gt;N(D348)-N(E348),"Downtime &gt; planned time",IF(AND(ISNUMBER(O348),O348&gt;1),"Check: performance above 100%","OK"))))))))))</f>
        <v/>
      </c>
      <c r="S348" s="13" t="str">
        <f aca="false">IF($T348,K348*M348/60,"")</f>
        <v/>
      </c>
      <c r="T348" s="15" t="b">
        <f aca="false">IF($C348="",FALSE(),AND(SUMPRODUCT(--(Setup!$A$5:$A$24=$C348))&gt;0,ISNUMBER(A348),ISNUMBER(K348),N(K348)&gt;0,ISNUMBER(D348),N(D348)&gt;0,ISNUMBER(G348),N(G348)&gt;=0,OR(E348="",ISNUMBER(E348)),OR(F348="",ISNUMBER(F348)),OR(H348="",ISNUMBER(H348)),N(E348)&gt;=0,N(F348)&gt;=0,N(H348)&gt;=0,N(H348)&lt;=N(G348),N(E348)&lt;N(D348),N(F348)&lt;=N(D348)-N(E348)))</f>
        <v>0</v>
      </c>
    </row>
    <row r="349" customFormat="false" ht="15" hidden="false" customHeight="false" outlineLevel="0" collapsed="false">
      <c r="A349" s="11"/>
      <c r="B349" s="8"/>
      <c r="C349" s="8"/>
      <c r="D349" s="8"/>
      <c r="E349" s="8"/>
      <c r="F349" s="8"/>
      <c r="G349" s="8"/>
      <c r="H349" s="8"/>
      <c r="I349" s="12" t="str">
        <f aca="false">IF($T349,D349-N(E349),"")</f>
        <v/>
      </c>
      <c r="J349" s="12" t="str">
        <f aca="false">IF($T349,I349-N(F349),"")</f>
        <v/>
      </c>
      <c r="K349" s="13" t="str">
        <f aca="false">IF($C349="","",IF(SUMPRODUCT(--(Setup!$A$5:$A$24=$C349))&gt;0,INDEX(Setup!$B$5:$B$24,21-SUMPRODUCT(MAX((Setup!$A$5:$A$24=$C349)*(25-ROW(Setup!$A$5:$A$24))))),""))</f>
        <v/>
      </c>
      <c r="L349" s="13" t="str">
        <f aca="false">IF($T349,K349*G349/60,"")</f>
        <v/>
      </c>
      <c r="M349" s="12" t="str">
        <f aca="false">IF($T349,G349-N(H349),"")</f>
        <v/>
      </c>
      <c r="N349" s="14" t="str">
        <f aca="false">IF($T349,J349/I349,"")</f>
        <v/>
      </c>
      <c r="O349" s="14" t="str">
        <f aca="false">IF(AND($T349,N(J349)&gt;0),L349/J349,"")</f>
        <v/>
      </c>
      <c r="P349" s="14" t="str">
        <f aca="false">IF(AND($T349,N(G349)&gt;0),M349/G349,"")</f>
        <v/>
      </c>
      <c r="Q349" s="14" t="str">
        <f aca="false">IF($T349,S349/I349,"")</f>
        <v/>
      </c>
      <c r="R349" s="10" t="str">
        <f aca="false">IF($C349="","",IF(NOT(SUMPRODUCT(--(Setup!$A$5:$A$24=$C349))&gt;0),"Machine not in Setup",IF(OR(NOT(ISNUMBER(K349)),N(K349)&lt;=0),"Set an ideal cycle time in Setup",IF(NOT(ISNUMBER(A349)),"Enter a date",IF(OR(NOT(ISNUMBER(D349)),NOT(ISNUMBER(G349)),AND(E349&lt;&gt;"",NOT(ISNUMBER(E349))),AND(F349&lt;&gt;"",NOT(ISNUMBER(F349))),AND(H349&lt;&gt;"",NOT(ISNUMBER(H349)))),"Enter numbers: shift length and total parts are required",IF(OR(N(D349)&lt;=0,N(E349)&lt;0,N(F349)&lt;0,N(G349)&lt;0,N(H349)&lt;0),"Values must be 0 or more (shift length above 0)",IF(N(H349)&gt;N(G349),"Rejects &gt; total parts",IF(N(E349)&gt;=N(D349),"Planned stops &gt;= shift length",IF(N(F349)&gt;N(D349)-N(E349),"Downtime &gt; planned time",IF(AND(ISNUMBER(O349),O349&gt;1),"Check: performance above 100%","OK"))))))))))</f>
        <v/>
      </c>
      <c r="S349" s="13" t="str">
        <f aca="false">IF($T349,K349*M349/60,"")</f>
        <v/>
      </c>
      <c r="T349" s="15" t="b">
        <f aca="false">IF($C349="",FALSE(),AND(SUMPRODUCT(--(Setup!$A$5:$A$24=$C349))&gt;0,ISNUMBER(A349),ISNUMBER(K349),N(K349)&gt;0,ISNUMBER(D349),N(D349)&gt;0,ISNUMBER(G349),N(G349)&gt;=0,OR(E349="",ISNUMBER(E349)),OR(F349="",ISNUMBER(F349)),OR(H349="",ISNUMBER(H349)),N(E349)&gt;=0,N(F349)&gt;=0,N(H349)&gt;=0,N(H349)&lt;=N(G349),N(E349)&lt;N(D349),N(F349)&lt;=N(D349)-N(E349)))</f>
        <v>0</v>
      </c>
    </row>
    <row r="350" customFormat="false" ht="15" hidden="false" customHeight="false" outlineLevel="0" collapsed="false">
      <c r="A350" s="11"/>
      <c r="B350" s="8"/>
      <c r="C350" s="8"/>
      <c r="D350" s="8"/>
      <c r="E350" s="8"/>
      <c r="F350" s="8"/>
      <c r="G350" s="8"/>
      <c r="H350" s="8"/>
      <c r="I350" s="12" t="str">
        <f aca="false">IF($T350,D350-N(E350),"")</f>
        <v/>
      </c>
      <c r="J350" s="12" t="str">
        <f aca="false">IF($T350,I350-N(F350),"")</f>
        <v/>
      </c>
      <c r="K350" s="13" t="str">
        <f aca="false">IF($C350="","",IF(SUMPRODUCT(--(Setup!$A$5:$A$24=$C350))&gt;0,INDEX(Setup!$B$5:$B$24,21-SUMPRODUCT(MAX((Setup!$A$5:$A$24=$C350)*(25-ROW(Setup!$A$5:$A$24))))),""))</f>
        <v/>
      </c>
      <c r="L350" s="13" t="str">
        <f aca="false">IF($T350,K350*G350/60,"")</f>
        <v/>
      </c>
      <c r="M350" s="12" t="str">
        <f aca="false">IF($T350,G350-N(H350),"")</f>
        <v/>
      </c>
      <c r="N350" s="14" t="str">
        <f aca="false">IF($T350,J350/I350,"")</f>
        <v/>
      </c>
      <c r="O350" s="14" t="str">
        <f aca="false">IF(AND($T350,N(J350)&gt;0),L350/J350,"")</f>
        <v/>
      </c>
      <c r="P350" s="14" t="str">
        <f aca="false">IF(AND($T350,N(G350)&gt;0),M350/G350,"")</f>
        <v/>
      </c>
      <c r="Q350" s="14" t="str">
        <f aca="false">IF($T350,S350/I350,"")</f>
        <v/>
      </c>
      <c r="R350" s="10" t="str">
        <f aca="false">IF($C350="","",IF(NOT(SUMPRODUCT(--(Setup!$A$5:$A$24=$C350))&gt;0),"Machine not in Setup",IF(OR(NOT(ISNUMBER(K350)),N(K350)&lt;=0),"Set an ideal cycle time in Setup",IF(NOT(ISNUMBER(A350)),"Enter a date",IF(OR(NOT(ISNUMBER(D350)),NOT(ISNUMBER(G350)),AND(E350&lt;&gt;"",NOT(ISNUMBER(E350))),AND(F350&lt;&gt;"",NOT(ISNUMBER(F350))),AND(H350&lt;&gt;"",NOT(ISNUMBER(H350)))),"Enter numbers: shift length and total parts are required",IF(OR(N(D350)&lt;=0,N(E350)&lt;0,N(F350)&lt;0,N(G350)&lt;0,N(H350)&lt;0),"Values must be 0 or more (shift length above 0)",IF(N(H350)&gt;N(G350),"Rejects &gt; total parts",IF(N(E350)&gt;=N(D350),"Planned stops &gt;= shift length",IF(N(F350)&gt;N(D350)-N(E350),"Downtime &gt; planned time",IF(AND(ISNUMBER(O350),O350&gt;1),"Check: performance above 100%","OK"))))))))))</f>
        <v/>
      </c>
      <c r="S350" s="13" t="str">
        <f aca="false">IF($T350,K350*M350/60,"")</f>
        <v/>
      </c>
      <c r="T350" s="15" t="b">
        <f aca="false">IF($C350="",FALSE(),AND(SUMPRODUCT(--(Setup!$A$5:$A$24=$C350))&gt;0,ISNUMBER(A350),ISNUMBER(K350),N(K350)&gt;0,ISNUMBER(D350),N(D350)&gt;0,ISNUMBER(G350),N(G350)&gt;=0,OR(E350="",ISNUMBER(E350)),OR(F350="",ISNUMBER(F350)),OR(H350="",ISNUMBER(H350)),N(E350)&gt;=0,N(F350)&gt;=0,N(H350)&gt;=0,N(H350)&lt;=N(G350),N(E350)&lt;N(D350),N(F350)&lt;=N(D350)-N(E350)))</f>
        <v>0</v>
      </c>
    </row>
    <row r="351" customFormat="false" ht="15" hidden="false" customHeight="false" outlineLevel="0" collapsed="false">
      <c r="A351" s="11"/>
      <c r="B351" s="8"/>
      <c r="C351" s="8"/>
      <c r="D351" s="8"/>
      <c r="E351" s="8"/>
      <c r="F351" s="8"/>
      <c r="G351" s="8"/>
      <c r="H351" s="8"/>
      <c r="I351" s="12" t="str">
        <f aca="false">IF($T351,D351-N(E351),"")</f>
        <v/>
      </c>
      <c r="J351" s="12" t="str">
        <f aca="false">IF($T351,I351-N(F351),"")</f>
        <v/>
      </c>
      <c r="K351" s="13" t="str">
        <f aca="false">IF($C351="","",IF(SUMPRODUCT(--(Setup!$A$5:$A$24=$C351))&gt;0,INDEX(Setup!$B$5:$B$24,21-SUMPRODUCT(MAX((Setup!$A$5:$A$24=$C351)*(25-ROW(Setup!$A$5:$A$24))))),""))</f>
        <v/>
      </c>
      <c r="L351" s="13" t="str">
        <f aca="false">IF($T351,K351*G351/60,"")</f>
        <v/>
      </c>
      <c r="M351" s="12" t="str">
        <f aca="false">IF($T351,G351-N(H351),"")</f>
        <v/>
      </c>
      <c r="N351" s="14" t="str">
        <f aca="false">IF($T351,J351/I351,"")</f>
        <v/>
      </c>
      <c r="O351" s="14" t="str">
        <f aca="false">IF(AND($T351,N(J351)&gt;0),L351/J351,"")</f>
        <v/>
      </c>
      <c r="P351" s="14" t="str">
        <f aca="false">IF(AND($T351,N(G351)&gt;0),M351/G351,"")</f>
        <v/>
      </c>
      <c r="Q351" s="14" t="str">
        <f aca="false">IF($T351,S351/I351,"")</f>
        <v/>
      </c>
      <c r="R351" s="10" t="str">
        <f aca="false">IF($C351="","",IF(NOT(SUMPRODUCT(--(Setup!$A$5:$A$24=$C351))&gt;0),"Machine not in Setup",IF(OR(NOT(ISNUMBER(K351)),N(K351)&lt;=0),"Set an ideal cycle time in Setup",IF(NOT(ISNUMBER(A351)),"Enter a date",IF(OR(NOT(ISNUMBER(D351)),NOT(ISNUMBER(G351)),AND(E351&lt;&gt;"",NOT(ISNUMBER(E351))),AND(F351&lt;&gt;"",NOT(ISNUMBER(F351))),AND(H351&lt;&gt;"",NOT(ISNUMBER(H351)))),"Enter numbers: shift length and total parts are required",IF(OR(N(D351)&lt;=0,N(E351)&lt;0,N(F351)&lt;0,N(G351)&lt;0,N(H351)&lt;0),"Values must be 0 or more (shift length above 0)",IF(N(H351)&gt;N(G351),"Rejects &gt; total parts",IF(N(E351)&gt;=N(D351),"Planned stops &gt;= shift length",IF(N(F351)&gt;N(D351)-N(E351),"Downtime &gt; planned time",IF(AND(ISNUMBER(O351),O351&gt;1),"Check: performance above 100%","OK"))))))))))</f>
        <v/>
      </c>
      <c r="S351" s="13" t="str">
        <f aca="false">IF($T351,K351*M351/60,"")</f>
        <v/>
      </c>
      <c r="T351" s="15" t="b">
        <f aca="false">IF($C351="",FALSE(),AND(SUMPRODUCT(--(Setup!$A$5:$A$24=$C351))&gt;0,ISNUMBER(A351),ISNUMBER(K351),N(K351)&gt;0,ISNUMBER(D351),N(D351)&gt;0,ISNUMBER(G351),N(G351)&gt;=0,OR(E351="",ISNUMBER(E351)),OR(F351="",ISNUMBER(F351)),OR(H351="",ISNUMBER(H351)),N(E351)&gt;=0,N(F351)&gt;=0,N(H351)&gt;=0,N(H351)&lt;=N(G351),N(E351)&lt;N(D351),N(F351)&lt;=N(D351)-N(E351)))</f>
        <v>0</v>
      </c>
    </row>
    <row r="352" customFormat="false" ht="15" hidden="false" customHeight="false" outlineLevel="0" collapsed="false">
      <c r="A352" s="11"/>
      <c r="B352" s="8"/>
      <c r="C352" s="8"/>
      <c r="D352" s="8"/>
      <c r="E352" s="8"/>
      <c r="F352" s="8"/>
      <c r="G352" s="8"/>
      <c r="H352" s="8"/>
      <c r="I352" s="12" t="str">
        <f aca="false">IF($T352,D352-N(E352),"")</f>
        <v/>
      </c>
      <c r="J352" s="12" t="str">
        <f aca="false">IF($T352,I352-N(F352),"")</f>
        <v/>
      </c>
      <c r="K352" s="13" t="str">
        <f aca="false">IF($C352="","",IF(SUMPRODUCT(--(Setup!$A$5:$A$24=$C352))&gt;0,INDEX(Setup!$B$5:$B$24,21-SUMPRODUCT(MAX((Setup!$A$5:$A$24=$C352)*(25-ROW(Setup!$A$5:$A$24))))),""))</f>
        <v/>
      </c>
      <c r="L352" s="13" t="str">
        <f aca="false">IF($T352,K352*G352/60,"")</f>
        <v/>
      </c>
      <c r="M352" s="12" t="str">
        <f aca="false">IF($T352,G352-N(H352),"")</f>
        <v/>
      </c>
      <c r="N352" s="14" t="str">
        <f aca="false">IF($T352,J352/I352,"")</f>
        <v/>
      </c>
      <c r="O352" s="14" t="str">
        <f aca="false">IF(AND($T352,N(J352)&gt;0),L352/J352,"")</f>
        <v/>
      </c>
      <c r="P352" s="14" t="str">
        <f aca="false">IF(AND($T352,N(G352)&gt;0),M352/G352,"")</f>
        <v/>
      </c>
      <c r="Q352" s="14" t="str">
        <f aca="false">IF($T352,S352/I352,"")</f>
        <v/>
      </c>
      <c r="R352" s="10" t="str">
        <f aca="false">IF($C352="","",IF(NOT(SUMPRODUCT(--(Setup!$A$5:$A$24=$C352))&gt;0),"Machine not in Setup",IF(OR(NOT(ISNUMBER(K352)),N(K352)&lt;=0),"Set an ideal cycle time in Setup",IF(NOT(ISNUMBER(A352)),"Enter a date",IF(OR(NOT(ISNUMBER(D352)),NOT(ISNUMBER(G352)),AND(E352&lt;&gt;"",NOT(ISNUMBER(E352))),AND(F352&lt;&gt;"",NOT(ISNUMBER(F352))),AND(H352&lt;&gt;"",NOT(ISNUMBER(H352)))),"Enter numbers: shift length and total parts are required",IF(OR(N(D352)&lt;=0,N(E352)&lt;0,N(F352)&lt;0,N(G352)&lt;0,N(H352)&lt;0),"Values must be 0 or more (shift length above 0)",IF(N(H352)&gt;N(G352),"Rejects &gt; total parts",IF(N(E352)&gt;=N(D352),"Planned stops &gt;= shift length",IF(N(F352)&gt;N(D352)-N(E352),"Downtime &gt; planned time",IF(AND(ISNUMBER(O352),O352&gt;1),"Check: performance above 100%","OK"))))))))))</f>
        <v/>
      </c>
      <c r="S352" s="13" t="str">
        <f aca="false">IF($T352,K352*M352/60,"")</f>
        <v/>
      </c>
      <c r="T352" s="15" t="b">
        <f aca="false">IF($C352="",FALSE(),AND(SUMPRODUCT(--(Setup!$A$5:$A$24=$C352))&gt;0,ISNUMBER(A352),ISNUMBER(K352),N(K352)&gt;0,ISNUMBER(D352),N(D352)&gt;0,ISNUMBER(G352),N(G352)&gt;=0,OR(E352="",ISNUMBER(E352)),OR(F352="",ISNUMBER(F352)),OR(H352="",ISNUMBER(H352)),N(E352)&gt;=0,N(F352)&gt;=0,N(H352)&gt;=0,N(H352)&lt;=N(G352),N(E352)&lt;N(D352),N(F352)&lt;=N(D352)-N(E352)))</f>
        <v>0</v>
      </c>
    </row>
    <row r="353" customFormat="false" ht="15" hidden="false" customHeight="false" outlineLevel="0" collapsed="false">
      <c r="A353" s="11"/>
      <c r="B353" s="8"/>
      <c r="C353" s="8"/>
      <c r="D353" s="8"/>
      <c r="E353" s="8"/>
      <c r="F353" s="8"/>
      <c r="G353" s="8"/>
      <c r="H353" s="8"/>
      <c r="I353" s="12" t="str">
        <f aca="false">IF($T353,D353-N(E353),"")</f>
        <v/>
      </c>
      <c r="J353" s="12" t="str">
        <f aca="false">IF($T353,I353-N(F353),"")</f>
        <v/>
      </c>
      <c r="K353" s="13" t="str">
        <f aca="false">IF($C353="","",IF(SUMPRODUCT(--(Setup!$A$5:$A$24=$C353))&gt;0,INDEX(Setup!$B$5:$B$24,21-SUMPRODUCT(MAX((Setup!$A$5:$A$24=$C353)*(25-ROW(Setup!$A$5:$A$24))))),""))</f>
        <v/>
      </c>
      <c r="L353" s="13" t="str">
        <f aca="false">IF($T353,K353*G353/60,"")</f>
        <v/>
      </c>
      <c r="M353" s="12" t="str">
        <f aca="false">IF($T353,G353-N(H353),"")</f>
        <v/>
      </c>
      <c r="N353" s="14" t="str">
        <f aca="false">IF($T353,J353/I353,"")</f>
        <v/>
      </c>
      <c r="O353" s="14" t="str">
        <f aca="false">IF(AND($T353,N(J353)&gt;0),L353/J353,"")</f>
        <v/>
      </c>
      <c r="P353" s="14" t="str">
        <f aca="false">IF(AND($T353,N(G353)&gt;0),M353/G353,"")</f>
        <v/>
      </c>
      <c r="Q353" s="14" t="str">
        <f aca="false">IF($T353,S353/I353,"")</f>
        <v/>
      </c>
      <c r="R353" s="10" t="str">
        <f aca="false">IF($C353="","",IF(NOT(SUMPRODUCT(--(Setup!$A$5:$A$24=$C353))&gt;0),"Machine not in Setup",IF(OR(NOT(ISNUMBER(K353)),N(K353)&lt;=0),"Set an ideal cycle time in Setup",IF(NOT(ISNUMBER(A353)),"Enter a date",IF(OR(NOT(ISNUMBER(D353)),NOT(ISNUMBER(G353)),AND(E353&lt;&gt;"",NOT(ISNUMBER(E353))),AND(F353&lt;&gt;"",NOT(ISNUMBER(F353))),AND(H353&lt;&gt;"",NOT(ISNUMBER(H353)))),"Enter numbers: shift length and total parts are required",IF(OR(N(D353)&lt;=0,N(E353)&lt;0,N(F353)&lt;0,N(G353)&lt;0,N(H353)&lt;0),"Values must be 0 or more (shift length above 0)",IF(N(H353)&gt;N(G353),"Rejects &gt; total parts",IF(N(E353)&gt;=N(D353),"Planned stops &gt;= shift length",IF(N(F353)&gt;N(D353)-N(E353),"Downtime &gt; planned time",IF(AND(ISNUMBER(O353),O353&gt;1),"Check: performance above 100%","OK"))))))))))</f>
        <v/>
      </c>
      <c r="S353" s="13" t="str">
        <f aca="false">IF($T353,K353*M353/60,"")</f>
        <v/>
      </c>
      <c r="T353" s="15" t="b">
        <f aca="false">IF($C353="",FALSE(),AND(SUMPRODUCT(--(Setup!$A$5:$A$24=$C353))&gt;0,ISNUMBER(A353),ISNUMBER(K353),N(K353)&gt;0,ISNUMBER(D353),N(D353)&gt;0,ISNUMBER(G353),N(G353)&gt;=0,OR(E353="",ISNUMBER(E353)),OR(F353="",ISNUMBER(F353)),OR(H353="",ISNUMBER(H353)),N(E353)&gt;=0,N(F353)&gt;=0,N(H353)&gt;=0,N(H353)&lt;=N(G353),N(E353)&lt;N(D353),N(F353)&lt;=N(D353)-N(E353)))</f>
        <v>0</v>
      </c>
    </row>
    <row r="354" customFormat="false" ht="15" hidden="false" customHeight="false" outlineLevel="0" collapsed="false">
      <c r="A354" s="11"/>
      <c r="B354" s="8"/>
      <c r="C354" s="8"/>
      <c r="D354" s="8"/>
      <c r="E354" s="8"/>
      <c r="F354" s="8"/>
      <c r="G354" s="8"/>
      <c r="H354" s="8"/>
      <c r="I354" s="12" t="str">
        <f aca="false">IF($T354,D354-N(E354),"")</f>
        <v/>
      </c>
      <c r="J354" s="12" t="str">
        <f aca="false">IF($T354,I354-N(F354),"")</f>
        <v/>
      </c>
      <c r="K354" s="13" t="str">
        <f aca="false">IF($C354="","",IF(SUMPRODUCT(--(Setup!$A$5:$A$24=$C354))&gt;0,INDEX(Setup!$B$5:$B$24,21-SUMPRODUCT(MAX((Setup!$A$5:$A$24=$C354)*(25-ROW(Setup!$A$5:$A$24))))),""))</f>
        <v/>
      </c>
      <c r="L354" s="13" t="str">
        <f aca="false">IF($T354,K354*G354/60,"")</f>
        <v/>
      </c>
      <c r="M354" s="12" t="str">
        <f aca="false">IF($T354,G354-N(H354),"")</f>
        <v/>
      </c>
      <c r="N354" s="14" t="str">
        <f aca="false">IF($T354,J354/I354,"")</f>
        <v/>
      </c>
      <c r="O354" s="14" t="str">
        <f aca="false">IF(AND($T354,N(J354)&gt;0),L354/J354,"")</f>
        <v/>
      </c>
      <c r="P354" s="14" t="str">
        <f aca="false">IF(AND($T354,N(G354)&gt;0),M354/G354,"")</f>
        <v/>
      </c>
      <c r="Q354" s="14" t="str">
        <f aca="false">IF($T354,S354/I354,"")</f>
        <v/>
      </c>
      <c r="R354" s="10" t="str">
        <f aca="false">IF($C354="","",IF(NOT(SUMPRODUCT(--(Setup!$A$5:$A$24=$C354))&gt;0),"Machine not in Setup",IF(OR(NOT(ISNUMBER(K354)),N(K354)&lt;=0),"Set an ideal cycle time in Setup",IF(NOT(ISNUMBER(A354)),"Enter a date",IF(OR(NOT(ISNUMBER(D354)),NOT(ISNUMBER(G354)),AND(E354&lt;&gt;"",NOT(ISNUMBER(E354))),AND(F354&lt;&gt;"",NOT(ISNUMBER(F354))),AND(H354&lt;&gt;"",NOT(ISNUMBER(H354)))),"Enter numbers: shift length and total parts are required",IF(OR(N(D354)&lt;=0,N(E354)&lt;0,N(F354)&lt;0,N(G354)&lt;0,N(H354)&lt;0),"Values must be 0 or more (shift length above 0)",IF(N(H354)&gt;N(G354),"Rejects &gt; total parts",IF(N(E354)&gt;=N(D354),"Planned stops &gt;= shift length",IF(N(F354)&gt;N(D354)-N(E354),"Downtime &gt; planned time",IF(AND(ISNUMBER(O354),O354&gt;1),"Check: performance above 100%","OK"))))))))))</f>
        <v/>
      </c>
      <c r="S354" s="13" t="str">
        <f aca="false">IF($T354,K354*M354/60,"")</f>
        <v/>
      </c>
      <c r="T354" s="15" t="b">
        <f aca="false">IF($C354="",FALSE(),AND(SUMPRODUCT(--(Setup!$A$5:$A$24=$C354))&gt;0,ISNUMBER(A354),ISNUMBER(K354),N(K354)&gt;0,ISNUMBER(D354),N(D354)&gt;0,ISNUMBER(G354),N(G354)&gt;=0,OR(E354="",ISNUMBER(E354)),OR(F354="",ISNUMBER(F354)),OR(H354="",ISNUMBER(H354)),N(E354)&gt;=0,N(F354)&gt;=0,N(H354)&gt;=0,N(H354)&lt;=N(G354),N(E354)&lt;N(D354),N(F354)&lt;=N(D354)-N(E354)))</f>
        <v>0</v>
      </c>
    </row>
    <row r="355" customFormat="false" ht="15" hidden="false" customHeight="false" outlineLevel="0" collapsed="false">
      <c r="A355" s="11"/>
      <c r="B355" s="8"/>
      <c r="C355" s="8"/>
      <c r="D355" s="8"/>
      <c r="E355" s="8"/>
      <c r="F355" s="8"/>
      <c r="G355" s="8"/>
      <c r="H355" s="8"/>
      <c r="I355" s="12" t="str">
        <f aca="false">IF($T355,D355-N(E355),"")</f>
        <v/>
      </c>
      <c r="J355" s="12" t="str">
        <f aca="false">IF($T355,I355-N(F355),"")</f>
        <v/>
      </c>
      <c r="K355" s="13" t="str">
        <f aca="false">IF($C355="","",IF(SUMPRODUCT(--(Setup!$A$5:$A$24=$C355))&gt;0,INDEX(Setup!$B$5:$B$24,21-SUMPRODUCT(MAX((Setup!$A$5:$A$24=$C355)*(25-ROW(Setup!$A$5:$A$24))))),""))</f>
        <v/>
      </c>
      <c r="L355" s="13" t="str">
        <f aca="false">IF($T355,K355*G355/60,"")</f>
        <v/>
      </c>
      <c r="M355" s="12" t="str">
        <f aca="false">IF($T355,G355-N(H355),"")</f>
        <v/>
      </c>
      <c r="N355" s="14" t="str">
        <f aca="false">IF($T355,J355/I355,"")</f>
        <v/>
      </c>
      <c r="O355" s="14" t="str">
        <f aca="false">IF(AND($T355,N(J355)&gt;0),L355/J355,"")</f>
        <v/>
      </c>
      <c r="P355" s="14" t="str">
        <f aca="false">IF(AND($T355,N(G355)&gt;0),M355/G355,"")</f>
        <v/>
      </c>
      <c r="Q355" s="14" t="str">
        <f aca="false">IF($T355,S355/I355,"")</f>
        <v/>
      </c>
      <c r="R355" s="10" t="str">
        <f aca="false">IF($C355="","",IF(NOT(SUMPRODUCT(--(Setup!$A$5:$A$24=$C355))&gt;0),"Machine not in Setup",IF(OR(NOT(ISNUMBER(K355)),N(K355)&lt;=0),"Set an ideal cycle time in Setup",IF(NOT(ISNUMBER(A355)),"Enter a date",IF(OR(NOT(ISNUMBER(D355)),NOT(ISNUMBER(G355)),AND(E355&lt;&gt;"",NOT(ISNUMBER(E355))),AND(F355&lt;&gt;"",NOT(ISNUMBER(F355))),AND(H355&lt;&gt;"",NOT(ISNUMBER(H355)))),"Enter numbers: shift length and total parts are required",IF(OR(N(D355)&lt;=0,N(E355)&lt;0,N(F355)&lt;0,N(G355)&lt;0,N(H355)&lt;0),"Values must be 0 or more (shift length above 0)",IF(N(H355)&gt;N(G355),"Rejects &gt; total parts",IF(N(E355)&gt;=N(D355),"Planned stops &gt;= shift length",IF(N(F355)&gt;N(D355)-N(E355),"Downtime &gt; planned time",IF(AND(ISNUMBER(O355),O355&gt;1),"Check: performance above 100%","OK"))))))))))</f>
        <v/>
      </c>
      <c r="S355" s="13" t="str">
        <f aca="false">IF($T355,K355*M355/60,"")</f>
        <v/>
      </c>
      <c r="T355" s="15" t="b">
        <f aca="false">IF($C355="",FALSE(),AND(SUMPRODUCT(--(Setup!$A$5:$A$24=$C355))&gt;0,ISNUMBER(A355),ISNUMBER(K355),N(K355)&gt;0,ISNUMBER(D355),N(D355)&gt;0,ISNUMBER(G355),N(G355)&gt;=0,OR(E355="",ISNUMBER(E355)),OR(F355="",ISNUMBER(F355)),OR(H355="",ISNUMBER(H355)),N(E355)&gt;=0,N(F355)&gt;=0,N(H355)&gt;=0,N(H355)&lt;=N(G355),N(E355)&lt;N(D355),N(F355)&lt;=N(D355)-N(E355)))</f>
        <v>0</v>
      </c>
    </row>
    <row r="356" customFormat="false" ht="15" hidden="false" customHeight="false" outlineLevel="0" collapsed="false">
      <c r="A356" s="11"/>
      <c r="B356" s="8"/>
      <c r="C356" s="8"/>
      <c r="D356" s="8"/>
      <c r="E356" s="8"/>
      <c r="F356" s="8"/>
      <c r="G356" s="8"/>
      <c r="H356" s="8"/>
      <c r="I356" s="12" t="str">
        <f aca="false">IF($T356,D356-N(E356),"")</f>
        <v/>
      </c>
      <c r="J356" s="12" t="str">
        <f aca="false">IF($T356,I356-N(F356),"")</f>
        <v/>
      </c>
      <c r="K356" s="13" t="str">
        <f aca="false">IF($C356="","",IF(SUMPRODUCT(--(Setup!$A$5:$A$24=$C356))&gt;0,INDEX(Setup!$B$5:$B$24,21-SUMPRODUCT(MAX((Setup!$A$5:$A$24=$C356)*(25-ROW(Setup!$A$5:$A$24))))),""))</f>
        <v/>
      </c>
      <c r="L356" s="13" t="str">
        <f aca="false">IF($T356,K356*G356/60,"")</f>
        <v/>
      </c>
      <c r="M356" s="12" t="str">
        <f aca="false">IF($T356,G356-N(H356),"")</f>
        <v/>
      </c>
      <c r="N356" s="14" t="str">
        <f aca="false">IF($T356,J356/I356,"")</f>
        <v/>
      </c>
      <c r="O356" s="14" t="str">
        <f aca="false">IF(AND($T356,N(J356)&gt;0),L356/J356,"")</f>
        <v/>
      </c>
      <c r="P356" s="14" t="str">
        <f aca="false">IF(AND($T356,N(G356)&gt;0),M356/G356,"")</f>
        <v/>
      </c>
      <c r="Q356" s="14" t="str">
        <f aca="false">IF($T356,S356/I356,"")</f>
        <v/>
      </c>
      <c r="R356" s="10" t="str">
        <f aca="false">IF($C356="","",IF(NOT(SUMPRODUCT(--(Setup!$A$5:$A$24=$C356))&gt;0),"Machine not in Setup",IF(OR(NOT(ISNUMBER(K356)),N(K356)&lt;=0),"Set an ideal cycle time in Setup",IF(NOT(ISNUMBER(A356)),"Enter a date",IF(OR(NOT(ISNUMBER(D356)),NOT(ISNUMBER(G356)),AND(E356&lt;&gt;"",NOT(ISNUMBER(E356))),AND(F356&lt;&gt;"",NOT(ISNUMBER(F356))),AND(H356&lt;&gt;"",NOT(ISNUMBER(H356)))),"Enter numbers: shift length and total parts are required",IF(OR(N(D356)&lt;=0,N(E356)&lt;0,N(F356)&lt;0,N(G356)&lt;0,N(H356)&lt;0),"Values must be 0 or more (shift length above 0)",IF(N(H356)&gt;N(G356),"Rejects &gt; total parts",IF(N(E356)&gt;=N(D356),"Planned stops &gt;= shift length",IF(N(F356)&gt;N(D356)-N(E356),"Downtime &gt; planned time",IF(AND(ISNUMBER(O356),O356&gt;1),"Check: performance above 100%","OK"))))))))))</f>
        <v/>
      </c>
      <c r="S356" s="13" t="str">
        <f aca="false">IF($T356,K356*M356/60,"")</f>
        <v/>
      </c>
      <c r="T356" s="15" t="b">
        <f aca="false">IF($C356="",FALSE(),AND(SUMPRODUCT(--(Setup!$A$5:$A$24=$C356))&gt;0,ISNUMBER(A356),ISNUMBER(K356),N(K356)&gt;0,ISNUMBER(D356),N(D356)&gt;0,ISNUMBER(G356),N(G356)&gt;=0,OR(E356="",ISNUMBER(E356)),OR(F356="",ISNUMBER(F356)),OR(H356="",ISNUMBER(H356)),N(E356)&gt;=0,N(F356)&gt;=0,N(H356)&gt;=0,N(H356)&lt;=N(G356),N(E356)&lt;N(D356),N(F356)&lt;=N(D356)-N(E356)))</f>
        <v>0</v>
      </c>
    </row>
    <row r="357" customFormat="false" ht="15" hidden="false" customHeight="false" outlineLevel="0" collapsed="false">
      <c r="A357" s="11"/>
      <c r="B357" s="8"/>
      <c r="C357" s="8"/>
      <c r="D357" s="8"/>
      <c r="E357" s="8"/>
      <c r="F357" s="8"/>
      <c r="G357" s="8"/>
      <c r="H357" s="8"/>
      <c r="I357" s="12" t="str">
        <f aca="false">IF($T357,D357-N(E357),"")</f>
        <v/>
      </c>
      <c r="J357" s="12" t="str">
        <f aca="false">IF($T357,I357-N(F357),"")</f>
        <v/>
      </c>
      <c r="K357" s="13" t="str">
        <f aca="false">IF($C357="","",IF(SUMPRODUCT(--(Setup!$A$5:$A$24=$C357))&gt;0,INDEX(Setup!$B$5:$B$24,21-SUMPRODUCT(MAX((Setup!$A$5:$A$24=$C357)*(25-ROW(Setup!$A$5:$A$24))))),""))</f>
        <v/>
      </c>
      <c r="L357" s="13" t="str">
        <f aca="false">IF($T357,K357*G357/60,"")</f>
        <v/>
      </c>
      <c r="M357" s="12" t="str">
        <f aca="false">IF($T357,G357-N(H357),"")</f>
        <v/>
      </c>
      <c r="N357" s="14" t="str">
        <f aca="false">IF($T357,J357/I357,"")</f>
        <v/>
      </c>
      <c r="O357" s="14" t="str">
        <f aca="false">IF(AND($T357,N(J357)&gt;0),L357/J357,"")</f>
        <v/>
      </c>
      <c r="P357" s="14" t="str">
        <f aca="false">IF(AND($T357,N(G357)&gt;0),M357/G357,"")</f>
        <v/>
      </c>
      <c r="Q357" s="14" t="str">
        <f aca="false">IF($T357,S357/I357,"")</f>
        <v/>
      </c>
      <c r="R357" s="10" t="str">
        <f aca="false">IF($C357="","",IF(NOT(SUMPRODUCT(--(Setup!$A$5:$A$24=$C357))&gt;0),"Machine not in Setup",IF(OR(NOT(ISNUMBER(K357)),N(K357)&lt;=0),"Set an ideal cycle time in Setup",IF(NOT(ISNUMBER(A357)),"Enter a date",IF(OR(NOT(ISNUMBER(D357)),NOT(ISNUMBER(G357)),AND(E357&lt;&gt;"",NOT(ISNUMBER(E357))),AND(F357&lt;&gt;"",NOT(ISNUMBER(F357))),AND(H357&lt;&gt;"",NOT(ISNUMBER(H357)))),"Enter numbers: shift length and total parts are required",IF(OR(N(D357)&lt;=0,N(E357)&lt;0,N(F357)&lt;0,N(G357)&lt;0,N(H357)&lt;0),"Values must be 0 or more (shift length above 0)",IF(N(H357)&gt;N(G357),"Rejects &gt; total parts",IF(N(E357)&gt;=N(D357),"Planned stops &gt;= shift length",IF(N(F357)&gt;N(D357)-N(E357),"Downtime &gt; planned time",IF(AND(ISNUMBER(O357),O357&gt;1),"Check: performance above 100%","OK"))))))))))</f>
        <v/>
      </c>
      <c r="S357" s="13" t="str">
        <f aca="false">IF($T357,K357*M357/60,"")</f>
        <v/>
      </c>
      <c r="T357" s="15" t="b">
        <f aca="false">IF($C357="",FALSE(),AND(SUMPRODUCT(--(Setup!$A$5:$A$24=$C357))&gt;0,ISNUMBER(A357),ISNUMBER(K357),N(K357)&gt;0,ISNUMBER(D357),N(D357)&gt;0,ISNUMBER(G357),N(G357)&gt;=0,OR(E357="",ISNUMBER(E357)),OR(F357="",ISNUMBER(F357)),OR(H357="",ISNUMBER(H357)),N(E357)&gt;=0,N(F357)&gt;=0,N(H357)&gt;=0,N(H357)&lt;=N(G357),N(E357)&lt;N(D357),N(F357)&lt;=N(D357)-N(E357)))</f>
        <v>0</v>
      </c>
    </row>
    <row r="358" customFormat="false" ht="15" hidden="false" customHeight="false" outlineLevel="0" collapsed="false">
      <c r="A358" s="11"/>
      <c r="B358" s="8"/>
      <c r="C358" s="8"/>
      <c r="D358" s="8"/>
      <c r="E358" s="8"/>
      <c r="F358" s="8"/>
      <c r="G358" s="8"/>
      <c r="H358" s="8"/>
      <c r="I358" s="12" t="str">
        <f aca="false">IF($T358,D358-N(E358),"")</f>
        <v/>
      </c>
      <c r="J358" s="12" t="str">
        <f aca="false">IF($T358,I358-N(F358),"")</f>
        <v/>
      </c>
      <c r="K358" s="13" t="str">
        <f aca="false">IF($C358="","",IF(SUMPRODUCT(--(Setup!$A$5:$A$24=$C358))&gt;0,INDEX(Setup!$B$5:$B$24,21-SUMPRODUCT(MAX((Setup!$A$5:$A$24=$C358)*(25-ROW(Setup!$A$5:$A$24))))),""))</f>
        <v/>
      </c>
      <c r="L358" s="13" t="str">
        <f aca="false">IF($T358,K358*G358/60,"")</f>
        <v/>
      </c>
      <c r="M358" s="12" t="str">
        <f aca="false">IF($T358,G358-N(H358),"")</f>
        <v/>
      </c>
      <c r="N358" s="14" t="str">
        <f aca="false">IF($T358,J358/I358,"")</f>
        <v/>
      </c>
      <c r="O358" s="14" t="str">
        <f aca="false">IF(AND($T358,N(J358)&gt;0),L358/J358,"")</f>
        <v/>
      </c>
      <c r="P358" s="14" t="str">
        <f aca="false">IF(AND($T358,N(G358)&gt;0),M358/G358,"")</f>
        <v/>
      </c>
      <c r="Q358" s="14" t="str">
        <f aca="false">IF($T358,S358/I358,"")</f>
        <v/>
      </c>
      <c r="R358" s="10" t="str">
        <f aca="false">IF($C358="","",IF(NOT(SUMPRODUCT(--(Setup!$A$5:$A$24=$C358))&gt;0),"Machine not in Setup",IF(OR(NOT(ISNUMBER(K358)),N(K358)&lt;=0),"Set an ideal cycle time in Setup",IF(NOT(ISNUMBER(A358)),"Enter a date",IF(OR(NOT(ISNUMBER(D358)),NOT(ISNUMBER(G358)),AND(E358&lt;&gt;"",NOT(ISNUMBER(E358))),AND(F358&lt;&gt;"",NOT(ISNUMBER(F358))),AND(H358&lt;&gt;"",NOT(ISNUMBER(H358)))),"Enter numbers: shift length and total parts are required",IF(OR(N(D358)&lt;=0,N(E358)&lt;0,N(F358)&lt;0,N(G358)&lt;0,N(H358)&lt;0),"Values must be 0 or more (shift length above 0)",IF(N(H358)&gt;N(G358),"Rejects &gt; total parts",IF(N(E358)&gt;=N(D358),"Planned stops &gt;= shift length",IF(N(F358)&gt;N(D358)-N(E358),"Downtime &gt; planned time",IF(AND(ISNUMBER(O358),O358&gt;1),"Check: performance above 100%","OK"))))))))))</f>
        <v/>
      </c>
      <c r="S358" s="13" t="str">
        <f aca="false">IF($T358,K358*M358/60,"")</f>
        <v/>
      </c>
      <c r="T358" s="15" t="b">
        <f aca="false">IF($C358="",FALSE(),AND(SUMPRODUCT(--(Setup!$A$5:$A$24=$C358))&gt;0,ISNUMBER(A358),ISNUMBER(K358),N(K358)&gt;0,ISNUMBER(D358),N(D358)&gt;0,ISNUMBER(G358),N(G358)&gt;=0,OR(E358="",ISNUMBER(E358)),OR(F358="",ISNUMBER(F358)),OR(H358="",ISNUMBER(H358)),N(E358)&gt;=0,N(F358)&gt;=0,N(H358)&gt;=0,N(H358)&lt;=N(G358),N(E358)&lt;N(D358),N(F358)&lt;=N(D358)-N(E358)))</f>
        <v>0</v>
      </c>
    </row>
    <row r="359" customFormat="false" ht="15" hidden="false" customHeight="false" outlineLevel="0" collapsed="false">
      <c r="A359" s="11"/>
      <c r="B359" s="8"/>
      <c r="C359" s="8"/>
      <c r="D359" s="8"/>
      <c r="E359" s="8"/>
      <c r="F359" s="8"/>
      <c r="G359" s="8"/>
      <c r="H359" s="8"/>
      <c r="I359" s="12" t="str">
        <f aca="false">IF($T359,D359-N(E359),"")</f>
        <v/>
      </c>
      <c r="J359" s="12" t="str">
        <f aca="false">IF($T359,I359-N(F359),"")</f>
        <v/>
      </c>
      <c r="K359" s="13" t="str">
        <f aca="false">IF($C359="","",IF(SUMPRODUCT(--(Setup!$A$5:$A$24=$C359))&gt;0,INDEX(Setup!$B$5:$B$24,21-SUMPRODUCT(MAX((Setup!$A$5:$A$24=$C359)*(25-ROW(Setup!$A$5:$A$24))))),""))</f>
        <v/>
      </c>
      <c r="L359" s="13" t="str">
        <f aca="false">IF($T359,K359*G359/60,"")</f>
        <v/>
      </c>
      <c r="M359" s="12" t="str">
        <f aca="false">IF($T359,G359-N(H359),"")</f>
        <v/>
      </c>
      <c r="N359" s="14" t="str">
        <f aca="false">IF($T359,J359/I359,"")</f>
        <v/>
      </c>
      <c r="O359" s="14" t="str">
        <f aca="false">IF(AND($T359,N(J359)&gt;0),L359/J359,"")</f>
        <v/>
      </c>
      <c r="P359" s="14" t="str">
        <f aca="false">IF(AND($T359,N(G359)&gt;0),M359/G359,"")</f>
        <v/>
      </c>
      <c r="Q359" s="14" t="str">
        <f aca="false">IF($T359,S359/I359,"")</f>
        <v/>
      </c>
      <c r="R359" s="10" t="str">
        <f aca="false">IF($C359="","",IF(NOT(SUMPRODUCT(--(Setup!$A$5:$A$24=$C359))&gt;0),"Machine not in Setup",IF(OR(NOT(ISNUMBER(K359)),N(K359)&lt;=0),"Set an ideal cycle time in Setup",IF(NOT(ISNUMBER(A359)),"Enter a date",IF(OR(NOT(ISNUMBER(D359)),NOT(ISNUMBER(G359)),AND(E359&lt;&gt;"",NOT(ISNUMBER(E359))),AND(F359&lt;&gt;"",NOT(ISNUMBER(F359))),AND(H359&lt;&gt;"",NOT(ISNUMBER(H359)))),"Enter numbers: shift length and total parts are required",IF(OR(N(D359)&lt;=0,N(E359)&lt;0,N(F359)&lt;0,N(G359)&lt;0,N(H359)&lt;0),"Values must be 0 or more (shift length above 0)",IF(N(H359)&gt;N(G359),"Rejects &gt; total parts",IF(N(E359)&gt;=N(D359),"Planned stops &gt;= shift length",IF(N(F359)&gt;N(D359)-N(E359),"Downtime &gt; planned time",IF(AND(ISNUMBER(O359),O359&gt;1),"Check: performance above 100%","OK"))))))))))</f>
        <v/>
      </c>
      <c r="S359" s="13" t="str">
        <f aca="false">IF($T359,K359*M359/60,"")</f>
        <v/>
      </c>
      <c r="T359" s="15" t="b">
        <f aca="false">IF($C359="",FALSE(),AND(SUMPRODUCT(--(Setup!$A$5:$A$24=$C359))&gt;0,ISNUMBER(A359),ISNUMBER(K359),N(K359)&gt;0,ISNUMBER(D359),N(D359)&gt;0,ISNUMBER(G359),N(G359)&gt;=0,OR(E359="",ISNUMBER(E359)),OR(F359="",ISNUMBER(F359)),OR(H359="",ISNUMBER(H359)),N(E359)&gt;=0,N(F359)&gt;=0,N(H359)&gt;=0,N(H359)&lt;=N(G359),N(E359)&lt;N(D359),N(F359)&lt;=N(D359)-N(E359)))</f>
        <v>0</v>
      </c>
    </row>
    <row r="360" customFormat="false" ht="15" hidden="false" customHeight="false" outlineLevel="0" collapsed="false">
      <c r="A360" s="11"/>
      <c r="B360" s="8"/>
      <c r="C360" s="8"/>
      <c r="D360" s="8"/>
      <c r="E360" s="8"/>
      <c r="F360" s="8"/>
      <c r="G360" s="8"/>
      <c r="H360" s="8"/>
      <c r="I360" s="12" t="str">
        <f aca="false">IF($T360,D360-N(E360),"")</f>
        <v/>
      </c>
      <c r="J360" s="12" t="str">
        <f aca="false">IF($T360,I360-N(F360),"")</f>
        <v/>
      </c>
      <c r="K360" s="13" t="str">
        <f aca="false">IF($C360="","",IF(SUMPRODUCT(--(Setup!$A$5:$A$24=$C360))&gt;0,INDEX(Setup!$B$5:$B$24,21-SUMPRODUCT(MAX((Setup!$A$5:$A$24=$C360)*(25-ROW(Setup!$A$5:$A$24))))),""))</f>
        <v/>
      </c>
      <c r="L360" s="13" t="str">
        <f aca="false">IF($T360,K360*G360/60,"")</f>
        <v/>
      </c>
      <c r="M360" s="12" t="str">
        <f aca="false">IF($T360,G360-N(H360),"")</f>
        <v/>
      </c>
      <c r="N360" s="14" t="str">
        <f aca="false">IF($T360,J360/I360,"")</f>
        <v/>
      </c>
      <c r="O360" s="14" t="str">
        <f aca="false">IF(AND($T360,N(J360)&gt;0),L360/J360,"")</f>
        <v/>
      </c>
      <c r="P360" s="14" t="str">
        <f aca="false">IF(AND($T360,N(G360)&gt;0),M360/G360,"")</f>
        <v/>
      </c>
      <c r="Q360" s="14" t="str">
        <f aca="false">IF($T360,S360/I360,"")</f>
        <v/>
      </c>
      <c r="R360" s="10" t="str">
        <f aca="false">IF($C360="","",IF(NOT(SUMPRODUCT(--(Setup!$A$5:$A$24=$C360))&gt;0),"Machine not in Setup",IF(OR(NOT(ISNUMBER(K360)),N(K360)&lt;=0),"Set an ideal cycle time in Setup",IF(NOT(ISNUMBER(A360)),"Enter a date",IF(OR(NOT(ISNUMBER(D360)),NOT(ISNUMBER(G360)),AND(E360&lt;&gt;"",NOT(ISNUMBER(E360))),AND(F360&lt;&gt;"",NOT(ISNUMBER(F360))),AND(H360&lt;&gt;"",NOT(ISNUMBER(H360)))),"Enter numbers: shift length and total parts are required",IF(OR(N(D360)&lt;=0,N(E360)&lt;0,N(F360)&lt;0,N(G360)&lt;0,N(H360)&lt;0),"Values must be 0 or more (shift length above 0)",IF(N(H360)&gt;N(G360),"Rejects &gt; total parts",IF(N(E360)&gt;=N(D360),"Planned stops &gt;= shift length",IF(N(F360)&gt;N(D360)-N(E360),"Downtime &gt; planned time",IF(AND(ISNUMBER(O360),O360&gt;1),"Check: performance above 100%","OK"))))))))))</f>
        <v/>
      </c>
      <c r="S360" s="13" t="str">
        <f aca="false">IF($T360,K360*M360/60,"")</f>
        <v/>
      </c>
      <c r="T360" s="15" t="b">
        <f aca="false">IF($C360="",FALSE(),AND(SUMPRODUCT(--(Setup!$A$5:$A$24=$C360))&gt;0,ISNUMBER(A360),ISNUMBER(K360),N(K360)&gt;0,ISNUMBER(D360),N(D360)&gt;0,ISNUMBER(G360),N(G360)&gt;=0,OR(E360="",ISNUMBER(E360)),OR(F360="",ISNUMBER(F360)),OR(H360="",ISNUMBER(H360)),N(E360)&gt;=0,N(F360)&gt;=0,N(H360)&gt;=0,N(H360)&lt;=N(G360),N(E360)&lt;N(D360),N(F360)&lt;=N(D360)-N(E360)))</f>
        <v>0</v>
      </c>
    </row>
    <row r="361" customFormat="false" ht="15" hidden="false" customHeight="false" outlineLevel="0" collapsed="false">
      <c r="A361" s="11"/>
      <c r="B361" s="8"/>
      <c r="C361" s="8"/>
      <c r="D361" s="8"/>
      <c r="E361" s="8"/>
      <c r="F361" s="8"/>
      <c r="G361" s="8"/>
      <c r="H361" s="8"/>
      <c r="I361" s="12" t="str">
        <f aca="false">IF($T361,D361-N(E361),"")</f>
        <v/>
      </c>
      <c r="J361" s="12" t="str">
        <f aca="false">IF($T361,I361-N(F361),"")</f>
        <v/>
      </c>
      <c r="K361" s="13" t="str">
        <f aca="false">IF($C361="","",IF(SUMPRODUCT(--(Setup!$A$5:$A$24=$C361))&gt;0,INDEX(Setup!$B$5:$B$24,21-SUMPRODUCT(MAX((Setup!$A$5:$A$24=$C361)*(25-ROW(Setup!$A$5:$A$24))))),""))</f>
        <v/>
      </c>
      <c r="L361" s="13" t="str">
        <f aca="false">IF($T361,K361*G361/60,"")</f>
        <v/>
      </c>
      <c r="M361" s="12" t="str">
        <f aca="false">IF($T361,G361-N(H361),"")</f>
        <v/>
      </c>
      <c r="N361" s="14" t="str">
        <f aca="false">IF($T361,J361/I361,"")</f>
        <v/>
      </c>
      <c r="O361" s="14" t="str">
        <f aca="false">IF(AND($T361,N(J361)&gt;0),L361/J361,"")</f>
        <v/>
      </c>
      <c r="P361" s="14" t="str">
        <f aca="false">IF(AND($T361,N(G361)&gt;0),M361/G361,"")</f>
        <v/>
      </c>
      <c r="Q361" s="14" t="str">
        <f aca="false">IF($T361,S361/I361,"")</f>
        <v/>
      </c>
      <c r="R361" s="10" t="str">
        <f aca="false">IF($C361="","",IF(NOT(SUMPRODUCT(--(Setup!$A$5:$A$24=$C361))&gt;0),"Machine not in Setup",IF(OR(NOT(ISNUMBER(K361)),N(K361)&lt;=0),"Set an ideal cycle time in Setup",IF(NOT(ISNUMBER(A361)),"Enter a date",IF(OR(NOT(ISNUMBER(D361)),NOT(ISNUMBER(G361)),AND(E361&lt;&gt;"",NOT(ISNUMBER(E361))),AND(F361&lt;&gt;"",NOT(ISNUMBER(F361))),AND(H361&lt;&gt;"",NOT(ISNUMBER(H361)))),"Enter numbers: shift length and total parts are required",IF(OR(N(D361)&lt;=0,N(E361)&lt;0,N(F361)&lt;0,N(G361)&lt;0,N(H361)&lt;0),"Values must be 0 or more (shift length above 0)",IF(N(H361)&gt;N(G361),"Rejects &gt; total parts",IF(N(E361)&gt;=N(D361),"Planned stops &gt;= shift length",IF(N(F361)&gt;N(D361)-N(E361),"Downtime &gt; planned time",IF(AND(ISNUMBER(O361),O361&gt;1),"Check: performance above 100%","OK"))))))))))</f>
        <v/>
      </c>
      <c r="S361" s="13" t="str">
        <f aca="false">IF($T361,K361*M361/60,"")</f>
        <v/>
      </c>
      <c r="T361" s="15" t="b">
        <f aca="false">IF($C361="",FALSE(),AND(SUMPRODUCT(--(Setup!$A$5:$A$24=$C361))&gt;0,ISNUMBER(A361),ISNUMBER(K361),N(K361)&gt;0,ISNUMBER(D361),N(D361)&gt;0,ISNUMBER(G361),N(G361)&gt;=0,OR(E361="",ISNUMBER(E361)),OR(F361="",ISNUMBER(F361)),OR(H361="",ISNUMBER(H361)),N(E361)&gt;=0,N(F361)&gt;=0,N(H361)&gt;=0,N(H361)&lt;=N(G361),N(E361)&lt;N(D361),N(F361)&lt;=N(D361)-N(E361)))</f>
        <v>0</v>
      </c>
    </row>
    <row r="362" customFormat="false" ht="15" hidden="false" customHeight="false" outlineLevel="0" collapsed="false">
      <c r="A362" s="11"/>
      <c r="B362" s="8"/>
      <c r="C362" s="8"/>
      <c r="D362" s="8"/>
      <c r="E362" s="8"/>
      <c r="F362" s="8"/>
      <c r="G362" s="8"/>
      <c r="H362" s="8"/>
      <c r="I362" s="12" t="str">
        <f aca="false">IF($T362,D362-N(E362),"")</f>
        <v/>
      </c>
      <c r="J362" s="12" t="str">
        <f aca="false">IF($T362,I362-N(F362),"")</f>
        <v/>
      </c>
      <c r="K362" s="13" t="str">
        <f aca="false">IF($C362="","",IF(SUMPRODUCT(--(Setup!$A$5:$A$24=$C362))&gt;0,INDEX(Setup!$B$5:$B$24,21-SUMPRODUCT(MAX((Setup!$A$5:$A$24=$C362)*(25-ROW(Setup!$A$5:$A$24))))),""))</f>
        <v/>
      </c>
      <c r="L362" s="13" t="str">
        <f aca="false">IF($T362,K362*G362/60,"")</f>
        <v/>
      </c>
      <c r="M362" s="12" t="str">
        <f aca="false">IF($T362,G362-N(H362),"")</f>
        <v/>
      </c>
      <c r="N362" s="14" t="str">
        <f aca="false">IF($T362,J362/I362,"")</f>
        <v/>
      </c>
      <c r="O362" s="14" t="str">
        <f aca="false">IF(AND($T362,N(J362)&gt;0),L362/J362,"")</f>
        <v/>
      </c>
      <c r="P362" s="14" t="str">
        <f aca="false">IF(AND($T362,N(G362)&gt;0),M362/G362,"")</f>
        <v/>
      </c>
      <c r="Q362" s="14" t="str">
        <f aca="false">IF($T362,S362/I362,"")</f>
        <v/>
      </c>
      <c r="R362" s="10" t="str">
        <f aca="false">IF($C362="","",IF(NOT(SUMPRODUCT(--(Setup!$A$5:$A$24=$C362))&gt;0),"Machine not in Setup",IF(OR(NOT(ISNUMBER(K362)),N(K362)&lt;=0),"Set an ideal cycle time in Setup",IF(NOT(ISNUMBER(A362)),"Enter a date",IF(OR(NOT(ISNUMBER(D362)),NOT(ISNUMBER(G362)),AND(E362&lt;&gt;"",NOT(ISNUMBER(E362))),AND(F362&lt;&gt;"",NOT(ISNUMBER(F362))),AND(H362&lt;&gt;"",NOT(ISNUMBER(H362)))),"Enter numbers: shift length and total parts are required",IF(OR(N(D362)&lt;=0,N(E362)&lt;0,N(F362)&lt;0,N(G362)&lt;0,N(H362)&lt;0),"Values must be 0 or more (shift length above 0)",IF(N(H362)&gt;N(G362),"Rejects &gt; total parts",IF(N(E362)&gt;=N(D362),"Planned stops &gt;= shift length",IF(N(F362)&gt;N(D362)-N(E362),"Downtime &gt; planned time",IF(AND(ISNUMBER(O362),O362&gt;1),"Check: performance above 100%","OK"))))))))))</f>
        <v/>
      </c>
      <c r="S362" s="13" t="str">
        <f aca="false">IF($T362,K362*M362/60,"")</f>
        <v/>
      </c>
      <c r="T362" s="15" t="b">
        <f aca="false">IF($C362="",FALSE(),AND(SUMPRODUCT(--(Setup!$A$5:$A$24=$C362))&gt;0,ISNUMBER(A362),ISNUMBER(K362),N(K362)&gt;0,ISNUMBER(D362),N(D362)&gt;0,ISNUMBER(G362),N(G362)&gt;=0,OR(E362="",ISNUMBER(E362)),OR(F362="",ISNUMBER(F362)),OR(H362="",ISNUMBER(H362)),N(E362)&gt;=0,N(F362)&gt;=0,N(H362)&gt;=0,N(H362)&lt;=N(G362),N(E362)&lt;N(D362),N(F362)&lt;=N(D362)-N(E362)))</f>
        <v>0</v>
      </c>
    </row>
    <row r="363" customFormat="false" ht="15" hidden="false" customHeight="false" outlineLevel="0" collapsed="false">
      <c r="A363" s="11"/>
      <c r="B363" s="8"/>
      <c r="C363" s="8"/>
      <c r="D363" s="8"/>
      <c r="E363" s="8"/>
      <c r="F363" s="8"/>
      <c r="G363" s="8"/>
      <c r="H363" s="8"/>
      <c r="I363" s="12" t="str">
        <f aca="false">IF($T363,D363-N(E363),"")</f>
        <v/>
      </c>
      <c r="J363" s="12" t="str">
        <f aca="false">IF($T363,I363-N(F363),"")</f>
        <v/>
      </c>
      <c r="K363" s="13" t="str">
        <f aca="false">IF($C363="","",IF(SUMPRODUCT(--(Setup!$A$5:$A$24=$C363))&gt;0,INDEX(Setup!$B$5:$B$24,21-SUMPRODUCT(MAX((Setup!$A$5:$A$24=$C363)*(25-ROW(Setup!$A$5:$A$24))))),""))</f>
        <v/>
      </c>
      <c r="L363" s="13" t="str">
        <f aca="false">IF($T363,K363*G363/60,"")</f>
        <v/>
      </c>
      <c r="M363" s="12" t="str">
        <f aca="false">IF($T363,G363-N(H363),"")</f>
        <v/>
      </c>
      <c r="N363" s="14" t="str">
        <f aca="false">IF($T363,J363/I363,"")</f>
        <v/>
      </c>
      <c r="O363" s="14" t="str">
        <f aca="false">IF(AND($T363,N(J363)&gt;0),L363/J363,"")</f>
        <v/>
      </c>
      <c r="P363" s="14" t="str">
        <f aca="false">IF(AND($T363,N(G363)&gt;0),M363/G363,"")</f>
        <v/>
      </c>
      <c r="Q363" s="14" t="str">
        <f aca="false">IF($T363,S363/I363,"")</f>
        <v/>
      </c>
      <c r="R363" s="10" t="str">
        <f aca="false">IF($C363="","",IF(NOT(SUMPRODUCT(--(Setup!$A$5:$A$24=$C363))&gt;0),"Machine not in Setup",IF(OR(NOT(ISNUMBER(K363)),N(K363)&lt;=0),"Set an ideal cycle time in Setup",IF(NOT(ISNUMBER(A363)),"Enter a date",IF(OR(NOT(ISNUMBER(D363)),NOT(ISNUMBER(G363)),AND(E363&lt;&gt;"",NOT(ISNUMBER(E363))),AND(F363&lt;&gt;"",NOT(ISNUMBER(F363))),AND(H363&lt;&gt;"",NOT(ISNUMBER(H363)))),"Enter numbers: shift length and total parts are required",IF(OR(N(D363)&lt;=0,N(E363)&lt;0,N(F363)&lt;0,N(G363)&lt;0,N(H363)&lt;0),"Values must be 0 or more (shift length above 0)",IF(N(H363)&gt;N(G363),"Rejects &gt; total parts",IF(N(E363)&gt;=N(D363),"Planned stops &gt;= shift length",IF(N(F363)&gt;N(D363)-N(E363),"Downtime &gt; planned time",IF(AND(ISNUMBER(O363),O363&gt;1),"Check: performance above 100%","OK"))))))))))</f>
        <v/>
      </c>
      <c r="S363" s="13" t="str">
        <f aca="false">IF($T363,K363*M363/60,"")</f>
        <v/>
      </c>
      <c r="T363" s="15" t="b">
        <f aca="false">IF($C363="",FALSE(),AND(SUMPRODUCT(--(Setup!$A$5:$A$24=$C363))&gt;0,ISNUMBER(A363),ISNUMBER(K363),N(K363)&gt;0,ISNUMBER(D363),N(D363)&gt;0,ISNUMBER(G363),N(G363)&gt;=0,OR(E363="",ISNUMBER(E363)),OR(F363="",ISNUMBER(F363)),OR(H363="",ISNUMBER(H363)),N(E363)&gt;=0,N(F363)&gt;=0,N(H363)&gt;=0,N(H363)&lt;=N(G363),N(E363)&lt;N(D363),N(F363)&lt;=N(D363)-N(E363)))</f>
        <v>0</v>
      </c>
    </row>
    <row r="364" customFormat="false" ht="15" hidden="false" customHeight="false" outlineLevel="0" collapsed="false">
      <c r="A364" s="11"/>
      <c r="B364" s="8"/>
      <c r="C364" s="8"/>
      <c r="D364" s="8"/>
      <c r="E364" s="8"/>
      <c r="F364" s="8"/>
      <c r="G364" s="8"/>
      <c r="H364" s="8"/>
      <c r="I364" s="12" t="str">
        <f aca="false">IF($T364,D364-N(E364),"")</f>
        <v/>
      </c>
      <c r="J364" s="12" t="str">
        <f aca="false">IF($T364,I364-N(F364),"")</f>
        <v/>
      </c>
      <c r="K364" s="13" t="str">
        <f aca="false">IF($C364="","",IF(SUMPRODUCT(--(Setup!$A$5:$A$24=$C364))&gt;0,INDEX(Setup!$B$5:$B$24,21-SUMPRODUCT(MAX((Setup!$A$5:$A$24=$C364)*(25-ROW(Setup!$A$5:$A$24))))),""))</f>
        <v/>
      </c>
      <c r="L364" s="13" t="str">
        <f aca="false">IF($T364,K364*G364/60,"")</f>
        <v/>
      </c>
      <c r="M364" s="12" t="str">
        <f aca="false">IF($T364,G364-N(H364),"")</f>
        <v/>
      </c>
      <c r="N364" s="14" t="str">
        <f aca="false">IF($T364,J364/I364,"")</f>
        <v/>
      </c>
      <c r="O364" s="14" t="str">
        <f aca="false">IF(AND($T364,N(J364)&gt;0),L364/J364,"")</f>
        <v/>
      </c>
      <c r="P364" s="14" t="str">
        <f aca="false">IF(AND($T364,N(G364)&gt;0),M364/G364,"")</f>
        <v/>
      </c>
      <c r="Q364" s="14" t="str">
        <f aca="false">IF($T364,S364/I364,"")</f>
        <v/>
      </c>
      <c r="R364" s="10" t="str">
        <f aca="false">IF($C364="","",IF(NOT(SUMPRODUCT(--(Setup!$A$5:$A$24=$C364))&gt;0),"Machine not in Setup",IF(OR(NOT(ISNUMBER(K364)),N(K364)&lt;=0),"Set an ideal cycle time in Setup",IF(NOT(ISNUMBER(A364)),"Enter a date",IF(OR(NOT(ISNUMBER(D364)),NOT(ISNUMBER(G364)),AND(E364&lt;&gt;"",NOT(ISNUMBER(E364))),AND(F364&lt;&gt;"",NOT(ISNUMBER(F364))),AND(H364&lt;&gt;"",NOT(ISNUMBER(H364)))),"Enter numbers: shift length and total parts are required",IF(OR(N(D364)&lt;=0,N(E364)&lt;0,N(F364)&lt;0,N(G364)&lt;0,N(H364)&lt;0),"Values must be 0 or more (shift length above 0)",IF(N(H364)&gt;N(G364),"Rejects &gt; total parts",IF(N(E364)&gt;=N(D364),"Planned stops &gt;= shift length",IF(N(F364)&gt;N(D364)-N(E364),"Downtime &gt; planned time",IF(AND(ISNUMBER(O364),O364&gt;1),"Check: performance above 100%","OK"))))))))))</f>
        <v/>
      </c>
      <c r="S364" s="13" t="str">
        <f aca="false">IF($T364,K364*M364/60,"")</f>
        <v/>
      </c>
      <c r="T364" s="15" t="b">
        <f aca="false">IF($C364="",FALSE(),AND(SUMPRODUCT(--(Setup!$A$5:$A$24=$C364))&gt;0,ISNUMBER(A364),ISNUMBER(K364),N(K364)&gt;0,ISNUMBER(D364),N(D364)&gt;0,ISNUMBER(G364),N(G364)&gt;=0,OR(E364="",ISNUMBER(E364)),OR(F364="",ISNUMBER(F364)),OR(H364="",ISNUMBER(H364)),N(E364)&gt;=0,N(F364)&gt;=0,N(H364)&gt;=0,N(H364)&lt;=N(G364),N(E364)&lt;N(D364),N(F364)&lt;=N(D364)-N(E364)))</f>
        <v>0</v>
      </c>
    </row>
    <row r="365" customFormat="false" ht="15" hidden="false" customHeight="false" outlineLevel="0" collapsed="false">
      <c r="A365" s="11"/>
      <c r="B365" s="8"/>
      <c r="C365" s="8"/>
      <c r="D365" s="8"/>
      <c r="E365" s="8"/>
      <c r="F365" s="8"/>
      <c r="G365" s="8"/>
      <c r="H365" s="8"/>
      <c r="I365" s="12" t="str">
        <f aca="false">IF($T365,D365-N(E365),"")</f>
        <v/>
      </c>
      <c r="J365" s="12" t="str">
        <f aca="false">IF($T365,I365-N(F365),"")</f>
        <v/>
      </c>
      <c r="K365" s="13" t="str">
        <f aca="false">IF($C365="","",IF(SUMPRODUCT(--(Setup!$A$5:$A$24=$C365))&gt;0,INDEX(Setup!$B$5:$B$24,21-SUMPRODUCT(MAX((Setup!$A$5:$A$24=$C365)*(25-ROW(Setup!$A$5:$A$24))))),""))</f>
        <v/>
      </c>
      <c r="L365" s="13" t="str">
        <f aca="false">IF($T365,K365*G365/60,"")</f>
        <v/>
      </c>
      <c r="M365" s="12" t="str">
        <f aca="false">IF($T365,G365-N(H365),"")</f>
        <v/>
      </c>
      <c r="N365" s="14" t="str">
        <f aca="false">IF($T365,J365/I365,"")</f>
        <v/>
      </c>
      <c r="O365" s="14" t="str">
        <f aca="false">IF(AND($T365,N(J365)&gt;0),L365/J365,"")</f>
        <v/>
      </c>
      <c r="P365" s="14" t="str">
        <f aca="false">IF(AND($T365,N(G365)&gt;0),M365/G365,"")</f>
        <v/>
      </c>
      <c r="Q365" s="14" t="str">
        <f aca="false">IF($T365,S365/I365,"")</f>
        <v/>
      </c>
      <c r="R365" s="10" t="str">
        <f aca="false">IF($C365="","",IF(NOT(SUMPRODUCT(--(Setup!$A$5:$A$24=$C365))&gt;0),"Machine not in Setup",IF(OR(NOT(ISNUMBER(K365)),N(K365)&lt;=0),"Set an ideal cycle time in Setup",IF(NOT(ISNUMBER(A365)),"Enter a date",IF(OR(NOT(ISNUMBER(D365)),NOT(ISNUMBER(G365)),AND(E365&lt;&gt;"",NOT(ISNUMBER(E365))),AND(F365&lt;&gt;"",NOT(ISNUMBER(F365))),AND(H365&lt;&gt;"",NOT(ISNUMBER(H365)))),"Enter numbers: shift length and total parts are required",IF(OR(N(D365)&lt;=0,N(E365)&lt;0,N(F365)&lt;0,N(G365)&lt;0,N(H365)&lt;0),"Values must be 0 or more (shift length above 0)",IF(N(H365)&gt;N(G365),"Rejects &gt; total parts",IF(N(E365)&gt;=N(D365),"Planned stops &gt;= shift length",IF(N(F365)&gt;N(D365)-N(E365),"Downtime &gt; planned time",IF(AND(ISNUMBER(O365),O365&gt;1),"Check: performance above 100%","OK"))))))))))</f>
        <v/>
      </c>
      <c r="S365" s="13" t="str">
        <f aca="false">IF($T365,K365*M365/60,"")</f>
        <v/>
      </c>
      <c r="T365" s="15" t="b">
        <f aca="false">IF($C365="",FALSE(),AND(SUMPRODUCT(--(Setup!$A$5:$A$24=$C365))&gt;0,ISNUMBER(A365),ISNUMBER(K365),N(K365)&gt;0,ISNUMBER(D365),N(D365)&gt;0,ISNUMBER(G365),N(G365)&gt;=0,OR(E365="",ISNUMBER(E365)),OR(F365="",ISNUMBER(F365)),OR(H365="",ISNUMBER(H365)),N(E365)&gt;=0,N(F365)&gt;=0,N(H365)&gt;=0,N(H365)&lt;=N(G365),N(E365)&lt;N(D365),N(F365)&lt;=N(D365)-N(E365)))</f>
        <v>0</v>
      </c>
    </row>
    <row r="366" customFormat="false" ht="15" hidden="false" customHeight="false" outlineLevel="0" collapsed="false">
      <c r="A366" s="11"/>
      <c r="B366" s="8"/>
      <c r="C366" s="8"/>
      <c r="D366" s="8"/>
      <c r="E366" s="8"/>
      <c r="F366" s="8"/>
      <c r="G366" s="8"/>
      <c r="H366" s="8"/>
      <c r="I366" s="12" t="str">
        <f aca="false">IF($T366,D366-N(E366),"")</f>
        <v/>
      </c>
      <c r="J366" s="12" t="str">
        <f aca="false">IF($T366,I366-N(F366),"")</f>
        <v/>
      </c>
      <c r="K366" s="13" t="str">
        <f aca="false">IF($C366="","",IF(SUMPRODUCT(--(Setup!$A$5:$A$24=$C366))&gt;0,INDEX(Setup!$B$5:$B$24,21-SUMPRODUCT(MAX((Setup!$A$5:$A$24=$C366)*(25-ROW(Setup!$A$5:$A$24))))),""))</f>
        <v/>
      </c>
      <c r="L366" s="13" t="str">
        <f aca="false">IF($T366,K366*G366/60,"")</f>
        <v/>
      </c>
      <c r="M366" s="12" t="str">
        <f aca="false">IF($T366,G366-N(H366),"")</f>
        <v/>
      </c>
      <c r="N366" s="14" t="str">
        <f aca="false">IF($T366,J366/I366,"")</f>
        <v/>
      </c>
      <c r="O366" s="14" t="str">
        <f aca="false">IF(AND($T366,N(J366)&gt;0),L366/J366,"")</f>
        <v/>
      </c>
      <c r="P366" s="14" t="str">
        <f aca="false">IF(AND($T366,N(G366)&gt;0),M366/G366,"")</f>
        <v/>
      </c>
      <c r="Q366" s="14" t="str">
        <f aca="false">IF($T366,S366/I366,"")</f>
        <v/>
      </c>
      <c r="R366" s="10" t="str">
        <f aca="false">IF($C366="","",IF(NOT(SUMPRODUCT(--(Setup!$A$5:$A$24=$C366))&gt;0),"Machine not in Setup",IF(OR(NOT(ISNUMBER(K366)),N(K366)&lt;=0),"Set an ideal cycle time in Setup",IF(NOT(ISNUMBER(A366)),"Enter a date",IF(OR(NOT(ISNUMBER(D366)),NOT(ISNUMBER(G366)),AND(E366&lt;&gt;"",NOT(ISNUMBER(E366))),AND(F366&lt;&gt;"",NOT(ISNUMBER(F366))),AND(H366&lt;&gt;"",NOT(ISNUMBER(H366)))),"Enter numbers: shift length and total parts are required",IF(OR(N(D366)&lt;=0,N(E366)&lt;0,N(F366)&lt;0,N(G366)&lt;0,N(H366)&lt;0),"Values must be 0 or more (shift length above 0)",IF(N(H366)&gt;N(G366),"Rejects &gt; total parts",IF(N(E366)&gt;=N(D366),"Planned stops &gt;= shift length",IF(N(F366)&gt;N(D366)-N(E366),"Downtime &gt; planned time",IF(AND(ISNUMBER(O366),O366&gt;1),"Check: performance above 100%","OK"))))))))))</f>
        <v/>
      </c>
      <c r="S366" s="13" t="str">
        <f aca="false">IF($T366,K366*M366/60,"")</f>
        <v/>
      </c>
      <c r="T366" s="15" t="b">
        <f aca="false">IF($C366="",FALSE(),AND(SUMPRODUCT(--(Setup!$A$5:$A$24=$C366))&gt;0,ISNUMBER(A366),ISNUMBER(K366),N(K366)&gt;0,ISNUMBER(D366),N(D366)&gt;0,ISNUMBER(G366),N(G366)&gt;=0,OR(E366="",ISNUMBER(E366)),OR(F366="",ISNUMBER(F366)),OR(H366="",ISNUMBER(H366)),N(E366)&gt;=0,N(F366)&gt;=0,N(H366)&gt;=0,N(H366)&lt;=N(G366),N(E366)&lt;N(D366),N(F366)&lt;=N(D366)-N(E366)))</f>
        <v>0</v>
      </c>
    </row>
    <row r="367" customFormat="false" ht="15" hidden="false" customHeight="false" outlineLevel="0" collapsed="false">
      <c r="A367" s="11"/>
      <c r="B367" s="8"/>
      <c r="C367" s="8"/>
      <c r="D367" s="8"/>
      <c r="E367" s="8"/>
      <c r="F367" s="8"/>
      <c r="G367" s="8"/>
      <c r="H367" s="8"/>
      <c r="I367" s="12" t="str">
        <f aca="false">IF($T367,D367-N(E367),"")</f>
        <v/>
      </c>
      <c r="J367" s="12" t="str">
        <f aca="false">IF($T367,I367-N(F367),"")</f>
        <v/>
      </c>
      <c r="K367" s="13" t="str">
        <f aca="false">IF($C367="","",IF(SUMPRODUCT(--(Setup!$A$5:$A$24=$C367))&gt;0,INDEX(Setup!$B$5:$B$24,21-SUMPRODUCT(MAX((Setup!$A$5:$A$24=$C367)*(25-ROW(Setup!$A$5:$A$24))))),""))</f>
        <v/>
      </c>
      <c r="L367" s="13" t="str">
        <f aca="false">IF($T367,K367*G367/60,"")</f>
        <v/>
      </c>
      <c r="M367" s="12" t="str">
        <f aca="false">IF($T367,G367-N(H367),"")</f>
        <v/>
      </c>
      <c r="N367" s="14" t="str">
        <f aca="false">IF($T367,J367/I367,"")</f>
        <v/>
      </c>
      <c r="O367" s="14" t="str">
        <f aca="false">IF(AND($T367,N(J367)&gt;0),L367/J367,"")</f>
        <v/>
      </c>
      <c r="P367" s="14" t="str">
        <f aca="false">IF(AND($T367,N(G367)&gt;0),M367/G367,"")</f>
        <v/>
      </c>
      <c r="Q367" s="14" t="str">
        <f aca="false">IF($T367,S367/I367,"")</f>
        <v/>
      </c>
      <c r="R367" s="10" t="str">
        <f aca="false">IF($C367="","",IF(NOT(SUMPRODUCT(--(Setup!$A$5:$A$24=$C367))&gt;0),"Machine not in Setup",IF(OR(NOT(ISNUMBER(K367)),N(K367)&lt;=0),"Set an ideal cycle time in Setup",IF(NOT(ISNUMBER(A367)),"Enter a date",IF(OR(NOT(ISNUMBER(D367)),NOT(ISNUMBER(G367)),AND(E367&lt;&gt;"",NOT(ISNUMBER(E367))),AND(F367&lt;&gt;"",NOT(ISNUMBER(F367))),AND(H367&lt;&gt;"",NOT(ISNUMBER(H367)))),"Enter numbers: shift length and total parts are required",IF(OR(N(D367)&lt;=0,N(E367)&lt;0,N(F367)&lt;0,N(G367)&lt;0,N(H367)&lt;0),"Values must be 0 or more (shift length above 0)",IF(N(H367)&gt;N(G367),"Rejects &gt; total parts",IF(N(E367)&gt;=N(D367),"Planned stops &gt;= shift length",IF(N(F367)&gt;N(D367)-N(E367),"Downtime &gt; planned time",IF(AND(ISNUMBER(O367),O367&gt;1),"Check: performance above 100%","OK"))))))))))</f>
        <v/>
      </c>
      <c r="S367" s="13" t="str">
        <f aca="false">IF($T367,K367*M367/60,"")</f>
        <v/>
      </c>
      <c r="T367" s="15" t="b">
        <f aca="false">IF($C367="",FALSE(),AND(SUMPRODUCT(--(Setup!$A$5:$A$24=$C367))&gt;0,ISNUMBER(A367),ISNUMBER(K367),N(K367)&gt;0,ISNUMBER(D367),N(D367)&gt;0,ISNUMBER(G367),N(G367)&gt;=0,OR(E367="",ISNUMBER(E367)),OR(F367="",ISNUMBER(F367)),OR(H367="",ISNUMBER(H367)),N(E367)&gt;=0,N(F367)&gt;=0,N(H367)&gt;=0,N(H367)&lt;=N(G367),N(E367)&lt;N(D367),N(F367)&lt;=N(D367)-N(E367)))</f>
        <v>0</v>
      </c>
    </row>
    <row r="368" customFormat="false" ht="15" hidden="false" customHeight="false" outlineLevel="0" collapsed="false">
      <c r="A368" s="11"/>
      <c r="B368" s="8"/>
      <c r="C368" s="8"/>
      <c r="D368" s="8"/>
      <c r="E368" s="8"/>
      <c r="F368" s="8"/>
      <c r="G368" s="8"/>
      <c r="H368" s="8"/>
      <c r="I368" s="12" t="str">
        <f aca="false">IF($T368,D368-N(E368),"")</f>
        <v/>
      </c>
      <c r="J368" s="12" t="str">
        <f aca="false">IF($T368,I368-N(F368),"")</f>
        <v/>
      </c>
      <c r="K368" s="13" t="str">
        <f aca="false">IF($C368="","",IF(SUMPRODUCT(--(Setup!$A$5:$A$24=$C368))&gt;0,INDEX(Setup!$B$5:$B$24,21-SUMPRODUCT(MAX((Setup!$A$5:$A$24=$C368)*(25-ROW(Setup!$A$5:$A$24))))),""))</f>
        <v/>
      </c>
      <c r="L368" s="13" t="str">
        <f aca="false">IF($T368,K368*G368/60,"")</f>
        <v/>
      </c>
      <c r="M368" s="12" t="str">
        <f aca="false">IF($T368,G368-N(H368),"")</f>
        <v/>
      </c>
      <c r="N368" s="14" t="str">
        <f aca="false">IF($T368,J368/I368,"")</f>
        <v/>
      </c>
      <c r="O368" s="14" t="str">
        <f aca="false">IF(AND($T368,N(J368)&gt;0),L368/J368,"")</f>
        <v/>
      </c>
      <c r="P368" s="14" t="str">
        <f aca="false">IF(AND($T368,N(G368)&gt;0),M368/G368,"")</f>
        <v/>
      </c>
      <c r="Q368" s="14" t="str">
        <f aca="false">IF($T368,S368/I368,"")</f>
        <v/>
      </c>
      <c r="R368" s="10" t="str">
        <f aca="false">IF($C368="","",IF(NOT(SUMPRODUCT(--(Setup!$A$5:$A$24=$C368))&gt;0),"Machine not in Setup",IF(OR(NOT(ISNUMBER(K368)),N(K368)&lt;=0),"Set an ideal cycle time in Setup",IF(NOT(ISNUMBER(A368)),"Enter a date",IF(OR(NOT(ISNUMBER(D368)),NOT(ISNUMBER(G368)),AND(E368&lt;&gt;"",NOT(ISNUMBER(E368))),AND(F368&lt;&gt;"",NOT(ISNUMBER(F368))),AND(H368&lt;&gt;"",NOT(ISNUMBER(H368)))),"Enter numbers: shift length and total parts are required",IF(OR(N(D368)&lt;=0,N(E368)&lt;0,N(F368)&lt;0,N(G368)&lt;0,N(H368)&lt;0),"Values must be 0 or more (shift length above 0)",IF(N(H368)&gt;N(G368),"Rejects &gt; total parts",IF(N(E368)&gt;=N(D368),"Planned stops &gt;= shift length",IF(N(F368)&gt;N(D368)-N(E368),"Downtime &gt; planned time",IF(AND(ISNUMBER(O368),O368&gt;1),"Check: performance above 100%","OK"))))))))))</f>
        <v/>
      </c>
      <c r="S368" s="13" t="str">
        <f aca="false">IF($T368,K368*M368/60,"")</f>
        <v/>
      </c>
      <c r="T368" s="15" t="b">
        <f aca="false">IF($C368="",FALSE(),AND(SUMPRODUCT(--(Setup!$A$5:$A$24=$C368))&gt;0,ISNUMBER(A368),ISNUMBER(K368),N(K368)&gt;0,ISNUMBER(D368),N(D368)&gt;0,ISNUMBER(G368),N(G368)&gt;=0,OR(E368="",ISNUMBER(E368)),OR(F368="",ISNUMBER(F368)),OR(H368="",ISNUMBER(H368)),N(E368)&gt;=0,N(F368)&gt;=0,N(H368)&gt;=0,N(H368)&lt;=N(G368),N(E368)&lt;N(D368),N(F368)&lt;=N(D368)-N(E368)))</f>
        <v>0</v>
      </c>
    </row>
    <row r="369" customFormat="false" ht="15" hidden="false" customHeight="false" outlineLevel="0" collapsed="false">
      <c r="A369" s="11"/>
      <c r="B369" s="8"/>
      <c r="C369" s="8"/>
      <c r="D369" s="8"/>
      <c r="E369" s="8"/>
      <c r="F369" s="8"/>
      <c r="G369" s="8"/>
      <c r="H369" s="8"/>
      <c r="I369" s="12" t="str">
        <f aca="false">IF($T369,D369-N(E369),"")</f>
        <v/>
      </c>
      <c r="J369" s="12" t="str">
        <f aca="false">IF($T369,I369-N(F369),"")</f>
        <v/>
      </c>
      <c r="K369" s="13" t="str">
        <f aca="false">IF($C369="","",IF(SUMPRODUCT(--(Setup!$A$5:$A$24=$C369))&gt;0,INDEX(Setup!$B$5:$B$24,21-SUMPRODUCT(MAX((Setup!$A$5:$A$24=$C369)*(25-ROW(Setup!$A$5:$A$24))))),""))</f>
        <v/>
      </c>
      <c r="L369" s="13" t="str">
        <f aca="false">IF($T369,K369*G369/60,"")</f>
        <v/>
      </c>
      <c r="M369" s="12" t="str">
        <f aca="false">IF($T369,G369-N(H369),"")</f>
        <v/>
      </c>
      <c r="N369" s="14" t="str">
        <f aca="false">IF($T369,J369/I369,"")</f>
        <v/>
      </c>
      <c r="O369" s="14" t="str">
        <f aca="false">IF(AND($T369,N(J369)&gt;0),L369/J369,"")</f>
        <v/>
      </c>
      <c r="P369" s="14" t="str">
        <f aca="false">IF(AND($T369,N(G369)&gt;0),M369/G369,"")</f>
        <v/>
      </c>
      <c r="Q369" s="14" t="str">
        <f aca="false">IF($T369,S369/I369,"")</f>
        <v/>
      </c>
      <c r="R369" s="10" t="str">
        <f aca="false">IF($C369="","",IF(NOT(SUMPRODUCT(--(Setup!$A$5:$A$24=$C369))&gt;0),"Machine not in Setup",IF(OR(NOT(ISNUMBER(K369)),N(K369)&lt;=0),"Set an ideal cycle time in Setup",IF(NOT(ISNUMBER(A369)),"Enter a date",IF(OR(NOT(ISNUMBER(D369)),NOT(ISNUMBER(G369)),AND(E369&lt;&gt;"",NOT(ISNUMBER(E369))),AND(F369&lt;&gt;"",NOT(ISNUMBER(F369))),AND(H369&lt;&gt;"",NOT(ISNUMBER(H369)))),"Enter numbers: shift length and total parts are required",IF(OR(N(D369)&lt;=0,N(E369)&lt;0,N(F369)&lt;0,N(G369)&lt;0,N(H369)&lt;0),"Values must be 0 or more (shift length above 0)",IF(N(H369)&gt;N(G369),"Rejects &gt; total parts",IF(N(E369)&gt;=N(D369),"Planned stops &gt;= shift length",IF(N(F369)&gt;N(D369)-N(E369),"Downtime &gt; planned time",IF(AND(ISNUMBER(O369),O369&gt;1),"Check: performance above 100%","OK"))))))))))</f>
        <v/>
      </c>
      <c r="S369" s="13" t="str">
        <f aca="false">IF($T369,K369*M369/60,"")</f>
        <v/>
      </c>
      <c r="T369" s="15" t="b">
        <f aca="false">IF($C369="",FALSE(),AND(SUMPRODUCT(--(Setup!$A$5:$A$24=$C369))&gt;0,ISNUMBER(A369),ISNUMBER(K369),N(K369)&gt;0,ISNUMBER(D369),N(D369)&gt;0,ISNUMBER(G369),N(G369)&gt;=0,OR(E369="",ISNUMBER(E369)),OR(F369="",ISNUMBER(F369)),OR(H369="",ISNUMBER(H369)),N(E369)&gt;=0,N(F369)&gt;=0,N(H369)&gt;=0,N(H369)&lt;=N(G369),N(E369)&lt;N(D369),N(F369)&lt;=N(D369)-N(E369)))</f>
        <v>0</v>
      </c>
    </row>
    <row r="370" customFormat="false" ht="15" hidden="false" customHeight="false" outlineLevel="0" collapsed="false">
      <c r="A370" s="11"/>
      <c r="B370" s="8"/>
      <c r="C370" s="8"/>
      <c r="D370" s="8"/>
      <c r="E370" s="8"/>
      <c r="F370" s="8"/>
      <c r="G370" s="8"/>
      <c r="H370" s="8"/>
      <c r="I370" s="12" t="str">
        <f aca="false">IF($T370,D370-N(E370),"")</f>
        <v/>
      </c>
      <c r="J370" s="12" t="str">
        <f aca="false">IF($T370,I370-N(F370),"")</f>
        <v/>
      </c>
      <c r="K370" s="13" t="str">
        <f aca="false">IF($C370="","",IF(SUMPRODUCT(--(Setup!$A$5:$A$24=$C370))&gt;0,INDEX(Setup!$B$5:$B$24,21-SUMPRODUCT(MAX((Setup!$A$5:$A$24=$C370)*(25-ROW(Setup!$A$5:$A$24))))),""))</f>
        <v/>
      </c>
      <c r="L370" s="13" t="str">
        <f aca="false">IF($T370,K370*G370/60,"")</f>
        <v/>
      </c>
      <c r="M370" s="12" t="str">
        <f aca="false">IF($T370,G370-N(H370),"")</f>
        <v/>
      </c>
      <c r="N370" s="14" t="str">
        <f aca="false">IF($T370,J370/I370,"")</f>
        <v/>
      </c>
      <c r="O370" s="14" t="str">
        <f aca="false">IF(AND($T370,N(J370)&gt;0),L370/J370,"")</f>
        <v/>
      </c>
      <c r="P370" s="14" t="str">
        <f aca="false">IF(AND($T370,N(G370)&gt;0),M370/G370,"")</f>
        <v/>
      </c>
      <c r="Q370" s="14" t="str">
        <f aca="false">IF($T370,S370/I370,"")</f>
        <v/>
      </c>
      <c r="R370" s="10" t="str">
        <f aca="false">IF($C370="","",IF(NOT(SUMPRODUCT(--(Setup!$A$5:$A$24=$C370))&gt;0),"Machine not in Setup",IF(OR(NOT(ISNUMBER(K370)),N(K370)&lt;=0),"Set an ideal cycle time in Setup",IF(NOT(ISNUMBER(A370)),"Enter a date",IF(OR(NOT(ISNUMBER(D370)),NOT(ISNUMBER(G370)),AND(E370&lt;&gt;"",NOT(ISNUMBER(E370))),AND(F370&lt;&gt;"",NOT(ISNUMBER(F370))),AND(H370&lt;&gt;"",NOT(ISNUMBER(H370)))),"Enter numbers: shift length and total parts are required",IF(OR(N(D370)&lt;=0,N(E370)&lt;0,N(F370)&lt;0,N(G370)&lt;0,N(H370)&lt;0),"Values must be 0 or more (shift length above 0)",IF(N(H370)&gt;N(G370),"Rejects &gt; total parts",IF(N(E370)&gt;=N(D370),"Planned stops &gt;= shift length",IF(N(F370)&gt;N(D370)-N(E370),"Downtime &gt; planned time",IF(AND(ISNUMBER(O370),O370&gt;1),"Check: performance above 100%","OK"))))))))))</f>
        <v/>
      </c>
      <c r="S370" s="13" t="str">
        <f aca="false">IF($T370,K370*M370/60,"")</f>
        <v/>
      </c>
      <c r="T370" s="15" t="b">
        <f aca="false">IF($C370="",FALSE(),AND(SUMPRODUCT(--(Setup!$A$5:$A$24=$C370))&gt;0,ISNUMBER(A370),ISNUMBER(K370),N(K370)&gt;0,ISNUMBER(D370),N(D370)&gt;0,ISNUMBER(G370),N(G370)&gt;=0,OR(E370="",ISNUMBER(E370)),OR(F370="",ISNUMBER(F370)),OR(H370="",ISNUMBER(H370)),N(E370)&gt;=0,N(F370)&gt;=0,N(H370)&gt;=0,N(H370)&lt;=N(G370),N(E370)&lt;N(D370),N(F370)&lt;=N(D370)-N(E370)))</f>
        <v>0</v>
      </c>
    </row>
    <row r="371" customFormat="false" ht="15" hidden="false" customHeight="false" outlineLevel="0" collapsed="false">
      <c r="A371" s="11"/>
      <c r="B371" s="8"/>
      <c r="C371" s="8"/>
      <c r="D371" s="8"/>
      <c r="E371" s="8"/>
      <c r="F371" s="8"/>
      <c r="G371" s="8"/>
      <c r="H371" s="8"/>
      <c r="I371" s="12" t="str">
        <f aca="false">IF($T371,D371-N(E371),"")</f>
        <v/>
      </c>
      <c r="J371" s="12" t="str">
        <f aca="false">IF($T371,I371-N(F371),"")</f>
        <v/>
      </c>
      <c r="K371" s="13" t="str">
        <f aca="false">IF($C371="","",IF(SUMPRODUCT(--(Setup!$A$5:$A$24=$C371))&gt;0,INDEX(Setup!$B$5:$B$24,21-SUMPRODUCT(MAX((Setup!$A$5:$A$24=$C371)*(25-ROW(Setup!$A$5:$A$24))))),""))</f>
        <v/>
      </c>
      <c r="L371" s="13" t="str">
        <f aca="false">IF($T371,K371*G371/60,"")</f>
        <v/>
      </c>
      <c r="M371" s="12" t="str">
        <f aca="false">IF($T371,G371-N(H371),"")</f>
        <v/>
      </c>
      <c r="N371" s="14" t="str">
        <f aca="false">IF($T371,J371/I371,"")</f>
        <v/>
      </c>
      <c r="O371" s="14" t="str">
        <f aca="false">IF(AND($T371,N(J371)&gt;0),L371/J371,"")</f>
        <v/>
      </c>
      <c r="P371" s="14" t="str">
        <f aca="false">IF(AND($T371,N(G371)&gt;0),M371/G371,"")</f>
        <v/>
      </c>
      <c r="Q371" s="14" t="str">
        <f aca="false">IF($T371,S371/I371,"")</f>
        <v/>
      </c>
      <c r="R371" s="10" t="str">
        <f aca="false">IF($C371="","",IF(NOT(SUMPRODUCT(--(Setup!$A$5:$A$24=$C371))&gt;0),"Machine not in Setup",IF(OR(NOT(ISNUMBER(K371)),N(K371)&lt;=0),"Set an ideal cycle time in Setup",IF(NOT(ISNUMBER(A371)),"Enter a date",IF(OR(NOT(ISNUMBER(D371)),NOT(ISNUMBER(G371)),AND(E371&lt;&gt;"",NOT(ISNUMBER(E371))),AND(F371&lt;&gt;"",NOT(ISNUMBER(F371))),AND(H371&lt;&gt;"",NOT(ISNUMBER(H371)))),"Enter numbers: shift length and total parts are required",IF(OR(N(D371)&lt;=0,N(E371)&lt;0,N(F371)&lt;0,N(G371)&lt;0,N(H371)&lt;0),"Values must be 0 or more (shift length above 0)",IF(N(H371)&gt;N(G371),"Rejects &gt; total parts",IF(N(E371)&gt;=N(D371),"Planned stops &gt;= shift length",IF(N(F371)&gt;N(D371)-N(E371),"Downtime &gt; planned time",IF(AND(ISNUMBER(O371),O371&gt;1),"Check: performance above 100%","OK"))))))))))</f>
        <v/>
      </c>
      <c r="S371" s="13" t="str">
        <f aca="false">IF($T371,K371*M371/60,"")</f>
        <v/>
      </c>
      <c r="T371" s="15" t="b">
        <f aca="false">IF($C371="",FALSE(),AND(SUMPRODUCT(--(Setup!$A$5:$A$24=$C371))&gt;0,ISNUMBER(A371),ISNUMBER(K371),N(K371)&gt;0,ISNUMBER(D371),N(D371)&gt;0,ISNUMBER(G371),N(G371)&gt;=0,OR(E371="",ISNUMBER(E371)),OR(F371="",ISNUMBER(F371)),OR(H371="",ISNUMBER(H371)),N(E371)&gt;=0,N(F371)&gt;=0,N(H371)&gt;=0,N(H371)&lt;=N(G371),N(E371)&lt;N(D371),N(F371)&lt;=N(D371)-N(E371)))</f>
        <v>0</v>
      </c>
    </row>
    <row r="372" customFormat="false" ht="15" hidden="false" customHeight="false" outlineLevel="0" collapsed="false">
      <c r="A372" s="11"/>
      <c r="B372" s="8"/>
      <c r="C372" s="8"/>
      <c r="D372" s="8"/>
      <c r="E372" s="8"/>
      <c r="F372" s="8"/>
      <c r="G372" s="8"/>
      <c r="H372" s="8"/>
      <c r="I372" s="12" t="str">
        <f aca="false">IF($T372,D372-N(E372),"")</f>
        <v/>
      </c>
      <c r="J372" s="12" t="str">
        <f aca="false">IF($T372,I372-N(F372),"")</f>
        <v/>
      </c>
      <c r="K372" s="13" t="str">
        <f aca="false">IF($C372="","",IF(SUMPRODUCT(--(Setup!$A$5:$A$24=$C372))&gt;0,INDEX(Setup!$B$5:$B$24,21-SUMPRODUCT(MAX((Setup!$A$5:$A$24=$C372)*(25-ROW(Setup!$A$5:$A$24))))),""))</f>
        <v/>
      </c>
      <c r="L372" s="13" t="str">
        <f aca="false">IF($T372,K372*G372/60,"")</f>
        <v/>
      </c>
      <c r="M372" s="12" t="str">
        <f aca="false">IF($T372,G372-N(H372),"")</f>
        <v/>
      </c>
      <c r="N372" s="14" t="str">
        <f aca="false">IF($T372,J372/I372,"")</f>
        <v/>
      </c>
      <c r="O372" s="14" t="str">
        <f aca="false">IF(AND($T372,N(J372)&gt;0),L372/J372,"")</f>
        <v/>
      </c>
      <c r="P372" s="14" t="str">
        <f aca="false">IF(AND($T372,N(G372)&gt;0),M372/G372,"")</f>
        <v/>
      </c>
      <c r="Q372" s="14" t="str">
        <f aca="false">IF($T372,S372/I372,"")</f>
        <v/>
      </c>
      <c r="R372" s="10" t="str">
        <f aca="false">IF($C372="","",IF(NOT(SUMPRODUCT(--(Setup!$A$5:$A$24=$C372))&gt;0),"Machine not in Setup",IF(OR(NOT(ISNUMBER(K372)),N(K372)&lt;=0),"Set an ideal cycle time in Setup",IF(NOT(ISNUMBER(A372)),"Enter a date",IF(OR(NOT(ISNUMBER(D372)),NOT(ISNUMBER(G372)),AND(E372&lt;&gt;"",NOT(ISNUMBER(E372))),AND(F372&lt;&gt;"",NOT(ISNUMBER(F372))),AND(H372&lt;&gt;"",NOT(ISNUMBER(H372)))),"Enter numbers: shift length and total parts are required",IF(OR(N(D372)&lt;=0,N(E372)&lt;0,N(F372)&lt;0,N(G372)&lt;0,N(H372)&lt;0),"Values must be 0 or more (shift length above 0)",IF(N(H372)&gt;N(G372),"Rejects &gt; total parts",IF(N(E372)&gt;=N(D372),"Planned stops &gt;= shift length",IF(N(F372)&gt;N(D372)-N(E372),"Downtime &gt; planned time",IF(AND(ISNUMBER(O372),O372&gt;1),"Check: performance above 100%","OK"))))))))))</f>
        <v/>
      </c>
      <c r="S372" s="13" t="str">
        <f aca="false">IF($T372,K372*M372/60,"")</f>
        <v/>
      </c>
      <c r="T372" s="15" t="b">
        <f aca="false">IF($C372="",FALSE(),AND(SUMPRODUCT(--(Setup!$A$5:$A$24=$C372))&gt;0,ISNUMBER(A372),ISNUMBER(K372),N(K372)&gt;0,ISNUMBER(D372),N(D372)&gt;0,ISNUMBER(G372),N(G372)&gt;=0,OR(E372="",ISNUMBER(E372)),OR(F372="",ISNUMBER(F372)),OR(H372="",ISNUMBER(H372)),N(E372)&gt;=0,N(F372)&gt;=0,N(H372)&gt;=0,N(H372)&lt;=N(G372),N(E372)&lt;N(D372),N(F372)&lt;=N(D372)-N(E372)))</f>
        <v>0</v>
      </c>
    </row>
    <row r="373" customFormat="false" ht="15" hidden="false" customHeight="false" outlineLevel="0" collapsed="false">
      <c r="A373" s="11"/>
      <c r="B373" s="8"/>
      <c r="C373" s="8"/>
      <c r="D373" s="8"/>
      <c r="E373" s="8"/>
      <c r="F373" s="8"/>
      <c r="G373" s="8"/>
      <c r="H373" s="8"/>
      <c r="I373" s="12" t="str">
        <f aca="false">IF($T373,D373-N(E373),"")</f>
        <v/>
      </c>
      <c r="J373" s="12" t="str">
        <f aca="false">IF($T373,I373-N(F373),"")</f>
        <v/>
      </c>
      <c r="K373" s="13" t="str">
        <f aca="false">IF($C373="","",IF(SUMPRODUCT(--(Setup!$A$5:$A$24=$C373))&gt;0,INDEX(Setup!$B$5:$B$24,21-SUMPRODUCT(MAX((Setup!$A$5:$A$24=$C373)*(25-ROW(Setup!$A$5:$A$24))))),""))</f>
        <v/>
      </c>
      <c r="L373" s="13" t="str">
        <f aca="false">IF($T373,K373*G373/60,"")</f>
        <v/>
      </c>
      <c r="M373" s="12" t="str">
        <f aca="false">IF($T373,G373-N(H373),"")</f>
        <v/>
      </c>
      <c r="N373" s="14" t="str">
        <f aca="false">IF($T373,J373/I373,"")</f>
        <v/>
      </c>
      <c r="O373" s="14" t="str">
        <f aca="false">IF(AND($T373,N(J373)&gt;0),L373/J373,"")</f>
        <v/>
      </c>
      <c r="P373" s="14" t="str">
        <f aca="false">IF(AND($T373,N(G373)&gt;0),M373/G373,"")</f>
        <v/>
      </c>
      <c r="Q373" s="14" t="str">
        <f aca="false">IF($T373,S373/I373,"")</f>
        <v/>
      </c>
      <c r="R373" s="10" t="str">
        <f aca="false">IF($C373="","",IF(NOT(SUMPRODUCT(--(Setup!$A$5:$A$24=$C373))&gt;0),"Machine not in Setup",IF(OR(NOT(ISNUMBER(K373)),N(K373)&lt;=0),"Set an ideal cycle time in Setup",IF(NOT(ISNUMBER(A373)),"Enter a date",IF(OR(NOT(ISNUMBER(D373)),NOT(ISNUMBER(G373)),AND(E373&lt;&gt;"",NOT(ISNUMBER(E373))),AND(F373&lt;&gt;"",NOT(ISNUMBER(F373))),AND(H373&lt;&gt;"",NOT(ISNUMBER(H373)))),"Enter numbers: shift length and total parts are required",IF(OR(N(D373)&lt;=0,N(E373)&lt;0,N(F373)&lt;0,N(G373)&lt;0,N(H373)&lt;0),"Values must be 0 or more (shift length above 0)",IF(N(H373)&gt;N(G373),"Rejects &gt; total parts",IF(N(E373)&gt;=N(D373),"Planned stops &gt;= shift length",IF(N(F373)&gt;N(D373)-N(E373),"Downtime &gt; planned time",IF(AND(ISNUMBER(O373),O373&gt;1),"Check: performance above 100%","OK"))))))))))</f>
        <v/>
      </c>
      <c r="S373" s="13" t="str">
        <f aca="false">IF($T373,K373*M373/60,"")</f>
        <v/>
      </c>
      <c r="T373" s="15" t="b">
        <f aca="false">IF($C373="",FALSE(),AND(SUMPRODUCT(--(Setup!$A$5:$A$24=$C373))&gt;0,ISNUMBER(A373),ISNUMBER(K373),N(K373)&gt;0,ISNUMBER(D373),N(D373)&gt;0,ISNUMBER(G373),N(G373)&gt;=0,OR(E373="",ISNUMBER(E373)),OR(F373="",ISNUMBER(F373)),OR(H373="",ISNUMBER(H373)),N(E373)&gt;=0,N(F373)&gt;=0,N(H373)&gt;=0,N(H373)&lt;=N(G373),N(E373)&lt;N(D373),N(F373)&lt;=N(D373)-N(E373)))</f>
        <v>0</v>
      </c>
    </row>
    <row r="374" customFormat="false" ht="15" hidden="false" customHeight="false" outlineLevel="0" collapsed="false">
      <c r="A374" s="11"/>
      <c r="B374" s="8"/>
      <c r="C374" s="8"/>
      <c r="D374" s="8"/>
      <c r="E374" s="8"/>
      <c r="F374" s="8"/>
      <c r="G374" s="8"/>
      <c r="H374" s="8"/>
      <c r="I374" s="12" t="str">
        <f aca="false">IF($T374,D374-N(E374),"")</f>
        <v/>
      </c>
      <c r="J374" s="12" t="str">
        <f aca="false">IF($T374,I374-N(F374),"")</f>
        <v/>
      </c>
      <c r="K374" s="13" t="str">
        <f aca="false">IF($C374="","",IF(SUMPRODUCT(--(Setup!$A$5:$A$24=$C374))&gt;0,INDEX(Setup!$B$5:$B$24,21-SUMPRODUCT(MAX((Setup!$A$5:$A$24=$C374)*(25-ROW(Setup!$A$5:$A$24))))),""))</f>
        <v/>
      </c>
      <c r="L374" s="13" t="str">
        <f aca="false">IF($T374,K374*G374/60,"")</f>
        <v/>
      </c>
      <c r="M374" s="12" t="str">
        <f aca="false">IF($T374,G374-N(H374),"")</f>
        <v/>
      </c>
      <c r="N374" s="14" t="str">
        <f aca="false">IF($T374,J374/I374,"")</f>
        <v/>
      </c>
      <c r="O374" s="14" t="str">
        <f aca="false">IF(AND($T374,N(J374)&gt;0),L374/J374,"")</f>
        <v/>
      </c>
      <c r="P374" s="14" t="str">
        <f aca="false">IF(AND($T374,N(G374)&gt;0),M374/G374,"")</f>
        <v/>
      </c>
      <c r="Q374" s="14" t="str">
        <f aca="false">IF($T374,S374/I374,"")</f>
        <v/>
      </c>
      <c r="R374" s="10" t="str">
        <f aca="false">IF($C374="","",IF(NOT(SUMPRODUCT(--(Setup!$A$5:$A$24=$C374))&gt;0),"Machine not in Setup",IF(OR(NOT(ISNUMBER(K374)),N(K374)&lt;=0),"Set an ideal cycle time in Setup",IF(NOT(ISNUMBER(A374)),"Enter a date",IF(OR(NOT(ISNUMBER(D374)),NOT(ISNUMBER(G374)),AND(E374&lt;&gt;"",NOT(ISNUMBER(E374))),AND(F374&lt;&gt;"",NOT(ISNUMBER(F374))),AND(H374&lt;&gt;"",NOT(ISNUMBER(H374)))),"Enter numbers: shift length and total parts are required",IF(OR(N(D374)&lt;=0,N(E374)&lt;0,N(F374)&lt;0,N(G374)&lt;0,N(H374)&lt;0),"Values must be 0 or more (shift length above 0)",IF(N(H374)&gt;N(G374),"Rejects &gt; total parts",IF(N(E374)&gt;=N(D374),"Planned stops &gt;= shift length",IF(N(F374)&gt;N(D374)-N(E374),"Downtime &gt; planned time",IF(AND(ISNUMBER(O374),O374&gt;1),"Check: performance above 100%","OK"))))))))))</f>
        <v/>
      </c>
      <c r="S374" s="13" t="str">
        <f aca="false">IF($T374,K374*M374/60,"")</f>
        <v/>
      </c>
      <c r="T374" s="15" t="b">
        <f aca="false">IF($C374="",FALSE(),AND(SUMPRODUCT(--(Setup!$A$5:$A$24=$C374))&gt;0,ISNUMBER(A374),ISNUMBER(K374),N(K374)&gt;0,ISNUMBER(D374),N(D374)&gt;0,ISNUMBER(G374),N(G374)&gt;=0,OR(E374="",ISNUMBER(E374)),OR(F374="",ISNUMBER(F374)),OR(H374="",ISNUMBER(H374)),N(E374)&gt;=0,N(F374)&gt;=0,N(H374)&gt;=0,N(H374)&lt;=N(G374),N(E374)&lt;N(D374),N(F374)&lt;=N(D374)-N(E374)))</f>
        <v>0</v>
      </c>
    </row>
    <row r="375" customFormat="false" ht="15" hidden="false" customHeight="false" outlineLevel="0" collapsed="false">
      <c r="A375" s="11"/>
      <c r="B375" s="8"/>
      <c r="C375" s="8"/>
      <c r="D375" s="8"/>
      <c r="E375" s="8"/>
      <c r="F375" s="8"/>
      <c r="G375" s="8"/>
      <c r="H375" s="8"/>
      <c r="I375" s="12" t="str">
        <f aca="false">IF($T375,D375-N(E375),"")</f>
        <v/>
      </c>
      <c r="J375" s="12" t="str">
        <f aca="false">IF($T375,I375-N(F375),"")</f>
        <v/>
      </c>
      <c r="K375" s="13" t="str">
        <f aca="false">IF($C375="","",IF(SUMPRODUCT(--(Setup!$A$5:$A$24=$C375))&gt;0,INDEX(Setup!$B$5:$B$24,21-SUMPRODUCT(MAX((Setup!$A$5:$A$24=$C375)*(25-ROW(Setup!$A$5:$A$24))))),""))</f>
        <v/>
      </c>
      <c r="L375" s="13" t="str">
        <f aca="false">IF($T375,K375*G375/60,"")</f>
        <v/>
      </c>
      <c r="M375" s="12" t="str">
        <f aca="false">IF($T375,G375-N(H375),"")</f>
        <v/>
      </c>
      <c r="N375" s="14" t="str">
        <f aca="false">IF($T375,J375/I375,"")</f>
        <v/>
      </c>
      <c r="O375" s="14" t="str">
        <f aca="false">IF(AND($T375,N(J375)&gt;0),L375/J375,"")</f>
        <v/>
      </c>
      <c r="P375" s="14" t="str">
        <f aca="false">IF(AND($T375,N(G375)&gt;0),M375/G375,"")</f>
        <v/>
      </c>
      <c r="Q375" s="14" t="str">
        <f aca="false">IF($T375,S375/I375,"")</f>
        <v/>
      </c>
      <c r="R375" s="10" t="str">
        <f aca="false">IF($C375="","",IF(NOT(SUMPRODUCT(--(Setup!$A$5:$A$24=$C375))&gt;0),"Machine not in Setup",IF(OR(NOT(ISNUMBER(K375)),N(K375)&lt;=0),"Set an ideal cycle time in Setup",IF(NOT(ISNUMBER(A375)),"Enter a date",IF(OR(NOT(ISNUMBER(D375)),NOT(ISNUMBER(G375)),AND(E375&lt;&gt;"",NOT(ISNUMBER(E375))),AND(F375&lt;&gt;"",NOT(ISNUMBER(F375))),AND(H375&lt;&gt;"",NOT(ISNUMBER(H375)))),"Enter numbers: shift length and total parts are required",IF(OR(N(D375)&lt;=0,N(E375)&lt;0,N(F375)&lt;0,N(G375)&lt;0,N(H375)&lt;0),"Values must be 0 or more (shift length above 0)",IF(N(H375)&gt;N(G375),"Rejects &gt; total parts",IF(N(E375)&gt;=N(D375),"Planned stops &gt;= shift length",IF(N(F375)&gt;N(D375)-N(E375),"Downtime &gt; planned time",IF(AND(ISNUMBER(O375),O375&gt;1),"Check: performance above 100%","OK"))))))))))</f>
        <v/>
      </c>
      <c r="S375" s="13" t="str">
        <f aca="false">IF($T375,K375*M375/60,"")</f>
        <v/>
      </c>
      <c r="T375" s="15" t="b">
        <f aca="false">IF($C375="",FALSE(),AND(SUMPRODUCT(--(Setup!$A$5:$A$24=$C375))&gt;0,ISNUMBER(A375),ISNUMBER(K375),N(K375)&gt;0,ISNUMBER(D375),N(D375)&gt;0,ISNUMBER(G375),N(G375)&gt;=0,OR(E375="",ISNUMBER(E375)),OR(F375="",ISNUMBER(F375)),OR(H375="",ISNUMBER(H375)),N(E375)&gt;=0,N(F375)&gt;=0,N(H375)&gt;=0,N(H375)&lt;=N(G375),N(E375)&lt;N(D375),N(F375)&lt;=N(D375)-N(E375)))</f>
        <v>0</v>
      </c>
    </row>
    <row r="376" customFormat="false" ht="15" hidden="false" customHeight="false" outlineLevel="0" collapsed="false">
      <c r="A376" s="11"/>
      <c r="B376" s="8"/>
      <c r="C376" s="8"/>
      <c r="D376" s="8"/>
      <c r="E376" s="8"/>
      <c r="F376" s="8"/>
      <c r="G376" s="8"/>
      <c r="H376" s="8"/>
      <c r="I376" s="12" t="str">
        <f aca="false">IF($T376,D376-N(E376),"")</f>
        <v/>
      </c>
      <c r="J376" s="12" t="str">
        <f aca="false">IF($T376,I376-N(F376),"")</f>
        <v/>
      </c>
      <c r="K376" s="13" t="str">
        <f aca="false">IF($C376="","",IF(SUMPRODUCT(--(Setup!$A$5:$A$24=$C376))&gt;0,INDEX(Setup!$B$5:$B$24,21-SUMPRODUCT(MAX((Setup!$A$5:$A$24=$C376)*(25-ROW(Setup!$A$5:$A$24))))),""))</f>
        <v/>
      </c>
      <c r="L376" s="13" t="str">
        <f aca="false">IF($T376,K376*G376/60,"")</f>
        <v/>
      </c>
      <c r="M376" s="12" t="str">
        <f aca="false">IF($T376,G376-N(H376),"")</f>
        <v/>
      </c>
      <c r="N376" s="14" t="str">
        <f aca="false">IF($T376,J376/I376,"")</f>
        <v/>
      </c>
      <c r="O376" s="14" t="str">
        <f aca="false">IF(AND($T376,N(J376)&gt;0),L376/J376,"")</f>
        <v/>
      </c>
      <c r="P376" s="14" t="str">
        <f aca="false">IF(AND($T376,N(G376)&gt;0),M376/G376,"")</f>
        <v/>
      </c>
      <c r="Q376" s="14" t="str">
        <f aca="false">IF($T376,S376/I376,"")</f>
        <v/>
      </c>
      <c r="R376" s="10" t="str">
        <f aca="false">IF($C376="","",IF(NOT(SUMPRODUCT(--(Setup!$A$5:$A$24=$C376))&gt;0),"Machine not in Setup",IF(OR(NOT(ISNUMBER(K376)),N(K376)&lt;=0),"Set an ideal cycle time in Setup",IF(NOT(ISNUMBER(A376)),"Enter a date",IF(OR(NOT(ISNUMBER(D376)),NOT(ISNUMBER(G376)),AND(E376&lt;&gt;"",NOT(ISNUMBER(E376))),AND(F376&lt;&gt;"",NOT(ISNUMBER(F376))),AND(H376&lt;&gt;"",NOT(ISNUMBER(H376)))),"Enter numbers: shift length and total parts are required",IF(OR(N(D376)&lt;=0,N(E376)&lt;0,N(F376)&lt;0,N(G376)&lt;0,N(H376)&lt;0),"Values must be 0 or more (shift length above 0)",IF(N(H376)&gt;N(G376),"Rejects &gt; total parts",IF(N(E376)&gt;=N(D376),"Planned stops &gt;= shift length",IF(N(F376)&gt;N(D376)-N(E376),"Downtime &gt; planned time",IF(AND(ISNUMBER(O376),O376&gt;1),"Check: performance above 100%","OK"))))))))))</f>
        <v/>
      </c>
      <c r="S376" s="13" t="str">
        <f aca="false">IF($T376,K376*M376/60,"")</f>
        <v/>
      </c>
      <c r="T376" s="15" t="b">
        <f aca="false">IF($C376="",FALSE(),AND(SUMPRODUCT(--(Setup!$A$5:$A$24=$C376))&gt;0,ISNUMBER(A376),ISNUMBER(K376),N(K376)&gt;0,ISNUMBER(D376),N(D376)&gt;0,ISNUMBER(G376),N(G376)&gt;=0,OR(E376="",ISNUMBER(E376)),OR(F376="",ISNUMBER(F376)),OR(H376="",ISNUMBER(H376)),N(E376)&gt;=0,N(F376)&gt;=0,N(H376)&gt;=0,N(H376)&lt;=N(G376),N(E376)&lt;N(D376),N(F376)&lt;=N(D376)-N(E376)))</f>
        <v>0</v>
      </c>
    </row>
    <row r="377" customFormat="false" ht="15" hidden="false" customHeight="false" outlineLevel="0" collapsed="false">
      <c r="A377" s="11"/>
      <c r="B377" s="8"/>
      <c r="C377" s="8"/>
      <c r="D377" s="8"/>
      <c r="E377" s="8"/>
      <c r="F377" s="8"/>
      <c r="G377" s="8"/>
      <c r="H377" s="8"/>
      <c r="I377" s="12" t="str">
        <f aca="false">IF($T377,D377-N(E377),"")</f>
        <v/>
      </c>
      <c r="J377" s="12" t="str">
        <f aca="false">IF($T377,I377-N(F377),"")</f>
        <v/>
      </c>
      <c r="K377" s="13" t="str">
        <f aca="false">IF($C377="","",IF(SUMPRODUCT(--(Setup!$A$5:$A$24=$C377))&gt;0,INDEX(Setup!$B$5:$B$24,21-SUMPRODUCT(MAX((Setup!$A$5:$A$24=$C377)*(25-ROW(Setup!$A$5:$A$24))))),""))</f>
        <v/>
      </c>
      <c r="L377" s="13" t="str">
        <f aca="false">IF($T377,K377*G377/60,"")</f>
        <v/>
      </c>
      <c r="M377" s="12" t="str">
        <f aca="false">IF($T377,G377-N(H377),"")</f>
        <v/>
      </c>
      <c r="N377" s="14" t="str">
        <f aca="false">IF($T377,J377/I377,"")</f>
        <v/>
      </c>
      <c r="O377" s="14" t="str">
        <f aca="false">IF(AND($T377,N(J377)&gt;0),L377/J377,"")</f>
        <v/>
      </c>
      <c r="P377" s="14" t="str">
        <f aca="false">IF(AND($T377,N(G377)&gt;0),M377/G377,"")</f>
        <v/>
      </c>
      <c r="Q377" s="14" t="str">
        <f aca="false">IF($T377,S377/I377,"")</f>
        <v/>
      </c>
      <c r="R377" s="10" t="str">
        <f aca="false">IF($C377="","",IF(NOT(SUMPRODUCT(--(Setup!$A$5:$A$24=$C377))&gt;0),"Machine not in Setup",IF(OR(NOT(ISNUMBER(K377)),N(K377)&lt;=0),"Set an ideal cycle time in Setup",IF(NOT(ISNUMBER(A377)),"Enter a date",IF(OR(NOT(ISNUMBER(D377)),NOT(ISNUMBER(G377)),AND(E377&lt;&gt;"",NOT(ISNUMBER(E377))),AND(F377&lt;&gt;"",NOT(ISNUMBER(F377))),AND(H377&lt;&gt;"",NOT(ISNUMBER(H377)))),"Enter numbers: shift length and total parts are required",IF(OR(N(D377)&lt;=0,N(E377)&lt;0,N(F377)&lt;0,N(G377)&lt;0,N(H377)&lt;0),"Values must be 0 or more (shift length above 0)",IF(N(H377)&gt;N(G377),"Rejects &gt; total parts",IF(N(E377)&gt;=N(D377),"Planned stops &gt;= shift length",IF(N(F377)&gt;N(D377)-N(E377),"Downtime &gt; planned time",IF(AND(ISNUMBER(O377),O377&gt;1),"Check: performance above 100%","OK"))))))))))</f>
        <v/>
      </c>
      <c r="S377" s="13" t="str">
        <f aca="false">IF($T377,K377*M377/60,"")</f>
        <v/>
      </c>
      <c r="T377" s="15" t="b">
        <f aca="false">IF($C377="",FALSE(),AND(SUMPRODUCT(--(Setup!$A$5:$A$24=$C377))&gt;0,ISNUMBER(A377),ISNUMBER(K377),N(K377)&gt;0,ISNUMBER(D377),N(D377)&gt;0,ISNUMBER(G377),N(G377)&gt;=0,OR(E377="",ISNUMBER(E377)),OR(F377="",ISNUMBER(F377)),OR(H377="",ISNUMBER(H377)),N(E377)&gt;=0,N(F377)&gt;=0,N(H377)&gt;=0,N(H377)&lt;=N(G377),N(E377)&lt;N(D377),N(F377)&lt;=N(D377)-N(E377)))</f>
        <v>0</v>
      </c>
    </row>
    <row r="378" customFormat="false" ht="15" hidden="false" customHeight="false" outlineLevel="0" collapsed="false">
      <c r="A378" s="11"/>
      <c r="B378" s="8"/>
      <c r="C378" s="8"/>
      <c r="D378" s="8"/>
      <c r="E378" s="8"/>
      <c r="F378" s="8"/>
      <c r="G378" s="8"/>
      <c r="H378" s="8"/>
      <c r="I378" s="12" t="str">
        <f aca="false">IF($T378,D378-N(E378),"")</f>
        <v/>
      </c>
      <c r="J378" s="12" t="str">
        <f aca="false">IF($T378,I378-N(F378),"")</f>
        <v/>
      </c>
      <c r="K378" s="13" t="str">
        <f aca="false">IF($C378="","",IF(SUMPRODUCT(--(Setup!$A$5:$A$24=$C378))&gt;0,INDEX(Setup!$B$5:$B$24,21-SUMPRODUCT(MAX((Setup!$A$5:$A$24=$C378)*(25-ROW(Setup!$A$5:$A$24))))),""))</f>
        <v/>
      </c>
      <c r="L378" s="13" t="str">
        <f aca="false">IF($T378,K378*G378/60,"")</f>
        <v/>
      </c>
      <c r="M378" s="12" t="str">
        <f aca="false">IF($T378,G378-N(H378),"")</f>
        <v/>
      </c>
      <c r="N378" s="14" t="str">
        <f aca="false">IF($T378,J378/I378,"")</f>
        <v/>
      </c>
      <c r="O378" s="14" t="str">
        <f aca="false">IF(AND($T378,N(J378)&gt;0),L378/J378,"")</f>
        <v/>
      </c>
      <c r="P378" s="14" t="str">
        <f aca="false">IF(AND($T378,N(G378)&gt;0),M378/G378,"")</f>
        <v/>
      </c>
      <c r="Q378" s="14" t="str">
        <f aca="false">IF($T378,S378/I378,"")</f>
        <v/>
      </c>
      <c r="R378" s="10" t="str">
        <f aca="false">IF($C378="","",IF(NOT(SUMPRODUCT(--(Setup!$A$5:$A$24=$C378))&gt;0),"Machine not in Setup",IF(OR(NOT(ISNUMBER(K378)),N(K378)&lt;=0),"Set an ideal cycle time in Setup",IF(NOT(ISNUMBER(A378)),"Enter a date",IF(OR(NOT(ISNUMBER(D378)),NOT(ISNUMBER(G378)),AND(E378&lt;&gt;"",NOT(ISNUMBER(E378))),AND(F378&lt;&gt;"",NOT(ISNUMBER(F378))),AND(H378&lt;&gt;"",NOT(ISNUMBER(H378)))),"Enter numbers: shift length and total parts are required",IF(OR(N(D378)&lt;=0,N(E378)&lt;0,N(F378)&lt;0,N(G378)&lt;0,N(H378)&lt;0),"Values must be 0 or more (shift length above 0)",IF(N(H378)&gt;N(G378),"Rejects &gt; total parts",IF(N(E378)&gt;=N(D378),"Planned stops &gt;= shift length",IF(N(F378)&gt;N(D378)-N(E378),"Downtime &gt; planned time",IF(AND(ISNUMBER(O378),O378&gt;1),"Check: performance above 100%","OK"))))))))))</f>
        <v/>
      </c>
      <c r="S378" s="13" t="str">
        <f aca="false">IF($T378,K378*M378/60,"")</f>
        <v/>
      </c>
      <c r="T378" s="15" t="b">
        <f aca="false">IF($C378="",FALSE(),AND(SUMPRODUCT(--(Setup!$A$5:$A$24=$C378))&gt;0,ISNUMBER(A378),ISNUMBER(K378),N(K378)&gt;0,ISNUMBER(D378),N(D378)&gt;0,ISNUMBER(G378),N(G378)&gt;=0,OR(E378="",ISNUMBER(E378)),OR(F378="",ISNUMBER(F378)),OR(H378="",ISNUMBER(H378)),N(E378)&gt;=0,N(F378)&gt;=0,N(H378)&gt;=0,N(H378)&lt;=N(G378),N(E378)&lt;N(D378),N(F378)&lt;=N(D378)-N(E378)))</f>
        <v>0</v>
      </c>
    </row>
    <row r="379" customFormat="false" ht="15" hidden="false" customHeight="false" outlineLevel="0" collapsed="false">
      <c r="A379" s="11"/>
      <c r="B379" s="8"/>
      <c r="C379" s="8"/>
      <c r="D379" s="8"/>
      <c r="E379" s="8"/>
      <c r="F379" s="8"/>
      <c r="G379" s="8"/>
      <c r="H379" s="8"/>
      <c r="I379" s="12" t="str">
        <f aca="false">IF($T379,D379-N(E379),"")</f>
        <v/>
      </c>
      <c r="J379" s="12" t="str">
        <f aca="false">IF($T379,I379-N(F379),"")</f>
        <v/>
      </c>
      <c r="K379" s="13" t="str">
        <f aca="false">IF($C379="","",IF(SUMPRODUCT(--(Setup!$A$5:$A$24=$C379))&gt;0,INDEX(Setup!$B$5:$B$24,21-SUMPRODUCT(MAX((Setup!$A$5:$A$24=$C379)*(25-ROW(Setup!$A$5:$A$24))))),""))</f>
        <v/>
      </c>
      <c r="L379" s="13" t="str">
        <f aca="false">IF($T379,K379*G379/60,"")</f>
        <v/>
      </c>
      <c r="M379" s="12" t="str">
        <f aca="false">IF($T379,G379-N(H379),"")</f>
        <v/>
      </c>
      <c r="N379" s="14" t="str">
        <f aca="false">IF($T379,J379/I379,"")</f>
        <v/>
      </c>
      <c r="O379" s="14" t="str">
        <f aca="false">IF(AND($T379,N(J379)&gt;0),L379/J379,"")</f>
        <v/>
      </c>
      <c r="P379" s="14" t="str">
        <f aca="false">IF(AND($T379,N(G379)&gt;0),M379/G379,"")</f>
        <v/>
      </c>
      <c r="Q379" s="14" t="str">
        <f aca="false">IF($T379,S379/I379,"")</f>
        <v/>
      </c>
      <c r="R379" s="10" t="str">
        <f aca="false">IF($C379="","",IF(NOT(SUMPRODUCT(--(Setup!$A$5:$A$24=$C379))&gt;0),"Machine not in Setup",IF(OR(NOT(ISNUMBER(K379)),N(K379)&lt;=0),"Set an ideal cycle time in Setup",IF(NOT(ISNUMBER(A379)),"Enter a date",IF(OR(NOT(ISNUMBER(D379)),NOT(ISNUMBER(G379)),AND(E379&lt;&gt;"",NOT(ISNUMBER(E379))),AND(F379&lt;&gt;"",NOT(ISNUMBER(F379))),AND(H379&lt;&gt;"",NOT(ISNUMBER(H379)))),"Enter numbers: shift length and total parts are required",IF(OR(N(D379)&lt;=0,N(E379)&lt;0,N(F379)&lt;0,N(G379)&lt;0,N(H379)&lt;0),"Values must be 0 or more (shift length above 0)",IF(N(H379)&gt;N(G379),"Rejects &gt; total parts",IF(N(E379)&gt;=N(D379),"Planned stops &gt;= shift length",IF(N(F379)&gt;N(D379)-N(E379),"Downtime &gt; planned time",IF(AND(ISNUMBER(O379),O379&gt;1),"Check: performance above 100%","OK"))))))))))</f>
        <v/>
      </c>
      <c r="S379" s="13" t="str">
        <f aca="false">IF($T379,K379*M379/60,"")</f>
        <v/>
      </c>
      <c r="T379" s="15" t="b">
        <f aca="false">IF($C379="",FALSE(),AND(SUMPRODUCT(--(Setup!$A$5:$A$24=$C379))&gt;0,ISNUMBER(A379),ISNUMBER(K379),N(K379)&gt;0,ISNUMBER(D379),N(D379)&gt;0,ISNUMBER(G379),N(G379)&gt;=0,OR(E379="",ISNUMBER(E379)),OR(F379="",ISNUMBER(F379)),OR(H379="",ISNUMBER(H379)),N(E379)&gt;=0,N(F379)&gt;=0,N(H379)&gt;=0,N(H379)&lt;=N(G379),N(E379)&lt;N(D379),N(F379)&lt;=N(D379)-N(E379)))</f>
        <v>0</v>
      </c>
    </row>
    <row r="380" customFormat="false" ht="15" hidden="false" customHeight="false" outlineLevel="0" collapsed="false">
      <c r="A380" s="11"/>
      <c r="B380" s="8"/>
      <c r="C380" s="8"/>
      <c r="D380" s="8"/>
      <c r="E380" s="8"/>
      <c r="F380" s="8"/>
      <c r="G380" s="8"/>
      <c r="H380" s="8"/>
      <c r="I380" s="12" t="str">
        <f aca="false">IF($T380,D380-N(E380),"")</f>
        <v/>
      </c>
      <c r="J380" s="12" t="str">
        <f aca="false">IF($T380,I380-N(F380),"")</f>
        <v/>
      </c>
      <c r="K380" s="13" t="str">
        <f aca="false">IF($C380="","",IF(SUMPRODUCT(--(Setup!$A$5:$A$24=$C380))&gt;0,INDEX(Setup!$B$5:$B$24,21-SUMPRODUCT(MAX((Setup!$A$5:$A$24=$C380)*(25-ROW(Setup!$A$5:$A$24))))),""))</f>
        <v/>
      </c>
      <c r="L380" s="13" t="str">
        <f aca="false">IF($T380,K380*G380/60,"")</f>
        <v/>
      </c>
      <c r="M380" s="12" t="str">
        <f aca="false">IF($T380,G380-N(H380),"")</f>
        <v/>
      </c>
      <c r="N380" s="14" t="str">
        <f aca="false">IF($T380,J380/I380,"")</f>
        <v/>
      </c>
      <c r="O380" s="14" t="str">
        <f aca="false">IF(AND($T380,N(J380)&gt;0),L380/J380,"")</f>
        <v/>
      </c>
      <c r="P380" s="14" t="str">
        <f aca="false">IF(AND($T380,N(G380)&gt;0),M380/G380,"")</f>
        <v/>
      </c>
      <c r="Q380" s="14" t="str">
        <f aca="false">IF($T380,S380/I380,"")</f>
        <v/>
      </c>
      <c r="R380" s="10" t="str">
        <f aca="false">IF($C380="","",IF(NOT(SUMPRODUCT(--(Setup!$A$5:$A$24=$C380))&gt;0),"Machine not in Setup",IF(OR(NOT(ISNUMBER(K380)),N(K380)&lt;=0),"Set an ideal cycle time in Setup",IF(NOT(ISNUMBER(A380)),"Enter a date",IF(OR(NOT(ISNUMBER(D380)),NOT(ISNUMBER(G380)),AND(E380&lt;&gt;"",NOT(ISNUMBER(E380))),AND(F380&lt;&gt;"",NOT(ISNUMBER(F380))),AND(H380&lt;&gt;"",NOT(ISNUMBER(H380)))),"Enter numbers: shift length and total parts are required",IF(OR(N(D380)&lt;=0,N(E380)&lt;0,N(F380)&lt;0,N(G380)&lt;0,N(H380)&lt;0),"Values must be 0 or more (shift length above 0)",IF(N(H380)&gt;N(G380),"Rejects &gt; total parts",IF(N(E380)&gt;=N(D380),"Planned stops &gt;= shift length",IF(N(F380)&gt;N(D380)-N(E380),"Downtime &gt; planned time",IF(AND(ISNUMBER(O380),O380&gt;1),"Check: performance above 100%","OK"))))))))))</f>
        <v/>
      </c>
      <c r="S380" s="13" t="str">
        <f aca="false">IF($T380,K380*M380/60,"")</f>
        <v/>
      </c>
      <c r="T380" s="15" t="b">
        <f aca="false">IF($C380="",FALSE(),AND(SUMPRODUCT(--(Setup!$A$5:$A$24=$C380))&gt;0,ISNUMBER(A380),ISNUMBER(K380),N(K380)&gt;0,ISNUMBER(D380),N(D380)&gt;0,ISNUMBER(G380),N(G380)&gt;=0,OR(E380="",ISNUMBER(E380)),OR(F380="",ISNUMBER(F380)),OR(H380="",ISNUMBER(H380)),N(E380)&gt;=0,N(F380)&gt;=0,N(H380)&gt;=0,N(H380)&lt;=N(G380),N(E380)&lt;N(D380),N(F380)&lt;=N(D380)-N(E380)))</f>
        <v>0</v>
      </c>
    </row>
    <row r="381" customFormat="false" ht="15" hidden="false" customHeight="false" outlineLevel="0" collapsed="false">
      <c r="A381" s="11"/>
      <c r="B381" s="8"/>
      <c r="C381" s="8"/>
      <c r="D381" s="8"/>
      <c r="E381" s="8"/>
      <c r="F381" s="8"/>
      <c r="G381" s="8"/>
      <c r="H381" s="8"/>
      <c r="I381" s="12" t="str">
        <f aca="false">IF($T381,D381-N(E381),"")</f>
        <v/>
      </c>
      <c r="J381" s="12" t="str">
        <f aca="false">IF($T381,I381-N(F381),"")</f>
        <v/>
      </c>
      <c r="K381" s="13" t="str">
        <f aca="false">IF($C381="","",IF(SUMPRODUCT(--(Setup!$A$5:$A$24=$C381))&gt;0,INDEX(Setup!$B$5:$B$24,21-SUMPRODUCT(MAX((Setup!$A$5:$A$24=$C381)*(25-ROW(Setup!$A$5:$A$24))))),""))</f>
        <v/>
      </c>
      <c r="L381" s="13" t="str">
        <f aca="false">IF($T381,K381*G381/60,"")</f>
        <v/>
      </c>
      <c r="M381" s="12" t="str">
        <f aca="false">IF($T381,G381-N(H381),"")</f>
        <v/>
      </c>
      <c r="N381" s="14" t="str">
        <f aca="false">IF($T381,J381/I381,"")</f>
        <v/>
      </c>
      <c r="O381" s="14" t="str">
        <f aca="false">IF(AND($T381,N(J381)&gt;0),L381/J381,"")</f>
        <v/>
      </c>
      <c r="P381" s="14" t="str">
        <f aca="false">IF(AND($T381,N(G381)&gt;0),M381/G381,"")</f>
        <v/>
      </c>
      <c r="Q381" s="14" t="str">
        <f aca="false">IF($T381,S381/I381,"")</f>
        <v/>
      </c>
      <c r="R381" s="10" t="str">
        <f aca="false">IF($C381="","",IF(NOT(SUMPRODUCT(--(Setup!$A$5:$A$24=$C381))&gt;0),"Machine not in Setup",IF(OR(NOT(ISNUMBER(K381)),N(K381)&lt;=0),"Set an ideal cycle time in Setup",IF(NOT(ISNUMBER(A381)),"Enter a date",IF(OR(NOT(ISNUMBER(D381)),NOT(ISNUMBER(G381)),AND(E381&lt;&gt;"",NOT(ISNUMBER(E381))),AND(F381&lt;&gt;"",NOT(ISNUMBER(F381))),AND(H381&lt;&gt;"",NOT(ISNUMBER(H381)))),"Enter numbers: shift length and total parts are required",IF(OR(N(D381)&lt;=0,N(E381)&lt;0,N(F381)&lt;0,N(G381)&lt;0,N(H381)&lt;0),"Values must be 0 or more (shift length above 0)",IF(N(H381)&gt;N(G381),"Rejects &gt; total parts",IF(N(E381)&gt;=N(D381),"Planned stops &gt;= shift length",IF(N(F381)&gt;N(D381)-N(E381),"Downtime &gt; planned time",IF(AND(ISNUMBER(O381),O381&gt;1),"Check: performance above 100%","OK"))))))))))</f>
        <v/>
      </c>
      <c r="S381" s="13" t="str">
        <f aca="false">IF($T381,K381*M381/60,"")</f>
        <v/>
      </c>
      <c r="T381" s="15" t="b">
        <f aca="false">IF($C381="",FALSE(),AND(SUMPRODUCT(--(Setup!$A$5:$A$24=$C381))&gt;0,ISNUMBER(A381),ISNUMBER(K381),N(K381)&gt;0,ISNUMBER(D381),N(D381)&gt;0,ISNUMBER(G381),N(G381)&gt;=0,OR(E381="",ISNUMBER(E381)),OR(F381="",ISNUMBER(F381)),OR(H381="",ISNUMBER(H381)),N(E381)&gt;=0,N(F381)&gt;=0,N(H381)&gt;=0,N(H381)&lt;=N(G381),N(E381)&lt;N(D381),N(F381)&lt;=N(D381)-N(E381)))</f>
        <v>0</v>
      </c>
    </row>
    <row r="382" customFormat="false" ht="15" hidden="false" customHeight="false" outlineLevel="0" collapsed="false">
      <c r="A382" s="11"/>
      <c r="B382" s="8"/>
      <c r="C382" s="8"/>
      <c r="D382" s="8"/>
      <c r="E382" s="8"/>
      <c r="F382" s="8"/>
      <c r="G382" s="8"/>
      <c r="H382" s="8"/>
      <c r="I382" s="12" t="str">
        <f aca="false">IF($T382,D382-N(E382),"")</f>
        <v/>
      </c>
      <c r="J382" s="12" t="str">
        <f aca="false">IF($T382,I382-N(F382),"")</f>
        <v/>
      </c>
      <c r="K382" s="13" t="str">
        <f aca="false">IF($C382="","",IF(SUMPRODUCT(--(Setup!$A$5:$A$24=$C382))&gt;0,INDEX(Setup!$B$5:$B$24,21-SUMPRODUCT(MAX((Setup!$A$5:$A$24=$C382)*(25-ROW(Setup!$A$5:$A$24))))),""))</f>
        <v/>
      </c>
      <c r="L382" s="13" t="str">
        <f aca="false">IF($T382,K382*G382/60,"")</f>
        <v/>
      </c>
      <c r="M382" s="12" t="str">
        <f aca="false">IF($T382,G382-N(H382),"")</f>
        <v/>
      </c>
      <c r="N382" s="14" t="str">
        <f aca="false">IF($T382,J382/I382,"")</f>
        <v/>
      </c>
      <c r="O382" s="14" t="str">
        <f aca="false">IF(AND($T382,N(J382)&gt;0),L382/J382,"")</f>
        <v/>
      </c>
      <c r="P382" s="14" t="str">
        <f aca="false">IF(AND($T382,N(G382)&gt;0),M382/G382,"")</f>
        <v/>
      </c>
      <c r="Q382" s="14" t="str">
        <f aca="false">IF($T382,S382/I382,"")</f>
        <v/>
      </c>
      <c r="R382" s="10" t="str">
        <f aca="false">IF($C382="","",IF(NOT(SUMPRODUCT(--(Setup!$A$5:$A$24=$C382))&gt;0),"Machine not in Setup",IF(OR(NOT(ISNUMBER(K382)),N(K382)&lt;=0),"Set an ideal cycle time in Setup",IF(NOT(ISNUMBER(A382)),"Enter a date",IF(OR(NOT(ISNUMBER(D382)),NOT(ISNUMBER(G382)),AND(E382&lt;&gt;"",NOT(ISNUMBER(E382))),AND(F382&lt;&gt;"",NOT(ISNUMBER(F382))),AND(H382&lt;&gt;"",NOT(ISNUMBER(H382)))),"Enter numbers: shift length and total parts are required",IF(OR(N(D382)&lt;=0,N(E382)&lt;0,N(F382)&lt;0,N(G382)&lt;0,N(H382)&lt;0),"Values must be 0 or more (shift length above 0)",IF(N(H382)&gt;N(G382),"Rejects &gt; total parts",IF(N(E382)&gt;=N(D382),"Planned stops &gt;= shift length",IF(N(F382)&gt;N(D382)-N(E382),"Downtime &gt; planned time",IF(AND(ISNUMBER(O382),O382&gt;1),"Check: performance above 100%","OK"))))))))))</f>
        <v/>
      </c>
      <c r="S382" s="13" t="str">
        <f aca="false">IF($T382,K382*M382/60,"")</f>
        <v/>
      </c>
      <c r="T382" s="15" t="b">
        <f aca="false">IF($C382="",FALSE(),AND(SUMPRODUCT(--(Setup!$A$5:$A$24=$C382))&gt;0,ISNUMBER(A382),ISNUMBER(K382),N(K382)&gt;0,ISNUMBER(D382),N(D382)&gt;0,ISNUMBER(G382),N(G382)&gt;=0,OR(E382="",ISNUMBER(E382)),OR(F382="",ISNUMBER(F382)),OR(H382="",ISNUMBER(H382)),N(E382)&gt;=0,N(F382)&gt;=0,N(H382)&gt;=0,N(H382)&lt;=N(G382),N(E382)&lt;N(D382),N(F382)&lt;=N(D382)-N(E382)))</f>
        <v>0</v>
      </c>
    </row>
    <row r="383" customFormat="false" ht="15" hidden="false" customHeight="false" outlineLevel="0" collapsed="false">
      <c r="A383" s="11"/>
      <c r="B383" s="8"/>
      <c r="C383" s="8"/>
      <c r="D383" s="8"/>
      <c r="E383" s="8"/>
      <c r="F383" s="8"/>
      <c r="G383" s="8"/>
      <c r="H383" s="8"/>
      <c r="I383" s="12" t="str">
        <f aca="false">IF($T383,D383-N(E383),"")</f>
        <v/>
      </c>
      <c r="J383" s="12" t="str">
        <f aca="false">IF($T383,I383-N(F383),"")</f>
        <v/>
      </c>
      <c r="K383" s="13" t="str">
        <f aca="false">IF($C383="","",IF(SUMPRODUCT(--(Setup!$A$5:$A$24=$C383))&gt;0,INDEX(Setup!$B$5:$B$24,21-SUMPRODUCT(MAX((Setup!$A$5:$A$24=$C383)*(25-ROW(Setup!$A$5:$A$24))))),""))</f>
        <v/>
      </c>
      <c r="L383" s="13" t="str">
        <f aca="false">IF($T383,K383*G383/60,"")</f>
        <v/>
      </c>
      <c r="M383" s="12" t="str">
        <f aca="false">IF($T383,G383-N(H383),"")</f>
        <v/>
      </c>
      <c r="N383" s="14" t="str">
        <f aca="false">IF($T383,J383/I383,"")</f>
        <v/>
      </c>
      <c r="O383" s="14" t="str">
        <f aca="false">IF(AND($T383,N(J383)&gt;0),L383/J383,"")</f>
        <v/>
      </c>
      <c r="P383" s="14" t="str">
        <f aca="false">IF(AND($T383,N(G383)&gt;0),M383/G383,"")</f>
        <v/>
      </c>
      <c r="Q383" s="14" t="str">
        <f aca="false">IF($T383,S383/I383,"")</f>
        <v/>
      </c>
      <c r="R383" s="10" t="str">
        <f aca="false">IF($C383="","",IF(NOT(SUMPRODUCT(--(Setup!$A$5:$A$24=$C383))&gt;0),"Machine not in Setup",IF(OR(NOT(ISNUMBER(K383)),N(K383)&lt;=0),"Set an ideal cycle time in Setup",IF(NOT(ISNUMBER(A383)),"Enter a date",IF(OR(NOT(ISNUMBER(D383)),NOT(ISNUMBER(G383)),AND(E383&lt;&gt;"",NOT(ISNUMBER(E383))),AND(F383&lt;&gt;"",NOT(ISNUMBER(F383))),AND(H383&lt;&gt;"",NOT(ISNUMBER(H383)))),"Enter numbers: shift length and total parts are required",IF(OR(N(D383)&lt;=0,N(E383)&lt;0,N(F383)&lt;0,N(G383)&lt;0,N(H383)&lt;0),"Values must be 0 or more (shift length above 0)",IF(N(H383)&gt;N(G383),"Rejects &gt; total parts",IF(N(E383)&gt;=N(D383),"Planned stops &gt;= shift length",IF(N(F383)&gt;N(D383)-N(E383),"Downtime &gt; planned time",IF(AND(ISNUMBER(O383),O383&gt;1),"Check: performance above 100%","OK"))))))))))</f>
        <v/>
      </c>
      <c r="S383" s="13" t="str">
        <f aca="false">IF($T383,K383*M383/60,"")</f>
        <v/>
      </c>
      <c r="T383" s="15" t="b">
        <f aca="false">IF($C383="",FALSE(),AND(SUMPRODUCT(--(Setup!$A$5:$A$24=$C383))&gt;0,ISNUMBER(A383),ISNUMBER(K383),N(K383)&gt;0,ISNUMBER(D383),N(D383)&gt;0,ISNUMBER(G383),N(G383)&gt;=0,OR(E383="",ISNUMBER(E383)),OR(F383="",ISNUMBER(F383)),OR(H383="",ISNUMBER(H383)),N(E383)&gt;=0,N(F383)&gt;=0,N(H383)&gt;=0,N(H383)&lt;=N(G383),N(E383)&lt;N(D383),N(F383)&lt;=N(D383)-N(E383)))</f>
        <v>0</v>
      </c>
    </row>
    <row r="384" customFormat="false" ht="15" hidden="false" customHeight="false" outlineLevel="0" collapsed="false">
      <c r="A384" s="11"/>
      <c r="B384" s="8"/>
      <c r="C384" s="8"/>
      <c r="D384" s="8"/>
      <c r="E384" s="8"/>
      <c r="F384" s="8"/>
      <c r="G384" s="8"/>
      <c r="H384" s="8"/>
      <c r="I384" s="12" t="str">
        <f aca="false">IF($T384,D384-N(E384),"")</f>
        <v/>
      </c>
      <c r="J384" s="12" t="str">
        <f aca="false">IF($T384,I384-N(F384),"")</f>
        <v/>
      </c>
      <c r="K384" s="13" t="str">
        <f aca="false">IF($C384="","",IF(SUMPRODUCT(--(Setup!$A$5:$A$24=$C384))&gt;0,INDEX(Setup!$B$5:$B$24,21-SUMPRODUCT(MAX((Setup!$A$5:$A$24=$C384)*(25-ROW(Setup!$A$5:$A$24))))),""))</f>
        <v/>
      </c>
      <c r="L384" s="13" t="str">
        <f aca="false">IF($T384,K384*G384/60,"")</f>
        <v/>
      </c>
      <c r="M384" s="12" t="str">
        <f aca="false">IF($T384,G384-N(H384),"")</f>
        <v/>
      </c>
      <c r="N384" s="14" t="str">
        <f aca="false">IF($T384,J384/I384,"")</f>
        <v/>
      </c>
      <c r="O384" s="14" t="str">
        <f aca="false">IF(AND($T384,N(J384)&gt;0),L384/J384,"")</f>
        <v/>
      </c>
      <c r="P384" s="14" t="str">
        <f aca="false">IF(AND($T384,N(G384)&gt;0),M384/G384,"")</f>
        <v/>
      </c>
      <c r="Q384" s="14" t="str">
        <f aca="false">IF($T384,S384/I384,"")</f>
        <v/>
      </c>
      <c r="R384" s="10" t="str">
        <f aca="false">IF($C384="","",IF(NOT(SUMPRODUCT(--(Setup!$A$5:$A$24=$C384))&gt;0),"Machine not in Setup",IF(OR(NOT(ISNUMBER(K384)),N(K384)&lt;=0),"Set an ideal cycle time in Setup",IF(NOT(ISNUMBER(A384)),"Enter a date",IF(OR(NOT(ISNUMBER(D384)),NOT(ISNUMBER(G384)),AND(E384&lt;&gt;"",NOT(ISNUMBER(E384))),AND(F384&lt;&gt;"",NOT(ISNUMBER(F384))),AND(H384&lt;&gt;"",NOT(ISNUMBER(H384)))),"Enter numbers: shift length and total parts are required",IF(OR(N(D384)&lt;=0,N(E384)&lt;0,N(F384)&lt;0,N(G384)&lt;0,N(H384)&lt;0),"Values must be 0 or more (shift length above 0)",IF(N(H384)&gt;N(G384),"Rejects &gt; total parts",IF(N(E384)&gt;=N(D384),"Planned stops &gt;= shift length",IF(N(F384)&gt;N(D384)-N(E384),"Downtime &gt; planned time",IF(AND(ISNUMBER(O384),O384&gt;1),"Check: performance above 100%","OK"))))))))))</f>
        <v/>
      </c>
      <c r="S384" s="13" t="str">
        <f aca="false">IF($T384,K384*M384/60,"")</f>
        <v/>
      </c>
      <c r="T384" s="15" t="b">
        <f aca="false">IF($C384="",FALSE(),AND(SUMPRODUCT(--(Setup!$A$5:$A$24=$C384))&gt;0,ISNUMBER(A384),ISNUMBER(K384),N(K384)&gt;0,ISNUMBER(D384),N(D384)&gt;0,ISNUMBER(G384),N(G384)&gt;=0,OR(E384="",ISNUMBER(E384)),OR(F384="",ISNUMBER(F384)),OR(H384="",ISNUMBER(H384)),N(E384)&gt;=0,N(F384)&gt;=0,N(H384)&gt;=0,N(H384)&lt;=N(G384),N(E384)&lt;N(D384),N(F384)&lt;=N(D384)-N(E384)))</f>
        <v>0</v>
      </c>
    </row>
    <row r="385" customFormat="false" ht="15" hidden="false" customHeight="false" outlineLevel="0" collapsed="false">
      <c r="A385" s="11"/>
      <c r="B385" s="8"/>
      <c r="C385" s="8"/>
      <c r="D385" s="8"/>
      <c r="E385" s="8"/>
      <c r="F385" s="8"/>
      <c r="G385" s="8"/>
      <c r="H385" s="8"/>
      <c r="I385" s="12" t="str">
        <f aca="false">IF($T385,D385-N(E385),"")</f>
        <v/>
      </c>
      <c r="J385" s="12" t="str">
        <f aca="false">IF($T385,I385-N(F385),"")</f>
        <v/>
      </c>
      <c r="K385" s="13" t="str">
        <f aca="false">IF($C385="","",IF(SUMPRODUCT(--(Setup!$A$5:$A$24=$C385))&gt;0,INDEX(Setup!$B$5:$B$24,21-SUMPRODUCT(MAX((Setup!$A$5:$A$24=$C385)*(25-ROW(Setup!$A$5:$A$24))))),""))</f>
        <v/>
      </c>
      <c r="L385" s="13" t="str">
        <f aca="false">IF($T385,K385*G385/60,"")</f>
        <v/>
      </c>
      <c r="M385" s="12" t="str">
        <f aca="false">IF($T385,G385-N(H385),"")</f>
        <v/>
      </c>
      <c r="N385" s="14" t="str">
        <f aca="false">IF($T385,J385/I385,"")</f>
        <v/>
      </c>
      <c r="O385" s="14" t="str">
        <f aca="false">IF(AND($T385,N(J385)&gt;0),L385/J385,"")</f>
        <v/>
      </c>
      <c r="P385" s="14" t="str">
        <f aca="false">IF(AND($T385,N(G385)&gt;0),M385/G385,"")</f>
        <v/>
      </c>
      <c r="Q385" s="14" t="str">
        <f aca="false">IF($T385,S385/I385,"")</f>
        <v/>
      </c>
      <c r="R385" s="10" t="str">
        <f aca="false">IF($C385="","",IF(NOT(SUMPRODUCT(--(Setup!$A$5:$A$24=$C385))&gt;0),"Machine not in Setup",IF(OR(NOT(ISNUMBER(K385)),N(K385)&lt;=0),"Set an ideal cycle time in Setup",IF(NOT(ISNUMBER(A385)),"Enter a date",IF(OR(NOT(ISNUMBER(D385)),NOT(ISNUMBER(G385)),AND(E385&lt;&gt;"",NOT(ISNUMBER(E385))),AND(F385&lt;&gt;"",NOT(ISNUMBER(F385))),AND(H385&lt;&gt;"",NOT(ISNUMBER(H385)))),"Enter numbers: shift length and total parts are required",IF(OR(N(D385)&lt;=0,N(E385)&lt;0,N(F385)&lt;0,N(G385)&lt;0,N(H385)&lt;0),"Values must be 0 or more (shift length above 0)",IF(N(H385)&gt;N(G385),"Rejects &gt; total parts",IF(N(E385)&gt;=N(D385),"Planned stops &gt;= shift length",IF(N(F385)&gt;N(D385)-N(E385),"Downtime &gt; planned time",IF(AND(ISNUMBER(O385),O385&gt;1),"Check: performance above 100%","OK"))))))))))</f>
        <v/>
      </c>
      <c r="S385" s="13" t="str">
        <f aca="false">IF($T385,K385*M385/60,"")</f>
        <v/>
      </c>
      <c r="T385" s="15" t="b">
        <f aca="false">IF($C385="",FALSE(),AND(SUMPRODUCT(--(Setup!$A$5:$A$24=$C385))&gt;0,ISNUMBER(A385),ISNUMBER(K385),N(K385)&gt;0,ISNUMBER(D385),N(D385)&gt;0,ISNUMBER(G385),N(G385)&gt;=0,OR(E385="",ISNUMBER(E385)),OR(F385="",ISNUMBER(F385)),OR(H385="",ISNUMBER(H385)),N(E385)&gt;=0,N(F385)&gt;=0,N(H385)&gt;=0,N(H385)&lt;=N(G385),N(E385)&lt;N(D385),N(F385)&lt;=N(D385)-N(E385)))</f>
        <v>0</v>
      </c>
    </row>
    <row r="386" customFormat="false" ht="15" hidden="false" customHeight="false" outlineLevel="0" collapsed="false">
      <c r="A386" s="11"/>
      <c r="B386" s="8"/>
      <c r="C386" s="8"/>
      <c r="D386" s="8"/>
      <c r="E386" s="8"/>
      <c r="F386" s="8"/>
      <c r="G386" s="8"/>
      <c r="H386" s="8"/>
      <c r="I386" s="12" t="str">
        <f aca="false">IF($T386,D386-N(E386),"")</f>
        <v/>
      </c>
      <c r="J386" s="12" t="str">
        <f aca="false">IF($T386,I386-N(F386),"")</f>
        <v/>
      </c>
      <c r="K386" s="13" t="str">
        <f aca="false">IF($C386="","",IF(SUMPRODUCT(--(Setup!$A$5:$A$24=$C386))&gt;0,INDEX(Setup!$B$5:$B$24,21-SUMPRODUCT(MAX((Setup!$A$5:$A$24=$C386)*(25-ROW(Setup!$A$5:$A$24))))),""))</f>
        <v/>
      </c>
      <c r="L386" s="13" t="str">
        <f aca="false">IF($T386,K386*G386/60,"")</f>
        <v/>
      </c>
      <c r="M386" s="12" t="str">
        <f aca="false">IF($T386,G386-N(H386),"")</f>
        <v/>
      </c>
      <c r="N386" s="14" t="str">
        <f aca="false">IF($T386,J386/I386,"")</f>
        <v/>
      </c>
      <c r="O386" s="14" t="str">
        <f aca="false">IF(AND($T386,N(J386)&gt;0),L386/J386,"")</f>
        <v/>
      </c>
      <c r="P386" s="14" t="str">
        <f aca="false">IF(AND($T386,N(G386)&gt;0),M386/G386,"")</f>
        <v/>
      </c>
      <c r="Q386" s="14" t="str">
        <f aca="false">IF($T386,S386/I386,"")</f>
        <v/>
      </c>
      <c r="R386" s="10" t="str">
        <f aca="false">IF($C386="","",IF(NOT(SUMPRODUCT(--(Setup!$A$5:$A$24=$C386))&gt;0),"Machine not in Setup",IF(OR(NOT(ISNUMBER(K386)),N(K386)&lt;=0),"Set an ideal cycle time in Setup",IF(NOT(ISNUMBER(A386)),"Enter a date",IF(OR(NOT(ISNUMBER(D386)),NOT(ISNUMBER(G386)),AND(E386&lt;&gt;"",NOT(ISNUMBER(E386))),AND(F386&lt;&gt;"",NOT(ISNUMBER(F386))),AND(H386&lt;&gt;"",NOT(ISNUMBER(H386)))),"Enter numbers: shift length and total parts are required",IF(OR(N(D386)&lt;=0,N(E386)&lt;0,N(F386)&lt;0,N(G386)&lt;0,N(H386)&lt;0),"Values must be 0 or more (shift length above 0)",IF(N(H386)&gt;N(G386),"Rejects &gt; total parts",IF(N(E386)&gt;=N(D386),"Planned stops &gt;= shift length",IF(N(F386)&gt;N(D386)-N(E386),"Downtime &gt; planned time",IF(AND(ISNUMBER(O386),O386&gt;1),"Check: performance above 100%","OK"))))))))))</f>
        <v/>
      </c>
      <c r="S386" s="13" t="str">
        <f aca="false">IF($T386,K386*M386/60,"")</f>
        <v/>
      </c>
      <c r="T386" s="15" t="b">
        <f aca="false">IF($C386="",FALSE(),AND(SUMPRODUCT(--(Setup!$A$5:$A$24=$C386))&gt;0,ISNUMBER(A386),ISNUMBER(K386),N(K386)&gt;0,ISNUMBER(D386),N(D386)&gt;0,ISNUMBER(G386),N(G386)&gt;=0,OR(E386="",ISNUMBER(E386)),OR(F386="",ISNUMBER(F386)),OR(H386="",ISNUMBER(H386)),N(E386)&gt;=0,N(F386)&gt;=0,N(H386)&gt;=0,N(H386)&lt;=N(G386),N(E386)&lt;N(D386),N(F386)&lt;=N(D386)-N(E386)))</f>
        <v>0</v>
      </c>
    </row>
    <row r="387" customFormat="false" ht="15" hidden="false" customHeight="false" outlineLevel="0" collapsed="false">
      <c r="A387" s="11"/>
      <c r="B387" s="8"/>
      <c r="C387" s="8"/>
      <c r="D387" s="8"/>
      <c r="E387" s="8"/>
      <c r="F387" s="8"/>
      <c r="G387" s="8"/>
      <c r="H387" s="8"/>
      <c r="I387" s="12" t="str">
        <f aca="false">IF($T387,D387-N(E387),"")</f>
        <v/>
      </c>
      <c r="J387" s="12" t="str">
        <f aca="false">IF($T387,I387-N(F387),"")</f>
        <v/>
      </c>
      <c r="K387" s="13" t="str">
        <f aca="false">IF($C387="","",IF(SUMPRODUCT(--(Setup!$A$5:$A$24=$C387))&gt;0,INDEX(Setup!$B$5:$B$24,21-SUMPRODUCT(MAX((Setup!$A$5:$A$24=$C387)*(25-ROW(Setup!$A$5:$A$24))))),""))</f>
        <v/>
      </c>
      <c r="L387" s="13" t="str">
        <f aca="false">IF($T387,K387*G387/60,"")</f>
        <v/>
      </c>
      <c r="M387" s="12" t="str">
        <f aca="false">IF($T387,G387-N(H387),"")</f>
        <v/>
      </c>
      <c r="N387" s="14" t="str">
        <f aca="false">IF($T387,J387/I387,"")</f>
        <v/>
      </c>
      <c r="O387" s="14" t="str">
        <f aca="false">IF(AND($T387,N(J387)&gt;0),L387/J387,"")</f>
        <v/>
      </c>
      <c r="P387" s="14" t="str">
        <f aca="false">IF(AND($T387,N(G387)&gt;0),M387/G387,"")</f>
        <v/>
      </c>
      <c r="Q387" s="14" t="str">
        <f aca="false">IF($T387,S387/I387,"")</f>
        <v/>
      </c>
      <c r="R387" s="10" t="str">
        <f aca="false">IF($C387="","",IF(NOT(SUMPRODUCT(--(Setup!$A$5:$A$24=$C387))&gt;0),"Machine not in Setup",IF(OR(NOT(ISNUMBER(K387)),N(K387)&lt;=0),"Set an ideal cycle time in Setup",IF(NOT(ISNUMBER(A387)),"Enter a date",IF(OR(NOT(ISNUMBER(D387)),NOT(ISNUMBER(G387)),AND(E387&lt;&gt;"",NOT(ISNUMBER(E387))),AND(F387&lt;&gt;"",NOT(ISNUMBER(F387))),AND(H387&lt;&gt;"",NOT(ISNUMBER(H387)))),"Enter numbers: shift length and total parts are required",IF(OR(N(D387)&lt;=0,N(E387)&lt;0,N(F387)&lt;0,N(G387)&lt;0,N(H387)&lt;0),"Values must be 0 or more (shift length above 0)",IF(N(H387)&gt;N(G387),"Rejects &gt; total parts",IF(N(E387)&gt;=N(D387),"Planned stops &gt;= shift length",IF(N(F387)&gt;N(D387)-N(E387),"Downtime &gt; planned time",IF(AND(ISNUMBER(O387),O387&gt;1),"Check: performance above 100%","OK"))))))))))</f>
        <v/>
      </c>
      <c r="S387" s="13" t="str">
        <f aca="false">IF($T387,K387*M387/60,"")</f>
        <v/>
      </c>
      <c r="T387" s="15" t="b">
        <f aca="false">IF($C387="",FALSE(),AND(SUMPRODUCT(--(Setup!$A$5:$A$24=$C387))&gt;0,ISNUMBER(A387),ISNUMBER(K387),N(K387)&gt;0,ISNUMBER(D387),N(D387)&gt;0,ISNUMBER(G387),N(G387)&gt;=0,OR(E387="",ISNUMBER(E387)),OR(F387="",ISNUMBER(F387)),OR(H387="",ISNUMBER(H387)),N(E387)&gt;=0,N(F387)&gt;=0,N(H387)&gt;=0,N(H387)&lt;=N(G387),N(E387)&lt;N(D387),N(F387)&lt;=N(D387)-N(E387)))</f>
        <v>0</v>
      </c>
    </row>
    <row r="388" customFormat="false" ht="15" hidden="false" customHeight="false" outlineLevel="0" collapsed="false">
      <c r="A388" s="11"/>
      <c r="B388" s="8"/>
      <c r="C388" s="8"/>
      <c r="D388" s="8"/>
      <c r="E388" s="8"/>
      <c r="F388" s="8"/>
      <c r="G388" s="8"/>
      <c r="H388" s="8"/>
      <c r="I388" s="12" t="str">
        <f aca="false">IF($T388,D388-N(E388),"")</f>
        <v/>
      </c>
      <c r="J388" s="12" t="str">
        <f aca="false">IF($T388,I388-N(F388),"")</f>
        <v/>
      </c>
      <c r="K388" s="13" t="str">
        <f aca="false">IF($C388="","",IF(SUMPRODUCT(--(Setup!$A$5:$A$24=$C388))&gt;0,INDEX(Setup!$B$5:$B$24,21-SUMPRODUCT(MAX((Setup!$A$5:$A$24=$C388)*(25-ROW(Setup!$A$5:$A$24))))),""))</f>
        <v/>
      </c>
      <c r="L388" s="13" t="str">
        <f aca="false">IF($T388,K388*G388/60,"")</f>
        <v/>
      </c>
      <c r="M388" s="12" t="str">
        <f aca="false">IF($T388,G388-N(H388),"")</f>
        <v/>
      </c>
      <c r="N388" s="14" t="str">
        <f aca="false">IF($T388,J388/I388,"")</f>
        <v/>
      </c>
      <c r="O388" s="14" t="str">
        <f aca="false">IF(AND($T388,N(J388)&gt;0),L388/J388,"")</f>
        <v/>
      </c>
      <c r="P388" s="14" t="str">
        <f aca="false">IF(AND($T388,N(G388)&gt;0),M388/G388,"")</f>
        <v/>
      </c>
      <c r="Q388" s="14" t="str">
        <f aca="false">IF($T388,S388/I388,"")</f>
        <v/>
      </c>
      <c r="R388" s="10" t="str">
        <f aca="false">IF($C388="","",IF(NOT(SUMPRODUCT(--(Setup!$A$5:$A$24=$C388))&gt;0),"Machine not in Setup",IF(OR(NOT(ISNUMBER(K388)),N(K388)&lt;=0),"Set an ideal cycle time in Setup",IF(NOT(ISNUMBER(A388)),"Enter a date",IF(OR(NOT(ISNUMBER(D388)),NOT(ISNUMBER(G388)),AND(E388&lt;&gt;"",NOT(ISNUMBER(E388))),AND(F388&lt;&gt;"",NOT(ISNUMBER(F388))),AND(H388&lt;&gt;"",NOT(ISNUMBER(H388)))),"Enter numbers: shift length and total parts are required",IF(OR(N(D388)&lt;=0,N(E388)&lt;0,N(F388)&lt;0,N(G388)&lt;0,N(H388)&lt;0),"Values must be 0 or more (shift length above 0)",IF(N(H388)&gt;N(G388),"Rejects &gt; total parts",IF(N(E388)&gt;=N(D388),"Planned stops &gt;= shift length",IF(N(F388)&gt;N(D388)-N(E388),"Downtime &gt; planned time",IF(AND(ISNUMBER(O388),O388&gt;1),"Check: performance above 100%","OK"))))))))))</f>
        <v/>
      </c>
      <c r="S388" s="13" t="str">
        <f aca="false">IF($T388,K388*M388/60,"")</f>
        <v/>
      </c>
      <c r="T388" s="15" t="b">
        <f aca="false">IF($C388="",FALSE(),AND(SUMPRODUCT(--(Setup!$A$5:$A$24=$C388))&gt;0,ISNUMBER(A388),ISNUMBER(K388),N(K388)&gt;0,ISNUMBER(D388),N(D388)&gt;0,ISNUMBER(G388),N(G388)&gt;=0,OR(E388="",ISNUMBER(E388)),OR(F388="",ISNUMBER(F388)),OR(H388="",ISNUMBER(H388)),N(E388)&gt;=0,N(F388)&gt;=0,N(H388)&gt;=0,N(H388)&lt;=N(G388),N(E388)&lt;N(D388),N(F388)&lt;=N(D388)-N(E388)))</f>
        <v>0</v>
      </c>
    </row>
    <row r="389" customFormat="false" ht="15" hidden="false" customHeight="false" outlineLevel="0" collapsed="false">
      <c r="A389" s="11"/>
      <c r="B389" s="8"/>
      <c r="C389" s="8"/>
      <c r="D389" s="8"/>
      <c r="E389" s="8"/>
      <c r="F389" s="8"/>
      <c r="G389" s="8"/>
      <c r="H389" s="8"/>
      <c r="I389" s="12" t="str">
        <f aca="false">IF($T389,D389-N(E389),"")</f>
        <v/>
      </c>
      <c r="J389" s="12" t="str">
        <f aca="false">IF($T389,I389-N(F389),"")</f>
        <v/>
      </c>
      <c r="K389" s="13" t="str">
        <f aca="false">IF($C389="","",IF(SUMPRODUCT(--(Setup!$A$5:$A$24=$C389))&gt;0,INDEX(Setup!$B$5:$B$24,21-SUMPRODUCT(MAX((Setup!$A$5:$A$24=$C389)*(25-ROW(Setup!$A$5:$A$24))))),""))</f>
        <v/>
      </c>
      <c r="L389" s="13" t="str">
        <f aca="false">IF($T389,K389*G389/60,"")</f>
        <v/>
      </c>
      <c r="M389" s="12" t="str">
        <f aca="false">IF($T389,G389-N(H389),"")</f>
        <v/>
      </c>
      <c r="N389" s="14" t="str">
        <f aca="false">IF($T389,J389/I389,"")</f>
        <v/>
      </c>
      <c r="O389" s="14" t="str">
        <f aca="false">IF(AND($T389,N(J389)&gt;0),L389/J389,"")</f>
        <v/>
      </c>
      <c r="P389" s="14" t="str">
        <f aca="false">IF(AND($T389,N(G389)&gt;0),M389/G389,"")</f>
        <v/>
      </c>
      <c r="Q389" s="14" t="str">
        <f aca="false">IF($T389,S389/I389,"")</f>
        <v/>
      </c>
      <c r="R389" s="10" t="str">
        <f aca="false">IF($C389="","",IF(NOT(SUMPRODUCT(--(Setup!$A$5:$A$24=$C389))&gt;0),"Machine not in Setup",IF(OR(NOT(ISNUMBER(K389)),N(K389)&lt;=0),"Set an ideal cycle time in Setup",IF(NOT(ISNUMBER(A389)),"Enter a date",IF(OR(NOT(ISNUMBER(D389)),NOT(ISNUMBER(G389)),AND(E389&lt;&gt;"",NOT(ISNUMBER(E389))),AND(F389&lt;&gt;"",NOT(ISNUMBER(F389))),AND(H389&lt;&gt;"",NOT(ISNUMBER(H389)))),"Enter numbers: shift length and total parts are required",IF(OR(N(D389)&lt;=0,N(E389)&lt;0,N(F389)&lt;0,N(G389)&lt;0,N(H389)&lt;0),"Values must be 0 or more (shift length above 0)",IF(N(H389)&gt;N(G389),"Rejects &gt; total parts",IF(N(E389)&gt;=N(D389),"Planned stops &gt;= shift length",IF(N(F389)&gt;N(D389)-N(E389),"Downtime &gt; planned time",IF(AND(ISNUMBER(O389),O389&gt;1),"Check: performance above 100%","OK"))))))))))</f>
        <v/>
      </c>
      <c r="S389" s="13" t="str">
        <f aca="false">IF($T389,K389*M389/60,"")</f>
        <v/>
      </c>
      <c r="T389" s="15" t="b">
        <f aca="false">IF($C389="",FALSE(),AND(SUMPRODUCT(--(Setup!$A$5:$A$24=$C389))&gt;0,ISNUMBER(A389),ISNUMBER(K389),N(K389)&gt;0,ISNUMBER(D389),N(D389)&gt;0,ISNUMBER(G389),N(G389)&gt;=0,OR(E389="",ISNUMBER(E389)),OR(F389="",ISNUMBER(F389)),OR(H389="",ISNUMBER(H389)),N(E389)&gt;=0,N(F389)&gt;=0,N(H389)&gt;=0,N(H389)&lt;=N(G389),N(E389)&lt;N(D389),N(F389)&lt;=N(D389)-N(E389)))</f>
        <v>0</v>
      </c>
    </row>
    <row r="390" customFormat="false" ht="15" hidden="false" customHeight="false" outlineLevel="0" collapsed="false">
      <c r="A390" s="11"/>
      <c r="B390" s="8"/>
      <c r="C390" s="8"/>
      <c r="D390" s="8"/>
      <c r="E390" s="8"/>
      <c r="F390" s="8"/>
      <c r="G390" s="8"/>
      <c r="H390" s="8"/>
      <c r="I390" s="12" t="str">
        <f aca="false">IF($T390,D390-N(E390),"")</f>
        <v/>
      </c>
      <c r="J390" s="12" t="str">
        <f aca="false">IF($T390,I390-N(F390),"")</f>
        <v/>
      </c>
      <c r="K390" s="13" t="str">
        <f aca="false">IF($C390="","",IF(SUMPRODUCT(--(Setup!$A$5:$A$24=$C390))&gt;0,INDEX(Setup!$B$5:$B$24,21-SUMPRODUCT(MAX((Setup!$A$5:$A$24=$C390)*(25-ROW(Setup!$A$5:$A$24))))),""))</f>
        <v/>
      </c>
      <c r="L390" s="13" t="str">
        <f aca="false">IF($T390,K390*G390/60,"")</f>
        <v/>
      </c>
      <c r="M390" s="12" t="str">
        <f aca="false">IF($T390,G390-N(H390),"")</f>
        <v/>
      </c>
      <c r="N390" s="14" t="str">
        <f aca="false">IF($T390,J390/I390,"")</f>
        <v/>
      </c>
      <c r="O390" s="14" t="str">
        <f aca="false">IF(AND($T390,N(J390)&gt;0),L390/J390,"")</f>
        <v/>
      </c>
      <c r="P390" s="14" t="str">
        <f aca="false">IF(AND($T390,N(G390)&gt;0),M390/G390,"")</f>
        <v/>
      </c>
      <c r="Q390" s="14" t="str">
        <f aca="false">IF($T390,S390/I390,"")</f>
        <v/>
      </c>
      <c r="R390" s="10" t="str">
        <f aca="false">IF($C390="","",IF(NOT(SUMPRODUCT(--(Setup!$A$5:$A$24=$C390))&gt;0),"Machine not in Setup",IF(OR(NOT(ISNUMBER(K390)),N(K390)&lt;=0),"Set an ideal cycle time in Setup",IF(NOT(ISNUMBER(A390)),"Enter a date",IF(OR(NOT(ISNUMBER(D390)),NOT(ISNUMBER(G390)),AND(E390&lt;&gt;"",NOT(ISNUMBER(E390))),AND(F390&lt;&gt;"",NOT(ISNUMBER(F390))),AND(H390&lt;&gt;"",NOT(ISNUMBER(H390)))),"Enter numbers: shift length and total parts are required",IF(OR(N(D390)&lt;=0,N(E390)&lt;0,N(F390)&lt;0,N(G390)&lt;0,N(H390)&lt;0),"Values must be 0 or more (shift length above 0)",IF(N(H390)&gt;N(G390),"Rejects &gt; total parts",IF(N(E390)&gt;=N(D390),"Planned stops &gt;= shift length",IF(N(F390)&gt;N(D390)-N(E390),"Downtime &gt; planned time",IF(AND(ISNUMBER(O390),O390&gt;1),"Check: performance above 100%","OK"))))))))))</f>
        <v/>
      </c>
      <c r="S390" s="13" t="str">
        <f aca="false">IF($T390,K390*M390/60,"")</f>
        <v/>
      </c>
      <c r="T390" s="15" t="b">
        <f aca="false">IF($C390="",FALSE(),AND(SUMPRODUCT(--(Setup!$A$5:$A$24=$C390))&gt;0,ISNUMBER(A390),ISNUMBER(K390),N(K390)&gt;0,ISNUMBER(D390),N(D390)&gt;0,ISNUMBER(G390),N(G390)&gt;=0,OR(E390="",ISNUMBER(E390)),OR(F390="",ISNUMBER(F390)),OR(H390="",ISNUMBER(H390)),N(E390)&gt;=0,N(F390)&gt;=0,N(H390)&gt;=0,N(H390)&lt;=N(G390),N(E390)&lt;N(D390),N(F390)&lt;=N(D390)-N(E390)))</f>
        <v>0</v>
      </c>
    </row>
    <row r="391" customFormat="false" ht="15" hidden="false" customHeight="false" outlineLevel="0" collapsed="false">
      <c r="A391" s="11"/>
      <c r="B391" s="8"/>
      <c r="C391" s="8"/>
      <c r="D391" s="8"/>
      <c r="E391" s="8"/>
      <c r="F391" s="8"/>
      <c r="G391" s="8"/>
      <c r="H391" s="8"/>
      <c r="I391" s="12" t="str">
        <f aca="false">IF($T391,D391-N(E391),"")</f>
        <v/>
      </c>
      <c r="J391" s="12" t="str">
        <f aca="false">IF($T391,I391-N(F391),"")</f>
        <v/>
      </c>
      <c r="K391" s="13" t="str">
        <f aca="false">IF($C391="","",IF(SUMPRODUCT(--(Setup!$A$5:$A$24=$C391))&gt;0,INDEX(Setup!$B$5:$B$24,21-SUMPRODUCT(MAX((Setup!$A$5:$A$24=$C391)*(25-ROW(Setup!$A$5:$A$24))))),""))</f>
        <v/>
      </c>
      <c r="L391" s="13" t="str">
        <f aca="false">IF($T391,K391*G391/60,"")</f>
        <v/>
      </c>
      <c r="M391" s="12" t="str">
        <f aca="false">IF($T391,G391-N(H391),"")</f>
        <v/>
      </c>
      <c r="N391" s="14" t="str">
        <f aca="false">IF($T391,J391/I391,"")</f>
        <v/>
      </c>
      <c r="O391" s="14" t="str">
        <f aca="false">IF(AND($T391,N(J391)&gt;0),L391/J391,"")</f>
        <v/>
      </c>
      <c r="P391" s="14" t="str">
        <f aca="false">IF(AND($T391,N(G391)&gt;0),M391/G391,"")</f>
        <v/>
      </c>
      <c r="Q391" s="14" t="str">
        <f aca="false">IF($T391,S391/I391,"")</f>
        <v/>
      </c>
      <c r="R391" s="10" t="str">
        <f aca="false">IF($C391="","",IF(NOT(SUMPRODUCT(--(Setup!$A$5:$A$24=$C391))&gt;0),"Machine not in Setup",IF(OR(NOT(ISNUMBER(K391)),N(K391)&lt;=0),"Set an ideal cycle time in Setup",IF(NOT(ISNUMBER(A391)),"Enter a date",IF(OR(NOT(ISNUMBER(D391)),NOT(ISNUMBER(G391)),AND(E391&lt;&gt;"",NOT(ISNUMBER(E391))),AND(F391&lt;&gt;"",NOT(ISNUMBER(F391))),AND(H391&lt;&gt;"",NOT(ISNUMBER(H391)))),"Enter numbers: shift length and total parts are required",IF(OR(N(D391)&lt;=0,N(E391)&lt;0,N(F391)&lt;0,N(G391)&lt;0,N(H391)&lt;0),"Values must be 0 or more (shift length above 0)",IF(N(H391)&gt;N(G391),"Rejects &gt; total parts",IF(N(E391)&gt;=N(D391),"Planned stops &gt;= shift length",IF(N(F391)&gt;N(D391)-N(E391),"Downtime &gt; planned time",IF(AND(ISNUMBER(O391),O391&gt;1),"Check: performance above 100%","OK"))))))))))</f>
        <v/>
      </c>
      <c r="S391" s="13" t="str">
        <f aca="false">IF($T391,K391*M391/60,"")</f>
        <v/>
      </c>
      <c r="T391" s="15" t="b">
        <f aca="false">IF($C391="",FALSE(),AND(SUMPRODUCT(--(Setup!$A$5:$A$24=$C391))&gt;0,ISNUMBER(A391),ISNUMBER(K391),N(K391)&gt;0,ISNUMBER(D391),N(D391)&gt;0,ISNUMBER(G391),N(G391)&gt;=0,OR(E391="",ISNUMBER(E391)),OR(F391="",ISNUMBER(F391)),OR(H391="",ISNUMBER(H391)),N(E391)&gt;=0,N(F391)&gt;=0,N(H391)&gt;=0,N(H391)&lt;=N(G391),N(E391)&lt;N(D391),N(F391)&lt;=N(D391)-N(E391)))</f>
        <v>0</v>
      </c>
    </row>
    <row r="392" customFormat="false" ht="15" hidden="false" customHeight="false" outlineLevel="0" collapsed="false">
      <c r="A392" s="11"/>
      <c r="B392" s="8"/>
      <c r="C392" s="8"/>
      <c r="D392" s="8"/>
      <c r="E392" s="8"/>
      <c r="F392" s="8"/>
      <c r="G392" s="8"/>
      <c r="H392" s="8"/>
      <c r="I392" s="12" t="str">
        <f aca="false">IF($T392,D392-N(E392),"")</f>
        <v/>
      </c>
      <c r="J392" s="12" t="str">
        <f aca="false">IF($T392,I392-N(F392),"")</f>
        <v/>
      </c>
      <c r="K392" s="13" t="str">
        <f aca="false">IF($C392="","",IF(SUMPRODUCT(--(Setup!$A$5:$A$24=$C392))&gt;0,INDEX(Setup!$B$5:$B$24,21-SUMPRODUCT(MAX((Setup!$A$5:$A$24=$C392)*(25-ROW(Setup!$A$5:$A$24))))),""))</f>
        <v/>
      </c>
      <c r="L392" s="13" t="str">
        <f aca="false">IF($T392,K392*G392/60,"")</f>
        <v/>
      </c>
      <c r="M392" s="12" t="str">
        <f aca="false">IF($T392,G392-N(H392),"")</f>
        <v/>
      </c>
      <c r="N392" s="14" t="str">
        <f aca="false">IF($T392,J392/I392,"")</f>
        <v/>
      </c>
      <c r="O392" s="14" t="str">
        <f aca="false">IF(AND($T392,N(J392)&gt;0),L392/J392,"")</f>
        <v/>
      </c>
      <c r="P392" s="14" t="str">
        <f aca="false">IF(AND($T392,N(G392)&gt;0),M392/G392,"")</f>
        <v/>
      </c>
      <c r="Q392" s="14" t="str">
        <f aca="false">IF($T392,S392/I392,"")</f>
        <v/>
      </c>
      <c r="R392" s="10" t="str">
        <f aca="false">IF($C392="","",IF(NOT(SUMPRODUCT(--(Setup!$A$5:$A$24=$C392))&gt;0),"Machine not in Setup",IF(OR(NOT(ISNUMBER(K392)),N(K392)&lt;=0),"Set an ideal cycle time in Setup",IF(NOT(ISNUMBER(A392)),"Enter a date",IF(OR(NOT(ISNUMBER(D392)),NOT(ISNUMBER(G392)),AND(E392&lt;&gt;"",NOT(ISNUMBER(E392))),AND(F392&lt;&gt;"",NOT(ISNUMBER(F392))),AND(H392&lt;&gt;"",NOT(ISNUMBER(H392)))),"Enter numbers: shift length and total parts are required",IF(OR(N(D392)&lt;=0,N(E392)&lt;0,N(F392)&lt;0,N(G392)&lt;0,N(H392)&lt;0),"Values must be 0 or more (shift length above 0)",IF(N(H392)&gt;N(G392),"Rejects &gt; total parts",IF(N(E392)&gt;=N(D392),"Planned stops &gt;= shift length",IF(N(F392)&gt;N(D392)-N(E392),"Downtime &gt; planned time",IF(AND(ISNUMBER(O392),O392&gt;1),"Check: performance above 100%","OK"))))))))))</f>
        <v/>
      </c>
      <c r="S392" s="13" t="str">
        <f aca="false">IF($T392,K392*M392/60,"")</f>
        <v/>
      </c>
      <c r="T392" s="15" t="b">
        <f aca="false">IF($C392="",FALSE(),AND(SUMPRODUCT(--(Setup!$A$5:$A$24=$C392))&gt;0,ISNUMBER(A392),ISNUMBER(K392),N(K392)&gt;0,ISNUMBER(D392),N(D392)&gt;0,ISNUMBER(G392),N(G392)&gt;=0,OR(E392="",ISNUMBER(E392)),OR(F392="",ISNUMBER(F392)),OR(H392="",ISNUMBER(H392)),N(E392)&gt;=0,N(F392)&gt;=0,N(H392)&gt;=0,N(H392)&lt;=N(G392),N(E392)&lt;N(D392),N(F392)&lt;=N(D392)-N(E392)))</f>
        <v>0</v>
      </c>
    </row>
    <row r="393" customFormat="false" ht="15" hidden="false" customHeight="false" outlineLevel="0" collapsed="false">
      <c r="A393" s="11"/>
      <c r="B393" s="8"/>
      <c r="C393" s="8"/>
      <c r="D393" s="8"/>
      <c r="E393" s="8"/>
      <c r="F393" s="8"/>
      <c r="G393" s="8"/>
      <c r="H393" s="8"/>
      <c r="I393" s="12" t="str">
        <f aca="false">IF($T393,D393-N(E393),"")</f>
        <v/>
      </c>
      <c r="J393" s="12" t="str">
        <f aca="false">IF($T393,I393-N(F393),"")</f>
        <v/>
      </c>
      <c r="K393" s="13" t="str">
        <f aca="false">IF($C393="","",IF(SUMPRODUCT(--(Setup!$A$5:$A$24=$C393))&gt;0,INDEX(Setup!$B$5:$B$24,21-SUMPRODUCT(MAX((Setup!$A$5:$A$24=$C393)*(25-ROW(Setup!$A$5:$A$24))))),""))</f>
        <v/>
      </c>
      <c r="L393" s="13" t="str">
        <f aca="false">IF($T393,K393*G393/60,"")</f>
        <v/>
      </c>
      <c r="M393" s="12" t="str">
        <f aca="false">IF($T393,G393-N(H393),"")</f>
        <v/>
      </c>
      <c r="N393" s="14" t="str">
        <f aca="false">IF($T393,J393/I393,"")</f>
        <v/>
      </c>
      <c r="O393" s="14" t="str">
        <f aca="false">IF(AND($T393,N(J393)&gt;0),L393/J393,"")</f>
        <v/>
      </c>
      <c r="P393" s="14" t="str">
        <f aca="false">IF(AND($T393,N(G393)&gt;0),M393/G393,"")</f>
        <v/>
      </c>
      <c r="Q393" s="14" t="str">
        <f aca="false">IF($T393,S393/I393,"")</f>
        <v/>
      </c>
      <c r="R393" s="10" t="str">
        <f aca="false">IF($C393="","",IF(NOT(SUMPRODUCT(--(Setup!$A$5:$A$24=$C393))&gt;0),"Machine not in Setup",IF(OR(NOT(ISNUMBER(K393)),N(K393)&lt;=0),"Set an ideal cycle time in Setup",IF(NOT(ISNUMBER(A393)),"Enter a date",IF(OR(NOT(ISNUMBER(D393)),NOT(ISNUMBER(G393)),AND(E393&lt;&gt;"",NOT(ISNUMBER(E393))),AND(F393&lt;&gt;"",NOT(ISNUMBER(F393))),AND(H393&lt;&gt;"",NOT(ISNUMBER(H393)))),"Enter numbers: shift length and total parts are required",IF(OR(N(D393)&lt;=0,N(E393)&lt;0,N(F393)&lt;0,N(G393)&lt;0,N(H393)&lt;0),"Values must be 0 or more (shift length above 0)",IF(N(H393)&gt;N(G393),"Rejects &gt; total parts",IF(N(E393)&gt;=N(D393),"Planned stops &gt;= shift length",IF(N(F393)&gt;N(D393)-N(E393),"Downtime &gt; planned time",IF(AND(ISNUMBER(O393),O393&gt;1),"Check: performance above 100%","OK"))))))))))</f>
        <v/>
      </c>
      <c r="S393" s="13" t="str">
        <f aca="false">IF($T393,K393*M393/60,"")</f>
        <v/>
      </c>
      <c r="T393" s="15" t="b">
        <f aca="false">IF($C393="",FALSE(),AND(SUMPRODUCT(--(Setup!$A$5:$A$24=$C393))&gt;0,ISNUMBER(A393),ISNUMBER(K393),N(K393)&gt;0,ISNUMBER(D393),N(D393)&gt;0,ISNUMBER(G393),N(G393)&gt;=0,OR(E393="",ISNUMBER(E393)),OR(F393="",ISNUMBER(F393)),OR(H393="",ISNUMBER(H393)),N(E393)&gt;=0,N(F393)&gt;=0,N(H393)&gt;=0,N(H393)&lt;=N(G393),N(E393)&lt;N(D393),N(F393)&lt;=N(D393)-N(E393)))</f>
        <v>0</v>
      </c>
    </row>
    <row r="394" customFormat="false" ht="15" hidden="false" customHeight="false" outlineLevel="0" collapsed="false">
      <c r="A394" s="11"/>
      <c r="B394" s="8"/>
      <c r="C394" s="8"/>
      <c r="D394" s="8"/>
      <c r="E394" s="8"/>
      <c r="F394" s="8"/>
      <c r="G394" s="8"/>
      <c r="H394" s="8"/>
      <c r="I394" s="12" t="str">
        <f aca="false">IF($T394,D394-N(E394),"")</f>
        <v/>
      </c>
      <c r="J394" s="12" t="str">
        <f aca="false">IF($T394,I394-N(F394),"")</f>
        <v/>
      </c>
      <c r="K394" s="13" t="str">
        <f aca="false">IF($C394="","",IF(SUMPRODUCT(--(Setup!$A$5:$A$24=$C394))&gt;0,INDEX(Setup!$B$5:$B$24,21-SUMPRODUCT(MAX((Setup!$A$5:$A$24=$C394)*(25-ROW(Setup!$A$5:$A$24))))),""))</f>
        <v/>
      </c>
      <c r="L394" s="13" t="str">
        <f aca="false">IF($T394,K394*G394/60,"")</f>
        <v/>
      </c>
      <c r="M394" s="12" t="str">
        <f aca="false">IF($T394,G394-N(H394),"")</f>
        <v/>
      </c>
      <c r="N394" s="14" t="str">
        <f aca="false">IF($T394,J394/I394,"")</f>
        <v/>
      </c>
      <c r="O394" s="14" t="str">
        <f aca="false">IF(AND($T394,N(J394)&gt;0),L394/J394,"")</f>
        <v/>
      </c>
      <c r="P394" s="14" t="str">
        <f aca="false">IF(AND($T394,N(G394)&gt;0),M394/G394,"")</f>
        <v/>
      </c>
      <c r="Q394" s="14" t="str">
        <f aca="false">IF($T394,S394/I394,"")</f>
        <v/>
      </c>
      <c r="R394" s="10" t="str">
        <f aca="false">IF($C394="","",IF(NOT(SUMPRODUCT(--(Setup!$A$5:$A$24=$C394))&gt;0),"Machine not in Setup",IF(OR(NOT(ISNUMBER(K394)),N(K394)&lt;=0),"Set an ideal cycle time in Setup",IF(NOT(ISNUMBER(A394)),"Enter a date",IF(OR(NOT(ISNUMBER(D394)),NOT(ISNUMBER(G394)),AND(E394&lt;&gt;"",NOT(ISNUMBER(E394))),AND(F394&lt;&gt;"",NOT(ISNUMBER(F394))),AND(H394&lt;&gt;"",NOT(ISNUMBER(H394)))),"Enter numbers: shift length and total parts are required",IF(OR(N(D394)&lt;=0,N(E394)&lt;0,N(F394)&lt;0,N(G394)&lt;0,N(H394)&lt;0),"Values must be 0 or more (shift length above 0)",IF(N(H394)&gt;N(G394),"Rejects &gt; total parts",IF(N(E394)&gt;=N(D394),"Planned stops &gt;= shift length",IF(N(F394)&gt;N(D394)-N(E394),"Downtime &gt; planned time",IF(AND(ISNUMBER(O394),O394&gt;1),"Check: performance above 100%","OK"))))))))))</f>
        <v/>
      </c>
      <c r="S394" s="13" t="str">
        <f aca="false">IF($T394,K394*M394/60,"")</f>
        <v/>
      </c>
      <c r="T394" s="15" t="b">
        <f aca="false">IF($C394="",FALSE(),AND(SUMPRODUCT(--(Setup!$A$5:$A$24=$C394))&gt;0,ISNUMBER(A394),ISNUMBER(K394),N(K394)&gt;0,ISNUMBER(D394),N(D394)&gt;0,ISNUMBER(G394),N(G394)&gt;=0,OR(E394="",ISNUMBER(E394)),OR(F394="",ISNUMBER(F394)),OR(H394="",ISNUMBER(H394)),N(E394)&gt;=0,N(F394)&gt;=0,N(H394)&gt;=0,N(H394)&lt;=N(G394),N(E394)&lt;N(D394),N(F394)&lt;=N(D394)-N(E394)))</f>
        <v>0</v>
      </c>
    </row>
    <row r="395" customFormat="false" ht="15" hidden="false" customHeight="false" outlineLevel="0" collapsed="false">
      <c r="A395" s="11"/>
      <c r="B395" s="8"/>
      <c r="C395" s="8"/>
      <c r="D395" s="8"/>
      <c r="E395" s="8"/>
      <c r="F395" s="8"/>
      <c r="G395" s="8"/>
      <c r="H395" s="8"/>
      <c r="I395" s="12" t="str">
        <f aca="false">IF($T395,D395-N(E395),"")</f>
        <v/>
      </c>
      <c r="J395" s="12" t="str">
        <f aca="false">IF($T395,I395-N(F395),"")</f>
        <v/>
      </c>
      <c r="K395" s="13" t="str">
        <f aca="false">IF($C395="","",IF(SUMPRODUCT(--(Setup!$A$5:$A$24=$C395))&gt;0,INDEX(Setup!$B$5:$B$24,21-SUMPRODUCT(MAX((Setup!$A$5:$A$24=$C395)*(25-ROW(Setup!$A$5:$A$24))))),""))</f>
        <v/>
      </c>
      <c r="L395" s="13" t="str">
        <f aca="false">IF($T395,K395*G395/60,"")</f>
        <v/>
      </c>
      <c r="M395" s="12" t="str">
        <f aca="false">IF($T395,G395-N(H395),"")</f>
        <v/>
      </c>
      <c r="N395" s="14" t="str">
        <f aca="false">IF($T395,J395/I395,"")</f>
        <v/>
      </c>
      <c r="O395" s="14" t="str">
        <f aca="false">IF(AND($T395,N(J395)&gt;0),L395/J395,"")</f>
        <v/>
      </c>
      <c r="P395" s="14" t="str">
        <f aca="false">IF(AND($T395,N(G395)&gt;0),M395/G395,"")</f>
        <v/>
      </c>
      <c r="Q395" s="14" t="str">
        <f aca="false">IF($T395,S395/I395,"")</f>
        <v/>
      </c>
      <c r="R395" s="10" t="str">
        <f aca="false">IF($C395="","",IF(NOT(SUMPRODUCT(--(Setup!$A$5:$A$24=$C395))&gt;0),"Machine not in Setup",IF(OR(NOT(ISNUMBER(K395)),N(K395)&lt;=0),"Set an ideal cycle time in Setup",IF(NOT(ISNUMBER(A395)),"Enter a date",IF(OR(NOT(ISNUMBER(D395)),NOT(ISNUMBER(G395)),AND(E395&lt;&gt;"",NOT(ISNUMBER(E395))),AND(F395&lt;&gt;"",NOT(ISNUMBER(F395))),AND(H395&lt;&gt;"",NOT(ISNUMBER(H395)))),"Enter numbers: shift length and total parts are required",IF(OR(N(D395)&lt;=0,N(E395)&lt;0,N(F395)&lt;0,N(G395)&lt;0,N(H395)&lt;0),"Values must be 0 or more (shift length above 0)",IF(N(H395)&gt;N(G395),"Rejects &gt; total parts",IF(N(E395)&gt;=N(D395),"Planned stops &gt;= shift length",IF(N(F395)&gt;N(D395)-N(E395),"Downtime &gt; planned time",IF(AND(ISNUMBER(O395),O395&gt;1),"Check: performance above 100%","OK"))))))))))</f>
        <v/>
      </c>
      <c r="S395" s="13" t="str">
        <f aca="false">IF($T395,K395*M395/60,"")</f>
        <v/>
      </c>
      <c r="T395" s="15" t="b">
        <f aca="false">IF($C395="",FALSE(),AND(SUMPRODUCT(--(Setup!$A$5:$A$24=$C395))&gt;0,ISNUMBER(A395),ISNUMBER(K395),N(K395)&gt;0,ISNUMBER(D395),N(D395)&gt;0,ISNUMBER(G395),N(G395)&gt;=0,OR(E395="",ISNUMBER(E395)),OR(F395="",ISNUMBER(F395)),OR(H395="",ISNUMBER(H395)),N(E395)&gt;=0,N(F395)&gt;=0,N(H395)&gt;=0,N(H395)&lt;=N(G395),N(E395)&lt;N(D395),N(F395)&lt;=N(D395)-N(E395)))</f>
        <v>0</v>
      </c>
    </row>
    <row r="396" customFormat="false" ht="15" hidden="false" customHeight="false" outlineLevel="0" collapsed="false">
      <c r="A396" s="11"/>
      <c r="B396" s="8"/>
      <c r="C396" s="8"/>
      <c r="D396" s="8"/>
      <c r="E396" s="8"/>
      <c r="F396" s="8"/>
      <c r="G396" s="8"/>
      <c r="H396" s="8"/>
      <c r="I396" s="12" t="str">
        <f aca="false">IF($T396,D396-N(E396),"")</f>
        <v/>
      </c>
      <c r="J396" s="12" t="str">
        <f aca="false">IF($T396,I396-N(F396),"")</f>
        <v/>
      </c>
      <c r="K396" s="13" t="str">
        <f aca="false">IF($C396="","",IF(SUMPRODUCT(--(Setup!$A$5:$A$24=$C396))&gt;0,INDEX(Setup!$B$5:$B$24,21-SUMPRODUCT(MAX((Setup!$A$5:$A$24=$C396)*(25-ROW(Setup!$A$5:$A$24))))),""))</f>
        <v/>
      </c>
      <c r="L396" s="13" t="str">
        <f aca="false">IF($T396,K396*G396/60,"")</f>
        <v/>
      </c>
      <c r="M396" s="12" t="str">
        <f aca="false">IF($T396,G396-N(H396),"")</f>
        <v/>
      </c>
      <c r="N396" s="14" t="str">
        <f aca="false">IF($T396,J396/I396,"")</f>
        <v/>
      </c>
      <c r="O396" s="14" t="str">
        <f aca="false">IF(AND($T396,N(J396)&gt;0),L396/J396,"")</f>
        <v/>
      </c>
      <c r="P396" s="14" t="str">
        <f aca="false">IF(AND($T396,N(G396)&gt;0),M396/G396,"")</f>
        <v/>
      </c>
      <c r="Q396" s="14" t="str">
        <f aca="false">IF($T396,S396/I396,"")</f>
        <v/>
      </c>
      <c r="R396" s="10" t="str">
        <f aca="false">IF($C396="","",IF(NOT(SUMPRODUCT(--(Setup!$A$5:$A$24=$C396))&gt;0),"Machine not in Setup",IF(OR(NOT(ISNUMBER(K396)),N(K396)&lt;=0),"Set an ideal cycle time in Setup",IF(NOT(ISNUMBER(A396)),"Enter a date",IF(OR(NOT(ISNUMBER(D396)),NOT(ISNUMBER(G396)),AND(E396&lt;&gt;"",NOT(ISNUMBER(E396))),AND(F396&lt;&gt;"",NOT(ISNUMBER(F396))),AND(H396&lt;&gt;"",NOT(ISNUMBER(H396)))),"Enter numbers: shift length and total parts are required",IF(OR(N(D396)&lt;=0,N(E396)&lt;0,N(F396)&lt;0,N(G396)&lt;0,N(H396)&lt;0),"Values must be 0 or more (shift length above 0)",IF(N(H396)&gt;N(G396),"Rejects &gt; total parts",IF(N(E396)&gt;=N(D396),"Planned stops &gt;= shift length",IF(N(F396)&gt;N(D396)-N(E396),"Downtime &gt; planned time",IF(AND(ISNUMBER(O396),O396&gt;1),"Check: performance above 100%","OK"))))))))))</f>
        <v/>
      </c>
      <c r="S396" s="13" t="str">
        <f aca="false">IF($T396,K396*M396/60,"")</f>
        <v/>
      </c>
      <c r="T396" s="15" t="b">
        <f aca="false">IF($C396="",FALSE(),AND(SUMPRODUCT(--(Setup!$A$5:$A$24=$C396))&gt;0,ISNUMBER(A396),ISNUMBER(K396),N(K396)&gt;0,ISNUMBER(D396),N(D396)&gt;0,ISNUMBER(G396),N(G396)&gt;=0,OR(E396="",ISNUMBER(E396)),OR(F396="",ISNUMBER(F396)),OR(H396="",ISNUMBER(H396)),N(E396)&gt;=0,N(F396)&gt;=0,N(H396)&gt;=0,N(H396)&lt;=N(G396),N(E396)&lt;N(D396),N(F396)&lt;=N(D396)-N(E396)))</f>
        <v>0</v>
      </c>
    </row>
    <row r="397" customFormat="false" ht="15" hidden="false" customHeight="false" outlineLevel="0" collapsed="false">
      <c r="A397" s="11"/>
      <c r="B397" s="8"/>
      <c r="C397" s="8"/>
      <c r="D397" s="8"/>
      <c r="E397" s="8"/>
      <c r="F397" s="8"/>
      <c r="G397" s="8"/>
      <c r="H397" s="8"/>
      <c r="I397" s="12" t="str">
        <f aca="false">IF($T397,D397-N(E397),"")</f>
        <v/>
      </c>
      <c r="J397" s="12" t="str">
        <f aca="false">IF($T397,I397-N(F397),"")</f>
        <v/>
      </c>
      <c r="K397" s="13" t="str">
        <f aca="false">IF($C397="","",IF(SUMPRODUCT(--(Setup!$A$5:$A$24=$C397))&gt;0,INDEX(Setup!$B$5:$B$24,21-SUMPRODUCT(MAX((Setup!$A$5:$A$24=$C397)*(25-ROW(Setup!$A$5:$A$24))))),""))</f>
        <v/>
      </c>
      <c r="L397" s="13" t="str">
        <f aca="false">IF($T397,K397*G397/60,"")</f>
        <v/>
      </c>
      <c r="M397" s="12" t="str">
        <f aca="false">IF($T397,G397-N(H397),"")</f>
        <v/>
      </c>
      <c r="N397" s="14" t="str">
        <f aca="false">IF($T397,J397/I397,"")</f>
        <v/>
      </c>
      <c r="O397" s="14" t="str">
        <f aca="false">IF(AND($T397,N(J397)&gt;0),L397/J397,"")</f>
        <v/>
      </c>
      <c r="P397" s="14" t="str">
        <f aca="false">IF(AND($T397,N(G397)&gt;0),M397/G397,"")</f>
        <v/>
      </c>
      <c r="Q397" s="14" t="str">
        <f aca="false">IF($T397,S397/I397,"")</f>
        <v/>
      </c>
      <c r="R397" s="10" t="str">
        <f aca="false">IF($C397="","",IF(NOT(SUMPRODUCT(--(Setup!$A$5:$A$24=$C397))&gt;0),"Machine not in Setup",IF(OR(NOT(ISNUMBER(K397)),N(K397)&lt;=0),"Set an ideal cycle time in Setup",IF(NOT(ISNUMBER(A397)),"Enter a date",IF(OR(NOT(ISNUMBER(D397)),NOT(ISNUMBER(G397)),AND(E397&lt;&gt;"",NOT(ISNUMBER(E397))),AND(F397&lt;&gt;"",NOT(ISNUMBER(F397))),AND(H397&lt;&gt;"",NOT(ISNUMBER(H397)))),"Enter numbers: shift length and total parts are required",IF(OR(N(D397)&lt;=0,N(E397)&lt;0,N(F397)&lt;0,N(G397)&lt;0,N(H397)&lt;0),"Values must be 0 or more (shift length above 0)",IF(N(H397)&gt;N(G397),"Rejects &gt; total parts",IF(N(E397)&gt;=N(D397),"Planned stops &gt;= shift length",IF(N(F397)&gt;N(D397)-N(E397),"Downtime &gt; planned time",IF(AND(ISNUMBER(O397),O397&gt;1),"Check: performance above 100%","OK"))))))))))</f>
        <v/>
      </c>
      <c r="S397" s="13" t="str">
        <f aca="false">IF($T397,K397*M397/60,"")</f>
        <v/>
      </c>
      <c r="T397" s="15" t="b">
        <f aca="false">IF($C397="",FALSE(),AND(SUMPRODUCT(--(Setup!$A$5:$A$24=$C397))&gt;0,ISNUMBER(A397),ISNUMBER(K397),N(K397)&gt;0,ISNUMBER(D397),N(D397)&gt;0,ISNUMBER(G397),N(G397)&gt;=0,OR(E397="",ISNUMBER(E397)),OR(F397="",ISNUMBER(F397)),OR(H397="",ISNUMBER(H397)),N(E397)&gt;=0,N(F397)&gt;=0,N(H397)&gt;=0,N(H397)&lt;=N(G397),N(E397)&lt;N(D397),N(F397)&lt;=N(D397)-N(E397)))</f>
        <v>0</v>
      </c>
    </row>
    <row r="398" customFormat="false" ht="15" hidden="false" customHeight="false" outlineLevel="0" collapsed="false">
      <c r="A398" s="11"/>
      <c r="B398" s="8"/>
      <c r="C398" s="8"/>
      <c r="D398" s="8"/>
      <c r="E398" s="8"/>
      <c r="F398" s="8"/>
      <c r="G398" s="8"/>
      <c r="H398" s="8"/>
      <c r="I398" s="12" t="str">
        <f aca="false">IF($T398,D398-N(E398),"")</f>
        <v/>
      </c>
      <c r="J398" s="12" t="str">
        <f aca="false">IF($T398,I398-N(F398),"")</f>
        <v/>
      </c>
      <c r="K398" s="13" t="str">
        <f aca="false">IF($C398="","",IF(SUMPRODUCT(--(Setup!$A$5:$A$24=$C398))&gt;0,INDEX(Setup!$B$5:$B$24,21-SUMPRODUCT(MAX((Setup!$A$5:$A$24=$C398)*(25-ROW(Setup!$A$5:$A$24))))),""))</f>
        <v/>
      </c>
      <c r="L398" s="13" t="str">
        <f aca="false">IF($T398,K398*G398/60,"")</f>
        <v/>
      </c>
      <c r="M398" s="12" t="str">
        <f aca="false">IF($T398,G398-N(H398),"")</f>
        <v/>
      </c>
      <c r="N398" s="14" t="str">
        <f aca="false">IF($T398,J398/I398,"")</f>
        <v/>
      </c>
      <c r="O398" s="14" t="str">
        <f aca="false">IF(AND($T398,N(J398)&gt;0),L398/J398,"")</f>
        <v/>
      </c>
      <c r="P398" s="14" t="str">
        <f aca="false">IF(AND($T398,N(G398)&gt;0),M398/G398,"")</f>
        <v/>
      </c>
      <c r="Q398" s="14" t="str">
        <f aca="false">IF($T398,S398/I398,"")</f>
        <v/>
      </c>
      <c r="R398" s="10" t="str">
        <f aca="false">IF($C398="","",IF(NOT(SUMPRODUCT(--(Setup!$A$5:$A$24=$C398))&gt;0),"Machine not in Setup",IF(OR(NOT(ISNUMBER(K398)),N(K398)&lt;=0),"Set an ideal cycle time in Setup",IF(NOT(ISNUMBER(A398)),"Enter a date",IF(OR(NOT(ISNUMBER(D398)),NOT(ISNUMBER(G398)),AND(E398&lt;&gt;"",NOT(ISNUMBER(E398))),AND(F398&lt;&gt;"",NOT(ISNUMBER(F398))),AND(H398&lt;&gt;"",NOT(ISNUMBER(H398)))),"Enter numbers: shift length and total parts are required",IF(OR(N(D398)&lt;=0,N(E398)&lt;0,N(F398)&lt;0,N(G398)&lt;0,N(H398)&lt;0),"Values must be 0 or more (shift length above 0)",IF(N(H398)&gt;N(G398),"Rejects &gt; total parts",IF(N(E398)&gt;=N(D398),"Planned stops &gt;= shift length",IF(N(F398)&gt;N(D398)-N(E398),"Downtime &gt; planned time",IF(AND(ISNUMBER(O398),O398&gt;1),"Check: performance above 100%","OK"))))))))))</f>
        <v/>
      </c>
      <c r="S398" s="13" t="str">
        <f aca="false">IF($T398,K398*M398/60,"")</f>
        <v/>
      </c>
      <c r="T398" s="15" t="b">
        <f aca="false">IF($C398="",FALSE(),AND(SUMPRODUCT(--(Setup!$A$5:$A$24=$C398))&gt;0,ISNUMBER(A398),ISNUMBER(K398),N(K398)&gt;0,ISNUMBER(D398),N(D398)&gt;0,ISNUMBER(G398),N(G398)&gt;=0,OR(E398="",ISNUMBER(E398)),OR(F398="",ISNUMBER(F398)),OR(H398="",ISNUMBER(H398)),N(E398)&gt;=0,N(F398)&gt;=0,N(H398)&gt;=0,N(H398)&lt;=N(G398),N(E398)&lt;N(D398),N(F398)&lt;=N(D398)-N(E398)))</f>
        <v>0</v>
      </c>
    </row>
    <row r="399" customFormat="false" ht="15" hidden="false" customHeight="false" outlineLevel="0" collapsed="false">
      <c r="A399" s="11"/>
      <c r="B399" s="8"/>
      <c r="C399" s="8"/>
      <c r="D399" s="8"/>
      <c r="E399" s="8"/>
      <c r="F399" s="8"/>
      <c r="G399" s="8"/>
      <c r="H399" s="8"/>
      <c r="I399" s="12" t="str">
        <f aca="false">IF($T399,D399-N(E399),"")</f>
        <v/>
      </c>
      <c r="J399" s="12" t="str">
        <f aca="false">IF($T399,I399-N(F399),"")</f>
        <v/>
      </c>
      <c r="K399" s="13" t="str">
        <f aca="false">IF($C399="","",IF(SUMPRODUCT(--(Setup!$A$5:$A$24=$C399))&gt;0,INDEX(Setup!$B$5:$B$24,21-SUMPRODUCT(MAX((Setup!$A$5:$A$24=$C399)*(25-ROW(Setup!$A$5:$A$24))))),""))</f>
        <v/>
      </c>
      <c r="L399" s="13" t="str">
        <f aca="false">IF($T399,K399*G399/60,"")</f>
        <v/>
      </c>
      <c r="M399" s="12" t="str">
        <f aca="false">IF($T399,G399-N(H399),"")</f>
        <v/>
      </c>
      <c r="N399" s="14" t="str">
        <f aca="false">IF($T399,J399/I399,"")</f>
        <v/>
      </c>
      <c r="O399" s="14" t="str">
        <f aca="false">IF(AND($T399,N(J399)&gt;0),L399/J399,"")</f>
        <v/>
      </c>
      <c r="P399" s="14" t="str">
        <f aca="false">IF(AND($T399,N(G399)&gt;0),M399/G399,"")</f>
        <v/>
      </c>
      <c r="Q399" s="14" t="str">
        <f aca="false">IF($T399,S399/I399,"")</f>
        <v/>
      </c>
      <c r="R399" s="10" t="str">
        <f aca="false">IF($C399="","",IF(NOT(SUMPRODUCT(--(Setup!$A$5:$A$24=$C399))&gt;0),"Machine not in Setup",IF(OR(NOT(ISNUMBER(K399)),N(K399)&lt;=0),"Set an ideal cycle time in Setup",IF(NOT(ISNUMBER(A399)),"Enter a date",IF(OR(NOT(ISNUMBER(D399)),NOT(ISNUMBER(G399)),AND(E399&lt;&gt;"",NOT(ISNUMBER(E399))),AND(F399&lt;&gt;"",NOT(ISNUMBER(F399))),AND(H399&lt;&gt;"",NOT(ISNUMBER(H399)))),"Enter numbers: shift length and total parts are required",IF(OR(N(D399)&lt;=0,N(E399)&lt;0,N(F399)&lt;0,N(G399)&lt;0,N(H399)&lt;0),"Values must be 0 or more (shift length above 0)",IF(N(H399)&gt;N(G399),"Rejects &gt; total parts",IF(N(E399)&gt;=N(D399),"Planned stops &gt;= shift length",IF(N(F399)&gt;N(D399)-N(E399),"Downtime &gt; planned time",IF(AND(ISNUMBER(O399),O399&gt;1),"Check: performance above 100%","OK"))))))))))</f>
        <v/>
      </c>
      <c r="S399" s="13" t="str">
        <f aca="false">IF($T399,K399*M399/60,"")</f>
        <v/>
      </c>
      <c r="T399" s="15" t="b">
        <f aca="false">IF($C399="",FALSE(),AND(SUMPRODUCT(--(Setup!$A$5:$A$24=$C399))&gt;0,ISNUMBER(A399),ISNUMBER(K399),N(K399)&gt;0,ISNUMBER(D399),N(D399)&gt;0,ISNUMBER(G399),N(G399)&gt;=0,OR(E399="",ISNUMBER(E399)),OR(F399="",ISNUMBER(F399)),OR(H399="",ISNUMBER(H399)),N(E399)&gt;=0,N(F399)&gt;=0,N(H399)&gt;=0,N(H399)&lt;=N(G399),N(E399)&lt;N(D399),N(F399)&lt;=N(D399)-N(E399)))</f>
        <v>0</v>
      </c>
    </row>
    <row r="400" customFormat="false" ht="15" hidden="false" customHeight="false" outlineLevel="0" collapsed="false">
      <c r="A400" s="11"/>
      <c r="B400" s="8"/>
      <c r="C400" s="8"/>
      <c r="D400" s="8"/>
      <c r="E400" s="8"/>
      <c r="F400" s="8"/>
      <c r="G400" s="8"/>
      <c r="H400" s="8"/>
      <c r="I400" s="12" t="str">
        <f aca="false">IF($T400,D400-N(E400),"")</f>
        <v/>
      </c>
      <c r="J400" s="12" t="str">
        <f aca="false">IF($T400,I400-N(F400),"")</f>
        <v/>
      </c>
      <c r="K400" s="13" t="str">
        <f aca="false">IF($C400="","",IF(SUMPRODUCT(--(Setup!$A$5:$A$24=$C400))&gt;0,INDEX(Setup!$B$5:$B$24,21-SUMPRODUCT(MAX((Setup!$A$5:$A$24=$C400)*(25-ROW(Setup!$A$5:$A$24))))),""))</f>
        <v/>
      </c>
      <c r="L400" s="13" t="str">
        <f aca="false">IF($T400,K400*G400/60,"")</f>
        <v/>
      </c>
      <c r="M400" s="12" t="str">
        <f aca="false">IF($T400,G400-N(H400),"")</f>
        <v/>
      </c>
      <c r="N400" s="14" t="str">
        <f aca="false">IF($T400,J400/I400,"")</f>
        <v/>
      </c>
      <c r="O400" s="14" t="str">
        <f aca="false">IF(AND($T400,N(J400)&gt;0),L400/J400,"")</f>
        <v/>
      </c>
      <c r="P400" s="14" t="str">
        <f aca="false">IF(AND($T400,N(G400)&gt;0),M400/G400,"")</f>
        <v/>
      </c>
      <c r="Q400" s="14" t="str">
        <f aca="false">IF($T400,S400/I400,"")</f>
        <v/>
      </c>
      <c r="R400" s="10" t="str">
        <f aca="false">IF($C400="","",IF(NOT(SUMPRODUCT(--(Setup!$A$5:$A$24=$C400))&gt;0),"Machine not in Setup",IF(OR(NOT(ISNUMBER(K400)),N(K400)&lt;=0),"Set an ideal cycle time in Setup",IF(NOT(ISNUMBER(A400)),"Enter a date",IF(OR(NOT(ISNUMBER(D400)),NOT(ISNUMBER(G400)),AND(E400&lt;&gt;"",NOT(ISNUMBER(E400))),AND(F400&lt;&gt;"",NOT(ISNUMBER(F400))),AND(H400&lt;&gt;"",NOT(ISNUMBER(H400)))),"Enter numbers: shift length and total parts are required",IF(OR(N(D400)&lt;=0,N(E400)&lt;0,N(F400)&lt;0,N(G400)&lt;0,N(H400)&lt;0),"Values must be 0 or more (shift length above 0)",IF(N(H400)&gt;N(G400),"Rejects &gt; total parts",IF(N(E400)&gt;=N(D400),"Planned stops &gt;= shift length",IF(N(F400)&gt;N(D400)-N(E400),"Downtime &gt; planned time",IF(AND(ISNUMBER(O400),O400&gt;1),"Check: performance above 100%","OK"))))))))))</f>
        <v/>
      </c>
      <c r="S400" s="13" t="str">
        <f aca="false">IF($T400,K400*M400/60,"")</f>
        <v/>
      </c>
      <c r="T400" s="15" t="b">
        <f aca="false">IF($C400="",FALSE(),AND(SUMPRODUCT(--(Setup!$A$5:$A$24=$C400))&gt;0,ISNUMBER(A400),ISNUMBER(K400),N(K400)&gt;0,ISNUMBER(D400),N(D400)&gt;0,ISNUMBER(G400),N(G400)&gt;=0,OR(E400="",ISNUMBER(E400)),OR(F400="",ISNUMBER(F400)),OR(H400="",ISNUMBER(H400)),N(E400)&gt;=0,N(F400)&gt;=0,N(H400)&gt;=0,N(H400)&lt;=N(G400),N(E400)&lt;N(D400),N(F400)&lt;=N(D400)-N(E400)))</f>
        <v>0</v>
      </c>
    </row>
    <row r="401" customFormat="false" ht="15" hidden="false" customHeight="false" outlineLevel="0" collapsed="false">
      <c r="A401" s="11"/>
      <c r="B401" s="8"/>
      <c r="C401" s="8"/>
      <c r="D401" s="8"/>
      <c r="E401" s="8"/>
      <c r="F401" s="8"/>
      <c r="G401" s="8"/>
      <c r="H401" s="8"/>
      <c r="I401" s="12" t="str">
        <f aca="false">IF($T401,D401-N(E401),"")</f>
        <v/>
      </c>
      <c r="J401" s="12" t="str">
        <f aca="false">IF($T401,I401-N(F401),"")</f>
        <v/>
      </c>
      <c r="K401" s="13" t="str">
        <f aca="false">IF($C401="","",IF(SUMPRODUCT(--(Setup!$A$5:$A$24=$C401))&gt;0,INDEX(Setup!$B$5:$B$24,21-SUMPRODUCT(MAX((Setup!$A$5:$A$24=$C401)*(25-ROW(Setup!$A$5:$A$24))))),""))</f>
        <v/>
      </c>
      <c r="L401" s="13" t="str">
        <f aca="false">IF($T401,K401*G401/60,"")</f>
        <v/>
      </c>
      <c r="M401" s="12" t="str">
        <f aca="false">IF($T401,G401-N(H401),"")</f>
        <v/>
      </c>
      <c r="N401" s="14" t="str">
        <f aca="false">IF($T401,J401/I401,"")</f>
        <v/>
      </c>
      <c r="O401" s="14" t="str">
        <f aca="false">IF(AND($T401,N(J401)&gt;0),L401/J401,"")</f>
        <v/>
      </c>
      <c r="P401" s="14" t="str">
        <f aca="false">IF(AND($T401,N(G401)&gt;0),M401/G401,"")</f>
        <v/>
      </c>
      <c r="Q401" s="14" t="str">
        <f aca="false">IF($T401,S401/I401,"")</f>
        <v/>
      </c>
      <c r="R401" s="10" t="str">
        <f aca="false">IF($C401="","",IF(NOT(SUMPRODUCT(--(Setup!$A$5:$A$24=$C401))&gt;0),"Machine not in Setup",IF(OR(NOT(ISNUMBER(K401)),N(K401)&lt;=0),"Set an ideal cycle time in Setup",IF(NOT(ISNUMBER(A401)),"Enter a date",IF(OR(NOT(ISNUMBER(D401)),NOT(ISNUMBER(G401)),AND(E401&lt;&gt;"",NOT(ISNUMBER(E401))),AND(F401&lt;&gt;"",NOT(ISNUMBER(F401))),AND(H401&lt;&gt;"",NOT(ISNUMBER(H401)))),"Enter numbers: shift length and total parts are required",IF(OR(N(D401)&lt;=0,N(E401)&lt;0,N(F401)&lt;0,N(G401)&lt;0,N(H401)&lt;0),"Values must be 0 or more (shift length above 0)",IF(N(H401)&gt;N(G401),"Rejects &gt; total parts",IF(N(E401)&gt;=N(D401),"Planned stops &gt;= shift length",IF(N(F401)&gt;N(D401)-N(E401),"Downtime &gt; planned time",IF(AND(ISNUMBER(O401),O401&gt;1),"Check: performance above 100%","OK"))))))))))</f>
        <v/>
      </c>
      <c r="S401" s="13" t="str">
        <f aca="false">IF($T401,K401*M401/60,"")</f>
        <v/>
      </c>
      <c r="T401" s="15" t="b">
        <f aca="false">IF($C401="",FALSE(),AND(SUMPRODUCT(--(Setup!$A$5:$A$24=$C401))&gt;0,ISNUMBER(A401),ISNUMBER(K401),N(K401)&gt;0,ISNUMBER(D401),N(D401)&gt;0,ISNUMBER(G401),N(G401)&gt;=0,OR(E401="",ISNUMBER(E401)),OR(F401="",ISNUMBER(F401)),OR(H401="",ISNUMBER(H401)),N(E401)&gt;=0,N(F401)&gt;=0,N(H401)&gt;=0,N(H401)&lt;=N(G401),N(E401)&lt;N(D401),N(F401)&lt;=N(D401)-N(E401)))</f>
        <v>0</v>
      </c>
    </row>
    <row r="402" customFormat="false" ht="15" hidden="false" customHeight="false" outlineLevel="0" collapsed="false">
      <c r="A402" s="11"/>
      <c r="B402" s="8"/>
      <c r="C402" s="8"/>
      <c r="D402" s="8"/>
      <c r="E402" s="8"/>
      <c r="F402" s="8"/>
      <c r="G402" s="8"/>
      <c r="H402" s="8"/>
      <c r="I402" s="12" t="str">
        <f aca="false">IF($T402,D402-N(E402),"")</f>
        <v/>
      </c>
      <c r="J402" s="12" t="str">
        <f aca="false">IF($T402,I402-N(F402),"")</f>
        <v/>
      </c>
      <c r="K402" s="13" t="str">
        <f aca="false">IF($C402="","",IF(SUMPRODUCT(--(Setup!$A$5:$A$24=$C402))&gt;0,INDEX(Setup!$B$5:$B$24,21-SUMPRODUCT(MAX((Setup!$A$5:$A$24=$C402)*(25-ROW(Setup!$A$5:$A$24))))),""))</f>
        <v/>
      </c>
      <c r="L402" s="13" t="str">
        <f aca="false">IF($T402,K402*G402/60,"")</f>
        <v/>
      </c>
      <c r="M402" s="12" t="str">
        <f aca="false">IF($T402,G402-N(H402),"")</f>
        <v/>
      </c>
      <c r="N402" s="14" t="str">
        <f aca="false">IF($T402,J402/I402,"")</f>
        <v/>
      </c>
      <c r="O402" s="14" t="str">
        <f aca="false">IF(AND($T402,N(J402)&gt;0),L402/J402,"")</f>
        <v/>
      </c>
      <c r="P402" s="14" t="str">
        <f aca="false">IF(AND($T402,N(G402)&gt;0),M402/G402,"")</f>
        <v/>
      </c>
      <c r="Q402" s="14" t="str">
        <f aca="false">IF($T402,S402/I402,"")</f>
        <v/>
      </c>
      <c r="R402" s="10" t="str">
        <f aca="false">IF($C402="","",IF(NOT(SUMPRODUCT(--(Setup!$A$5:$A$24=$C402))&gt;0),"Machine not in Setup",IF(OR(NOT(ISNUMBER(K402)),N(K402)&lt;=0),"Set an ideal cycle time in Setup",IF(NOT(ISNUMBER(A402)),"Enter a date",IF(OR(NOT(ISNUMBER(D402)),NOT(ISNUMBER(G402)),AND(E402&lt;&gt;"",NOT(ISNUMBER(E402))),AND(F402&lt;&gt;"",NOT(ISNUMBER(F402))),AND(H402&lt;&gt;"",NOT(ISNUMBER(H402)))),"Enter numbers: shift length and total parts are required",IF(OR(N(D402)&lt;=0,N(E402)&lt;0,N(F402)&lt;0,N(G402)&lt;0,N(H402)&lt;0),"Values must be 0 or more (shift length above 0)",IF(N(H402)&gt;N(G402),"Rejects &gt; total parts",IF(N(E402)&gt;=N(D402),"Planned stops &gt;= shift length",IF(N(F402)&gt;N(D402)-N(E402),"Downtime &gt; planned time",IF(AND(ISNUMBER(O402),O402&gt;1),"Check: performance above 100%","OK"))))))))))</f>
        <v/>
      </c>
      <c r="S402" s="13" t="str">
        <f aca="false">IF($T402,K402*M402/60,"")</f>
        <v/>
      </c>
      <c r="T402" s="15" t="b">
        <f aca="false">IF($C402="",FALSE(),AND(SUMPRODUCT(--(Setup!$A$5:$A$24=$C402))&gt;0,ISNUMBER(A402),ISNUMBER(K402),N(K402)&gt;0,ISNUMBER(D402),N(D402)&gt;0,ISNUMBER(G402),N(G402)&gt;=0,OR(E402="",ISNUMBER(E402)),OR(F402="",ISNUMBER(F402)),OR(H402="",ISNUMBER(H402)),N(E402)&gt;=0,N(F402)&gt;=0,N(H402)&gt;=0,N(H402)&lt;=N(G402),N(E402)&lt;N(D402),N(F402)&lt;=N(D402)-N(E402)))</f>
        <v>0</v>
      </c>
    </row>
    <row r="403" customFormat="false" ht="15" hidden="false" customHeight="false" outlineLevel="0" collapsed="false">
      <c r="A403" s="11"/>
      <c r="B403" s="8"/>
      <c r="C403" s="8"/>
      <c r="D403" s="8"/>
      <c r="E403" s="8"/>
      <c r="F403" s="8"/>
      <c r="G403" s="8"/>
      <c r="H403" s="8"/>
      <c r="I403" s="12" t="str">
        <f aca="false">IF($T403,D403-N(E403),"")</f>
        <v/>
      </c>
      <c r="J403" s="12" t="str">
        <f aca="false">IF($T403,I403-N(F403),"")</f>
        <v/>
      </c>
      <c r="K403" s="13" t="str">
        <f aca="false">IF($C403="","",IF(SUMPRODUCT(--(Setup!$A$5:$A$24=$C403))&gt;0,INDEX(Setup!$B$5:$B$24,21-SUMPRODUCT(MAX((Setup!$A$5:$A$24=$C403)*(25-ROW(Setup!$A$5:$A$24))))),""))</f>
        <v/>
      </c>
      <c r="L403" s="13" t="str">
        <f aca="false">IF($T403,K403*G403/60,"")</f>
        <v/>
      </c>
      <c r="M403" s="12" t="str">
        <f aca="false">IF($T403,G403-N(H403),"")</f>
        <v/>
      </c>
      <c r="N403" s="14" t="str">
        <f aca="false">IF($T403,J403/I403,"")</f>
        <v/>
      </c>
      <c r="O403" s="14" t="str">
        <f aca="false">IF(AND($T403,N(J403)&gt;0),L403/J403,"")</f>
        <v/>
      </c>
      <c r="P403" s="14" t="str">
        <f aca="false">IF(AND($T403,N(G403)&gt;0),M403/G403,"")</f>
        <v/>
      </c>
      <c r="Q403" s="14" t="str">
        <f aca="false">IF($T403,S403/I403,"")</f>
        <v/>
      </c>
      <c r="R403" s="10" t="str">
        <f aca="false">IF($C403="","",IF(NOT(SUMPRODUCT(--(Setup!$A$5:$A$24=$C403))&gt;0),"Machine not in Setup",IF(OR(NOT(ISNUMBER(K403)),N(K403)&lt;=0),"Set an ideal cycle time in Setup",IF(NOT(ISNUMBER(A403)),"Enter a date",IF(OR(NOT(ISNUMBER(D403)),NOT(ISNUMBER(G403)),AND(E403&lt;&gt;"",NOT(ISNUMBER(E403))),AND(F403&lt;&gt;"",NOT(ISNUMBER(F403))),AND(H403&lt;&gt;"",NOT(ISNUMBER(H403)))),"Enter numbers: shift length and total parts are required",IF(OR(N(D403)&lt;=0,N(E403)&lt;0,N(F403)&lt;0,N(G403)&lt;0,N(H403)&lt;0),"Values must be 0 or more (shift length above 0)",IF(N(H403)&gt;N(G403),"Rejects &gt; total parts",IF(N(E403)&gt;=N(D403),"Planned stops &gt;= shift length",IF(N(F403)&gt;N(D403)-N(E403),"Downtime &gt; planned time",IF(AND(ISNUMBER(O403),O403&gt;1),"Check: performance above 100%","OK"))))))))))</f>
        <v/>
      </c>
      <c r="S403" s="13" t="str">
        <f aca="false">IF($T403,K403*M403/60,"")</f>
        <v/>
      </c>
      <c r="T403" s="15" t="b">
        <f aca="false">IF($C403="",FALSE(),AND(SUMPRODUCT(--(Setup!$A$5:$A$24=$C403))&gt;0,ISNUMBER(A403),ISNUMBER(K403),N(K403)&gt;0,ISNUMBER(D403),N(D403)&gt;0,ISNUMBER(G403),N(G403)&gt;=0,OR(E403="",ISNUMBER(E403)),OR(F403="",ISNUMBER(F403)),OR(H403="",ISNUMBER(H403)),N(E403)&gt;=0,N(F403)&gt;=0,N(H403)&gt;=0,N(H403)&lt;=N(G403),N(E403)&lt;N(D403),N(F403)&lt;=N(D403)-N(E403)))</f>
        <v>0</v>
      </c>
    </row>
    <row r="404" customFormat="false" ht="15" hidden="false" customHeight="false" outlineLevel="0" collapsed="false">
      <c r="A404" s="11"/>
      <c r="B404" s="8"/>
      <c r="C404" s="8"/>
      <c r="D404" s="8"/>
      <c r="E404" s="8"/>
      <c r="F404" s="8"/>
      <c r="G404" s="8"/>
      <c r="H404" s="8"/>
      <c r="I404" s="12" t="str">
        <f aca="false">IF($T404,D404-N(E404),"")</f>
        <v/>
      </c>
      <c r="J404" s="12" t="str">
        <f aca="false">IF($T404,I404-N(F404),"")</f>
        <v/>
      </c>
      <c r="K404" s="13" t="str">
        <f aca="false">IF($C404="","",IF(SUMPRODUCT(--(Setup!$A$5:$A$24=$C404))&gt;0,INDEX(Setup!$B$5:$B$24,21-SUMPRODUCT(MAX((Setup!$A$5:$A$24=$C404)*(25-ROW(Setup!$A$5:$A$24))))),""))</f>
        <v/>
      </c>
      <c r="L404" s="13" t="str">
        <f aca="false">IF($T404,K404*G404/60,"")</f>
        <v/>
      </c>
      <c r="M404" s="12" t="str">
        <f aca="false">IF($T404,G404-N(H404),"")</f>
        <v/>
      </c>
      <c r="N404" s="14" t="str">
        <f aca="false">IF($T404,J404/I404,"")</f>
        <v/>
      </c>
      <c r="O404" s="14" t="str">
        <f aca="false">IF(AND($T404,N(J404)&gt;0),L404/J404,"")</f>
        <v/>
      </c>
      <c r="P404" s="14" t="str">
        <f aca="false">IF(AND($T404,N(G404)&gt;0),M404/G404,"")</f>
        <v/>
      </c>
      <c r="Q404" s="14" t="str">
        <f aca="false">IF($T404,S404/I404,"")</f>
        <v/>
      </c>
      <c r="R404" s="10" t="str">
        <f aca="false">IF($C404="","",IF(NOT(SUMPRODUCT(--(Setup!$A$5:$A$24=$C404))&gt;0),"Machine not in Setup",IF(OR(NOT(ISNUMBER(K404)),N(K404)&lt;=0),"Set an ideal cycle time in Setup",IF(NOT(ISNUMBER(A404)),"Enter a date",IF(OR(NOT(ISNUMBER(D404)),NOT(ISNUMBER(G404)),AND(E404&lt;&gt;"",NOT(ISNUMBER(E404))),AND(F404&lt;&gt;"",NOT(ISNUMBER(F404))),AND(H404&lt;&gt;"",NOT(ISNUMBER(H404)))),"Enter numbers: shift length and total parts are required",IF(OR(N(D404)&lt;=0,N(E404)&lt;0,N(F404)&lt;0,N(G404)&lt;0,N(H404)&lt;0),"Values must be 0 or more (shift length above 0)",IF(N(H404)&gt;N(G404),"Rejects &gt; total parts",IF(N(E404)&gt;=N(D404),"Planned stops &gt;= shift length",IF(N(F404)&gt;N(D404)-N(E404),"Downtime &gt; planned time",IF(AND(ISNUMBER(O404),O404&gt;1),"Check: performance above 100%","OK"))))))))))</f>
        <v/>
      </c>
      <c r="S404" s="13" t="str">
        <f aca="false">IF($T404,K404*M404/60,"")</f>
        <v/>
      </c>
      <c r="T404" s="15" t="b">
        <f aca="false">IF($C404="",FALSE(),AND(SUMPRODUCT(--(Setup!$A$5:$A$24=$C404))&gt;0,ISNUMBER(A404),ISNUMBER(K404),N(K404)&gt;0,ISNUMBER(D404),N(D404)&gt;0,ISNUMBER(G404),N(G404)&gt;=0,OR(E404="",ISNUMBER(E404)),OR(F404="",ISNUMBER(F404)),OR(H404="",ISNUMBER(H404)),N(E404)&gt;=0,N(F404)&gt;=0,N(H404)&gt;=0,N(H404)&lt;=N(G404),N(E404)&lt;N(D404),N(F404)&lt;=N(D404)-N(E404)))</f>
        <v>0</v>
      </c>
    </row>
    <row r="405" customFormat="false" ht="15" hidden="false" customHeight="false" outlineLevel="0" collapsed="false">
      <c r="A405" s="11"/>
      <c r="B405" s="8"/>
      <c r="C405" s="8"/>
      <c r="D405" s="8"/>
      <c r="E405" s="8"/>
      <c r="F405" s="8"/>
      <c r="G405" s="8"/>
      <c r="H405" s="8"/>
      <c r="I405" s="12" t="str">
        <f aca="false">IF($T405,D405-N(E405),"")</f>
        <v/>
      </c>
      <c r="J405" s="12" t="str">
        <f aca="false">IF($T405,I405-N(F405),"")</f>
        <v/>
      </c>
      <c r="K405" s="13" t="str">
        <f aca="false">IF($C405="","",IF(SUMPRODUCT(--(Setup!$A$5:$A$24=$C405))&gt;0,INDEX(Setup!$B$5:$B$24,21-SUMPRODUCT(MAX((Setup!$A$5:$A$24=$C405)*(25-ROW(Setup!$A$5:$A$24))))),""))</f>
        <v/>
      </c>
      <c r="L405" s="13" t="str">
        <f aca="false">IF($T405,K405*G405/60,"")</f>
        <v/>
      </c>
      <c r="M405" s="12" t="str">
        <f aca="false">IF($T405,G405-N(H405),"")</f>
        <v/>
      </c>
      <c r="N405" s="14" t="str">
        <f aca="false">IF($T405,J405/I405,"")</f>
        <v/>
      </c>
      <c r="O405" s="14" t="str">
        <f aca="false">IF(AND($T405,N(J405)&gt;0),L405/J405,"")</f>
        <v/>
      </c>
      <c r="P405" s="14" t="str">
        <f aca="false">IF(AND($T405,N(G405)&gt;0),M405/G405,"")</f>
        <v/>
      </c>
      <c r="Q405" s="14" t="str">
        <f aca="false">IF($T405,S405/I405,"")</f>
        <v/>
      </c>
      <c r="R405" s="10" t="str">
        <f aca="false">IF($C405="","",IF(NOT(SUMPRODUCT(--(Setup!$A$5:$A$24=$C405))&gt;0),"Machine not in Setup",IF(OR(NOT(ISNUMBER(K405)),N(K405)&lt;=0),"Set an ideal cycle time in Setup",IF(NOT(ISNUMBER(A405)),"Enter a date",IF(OR(NOT(ISNUMBER(D405)),NOT(ISNUMBER(G405)),AND(E405&lt;&gt;"",NOT(ISNUMBER(E405))),AND(F405&lt;&gt;"",NOT(ISNUMBER(F405))),AND(H405&lt;&gt;"",NOT(ISNUMBER(H405)))),"Enter numbers: shift length and total parts are required",IF(OR(N(D405)&lt;=0,N(E405)&lt;0,N(F405)&lt;0,N(G405)&lt;0,N(H405)&lt;0),"Values must be 0 or more (shift length above 0)",IF(N(H405)&gt;N(G405),"Rejects &gt; total parts",IF(N(E405)&gt;=N(D405),"Planned stops &gt;= shift length",IF(N(F405)&gt;N(D405)-N(E405),"Downtime &gt; planned time",IF(AND(ISNUMBER(O405),O405&gt;1),"Check: performance above 100%","OK"))))))))))</f>
        <v/>
      </c>
      <c r="S405" s="13" t="str">
        <f aca="false">IF($T405,K405*M405/60,"")</f>
        <v/>
      </c>
      <c r="T405" s="15" t="b">
        <f aca="false">IF($C405="",FALSE(),AND(SUMPRODUCT(--(Setup!$A$5:$A$24=$C405))&gt;0,ISNUMBER(A405),ISNUMBER(K405),N(K405)&gt;0,ISNUMBER(D405),N(D405)&gt;0,ISNUMBER(G405),N(G405)&gt;=0,OR(E405="",ISNUMBER(E405)),OR(F405="",ISNUMBER(F405)),OR(H405="",ISNUMBER(H405)),N(E405)&gt;=0,N(F405)&gt;=0,N(H405)&gt;=0,N(H405)&lt;=N(G405),N(E405)&lt;N(D405),N(F405)&lt;=N(D405)-N(E405)))</f>
        <v>0</v>
      </c>
    </row>
    <row r="406" customFormat="false" ht="15" hidden="false" customHeight="false" outlineLevel="0" collapsed="false">
      <c r="A406" s="11"/>
      <c r="B406" s="8"/>
      <c r="C406" s="8"/>
      <c r="D406" s="8"/>
      <c r="E406" s="8"/>
      <c r="F406" s="8"/>
      <c r="G406" s="8"/>
      <c r="H406" s="8"/>
      <c r="I406" s="12" t="str">
        <f aca="false">IF($T406,D406-N(E406),"")</f>
        <v/>
      </c>
      <c r="J406" s="12" t="str">
        <f aca="false">IF($T406,I406-N(F406),"")</f>
        <v/>
      </c>
      <c r="K406" s="13" t="str">
        <f aca="false">IF($C406="","",IF(SUMPRODUCT(--(Setup!$A$5:$A$24=$C406))&gt;0,INDEX(Setup!$B$5:$B$24,21-SUMPRODUCT(MAX((Setup!$A$5:$A$24=$C406)*(25-ROW(Setup!$A$5:$A$24))))),""))</f>
        <v/>
      </c>
      <c r="L406" s="13" t="str">
        <f aca="false">IF($T406,K406*G406/60,"")</f>
        <v/>
      </c>
      <c r="M406" s="12" t="str">
        <f aca="false">IF($T406,G406-N(H406),"")</f>
        <v/>
      </c>
      <c r="N406" s="14" t="str">
        <f aca="false">IF($T406,J406/I406,"")</f>
        <v/>
      </c>
      <c r="O406" s="14" t="str">
        <f aca="false">IF(AND($T406,N(J406)&gt;0),L406/J406,"")</f>
        <v/>
      </c>
      <c r="P406" s="14" t="str">
        <f aca="false">IF(AND($T406,N(G406)&gt;0),M406/G406,"")</f>
        <v/>
      </c>
      <c r="Q406" s="14" t="str">
        <f aca="false">IF($T406,S406/I406,"")</f>
        <v/>
      </c>
      <c r="R406" s="10" t="str">
        <f aca="false">IF($C406="","",IF(NOT(SUMPRODUCT(--(Setup!$A$5:$A$24=$C406))&gt;0),"Machine not in Setup",IF(OR(NOT(ISNUMBER(K406)),N(K406)&lt;=0),"Set an ideal cycle time in Setup",IF(NOT(ISNUMBER(A406)),"Enter a date",IF(OR(NOT(ISNUMBER(D406)),NOT(ISNUMBER(G406)),AND(E406&lt;&gt;"",NOT(ISNUMBER(E406))),AND(F406&lt;&gt;"",NOT(ISNUMBER(F406))),AND(H406&lt;&gt;"",NOT(ISNUMBER(H406)))),"Enter numbers: shift length and total parts are required",IF(OR(N(D406)&lt;=0,N(E406)&lt;0,N(F406)&lt;0,N(G406)&lt;0,N(H406)&lt;0),"Values must be 0 or more (shift length above 0)",IF(N(H406)&gt;N(G406),"Rejects &gt; total parts",IF(N(E406)&gt;=N(D406),"Planned stops &gt;= shift length",IF(N(F406)&gt;N(D406)-N(E406),"Downtime &gt; planned time",IF(AND(ISNUMBER(O406),O406&gt;1),"Check: performance above 100%","OK"))))))))))</f>
        <v/>
      </c>
      <c r="S406" s="13" t="str">
        <f aca="false">IF($T406,K406*M406/60,"")</f>
        <v/>
      </c>
      <c r="T406" s="15" t="b">
        <f aca="false">IF($C406="",FALSE(),AND(SUMPRODUCT(--(Setup!$A$5:$A$24=$C406))&gt;0,ISNUMBER(A406),ISNUMBER(K406),N(K406)&gt;0,ISNUMBER(D406),N(D406)&gt;0,ISNUMBER(G406),N(G406)&gt;=0,OR(E406="",ISNUMBER(E406)),OR(F406="",ISNUMBER(F406)),OR(H406="",ISNUMBER(H406)),N(E406)&gt;=0,N(F406)&gt;=0,N(H406)&gt;=0,N(H406)&lt;=N(G406),N(E406)&lt;N(D406),N(F406)&lt;=N(D406)-N(E406)))</f>
        <v>0</v>
      </c>
    </row>
    <row r="407" customFormat="false" ht="15" hidden="false" customHeight="false" outlineLevel="0" collapsed="false">
      <c r="A407" s="11"/>
      <c r="B407" s="8"/>
      <c r="C407" s="8"/>
      <c r="D407" s="8"/>
      <c r="E407" s="8"/>
      <c r="F407" s="8"/>
      <c r="G407" s="8"/>
      <c r="H407" s="8"/>
      <c r="I407" s="12" t="str">
        <f aca="false">IF($T407,D407-N(E407),"")</f>
        <v/>
      </c>
      <c r="J407" s="12" t="str">
        <f aca="false">IF($T407,I407-N(F407),"")</f>
        <v/>
      </c>
      <c r="K407" s="13" t="str">
        <f aca="false">IF($C407="","",IF(SUMPRODUCT(--(Setup!$A$5:$A$24=$C407))&gt;0,INDEX(Setup!$B$5:$B$24,21-SUMPRODUCT(MAX((Setup!$A$5:$A$24=$C407)*(25-ROW(Setup!$A$5:$A$24))))),""))</f>
        <v/>
      </c>
      <c r="L407" s="13" t="str">
        <f aca="false">IF($T407,K407*G407/60,"")</f>
        <v/>
      </c>
      <c r="M407" s="12" t="str">
        <f aca="false">IF($T407,G407-N(H407),"")</f>
        <v/>
      </c>
      <c r="N407" s="14" t="str">
        <f aca="false">IF($T407,J407/I407,"")</f>
        <v/>
      </c>
      <c r="O407" s="14" t="str">
        <f aca="false">IF(AND($T407,N(J407)&gt;0),L407/J407,"")</f>
        <v/>
      </c>
      <c r="P407" s="14" t="str">
        <f aca="false">IF(AND($T407,N(G407)&gt;0),M407/G407,"")</f>
        <v/>
      </c>
      <c r="Q407" s="14" t="str">
        <f aca="false">IF($T407,S407/I407,"")</f>
        <v/>
      </c>
      <c r="R407" s="10" t="str">
        <f aca="false">IF($C407="","",IF(NOT(SUMPRODUCT(--(Setup!$A$5:$A$24=$C407))&gt;0),"Machine not in Setup",IF(OR(NOT(ISNUMBER(K407)),N(K407)&lt;=0),"Set an ideal cycle time in Setup",IF(NOT(ISNUMBER(A407)),"Enter a date",IF(OR(NOT(ISNUMBER(D407)),NOT(ISNUMBER(G407)),AND(E407&lt;&gt;"",NOT(ISNUMBER(E407))),AND(F407&lt;&gt;"",NOT(ISNUMBER(F407))),AND(H407&lt;&gt;"",NOT(ISNUMBER(H407)))),"Enter numbers: shift length and total parts are required",IF(OR(N(D407)&lt;=0,N(E407)&lt;0,N(F407)&lt;0,N(G407)&lt;0,N(H407)&lt;0),"Values must be 0 or more (shift length above 0)",IF(N(H407)&gt;N(G407),"Rejects &gt; total parts",IF(N(E407)&gt;=N(D407),"Planned stops &gt;= shift length",IF(N(F407)&gt;N(D407)-N(E407),"Downtime &gt; planned time",IF(AND(ISNUMBER(O407),O407&gt;1),"Check: performance above 100%","OK"))))))))))</f>
        <v/>
      </c>
      <c r="S407" s="13" t="str">
        <f aca="false">IF($T407,K407*M407/60,"")</f>
        <v/>
      </c>
      <c r="T407" s="15" t="b">
        <f aca="false">IF($C407="",FALSE(),AND(SUMPRODUCT(--(Setup!$A$5:$A$24=$C407))&gt;0,ISNUMBER(A407),ISNUMBER(K407),N(K407)&gt;0,ISNUMBER(D407),N(D407)&gt;0,ISNUMBER(G407),N(G407)&gt;=0,OR(E407="",ISNUMBER(E407)),OR(F407="",ISNUMBER(F407)),OR(H407="",ISNUMBER(H407)),N(E407)&gt;=0,N(F407)&gt;=0,N(H407)&gt;=0,N(H407)&lt;=N(G407),N(E407)&lt;N(D407),N(F407)&lt;=N(D407)-N(E407)))</f>
        <v>0</v>
      </c>
    </row>
    <row r="408" customFormat="false" ht="15" hidden="false" customHeight="false" outlineLevel="0" collapsed="false">
      <c r="A408" s="11"/>
      <c r="B408" s="8"/>
      <c r="C408" s="8"/>
      <c r="D408" s="8"/>
      <c r="E408" s="8"/>
      <c r="F408" s="8"/>
      <c r="G408" s="8"/>
      <c r="H408" s="8"/>
      <c r="I408" s="12" t="str">
        <f aca="false">IF($T408,D408-N(E408),"")</f>
        <v/>
      </c>
      <c r="J408" s="12" t="str">
        <f aca="false">IF($T408,I408-N(F408),"")</f>
        <v/>
      </c>
      <c r="K408" s="13" t="str">
        <f aca="false">IF($C408="","",IF(SUMPRODUCT(--(Setup!$A$5:$A$24=$C408))&gt;0,INDEX(Setup!$B$5:$B$24,21-SUMPRODUCT(MAX((Setup!$A$5:$A$24=$C408)*(25-ROW(Setup!$A$5:$A$24))))),""))</f>
        <v/>
      </c>
      <c r="L408" s="13" t="str">
        <f aca="false">IF($T408,K408*G408/60,"")</f>
        <v/>
      </c>
      <c r="M408" s="12" t="str">
        <f aca="false">IF($T408,G408-N(H408),"")</f>
        <v/>
      </c>
      <c r="N408" s="14" t="str">
        <f aca="false">IF($T408,J408/I408,"")</f>
        <v/>
      </c>
      <c r="O408" s="14" t="str">
        <f aca="false">IF(AND($T408,N(J408)&gt;0),L408/J408,"")</f>
        <v/>
      </c>
      <c r="P408" s="14" t="str">
        <f aca="false">IF(AND($T408,N(G408)&gt;0),M408/G408,"")</f>
        <v/>
      </c>
      <c r="Q408" s="14" t="str">
        <f aca="false">IF($T408,S408/I408,"")</f>
        <v/>
      </c>
      <c r="R408" s="10" t="str">
        <f aca="false">IF($C408="","",IF(NOT(SUMPRODUCT(--(Setup!$A$5:$A$24=$C408))&gt;0),"Machine not in Setup",IF(OR(NOT(ISNUMBER(K408)),N(K408)&lt;=0),"Set an ideal cycle time in Setup",IF(NOT(ISNUMBER(A408)),"Enter a date",IF(OR(NOT(ISNUMBER(D408)),NOT(ISNUMBER(G408)),AND(E408&lt;&gt;"",NOT(ISNUMBER(E408))),AND(F408&lt;&gt;"",NOT(ISNUMBER(F408))),AND(H408&lt;&gt;"",NOT(ISNUMBER(H408)))),"Enter numbers: shift length and total parts are required",IF(OR(N(D408)&lt;=0,N(E408)&lt;0,N(F408)&lt;0,N(G408)&lt;0,N(H408)&lt;0),"Values must be 0 or more (shift length above 0)",IF(N(H408)&gt;N(G408),"Rejects &gt; total parts",IF(N(E408)&gt;=N(D408),"Planned stops &gt;= shift length",IF(N(F408)&gt;N(D408)-N(E408),"Downtime &gt; planned time",IF(AND(ISNUMBER(O408),O408&gt;1),"Check: performance above 100%","OK"))))))))))</f>
        <v/>
      </c>
      <c r="S408" s="13" t="str">
        <f aca="false">IF($T408,K408*M408/60,"")</f>
        <v/>
      </c>
      <c r="T408" s="15" t="b">
        <f aca="false">IF($C408="",FALSE(),AND(SUMPRODUCT(--(Setup!$A$5:$A$24=$C408))&gt;0,ISNUMBER(A408),ISNUMBER(K408),N(K408)&gt;0,ISNUMBER(D408),N(D408)&gt;0,ISNUMBER(G408),N(G408)&gt;=0,OR(E408="",ISNUMBER(E408)),OR(F408="",ISNUMBER(F408)),OR(H408="",ISNUMBER(H408)),N(E408)&gt;=0,N(F408)&gt;=0,N(H408)&gt;=0,N(H408)&lt;=N(G408),N(E408)&lt;N(D408),N(F408)&lt;=N(D408)-N(E408)))</f>
        <v>0</v>
      </c>
    </row>
    <row r="409" customFormat="false" ht="15" hidden="false" customHeight="false" outlineLevel="0" collapsed="false">
      <c r="A409" s="11"/>
      <c r="B409" s="8"/>
      <c r="C409" s="8"/>
      <c r="D409" s="8"/>
      <c r="E409" s="8"/>
      <c r="F409" s="8"/>
      <c r="G409" s="8"/>
      <c r="H409" s="8"/>
      <c r="I409" s="12" t="str">
        <f aca="false">IF($T409,D409-N(E409),"")</f>
        <v/>
      </c>
      <c r="J409" s="12" t="str">
        <f aca="false">IF($T409,I409-N(F409),"")</f>
        <v/>
      </c>
      <c r="K409" s="13" t="str">
        <f aca="false">IF($C409="","",IF(SUMPRODUCT(--(Setup!$A$5:$A$24=$C409))&gt;0,INDEX(Setup!$B$5:$B$24,21-SUMPRODUCT(MAX((Setup!$A$5:$A$24=$C409)*(25-ROW(Setup!$A$5:$A$24))))),""))</f>
        <v/>
      </c>
      <c r="L409" s="13" t="str">
        <f aca="false">IF($T409,K409*G409/60,"")</f>
        <v/>
      </c>
      <c r="M409" s="12" t="str">
        <f aca="false">IF($T409,G409-N(H409),"")</f>
        <v/>
      </c>
      <c r="N409" s="14" t="str">
        <f aca="false">IF($T409,J409/I409,"")</f>
        <v/>
      </c>
      <c r="O409" s="14" t="str">
        <f aca="false">IF(AND($T409,N(J409)&gt;0),L409/J409,"")</f>
        <v/>
      </c>
      <c r="P409" s="14" t="str">
        <f aca="false">IF(AND($T409,N(G409)&gt;0),M409/G409,"")</f>
        <v/>
      </c>
      <c r="Q409" s="14" t="str">
        <f aca="false">IF($T409,S409/I409,"")</f>
        <v/>
      </c>
      <c r="R409" s="10" t="str">
        <f aca="false">IF($C409="","",IF(NOT(SUMPRODUCT(--(Setup!$A$5:$A$24=$C409))&gt;0),"Machine not in Setup",IF(OR(NOT(ISNUMBER(K409)),N(K409)&lt;=0),"Set an ideal cycle time in Setup",IF(NOT(ISNUMBER(A409)),"Enter a date",IF(OR(NOT(ISNUMBER(D409)),NOT(ISNUMBER(G409)),AND(E409&lt;&gt;"",NOT(ISNUMBER(E409))),AND(F409&lt;&gt;"",NOT(ISNUMBER(F409))),AND(H409&lt;&gt;"",NOT(ISNUMBER(H409)))),"Enter numbers: shift length and total parts are required",IF(OR(N(D409)&lt;=0,N(E409)&lt;0,N(F409)&lt;0,N(G409)&lt;0,N(H409)&lt;0),"Values must be 0 or more (shift length above 0)",IF(N(H409)&gt;N(G409),"Rejects &gt; total parts",IF(N(E409)&gt;=N(D409),"Planned stops &gt;= shift length",IF(N(F409)&gt;N(D409)-N(E409),"Downtime &gt; planned time",IF(AND(ISNUMBER(O409),O409&gt;1),"Check: performance above 100%","OK"))))))))))</f>
        <v/>
      </c>
      <c r="S409" s="13" t="str">
        <f aca="false">IF($T409,K409*M409/60,"")</f>
        <v/>
      </c>
      <c r="T409" s="15" t="b">
        <f aca="false">IF($C409="",FALSE(),AND(SUMPRODUCT(--(Setup!$A$5:$A$24=$C409))&gt;0,ISNUMBER(A409),ISNUMBER(K409),N(K409)&gt;0,ISNUMBER(D409),N(D409)&gt;0,ISNUMBER(G409),N(G409)&gt;=0,OR(E409="",ISNUMBER(E409)),OR(F409="",ISNUMBER(F409)),OR(H409="",ISNUMBER(H409)),N(E409)&gt;=0,N(F409)&gt;=0,N(H409)&gt;=0,N(H409)&lt;=N(G409),N(E409)&lt;N(D409),N(F409)&lt;=N(D409)-N(E409)))</f>
        <v>0</v>
      </c>
    </row>
    <row r="410" customFormat="false" ht="15" hidden="false" customHeight="false" outlineLevel="0" collapsed="false">
      <c r="A410" s="11"/>
      <c r="B410" s="8"/>
      <c r="C410" s="8"/>
      <c r="D410" s="8"/>
      <c r="E410" s="8"/>
      <c r="F410" s="8"/>
      <c r="G410" s="8"/>
      <c r="H410" s="8"/>
      <c r="I410" s="12" t="str">
        <f aca="false">IF($T410,D410-N(E410),"")</f>
        <v/>
      </c>
      <c r="J410" s="12" t="str">
        <f aca="false">IF($T410,I410-N(F410),"")</f>
        <v/>
      </c>
      <c r="K410" s="13" t="str">
        <f aca="false">IF($C410="","",IF(SUMPRODUCT(--(Setup!$A$5:$A$24=$C410))&gt;0,INDEX(Setup!$B$5:$B$24,21-SUMPRODUCT(MAX((Setup!$A$5:$A$24=$C410)*(25-ROW(Setup!$A$5:$A$24))))),""))</f>
        <v/>
      </c>
      <c r="L410" s="13" t="str">
        <f aca="false">IF($T410,K410*G410/60,"")</f>
        <v/>
      </c>
      <c r="M410" s="12" t="str">
        <f aca="false">IF($T410,G410-N(H410),"")</f>
        <v/>
      </c>
      <c r="N410" s="14" t="str">
        <f aca="false">IF($T410,J410/I410,"")</f>
        <v/>
      </c>
      <c r="O410" s="14" t="str">
        <f aca="false">IF(AND($T410,N(J410)&gt;0),L410/J410,"")</f>
        <v/>
      </c>
      <c r="P410" s="14" t="str">
        <f aca="false">IF(AND($T410,N(G410)&gt;0),M410/G410,"")</f>
        <v/>
      </c>
      <c r="Q410" s="14" t="str">
        <f aca="false">IF($T410,S410/I410,"")</f>
        <v/>
      </c>
      <c r="R410" s="10" t="str">
        <f aca="false">IF($C410="","",IF(NOT(SUMPRODUCT(--(Setup!$A$5:$A$24=$C410))&gt;0),"Machine not in Setup",IF(OR(NOT(ISNUMBER(K410)),N(K410)&lt;=0),"Set an ideal cycle time in Setup",IF(NOT(ISNUMBER(A410)),"Enter a date",IF(OR(NOT(ISNUMBER(D410)),NOT(ISNUMBER(G410)),AND(E410&lt;&gt;"",NOT(ISNUMBER(E410))),AND(F410&lt;&gt;"",NOT(ISNUMBER(F410))),AND(H410&lt;&gt;"",NOT(ISNUMBER(H410)))),"Enter numbers: shift length and total parts are required",IF(OR(N(D410)&lt;=0,N(E410)&lt;0,N(F410)&lt;0,N(G410)&lt;0,N(H410)&lt;0),"Values must be 0 or more (shift length above 0)",IF(N(H410)&gt;N(G410),"Rejects &gt; total parts",IF(N(E410)&gt;=N(D410),"Planned stops &gt;= shift length",IF(N(F410)&gt;N(D410)-N(E410),"Downtime &gt; planned time",IF(AND(ISNUMBER(O410),O410&gt;1),"Check: performance above 100%","OK"))))))))))</f>
        <v/>
      </c>
      <c r="S410" s="13" t="str">
        <f aca="false">IF($T410,K410*M410/60,"")</f>
        <v/>
      </c>
      <c r="T410" s="15" t="b">
        <f aca="false">IF($C410="",FALSE(),AND(SUMPRODUCT(--(Setup!$A$5:$A$24=$C410))&gt;0,ISNUMBER(A410),ISNUMBER(K410),N(K410)&gt;0,ISNUMBER(D410),N(D410)&gt;0,ISNUMBER(G410),N(G410)&gt;=0,OR(E410="",ISNUMBER(E410)),OR(F410="",ISNUMBER(F410)),OR(H410="",ISNUMBER(H410)),N(E410)&gt;=0,N(F410)&gt;=0,N(H410)&gt;=0,N(H410)&lt;=N(G410),N(E410)&lt;N(D410),N(F410)&lt;=N(D410)-N(E410)))</f>
        <v>0</v>
      </c>
    </row>
    <row r="411" customFormat="false" ht="15" hidden="false" customHeight="false" outlineLevel="0" collapsed="false">
      <c r="A411" s="11"/>
      <c r="B411" s="8"/>
      <c r="C411" s="8"/>
      <c r="D411" s="8"/>
      <c r="E411" s="8"/>
      <c r="F411" s="8"/>
      <c r="G411" s="8"/>
      <c r="H411" s="8"/>
      <c r="I411" s="12" t="str">
        <f aca="false">IF($T411,D411-N(E411),"")</f>
        <v/>
      </c>
      <c r="J411" s="12" t="str">
        <f aca="false">IF($T411,I411-N(F411),"")</f>
        <v/>
      </c>
      <c r="K411" s="13" t="str">
        <f aca="false">IF($C411="","",IF(SUMPRODUCT(--(Setup!$A$5:$A$24=$C411))&gt;0,INDEX(Setup!$B$5:$B$24,21-SUMPRODUCT(MAX((Setup!$A$5:$A$24=$C411)*(25-ROW(Setup!$A$5:$A$24))))),""))</f>
        <v/>
      </c>
      <c r="L411" s="13" t="str">
        <f aca="false">IF($T411,K411*G411/60,"")</f>
        <v/>
      </c>
      <c r="M411" s="12" t="str">
        <f aca="false">IF($T411,G411-N(H411),"")</f>
        <v/>
      </c>
      <c r="N411" s="14" t="str">
        <f aca="false">IF($T411,J411/I411,"")</f>
        <v/>
      </c>
      <c r="O411" s="14" t="str">
        <f aca="false">IF(AND($T411,N(J411)&gt;0),L411/J411,"")</f>
        <v/>
      </c>
      <c r="P411" s="14" t="str">
        <f aca="false">IF(AND($T411,N(G411)&gt;0),M411/G411,"")</f>
        <v/>
      </c>
      <c r="Q411" s="14" t="str">
        <f aca="false">IF($T411,S411/I411,"")</f>
        <v/>
      </c>
      <c r="R411" s="10" t="str">
        <f aca="false">IF($C411="","",IF(NOT(SUMPRODUCT(--(Setup!$A$5:$A$24=$C411))&gt;0),"Machine not in Setup",IF(OR(NOT(ISNUMBER(K411)),N(K411)&lt;=0),"Set an ideal cycle time in Setup",IF(NOT(ISNUMBER(A411)),"Enter a date",IF(OR(NOT(ISNUMBER(D411)),NOT(ISNUMBER(G411)),AND(E411&lt;&gt;"",NOT(ISNUMBER(E411))),AND(F411&lt;&gt;"",NOT(ISNUMBER(F411))),AND(H411&lt;&gt;"",NOT(ISNUMBER(H411)))),"Enter numbers: shift length and total parts are required",IF(OR(N(D411)&lt;=0,N(E411)&lt;0,N(F411)&lt;0,N(G411)&lt;0,N(H411)&lt;0),"Values must be 0 or more (shift length above 0)",IF(N(H411)&gt;N(G411),"Rejects &gt; total parts",IF(N(E411)&gt;=N(D411),"Planned stops &gt;= shift length",IF(N(F411)&gt;N(D411)-N(E411),"Downtime &gt; planned time",IF(AND(ISNUMBER(O411),O411&gt;1),"Check: performance above 100%","OK"))))))))))</f>
        <v/>
      </c>
      <c r="S411" s="13" t="str">
        <f aca="false">IF($T411,K411*M411/60,"")</f>
        <v/>
      </c>
      <c r="T411" s="15" t="b">
        <f aca="false">IF($C411="",FALSE(),AND(SUMPRODUCT(--(Setup!$A$5:$A$24=$C411))&gt;0,ISNUMBER(A411),ISNUMBER(K411),N(K411)&gt;0,ISNUMBER(D411),N(D411)&gt;0,ISNUMBER(G411),N(G411)&gt;=0,OR(E411="",ISNUMBER(E411)),OR(F411="",ISNUMBER(F411)),OR(H411="",ISNUMBER(H411)),N(E411)&gt;=0,N(F411)&gt;=0,N(H411)&gt;=0,N(H411)&lt;=N(G411),N(E411)&lt;N(D411),N(F411)&lt;=N(D411)-N(E411)))</f>
        <v>0</v>
      </c>
    </row>
    <row r="412" customFormat="false" ht="15" hidden="false" customHeight="false" outlineLevel="0" collapsed="false">
      <c r="A412" s="11"/>
      <c r="B412" s="8"/>
      <c r="C412" s="8"/>
      <c r="D412" s="8"/>
      <c r="E412" s="8"/>
      <c r="F412" s="8"/>
      <c r="G412" s="8"/>
      <c r="H412" s="8"/>
      <c r="I412" s="12" t="str">
        <f aca="false">IF($T412,D412-N(E412),"")</f>
        <v/>
      </c>
      <c r="J412" s="12" t="str">
        <f aca="false">IF($T412,I412-N(F412),"")</f>
        <v/>
      </c>
      <c r="K412" s="13" t="str">
        <f aca="false">IF($C412="","",IF(SUMPRODUCT(--(Setup!$A$5:$A$24=$C412))&gt;0,INDEX(Setup!$B$5:$B$24,21-SUMPRODUCT(MAX((Setup!$A$5:$A$24=$C412)*(25-ROW(Setup!$A$5:$A$24))))),""))</f>
        <v/>
      </c>
      <c r="L412" s="13" t="str">
        <f aca="false">IF($T412,K412*G412/60,"")</f>
        <v/>
      </c>
      <c r="M412" s="12" t="str">
        <f aca="false">IF($T412,G412-N(H412),"")</f>
        <v/>
      </c>
      <c r="N412" s="14" t="str">
        <f aca="false">IF($T412,J412/I412,"")</f>
        <v/>
      </c>
      <c r="O412" s="14" t="str">
        <f aca="false">IF(AND($T412,N(J412)&gt;0),L412/J412,"")</f>
        <v/>
      </c>
      <c r="P412" s="14" t="str">
        <f aca="false">IF(AND($T412,N(G412)&gt;0),M412/G412,"")</f>
        <v/>
      </c>
      <c r="Q412" s="14" t="str">
        <f aca="false">IF($T412,S412/I412,"")</f>
        <v/>
      </c>
      <c r="R412" s="10" t="str">
        <f aca="false">IF($C412="","",IF(NOT(SUMPRODUCT(--(Setup!$A$5:$A$24=$C412))&gt;0),"Machine not in Setup",IF(OR(NOT(ISNUMBER(K412)),N(K412)&lt;=0),"Set an ideal cycle time in Setup",IF(NOT(ISNUMBER(A412)),"Enter a date",IF(OR(NOT(ISNUMBER(D412)),NOT(ISNUMBER(G412)),AND(E412&lt;&gt;"",NOT(ISNUMBER(E412))),AND(F412&lt;&gt;"",NOT(ISNUMBER(F412))),AND(H412&lt;&gt;"",NOT(ISNUMBER(H412)))),"Enter numbers: shift length and total parts are required",IF(OR(N(D412)&lt;=0,N(E412)&lt;0,N(F412)&lt;0,N(G412)&lt;0,N(H412)&lt;0),"Values must be 0 or more (shift length above 0)",IF(N(H412)&gt;N(G412),"Rejects &gt; total parts",IF(N(E412)&gt;=N(D412),"Planned stops &gt;= shift length",IF(N(F412)&gt;N(D412)-N(E412),"Downtime &gt; planned time",IF(AND(ISNUMBER(O412),O412&gt;1),"Check: performance above 100%","OK"))))))))))</f>
        <v/>
      </c>
      <c r="S412" s="13" t="str">
        <f aca="false">IF($T412,K412*M412/60,"")</f>
        <v/>
      </c>
      <c r="T412" s="15" t="b">
        <f aca="false">IF($C412="",FALSE(),AND(SUMPRODUCT(--(Setup!$A$5:$A$24=$C412))&gt;0,ISNUMBER(A412),ISNUMBER(K412),N(K412)&gt;0,ISNUMBER(D412),N(D412)&gt;0,ISNUMBER(G412),N(G412)&gt;=0,OR(E412="",ISNUMBER(E412)),OR(F412="",ISNUMBER(F412)),OR(H412="",ISNUMBER(H412)),N(E412)&gt;=0,N(F412)&gt;=0,N(H412)&gt;=0,N(H412)&lt;=N(G412),N(E412)&lt;N(D412),N(F412)&lt;=N(D412)-N(E412)))</f>
        <v>0</v>
      </c>
    </row>
    <row r="413" customFormat="false" ht="15" hidden="false" customHeight="false" outlineLevel="0" collapsed="false">
      <c r="A413" s="11"/>
      <c r="B413" s="8"/>
      <c r="C413" s="8"/>
      <c r="D413" s="8"/>
      <c r="E413" s="8"/>
      <c r="F413" s="8"/>
      <c r="G413" s="8"/>
      <c r="H413" s="8"/>
      <c r="I413" s="12" t="str">
        <f aca="false">IF($T413,D413-N(E413),"")</f>
        <v/>
      </c>
      <c r="J413" s="12" t="str">
        <f aca="false">IF($T413,I413-N(F413),"")</f>
        <v/>
      </c>
      <c r="K413" s="13" t="str">
        <f aca="false">IF($C413="","",IF(SUMPRODUCT(--(Setup!$A$5:$A$24=$C413))&gt;0,INDEX(Setup!$B$5:$B$24,21-SUMPRODUCT(MAX((Setup!$A$5:$A$24=$C413)*(25-ROW(Setup!$A$5:$A$24))))),""))</f>
        <v/>
      </c>
      <c r="L413" s="13" t="str">
        <f aca="false">IF($T413,K413*G413/60,"")</f>
        <v/>
      </c>
      <c r="M413" s="12" t="str">
        <f aca="false">IF($T413,G413-N(H413),"")</f>
        <v/>
      </c>
      <c r="N413" s="14" t="str">
        <f aca="false">IF($T413,J413/I413,"")</f>
        <v/>
      </c>
      <c r="O413" s="14" t="str">
        <f aca="false">IF(AND($T413,N(J413)&gt;0),L413/J413,"")</f>
        <v/>
      </c>
      <c r="P413" s="14" t="str">
        <f aca="false">IF(AND($T413,N(G413)&gt;0),M413/G413,"")</f>
        <v/>
      </c>
      <c r="Q413" s="14" t="str">
        <f aca="false">IF($T413,S413/I413,"")</f>
        <v/>
      </c>
      <c r="R413" s="10" t="str">
        <f aca="false">IF($C413="","",IF(NOT(SUMPRODUCT(--(Setup!$A$5:$A$24=$C413))&gt;0),"Machine not in Setup",IF(OR(NOT(ISNUMBER(K413)),N(K413)&lt;=0),"Set an ideal cycle time in Setup",IF(NOT(ISNUMBER(A413)),"Enter a date",IF(OR(NOT(ISNUMBER(D413)),NOT(ISNUMBER(G413)),AND(E413&lt;&gt;"",NOT(ISNUMBER(E413))),AND(F413&lt;&gt;"",NOT(ISNUMBER(F413))),AND(H413&lt;&gt;"",NOT(ISNUMBER(H413)))),"Enter numbers: shift length and total parts are required",IF(OR(N(D413)&lt;=0,N(E413)&lt;0,N(F413)&lt;0,N(G413)&lt;0,N(H413)&lt;0),"Values must be 0 or more (shift length above 0)",IF(N(H413)&gt;N(G413),"Rejects &gt; total parts",IF(N(E413)&gt;=N(D413),"Planned stops &gt;= shift length",IF(N(F413)&gt;N(D413)-N(E413),"Downtime &gt; planned time",IF(AND(ISNUMBER(O413),O413&gt;1),"Check: performance above 100%","OK"))))))))))</f>
        <v/>
      </c>
      <c r="S413" s="13" t="str">
        <f aca="false">IF($T413,K413*M413/60,"")</f>
        <v/>
      </c>
      <c r="T413" s="15" t="b">
        <f aca="false">IF($C413="",FALSE(),AND(SUMPRODUCT(--(Setup!$A$5:$A$24=$C413))&gt;0,ISNUMBER(A413),ISNUMBER(K413),N(K413)&gt;0,ISNUMBER(D413),N(D413)&gt;0,ISNUMBER(G413),N(G413)&gt;=0,OR(E413="",ISNUMBER(E413)),OR(F413="",ISNUMBER(F413)),OR(H413="",ISNUMBER(H413)),N(E413)&gt;=0,N(F413)&gt;=0,N(H413)&gt;=0,N(H413)&lt;=N(G413),N(E413)&lt;N(D413),N(F413)&lt;=N(D413)-N(E413)))</f>
        <v>0</v>
      </c>
    </row>
    <row r="414" customFormat="false" ht="15" hidden="false" customHeight="false" outlineLevel="0" collapsed="false">
      <c r="A414" s="11"/>
      <c r="B414" s="8"/>
      <c r="C414" s="8"/>
      <c r="D414" s="8"/>
      <c r="E414" s="8"/>
      <c r="F414" s="8"/>
      <c r="G414" s="8"/>
      <c r="H414" s="8"/>
      <c r="I414" s="12" t="str">
        <f aca="false">IF($T414,D414-N(E414),"")</f>
        <v/>
      </c>
      <c r="J414" s="12" t="str">
        <f aca="false">IF($T414,I414-N(F414),"")</f>
        <v/>
      </c>
      <c r="K414" s="13" t="str">
        <f aca="false">IF($C414="","",IF(SUMPRODUCT(--(Setup!$A$5:$A$24=$C414))&gt;0,INDEX(Setup!$B$5:$B$24,21-SUMPRODUCT(MAX((Setup!$A$5:$A$24=$C414)*(25-ROW(Setup!$A$5:$A$24))))),""))</f>
        <v/>
      </c>
      <c r="L414" s="13" t="str">
        <f aca="false">IF($T414,K414*G414/60,"")</f>
        <v/>
      </c>
      <c r="M414" s="12" t="str">
        <f aca="false">IF($T414,G414-N(H414),"")</f>
        <v/>
      </c>
      <c r="N414" s="14" t="str">
        <f aca="false">IF($T414,J414/I414,"")</f>
        <v/>
      </c>
      <c r="O414" s="14" t="str">
        <f aca="false">IF(AND($T414,N(J414)&gt;0),L414/J414,"")</f>
        <v/>
      </c>
      <c r="P414" s="14" t="str">
        <f aca="false">IF(AND($T414,N(G414)&gt;0),M414/G414,"")</f>
        <v/>
      </c>
      <c r="Q414" s="14" t="str">
        <f aca="false">IF($T414,S414/I414,"")</f>
        <v/>
      </c>
      <c r="R414" s="10" t="str">
        <f aca="false">IF($C414="","",IF(NOT(SUMPRODUCT(--(Setup!$A$5:$A$24=$C414))&gt;0),"Machine not in Setup",IF(OR(NOT(ISNUMBER(K414)),N(K414)&lt;=0),"Set an ideal cycle time in Setup",IF(NOT(ISNUMBER(A414)),"Enter a date",IF(OR(NOT(ISNUMBER(D414)),NOT(ISNUMBER(G414)),AND(E414&lt;&gt;"",NOT(ISNUMBER(E414))),AND(F414&lt;&gt;"",NOT(ISNUMBER(F414))),AND(H414&lt;&gt;"",NOT(ISNUMBER(H414)))),"Enter numbers: shift length and total parts are required",IF(OR(N(D414)&lt;=0,N(E414)&lt;0,N(F414)&lt;0,N(G414)&lt;0,N(H414)&lt;0),"Values must be 0 or more (shift length above 0)",IF(N(H414)&gt;N(G414),"Rejects &gt; total parts",IF(N(E414)&gt;=N(D414),"Planned stops &gt;= shift length",IF(N(F414)&gt;N(D414)-N(E414),"Downtime &gt; planned time",IF(AND(ISNUMBER(O414),O414&gt;1),"Check: performance above 100%","OK"))))))))))</f>
        <v/>
      </c>
      <c r="S414" s="13" t="str">
        <f aca="false">IF($T414,K414*M414/60,"")</f>
        <v/>
      </c>
      <c r="T414" s="15" t="b">
        <f aca="false">IF($C414="",FALSE(),AND(SUMPRODUCT(--(Setup!$A$5:$A$24=$C414))&gt;0,ISNUMBER(A414),ISNUMBER(K414),N(K414)&gt;0,ISNUMBER(D414),N(D414)&gt;0,ISNUMBER(G414),N(G414)&gt;=0,OR(E414="",ISNUMBER(E414)),OR(F414="",ISNUMBER(F414)),OR(H414="",ISNUMBER(H414)),N(E414)&gt;=0,N(F414)&gt;=0,N(H414)&gt;=0,N(H414)&lt;=N(G414),N(E414)&lt;N(D414),N(F414)&lt;=N(D414)-N(E414)))</f>
        <v>0</v>
      </c>
    </row>
    <row r="415" customFormat="false" ht="15" hidden="false" customHeight="false" outlineLevel="0" collapsed="false">
      <c r="A415" s="11"/>
      <c r="B415" s="8"/>
      <c r="C415" s="8"/>
      <c r="D415" s="8"/>
      <c r="E415" s="8"/>
      <c r="F415" s="8"/>
      <c r="G415" s="8"/>
      <c r="H415" s="8"/>
      <c r="I415" s="12" t="str">
        <f aca="false">IF($T415,D415-N(E415),"")</f>
        <v/>
      </c>
      <c r="J415" s="12" t="str">
        <f aca="false">IF($T415,I415-N(F415),"")</f>
        <v/>
      </c>
      <c r="K415" s="13" t="str">
        <f aca="false">IF($C415="","",IF(SUMPRODUCT(--(Setup!$A$5:$A$24=$C415))&gt;0,INDEX(Setup!$B$5:$B$24,21-SUMPRODUCT(MAX((Setup!$A$5:$A$24=$C415)*(25-ROW(Setup!$A$5:$A$24))))),""))</f>
        <v/>
      </c>
      <c r="L415" s="13" t="str">
        <f aca="false">IF($T415,K415*G415/60,"")</f>
        <v/>
      </c>
      <c r="M415" s="12" t="str">
        <f aca="false">IF($T415,G415-N(H415),"")</f>
        <v/>
      </c>
      <c r="N415" s="14" t="str">
        <f aca="false">IF($T415,J415/I415,"")</f>
        <v/>
      </c>
      <c r="O415" s="14" t="str">
        <f aca="false">IF(AND($T415,N(J415)&gt;0),L415/J415,"")</f>
        <v/>
      </c>
      <c r="P415" s="14" t="str">
        <f aca="false">IF(AND($T415,N(G415)&gt;0),M415/G415,"")</f>
        <v/>
      </c>
      <c r="Q415" s="14" t="str">
        <f aca="false">IF($T415,S415/I415,"")</f>
        <v/>
      </c>
      <c r="R415" s="10" t="str">
        <f aca="false">IF($C415="","",IF(NOT(SUMPRODUCT(--(Setup!$A$5:$A$24=$C415))&gt;0),"Machine not in Setup",IF(OR(NOT(ISNUMBER(K415)),N(K415)&lt;=0),"Set an ideal cycle time in Setup",IF(NOT(ISNUMBER(A415)),"Enter a date",IF(OR(NOT(ISNUMBER(D415)),NOT(ISNUMBER(G415)),AND(E415&lt;&gt;"",NOT(ISNUMBER(E415))),AND(F415&lt;&gt;"",NOT(ISNUMBER(F415))),AND(H415&lt;&gt;"",NOT(ISNUMBER(H415)))),"Enter numbers: shift length and total parts are required",IF(OR(N(D415)&lt;=0,N(E415)&lt;0,N(F415)&lt;0,N(G415)&lt;0,N(H415)&lt;0),"Values must be 0 or more (shift length above 0)",IF(N(H415)&gt;N(G415),"Rejects &gt; total parts",IF(N(E415)&gt;=N(D415),"Planned stops &gt;= shift length",IF(N(F415)&gt;N(D415)-N(E415),"Downtime &gt; planned time",IF(AND(ISNUMBER(O415),O415&gt;1),"Check: performance above 100%","OK"))))))))))</f>
        <v/>
      </c>
      <c r="S415" s="13" t="str">
        <f aca="false">IF($T415,K415*M415/60,"")</f>
        <v/>
      </c>
      <c r="T415" s="15" t="b">
        <f aca="false">IF($C415="",FALSE(),AND(SUMPRODUCT(--(Setup!$A$5:$A$24=$C415))&gt;0,ISNUMBER(A415),ISNUMBER(K415),N(K415)&gt;0,ISNUMBER(D415),N(D415)&gt;0,ISNUMBER(G415),N(G415)&gt;=0,OR(E415="",ISNUMBER(E415)),OR(F415="",ISNUMBER(F415)),OR(H415="",ISNUMBER(H415)),N(E415)&gt;=0,N(F415)&gt;=0,N(H415)&gt;=0,N(H415)&lt;=N(G415),N(E415)&lt;N(D415),N(F415)&lt;=N(D415)-N(E415)))</f>
        <v>0</v>
      </c>
    </row>
    <row r="416" customFormat="false" ht="15" hidden="false" customHeight="false" outlineLevel="0" collapsed="false">
      <c r="A416" s="11"/>
      <c r="B416" s="8"/>
      <c r="C416" s="8"/>
      <c r="D416" s="8"/>
      <c r="E416" s="8"/>
      <c r="F416" s="8"/>
      <c r="G416" s="8"/>
      <c r="H416" s="8"/>
      <c r="I416" s="12" t="str">
        <f aca="false">IF($T416,D416-N(E416),"")</f>
        <v/>
      </c>
      <c r="J416" s="12" t="str">
        <f aca="false">IF($T416,I416-N(F416),"")</f>
        <v/>
      </c>
      <c r="K416" s="13" t="str">
        <f aca="false">IF($C416="","",IF(SUMPRODUCT(--(Setup!$A$5:$A$24=$C416))&gt;0,INDEX(Setup!$B$5:$B$24,21-SUMPRODUCT(MAX((Setup!$A$5:$A$24=$C416)*(25-ROW(Setup!$A$5:$A$24))))),""))</f>
        <v/>
      </c>
      <c r="L416" s="13" t="str">
        <f aca="false">IF($T416,K416*G416/60,"")</f>
        <v/>
      </c>
      <c r="M416" s="12" t="str">
        <f aca="false">IF($T416,G416-N(H416),"")</f>
        <v/>
      </c>
      <c r="N416" s="14" t="str">
        <f aca="false">IF($T416,J416/I416,"")</f>
        <v/>
      </c>
      <c r="O416" s="14" t="str">
        <f aca="false">IF(AND($T416,N(J416)&gt;0),L416/J416,"")</f>
        <v/>
      </c>
      <c r="P416" s="14" t="str">
        <f aca="false">IF(AND($T416,N(G416)&gt;0),M416/G416,"")</f>
        <v/>
      </c>
      <c r="Q416" s="14" t="str">
        <f aca="false">IF($T416,S416/I416,"")</f>
        <v/>
      </c>
      <c r="R416" s="10" t="str">
        <f aca="false">IF($C416="","",IF(NOT(SUMPRODUCT(--(Setup!$A$5:$A$24=$C416))&gt;0),"Machine not in Setup",IF(OR(NOT(ISNUMBER(K416)),N(K416)&lt;=0),"Set an ideal cycle time in Setup",IF(NOT(ISNUMBER(A416)),"Enter a date",IF(OR(NOT(ISNUMBER(D416)),NOT(ISNUMBER(G416)),AND(E416&lt;&gt;"",NOT(ISNUMBER(E416))),AND(F416&lt;&gt;"",NOT(ISNUMBER(F416))),AND(H416&lt;&gt;"",NOT(ISNUMBER(H416)))),"Enter numbers: shift length and total parts are required",IF(OR(N(D416)&lt;=0,N(E416)&lt;0,N(F416)&lt;0,N(G416)&lt;0,N(H416)&lt;0),"Values must be 0 or more (shift length above 0)",IF(N(H416)&gt;N(G416),"Rejects &gt; total parts",IF(N(E416)&gt;=N(D416),"Planned stops &gt;= shift length",IF(N(F416)&gt;N(D416)-N(E416),"Downtime &gt; planned time",IF(AND(ISNUMBER(O416),O416&gt;1),"Check: performance above 100%","OK"))))))))))</f>
        <v/>
      </c>
      <c r="S416" s="13" t="str">
        <f aca="false">IF($T416,K416*M416/60,"")</f>
        <v/>
      </c>
      <c r="T416" s="15" t="b">
        <f aca="false">IF($C416="",FALSE(),AND(SUMPRODUCT(--(Setup!$A$5:$A$24=$C416))&gt;0,ISNUMBER(A416),ISNUMBER(K416),N(K416)&gt;0,ISNUMBER(D416),N(D416)&gt;0,ISNUMBER(G416),N(G416)&gt;=0,OR(E416="",ISNUMBER(E416)),OR(F416="",ISNUMBER(F416)),OR(H416="",ISNUMBER(H416)),N(E416)&gt;=0,N(F416)&gt;=0,N(H416)&gt;=0,N(H416)&lt;=N(G416),N(E416)&lt;N(D416),N(F416)&lt;=N(D416)-N(E416)))</f>
        <v>0</v>
      </c>
    </row>
    <row r="417" customFormat="false" ht="15" hidden="false" customHeight="false" outlineLevel="0" collapsed="false">
      <c r="A417" s="11"/>
      <c r="B417" s="8"/>
      <c r="C417" s="8"/>
      <c r="D417" s="8"/>
      <c r="E417" s="8"/>
      <c r="F417" s="8"/>
      <c r="G417" s="8"/>
      <c r="H417" s="8"/>
      <c r="I417" s="12" t="str">
        <f aca="false">IF($T417,D417-N(E417),"")</f>
        <v/>
      </c>
      <c r="J417" s="12" t="str">
        <f aca="false">IF($T417,I417-N(F417),"")</f>
        <v/>
      </c>
      <c r="K417" s="13" t="str">
        <f aca="false">IF($C417="","",IF(SUMPRODUCT(--(Setup!$A$5:$A$24=$C417))&gt;0,INDEX(Setup!$B$5:$B$24,21-SUMPRODUCT(MAX((Setup!$A$5:$A$24=$C417)*(25-ROW(Setup!$A$5:$A$24))))),""))</f>
        <v/>
      </c>
      <c r="L417" s="13" t="str">
        <f aca="false">IF($T417,K417*G417/60,"")</f>
        <v/>
      </c>
      <c r="M417" s="12" t="str">
        <f aca="false">IF($T417,G417-N(H417),"")</f>
        <v/>
      </c>
      <c r="N417" s="14" t="str">
        <f aca="false">IF($T417,J417/I417,"")</f>
        <v/>
      </c>
      <c r="O417" s="14" t="str">
        <f aca="false">IF(AND($T417,N(J417)&gt;0),L417/J417,"")</f>
        <v/>
      </c>
      <c r="P417" s="14" t="str">
        <f aca="false">IF(AND($T417,N(G417)&gt;0),M417/G417,"")</f>
        <v/>
      </c>
      <c r="Q417" s="14" t="str">
        <f aca="false">IF($T417,S417/I417,"")</f>
        <v/>
      </c>
      <c r="R417" s="10" t="str">
        <f aca="false">IF($C417="","",IF(NOT(SUMPRODUCT(--(Setup!$A$5:$A$24=$C417))&gt;0),"Machine not in Setup",IF(OR(NOT(ISNUMBER(K417)),N(K417)&lt;=0),"Set an ideal cycle time in Setup",IF(NOT(ISNUMBER(A417)),"Enter a date",IF(OR(NOT(ISNUMBER(D417)),NOT(ISNUMBER(G417)),AND(E417&lt;&gt;"",NOT(ISNUMBER(E417))),AND(F417&lt;&gt;"",NOT(ISNUMBER(F417))),AND(H417&lt;&gt;"",NOT(ISNUMBER(H417)))),"Enter numbers: shift length and total parts are required",IF(OR(N(D417)&lt;=0,N(E417)&lt;0,N(F417)&lt;0,N(G417)&lt;0,N(H417)&lt;0),"Values must be 0 or more (shift length above 0)",IF(N(H417)&gt;N(G417),"Rejects &gt; total parts",IF(N(E417)&gt;=N(D417),"Planned stops &gt;= shift length",IF(N(F417)&gt;N(D417)-N(E417),"Downtime &gt; planned time",IF(AND(ISNUMBER(O417),O417&gt;1),"Check: performance above 100%","OK"))))))))))</f>
        <v/>
      </c>
      <c r="S417" s="13" t="str">
        <f aca="false">IF($T417,K417*M417/60,"")</f>
        <v/>
      </c>
      <c r="T417" s="15" t="b">
        <f aca="false">IF($C417="",FALSE(),AND(SUMPRODUCT(--(Setup!$A$5:$A$24=$C417))&gt;0,ISNUMBER(A417),ISNUMBER(K417),N(K417)&gt;0,ISNUMBER(D417),N(D417)&gt;0,ISNUMBER(G417),N(G417)&gt;=0,OR(E417="",ISNUMBER(E417)),OR(F417="",ISNUMBER(F417)),OR(H417="",ISNUMBER(H417)),N(E417)&gt;=0,N(F417)&gt;=0,N(H417)&gt;=0,N(H417)&lt;=N(G417),N(E417)&lt;N(D417),N(F417)&lt;=N(D417)-N(E417)))</f>
        <v>0</v>
      </c>
    </row>
    <row r="418" customFormat="false" ht="15" hidden="false" customHeight="false" outlineLevel="0" collapsed="false">
      <c r="A418" s="11"/>
      <c r="B418" s="8"/>
      <c r="C418" s="8"/>
      <c r="D418" s="8"/>
      <c r="E418" s="8"/>
      <c r="F418" s="8"/>
      <c r="G418" s="8"/>
      <c r="H418" s="8"/>
      <c r="I418" s="12" t="str">
        <f aca="false">IF($T418,D418-N(E418),"")</f>
        <v/>
      </c>
      <c r="J418" s="12" t="str">
        <f aca="false">IF($T418,I418-N(F418),"")</f>
        <v/>
      </c>
      <c r="K418" s="13" t="str">
        <f aca="false">IF($C418="","",IF(SUMPRODUCT(--(Setup!$A$5:$A$24=$C418))&gt;0,INDEX(Setup!$B$5:$B$24,21-SUMPRODUCT(MAX((Setup!$A$5:$A$24=$C418)*(25-ROW(Setup!$A$5:$A$24))))),""))</f>
        <v/>
      </c>
      <c r="L418" s="13" t="str">
        <f aca="false">IF($T418,K418*G418/60,"")</f>
        <v/>
      </c>
      <c r="M418" s="12" t="str">
        <f aca="false">IF($T418,G418-N(H418),"")</f>
        <v/>
      </c>
      <c r="N418" s="14" t="str">
        <f aca="false">IF($T418,J418/I418,"")</f>
        <v/>
      </c>
      <c r="O418" s="14" t="str">
        <f aca="false">IF(AND($T418,N(J418)&gt;0),L418/J418,"")</f>
        <v/>
      </c>
      <c r="P418" s="14" t="str">
        <f aca="false">IF(AND($T418,N(G418)&gt;0),M418/G418,"")</f>
        <v/>
      </c>
      <c r="Q418" s="14" t="str">
        <f aca="false">IF($T418,S418/I418,"")</f>
        <v/>
      </c>
      <c r="R418" s="10" t="str">
        <f aca="false">IF($C418="","",IF(NOT(SUMPRODUCT(--(Setup!$A$5:$A$24=$C418))&gt;0),"Machine not in Setup",IF(OR(NOT(ISNUMBER(K418)),N(K418)&lt;=0),"Set an ideal cycle time in Setup",IF(NOT(ISNUMBER(A418)),"Enter a date",IF(OR(NOT(ISNUMBER(D418)),NOT(ISNUMBER(G418)),AND(E418&lt;&gt;"",NOT(ISNUMBER(E418))),AND(F418&lt;&gt;"",NOT(ISNUMBER(F418))),AND(H418&lt;&gt;"",NOT(ISNUMBER(H418)))),"Enter numbers: shift length and total parts are required",IF(OR(N(D418)&lt;=0,N(E418)&lt;0,N(F418)&lt;0,N(G418)&lt;0,N(H418)&lt;0),"Values must be 0 or more (shift length above 0)",IF(N(H418)&gt;N(G418),"Rejects &gt; total parts",IF(N(E418)&gt;=N(D418),"Planned stops &gt;= shift length",IF(N(F418)&gt;N(D418)-N(E418),"Downtime &gt; planned time",IF(AND(ISNUMBER(O418),O418&gt;1),"Check: performance above 100%","OK"))))))))))</f>
        <v/>
      </c>
      <c r="S418" s="13" t="str">
        <f aca="false">IF($T418,K418*M418/60,"")</f>
        <v/>
      </c>
      <c r="T418" s="15" t="b">
        <f aca="false">IF($C418="",FALSE(),AND(SUMPRODUCT(--(Setup!$A$5:$A$24=$C418))&gt;0,ISNUMBER(A418),ISNUMBER(K418),N(K418)&gt;0,ISNUMBER(D418),N(D418)&gt;0,ISNUMBER(G418),N(G418)&gt;=0,OR(E418="",ISNUMBER(E418)),OR(F418="",ISNUMBER(F418)),OR(H418="",ISNUMBER(H418)),N(E418)&gt;=0,N(F418)&gt;=0,N(H418)&gt;=0,N(H418)&lt;=N(G418),N(E418)&lt;N(D418),N(F418)&lt;=N(D418)-N(E418)))</f>
        <v>0</v>
      </c>
    </row>
    <row r="419" customFormat="false" ht="15" hidden="false" customHeight="false" outlineLevel="0" collapsed="false">
      <c r="A419" s="11"/>
      <c r="B419" s="8"/>
      <c r="C419" s="8"/>
      <c r="D419" s="8"/>
      <c r="E419" s="8"/>
      <c r="F419" s="8"/>
      <c r="G419" s="8"/>
      <c r="H419" s="8"/>
      <c r="I419" s="12" t="str">
        <f aca="false">IF($T419,D419-N(E419),"")</f>
        <v/>
      </c>
      <c r="J419" s="12" t="str">
        <f aca="false">IF($T419,I419-N(F419),"")</f>
        <v/>
      </c>
      <c r="K419" s="13" t="str">
        <f aca="false">IF($C419="","",IF(SUMPRODUCT(--(Setup!$A$5:$A$24=$C419))&gt;0,INDEX(Setup!$B$5:$B$24,21-SUMPRODUCT(MAX((Setup!$A$5:$A$24=$C419)*(25-ROW(Setup!$A$5:$A$24))))),""))</f>
        <v/>
      </c>
      <c r="L419" s="13" t="str">
        <f aca="false">IF($T419,K419*G419/60,"")</f>
        <v/>
      </c>
      <c r="M419" s="12" t="str">
        <f aca="false">IF($T419,G419-N(H419),"")</f>
        <v/>
      </c>
      <c r="N419" s="14" t="str">
        <f aca="false">IF($T419,J419/I419,"")</f>
        <v/>
      </c>
      <c r="O419" s="14" t="str">
        <f aca="false">IF(AND($T419,N(J419)&gt;0),L419/J419,"")</f>
        <v/>
      </c>
      <c r="P419" s="14" t="str">
        <f aca="false">IF(AND($T419,N(G419)&gt;0),M419/G419,"")</f>
        <v/>
      </c>
      <c r="Q419" s="14" t="str">
        <f aca="false">IF($T419,S419/I419,"")</f>
        <v/>
      </c>
      <c r="R419" s="10" t="str">
        <f aca="false">IF($C419="","",IF(NOT(SUMPRODUCT(--(Setup!$A$5:$A$24=$C419))&gt;0),"Machine not in Setup",IF(OR(NOT(ISNUMBER(K419)),N(K419)&lt;=0),"Set an ideal cycle time in Setup",IF(NOT(ISNUMBER(A419)),"Enter a date",IF(OR(NOT(ISNUMBER(D419)),NOT(ISNUMBER(G419)),AND(E419&lt;&gt;"",NOT(ISNUMBER(E419))),AND(F419&lt;&gt;"",NOT(ISNUMBER(F419))),AND(H419&lt;&gt;"",NOT(ISNUMBER(H419)))),"Enter numbers: shift length and total parts are required",IF(OR(N(D419)&lt;=0,N(E419)&lt;0,N(F419)&lt;0,N(G419)&lt;0,N(H419)&lt;0),"Values must be 0 or more (shift length above 0)",IF(N(H419)&gt;N(G419),"Rejects &gt; total parts",IF(N(E419)&gt;=N(D419),"Planned stops &gt;= shift length",IF(N(F419)&gt;N(D419)-N(E419),"Downtime &gt; planned time",IF(AND(ISNUMBER(O419),O419&gt;1),"Check: performance above 100%","OK"))))))))))</f>
        <v/>
      </c>
      <c r="S419" s="13" t="str">
        <f aca="false">IF($T419,K419*M419/60,"")</f>
        <v/>
      </c>
      <c r="T419" s="15" t="b">
        <f aca="false">IF($C419="",FALSE(),AND(SUMPRODUCT(--(Setup!$A$5:$A$24=$C419))&gt;0,ISNUMBER(A419),ISNUMBER(K419),N(K419)&gt;0,ISNUMBER(D419),N(D419)&gt;0,ISNUMBER(G419),N(G419)&gt;=0,OR(E419="",ISNUMBER(E419)),OR(F419="",ISNUMBER(F419)),OR(H419="",ISNUMBER(H419)),N(E419)&gt;=0,N(F419)&gt;=0,N(H419)&gt;=0,N(H419)&lt;=N(G419),N(E419)&lt;N(D419),N(F419)&lt;=N(D419)-N(E419)))</f>
        <v>0</v>
      </c>
    </row>
    <row r="420" customFormat="false" ht="15" hidden="false" customHeight="false" outlineLevel="0" collapsed="false">
      <c r="A420" s="11"/>
      <c r="B420" s="8"/>
      <c r="C420" s="8"/>
      <c r="D420" s="8"/>
      <c r="E420" s="8"/>
      <c r="F420" s="8"/>
      <c r="G420" s="8"/>
      <c r="H420" s="8"/>
      <c r="I420" s="12" t="str">
        <f aca="false">IF($T420,D420-N(E420),"")</f>
        <v/>
      </c>
      <c r="J420" s="12" t="str">
        <f aca="false">IF($T420,I420-N(F420),"")</f>
        <v/>
      </c>
      <c r="K420" s="13" t="str">
        <f aca="false">IF($C420="","",IF(SUMPRODUCT(--(Setup!$A$5:$A$24=$C420))&gt;0,INDEX(Setup!$B$5:$B$24,21-SUMPRODUCT(MAX((Setup!$A$5:$A$24=$C420)*(25-ROW(Setup!$A$5:$A$24))))),""))</f>
        <v/>
      </c>
      <c r="L420" s="13" t="str">
        <f aca="false">IF($T420,K420*G420/60,"")</f>
        <v/>
      </c>
      <c r="M420" s="12" t="str">
        <f aca="false">IF($T420,G420-N(H420),"")</f>
        <v/>
      </c>
      <c r="N420" s="14" t="str">
        <f aca="false">IF($T420,J420/I420,"")</f>
        <v/>
      </c>
      <c r="O420" s="14" t="str">
        <f aca="false">IF(AND($T420,N(J420)&gt;0),L420/J420,"")</f>
        <v/>
      </c>
      <c r="P420" s="14" t="str">
        <f aca="false">IF(AND($T420,N(G420)&gt;0),M420/G420,"")</f>
        <v/>
      </c>
      <c r="Q420" s="14" t="str">
        <f aca="false">IF($T420,S420/I420,"")</f>
        <v/>
      </c>
      <c r="R420" s="10" t="str">
        <f aca="false">IF($C420="","",IF(NOT(SUMPRODUCT(--(Setup!$A$5:$A$24=$C420))&gt;0),"Machine not in Setup",IF(OR(NOT(ISNUMBER(K420)),N(K420)&lt;=0),"Set an ideal cycle time in Setup",IF(NOT(ISNUMBER(A420)),"Enter a date",IF(OR(NOT(ISNUMBER(D420)),NOT(ISNUMBER(G420)),AND(E420&lt;&gt;"",NOT(ISNUMBER(E420))),AND(F420&lt;&gt;"",NOT(ISNUMBER(F420))),AND(H420&lt;&gt;"",NOT(ISNUMBER(H420)))),"Enter numbers: shift length and total parts are required",IF(OR(N(D420)&lt;=0,N(E420)&lt;0,N(F420)&lt;0,N(G420)&lt;0,N(H420)&lt;0),"Values must be 0 or more (shift length above 0)",IF(N(H420)&gt;N(G420),"Rejects &gt; total parts",IF(N(E420)&gt;=N(D420),"Planned stops &gt;= shift length",IF(N(F420)&gt;N(D420)-N(E420),"Downtime &gt; planned time",IF(AND(ISNUMBER(O420),O420&gt;1),"Check: performance above 100%","OK"))))))))))</f>
        <v/>
      </c>
      <c r="S420" s="13" t="str">
        <f aca="false">IF($T420,K420*M420/60,"")</f>
        <v/>
      </c>
      <c r="T420" s="15" t="b">
        <f aca="false">IF($C420="",FALSE(),AND(SUMPRODUCT(--(Setup!$A$5:$A$24=$C420))&gt;0,ISNUMBER(A420),ISNUMBER(K420),N(K420)&gt;0,ISNUMBER(D420),N(D420)&gt;0,ISNUMBER(G420),N(G420)&gt;=0,OR(E420="",ISNUMBER(E420)),OR(F420="",ISNUMBER(F420)),OR(H420="",ISNUMBER(H420)),N(E420)&gt;=0,N(F420)&gt;=0,N(H420)&gt;=0,N(H420)&lt;=N(G420),N(E420)&lt;N(D420),N(F420)&lt;=N(D420)-N(E420)))</f>
        <v>0</v>
      </c>
    </row>
    <row r="421" customFormat="false" ht="15" hidden="false" customHeight="false" outlineLevel="0" collapsed="false">
      <c r="A421" s="11"/>
      <c r="B421" s="8"/>
      <c r="C421" s="8"/>
      <c r="D421" s="8"/>
      <c r="E421" s="8"/>
      <c r="F421" s="8"/>
      <c r="G421" s="8"/>
      <c r="H421" s="8"/>
      <c r="I421" s="12" t="str">
        <f aca="false">IF($T421,D421-N(E421),"")</f>
        <v/>
      </c>
      <c r="J421" s="12" t="str">
        <f aca="false">IF($T421,I421-N(F421),"")</f>
        <v/>
      </c>
      <c r="K421" s="13" t="str">
        <f aca="false">IF($C421="","",IF(SUMPRODUCT(--(Setup!$A$5:$A$24=$C421))&gt;0,INDEX(Setup!$B$5:$B$24,21-SUMPRODUCT(MAX((Setup!$A$5:$A$24=$C421)*(25-ROW(Setup!$A$5:$A$24))))),""))</f>
        <v/>
      </c>
      <c r="L421" s="13" t="str">
        <f aca="false">IF($T421,K421*G421/60,"")</f>
        <v/>
      </c>
      <c r="M421" s="12" t="str">
        <f aca="false">IF($T421,G421-N(H421),"")</f>
        <v/>
      </c>
      <c r="N421" s="14" t="str">
        <f aca="false">IF($T421,J421/I421,"")</f>
        <v/>
      </c>
      <c r="O421" s="14" t="str">
        <f aca="false">IF(AND($T421,N(J421)&gt;0),L421/J421,"")</f>
        <v/>
      </c>
      <c r="P421" s="14" t="str">
        <f aca="false">IF(AND($T421,N(G421)&gt;0),M421/G421,"")</f>
        <v/>
      </c>
      <c r="Q421" s="14" t="str">
        <f aca="false">IF($T421,S421/I421,"")</f>
        <v/>
      </c>
      <c r="R421" s="10" t="str">
        <f aca="false">IF($C421="","",IF(NOT(SUMPRODUCT(--(Setup!$A$5:$A$24=$C421))&gt;0),"Machine not in Setup",IF(OR(NOT(ISNUMBER(K421)),N(K421)&lt;=0),"Set an ideal cycle time in Setup",IF(NOT(ISNUMBER(A421)),"Enter a date",IF(OR(NOT(ISNUMBER(D421)),NOT(ISNUMBER(G421)),AND(E421&lt;&gt;"",NOT(ISNUMBER(E421))),AND(F421&lt;&gt;"",NOT(ISNUMBER(F421))),AND(H421&lt;&gt;"",NOT(ISNUMBER(H421)))),"Enter numbers: shift length and total parts are required",IF(OR(N(D421)&lt;=0,N(E421)&lt;0,N(F421)&lt;0,N(G421)&lt;0,N(H421)&lt;0),"Values must be 0 or more (shift length above 0)",IF(N(H421)&gt;N(G421),"Rejects &gt; total parts",IF(N(E421)&gt;=N(D421),"Planned stops &gt;= shift length",IF(N(F421)&gt;N(D421)-N(E421),"Downtime &gt; planned time",IF(AND(ISNUMBER(O421),O421&gt;1),"Check: performance above 100%","OK"))))))))))</f>
        <v/>
      </c>
      <c r="S421" s="13" t="str">
        <f aca="false">IF($T421,K421*M421/60,"")</f>
        <v/>
      </c>
      <c r="T421" s="15" t="b">
        <f aca="false">IF($C421="",FALSE(),AND(SUMPRODUCT(--(Setup!$A$5:$A$24=$C421))&gt;0,ISNUMBER(A421),ISNUMBER(K421),N(K421)&gt;0,ISNUMBER(D421),N(D421)&gt;0,ISNUMBER(G421),N(G421)&gt;=0,OR(E421="",ISNUMBER(E421)),OR(F421="",ISNUMBER(F421)),OR(H421="",ISNUMBER(H421)),N(E421)&gt;=0,N(F421)&gt;=0,N(H421)&gt;=0,N(H421)&lt;=N(G421),N(E421)&lt;N(D421),N(F421)&lt;=N(D421)-N(E421)))</f>
        <v>0</v>
      </c>
    </row>
    <row r="422" customFormat="false" ht="15" hidden="false" customHeight="false" outlineLevel="0" collapsed="false">
      <c r="A422" s="11"/>
      <c r="B422" s="8"/>
      <c r="C422" s="8"/>
      <c r="D422" s="8"/>
      <c r="E422" s="8"/>
      <c r="F422" s="8"/>
      <c r="G422" s="8"/>
      <c r="H422" s="8"/>
      <c r="I422" s="12" t="str">
        <f aca="false">IF($T422,D422-N(E422),"")</f>
        <v/>
      </c>
      <c r="J422" s="12" t="str">
        <f aca="false">IF($T422,I422-N(F422),"")</f>
        <v/>
      </c>
      <c r="K422" s="13" t="str">
        <f aca="false">IF($C422="","",IF(SUMPRODUCT(--(Setup!$A$5:$A$24=$C422))&gt;0,INDEX(Setup!$B$5:$B$24,21-SUMPRODUCT(MAX((Setup!$A$5:$A$24=$C422)*(25-ROW(Setup!$A$5:$A$24))))),""))</f>
        <v/>
      </c>
      <c r="L422" s="13" t="str">
        <f aca="false">IF($T422,K422*G422/60,"")</f>
        <v/>
      </c>
      <c r="M422" s="12" t="str">
        <f aca="false">IF($T422,G422-N(H422),"")</f>
        <v/>
      </c>
      <c r="N422" s="14" t="str">
        <f aca="false">IF($T422,J422/I422,"")</f>
        <v/>
      </c>
      <c r="O422" s="14" t="str">
        <f aca="false">IF(AND($T422,N(J422)&gt;0),L422/J422,"")</f>
        <v/>
      </c>
      <c r="P422" s="14" t="str">
        <f aca="false">IF(AND($T422,N(G422)&gt;0),M422/G422,"")</f>
        <v/>
      </c>
      <c r="Q422" s="14" t="str">
        <f aca="false">IF($T422,S422/I422,"")</f>
        <v/>
      </c>
      <c r="R422" s="10" t="str">
        <f aca="false">IF($C422="","",IF(NOT(SUMPRODUCT(--(Setup!$A$5:$A$24=$C422))&gt;0),"Machine not in Setup",IF(OR(NOT(ISNUMBER(K422)),N(K422)&lt;=0),"Set an ideal cycle time in Setup",IF(NOT(ISNUMBER(A422)),"Enter a date",IF(OR(NOT(ISNUMBER(D422)),NOT(ISNUMBER(G422)),AND(E422&lt;&gt;"",NOT(ISNUMBER(E422))),AND(F422&lt;&gt;"",NOT(ISNUMBER(F422))),AND(H422&lt;&gt;"",NOT(ISNUMBER(H422)))),"Enter numbers: shift length and total parts are required",IF(OR(N(D422)&lt;=0,N(E422)&lt;0,N(F422)&lt;0,N(G422)&lt;0,N(H422)&lt;0),"Values must be 0 or more (shift length above 0)",IF(N(H422)&gt;N(G422),"Rejects &gt; total parts",IF(N(E422)&gt;=N(D422),"Planned stops &gt;= shift length",IF(N(F422)&gt;N(D422)-N(E422),"Downtime &gt; planned time",IF(AND(ISNUMBER(O422),O422&gt;1),"Check: performance above 100%","OK"))))))))))</f>
        <v/>
      </c>
      <c r="S422" s="13" t="str">
        <f aca="false">IF($T422,K422*M422/60,"")</f>
        <v/>
      </c>
      <c r="T422" s="15" t="b">
        <f aca="false">IF($C422="",FALSE(),AND(SUMPRODUCT(--(Setup!$A$5:$A$24=$C422))&gt;0,ISNUMBER(A422),ISNUMBER(K422),N(K422)&gt;0,ISNUMBER(D422),N(D422)&gt;0,ISNUMBER(G422),N(G422)&gt;=0,OR(E422="",ISNUMBER(E422)),OR(F422="",ISNUMBER(F422)),OR(H422="",ISNUMBER(H422)),N(E422)&gt;=0,N(F422)&gt;=0,N(H422)&gt;=0,N(H422)&lt;=N(G422),N(E422)&lt;N(D422),N(F422)&lt;=N(D422)-N(E422)))</f>
        <v>0</v>
      </c>
    </row>
    <row r="423" customFormat="false" ht="15" hidden="false" customHeight="false" outlineLevel="0" collapsed="false">
      <c r="A423" s="11"/>
      <c r="B423" s="8"/>
      <c r="C423" s="8"/>
      <c r="D423" s="8"/>
      <c r="E423" s="8"/>
      <c r="F423" s="8"/>
      <c r="G423" s="8"/>
      <c r="H423" s="8"/>
      <c r="I423" s="12" t="str">
        <f aca="false">IF($T423,D423-N(E423),"")</f>
        <v/>
      </c>
      <c r="J423" s="12" t="str">
        <f aca="false">IF($T423,I423-N(F423),"")</f>
        <v/>
      </c>
      <c r="K423" s="13" t="str">
        <f aca="false">IF($C423="","",IF(SUMPRODUCT(--(Setup!$A$5:$A$24=$C423))&gt;0,INDEX(Setup!$B$5:$B$24,21-SUMPRODUCT(MAX((Setup!$A$5:$A$24=$C423)*(25-ROW(Setup!$A$5:$A$24))))),""))</f>
        <v/>
      </c>
      <c r="L423" s="13" t="str">
        <f aca="false">IF($T423,K423*G423/60,"")</f>
        <v/>
      </c>
      <c r="M423" s="12" t="str">
        <f aca="false">IF($T423,G423-N(H423),"")</f>
        <v/>
      </c>
      <c r="N423" s="14" t="str">
        <f aca="false">IF($T423,J423/I423,"")</f>
        <v/>
      </c>
      <c r="O423" s="14" t="str">
        <f aca="false">IF(AND($T423,N(J423)&gt;0),L423/J423,"")</f>
        <v/>
      </c>
      <c r="P423" s="14" t="str">
        <f aca="false">IF(AND($T423,N(G423)&gt;0),M423/G423,"")</f>
        <v/>
      </c>
      <c r="Q423" s="14" t="str">
        <f aca="false">IF($T423,S423/I423,"")</f>
        <v/>
      </c>
      <c r="R423" s="10" t="str">
        <f aca="false">IF($C423="","",IF(NOT(SUMPRODUCT(--(Setup!$A$5:$A$24=$C423))&gt;0),"Machine not in Setup",IF(OR(NOT(ISNUMBER(K423)),N(K423)&lt;=0),"Set an ideal cycle time in Setup",IF(NOT(ISNUMBER(A423)),"Enter a date",IF(OR(NOT(ISNUMBER(D423)),NOT(ISNUMBER(G423)),AND(E423&lt;&gt;"",NOT(ISNUMBER(E423))),AND(F423&lt;&gt;"",NOT(ISNUMBER(F423))),AND(H423&lt;&gt;"",NOT(ISNUMBER(H423)))),"Enter numbers: shift length and total parts are required",IF(OR(N(D423)&lt;=0,N(E423)&lt;0,N(F423)&lt;0,N(G423)&lt;0,N(H423)&lt;0),"Values must be 0 or more (shift length above 0)",IF(N(H423)&gt;N(G423),"Rejects &gt; total parts",IF(N(E423)&gt;=N(D423),"Planned stops &gt;= shift length",IF(N(F423)&gt;N(D423)-N(E423),"Downtime &gt; planned time",IF(AND(ISNUMBER(O423),O423&gt;1),"Check: performance above 100%","OK"))))))))))</f>
        <v/>
      </c>
      <c r="S423" s="13" t="str">
        <f aca="false">IF($T423,K423*M423/60,"")</f>
        <v/>
      </c>
      <c r="T423" s="15" t="b">
        <f aca="false">IF($C423="",FALSE(),AND(SUMPRODUCT(--(Setup!$A$5:$A$24=$C423))&gt;0,ISNUMBER(A423),ISNUMBER(K423),N(K423)&gt;0,ISNUMBER(D423),N(D423)&gt;0,ISNUMBER(G423),N(G423)&gt;=0,OR(E423="",ISNUMBER(E423)),OR(F423="",ISNUMBER(F423)),OR(H423="",ISNUMBER(H423)),N(E423)&gt;=0,N(F423)&gt;=0,N(H423)&gt;=0,N(H423)&lt;=N(G423),N(E423)&lt;N(D423),N(F423)&lt;=N(D423)-N(E423)))</f>
        <v>0</v>
      </c>
    </row>
    <row r="424" customFormat="false" ht="15" hidden="false" customHeight="false" outlineLevel="0" collapsed="false">
      <c r="A424" s="11"/>
      <c r="B424" s="8"/>
      <c r="C424" s="8"/>
      <c r="D424" s="8"/>
      <c r="E424" s="8"/>
      <c r="F424" s="8"/>
      <c r="G424" s="8"/>
      <c r="H424" s="8"/>
      <c r="I424" s="12" t="str">
        <f aca="false">IF($T424,D424-N(E424),"")</f>
        <v/>
      </c>
      <c r="J424" s="12" t="str">
        <f aca="false">IF($T424,I424-N(F424),"")</f>
        <v/>
      </c>
      <c r="K424" s="13" t="str">
        <f aca="false">IF($C424="","",IF(SUMPRODUCT(--(Setup!$A$5:$A$24=$C424))&gt;0,INDEX(Setup!$B$5:$B$24,21-SUMPRODUCT(MAX((Setup!$A$5:$A$24=$C424)*(25-ROW(Setup!$A$5:$A$24))))),""))</f>
        <v/>
      </c>
      <c r="L424" s="13" t="str">
        <f aca="false">IF($T424,K424*G424/60,"")</f>
        <v/>
      </c>
      <c r="M424" s="12" t="str">
        <f aca="false">IF($T424,G424-N(H424),"")</f>
        <v/>
      </c>
      <c r="N424" s="14" t="str">
        <f aca="false">IF($T424,J424/I424,"")</f>
        <v/>
      </c>
      <c r="O424" s="14" t="str">
        <f aca="false">IF(AND($T424,N(J424)&gt;0),L424/J424,"")</f>
        <v/>
      </c>
      <c r="P424" s="14" t="str">
        <f aca="false">IF(AND($T424,N(G424)&gt;0),M424/G424,"")</f>
        <v/>
      </c>
      <c r="Q424" s="14" t="str">
        <f aca="false">IF($T424,S424/I424,"")</f>
        <v/>
      </c>
      <c r="R424" s="10" t="str">
        <f aca="false">IF($C424="","",IF(NOT(SUMPRODUCT(--(Setup!$A$5:$A$24=$C424))&gt;0),"Machine not in Setup",IF(OR(NOT(ISNUMBER(K424)),N(K424)&lt;=0),"Set an ideal cycle time in Setup",IF(NOT(ISNUMBER(A424)),"Enter a date",IF(OR(NOT(ISNUMBER(D424)),NOT(ISNUMBER(G424)),AND(E424&lt;&gt;"",NOT(ISNUMBER(E424))),AND(F424&lt;&gt;"",NOT(ISNUMBER(F424))),AND(H424&lt;&gt;"",NOT(ISNUMBER(H424)))),"Enter numbers: shift length and total parts are required",IF(OR(N(D424)&lt;=0,N(E424)&lt;0,N(F424)&lt;0,N(G424)&lt;0,N(H424)&lt;0),"Values must be 0 or more (shift length above 0)",IF(N(H424)&gt;N(G424),"Rejects &gt; total parts",IF(N(E424)&gt;=N(D424),"Planned stops &gt;= shift length",IF(N(F424)&gt;N(D424)-N(E424),"Downtime &gt; planned time",IF(AND(ISNUMBER(O424),O424&gt;1),"Check: performance above 100%","OK"))))))))))</f>
        <v/>
      </c>
      <c r="S424" s="13" t="str">
        <f aca="false">IF($T424,K424*M424/60,"")</f>
        <v/>
      </c>
      <c r="T424" s="15" t="b">
        <f aca="false">IF($C424="",FALSE(),AND(SUMPRODUCT(--(Setup!$A$5:$A$24=$C424))&gt;0,ISNUMBER(A424),ISNUMBER(K424),N(K424)&gt;0,ISNUMBER(D424),N(D424)&gt;0,ISNUMBER(G424),N(G424)&gt;=0,OR(E424="",ISNUMBER(E424)),OR(F424="",ISNUMBER(F424)),OR(H424="",ISNUMBER(H424)),N(E424)&gt;=0,N(F424)&gt;=0,N(H424)&gt;=0,N(H424)&lt;=N(G424),N(E424)&lt;N(D424),N(F424)&lt;=N(D424)-N(E424)))</f>
        <v>0</v>
      </c>
    </row>
    <row r="425" customFormat="false" ht="15" hidden="false" customHeight="false" outlineLevel="0" collapsed="false">
      <c r="A425" s="11"/>
      <c r="B425" s="8"/>
      <c r="C425" s="8"/>
      <c r="D425" s="8"/>
      <c r="E425" s="8"/>
      <c r="F425" s="8"/>
      <c r="G425" s="8"/>
      <c r="H425" s="8"/>
      <c r="I425" s="12" t="str">
        <f aca="false">IF($T425,D425-N(E425),"")</f>
        <v/>
      </c>
      <c r="J425" s="12" t="str">
        <f aca="false">IF($T425,I425-N(F425),"")</f>
        <v/>
      </c>
      <c r="K425" s="13" t="str">
        <f aca="false">IF($C425="","",IF(SUMPRODUCT(--(Setup!$A$5:$A$24=$C425))&gt;0,INDEX(Setup!$B$5:$B$24,21-SUMPRODUCT(MAX((Setup!$A$5:$A$24=$C425)*(25-ROW(Setup!$A$5:$A$24))))),""))</f>
        <v/>
      </c>
      <c r="L425" s="13" t="str">
        <f aca="false">IF($T425,K425*G425/60,"")</f>
        <v/>
      </c>
      <c r="M425" s="12" t="str">
        <f aca="false">IF($T425,G425-N(H425),"")</f>
        <v/>
      </c>
      <c r="N425" s="14" t="str">
        <f aca="false">IF($T425,J425/I425,"")</f>
        <v/>
      </c>
      <c r="O425" s="14" t="str">
        <f aca="false">IF(AND($T425,N(J425)&gt;0),L425/J425,"")</f>
        <v/>
      </c>
      <c r="P425" s="14" t="str">
        <f aca="false">IF(AND($T425,N(G425)&gt;0),M425/G425,"")</f>
        <v/>
      </c>
      <c r="Q425" s="14" t="str">
        <f aca="false">IF($T425,S425/I425,"")</f>
        <v/>
      </c>
      <c r="R425" s="10" t="str">
        <f aca="false">IF($C425="","",IF(NOT(SUMPRODUCT(--(Setup!$A$5:$A$24=$C425))&gt;0),"Machine not in Setup",IF(OR(NOT(ISNUMBER(K425)),N(K425)&lt;=0),"Set an ideal cycle time in Setup",IF(NOT(ISNUMBER(A425)),"Enter a date",IF(OR(NOT(ISNUMBER(D425)),NOT(ISNUMBER(G425)),AND(E425&lt;&gt;"",NOT(ISNUMBER(E425))),AND(F425&lt;&gt;"",NOT(ISNUMBER(F425))),AND(H425&lt;&gt;"",NOT(ISNUMBER(H425)))),"Enter numbers: shift length and total parts are required",IF(OR(N(D425)&lt;=0,N(E425)&lt;0,N(F425)&lt;0,N(G425)&lt;0,N(H425)&lt;0),"Values must be 0 or more (shift length above 0)",IF(N(H425)&gt;N(G425),"Rejects &gt; total parts",IF(N(E425)&gt;=N(D425),"Planned stops &gt;= shift length",IF(N(F425)&gt;N(D425)-N(E425),"Downtime &gt; planned time",IF(AND(ISNUMBER(O425),O425&gt;1),"Check: performance above 100%","OK"))))))))))</f>
        <v/>
      </c>
      <c r="S425" s="13" t="str">
        <f aca="false">IF($T425,K425*M425/60,"")</f>
        <v/>
      </c>
      <c r="T425" s="15" t="b">
        <f aca="false">IF($C425="",FALSE(),AND(SUMPRODUCT(--(Setup!$A$5:$A$24=$C425))&gt;0,ISNUMBER(A425),ISNUMBER(K425),N(K425)&gt;0,ISNUMBER(D425),N(D425)&gt;0,ISNUMBER(G425),N(G425)&gt;=0,OR(E425="",ISNUMBER(E425)),OR(F425="",ISNUMBER(F425)),OR(H425="",ISNUMBER(H425)),N(E425)&gt;=0,N(F425)&gt;=0,N(H425)&gt;=0,N(H425)&lt;=N(G425),N(E425)&lt;N(D425),N(F425)&lt;=N(D425)-N(E425)))</f>
        <v>0</v>
      </c>
    </row>
    <row r="426" customFormat="false" ht="15" hidden="false" customHeight="false" outlineLevel="0" collapsed="false">
      <c r="A426" s="11"/>
      <c r="B426" s="8"/>
      <c r="C426" s="8"/>
      <c r="D426" s="8"/>
      <c r="E426" s="8"/>
      <c r="F426" s="8"/>
      <c r="G426" s="8"/>
      <c r="H426" s="8"/>
      <c r="I426" s="12" t="str">
        <f aca="false">IF($T426,D426-N(E426),"")</f>
        <v/>
      </c>
      <c r="J426" s="12" t="str">
        <f aca="false">IF($T426,I426-N(F426),"")</f>
        <v/>
      </c>
      <c r="K426" s="13" t="str">
        <f aca="false">IF($C426="","",IF(SUMPRODUCT(--(Setup!$A$5:$A$24=$C426))&gt;0,INDEX(Setup!$B$5:$B$24,21-SUMPRODUCT(MAX((Setup!$A$5:$A$24=$C426)*(25-ROW(Setup!$A$5:$A$24))))),""))</f>
        <v/>
      </c>
      <c r="L426" s="13" t="str">
        <f aca="false">IF($T426,K426*G426/60,"")</f>
        <v/>
      </c>
      <c r="M426" s="12" t="str">
        <f aca="false">IF($T426,G426-N(H426),"")</f>
        <v/>
      </c>
      <c r="N426" s="14" t="str">
        <f aca="false">IF($T426,J426/I426,"")</f>
        <v/>
      </c>
      <c r="O426" s="14" t="str">
        <f aca="false">IF(AND($T426,N(J426)&gt;0),L426/J426,"")</f>
        <v/>
      </c>
      <c r="P426" s="14" t="str">
        <f aca="false">IF(AND($T426,N(G426)&gt;0),M426/G426,"")</f>
        <v/>
      </c>
      <c r="Q426" s="14" t="str">
        <f aca="false">IF($T426,S426/I426,"")</f>
        <v/>
      </c>
      <c r="R426" s="10" t="str">
        <f aca="false">IF($C426="","",IF(NOT(SUMPRODUCT(--(Setup!$A$5:$A$24=$C426))&gt;0),"Machine not in Setup",IF(OR(NOT(ISNUMBER(K426)),N(K426)&lt;=0),"Set an ideal cycle time in Setup",IF(NOT(ISNUMBER(A426)),"Enter a date",IF(OR(NOT(ISNUMBER(D426)),NOT(ISNUMBER(G426)),AND(E426&lt;&gt;"",NOT(ISNUMBER(E426))),AND(F426&lt;&gt;"",NOT(ISNUMBER(F426))),AND(H426&lt;&gt;"",NOT(ISNUMBER(H426)))),"Enter numbers: shift length and total parts are required",IF(OR(N(D426)&lt;=0,N(E426)&lt;0,N(F426)&lt;0,N(G426)&lt;0,N(H426)&lt;0),"Values must be 0 or more (shift length above 0)",IF(N(H426)&gt;N(G426),"Rejects &gt; total parts",IF(N(E426)&gt;=N(D426),"Planned stops &gt;= shift length",IF(N(F426)&gt;N(D426)-N(E426),"Downtime &gt; planned time",IF(AND(ISNUMBER(O426),O426&gt;1),"Check: performance above 100%","OK"))))))))))</f>
        <v/>
      </c>
      <c r="S426" s="13" t="str">
        <f aca="false">IF($T426,K426*M426/60,"")</f>
        <v/>
      </c>
      <c r="T426" s="15" t="b">
        <f aca="false">IF($C426="",FALSE(),AND(SUMPRODUCT(--(Setup!$A$5:$A$24=$C426))&gt;0,ISNUMBER(A426),ISNUMBER(K426),N(K426)&gt;0,ISNUMBER(D426),N(D426)&gt;0,ISNUMBER(G426),N(G426)&gt;=0,OR(E426="",ISNUMBER(E426)),OR(F426="",ISNUMBER(F426)),OR(H426="",ISNUMBER(H426)),N(E426)&gt;=0,N(F426)&gt;=0,N(H426)&gt;=0,N(H426)&lt;=N(G426),N(E426)&lt;N(D426),N(F426)&lt;=N(D426)-N(E426)))</f>
        <v>0</v>
      </c>
    </row>
    <row r="427" customFormat="false" ht="15" hidden="false" customHeight="false" outlineLevel="0" collapsed="false">
      <c r="A427" s="11"/>
      <c r="B427" s="8"/>
      <c r="C427" s="8"/>
      <c r="D427" s="8"/>
      <c r="E427" s="8"/>
      <c r="F427" s="8"/>
      <c r="G427" s="8"/>
      <c r="H427" s="8"/>
      <c r="I427" s="12" t="str">
        <f aca="false">IF($T427,D427-N(E427),"")</f>
        <v/>
      </c>
      <c r="J427" s="12" t="str">
        <f aca="false">IF($T427,I427-N(F427),"")</f>
        <v/>
      </c>
      <c r="K427" s="13" t="str">
        <f aca="false">IF($C427="","",IF(SUMPRODUCT(--(Setup!$A$5:$A$24=$C427))&gt;0,INDEX(Setup!$B$5:$B$24,21-SUMPRODUCT(MAX((Setup!$A$5:$A$24=$C427)*(25-ROW(Setup!$A$5:$A$24))))),""))</f>
        <v/>
      </c>
      <c r="L427" s="13" t="str">
        <f aca="false">IF($T427,K427*G427/60,"")</f>
        <v/>
      </c>
      <c r="M427" s="12" t="str">
        <f aca="false">IF($T427,G427-N(H427),"")</f>
        <v/>
      </c>
      <c r="N427" s="14" t="str">
        <f aca="false">IF($T427,J427/I427,"")</f>
        <v/>
      </c>
      <c r="O427" s="14" t="str">
        <f aca="false">IF(AND($T427,N(J427)&gt;0),L427/J427,"")</f>
        <v/>
      </c>
      <c r="P427" s="14" t="str">
        <f aca="false">IF(AND($T427,N(G427)&gt;0),M427/G427,"")</f>
        <v/>
      </c>
      <c r="Q427" s="14" t="str">
        <f aca="false">IF($T427,S427/I427,"")</f>
        <v/>
      </c>
      <c r="R427" s="10" t="str">
        <f aca="false">IF($C427="","",IF(NOT(SUMPRODUCT(--(Setup!$A$5:$A$24=$C427))&gt;0),"Machine not in Setup",IF(OR(NOT(ISNUMBER(K427)),N(K427)&lt;=0),"Set an ideal cycle time in Setup",IF(NOT(ISNUMBER(A427)),"Enter a date",IF(OR(NOT(ISNUMBER(D427)),NOT(ISNUMBER(G427)),AND(E427&lt;&gt;"",NOT(ISNUMBER(E427))),AND(F427&lt;&gt;"",NOT(ISNUMBER(F427))),AND(H427&lt;&gt;"",NOT(ISNUMBER(H427)))),"Enter numbers: shift length and total parts are required",IF(OR(N(D427)&lt;=0,N(E427)&lt;0,N(F427)&lt;0,N(G427)&lt;0,N(H427)&lt;0),"Values must be 0 or more (shift length above 0)",IF(N(H427)&gt;N(G427),"Rejects &gt; total parts",IF(N(E427)&gt;=N(D427),"Planned stops &gt;= shift length",IF(N(F427)&gt;N(D427)-N(E427),"Downtime &gt; planned time",IF(AND(ISNUMBER(O427),O427&gt;1),"Check: performance above 100%","OK"))))))))))</f>
        <v/>
      </c>
      <c r="S427" s="13" t="str">
        <f aca="false">IF($T427,K427*M427/60,"")</f>
        <v/>
      </c>
      <c r="T427" s="15" t="b">
        <f aca="false">IF($C427="",FALSE(),AND(SUMPRODUCT(--(Setup!$A$5:$A$24=$C427))&gt;0,ISNUMBER(A427),ISNUMBER(K427),N(K427)&gt;0,ISNUMBER(D427),N(D427)&gt;0,ISNUMBER(G427),N(G427)&gt;=0,OR(E427="",ISNUMBER(E427)),OR(F427="",ISNUMBER(F427)),OR(H427="",ISNUMBER(H427)),N(E427)&gt;=0,N(F427)&gt;=0,N(H427)&gt;=0,N(H427)&lt;=N(G427),N(E427)&lt;N(D427),N(F427)&lt;=N(D427)-N(E427)))</f>
        <v>0</v>
      </c>
    </row>
    <row r="428" customFormat="false" ht="15" hidden="false" customHeight="false" outlineLevel="0" collapsed="false">
      <c r="A428" s="11"/>
      <c r="B428" s="8"/>
      <c r="C428" s="8"/>
      <c r="D428" s="8"/>
      <c r="E428" s="8"/>
      <c r="F428" s="8"/>
      <c r="G428" s="8"/>
      <c r="H428" s="8"/>
      <c r="I428" s="12" t="str">
        <f aca="false">IF($T428,D428-N(E428),"")</f>
        <v/>
      </c>
      <c r="J428" s="12" t="str">
        <f aca="false">IF($T428,I428-N(F428),"")</f>
        <v/>
      </c>
      <c r="K428" s="13" t="str">
        <f aca="false">IF($C428="","",IF(SUMPRODUCT(--(Setup!$A$5:$A$24=$C428))&gt;0,INDEX(Setup!$B$5:$B$24,21-SUMPRODUCT(MAX((Setup!$A$5:$A$24=$C428)*(25-ROW(Setup!$A$5:$A$24))))),""))</f>
        <v/>
      </c>
      <c r="L428" s="13" t="str">
        <f aca="false">IF($T428,K428*G428/60,"")</f>
        <v/>
      </c>
      <c r="M428" s="12" t="str">
        <f aca="false">IF($T428,G428-N(H428),"")</f>
        <v/>
      </c>
      <c r="N428" s="14" t="str">
        <f aca="false">IF($T428,J428/I428,"")</f>
        <v/>
      </c>
      <c r="O428" s="14" t="str">
        <f aca="false">IF(AND($T428,N(J428)&gt;0),L428/J428,"")</f>
        <v/>
      </c>
      <c r="P428" s="14" t="str">
        <f aca="false">IF(AND($T428,N(G428)&gt;0),M428/G428,"")</f>
        <v/>
      </c>
      <c r="Q428" s="14" t="str">
        <f aca="false">IF($T428,S428/I428,"")</f>
        <v/>
      </c>
      <c r="R428" s="10" t="str">
        <f aca="false">IF($C428="","",IF(NOT(SUMPRODUCT(--(Setup!$A$5:$A$24=$C428))&gt;0),"Machine not in Setup",IF(OR(NOT(ISNUMBER(K428)),N(K428)&lt;=0),"Set an ideal cycle time in Setup",IF(NOT(ISNUMBER(A428)),"Enter a date",IF(OR(NOT(ISNUMBER(D428)),NOT(ISNUMBER(G428)),AND(E428&lt;&gt;"",NOT(ISNUMBER(E428))),AND(F428&lt;&gt;"",NOT(ISNUMBER(F428))),AND(H428&lt;&gt;"",NOT(ISNUMBER(H428)))),"Enter numbers: shift length and total parts are required",IF(OR(N(D428)&lt;=0,N(E428)&lt;0,N(F428)&lt;0,N(G428)&lt;0,N(H428)&lt;0),"Values must be 0 or more (shift length above 0)",IF(N(H428)&gt;N(G428),"Rejects &gt; total parts",IF(N(E428)&gt;=N(D428),"Planned stops &gt;= shift length",IF(N(F428)&gt;N(D428)-N(E428),"Downtime &gt; planned time",IF(AND(ISNUMBER(O428),O428&gt;1),"Check: performance above 100%","OK"))))))))))</f>
        <v/>
      </c>
      <c r="S428" s="13" t="str">
        <f aca="false">IF($T428,K428*M428/60,"")</f>
        <v/>
      </c>
      <c r="T428" s="15" t="b">
        <f aca="false">IF($C428="",FALSE(),AND(SUMPRODUCT(--(Setup!$A$5:$A$24=$C428))&gt;0,ISNUMBER(A428),ISNUMBER(K428),N(K428)&gt;0,ISNUMBER(D428),N(D428)&gt;0,ISNUMBER(G428),N(G428)&gt;=0,OR(E428="",ISNUMBER(E428)),OR(F428="",ISNUMBER(F428)),OR(H428="",ISNUMBER(H428)),N(E428)&gt;=0,N(F428)&gt;=0,N(H428)&gt;=0,N(H428)&lt;=N(G428),N(E428)&lt;N(D428),N(F428)&lt;=N(D428)-N(E428)))</f>
        <v>0</v>
      </c>
    </row>
    <row r="429" customFormat="false" ht="15" hidden="false" customHeight="false" outlineLevel="0" collapsed="false">
      <c r="A429" s="11"/>
      <c r="B429" s="8"/>
      <c r="C429" s="8"/>
      <c r="D429" s="8"/>
      <c r="E429" s="8"/>
      <c r="F429" s="8"/>
      <c r="G429" s="8"/>
      <c r="H429" s="8"/>
      <c r="I429" s="12" t="str">
        <f aca="false">IF($T429,D429-N(E429),"")</f>
        <v/>
      </c>
      <c r="J429" s="12" t="str">
        <f aca="false">IF($T429,I429-N(F429),"")</f>
        <v/>
      </c>
      <c r="K429" s="13" t="str">
        <f aca="false">IF($C429="","",IF(SUMPRODUCT(--(Setup!$A$5:$A$24=$C429))&gt;0,INDEX(Setup!$B$5:$B$24,21-SUMPRODUCT(MAX((Setup!$A$5:$A$24=$C429)*(25-ROW(Setup!$A$5:$A$24))))),""))</f>
        <v/>
      </c>
      <c r="L429" s="13" t="str">
        <f aca="false">IF($T429,K429*G429/60,"")</f>
        <v/>
      </c>
      <c r="M429" s="12" t="str">
        <f aca="false">IF($T429,G429-N(H429),"")</f>
        <v/>
      </c>
      <c r="N429" s="14" t="str">
        <f aca="false">IF($T429,J429/I429,"")</f>
        <v/>
      </c>
      <c r="O429" s="14" t="str">
        <f aca="false">IF(AND($T429,N(J429)&gt;0),L429/J429,"")</f>
        <v/>
      </c>
      <c r="P429" s="14" t="str">
        <f aca="false">IF(AND($T429,N(G429)&gt;0),M429/G429,"")</f>
        <v/>
      </c>
      <c r="Q429" s="14" t="str">
        <f aca="false">IF($T429,S429/I429,"")</f>
        <v/>
      </c>
      <c r="R429" s="10" t="str">
        <f aca="false">IF($C429="","",IF(NOT(SUMPRODUCT(--(Setup!$A$5:$A$24=$C429))&gt;0),"Machine not in Setup",IF(OR(NOT(ISNUMBER(K429)),N(K429)&lt;=0),"Set an ideal cycle time in Setup",IF(NOT(ISNUMBER(A429)),"Enter a date",IF(OR(NOT(ISNUMBER(D429)),NOT(ISNUMBER(G429)),AND(E429&lt;&gt;"",NOT(ISNUMBER(E429))),AND(F429&lt;&gt;"",NOT(ISNUMBER(F429))),AND(H429&lt;&gt;"",NOT(ISNUMBER(H429)))),"Enter numbers: shift length and total parts are required",IF(OR(N(D429)&lt;=0,N(E429)&lt;0,N(F429)&lt;0,N(G429)&lt;0,N(H429)&lt;0),"Values must be 0 or more (shift length above 0)",IF(N(H429)&gt;N(G429),"Rejects &gt; total parts",IF(N(E429)&gt;=N(D429),"Planned stops &gt;= shift length",IF(N(F429)&gt;N(D429)-N(E429),"Downtime &gt; planned time",IF(AND(ISNUMBER(O429),O429&gt;1),"Check: performance above 100%","OK"))))))))))</f>
        <v/>
      </c>
      <c r="S429" s="13" t="str">
        <f aca="false">IF($T429,K429*M429/60,"")</f>
        <v/>
      </c>
      <c r="T429" s="15" t="b">
        <f aca="false">IF($C429="",FALSE(),AND(SUMPRODUCT(--(Setup!$A$5:$A$24=$C429))&gt;0,ISNUMBER(A429),ISNUMBER(K429),N(K429)&gt;0,ISNUMBER(D429),N(D429)&gt;0,ISNUMBER(G429),N(G429)&gt;=0,OR(E429="",ISNUMBER(E429)),OR(F429="",ISNUMBER(F429)),OR(H429="",ISNUMBER(H429)),N(E429)&gt;=0,N(F429)&gt;=0,N(H429)&gt;=0,N(H429)&lt;=N(G429),N(E429)&lt;N(D429),N(F429)&lt;=N(D429)-N(E429)))</f>
        <v>0</v>
      </c>
    </row>
    <row r="430" customFormat="false" ht="15" hidden="false" customHeight="false" outlineLevel="0" collapsed="false">
      <c r="A430" s="11"/>
      <c r="B430" s="8"/>
      <c r="C430" s="8"/>
      <c r="D430" s="8"/>
      <c r="E430" s="8"/>
      <c r="F430" s="8"/>
      <c r="G430" s="8"/>
      <c r="H430" s="8"/>
      <c r="I430" s="12" t="str">
        <f aca="false">IF($T430,D430-N(E430),"")</f>
        <v/>
      </c>
      <c r="J430" s="12" t="str">
        <f aca="false">IF($T430,I430-N(F430),"")</f>
        <v/>
      </c>
      <c r="K430" s="13" t="str">
        <f aca="false">IF($C430="","",IF(SUMPRODUCT(--(Setup!$A$5:$A$24=$C430))&gt;0,INDEX(Setup!$B$5:$B$24,21-SUMPRODUCT(MAX((Setup!$A$5:$A$24=$C430)*(25-ROW(Setup!$A$5:$A$24))))),""))</f>
        <v/>
      </c>
      <c r="L430" s="13" t="str">
        <f aca="false">IF($T430,K430*G430/60,"")</f>
        <v/>
      </c>
      <c r="M430" s="12" t="str">
        <f aca="false">IF($T430,G430-N(H430),"")</f>
        <v/>
      </c>
      <c r="N430" s="14" t="str">
        <f aca="false">IF($T430,J430/I430,"")</f>
        <v/>
      </c>
      <c r="O430" s="14" t="str">
        <f aca="false">IF(AND($T430,N(J430)&gt;0),L430/J430,"")</f>
        <v/>
      </c>
      <c r="P430" s="14" t="str">
        <f aca="false">IF(AND($T430,N(G430)&gt;0),M430/G430,"")</f>
        <v/>
      </c>
      <c r="Q430" s="14" t="str">
        <f aca="false">IF($T430,S430/I430,"")</f>
        <v/>
      </c>
      <c r="R430" s="10" t="str">
        <f aca="false">IF($C430="","",IF(NOT(SUMPRODUCT(--(Setup!$A$5:$A$24=$C430))&gt;0),"Machine not in Setup",IF(OR(NOT(ISNUMBER(K430)),N(K430)&lt;=0),"Set an ideal cycle time in Setup",IF(NOT(ISNUMBER(A430)),"Enter a date",IF(OR(NOT(ISNUMBER(D430)),NOT(ISNUMBER(G430)),AND(E430&lt;&gt;"",NOT(ISNUMBER(E430))),AND(F430&lt;&gt;"",NOT(ISNUMBER(F430))),AND(H430&lt;&gt;"",NOT(ISNUMBER(H430)))),"Enter numbers: shift length and total parts are required",IF(OR(N(D430)&lt;=0,N(E430)&lt;0,N(F430)&lt;0,N(G430)&lt;0,N(H430)&lt;0),"Values must be 0 or more (shift length above 0)",IF(N(H430)&gt;N(G430),"Rejects &gt; total parts",IF(N(E430)&gt;=N(D430),"Planned stops &gt;= shift length",IF(N(F430)&gt;N(D430)-N(E430),"Downtime &gt; planned time",IF(AND(ISNUMBER(O430),O430&gt;1),"Check: performance above 100%","OK"))))))))))</f>
        <v/>
      </c>
      <c r="S430" s="13" t="str">
        <f aca="false">IF($T430,K430*M430/60,"")</f>
        <v/>
      </c>
      <c r="T430" s="15" t="b">
        <f aca="false">IF($C430="",FALSE(),AND(SUMPRODUCT(--(Setup!$A$5:$A$24=$C430))&gt;0,ISNUMBER(A430),ISNUMBER(K430),N(K430)&gt;0,ISNUMBER(D430),N(D430)&gt;0,ISNUMBER(G430),N(G430)&gt;=0,OR(E430="",ISNUMBER(E430)),OR(F430="",ISNUMBER(F430)),OR(H430="",ISNUMBER(H430)),N(E430)&gt;=0,N(F430)&gt;=0,N(H430)&gt;=0,N(H430)&lt;=N(G430),N(E430)&lt;N(D430),N(F430)&lt;=N(D430)-N(E430)))</f>
        <v>0</v>
      </c>
    </row>
    <row r="431" customFormat="false" ht="15" hidden="false" customHeight="false" outlineLevel="0" collapsed="false">
      <c r="A431" s="11"/>
      <c r="B431" s="8"/>
      <c r="C431" s="8"/>
      <c r="D431" s="8"/>
      <c r="E431" s="8"/>
      <c r="F431" s="8"/>
      <c r="G431" s="8"/>
      <c r="H431" s="8"/>
      <c r="I431" s="12" t="str">
        <f aca="false">IF($T431,D431-N(E431),"")</f>
        <v/>
      </c>
      <c r="J431" s="12" t="str">
        <f aca="false">IF($T431,I431-N(F431),"")</f>
        <v/>
      </c>
      <c r="K431" s="13" t="str">
        <f aca="false">IF($C431="","",IF(SUMPRODUCT(--(Setup!$A$5:$A$24=$C431))&gt;0,INDEX(Setup!$B$5:$B$24,21-SUMPRODUCT(MAX((Setup!$A$5:$A$24=$C431)*(25-ROW(Setup!$A$5:$A$24))))),""))</f>
        <v/>
      </c>
      <c r="L431" s="13" t="str">
        <f aca="false">IF($T431,K431*G431/60,"")</f>
        <v/>
      </c>
      <c r="M431" s="12" t="str">
        <f aca="false">IF($T431,G431-N(H431),"")</f>
        <v/>
      </c>
      <c r="N431" s="14" t="str">
        <f aca="false">IF($T431,J431/I431,"")</f>
        <v/>
      </c>
      <c r="O431" s="14" t="str">
        <f aca="false">IF(AND($T431,N(J431)&gt;0),L431/J431,"")</f>
        <v/>
      </c>
      <c r="P431" s="14" t="str">
        <f aca="false">IF(AND($T431,N(G431)&gt;0),M431/G431,"")</f>
        <v/>
      </c>
      <c r="Q431" s="14" t="str">
        <f aca="false">IF($T431,S431/I431,"")</f>
        <v/>
      </c>
      <c r="R431" s="10" t="str">
        <f aca="false">IF($C431="","",IF(NOT(SUMPRODUCT(--(Setup!$A$5:$A$24=$C431))&gt;0),"Machine not in Setup",IF(OR(NOT(ISNUMBER(K431)),N(K431)&lt;=0),"Set an ideal cycle time in Setup",IF(NOT(ISNUMBER(A431)),"Enter a date",IF(OR(NOT(ISNUMBER(D431)),NOT(ISNUMBER(G431)),AND(E431&lt;&gt;"",NOT(ISNUMBER(E431))),AND(F431&lt;&gt;"",NOT(ISNUMBER(F431))),AND(H431&lt;&gt;"",NOT(ISNUMBER(H431)))),"Enter numbers: shift length and total parts are required",IF(OR(N(D431)&lt;=0,N(E431)&lt;0,N(F431)&lt;0,N(G431)&lt;0,N(H431)&lt;0),"Values must be 0 or more (shift length above 0)",IF(N(H431)&gt;N(G431),"Rejects &gt; total parts",IF(N(E431)&gt;=N(D431),"Planned stops &gt;= shift length",IF(N(F431)&gt;N(D431)-N(E431),"Downtime &gt; planned time",IF(AND(ISNUMBER(O431),O431&gt;1),"Check: performance above 100%","OK"))))))))))</f>
        <v/>
      </c>
      <c r="S431" s="13" t="str">
        <f aca="false">IF($T431,K431*M431/60,"")</f>
        <v/>
      </c>
      <c r="T431" s="15" t="b">
        <f aca="false">IF($C431="",FALSE(),AND(SUMPRODUCT(--(Setup!$A$5:$A$24=$C431))&gt;0,ISNUMBER(A431),ISNUMBER(K431),N(K431)&gt;0,ISNUMBER(D431),N(D431)&gt;0,ISNUMBER(G431),N(G431)&gt;=0,OR(E431="",ISNUMBER(E431)),OR(F431="",ISNUMBER(F431)),OR(H431="",ISNUMBER(H431)),N(E431)&gt;=0,N(F431)&gt;=0,N(H431)&gt;=0,N(H431)&lt;=N(G431),N(E431)&lt;N(D431),N(F431)&lt;=N(D431)-N(E431)))</f>
        <v>0</v>
      </c>
    </row>
    <row r="432" customFormat="false" ht="15" hidden="false" customHeight="false" outlineLevel="0" collapsed="false">
      <c r="A432" s="11"/>
      <c r="B432" s="8"/>
      <c r="C432" s="8"/>
      <c r="D432" s="8"/>
      <c r="E432" s="8"/>
      <c r="F432" s="8"/>
      <c r="G432" s="8"/>
      <c r="H432" s="8"/>
      <c r="I432" s="12" t="str">
        <f aca="false">IF($T432,D432-N(E432),"")</f>
        <v/>
      </c>
      <c r="J432" s="12" t="str">
        <f aca="false">IF($T432,I432-N(F432),"")</f>
        <v/>
      </c>
      <c r="K432" s="13" t="str">
        <f aca="false">IF($C432="","",IF(SUMPRODUCT(--(Setup!$A$5:$A$24=$C432))&gt;0,INDEX(Setup!$B$5:$B$24,21-SUMPRODUCT(MAX((Setup!$A$5:$A$24=$C432)*(25-ROW(Setup!$A$5:$A$24))))),""))</f>
        <v/>
      </c>
      <c r="L432" s="13" t="str">
        <f aca="false">IF($T432,K432*G432/60,"")</f>
        <v/>
      </c>
      <c r="M432" s="12" t="str">
        <f aca="false">IF($T432,G432-N(H432),"")</f>
        <v/>
      </c>
      <c r="N432" s="14" t="str">
        <f aca="false">IF($T432,J432/I432,"")</f>
        <v/>
      </c>
      <c r="O432" s="14" t="str">
        <f aca="false">IF(AND($T432,N(J432)&gt;0),L432/J432,"")</f>
        <v/>
      </c>
      <c r="P432" s="14" t="str">
        <f aca="false">IF(AND($T432,N(G432)&gt;0),M432/G432,"")</f>
        <v/>
      </c>
      <c r="Q432" s="14" t="str">
        <f aca="false">IF($T432,S432/I432,"")</f>
        <v/>
      </c>
      <c r="R432" s="10" t="str">
        <f aca="false">IF($C432="","",IF(NOT(SUMPRODUCT(--(Setup!$A$5:$A$24=$C432))&gt;0),"Machine not in Setup",IF(OR(NOT(ISNUMBER(K432)),N(K432)&lt;=0),"Set an ideal cycle time in Setup",IF(NOT(ISNUMBER(A432)),"Enter a date",IF(OR(NOT(ISNUMBER(D432)),NOT(ISNUMBER(G432)),AND(E432&lt;&gt;"",NOT(ISNUMBER(E432))),AND(F432&lt;&gt;"",NOT(ISNUMBER(F432))),AND(H432&lt;&gt;"",NOT(ISNUMBER(H432)))),"Enter numbers: shift length and total parts are required",IF(OR(N(D432)&lt;=0,N(E432)&lt;0,N(F432)&lt;0,N(G432)&lt;0,N(H432)&lt;0),"Values must be 0 or more (shift length above 0)",IF(N(H432)&gt;N(G432),"Rejects &gt; total parts",IF(N(E432)&gt;=N(D432),"Planned stops &gt;= shift length",IF(N(F432)&gt;N(D432)-N(E432),"Downtime &gt; planned time",IF(AND(ISNUMBER(O432),O432&gt;1),"Check: performance above 100%","OK"))))))))))</f>
        <v/>
      </c>
      <c r="S432" s="13" t="str">
        <f aca="false">IF($T432,K432*M432/60,"")</f>
        <v/>
      </c>
      <c r="T432" s="15" t="b">
        <f aca="false">IF($C432="",FALSE(),AND(SUMPRODUCT(--(Setup!$A$5:$A$24=$C432))&gt;0,ISNUMBER(A432),ISNUMBER(K432),N(K432)&gt;0,ISNUMBER(D432),N(D432)&gt;0,ISNUMBER(G432),N(G432)&gt;=0,OR(E432="",ISNUMBER(E432)),OR(F432="",ISNUMBER(F432)),OR(H432="",ISNUMBER(H432)),N(E432)&gt;=0,N(F432)&gt;=0,N(H432)&gt;=0,N(H432)&lt;=N(G432),N(E432)&lt;N(D432),N(F432)&lt;=N(D432)-N(E432)))</f>
        <v>0</v>
      </c>
    </row>
    <row r="433" customFormat="false" ht="15" hidden="false" customHeight="false" outlineLevel="0" collapsed="false">
      <c r="A433" s="11"/>
      <c r="B433" s="8"/>
      <c r="C433" s="8"/>
      <c r="D433" s="8"/>
      <c r="E433" s="8"/>
      <c r="F433" s="8"/>
      <c r="G433" s="8"/>
      <c r="H433" s="8"/>
      <c r="I433" s="12" t="str">
        <f aca="false">IF($T433,D433-N(E433),"")</f>
        <v/>
      </c>
      <c r="J433" s="12" t="str">
        <f aca="false">IF($T433,I433-N(F433),"")</f>
        <v/>
      </c>
      <c r="K433" s="13" t="str">
        <f aca="false">IF($C433="","",IF(SUMPRODUCT(--(Setup!$A$5:$A$24=$C433))&gt;0,INDEX(Setup!$B$5:$B$24,21-SUMPRODUCT(MAX((Setup!$A$5:$A$24=$C433)*(25-ROW(Setup!$A$5:$A$24))))),""))</f>
        <v/>
      </c>
      <c r="L433" s="13" t="str">
        <f aca="false">IF($T433,K433*G433/60,"")</f>
        <v/>
      </c>
      <c r="M433" s="12" t="str">
        <f aca="false">IF($T433,G433-N(H433),"")</f>
        <v/>
      </c>
      <c r="N433" s="14" t="str">
        <f aca="false">IF($T433,J433/I433,"")</f>
        <v/>
      </c>
      <c r="O433" s="14" t="str">
        <f aca="false">IF(AND($T433,N(J433)&gt;0),L433/J433,"")</f>
        <v/>
      </c>
      <c r="P433" s="14" t="str">
        <f aca="false">IF(AND($T433,N(G433)&gt;0),M433/G433,"")</f>
        <v/>
      </c>
      <c r="Q433" s="14" t="str">
        <f aca="false">IF($T433,S433/I433,"")</f>
        <v/>
      </c>
      <c r="R433" s="10" t="str">
        <f aca="false">IF($C433="","",IF(NOT(SUMPRODUCT(--(Setup!$A$5:$A$24=$C433))&gt;0),"Machine not in Setup",IF(OR(NOT(ISNUMBER(K433)),N(K433)&lt;=0),"Set an ideal cycle time in Setup",IF(NOT(ISNUMBER(A433)),"Enter a date",IF(OR(NOT(ISNUMBER(D433)),NOT(ISNUMBER(G433)),AND(E433&lt;&gt;"",NOT(ISNUMBER(E433))),AND(F433&lt;&gt;"",NOT(ISNUMBER(F433))),AND(H433&lt;&gt;"",NOT(ISNUMBER(H433)))),"Enter numbers: shift length and total parts are required",IF(OR(N(D433)&lt;=0,N(E433)&lt;0,N(F433)&lt;0,N(G433)&lt;0,N(H433)&lt;0),"Values must be 0 or more (shift length above 0)",IF(N(H433)&gt;N(G433),"Rejects &gt; total parts",IF(N(E433)&gt;=N(D433),"Planned stops &gt;= shift length",IF(N(F433)&gt;N(D433)-N(E433),"Downtime &gt; planned time",IF(AND(ISNUMBER(O433),O433&gt;1),"Check: performance above 100%","OK"))))))))))</f>
        <v/>
      </c>
      <c r="S433" s="13" t="str">
        <f aca="false">IF($T433,K433*M433/60,"")</f>
        <v/>
      </c>
      <c r="T433" s="15" t="b">
        <f aca="false">IF($C433="",FALSE(),AND(SUMPRODUCT(--(Setup!$A$5:$A$24=$C433))&gt;0,ISNUMBER(A433),ISNUMBER(K433),N(K433)&gt;0,ISNUMBER(D433),N(D433)&gt;0,ISNUMBER(G433),N(G433)&gt;=0,OR(E433="",ISNUMBER(E433)),OR(F433="",ISNUMBER(F433)),OR(H433="",ISNUMBER(H433)),N(E433)&gt;=0,N(F433)&gt;=0,N(H433)&gt;=0,N(H433)&lt;=N(G433),N(E433)&lt;N(D433),N(F433)&lt;=N(D433)-N(E433)))</f>
        <v>0</v>
      </c>
    </row>
    <row r="434" customFormat="false" ht="15" hidden="false" customHeight="false" outlineLevel="0" collapsed="false">
      <c r="A434" s="11"/>
      <c r="B434" s="8"/>
      <c r="C434" s="8"/>
      <c r="D434" s="8"/>
      <c r="E434" s="8"/>
      <c r="F434" s="8"/>
      <c r="G434" s="8"/>
      <c r="H434" s="8"/>
      <c r="I434" s="12" t="str">
        <f aca="false">IF($T434,D434-N(E434),"")</f>
        <v/>
      </c>
      <c r="J434" s="12" t="str">
        <f aca="false">IF($T434,I434-N(F434),"")</f>
        <v/>
      </c>
      <c r="K434" s="13" t="str">
        <f aca="false">IF($C434="","",IF(SUMPRODUCT(--(Setup!$A$5:$A$24=$C434))&gt;0,INDEX(Setup!$B$5:$B$24,21-SUMPRODUCT(MAX((Setup!$A$5:$A$24=$C434)*(25-ROW(Setup!$A$5:$A$24))))),""))</f>
        <v/>
      </c>
      <c r="L434" s="13" t="str">
        <f aca="false">IF($T434,K434*G434/60,"")</f>
        <v/>
      </c>
      <c r="M434" s="12" t="str">
        <f aca="false">IF($T434,G434-N(H434),"")</f>
        <v/>
      </c>
      <c r="N434" s="14" t="str">
        <f aca="false">IF($T434,J434/I434,"")</f>
        <v/>
      </c>
      <c r="O434" s="14" t="str">
        <f aca="false">IF(AND($T434,N(J434)&gt;0),L434/J434,"")</f>
        <v/>
      </c>
      <c r="P434" s="14" t="str">
        <f aca="false">IF(AND($T434,N(G434)&gt;0),M434/G434,"")</f>
        <v/>
      </c>
      <c r="Q434" s="14" t="str">
        <f aca="false">IF($T434,S434/I434,"")</f>
        <v/>
      </c>
      <c r="R434" s="10" t="str">
        <f aca="false">IF($C434="","",IF(NOT(SUMPRODUCT(--(Setup!$A$5:$A$24=$C434))&gt;0),"Machine not in Setup",IF(OR(NOT(ISNUMBER(K434)),N(K434)&lt;=0),"Set an ideal cycle time in Setup",IF(NOT(ISNUMBER(A434)),"Enter a date",IF(OR(NOT(ISNUMBER(D434)),NOT(ISNUMBER(G434)),AND(E434&lt;&gt;"",NOT(ISNUMBER(E434))),AND(F434&lt;&gt;"",NOT(ISNUMBER(F434))),AND(H434&lt;&gt;"",NOT(ISNUMBER(H434)))),"Enter numbers: shift length and total parts are required",IF(OR(N(D434)&lt;=0,N(E434)&lt;0,N(F434)&lt;0,N(G434)&lt;0,N(H434)&lt;0),"Values must be 0 or more (shift length above 0)",IF(N(H434)&gt;N(G434),"Rejects &gt; total parts",IF(N(E434)&gt;=N(D434),"Planned stops &gt;= shift length",IF(N(F434)&gt;N(D434)-N(E434),"Downtime &gt; planned time",IF(AND(ISNUMBER(O434),O434&gt;1),"Check: performance above 100%","OK"))))))))))</f>
        <v/>
      </c>
      <c r="S434" s="13" t="str">
        <f aca="false">IF($T434,K434*M434/60,"")</f>
        <v/>
      </c>
      <c r="T434" s="15" t="b">
        <f aca="false">IF($C434="",FALSE(),AND(SUMPRODUCT(--(Setup!$A$5:$A$24=$C434))&gt;0,ISNUMBER(A434),ISNUMBER(K434),N(K434)&gt;0,ISNUMBER(D434),N(D434)&gt;0,ISNUMBER(G434),N(G434)&gt;=0,OR(E434="",ISNUMBER(E434)),OR(F434="",ISNUMBER(F434)),OR(H434="",ISNUMBER(H434)),N(E434)&gt;=0,N(F434)&gt;=0,N(H434)&gt;=0,N(H434)&lt;=N(G434),N(E434)&lt;N(D434),N(F434)&lt;=N(D434)-N(E434)))</f>
        <v>0</v>
      </c>
    </row>
    <row r="435" customFormat="false" ht="15" hidden="false" customHeight="false" outlineLevel="0" collapsed="false">
      <c r="A435" s="11"/>
      <c r="B435" s="8"/>
      <c r="C435" s="8"/>
      <c r="D435" s="8"/>
      <c r="E435" s="8"/>
      <c r="F435" s="8"/>
      <c r="G435" s="8"/>
      <c r="H435" s="8"/>
      <c r="I435" s="12" t="str">
        <f aca="false">IF($T435,D435-N(E435),"")</f>
        <v/>
      </c>
      <c r="J435" s="12" t="str">
        <f aca="false">IF($T435,I435-N(F435),"")</f>
        <v/>
      </c>
      <c r="K435" s="13" t="str">
        <f aca="false">IF($C435="","",IF(SUMPRODUCT(--(Setup!$A$5:$A$24=$C435))&gt;0,INDEX(Setup!$B$5:$B$24,21-SUMPRODUCT(MAX((Setup!$A$5:$A$24=$C435)*(25-ROW(Setup!$A$5:$A$24))))),""))</f>
        <v/>
      </c>
      <c r="L435" s="13" t="str">
        <f aca="false">IF($T435,K435*G435/60,"")</f>
        <v/>
      </c>
      <c r="M435" s="12" t="str">
        <f aca="false">IF($T435,G435-N(H435),"")</f>
        <v/>
      </c>
      <c r="N435" s="14" t="str">
        <f aca="false">IF($T435,J435/I435,"")</f>
        <v/>
      </c>
      <c r="O435" s="14" t="str">
        <f aca="false">IF(AND($T435,N(J435)&gt;0),L435/J435,"")</f>
        <v/>
      </c>
      <c r="P435" s="14" t="str">
        <f aca="false">IF(AND($T435,N(G435)&gt;0),M435/G435,"")</f>
        <v/>
      </c>
      <c r="Q435" s="14" t="str">
        <f aca="false">IF($T435,S435/I435,"")</f>
        <v/>
      </c>
      <c r="R435" s="10" t="str">
        <f aca="false">IF($C435="","",IF(NOT(SUMPRODUCT(--(Setup!$A$5:$A$24=$C435))&gt;0),"Machine not in Setup",IF(OR(NOT(ISNUMBER(K435)),N(K435)&lt;=0),"Set an ideal cycle time in Setup",IF(NOT(ISNUMBER(A435)),"Enter a date",IF(OR(NOT(ISNUMBER(D435)),NOT(ISNUMBER(G435)),AND(E435&lt;&gt;"",NOT(ISNUMBER(E435))),AND(F435&lt;&gt;"",NOT(ISNUMBER(F435))),AND(H435&lt;&gt;"",NOT(ISNUMBER(H435)))),"Enter numbers: shift length and total parts are required",IF(OR(N(D435)&lt;=0,N(E435)&lt;0,N(F435)&lt;0,N(G435)&lt;0,N(H435)&lt;0),"Values must be 0 or more (shift length above 0)",IF(N(H435)&gt;N(G435),"Rejects &gt; total parts",IF(N(E435)&gt;=N(D435),"Planned stops &gt;= shift length",IF(N(F435)&gt;N(D435)-N(E435),"Downtime &gt; planned time",IF(AND(ISNUMBER(O435),O435&gt;1),"Check: performance above 100%","OK"))))))))))</f>
        <v/>
      </c>
      <c r="S435" s="13" t="str">
        <f aca="false">IF($T435,K435*M435/60,"")</f>
        <v/>
      </c>
      <c r="T435" s="15" t="b">
        <f aca="false">IF($C435="",FALSE(),AND(SUMPRODUCT(--(Setup!$A$5:$A$24=$C435))&gt;0,ISNUMBER(A435),ISNUMBER(K435),N(K435)&gt;0,ISNUMBER(D435),N(D435)&gt;0,ISNUMBER(G435),N(G435)&gt;=0,OR(E435="",ISNUMBER(E435)),OR(F435="",ISNUMBER(F435)),OR(H435="",ISNUMBER(H435)),N(E435)&gt;=0,N(F435)&gt;=0,N(H435)&gt;=0,N(H435)&lt;=N(G435),N(E435)&lt;N(D435),N(F435)&lt;=N(D435)-N(E435)))</f>
        <v>0</v>
      </c>
    </row>
    <row r="436" customFormat="false" ht="15" hidden="false" customHeight="false" outlineLevel="0" collapsed="false">
      <c r="A436" s="11"/>
      <c r="B436" s="8"/>
      <c r="C436" s="8"/>
      <c r="D436" s="8"/>
      <c r="E436" s="8"/>
      <c r="F436" s="8"/>
      <c r="G436" s="8"/>
      <c r="H436" s="8"/>
      <c r="I436" s="12" t="str">
        <f aca="false">IF($T436,D436-N(E436),"")</f>
        <v/>
      </c>
      <c r="J436" s="12" t="str">
        <f aca="false">IF($T436,I436-N(F436),"")</f>
        <v/>
      </c>
      <c r="K436" s="13" t="str">
        <f aca="false">IF($C436="","",IF(SUMPRODUCT(--(Setup!$A$5:$A$24=$C436))&gt;0,INDEX(Setup!$B$5:$B$24,21-SUMPRODUCT(MAX((Setup!$A$5:$A$24=$C436)*(25-ROW(Setup!$A$5:$A$24))))),""))</f>
        <v/>
      </c>
      <c r="L436" s="13" t="str">
        <f aca="false">IF($T436,K436*G436/60,"")</f>
        <v/>
      </c>
      <c r="M436" s="12" t="str">
        <f aca="false">IF($T436,G436-N(H436),"")</f>
        <v/>
      </c>
      <c r="N436" s="14" t="str">
        <f aca="false">IF($T436,J436/I436,"")</f>
        <v/>
      </c>
      <c r="O436" s="14" t="str">
        <f aca="false">IF(AND($T436,N(J436)&gt;0),L436/J436,"")</f>
        <v/>
      </c>
      <c r="P436" s="14" t="str">
        <f aca="false">IF(AND($T436,N(G436)&gt;0),M436/G436,"")</f>
        <v/>
      </c>
      <c r="Q436" s="14" t="str">
        <f aca="false">IF($T436,S436/I436,"")</f>
        <v/>
      </c>
      <c r="R436" s="10" t="str">
        <f aca="false">IF($C436="","",IF(NOT(SUMPRODUCT(--(Setup!$A$5:$A$24=$C436))&gt;0),"Machine not in Setup",IF(OR(NOT(ISNUMBER(K436)),N(K436)&lt;=0),"Set an ideal cycle time in Setup",IF(NOT(ISNUMBER(A436)),"Enter a date",IF(OR(NOT(ISNUMBER(D436)),NOT(ISNUMBER(G436)),AND(E436&lt;&gt;"",NOT(ISNUMBER(E436))),AND(F436&lt;&gt;"",NOT(ISNUMBER(F436))),AND(H436&lt;&gt;"",NOT(ISNUMBER(H436)))),"Enter numbers: shift length and total parts are required",IF(OR(N(D436)&lt;=0,N(E436)&lt;0,N(F436)&lt;0,N(G436)&lt;0,N(H436)&lt;0),"Values must be 0 or more (shift length above 0)",IF(N(H436)&gt;N(G436),"Rejects &gt; total parts",IF(N(E436)&gt;=N(D436),"Planned stops &gt;= shift length",IF(N(F436)&gt;N(D436)-N(E436),"Downtime &gt; planned time",IF(AND(ISNUMBER(O436),O436&gt;1),"Check: performance above 100%","OK"))))))))))</f>
        <v/>
      </c>
      <c r="S436" s="13" t="str">
        <f aca="false">IF($T436,K436*M436/60,"")</f>
        <v/>
      </c>
      <c r="T436" s="15" t="b">
        <f aca="false">IF($C436="",FALSE(),AND(SUMPRODUCT(--(Setup!$A$5:$A$24=$C436))&gt;0,ISNUMBER(A436),ISNUMBER(K436),N(K436)&gt;0,ISNUMBER(D436),N(D436)&gt;0,ISNUMBER(G436),N(G436)&gt;=0,OR(E436="",ISNUMBER(E436)),OR(F436="",ISNUMBER(F436)),OR(H436="",ISNUMBER(H436)),N(E436)&gt;=0,N(F436)&gt;=0,N(H436)&gt;=0,N(H436)&lt;=N(G436),N(E436)&lt;N(D436),N(F436)&lt;=N(D436)-N(E436)))</f>
        <v>0</v>
      </c>
    </row>
    <row r="437" customFormat="false" ht="15" hidden="false" customHeight="false" outlineLevel="0" collapsed="false">
      <c r="A437" s="11"/>
      <c r="B437" s="8"/>
      <c r="C437" s="8"/>
      <c r="D437" s="8"/>
      <c r="E437" s="8"/>
      <c r="F437" s="8"/>
      <c r="G437" s="8"/>
      <c r="H437" s="8"/>
      <c r="I437" s="12" t="str">
        <f aca="false">IF($T437,D437-N(E437),"")</f>
        <v/>
      </c>
      <c r="J437" s="12" t="str">
        <f aca="false">IF($T437,I437-N(F437),"")</f>
        <v/>
      </c>
      <c r="K437" s="13" t="str">
        <f aca="false">IF($C437="","",IF(SUMPRODUCT(--(Setup!$A$5:$A$24=$C437))&gt;0,INDEX(Setup!$B$5:$B$24,21-SUMPRODUCT(MAX((Setup!$A$5:$A$24=$C437)*(25-ROW(Setup!$A$5:$A$24))))),""))</f>
        <v/>
      </c>
      <c r="L437" s="13" t="str">
        <f aca="false">IF($T437,K437*G437/60,"")</f>
        <v/>
      </c>
      <c r="M437" s="12" t="str">
        <f aca="false">IF($T437,G437-N(H437),"")</f>
        <v/>
      </c>
      <c r="N437" s="14" t="str">
        <f aca="false">IF($T437,J437/I437,"")</f>
        <v/>
      </c>
      <c r="O437" s="14" t="str">
        <f aca="false">IF(AND($T437,N(J437)&gt;0),L437/J437,"")</f>
        <v/>
      </c>
      <c r="P437" s="14" t="str">
        <f aca="false">IF(AND($T437,N(G437)&gt;0),M437/G437,"")</f>
        <v/>
      </c>
      <c r="Q437" s="14" t="str">
        <f aca="false">IF($T437,S437/I437,"")</f>
        <v/>
      </c>
      <c r="R437" s="10" t="str">
        <f aca="false">IF($C437="","",IF(NOT(SUMPRODUCT(--(Setup!$A$5:$A$24=$C437))&gt;0),"Machine not in Setup",IF(OR(NOT(ISNUMBER(K437)),N(K437)&lt;=0),"Set an ideal cycle time in Setup",IF(NOT(ISNUMBER(A437)),"Enter a date",IF(OR(NOT(ISNUMBER(D437)),NOT(ISNUMBER(G437)),AND(E437&lt;&gt;"",NOT(ISNUMBER(E437))),AND(F437&lt;&gt;"",NOT(ISNUMBER(F437))),AND(H437&lt;&gt;"",NOT(ISNUMBER(H437)))),"Enter numbers: shift length and total parts are required",IF(OR(N(D437)&lt;=0,N(E437)&lt;0,N(F437)&lt;0,N(G437)&lt;0,N(H437)&lt;0),"Values must be 0 or more (shift length above 0)",IF(N(H437)&gt;N(G437),"Rejects &gt; total parts",IF(N(E437)&gt;=N(D437),"Planned stops &gt;= shift length",IF(N(F437)&gt;N(D437)-N(E437),"Downtime &gt; planned time",IF(AND(ISNUMBER(O437),O437&gt;1),"Check: performance above 100%","OK"))))))))))</f>
        <v/>
      </c>
      <c r="S437" s="13" t="str">
        <f aca="false">IF($T437,K437*M437/60,"")</f>
        <v/>
      </c>
      <c r="T437" s="15" t="b">
        <f aca="false">IF($C437="",FALSE(),AND(SUMPRODUCT(--(Setup!$A$5:$A$24=$C437))&gt;0,ISNUMBER(A437),ISNUMBER(K437),N(K437)&gt;0,ISNUMBER(D437),N(D437)&gt;0,ISNUMBER(G437),N(G437)&gt;=0,OR(E437="",ISNUMBER(E437)),OR(F437="",ISNUMBER(F437)),OR(H437="",ISNUMBER(H437)),N(E437)&gt;=0,N(F437)&gt;=0,N(H437)&gt;=0,N(H437)&lt;=N(G437),N(E437)&lt;N(D437),N(F437)&lt;=N(D437)-N(E437)))</f>
        <v>0</v>
      </c>
    </row>
    <row r="438" customFormat="false" ht="15" hidden="false" customHeight="false" outlineLevel="0" collapsed="false">
      <c r="A438" s="11"/>
      <c r="B438" s="8"/>
      <c r="C438" s="8"/>
      <c r="D438" s="8"/>
      <c r="E438" s="8"/>
      <c r="F438" s="8"/>
      <c r="G438" s="8"/>
      <c r="H438" s="8"/>
      <c r="I438" s="12" t="str">
        <f aca="false">IF($T438,D438-N(E438),"")</f>
        <v/>
      </c>
      <c r="J438" s="12" t="str">
        <f aca="false">IF($T438,I438-N(F438),"")</f>
        <v/>
      </c>
      <c r="K438" s="13" t="str">
        <f aca="false">IF($C438="","",IF(SUMPRODUCT(--(Setup!$A$5:$A$24=$C438))&gt;0,INDEX(Setup!$B$5:$B$24,21-SUMPRODUCT(MAX((Setup!$A$5:$A$24=$C438)*(25-ROW(Setup!$A$5:$A$24))))),""))</f>
        <v/>
      </c>
      <c r="L438" s="13" t="str">
        <f aca="false">IF($T438,K438*G438/60,"")</f>
        <v/>
      </c>
      <c r="M438" s="12" t="str">
        <f aca="false">IF($T438,G438-N(H438),"")</f>
        <v/>
      </c>
      <c r="N438" s="14" t="str">
        <f aca="false">IF($T438,J438/I438,"")</f>
        <v/>
      </c>
      <c r="O438" s="14" t="str">
        <f aca="false">IF(AND($T438,N(J438)&gt;0),L438/J438,"")</f>
        <v/>
      </c>
      <c r="P438" s="14" t="str">
        <f aca="false">IF(AND($T438,N(G438)&gt;0),M438/G438,"")</f>
        <v/>
      </c>
      <c r="Q438" s="14" t="str">
        <f aca="false">IF($T438,S438/I438,"")</f>
        <v/>
      </c>
      <c r="R438" s="10" t="str">
        <f aca="false">IF($C438="","",IF(NOT(SUMPRODUCT(--(Setup!$A$5:$A$24=$C438))&gt;0),"Machine not in Setup",IF(OR(NOT(ISNUMBER(K438)),N(K438)&lt;=0),"Set an ideal cycle time in Setup",IF(NOT(ISNUMBER(A438)),"Enter a date",IF(OR(NOT(ISNUMBER(D438)),NOT(ISNUMBER(G438)),AND(E438&lt;&gt;"",NOT(ISNUMBER(E438))),AND(F438&lt;&gt;"",NOT(ISNUMBER(F438))),AND(H438&lt;&gt;"",NOT(ISNUMBER(H438)))),"Enter numbers: shift length and total parts are required",IF(OR(N(D438)&lt;=0,N(E438)&lt;0,N(F438)&lt;0,N(G438)&lt;0,N(H438)&lt;0),"Values must be 0 or more (shift length above 0)",IF(N(H438)&gt;N(G438),"Rejects &gt; total parts",IF(N(E438)&gt;=N(D438),"Planned stops &gt;= shift length",IF(N(F438)&gt;N(D438)-N(E438),"Downtime &gt; planned time",IF(AND(ISNUMBER(O438),O438&gt;1),"Check: performance above 100%","OK"))))))))))</f>
        <v/>
      </c>
      <c r="S438" s="13" t="str">
        <f aca="false">IF($T438,K438*M438/60,"")</f>
        <v/>
      </c>
      <c r="T438" s="15" t="b">
        <f aca="false">IF($C438="",FALSE(),AND(SUMPRODUCT(--(Setup!$A$5:$A$24=$C438))&gt;0,ISNUMBER(A438),ISNUMBER(K438),N(K438)&gt;0,ISNUMBER(D438),N(D438)&gt;0,ISNUMBER(G438),N(G438)&gt;=0,OR(E438="",ISNUMBER(E438)),OR(F438="",ISNUMBER(F438)),OR(H438="",ISNUMBER(H438)),N(E438)&gt;=0,N(F438)&gt;=0,N(H438)&gt;=0,N(H438)&lt;=N(G438),N(E438)&lt;N(D438),N(F438)&lt;=N(D438)-N(E438)))</f>
        <v>0</v>
      </c>
    </row>
    <row r="439" customFormat="false" ht="15" hidden="false" customHeight="false" outlineLevel="0" collapsed="false">
      <c r="A439" s="11"/>
      <c r="B439" s="8"/>
      <c r="C439" s="8"/>
      <c r="D439" s="8"/>
      <c r="E439" s="8"/>
      <c r="F439" s="8"/>
      <c r="G439" s="8"/>
      <c r="H439" s="8"/>
      <c r="I439" s="12" t="str">
        <f aca="false">IF($T439,D439-N(E439),"")</f>
        <v/>
      </c>
      <c r="J439" s="12" t="str">
        <f aca="false">IF($T439,I439-N(F439),"")</f>
        <v/>
      </c>
      <c r="K439" s="13" t="str">
        <f aca="false">IF($C439="","",IF(SUMPRODUCT(--(Setup!$A$5:$A$24=$C439))&gt;0,INDEX(Setup!$B$5:$B$24,21-SUMPRODUCT(MAX((Setup!$A$5:$A$24=$C439)*(25-ROW(Setup!$A$5:$A$24))))),""))</f>
        <v/>
      </c>
      <c r="L439" s="13" t="str">
        <f aca="false">IF($T439,K439*G439/60,"")</f>
        <v/>
      </c>
      <c r="M439" s="12" t="str">
        <f aca="false">IF($T439,G439-N(H439),"")</f>
        <v/>
      </c>
      <c r="N439" s="14" t="str">
        <f aca="false">IF($T439,J439/I439,"")</f>
        <v/>
      </c>
      <c r="O439" s="14" t="str">
        <f aca="false">IF(AND($T439,N(J439)&gt;0),L439/J439,"")</f>
        <v/>
      </c>
      <c r="P439" s="14" t="str">
        <f aca="false">IF(AND($T439,N(G439)&gt;0),M439/G439,"")</f>
        <v/>
      </c>
      <c r="Q439" s="14" t="str">
        <f aca="false">IF($T439,S439/I439,"")</f>
        <v/>
      </c>
      <c r="R439" s="10" t="str">
        <f aca="false">IF($C439="","",IF(NOT(SUMPRODUCT(--(Setup!$A$5:$A$24=$C439))&gt;0),"Machine not in Setup",IF(OR(NOT(ISNUMBER(K439)),N(K439)&lt;=0),"Set an ideal cycle time in Setup",IF(NOT(ISNUMBER(A439)),"Enter a date",IF(OR(NOT(ISNUMBER(D439)),NOT(ISNUMBER(G439)),AND(E439&lt;&gt;"",NOT(ISNUMBER(E439))),AND(F439&lt;&gt;"",NOT(ISNUMBER(F439))),AND(H439&lt;&gt;"",NOT(ISNUMBER(H439)))),"Enter numbers: shift length and total parts are required",IF(OR(N(D439)&lt;=0,N(E439)&lt;0,N(F439)&lt;0,N(G439)&lt;0,N(H439)&lt;0),"Values must be 0 or more (shift length above 0)",IF(N(H439)&gt;N(G439),"Rejects &gt; total parts",IF(N(E439)&gt;=N(D439),"Planned stops &gt;= shift length",IF(N(F439)&gt;N(D439)-N(E439),"Downtime &gt; planned time",IF(AND(ISNUMBER(O439),O439&gt;1),"Check: performance above 100%","OK"))))))))))</f>
        <v/>
      </c>
      <c r="S439" s="13" t="str">
        <f aca="false">IF($T439,K439*M439/60,"")</f>
        <v/>
      </c>
      <c r="T439" s="15" t="b">
        <f aca="false">IF($C439="",FALSE(),AND(SUMPRODUCT(--(Setup!$A$5:$A$24=$C439))&gt;0,ISNUMBER(A439),ISNUMBER(K439),N(K439)&gt;0,ISNUMBER(D439),N(D439)&gt;0,ISNUMBER(G439),N(G439)&gt;=0,OR(E439="",ISNUMBER(E439)),OR(F439="",ISNUMBER(F439)),OR(H439="",ISNUMBER(H439)),N(E439)&gt;=0,N(F439)&gt;=0,N(H439)&gt;=0,N(H439)&lt;=N(G439),N(E439)&lt;N(D439),N(F439)&lt;=N(D439)-N(E439)))</f>
        <v>0</v>
      </c>
    </row>
    <row r="440" customFormat="false" ht="15" hidden="false" customHeight="false" outlineLevel="0" collapsed="false">
      <c r="A440" s="11"/>
      <c r="B440" s="8"/>
      <c r="C440" s="8"/>
      <c r="D440" s="8"/>
      <c r="E440" s="8"/>
      <c r="F440" s="8"/>
      <c r="G440" s="8"/>
      <c r="H440" s="8"/>
      <c r="I440" s="12" t="str">
        <f aca="false">IF($T440,D440-N(E440),"")</f>
        <v/>
      </c>
      <c r="J440" s="12" t="str">
        <f aca="false">IF($T440,I440-N(F440),"")</f>
        <v/>
      </c>
      <c r="K440" s="13" t="str">
        <f aca="false">IF($C440="","",IF(SUMPRODUCT(--(Setup!$A$5:$A$24=$C440))&gt;0,INDEX(Setup!$B$5:$B$24,21-SUMPRODUCT(MAX((Setup!$A$5:$A$24=$C440)*(25-ROW(Setup!$A$5:$A$24))))),""))</f>
        <v/>
      </c>
      <c r="L440" s="13" t="str">
        <f aca="false">IF($T440,K440*G440/60,"")</f>
        <v/>
      </c>
      <c r="M440" s="12" t="str">
        <f aca="false">IF($T440,G440-N(H440),"")</f>
        <v/>
      </c>
      <c r="N440" s="14" t="str">
        <f aca="false">IF($T440,J440/I440,"")</f>
        <v/>
      </c>
      <c r="O440" s="14" t="str">
        <f aca="false">IF(AND($T440,N(J440)&gt;0),L440/J440,"")</f>
        <v/>
      </c>
      <c r="P440" s="14" t="str">
        <f aca="false">IF(AND($T440,N(G440)&gt;0),M440/G440,"")</f>
        <v/>
      </c>
      <c r="Q440" s="14" t="str">
        <f aca="false">IF($T440,S440/I440,"")</f>
        <v/>
      </c>
      <c r="R440" s="10" t="str">
        <f aca="false">IF($C440="","",IF(NOT(SUMPRODUCT(--(Setup!$A$5:$A$24=$C440))&gt;0),"Machine not in Setup",IF(OR(NOT(ISNUMBER(K440)),N(K440)&lt;=0),"Set an ideal cycle time in Setup",IF(NOT(ISNUMBER(A440)),"Enter a date",IF(OR(NOT(ISNUMBER(D440)),NOT(ISNUMBER(G440)),AND(E440&lt;&gt;"",NOT(ISNUMBER(E440))),AND(F440&lt;&gt;"",NOT(ISNUMBER(F440))),AND(H440&lt;&gt;"",NOT(ISNUMBER(H440)))),"Enter numbers: shift length and total parts are required",IF(OR(N(D440)&lt;=0,N(E440)&lt;0,N(F440)&lt;0,N(G440)&lt;0,N(H440)&lt;0),"Values must be 0 or more (shift length above 0)",IF(N(H440)&gt;N(G440),"Rejects &gt; total parts",IF(N(E440)&gt;=N(D440),"Planned stops &gt;= shift length",IF(N(F440)&gt;N(D440)-N(E440),"Downtime &gt; planned time",IF(AND(ISNUMBER(O440),O440&gt;1),"Check: performance above 100%","OK"))))))))))</f>
        <v/>
      </c>
      <c r="S440" s="13" t="str">
        <f aca="false">IF($T440,K440*M440/60,"")</f>
        <v/>
      </c>
      <c r="T440" s="15" t="b">
        <f aca="false">IF($C440="",FALSE(),AND(SUMPRODUCT(--(Setup!$A$5:$A$24=$C440))&gt;0,ISNUMBER(A440),ISNUMBER(K440),N(K440)&gt;0,ISNUMBER(D440),N(D440)&gt;0,ISNUMBER(G440),N(G440)&gt;=0,OR(E440="",ISNUMBER(E440)),OR(F440="",ISNUMBER(F440)),OR(H440="",ISNUMBER(H440)),N(E440)&gt;=0,N(F440)&gt;=0,N(H440)&gt;=0,N(H440)&lt;=N(G440),N(E440)&lt;N(D440),N(F440)&lt;=N(D440)-N(E440)))</f>
        <v>0</v>
      </c>
    </row>
    <row r="441" customFormat="false" ht="15" hidden="false" customHeight="false" outlineLevel="0" collapsed="false">
      <c r="A441" s="11"/>
      <c r="B441" s="8"/>
      <c r="C441" s="8"/>
      <c r="D441" s="8"/>
      <c r="E441" s="8"/>
      <c r="F441" s="8"/>
      <c r="G441" s="8"/>
      <c r="H441" s="8"/>
      <c r="I441" s="12" t="str">
        <f aca="false">IF($T441,D441-N(E441),"")</f>
        <v/>
      </c>
      <c r="J441" s="12" t="str">
        <f aca="false">IF($T441,I441-N(F441),"")</f>
        <v/>
      </c>
      <c r="K441" s="13" t="str">
        <f aca="false">IF($C441="","",IF(SUMPRODUCT(--(Setup!$A$5:$A$24=$C441))&gt;0,INDEX(Setup!$B$5:$B$24,21-SUMPRODUCT(MAX((Setup!$A$5:$A$24=$C441)*(25-ROW(Setup!$A$5:$A$24))))),""))</f>
        <v/>
      </c>
      <c r="L441" s="13" t="str">
        <f aca="false">IF($T441,K441*G441/60,"")</f>
        <v/>
      </c>
      <c r="M441" s="12" t="str">
        <f aca="false">IF($T441,G441-N(H441),"")</f>
        <v/>
      </c>
      <c r="N441" s="14" t="str">
        <f aca="false">IF($T441,J441/I441,"")</f>
        <v/>
      </c>
      <c r="O441" s="14" t="str">
        <f aca="false">IF(AND($T441,N(J441)&gt;0),L441/J441,"")</f>
        <v/>
      </c>
      <c r="P441" s="14" t="str">
        <f aca="false">IF(AND($T441,N(G441)&gt;0),M441/G441,"")</f>
        <v/>
      </c>
      <c r="Q441" s="14" t="str">
        <f aca="false">IF($T441,S441/I441,"")</f>
        <v/>
      </c>
      <c r="R441" s="10" t="str">
        <f aca="false">IF($C441="","",IF(NOT(SUMPRODUCT(--(Setup!$A$5:$A$24=$C441))&gt;0),"Machine not in Setup",IF(OR(NOT(ISNUMBER(K441)),N(K441)&lt;=0),"Set an ideal cycle time in Setup",IF(NOT(ISNUMBER(A441)),"Enter a date",IF(OR(NOT(ISNUMBER(D441)),NOT(ISNUMBER(G441)),AND(E441&lt;&gt;"",NOT(ISNUMBER(E441))),AND(F441&lt;&gt;"",NOT(ISNUMBER(F441))),AND(H441&lt;&gt;"",NOT(ISNUMBER(H441)))),"Enter numbers: shift length and total parts are required",IF(OR(N(D441)&lt;=0,N(E441)&lt;0,N(F441)&lt;0,N(G441)&lt;0,N(H441)&lt;0),"Values must be 0 or more (shift length above 0)",IF(N(H441)&gt;N(G441),"Rejects &gt; total parts",IF(N(E441)&gt;=N(D441),"Planned stops &gt;= shift length",IF(N(F441)&gt;N(D441)-N(E441),"Downtime &gt; planned time",IF(AND(ISNUMBER(O441),O441&gt;1),"Check: performance above 100%","OK"))))))))))</f>
        <v/>
      </c>
      <c r="S441" s="13" t="str">
        <f aca="false">IF($T441,K441*M441/60,"")</f>
        <v/>
      </c>
      <c r="T441" s="15" t="b">
        <f aca="false">IF($C441="",FALSE(),AND(SUMPRODUCT(--(Setup!$A$5:$A$24=$C441))&gt;0,ISNUMBER(A441),ISNUMBER(K441),N(K441)&gt;0,ISNUMBER(D441),N(D441)&gt;0,ISNUMBER(G441),N(G441)&gt;=0,OR(E441="",ISNUMBER(E441)),OR(F441="",ISNUMBER(F441)),OR(H441="",ISNUMBER(H441)),N(E441)&gt;=0,N(F441)&gt;=0,N(H441)&gt;=0,N(H441)&lt;=N(G441),N(E441)&lt;N(D441),N(F441)&lt;=N(D441)-N(E441)))</f>
        <v>0</v>
      </c>
    </row>
    <row r="442" customFormat="false" ht="15" hidden="false" customHeight="false" outlineLevel="0" collapsed="false">
      <c r="A442" s="11"/>
      <c r="B442" s="8"/>
      <c r="C442" s="8"/>
      <c r="D442" s="8"/>
      <c r="E442" s="8"/>
      <c r="F442" s="8"/>
      <c r="G442" s="8"/>
      <c r="H442" s="8"/>
      <c r="I442" s="12" t="str">
        <f aca="false">IF($T442,D442-N(E442),"")</f>
        <v/>
      </c>
      <c r="J442" s="12" t="str">
        <f aca="false">IF($T442,I442-N(F442),"")</f>
        <v/>
      </c>
      <c r="K442" s="13" t="str">
        <f aca="false">IF($C442="","",IF(SUMPRODUCT(--(Setup!$A$5:$A$24=$C442))&gt;0,INDEX(Setup!$B$5:$B$24,21-SUMPRODUCT(MAX((Setup!$A$5:$A$24=$C442)*(25-ROW(Setup!$A$5:$A$24))))),""))</f>
        <v/>
      </c>
      <c r="L442" s="13" t="str">
        <f aca="false">IF($T442,K442*G442/60,"")</f>
        <v/>
      </c>
      <c r="M442" s="12" t="str">
        <f aca="false">IF($T442,G442-N(H442),"")</f>
        <v/>
      </c>
      <c r="N442" s="14" t="str">
        <f aca="false">IF($T442,J442/I442,"")</f>
        <v/>
      </c>
      <c r="O442" s="14" t="str">
        <f aca="false">IF(AND($T442,N(J442)&gt;0),L442/J442,"")</f>
        <v/>
      </c>
      <c r="P442" s="14" t="str">
        <f aca="false">IF(AND($T442,N(G442)&gt;0),M442/G442,"")</f>
        <v/>
      </c>
      <c r="Q442" s="14" t="str">
        <f aca="false">IF($T442,S442/I442,"")</f>
        <v/>
      </c>
      <c r="R442" s="10" t="str">
        <f aca="false">IF($C442="","",IF(NOT(SUMPRODUCT(--(Setup!$A$5:$A$24=$C442))&gt;0),"Machine not in Setup",IF(OR(NOT(ISNUMBER(K442)),N(K442)&lt;=0),"Set an ideal cycle time in Setup",IF(NOT(ISNUMBER(A442)),"Enter a date",IF(OR(NOT(ISNUMBER(D442)),NOT(ISNUMBER(G442)),AND(E442&lt;&gt;"",NOT(ISNUMBER(E442))),AND(F442&lt;&gt;"",NOT(ISNUMBER(F442))),AND(H442&lt;&gt;"",NOT(ISNUMBER(H442)))),"Enter numbers: shift length and total parts are required",IF(OR(N(D442)&lt;=0,N(E442)&lt;0,N(F442)&lt;0,N(G442)&lt;0,N(H442)&lt;0),"Values must be 0 or more (shift length above 0)",IF(N(H442)&gt;N(G442),"Rejects &gt; total parts",IF(N(E442)&gt;=N(D442),"Planned stops &gt;= shift length",IF(N(F442)&gt;N(D442)-N(E442),"Downtime &gt; planned time",IF(AND(ISNUMBER(O442),O442&gt;1),"Check: performance above 100%","OK"))))))))))</f>
        <v/>
      </c>
      <c r="S442" s="13" t="str">
        <f aca="false">IF($T442,K442*M442/60,"")</f>
        <v/>
      </c>
      <c r="T442" s="15" t="b">
        <f aca="false">IF($C442="",FALSE(),AND(SUMPRODUCT(--(Setup!$A$5:$A$24=$C442))&gt;0,ISNUMBER(A442),ISNUMBER(K442),N(K442)&gt;0,ISNUMBER(D442),N(D442)&gt;0,ISNUMBER(G442),N(G442)&gt;=0,OR(E442="",ISNUMBER(E442)),OR(F442="",ISNUMBER(F442)),OR(H442="",ISNUMBER(H442)),N(E442)&gt;=0,N(F442)&gt;=0,N(H442)&gt;=0,N(H442)&lt;=N(G442),N(E442)&lt;N(D442),N(F442)&lt;=N(D442)-N(E442)))</f>
        <v>0</v>
      </c>
    </row>
    <row r="443" customFormat="false" ht="15" hidden="false" customHeight="false" outlineLevel="0" collapsed="false">
      <c r="A443" s="11"/>
      <c r="B443" s="8"/>
      <c r="C443" s="8"/>
      <c r="D443" s="8"/>
      <c r="E443" s="8"/>
      <c r="F443" s="8"/>
      <c r="G443" s="8"/>
      <c r="H443" s="8"/>
      <c r="I443" s="12" t="str">
        <f aca="false">IF($T443,D443-N(E443),"")</f>
        <v/>
      </c>
      <c r="J443" s="12" t="str">
        <f aca="false">IF($T443,I443-N(F443),"")</f>
        <v/>
      </c>
      <c r="K443" s="13" t="str">
        <f aca="false">IF($C443="","",IF(SUMPRODUCT(--(Setup!$A$5:$A$24=$C443))&gt;0,INDEX(Setup!$B$5:$B$24,21-SUMPRODUCT(MAX((Setup!$A$5:$A$24=$C443)*(25-ROW(Setup!$A$5:$A$24))))),""))</f>
        <v/>
      </c>
      <c r="L443" s="13" t="str">
        <f aca="false">IF($T443,K443*G443/60,"")</f>
        <v/>
      </c>
      <c r="M443" s="12" t="str">
        <f aca="false">IF($T443,G443-N(H443),"")</f>
        <v/>
      </c>
      <c r="N443" s="14" t="str">
        <f aca="false">IF($T443,J443/I443,"")</f>
        <v/>
      </c>
      <c r="O443" s="14" t="str">
        <f aca="false">IF(AND($T443,N(J443)&gt;0),L443/J443,"")</f>
        <v/>
      </c>
      <c r="P443" s="14" t="str">
        <f aca="false">IF(AND($T443,N(G443)&gt;0),M443/G443,"")</f>
        <v/>
      </c>
      <c r="Q443" s="14" t="str">
        <f aca="false">IF($T443,S443/I443,"")</f>
        <v/>
      </c>
      <c r="R443" s="10" t="str">
        <f aca="false">IF($C443="","",IF(NOT(SUMPRODUCT(--(Setup!$A$5:$A$24=$C443))&gt;0),"Machine not in Setup",IF(OR(NOT(ISNUMBER(K443)),N(K443)&lt;=0),"Set an ideal cycle time in Setup",IF(NOT(ISNUMBER(A443)),"Enter a date",IF(OR(NOT(ISNUMBER(D443)),NOT(ISNUMBER(G443)),AND(E443&lt;&gt;"",NOT(ISNUMBER(E443))),AND(F443&lt;&gt;"",NOT(ISNUMBER(F443))),AND(H443&lt;&gt;"",NOT(ISNUMBER(H443)))),"Enter numbers: shift length and total parts are required",IF(OR(N(D443)&lt;=0,N(E443)&lt;0,N(F443)&lt;0,N(G443)&lt;0,N(H443)&lt;0),"Values must be 0 or more (shift length above 0)",IF(N(H443)&gt;N(G443),"Rejects &gt; total parts",IF(N(E443)&gt;=N(D443),"Planned stops &gt;= shift length",IF(N(F443)&gt;N(D443)-N(E443),"Downtime &gt; planned time",IF(AND(ISNUMBER(O443),O443&gt;1),"Check: performance above 100%","OK"))))))))))</f>
        <v/>
      </c>
      <c r="S443" s="13" t="str">
        <f aca="false">IF($T443,K443*M443/60,"")</f>
        <v/>
      </c>
      <c r="T443" s="15" t="b">
        <f aca="false">IF($C443="",FALSE(),AND(SUMPRODUCT(--(Setup!$A$5:$A$24=$C443))&gt;0,ISNUMBER(A443),ISNUMBER(K443),N(K443)&gt;0,ISNUMBER(D443),N(D443)&gt;0,ISNUMBER(G443),N(G443)&gt;=0,OR(E443="",ISNUMBER(E443)),OR(F443="",ISNUMBER(F443)),OR(H443="",ISNUMBER(H443)),N(E443)&gt;=0,N(F443)&gt;=0,N(H443)&gt;=0,N(H443)&lt;=N(G443),N(E443)&lt;N(D443),N(F443)&lt;=N(D443)-N(E443)))</f>
        <v>0</v>
      </c>
    </row>
    <row r="444" customFormat="false" ht="15" hidden="false" customHeight="false" outlineLevel="0" collapsed="false">
      <c r="A444" s="11"/>
      <c r="B444" s="8"/>
      <c r="C444" s="8"/>
      <c r="D444" s="8"/>
      <c r="E444" s="8"/>
      <c r="F444" s="8"/>
      <c r="G444" s="8"/>
      <c r="H444" s="8"/>
      <c r="I444" s="12" t="str">
        <f aca="false">IF($T444,D444-N(E444),"")</f>
        <v/>
      </c>
      <c r="J444" s="12" t="str">
        <f aca="false">IF($T444,I444-N(F444),"")</f>
        <v/>
      </c>
      <c r="K444" s="13" t="str">
        <f aca="false">IF($C444="","",IF(SUMPRODUCT(--(Setup!$A$5:$A$24=$C444))&gt;0,INDEX(Setup!$B$5:$B$24,21-SUMPRODUCT(MAX((Setup!$A$5:$A$24=$C444)*(25-ROW(Setup!$A$5:$A$24))))),""))</f>
        <v/>
      </c>
      <c r="L444" s="13" t="str">
        <f aca="false">IF($T444,K444*G444/60,"")</f>
        <v/>
      </c>
      <c r="M444" s="12" t="str">
        <f aca="false">IF($T444,G444-N(H444),"")</f>
        <v/>
      </c>
      <c r="N444" s="14" t="str">
        <f aca="false">IF($T444,J444/I444,"")</f>
        <v/>
      </c>
      <c r="O444" s="14" t="str">
        <f aca="false">IF(AND($T444,N(J444)&gt;0),L444/J444,"")</f>
        <v/>
      </c>
      <c r="P444" s="14" t="str">
        <f aca="false">IF(AND($T444,N(G444)&gt;0),M444/G444,"")</f>
        <v/>
      </c>
      <c r="Q444" s="14" t="str">
        <f aca="false">IF($T444,S444/I444,"")</f>
        <v/>
      </c>
      <c r="R444" s="10" t="str">
        <f aca="false">IF($C444="","",IF(NOT(SUMPRODUCT(--(Setup!$A$5:$A$24=$C444))&gt;0),"Machine not in Setup",IF(OR(NOT(ISNUMBER(K444)),N(K444)&lt;=0),"Set an ideal cycle time in Setup",IF(NOT(ISNUMBER(A444)),"Enter a date",IF(OR(NOT(ISNUMBER(D444)),NOT(ISNUMBER(G444)),AND(E444&lt;&gt;"",NOT(ISNUMBER(E444))),AND(F444&lt;&gt;"",NOT(ISNUMBER(F444))),AND(H444&lt;&gt;"",NOT(ISNUMBER(H444)))),"Enter numbers: shift length and total parts are required",IF(OR(N(D444)&lt;=0,N(E444)&lt;0,N(F444)&lt;0,N(G444)&lt;0,N(H444)&lt;0),"Values must be 0 or more (shift length above 0)",IF(N(H444)&gt;N(G444),"Rejects &gt; total parts",IF(N(E444)&gt;=N(D444),"Planned stops &gt;= shift length",IF(N(F444)&gt;N(D444)-N(E444),"Downtime &gt; planned time",IF(AND(ISNUMBER(O444),O444&gt;1),"Check: performance above 100%","OK"))))))))))</f>
        <v/>
      </c>
      <c r="S444" s="13" t="str">
        <f aca="false">IF($T444,K444*M444/60,"")</f>
        <v/>
      </c>
      <c r="T444" s="15" t="b">
        <f aca="false">IF($C444="",FALSE(),AND(SUMPRODUCT(--(Setup!$A$5:$A$24=$C444))&gt;0,ISNUMBER(A444),ISNUMBER(K444),N(K444)&gt;0,ISNUMBER(D444),N(D444)&gt;0,ISNUMBER(G444),N(G444)&gt;=0,OR(E444="",ISNUMBER(E444)),OR(F444="",ISNUMBER(F444)),OR(H444="",ISNUMBER(H444)),N(E444)&gt;=0,N(F444)&gt;=0,N(H444)&gt;=0,N(H444)&lt;=N(G444),N(E444)&lt;N(D444),N(F444)&lt;=N(D444)-N(E444)))</f>
        <v>0</v>
      </c>
    </row>
    <row r="445" customFormat="false" ht="15" hidden="false" customHeight="false" outlineLevel="0" collapsed="false">
      <c r="A445" s="11"/>
      <c r="B445" s="8"/>
      <c r="C445" s="8"/>
      <c r="D445" s="8"/>
      <c r="E445" s="8"/>
      <c r="F445" s="8"/>
      <c r="G445" s="8"/>
      <c r="H445" s="8"/>
      <c r="I445" s="12" t="str">
        <f aca="false">IF($T445,D445-N(E445),"")</f>
        <v/>
      </c>
      <c r="J445" s="12" t="str">
        <f aca="false">IF($T445,I445-N(F445),"")</f>
        <v/>
      </c>
      <c r="K445" s="13" t="str">
        <f aca="false">IF($C445="","",IF(SUMPRODUCT(--(Setup!$A$5:$A$24=$C445))&gt;0,INDEX(Setup!$B$5:$B$24,21-SUMPRODUCT(MAX((Setup!$A$5:$A$24=$C445)*(25-ROW(Setup!$A$5:$A$24))))),""))</f>
        <v/>
      </c>
      <c r="L445" s="13" t="str">
        <f aca="false">IF($T445,K445*G445/60,"")</f>
        <v/>
      </c>
      <c r="M445" s="12" t="str">
        <f aca="false">IF($T445,G445-N(H445),"")</f>
        <v/>
      </c>
      <c r="N445" s="14" t="str">
        <f aca="false">IF($T445,J445/I445,"")</f>
        <v/>
      </c>
      <c r="O445" s="14" t="str">
        <f aca="false">IF(AND($T445,N(J445)&gt;0),L445/J445,"")</f>
        <v/>
      </c>
      <c r="P445" s="14" t="str">
        <f aca="false">IF(AND($T445,N(G445)&gt;0),M445/G445,"")</f>
        <v/>
      </c>
      <c r="Q445" s="14" t="str">
        <f aca="false">IF($T445,S445/I445,"")</f>
        <v/>
      </c>
      <c r="R445" s="10" t="str">
        <f aca="false">IF($C445="","",IF(NOT(SUMPRODUCT(--(Setup!$A$5:$A$24=$C445))&gt;0),"Machine not in Setup",IF(OR(NOT(ISNUMBER(K445)),N(K445)&lt;=0),"Set an ideal cycle time in Setup",IF(NOT(ISNUMBER(A445)),"Enter a date",IF(OR(NOT(ISNUMBER(D445)),NOT(ISNUMBER(G445)),AND(E445&lt;&gt;"",NOT(ISNUMBER(E445))),AND(F445&lt;&gt;"",NOT(ISNUMBER(F445))),AND(H445&lt;&gt;"",NOT(ISNUMBER(H445)))),"Enter numbers: shift length and total parts are required",IF(OR(N(D445)&lt;=0,N(E445)&lt;0,N(F445)&lt;0,N(G445)&lt;0,N(H445)&lt;0),"Values must be 0 or more (shift length above 0)",IF(N(H445)&gt;N(G445),"Rejects &gt; total parts",IF(N(E445)&gt;=N(D445),"Planned stops &gt;= shift length",IF(N(F445)&gt;N(D445)-N(E445),"Downtime &gt; planned time",IF(AND(ISNUMBER(O445),O445&gt;1),"Check: performance above 100%","OK"))))))))))</f>
        <v/>
      </c>
      <c r="S445" s="13" t="str">
        <f aca="false">IF($T445,K445*M445/60,"")</f>
        <v/>
      </c>
      <c r="T445" s="15" t="b">
        <f aca="false">IF($C445="",FALSE(),AND(SUMPRODUCT(--(Setup!$A$5:$A$24=$C445))&gt;0,ISNUMBER(A445),ISNUMBER(K445),N(K445)&gt;0,ISNUMBER(D445),N(D445)&gt;0,ISNUMBER(G445),N(G445)&gt;=0,OR(E445="",ISNUMBER(E445)),OR(F445="",ISNUMBER(F445)),OR(H445="",ISNUMBER(H445)),N(E445)&gt;=0,N(F445)&gt;=0,N(H445)&gt;=0,N(H445)&lt;=N(G445),N(E445)&lt;N(D445),N(F445)&lt;=N(D445)-N(E445)))</f>
        <v>0</v>
      </c>
    </row>
    <row r="446" customFormat="false" ht="15" hidden="false" customHeight="false" outlineLevel="0" collapsed="false">
      <c r="A446" s="11"/>
      <c r="B446" s="8"/>
      <c r="C446" s="8"/>
      <c r="D446" s="8"/>
      <c r="E446" s="8"/>
      <c r="F446" s="8"/>
      <c r="G446" s="8"/>
      <c r="H446" s="8"/>
      <c r="I446" s="12" t="str">
        <f aca="false">IF($T446,D446-N(E446),"")</f>
        <v/>
      </c>
      <c r="J446" s="12" t="str">
        <f aca="false">IF($T446,I446-N(F446),"")</f>
        <v/>
      </c>
      <c r="K446" s="13" t="str">
        <f aca="false">IF($C446="","",IF(SUMPRODUCT(--(Setup!$A$5:$A$24=$C446))&gt;0,INDEX(Setup!$B$5:$B$24,21-SUMPRODUCT(MAX((Setup!$A$5:$A$24=$C446)*(25-ROW(Setup!$A$5:$A$24))))),""))</f>
        <v/>
      </c>
      <c r="L446" s="13" t="str">
        <f aca="false">IF($T446,K446*G446/60,"")</f>
        <v/>
      </c>
      <c r="M446" s="12" t="str">
        <f aca="false">IF($T446,G446-N(H446),"")</f>
        <v/>
      </c>
      <c r="N446" s="14" t="str">
        <f aca="false">IF($T446,J446/I446,"")</f>
        <v/>
      </c>
      <c r="O446" s="14" t="str">
        <f aca="false">IF(AND($T446,N(J446)&gt;0),L446/J446,"")</f>
        <v/>
      </c>
      <c r="P446" s="14" t="str">
        <f aca="false">IF(AND($T446,N(G446)&gt;0),M446/G446,"")</f>
        <v/>
      </c>
      <c r="Q446" s="14" t="str">
        <f aca="false">IF($T446,S446/I446,"")</f>
        <v/>
      </c>
      <c r="R446" s="10" t="str">
        <f aca="false">IF($C446="","",IF(NOT(SUMPRODUCT(--(Setup!$A$5:$A$24=$C446))&gt;0),"Machine not in Setup",IF(OR(NOT(ISNUMBER(K446)),N(K446)&lt;=0),"Set an ideal cycle time in Setup",IF(NOT(ISNUMBER(A446)),"Enter a date",IF(OR(NOT(ISNUMBER(D446)),NOT(ISNUMBER(G446)),AND(E446&lt;&gt;"",NOT(ISNUMBER(E446))),AND(F446&lt;&gt;"",NOT(ISNUMBER(F446))),AND(H446&lt;&gt;"",NOT(ISNUMBER(H446)))),"Enter numbers: shift length and total parts are required",IF(OR(N(D446)&lt;=0,N(E446)&lt;0,N(F446)&lt;0,N(G446)&lt;0,N(H446)&lt;0),"Values must be 0 or more (shift length above 0)",IF(N(H446)&gt;N(G446),"Rejects &gt; total parts",IF(N(E446)&gt;=N(D446),"Planned stops &gt;= shift length",IF(N(F446)&gt;N(D446)-N(E446),"Downtime &gt; planned time",IF(AND(ISNUMBER(O446),O446&gt;1),"Check: performance above 100%","OK"))))))))))</f>
        <v/>
      </c>
      <c r="S446" s="13" t="str">
        <f aca="false">IF($T446,K446*M446/60,"")</f>
        <v/>
      </c>
      <c r="T446" s="15" t="b">
        <f aca="false">IF($C446="",FALSE(),AND(SUMPRODUCT(--(Setup!$A$5:$A$24=$C446))&gt;0,ISNUMBER(A446),ISNUMBER(K446),N(K446)&gt;0,ISNUMBER(D446),N(D446)&gt;0,ISNUMBER(G446),N(G446)&gt;=0,OR(E446="",ISNUMBER(E446)),OR(F446="",ISNUMBER(F446)),OR(H446="",ISNUMBER(H446)),N(E446)&gt;=0,N(F446)&gt;=0,N(H446)&gt;=0,N(H446)&lt;=N(G446),N(E446)&lt;N(D446),N(F446)&lt;=N(D446)-N(E446)))</f>
        <v>0</v>
      </c>
    </row>
    <row r="447" customFormat="false" ht="15" hidden="false" customHeight="false" outlineLevel="0" collapsed="false">
      <c r="A447" s="11"/>
      <c r="B447" s="8"/>
      <c r="C447" s="8"/>
      <c r="D447" s="8"/>
      <c r="E447" s="8"/>
      <c r="F447" s="8"/>
      <c r="G447" s="8"/>
      <c r="H447" s="8"/>
      <c r="I447" s="12" t="str">
        <f aca="false">IF($T447,D447-N(E447),"")</f>
        <v/>
      </c>
      <c r="J447" s="12" t="str">
        <f aca="false">IF($T447,I447-N(F447),"")</f>
        <v/>
      </c>
      <c r="K447" s="13" t="str">
        <f aca="false">IF($C447="","",IF(SUMPRODUCT(--(Setup!$A$5:$A$24=$C447))&gt;0,INDEX(Setup!$B$5:$B$24,21-SUMPRODUCT(MAX((Setup!$A$5:$A$24=$C447)*(25-ROW(Setup!$A$5:$A$24))))),""))</f>
        <v/>
      </c>
      <c r="L447" s="13" t="str">
        <f aca="false">IF($T447,K447*G447/60,"")</f>
        <v/>
      </c>
      <c r="M447" s="12" t="str">
        <f aca="false">IF($T447,G447-N(H447),"")</f>
        <v/>
      </c>
      <c r="N447" s="14" t="str">
        <f aca="false">IF($T447,J447/I447,"")</f>
        <v/>
      </c>
      <c r="O447" s="14" t="str">
        <f aca="false">IF(AND($T447,N(J447)&gt;0),L447/J447,"")</f>
        <v/>
      </c>
      <c r="P447" s="14" t="str">
        <f aca="false">IF(AND($T447,N(G447)&gt;0),M447/G447,"")</f>
        <v/>
      </c>
      <c r="Q447" s="14" t="str">
        <f aca="false">IF($T447,S447/I447,"")</f>
        <v/>
      </c>
      <c r="R447" s="10" t="str">
        <f aca="false">IF($C447="","",IF(NOT(SUMPRODUCT(--(Setup!$A$5:$A$24=$C447))&gt;0),"Machine not in Setup",IF(OR(NOT(ISNUMBER(K447)),N(K447)&lt;=0),"Set an ideal cycle time in Setup",IF(NOT(ISNUMBER(A447)),"Enter a date",IF(OR(NOT(ISNUMBER(D447)),NOT(ISNUMBER(G447)),AND(E447&lt;&gt;"",NOT(ISNUMBER(E447))),AND(F447&lt;&gt;"",NOT(ISNUMBER(F447))),AND(H447&lt;&gt;"",NOT(ISNUMBER(H447)))),"Enter numbers: shift length and total parts are required",IF(OR(N(D447)&lt;=0,N(E447)&lt;0,N(F447)&lt;0,N(G447)&lt;0,N(H447)&lt;0),"Values must be 0 or more (shift length above 0)",IF(N(H447)&gt;N(G447),"Rejects &gt; total parts",IF(N(E447)&gt;=N(D447),"Planned stops &gt;= shift length",IF(N(F447)&gt;N(D447)-N(E447),"Downtime &gt; planned time",IF(AND(ISNUMBER(O447),O447&gt;1),"Check: performance above 100%","OK"))))))))))</f>
        <v/>
      </c>
      <c r="S447" s="13" t="str">
        <f aca="false">IF($T447,K447*M447/60,"")</f>
        <v/>
      </c>
      <c r="T447" s="15" t="b">
        <f aca="false">IF($C447="",FALSE(),AND(SUMPRODUCT(--(Setup!$A$5:$A$24=$C447))&gt;0,ISNUMBER(A447),ISNUMBER(K447),N(K447)&gt;0,ISNUMBER(D447),N(D447)&gt;0,ISNUMBER(G447),N(G447)&gt;=0,OR(E447="",ISNUMBER(E447)),OR(F447="",ISNUMBER(F447)),OR(H447="",ISNUMBER(H447)),N(E447)&gt;=0,N(F447)&gt;=0,N(H447)&gt;=0,N(H447)&lt;=N(G447),N(E447)&lt;N(D447),N(F447)&lt;=N(D447)-N(E447)))</f>
        <v>0</v>
      </c>
    </row>
    <row r="448" customFormat="false" ht="15" hidden="false" customHeight="false" outlineLevel="0" collapsed="false">
      <c r="A448" s="11"/>
      <c r="B448" s="8"/>
      <c r="C448" s="8"/>
      <c r="D448" s="8"/>
      <c r="E448" s="8"/>
      <c r="F448" s="8"/>
      <c r="G448" s="8"/>
      <c r="H448" s="8"/>
      <c r="I448" s="12" t="str">
        <f aca="false">IF($T448,D448-N(E448),"")</f>
        <v/>
      </c>
      <c r="J448" s="12" t="str">
        <f aca="false">IF($T448,I448-N(F448),"")</f>
        <v/>
      </c>
      <c r="K448" s="13" t="str">
        <f aca="false">IF($C448="","",IF(SUMPRODUCT(--(Setup!$A$5:$A$24=$C448))&gt;0,INDEX(Setup!$B$5:$B$24,21-SUMPRODUCT(MAX((Setup!$A$5:$A$24=$C448)*(25-ROW(Setup!$A$5:$A$24))))),""))</f>
        <v/>
      </c>
      <c r="L448" s="13" t="str">
        <f aca="false">IF($T448,K448*G448/60,"")</f>
        <v/>
      </c>
      <c r="M448" s="12" t="str">
        <f aca="false">IF($T448,G448-N(H448),"")</f>
        <v/>
      </c>
      <c r="N448" s="14" t="str">
        <f aca="false">IF($T448,J448/I448,"")</f>
        <v/>
      </c>
      <c r="O448" s="14" t="str">
        <f aca="false">IF(AND($T448,N(J448)&gt;0),L448/J448,"")</f>
        <v/>
      </c>
      <c r="P448" s="14" t="str">
        <f aca="false">IF(AND($T448,N(G448)&gt;0),M448/G448,"")</f>
        <v/>
      </c>
      <c r="Q448" s="14" t="str">
        <f aca="false">IF($T448,S448/I448,"")</f>
        <v/>
      </c>
      <c r="R448" s="10" t="str">
        <f aca="false">IF($C448="","",IF(NOT(SUMPRODUCT(--(Setup!$A$5:$A$24=$C448))&gt;0),"Machine not in Setup",IF(OR(NOT(ISNUMBER(K448)),N(K448)&lt;=0),"Set an ideal cycle time in Setup",IF(NOT(ISNUMBER(A448)),"Enter a date",IF(OR(NOT(ISNUMBER(D448)),NOT(ISNUMBER(G448)),AND(E448&lt;&gt;"",NOT(ISNUMBER(E448))),AND(F448&lt;&gt;"",NOT(ISNUMBER(F448))),AND(H448&lt;&gt;"",NOT(ISNUMBER(H448)))),"Enter numbers: shift length and total parts are required",IF(OR(N(D448)&lt;=0,N(E448)&lt;0,N(F448)&lt;0,N(G448)&lt;0,N(H448)&lt;0),"Values must be 0 or more (shift length above 0)",IF(N(H448)&gt;N(G448),"Rejects &gt; total parts",IF(N(E448)&gt;=N(D448),"Planned stops &gt;= shift length",IF(N(F448)&gt;N(D448)-N(E448),"Downtime &gt; planned time",IF(AND(ISNUMBER(O448),O448&gt;1),"Check: performance above 100%","OK"))))))))))</f>
        <v/>
      </c>
      <c r="S448" s="13" t="str">
        <f aca="false">IF($T448,K448*M448/60,"")</f>
        <v/>
      </c>
      <c r="T448" s="15" t="b">
        <f aca="false">IF($C448="",FALSE(),AND(SUMPRODUCT(--(Setup!$A$5:$A$24=$C448))&gt;0,ISNUMBER(A448),ISNUMBER(K448),N(K448)&gt;0,ISNUMBER(D448),N(D448)&gt;0,ISNUMBER(G448),N(G448)&gt;=0,OR(E448="",ISNUMBER(E448)),OR(F448="",ISNUMBER(F448)),OR(H448="",ISNUMBER(H448)),N(E448)&gt;=0,N(F448)&gt;=0,N(H448)&gt;=0,N(H448)&lt;=N(G448),N(E448)&lt;N(D448),N(F448)&lt;=N(D448)-N(E448)))</f>
        <v>0</v>
      </c>
    </row>
    <row r="449" customFormat="false" ht="15" hidden="false" customHeight="false" outlineLevel="0" collapsed="false">
      <c r="A449" s="11"/>
      <c r="B449" s="8"/>
      <c r="C449" s="8"/>
      <c r="D449" s="8"/>
      <c r="E449" s="8"/>
      <c r="F449" s="8"/>
      <c r="G449" s="8"/>
      <c r="H449" s="8"/>
      <c r="I449" s="12" t="str">
        <f aca="false">IF($T449,D449-N(E449),"")</f>
        <v/>
      </c>
      <c r="J449" s="12" t="str">
        <f aca="false">IF($T449,I449-N(F449),"")</f>
        <v/>
      </c>
      <c r="K449" s="13" t="str">
        <f aca="false">IF($C449="","",IF(SUMPRODUCT(--(Setup!$A$5:$A$24=$C449))&gt;0,INDEX(Setup!$B$5:$B$24,21-SUMPRODUCT(MAX((Setup!$A$5:$A$24=$C449)*(25-ROW(Setup!$A$5:$A$24))))),""))</f>
        <v/>
      </c>
      <c r="L449" s="13" t="str">
        <f aca="false">IF($T449,K449*G449/60,"")</f>
        <v/>
      </c>
      <c r="M449" s="12" t="str">
        <f aca="false">IF($T449,G449-N(H449),"")</f>
        <v/>
      </c>
      <c r="N449" s="14" t="str">
        <f aca="false">IF($T449,J449/I449,"")</f>
        <v/>
      </c>
      <c r="O449" s="14" t="str">
        <f aca="false">IF(AND($T449,N(J449)&gt;0),L449/J449,"")</f>
        <v/>
      </c>
      <c r="P449" s="14" t="str">
        <f aca="false">IF(AND($T449,N(G449)&gt;0),M449/G449,"")</f>
        <v/>
      </c>
      <c r="Q449" s="14" t="str">
        <f aca="false">IF($T449,S449/I449,"")</f>
        <v/>
      </c>
      <c r="R449" s="10" t="str">
        <f aca="false">IF($C449="","",IF(NOT(SUMPRODUCT(--(Setup!$A$5:$A$24=$C449))&gt;0),"Machine not in Setup",IF(OR(NOT(ISNUMBER(K449)),N(K449)&lt;=0),"Set an ideal cycle time in Setup",IF(NOT(ISNUMBER(A449)),"Enter a date",IF(OR(NOT(ISNUMBER(D449)),NOT(ISNUMBER(G449)),AND(E449&lt;&gt;"",NOT(ISNUMBER(E449))),AND(F449&lt;&gt;"",NOT(ISNUMBER(F449))),AND(H449&lt;&gt;"",NOT(ISNUMBER(H449)))),"Enter numbers: shift length and total parts are required",IF(OR(N(D449)&lt;=0,N(E449)&lt;0,N(F449)&lt;0,N(G449)&lt;0,N(H449)&lt;0),"Values must be 0 or more (shift length above 0)",IF(N(H449)&gt;N(G449),"Rejects &gt; total parts",IF(N(E449)&gt;=N(D449),"Planned stops &gt;= shift length",IF(N(F449)&gt;N(D449)-N(E449),"Downtime &gt; planned time",IF(AND(ISNUMBER(O449),O449&gt;1),"Check: performance above 100%","OK"))))))))))</f>
        <v/>
      </c>
      <c r="S449" s="13" t="str">
        <f aca="false">IF($T449,K449*M449/60,"")</f>
        <v/>
      </c>
      <c r="T449" s="15" t="b">
        <f aca="false">IF($C449="",FALSE(),AND(SUMPRODUCT(--(Setup!$A$5:$A$24=$C449))&gt;0,ISNUMBER(A449),ISNUMBER(K449),N(K449)&gt;0,ISNUMBER(D449),N(D449)&gt;0,ISNUMBER(G449),N(G449)&gt;=0,OR(E449="",ISNUMBER(E449)),OR(F449="",ISNUMBER(F449)),OR(H449="",ISNUMBER(H449)),N(E449)&gt;=0,N(F449)&gt;=0,N(H449)&gt;=0,N(H449)&lt;=N(G449),N(E449)&lt;N(D449),N(F449)&lt;=N(D449)-N(E449)))</f>
        <v>0</v>
      </c>
    </row>
    <row r="450" customFormat="false" ht="15" hidden="false" customHeight="false" outlineLevel="0" collapsed="false">
      <c r="A450" s="11"/>
      <c r="B450" s="8"/>
      <c r="C450" s="8"/>
      <c r="D450" s="8"/>
      <c r="E450" s="8"/>
      <c r="F450" s="8"/>
      <c r="G450" s="8"/>
      <c r="H450" s="8"/>
      <c r="I450" s="12" t="str">
        <f aca="false">IF($T450,D450-N(E450),"")</f>
        <v/>
      </c>
      <c r="J450" s="12" t="str">
        <f aca="false">IF($T450,I450-N(F450),"")</f>
        <v/>
      </c>
      <c r="K450" s="13" t="str">
        <f aca="false">IF($C450="","",IF(SUMPRODUCT(--(Setup!$A$5:$A$24=$C450))&gt;0,INDEX(Setup!$B$5:$B$24,21-SUMPRODUCT(MAX((Setup!$A$5:$A$24=$C450)*(25-ROW(Setup!$A$5:$A$24))))),""))</f>
        <v/>
      </c>
      <c r="L450" s="13" t="str">
        <f aca="false">IF($T450,K450*G450/60,"")</f>
        <v/>
      </c>
      <c r="M450" s="12" t="str">
        <f aca="false">IF($T450,G450-N(H450),"")</f>
        <v/>
      </c>
      <c r="N450" s="14" t="str">
        <f aca="false">IF($T450,J450/I450,"")</f>
        <v/>
      </c>
      <c r="O450" s="14" t="str">
        <f aca="false">IF(AND($T450,N(J450)&gt;0),L450/J450,"")</f>
        <v/>
      </c>
      <c r="P450" s="14" t="str">
        <f aca="false">IF(AND($T450,N(G450)&gt;0),M450/G450,"")</f>
        <v/>
      </c>
      <c r="Q450" s="14" t="str">
        <f aca="false">IF($T450,S450/I450,"")</f>
        <v/>
      </c>
      <c r="R450" s="10" t="str">
        <f aca="false">IF($C450="","",IF(NOT(SUMPRODUCT(--(Setup!$A$5:$A$24=$C450))&gt;0),"Machine not in Setup",IF(OR(NOT(ISNUMBER(K450)),N(K450)&lt;=0),"Set an ideal cycle time in Setup",IF(NOT(ISNUMBER(A450)),"Enter a date",IF(OR(NOT(ISNUMBER(D450)),NOT(ISNUMBER(G450)),AND(E450&lt;&gt;"",NOT(ISNUMBER(E450))),AND(F450&lt;&gt;"",NOT(ISNUMBER(F450))),AND(H450&lt;&gt;"",NOT(ISNUMBER(H450)))),"Enter numbers: shift length and total parts are required",IF(OR(N(D450)&lt;=0,N(E450)&lt;0,N(F450)&lt;0,N(G450)&lt;0,N(H450)&lt;0),"Values must be 0 or more (shift length above 0)",IF(N(H450)&gt;N(G450),"Rejects &gt; total parts",IF(N(E450)&gt;=N(D450),"Planned stops &gt;= shift length",IF(N(F450)&gt;N(D450)-N(E450),"Downtime &gt; planned time",IF(AND(ISNUMBER(O450),O450&gt;1),"Check: performance above 100%","OK"))))))))))</f>
        <v/>
      </c>
      <c r="S450" s="13" t="str">
        <f aca="false">IF($T450,K450*M450/60,"")</f>
        <v/>
      </c>
      <c r="T450" s="15" t="b">
        <f aca="false">IF($C450="",FALSE(),AND(SUMPRODUCT(--(Setup!$A$5:$A$24=$C450))&gt;0,ISNUMBER(A450),ISNUMBER(K450),N(K450)&gt;0,ISNUMBER(D450),N(D450)&gt;0,ISNUMBER(G450),N(G450)&gt;=0,OR(E450="",ISNUMBER(E450)),OR(F450="",ISNUMBER(F450)),OR(H450="",ISNUMBER(H450)),N(E450)&gt;=0,N(F450)&gt;=0,N(H450)&gt;=0,N(H450)&lt;=N(G450),N(E450)&lt;N(D450),N(F450)&lt;=N(D450)-N(E450)))</f>
        <v>0</v>
      </c>
    </row>
    <row r="451" customFormat="false" ht="15" hidden="false" customHeight="false" outlineLevel="0" collapsed="false">
      <c r="A451" s="11"/>
      <c r="B451" s="8"/>
      <c r="C451" s="8"/>
      <c r="D451" s="8"/>
      <c r="E451" s="8"/>
      <c r="F451" s="8"/>
      <c r="G451" s="8"/>
      <c r="H451" s="8"/>
      <c r="I451" s="12" t="str">
        <f aca="false">IF($T451,D451-N(E451),"")</f>
        <v/>
      </c>
      <c r="J451" s="12" t="str">
        <f aca="false">IF($T451,I451-N(F451),"")</f>
        <v/>
      </c>
      <c r="K451" s="13" t="str">
        <f aca="false">IF($C451="","",IF(SUMPRODUCT(--(Setup!$A$5:$A$24=$C451))&gt;0,INDEX(Setup!$B$5:$B$24,21-SUMPRODUCT(MAX((Setup!$A$5:$A$24=$C451)*(25-ROW(Setup!$A$5:$A$24))))),""))</f>
        <v/>
      </c>
      <c r="L451" s="13" t="str">
        <f aca="false">IF($T451,K451*G451/60,"")</f>
        <v/>
      </c>
      <c r="M451" s="12" t="str">
        <f aca="false">IF($T451,G451-N(H451),"")</f>
        <v/>
      </c>
      <c r="N451" s="14" t="str">
        <f aca="false">IF($T451,J451/I451,"")</f>
        <v/>
      </c>
      <c r="O451" s="14" t="str">
        <f aca="false">IF(AND($T451,N(J451)&gt;0),L451/J451,"")</f>
        <v/>
      </c>
      <c r="P451" s="14" t="str">
        <f aca="false">IF(AND($T451,N(G451)&gt;0),M451/G451,"")</f>
        <v/>
      </c>
      <c r="Q451" s="14" t="str">
        <f aca="false">IF($T451,S451/I451,"")</f>
        <v/>
      </c>
      <c r="R451" s="10" t="str">
        <f aca="false">IF($C451="","",IF(NOT(SUMPRODUCT(--(Setup!$A$5:$A$24=$C451))&gt;0),"Machine not in Setup",IF(OR(NOT(ISNUMBER(K451)),N(K451)&lt;=0),"Set an ideal cycle time in Setup",IF(NOT(ISNUMBER(A451)),"Enter a date",IF(OR(NOT(ISNUMBER(D451)),NOT(ISNUMBER(G451)),AND(E451&lt;&gt;"",NOT(ISNUMBER(E451))),AND(F451&lt;&gt;"",NOT(ISNUMBER(F451))),AND(H451&lt;&gt;"",NOT(ISNUMBER(H451)))),"Enter numbers: shift length and total parts are required",IF(OR(N(D451)&lt;=0,N(E451)&lt;0,N(F451)&lt;0,N(G451)&lt;0,N(H451)&lt;0),"Values must be 0 or more (shift length above 0)",IF(N(H451)&gt;N(G451),"Rejects &gt; total parts",IF(N(E451)&gt;=N(D451),"Planned stops &gt;= shift length",IF(N(F451)&gt;N(D451)-N(E451),"Downtime &gt; planned time",IF(AND(ISNUMBER(O451),O451&gt;1),"Check: performance above 100%","OK"))))))))))</f>
        <v/>
      </c>
      <c r="S451" s="13" t="str">
        <f aca="false">IF($T451,K451*M451/60,"")</f>
        <v/>
      </c>
      <c r="T451" s="15" t="b">
        <f aca="false">IF($C451="",FALSE(),AND(SUMPRODUCT(--(Setup!$A$5:$A$24=$C451))&gt;0,ISNUMBER(A451),ISNUMBER(K451),N(K451)&gt;0,ISNUMBER(D451),N(D451)&gt;0,ISNUMBER(G451),N(G451)&gt;=0,OR(E451="",ISNUMBER(E451)),OR(F451="",ISNUMBER(F451)),OR(H451="",ISNUMBER(H451)),N(E451)&gt;=0,N(F451)&gt;=0,N(H451)&gt;=0,N(H451)&lt;=N(G451),N(E451)&lt;N(D451),N(F451)&lt;=N(D451)-N(E451)))</f>
        <v>0</v>
      </c>
    </row>
    <row r="452" customFormat="false" ht="15" hidden="false" customHeight="false" outlineLevel="0" collapsed="false">
      <c r="A452" s="11"/>
      <c r="B452" s="8"/>
      <c r="C452" s="8"/>
      <c r="D452" s="8"/>
      <c r="E452" s="8"/>
      <c r="F452" s="8"/>
      <c r="G452" s="8"/>
      <c r="H452" s="8"/>
      <c r="I452" s="12" t="str">
        <f aca="false">IF($T452,D452-N(E452),"")</f>
        <v/>
      </c>
      <c r="J452" s="12" t="str">
        <f aca="false">IF($T452,I452-N(F452),"")</f>
        <v/>
      </c>
      <c r="K452" s="13" t="str">
        <f aca="false">IF($C452="","",IF(SUMPRODUCT(--(Setup!$A$5:$A$24=$C452))&gt;0,INDEX(Setup!$B$5:$B$24,21-SUMPRODUCT(MAX((Setup!$A$5:$A$24=$C452)*(25-ROW(Setup!$A$5:$A$24))))),""))</f>
        <v/>
      </c>
      <c r="L452" s="13" t="str">
        <f aca="false">IF($T452,K452*G452/60,"")</f>
        <v/>
      </c>
      <c r="M452" s="12" t="str">
        <f aca="false">IF($T452,G452-N(H452),"")</f>
        <v/>
      </c>
      <c r="N452" s="14" t="str">
        <f aca="false">IF($T452,J452/I452,"")</f>
        <v/>
      </c>
      <c r="O452" s="14" t="str">
        <f aca="false">IF(AND($T452,N(J452)&gt;0),L452/J452,"")</f>
        <v/>
      </c>
      <c r="P452" s="14" t="str">
        <f aca="false">IF(AND($T452,N(G452)&gt;0),M452/G452,"")</f>
        <v/>
      </c>
      <c r="Q452" s="14" t="str">
        <f aca="false">IF($T452,S452/I452,"")</f>
        <v/>
      </c>
      <c r="R452" s="10" t="str">
        <f aca="false">IF($C452="","",IF(NOT(SUMPRODUCT(--(Setup!$A$5:$A$24=$C452))&gt;0),"Machine not in Setup",IF(OR(NOT(ISNUMBER(K452)),N(K452)&lt;=0),"Set an ideal cycle time in Setup",IF(NOT(ISNUMBER(A452)),"Enter a date",IF(OR(NOT(ISNUMBER(D452)),NOT(ISNUMBER(G452)),AND(E452&lt;&gt;"",NOT(ISNUMBER(E452))),AND(F452&lt;&gt;"",NOT(ISNUMBER(F452))),AND(H452&lt;&gt;"",NOT(ISNUMBER(H452)))),"Enter numbers: shift length and total parts are required",IF(OR(N(D452)&lt;=0,N(E452)&lt;0,N(F452)&lt;0,N(G452)&lt;0,N(H452)&lt;0),"Values must be 0 or more (shift length above 0)",IF(N(H452)&gt;N(G452),"Rejects &gt; total parts",IF(N(E452)&gt;=N(D452),"Planned stops &gt;= shift length",IF(N(F452)&gt;N(D452)-N(E452),"Downtime &gt; planned time",IF(AND(ISNUMBER(O452),O452&gt;1),"Check: performance above 100%","OK"))))))))))</f>
        <v/>
      </c>
      <c r="S452" s="13" t="str">
        <f aca="false">IF($T452,K452*M452/60,"")</f>
        <v/>
      </c>
      <c r="T452" s="15" t="b">
        <f aca="false">IF($C452="",FALSE(),AND(SUMPRODUCT(--(Setup!$A$5:$A$24=$C452))&gt;0,ISNUMBER(A452),ISNUMBER(K452),N(K452)&gt;0,ISNUMBER(D452),N(D452)&gt;0,ISNUMBER(G452),N(G452)&gt;=0,OR(E452="",ISNUMBER(E452)),OR(F452="",ISNUMBER(F452)),OR(H452="",ISNUMBER(H452)),N(E452)&gt;=0,N(F452)&gt;=0,N(H452)&gt;=0,N(H452)&lt;=N(G452),N(E452)&lt;N(D452),N(F452)&lt;=N(D452)-N(E452)))</f>
        <v>0</v>
      </c>
    </row>
    <row r="453" customFormat="false" ht="15" hidden="false" customHeight="false" outlineLevel="0" collapsed="false">
      <c r="A453" s="11"/>
      <c r="B453" s="8"/>
      <c r="C453" s="8"/>
      <c r="D453" s="8"/>
      <c r="E453" s="8"/>
      <c r="F453" s="8"/>
      <c r="G453" s="8"/>
      <c r="H453" s="8"/>
      <c r="I453" s="12" t="str">
        <f aca="false">IF($T453,D453-N(E453),"")</f>
        <v/>
      </c>
      <c r="J453" s="12" t="str">
        <f aca="false">IF($T453,I453-N(F453),"")</f>
        <v/>
      </c>
      <c r="K453" s="13" t="str">
        <f aca="false">IF($C453="","",IF(SUMPRODUCT(--(Setup!$A$5:$A$24=$C453))&gt;0,INDEX(Setup!$B$5:$B$24,21-SUMPRODUCT(MAX((Setup!$A$5:$A$24=$C453)*(25-ROW(Setup!$A$5:$A$24))))),""))</f>
        <v/>
      </c>
      <c r="L453" s="13" t="str">
        <f aca="false">IF($T453,K453*G453/60,"")</f>
        <v/>
      </c>
      <c r="M453" s="12" t="str">
        <f aca="false">IF($T453,G453-N(H453),"")</f>
        <v/>
      </c>
      <c r="N453" s="14" t="str">
        <f aca="false">IF($T453,J453/I453,"")</f>
        <v/>
      </c>
      <c r="O453" s="14" t="str">
        <f aca="false">IF(AND($T453,N(J453)&gt;0),L453/J453,"")</f>
        <v/>
      </c>
      <c r="P453" s="14" t="str">
        <f aca="false">IF(AND($T453,N(G453)&gt;0),M453/G453,"")</f>
        <v/>
      </c>
      <c r="Q453" s="14" t="str">
        <f aca="false">IF($T453,S453/I453,"")</f>
        <v/>
      </c>
      <c r="R453" s="10" t="str">
        <f aca="false">IF($C453="","",IF(NOT(SUMPRODUCT(--(Setup!$A$5:$A$24=$C453))&gt;0),"Machine not in Setup",IF(OR(NOT(ISNUMBER(K453)),N(K453)&lt;=0),"Set an ideal cycle time in Setup",IF(NOT(ISNUMBER(A453)),"Enter a date",IF(OR(NOT(ISNUMBER(D453)),NOT(ISNUMBER(G453)),AND(E453&lt;&gt;"",NOT(ISNUMBER(E453))),AND(F453&lt;&gt;"",NOT(ISNUMBER(F453))),AND(H453&lt;&gt;"",NOT(ISNUMBER(H453)))),"Enter numbers: shift length and total parts are required",IF(OR(N(D453)&lt;=0,N(E453)&lt;0,N(F453)&lt;0,N(G453)&lt;0,N(H453)&lt;0),"Values must be 0 or more (shift length above 0)",IF(N(H453)&gt;N(G453),"Rejects &gt; total parts",IF(N(E453)&gt;=N(D453),"Planned stops &gt;= shift length",IF(N(F453)&gt;N(D453)-N(E453),"Downtime &gt; planned time",IF(AND(ISNUMBER(O453),O453&gt;1),"Check: performance above 100%","OK"))))))))))</f>
        <v/>
      </c>
      <c r="S453" s="13" t="str">
        <f aca="false">IF($T453,K453*M453/60,"")</f>
        <v/>
      </c>
      <c r="T453" s="15" t="b">
        <f aca="false">IF($C453="",FALSE(),AND(SUMPRODUCT(--(Setup!$A$5:$A$24=$C453))&gt;0,ISNUMBER(A453),ISNUMBER(K453),N(K453)&gt;0,ISNUMBER(D453),N(D453)&gt;0,ISNUMBER(G453),N(G453)&gt;=0,OR(E453="",ISNUMBER(E453)),OR(F453="",ISNUMBER(F453)),OR(H453="",ISNUMBER(H453)),N(E453)&gt;=0,N(F453)&gt;=0,N(H453)&gt;=0,N(H453)&lt;=N(G453),N(E453)&lt;N(D453),N(F453)&lt;=N(D453)-N(E453)))</f>
        <v>0</v>
      </c>
    </row>
    <row r="454" customFormat="false" ht="15" hidden="false" customHeight="false" outlineLevel="0" collapsed="false">
      <c r="A454" s="11"/>
      <c r="B454" s="8"/>
      <c r="C454" s="8"/>
      <c r="D454" s="8"/>
      <c r="E454" s="8"/>
      <c r="F454" s="8"/>
      <c r="G454" s="8"/>
      <c r="H454" s="8"/>
      <c r="I454" s="12" t="str">
        <f aca="false">IF($T454,D454-N(E454),"")</f>
        <v/>
      </c>
      <c r="J454" s="12" t="str">
        <f aca="false">IF($T454,I454-N(F454),"")</f>
        <v/>
      </c>
      <c r="K454" s="13" t="str">
        <f aca="false">IF($C454="","",IF(SUMPRODUCT(--(Setup!$A$5:$A$24=$C454))&gt;0,INDEX(Setup!$B$5:$B$24,21-SUMPRODUCT(MAX((Setup!$A$5:$A$24=$C454)*(25-ROW(Setup!$A$5:$A$24))))),""))</f>
        <v/>
      </c>
      <c r="L454" s="13" t="str">
        <f aca="false">IF($T454,K454*G454/60,"")</f>
        <v/>
      </c>
      <c r="M454" s="12" t="str">
        <f aca="false">IF($T454,G454-N(H454),"")</f>
        <v/>
      </c>
      <c r="N454" s="14" t="str">
        <f aca="false">IF($T454,J454/I454,"")</f>
        <v/>
      </c>
      <c r="O454" s="14" t="str">
        <f aca="false">IF(AND($T454,N(J454)&gt;0),L454/J454,"")</f>
        <v/>
      </c>
      <c r="P454" s="14" t="str">
        <f aca="false">IF(AND($T454,N(G454)&gt;0),M454/G454,"")</f>
        <v/>
      </c>
      <c r="Q454" s="14" t="str">
        <f aca="false">IF($T454,S454/I454,"")</f>
        <v/>
      </c>
      <c r="R454" s="10" t="str">
        <f aca="false">IF($C454="","",IF(NOT(SUMPRODUCT(--(Setup!$A$5:$A$24=$C454))&gt;0),"Machine not in Setup",IF(OR(NOT(ISNUMBER(K454)),N(K454)&lt;=0),"Set an ideal cycle time in Setup",IF(NOT(ISNUMBER(A454)),"Enter a date",IF(OR(NOT(ISNUMBER(D454)),NOT(ISNUMBER(G454)),AND(E454&lt;&gt;"",NOT(ISNUMBER(E454))),AND(F454&lt;&gt;"",NOT(ISNUMBER(F454))),AND(H454&lt;&gt;"",NOT(ISNUMBER(H454)))),"Enter numbers: shift length and total parts are required",IF(OR(N(D454)&lt;=0,N(E454)&lt;0,N(F454)&lt;0,N(G454)&lt;0,N(H454)&lt;0),"Values must be 0 or more (shift length above 0)",IF(N(H454)&gt;N(G454),"Rejects &gt; total parts",IF(N(E454)&gt;=N(D454),"Planned stops &gt;= shift length",IF(N(F454)&gt;N(D454)-N(E454),"Downtime &gt; planned time",IF(AND(ISNUMBER(O454),O454&gt;1),"Check: performance above 100%","OK"))))))))))</f>
        <v/>
      </c>
      <c r="S454" s="13" t="str">
        <f aca="false">IF($T454,K454*M454/60,"")</f>
        <v/>
      </c>
      <c r="T454" s="15" t="b">
        <f aca="false">IF($C454="",FALSE(),AND(SUMPRODUCT(--(Setup!$A$5:$A$24=$C454))&gt;0,ISNUMBER(A454),ISNUMBER(K454),N(K454)&gt;0,ISNUMBER(D454),N(D454)&gt;0,ISNUMBER(G454),N(G454)&gt;=0,OR(E454="",ISNUMBER(E454)),OR(F454="",ISNUMBER(F454)),OR(H454="",ISNUMBER(H454)),N(E454)&gt;=0,N(F454)&gt;=0,N(H454)&gt;=0,N(H454)&lt;=N(G454),N(E454)&lt;N(D454),N(F454)&lt;=N(D454)-N(E454)))</f>
        <v>0</v>
      </c>
    </row>
    <row r="455" customFormat="false" ht="15" hidden="false" customHeight="false" outlineLevel="0" collapsed="false">
      <c r="A455" s="11"/>
      <c r="B455" s="8"/>
      <c r="C455" s="8"/>
      <c r="D455" s="8"/>
      <c r="E455" s="8"/>
      <c r="F455" s="8"/>
      <c r="G455" s="8"/>
      <c r="H455" s="8"/>
      <c r="I455" s="12" t="str">
        <f aca="false">IF($T455,D455-N(E455),"")</f>
        <v/>
      </c>
      <c r="J455" s="12" t="str">
        <f aca="false">IF($T455,I455-N(F455),"")</f>
        <v/>
      </c>
      <c r="K455" s="13" t="str">
        <f aca="false">IF($C455="","",IF(SUMPRODUCT(--(Setup!$A$5:$A$24=$C455))&gt;0,INDEX(Setup!$B$5:$B$24,21-SUMPRODUCT(MAX((Setup!$A$5:$A$24=$C455)*(25-ROW(Setup!$A$5:$A$24))))),""))</f>
        <v/>
      </c>
      <c r="L455" s="13" t="str">
        <f aca="false">IF($T455,K455*G455/60,"")</f>
        <v/>
      </c>
      <c r="M455" s="12" t="str">
        <f aca="false">IF($T455,G455-N(H455),"")</f>
        <v/>
      </c>
      <c r="N455" s="14" t="str">
        <f aca="false">IF($T455,J455/I455,"")</f>
        <v/>
      </c>
      <c r="O455" s="14" t="str">
        <f aca="false">IF(AND($T455,N(J455)&gt;0),L455/J455,"")</f>
        <v/>
      </c>
      <c r="P455" s="14" t="str">
        <f aca="false">IF(AND($T455,N(G455)&gt;0),M455/G455,"")</f>
        <v/>
      </c>
      <c r="Q455" s="14" t="str">
        <f aca="false">IF($T455,S455/I455,"")</f>
        <v/>
      </c>
      <c r="R455" s="10" t="str">
        <f aca="false">IF($C455="","",IF(NOT(SUMPRODUCT(--(Setup!$A$5:$A$24=$C455))&gt;0),"Machine not in Setup",IF(OR(NOT(ISNUMBER(K455)),N(K455)&lt;=0),"Set an ideal cycle time in Setup",IF(NOT(ISNUMBER(A455)),"Enter a date",IF(OR(NOT(ISNUMBER(D455)),NOT(ISNUMBER(G455)),AND(E455&lt;&gt;"",NOT(ISNUMBER(E455))),AND(F455&lt;&gt;"",NOT(ISNUMBER(F455))),AND(H455&lt;&gt;"",NOT(ISNUMBER(H455)))),"Enter numbers: shift length and total parts are required",IF(OR(N(D455)&lt;=0,N(E455)&lt;0,N(F455)&lt;0,N(G455)&lt;0,N(H455)&lt;0),"Values must be 0 or more (shift length above 0)",IF(N(H455)&gt;N(G455),"Rejects &gt; total parts",IF(N(E455)&gt;=N(D455),"Planned stops &gt;= shift length",IF(N(F455)&gt;N(D455)-N(E455),"Downtime &gt; planned time",IF(AND(ISNUMBER(O455),O455&gt;1),"Check: performance above 100%","OK"))))))))))</f>
        <v/>
      </c>
      <c r="S455" s="13" t="str">
        <f aca="false">IF($T455,K455*M455/60,"")</f>
        <v/>
      </c>
      <c r="T455" s="15" t="b">
        <f aca="false">IF($C455="",FALSE(),AND(SUMPRODUCT(--(Setup!$A$5:$A$24=$C455))&gt;0,ISNUMBER(A455),ISNUMBER(K455),N(K455)&gt;0,ISNUMBER(D455),N(D455)&gt;0,ISNUMBER(G455),N(G455)&gt;=0,OR(E455="",ISNUMBER(E455)),OR(F455="",ISNUMBER(F455)),OR(H455="",ISNUMBER(H455)),N(E455)&gt;=0,N(F455)&gt;=0,N(H455)&gt;=0,N(H455)&lt;=N(G455),N(E455)&lt;N(D455),N(F455)&lt;=N(D455)-N(E455)))</f>
        <v>0</v>
      </c>
    </row>
    <row r="456" customFormat="false" ht="15" hidden="false" customHeight="false" outlineLevel="0" collapsed="false">
      <c r="A456" s="11"/>
      <c r="B456" s="8"/>
      <c r="C456" s="8"/>
      <c r="D456" s="8"/>
      <c r="E456" s="8"/>
      <c r="F456" s="8"/>
      <c r="G456" s="8"/>
      <c r="H456" s="8"/>
      <c r="I456" s="12" t="str">
        <f aca="false">IF($T456,D456-N(E456),"")</f>
        <v/>
      </c>
      <c r="J456" s="12" t="str">
        <f aca="false">IF($T456,I456-N(F456),"")</f>
        <v/>
      </c>
      <c r="K456" s="13" t="str">
        <f aca="false">IF($C456="","",IF(SUMPRODUCT(--(Setup!$A$5:$A$24=$C456))&gt;0,INDEX(Setup!$B$5:$B$24,21-SUMPRODUCT(MAX((Setup!$A$5:$A$24=$C456)*(25-ROW(Setup!$A$5:$A$24))))),""))</f>
        <v/>
      </c>
      <c r="L456" s="13" t="str">
        <f aca="false">IF($T456,K456*G456/60,"")</f>
        <v/>
      </c>
      <c r="M456" s="12" t="str">
        <f aca="false">IF($T456,G456-N(H456),"")</f>
        <v/>
      </c>
      <c r="N456" s="14" t="str">
        <f aca="false">IF($T456,J456/I456,"")</f>
        <v/>
      </c>
      <c r="O456" s="14" t="str">
        <f aca="false">IF(AND($T456,N(J456)&gt;0),L456/J456,"")</f>
        <v/>
      </c>
      <c r="P456" s="14" t="str">
        <f aca="false">IF(AND($T456,N(G456)&gt;0),M456/G456,"")</f>
        <v/>
      </c>
      <c r="Q456" s="14" t="str">
        <f aca="false">IF($T456,S456/I456,"")</f>
        <v/>
      </c>
      <c r="R456" s="10" t="str">
        <f aca="false">IF($C456="","",IF(NOT(SUMPRODUCT(--(Setup!$A$5:$A$24=$C456))&gt;0),"Machine not in Setup",IF(OR(NOT(ISNUMBER(K456)),N(K456)&lt;=0),"Set an ideal cycle time in Setup",IF(NOT(ISNUMBER(A456)),"Enter a date",IF(OR(NOT(ISNUMBER(D456)),NOT(ISNUMBER(G456)),AND(E456&lt;&gt;"",NOT(ISNUMBER(E456))),AND(F456&lt;&gt;"",NOT(ISNUMBER(F456))),AND(H456&lt;&gt;"",NOT(ISNUMBER(H456)))),"Enter numbers: shift length and total parts are required",IF(OR(N(D456)&lt;=0,N(E456)&lt;0,N(F456)&lt;0,N(G456)&lt;0,N(H456)&lt;0),"Values must be 0 or more (shift length above 0)",IF(N(H456)&gt;N(G456),"Rejects &gt; total parts",IF(N(E456)&gt;=N(D456),"Planned stops &gt;= shift length",IF(N(F456)&gt;N(D456)-N(E456),"Downtime &gt; planned time",IF(AND(ISNUMBER(O456),O456&gt;1),"Check: performance above 100%","OK"))))))))))</f>
        <v/>
      </c>
      <c r="S456" s="13" t="str">
        <f aca="false">IF($T456,K456*M456/60,"")</f>
        <v/>
      </c>
      <c r="T456" s="15" t="b">
        <f aca="false">IF($C456="",FALSE(),AND(SUMPRODUCT(--(Setup!$A$5:$A$24=$C456))&gt;0,ISNUMBER(A456),ISNUMBER(K456),N(K456)&gt;0,ISNUMBER(D456),N(D456)&gt;0,ISNUMBER(G456),N(G456)&gt;=0,OR(E456="",ISNUMBER(E456)),OR(F456="",ISNUMBER(F456)),OR(H456="",ISNUMBER(H456)),N(E456)&gt;=0,N(F456)&gt;=0,N(H456)&gt;=0,N(H456)&lt;=N(G456),N(E456)&lt;N(D456),N(F456)&lt;=N(D456)-N(E456)))</f>
        <v>0</v>
      </c>
    </row>
    <row r="457" customFormat="false" ht="15" hidden="false" customHeight="false" outlineLevel="0" collapsed="false">
      <c r="A457" s="11"/>
      <c r="B457" s="8"/>
      <c r="C457" s="8"/>
      <c r="D457" s="8"/>
      <c r="E457" s="8"/>
      <c r="F457" s="8"/>
      <c r="G457" s="8"/>
      <c r="H457" s="8"/>
      <c r="I457" s="12" t="str">
        <f aca="false">IF($T457,D457-N(E457),"")</f>
        <v/>
      </c>
      <c r="J457" s="12" t="str">
        <f aca="false">IF($T457,I457-N(F457),"")</f>
        <v/>
      </c>
      <c r="K457" s="13" t="str">
        <f aca="false">IF($C457="","",IF(SUMPRODUCT(--(Setup!$A$5:$A$24=$C457))&gt;0,INDEX(Setup!$B$5:$B$24,21-SUMPRODUCT(MAX((Setup!$A$5:$A$24=$C457)*(25-ROW(Setup!$A$5:$A$24))))),""))</f>
        <v/>
      </c>
      <c r="L457" s="13" t="str">
        <f aca="false">IF($T457,K457*G457/60,"")</f>
        <v/>
      </c>
      <c r="M457" s="12" t="str">
        <f aca="false">IF($T457,G457-N(H457),"")</f>
        <v/>
      </c>
      <c r="N457" s="14" t="str">
        <f aca="false">IF($T457,J457/I457,"")</f>
        <v/>
      </c>
      <c r="O457" s="14" t="str">
        <f aca="false">IF(AND($T457,N(J457)&gt;0),L457/J457,"")</f>
        <v/>
      </c>
      <c r="P457" s="14" t="str">
        <f aca="false">IF(AND($T457,N(G457)&gt;0),M457/G457,"")</f>
        <v/>
      </c>
      <c r="Q457" s="14" t="str">
        <f aca="false">IF($T457,S457/I457,"")</f>
        <v/>
      </c>
      <c r="R457" s="10" t="str">
        <f aca="false">IF($C457="","",IF(NOT(SUMPRODUCT(--(Setup!$A$5:$A$24=$C457))&gt;0),"Machine not in Setup",IF(OR(NOT(ISNUMBER(K457)),N(K457)&lt;=0),"Set an ideal cycle time in Setup",IF(NOT(ISNUMBER(A457)),"Enter a date",IF(OR(NOT(ISNUMBER(D457)),NOT(ISNUMBER(G457)),AND(E457&lt;&gt;"",NOT(ISNUMBER(E457))),AND(F457&lt;&gt;"",NOT(ISNUMBER(F457))),AND(H457&lt;&gt;"",NOT(ISNUMBER(H457)))),"Enter numbers: shift length and total parts are required",IF(OR(N(D457)&lt;=0,N(E457)&lt;0,N(F457)&lt;0,N(G457)&lt;0,N(H457)&lt;0),"Values must be 0 or more (shift length above 0)",IF(N(H457)&gt;N(G457),"Rejects &gt; total parts",IF(N(E457)&gt;=N(D457),"Planned stops &gt;= shift length",IF(N(F457)&gt;N(D457)-N(E457),"Downtime &gt; planned time",IF(AND(ISNUMBER(O457),O457&gt;1),"Check: performance above 100%","OK"))))))))))</f>
        <v/>
      </c>
      <c r="S457" s="13" t="str">
        <f aca="false">IF($T457,K457*M457/60,"")</f>
        <v/>
      </c>
      <c r="T457" s="15" t="b">
        <f aca="false">IF($C457="",FALSE(),AND(SUMPRODUCT(--(Setup!$A$5:$A$24=$C457))&gt;0,ISNUMBER(A457),ISNUMBER(K457),N(K457)&gt;0,ISNUMBER(D457),N(D457)&gt;0,ISNUMBER(G457),N(G457)&gt;=0,OR(E457="",ISNUMBER(E457)),OR(F457="",ISNUMBER(F457)),OR(H457="",ISNUMBER(H457)),N(E457)&gt;=0,N(F457)&gt;=0,N(H457)&gt;=0,N(H457)&lt;=N(G457),N(E457)&lt;N(D457),N(F457)&lt;=N(D457)-N(E457)))</f>
        <v>0</v>
      </c>
    </row>
    <row r="458" customFormat="false" ht="15" hidden="false" customHeight="false" outlineLevel="0" collapsed="false">
      <c r="A458" s="11"/>
      <c r="B458" s="8"/>
      <c r="C458" s="8"/>
      <c r="D458" s="8"/>
      <c r="E458" s="8"/>
      <c r="F458" s="8"/>
      <c r="G458" s="8"/>
      <c r="H458" s="8"/>
      <c r="I458" s="12" t="str">
        <f aca="false">IF($T458,D458-N(E458),"")</f>
        <v/>
      </c>
      <c r="J458" s="12" t="str">
        <f aca="false">IF($T458,I458-N(F458),"")</f>
        <v/>
      </c>
      <c r="K458" s="13" t="str">
        <f aca="false">IF($C458="","",IF(SUMPRODUCT(--(Setup!$A$5:$A$24=$C458))&gt;0,INDEX(Setup!$B$5:$B$24,21-SUMPRODUCT(MAX((Setup!$A$5:$A$24=$C458)*(25-ROW(Setup!$A$5:$A$24))))),""))</f>
        <v/>
      </c>
      <c r="L458" s="13" t="str">
        <f aca="false">IF($T458,K458*G458/60,"")</f>
        <v/>
      </c>
      <c r="M458" s="12" t="str">
        <f aca="false">IF($T458,G458-N(H458),"")</f>
        <v/>
      </c>
      <c r="N458" s="14" t="str">
        <f aca="false">IF($T458,J458/I458,"")</f>
        <v/>
      </c>
      <c r="O458" s="14" t="str">
        <f aca="false">IF(AND($T458,N(J458)&gt;0),L458/J458,"")</f>
        <v/>
      </c>
      <c r="P458" s="14" t="str">
        <f aca="false">IF(AND($T458,N(G458)&gt;0),M458/G458,"")</f>
        <v/>
      </c>
      <c r="Q458" s="14" t="str">
        <f aca="false">IF($T458,S458/I458,"")</f>
        <v/>
      </c>
      <c r="R458" s="10" t="str">
        <f aca="false">IF($C458="","",IF(NOT(SUMPRODUCT(--(Setup!$A$5:$A$24=$C458))&gt;0),"Machine not in Setup",IF(OR(NOT(ISNUMBER(K458)),N(K458)&lt;=0),"Set an ideal cycle time in Setup",IF(NOT(ISNUMBER(A458)),"Enter a date",IF(OR(NOT(ISNUMBER(D458)),NOT(ISNUMBER(G458)),AND(E458&lt;&gt;"",NOT(ISNUMBER(E458))),AND(F458&lt;&gt;"",NOT(ISNUMBER(F458))),AND(H458&lt;&gt;"",NOT(ISNUMBER(H458)))),"Enter numbers: shift length and total parts are required",IF(OR(N(D458)&lt;=0,N(E458)&lt;0,N(F458)&lt;0,N(G458)&lt;0,N(H458)&lt;0),"Values must be 0 or more (shift length above 0)",IF(N(H458)&gt;N(G458),"Rejects &gt; total parts",IF(N(E458)&gt;=N(D458),"Planned stops &gt;= shift length",IF(N(F458)&gt;N(D458)-N(E458),"Downtime &gt; planned time",IF(AND(ISNUMBER(O458),O458&gt;1),"Check: performance above 100%","OK"))))))))))</f>
        <v/>
      </c>
      <c r="S458" s="13" t="str">
        <f aca="false">IF($T458,K458*M458/60,"")</f>
        <v/>
      </c>
      <c r="T458" s="15" t="b">
        <f aca="false">IF($C458="",FALSE(),AND(SUMPRODUCT(--(Setup!$A$5:$A$24=$C458))&gt;0,ISNUMBER(A458),ISNUMBER(K458),N(K458)&gt;0,ISNUMBER(D458),N(D458)&gt;0,ISNUMBER(G458),N(G458)&gt;=0,OR(E458="",ISNUMBER(E458)),OR(F458="",ISNUMBER(F458)),OR(H458="",ISNUMBER(H458)),N(E458)&gt;=0,N(F458)&gt;=0,N(H458)&gt;=0,N(H458)&lt;=N(G458),N(E458)&lt;N(D458),N(F458)&lt;=N(D458)-N(E458)))</f>
        <v>0</v>
      </c>
    </row>
    <row r="459" customFormat="false" ht="15" hidden="false" customHeight="false" outlineLevel="0" collapsed="false">
      <c r="A459" s="11"/>
      <c r="B459" s="8"/>
      <c r="C459" s="8"/>
      <c r="D459" s="8"/>
      <c r="E459" s="8"/>
      <c r="F459" s="8"/>
      <c r="G459" s="8"/>
      <c r="H459" s="8"/>
      <c r="I459" s="12" t="str">
        <f aca="false">IF($T459,D459-N(E459),"")</f>
        <v/>
      </c>
      <c r="J459" s="12" t="str">
        <f aca="false">IF($T459,I459-N(F459),"")</f>
        <v/>
      </c>
      <c r="K459" s="13" t="str">
        <f aca="false">IF($C459="","",IF(SUMPRODUCT(--(Setup!$A$5:$A$24=$C459))&gt;0,INDEX(Setup!$B$5:$B$24,21-SUMPRODUCT(MAX((Setup!$A$5:$A$24=$C459)*(25-ROW(Setup!$A$5:$A$24))))),""))</f>
        <v/>
      </c>
      <c r="L459" s="13" t="str">
        <f aca="false">IF($T459,K459*G459/60,"")</f>
        <v/>
      </c>
      <c r="M459" s="12" t="str">
        <f aca="false">IF($T459,G459-N(H459),"")</f>
        <v/>
      </c>
      <c r="N459" s="14" t="str">
        <f aca="false">IF($T459,J459/I459,"")</f>
        <v/>
      </c>
      <c r="O459" s="14" t="str">
        <f aca="false">IF(AND($T459,N(J459)&gt;0),L459/J459,"")</f>
        <v/>
      </c>
      <c r="P459" s="14" t="str">
        <f aca="false">IF(AND($T459,N(G459)&gt;0),M459/G459,"")</f>
        <v/>
      </c>
      <c r="Q459" s="14" t="str">
        <f aca="false">IF($T459,S459/I459,"")</f>
        <v/>
      </c>
      <c r="R459" s="10" t="str">
        <f aca="false">IF($C459="","",IF(NOT(SUMPRODUCT(--(Setup!$A$5:$A$24=$C459))&gt;0),"Machine not in Setup",IF(OR(NOT(ISNUMBER(K459)),N(K459)&lt;=0),"Set an ideal cycle time in Setup",IF(NOT(ISNUMBER(A459)),"Enter a date",IF(OR(NOT(ISNUMBER(D459)),NOT(ISNUMBER(G459)),AND(E459&lt;&gt;"",NOT(ISNUMBER(E459))),AND(F459&lt;&gt;"",NOT(ISNUMBER(F459))),AND(H459&lt;&gt;"",NOT(ISNUMBER(H459)))),"Enter numbers: shift length and total parts are required",IF(OR(N(D459)&lt;=0,N(E459)&lt;0,N(F459)&lt;0,N(G459)&lt;0,N(H459)&lt;0),"Values must be 0 or more (shift length above 0)",IF(N(H459)&gt;N(G459),"Rejects &gt; total parts",IF(N(E459)&gt;=N(D459),"Planned stops &gt;= shift length",IF(N(F459)&gt;N(D459)-N(E459),"Downtime &gt; planned time",IF(AND(ISNUMBER(O459),O459&gt;1),"Check: performance above 100%","OK"))))))))))</f>
        <v/>
      </c>
      <c r="S459" s="13" t="str">
        <f aca="false">IF($T459,K459*M459/60,"")</f>
        <v/>
      </c>
      <c r="T459" s="15" t="b">
        <f aca="false">IF($C459="",FALSE(),AND(SUMPRODUCT(--(Setup!$A$5:$A$24=$C459))&gt;0,ISNUMBER(A459),ISNUMBER(K459),N(K459)&gt;0,ISNUMBER(D459),N(D459)&gt;0,ISNUMBER(G459),N(G459)&gt;=0,OR(E459="",ISNUMBER(E459)),OR(F459="",ISNUMBER(F459)),OR(H459="",ISNUMBER(H459)),N(E459)&gt;=0,N(F459)&gt;=0,N(H459)&gt;=0,N(H459)&lt;=N(G459),N(E459)&lt;N(D459),N(F459)&lt;=N(D459)-N(E459)))</f>
        <v>0</v>
      </c>
    </row>
    <row r="460" customFormat="false" ht="15" hidden="false" customHeight="false" outlineLevel="0" collapsed="false">
      <c r="A460" s="11"/>
      <c r="B460" s="8"/>
      <c r="C460" s="8"/>
      <c r="D460" s="8"/>
      <c r="E460" s="8"/>
      <c r="F460" s="8"/>
      <c r="G460" s="8"/>
      <c r="H460" s="8"/>
      <c r="I460" s="12" t="str">
        <f aca="false">IF($T460,D460-N(E460),"")</f>
        <v/>
      </c>
      <c r="J460" s="12" t="str">
        <f aca="false">IF($T460,I460-N(F460),"")</f>
        <v/>
      </c>
      <c r="K460" s="13" t="str">
        <f aca="false">IF($C460="","",IF(SUMPRODUCT(--(Setup!$A$5:$A$24=$C460))&gt;0,INDEX(Setup!$B$5:$B$24,21-SUMPRODUCT(MAX((Setup!$A$5:$A$24=$C460)*(25-ROW(Setup!$A$5:$A$24))))),""))</f>
        <v/>
      </c>
      <c r="L460" s="13" t="str">
        <f aca="false">IF($T460,K460*G460/60,"")</f>
        <v/>
      </c>
      <c r="M460" s="12" t="str">
        <f aca="false">IF($T460,G460-N(H460),"")</f>
        <v/>
      </c>
      <c r="N460" s="14" t="str">
        <f aca="false">IF($T460,J460/I460,"")</f>
        <v/>
      </c>
      <c r="O460" s="14" t="str">
        <f aca="false">IF(AND($T460,N(J460)&gt;0),L460/J460,"")</f>
        <v/>
      </c>
      <c r="P460" s="14" t="str">
        <f aca="false">IF(AND($T460,N(G460)&gt;0),M460/G460,"")</f>
        <v/>
      </c>
      <c r="Q460" s="14" t="str">
        <f aca="false">IF($T460,S460/I460,"")</f>
        <v/>
      </c>
      <c r="R460" s="10" t="str">
        <f aca="false">IF($C460="","",IF(NOT(SUMPRODUCT(--(Setup!$A$5:$A$24=$C460))&gt;0),"Machine not in Setup",IF(OR(NOT(ISNUMBER(K460)),N(K460)&lt;=0),"Set an ideal cycle time in Setup",IF(NOT(ISNUMBER(A460)),"Enter a date",IF(OR(NOT(ISNUMBER(D460)),NOT(ISNUMBER(G460)),AND(E460&lt;&gt;"",NOT(ISNUMBER(E460))),AND(F460&lt;&gt;"",NOT(ISNUMBER(F460))),AND(H460&lt;&gt;"",NOT(ISNUMBER(H460)))),"Enter numbers: shift length and total parts are required",IF(OR(N(D460)&lt;=0,N(E460)&lt;0,N(F460)&lt;0,N(G460)&lt;0,N(H460)&lt;0),"Values must be 0 or more (shift length above 0)",IF(N(H460)&gt;N(G460),"Rejects &gt; total parts",IF(N(E460)&gt;=N(D460),"Planned stops &gt;= shift length",IF(N(F460)&gt;N(D460)-N(E460),"Downtime &gt; planned time",IF(AND(ISNUMBER(O460),O460&gt;1),"Check: performance above 100%","OK"))))))))))</f>
        <v/>
      </c>
      <c r="S460" s="13" t="str">
        <f aca="false">IF($T460,K460*M460/60,"")</f>
        <v/>
      </c>
      <c r="T460" s="15" t="b">
        <f aca="false">IF($C460="",FALSE(),AND(SUMPRODUCT(--(Setup!$A$5:$A$24=$C460))&gt;0,ISNUMBER(A460),ISNUMBER(K460),N(K460)&gt;0,ISNUMBER(D460),N(D460)&gt;0,ISNUMBER(G460),N(G460)&gt;=0,OR(E460="",ISNUMBER(E460)),OR(F460="",ISNUMBER(F460)),OR(H460="",ISNUMBER(H460)),N(E460)&gt;=0,N(F460)&gt;=0,N(H460)&gt;=0,N(H460)&lt;=N(G460),N(E460)&lt;N(D460),N(F460)&lt;=N(D460)-N(E460)))</f>
        <v>0</v>
      </c>
    </row>
    <row r="461" customFormat="false" ht="15" hidden="false" customHeight="false" outlineLevel="0" collapsed="false">
      <c r="A461" s="11"/>
      <c r="B461" s="8"/>
      <c r="C461" s="8"/>
      <c r="D461" s="8"/>
      <c r="E461" s="8"/>
      <c r="F461" s="8"/>
      <c r="G461" s="8"/>
      <c r="H461" s="8"/>
      <c r="I461" s="12" t="str">
        <f aca="false">IF($T461,D461-N(E461),"")</f>
        <v/>
      </c>
      <c r="J461" s="12" t="str">
        <f aca="false">IF($T461,I461-N(F461),"")</f>
        <v/>
      </c>
      <c r="K461" s="13" t="str">
        <f aca="false">IF($C461="","",IF(SUMPRODUCT(--(Setup!$A$5:$A$24=$C461))&gt;0,INDEX(Setup!$B$5:$B$24,21-SUMPRODUCT(MAX((Setup!$A$5:$A$24=$C461)*(25-ROW(Setup!$A$5:$A$24))))),""))</f>
        <v/>
      </c>
      <c r="L461" s="13" t="str">
        <f aca="false">IF($T461,K461*G461/60,"")</f>
        <v/>
      </c>
      <c r="M461" s="12" t="str">
        <f aca="false">IF($T461,G461-N(H461),"")</f>
        <v/>
      </c>
      <c r="N461" s="14" t="str">
        <f aca="false">IF($T461,J461/I461,"")</f>
        <v/>
      </c>
      <c r="O461" s="14" t="str">
        <f aca="false">IF(AND($T461,N(J461)&gt;0),L461/J461,"")</f>
        <v/>
      </c>
      <c r="P461" s="14" t="str">
        <f aca="false">IF(AND($T461,N(G461)&gt;0),M461/G461,"")</f>
        <v/>
      </c>
      <c r="Q461" s="14" t="str">
        <f aca="false">IF($T461,S461/I461,"")</f>
        <v/>
      </c>
      <c r="R461" s="10" t="str">
        <f aca="false">IF($C461="","",IF(NOT(SUMPRODUCT(--(Setup!$A$5:$A$24=$C461))&gt;0),"Machine not in Setup",IF(OR(NOT(ISNUMBER(K461)),N(K461)&lt;=0),"Set an ideal cycle time in Setup",IF(NOT(ISNUMBER(A461)),"Enter a date",IF(OR(NOT(ISNUMBER(D461)),NOT(ISNUMBER(G461)),AND(E461&lt;&gt;"",NOT(ISNUMBER(E461))),AND(F461&lt;&gt;"",NOT(ISNUMBER(F461))),AND(H461&lt;&gt;"",NOT(ISNUMBER(H461)))),"Enter numbers: shift length and total parts are required",IF(OR(N(D461)&lt;=0,N(E461)&lt;0,N(F461)&lt;0,N(G461)&lt;0,N(H461)&lt;0),"Values must be 0 or more (shift length above 0)",IF(N(H461)&gt;N(G461),"Rejects &gt; total parts",IF(N(E461)&gt;=N(D461),"Planned stops &gt;= shift length",IF(N(F461)&gt;N(D461)-N(E461),"Downtime &gt; planned time",IF(AND(ISNUMBER(O461),O461&gt;1),"Check: performance above 100%","OK"))))))))))</f>
        <v/>
      </c>
      <c r="S461" s="13" t="str">
        <f aca="false">IF($T461,K461*M461/60,"")</f>
        <v/>
      </c>
      <c r="T461" s="15" t="b">
        <f aca="false">IF($C461="",FALSE(),AND(SUMPRODUCT(--(Setup!$A$5:$A$24=$C461))&gt;0,ISNUMBER(A461),ISNUMBER(K461),N(K461)&gt;0,ISNUMBER(D461),N(D461)&gt;0,ISNUMBER(G461),N(G461)&gt;=0,OR(E461="",ISNUMBER(E461)),OR(F461="",ISNUMBER(F461)),OR(H461="",ISNUMBER(H461)),N(E461)&gt;=0,N(F461)&gt;=0,N(H461)&gt;=0,N(H461)&lt;=N(G461),N(E461)&lt;N(D461),N(F461)&lt;=N(D461)-N(E461)))</f>
        <v>0</v>
      </c>
    </row>
    <row r="462" customFormat="false" ht="15" hidden="false" customHeight="false" outlineLevel="0" collapsed="false">
      <c r="A462" s="11"/>
      <c r="B462" s="8"/>
      <c r="C462" s="8"/>
      <c r="D462" s="8"/>
      <c r="E462" s="8"/>
      <c r="F462" s="8"/>
      <c r="G462" s="8"/>
      <c r="H462" s="8"/>
      <c r="I462" s="12" t="str">
        <f aca="false">IF($T462,D462-N(E462),"")</f>
        <v/>
      </c>
      <c r="J462" s="12" t="str">
        <f aca="false">IF($T462,I462-N(F462),"")</f>
        <v/>
      </c>
      <c r="K462" s="13" t="str">
        <f aca="false">IF($C462="","",IF(SUMPRODUCT(--(Setup!$A$5:$A$24=$C462))&gt;0,INDEX(Setup!$B$5:$B$24,21-SUMPRODUCT(MAX((Setup!$A$5:$A$24=$C462)*(25-ROW(Setup!$A$5:$A$24))))),""))</f>
        <v/>
      </c>
      <c r="L462" s="13" t="str">
        <f aca="false">IF($T462,K462*G462/60,"")</f>
        <v/>
      </c>
      <c r="M462" s="12" t="str">
        <f aca="false">IF($T462,G462-N(H462),"")</f>
        <v/>
      </c>
      <c r="N462" s="14" t="str">
        <f aca="false">IF($T462,J462/I462,"")</f>
        <v/>
      </c>
      <c r="O462" s="14" t="str">
        <f aca="false">IF(AND($T462,N(J462)&gt;0),L462/J462,"")</f>
        <v/>
      </c>
      <c r="P462" s="14" t="str">
        <f aca="false">IF(AND($T462,N(G462)&gt;0),M462/G462,"")</f>
        <v/>
      </c>
      <c r="Q462" s="14" t="str">
        <f aca="false">IF($T462,S462/I462,"")</f>
        <v/>
      </c>
      <c r="R462" s="10" t="str">
        <f aca="false">IF($C462="","",IF(NOT(SUMPRODUCT(--(Setup!$A$5:$A$24=$C462))&gt;0),"Machine not in Setup",IF(OR(NOT(ISNUMBER(K462)),N(K462)&lt;=0),"Set an ideal cycle time in Setup",IF(NOT(ISNUMBER(A462)),"Enter a date",IF(OR(NOT(ISNUMBER(D462)),NOT(ISNUMBER(G462)),AND(E462&lt;&gt;"",NOT(ISNUMBER(E462))),AND(F462&lt;&gt;"",NOT(ISNUMBER(F462))),AND(H462&lt;&gt;"",NOT(ISNUMBER(H462)))),"Enter numbers: shift length and total parts are required",IF(OR(N(D462)&lt;=0,N(E462)&lt;0,N(F462)&lt;0,N(G462)&lt;0,N(H462)&lt;0),"Values must be 0 or more (shift length above 0)",IF(N(H462)&gt;N(G462),"Rejects &gt; total parts",IF(N(E462)&gt;=N(D462),"Planned stops &gt;= shift length",IF(N(F462)&gt;N(D462)-N(E462),"Downtime &gt; planned time",IF(AND(ISNUMBER(O462),O462&gt;1),"Check: performance above 100%","OK"))))))))))</f>
        <v/>
      </c>
      <c r="S462" s="13" t="str">
        <f aca="false">IF($T462,K462*M462/60,"")</f>
        <v/>
      </c>
      <c r="T462" s="15" t="b">
        <f aca="false">IF($C462="",FALSE(),AND(SUMPRODUCT(--(Setup!$A$5:$A$24=$C462))&gt;0,ISNUMBER(A462),ISNUMBER(K462),N(K462)&gt;0,ISNUMBER(D462),N(D462)&gt;0,ISNUMBER(G462),N(G462)&gt;=0,OR(E462="",ISNUMBER(E462)),OR(F462="",ISNUMBER(F462)),OR(H462="",ISNUMBER(H462)),N(E462)&gt;=0,N(F462)&gt;=0,N(H462)&gt;=0,N(H462)&lt;=N(G462),N(E462)&lt;N(D462),N(F462)&lt;=N(D462)-N(E462)))</f>
        <v>0</v>
      </c>
    </row>
    <row r="463" customFormat="false" ht="15" hidden="false" customHeight="false" outlineLevel="0" collapsed="false">
      <c r="A463" s="11"/>
      <c r="B463" s="8"/>
      <c r="C463" s="8"/>
      <c r="D463" s="8"/>
      <c r="E463" s="8"/>
      <c r="F463" s="8"/>
      <c r="G463" s="8"/>
      <c r="H463" s="8"/>
      <c r="I463" s="12" t="str">
        <f aca="false">IF($T463,D463-N(E463),"")</f>
        <v/>
      </c>
      <c r="J463" s="12" t="str">
        <f aca="false">IF($T463,I463-N(F463),"")</f>
        <v/>
      </c>
      <c r="K463" s="13" t="str">
        <f aca="false">IF($C463="","",IF(SUMPRODUCT(--(Setup!$A$5:$A$24=$C463))&gt;0,INDEX(Setup!$B$5:$B$24,21-SUMPRODUCT(MAX((Setup!$A$5:$A$24=$C463)*(25-ROW(Setup!$A$5:$A$24))))),""))</f>
        <v/>
      </c>
      <c r="L463" s="13" t="str">
        <f aca="false">IF($T463,K463*G463/60,"")</f>
        <v/>
      </c>
      <c r="M463" s="12" t="str">
        <f aca="false">IF($T463,G463-N(H463),"")</f>
        <v/>
      </c>
      <c r="N463" s="14" t="str">
        <f aca="false">IF($T463,J463/I463,"")</f>
        <v/>
      </c>
      <c r="O463" s="14" t="str">
        <f aca="false">IF(AND($T463,N(J463)&gt;0),L463/J463,"")</f>
        <v/>
      </c>
      <c r="P463" s="14" t="str">
        <f aca="false">IF(AND($T463,N(G463)&gt;0),M463/G463,"")</f>
        <v/>
      </c>
      <c r="Q463" s="14" t="str">
        <f aca="false">IF($T463,S463/I463,"")</f>
        <v/>
      </c>
      <c r="R463" s="10" t="str">
        <f aca="false">IF($C463="","",IF(NOT(SUMPRODUCT(--(Setup!$A$5:$A$24=$C463))&gt;0),"Machine not in Setup",IF(OR(NOT(ISNUMBER(K463)),N(K463)&lt;=0),"Set an ideal cycle time in Setup",IF(NOT(ISNUMBER(A463)),"Enter a date",IF(OR(NOT(ISNUMBER(D463)),NOT(ISNUMBER(G463)),AND(E463&lt;&gt;"",NOT(ISNUMBER(E463))),AND(F463&lt;&gt;"",NOT(ISNUMBER(F463))),AND(H463&lt;&gt;"",NOT(ISNUMBER(H463)))),"Enter numbers: shift length and total parts are required",IF(OR(N(D463)&lt;=0,N(E463)&lt;0,N(F463)&lt;0,N(G463)&lt;0,N(H463)&lt;0),"Values must be 0 or more (shift length above 0)",IF(N(H463)&gt;N(G463),"Rejects &gt; total parts",IF(N(E463)&gt;=N(D463),"Planned stops &gt;= shift length",IF(N(F463)&gt;N(D463)-N(E463),"Downtime &gt; planned time",IF(AND(ISNUMBER(O463),O463&gt;1),"Check: performance above 100%","OK"))))))))))</f>
        <v/>
      </c>
      <c r="S463" s="13" t="str">
        <f aca="false">IF($T463,K463*M463/60,"")</f>
        <v/>
      </c>
      <c r="T463" s="15" t="b">
        <f aca="false">IF($C463="",FALSE(),AND(SUMPRODUCT(--(Setup!$A$5:$A$24=$C463))&gt;0,ISNUMBER(A463),ISNUMBER(K463),N(K463)&gt;0,ISNUMBER(D463),N(D463)&gt;0,ISNUMBER(G463),N(G463)&gt;=0,OR(E463="",ISNUMBER(E463)),OR(F463="",ISNUMBER(F463)),OR(H463="",ISNUMBER(H463)),N(E463)&gt;=0,N(F463)&gt;=0,N(H463)&gt;=0,N(H463)&lt;=N(G463),N(E463)&lt;N(D463),N(F463)&lt;=N(D463)-N(E463)))</f>
        <v>0</v>
      </c>
    </row>
    <row r="464" customFormat="false" ht="15" hidden="false" customHeight="false" outlineLevel="0" collapsed="false">
      <c r="A464" s="11"/>
      <c r="B464" s="8"/>
      <c r="C464" s="8"/>
      <c r="D464" s="8"/>
      <c r="E464" s="8"/>
      <c r="F464" s="8"/>
      <c r="G464" s="8"/>
      <c r="H464" s="8"/>
      <c r="I464" s="12" t="str">
        <f aca="false">IF($T464,D464-N(E464),"")</f>
        <v/>
      </c>
      <c r="J464" s="12" t="str">
        <f aca="false">IF($T464,I464-N(F464),"")</f>
        <v/>
      </c>
      <c r="K464" s="13" t="str">
        <f aca="false">IF($C464="","",IF(SUMPRODUCT(--(Setup!$A$5:$A$24=$C464))&gt;0,INDEX(Setup!$B$5:$B$24,21-SUMPRODUCT(MAX((Setup!$A$5:$A$24=$C464)*(25-ROW(Setup!$A$5:$A$24))))),""))</f>
        <v/>
      </c>
      <c r="L464" s="13" t="str">
        <f aca="false">IF($T464,K464*G464/60,"")</f>
        <v/>
      </c>
      <c r="M464" s="12" t="str">
        <f aca="false">IF($T464,G464-N(H464),"")</f>
        <v/>
      </c>
      <c r="N464" s="14" t="str">
        <f aca="false">IF($T464,J464/I464,"")</f>
        <v/>
      </c>
      <c r="O464" s="14" t="str">
        <f aca="false">IF(AND($T464,N(J464)&gt;0),L464/J464,"")</f>
        <v/>
      </c>
      <c r="P464" s="14" t="str">
        <f aca="false">IF(AND($T464,N(G464)&gt;0),M464/G464,"")</f>
        <v/>
      </c>
      <c r="Q464" s="14" t="str">
        <f aca="false">IF($T464,S464/I464,"")</f>
        <v/>
      </c>
      <c r="R464" s="10" t="str">
        <f aca="false">IF($C464="","",IF(NOT(SUMPRODUCT(--(Setup!$A$5:$A$24=$C464))&gt;0),"Machine not in Setup",IF(OR(NOT(ISNUMBER(K464)),N(K464)&lt;=0),"Set an ideal cycle time in Setup",IF(NOT(ISNUMBER(A464)),"Enter a date",IF(OR(NOT(ISNUMBER(D464)),NOT(ISNUMBER(G464)),AND(E464&lt;&gt;"",NOT(ISNUMBER(E464))),AND(F464&lt;&gt;"",NOT(ISNUMBER(F464))),AND(H464&lt;&gt;"",NOT(ISNUMBER(H464)))),"Enter numbers: shift length and total parts are required",IF(OR(N(D464)&lt;=0,N(E464)&lt;0,N(F464)&lt;0,N(G464)&lt;0,N(H464)&lt;0),"Values must be 0 or more (shift length above 0)",IF(N(H464)&gt;N(G464),"Rejects &gt; total parts",IF(N(E464)&gt;=N(D464),"Planned stops &gt;= shift length",IF(N(F464)&gt;N(D464)-N(E464),"Downtime &gt; planned time",IF(AND(ISNUMBER(O464),O464&gt;1),"Check: performance above 100%","OK"))))))))))</f>
        <v/>
      </c>
      <c r="S464" s="13" t="str">
        <f aca="false">IF($T464,K464*M464/60,"")</f>
        <v/>
      </c>
      <c r="T464" s="15" t="b">
        <f aca="false">IF($C464="",FALSE(),AND(SUMPRODUCT(--(Setup!$A$5:$A$24=$C464))&gt;0,ISNUMBER(A464),ISNUMBER(K464),N(K464)&gt;0,ISNUMBER(D464),N(D464)&gt;0,ISNUMBER(G464),N(G464)&gt;=0,OR(E464="",ISNUMBER(E464)),OR(F464="",ISNUMBER(F464)),OR(H464="",ISNUMBER(H464)),N(E464)&gt;=0,N(F464)&gt;=0,N(H464)&gt;=0,N(H464)&lt;=N(G464),N(E464)&lt;N(D464),N(F464)&lt;=N(D464)-N(E464)))</f>
        <v>0</v>
      </c>
    </row>
    <row r="465" customFormat="false" ht="15" hidden="false" customHeight="false" outlineLevel="0" collapsed="false">
      <c r="A465" s="11"/>
      <c r="B465" s="8"/>
      <c r="C465" s="8"/>
      <c r="D465" s="8"/>
      <c r="E465" s="8"/>
      <c r="F465" s="8"/>
      <c r="G465" s="8"/>
      <c r="H465" s="8"/>
      <c r="I465" s="12" t="str">
        <f aca="false">IF($T465,D465-N(E465),"")</f>
        <v/>
      </c>
      <c r="J465" s="12" t="str">
        <f aca="false">IF($T465,I465-N(F465),"")</f>
        <v/>
      </c>
      <c r="K465" s="13" t="str">
        <f aca="false">IF($C465="","",IF(SUMPRODUCT(--(Setup!$A$5:$A$24=$C465))&gt;0,INDEX(Setup!$B$5:$B$24,21-SUMPRODUCT(MAX((Setup!$A$5:$A$24=$C465)*(25-ROW(Setup!$A$5:$A$24))))),""))</f>
        <v/>
      </c>
      <c r="L465" s="13" t="str">
        <f aca="false">IF($T465,K465*G465/60,"")</f>
        <v/>
      </c>
      <c r="M465" s="12" t="str">
        <f aca="false">IF($T465,G465-N(H465),"")</f>
        <v/>
      </c>
      <c r="N465" s="14" t="str">
        <f aca="false">IF($T465,J465/I465,"")</f>
        <v/>
      </c>
      <c r="O465" s="14" t="str">
        <f aca="false">IF(AND($T465,N(J465)&gt;0),L465/J465,"")</f>
        <v/>
      </c>
      <c r="P465" s="14" t="str">
        <f aca="false">IF(AND($T465,N(G465)&gt;0),M465/G465,"")</f>
        <v/>
      </c>
      <c r="Q465" s="14" t="str">
        <f aca="false">IF($T465,S465/I465,"")</f>
        <v/>
      </c>
      <c r="R465" s="10" t="str">
        <f aca="false">IF($C465="","",IF(NOT(SUMPRODUCT(--(Setup!$A$5:$A$24=$C465))&gt;0),"Machine not in Setup",IF(OR(NOT(ISNUMBER(K465)),N(K465)&lt;=0),"Set an ideal cycle time in Setup",IF(NOT(ISNUMBER(A465)),"Enter a date",IF(OR(NOT(ISNUMBER(D465)),NOT(ISNUMBER(G465)),AND(E465&lt;&gt;"",NOT(ISNUMBER(E465))),AND(F465&lt;&gt;"",NOT(ISNUMBER(F465))),AND(H465&lt;&gt;"",NOT(ISNUMBER(H465)))),"Enter numbers: shift length and total parts are required",IF(OR(N(D465)&lt;=0,N(E465)&lt;0,N(F465)&lt;0,N(G465)&lt;0,N(H465)&lt;0),"Values must be 0 or more (shift length above 0)",IF(N(H465)&gt;N(G465),"Rejects &gt; total parts",IF(N(E465)&gt;=N(D465),"Planned stops &gt;= shift length",IF(N(F465)&gt;N(D465)-N(E465),"Downtime &gt; planned time",IF(AND(ISNUMBER(O465),O465&gt;1),"Check: performance above 100%","OK"))))))))))</f>
        <v/>
      </c>
      <c r="S465" s="13" t="str">
        <f aca="false">IF($T465,K465*M465/60,"")</f>
        <v/>
      </c>
      <c r="T465" s="15" t="b">
        <f aca="false">IF($C465="",FALSE(),AND(SUMPRODUCT(--(Setup!$A$5:$A$24=$C465))&gt;0,ISNUMBER(A465),ISNUMBER(K465),N(K465)&gt;0,ISNUMBER(D465),N(D465)&gt;0,ISNUMBER(G465),N(G465)&gt;=0,OR(E465="",ISNUMBER(E465)),OR(F465="",ISNUMBER(F465)),OR(H465="",ISNUMBER(H465)),N(E465)&gt;=0,N(F465)&gt;=0,N(H465)&gt;=0,N(H465)&lt;=N(G465),N(E465)&lt;N(D465),N(F465)&lt;=N(D465)-N(E465)))</f>
        <v>0</v>
      </c>
    </row>
    <row r="466" customFormat="false" ht="15" hidden="false" customHeight="false" outlineLevel="0" collapsed="false">
      <c r="A466" s="11"/>
      <c r="B466" s="8"/>
      <c r="C466" s="8"/>
      <c r="D466" s="8"/>
      <c r="E466" s="8"/>
      <c r="F466" s="8"/>
      <c r="G466" s="8"/>
      <c r="H466" s="8"/>
      <c r="I466" s="12" t="str">
        <f aca="false">IF($T466,D466-N(E466),"")</f>
        <v/>
      </c>
      <c r="J466" s="12" t="str">
        <f aca="false">IF($T466,I466-N(F466),"")</f>
        <v/>
      </c>
      <c r="K466" s="13" t="str">
        <f aca="false">IF($C466="","",IF(SUMPRODUCT(--(Setup!$A$5:$A$24=$C466))&gt;0,INDEX(Setup!$B$5:$B$24,21-SUMPRODUCT(MAX((Setup!$A$5:$A$24=$C466)*(25-ROW(Setup!$A$5:$A$24))))),""))</f>
        <v/>
      </c>
      <c r="L466" s="13" t="str">
        <f aca="false">IF($T466,K466*G466/60,"")</f>
        <v/>
      </c>
      <c r="M466" s="12" t="str">
        <f aca="false">IF($T466,G466-N(H466),"")</f>
        <v/>
      </c>
      <c r="N466" s="14" t="str">
        <f aca="false">IF($T466,J466/I466,"")</f>
        <v/>
      </c>
      <c r="O466" s="14" t="str">
        <f aca="false">IF(AND($T466,N(J466)&gt;0),L466/J466,"")</f>
        <v/>
      </c>
      <c r="P466" s="14" t="str">
        <f aca="false">IF(AND($T466,N(G466)&gt;0),M466/G466,"")</f>
        <v/>
      </c>
      <c r="Q466" s="14" t="str">
        <f aca="false">IF($T466,S466/I466,"")</f>
        <v/>
      </c>
      <c r="R466" s="10" t="str">
        <f aca="false">IF($C466="","",IF(NOT(SUMPRODUCT(--(Setup!$A$5:$A$24=$C466))&gt;0),"Machine not in Setup",IF(OR(NOT(ISNUMBER(K466)),N(K466)&lt;=0),"Set an ideal cycle time in Setup",IF(NOT(ISNUMBER(A466)),"Enter a date",IF(OR(NOT(ISNUMBER(D466)),NOT(ISNUMBER(G466)),AND(E466&lt;&gt;"",NOT(ISNUMBER(E466))),AND(F466&lt;&gt;"",NOT(ISNUMBER(F466))),AND(H466&lt;&gt;"",NOT(ISNUMBER(H466)))),"Enter numbers: shift length and total parts are required",IF(OR(N(D466)&lt;=0,N(E466)&lt;0,N(F466)&lt;0,N(G466)&lt;0,N(H466)&lt;0),"Values must be 0 or more (shift length above 0)",IF(N(H466)&gt;N(G466),"Rejects &gt; total parts",IF(N(E466)&gt;=N(D466),"Planned stops &gt;= shift length",IF(N(F466)&gt;N(D466)-N(E466),"Downtime &gt; planned time",IF(AND(ISNUMBER(O466),O466&gt;1),"Check: performance above 100%","OK"))))))))))</f>
        <v/>
      </c>
      <c r="S466" s="13" t="str">
        <f aca="false">IF($T466,K466*M466/60,"")</f>
        <v/>
      </c>
      <c r="T466" s="15" t="b">
        <f aca="false">IF($C466="",FALSE(),AND(SUMPRODUCT(--(Setup!$A$5:$A$24=$C466))&gt;0,ISNUMBER(A466),ISNUMBER(K466),N(K466)&gt;0,ISNUMBER(D466),N(D466)&gt;0,ISNUMBER(G466),N(G466)&gt;=0,OR(E466="",ISNUMBER(E466)),OR(F466="",ISNUMBER(F466)),OR(H466="",ISNUMBER(H466)),N(E466)&gt;=0,N(F466)&gt;=0,N(H466)&gt;=0,N(H466)&lt;=N(G466),N(E466)&lt;N(D466),N(F466)&lt;=N(D466)-N(E466)))</f>
        <v>0</v>
      </c>
    </row>
    <row r="467" customFormat="false" ht="15" hidden="false" customHeight="false" outlineLevel="0" collapsed="false">
      <c r="A467" s="11"/>
      <c r="B467" s="8"/>
      <c r="C467" s="8"/>
      <c r="D467" s="8"/>
      <c r="E467" s="8"/>
      <c r="F467" s="8"/>
      <c r="G467" s="8"/>
      <c r="H467" s="8"/>
      <c r="I467" s="12" t="str">
        <f aca="false">IF($T467,D467-N(E467),"")</f>
        <v/>
      </c>
      <c r="J467" s="12" t="str">
        <f aca="false">IF($T467,I467-N(F467),"")</f>
        <v/>
      </c>
      <c r="K467" s="13" t="str">
        <f aca="false">IF($C467="","",IF(SUMPRODUCT(--(Setup!$A$5:$A$24=$C467))&gt;0,INDEX(Setup!$B$5:$B$24,21-SUMPRODUCT(MAX((Setup!$A$5:$A$24=$C467)*(25-ROW(Setup!$A$5:$A$24))))),""))</f>
        <v/>
      </c>
      <c r="L467" s="13" t="str">
        <f aca="false">IF($T467,K467*G467/60,"")</f>
        <v/>
      </c>
      <c r="M467" s="12" t="str">
        <f aca="false">IF($T467,G467-N(H467),"")</f>
        <v/>
      </c>
      <c r="N467" s="14" t="str">
        <f aca="false">IF($T467,J467/I467,"")</f>
        <v/>
      </c>
      <c r="O467" s="14" t="str">
        <f aca="false">IF(AND($T467,N(J467)&gt;0),L467/J467,"")</f>
        <v/>
      </c>
      <c r="P467" s="14" t="str">
        <f aca="false">IF(AND($T467,N(G467)&gt;0),M467/G467,"")</f>
        <v/>
      </c>
      <c r="Q467" s="14" t="str">
        <f aca="false">IF($T467,S467/I467,"")</f>
        <v/>
      </c>
      <c r="R467" s="10" t="str">
        <f aca="false">IF($C467="","",IF(NOT(SUMPRODUCT(--(Setup!$A$5:$A$24=$C467))&gt;0),"Machine not in Setup",IF(OR(NOT(ISNUMBER(K467)),N(K467)&lt;=0),"Set an ideal cycle time in Setup",IF(NOT(ISNUMBER(A467)),"Enter a date",IF(OR(NOT(ISNUMBER(D467)),NOT(ISNUMBER(G467)),AND(E467&lt;&gt;"",NOT(ISNUMBER(E467))),AND(F467&lt;&gt;"",NOT(ISNUMBER(F467))),AND(H467&lt;&gt;"",NOT(ISNUMBER(H467)))),"Enter numbers: shift length and total parts are required",IF(OR(N(D467)&lt;=0,N(E467)&lt;0,N(F467)&lt;0,N(G467)&lt;0,N(H467)&lt;0),"Values must be 0 or more (shift length above 0)",IF(N(H467)&gt;N(G467),"Rejects &gt; total parts",IF(N(E467)&gt;=N(D467),"Planned stops &gt;= shift length",IF(N(F467)&gt;N(D467)-N(E467),"Downtime &gt; planned time",IF(AND(ISNUMBER(O467),O467&gt;1),"Check: performance above 100%","OK"))))))))))</f>
        <v/>
      </c>
      <c r="S467" s="13" t="str">
        <f aca="false">IF($T467,K467*M467/60,"")</f>
        <v/>
      </c>
      <c r="T467" s="15" t="b">
        <f aca="false">IF($C467="",FALSE(),AND(SUMPRODUCT(--(Setup!$A$5:$A$24=$C467))&gt;0,ISNUMBER(A467),ISNUMBER(K467),N(K467)&gt;0,ISNUMBER(D467),N(D467)&gt;0,ISNUMBER(G467),N(G467)&gt;=0,OR(E467="",ISNUMBER(E467)),OR(F467="",ISNUMBER(F467)),OR(H467="",ISNUMBER(H467)),N(E467)&gt;=0,N(F467)&gt;=0,N(H467)&gt;=0,N(H467)&lt;=N(G467),N(E467)&lt;N(D467),N(F467)&lt;=N(D467)-N(E467)))</f>
        <v>0</v>
      </c>
    </row>
    <row r="468" customFormat="false" ht="15" hidden="false" customHeight="false" outlineLevel="0" collapsed="false">
      <c r="A468" s="11"/>
      <c r="B468" s="8"/>
      <c r="C468" s="8"/>
      <c r="D468" s="8"/>
      <c r="E468" s="8"/>
      <c r="F468" s="8"/>
      <c r="G468" s="8"/>
      <c r="H468" s="8"/>
      <c r="I468" s="12" t="str">
        <f aca="false">IF($T468,D468-N(E468),"")</f>
        <v/>
      </c>
      <c r="J468" s="12" t="str">
        <f aca="false">IF($T468,I468-N(F468),"")</f>
        <v/>
      </c>
      <c r="K468" s="13" t="str">
        <f aca="false">IF($C468="","",IF(SUMPRODUCT(--(Setup!$A$5:$A$24=$C468))&gt;0,INDEX(Setup!$B$5:$B$24,21-SUMPRODUCT(MAX((Setup!$A$5:$A$24=$C468)*(25-ROW(Setup!$A$5:$A$24))))),""))</f>
        <v/>
      </c>
      <c r="L468" s="13" t="str">
        <f aca="false">IF($T468,K468*G468/60,"")</f>
        <v/>
      </c>
      <c r="M468" s="12" t="str">
        <f aca="false">IF($T468,G468-N(H468),"")</f>
        <v/>
      </c>
      <c r="N468" s="14" t="str">
        <f aca="false">IF($T468,J468/I468,"")</f>
        <v/>
      </c>
      <c r="O468" s="14" t="str">
        <f aca="false">IF(AND($T468,N(J468)&gt;0),L468/J468,"")</f>
        <v/>
      </c>
      <c r="P468" s="14" t="str">
        <f aca="false">IF(AND($T468,N(G468)&gt;0),M468/G468,"")</f>
        <v/>
      </c>
      <c r="Q468" s="14" t="str">
        <f aca="false">IF($T468,S468/I468,"")</f>
        <v/>
      </c>
      <c r="R468" s="10" t="str">
        <f aca="false">IF($C468="","",IF(NOT(SUMPRODUCT(--(Setup!$A$5:$A$24=$C468))&gt;0),"Machine not in Setup",IF(OR(NOT(ISNUMBER(K468)),N(K468)&lt;=0),"Set an ideal cycle time in Setup",IF(NOT(ISNUMBER(A468)),"Enter a date",IF(OR(NOT(ISNUMBER(D468)),NOT(ISNUMBER(G468)),AND(E468&lt;&gt;"",NOT(ISNUMBER(E468))),AND(F468&lt;&gt;"",NOT(ISNUMBER(F468))),AND(H468&lt;&gt;"",NOT(ISNUMBER(H468)))),"Enter numbers: shift length and total parts are required",IF(OR(N(D468)&lt;=0,N(E468)&lt;0,N(F468)&lt;0,N(G468)&lt;0,N(H468)&lt;0),"Values must be 0 or more (shift length above 0)",IF(N(H468)&gt;N(G468),"Rejects &gt; total parts",IF(N(E468)&gt;=N(D468),"Planned stops &gt;= shift length",IF(N(F468)&gt;N(D468)-N(E468),"Downtime &gt; planned time",IF(AND(ISNUMBER(O468),O468&gt;1),"Check: performance above 100%","OK"))))))))))</f>
        <v/>
      </c>
      <c r="S468" s="13" t="str">
        <f aca="false">IF($T468,K468*M468/60,"")</f>
        <v/>
      </c>
      <c r="T468" s="15" t="b">
        <f aca="false">IF($C468="",FALSE(),AND(SUMPRODUCT(--(Setup!$A$5:$A$24=$C468))&gt;0,ISNUMBER(A468),ISNUMBER(K468),N(K468)&gt;0,ISNUMBER(D468),N(D468)&gt;0,ISNUMBER(G468),N(G468)&gt;=0,OR(E468="",ISNUMBER(E468)),OR(F468="",ISNUMBER(F468)),OR(H468="",ISNUMBER(H468)),N(E468)&gt;=0,N(F468)&gt;=0,N(H468)&gt;=0,N(H468)&lt;=N(G468),N(E468)&lt;N(D468),N(F468)&lt;=N(D468)-N(E468)))</f>
        <v>0</v>
      </c>
    </row>
    <row r="469" customFormat="false" ht="15" hidden="false" customHeight="false" outlineLevel="0" collapsed="false">
      <c r="A469" s="11"/>
      <c r="B469" s="8"/>
      <c r="C469" s="8"/>
      <c r="D469" s="8"/>
      <c r="E469" s="8"/>
      <c r="F469" s="8"/>
      <c r="G469" s="8"/>
      <c r="H469" s="8"/>
      <c r="I469" s="12" t="str">
        <f aca="false">IF($T469,D469-N(E469),"")</f>
        <v/>
      </c>
      <c r="J469" s="12" t="str">
        <f aca="false">IF($T469,I469-N(F469),"")</f>
        <v/>
      </c>
      <c r="K469" s="13" t="str">
        <f aca="false">IF($C469="","",IF(SUMPRODUCT(--(Setup!$A$5:$A$24=$C469))&gt;0,INDEX(Setup!$B$5:$B$24,21-SUMPRODUCT(MAX((Setup!$A$5:$A$24=$C469)*(25-ROW(Setup!$A$5:$A$24))))),""))</f>
        <v/>
      </c>
      <c r="L469" s="13" t="str">
        <f aca="false">IF($T469,K469*G469/60,"")</f>
        <v/>
      </c>
      <c r="M469" s="12" t="str">
        <f aca="false">IF($T469,G469-N(H469),"")</f>
        <v/>
      </c>
      <c r="N469" s="14" t="str">
        <f aca="false">IF($T469,J469/I469,"")</f>
        <v/>
      </c>
      <c r="O469" s="14" t="str">
        <f aca="false">IF(AND($T469,N(J469)&gt;0),L469/J469,"")</f>
        <v/>
      </c>
      <c r="P469" s="14" t="str">
        <f aca="false">IF(AND($T469,N(G469)&gt;0),M469/G469,"")</f>
        <v/>
      </c>
      <c r="Q469" s="14" t="str">
        <f aca="false">IF($T469,S469/I469,"")</f>
        <v/>
      </c>
      <c r="R469" s="10" t="str">
        <f aca="false">IF($C469="","",IF(NOT(SUMPRODUCT(--(Setup!$A$5:$A$24=$C469))&gt;0),"Machine not in Setup",IF(OR(NOT(ISNUMBER(K469)),N(K469)&lt;=0),"Set an ideal cycle time in Setup",IF(NOT(ISNUMBER(A469)),"Enter a date",IF(OR(NOT(ISNUMBER(D469)),NOT(ISNUMBER(G469)),AND(E469&lt;&gt;"",NOT(ISNUMBER(E469))),AND(F469&lt;&gt;"",NOT(ISNUMBER(F469))),AND(H469&lt;&gt;"",NOT(ISNUMBER(H469)))),"Enter numbers: shift length and total parts are required",IF(OR(N(D469)&lt;=0,N(E469)&lt;0,N(F469)&lt;0,N(G469)&lt;0,N(H469)&lt;0),"Values must be 0 or more (shift length above 0)",IF(N(H469)&gt;N(G469),"Rejects &gt; total parts",IF(N(E469)&gt;=N(D469),"Planned stops &gt;= shift length",IF(N(F469)&gt;N(D469)-N(E469),"Downtime &gt; planned time",IF(AND(ISNUMBER(O469),O469&gt;1),"Check: performance above 100%","OK"))))))))))</f>
        <v/>
      </c>
      <c r="S469" s="13" t="str">
        <f aca="false">IF($T469,K469*M469/60,"")</f>
        <v/>
      </c>
      <c r="T469" s="15" t="b">
        <f aca="false">IF($C469="",FALSE(),AND(SUMPRODUCT(--(Setup!$A$5:$A$24=$C469))&gt;0,ISNUMBER(A469),ISNUMBER(K469),N(K469)&gt;0,ISNUMBER(D469),N(D469)&gt;0,ISNUMBER(G469),N(G469)&gt;=0,OR(E469="",ISNUMBER(E469)),OR(F469="",ISNUMBER(F469)),OR(H469="",ISNUMBER(H469)),N(E469)&gt;=0,N(F469)&gt;=0,N(H469)&gt;=0,N(H469)&lt;=N(G469),N(E469)&lt;N(D469),N(F469)&lt;=N(D469)-N(E469)))</f>
        <v>0</v>
      </c>
    </row>
    <row r="470" customFormat="false" ht="15" hidden="false" customHeight="false" outlineLevel="0" collapsed="false">
      <c r="A470" s="11"/>
      <c r="B470" s="8"/>
      <c r="C470" s="8"/>
      <c r="D470" s="8"/>
      <c r="E470" s="8"/>
      <c r="F470" s="8"/>
      <c r="G470" s="8"/>
      <c r="H470" s="8"/>
      <c r="I470" s="12" t="str">
        <f aca="false">IF($T470,D470-N(E470),"")</f>
        <v/>
      </c>
      <c r="J470" s="12" t="str">
        <f aca="false">IF($T470,I470-N(F470),"")</f>
        <v/>
      </c>
      <c r="K470" s="13" t="str">
        <f aca="false">IF($C470="","",IF(SUMPRODUCT(--(Setup!$A$5:$A$24=$C470))&gt;0,INDEX(Setup!$B$5:$B$24,21-SUMPRODUCT(MAX((Setup!$A$5:$A$24=$C470)*(25-ROW(Setup!$A$5:$A$24))))),""))</f>
        <v/>
      </c>
      <c r="L470" s="13" t="str">
        <f aca="false">IF($T470,K470*G470/60,"")</f>
        <v/>
      </c>
      <c r="M470" s="12" t="str">
        <f aca="false">IF($T470,G470-N(H470),"")</f>
        <v/>
      </c>
      <c r="N470" s="14" t="str">
        <f aca="false">IF($T470,J470/I470,"")</f>
        <v/>
      </c>
      <c r="O470" s="14" t="str">
        <f aca="false">IF(AND($T470,N(J470)&gt;0),L470/J470,"")</f>
        <v/>
      </c>
      <c r="P470" s="14" t="str">
        <f aca="false">IF(AND($T470,N(G470)&gt;0),M470/G470,"")</f>
        <v/>
      </c>
      <c r="Q470" s="14" t="str">
        <f aca="false">IF($T470,S470/I470,"")</f>
        <v/>
      </c>
      <c r="R470" s="10" t="str">
        <f aca="false">IF($C470="","",IF(NOT(SUMPRODUCT(--(Setup!$A$5:$A$24=$C470))&gt;0),"Machine not in Setup",IF(OR(NOT(ISNUMBER(K470)),N(K470)&lt;=0),"Set an ideal cycle time in Setup",IF(NOT(ISNUMBER(A470)),"Enter a date",IF(OR(NOT(ISNUMBER(D470)),NOT(ISNUMBER(G470)),AND(E470&lt;&gt;"",NOT(ISNUMBER(E470))),AND(F470&lt;&gt;"",NOT(ISNUMBER(F470))),AND(H470&lt;&gt;"",NOT(ISNUMBER(H470)))),"Enter numbers: shift length and total parts are required",IF(OR(N(D470)&lt;=0,N(E470)&lt;0,N(F470)&lt;0,N(G470)&lt;0,N(H470)&lt;0),"Values must be 0 or more (shift length above 0)",IF(N(H470)&gt;N(G470),"Rejects &gt; total parts",IF(N(E470)&gt;=N(D470),"Planned stops &gt;= shift length",IF(N(F470)&gt;N(D470)-N(E470),"Downtime &gt; planned time",IF(AND(ISNUMBER(O470),O470&gt;1),"Check: performance above 100%","OK"))))))))))</f>
        <v/>
      </c>
      <c r="S470" s="13" t="str">
        <f aca="false">IF($T470,K470*M470/60,"")</f>
        <v/>
      </c>
      <c r="T470" s="15" t="b">
        <f aca="false">IF($C470="",FALSE(),AND(SUMPRODUCT(--(Setup!$A$5:$A$24=$C470))&gt;0,ISNUMBER(A470),ISNUMBER(K470),N(K470)&gt;0,ISNUMBER(D470),N(D470)&gt;0,ISNUMBER(G470),N(G470)&gt;=0,OR(E470="",ISNUMBER(E470)),OR(F470="",ISNUMBER(F470)),OR(H470="",ISNUMBER(H470)),N(E470)&gt;=0,N(F470)&gt;=0,N(H470)&gt;=0,N(H470)&lt;=N(G470),N(E470)&lt;N(D470),N(F470)&lt;=N(D470)-N(E470)))</f>
        <v>0</v>
      </c>
    </row>
    <row r="471" customFormat="false" ht="15" hidden="false" customHeight="false" outlineLevel="0" collapsed="false">
      <c r="A471" s="11"/>
      <c r="B471" s="8"/>
      <c r="C471" s="8"/>
      <c r="D471" s="8"/>
      <c r="E471" s="8"/>
      <c r="F471" s="8"/>
      <c r="G471" s="8"/>
      <c r="H471" s="8"/>
      <c r="I471" s="12" t="str">
        <f aca="false">IF($T471,D471-N(E471),"")</f>
        <v/>
      </c>
      <c r="J471" s="12" t="str">
        <f aca="false">IF($T471,I471-N(F471),"")</f>
        <v/>
      </c>
      <c r="K471" s="13" t="str">
        <f aca="false">IF($C471="","",IF(SUMPRODUCT(--(Setup!$A$5:$A$24=$C471))&gt;0,INDEX(Setup!$B$5:$B$24,21-SUMPRODUCT(MAX((Setup!$A$5:$A$24=$C471)*(25-ROW(Setup!$A$5:$A$24))))),""))</f>
        <v/>
      </c>
      <c r="L471" s="13" t="str">
        <f aca="false">IF($T471,K471*G471/60,"")</f>
        <v/>
      </c>
      <c r="M471" s="12" t="str">
        <f aca="false">IF($T471,G471-N(H471),"")</f>
        <v/>
      </c>
      <c r="N471" s="14" t="str">
        <f aca="false">IF($T471,J471/I471,"")</f>
        <v/>
      </c>
      <c r="O471" s="14" t="str">
        <f aca="false">IF(AND($T471,N(J471)&gt;0),L471/J471,"")</f>
        <v/>
      </c>
      <c r="P471" s="14" t="str">
        <f aca="false">IF(AND($T471,N(G471)&gt;0),M471/G471,"")</f>
        <v/>
      </c>
      <c r="Q471" s="14" t="str">
        <f aca="false">IF($T471,S471/I471,"")</f>
        <v/>
      </c>
      <c r="R471" s="10" t="str">
        <f aca="false">IF($C471="","",IF(NOT(SUMPRODUCT(--(Setup!$A$5:$A$24=$C471))&gt;0),"Machine not in Setup",IF(OR(NOT(ISNUMBER(K471)),N(K471)&lt;=0),"Set an ideal cycle time in Setup",IF(NOT(ISNUMBER(A471)),"Enter a date",IF(OR(NOT(ISNUMBER(D471)),NOT(ISNUMBER(G471)),AND(E471&lt;&gt;"",NOT(ISNUMBER(E471))),AND(F471&lt;&gt;"",NOT(ISNUMBER(F471))),AND(H471&lt;&gt;"",NOT(ISNUMBER(H471)))),"Enter numbers: shift length and total parts are required",IF(OR(N(D471)&lt;=0,N(E471)&lt;0,N(F471)&lt;0,N(G471)&lt;0,N(H471)&lt;0),"Values must be 0 or more (shift length above 0)",IF(N(H471)&gt;N(G471),"Rejects &gt; total parts",IF(N(E471)&gt;=N(D471),"Planned stops &gt;= shift length",IF(N(F471)&gt;N(D471)-N(E471),"Downtime &gt; planned time",IF(AND(ISNUMBER(O471),O471&gt;1),"Check: performance above 100%","OK"))))))))))</f>
        <v/>
      </c>
      <c r="S471" s="13" t="str">
        <f aca="false">IF($T471,K471*M471/60,"")</f>
        <v/>
      </c>
      <c r="T471" s="15" t="b">
        <f aca="false">IF($C471="",FALSE(),AND(SUMPRODUCT(--(Setup!$A$5:$A$24=$C471))&gt;0,ISNUMBER(A471),ISNUMBER(K471),N(K471)&gt;0,ISNUMBER(D471),N(D471)&gt;0,ISNUMBER(G471),N(G471)&gt;=0,OR(E471="",ISNUMBER(E471)),OR(F471="",ISNUMBER(F471)),OR(H471="",ISNUMBER(H471)),N(E471)&gt;=0,N(F471)&gt;=0,N(H471)&gt;=0,N(H471)&lt;=N(G471),N(E471)&lt;N(D471),N(F471)&lt;=N(D471)-N(E471)))</f>
        <v>0</v>
      </c>
    </row>
    <row r="472" customFormat="false" ht="15" hidden="false" customHeight="false" outlineLevel="0" collapsed="false">
      <c r="A472" s="11"/>
      <c r="B472" s="8"/>
      <c r="C472" s="8"/>
      <c r="D472" s="8"/>
      <c r="E472" s="8"/>
      <c r="F472" s="8"/>
      <c r="G472" s="8"/>
      <c r="H472" s="8"/>
      <c r="I472" s="12" t="str">
        <f aca="false">IF($T472,D472-N(E472),"")</f>
        <v/>
      </c>
      <c r="J472" s="12" t="str">
        <f aca="false">IF($T472,I472-N(F472),"")</f>
        <v/>
      </c>
      <c r="K472" s="13" t="str">
        <f aca="false">IF($C472="","",IF(SUMPRODUCT(--(Setup!$A$5:$A$24=$C472))&gt;0,INDEX(Setup!$B$5:$B$24,21-SUMPRODUCT(MAX((Setup!$A$5:$A$24=$C472)*(25-ROW(Setup!$A$5:$A$24))))),""))</f>
        <v/>
      </c>
      <c r="L472" s="13" t="str">
        <f aca="false">IF($T472,K472*G472/60,"")</f>
        <v/>
      </c>
      <c r="M472" s="12" t="str">
        <f aca="false">IF($T472,G472-N(H472),"")</f>
        <v/>
      </c>
      <c r="N472" s="14" t="str">
        <f aca="false">IF($T472,J472/I472,"")</f>
        <v/>
      </c>
      <c r="O472" s="14" t="str">
        <f aca="false">IF(AND($T472,N(J472)&gt;0),L472/J472,"")</f>
        <v/>
      </c>
      <c r="P472" s="14" t="str">
        <f aca="false">IF(AND($T472,N(G472)&gt;0),M472/G472,"")</f>
        <v/>
      </c>
      <c r="Q472" s="14" t="str">
        <f aca="false">IF($T472,S472/I472,"")</f>
        <v/>
      </c>
      <c r="R472" s="10" t="str">
        <f aca="false">IF($C472="","",IF(NOT(SUMPRODUCT(--(Setup!$A$5:$A$24=$C472))&gt;0),"Machine not in Setup",IF(OR(NOT(ISNUMBER(K472)),N(K472)&lt;=0),"Set an ideal cycle time in Setup",IF(NOT(ISNUMBER(A472)),"Enter a date",IF(OR(NOT(ISNUMBER(D472)),NOT(ISNUMBER(G472)),AND(E472&lt;&gt;"",NOT(ISNUMBER(E472))),AND(F472&lt;&gt;"",NOT(ISNUMBER(F472))),AND(H472&lt;&gt;"",NOT(ISNUMBER(H472)))),"Enter numbers: shift length and total parts are required",IF(OR(N(D472)&lt;=0,N(E472)&lt;0,N(F472)&lt;0,N(G472)&lt;0,N(H472)&lt;0),"Values must be 0 or more (shift length above 0)",IF(N(H472)&gt;N(G472),"Rejects &gt; total parts",IF(N(E472)&gt;=N(D472),"Planned stops &gt;= shift length",IF(N(F472)&gt;N(D472)-N(E472),"Downtime &gt; planned time",IF(AND(ISNUMBER(O472),O472&gt;1),"Check: performance above 100%","OK"))))))))))</f>
        <v/>
      </c>
      <c r="S472" s="13" t="str">
        <f aca="false">IF($T472,K472*M472/60,"")</f>
        <v/>
      </c>
      <c r="T472" s="15" t="b">
        <f aca="false">IF($C472="",FALSE(),AND(SUMPRODUCT(--(Setup!$A$5:$A$24=$C472))&gt;0,ISNUMBER(A472),ISNUMBER(K472),N(K472)&gt;0,ISNUMBER(D472),N(D472)&gt;0,ISNUMBER(G472),N(G472)&gt;=0,OR(E472="",ISNUMBER(E472)),OR(F472="",ISNUMBER(F472)),OR(H472="",ISNUMBER(H472)),N(E472)&gt;=0,N(F472)&gt;=0,N(H472)&gt;=0,N(H472)&lt;=N(G472),N(E472)&lt;N(D472),N(F472)&lt;=N(D472)-N(E472)))</f>
        <v>0</v>
      </c>
    </row>
    <row r="473" customFormat="false" ht="15" hidden="false" customHeight="false" outlineLevel="0" collapsed="false">
      <c r="A473" s="11"/>
      <c r="B473" s="8"/>
      <c r="C473" s="8"/>
      <c r="D473" s="8"/>
      <c r="E473" s="8"/>
      <c r="F473" s="8"/>
      <c r="G473" s="8"/>
      <c r="H473" s="8"/>
      <c r="I473" s="12" t="str">
        <f aca="false">IF($T473,D473-N(E473),"")</f>
        <v/>
      </c>
      <c r="J473" s="12" t="str">
        <f aca="false">IF($T473,I473-N(F473),"")</f>
        <v/>
      </c>
      <c r="K473" s="13" t="str">
        <f aca="false">IF($C473="","",IF(SUMPRODUCT(--(Setup!$A$5:$A$24=$C473))&gt;0,INDEX(Setup!$B$5:$B$24,21-SUMPRODUCT(MAX((Setup!$A$5:$A$24=$C473)*(25-ROW(Setup!$A$5:$A$24))))),""))</f>
        <v/>
      </c>
      <c r="L473" s="13" t="str">
        <f aca="false">IF($T473,K473*G473/60,"")</f>
        <v/>
      </c>
      <c r="M473" s="12" t="str">
        <f aca="false">IF($T473,G473-N(H473),"")</f>
        <v/>
      </c>
      <c r="N473" s="14" t="str">
        <f aca="false">IF($T473,J473/I473,"")</f>
        <v/>
      </c>
      <c r="O473" s="14" t="str">
        <f aca="false">IF(AND($T473,N(J473)&gt;0),L473/J473,"")</f>
        <v/>
      </c>
      <c r="P473" s="14" t="str">
        <f aca="false">IF(AND($T473,N(G473)&gt;0),M473/G473,"")</f>
        <v/>
      </c>
      <c r="Q473" s="14" t="str">
        <f aca="false">IF($T473,S473/I473,"")</f>
        <v/>
      </c>
      <c r="R473" s="10" t="str">
        <f aca="false">IF($C473="","",IF(NOT(SUMPRODUCT(--(Setup!$A$5:$A$24=$C473))&gt;0),"Machine not in Setup",IF(OR(NOT(ISNUMBER(K473)),N(K473)&lt;=0),"Set an ideal cycle time in Setup",IF(NOT(ISNUMBER(A473)),"Enter a date",IF(OR(NOT(ISNUMBER(D473)),NOT(ISNUMBER(G473)),AND(E473&lt;&gt;"",NOT(ISNUMBER(E473))),AND(F473&lt;&gt;"",NOT(ISNUMBER(F473))),AND(H473&lt;&gt;"",NOT(ISNUMBER(H473)))),"Enter numbers: shift length and total parts are required",IF(OR(N(D473)&lt;=0,N(E473)&lt;0,N(F473)&lt;0,N(G473)&lt;0,N(H473)&lt;0),"Values must be 0 or more (shift length above 0)",IF(N(H473)&gt;N(G473),"Rejects &gt; total parts",IF(N(E473)&gt;=N(D473),"Planned stops &gt;= shift length",IF(N(F473)&gt;N(D473)-N(E473),"Downtime &gt; planned time",IF(AND(ISNUMBER(O473),O473&gt;1),"Check: performance above 100%","OK"))))))))))</f>
        <v/>
      </c>
      <c r="S473" s="13" t="str">
        <f aca="false">IF($T473,K473*M473/60,"")</f>
        <v/>
      </c>
      <c r="T473" s="15" t="b">
        <f aca="false">IF($C473="",FALSE(),AND(SUMPRODUCT(--(Setup!$A$5:$A$24=$C473))&gt;0,ISNUMBER(A473),ISNUMBER(K473),N(K473)&gt;0,ISNUMBER(D473),N(D473)&gt;0,ISNUMBER(G473),N(G473)&gt;=0,OR(E473="",ISNUMBER(E473)),OR(F473="",ISNUMBER(F473)),OR(H473="",ISNUMBER(H473)),N(E473)&gt;=0,N(F473)&gt;=0,N(H473)&gt;=0,N(H473)&lt;=N(G473),N(E473)&lt;N(D473),N(F473)&lt;=N(D473)-N(E473)))</f>
        <v>0</v>
      </c>
    </row>
    <row r="474" customFormat="false" ht="15" hidden="false" customHeight="false" outlineLevel="0" collapsed="false">
      <c r="A474" s="11"/>
      <c r="B474" s="8"/>
      <c r="C474" s="8"/>
      <c r="D474" s="8"/>
      <c r="E474" s="8"/>
      <c r="F474" s="8"/>
      <c r="G474" s="8"/>
      <c r="H474" s="8"/>
      <c r="I474" s="12" t="str">
        <f aca="false">IF($T474,D474-N(E474),"")</f>
        <v/>
      </c>
      <c r="J474" s="12" t="str">
        <f aca="false">IF($T474,I474-N(F474),"")</f>
        <v/>
      </c>
      <c r="K474" s="13" t="str">
        <f aca="false">IF($C474="","",IF(SUMPRODUCT(--(Setup!$A$5:$A$24=$C474))&gt;0,INDEX(Setup!$B$5:$B$24,21-SUMPRODUCT(MAX((Setup!$A$5:$A$24=$C474)*(25-ROW(Setup!$A$5:$A$24))))),""))</f>
        <v/>
      </c>
      <c r="L474" s="13" t="str">
        <f aca="false">IF($T474,K474*G474/60,"")</f>
        <v/>
      </c>
      <c r="M474" s="12" t="str">
        <f aca="false">IF($T474,G474-N(H474),"")</f>
        <v/>
      </c>
      <c r="N474" s="14" t="str">
        <f aca="false">IF($T474,J474/I474,"")</f>
        <v/>
      </c>
      <c r="O474" s="14" t="str">
        <f aca="false">IF(AND($T474,N(J474)&gt;0),L474/J474,"")</f>
        <v/>
      </c>
      <c r="P474" s="14" t="str">
        <f aca="false">IF(AND($T474,N(G474)&gt;0),M474/G474,"")</f>
        <v/>
      </c>
      <c r="Q474" s="14" t="str">
        <f aca="false">IF($T474,S474/I474,"")</f>
        <v/>
      </c>
      <c r="R474" s="10" t="str">
        <f aca="false">IF($C474="","",IF(NOT(SUMPRODUCT(--(Setup!$A$5:$A$24=$C474))&gt;0),"Machine not in Setup",IF(OR(NOT(ISNUMBER(K474)),N(K474)&lt;=0),"Set an ideal cycle time in Setup",IF(NOT(ISNUMBER(A474)),"Enter a date",IF(OR(NOT(ISNUMBER(D474)),NOT(ISNUMBER(G474)),AND(E474&lt;&gt;"",NOT(ISNUMBER(E474))),AND(F474&lt;&gt;"",NOT(ISNUMBER(F474))),AND(H474&lt;&gt;"",NOT(ISNUMBER(H474)))),"Enter numbers: shift length and total parts are required",IF(OR(N(D474)&lt;=0,N(E474)&lt;0,N(F474)&lt;0,N(G474)&lt;0,N(H474)&lt;0),"Values must be 0 or more (shift length above 0)",IF(N(H474)&gt;N(G474),"Rejects &gt; total parts",IF(N(E474)&gt;=N(D474),"Planned stops &gt;= shift length",IF(N(F474)&gt;N(D474)-N(E474),"Downtime &gt; planned time",IF(AND(ISNUMBER(O474),O474&gt;1),"Check: performance above 100%","OK"))))))))))</f>
        <v/>
      </c>
      <c r="S474" s="13" t="str">
        <f aca="false">IF($T474,K474*M474/60,"")</f>
        <v/>
      </c>
      <c r="T474" s="15" t="b">
        <f aca="false">IF($C474="",FALSE(),AND(SUMPRODUCT(--(Setup!$A$5:$A$24=$C474))&gt;0,ISNUMBER(A474),ISNUMBER(K474),N(K474)&gt;0,ISNUMBER(D474),N(D474)&gt;0,ISNUMBER(G474),N(G474)&gt;=0,OR(E474="",ISNUMBER(E474)),OR(F474="",ISNUMBER(F474)),OR(H474="",ISNUMBER(H474)),N(E474)&gt;=0,N(F474)&gt;=0,N(H474)&gt;=0,N(H474)&lt;=N(G474),N(E474)&lt;N(D474),N(F474)&lt;=N(D474)-N(E474)))</f>
        <v>0</v>
      </c>
    </row>
    <row r="475" customFormat="false" ht="15" hidden="false" customHeight="false" outlineLevel="0" collapsed="false">
      <c r="A475" s="11"/>
      <c r="B475" s="8"/>
      <c r="C475" s="8"/>
      <c r="D475" s="8"/>
      <c r="E475" s="8"/>
      <c r="F475" s="8"/>
      <c r="G475" s="8"/>
      <c r="H475" s="8"/>
      <c r="I475" s="12" t="str">
        <f aca="false">IF($T475,D475-N(E475),"")</f>
        <v/>
      </c>
      <c r="J475" s="12" t="str">
        <f aca="false">IF($T475,I475-N(F475),"")</f>
        <v/>
      </c>
      <c r="K475" s="13" t="str">
        <f aca="false">IF($C475="","",IF(SUMPRODUCT(--(Setup!$A$5:$A$24=$C475))&gt;0,INDEX(Setup!$B$5:$B$24,21-SUMPRODUCT(MAX((Setup!$A$5:$A$24=$C475)*(25-ROW(Setup!$A$5:$A$24))))),""))</f>
        <v/>
      </c>
      <c r="L475" s="13" t="str">
        <f aca="false">IF($T475,K475*G475/60,"")</f>
        <v/>
      </c>
      <c r="M475" s="12" t="str">
        <f aca="false">IF($T475,G475-N(H475),"")</f>
        <v/>
      </c>
      <c r="N475" s="14" t="str">
        <f aca="false">IF($T475,J475/I475,"")</f>
        <v/>
      </c>
      <c r="O475" s="14" t="str">
        <f aca="false">IF(AND($T475,N(J475)&gt;0),L475/J475,"")</f>
        <v/>
      </c>
      <c r="P475" s="14" t="str">
        <f aca="false">IF(AND($T475,N(G475)&gt;0),M475/G475,"")</f>
        <v/>
      </c>
      <c r="Q475" s="14" t="str">
        <f aca="false">IF($T475,S475/I475,"")</f>
        <v/>
      </c>
      <c r="R475" s="10" t="str">
        <f aca="false">IF($C475="","",IF(NOT(SUMPRODUCT(--(Setup!$A$5:$A$24=$C475))&gt;0),"Machine not in Setup",IF(OR(NOT(ISNUMBER(K475)),N(K475)&lt;=0),"Set an ideal cycle time in Setup",IF(NOT(ISNUMBER(A475)),"Enter a date",IF(OR(NOT(ISNUMBER(D475)),NOT(ISNUMBER(G475)),AND(E475&lt;&gt;"",NOT(ISNUMBER(E475))),AND(F475&lt;&gt;"",NOT(ISNUMBER(F475))),AND(H475&lt;&gt;"",NOT(ISNUMBER(H475)))),"Enter numbers: shift length and total parts are required",IF(OR(N(D475)&lt;=0,N(E475)&lt;0,N(F475)&lt;0,N(G475)&lt;0,N(H475)&lt;0),"Values must be 0 or more (shift length above 0)",IF(N(H475)&gt;N(G475),"Rejects &gt; total parts",IF(N(E475)&gt;=N(D475),"Planned stops &gt;= shift length",IF(N(F475)&gt;N(D475)-N(E475),"Downtime &gt; planned time",IF(AND(ISNUMBER(O475),O475&gt;1),"Check: performance above 100%","OK"))))))))))</f>
        <v/>
      </c>
      <c r="S475" s="13" t="str">
        <f aca="false">IF($T475,K475*M475/60,"")</f>
        <v/>
      </c>
      <c r="T475" s="15" t="b">
        <f aca="false">IF($C475="",FALSE(),AND(SUMPRODUCT(--(Setup!$A$5:$A$24=$C475))&gt;0,ISNUMBER(A475),ISNUMBER(K475),N(K475)&gt;0,ISNUMBER(D475),N(D475)&gt;0,ISNUMBER(G475),N(G475)&gt;=0,OR(E475="",ISNUMBER(E475)),OR(F475="",ISNUMBER(F475)),OR(H475="",ISNUMBER(H475)),N(E475)&gt;=0,N(F475)&gt;=0,N(H475)&gt;=0,N(H475)&lt;=N(G475),N(E475)&lt;N(D475),N(F475)&lt;=N(D475)-N(E475)))</f>
        <v>0</v>
      </c>
    </row>
    <row r="476" customFormat="false" ht="15" hidden="false" customHeight="false" outlineLevel="0" collapsed="false">
      <c r="A476" s="11"/>
      <c r="B476" s="8"/>
      <c r="C476" s="8"/>
      <c r="D476" s="8"/>
      <c r="E476" s="8"/>
      <c r="F476" s="8"/>
      <c r="G476" s="8"/>
      <c r="H476" s="8"/>
      <c r="I476" s="12" t="str">
        <f aca="false">IF($T476,D476-N(E476),"")</f>
        <v/>
      </c>
      <c r="J476" s="12" t="str">
        <f aca="false">IF($T476,I476-N(F476),"")</f>
        <v/>
      </c>
      <c r="K476" s="13" t="str">
        <f aca="false">IF($C476="","",IF(SUMPRODUCT(--(Setup!$A$5:$A$24=$C476))&gt;0,INDEX(Setup!$B$5:$B$24,21-SUMPRODUCT(MAX((Setup!$A$5:$A$24=$C476)*(25-ROW(Setup!$A$5:$A$24))))),""))</f>
        <v/>
      </c>
      <c r="L476" s="13" t="str">
        <f aca="false">IF($T476,K476*G476/60,"")</f>
        <v/>
      </c>
      <c r="M476" s="12" t="str">
        <f aca="false">IF($T476,G476-N(H476),"")</f>
        <v/>
      </c>
      <c r="N476" s="14" t="str">
        <f aca="false">IF($T476,J476/I476,"")</f>
        <v/>
      </c>
      <c r="O476" s="14" t="str">
        <f aca="false">IF(AND($T476,N(J476)&gt;0),L476/J476,"")</f>
        <v/>
      </c>
      <c r="P476" s="14" t="str">
        <f aca="false">IF(AND($T476,N(G476)&gt;0),M476/G476,"")</f>
        <v/>
      </c>
      <c r="Q476" s="14" t="str">
        <f aca="false">IF($T476,S476/I476,"")</f>
        <v/>
      </c>
      <c r="R476" s="10" t="str">
        <f aca="false">IF($C476="","",IF(NOT(SUMPRODUCT(--(Setup!$A$5:$A$24=$C476))&gt;0),"Machine not in Setup",IF(OR(NOT(ISNUMBER(K476)),N(K476)&lt;=0),"Set an ideal cycle time in Setup",IF(NOT(ISNUMBER(A476)),"Enter a date",IF(OR(NOT(ISNUMBER(D476)),NOT(ISNUMBER(G476)),AND(E476&lt;&gt;"",NOT(ISNUMBER(E476))),AND(F476&lt;&gt;"",NOT(ISNUMBER(F476))),AND(H476&lt;&gt;"",NOT(ISNUMBER(H476)))),"Enter numbers: shift length and total parts are required",IF(OR(N(D476)&lt;=0,N(E476)&lt;0,N(F476)&lt;0,N(G476)&lt;0,N(H476)&lt;0),"Values must be 0 or more (shift length above 0)",IF(N(H476)&gt;N(G476),"Rejects &gt; total parts",IF(N(E476)&gt;=N(D476),"Planned stops &gt;= shift length",IF(N(F476)&gt;N(D476)-N(E476),"Downtime &gt; planned time",IF(AND(ISNUMBER(O476),O476&gt;1),"Check: performance above 100%","OK"))))))))))</f>
        <v/>
      </c>
      <c r="S476" s="13" t="str">
        <f aca="false">IF($T476,K476*M476/60,"")</f>
        <v/>
      </c>
      <c r="T476" s="15" t="b">
        <f aca="false">IF($C476="",FALSE(),AND(SUMPRODUCT(--(Setup!$A$5:$A$24=$C476))&gt;0,ISNUMBER(A476),ISNUMBER(K476),N(K476)&gt;0,ISNUMBER(D476),N(D476)&gt;0,ISNUMBER(G476),N(G476)&gt;=0,OR(E476="",ISNUMBER(E476)),OR(F476="",ISNUMBER(F476)),OR(H476="",ISNUMBER(H476)),N(E476)&gt;=0,N(F476)&gt;=0,N(H476)&gt;=0,N(H476)&lt;=N(G476),N(E476)&lt;N(D476),N(F476)&lt;=N(D476)-N(E476)))</f>
        <v>0</v>
      </c>
    </row>
    <row r="477" customFormat="false" ht="15" hidden="false" customHeight="false" outlineLevel="0" collapsed="false">
      <c r="A477" s="11"/>
      <c r="B477" s="8"/>
      <c r="C477" s="8"/>
      <c r="D477" s="8"/>
      <c r="E477" s="8"/>
      <c r="F477" s="8"/>
      <c r="G477" s="8"/>
      <c r="H477" s="8"/>
      <c r="I477" s="12" t="str">
        <f aca="false">IF($T477,D477-N(E477),"")</f>
        <v/>
      </c>
      <c r="J477" s="12" t="str">
        <f aca="false">IF($T477,I477-N(F477),"")</f>
        <v/>
      </c>
      <c r="K477" s="13" t="str">
        <f aca="false">IF($C477="","",IF(SUMPRODUCT(--(Setup!$A$5:$A$24=$C477))&gt;0,INDEX(Setup!$B$5:$B$24,21-SUMPRODUCT(MAX((Setup!$A$5:$A$24=$C477)*(25-ROW(Setup!$A$5:$A$24))))),""))</f>
        <v/>
      </c>
      <c r="L477" s="13" t="str">
        <f aca="false">IF($T477,K477*G477/60,"")</f>
        <v/>
      </c>
      <c r="M477" s="12" t="str">
        <f aca="false">IF($T477,G477-N(H477),"")</f>
        <v/>
      </c>
      <c r="N477" s="14" t="str">
        <f aca="false">IF($T477,J477/I477,"")</f>
        <v/>
      </c>
      <c r="O477" s="14" t="str">
        <f aca="false">IF(AND($T477,N(J477)&gt;0),L477/J477,"")</f>
        <v/>
      </c>
      <c r="P477" s="14" t="str">
        <f aca="false">IF(AND($T477,N(G477)&gt;0),M477/G477,"")</f>
        <v/>
      </c>
      <c r="Q477" s="14" t="str">
        <f aca="false">IF($T477,S477/I477,"")</f>
        <v/>
      </c>
      <c r="R477" s="10" t="str">
        <f aca="false">IF($C477="","",IF(NOT(SUMPRODUCT(--(Setup!$A$5:$A$24=$C477))&gt;0),"Machine not in Setup",IF(OR(NOT(ISNUMBER(K477)),N(K477)&lt;=0),"Set an ideal cycle time in Setup",IF(NOT(ISNUMBER(A477)),"Enter a date",IF(OR(NOT(ISNUMBER(D477)),NOT(ISNUMBER(G477)),AND(E477&lt;&gt;"",NOT(ISNUMBER(E477))),AND(F477&lt;&gt;"",NOT(ISNUMBER(F477))),AND(H477&lt;&gt;"",NOT(ISNUMBER(H477)))),"Enter numbers: shift length and total parts are required",IF(OR(N(D477)&lt;=0,N(E477)&lt;0,N(F477)&lt;0,N(G477)&lt;0,N(H477)&lt;0),"Values must be 0 or more (shift length above 0)",IF(N(H477)&gt;N(G477),"Rejects &gt; total parts",IF(N(E477)&gt;=N(D477),"Planned stops &gt;= shift length",IF(N(F477)&gt;N(D477)-N(E477),"Downtime &gt; planned time",IF(AND(ISNUMBER(O477),O477&gt;1),"Check: performance above 100%","OK"))))))))))</f>
        <v/>
      </c>
      <c r="S477" s="13" t="str">
        <f aca="false">IF($T477,K477*M477/60,"")</f>
        <v/>
      </c>
      <c r="T477" s="15" t="b">
        <f aca="false">IF($C477="",FALSE(),AND(SUMPRODUCT(--(Setup!$A$5:$A$24=$C477))&gt;0,ISNUMBER(A477),ISNUMBER(K477),N(K477)&gt;0,ISNUMBER(D477),N(D477)&gt;0,ISNUMBER(G477),N(G477)&gt;=0,OR(E477="",ISNUMBER(E477)),OR(F477="",ISNUMBER(F477)),OR(H477="",ISNUMBER(H477)),N(E477)&gt;=0,N(F477)&gt;=0,N(H477)&gt;=0,N(H477)&lt;=N(G477),N(E477)&lt;N(D477),N(F477)&lt;=N(D477)-N(E477)))</f>
        <v>0</v>
      </c>
    </row>
    <row r="478" customFormat="false" ht="15" hidden="false" customHeight="false" outlineLevel="0" collapsed="false">
      <c r="A478" s="11"/>
      <c r="B478" s="8"/>
      <c r="C478" s="8"/>
      <c r="D478" s="8"/>
      <c r="E478" s="8"/>
      <c r="F478" s="8"/>
      <c r="G478" s="8"/>
      <c r="H478" s="8"/>
      <c r="I478" s="12" t="str">
        <f aca="false">IF($T478,D478-N(E478),"")</f>
        <v/>
      </c>
      <c r="J478" s="12" t="str">
        <f aca="false">IF($T478,I478-N(F478),"")</f>
        <v/>
      </c>
      <c r="K478" s="13" t="str">
        <f aca="false">IF($C478="","",IF(SUMPRODUCT(--(Setup!$A$5:$A$24=$C478))&gt;0,INDEX(Setup!$B$5:$B$24,21-SUMPRODUCT(MAX((Setup!$A$5:$A$24=$C478)*(25-ROW(Setup!$A$5:$A$24))))),""))</f>
        <v/>
      </c>
      <c r="L478" s="13" t="str">
        <f aca="false">IF($T478,K478*G478/60,"")</f>
        <v/>
      </c>
      <c r="M478" s="12" t="str">
        <f aca="false">IF($T478,G478-N(H478),"")</f>
        <v/>
      </c>
      <c r="N478" s="14" t="str">
        <f aca="false">IF($T478,J478/I478,"")</f>
        <v/>
      </c>
      <c r="O478" s="14" t="str">
        <f aca="false">IF(AND($T478,N(J478)&gt;0),L478/J478,"")</f>
        <v/>
      </c>
      <c r="P478" s="14" t="str">
        <f aca="false">IF(AND($T478,N(G478)&gt;0),M478/G478,"")</f>
        <v/>
      </c>
      <c r="Q478" s="14" t="str">
        <f aca="false">IF($T478,S478/I478,"")</f>
        <v/>
      </c>
      <c r="R478" s="10" t="str">
        <f aca="false">IF($C478="","",IF(NOT(SUMPRODUCT(--(Setup!$A$5:$A$24=$C478))&gt;0),"Machine not in Setup",IF(OR(NOT(ISNUMBER(K478)),N(K478)&lt;=0),"Set an ideal cycle time in Setup",IF(NOT(ISNUMBER(A478)),"Enter a date",IF(OR(NOT(ISNUMBER(D478)),NOT(ISNUMBER(G478)),AND(E478&lt;&gt;"",NOT(ISNUMBER(E478))),AND(F478&lt;&gt;"",NOT(ISNUMBER(F478))),AND(H478&lt;&gt;"",NOT(ISNUMBER(H478)))),"Enter numbers: shift length and total parts are required",IF(OR(N(D478)&lt;=0,N(E478)&lt;0,N(F478)&lt;0,N(G478)&lt;0,N(H478)&lt;0),"Values must be 0 or more (shift length above 0)",IF(N(H478)&gt;N(G478),"Rejects &gt; total parts",IF(N(E478)&gt;=N(D478),"Planned stops &gt;= shift length",IF(N(F478)&gt;N(D478)-N(E478),"Downtime &gt; planned time",IF(AND(ISNUMBER(O478),O478&gt;1),"Check: performance above 100%","OK"))))))))))</f>
        <v/>
      </c>
      <c r="S478" s="13" t="str">
        <f aca="false">IF($T478,K478*M478/60,"")</f>
        <v/>
      </c>
      <c r="T478" s="15" t="b">
        <f aca="false">IF($C478="",FALSE(),AND(SUMPRODUCT(--(Setup!$A$5:$A$24=$C478))&gt;0,ISNUMBER(A478),ISNUMBER(K478),N(K478)&gt;0,ISNUMBER(D478),N(D478)&gt;0,ISNUMBER(G478),N(G478)&gt;=0,OR(E478="",ISNUMBER(E478)),OR(F478="",ISNUMBER(F478)),OR(H478="",ISNUMBER(H478)),N(E478)&gt;=0,N(F478)&gt;=0,N(H478)&gt;=0,N(H478)&lt;=N(G478),N(E478)&lt;N(D478),N(F478)&lt;=N(D478)-N(E478)))</f>
        <v>0</v>
      </c>
    </row>
    <row r="479" customFormat="false" ht="15" hidden="false" customHeight="false" outlineLevel="0" collapsed="false">
      <c r="A479" s="11"/>
      <c r="B479" s="8"/>
      <c r="C479" s="8"/>
      <c r="D479" s="8"/>
      <c r="E479" s="8"/>
      <c r="F479" s="8"/>
      <c r="G479" s="8"/>
      <c r="H479" s="8"/>
      <c r="I479" s="12" t="str">
        <f aca="false">IF($T479,D479-N(E479),"")</f>
        <v/>
      </c>
      <c r="J479" s="12" t="str">
        <f aca="false">IF($T479,I479-N(F479),"")</f>
        <v/>
      </c>
      <c r="K479" s="13" t="str">
        <f aca="false">IF($C479="","",IF(SUMPRODUCT(--(Setup!$A$5:$A$24=$C479))&gt;0,INDEX(Setup!$B$5:$B$24,21-SUMPRODUCT(MAX((Setup!$A$5:$A$24=$C479)*(25-ROW(Setup!$A$5:$A$24))))),""))</f>
        <v/>
      </c>
      <c r="L479" s="13" t="str">
        <f aca="false">IF($T479,K479*G479/60,"")</f>
        <v/>
      </c>
      <c r="M479" s="12" t="str">
        <f aca="false">IF($T479,G479-N(H479),"")</f>
        <v/>
      </c>
      <c r="N479" s="14" t="str">
        <f aca="false">IF($T479,J479/I479,"")</f>
        <v/>
      </c>
      <c r="O479" s="14" t="str">
        <f aca="false">IF(AND($T479,N(J479)&gt;0),L479/J479,"")</f>
        <v/>
      </c>
      <c r="P479" s="14" t="str">
        <f aca="false">IF(AND($T479,N(G479)&gt;0),M479/G479,"")</f>
        <v/>
      </c>
      <c r="Q479" s="14" t="str">
        <f aca="false">IF($T479,S479/I479,"")</f>
        <v/>
      </c>
      <c r="R479" s="10" t="str">
        <f aca="false">IF($C479="","",IF(NOT(SUMPRODUCT(--(Setup!$A$5:$A$24=$C479))&gt;0),"Machine not in Setup",IF(OR(NOT(ISNUMBER(K479)),N(K479)&lt;=0),"Set an ideal cycle time in Setup",IF(NOT(ISNUMBER(A479)),"Enter a date",IF(OR(NOT(ISNUMBER(D479)),NOT(ISNUMBER(G479)),AND(E479&lt;&gt;"",NOT(ISNUMBER(E479))),AND(F479&lt;&gt;"",NOT(ISNUMBER(F479))),AND(H479&lt;&gt;"",NOT(ISNUMBER(H479)))),"Enter numbers: shift length and total parts are required",IF(OR(N(D479)&lt;=0,N(E479)&lt;0,N(F479)&lt;0,N(G479)&lt;0,N(H479)&lt;0),"Values must be 0 or more (shift length above 0)",IF(N(H479)&gt;N(G479),"Rejects &gt; total parts",IF(N(E479)&gt;=N(D479),"Planned stops &gt;= shift length",IF(N(F479)&gt;N(D479)-N(E479),"Downtime &gt; planned time",IF(AND(ISNUMBER(O479),O479&gt;1),"Check: performance above 100%","OK"))))))))))</f>
        <v/>
      </c>
      <c r="S479" s="13" t="str">
        <f aca="false">IF($T479,K479*M479/60,"")</f>
        <v/>
      </c>
      <c r="T479" s="15" t="b">
        <f aca="false">IF($C479="",FALSE(),AND(SUMPRODUCT(--(Setup!$A$5:$A$24=$C479))&gt;0,ISNUMBER(A479),ISNUMBER(K479),N(K479)&gt;0,ISNUMBER(D479),N(D479)&gt;0,ISNUMBER(G479),N(G479)&gt;=0,OR(E479="",ISNUMBER(E479)),OR(F479="",ISNUMBER(F479)),OR(H479="",ISNUMBER(H479)),N(E479)&gt;=0,N(F479)&gt;=0,N(H479)&gt;=0,N(H479)&lt;=N(G479),N(E479)&lt;N(D479),N(F479)&lt;=N(D479)-N(E479)))</f>
        <v>0</v>
      </c>
    </row>
    <row r="480" customFormat="false" ht="15" hidden="false" customHeight="false" outlineLevel="0" collapsed="false">
      <c r="A480" s="11"/>
      <c r="B480" s="8"/>
      <c r="C480" s="8"/>
      <c r="D480" s="8"/>
      <c r="E480" s="8"/>
      <c r="F480" s="8"/>
      <c r="G480" s="8"/>
      <c r="H480" s="8"/>
      <c r="I480" s="12" t="str">
        <f aca="false">IF($T480,D480-N(E480),"")</f>
        <v/>
      </c>
      <c r="J480" s="12" t="str">
        <f aca="false">IF($T480,I480-N(F480),"")</f>
        <v/>
      </c>
      <c r="K480" s="13" t="str">
        <f aca="false">IF($C480="","",IF(SUMPRODUCT(--(Setup!$A$5:$A$24=$C480))&gt;0,INDEX(Setup!$B$5:$B$24,21-SUMPRODUCT(MAX((Setup!$A$5:$A$24=$C480)*(25-ROW(Setup!$A$5:$A$24))))),""))</f>
        <v/>
      </c>
      <c r="L480" s="13" t="str">
        <f aca="false">IF($T480,K480*G480/60,"")</f>
        <v/>
      </c>
      <c r="M480" s="12" t="str">
        <f aca="false">IF($T480,G480-N(H480),"")</f>
        <v/>
      </c>
      <c r="N480" s="14" t="str">
        <f aca="false">IF($T480,J480/I480,"")</f>
        <v/>
      </c>
      <c r="O480" s="14" t="str">
        <f aca="false">IF(AND($T480,N(J480)&gt;0),L480/J480,"")</f>
        <v/>
      </c>
      <c r="P480" s="14" t="str">
        <f aca="false">IF(AND($T480,N(G480)&gt;0),M480/G480,"")</f>
        <v/>
      </c>
      <c r="Q480" s="14" t="str">
        <f aca="false">IF($T480,S480/I480,"")</f>
        <v/>
      </c>
      <c r="R480" s="10" t="str">
        <f aca="false">IF($C480="","",IF(NOT(SUMPRODUCT(--(Setup!$A$5:$A$24=$C480))&gt;0),"Machine not in Setup",IF(OR(NOT(ISNUMBER(K480)),N(K480)&lt;=0),"Set an ideal cycle time in Setup",IF(NOT(ISNUMBER(A480)),"Enter a date",IF(OR(NOT(ISNUMBER(D480)),NOT(ISNUMBER(G480)),AND(E480&lt;&gt;"",NOT(ISNUMBER(E480))),AND(F480&lt;&gt;"",NOT(ISNUMBER(F480))),AND(H480&lt;&gt;"",NOT(ISNUMBER(H480)))),"Enter numbers: shift length and total parts are required",IF(OR(N(D480)&lt;=0,N(E480)&lt;0,N(F480)&lt;0,N(G480)&lt;0,N(H480)&lt;0),"Values must be 0 or more (shift length above 0)",IF(N(H480)&gt;N(G480),"Rejects &gt; total parts",IF(N(E480)&gt;=N(D480),"Planned stops &gt;= shift length",IF(N(F480)&gt;N(D480)-N(E480),"Downtime &gt; planned time",IF(AND(ISNUMBER(O480),O480&gt;1),"Check: performance above 100%","OK"))))))))))</f>
        <v/>
      </c>
      <c r="S480" s="13" t="str">
        <f aca="false">IF($T480,K480*M480/60,"")</f>
        <v/>
      </c>
      <c r="T480" s="15" t="b">
        <f aca="false">IF($C480="",FALSE(),AND(SUMPRODUCT(--(Setup!$A$5:$A$24=$C480))&gt;0,ISNUMBER(A480),ISNUMBER(K480),N(K480)&gt;0,ISNUMBER(D480),N(D480)&gt;0,ISNUMBER(G480),N(G480)&gt;=0,OR(E480="",ISNUMBER(E480)),OR(F480="",ISNUMBER(F480)),OR(H480="",ISNUMBER(H480)),N(E480)&gt;=0,N(F480)&gt;=0,N(H480)&gt;=0,N(H480)&lt;=N(G480),N(E480)&lt;N(D480),N(F480)&lt;=N(D480)-N(E480)))</f>
        <v>0</v>
      </c>
    </row>
    <row r="481" customFormat="false" ht="15" hidden="false" customHeight="false" outlineLevel="0" collapsed="false">
      <c r="A481" s="11"/>
      <c r="B481" s="8"/>
      <c r="C481" s="8"/>
      <c r="D481" s="8"/>
      <c r="E481" s="8"/>
      <c r="F481" s="8"/>
      <c r="G481" s="8"/>
      <c r="H481" s="8"/>
      <c r="I481" s="12" t="str">
        <f aca="false">IF($T481,D481-N(E481),"")</f>
        <v/>
      </c>
      <c r="J481" s="12" t="str">
        <f aca="false">IF($T481,I481-N(F481),"")</f>
        <v/>
      </c>
      <c r="K481" s="13" t="str">
        <f aca="false">IF($C481="","",IF(SUMPRODUCT(--(Setup!$A$5:$A$24=$C481))&gt;0,INDEX(Setup!$B$5:$B$24,21-SUMPRODUCT(MAX((Setup!$A$5:$A$24=$C481)*(25-ROW(Setup!$A$5:$A$24))))),""))</f>
        <v/>
      </c>
      <c r="L481" s="13" t="str">
        <f aca="false">IF($T481,K481*G481/60,"")</f>
        <v/>
      </c>
      <c r="M481" s="12" t="str">
        <f aca="false">IF($T481,G481-N(H481),"")</f>
        <v/>
      </c>
      <c r="N481" s="14" t="str">
        <f aca="false">IF($T481,J481/I481,"")</f>
        <v/>
      </c>
      <c r="O481" s="14" t="str">
        <f aca="false">IF(AND($T481,N(J481)&gt;0),L481/J481,"")</f>
        <v/>
      </c>
      <c r="P481" s="14" t="str">
        <f aca="false">IF(AND($T481,N(G481)&gt;0),M481/G481,"")</f>
        <v/>
      </c>
      <c r="Q481" s="14" t="str">
        <f aca="false">IF($T481,S481/I481,"")</f>
        <v/>
      </c>
      <c r="R481" s="10" t="str">
        <f aca="false">IF($C481="","",IF(NOT(SUMPRODUCT(--(Setup!$A$5:$A$24=$C481))&gt;0),"Machine not in Setup",IF(OR(NOT(ISNUMBER(K481)),N(K481)&lt;=0),"Set an ideal cycle time in Setup",IF(NOT(ISNUMBER(A481)),"Enter a date",IF(OR(NOT(ISNUMBER(D481)),NOT(ISNUMBER(G481)),AND(E481&lt;&gt;"",NOT(ISNUMBER(E481))),AND(F481&lt;&gt;"",NOT(ISNUMBER(F481))),AND(H481&lt;&gt;"",NOT(ISNUMBER(H481)))),"Enter numbers: shift length and total parts are required",IF(OR(N(D481)&lt;=0,N(E481)&lt;0,N(F481)&lt;0,N(G481)&lt;0,N(H481)&lt;0),"Values must be 0 or more (shift length above 0)",IF(N(H481)&gt;N(G481),"Rejects &gt; total parts",IF(N(E481)&gt;=N(D481),"Planned stops &gt;= shift length",IF(N(F481)&gt;N(D481)-N(E481),"Downtime &gt; planned time",IF(AND(ISNUMBER(O481),O481&gt;1),"Check: performance above 100%","OK"))))))))))</f>
        <v/>
      </c>
      <c r="S481" s="13" t="str">
        <f aca="false">IF($T481,K481*M481/60,"")</f>
        <v/>
      </c>
      <c r="T481" s="15" t="b">
        <f aca="false">IF($C481="",FALSE(),AND(SUMPRODUCT(--(Setup!$A$5:$A$24=$C481))&gt;0,ISNUMBER(A481),ISNUMBER(K481),N(K481)&gt;0,ISNUMBER(D481),N(D481)&gt;0,ISNUMBER(G481),N(G481)&gt;=0,OR(E481="",ISNUMBER(E481)),OR(F481="",ISNUMBER(F481)),OR(H481="",ISNUMBER(H481)),N(E481)&gt;=0,N(F481)&gt;=0,N(H481)&gt;=0,N(H481)&lt;=N(G481),N(E481)&lt;N(D481),N(F481)&lt;=N(D481)-N(E481)))</f>
        <v>0</v>
      </c>
    </row>
    <row r="482" customFormat="false" ht="15" hidden="false" customHeight="false" outlineLevel="0" collapsed="false">
      <c r="A482" s="11"/>
      <c r="B482" s="8"/>
      <c r="C482" s="8"/>
      <c r="D482" s="8"/>
      <c r="E482" s="8"/>
      <c r="F482" s="8"/>
      <c r="G482" s="8"/>
      <c r="H482" s="8"/>
      <c r="I482" s="12" t="str">
        <f aca="false">IF($T482,D482-N(E482),"")</f>
        <v/>
      </c>
      <c r="J482" s="12" t="str">
        <f aca="false">IF($T482,I482-N(F482),"")</f>
        <v/>
      </c>
      <c r="K482" s="13" t="str">
        <f aca="false">IF($C482="","",IF(SUMPRODUCT(--(Setup!$A$5:$A$24=$C482))&gt;0,INDEX(Setup!$B$5:$B$24,21-SUMPRODUCT(MAX((Setup!$A$5:$A$24=$C482)*(25-ROW(Setup!$A$5:$A$24))))),""))</f>
        <v/>
      </c>
      <c r="L482" s="13" t="str">
        <f aca="false">IF($T482,K482*G482/60,"")</f>
        <v/>
      </c>
      <c r="M482" s="12" t="str">
        <f aca="false">IF($T482,G482-N(H482),"")</f>
        <v/>
      </c>
      <c r="N482" s="14" t="str">
        <f aca="false">IF($T482,J482/I482,"")</f>
        <v/>
      </c>
      <c r="O482" s="14" t="str">
        <f aca="false">IF(AND($T482,N(J482)&gt;0),L482/J482,"")</f>
        <v/>
      </c>
      <c r="P482" s="14" t="str">
        <f aca="false">IF(AND($T482,N(G482)&gt;0),M482/G482,"")</f>
        <v/>
      </c>
      <c r="Q482" s="14" t="str">
        <f aca="false">IF($T482,S482/I482,"")</f>
        <v/>
      </c>
      <c r="R482" s="10" t="str">
        <f aca="false">IF($C482="","",IF(NOT(SUMPRODUCT(--(Setup!$A$5:$A$24=$C482))&gt;0),"Machine not in Setup",IF(OR(NOT(ISNUMBER(K482)),N(K482)&lt;=0),"Set an ideal cycle time in Setup",IF(NOT(ISNUMBER(A482)),"Enter a date",IF(OR(NOT(ISNUMBER(D482)),NOT(ISNUMBER(G482)),AND(E482&lt;&gt;"",NOT(ISNUMBER(E482))),AND(F482&lt;&gt;"",NOT(ISNUMBER(F482))),AND(H482&lt;&gt;"",NOT(ISNUMBER(H482)))),"Enter numbers: shift length and total parts are required",IF(OR(N(D482)&lt;=0,N(E482)&lt;0,N(F482)&lt;0,N(G482)&lt;0,N(H482)&lt;0),"Values must be 0 or more (shift length above 0)",IF(N(H482)&gt;N(G482),"Rejects &gt; total parts",IF(N(E482)&gt;=N(D482),"Planned stops &gt;= shift length",IF(N(F482)&gt;N(D482)-N(E482),"Downtime &gt; planned time",IF(AND(ISNUMBER(O482),O482&gt;1),"Check: performance above 100%","OK"))))))))))</f>
        <v/>
      </c>
      <c r="S482" s="13" t="str">
        <f aca="false">IF($T482,K482*M482/60,"")</f>
        <v/>
      </c>
      <c r="T482" s="15" t="b">
        <f aca="false">IF($C482="",FALSE(),AND(SUMPRODUCT(--(Setup!$A$5:$A$24=$C482))&gt;0,ISNUMBER(A482),ISNUMBER(K482),N(K482)&gt;0,ISNUMBER(D482),N(D482)&gt;0,ISNUMBER(G482),N(G482)&gt;=0,OR(E482="",ISNUMBER(E482)),OR(F482="",ISNUMBER(F482)),OR(H482="",ISNUMBER(H482)),N(E482)&gt;=0,N(F482)&gt;=0,N(H482)&gt;=0,N(H482)&lt;=N(G482),N(E482)&lt;N(D482),N(F482)&lt;=N(D482)-N(E482)))</f>
        <v>0</v>
      </c>
    </row>
    <row r="483" customFormat="false" ht="15" hidden="false" customHeight="false" outlineLevel="0" collapsed="false">
      <c r="A483" s="11"/>
      <c r="B483" s="8"/>
      <c r="C483" s="8"/>
      <c r="D483" s="8"/>
      <c r="E483" s="8"/>
      <c r="F483" s="8"/>
      <c r="G483" s="8"/>
      <c r="H483" s="8"/>
      <c r="I483" s="12" t="str">
        <f aca="false">IF($T483,D483-N(E483),"")</f>
        <v/>
      </c>
      <c r="J483" s="12" t="str">
        <f aca="false">IF($T483,I483-N(F483),"")</f>
        <v/>
      </c>
      <c r="K483" s="13" t="str">
        <f aca="false">IF($C483="","",IF(SUMPRODUCT(--(Setup!$A$5:$A$24=$C483))&gt;0,INDEX(Setup!$B$5:$B$24,21-SUMPRODUCT(MAX((Setup!$A$5:$A$24=$C483)*(25-ROW(Setup!$A$5:$A$24))))),""))</f>
        <v/>
      </c>
      <c r="L483" s="13" t="str">
        <f aca="false">IF($T483,K483*G483/60,"")</f>
        <v/>
      </c>
      <c r="M483" s="12" t="str">
        <f aca="false">IF($T483,G483-N(H483),"")</f>
        <v/>
      </c>
      <c r="N483" s="14" t="str">
        <f aca="false">IF($T483,J483/I483,"")</f>
        <v/>
      </c>
      <c r="O483" s="14" t="str">
        <f aca="false">IF(AND($T483,N(J483)&gt;0),L483/J483,"")</f>
        <v/>
      </c>
      <c r="P483" s="14" t="str">
        <f aca="false">IF(AND($T483,N(G483)&gt;0),M483/G483,"")</f>
        <v/>
      </c>
      <c r="Q483" s="14" t="str">
        <f aca="false">IF($T483,S483/I483,"")</f>
        <v/>
      </c>
      <c r="R483" s="10" t="str">
        <f aca="false">IF($C483="","",IF(NOT(SUMPRODUCT(--(Setup!$A$5:$A$24=$C483))&gt;0),"Machine not in Setup",IF(OR(NOT(ISNUMBER(K483)),N(K483)&lt;=0),"Set an ideal cycle time in Setup",IF(NOT(ISNUMBER(A483)),"Enter a date",IF(OR(NOT(ISNUMBER(D483)),NOT(ISNUMBER(G483)),AND(E483&lt;&gt;"",NOT(ISNUMBER(E483))),AND(F483&lt;&gt;"",NOT(ISNUMBER(F483))),AND(H483&lt;&gt;"",NOT(ISNUMBER(H483)))),"Enter numbers: shift length and total parts are required",IF(OR(N(D483)&lt;=0,N(E483)&lt;0,N(F483)&lt;0,N(G483)&lt;0,N(H483)&lt;0),"Values must be 0 or more (shift length above 0)",IF(N(H483)&gt;N(G483),"Rejects &gt; total parts",IF(N(E483)&gt;=N(D483),"Planned stops &gt;= shift length",IF(N(F483)&gt;N(D483)-N(E483),"Downtime &gt; planned time",IF(AND(ISNUMBER(O483),O483&gt;1),"Check: performance above 100%","OK"))))))))))</f>
        <v/>
      </c>
      <c r="S483" s="13" t="str">
        <f aca="false">IF($T483,K483*M483/60,"")</f>
        <v/>
      </c>
      <c r="T483" s="15" t="b">
        <f aca="false">IF($C483="",FALSE(),AND(SUMPRODUCT(--(Setup!$A$5:$A$24=$C483))&gt;0,ISNUMBER(A483),ISNUMBER(K483),N(K483)&gt;0,ISNUMBER(D483),N(D483)&gt;0,ISNUMBER(G483),N(G483)&gt;=0,OR(E483="",ISNUMBER(E483)),OR(F483="",ISNUMBER(F483)),OR(H483="",ISNUMBER(H483)),N(E483)&gt;=0,N(F483)&gt;=0,N(H483)&gt;=0,N(H483)&lt;=N(G483),N(E483)&lt;N(D483),N(F483)&lt;=N(D483)-N(E483)))</f>
        <v>0</v>
      </c>
    </row>
    <row r="484" customFormat="false" ht="15" hidden="false" customHeight="false" outlineLevel="0" collapsed="false">
      <c r="A484" s="11"/>
      <c r="B484" s="8"/>
      <c r="C484" s="8"/>
      <c r="D484" s="8"/>
      <c r="E484" s="8"/>
      <c r="F484" s="8"/>
      <c r="G484" s="8"/>
      <c r="H484" s="8"/>
      <c r="I484" s="12" t="str">
        <f aca="false">IF($T484,D484-N(E484),"")</f>
        <v/>
      </c>
      <c r="J484" s="12" t="str">
        <f aca="false">IF($T484,I484-N(F484),"")</f>
        <v/>
      </c>
      <c r="K484" s="13" t="str">
        <f aca="false">IF($C484="","",IF(SUMPRODUCT(--(Setup!$A$5:$A$24=$C484))&gt;0,INDEX(Setup!$B$5:$B$24,21-SUMPRODUCT(MAX((Setup!$A$5:$A$24=$C484)*(25-ROW(Setup!$A$5:$A$24))))),""))</f>
        <v/>
      </c>
      <c r="L484" s="13" t="str">
        <f aca="false">IF($T484,K484*G484/60,"")</f>
        <v/>
      </c>
      <c r="M484" s="12" t="str">
        <f aca="false">IF($T484,G484-N(H484),"")</f>
        <v/>
      </c>
      <c r="N484" s="14" t="str">
        <f aca="false">IF($T484,J484/I484,"")</f>
        <v/>
      </c>
      <c r="O484" s="14" t="str">
        <f aca="false">IF(AND($T484,N(J484)&gt;0),L484/J484,"")</f>
        <v/>
      </c>
      <c r="P484" s="14" t="str">
        <f aca="false">IF(AND($T484,N(G484)&gt;0),M484/G484,"")</f>
        <v/>
      </c>
      <c r="Q484" s="14" t="str">
        <f aca="false">IF($T484,S484/I484,"")</f>
        <v/>
      </c>
      <c r="R484" s="10" t="str">
        <f aca="false">IF($C484="","",IF(NOT(SUMPRODUCT(--(Setup!$A$5:$A$24=$C484))&gt;0),"Machine not in Setup",IF(OR(NOT(ISNUMBER(K484)),N(K484)&lt;=0),"Set an ideal cycle time in Setup",IF(NOT(ISNUMBER(A484)),"Enter a date",IF(OR(NOT(ISNUMBER(D484)),NOT(ISNUMBER(G484)),AND(E484&lt;&gt;"",NOT(ISNUMBER(E484))),AND(F484&lt;&gt;"",NOT(ISNUMBER(F484))),AND(H484&lt;&gt;"",NOT(ISNUMBER(H484)))),"Enter numbers: shift length and total parts are required",IF(OR(N(D484)&lt;=0,N(E484)&lt;0,N(F484)&lt;0,N(G484)&lt;0,N(H484)&lt;0),"Values must be 0 or more (shift length above 0)",IF(N(H484)&gt;N(G484),"Rejects &gt; total parts",IF(N(E484)&gt;=N(D484),"Planned stops &gt;= shift length",IF(N(F484)&gt;N(D484)-N(E484),"Downtime &gt; planned time",IF(AND(ISNUMBER(O484),O484&gt;1),"Check: performance above 100%","OK"))))))))))</f>
        <v/>
      </c>
      <c r="S484" s="13" t="str">
        <f aca="false">IF($T484,K484*M484/60,"")</f>
        <v/>
      </c>
      <c r="T484" s="15" t="b">
        <f aca="false">IF($C484="",FALSE(),AND(SUMPRODUCT(--(Setup!$A$5:$A$24=$C484))&gt;0,ISNUMBER(A484),ISNUMBER(K484),N(K484)&gt;0,ISNUMBER(D484),N(D484)&gt;0,ISNUMBER(G484),N(G484)&gt;=0,OR(E484="",ISNUMBER(E484)),OR(F484="",ISNUMBER(F484)),OR(H484="",ISNUMBER(H484)),N(E484)&gt;=0,N(F484)&gt;=0,N(H484)&gt;=0,N(H484)&lt;=N(G484),N(E484)&lt;N(D484),N(F484)&lt;=N(D484)-N(E484)))</f>
        <v>0</v>
      </c>
    </row>
    <row r="485" customFormat="false" ht="15" hidden="false" customHeight="false" outlineLevel="0" collapsed="false">
      <c r="A485" s="11"/>
      <c r="B485" s="8"/>
      <c r="C485" s="8"/>
      <c r="D485" s="8"/>
      <c r="E485" s="8"/>
      <c r="F485" s="8"/>
      <c r="G485" s="8"/>
      <c r="H485" s="8"/>
      <c r="I485" s="12" t="str">
        <f aca="false">IF($T485,D485-N(E485),"")</f>
        <v/>
      </c>
      <c r="J485" s="12" t="str">
        <f aca="false">IF($T485,I485-N(F485),"")</f>
        <v/>
      </c>
      <c r="K485" s="13" t="str">
        <f aca="false">IF($C485="","",IF(SUMPRODUCT(--(Setup!$A$5:$A$24=$C485))&gt;0,INDEX(Setup!$B$5:$B$24,21-SUMPRODUCT(MAX((Setup!$A$5:$A$24=$C485)*(25-ROW(Setup!$A$5:$A$24))))),""))</f>
        <v/>
      </c>
      <c r="L485" s="13" t="str">
        <f aca="false">IF($T485,K485*G485/60,"")</f>
        <v/>
      </c>
      <c r="M485" s="12" t="str">
        <f aca="false">IF($T485,G485-N(H485),"")</f>
        <v/>
      </c>
      <c r="N485" s="14" t="str">
        <f aca="false">IF($T485,J485/I485,"")</f>
        <v/>
      </c>
      <c r="O485" s="14" t="str">
        <f aca="false">IF(AND($T485,N(J485)&gt;0),L485/J485,"")</f>
        <v/>
      </c>
      <c r="P485" s="14" t="str">
        <f aca="false">IF(AND($T485,N(G485)&gt;0),M485/G485,"")</f>
        <v/>
      </c>
      <c r="Q485" s="14" t="str">
        <f aca="false">IF($T485,S485/I485,"")</f>
        <v/>
      </c>
      <c r="R485" s="10" t="str">
        <f aca="false">IF($C485="","",IF(NOT(SUMPRODUCT(--(Setup!$A$5:$A$24=$C485))&gt;0),"Machine not in Setup",IF(OR(NOT(ISNUMBER(K485)),N(K485)&lt;=0),"Set an ideal cycle time in Setup",IF(NOT(ISNUMBER(A485)),"Enter a date",IF(OR(NOT(ISNUMBER(D485)),NOT(ISNUMBER(G485)),AND(E485&lt;&gt;"",NOT(ISNUMBER(E485))),AND(F485&lt;&gt;"",NOT(ISNUMBER(F485))),AND(H485&lt;&gt;"",NOT(ISNUMBER(H485)))),"Enter numbers: shift length and total parts are required",IF(OR(N(D485)&lt;=0,N(E485)&lt;0,N(F485)&lt;0,N(G485)&lt;0,N(H485)&lt;0),"Values must be 0 or more (shift length above 0)",IF(N(H485)&gt;N(G485),"Rejects &gt; total parts",IF(N(E485)&gt;=N(D485),"Planned stops &gt;= shift length",IF(N(F485)&gt;N(D485)-N(E485),"Downtime &gt; planned time",IF(AND(ISNUMBER(O485),O485&gt;1),"Check: performance above 100%","OK"))))))))))</f>
        <v/>
      </c>
      <c r="S485" s="13" t="str">
        <f aca="false">IF($T485,K485*M485/60,"")</f>
        <v/>
      </c>
      <c r="T485" s="15" t="b">
        <f aca="false">IF($C485="",FALSE(),AND(SUMPRODUCT(--(Setup!$A$5:$A$24=$C485))&gt;0,ISNUMBER(A485),ISNUMBER(K485),N(K485)&gt;0,ISNUMBER(D485),N(D485)&gt;0,ISNUMBER(G485),N(G485)&gt;=0,OR(E485="",ISNUMBER(E485)),OR(F485="",ISNUMBER(F485)),OR(H485="",ISNUMBER(H485)),N(E485)&gt;=0,N(F485)&gt;=0,N(H485)&gt;=0,N(H485)&lt;=N(G485),N(E485)&lt;N(D485),N(F485)&lt;=N(D485)-N(E485)))</f>
        <v>0</v>
      </c>
    </row>
    <row r="486" customFormat="false" ht="15" hidden="false" customHeight="false" outlineLevel="0" collapsed="false">
      <c r="A486" s="11"/>
      <c r="B486" s="8"/>
      <c r="C486" s="8"/>
      <c r="D486" s="8"/>
      <c r="E486" s="8"/>
      <c r="F486" s="8"/>
      <c r="G486" s="8"/>
      <c r="H486" s="8"/>
      <c r="I486" s="12" t="str">
        <f aca="false">IF($T486,D486-N(E486),"")</f>
        <v/>
      </c>
      <c r="J486" s="12" t="str">
        <f aca="false">IF($T486,I486-N(F486),"")</f>
        <v/>
      </c>
      <c r="K486" s="13" t="str">
        <f aca="false">IF($C486="","",IF(SUMPRODUCT(--(Setup!$A$5:$A$24=$C486))&gt;0,INDEX(Setup!$B$5:$B$24,21-SUMPRODUCT(MAX((Setup!$A$5:$A$24=$C486)*(25-ROW(Setup!$A$5:$A$24))))),""))</f>
        <v/>
      </c>
      <c r="L486" s="13" t="str">
        <f aca="false">IF($T486,K486*G486/60,"")</f>
        <v/>
      </c>
      <c r="M486" s="12" t="str">
        <f aca="false">IF($T486,G486-N(H486),"")</f>
        <v/>
      </c>
      <c r="N486" s="14" t="str">
        <f aca="false">IF($T486,J486/I486,"")</f>
        <v/>
      </c>
      <c r="O486" s="14" t="str">
        <f aca="false">IF(AND($T486,N(J486)&gt;0),L486/J486,"")</f>
        <v/>
      </c>
      <c r="P486" s="14" t="str">
        <f aca="false">IF(AND($T486,N(G486)&gt;0),M486/G486,"")</f>
        <v/>
      </c>
      <c r="Q486" s="14" t="str">
        <f aca="false">IF($T486,S486/I486,"")</f>
        <v/>
      </c>
      <c r="R486" s="10" t="str">
        <f aca="false">IF($C486="","",IF(NOT(SUMPRODUCT(--(Setup!$A$5:$A$24=$C486))&gt;0),"Machine not in Setup",IF(OR(NOT(ISNUMBER(K486)),N(K486)&lt;=0),"Set an ideal cycle time in Setup",IF(NOT(ISNUMBER(A486)),"Enter a date",IF(OR(NOT(ISNUMBER(D486)),NOT(ISNUMBER(G486)),AND(E486&lt;&gt;"",NOT(ISNUMBER(E486))),AND(F486&lt;&gt;"",NOT(ISNUMBER(F486))),AND(H486&lt;&gt;"",NOT(ISNUMBER(H486)))),"Enter numbers: shift length and total parts are required",IF(OR(N(D486)&lt;=0,N(E486)&lt;0,N(F486)&lt;0,N(G486)&lt;0,N(H486)&lt;0),"Values must be 0 or more (shift length above 0)",IF(N(H486)&gt;N(G486),"Rejects &gt; total parts",IF(N(E486)&gt;=N(D486),"Planned stops &gt;= shift length",IF(N(F486)&gt;N(D486)-N(E486),"Downtime &gt; planned time",IF(AND(ISNUMBER(O486),O486&gt;1),"Check: performance above 100%","OK"))))))))))</f>
        <v/>
      </c>
      <c r="S486" s="13" t="str">
        <f aca="false">IF($T486,K486*M486/60,"")</f>
        <v/>
      </c>
      <c r="T486" s="15" t="b">
        <f aca="false">IF($C486="",FALSE(),AND(SUMPRODUCT(--(Setup!$A$5:$A$24=$C486))&gt;0,ISNUMBER(A486),ISNUMBER(K486),N(K486)&gt;0,ISNUMBER(D486),N(D486)&gt;0,ISNUMBER(G486),N(G486)&gt;=0,OR(E486="",ISNUMBER(E486)),OR(F486="",ISNUMBER(F486)),OR(H486="",ISNUMBER(H486)),N(E486)&gt;=0,N(F486)&gt;=0,N(H486)&gt;=0,N(H486)&lt;=N(G486),N(E486)&lt;N(D486),N(F486)&lt;=N(D486)-N(E486)))</f>
        <v>0</v>
      </c>
    </row>
    <row r="487" customFormat="false" ht="15" hidden="false" customHeight="false" outlineLevel="0" collapsed="false">
      <c r="A487" s="11"/>
      <c r="B487" s="8"/>
      <c r="C487" s="8"/>
      <c r="D487" s="8"/>
      <c r="E487" s="8"/>
      <c r="F487" s="8"/>
      <c r="G487" s="8"/>
      <c r="H487" s="8"/>
      <c r="I487" s="12" t="str">
        <f aca="false">IF($T487,D487-N(E487),"")</f>
        <v/>
      </c>
      <c r="J487" s="12" t="str">
        <f aca="false">IF($T487,I487-N(F487),"")</f>
        <v/>
      </c>
      <c r="K487" s="13" t="str">
        <f aca="false">IF($C487="","",IF(SUMPRODUCT(--(Setup!$A$5:$A$24=$C487))&gt;0,INDEX(Setup!$B$5:$B$24,21-SUMPRODUCT(MAX((Setup!$A$5:$A$24=$C487)*(25-ROW(Setup!$A$5:$A$24))))),""))</f>
        <v/>
      </c>
      <c r="L487" s="13" t="str">
        <f aca="false">IF($T487,K487*G487/60,"")</f>
        <v/>
      </c>
      <c r="M487" s="12" t="str">
        <f aca="false">IF($T487,G487-N(H487),"")</f>
        <v/>
      </c>
      <c r="N487" s="14" t="str">
        <f aca="false">IF($T487,J487/I487,"")</f>
        <v/>
      </c>
      <c r="O487" s="14" t="str">
        <f aca="false">IF(AND($T487,N(J487)&gt;0),L487/J487,"")</f>
        <v/>
      </c>
      <c r="P487" s="14" t="str">
        <f aca="false">IF(AND($T487,N(G487)&gt;0),M487/G487,"")</f>
        <v/>
      </c>
      <c r="Q487" s="14" t="str">
        <f aca="false">IF($T487,S487/I487,"")</f>
        <v/>
      </c>
      <c r="R487" s="10" t="str">
        <f aca="false">IF($C487="","",IF(NOT(SUMPRODUCT(--(Setup!$A$5:$A$24=$C487))&gt;0),"Machine not in Setup",IF(OR(NOT(ISNUMBER(K487)),N(K487)&lt;=0),"Set an ideal cycle time in Setup",IF(NOT(ISNUMBER(A487)),"Enter a date",IF(OR(NOT(ISNUMBER(D487)),NOT(ISNUMBER(G487)),AND(E487&lt;&gt;"",NOT(ISNUMBER(E487))),AND(F487&lt;&gt;"",NOT(ISNUMBER(F487))),AND(H487&lt;&gt;"",NOT(ISNUMBER(H487)))),"Enter numbers: shift length and total parts are required",IF(OR(N(D487)&lt;=0,N(E487)&lt;0,N(F487)&lt;0,N(G487)&lt;0,N(H487)&lt;0),"Values must be 0 or more (shift length above 0)",IF(N(H487)&gt;N(G487),"Rejects &gt; total parts",IF(N(E487)&gt;=N(D487),"Planned stops &gt;= shift length",IF(N(F487)&gt;N(D487)-N(E487),"Downtime &gt; planned time",IF(AND(ISNUMBER(O487),O487&gt;1),"Check: performance above 100%","OK"))))))))))</f>
        <v/>
      </c>
      <c r="S487" s="13" t="str">
        <f aca="false">IF($T487,K487*M487/60,"")</f>
        <v/>
      </c>
      <c r="T487" s="15" t="b">
        <f aca="false">IF($C487="",FALSE(),AND(SUMPRODUCT(--(Setup!$A$5:$A$24=$C487))&gt;0,ISNUMBER(A487),ISNUMBER(K487),N(K487)&gt;0,ISNUMBER(D487),N(D487)&gt;0,ISNUMBER(G487),N(G487)&gt;=0,OR(E487="",ISNUMBER(E487)),OR(F487="",ISNUMBER(F487)),OR(H487="",ISNUMBER(H487)),N(E487)&gt;=0,N(F487)&gt;=0,N(H487)&gt;=0,N(H487)&lt;=N(G487),N(E487)&lt;N(D487),N(F487)&lt;=N(D487)-N(E487)))</f>
        <v>0</v>
      </c>
    </row>
    <row r="488" customFormat="false" ht="15" hidden="false" customHeight="false" outlineLevel="0" collapsed="false">
      <c r="A488" s="11"/>
      <c r="B488" s="8"/>
      <c r="C488" s="8"/>
      <c r="D488" s="8"/>
      <c r="E488" s="8"/>
      <c r="F488" s="8"/>
      <c r="G488" s="8"/>
      <c r="H488" s="8"/>
      <c r="I488" s="12" t="str">
        <f aca="false">IF($T488,D488-N(E488),"")</f>
        <v/>
      </c>
      <c r="J488" s="12" t="str">
        <f aca="false">IF($T488,I488-N(F488),"")</f>
        <v/>
      </c>
      <c r="K488" s="13" t="str">
        <f aca="false">IF($C488="","",IF(SUMPRODUCT(--(Setup!$A$5:$A$24=$C488))&gt;0,INDEX(Setup!$B$5:$B$24,21-SUMPRODUCT(MAX((Setup!$A$5:$A$24=$C488)*(25-ROW(Setup!$A$5:$A$24))))),""))</f>
        <v/>
      </c>
      <c r="L488" s="13" t="str">
        <f aca="false">IF($T488,K488*G488/60,"")</f>
        <v/>
      </c>
      <c r="M488" s="12" t="str">
        <f aca="false">IF($T488,G488-N(H488),"")</f>
        <v/>
      </c>
      <c r="N488" s="14" t="str">
        <f aca="false">IF($T488,J488/I488,"")</f>
        <v/>
      </c>
      <c r="O488" s="14" t="str">
        <f aca="false">IF(AND($T488,N(J488)&gt;0),L488/J488,"")</f>
        <v/>
      </c>
      <c r="P488" s="14" t="str">
        <f aca="false">IF(AND($T488,N(G488)&gt;0),M488/G488,"")</f>
        <v/>
      </c>
      <c r="Q488" s="14" t="str">
        <f aca="false">IF($T488,S488/I488,"")</f>
        <v/>
      </c>
      <c r="R488" s="10" t="str">
        <f aca="false">IF($C488="","",IF(NOT(SUMPRODUCT(--(Setup!$A$5:$A$24=$C488))&gt;0),"Machine not in Setup",IF(OR(NOT(ISNUMBER(K488)),N(K488)&lt;=0),"Set an ideal cycle time in Setup",IF(NOT(ISNUMBER(A488)),"Enter a date",IF(OR(NOT(ISNUMBER(D488)),NOT(ISNUMBER(G488)),AND(E488&lt;&gt;"",NOT(ISNUMBER(E488))),AND(F488&lt;&gt;"",NOT(ISNUMBER(F488))),AND(H488&lt;&gt;"",NOT(ISNUMBER(H488)))),"Enter numbers: shift length and total parts are required",IF(OR(N(D488)&lt;=0,N(E488)&lt;0,N(F488)&lt;0,N(G488)&lt;0,N(H488)&lt;0),"Values must be 0 or more (shift length above 0)",IF(N(H488)&gt;N(G488),"Rejects &gt; total parts",IF(N(E488)&gt;=N(D488),"Planned stops &gt;= shift length",IF(N(F488)&gt;N(D488)-N(E488),"Downtime &gt; planned time",IF(AND(ISNUMBER(O488),O488&gt;1),"Check: performance above 100%","OK"))))))))))</f>
        <v/>
      </c>
      <c r="S488" s="13" t="str">
        <f aca="false">IF($T488,K488*M488/60,"")</f>
        <v/>
      </c>
      <c r="T488" s="15" t="b">
        <f aca="false">IF($C488="",FALSE(),AND(SUMPRODUCT(--(Setup!$A$5:$A$24=$C488))&gt;0,ISNUMBER(A488),ISNUMBER(K488),N(K488)&gt;0,ISNUMBER(D488),N(D488)&gt;0,ISNUMBER(G488),N(G488)&gt;=0,OR(E488="",ISNUMBER(E488)),OR(F488="",ISNUMBER(F488)),OR(H488="",ISNUMBER(H488)),N(E488)&gt;=0,N(F488)&gt;=0,N(H488)&gt;=0,N(H488)&lt;=N(G488),N(E488)&lt;N(D488),N(F488)&lt;=N(D488)-N(E488)))</f>
        <v>0</v>
      </c>
    </row>
    <row r="489" customFormat="false" ht="15" hidden="false" customHeight="false" outlineLevel="0" collapsed="false">
      <c r="A489" s="11"/>
      <c r="B489" s="8"/>
      <c r="C489" s="8"/>
      <c r="D489" s="8"/>
      <c r="E489" s="8"/>
      <c r="F489" s="8"/>
      <c r="G489" s="8"/>
      <c r="H489" s="8"/>
      <c r="I489" s="12" t="str">
        <f aca="false">IF($T489,D489-N(E489),"")</f>
        <v/>
      </c>
      <c r="J489" s="12" t="str">
        <f aca="false">IF($T489,I489-N(F489),"")</f>
        <v/>
      </c>
      <c r="K489" s="13" t="str">
        <f aca="false">IF($C489="","",IF(SUMPRODUCT(--(Setup!$A$5:$A$24=$C489))&gt;0,INDEX(Setup!$B$5:$B$24,21-SUMPRODUCT(MAX((Setup!$A$5:$A$24=$C489)*(25-ROW(Setup!$A$5:$A$24))))),""))</f>
        <v/>
      </c>
      <c r="L489" s="13" t="str">
        <f aca="false">IF($T489,K489*G489/60,"")</f>
        <v/>
      </c>
      <c r="M489" s="12" t="str">
        <f aca="false">IF($T489,G489-N(H489),"")</f>
        <v/>
      </c>
      <c r="N489" s="14" t="str">
        <f aca="false">IF($T489,J489/I489,"")</f>
        <v/>
      </c>
      <c r="O489" s="14" t="str">
        <f aca="false">IF(AND($T489,N(J489)&gt;0),L489/J489,"")</f>
        <v/>
      </c>
      <c r="P489" s="14" t="str">
        <f aca="false">IF(AND($T489,N(G489)&gt;0),M489/G489,"")</f>
        <v/>
      </c>
      <c r="Q489" s="14" t="str">
        <f aca="false">IF($T489,S489/I489,"")</f>
        <v/>
      </c>
      <c r="R489" s="10" t="str">
        <f aca="false">IF($C489="","",IF(NOT(SUMPRODUCT(--(Setup!$A$5:$A$24=$C489))&gt;0),"Machine not in Setup",IF(OR(NOT(ISNUMBER(K489)),N(K489)&lt;=0),"Set an ideal cycle time in Setup",IF(NOT(ISNUMBER(A489)),"Enter a date",IF(OR(NOT(ISNUMBER(D489)),NOT(ISNUMBER(G489)),AND(E489&lt;&gt;"",NOT(ISNUMBER(E489))),AND(F489&lt;&gt;"",NOT(ISNUMBER(F489))),AND(H489&lt;&gt;"",NOT(ISNUMBER(H489)))),"Enter numbers: shift length and total parts are required",IF(OR(N(D489)&lt;=0,N(E489)&lt;0,N(F489)&lt;0,N(G489)&lt;0,N(H489)&lt;0),"Values must be 0 or more (shift length above 0)",IF(N(H489)&gt;N(G489),"Rejects &gt; total parts",IF(N(E489)&gt;=N(D489),"Planned stops &gt;= shift length",IF(N(F489)&gt;N(D489)-N(E489),"Downtime &gt; planned time",IF(AND(ISNUMBER(O489),O489&gt;1),"Check: performance above 100%","OK"))))))))))</f>
        <v/>
      </c>
      <c r="S489" s="13" t="str">
        <f aca="false">IF($T489,K489*M489/60,"")</f>
        <v/>
      </c>
      <c r="T489" s="15" t="b">
        <f aca="false">IF($C489="",FALSE(),AND(SUMPRODUCT(--(Setup!$A$5:$A$24=$C489))&gt;0,ISNUMBER(A489),ISNUMBER(K489),N(K489)&gt;0,ISNUMBER(D489),N(D489)&gt;0,ISNUMBER(G489),N(G489)&gt;=0,OR(E489="",ISNUMBER(E489)),OR(F489="",ISNUMBER(F489)),OR(H489="",ISNUMBER(H489)),N(E489)&gt;=0,N(F489)&gt;=0,N(H489)&gt;=0,N(H489)&lt;=N(G489),N(E489)&lt;N(D489),N(F489)&lt;=N(D489)-N(E489)))</f>
        <v>0</v>
      </c>
    </row>
    <row r="490" customFormat="false" ht="15" hidden="false" customHeight="false" outlineLevel="0" collapsed="false">
      <c r="A490" s="11"/>
      <c r="B490" s="8"/>
      <c r="C490" s="8"/>
      <c r="D490" s="8"/>
      <c r="E490" s="8"/>
      <c r="F490" s="8"/>
      <c r="G490" s="8"/>
      <c r="H490" s="8"/>
      <c r="I490" s="12" t="str">
        <f aca="false">IF($T490,D490-N(E490),"")</f>
        <v/>
      </c>
      <c r="J490" s="12" t="str">
        <f aca="false">IF($T490,I490-N(F490),"")</f>
        <v/>
      </c>
      <c r="K490" s="13" t="str">
        <f aca="false">IF($C490="","",IF(SUMPRODUCT(--(Setup!$A$5:$A$24=$C490))&gt;0,INDEX(Setup!$B$5:$B$24,21-SUMPRODUCT(MAX((Setup!$A$5:$A$24=$C490)*(25-ROW(Setup!$A$5:$A$24))))),""))</f>
        <v/>
      </c>
      <c r="L490" s="13" t="str">
        <f aca="false">IF($T490,K490*G490/60,"")</f>
        <v/>
      </c>
      <c r="M490" s="12" t="str">
        <f aca="false">IF($T490,G490-N(H490),"")</f>
        <v/>
      </c>
      <c r="N490" s="14" t="str">
        <f aca="false">IF($T490,J490/I490,"")</f>
        <v/>
      </c>
      <c r="O490" s="14" t="str">
        <f aca="false">IF(AND($T490,N(J490)&gt;0),L490/J490,"")</f>
        <v/>
      </c>
      <c r="P490" s="14" t="str">
        <f aca="false">IF(AND($T490,N(G490)&gt;0),M490/G490,"")</f>
        <v/>
      </c>
      <c r="Q490" s="14" t="str">
        <f aca="false">IF($T490,S490/I490,"")</f>
        <v/>
      </c>
      <c r="R490" s="10" t="str">
        <f aca="false">IF($C490="","",IF(NOT(SUMPRODUCT(--(Setup!$A$5:$A$24=$C490))&gt;0),"Machine not in Setup",IF(OR(NOT(ISNUMBER(K490)),N(K490)&lt;=0),"Set an ideal cycle time in Setup",IF(NOT(ISNUMBER(A490)),"Enter a date",IF(OR(NOT(ISNUMBER(D490)),NOT(ISNUMBER(G490)),AND(E490&lt;&gt;"",NOT(ISNUMBER(E490))),AND(F490&lt;&gt;"",NOT(ISNUMBER(F490))),AND(H490&lt;&gt;"",NOT(ISNUMBER(H490)))),"Enter numbers: shift length and total parts are required",IF(OR(N(D490)&lt;=0,N(E490)&lt;0,N(F490)&lt;0,N(G490)&lt;0,N(H490)&lt;0),"Values must be 0 or more (shift length above 0)",IF(N(H490)&gt;N(G490),"Rejects &gt; total parts",IF(N(E490)&gt;=N(D490),"Planned stops &gt;= shift length",IF(N(F490)&gt;N(D490)-N(E490),"Downtime &gt; planned time",IF(AND(ISNUMBER(O490),O490&gt;1),"Check: performance above 100%","OK"))))))))))</f>
        <v/>
      </c>
      <c r="S490" s="13" t="str">
        <f aca="false">IF($T490,K490*M490/60,"")</f>
        <v/>
      </c>
      <c r="T490" s="15" t="b">
        <f aca="false">IF($C490="",FALSE(),AND(SUMPRODUCT(--(Setup!$A$5:$A$24=$C490))&gt;0,ISNUMBER(A490),ISNUMBER(K490),N(K490)&gt;0,ISNUMBER(D490),N(D490)&gt;0,ISNUMBER(G490),N(G490)&gt;=0,OR(E490="",ISNUMBER(E490)),OR(F490="",ISNUMBER(F490)),OR(H490="",ISNUMBER(H490)),N(E490)&gt;=0,N(F490)&gt;=0,N(H490)&gt;=0,N(H490)&lt;=N(G490),N(E490)&lt;N(D490),N(F490)&lt;=N(D490)-N(E490)))</f>
        <v>0</v>
      </c>
    </row>
    <row r="491" customFormat="false" ht="15" hidden="false" customHeight="false" outlineLevel="0" collapsed="false">
      <c r="A491" s="11"/>
      <c r="B491" s="8"/>
      <c r="C491" s="8"/>
      <c r="D491" s="8"/>
      <c r="E491" s="8"/>
      <c r="F491" s="8"/>
      <c r="G491" s="8"/>
      <c r="H491" s="8"/>
      <c r="I491" s="12" t="str">
        <f aca="false">IF($T491,D491-N(E491),"")</f>
        <v/>
      </c>
      <c r="J491" s="12" t="str">
        <f aca="false">IF($T491,I491-N(F491),"")</f>
        <v/>
      </c>
      <c r="K491" s="13" t="str">
        <f aca="false">IF($C491="","",IF(SUMPRODUCT(--(Setup!$A$5:$A$24=$C491))&gt;0,INDEX(Setup!$B$5:$B$24,21-SUMPRODUCT(MAX((Setup!$A$5:$A$24=$C491)*(25-ROW(Setup!$A$5:$A$24))))),""))</f>
        <v/>
      </c>
      <c r="L491" s="13" t="str">
        <f aca="false">IF($T491,K491*G491/60,"")</f>
        <v/>
      </c>
      <c r="M491" s="12" t="str">
        <f aca="false">IF($T491,G491-N(H491),"")</f>
        <v/>
      </c>
      <c r="N491" s="14" t="str">
        <f aca="false">IF($T491,J491/I491,"")</f>
        <v/>
      </c>
      <c r="O491" s="14" t="str">
        <f aca="false">IF(AND($T491,N(J491)&gt;0),L491/J491,"")</f>
        <v/>
      </c>
      <c r="P491" s="14" t="str">
        <f aca="false">IF(AND($T491,N(G491)&gt;0),M491/G491,"")</f>
        <v/>
      </c>
      <c r="Q491" s="14" t="str">
        <f aca="false">IF($T491,S491/I491,"")</f>
        <v/>
      </c>
      <c r="R491" s="10" t="str">
        <f aca="false">IF($C491="","",IF(NOT(SUMPRODUCT(--(Setup!$A$5:$A$24=$C491))&gt;0),"Machine not in Setup",IF(OR(NOT(ISNUMBER(K491)),N(K491)&lt;=0),"Set an ideal cycle time in Setup",IF(NOT(ISNUMBER(A491)),"Enter a date",IF(OR(NOT(ISNUMBER(D491)),NOT(ISNUMBER(G491)),AND(E491&lt;&gt;"",NOT(ISNUMBER(E491))),AND(F491&lt;&gt;"",NOT(ISNUMBER(F491))),AND(H491&lt;&gt;"",NOT(ISNUMBER(H491)))),"Enter numbers: shift length and total parts are required",IF(OR(N(D491)&lt;=0,N(E491)&lt;0,N(F491)&lt;0,N(G491)&lt;0,N(H491)&lt;0),"Values must be 0 or more (shift length above 0)",IF(N(H491)&gt;N(G491),"Rejects &gt; total parts",IF(N(E491)&gt;=N(D491),"Planned stops &gt;= shift length",IF(N(F491)&gt;N(D491)-N(E491),"Downtime &gt; planned time",IF(AND(ISNUMBER(O491),O491&gt;1),"Check: performance above 100%","OK"))))))))))</f>
        <v/>
      </c>
      <c r="S491" s="13" t="str">
        <f aca="false">IF($T491,K491*M491/60,"")</f>
        <v/>
      </c>
      <c r="T491" s="15" t="b">
        <f aca="false">IF($C491="",FALSE(),AND(SUMPRODUCT(--(Setup!$A$5:$A$24=$C491))&gt;0,ISNUMBER(A491),ISNUMBER(K491),N(K491)&gt;0,ISNUMBER(D491),N(D491)&gt;0,ISNUMBER(G491),N(G491)&gt;=0,OR(E491="",ISNUMBER(E491)),OR(F491="",ISNUMBER(F491)),OR(H491="",ISNUMBER(H491)),N(E491)&gt;=0,N(F491)&gt;=0,N(H491)&gt;=0,N(H491)&lt;=N(G491),N(E491)&lt;N(D491),N(F491)&lt;=N(D491)-N(E491)))</f>
        <v>0</v>
      </c>
    </row>
    <row r="492" customFormat="false" ht="15" hidden="false" customHeight="false" outlineLevel="0" collapsed="false">
      <c r="A492" s="11"/>
      <c r="B492" s="8"/>
      <c r="C492" s="8"/>
      <c r="D492" s="8"/>
      <c r="E492" s="8"/>
      <c r="F492" s="8"/>
      <c r="G492" s="8"/>
      <c r="H492" s="8"/>
      <c r="I492" s="12" t="str">
        <f aca="false">IF($T492,D492-N(E492),"")</f>
        <v/>
      </c>
      <c r="J492" s="12" t="str">
        <f aca="false">IF($T492,I492-N(F492),"")</f>
        <v/>
      </c>
      <c r="K492" s="13" t="str">
        <f aca="false">IF($C492="","",IF(SUMPRODUCT(--(Setup!$A$5:$A$24=$C492))&gt;0,INDEX(Setup!$B$5:$B$24,21-SUMPRODUCT(MAX((Setup!$A$5:$A$24=$C492)*(25-ROW(Setup!$A$5:$A$24))))),""))</f>
        <v/>
      </c>
      <c r="L492" s="13" t="str">
        <f aca="false">IF($T492,K492*G492/60,"")</f>
        <v/>
      </c>
      <c r="M492" s="12" t="str">
        <f aca="false">IF($T492,G492-N(H492),"")</f>
        <v/>
      </c>
      <c r="N492" s="14" t="str">
        <f aca="false">IF($T492,J492/I492,"")</f>
        <v/>
      </c>
      <c r="O492" s="14" t="str">
        <f aca="false">IF(AND($T492,N(J492)&gt;0),L492/J492,"")</f>
        <v/>
      </c>
      <c r="P492" s="14" t="str">
        <f aca="false">IF(AND($T492,N(G492)&gt;0),M492/G492,"")</f>
        <v/>
      </c>
      <c r="Q492" s="14" t="str">
        <f aca="false">IF($T492,S492/I492,"")</f>
        <v/>
      </c>
      <c r="R492" s="10" t="str">
        <f aca="false">IF($C492="","",IF(NOT(SUMPRODUCT(--(Setup!$A$5:$A$24=$C492))&gt;0),"Machine not in Setup",IF(OR(NOT(ISNUMBER(K492)),N(K492)&lt;=0),"Set an ideal cycle time in Setup",IF(NOT(ISNUMBER(A492)),"Enter a date",IF(OR(NOT(ISNUMBER(D492)),NOT(ISNUMBER(G492)),AND(E492&lt;&gt;"",NOT(ISNUMBER(E492))),AND(F492&lt;&gt;"",NOT(ISNUMBER(F492))),AND(H492&lt;&gt;"",NOT(ISNUMBER(H492)))),"Enter numbers: shift length and total parts are required",IF(OR(N(D492)&lt;=0,N(E492)&lt;0,N(F492)&lt;0,N(G492)&lt;0,N(H492)&lt;0),"Values must be 0 or more (shift length above 0)",IF(N(H492)&gt;N(G492),"Rejects &gt; total parts",IF(N(E492)&gt;=N(D492),"Planned stops &gt;= shift length",IF(N(F492)&gt;N(D492)-N(E492),"Downtime &gt; planned time",IF(AND(ISNUMBER(O492),O492&gt;1),"Check: performance above 100%","OK"))))))))))</f>
        <v/>
      </c>
      <c r="S492" s="13" t="str">
        <f aca="false">IF($T492,K492*M492/60,"")</f>
        <v/>
      </c>
      <c r="T492" s="15" t="b">
        <f aca="false">IF($C492="",FALSE(),AND(SUMPRODUCT(--(Setup!$A$5:$A$24=$C492))&gt;0,ISNUMBER(A492),ISNUMBER(K492),N(K492)&gt;0,ISNUMBER(D492),N(D492)&gt;0,ISNUMBER(G492),N(G492)&gt;=0,OR(E492="",ISNUMBER(E492)),OR(F492="",ISNUMBER(F492)),OR(H492="",ISNUMBER(H492)),N(E492)&gt;=0,N(F492)&gt;=0,N(H492)&gt;=0,N(H492)&lt;=N(G492),N(E492)&lt;N(D492),N(F492)&lt;=N(D492)-N(E492)))</f>
        <v>0</v>
      </c>
    </row>
    <row r="493" customFormat="false" ht="15" hidden="false" customHeight="false" outlineLevel="0" collapsed="false">
      <c r="A493" s="11"/>
      <c r="B493" s="8"/>
      <c r="C493" s="8"/>
      <c r="D493" s="8"/>
      <c r="E493" s="8"/>
      <c r="F493" s="8"/>
      <c r="G493" s="8"/>
      <c r="H493" s="8"/>
      <c r="I493" s="12" t="str">
        <f aca="false">IF($T493,D493-N(E493),"")</f>
        <v/>
      </c>
      <c r="J493" s="12" t="str">
        <f aca="false">IF($T493,I493-N(F493),"")</f>
        <v/>
      </c>
      <c r="K493" s="13" t="str">
        <f aca="false">IF($C493="","",IF(SUMPRODUCT(--(Setup!$A$5:$A$24=$C493))&gt;0,INDEX(Setup!$B$5:$B$24,21-SUMPRODUCT(MAX((Setup!$A$5:$A$24=$C493)*(25-ROW(Setup!$A$5:$A$24))))),""))</f>
        <v/>
      </c>
      <c r="L493" s="13" t="str">
        <f aca="false">IF($T493,K493*G493/60,"")</f>
        <v/>
      </c>
      <c r="M493" s="12" t="str">
        <f aca="false">IF($T493,G493-N(H493),"")</f>
        <v/>
      </c>
      <c r="N493" s="14" t="str">
        <f aca="false">IF($T493,J493/I493,"")</f>
        <v/>
      </c>
      <c r="O493" s="14" t="str">
        <f aca="false">IF(AND($T493,N(J493)&gt;0),L493/J493,"")</f>
        <v/>
      </c>
      <c r="P493" s="14" t="str">
        <f aca="false">IF(AND($T493,N(G493)&gt;0),M493/G493,"")</f>
        <v/>
      </c>
      <c r="Q493" s="14" t="str">
        <f aca="false">IF($T493,S493/I493,"")</f>
        <v/>
      </c>
      <c r="R493" s="10" t="str">
        <f aca="false">IF($C493="","",IF(NOT(SUMPRODUCT(--(Setup!$A$5:$A$24=$C493))&gt;0),"Machine not in Setup",IF(OR(NOT(ISNUMBER(K493)),N(K493)&lt;=0),"Set an ideal cycle time in Setup",IF(NOT(ISNUMBER(A493)),"Enter a date",IF(OR(NOT(ISNUMBER(D493)),NOT(ISNUMBER(G493)),AND(E493&lt;&gt;"",NOT(ISNUMBER(E493))),AND(F493&lt;&gt;"",NOT(ISNUMBER(F493))),AND(H493&lt;&gt;"",NOT(ISNUMBER(H493)))),"Enter numbers: shift length and total parts are required",IF(OR(N(D493)&lt;=0,N(E493)&lt;0,N(F493)&lt;0,N(G493)&lt;0,N(H493)&lt;0),"Values must be 0 or more (shift length above 0)",IF(N(H493)&gt;N(G493),"Rejects &gt; total parts",IF(N(E493)&gt;=N(D493),"Planned stops &gt;= shift length",IF(N(F493)&gt;N(D493)-N(E493),"Downtime &gt; planned time",IF(AND(ISNUMBER(O493),O493&gt;1),"Check: performance above 100%","OK"))))))))))</f>
        <v/>
      </c>
      <c r="S493" s="13" t="str">
        <f aca="false">IF($T493,K493*M493/60,"")</f>
        <v/>
      </c>
      <c r="T493" s="15" t="b">
        <f aca="false">IF($C493="",FALSE(),AND(SUMPRODUCT(--(Setup!$A$5:$A$24=$C493))&gt;0,ISNUMBER(A493),ISNUMBER(K493),N(K493)&gt;0,ISNUMBER(D493),N(D493)&gt;0,ISNUMBER(G493),N(G493)&gt;=0,OR(E493="",ISNUMBER(E493)),OR(F493="",ISNUMBER(F493)),OR(H493="",ISNUMBER(H493)),N(E493)&gt;=0,N(F493)&gt;=0,N(H493)&gt;=0,N(H493)&lt;=N(G493),N(E493)&lt;N(D493),N(F493)&lt;=N(D493)-N(E493)))</f>
        <v>0</v>
      </c>
    </row>
    <row r="494" customFormat="false" ht="15" hidden="false" customHeight="false" outlineLevel="0" collapsed="false">
      <c r="A494" s="11"/>
      <c r="B494" s="8"/>
      <c r="C494" s="8"/>
      <c r="D494" s="8"/>
      <c r="E494" s="8"/>
      <c r="F494" s="8"/>
      <c r="G494" s="8"/>
      <c r="H494" s="8"/>
      <c r="I494" s="12" t="str">
        <f aca="false">IF($T494,D494-N(E494),"")</f>
        <v/>
      </c>
      <c r="J494" s="12" t="str">
        <f aca="false">IF($T494,I494-N(F494),"")</f>
        <v/>
      </c>
      <c r="K494" s="13" t="str">
        <f aca="false">IF($C494="","",IF(SUMPRODUCT(--(Setup!$A$5:$A$24=$C494))&gt;0,INDEX(Setup!$B$5:$B$24,21-SUMPRODUCT(MAX((Setup!$A$5:$A$24=$C494)*(25-ROW(Setup!$A$5:$A$24))))),""))</f>
        <v/>
      </c>
      <c r="L494" s="13" t="str">
        <f aca="false">IF($T494,K494*G494/60,"")</f>
        <v/>
      </c>
      <c r="M494" s="12" t="str">
        <f aca="false">IF($T494,G494-N(H494),"")</f>
        <v/>
      </c>
      <c r="N494" s="14" t="str">
        <f aca="false">IF($T494,J494/I494,"")</f>
        <v/>
      </c>
      <c r="O494" s="14" t="str">
        <f aca="false">IF(AND($T494,N(J494)&gt;0),L494/J494,"")</f>
        <v/>
      </c>
      <c r="P494" s="14" t="str">
        <f aca="false">IF(AND($T494,N(G494)&gt;0),M494/G494,"")</f>
        <v/>
      </c>
      <c r="Q494" s="14" t="str">
        <f aca="false">IF($T494,S494/I494,"")</f>
        <v/>
      </c>
      <c r="R494" s="10" t="str">
        <f aca="false">IF($C494="","",IF(NOT(SUMPRODUCT(--(Setup!$A$5:$A$24=$C494))&gt;0),"Machine not in Setup",IF(OR(NOT(ISNUMBER(K494)),N(K494)&lt;=0),"Set an ideal cycle time in Setup",IF(NOT(ISNUMBER(A494)),"Enter a date",IF(OR(NOT(ISNUMBER(D494)),NOT(ISNUMBER(G494)),AND(E494&lt;&gt;"",NOT(ISNUMBER(E494))),AND(F494&lt;&gt;"",NOT(ISNUMBER(F494))),AND(H494&lt;&gt;"",NOT(ISNUMBER(H494)))),"Enter numbers: shift length and total parts are required",IF(OR(N(D494)&lt;=0,N(E494)&lt;0,N(F494)&lt;0,N(G494)&lt;0,N(H494)&lt;0),"Values must be 0 or more (shift length above 0)",IF(N(H494)&gt;N(G494),"Rejects &gt; total parts",IF(N(E494)&gt;=N(D494),"Planned stops &gt;= shift length",IF(N(F494)&gt;N(D494)-N(E494),"Downtime &gt; planned time",IF(AND(ISNUMBER(O494),O494&gt;1),"Check: performance above 100%","OK"))))))))))</f>
        <v/>
      </c>
      <c r="S494" s="13" t="str">
        <f aca="false">IF($T494,K494*M494/60,"")</f>
        <v/>
      </c>
      <c r="T494" s="15" t="b">
        <f aca="false">IF($C494="",FALSE(),AND(SUMPRODUCT(--(Setup!$A$5:$A$24=$C494))&gt;0,ISNUMBER(A494),ISNUMBER(K494),N(K494)&gt;0,ISNUMBER(D494),N(D494)&gt;0,ISNUMBER(G494),N(G494)&gt;=0,OR(E494="",ISNUMBER(E494)),OR(F494="",ISNUMBER(F494)),OR(H494="",ISNUMBER(H494)),N(E494)&gt;=0,N(F494)&gt;=0,N(H494)&gt;=0,N(H494)&lt;=N(G494),N(E494)&lt;N(D494),N(F494)&lt;=N(D494)-N(E494)))</f>
        <v>0</v>
      </c>
    </row>
    <row r="495" customFormat="false" ht="15" hidden="false" customHeight="false" outlineLevel="0" collapsed="false">
      <c r="A495" s="11"/>
      <c r="B495" s="8"/>
      <c r="C495" s="8"/>
      <c r="D495" s="8"/>
      <c r="E495" s="8"/>
      <c r="F495" s="8"/>
      <c r="G495" s="8"/>
      <c r="H495" s="8"/>
      <c r="I495" s="12" t="str">
        <f aca="false">IF($T495,D495-N(E495),"")</f>
        <v/>
      </c>
      <c r="J495" s="12" t="str">
        <f aca="false">IF($T495,I495-N(F495),"")</f>
        <v/>
      </c>
      <c r="K495" s="13" t="str">
        <f aca="false">IF($C495="","",IF(SUMPRODUCT(--(Setup!$A$5:$A$24=$C495))&gt;0,INDEX(Setup!$B$5:$B$24,21-SUMPRODUCT(MAX((Setup!$A$5:$A$24=$C495)*(25-ROW(Setup!$A$5:$A$24))))),""))</f>
        <v/>
      </c>
      <c r="L495" s="13" t="str">
        <f aca="false">IF($T495,K495*G495/60,"")</f>
        <v/>
      </c>
      <c r="M495" s="12" t="str">
        <f aca="false">IF($T495,G495-N(H495),"")</f>
        <v/>
      </c>
      <c r="N495" s="14" t="str">
        <f aca="false">IF($T495,J495/I495,"")</f>
        <v/>
      </c>
      <c r="O495" s="14" t="str">
        <f aca="false">IF(AND($T495,N(J495)&gt;0),L495/J495,"")</f>
        <v/>
      </c>
      <c r="P495" s="14" t="str">
        <f aca="false">IF(AND($T495,N(G495)&gt;0),M495/G495,"")</f>
        <v/>
      </c>
      <c r="Q495" s="14" t="str">
        <f aca="false">IF($T495,S495/I495,"")</f>
        <v/>
      </c>
      <c r="R495" s="10" t="str">
        <f aca="false">IF($C495="","",IF(NOT(SUMPRODUCT(--(Setup!$A$5:$A$24=$C495))&gt;0),"Machine not in Setup",IF(OR(NOT(ISNUMBER(K495)),N(K495)&lt;=0),"Set an ideal cycle time in Setup",IF(NOT(ISNUMBER(A495)),"Enter a date",IF(OR(NOT(ISNUMBER(D495)),NOT(ISNUMBER(G495)),AND(E495&lt;&gt;"",NOT(ISNUMBER(E495))),AND(F495&lt;&gt;"",NOT(ISNUMBER(F495))),AND(H495&lt;&gt;"",NOT(ISNUMBER(H495)))),"Enter numbers: shift length and total parts are required",IF(OR(N(D495)&lt;=0,N(E495)&lt;0,N(F495)&lt;0,N(G495)&lt;0,N(H495)&lt;0),"Values must be 0 or more (shift length above 0)",IF(N(H495)&gt;N(G495),"Rejects &gt; total parts",IF(N(E495)&gt;=N(D495),"Planned stops &gt;= shift length",IF(N(F495)&gt;N(D495)-N(E495),"Downtime &gt; planned time",IF(AND(ISNUMBER(O495),O495&gt;1),"Check: performance above 100%","OK"))))))))))</f>
        <v/>
      </c>
      <c r="S495" s="13" t="str">
        <f aca="false">IF($T495,K495*M495/60,"")</f>
        <v/>
      </c>
      <c r="T495" s="15" t="b">
        <f aca="false">IF($C495="",FALSE(),AND(SUMPRODUCT(--(Setup!$A$5:$A$24=$C495))&gt;0,ISNUMBER(A495),ISNUMBER(K495),N(K495)&gt;0,ISNUMBER(D495),N(D495)&gt;0,ISNUMBER(G495),N(G495)&gt;=0,OR(E495="",ISNUMBER(E495)),OR(F495="",ISNUMBER(F495)),OR(H495="",ISNUMBER(H495)),N(E495)&gt;=0,N(F495)&gt;=0,N(H495)&gt;=0,N(H495)&lt;=N(G495),N(E495)&lt;N(D495),N(F495)&lt;=N(D495)-N(E495)))</f>
        <v>0</v>
      </c>
    </row>
    <row r="496" customFormat="false" ht="15" hidden="false" customHeight="false" outlineLevel="0" collapsed="false">
      <c r="A496" s="11"/>
      <c r="B496" s="8"/>
      <c r="C496" s="8"/>
      <c r="D496" s="8"/>
      <c r="E496" s="8"/>
      <c r="F496" s="8"/>
      <c r="G496" s="8"/>
      <c r="H496" s="8"/>
      <c r="I496" s="12" t="str">
        <f aca="false">IF($T496,D496-N(E496),"")</f>
        <v/>
      </c>
      <c r="J496" s="12" t="str">
        <f aca="false">IF($T496,I496-N(F496),"")</f>
        <v/>
      </c>
      <c r="K496" s="13" t="str">
        <f aca="false">IF($C496="","",IF(SUMPRODUCT(--(Setup!$A$5:$A$24=$C496))&gt;0,INDEX(Setup!$B$5:$B$24,21-SUMPRODUCT(MAX((Setup!$A$5:$A$24=$C496)*(25-ROW(Setup!$A$5:$A$24))))),""))</f>
        <v/>
      </c>
      <c r="L496" s="13" t="str">
        <f aca="false">IF($T496,K496*G496/60,"")</f>
        <v/>
      </c>
      <c r="M496" s="12" t="str">
        <f aca="false">IF($T496,G496-N(H496),"")</f>
        <v/>
      </c>
      <c r="N496" s="14" t="str">
        <f aca="false">IF($T496,J496/I496,"")</f>
        <v/>
      </c>
      <c r="O496" s="14" t="str">
        <f aca="false">IF(AND($T496,N(J496)&gt;0),L496/J496,"")</f>
        <v/>
      </c>
      <c r="P496" s="14" t="str">
        <f aca="false">IF(AND($T496,N(G496)&gt;0),M496/G496,"")</f>
        <v/>
      </c>
      <c r="Q496" s="14" t="str">
        <f aca="false">IF($T496,S496/I496,"")</f>
        <v/>
      </c>
      <c r="R496" s="10" t="str">
        <f aca="false">IF($C496="","",IF(NOT(SUMPRODUCT(--(Setup!$A$5:$A$24=$C496))&gt;0),"Machine not in Setup",IF(OR(NOT(ISNUMBER(K496)),N(K496)&lt;=0),"Set an ideal cycle time in Setup",IF(NOT(ISNUMBER(A496)),"Enter a date",IF(OR(NOT(ISNUMBER(D496)),NOT(ISNUMBER(G496)),AND(E496&lt;&gt;"",NOT(ISNUMBER(E496))),AND(F496&lt;&gt;"",NOT(ISNUMBER(F496))),AND(H496&lt;&gt;"",NOT(ISNUMBER(H496)))),"Enter numbers: shift length and total parts are required",IF(OR(N(D496)&lt;=0,N(E496)&lt;0,N(F496)&lt;0,N(G496)&lt;0,N(H496)&lt;0),"Values must be 0 or more (shift length above 0)",IF(N(H496)&gt;N(G496),"Rejects &gt; total parts",IF(N(E496)&gt;=N(D496),"Planned stops &gt;= shift length",IF(N(F496)&gt;N(D496)-N(E496),"Downtime &gt; planned time",IF(AND(ISNUMBER(O496),O496&gt;1),"Check: performance above 100%","OK"))))))))))</f>
        <v/>
      </c>
      <c r="S496" s="13" t="str">
        <f aca="false">IF($T496,K496*M496/60,"")</f>
        <v/>
      </c>
      <c r="T496" s="15" t="b">
        <f aca="false">IF($C496="",FALSE(),AND(SUMPRODUCT(--(Setup!$A$5:$A$24=$C496))&gt;0,ISNUMBER(A496),ISNUMBER(K496),N(K496)&gt;0,ISNUMBER(D496),N(D496)&gt;0,ISNUMBER(G496),N(G496)&gt;=0,OR(E496="",ISNUMBER(E496)),OR(F496="",ISNUMBER(F496)),OR(H496="",ISNUMBER(H496)),N(E496)&gt;=0,N(F496)&gt;=0,N(H496)&gt;=0,N(H496)&lt;=N(G496),N(E496)&lt;N(D496),N(F496)&lt;=N(D496)-N(E496)))</f>
        <v>0</v>
      </c>
    </row>
    <row r="497" customFormat="false" ht="15" hidden="false" customHeight="false" outlineLevel="0" collapsed="false">
      <c r="A497" s="11"/>
      <c r="B497" s="8"/>
      <c r="C497" s="8"/>
      <c r="D497" s="8"/>
      <c r="E497" s="8"/>
      <c r="F497" s="8"/>
      <c r="G497" s="8"/>
      <c r="H497" s="8"/>
      <c r="I497" s="12" t="str">
        <f aca="false">IF($T497,D497-N(E497),"")</f>
        <v/>
      </c>
      <c r="J497" s="12" t="str">
        <f aca="false">IF($T497,I497-N(F497),"")</f>
        <v/>
      </c>
      <c r="K497" s="13" t="str">
        <f aca="false">IF($C497="","",IF(SUMPRODUCT(--(Setup!$A$5:$A$24=$C497))&gt;0,INDEX(Setup!$B$5:$B$24,21-SUMPRODUCT(MAX((Setup!$A$5:$A$24=$C497)*(25-ROW(Setup!$A$5:$A$24))))),""))</f>
        <v/>
      </c>
      <c r="L497" s="13" t="str">
        <f aca="false">IF($T497,K497*G497/60,"")</f>
        <v/>
      </c>
      <c r="M497" s="12" t="str">
        <f aca="false">IF($T497,G497-N(H497),"")</f>
        <v/>
      </c>
      <c r="N497" s="14" t="str">
        <f aca="false">IF($T497,J497/I497,"")</f>
        <v/>
      </c>
      <c r="O497" s="14" t="str">
        <f aca="false">IF(AND($T497,N(J497)&gt;0),L497/J497,"")</f>
        <v/>
      </c>
      <c r="P497" s="14" t="str">
        <f aca="false">IF(AND($T497,N(G497)&gt;0),M497/G497,"")</f>
        <v/>
      </c>
      <c r="Q497" s="14" t="str">
        <f aca="false">IF($T497,S497/I497,"")</f>
        <v/>
      </c>
      <c r="R497" s="10" t="str">
        <f aca="false">IF($C497="","",IF(NOT(SUMPRODUCT(--(Setup!$A$5:$A$24=$C497))&gt;0),"Machine not in Setup",IF(OR(NOT(ISNUMBER(K497)),N(K497)&lt;=0),"Set an ideal cycle time in Setup",IF(NOT(ISNUMBER(A497)),"Enter a date",IF(OR(NOT(ISNUMBER(D497)),NOT(ISNUMBER(G497)),AND(E497&lt;&gt;"",NOT(ISNUMBER(E497))),AND(F497&lt;&gt;"",NOT(ISNUMBER(F497))),AND(H497&lt;&gt;"",NOT(ISNUMBER(H497)))),"Enter numbers: shift length and total parts are required",IF(OR(N(D497)&lt;=0,N(E497)&lt;0,N(F497)&lt;0,N(G497)&lt;0,N(H497)&lt;0),"Values must be 0 or more (shift length above 0)",IF(N(H497)&gt;N(G497),"Rejects &gt; total parts",IF(N(E497)&gt;=N(D497),"Planned stops &gt;= shift length",IF(N(F497)&gt;N(D497)-N(E497),"Downtime &gt; planned time",IF(AND(ISNUMBER(O497),O497&gt;1),"Check: performance above 100%","OK"))))))))))</f>
        <v/>
      </c>
      <c r="S497" s="13" t="str">
        <f aca="false">IF($T497,K497*M497/60,"")</f>
        <v/>
      </c>
      <c r="T497" s="15" t="b">
        <f aca="false">IF($C497="",FALSE(),AND(SUMPRODUCT(--(Setup!$A$5:$A$24=$C497))&gt;0,ISNUMBER(A497),ISNUMBER(K497),N(K497)&gt;0,ISNUMBER(D497),N(D497)&gt;0,ISNUMBER(G497),N(G497)&gt;=0,OR(E497="",ISNUMBER(E497)),OR(F497="",ISNUMBER(F497)),OR(H497="",ISNUMBER(H497)),N(E497)&gt;=0,N(F497)&gt;=0,N(H497)&gt;=0,N(H497)&lt;=N(G497),N(E497)&lt;N(D497),N(F497)&lt;=N(D497)-N(E497)))</f>
        <v>0</v>
      </c>
    </row>
    <row r="498" customFormat="false" ht="15" hidden="false" customHeight="false" outlineLevel="0" collapsed="false">
      <c r="A498" s="11"/>
      <c r="B498" s="8"/>
      <c r="C498" s="8"/>
      <c r="D498" s="8"/>
      <c r="E498" s="8"/>
      <c r="F498" s="8"/>
      <c r="G498" s="8"/>
      <c r="H498" s="8"/>
      <c r="I498" s="12" t="str">
        <f aca="false">IF($T498,D498-N(E498),"")</f>
        <v/>
      </c>
      <c r="J498" s="12" t="str">
        <f aca="false">IF($T498,I498-N(F498),"")</f>
        <v/>
      </c>
      <c r="K498" s="13" t="str">
        <f aca="false">IF($C498="","",IF(SUMPRODUCT(--(Setup!$A$5:$A$24=$C498))&gt;0,INDEX(Setup!$B$5:$B$24,21-SUMPRODUCT(MAX((Setup!$A$5:$A$24=$C498)*(25-ROW(Setup!$A$5:$A$24))))),""))</f>
        <v/>
      </c>
      <c r="L498" s="13" t="str">
        <f aca="false">IF($T498,K498*G498/60,"")</f>
        <v/>
      </c>
      <c r="M498" s="12" t="str">
        <f aca="false">IF($T498,G498-N(H498),"")</f>
        <v/>
      </c>
      <c r="N498" s="14" t="str">
        <f aca="false">IF($T498,J498/I498,"")</f>
        <v/>
      </c>
      <c r="O498" s="14" t="str">
        <f aca="false">IF(AND($T498,N(J498)&gt;0),L498/J498,"")</f>
        <v/>
      </c>
      <c r="P498" s="14" t="str">
        <f aca="false">IF(AND($T498,N(G498)&gt;0),M498/G498,"")</f>
        <v/>
      </c>
      <c r="Q498" s="14" t="str">
        <f aca="false">IF($T498,S498/I498,"")</f>
        <v/>
      </c>
      <c r="R498" s="10" t="str">
        <f aca="false">IF($C498="","",IF(NOT(SUMPRODUCT(--(Setup!$A$5:$A$24=$C498))&gt;0),"Machine not in Setup",IF(OR(NOT(ISNUMBER(K498)),N(K498)&lt;=0),"Set an ideal cycle time in Setup",IF(NOT(ISNUMBER(A498)),"Enter a date",IF(OR(NOT(ISNUMBER(D498)),NOT(ISNUMBER(G498)),AND(E498&lt;&gt;"",NOT(ISNUMBER(E498))),AND(F498&lt;&gt;"",NOT(ISNUMBER(F498))),AND(H498&lt;&gt;"",NOT(ISNUMBER(H498)))),"Enter numbers: shift length and total parts are required",IF(OR(N(D498)&lt;=0,N(E498)&lt;0,N(F498)&lt;0,N(G498)&lt;0,N(H498)&lt;0),"Values must be 0 or more (shift length above 0)",IF(N(H498)&gt;N(G498),"Rejects &gt; total parts",IF(N(E498)&gt;=N(D498),"Planned stops &gt;= shift length",IF(N(F498)&gt;N(D498)-N(E498),"Downtime &gt; planned time",IF(AND(ISNUMBER(O498),O498&gt;1),"Check: performance above 100%","OK"))))))))))</f>
        <v/>
      </c>
      <c r="S498" s="13" t="str">
        <f aca="false">IF($T498,K498*M498/60,"")</f>
        <v/>
      </c>
      <c r="T498" s="15" t="b">
        <f aca="false">IF($C498="",FALSE(),AND(SUMPRODUCT(--(Setup!$A$5:$A$24=$C498))&gt;0,ISNUMBER(A498),ISNUMBER(K498),N(K498)&gt;0,ISNUMBER(D498),N(D498)&gt;0,ISNUMBER(G498),N(G498)&gt;=0,OR(E498="",ISNUMBER(E498)),OR(F498="",ISNUMBER(F498)),OR(H498="",ISNUMBER(H498)),N(E498)&gt;=0,N(F498)&gt;=0,N(H498)&gt;=0,N(H498)&lt;=N(G498),N(E498)&lt;N(D498),N(F498)&lt;=N(D498)-N(E498)))</f>
        <v>0</v>
      </c>
    </row>
    <row r="499" customFormat="false" ht="15" hidden="false" customHeight="false" outlineLevel="0" collapsed="false">
      <c r="A499" s="11"/>
      <c r="B499" s="8"/>
      <c r="C499" s="8"/>
      <c r="D499" s="8"/>
      <c r="E499" s="8"/>
      <c r="F499" s="8"/>
      <c r="G499" s="8"/>
      <c r="H499" s="8"/>
      <c r="I499" s="12" t="str">
        <f aca="false">IF($T499,D499-N(E499),"")</f>
        <v/>
      </c>
      <c r="J499" s="12" t="str">
        <f aca="false">IF($T499,I499-N(F499),"")</f>
        <v/>
      </c>
      <c r="K499" s="13" t="str">
        <f aca="false">IF($C499="","",IF(SUMPRODUCT(--(Setup!$A$5:$A$24=$C499))&gt;0,INDEX(Setup!$B$5:$B$24,21-SUMPRODUCT(MAX((Setup!$A$5:$A$24=$C499)*(25-ROW(Setup!$A$5:$A$24))))),""))</f>
        <v/>
      </c>
      <c r="L499" s="13" t="str">
        <f aca="false">IF($T499,K499*G499/60,"")</f>
        <v/>
      </c>
      <c r="M499" s="12" t="str">
        <f aca="false">IF($T499,G499-N(H499),"")</f>
        <v/>
      </c>
      <c r="N499" s="14" t="str">
        <f aca="false">IF($T499,J499/I499,"")</f>
        <v/>
      </c>
      <c r="O499" s="14" t="str">
        <f aca="false">IF(AND($T499,N(J499)&gt;0),L499/J499,"")</f>
        <v/>
      </c>
      <c r="P499" s="14" t="str">
        <f aca="false">IF(AND($T499,N(G499)&gt;0),M499/G499,"")</f>
        <v/>
      </c>
      <c r="Q499" s="14" t="str">
        <f aca="false">IF($T499,S499/I499,"")</f>
        <v/>
      </c>
      <c r="R499" s="10" t="str">
        <f aca="false">IF($C499="","",IF(NOT(SUMPRODUCT(--(Setup!$A$5:$A$24=$C499))&gt;0),"Machine not in Setup",IF(OR(NOT(ISNUMBER(K499)),N(K499)&lt;=0),"Set an ideal cycle time in Setup",IF(NOT(ISNUMBER(A499)),"Enter a date",IF(OR(NOT(ISNUMBER(D499)),NOT(ISNUMBER(G499)),AND(E499&lt;&gt;"",NOT(ISNUMBER(E499))),AND(F499&lt;&gt;"",NOT(ISNUMBER(F499))),AND(H499&lt;&gt;"",NOT(ISNUMBER(H499)))),"Enter numbers: shift length and total parts are required",IF(OR(N(D499)&lt;=0,N(E499)&lt;0,N(F499)&lt;0,N(G499)&lt;0,N(H499)&lt;0),"Values must be 0 or more (shift length above 0)",IF(N(H499)&gt;N(G499),"Rejects &gt; total parts",IF(N(E499)&gt;=N(D499),"Planned stops &gt;= shift length",IF(N(F499)&gt;N(D499)-N(E499),"Downtime &gt; planned time",IF(AND(ISNUMBER(O499),O499&gt;1),"Check: performance above 100%","OK"))))))))))</f>
        <v/>
      </c>
      <c r="S499" s="13" t="str">
        <f aca="false">IF($T499,K499*M499/60,"")</f>
        <v/>
      </c>
      <c r="T499" s="15" t="b">
        <f aca="false">IF($C499="",FALSE(),AND(SUMPRODUCT(--(Setup!$A$5:$A$24=$C499))&gt;0,ISNUMBER(A499),ISNUMBER(K499),N(K499)&gt;0,ISNUMBER(D499),N(D499)&gt;0,ISNUMBER(G499),N(G499)&gt;=0,OR(E499="",ISNUMBER(E499)),OR(F499="",ISNUMBER(F499)),OR(H499="",ISNUMBER(H499)),N(E499)&gt;=0,N(F499)&gt;=0,N(H499)&gt;=0,N(H499)&lt;=N(G499),N(E499)&lt;N(D499),N(F499)&lt;=N(D499)-N(E499)))</f>
        <v>0</v>
      </c>
    </row>
    <row r="500" customFormat="false" ht="15" hidden="false" customHeight="false" outlineLevel="0" collapsed="false">
      <c r="A500" s="11"/>
      <c r="B500" s="8"/>
      <c r="C500" s="8"/>
      <c r="D500" s="8"/>
      <c r="E500" s="8"/>
      <c r="F500" s="8"/>
      <c r="G500" s="8"/>
      <c r="H500" s="8"/>
      <c r="I500" s="12" t="str">
        <f aca="false">IF($T500,D500-N(E500),"")</f>
        <v/>
      </c>
      <c r="J500" s="12" t="str">
        <f aca="false">IF($T500,I500-N(F500),"")</f>
        <v/>
      </c>
      <c r="K500" s="13" t="str">
        <f aca="false">IF($C500="","",IF(SUMPRODUCT(--(Setup!$A$5:$A$24=$C500))&gt;0,INDEX(Setup!$B$5:$B$24,21-SUMPRODUCT(MAX((Setup!$A$5:$A$24=$C500)*(25-ROW(Setup!$A$5:$A$24))))),""))</f>
        <v/>
      </c>
      <c r="L500" s="13" t="str">
        <f aca="false">IF($T500,K500*G500/60,"")</f>
        <v/>
      </c>
      <c r="M500" s="12" t="str">
        <f aca="false">IF($T500,G500-N(H500),"")</f>
        <v/>
      </c>
      <c r="N500" s="14" t="str">
        <f aca="false">IF($T500,J500/I500,"")</f>
        <v/>
      </c>
      <c r="O500" s="14" t="str">
        <f aca="false">IF(AND($T500,N(J500)&gt;0),L500/J500,"")</f>
        <v/>
      </c>
      <c r="P500" s="14" t="str">
        <f aca="false">IF(AND($T500,N(G500)&gt;0),M500/G500,"")</f>
        <v/>
      </c>
      <c r="Q500" s="14" t="str">
        <f aca="false">IF($T500,S500/I500,"")</f>
        <v/>
      </c>
      <c r="R500" s="10" t="str">
        <f aca="false">IF($C500="","",IF(NOT(SUMPRODUCT(--(Setup!$A$5:$A$24=$C500))&gt;0),"Machine not in Setup",IF(OR(NOT(ISNUMBER(K500)),N(K500)&lt;=0),"Set an ideal cycle time in Setup",IF(NOT(ISNUMBER(A500)),"Enter a date",IF(OR(NOT(ISNUMBER(D500)),NOT(ISNUMBER(G500)),AND(E500&lt;&gt;"",NOT(ISNUMBER(E500))),AND(F500&lt;&gt;"",NOT(ISNUMBER(F500))),AND(H500&lt;&gt;"",NOT(ISNUMBER(H500)))),"Enter numbers: shift length and total parts are required",IF(OR(N(D500)&lt;=0,N(E500)&lt;0,N(F500)&lt;0,N(G500)&lt;0,N(H500)&lt;0),"Values must be 0 or more (shift length above 0)",IF(N(H500)&gt;N(G500),"Rejects &gt; total parts",IF(N(E500)&gt;=N(D500),"Planned stops &gt;= shift length",IF(N(F500)&gt;N(D500)-N(E500),"Downtime &gt; planned time",IF(AND(ISNUMBER(O500),O500&gt;1),"Check: performance above 100%","OK"))))))))))</f>
        <v/>
      </c>
      <c r="S500" s="13" t="str">
        <f aca="false">IF($T500,K500*M500/60,"")</f>
        <v/>
      </c>
      <c r="T500" s="15" t="b">
        <f aca="false">IF($C500="",FALSE(),AND(SUMPRODUCT(--(Setup!$A$5:$A$24=$C500))&gt;0,ISNUMBER(A500),ISNUMBER(K500),N(K500)&gt;0,ISNUMBER(D500),N(D500)&gt;0,ISNUMBER(G500),N(G500)&gt;=0,OR(E500="",ISNUMBER(E500)),OR(F500="",ISNUMBER(F500)),OR(H500="",ISNUMBER(H500)),N(E500)&gt;=0,N(F500)&gt;=0,N(H500)&gt;=0,N(H500)&lt;=N(G500),N(E500)&lt;N(D500),N(F500)&lt;=N(D500)-N(E500)))</f>
        <v>0</v>
      </c>
    </row>
    <row r="501" customFormat="false" ht="15" hidden="false" customHeight="false" outlineLevel="0" collapsed="false">
      <c r="A501" s="11"/>
      <c r="B501" s="8"/>
      <c r="C501" s="8"/>
      <c r="D501" s="8"/>
      <c r="E501" s="8"/>
      <c r="F501" s="8"/>
      <c r="G501" s="8"/>
      <c r="H501" s="8"/>
      <c r="I501" s="12" t="str">
        <f aca="false">IF($T501,D501-N(E501),"")</f>
        <v/>
      </c>
      <c r="J501" s="12" t="str">
        <f aca="false">IF($T501,I501-N(F501),"")</f>
        <v/>
      </c>
      <c r="K501" s="13" t="str">
        <f aca="false">IF($C501="","",IF(SUMPRODUCT(--(Setup!$A$5:$A$24=$C501))&gt;0,INDEX(Setup!$B$5:$B$24,21-SUMPRODUCT(MAX((Setup!$A$5:$A$24=$C501)*(25-ROW(Setup!$A$5:$A$24))))),""))</f>
        <v/>
      </c>
      <c r="L501" s="13" t="str">
        <f aca="false">IF($T501,K501*G501/60,"")</f>
        <v/>
      </c>
      <c r="M501" s="12" t="str">
        <f aca="false">IF($T501,G501-N(H501),"")</f>
        <v/>
      </c>
      <c r="N501" s="14" t="str">
        <f aca="false">IF($T501,J501/I501,"")</f>
        <v/>
      </c>
      <c r="O501" s="14" t="str">
        <f aca="false">IF(AND($T501,N(J501)&gt;0),L501/J501,"")</f>
        <v/>
      </c>
      <c r="P501" s="14" t="str">
        <f aca="false">IF(AND($T501,N(G501)&gt;0),M501/G501,"")</f>
        <v/>
      </c>
      <c r="Q501" s="14" t="str">
        <f aca="false">IF($T501,S501/I501,"")</f>
        <v/>
      </c>
      <c r="R501" s="10" t="str">
        <f aca="false">IF($C501="","",IF(NOT(SUMPRODUCT(--(Setup!$A$5:$A$24=$C501))&gt;0),"Machine not in Setup",IF(OR(NOT(ISNUMBER(K501)),N(K501)&lt;=0),"Set an ideal cycle time in Setup",IF(NOT(ISNUMBER(A501)),"Enter a date",IF(OR(NOT(ISNUMBER(D501)),NOT(ISNUMBER(G501)),AND(E501&lt;&gt;"",NOT(ISNUMBER(E501))),AND(F501&lt;&gt;"",NOT(ISNUMBER(F501))),AND(H501&lt;&gt;"",NOT(ISNUMBER(H501)))),"Enter numbers: shift length and total parts are required",IF(OR(N(D501)&lt;=0,N(E501)&lt;0,N(F501)&lt;0,N(G501)&lt;0,N(H501)&lt;0),"Values must be 0 or more (shift length above 0)",IF(N(H501)&gt;N(G501),"Rejects &gt; total parts",IF(N(E501)&gt;=N(D501),"Planned stops &gt;= shift length",IF(N(F501)&gt;N(D501)-N(E501),"Downtime &gt; planned time",IF(AND(ISNUMBER(O501),O501&gt;1),"Check: performance above 100%","OK"))))))))))</f>
        <v/>
      </c>
      <c r="S501" s="13" t="str">
        <f aca="false">IF($T501,K501*M501/60,"")</f>
        <v/>
      </c>
      <c r="T501" s="15" t="b">
        <f aca="false">IF($C501="",FALSE(),AND(SUMPRODUCT(--(Setup!$A$5:$A$24=$C501))&gt;0,ISNUMBER(A501),ISNUMBER(K501),N(K501)&gt;0,ISNUMBER(D501),N(D501)&gt;0,ISNUMBER(G501),N(G501)&gt;=0,OR(E501="",ISNUMBER(E501)),OR(F501="",ISNUMBER(F501)),OR(H501="",ISNUMBER(H501)),N(E501)&gt;=0,N(F501)&gt;=0,N(H501)&gt;=0,N(H501)&lt;=N(G501),N(E501)&lt;N(D501),N(F501)&lt;=N(D501)-N(E501)))</f>
        <v>0</v>
      </c>
    </row>
    <row r="502" customFormat="false" ht="15" hidden="false" customHeight="false" outlineLevel="0" collapsed="false">
      <c r="A502" s="11"/>
      <c r="B502" s="8"/>
      <c r="C502" s="8"/>
      <c r="D502" s="8"/>
      <c r="E502" s="8"/>
      <c r="F502" s="8"/>
      <c r="G502" s="8"/>
      <c r="H502" s="8"/>
      <c r="I502" s="12" t="str">
        <f aca="false">IF($T502,D502-N(E502),"")</f>
        <v/>
      </c>
      <c r="J502" s="12" t="str">
        <f aca="false">IF($T502,I502-N(F502),"")</f>
        <v/>
      </c>
      <c r="K502" s="13" t="str">
        <f aca="false">IF($C502="","",IF(SUMPRODUCT(--(Setup!$A$5:$A$24=$C502))&gt;0,INDEX(Setup!$B$5:$B$24,21-SUMPRODUCT(MAX((Setup!$A$5:$A$24=$C502)*(25-ROW(Setup!$A$5:$A$24))))),""))</f>
        <v/>
      </c>
      <c r="L502" s="13" t="str">
        <f aca="false">IF($T502,K502*G502/60,"")</f>
        <v/>
      </c>
      <c r="M502" s="12" t="str">
        <f aca="false">IF($T502,G502-N(H502),"")</f>
        <v/>
      </c>
      <c r="N502" s="14" t="str">
        <f aca="false">IF($T502,J502/I502,"")</f>
        <v/>
      </c>
      <c r="O502" s="14" t="str">
        <f aca="false">IF(AND($T502,N(J502)&gt;0),L502/J502,"")</f>
        <v/>
      </c>
      <c r="P502" s="14" t="str">
        <f aca="false">IF(AND($T502,N(G502)&gt;0),M502/G502,"")</f>
        <v/>
      </c>
      <c r="Q502" s="14" t="str">
        <f aca="false">IF($T502,S502/I502,"")</f>
        <v/>
      </c>
      <c r="R502" s="10" t="str">
        <f aca="false">IF($C502="","",IF(NOT(SUMPRODUCT(--(Setup!$A$5:$A$24=$C502))&gt;0),"Machine not in Setup",IF(OR(NOT(ISNUMBER(K502)),N(K502)&lt;=0),"Set an ideal cycle time in Setup",IF(NOT(ISNUMBER(A502)),"Enter a date",IF(OR(NOT(ISNUMBER(D502)),NOT(ISNUMBER(G502)),AND(E502&lt;&gt;"",NOT(ISNUMBER(E502))),AND(F502&lt;&gt;"",NOT(ISNUMBER(F502))),AND(H502&lt;&gt;"",NOT(ISNUMBER(H502)))),"Enter numbers: shift length and total parts are required",IF(OR(N(D502)&lt;=0,N(E502)&lt;0,N(F502)&lt;0,N(G502)&lt;0,N(H502)&lt;0),"Values must be 0 or more (shift length above 0)",IF(N(H502)&gt;N(G502),"Rejects &gt; total parts",IF(N(E502)&gt;=N(D502),"Planned stops &gt;= shift length",IF(N(F502)&gt;N(D502)-N(E502),"Downtime &gt; planned time",IF(AND(ISNUMBER(O502),O502&gt;1),"Check: performance above 100%","OK"))))))))))</f>
        <v/>
      </c>
      <c r="S502" s="13" t="str">
        <f aca="false">IF($T502,K502*M502/60,"")</f>
        <v/>
      </c>
      <c r="T502" s="15" t="b">
        <f aca="false">IF($C502="",FALSE(),AND(SUMPRODUCT(--(Setup!$A$5:$A$24=$C502))&gt;0,ISNUMBER(A502),ISNUMBER(K502),N(K502)&gt;0,ISNUMBER(D502),N(D502)&gt;0,ISNUMBER(G502),N(G502)&gt;=0,OR(E502="",ISNUMBER(E502)),OR(F502="",ISNUMBER(F502)),OR(H502="",ISNUMBER(H502)),N(E502)&gt;=0,N(F502)&gt;=0,N(H502)&gt;=0,N(H502)&lt;=N(G502),N(E502)&lt;N(D502),N(F502)&lt;=N(D502)-N(E502)))</f>
        <v>0</v>
      </c>
    </row>
    <row r="503" customFormat="false" ht="15" hidden="false" customHeight="false" outlineLevel="0" collapsed="false">
      <c r="A503" s="11"/>
      <c r="B503" s="8"/>
      <c r="C503" s="8"/>
      <c r="D503" s="8"/>
      <c r="E503" s="8"/>
      <c r="F503" s="8"/>
      <c r="G503" s="8"/>
      <c r="H503" s="8"/>
      <c r="I503" s="12" t="str">
        <f aca="false">IF($T503,D503-N(E503),"")</f>
        <v/>
      </c>
      <c r="J503" s="12" t="str">
        <f aca="false">IF($T503,I503-N(F503),"")</f>
        <v/>
      </c>
      <c r="K503" s="13" t="str">
        <f aca="false">IF($C503="","",IF(SUMPRODUCT(--(Setup!$A$5:$A$24=$C503))&gt;0,INDEX(Setup!$B$5:$B$24,21-SUMPRODUCT(MAX((Setup!$A$5:$A$24=$C503)*(25-ROW(Setup!$A$5:$A$24))))),""))</f>
        <v/>
      </c>
      <c r="L503" s="13" t="str">
        <f aca="false">IF($T503,K503*G503/60,"")</f>
        <v/>
      </c>
      <c r="M503" s="12" t="str">
        <f aca="false">IF($T503,G503-N(H503),"")</f>
        <v/>
      </c>
      <c r="N503" s="14" t="str">
        <f aca="false">IF($T503,J503/I503,"")</f>
        <v/>
      </c>
      <c r="O503" s="14" t="str">
        <f aca="false">IF(AND($T503,N(J503)&gt;0),L503/J503,"")</f>
        <v/>
      </c>
      <c r="P503" s="14" t="str">
        <f aca="false">IF(AND($T503,N(G503)&gt;0),M503/G503,"")</f>
        <v/>
      </c>
      <c r="Q503" s="14" t="str">
        <f aca="false">IF($T503,S503/I503,"")</f>
        <v/>
      </c>
      <c r="R503" s="10" t="str">
        <f aca="false">IF($C503="","",IF(NOT(SUMPRODUCT(--(Setup!$A$5:$A$24=$C503))&gt;0),"Machine not in Setup",IF(OR(NOT(ISNUMBER(K503)),N(K503)&lt;=0),"Set an ideal cycle time in Setup",IF(NOT(ISNUMBER(A503)),"Enter a date",IF(OR(NOT(ISNUMBER(D503)),NOT(ISNUMBER(G503)),AND(E503&lt;&gt;"",NOT(ISNUMBER(E503))),AND(F503&lt;&gt;"",NOT(ISNUMBER(F503))),AND(H503&lt;&gt;"",NOT(ISNUMBER(H503)))),"Enter numbers: shift length and total parts are required",IF(OR(N(D503)&lt;=0,N(E503)&lt;0,N(F503)&lt;0,N(G503)&lt;0,N(H503)&lt;0),"Values must be 0 or more (shift length above 0)",IF(N(H503)&gt;N(G503),"Rejects &gt; total parts",IF(N(E503)&gt;=N(D503),"Planned stops &gt;= shift length",IF(N(F503)&gt;N(D503)-N(E503),"Downtime &gt; planned time",IF(AND(ISNUMBER(O503),O503&gt;1),"Check: performance above 100%","OK"))))))))))</f>
        <v/>
      </c>
      <c r="S503" s="13" t="str">
        <f aca="false">IF($T503,K503*M503/60,"")</f>
        <v/>
      </c>
      <c r="T503" s="15" t="b">
        <f aca="false">IF($C503="",FALSE(),AND(SUMPRODUCT(--(Setup!$A$5:$A$24=$C503))&gt;0,ISNUMBER(A503),ISNUMBER(K503),N(K503)&gt;0,ISNUMBER(D503),N(D503)&gt;0,ISNUMBER(G503),N(G503)&gt;=0,OR(E503="",ISNUMBER(E503)),OR(F503="",ISNUMBER(F503)),OR(H503="",ISNUMBER(H503)),N(E503)&gt;=0,N(F503)&gt;=0,N(H503)&gt;=0,N(H503)&lt;=N(G503),N(E503)&lt;N(D503),N(F503)&lt;=N(D503)-N(E503)))</f>
        <v>0</v>
      </c>
    </row>
    <row r="504" customFormat="false" ht="15" hidden="false" customHeight="false" outlineLevel="0" collapsed="false">
      <c r="A504" s="11"/>
      <c r="B504" s="8"/>
      <c r="C504" s="8"/>
      <c r="D504" s="8"/>
      <c r="E504" s="8"/>
      <c r="F504" s="8"/>
      <c r="G504" s="8"/>
      <c r="H504" s="8"/>
      <c r="I504" s="12" t="str">
        <f aca="false">IF($T504,D504-N(E504),"")</f>
        <v/>
      </c>
      <c r="J504" s="12" t="str">
        <f aca="false">IF($T504,I504-N(F504),"")</f>
        <v/>
      </c>
      <c r="K504" s="13" t="str">
        <f aca="false">IF($C504="","",IF(SUMPRODUCT(--(Setup!$A$5:$A$24=$C504))&gt;0,INDEX(Setup!$B$5:$B$24,21-SUMPRODUCT(MAX((Setup!$A$5:$A$24=$C504)*(25-ROW(Setup!$A$5:$A$24))))),""))</f>
        <v/>
      </c>
      <c r="L504" s="13" t="str">
        <f aca="false">IF($T504,K504*G504/60,"")</f>
        <v/>
      </c>
      <c r="M504" s="12" t="str">
        <f aca="false">IF($T504,G504-N(H504),"")</f>
        <v/>
      </c>
      <c r="N504" s="14" t="str">
        <f aca="false">IF($T504,J504/I504,"")</f>
        <v/>
      </c>
      <c r="O504" s="14" t="str">
        <f aca="false">IF(AND($T504,N(J504)&gt;0),L504/J504,"")</f>
        <v/>
      </c>
      <c r="P504" s="14" t="str">
        <f aca="false">IF(AND($T504,N(G504)&gt;0),M504/G504,"")</f>
        <v/>
      </c>
      <c r="Q504" s="14" t="str">
        <f aca="false">IF($T504,S504/I504,"")</f>
        <v/>
      </c>
      <c r="R504" s="10" t="str">
        <f aca="false">IF($C504="","",IF(NOT(SUMPRODUCT(--(Setup!$A$5:$A$24=$C504))&gt;0),"Machine not in Setup",IF(OR(NOT(ISNUMBER(K504)),N(K504)&lt;=0),"Set an ideal cycle time in Setup",IF(NOT(ISNUMBER(A504)),"Enter a date",IF(OR(NOT(ISNUMBER(D504)),NOT(ISNUMBER(G504)),AND(E504&lt;&gt;"",NOT(ISNUMBER(E504))),AND(F504&lt;&gt;"",NOT(ISNUMBER(F504))),AND(H504&lt;&gt;"",NOT(ISNUMBER(H504)))),"Enter numbers: shift length and total parts are required",IF(OR(N(D504)&lt;=0,N(E504)&lt;0,N(F504)&lt;0,N(G504)&lt;0,N(H504)&lt;0),"Values must be 0 or more (shift length above 0)",IF(N(H504)&gt;N(G504),"Rejects &gt; total parts",IF(N(E504)&gt;=N(D504),"Planned stops &gt;= shift length",IF(N(F504)&gt;N(D504)-N(E504),"Downtime &gt; planned time",IF(AND(ISNUMBER(O504),O504&gt;1),"Check: performance above 100%","OK"))))))))))</f>
        <v/>
      </c>
      <c r="S504" s="13" t="str">
        <f aca="false">IF($T504,K504*M504/60,"")</f>
        <v/>
      </c>
      <c r="T504" s="15" t="b">
        <f aca="false">IF($C504="",FALSE(),AND(SUMPRODUCT(--(Setup!$A$5:$A$24=$C504))&gt;0,ISNUMBER(A504),ISNUMBER(K504),N(K504)&gt;0,ISNUMBER(D504),N(D504)&gt;0,ISNUMBER(G504),N(G504)&gt;=0,OR(E504="",ISNUMBER(E504)),OR(F504="",ISNUMBER(F504)),OR(H504="",ISNUMBER(H504)),N(E504)&gt;=0,N(F504)&gt;=0,N(H504)&gt;=0,N(H504)&lt;=N(G504),N(E504)&lt;N(D504),N(F504)&lt;=N(D504)-N(E504)))</f>
        <v>0</v>
      </c>
    </row>
  </sheetData>
  <conditionalFormatting sqref="Q5:Q504">
    <cfRule type="expression" priority="2" aboveAverage="0" equalAverage="0" bottom="0" percent="0" rank="0" text="" dxfId="0">
      <formula>AND(ISNUMBER(Q5),Q5&lt;0.6)</formula>
    </cfRule>
    <cfRule type="expression" priority="3" aboveAverage="0" equalAverage="0" bottom="0" percent="0" rank="0" text="" dxfId="1">
      <formula>AND(ISNUMBER(Q5),Q5&gt;=Dashboard!$B$5)</formula>
    </cfRule>
    <cfRule type="expression" priority="4" aboveAverage="0" equalAverage="0" bottom="0" percent="0" rank="0" text="" dxfId="2">
      <formula>AND(ISNUMBER(Q5),Q5&gt;=0.6,Q5&lt;Dashboard!$B$5)</formula>
    </cfRule>
    <cfRule type="expression" priority="5" aboveAverage="0" equalAverage="0" bottom="0" percent="0" rank="0" text="" dxfId="0">
      <formula>AND(ISNUMBER(Q5),Q5&lt;0.6)</formula>
    </cfRule>
  </conditionalFormatting>
  <dataValidations count="2">
    <dataValidation allowBlank="true" error="Pick a machine listed on the Setup sheet." errorStyle="stop" operator="between" showDropDown="false" showErrorMessage="false" showInputMessage="false" sqref="C5:C504" type="list">
      <formula1>Setup!$A$5:$A$24</formula1>
      <formula2>0</formula2>
    </dataValidation>
    <dataValidation allowBlank="true" error="Enter a number of zero or more." errorStyle="stop" operator="greaterThanOrEqual" showDropDown="false" showErrorMessage="true" showInputMessage="false" sqref="D5:H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9" min="5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true" outlineLevel="0" max="13" min="13" style="0" width="13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3" customFormat="false" ht="15" hidden="false" customHeight="false" outlineLevel="0" collapsed="false">
      <c r="A3" s="16" t="s">
        <v>55</v>
      </c>
      <c r="B3" s="11"/>
      <c r="D3" s="17" t="n">
        <f aca="false">IF(B3="",DATE(1900,1,1),B3)</f>
        <v>2</v>
      </c>
    </row>
    <row r="4" customFormat="false" ht="15" hidden="false" customHeight="false" outlineLevel="0" collapsed="false">
      <c r="A4" s="16" t="s">
        <v>56</v>
      </c>
      <c r="B4" s="11"/>
      <c r="D4" s="17" t="n">
        <f aca="false">IF(B4="",DATE(2999,12,31),B4)</f>
        <v>401768</v>
      </c>
    </row>
    <row r="5" customFormat="false" ht="15" hidden="false" customHeight="false" outlineLevel="0" collapsed="false">
      <c r="A5" s="16" t="s">
        <v>57</v>
      </c>
      <c r="B5" s="18" t="n">
        <v>0.85</v>
      </c>
    </row>
    <row r="6" customFormat="false" ht="15" hidden="false" customHeight="false" outlineLevel="0" collapsed="false">
      <c r="A6" s="2" t="s">
        <v>58</v>
      </c>
    </row>
    <row r="8" customFormat="false" ht="31.5" hidden="false" customHeight="true" outlineLevel="0" collapsed="false">
      <c r="A8" s="7" t="s">
        <v>24</v>
      </c>
      <c r="B8" s="7" t="s">
        <v>59</v>
      </c>
      <c r="C8" s="7" t="s">
        <v>42</v>
      </c>
      <c r="D8" s="7" t="s">
        <v>38</v>
      </c>
      <c r="E8" s="7" t="s">
        <v>39</v>
      </c>
      <c r="F8" s="7" t="s">
        <v>45</v>
      </c>
      <c r="G8" s="7" t="s">
        <v>60</v>
      </c>
      <c r="H8" s="7" t="s">
        <v>46</v>
      </c>
      <c r="I8" s="7" t="s">
        <v>47</v>
      </c>
      <c r="J8" s="7" t="s">
        <v>48</v>
      </c>
      <c r="K8" s="7" t="s">
        <v>49</v>
      </c>
      <c r="L8" s="7" t="s">
        <v>61</v>
      </c>
      <c r="M8" s="19" t="s">
        <v>62</v>
      </c>
    </row>
    <row r="9" customFormat="false" ht="15" hidden="false" customHeight="false" outlineLevel="0" collapsed="false">
      <c r="A9" s="10" t="str">
        <f aca="false">IF(Setup!A5="","",IF(SUMPRODUCT(--(Setup!$A$4:A4=Setup!A5))&gt;0,"",Setup!A5))</f>
        <v>Press 01</v>
      </c>
      <c r="B9" s="20" t="n">
        <f aca="false">IF($A9="","",SUMPRODUCT(('Production Log'!$C$5:$C$504=$A9)*('Production Log'!$T$5:$T$504=TRUE())*('Production Log'!$A$5:$A$504&gt;=$D$3)*('Production Log'!$A$5:$A$504&lt;=$D$4),'Production Log'!$I$5:$I$504))</f>
        <v>880</v>
      </c>
      <c r="C9" s="20" t="n">
        <f aca="false">IF($A9="","",SUMPRODUCT(('Production Log'!$C$5:$C$504=$A9)*('Production Log'!$T$5:$T$504=TRUE())*('Production Log'!$A$5:$A$504&gt;=$D$3)*('Production Log'!$A$5:$A$504&lt;=$D$4),'Production Log'!$J$5:$J$504))</f>
        <v>755</v>
      </c>
      <c r="D9" s="20" t="n">
        <f aca="false">IF($A9="","",SUMPRODUCT(('Production Log'!$C$5:$C$504=$A9)*('Production Log'!$T$5:$T$504=TRUE())*('Production Log'!$A$5:$A$504&gt;=$D$3)*('Production Log'!$A$5:$A$504&lt;=$D$4),'Production Log'!$F$5:$F$504))</f>
        <v>125</v>
      </c>
      <c r="E9" s="20" t="n">
        <f aca="false">IF($A9="","",SUMPRODUCT(('Production Log'!$C$5:$C$504=$A9)*('Production Log'!$T$5:$T$504=TRUE())*('Production Log'!$A$5:$A$504&gt;=$D$3)*('Production Log'!$A$5:$A$504&lt;=$D$4),'Production Log'!$G$5:$G$504))</f>
        <v>3400</v>
      </c>
      <c r="F9" s="20" t="n">
        <f aca="false">IF($A9="","",SUMPRODUCT(('Production Log'!$C$5:$C$504=$A9)*('Production Log'!$T$5:$T$504=TRUE())*('Production Log'!$A$5:$A$504&gt;=$D$3)*('Production Log'!$A$5:$A$504&lt;=$D$4),'Production Log'!$M$5:$M$504))</f>
        <v>3348</v>
      </c>
      <c r="G9" s="20" t="n">
        <f aca="false">IF($A9="","",SUMPRODUCT(('Production Log'!$C$5:$C$504=$A9)*('Production Log'!$T$5:$T$504=TRUE())*('Production Log'!$A$5:$A$504&gt;=$D$3)*('Production Log'!$A$5:$A$504&lt;=$D$4),'Production Log'!$L$5:$L$504))</f>
        <v>680</v>
      </c>
      <c r="H9" s="14" t="n">
        <f aca="false">IF($A9="","",IF(B9=0,"",C9/B9))</f>
        <v>0.857954545454545</v>
      </c>
      <c r="I9" s="14" t="n">
        <f aca="false">IF($A9="","",IF(C9=0,"",G9/C9))</f>
        <v>0.900662251655629</v>
      </c>
      <c r="J9" s="14" t="n">
        <f aca="false">IF($A9="","",IF(G9=0,"",M9/G9))</f>
        <v>0.984705882352941</v>
      </c>
      <c r="K9" s="14" t="n">
        <f aca="false">IF($A9="","",IF(B9=0,"",M9/B9))</f>
        <v>0.760909090909091</v>
      </c>
      <c r="L9" s="21" t="n">
        <f aca="false">IF(K9="","",K9-$B$5)</f>
        <v>-0.089090909090909</v>
      </c>
      <c r="M9" s="22" t="n">
        <f aca="false">IF($A9="","",SUMPRODUCT(('Production Log'!$C$5:$C$504=$A9)*('Production Log'!$T$5:$T$504=TRUE())*('Production Log'!$A$5:$A$504&gt;=$D$3)*('Production Log'!$A$5:$A$504&lt;=$D$4),'Production Log'!$S$5:$S$504))</f>
        <v>669.6</v>
      </c>
    </row>
    <row r="10" customFormat="false" ht="15" hidden="false" customHeight="false" outlineLevel="0" collapsed="false">
      <c r="A10" s="10" t="str">
        <f aca="false">IF(Setup!A6="","",IF(SUMPRODUCT(--(Setup!$A$4:A5=Setup!A6))&gt;0,"",Setup!A6))</f>
        <v>CNC Lathe 02</v>
      </c>
      <c r="B10" s="20" t="n">
        <f aca="false">IF($A10="","",SUMPRODUCT(('Production Log'!$C$5:$C$504=$A10)*('Production Log'!$T$5:$T$504=TRUE())*('Production Log'!$A$5:$A$504&gt;=$D$3)*('Production Log'!$A$5:$A$504&lt;=$D$4),'Production Log'!$I$5:$I$504))</f>
        <v>880</v>
      </c>
      <c r="C10" s="20" t="n">
        <f aca="false">IF($A10="","",SUMPRODUCT(('Production Log'!$C$5:$C$504=$A10)*('Production Log'!$T$5:$T$504=TRUE())*('Production Log'!$A$5:$A$504&gt;=$D$3)*('Production Log'!$A$5:$A$504&lt;=$D$4),'Production Log'!$J$5:$J$504))</f>
        <v>800</v>
      </c>
      <c r="D10" s="20" t="n">
        <f aca="false">IF($A10="","",SUMPRODUCT(('Production Log'!$C$5:$C$504=$A10)*('Production Log'!$T$5:$T$504=TRUE())*('Production Log'!$A$5:$A$504&gt;=$D$3)*('Production Log'!$A$5:$A$504&lt;=$D$4),'Production Log'!$F$5:$F$504))</f>
        <v>80</v>
      </c>
      <c r="E10" s="20" t="n">
        <f aca="false">IF($A10="","",SUMPRODUCT(('Production Log'!$C$5:$C$504=$A10)*('Production Log'!$T$5:$T$504=TRUE())*('Production Log'!$A$5:$A$504&gt;=$D$3)*('Production Log'!$A$5:$A$504&lt;=$D$4),'Production Log'!$G$5:$G$504))</f>
        <v>450</v>
      </c>
      <c r="F10" s="20" t="n">
        <f aca="false">IF($A10="","",SUMPRODUCT(('Production Log'!$C$5:$C$504=$A10)*('Production Log'!$T$5:$T$504=TRUE())*('Production Log'!$A$5:$A$504&gt;=$D$3)*('Production Log'!$A$5:$A$504&lt;=$D$4),'Production Log'!$M$5:$M$504))</f>
        <v>444</v>
      </c>
      <c r="G10" s="20" t="n">
        <f aca="false">IF($A10="","",SUMPRODUCT(('Production Log'!$C$5:$C$504=$A10)*('Production Log'!$T$5:$T$504=TRUE())*('Production Log'!$A$5:$A$504&gt;=$D$3)*('Production Log'!$A$5:$A$504&lt;=$D$4),'Production Log'!$L$5:$L$504))</f>
        <v>712.5</v>
      </c>
      <c r="H10" s="14" t="n">
        <f aca="false">IF($A10="","",IF(B10=0,"",C10/B10))</f>
        <v>0.909090909090909</v>
      </c>
      <c r="I10" s="14" t="n">
        <f aca="false">IF($A10="","",IF(C10=0,"",G10/C10))</f>
        <v>0.890625</v>
      </c>
      <c r="J10" s="14" t="n">
        <f aca="false">IF($A10="","",IF(G10=0,"",M10/G10))</f>
        <v>0.986666666666667</v>
      </c>
      <c r="K10" s="14" t="n">
        <f aca="false">IF($A10="","",IF(B10=0,"",M10/B10))</f>
        <v>0.798863636363636</v>
      </c>
      <c r="L10" s="21" t="n">
        <f aca="false">IF(K10="","",K10-$B$5)</f>
        <v>-0.0511363636363636</v>
      </c>
      <c r="M10" s="22" t="n">
        <f aca="false">IF($A10="","",SUMPRODUCT(('Production Log'!$C$5:$C$504=$A10)*('Production Log'!$T$5:$T$504=TRUE())*('Production Log'!$A$5:$A$504&gt;=$D$3)*('Production Log'!$A$5:$A$504&lt;=$D$4),'Production Log'!$S$5:$S$504))</f>
        <v>703</v>
      </c>
    </row>
    <row r="11" customFormat="false" ht="15" hidden="false" customHeight="false" outlineLevel="0" collapsed="false">
      <c r="A11" s="10" t="str">
        <f aca="false">IF(Setup!A7="","",IF(SUMPRODUCT(--(Setup!$A$4:A6=Setup!A7))&gt;0,"",Setup!A7))</f>
        <v>Packaging Line A</v>
      </c>
      <c r="B11" s="20" t="n">
        <f aca="false">IF($A11="","",SUMPRODUCT(('Production Log'!$C$5:$C$504=$A11)*('Production Log'!$T$5:$T$504=TRUE())*('Production Log'!$A$5:$A$504&gt;=$D$3)*('Production Log'!$A$5:$A$504&lt;=$D$4),'Production Log'!$I$5:$I$504))</f>
        <v>880</v>
      </c>
      <c r="C11" s="20" t="n">
        <f aca="false">IF($A11="","",SUMPRODUCT(('Production Log'!$C$5:$C$504=$A11)*('Production Log'!$T$5:$T$504=TRUE())*('Production Log'!$A$5:$A$504&gt;=$D$3)*('Production Log'!$A$5:$A$504&lt;=$D$4),'Production Log'!$J$5:$J$504))</f>
        <v>800</v>
      </c>
      <c r="D11" s="20" t="n">
        <f aca="false">IF($A11="","",SUMPRODUCT(('Production Log'!$C$5:$C$504=$A11)*('Production Log'!$T$5:$T$504=TRUE())*('Production Log'!$A$5:$A$504&gt;=$D$3)*('Production Log'!$A$5:$A$504&lt;=$D$4),'Production Log'!$F$5:$F$504))</f>
        <v>80</v>
      </c>
      <c r="E11" s="20" t="n">
        <f aca="false">IF($A11="","",SUMPRODUCT(('Production Log'!$C$5:$C$504=$A11)*('Production Log'!$T$5:$T$504=TRUE())*('Production Log'!$A$5:$A$504&gt;=$D$3)*('Production Log'!$A$5:$A$504&lt;=$D$4),'Production Log'!$G$5:$G$504))</f>
        <v>17600</v>
      </c>
      <c r="F11" s="20" t="n">
        <f aca="false">IF($A11="","",SUMPRODUCT(('Production Log'!$C$5:$C$504=$A11)*('Production Log'!$T$5:$T$504=TRUE())*('Production Log'!$A$5:$A$504&gt;=$D$3)*('Production Log'!$A$5:$A$504&lt;=$D$4),'Production Log'!$M$5:$M$504))</f>
        <v>17355</v>
      </c>
      <c r="G11" s="20" t="n">
        <f aca="false">IF($A11="","",SUMPRODUCT(('Production Log'!$C$5:$C$504=$A11)*('Production Log'!$T$5:$T$504=TRUE())*('Production Log'!$A$5:$A$504&gt;=$D$3)*('Production Log'!$A$5:$A$504&lt;=$D$4),'Production Log'!$L$5:$L$504))</f>
        <v>733.333333333333</v>
      </c>
      <c r="H11" s="14" t="n">
        <f aca="false">IF($A11="","",IF(B11=0,"",C11/B11))</f>
        <v>0.909090909090909</v>
      </c>
      <c r="I11" s="14" t="n">
        <f aca="false">IF($A11="","",IF(C11=0,"",G11/C11))</f>
        <v>0.916666666666667</v>
      </c>
      <c r="J11" s="14" t="n">
        <f aca="false">IF($A11="","",IF(G11=0,"",M11/G11))</f>
        <v>0.986079545454546</v>
      </c>
      <c r="K11" s="14" t="n">
        <f aca="false">IF($A11="","",IF(B11=0,"",M11/B11))</f>
        <v>0.821732954545455</v>
      </c>
      <c r="L11" s="21" t="n">
        <f aca="false">IF(K11="","",K11-$B$5)</f>
        <v>-0.0282670454545454</v>
      </c>
      <c r="M11" s="22" t="n">
        <f aca="false">IF($A11="","",SUMPRODUCT(('Production Log'!$C$5:$C$504=$A11)*('Production Log'!$T$5:$T$504=TRUE())*('Production Log'!$A$5:$A$504&gt;=$D$3)*('Production Log'!$A$5:$A$504&lt;=$D$4),'Production Log'!$S$5:$S$504))</f>
        <v>723.125</v>
      </c>
    </row>
    <row r="12" customFormat="false" ht="15" hidden="false" customHeight="false" outlineLevel="0" collapsed="false">
      <c r="A12" s="10" t="str">
        <f aca="false">IF(Setup!A8="","",IF(SUMPRODUCT(--(Setup!$A$4:A7=Setup!A8))&gt;0,"",Setup!A8))</f>
        <v/>
      </c>
      <c r="B12" s="20" t="str">
        <f aca="false">IF($A12="","",SUMPRODUCT(('Production Log'!$C$5:$C$504=$A12)*('Production Log'!$T$5:$T$504=TRUE())*('Production Log'!$A$5:$A$504&gt;=$D$3)*('Production Log'!$A$5:$A$504&lt;=$D$4),'Production Log'!$I$5:$I$504))</f>
        <v/>
      </c>
      <c r="C12" s="20" t="str">
        <f aca="false">IF($A12="","",SUMPRODUCT(('Production Log'!$C$5:$C$504=$A12)*('Production Log'!$T$5:$T$504=TRUE())*('Production Log'!$A$5:$A$504&gt;=$D$3)*('Production Log'!$A$5:$A$504&lt;=$D$4),'Production Log'!$J$5:$J$504))</f>
        <v/>
      </c>
      <c r="D12" s="20" t="str">
        <f aca="false">IF($A12="","",SUMPRODUCT(('Production Log'!$C$5:$C$504=$A12)*('Production Log'!$T$5:$T$504=TRUE())*('Production Log'!$A$5:$A$504&gt;=$D$3)*('Production Log'!$A$5:$A$504&lt;=$D$4),'Production Log'!$F$5:$F$504))</f>
        <v/>
      </c>
      <c r="E12" s="20" t="str">
        <f aca="false">IF($A12="","",SUMPRODUCT(('Production Log'!$C$5:$C$504=$A12)*('Production Log'!$T$5:$T$504=TRUE())*('Production Log'!$A$5:$A$504&gt;=$D$3)*('Production Log'!$A$5:$A$504&lt;=$D$4),'Production Log'!$G$5:$G$504))</f>
        <v/>
      </c>
      <c r="F12" s="20" t="str">
        <f aca="false">IF($A12="","",SUMPRODUCT(('Production Log'!$C$5:$C$504=$A12)*('Production Log'!$T$5:$T$504=TRUE())*('Production Log'!$A$5:$A$504&gt;=$D$3)*('Production Log'!$A$5:$A$504&lt;=$D$4),'Production Log'!$M$5:$M$504))</f>
        <v/>
      </c>
      <c r="G12" s="20" t="str">
        <f aca="false">IF($A12="","",SUMPRODUCT(('Production Log'!$C$5:$C$504=$A12)*('Production Log'!$T$5:$T$504=TRUE())*('Production Log'!$A$5:$A$504&gt;=$D$3)*('Production Log'!$A$5:$A$504&lt;=$D$4),'Production Log'!$L$5:$L$504))</f>
        <v/>
      </c>
      <c r="H12" s="14" t="str">
        <f aca="false">IF($A12="","",IF(B12=0,"",C12/B12))</f>
        <v/>
      </c>
      <c r="I12" s="14" t="str">
        <f aca="false">IF($A12="","",IF(C12=0,"",G12/C12))</f>
        <v/>
      </c>
      <c r="J12" s="14" t="str">
        <f aca="false">IF($A12="","",IF(G12=0,"",M12/G12))</f>
        <v/>
      </c>
      <c r="K12" s="14" t="str">
        <f aca="false">IF($A12="","",IF(B12=0,"",M12/B12))</f>
        <v/>
      </c>
      <c r="L12" s="21" t="str">
        <f aca="false">IF(K12="","",K12-$B$5)</f>
        <v/>
      </c>
      <c r="M12" s="0" t="str">
        <f aca="false">IF($A12="","",SUMPRODUCT(('Production Log'!$C$5:$C$504=$A12)*('Production Log'!$T$5:$T$504=TRUE())*('Production Log'!$A$5:$A$504&gt;=$D$3)*('Production Log'!$A$5:$A$504&lt;=$D$4),'Production Log'!$S$5:$S$504))</f>
        <v/>
      </c>
    </row>
    <row r="13" customFormat="false" ht="15" hidden="false" customHeight="false" outlineLevel="0" collapsed="false">
      <c r="A13" s="10" t="str">
        <f aca="false">IF(Setup!A9="","",IF(SUMPRODUCT(--(Setup!$A$4:A8=Setup!A9))&gt;0,"",Setup!A9))</f>
        <v/>
      </c>
      <c r="B13" s="20" t="str">
        <f aca="false">IF($A13="","",SUMPRODUCT(('Production Log'!$C$5:$C$504=$A13)*('Production Log'!$T$5:$T$504=TRUE())*('Production Log'!$A$5:$A$504&gt;=$D$3)*('Production Log'!$A$5:$A$504&lt;=$D$4),'Production Log'!$I$5:$I$504))</f>
        <v/>
      </c>
      <c r="C13" s="20" t="str">
        <f aca="false">IF($A13="","",SUMPRODUCT(('Production Log'!$C$5:$C$504=$A13)*('Production Log'!$T$5:$T$504=TRUE())*('Production Log'!$A$5:$A$504&gt;=$D$3)*('Production Log'!$A$5:$A$504&lt;=$D$4),'Production Log'!$J$5:$J$504))</f>
        <v/>
      </c>
      <c r="D13" s="20" t="str">
        <f aca="false">IF($A13="","",SUMPRODUCT(('Production Log'!$C$5:$C$504=$A13)*('Production Log'!$T$5:$T$504=TRUE())*('Production Log'!$A$5:$A$504&gt;=$D$3)*('Production Log'!$A$5:$A$504&lt;=$D$4),'Production Log'!$F$5:$F$504))</f>
        <v/>
      </c>
      <c r="E13" s="20" t="str">
        <f aca="false">IF($A13="","",SUMPRODUCT(('Production Log'!$C$5:$C$504=$A13)*('Production Log'!$T$5:$T$504=TRUE())*('Production Log'!$A$5:$A$504&gt;=$D$3)*('Production Log'!$A$5:$A$504&lt;=$D$4),'Production Log'!$G$5:$G$504))</f>
        <v/>
      </c>
      <c r="F13" s="20" t="str">
        <f aca="false">IF($A13="","",SUMPRODUCT(('Production Log'!$C$5:$C$504=$A13)*('Production Log'!$T$5:$T$504=TRUE())*('Production Log'!$A$5:$A$504&gt;=$D$3)*('Production Log'!$A$5:$A$504&lt;=$D$4),'Production Log'!$M$5:$M$504))</f>
        <v/>
      </c>
      <c r="G13" s="20" t="str">
        <f aca="false">IF($A13="","",SUMPRODUCT(('Production Log'!$C$5:$C$504=$A13)*('Production Log'!$T$5:$T$504=TRUE())*('Production Log'!$A$5:$A$504&gt;=$D$3)*('Production Log'!$A$5:$A$504&lt;=$D$4),'Production Log'!$L$5:$L$504))</f>
        <v/>
      </c>
      <c r="H13" s="14" t="str">
        <f aca="false">IF($A13="","",IF(B13=0,"",C13/B13))</f>
        <v/>
      </c>
      <c r="I13" s="14" t="str">
        <f aca="false">IF($A13="","",IF(C13=0,"",G13/C13))</f>
        <v/>
      </c>
      <c r="J13" s="14" t="str">
        <f aca="false">IF($A13="","",IF(G13=0,"",M13/G13))</f>
        <v/>
      </c>
      <c r="K13" s="14" t="str">
        <f aca="false">IF($A13="","",IF(B13=0,"",M13/B13))</f>
        <v/>
      </c>
      <c r="L13" s="21" t="str">
        <f aca="false">IF(K13="","",K13-$B$5)</f>
        <v/>
      </c>
      <c r="M13" s="0" t="str">
        <f aca="false">IF($A13="","",SUMPRODUCT(('Production Log'!$C$5:$C$504=$A13)*('Production Log'!$T$5:$T$504=TRUE())*('Production Log'!$A$5:$A$504&gt;=$D$3)*('Production Log'!$A$5:$A$504&lt;=$D$4),'Production Log'!$S$5:$S$504))</f>
        <v/>
      </c>
    </row>
    <row r="14" customFormat="false" ht="15" hidden="false" customHeight="false" outlineLevel="0" collapsed="false">
      <c r="A14" s="10" t="str">
        <f aca="false">IF(Setup!A10="","",IF(SUMPRODUCT(--(Setup!$A$4:A9=Setup!A10))&gt;0,"",Setup!A10))</f>
        <v/>
      </c>
      <c r="B14" s="20" t="str">
        <f aca="false">IF($A14="","",SUMPRODUCT(('Production Log'!$C$5:$C$504=$A14)*('Production Log'!$T$5:$T$504=TRUE())*('Production Log'!$A$5:$A$504&gt;=$D$3)*('Production Log'!$A$5:$A$504&lt;=$D$4),'Production Log'!$I$5:$I$504))</f>
        <v/>
      </c>
      <c r="C14" s="20" t="str">
        <f aca="false">IF($A14="","",SUMPRODUCT(('Production Log'!$C$5:$C$504=$A14)*('Production Log'!$T$5:$T$504=TRUE())*('Production Log'!$A$5:$A$504&gt;=$D$3)*('Production Log'!$A$5:$A$504&lt;=$D$4),'Production Log'!$J$5:$J$504))</f>
        <v/>
      </c>
      <c r="D14" s="20" t="str">
        <f aca="false">IF($A14="","",SUMPRODUCT(('Production Log'!$C$5:$C$504=$A14)*('Production Log'!$T$5:$T$504=TRUE())*('Production Log'!$A$5:$A$504&gt;=$D$3)*('Production Log'!$A$5:$A$504&lt;=$D$4),'Production Log'!$F$5:$F$504))</f>
        <v/>
      </c>
      <c r="E14" s="20" t="str">
        <f aca="false">IF($A14="","",SUMPRODUCT(('Production Log'!$C$5:$C$504=$A14)*('Production Log'!$T$5:$T$504=TRUE())*('Production Log'!$A$5:$A$504&gt;=$D$3)*('Production Log'!$A$5:$A$504&lt;=$D$4),'Production Log'!$G$5:$G$504))</f>
        <v/>
      </c>
      <c r="F14" s="20" t="str">
        <f aca="false">IF($A14="","",SUMPRODUCT(('Production Log'!$C$5:$C$504=$A14)*('Production Log'!$T$5:$T$504=TRUE())*('Production Log'!$A$5:$A$504&gt;=$D$3)*('Production Log'!$A$5:$A$504&lt;=$D$4),'Production Log'!$M$5:$M$504))</f>
        <v/>
      </c>
      <c r="G14" s="20" t="str">
        <f aca="false">IF($A14="","",SUMPRODUCT(('Production Log'!$C$5:$C$504=$A14)*('Production Log'!$T$5:$T$504=TRUE())*('Production Log'!$A$5:$A$504&gt;=$D$3)*('Production Log'!$A$5:$A$504&lt;=$D$4),'Production Log'!$L$5:$L$504))</f>
        <v/>
      </c>
      <c r="H14" s="14" t="str">
        <f aca="false">IF($A14="","",IF(B14=0,"",C14/B14))</f>
        <v/>
      </c>
      <c r="I14" s="14" t="str">
        <f aca="false">IF($A14="","",IF(C14=0,"",G14/C14))</f>
        <v/>
      </c>
      <c r="J14" s="14" t="str">
        <f aca="false">IF($A14="","",IF(G14=0,"",M14/G14))</f>
        <v/>
      </c>
      <c r="K14" s="14" t="str">
        <f aca="false">IF($A14="","",IF(B14=0,"",M14/B14))</f>
        <v/>
      </c>
      <c r="L14" s="21" t="str">
        <f aca="false">IF(K14="","",K14-$B$5)</f>
        <v/>
      </c>
      <c r="M14" s="0" t="str">
        <f aca="false">IF($A14="","",SUMPRODUCT(('Production Log'!$C$5:$C$504=$A14)*('Production Log'!$T$5:$T$504=TRUE())*('Production Log'!$A$5:$A$504&gt;=$D$3)*('Production Log'!$A$5:$A$504&lt;=$D$4),'Production Log'!$S$5:$S$504))</f>
        <v/>
      </c>
    </row>
    <row r="15" customFormat="false" ht="15" hidden="false" customHeight="false" outlineLevel="0" collapsed="false">
      <c r="A15" s="10" t="str">
        <f aca="false">IF(Setup!A11="","",IF(SUMPRODUCT(--(Setup!$A$4:A10=Setup!A11))&gt;0,"",Setup!A11))</f>
        <v/>
      </c>
      <c r="B15" s="20" t="str">
        <f aca="false">IF($A15="","",SUMPRODUCT(('Production Log'!$C$5:$C$504=$A15)*('Production Log'!$T$5:$T$504=TRUE())*('Production Log'!$A$5:$A$504&gt;=$D$3)*('Production Log'!$A$5:$A$504&lt;=$D$4),'Production Log'!$I$5:$I$504))</f>
        <v/>
      </c>
      <c r="C15" s="20" t="str">
        <f aca="false">IF($A15="","",SUMPRODUCT(('Production Log'!$C$5:$C$504=$A15)*('Production Log'!$T$5:$T$504=TRUE())*('Production Log'!$A$5:$A$504&gt;=$D$3)*('Production Log'!$A$5:$A$504&lt;=$D$4),'Production Log'!$J$5:$J$504))</f>
        <v/>
      </c>
      <c r="D15" s="20" t="str">
        <f aca="false">IF($A15="","",SUMPRODUCT(('Production Log'!$C$5:$C$504=$A15)*('Production Log'!$T$5:$T$504=TRUE())*('Production Log'!$A$5:$A$504&gt;=$D$3)*('Production Log'!$A$5:$A$504&lt;=$D$4),'Production Log'!$F$5:$F$504))</f>
        <v/>
      </c>
      <c r="E15" s="20" t="str">
        <f aca="false">IF($A15="","",SUMPRODUCT(('Production Log'!$C$5:$C$504=$A15)*('Production Log'!$T$5:$T$504=TRUE())*('Production Log'!$A$5:$A$504&gt;=$D$3)*('Production Log'!$A$5:$A$504&lt;=$D$4),'Production Log'!$G$5:$G$504))</f>
        <v/>
      </c>
      <c r="F15" s="20" t="str">
        <f aca="false">IF($A15="","",SUMPRODUCT(('Production Log'!$C$5:$C$504=$A15)*('Production Log'!$T$5:$T$504=TRUE())*('Production Log'!$A$5:$A$504&gt;=$D$3)*('Production Log'!$A$5:$A$504&lt;=$D$4),'Production Log'!$M$5:$M$504))</f>
        <v/>
      </c>
      <c r="G15" s="20" t="str">
        <f aca="false">IF($A15="","",SUMPRODUCT(('Production Log'!$C$5:$C$504=$A15)*('Production Log'!$T$5:$T$504=TRUE())*('Production Log'!$A$5:$A$504&gt;=$D$3)*('Production Log'!$A$5:$A$504&lt;=$D$4),'Production Log'!$L$5:$L$504))</f>
        <v/>
      </c>
      <c r="H15" s="14" t="str">
        <f aca="false">IF($A15="","",IF(B15=0,"",C15/B15))</f>
        <v/>
      </c>
      <c r="I15" s="14" t="str">
        <f aca="false">IF($A15="","",IF(C15=0,"",G15/C15))</f>
        <v/>
      </c>
      <c r="J15" s="14" t="str">
        <f aca="false">IF($A15="","",IF(G15=0,"",M15/G15))</f>
        <v/>
      </c>
      <c r="K15" s="14" t="str">
        <f aca="false">IF($A15="","",IF(B15=0,"",M15/B15))</f>
        <v/>
      </c>
      <c r="L15" s="21" t="str">
        <f aca="false">IF(K15="","",K15-$B$5)</f>
        <v/>
      </c>
      <c r="M15" s="0" t="str">
        <f aca="false">IF($A15="","",SUMPRODUCT(('Production Log'!$C$5:$C$504=$A15)*('Production Log'!$T$5:$T$504=TRUE())*('Production Log'!$A$5:$A$504&gt;=$D$3)*('Production Log'!$A$5:$A$504&lt;=$D$4),'Production Log'!$S$5:$S$504))</f>
        <v/>
      </c>
    </row>
    <row r="16" customFormat="false" ht="15" hidden="false" customHeight="false" outlineLevel="0" collapsed="false">
      <c r="A16" s="10" t="str">
        <f aca="false">IF(Setup!A12="","",IF(SUMPRODUCT(--(Setup!$A$4:A11=Setup!A12))&gt;0,"",Setup!A12))</f>
        <v/>
      </c>
      <c r="B16" s="20" t="str">
        <f aca="false">IF($A16="","",SUMPRODUCT(('Production Log'!$C$5:$C$504=$A16)*('Production Log'!$T$5:$T$504=TRUE())*('Production Log'!$A$5:$A$504&gt;=$D$3)*('Production Log'!$A$5:$A$504&lt;=$D$4),'Production Log'!$I$5:$I$504))</f>
        <v/>
      </c>
      <c r="C16" s="20" t="str">
        <f aca="false">IF($A16="","",SUMPRODUCT(('Production Log'!$C$5:$C$504=$A16)*('Production Log'!$T$5:$T$504=TRUE())*('Production Log'!$A$5:$A$504&gt;=$D$3)*('Production Log'!$A$5:$A$504&lt;=$D$4),'Production Log'!$J$5:$J$504))</f>
        <v/>
      </c>
      <c r="D16" s="20" t="str">
        <f aca="false">IF($A16="","",SUMPRODUCT(('Production Log'!$C$5:$C$504=$A16)*('Production Log'!$T$5:$T$504=TRUE())*('Production Log'!$A$5:$A$504&gt;=$D$3)*('Production Log'!$A$5:$A$504&lt;=$D$4),'Production Log'!$F$5:$F$504))</f>
        <v/>
      </c>
      <c r="E16" s="20" t="str">
        <f aca="false">IF($A16="","",SUMPRODUCT(('Production Log'!$C$5:$C$504=$A16)*('Production Log'!$T$5:$T$504=TRUE())*('Production Log'!$A$5:$A$504&gt;=$D$3)*('Production Log'!$A$5:$A$504&lt;=$D$4),'Production Log'!$G$5:$G$504))</f>
        <v/>
      </c>
      <c r="F16" s="20" t="str">
        <f aca="false">IF($A16="","",SUMPRODUCT(('Production Log'!$C$5:$C$504=$A16)*('Production Log'!$T$5:$T$504=TRUE())*('Production Log'!$A$5:$A$504&gt;=$D$3)*('Production Log'!$A$5:$A$504&lt;=$D$4),'Production Log'!$M$5:$M$504))</f>
        <v/>
      </c>
      <c r="G16" s="20" t="str">
        <f aca="false">IF($A16="","",SUMPRODUCT(('Production Log'!$C$5:$C$504=$A16)*('Production Log'!$T$5:$T$504=TRUE())*('Production Log'!$A$5:$A$504&gt;=$D$3)*('Production Log'!$A$5:$A$504&lt;=$D$4),'Production Log'!$L$5:$L$504))</f>
        <v/>
      </c>
      <c r="H16" s="14" t="str">
        <f aca="false">IF($A16="","",IF(B16=0,"",C16/B16))</f>
        <v/>
      </c>
      <c r="I16" s="14" t="str">
        <f aca="false">IF($A16="","",IF(C16=0,"",G16/C16))</f>
        <v/>
      </c>
      <c r="J16" s="14" t="str">
        <f aca="false">IF($A16="","",IF(G16=0,"",M16/G16))</f>
        <v/>
      </c>
      <c r="K16" s="14" t="str">
        <f aca="false">IF($A16="","",IF(B16=0,"",M16/B16))</f>
        <v/>
      </c>
      <c r="L16" s="21" t="str">
        <f aca="false">IF(K16="","",K16-$B$5)</f>
        <v/>
      </c>
      <c r="M16" s="0" t="str">
        <f aca="false">IF($A16="","",SUMPRODUCT(('Production Log'!$C$5:$C$504=$A16)*('Production Log'!$T$5:$T$504=TRUE())*('Production Log'!$A$5:$A$504&gt;=$D$3)*('Production Log'!$A$5:$A$504&lt;=$D$4),'Production Log'!$S$5:$S$504))</f>
        <v/>
      </c>
    </row>
    <row r="17" customFormat="false" ht="15" hidden="false" customHeight="false" outlineLevel="0" collapsed="false">
      <c r="A17" s="10" t="str">
        <f aca="false">IF(Setup!A13="","",IF(SUMPRODUCT(--(Setup!$A$4:A12=Setup!A13))&gt;0,"",Setup!A13))</f>
        <v/>
      </c>
      <c r="B17" s="20" t="str">
        <f aca="false">IF($A17="","",SUMPRODUCT(('Production Log'!$C$5:$C$504=$A17)*('Production Log'!$T$5:$T$504=TRUE())*('Production Log'!$A$5:$A$504&gt;=$D$3)*('Production Log'!$A$5:$A$504&lt;=$D$4),'Production Log'!$I$5:$I$504))</f>
        <v/>
      </c>
      <c r="C17" s="20" t="str">
        <f aca="false">IF($A17="","",SUMPRODUCT(('Production Log'!$C$5:$C$504=$A17)*('Production Log'!$T$5:$T$504=TRUE())*('Production Log'!$A$5:$A$504&gt;=$D$3)*('Production Log'!$A$5:$A$504&lt;=$D$4),'Production Log'!$J$5:$J$504))</f>
        <v/>
      </c>
      <c r="D17" s="20" t="str">
        <f aca="false">IF($A17="","",SUMPRODUCT(('Production Log'!$C$5:$C$504=$A17)*('Production Log'!$T$5:$T$504=TRUE())*('Production Log'!$A$5:$A$504&gt;=$D$3)*('Production Log'!$A$5:$A$504&lt;=$D$4),'Production Log'!$F$5:$F$504))</f>
        <v/>
      </c>
      <c r="E17" s="20" t="str">
        <f aca="false">IF($A17="","",SUMPRODUCT(('Production Log'!$C$5:$C$504=$A17)*('Production Log'!$T$5:$T$504=TRUE())*('Production Log'!$A$5:$A$504&gt;=$D$3)*('Production Log'!$A$5:$A$504&lt;=$D$4),'Production Log'!$G$5:$G$504))</f>
        <v/>
      </c>
      <c r="F17" s="20" t="str">
        <f aca="false">IF($A17="","",SUMPRODUCT(('Production Log'!$C$5:$C$504=$A17)*('Production Log'!$T$5:$T$504=TRUE())*('Production Log'!$A$5:$A$504&gt;=$D$3)*('Production Log'!$A$5:$A$504&lt;=$D$4),'Production Log'!$M$5:$M$504))</f>
        <v/>
      </c>
      <c r="G17" s="20" t="str">
        <f aca="false">IF($A17="","",SUMPRODUCT(('Production Log'!$C$5:$C$504=$A17)*('Production Log'!$T$5:$T$504=TRUE())*('Production Log'!$A$5:$A$504&gt;=$D$3)*('Production Log'!$A$5:$A$504&lt;=$D$4),'Production Log'!$L$5:$L$504))</f>
        <v/>
      </c>
      <c r="H17" s="14" t="str">
        <f aca="false">IF($A17="","",IF(B17=0,"",C17/B17))</f>
        <v/>
      </c>
      <c r="I17" s="14" t="str">
        <f aca="false">IF($A17="","",IF(C17=0,"",G17/C17))</f>
        <v/>
      </c>
      <c r="J17" s="14" t="str">
        <f aca="false">IF($A17="","",IF(G17=0,"",M17/G17))</f>
        <v/>
      </c>
      <c r="K17" s="14" t="str">
        <f aca="false">IF($A17="","",IF(B17=0,"",M17/B17))</f>
        <v/>
      </c>
      <c r="L17" s="21" t="str">
        <f aca="false">IF(K17="","",K17-$B$5)</f>
        <v/>
      </c>
      <c r="M17" s="0" t="str">
        <f aca="false">IF($A17="","",SUMPRODUCT(('Production Log'!$C$5:$C$504=$A17)*('Production Log'!$T$5:$T$504=TRUE())*('Production Log'!$A$5:$A$504&gt;=$D$3)*('Production Log'!$A$5:$A$504&lt;=$D$4),'Production Log'!$S$5:$S$504))</f>
        <v/>
      </c>
    </row>
    <row r="18" customFormat="false" ht="15" hidden="false" customHeight="false" outlineLevel="0" collapsed="false">
      <c r="A18" s="10" t="str">
        <f aca="false">IF(Setup!A14="","",IF(SUMPRODUCT(--(Setup!$A$4:A13=Setup!A14))&gt;0,"",Setup!A14))</f>
        <v/>
      </c>
      <c r="B18" s="20" t="str">
        <f aca="false">IF($A18="","",SUMPRODUCT(('Production Log'!$C$5:$C$504=$A18)*('Production Log'!$T$5:$T$504=TRUE())*('Production Log'!$A$5:$A$504&gt;=$D$3)*('Production Log'!$A$5:$A$504&lt;=$D$4),'Production Log'!$I$5:$I$504))</f>
        <v/>
      </c>
      <c r="C18" s="20" t="str">
        <f aca="false">IF($A18="","",SUMPRODUCT(('Production Log'!$C$5:$C$504=$A18)*('Production Log'!$T$5:$T$504=TRUE())*('Production Log'!$A$5:$A$504&gt;=$D$3)*('Production Log'!$A$5:$A$504&lt;=$D$4),'Production Log'!$J$5:$J$504))</f>
        <v/>
      </c>
      <c r="D18" s="20" t="str">
        <f aca="false">IF($A18="","",SUMPRODUCT(('Production Log'!$C$5:$C$504=$A18)*('Production Log'!$T$5:$T$504=TRUE())*('Production Log'!$A$5:$A$504&gt;=$D$3)*('Production Log'!$A$5:$A$504&lt;=$D$4),'Production Log'!$F$5:$F$504))</f>
        <v/>
      </c>
      <c r="E18" s="20" t="str">
        <f aca="false">IF($A18="","",SUMPRODUCT(('Production Log'!$C$5:$C$504=$A18)*('Production Log'!$T$5:$T$504=TRUE())*('Production Log'!$A$5:$A$504&gt;=$D$3)*('Production Log'!$A$5:$A$504&lt;=$D$4),'Production Log'!$G$5:$G$504))</f>
        <v/>
      </c>
      <c r="F18" s="20" t="str">
        <f aca="false">IF($A18="","",SUMPRODUCT(('Production Log'!$C$5:$C$504=$A18)*('Production Log'!$T$5:$T$504=TRUE())*('Production Log'!$A$5:$A$504&gt;=$D$3)*('Production Log'!$A$5:$A$504&lt;=$D$4),'Production Log'!$M$5:$M$504))</f>
        <v/>
      </c>
      <c r="G18" s="20" t="str">
        <f aca="false">IF($A18="","",SUMPRODUCT(('Production Log'!$C$5:$C$504=$A18)*('Production Log'!$T$5:$T$504=TRUE())*('Production Log'!$A$5:$A$504&gt;=$D$3)*('Production Log'!$A$5:$A$504&lt;=$D$4),'Production Log'!$L$5:$L$504))</f>
        <v/>
      </c>
      <c r="H18" s="14" t="str">
        <f aca="false">IF($A18="","",IF(B18=0,"",C18/B18))</f>
        <v/>
      </c>
      <c r="I18" s="14" t="str">
        <f aca="false">IF($A18="","",IF(C18=0,"",G18/C18))</f>
        <v/>
      </c>
      <c r="J18" s="14" t="str">
        <f aca="false">IF($A18="","",IF(G18=0,"",M18/G18))</f>
        <v/>
      </c>
      <c r="K18" s="14" t="str">
        <f aca="false">IF($A18="","",IF(B18=0,"",M18/B18))</f>
        <v/>
      </c>
      <c r="L18" s="21" t="str">
        <f aca="false">IF(K18="","",K18-$B$5)</f>
        <v/>
      </c>
      <c r="M18" s="0" t="str">
        <f aca="false">IF($A18="","",SUMPRODUCT(('Production Log'!$C$5:$C$504=$A18)*('Production Log'!$T$5:$T$504=TRUE())*('Production Log'!$A$5:$A$504&gt;=$D$3)*('Production Log'!$A$5:$A$504&lt;=$D$4),'Production Log'!$S$5:$S$504))</f>
        <v/>
      </c>
    </row>
    <row r="19" customFormat="false" ht="15" hidden="false" customHeight="false" outlineLevel="0" collapsed="false">
      <c r="A19" s="10" t="str">
        <f aca="false">IF(Setup!A15="","",IF(SUMPRODUCT(--(Setup!$A$4:A14=Setup!A15))&gt;0,"",Setup!A15))</f>
        <v/>
      </c>
      <c r="B19" s="20" t="str">
        <f aca="false">IF($A19="","",SUMPRODUCT(('Production Log'!$C$5:$C$504=$A19)*('Production Log'!$T$5:$T$504=TRUE())*('Production Log'!$A$5:$A$504&gt;=$D$3)*('Production Log'!$A$5:$A$504&lt;=$D$4),'Production Log'!$I$5:$I$504))</f>
        <v/>
      </c>
      <c r="C19" s="20" t="str">
        <f aca="false">IF($A19="","",SUMPRODUCT(('Production Log'!$C$5:$C$504=$A19)*('Production Log'!$T$5:$T$504=TRUE())*('Production Log'!$A$5:$A$504&gt;=$D$3)*('Production Log'!$A$5:$A$504&lt;=$D$4),'Production Log'!$J$5:$J$504))</f>
        <v/>
      </c>
      <c r="D19" s="20" t="str">
        <f aca="false">IF($A19="","",SUMPRODUCT(('Production Log'!$C$5:$C$504=$A19)*('Production Log'!$T$5:$T$504=TRUE())*('Production Log'!$A$5:$A$504&gt;=$D$3)*('Production Log'!$A$5:$A$504&lt;=$D$4),'Production Log'!$F$5:$F$504))</f>
        <v/>
      </c>
      <c r="E19" s="20" t="str">
        <f aca="false">IF($A19="","",SUMPRODUCT(('Production Log'!$C$5:$C$504=$A19)*('Production Log'!$T$5:$T$504=TRUE())*('Production Log'!$A$5:$A$504&gt;=$D$3)*('Production Log'!$A$5:$A$504&lt;=$D$4),'Production Log'!$G$5:$G$504))</f>
        <v/>
      </c>
      <c r="F19" s="20" t="str">
        <f aca="false">IF($A19="","",SUMPRODUCT(('Production Log'!$C$5:$C$504=$A19)*('Production Log'!$T$5:$T$504=TRUE())*('Production Log'!$A$5:$A$504&gt;=$D$3)*('Production Log'!$A$5:$A$504&lt;=$D$4),'Production Log'!$M$5:$M$504))</f>
        <v/>
      </c>
      <c r="G19" s="20" t="str">
        <f aca="false">IF($A19="","",SUMPRODUCT(('Production Log'!$C$5:$C$504=$A19)*('Production Log'!$T$5:$T$504=TRUE())*('Production Log'!$A$5:$A$504&gt;=$D$3)*('Production Log'!$A$5:$A$504&lt;=$D$4),'Production Log'!$L$5:$L$504))</f>
        <v/>
      </c>
      <c r="H19" s="14" t="str">
        <f aca="false">IF($A19="","",IF(B19=0,"",C19/B19))</f>
        <v/>
      </c>
      <c r="I19" s="14" t="str">
        <f aca="false">IF($A19="","",IF(C19=0,"",G19/C19))</f>
        <v/>
      </c>
      <c r="J19" s="14" t="str">
        <f aca="false">IF($A19="","",IF(G19=0,"",M19/G19))</f>
        <v/>
      </c>
      <c r="K19" s="14" t="str">
        <f aca="false">IF($A19="","",IF(B19=0,"",M19/B19))</f>
        <v/>
      </c>
      <c r="L19" s="21" t="str">
        <f aca="false">IF(K19="","",K19-$B$5)</f>
        <v/>
      </c>
      <c r="M19" s="0" t="str">
        <f aca="false">IF($A19="","",SUMPRODUCT(('Production Log'!$C$5:$C$504=$A19)*('Production Log'!$T$5:$T$504=TRUE())*('Production Log'!$A$5:$A$504&gt;=$D$3)*('Production Log'!$A$5:$A$504&lt;=$D$4),'Production Log'!$S$5:$S$504))</f>
        <v/>
      </c>
    </row>
    <row r="20" customFormat="false" ht="15" hidden="false" customHeight="false" outlineLevel="0" collapsed="false">
      <c r="A20" s="10" t="str">
        <f aca="false">IF(Setup!A16="","",IF(SUMPRODUCT(--(Setup!$A$4:A15=Setup!A16))&gt;0,"",Setup!A16))</f>
        <v/>
      </c>
      <c r="B20" s="20" t="str">
        <f aca="false">IF($A20="","",SUMPRODUCT(('Production Log'!$C$5:$C$504=$A20)*('Production Log'!$T$5:$T$504=TRUE())*('Production Log'!$A$5:$A$504&gt;=$D$3)*('Production Log'!$A$5:$A$504&lt;=$D$4),'Production Log'!$I$5:$I$504))</f>
        <v/>
      </c>
      <c r="C20" s="20" t="str">
        <f aca="false">IF($A20="","",SUMPRODUCT(('Production Log'!$C$5:$C$504=$A20)*('Production Log'!$T$5:$T$504=TRUE())*('Production Log'!$A$5:$A$504&gt;=$D$3)*('Production Log'!$A$5:$A$504&lt;=$D$4),'Production Log'!$J$5:$J$504))</f>
        <v/>
      </c>
      <c r="D20" s="20" t="str">
        <f aca="false">IF($A20="","",SUMPRODUCT(('Production Log'!$C$5:$C$504=$A20)*('Production Log'!$T$5:$T$504=TRUE())*('Production Log'!$A$5:$A$504&gt;=$D$3)*('Production Log'!$A$5:$A$504&lt;=$D$4),'Production Log'!$F$5:$F$504))</f>
        <v/>
      </c>
      <c r="E20" s="20" t="str">
        <f aca="false">IF($A20="","",SUMPRODUCT(('Production Log'!$C$5:$C$504=$A20)*('Production Log'!$T$5:$T$504=TRUE())*('Production Log'!$A$5:$A$504&gt;=$D$3)*('Production Log'!$A$5:$A$504&lt;=$D$4),'Production Log'!$G$5:$G$504))</f>
        <v/>
      </c>
      <c r="F20" s="20" t="str">
        <f aca="false">IF($A20="","",SUMPRODUCT(('Production Log'!$C$5:$C$504=$A20)*('Production Log'!$T$5:$T$504=TRUE())*('Production Log'!$A$5:$A$504&gt;=$D$3)*('Production Log'!$A$5:$A$504&lt;=$D$4),'Production Log'!$M$5:$M$504))</f>
        <v/>
      </c>
      <c r="G20" s="20" t="str">
        <f aca="false">IF($A20="","",SUMPRODUCT(('Production Log'!$C$5:$C$504=$A20)*('Production Log'!$T$5:$T$504=TRUE())*('Production Log'!$A$5:$A$504&gt;=$D$3)*('Production Log'!$A$5:$A$504&lt;=$D$4),'Production Log'!$L$5:$L$504))</f>
        <v/>
      </c>
      <c r="H20" s="14" t="str">
        <f aca="false">IF($A20="","",IF(B20=0,"",C20/B20))</f>
        <v/>
      </c>
      <c r="I20" s="14" t="str">
        <f aca="false">IF($A20="","",IF(C20=0,"",G20/C20))</f>
        <v/>
      </c>
      <c r="J20" s="14" t="str">
        <f aca="false">IF($A20="","",IF(G20=0,"",M20/G20))</f>
        <v/>
      </c>
      <c r="K20" s="14" t="str">
        <f aca="false">IF($A20="","",IF(B20=0,"",M20/B20))</f>
        <v/>
      </c>
      <c r="L20" s="21" t="str">
        <f aca="false">IF(K20="","",K20-$B$5)</f>
        <v/>
      </c>
      <c r="M20" s="0" t="str">
        <f aca="false">IF($A20="","",SUMPRODUCT(('Production Log'!$C$5:$C$504=$A20)*('Production Log'!$T$5:$T$504=TRUE())*('Production Log'!$A$5:$A$504&gt;=$D$3)*('Production Log'!$A$5:$A$504&lt;=$D$4),'Production Log'!$S$5:$S$504))</f>
        <v/>
      </c>
    </row>
    <row r="21" customFormat="false" ht="15" hidden="false" customHeight="false" outlineLevel="0" collapsed="false">
      <c r="A21" s="10" t="str">
        <f aca="false">IF(Setup!A17="","",IF(SUMPRODUCT(--(Setup!$A$4:A16=Setup!A17))&gt;0,"",Setup!A17))</f>
        <v/>
      </c>
      <c r="B21" s="20" t="str">
        <f aca="false">IF($A21="","",SUMPRODUCT(('Production Log'!$C$5:$C$504=$A21)*('Production Log'!$T$5:$T$504=TRUE())*('Production Log'!$A$5:$A$504&gt;=$D$3)*('Production Log'!$A$5:$A$504&lt;=$D$4),'Production Log'!$I$5:$I$504))</f>
        <v/>
      </c>
      <c r="C21" s="20" t="str">
        <f aca="false">IF($A21="","",SUMPRODUCT(('Production Log'!$C$5:$C$504=$A21)*('Production Log'!$T$5:$T$504=TRUE())*('Production Log'!$A$5:$A$504&gt;=$D$3)*('Production Log'!$A$5:$A$504&lt;=$D$4),'Production Log'!$J$5:$J$504))</f>
        <v/>
      </c>
      <c r="D21" s="20" t="str">
        <f aca="false">IF($A21="","",SUMPRODUCT(('Production Log'!$C$5:$C$504=$A21)*('Production Log'!$T$5:$T$504=TRUE())*('Production Log'!$A$5:$A$504&gt;=$D$3)*('Production Log'!$A$5:$A$504&lt;=$D$4),'Production Log'!$F$5:$F$504))</f>
        <v/>
      </c>
      <c r="E21" s="20" t="str">
        <f aca="false">IF($A21="","",SUMPRODUCT(('Production Log'!$C$5:$C$504=$A21)*('Production Log'!$T$5:$T$504=TRUE())*('Production Log'!$A$5:$A$504&gt;=$D$3)*('Production Log'!$A$5:$A$504&lt;=$D$4),'Production Log'!$G$5:$G$504))</f>
        <v/>
      </c>
      <c r="F21" s="20" t="str">
        <f aca="false">IF($A21="","",SUMPRODUCT(('Production Log'!$C$5:$C$504=$A21)*('Production Log'!$T$5:$T$504=TRUE())*('Production Log'!$A$5:$A$504&gt;=$D$3)*('Production Log'!$A$5:$A$504&lt;=$D$4),'Production Log'!$M$5:$M$504))</f>
        <v/>
      </c>
      <c r="G21" s="20" t="str">
        <f aca="false">IF($A21="","",SUMPRODUCT(('Production Log'!$C$5:$C$504=$A21)*('Production Log'!$T$5:$T$504=TRUE())*('Production Log'!$A$5:$A$504&gt;=$D$3)*('Production Log'!$A$5:$A$504&lt;=$D$4),'Production Log'!$L$5:$L$504))</f>
        <v/>
      </c>
      <c r="H21" s="14" t="str">
        <f aca="false">IF($A21="","",IF(B21=0,"",C21/B21))</f>
        <v/>
      </c>
      <c r="I21" s="14" t="str">
        <f aca="false">IF($A21="","",IF(C21=0,"",G21/C21))</f>
        <v/>
      </c>
      <c r="J21" s="14" t="str">
        <f aca="false">IF($A21="","",IF(G21=0,"",M21/G21))</f>
        <v/>
      </c>
      <c r="K21" s="14" t="str">
        <f aca="false">IF($A21="","",IF(B21=0,"",M21/B21))</f>
        <v/>
      </c>
      <c r="L21" s="21" t="str">
        <f aca="false">IF(K21="","",K21-$B$5)</f>
        <v/>
      </c>
      <c r="M21" s="0" t="str">
        <f aca="false">IF($A21="","",SUMPRODUCT(('Production Log'!$C$5:$C$504=$A21)*('Production Log'!$T$5:$T$504=TRUE())*('Production Log'!$A$5:$A$504&gt;=$D$3)*('Production Log'!$A$5:$A$504&lt;=$D$4),'Production Log'!$S$5:$S$504))</f>
        <v/>
      </c>
    </row>
    <row r="22" customFormat="false" ht="15" hidden="false" customHeight="false" outlineLevel="0" collapsed="false">
      <c r="A22" s="10" t="str">
        <f aca="false">IF(Setup!A18="","",IF(SUMPRODUCT(--(Setup!$A$4:A17=Setup!A18))&gt;0,"",Setup!A18))</f>
        <v/>
      </c>
      <c r="B22" s="20" t="str">
        <f aca="false">IF($A22="","",SUMPRODUCT(('Production Log'!$C$5:$C$504=$A22)*('Production Log'!$T$5:$T$504=TRUE())*('Production Log'!$A$5:$A$504&gt;=$D$3)*('Production Log'!$A$5:$A$504&lt;=$D$4),'Production Log'!$I$5:$I$504))</f>
        <v/>
      </c>
      <c r="C22" s="20" t="str">
        <f aca="false">IF($A22="","",SUMPRODUCT(('Production Log'!$C$5:$C$504=$A22)*('Production Log'!$T$5:$T$504=TRUE())*('Production Log'!$A$5:$A$504&gt;=$D$3)*('Production Log'!$A$5:$A$504&lt;=$D$4),'Production Log'!$J$5:$J$504))</f>
        <v/>
      </c>
      <c r="D22" s="20" t="str">
        <f aca="false">IF($A22="","",SUMPRODUCT(('Production Log'!$C$5:$C$504=$A22)*('Production Log'!$T$5:$T$504=TRUE())*('Production Log'!$A$5:$A$504&gt;=$D$3)*('Production Log'!$A$5:$A$504&lt;=$D$4),'Production Log'!$F$5:$F$504))</f>
        <v/>
      </c>
      <c r="E22" s="20" t="str">
        <f aca="false">IF($A22="","",SUMPRODUCT(('Production Log'!$C$5:$C$504=$A22)*('Production Log'!$T$5:$T$504=TRUE())*('Production Log'!$A$5:$A$504&gt;=$D$3)*('Production Log'!$A$5:$A$504&lt;=$D$4),'Production Log'!$G$5:$G$504))</f>
        <v/>
      </c>
      <c r="F22" s="20" t="str">
        <f aca="false">IF($A22="","",SUMPRODUCT(('Production Log'!$C$5:$C$504=$A22)*('Production Log'!$T$5:$T$504=TRUE())*('Production Log'!$A$5:$A$504&gt;=$D$3)*('Production Log'!$A$5:$A$504&lt;=$D$4),'Production Log'!$M$5:$M$504))</f>
        <v/>
      </c>
      <c r="G22" s="20" t="str">
        <f aca="false">IF($A22="","",SUMPRODUCT(('Production Log'!$C$5:$C$504=$A22)*('Production Log'!$T$5:$T$504=TRUE())*('Production Log'!$A$5:$A$504&gt;=$D$3)*('Production Log'!$A$5:$A$504&lt;=$D$4),'Production Log'!$L$5:$L$504))</f>
        <v/>
      </c>
      <c r="H22" s="14" t="str">
        <f aca="false">IF($A22="","",IF(B22=0,"",C22/B22))</f>
        <v/>
      </c>
      <c r="I22" s="14" t="str">
        <f aca="false">IF($A22="","",IF(C22=0,"",G22/C22))</f>
        <v/>
      </c>
      <c r="J22" s="14" t="str">
        <f aca="false">IF($A22="","",IF(G22=0,"",M22/G22))</f>
        <v/>
      </c>
      <c r="K22" s="14" t="str">
        <f aca="false">IF($A22="","",IF(B22=0,"",M22/B22))</f>
        <v/>
      </c>
      <c r="L22" s="21" t="str">
        <f aca="false">IF(K22="","",K22-$B$5)</f>
        <v/>
      </c>
      <c r="M22" s="0" t="str">
        <f aca="false">IF($A22="","",SUMPRODUCT(('Production Log'!$C$5:$C$504=$A22)*('Production Log'!$T$5:$T$504=TRUE())*('Production Log'!$A$5:$A$504&gt;=$D$3)*('Production Log'!$A$5:$A$504&lt;=$D$4),'Production Log'!$S$5:$S$504))</f>
        <v/>
      </c>
    </row>
    <row r="23" customFormat="false" ht="15" hidden="false" customHeight="false" outlineLevel="0" collapsed="false">
      <c r="A23" s="10" t="str">
        <f aca="false">IF(Setup!A19="","",IF(SUMPRODUCT(--(Setup!$A$4:A18=Setup!A19))&gt;0,"",Setup!A19))</f>
        <v/>
      </c>
      <c r="B23" s="20" t="str">
        <f aca="false">IF($A23="","",SUMPRODUCT(('Production Log'!$C$5:$C$504=$A23)*('Production Log'!$T$5:$T$504=TRUE())*('Production Log'!$A$5:$A$504&gt;=$D$3)*('Production Log'!$A$5:$A$504&lt;=$D$4),'Production Log'!$I$5:$I$504))</f>
        <v/>
      </c>
      <c r="C23" s="20" t="str">
        <f aca="false">IF($A23="","",SUMPRODUCT(('Production Log'!$C$5:$C$504=$A23)*('Production Log'!$T$5:$T$504=TRUE())*('Production Log'!$A$5:$A$504&gt;=$D$3)*('Production Log'!$A$5:$A$504&lt;=$D$4),'Production Log'!$J$5:$J$504))</f>
        <v/>
      </c>
      <c r="D23" s="20" t="str">
        <f aca="false">IF($A23="","",SUMPRODUCT(('Production Log'!$C$5:$C$504=$A23)*('Production Log'!$T$5:$T$504=TRUE())*('Production Log'!$A$5:$A$504&gt;=$D$3)*('Production Log'!$A$5:$A$504&lt;=$D$4),'Production Log'!$F$5:$F$504))</f>
        <v/>
      </c>
      <c r="E23" s="20" t="str">
        <f aca="false">IF($A23="","",SUMPRODUCT(('Production Log'!$C$5:$C$504=$A23)*('Production Log'!$T$5:$T$504=TRUE())*('Production Log'!$A$5:$A$504&gt;=$D$3)*('Production Log'!$A$5:$A$504&lt;=$D$4),'Production Log'!$G$5:$G$504))</f>
        <v/>
      </c>
      <c r="F23" s="20" t="str">
        <f aca="false">IF($A23="","",SUMPRODUCT(('Production Log'!$C$5:$C$504=$A23)*('Production Log'!$T$5:$T$504=TRUE())*('Production Log'!$A$5:$A$504&gt;=$D$3)*('Production Log'!$A$5:$A$504&lt;=$D$4),'Production Log'!$M$5:$M$504))</f>
        <v/>
      </c>
      <c r="G23" s="20" t="str">
        <f aca="false">IF($A23="","",SUMPRODUCT(('Production Log'!$C$5:$C$504=$A23)*('Production Log'!$T$5:$T$504=TRUE())*('Production Log'!$A$5:$A$504&gt;=$D$3)*('Production Log'!$A$5:$A$504&lt;=$D$4),'Production Log'!$L$5:$L$504))</f>
        <v/>
      </c>
      <c r="H23" s="14" t="str">
        <f aca="false">IF($A23="","",IF(B23=0,"",C23/B23))</f>
        <v/>
      </c>
      <c r="I23" s="14" t="str">
        <f aca="false">IF($A23="","",IF(C23=0,"",G23/C23))</f>
        <v/>
      </c>
      <c r="J23" s="14" t="str">
        <f aca="false">IF($A23="","",IF(G23=0,"",M23/G23))</f>
        <v/>
      </c>
      <c r="K23" s="14" t="str">
        <f aca="false">IF($A23="","",IF(B23=0,"",M23/B23))</f>
        <v/>
      </c>
      <c r="L23" s="21" t="str">
        <f aca="false">IF(K23="","",K23-$B$5)</f>
        <v/>
      </c>
      <c r="M23" s="0" t="str">
        <f aca="false">IF($A23="","",SUMPRODUCT(('Production Log'!$C$5:$C$504=$A23)*('Production Log'!$T$5:$T$504=TRUE())*('Production Log'!$A$5:$A$504&gt;=$D$3)*('Production Log'!$A$5:$A$504&lt;=$D$4),'Production Log'!$S$5:$S$504))</f>
        <v/>
      </c>
    </row>
    <row r="24" customFormat="false" ht="15" hidden="false" customHeight="false" outlineLevel="0" collapsed="false">
      <c r="A24" s="10" t="str">
        <f aca="false">IF(Setup!A20="","",IF(SUMPRODUCT(--(Setup!$A$4:A19=Setup!A20))&gt;0,"",Setup!A20))</f>
        <v/>
      </c>
      <c r="B24" s="20" t="str">
        <f aca="false">IF($A24="","",SUMPRODUCT(('Production Log'!$C$5:$C$504=$A24)*('Production Log'!$T$5:$T$504=TRUE())*('Production Log'!$A$5:$A$504&gt;=$D$3)*('Production Log'!$A$5:$A$504&lt;=$D$4),'Production Log'!$I$5:$I$504))</f>
        <v/>
      </c>
      <c r="C24" s="20" t="str">
        <f aca="false">IF($A24="","",SUMPRODUCT(('Production Log'!$C$5:$C$504=$A24)*('Production Log'!$T$5:$T$504=TRUE())*('Production Log'!$A$5:$A$504&gt;=$D$3)*('Production Log'!$A$5:$A$504&lt;=$D$4),'Production Log'!$J$5:$J$504))</f>
        <v/>
      </c>
      <c r="D24" s="20" t="str">
        <f aca="false">IF($A24="","",SUMPRODUCT(('Production Log'!$C$5:$C$504=$A24)*('Production Log'!$T$5:$T$504=TRUE())*('Production Log'!$A$5:$A$504&gt;=$D$3)*('Production Log'!$A$5:$A$504&lt;=$D$4),'Production Log'!$F$5:$F$504))</f>
        <v/>
      </c>
      <c r="E24" s="20" t="str">
        <f aca="false">IF($A24="","",SUMPRODUCT(('Production Log'!$C$5:$C$504=$A24)*('Production Log'!$T$5:$T$504=TRUE())*('Production Log'!$A$5:$A$504&gt;=$D$3)*('Production Log'!$A$5:$A$504&lt;=$D$4),'Production Log'!$G$5:$G$504))</f>
        <v/>
      </c>
      <c r="F24" s="20" t="str">
        <f aca="false">IF($A24="","",SUMPRODUCT(('Production Log'!$C$5:$C$504=$A24)*('Production Log'!$T$5:$T$504=TRUE())*('Production Log'!$A$5:$A$504&gt;=$D$3)*('Production Log'!$A$5:$A$504&lt;=$D$4),'Production Log'!$M$5:$M$504))</f>
        <v/>
      </c>
      <c r="G24" s="20" t="str">
        <f aca="false">IF($A24="","",SUMPRODUCT(('Production Log'!$C$5:$C$504=$A24)*('Production Log'!$T$5:$T$504=TRUE())*('Production Log'!$A$5:$A$504&gt;=$D$3)*('Production Log'!$A$5:$A$504&lt;=$D$4),'Production Log'!$L$5:$L$504))</f>
        <v/>
      </c>
      <c r="H24" s="14" t="str">
        <f aca="false">IF($A24="","",IF(B24=0,"",C24/B24))</f>
        <v/>
      </c>
      <c r="I24" s="14" t="str">
        <f aca="false">IF($A24="","",IF(C24=0,"",G24/C24))</f>
        <v/>
      </c>
      <c r="J24" s="14" t="str">
        <f aca="false">IF($A24="","",IF(G24=0,"",M24/G24))</f>
        <v/>
      </c>
      <c r="K24" s="14" t="str">
        <f aca="false">IF($A24="","",IF(B24=0,"",M24/B24))</f>
        <v/>
      </c>
      <c r="L24" s="21" t="str">
        <f aca="false">IF(K24="","",K24-$B$5)</f>
        <v/>
      </c>
      <c r="M24" s="0" t="str">
        <f aca="false">IF($A24="","",SUMPRODUCT(('Production Log'!$C$5:$C$504=$A24)*('Production Log'!$T$5:$T$504=TRUE())*('Production Log'!$A$5:$A$504&gt;=$D$3)*('Production Log'!$A$5:$A$504&lt;=$D$4),'Production Log'!$S$5:$S$504))</f>
        <v/>
      </c>
    </row>
    <row r="25" customFormat="false" ht="15" hidden="false" customHeight="false" outlineLevel="0" collapsed="false">
      <c r="A25" s="10" t="str">
        <f aca="false">IF(Setup!A21="","",IF(SUMPRODUCT(--(Setup!$A$4:A20=Setup!A21))&gt;0,"",Setup!A21))</f>
        <v/>
      </c>
      <c r="B25" s="20" t="str">
        <f aca="false">IF($A25="","",SUMPRODUCT(('Production Log'!$C$5:$C$504=$A25)*('Production Log'!$T$5:$T$504=TRUE())*('Production Log'!$A$5:$A$504&gt;=$D$3)*('Production Log'!$A$5:$A$504&lt;=$D$4),'Production Log'!$I$5:$I$504))</f>
        <v/>
      </c>
      <c r="C25" s="20" t="str">
        <f aca="false">IF($A25="","",SUMPRODUCT(('Production Log'!$C$5:$C$504=$A25)*('Production Log'!$T$5:$T$504=TRUE())*('Production Log'!$A$5:$A$504&gt;=$D$3)*('Production Log'!$A$5:$A$504&lt;=$D$4),'Production Log'!$J$5:$J$504))</f>
        <v/>
      </c>
      <c r="D25" s="20" t="str">
        <f aca="false">IF($A25="","",SUMPRODUCT(('Production Log'!$C$5:$C$504=$A25)*('Production Log'!$T$5:$T$504=TRUE())*('Production Log'!$A$5:$A$504&gt;=$D$3)*('Production Log'!$A$5:$A$504&lt;=$D$4),'Production Log'!$F$5:$F$504))</f>
        <v/>
      </c>
      <c r="E25" s="20" t="str">
        <f aca="false">IF($A25="","",SUMPRODUCT(('Production Log'!$C$5:$C$504=$A25)*('Production Log'!$T$5:$T$504=TRUE())*('Production Log'!$A$5:$A$504&gt;=$D$3)*('Production Log'!$A$5:$A$504&lt;=$D$4),'Production Log'!$G$5:$G$504))</f>
        <v/>
      </c>
      <c r="F25" s="20" t="str">
        <f aca="false">IF($A25="","",SUMPRODUCT(('Production Log'!$C$5:$C$504=$A25)*('Production Log'!$T$5:$T$504=TRUE())*('Production Log'!$A$5:$A$504&gt;=$D$3)*('Production Log'!$A$5:$A$504&lt;=$D$4),'Production Log'!$M$5:$M$504))</f>
        <v/>
      </c>
      <c r="G25" s="20" t="str">
        <f aca="false">IF($A25="","",SUMPRODUCT(('Production Log'!$C$5:$C$504=$A25)*('Production Log'!$T$5:$T$504=TRUE())*('Production Log'!$A$5:$A$504&gt;=$D$3)*('Production Log'!$A$5:$A$504&lt;=$D$4),'Production Log'!$L$5:$L$504))</f>
        <v/>
      </c>
      <c r="H25" s="14" t="str">
        <f aca="false">IF($A25="","",IF(B25=0,"",C25/B25))</f>
        <v/>
      </c>
      <c r="I25" s="14" t="str">
        <f aca="false">IF($A25="","",IF(C25=0,"",G25/C25))</f>
        <v/>
      </c>
      <c r="J25" s="14" t="str">
        <f aca="false">IF($A25="","",IF(G25=0,"",M25/G25))</f>
        <v/>
      </c>
      <c r="K25" s="14" t="str">
        <f aca="false">IF($A25="","",IF(B25=0,"",M25/B25))</f>
        <v/>
      </c>
      <c r="L25" s="21" t="str">
        <f aca="false">IF(K25="","",K25-$B$5)</f>
        <v/>
      </c>
      <c r="M25" s="0" t="str">
        <f aca="false">IF($A25="","",SUMPRODUCT(('Production Log'!$C$5:$C$504=$A25)*('Production Log'!$T$5:$T$504=TRUE())*('Production Log'!$A$5:$A$504&gt;=$D$3)*('Production Log'!$A$5:$A$504&lt;=$D$4),'Production Log'!$S$5:$S$504))</f>
        <v/>
      </c>
    </row>
    <row r="26" customFormat="false" ht="15" hidden="false" customHeight="false" outlineLevel="0" collapsed="false">
      <c r="A26" s="10" t="str">
        <f aca="false">IF(Setup!A22="","",IF(SUMPRODUCT(--(Setup!$A$4:A21=Setup!A22))&gt;0,"",Setup!A22))</f>
        <v/>
      </c>
      <c r="B26" s="20" t="str">
        <f aca="false">IF($A26="","",SUMPRODUCT(('Production Log'!$C$5:$C$504=$A26)*('Production Log'!$T$5:$T$504=TRUE())*('Production Log'!$A$5:$A$504&gt;=$D$3)*('Production Log'!$A$5:$A$504&lt;=$D$4),'Production Log'!$I$5:$I$504))</f>
        <v/>
      </c>
      <c r="C26" s="20" t="str">
        <f aca="false">IF($A26="","",SUMPRODUCT(('Production Log'!$C$5:$C$504=$A26)*('Production Log'!$T$5:$T$504=TRUE())*('Production Log'!$A$5:$A$504&gt;=$D$3)*('Production Log'!$A$5:$A$504&lt;=$D$4),'Production Log'!$J$5:$J$504))</f>
        <v/>
      </c>
      <c r="D26" s="20" t="str">
        <f aca="false">IF($A26="","",SUMPRODUCT(('Production Log'!$C$5:$C$504=$A26)*('Production Log'!$T$5:$T$504=TRUE())*('Production Log'!$A$5:$A$504&gt;=$D$3)*('Production Log'!$A$5:$A$504&lt;=$D$4),'Production Log'!$F$5:$F$504))</f>
        <v/>
      </c>
      <c r="E26" s="20" t="str">
        <f aca="false">IF($A26="","",SUMPRODUCT(('Production Log'!$C$5:$C$504=$A26)*('Production Log'!$T$5:$T$504=TRUE())*('Production Log'!$A$5:$A$504&gt;=$D$3)*('Production Log'!$A$5:$A$504&lt;=$D$4),'Production Log'!$G$5:$G$504))</f>
        <v/>
      </c>
      <c r="F26" s="20" t="str">
        <f aca="false">IF($A26="","",SUMPRODUCT(('Production Log'!$C$5:$C$504=$A26)*('Production Log'!$T$5:$T$504=TRUE())*('Production Log'!$A$5:$A$504&gt;=$D$3)*('Production Log'!$A$5:$A$504&lt;=$D$4),'Production Log'!$M$5:$M$504))</f>
        <v/>
      </c>
      <c r="G26" s="20" t="str">
        <f aca="false">IF($A26="","",SUMPRODUCT(('Production Log'!$C$5:$C$504=$A26)*('Production Log'!$T$5:$T$504=TRUE())*('Production Log'!$A$5:$A$504&gt;=$D$3)*('Production Log'!$A$5:$A$504&lt;=$D$4),'Production Log'!$L$5:$L$504))</f>
        <v/>
      </c>
      <c r="H26" s="14" t="str">
        <f aca="false">IF($A26="","",IF(B26=0,"",C26/B26))</f>
        <v/>
      </c>
      <c r="I26" s="14" t="str">
        <f aca="false">IF($A26="","",IF(C26=0,"",G26/C26))</f>
        <v/>
      </c>
      <c r="J26" s="14" t="str">
        <f aca="false">IF($A26="","",IF(G26=0,"",M26/G26))</f>
        <v/>
      </c>
      <c r="K26" s="14" t="str">
        <f aca="false">IF($A26="","",IF(B26=0,"",M26/B26))</f>
        <v/>
      </c>
      <c r="L26" s="21" t="str">
        <f aca="false">IF(K26="","",K26-$B$5)</f>
        <v/>
      </c>
      <c r="M26" s="0" t="str">
        <f aca="false">IF($A26="","",SUMPRODUCT(('Production Log'!$C$5:$C$504=$A26)*('Production Log'!$T$5:$T$504=TRUE())*('Production Log'!$A$5:$A$504&gt;=$D$3)*('Production Log'!$A$5:$A$504&lt;=$D$4),'Production Log'!$S$5:$S$504))</f>
        <v/>
      </c>
    </row>
    <row r="27" customFormat="false" ht="15" hidden="false" customHeight="false" outlineLevel="0" collapsed="false">
      <c r="A27" s="10" t="str">
        <f aca="false">IF(Setup!A23="","",IF(SUMPRODUCT(--(Setup!$A$4:A22=Setup!A23))&gt;0,"",Setup!A23))</f>
        <v/>
      </c>
      <c r="B27" s="20" t="str">
        <f aca="false">IF($A27="","",SUMPRODUCT(('Production Log'!$C$5:$C$504=$A27)*('Production Log'!$T$5:$T$504=TRUE())*('Production Log'!$A$5:$A$504&gt;=$D$3)*('Production Log'!$A$5:$A$504&lt;=$D$4),'Production Log'!$I$5:$I$504))</f>
        <v/>
      </c>
      <c r="C27" s="20" t="str">
        <f aca="false">IF($A27="","",SUMPRODUCT(('Production Log'!$C$5:$C$504=$A27)*('Production Log'!$T$5:$T$504=TRUE())*('Production Log'!$A$5:$A$504&gt;=$D$3)*('Production Log'!$A$5:$A$504&lt;=$D$4),'Production Log'!$J$5:$J$504))</f>
        <v/>
      </c>
      <c r="D27" s="20" t="str">
        <f aca="false">IF($A27="","",SUMPRODUCT(('Production Log'!$C$5:$C$504=$A27)*('Production Log'!$T$5:$T$504=TRUE())*('Production Log'!$A$5:$A$504&gt;=$D$3)*('Production Log'!$A$5:$A$504&lt;=$D$4),'Production Log'!$F$5:$F$504))</f>
        <v/>
      </c>
      <c r="E27" s="20" t="str">
        <f aca="false">IF($A27="","",SUMPRODUCT(('Production Log'!$C$5:$C$504=$A27)*('Production Log'!$T$5:$T$504=TRUE())*('Production Log'!$A$5:$A$504&gt;=$D$3)*('Production Log'!$A$5:$A$504&lt;=$D$4),'Production Log'!$G$5:$G$504))</f>
        <v/>
      </c>
      <c r="F27" s="20" t="str">
        <f aca="false">IF($A27="","",SUMPRODUCT(('Production Log'!$C$5:$C$504=$A27)*('Production Log'!$T$5:$T$504=TRUE())*('Production Log'!$A$5:$A$504&gt;=$D$3)*('Production Log'!$A$5:$A$504&lt;=$D$4),'Production Log'!$M$5:$M$504))</f>
        <v/>
      </c>
      <c r="G27" s="20" t="str">
        <f aca="false">IF($A27="","",SUMPRODUCT(('Production Log'!$C$5:$C$504=$A27)*('Production Log'!$T$5:$T$504=TRUE())*('Production Log'!$A$5:$A$504&gt;=$D$3)*('Production Log'!$A$5:$A$504&lt;=$D$4),'Production Log'!$L$5:$L$504))</f>
        <v/>
      </c>
      <c r="H27" s="14" t="str">
        <f aca="false">IF($A27="","",IF(B27=0,"",C27/B27))</f>
        <v/>
      </c>
      <c r="I27" s="14" t="str">
        <f aca="false">IF($A27="","",IF(C27=0,"",G27/C27))</f>
        <v/>
      </c>
      <c r="J27" s="14" t="str">
        <f aca="false">IF($A27="","",IF(G27=0,"",M27/G27))</f>
        <v/>
      </c>
      <c r="K27" s="14" t="str">
        <f aca="false">IF($A27="","",IF(B27=0,"",M27/B27))</f>
        <v/>
      </c>
      <c r="L27" s="21" t="str">
        <f aca="false">IF(K27="","",K27-$B$5)</f>
        <v/>
      </c>
      <c r="M27" s="0" t="str">
        <f aca="false">IF($A27="","",SUMPRODUCT(('Production Log'!$C$5:$C$504=$A27)*('Production Log'!$T$5:$T$504=TRUE())*('Production Log'!$A$5:$A$504&gt;=$D$3)*('Production Log'!$A$5:$A$504&lt;=$D$4),'Production Log'!$S$5:$S$504))</f>
        <v/>
      </c>
    </row>
    <row r="28" customFormat="false" ht="15" hidden="false" customHeight="false" outlineLevel="0" collapsed="false">
      <c r="A28" s="10" t="str">
        <f aca="false">IF(Setup!A24="","",IF(SUMPRODUCT(--(Setup!$A$4:A23=Setup!A24))&gt;0,"",Setup!A24))</f>
        <v/>
      </c>
      <c r="B28" s="20" t="str">
        <f aca="false">IF($A28="","",SUMPRODUCT(('Production Log'!$C$5:$C$504=$A28)*('Production Log'!$T$5:$T$504=TRUE())*('Production Log'!$A$5:$A$504&gt;=$D$3)*('Production Log'!$A$5:$A$504&lt;=$D$4),'Production Log'!$I$5:$I$504))</f>
        <v/>
      </c>
      <c r="C28" s="20" t="str">
        <f aca="false">IF($A28="","",SUMPRODUCT(('Production Log'!$C$5:$C$504=$A28)*('Production Log'!$T$5:$T$504=TRUE())*('Production Log'!$A$5:$A$504&gt;=$D$3)*('Production Log'!$A$5:$A$504&lt;=$D$4),'Production Log'!$J$5:$J$504))</f>
        <v/>
      </c>
      <c r="D28" s="20" t="str">
        <f aca="false">IF($A28="","",SUMPRODUCT(('Production Log'!$C$5:$C$504=$A28)*('Production Log'!$T$5:$T$504=TRUE())*('Production Log'!$A$5:$A$504&gt;=$D$3)*('Production Log'!$A$5:$A$504&lt;=$D$4),'Production Log'!$F$5:$F$504))</f>
        <v/>
      </c>
      <c r="E28" s="20" t="str">
        <f aca="false">IF($A28="","",SUMPRODUCT(('Production Log'!$C$5:$C$504=$A28)*('Production Log'!$T$5:$T$504=TRUE())*('Production Log'!$A$5:$A$504&gt;=$D$3)*('Production Log'!$A$5:$A$504&lt;=$D$4),'Production Log'!$G$5:$G$504))</f>
        <v/>
      </c>
      <c r="F28" s="20" t="str">
        <f aca="false">IF($A28="","",SUMPRODUCT(('Production Log'!$C$5:$C$504=$A28)*('Production Log'!$T$5:$T$504=TRUE())*('Production Log'!$A$5:$A$504&gt;=$D$3)*('Production Log'!$A$5:$A$504&lt;=$D$4),'Production Log'!$M$5:$M$504))</f>
        <v/>
      </c>
      <c r="G28" s="20" t="str">
        <f aca="false">IF($A28="","",SUMPRODUCT(('Production Log'!$C$5:$C$504=$A28)*('Production Log'!$T$5:$T$504=TRUE())*('Production Log'!$A$5:$A$504&gt;=$D$3)*('Production Log'!$A$5:$A$504&lt;=$D$4),'Production Log'!$L$5:$L$504))</f>
        <v/>
      </c>
      <c r="H28" s="14" t="str">
        <f aca="false">IF($A28="","",IF(B28=0,"",C28/B28))</f>
        <v/>
      </c>
      <c r="I28" s="14" t="str">
        <f aca="false">IF($A28="","",IF(C28=0,"",G28/C28))</f>
        <v/>
      </c>
      <c r="J28" s="14" t="str">
        <f aca="false">IF($A28="","",IF(G28=0,"",M28/G28))</f>
        <v/>
      </c>
      <c r="K28" s="14" t="str">
        <f aca="false">IF($A28="","",IF(B28=0,"",M28/B28))</f>
        <v/>
      </c>
      <c r="L28" s="21" t="str">
        <f aca="false">IF(K28="","",K28-$B$5)</f>
        <v/>
      </c>
      <c r="M28" s="0" t="str">
        <f aca="false">IF($A28="","",SUMPRODUCT(('Production Log'!$C$5:$C$504=$A28)*('Production Log'!$T$5:$T$504=TRUE())*('Production Log'!$A$5:$A$504&gt;=$D$3)*('Production Log'!$A$5:$A$504&lt;=$D$4),'Production Log'!$S$5:$S$504))</f>
        <v/>
      </c>
    </row>
    <row r="29" customFormat="false" ht="15" hidden="false" customHeight="false" outlineLevel="0" collapsed="false">
      <c r="A29" s="23" t="s">
        <v>63</v>
      </c>
      <c r="B29" s="24" t="n">
        <f aca="false">SUM(B9:B28)</f>
        <v>2640</v>
      </c>
      <c r="C29" s="24" t="n">
        <f aca="false">SUM(C9:C28)</f>
        <v>2355</v>
      </c>
      <c r="D29" s="24" t="n">
        <f aca="false">SUM(D9:D28)</f>
        <v>285</v>
      </c>
      <c r="E29" s="24" t="n">
        <f aca="false">SUM(E9:E28)</f>
        <v>21450</v>
      </c>
      <c r="F29" s="24" t="n">
        <f aca="false">SUM(F9:F28)</f>
        <v>21147</v>
      </c>
      <c r="G29" s="24" t="n">
        <f aca="false">SUM(G9:G28)</f>
        <v>2125.83333333333</v>
      </c>
      <c r="H29" s="25" t="n">
        <f aca="false">IF(B29=0,"",C29/B29)</f>
        <v>0.892045454545455</v>
      </c>
      <c r="I29" s="25" t="n">
        <f aca="false">IF(C29=0,"",G29/C29)</f>
        <v>0.902689313517339</v>
      </c>
      <c r="J29" s="25" t="n">
        <f aca="false">IF(G29=0,"",M29/G29)</f>
        <v>0.985836926695414</v>
      </c>
      <c r="K29" s="25" t="n">
        <f aca="false">IF(B29=0,"",M29/B29)</f>
        <v>0.793835227272727</v>
      </c>
      <c r="L29" s="26" t="n">
        <f aca="false">IF(K29="","",K29-$B$5)</f>
        <v>-0.0561647727272727</v>
      </c>
      <c r="M29" s="22" t="n">
        <f aca="false">SUM(M9:M28)</f>
        <v>2095.725</v>
      </c>
    </row>
  </sheetData>
  <conditionalFormatting sqref="K9:K29">
    <cfRule type="expression" priority="2" aboveAverage="0" equalAverage="0" bottom="0" percent="0" rank="0" text="" dxfId="0">
      <formula>AND(ISNUMBER(K9),K9&lt;0.6)</formula>
    </cfRule>
    <cfRule type="expression" priority="3" aboveAverage="0" equalAverage="0" bottom="0" percent="0" rank="0" text="" dxfId="1">
      <formula>AND(ISNUMBER(K9),K9&gt;=$B$5)</formula>
    </cfRule>
    <cfRule type="expression" priority="4" aboveAverage="0" equalAverage="0" bottom="0" percent="0" rank="0" text="" dxfId="2">
      <formula>AND(ISNUMBER(K9),K9&gt;=0.6,K9&lt;$B$5)</formula>
    </cfRule>
    <cfRule type="expression" priority="5" aboveAverage="0" equalAverage="0" bottom="0" percent="0" rank="0" text="" dxfId="0">
      <formula>AND(ISNUMBER(K9),K9&lt;0.6)</formula>
    </cfRule>
  </conditionalFormatting>
  <dataValidations count="1">
    <dataValidation allowBlank="false" error="Enter a target between 0% and 100%." errorStyle="stop" operator="between" showDropDown="false" showErrorMessage="false" showInputMessage="fals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2026-10-11T00:48:32Z</dcterms:created>
  <dc:creator>openpyxl</dc:creator>
  <dc:description/>
  <dc:language>en-US</dc:language>
  <cp:lastModifiedBy/>
  <dcterms:modified xsi:type="dcterms:W3CDTF">2026-10-10T19:48:39Z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