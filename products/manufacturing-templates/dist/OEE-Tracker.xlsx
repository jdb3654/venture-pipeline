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w to use" sheetId="1" state="visible" r:id="rId3"/>
    <sheet name="Setup" sheetId="2" state="visible" r:id="rId4"/>
    <sheet name="Production Log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<sst xmlns="http://schemas.openxmlformats.org/spreadsheetml/2006/main" count="83" uniqueCount="60">
  <si>
    <t xml:space="preserve">OEE Tracker</t>
  </si>
  <si>
    <t xml:space="preserve">Version 1.0</t>
  </si>
  <si>
    <t xml:space="preserve">What this does</t>
  </si>
  <si>
    <t xml:space="preserve">Log each shift's production per machine. The workbook calculates Availability, Performance, Quality and OEE for every shift and summarizes them by machine on the Dashboard, for any date range.</t>
  </si>
  <si>
    <t xml:space="preserve">Colour key</t>
  </si>
  <si>
    <t xml:space="preserve">Yellow cells are for you to fill in.</t>
  </si>
  <si>
    <t xml:space="preserve">Grey cells are calculated. Don't type over them.</t>
  </si>
  <si>
    <t xml:space="preserve">Steps</t>
  </si>
  <si>
    <t xml:space="preserve">1. Setup: list your machines and each one's ideal cycle time (the fastest sustainable time to make one part, in seconds). For a line, use the time per finished unit at rated speed.</t>
  </si>
  <si>
    <t xml:space="preserve">2. Production Log: add one row per machine per shift. Planned stops are scheduled time the machine is not expected to run (breaks, planned meetings). Unplanned downtime is everything else it was stopped.</t>
  </si>
  <si>
    <t xml:space="preserve">3. Dashboard: optionally enter a From and To date. Leave them blank to include everything.</t>
  </si>
  <si>
    <t xml:space="preserve">4. The rows marked EXAMPLE show the expected format. Delete them before you start.</t>
  </si>
  <si>
    <t xml:space="preserve">How OEE is calculated</t>
  </si>
  <si>
    <t xml:space="preserve">Planned production time = shift length - planned stops.   Run time = planned production time - unplanned downtime.</t>
  </si>
  <si>
    <t xml:space="preserve">Availability = run time / planned production time.</t>
  </si>
  <si>
    <t xml:space="preserve">Performance = (ideal cycle time x total parts) / run time.</t>
  </si>
  <si>
    <t xml:space="preserve">Quality = good parts / total parts.   OEE = Availability x Performance x Quality.</t>
  </si>
  <si>
    <t xml:space="preserve">Dashboard totals are calculated from summed times and counts, not by averaging shift percentages, so long shifts and short shifts are weighted correctly.</t>
  </si>
  <si>
    <t xml:space="preserve">Check column</t>
  </si>
  <si>
    <t xml:space="preserve">The Check column on the log flags common entry mistakes: a machine missing from Setup, rejects higher than total parts, downtime longer than planned time, and performance above 100% (usually a cycle time that is too slow in Setup, or a miscounted total).</t>
  </si>
  <si>
    <t xml:space="preserve">Target</t>
  </si>
  <si>
    <t xml:space="preserve">85% OEE is a commonly cited 'world-class' benchmark. Set your own target on the Dashboard; many plants start well below that, and improvement against your own baseline matters more.</t>
  </si>
  <si>
    <t xml:space="preserve">Setup</t>
  </si>
  <si>
    <t xml:space="preserve">List each machine once. Names must match exactly what you pick in the log.</t>
  </si>
  <si>
    <t xml:space="preserve">Machine</t>
  </si>
  <si>
    <t xml:space="preserve">Ideal cycle time
(seconds per part)</t>
  </si>
  <si>
    <t xml:space="preserve">Notes</t>
  </si>
  <si>
    <t xml:space="preserve">Press 01</t>
  </si>
  <si>
    <t xml:space="preserve">EXAMPLE</t>
  </si>
  <si>
    <t xml:space="preserve">CNC Lathe 02</t>
  </si>
  <si>
    <t xml:space="preserve">Packaging Line A</t>
  </si>
  <si>
    <t xml:space="preserve">Production Log</t>
  </si>
  <si>
    <t xml:space="preserve">One row per machine per shift. Fill in the yellow columns; grey columns calculate.</t>
  </si>
  <si>
    <t xml:space="preserve">Date</t>
  </si>
  <si>
    <t xml:space="preserve">Shift</t>
  </si>
  <si>
    <t xml:space="preserve">Shift length
(min)</t>
  </si>
  <si>
    <t xml:space="preserve">Planned stops
(min)</t>
  </si>
  <si>
    <t xml:space="preserve">Unplanned
downtime (min)</t>
  </si>
  <si>
    <t xml:space="preserve">Total parts</t>
  </si>
  <si>
    <t xml:space="preserve">Rejected
parts</t>
  </si>
  <si>
    <t xml:space="preserve">Planned production
time (min)</t>
  </si>
  <si>
    <t xml:space="preserve">Run time
(min)</t>
  </si>
  <si>
    <t xml:space="preserve">Ideal cycle
time (sec)</t>
  </si>
  <si>
    <t xml:space="preserve">Ideal run time
(min)</t>
  </si>
  <si>
    <t xml:space="preserve">Good parts</t>
  </si>
  <si>
    <t xml:space="preserve">Availability</t>
  </si>
  <si>
    <t xml:space="preserve">Performance</t>
  </si>
  <si>
    <t xml:space="preserve">Quality</t>
  </si>
  <si>
    <t xml:space="preserve">OEE</t>
  </si>
  <si>
    <t xml:space="preserve">Check</t>
  </si>
  <si>
    <t xml:space="preserve">Day</t>
  </si>
  <si>
    <t xml:space="preserve">Dashboard</t>
  </si>
  <si>
    <t xml:space="preserve">Summary by machine for the date range below. Leave dates blank to include all rows.</t>
  </si>
  <si>
    <t xml:space="preserve">From date</t>
  </si>
  <si>
    <t xml:space="preserve">To date</t>
  </si>
  <si>
    <t xml:space="preserve">OEE target</t>
  </si>
  <si>
    <t xml:space="preserve">Planned
time (min)</t>
  </si>
  <si>
    <t xml:space="preserve">Ideal run
time (min)</t>
  </si>
  <si>
    <t xml:space="preserve">OEE vs
target</t>
  </si>
  <si>
    <t xml:space="preserve">All machines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</si>
</sst>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yyyy\-mm\-dd"/>
    <numFmt numFmtId="167" formatCode="0"/>
    <numFmt numFmtId="168" formatCode="0.0%"/>
    <numFmt numFmtId="169" formatCode="0%"/>
    <numFmt numFmtId="170" formatCode="#,##0"/>
    <numFmt numFmtId="171" formatCode="\+0.0%;\-0.0%;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OEE by machine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Dashboard!K8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Dashboard!$A$9:$A$28</c:f>
              <c:strCache>
                <c:ptCount val="20"/>
                <c:pt idx="0">
                  <c:v>Press 01</c:v>
                </c:pt>
                <c:pt idx="1">
                  <c:v>CNC Lathe 02</c:v>
                </c:pt>
                <c:pt idx="2">
                  <c:v>Packaging Line A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Dashboard!$K$9:$K$28</c:f>
              <c:numCache>
                <c:formatCode>0.0%</c:formatCode>
                <c:ptCount val="20"/>
                <c:pt idx="0">
                  <c:v>0.760909090909091</c:v>
                </c:pt>
                <c:pt idx="1">
                  <c:v>0.798863636363636</c:v>
                </c:pt>
                <c:pt idx="2">
                  <c:v>0.821732954545454</c:v>
                </c:pt>
              </c:numCache>
            </c:numRef>
          </c:val>
        </c:ser>
        <c:gapWidth val="150"/>
        <c:overlap val="0"/>
        <c:axId val="81552671"/>
        <c:axId val="84212848"/>
      </c:barChart>
      <c:catAx>
        <c:axId val="8155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12848"/>
        <c:crosses val="autoZero"/>
        <c:auto val="1"/>
        <c:lblAlgn val="ctr"/>
        <c:lblOffset val="100"/>
        <c:noMultiLvlLbl val="0"/>
      </c:catAx>
      <c:valAx>
        <c:axId val="8421284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526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130680</xdr:rowOff>
    </xdr:from>
    <xdr:to>
      <xdr:col>6</xdr:col>
      <xdr:colOff>558720</xdr:colOff>
      <xdr:row>45</xdr:row>
      <xdr:rowOff>153000</xdr:rowOff>
    </xdr:to>
    <xdr:graphicFrame>
      <xdr:nvGraphicFramePr>
        <xdr:cNvPr id="0" name="Chart 1"/>
        <xdr:cNvGraphicFramePr/>
      </xdr:nvGraphicFramePr>
      <xdr:xfrm>
        <a:off x="0" y="61149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3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6" t="s">
        <v>6</v>
      </c>
    </row>
    <row r="11" customFormat="false" ht="15" hidden="false" customHeight="false" outlineLevel="0" collapsed="false">
      <c r="B11" s="3" t="s">
        <v>7</v>
      </c>
    </row>
    <row r="13" customFormat="false" ht="23.85" hidden="false" customHeight="false" outlineLevel="0" collapsed="false">
      <c r="B13" s="4" t="s">
        <v>8</v>
      </c>
    </row>
    <row r="14" customFormat="false" ht="23.8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3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23.8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3" t="s">
        <v>18</v>
      </c>
    </row>
    <row r="26" customFormat="false" ht="35.0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3" t="s">
        <v>20</v>
      </c>
    </row>
    <row r="29" customFormat="false" ht="23.85" hidden="false" customHeight="false" outlineLevel="0" collapsed="false">
      <c r="B29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31.5" hidden="false" customHeight="true" outlineLevel="0" collapsed="false">
      <c r="A4" s="7" t="s">
        <v>24</v>
      </c>
      <c r="B4" s="7" t="s">
        <v>25</v>
      </c>
      <c r="C4" s="7" t="s">
        <v>26</v>
      </c>
    </row>
    <row r="5" customFormat="false" ht="15" hidden="false" customHeight="false" outlineLevel="0" collapsed="false">
      <c r="A5" s="8" t="s">
        <v>27</v>
      </c>
      <c r="B5" s="9" t="n">
        <v>12</v>
      </c>
      <c r="C5" s="8" t="s">
        <v>28</v>
      </c>
    </row>
    <row r="6" customFormat="false" ht="15" hidden="false" customHeight="false" outlineLevel="0" collapsed="false">
      <c r="A6" s="8" t="s">
        <v>29</v>
      </c>
      <c r="B6" s="9" t="n">
        <v>95</v>
      </c>
      <c r="C6" s="8" t="s">
        <v>28</v>
      </c>
    </row>
    <row r="7" customFormat="false" ht="15" hidden="false" customHeight="false" outlineLevel="0" collapsed="false">
      <c r="A7" s="8" t="s">
        <v>30</v>
      </c>
      <c r="B7" s="9" t="n">
        <v>2.5</v>
      </c>
      <c r="C7" s="8" t="s">
        <v>28</v>
      </c>
    </row>
    <row r="8" customFormat="false" ht="15" hidden="false" customHeight="false" outlineLevel="0" collapsed="false">
      <c r="A8" s="8"/>
      <c r="B8" s="9"/>
      <c r="C8" s="8"/>
    </row>
    <row r="9" customFormat="false" ht="15" hidden="false" customHeight="false" outlineLevel="0" collapsed="false">
      <c r="A9" s="8"/>
      <c r="B9" s="9"/>
      <c r="C9" s="8"/>
    </row>
    <row r="10" customFormat="false" ht="15" hidden="false" customHeight="false" outlineLevel="0" collapsed="false">
      <c r="A10" s="8"/>
      <c r="B10" s="9"/>
      <c r="C10" s="8"/>
    </row>
    <row r="11" customFormat="false" ht="15" hidden="false" customHeight="false" outlineLevel="0" collapsed="false">
      <c r="A11" s="8"/>
      <c r="B11" s="9"/>
      <c r="C11" s="8"/>
    </row>
    <row r="12" customFormat="false" ht="15" hidden="false" customHeight="false" outlineLevel="0" collapsed="false">
      <c r="A12" s="8"/>
      <c r="B12" s="9"/>
      <c r="C12" s="8"/>
    </row>
    <row r="13" customFormat="false" ht="15" hidden="false" customHeight="false" outlineLevel="0" collapsed="false">
      <c r="A13" s="8"/>
      <c r="B13" s="9"/>
      <c r="C13" s="8"/>
    </row>
    <row r="14" customFormat="false" ht="15" hidden="false" customHeight="false" outlineLevel="0" collapsed="false">
      <c r="A14" s="8"/>
      <c r="B14" s="9"/>
      <c r="C14" s="8"/>
    </row>
    <row r="15" customFormat="false" ht="15" hidden="false" customHeight="false" outlineLevel="0" collapsed="false">
      <c r="A15" s="8"/>
      <c r="B15" s="9"/>
      <c r="C15" s="8"/>
    </row>
    <row r="16" customFormat="false" ht="15" hidden="false" customHeight="false" outlineLevel="0" collapsed="false">
      <c r="A16" s="8"/>
      <c r="B16" s="9"/>
      <c r="C16" s="8"/>
    </row>
    <row r="17" customFormat="false" ht="15" hidden="false" customHeight="false" outlineLevel="0" collapsed="false">
      <c r="A17" s="8"/>
      <c r="B17" s="9"/>
      <c r="C17" s="8"/>
    </row>
    <row r="18" customFormat="false" ht="15" hidden="false" customHeight="false" outlineLevel="0" collapsed="false">
      <c r="A18" s="8"/>
      <c r="B18" s="9"/>
      <c r="C18" s="8"/>
    </row>
    <row r="19" customFormat="false" ht="15" hidden="false" customHeight="false" outlineLevel="0" collapsed="false">
      <c r="A19" s="8"/>
      <c r="B19" s="9"/>
      <c r="C19" s="8"/>
    </row>
    <row r="20" customFormat="false" ht="15" hidden="false" customHeight="false" outlineLevel="0" collapsed="false">
      <c r="A20" s="8"/>
      <c r="B20" s="9"/>
      <c r="C20" s="8"/>
    </row>
    <row r="21" customFormat="false" ht="15" hidden="false" customHeight="false" outlineLevel="0" collapsed="false">
      <c r="A21" s="8"/>
      <c r="B21" s="9"/>
      <c r="C21" s="8"/>
    </row>
    <row r="22" customFormat="false" ht="15" hidden="false" customHeight="false" outlineLevel="0" collapsed="false">
      <c r="A22" s="8"/>
      <c r="B22" s="9"/>
      <c r="C22" s="8"/>
    </row>
    <row r="23" customFormat="false" ht="15" hidden="false" customHeight="false" outlineLevel="0" collapsed="false">
      <c r="A23" s="8"/>
      <c r="B23" s="9"/>
      <c r="C23" s="8"/>
    </row>
    <row r="24" customFormat="false" ht="15" hidden="false" customHeight="false" outlineLevel="0" collapsed="false">
      <c r="A24" s="8"/>
      <c r="B24" s="9"/>
      <c r="C2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7" min="16" style="0" width="10"/>
    <col collapsed="false" customWidth="true" hidden="false" outlineLevel="0" max="18" min="18" style="0" width="34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1.5" hidden="false" customHeight="true" outlineLevel="0" collapsed="false">
      <c r="A4" s="7" t="s">
        <v>33</v>
      </c>
      <c r="B4" s="7" t="s">
        <v>34</v>
      </c>
      <c r="C4" s="7" t="s">
        <v>24</v>
      </c>
      <c r="D4" s="7" t="s">
        <v>35</v>
      </c>
      <c r="E4" s="7" t="s">
        <v>36</v>
      </c>
      <c r="F4" s="7" t="s">
        <v>37</v>
      </c>
      <c r="G4" s="7" t="s">
        <v>38</v>
      </c>
      <c r="H4" s="7" t="s">
        <v>39</v>
      </c>
      <c r="I4" s="7" t="s">
        <v>40</v>
      </c>
      <c r="J4" s="7" t="s">
        <v>41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47</v>
      </c>
      <c r="Q4" s="7" t="s">
        <v>48</v>
      </c>
      <c r="R4" s="7" t="s">
        <v>49</v>
      </c>
    </row>
    <row r="5" customFormat="false" ht="15" hidden="false" customHeight="false" outlineLevel="0" collapsed="false">
      <c r="A5" s="10" t="n">
        <v>46266</v>
      </c>
      <c r="B5" s="8" t="s">
        <v>50</v>
      </c>
      <c r="C5" s="8" t="s">
        <v>27</v>
      </c>
      <c r="D5" s="8" t="n">
        <v>480</v>
      </c>
      <c r="E5" s="8" t="n">
        <v>40</v>
      </c>
      <c r="F5" s="8" t="n">
        <v>35</v>
      </c>
      <c r="G5" s="8" t="n">
        <v>1900</v>
      </c>
      <c r="H5" s="8" t="n">
        <v>22</v>
      </c>
      <c r="I5" s="11" t="n">
        <f aca="false">IF($C5="","",D5-E5)</f>
        <v>440</v>
      </c>
      <c r="J5" s="11" t="n">
        <f aca="false">IF($C5="","",I5-F5)</f>
        <v>405</v>
      </c>
      <c r="K5" s="12" t="n">
        <f aca="false">IF($C5="","",IFERROR(INDEX(Setup!$B$5:$B$24,MATCH($C5,Setup!$A$5:$A$24,0)),""))</f>
        <v>12</v>
      </c>
      <c r="L5" s="12" t="n">
        <f aca="false">IF(OR($C5="",K5=""),"",K5*G5/60)</f>
        <v>380</v>
      </c>
      <c r="M5" s="11" t="n">
        <f aca="false">IF($C5="","",G5-H5)</f>
        <v>1878</v>
      </c>
      <c r="N5" s="13" t="n">
        <f aca="false">IF($C5="","",IF(I5&lt;=0,"",J5/I5))</f>
        <v>0.920454545454545</v>
      </c>
      <c r="O5" s="13" t="n">
        <f aca="false">IF($C5="","",IF(OR(L5="",J5&lt;=0),"",L5/J5))</f>
        <v>0.938271604938272</v>
      </c>
      <c r="P5" s="13" t="n">
        <f aca="false">IF($C5="","",IF(G5&lt;=0,"",M5/G5))</f>
        <v>0.988421052631579</v>
      </c>
      <c r="Q5" s="13" t="n">
        <f aca="false">IF(OR(N5="",O5="",P5=""),"",N5*O5*P5)</f>
        <v>0.853636363636364</v>
      </c>
      <c r="R5" s="14" t="str">
        <f aca="false">IF($C5="","",IF(K5="","Machine not in Setup",IF(H5&gt;G5,"Rejects &gt; total parts",IF(J5&lt;0,"Downtime &gt; planned time",IF(AND(ISNUMBER(O5),O5&gt;1.05),"Performance &gt; 100%: check cycle time or counts","OK")))))</f>
        <v>OK</v>
      </c>
    </row>
    <row r="6" customFormat="false" ht="15" hidden="false" customHeight="false" outlineLevel="0" collapsed="false">
      <c r="A6" s="10" t="n">
        <v>46266</v>
      </c>
      <c r="B6" s="8" t="s">
        <v>50</v>
      </c>
      <c r="C6" s="8" t="s">
        <v>29</v>
      </c>
      <c r="D6" s="8" t="n">
        <v>480</v>
      </c>
      <c r="E6" s="8" t="n">
        <v>40</v>
      </c>
      <c r="F6" s="8" t="n">
        <v>60</v>
      </c>
      <c r="G6" s="8" t="n">
        <v>210</v>
      </c>
      <c r="H6" s="8" t="n">
        <v>4</v>
      </c>
      <c r="I6" s="11" t="n">
        <f aca="false">IF($C6="","",D6-E6)</f>
        <v>440</v>
      </c>
      <c r="J6" s="11" t="n">
        <f aca="false">IF($C6="","",I6-F6)</f>
        <v>380</v>
      </c>
      <c r="K6" s="12" t="n">
        <f aca="false">IF($C6="","",IFERROR(INDEX(Setup!$B$5:$B$24,MATCH($C6,Setup!$A$5:$A$24,0)),""))</f>
        <v>95</v>
      </c>
      <c r="L6" s="12" t="n">
        <f aca="false">IF(OR($C6="",K6=""),"",K6*G6/60)</f>
        <v>332.5</v>
      </c>
      <c r="M6" s="11" t="n">
        <f aca="false">IF($C6="","",G6-H6)</f>
        <v>206</v>
      </c>
      <c r="N6" s="13" t="n">
        <f aca="false">IF($C6="","",IF(I6&lt;=0,"",J6/I6))</f>
        <v>0.863636363636364</v>
      </c>
      <c r="O6" s="13" t="n">
        <f aca="false">IF($C6="","",IF(OR(L6="",J6&lt;=0),"",L6/J6))</f>
        <v>0.875</v>
      </c>
      <c r="P6" s="13" t="n">
        <f aca="false">IF($C6="","",IF(G6&lt;=0,"",M6/G6))</f>
        <v>0.980952380952381</v>
      </c>
      <c r="Q6" s="13" t="n">
        <f aca="false">IF(OR(N6="",O6="",P6=""),"",N6*O6*P6)</f>
        <v>0.741287878787879</v>
      </c>
      <c r="R6" s="14" t="str">
        <f aca="false">IF($C6="","",IF(K6="","Machine not in Setup",IF(H6&gt;G6,"Rejects &gt; total parts",IF(J6&lt;0,"Downtime &gt; planned time",IF(AND(ISNUMBER(O6),O6&gt;1.05),"Performance &gt; 100%: check cycle time or counts","OK")))))</f>
        <v>OK</v>
      </c>
    </row>
    <row r="7" customFormat="false" ht="15" hidden="false" customHeight="false" outlineLevel="0" collapsed="false">
      <c r="A7" s="10" t="n">
        <v>46266</v>
      </c>
      <c r="B7" s="8" t="s">
        <v>50</v>
      </c>
      <c r="C7" s="8" t="s">
        <v>30</v>
      </c>
      <c r="D7" s="8" t="n">
        <v>480</v>
      </c>
      <c r="E7" s="8" t="n">
        <v>40</v>
      </c>
      <c r="F7" s="8" t="n">
        <v>25</v>
      </c>
      <c r="G7" s="8" t="n">
        <v>9200</v>
      </c>
      <c r="H7" s="8" t="n">
        <v>150</v>
      </c>
      <c r="I7" s="11" t="n">
        <f aca="false">IF($C7="","",D7-E7)</f>
        <v>440</v>
      </c>
      <c r="J7" s="11" t="n">
        <f aca="false">IF($C7="","",I7-F7)</f>
        <v>415</v>
      </c>
      <c r="K7" s="12" t="n">
        <f aca="false">IF($C7="","",IFERROR(INDEX(Setup!$B$5:$B$24,MATCH($C7,Setup!$A$5:$A$24,0)),""))</f>
        <v>2.5</v>
      </c>
      <c r="L7" s="12" t="n">
        <f aca="false">IF(OR($C7="",K7=""),"",K7*G7/60)</f>
        <v>383.333333333333</v>
      </c>
      <c r="M7" s="11" t="n">
        <f aca="false">IF($C7="","",G7-H7)</f>
        <v>9050</v>
      </c>
      <c r="N7" s="13" t="n">
        <f aca="false">IF($C7="","",IF(I7&lt;=0,"",J7/I7))</f>
        <v>0.943181818181818</v>
      </c>
      <c r="O7" s="13" t="n">
        <f aca="false">IF($C7="","",IF(OR(L7="",J7&lt;=0),"",L7/J7))</f>
        <v>0.923694779116466</v>
      </c>
      <c r="P7" s="13" t="n">
        <f aca="false">IF($C7="","",IF(G7&lt;=0,"",M7/G7))</f>
        <v>0.983695652173913</v>
      </c>
      <c r="Q7" s="13" t="n">
        <f aca="false">IF(OR(N7="",O7="",P7=""),"",N7*O7*P7)</f>
        <v>0.857007575757576</v>
      </c>
      <c r="R7" s="14" t="str">
        <f aca="false">IF($C7="","",IF(K7="","Machine not in Setup",IF(H7&gt;G7,"Rejects &gt; total parts",IF(J7&lt;0,"Downtime &gt; planned time",IF(AND(ISNUMBER(O7),O7&gt;1.05),"Performance &gt; 100%: check cycle time or counts","OK")))))</f>
        <v>OK</v>
      </c>
    </row>
    <row r="8" customFormat="false" ht="15" hidden="false" customHeight="false" outlineLevel="0" collapsed="false">
      <c r="A8" s="10" t="n">
        <v>46267</v>
      </c>
      <c r="B8" s="8" t="s">
        <v>50</v>
      </c>
      <c r="C8" s="8" t="s">
        <v>27</v>
      </c>
      <c r="D8" s="8" t="n">
        <v>480</v>
      </c>
      <c r="E8" s="8" t="n">
        <v>40</v>
      </c>
      <c r="F8" s="8" t="n">
        <v>90</v>
      </c>
      <c r="G8" s="8" t="n">
        <v>1500</v>
      </c>
      <c r="H8" s="8" t="n">
        <v>30</v>
      </c>
      <c r="I8" s="11" t="n">
        <f aca="false">IF($C8="","",D8-E8)</f>
        <v>440</v>
      </c>
      <c r="J8" s="11" t="n">
        <f aca="false">IF($C8="","",I8-F8)</f>
        <v>350</v>
      </c>
      <c r="K8" s="12" t="n">
        <f aca="false">IF($C8="","",IFERROR(INDEX(Setup!$B$5:$B$24,MATCH($C8,Setup!$A$5:$A$24,0)),""))</f>
        <v>12</v>
      </c>
      <c r="L8" s="12" t="n">
        <f aca="false">IF(OR($C8="",K8=""),"",K8*G8/60)</f>
        <v>300</v>
      </c>
      <c r="M8" s="11" t="n">
        <f aca="false">IF($C8="","",G8-H8)</f>
        <v>1470</v>
      </c>
      <c r="N8" s="13" t="n">
        <f aca="false">IF($C8="","",IF(I8&lt;=0,"",J8/I8))</f>
        <v>0.795454545454545</v>
      </c>
      <c r="O8" s="13" t="n">
        <f aca="false">IF($C8="","",IF(OR(L8="",J8&lt;=0),"",L8/J8))</f>
        <v>0.857142857142857</v>
      </c>
      <c r="P8" s="13" t="n">
        <f aca="false">IF($C8="","",IF(G8&lt;=0,"",M8/G8))</f>
        <v>0.98</v>
      </c>
      <c r="Q8" s="13" t="n">
        <f aca="false">IF(OR(N8="",O8="",P8=""),"",N8*O8*P8)</f>
        <v>0.668181818181818</v>
      </c>
      <c r="R8" s="14" t="str">
        <f aca="false">IF($C8="","",IF(K8="","Machine not in Setup",IF(H8&gt;G8,"Rejects &gt; total parts",IF(J8&lt;0,"Downtime &gt; planned time",IF(AND(ISNUMBER(O8),O8&gt;1.05),"Performance &gt; 100%: check cycle time or counts","OK")))))</f>
        <v>OK</v>
      </c>
    </row>
    <row r="9" customFormat="false" ht="15" hidden="false" customHeight="false" outlineLevel="0" collapsed="false">
      <c r="A9" s="10" t="n">
        <v>46267</v>
      </c>
      <c r="B9" s="8" t="s">
        <v>50</v>
      </c>
      <c r="C9" s="8" t="s">
        <v>29</v>
      </c>
      <c r="D9" s="8" t="n">
        <v>480</v>
      </c>
      <c r="E9" s="8" t="n">
        <v>40</v>
      </c>
      <c r="F9" s="8" t="n">
        <v>20</v>
      </c>
      <c r="G9" s="8" t="n">
        <v>240</v>
      </c>
      <c r="H9" s="8" t="n">
        <v>2</v>
      </c>
      <c r="I9" s="11" t="n">
        <f aca="false">IF($C9="","",D9-E9)</f>
        <v>440</v>
      </c>
      <c r="J9" s="11" t="n">
        <f aca="false">IF($C9="","",I9-F9)</f>
        <v>420</v>
      </c>
      <c r="K9" s="12" t="n">
        <f aca="false">IF($C9="","",IFERROR(INDEX(Setup!$B$5:$B$24,MATCH($C9,Setup!$A$5:$A$24,0)),""))</f>
        <v>95</v>
      </c>
      <c r="L9" s="12" t="n">
        <f aca="false">IF(OR($C9="",K9=""),"",K9*G9/60)</f>
        <v>380</v>
      </c>
      <c r="M9" s="11" t="n">
        <f aca="false">IF($C9="","",G9-H9)</f>
        <v>238</v>
      </c>
      <c r="N9" s="13" t="n">
        <f aca="false">IF($C9="","",IF(I9&lt;=0,"",J9/I9))</f>
        <v>0.954545454545455</v>
      </c>
      <c r="O9" s="13" t="n">
        <f aca="false">IF($C9="","",IF(OR(L9="",J9&lt;=0),"",L9/J9))</f>
        <v>0.904761904761905</v>
      </c>
      <c r="P9" s="13" t="n">
        <f aca="false">IF($C9="","",IF(G9&lt;=0,"",M9/G9))</f>
        <v>0.991666666666667</v>
      </c>
      <c r="Q9" s="13" t="n">
        <f aca="false">IF(OR(N9="",O9="",P9=""),"",N9*O9*P9)</f>
        <v>0.856439393939394</v>
      </c>
      <c r="R9" s="14" t="str">
        <f aca="false">IF($C9="","",IF(K9="","Machine not in Setup",IF(H9&gt;G9,"Rejects &gt; total parts",IF(J9&lt;0,"Downtime &gt; planned time",IF(AND(ISNUMBER(O9),O9&gt;1.05),"Performance &gt; 100%: check cycle time or counts","OK")))))</f>
        <v>OK</v>
      </c>
    </row>
    <row r="10" customFormat="false" ht="15" hidden="false" customHeight="false" outlineLevel="0" collapsed="false">
      <c r="A10" s="10" t="n">
        <v>46267</v>
      </c>
      <c r="B10" s="8" t="s">
        <v>50</v>
      </c>
      <c r="C10" s="8" t="s">
        <v>30</v>
      </c>
      <c r="D10" s="8" t="n">
        <v>480</v>
      </c>
      <c r="E10" s="8" t="n">
        <v>40</v>
      </c>
      <c r="F10" s="8" t="n">
        <v>55</v>
      </c>
      <c r="G10" s="8" t="n">
        <v>8400</v>
      </c>
      <c r="H10" s="8" t="n">
        <v>95</v>
      </c>
      <c r="I10" s="11" t="n">
        <f aca="false">IF($C10="","",D10-E10)</f>
        <v>440</v>
      </c>
      <c r="J10" s="11" t="n">
        <f aca="false">IF($C10="","",I10-F10)</f>
        <v>385</v>
      </c>
      <c r="K10" s="12" t="n">
        <f aca="false">IF($C10="","",IFERROR(INDEX(Setup!$B$5:$B$24,MATCH($C10,Setup!$A$5:$A$24,0)),""))</f>
        <v>2.5</v>
      </c>
      <c r="L10" s="12" t="n">
        <f aca="false">IF(OR($C10="",K10=""),"",K10*G10/60)</f>
        <v>350</v>
      </c>
      <c r="M10" s="11" t="n">
        <f aca="false">IF($C10="","",G10-H10)</f>
        <v>8305</v>
      </c>
      <c r="N10" s="13" t="n">
        <f aca="false">IF($C10="","",IF(I10&lt;=0,"",J10/I10))</f>
        <v>0.875</v>
      </c>
      <c r="O10" s="13" t="n">
        <f aca="false">IF($C10="","",IF(OR(L10="",J10&lt;=0),"",L10/J10))</f>
        <v>0.909090909090909</v>
      </c>
      <c r="P10" s="13" t="n">
        <f aca="false">IF($C10="","",IF(G10&lt;=0,"",M10/G10))</f>
        <v>0.988690476190476</v>
      </c>
      <c r="Q10" s="13" t="n">
        <f aca="false">IF(OR(N10="",O10="",P10=""),"",N10*O10*P10)</f>
        <v>0.786458333333333</v>
      </c>
      <c r="R10" s="14" t="str">
        <f aca="false">IF($C10="","",IF(K10="","Machine not in Setup",IF(H10&gt;G10,"Rejects &gt; total parts",IF(J10&lt;0,"Downtime &gt; planned time",IF(AND(ISNUMBER(O10),O10&gt;1.05),"Performance &gt; 100%: check cycle time or counts","OK")))))</f>
        <v>OK</v>
      </c>
    </row>
    <row r="11" customFormat="false" ht="15" hidden="false" customHeight="false" outlineLevel="0" collapsed="false">
      <c r="A11" s="10"/>
      <c r="B11" s="8"/>
      <c r="C11" s="8"/>
      <c r="D11" s="8"/>
      <c r="E11" s="8"/>
      <c r="F11" s="8"/>
      <c r="G11" s="8"/>
      <c r="H11" s="8"/>
      <c r="I11" s="11" t="str">
        <f aca="false">IF($C11="","",D11-E11)</f>
        <v/>
      </c>
      <c r="J11" s="11" t="str">
        <f aca="false">IF($C11="","",I11-F11)</f>
        <v/>
      </c>
      <c r="K11" s="12" t="str">
        <f aca="false">IF($C11="","",IFERROR(INDEX(Setup!$B$5:$B$24,MATCH($C11,Setup!$A$5:$A$24,0)),""))</f>
        <v/>
      </c>
      <c r="L11" s="12" t="str">
        <f aca="false">IF(OR($C11="",K11=""),"",K11*G11/60)</f>
        <v/>
      </c>
      <c r="M11" s="11" t="str">
        <f aca="false">IF($C11="","",G11-H11)</f>
        <v/>
      </c>
      <c r="N11" s="13" t="str">
        <f aca="false">IF($C11="","",IF(I11&lt;=0,"",J11/I11))</f>
        <v/>
      </c>
      <c r="O11" s="13" t="str">
        <f aca="false">IF($C11="","",IF(OR(L11="",J11&lt;=0),"",L11/J11))</f>
        <v/>
      </c>
      <c r="P11" s="13" t="str">
        <f aca="false">IF($C11="","",IF(G11&lt;=0,"",M11/G11))</f>
        <v/>
      </c>
      <c r="Q11" s="13" t="str">
        <f aca="false">IF(OR(N11="",O11="",P11=""),"",N11*O11*P11)</f>
        <v/>
      </c>
      <c r="R11" s="14" t="str">
        <f aca="false">IF($C11="","",IF(K11="","Machine not in Setup",IF(H11&gt;G11,"Rejects &gt; total parts",IF(J11&lt;0,"Downtime &gt; planned time",IF(AND(ISNUMBER(O11),O11&gt;1.05),"Performance &gt; 100%: check cycle time or counts","OK")))))</f>
        <v/>
      </c>
    </row>
    <row r="12" customFormat="false" ht="15" hidden="false" customHeight="false" outlineLevel="0" collapsed="false">
      <c r="A12" s="10"/>
      <c r="B12" s="8"/>
      <c r="C12" s="8"/>
      <c r="D12" s="8"/>
      <c r="E12" s="8"/>
      <c r="F12" s="8"/>
      <c r="G12" s="8"/>
      <c r="H12" s="8"/>
      <c r="I12" s="11" t="str">
        <f aca="false">IF($C12="","",D12-E12)</f>
        <v/>
      </c>
      <c r="J12" s="11" t="str">
        <f aca="false">IF($C12="","",I12-F12)</f>
        <v/>
      </c>
      <c r="K12" s="12" t="str">
        <f aca="false">IF($C12="","",IFERROR(INDEX(Setup!$B$5:$B$24,MATCH($C12,Setup!$A$5:$A$24,0)),""))</f>
        <v/>
      </c>
      <c r="L12" s="12" t="str">
        <f aca="false">IF(OR($C12="",K12=""),"",K12*G12/60)</f>
        <v/>
      </c>
      <c r="M12" s="11" t="str">
        <f aca="false">IF($C12="","",G12-H12)</f>
        <v/>
      </c>
      <c r="N12" s="13" t="str">
        <f aca="false">IF($C12="","",IF(I12&lt;=0,"",J12/I12))</f>
        <v/>
      </c>
      <c r="O12" s="13" t="str">
        <f aca="false">IF($C12="","",IF(OR(L12="",J12&lt;=0),"",L12/J12))</f>
        <v/>
      </c>
      <c r="P12" s="13" t="str">
        <f aca="false">IF($C12="","",IF(G12&lt;=0,"",M12/G12))</f>
        <v/>
      </c>
      <c r="Q12" s="13" t="str">
        <f aca="false">IF(OR(N12="",O12="",P12=""),"",N12*O12*P12)</f>
        <v/>
      </c>
      <c r="R12" s="14" t="str">
        <f aca="false">IF($C12="","",IF(K12="","Machine not in Setup",IF(H12&gt;G12,"Rejects &gt; total parts",IF(J12&lt;0,"Downtime &gt; planned time",IF(AND(ISNUMBER(O12),O12&gt;1.05),"Performance &gt; 100%: check cycle time or counts","OK")))))</f>
        <v/>
      </c>
    </row>
    <row r="13" customFormat="false" ht="15" hidden="false" customHeight="false" outlineLevel="0" collapsed="false">
      <c r="A13" s="10"/>
      <c r="B13" s="8"/>
      <c r="C13" s="8"/>
      <c r="D13" s="8"/>
      <c r="E13" s="8"/>
      <c r="F13" s="8"/>
      <c r="G13" s="8"/>
      <c r="H13" s="8"/>
      <c r="I13" s="11" t="str">
        <f aca="false">IF($C13="","",D13-E13)</f>
        <v/>
      </c>
      <c r="J13" s="11" t="str">
        <f aca="false">IF($C13="","",I13-F13)</f>
        <v/>
      </c>
      <c r="K13" s="12" t="str">
        <f aca="false">IF($C13="","",IFERROR(INDEX(Setup!$B$5:$B$24,MATCH($C13,Setup!$A$5:$A$24,0)),""))</f>
        <v/>
      </c>
      <c r="L13" s="12" t="str">
        <f aca="false">IF(OR($C13="",K13=""),"",K13*G13/60)</f>
        <v/>
      </c>
      <c r="M13" s="11" t="str">
        <f aca="false">IF($C13="","",G13-H13)</f>
        <v/>
      </c>
      <c r="N13" s="13" t="str">
        <f aca="false">IF($C13="","",IF(I13&lt;=0,"",J13/I13))</f>
        <v/>
      </c>
      <c r="O13" s="13" t="str">
        <f aca="false">IF($C13="","",IF(OR(L13="",J13&lt;=0),"",L13/J13))</f>
        <v/>
      </c>
      <c r="P13" s="13" t="str">
        <f aca="false">IF($C13="","",IF(G13&lt;=0,"",M13/G13))</f>
        <v/>
      </c>
      <c r="Q13" s="13" t="str">
        <f aca="false">IF(OR(N13="",O13="",P13=""),"",N13*O13*P13)</f>
        <v/>
      </c>
      <c r="R13" s="14" t="str">
        <f aca="false">IF($C13="","",IF(K13="","Machine not in Setup",IF(H13&gt;G13,"Rejects &gt; total parts",IF(J13&lt;0,"Downtime &gt; planned time",IF(AND(ISNUMBER(O13),O13&gt;1.05),"Performance &gt; 100%: check cycle time or counts","OK")))))</f>
        <v/>
      </c>
    </row>
    <row r="14" customFormat="false" ht="15" hidden="false" customHeight="false" outlineLevel="0" collapsed="false">
      <c r="A14" s="10"/>
      <c r="B14" s="8"/>
      <c r="C14" s="8"/>
      <c r="D14" s="8"/>
      <c r="E14" s="8"/>
      <c r="F14" s="8"/>
      <c r="G14" s="8"/>
      <c r="H14" s="8"/>
      <c r="I14" s="11" t="str">
        <f aca="false">IF($C14="","",D14-E14)</f>
        <v/>
      </c>
      <c r="J14" s="11" t="str">
        <f aca="false">IF($C14="","",I14-F14)</f>
        <v/>
      </c>
      <c r="K14" s="12" t="str">
        <f aca="false">IF($C14="","",IFERROR(INDEX(Setup!$B$5:$B$24,MATCH($C14,Setup!$A$5:$A$24,0)),""))</f>
        <v/>
      </c>
      <c r="L14" s="12" t="str">
        <f aca="false">IF(OR($C14="",K14=""),"",K14*G14/60)</f>
        <v/>
      </c>
      <c r="M14" s="11" t="str">
        <f aca="false">IF($C14="","",G14-H14)</f>
        <v/>
      </c>
      <c r="N14" s="13" t="str">
        <f aca="false">IF($C14="","",IF(I14&lt;=0,"",J14/I14))</f>
        <v/>
      </c>
      <c r="O14" s="13" t="str">
        <f aca="false">IF($C14="","",IF(OR(L14="",J14&lt;=0),"",L14/J14))</f>
        <v/>
      </c>
      <c r="P14" s="13" t="str">
        <f aca="false">IF($C14="","",IF(G14&lt;=0,"",M14/G14))</f>
        <v/>
      </c>
      <c r="Q14" s="13" t="str">
        <f aca="false">IF(OR(N14="",O14="",P14=""),"",N14*O14*P14)</f>
        <v/>
      </c>
      <c r="R14" s="14" t="str">
        <f aca="false">IF($C14="","",IF(K14="","Machine not in Setup",IF(H14&gt;G14,"Rejects &gt; total parts",IF(J14&lt;0,"Downtime &gt; planned time",IF(AND(ISNUMBER(O14),O14&gt;1.05),"Performance &gt; 100%: check cycle time or counts","OK")))))</f>
        <v/>
      </c>
    </row>
    <row r="15" customFormat="false" ht="15" hidden="false" customHeight="false" outlineLevel="0" collapsed="false">
      <c r="A15" s="10"/>
      <c r="B15" s="8"/>
      <c r="C15" s="8"/>
      <c r="D15" s="8"/>
      <c r="E15" s="8"/>
      <c r="F15" s="8"/>
      <c r="G15" s="8"/>
      <c r="H15" s="8"/>
      <c r="I15" s="11" t="str">
        <f aca="false">IF($C15="","",D15-E15)</f>
        <v/>
      </c>
      <c r="J15" s="11" t="str">
        <f aca="false">IF($C15="","",I15-F15)</f>
        <v/>
      </c>
      <c r="K15" s="12" t="str">
        <f aca="false">IF($C15="","",IFERROR(INDEX(Setup!$B$5:$B$24,MATCH($C15,Setup!$A$5:$A$24,0)),""))</f>
        <v/>
      </c>
      <c r="L15" s="12" t="str">
        <f aca="false">IF(OR($C15="",K15=""),"",K15*G15/60)</f>
        <v/>
      </c>
      <c r="M15" s="11" t="str">
        <f aca="false">IF($C15="","",G15-H15)</f>
        <v/>
      </c>
      <c r="N15" s="13" t="str">
        <f aca="false">IF($C15="","",IF(I15&lt;=0,"",J15/I15))</f>
        <v/>
      </c>
      <c r="O15" s="13" t="str">
        <f aca="false">IF($C15="","",IF(OR(L15="",J15&lt;=0),"",L15/J15))</f>
        <v/>
      </c>
      <c r="P15" s="13" t="str">
        <f aca="false">IF($C15="","",IF(G15&lt;=0,"",M15/G15))</f>
        <v/>
      </c>
      <c r="Q15" s="13" t="str">
        <f aca="false">IF(OR(N15="",O15="",P15=""),"",N15*O15*P15)</f>
        <v/>
      </c>
      <c r="R15" s="14" t="str">
        <f aca="false">IF($C15="","",IF(K15="","Machine not in Setup",IF(H15&gt;G15,"Rejects &gt; total parts",IF(J15&lt;0,"Downtime &gt; planned time",IF(AND(ISNUMBER(O15),O15&gt;1.05),"Performance &gt; 100%: check cycle time or counts","OK")))))</f>
        <v/>
      </c>
    </row>
    <row r="16" customFormat="false" ht="15" hidden="false" customHeight="false" outlineLevel="0" collapsed="false">
      <c r="A16" s="10"/>
      <c r="B16" s="8"/>
      <c r="C16" s="8"/>
      <c r="D16" s="8"/>
      <c r="E16" s="8"/>
      <c r="F16" s="8"/>
      <c r="G16" s="8"/>
      <c r="H16" s="8"/>
      <c r="I16" s="11" t="str">
        <f aca="false">IF($C16="","",D16-E16)</f>
        <v/>
      </c>
      <c r="J16" s="11" t="str">
        <f aca="false">IF($C16="","",I16-F16)</f>
        <v/>
      </c>
      <c r="K16" s="12" t="str">
        <f aca="false">IF($C16="","",IFERROR(INDEX(Setup!$B$5:$B$24,MATCH($C16,Setup!$A$5:$A$24,0)),""))</f>
        <v/>
      </c>
      <c r="L16" s="12" t="str">
        <f aca="false">IF(OR($C16="",K16=""),"",K16*G16/60)</f>
        <v/>
      </c>
      <c r="M16" s="11" t="str">
        <f aca="false">IF($C16="","",G16-H16)</f>
        <v/>
      </c>
      <c r="N16" s="13" t="str">
        <f aca="false">IF($C16="","",IF(I16&lt;=0,"",J16/I16))</f>
        <v/>
      </c>
      <c r="O16" s="13" t="str">
        <f aca="false">IF($C16="","",IF(OR(L16="",J16&lt;=0),"",L16/J16))</f>
        <v/>
      </c>
      <c r="P16" s="13" t="str">
        <f aca="false">IF($C16="","",IF(G16&lt;=0,"",M16/G16))</f>
        <v/>
      </c>
      <c r="Q16" s="13" t="str">
        <f aca="false">IF(OR(N16="",O16="",P16=""),"",N16*O16*P16)</f>
        <v/>
      </c>
      <c r="R16" s="14" t="str">
        <f aca="false">IF($C16="","",IF(K16="","Machine not in Setup",IF(H16&gt;G16,"Rejects &gt; total parts",IF(J16&lt;0,"Downtime &gt; planned time",IF(AND(ISNUMBER(O16),O16&gt;1.05),"Performance &gt; 100%: check cycle time or counts","OK")))))</f>
        <v/>
      </c>
    </row>
    <row r="17" customFormat="false" ht="15" hidden="false" customHeight="false" outlineLevel="0" collapsed="false">
      <c r="A17" s="10"/>
      <c r="B17" s="8"/>
      <c r="C17" s="8"/>
      <c r="D17" s="8"/>
      <c r="E17" s="8"/>
      <c r="F17" s="8"/>
      <c r="G17" s="8"/>
      <c r="H17" s="8"/>
      <c r="I17" s="11" t="str">
        <f aca="false">IF($C17="","",D17-E17)</f>
        <v/>
      </c>
      <c r="J17" s="11" t="str">
        <f aca="false">IF($C17="","",I17-F17)</f>
        <v/>
      </c>
      <c r="K17" s="12" t="str">
        <f aca="false">IF($C17="","",IFERROR(INDEX(Setup!$B$5:$B$24,MATCH($C17,Setup!$A$5:$A$24,0)),""))</f>
        <v/>
      </c>
      <c r="L17" s="12" t="str">
        <f aca="false">IF(OR($C17="",K17=""),"",K17*G17/60)</f>
        <v/>
      </c>
      <c r="M17" s="11" t="str">
        <f aca="false">IF($C17="","",G17-H17)</f>
        <v/>
      </c>
      <c r="N17" s="13" t="str">
        <f aca="false">IF($C17="","",IF(I17&lt;=0,"",J17/I17))</f>
        <v/>
      </c>
      <c r="O17" s="13" t="str">
        <f aca="false">IF($C17="","",IF(OR(L17="",J17&lt;=0),"",L17/J17))</f>
        <v/>
      </c>
      <c r="P17" s="13" t="str">
        <f aca="false">IF($C17="","",IF(G17&lt;=0,"",M17/G17))</f>
        <v/>
      </c>
      <c r="Q17" s="13" t="str">
        <f aca="false">IF(OR(N17="",O17="",P17=""),"",N17*O17*P17)</f>
        <v/>
      </c>
      <c r="R17" s="14" t="str">
        <f aca="false">IF($C17="","",IF(K17="","Machine not in Setup",IF(H17&gt;G17,"Rejects &gt; total parts",IF(J17&lt;0,"Downtime &gt; planned time",IF(AND(ISNUMBER(O17),O17&gt;1.05),"Performance &gt; 100%: check cycle time or counts","OK")))))</f>
        <v/>
      </c>
    </row>
    <row r="18" customFormat="false" ht="15" hidden="false" customHeight="false" outlineLevel="0" collapsed="false">
      <c r="A18" s="10"/>
      <c r="B18" s="8"/>
      <c r="C18" s="8"/>
      <c r="D18" s="8"/>
      <c r="E18" s="8"/>
      <c r="F18" s="8"/>
      <c r="G18" s="8"/>
      <c r="H18" s="8"/>
      <c r="I18" s="11" t="str">
        <f aca="false">IF($C18="","",D18-E18)</f>
        <v/>
      </c>
      <c r="J18" s="11" t="str">
        <f aca="false">IF($C18="","",I18-F18)</f>
        <v/>
      </c>
      <c r="K18" s="12" t="str">
        <f aca="false">IF($C18="","",IFERROR(INDEX(Setup!$B$5:$B$24,MATCH($C18,Setup!$A$5:$A$24,0)),""))</f>
        <v/>
      </c>
      <c r="L18" s="12" t="str">
        <f aca="false">IF(OR($C18="",K18=""),"",K18*G18/60)</f>
        <v/>
      </c>
      <c r="M18" s="11" t="str">
        <f aca="false">IF($C18="","",G18-H18)</f>
        <v/>
      </c>
      <c r="N18" s="13" t="str">
        <f aca="false">IF($C18="","",IF(I18&lt;=0,"",J18/I18))</f>
        <v/>
      </c>
      <c r="O18" s="13" t="str">
        <f aca="false">IF($C18="","",IF(OR(L18="",J18&lt;=0),"",L18/J18))</f>
        <v/>
      </c>
      <c r="P18" s="13" t="str">
        <f aca="false">IF($C18="","",IF(G18&lt;=0,"",M18/G18))</f>
        <v/>
      </c>
      <c r="Q18" s="13" t="str">
        <f aca="false">IF(OR(N18="",O18="",P18=""),"",N18*O18*P18)</f>
        <v/>
      </c>
      <c r="R18" s="14" t="str">
        <f aca="false">IF($C18="","",IF(K18="","Machine not in Setup",IF(H18&gt;G18,"Rejects &gt; total parts",IF(J18&lt;0,"Downtime &gt; planned time",IF(AND(ISNUMBER(O18),O18&gt;1.05),"Performance &gt; 100%: check cycle time or counts","OK")))))</f>
        <v/>
      </c>
    </row>
    <row r="19" customFormat="false" ht="15" hidden="false" customHeight="false" outlineLevel="0" collapsed="false">
      <c r="A19" s="10"/>
      <c r="B19" s="8"/>
      <c r="C19" s="8"/>
      <c r="D19" s="8"/>
      <c r="E19" s="8"/>
      <c r="F19" s="8"/>
      <c r="G19" s="8"/>
      <c r="H19" s="8"/>
      <c r="I19" s="11" t="str">
        <f aca="false">IF($C19="","",D19-E19)</f>
        <v/>
      </c>
      <c r="J19" s="11" t="str">
        <f aca="false">IF($C19="","",I19-F19)</f>
        <v/>
      </c>
      <c r="K19" s="12" t="str">
        <f aca="false">IF($C19="","",IFERROR(INDEX(Setup!$B$5:$B$24,MATCH($C19,Setup!$A$5:$A$24,0)),""))</f>
        <v/>
      </c>
      <c r="L19" s="12" t="str">
        <f aca="false">IF(OR($C19="",K19=""),"",K19*G19/60)</f>
        <v/>
      </c>
      <c r="M19" s="11" t="str">
        <f aca="false">IF($C19="","",G19-H19)</f>
        <v/>
      </c>
      <c r="N19" s="13" t="str">
        <f aca="false">IF($C19="","",IF(I19&lt;=0,"",J19/I19))</f>
        <v/>
      </c>
      <c r="O19" s="13" t="str">
        <f aca="false">IF($C19="","",IF(OR(L19="",J19&lt;=0),"",L19/J19))</f>
        <v/>
      </c>
      <c r="P19" s="13" t="str">
        <f aca="false">IF($C19="","",IF(G19&lt;=0,"",M19/G19))</f>
        <v/>
      </c>
      <c r="Q19" s="13" t="str">
        <f aca="false">IF(OR(N19="",O19="",P19=""),"",N19*O19*P19)</f>
        <v/>
      </c>
      <c r="R19" s="14" t="str">
        <f aca="false">IF($C19="","",IF(K19="","Machine not in Setup",IF(H19&gt;G19,"Rejects &gt; total parts",IF(J19&lt;0,"Downtime &gt; planned time",IF(AND(ISNUMBER(O19),O19&gt;1.05),"Performance &gt; 100%: check cycle time or counts","OK")))))</f>
        <v/>
      </c>
    </row>
    <row r="20" customFormat="false" ht="15" hidden="false" customHeight="false" outlineLevel="0" collapsed="false">
      <c r="A20" s="10"/>
      <c r="B20" s="8"/>
      <c r="C20" s="8"/>
      <c r="D20" s="8"/>
      <c r="E20" s="8"/>
      <c r="F20" s="8"/>
      <c r="G20" s="8"/>
      <c r="H20" s="8"/>
      <c r="I20" s="11" t="str">
        <f aca="false">IF($C20="","",D20-E20)</f>
        <v/>
      </c>
      <c r="J20" s="11" t="str">
        <f aca="false">IF($C20="","",I20-F20)</f>
        <v/>
      </c>
      <c r="K20" s="12" t="str">
        <f aca="false">IF($C20="","",IFERROR(INDEX(Setup!$B$5:$B$24,MATCH($C20,Setup!$A$5:$A$24,0)),""))</f>
        <v/>
      </c>
      <c r="L20" s="12" t="str">
        <f aca="false">IF(OR($C20="",K20=""),"",K20*G20/60)</f>
        <v/>
      </c>
      <c r="M20" s="11" t="str">
        <f aca="false">IF($C20="","",G20-H20)</f>
        <v/>
      </c>
      <c r="N20" s="13" t="str">
        <f aca="false">IF($C20="","",IF(I20&lt;=0,"",J20/I20))</f>
        <v/>
      </c>
      <c r="O20" s="13" t="str">
        <f aca="false">IF($C20="","",IF(OR(L20="",J20&lt;=0),"",L20/J20))</f>
        <v/>
      </c>
      <c r="P20" s="13" t="str">
        <f aca="false">IF($C20="","",IF(G20&lt;=0,"",M20/G20))</f>
        <v/>
      </c>
      <c r="Q20" s="13" t="str">
        <f aca="false">IF(OR(N20="",O20="",P20=""),"",N20*O20*P20)</f>
        <v/>
      </c>
      <c r="R20" s="14" t="str">
        <f aca="false">IF($C20="","",IF(K20="","Machine not in Setup",IF(H20&gt;G20,"Rejects &gt; total parts",IF(J20&lt;0,"Downtime &gt; planned time",IF(AND(ISNUMBER(O20),O20&gt;1.05),"Performance &gt; 100%: check cycle time or counts","OK")))))</f>
        <v/>
      </c>
    </row>
    <row r="21" customFormat="false" ht="15" hidden="false" customHeight="false" outlineLevel="0" collapsed="false">
      <c r="A21" s="10"/>
      <c r="B21" s="8"/>
      <c r="C21" s="8"/>
      <c r="D21" s="8"/>
      <c r="E21" s="8"/>
      <c r="F21" s="8"/>
      <c r="G21" s="8"/>
      <c r="H21" s="8"/>
      <c r="I21" s="11" t="str">
        <f aca="false">IF($C21="","",D21-E21)</f>
        <v/>
      </c>
      <c r="J21" s="11" t="str">
        <f aca="false">IF($C21="","",I21-F21)</f>
        <v/>
      </c>
      <c r="K21" s="12" t="str">
        <f aca="false">IF($C21="","",IFERROR(INDEX(Setup!$B$5:$B$24,MATCH($C21,Setup!$A$5:$A$24,0)),""))</f>
        <v/>
      </c>
      <c r="L21" s="12" t="str">
        <f aca="false">IF(OR($C21="",K21=""),"",K21*G21/60)</f>
        <v/>
      </c>
      <c r="M21" s="11" t="str">
        <f aca="false">IF($C21="","",G21-H21)</f>
        <v/>
      </c>
      <c r="N21" s="13" t="str">
        <f aca="false">IF($C21="","",IF(I21&lt;=0,"",J21/I21))</f>
        <v/>
      </c>
      <c r="O21" s="13" t="str">
        <f aca="false">IF($C21="","",IF(OR(L21="",J21&lt;=0),"",L21/J21))</f>
        <v/>
      </c>
      <c r="P21" s="13" t="str">
        <f aca="false">IF($C21="","",IF(G21&lt;=0,"",M21/G21))</f>
        <v/>
      </c>
      <c r="Q21" s="13" t="str">
        <f aca="false">IF(OR(N21="",O21="",P21=""),"",N21*O21*P21)</f>
        <v/>
      </c>
      <c r="R21" s="14" t="str">
        <f aca="false">IF($C21="","",IF(K21="","Machine not in Setup",IF(H21&gt;G21,"Rejects &gt; total parts",IF(J21&lt;0,"Downtime &gt; planned time",IF(AND(ISNUMBER(O21),O21&gt;1.05),"Performance &gt; 100%: check cycle time or counts","OK")))))</f>
        <v/>
      </c>
    </row>
    <row r="22" customFormat="false" ht="15" hidden="false" customHeight="false" outlineLevel="0" collapsed="false">
      <c r="A22" s="10"/>
      <c r="B22" s="8"/>
      <c r="C22" s="8"/>
      <c r="D22" s="8"/>
      <c r="E22" s="8"/>
      <c r="F22" s="8"/>
      <c r="G22" s="8"/>
      <c r="H22" s="8"/>
      <c r="I22" s="11" t="str">
        <f aca="false">IF($C22="","",D22-E22)</f>
        <v/>
      </c>
      <c r="J22" s="11" t="str">
        <f aca="false">IF($C22="","",I22-F22)</f>
        <v/>
      </c>
      <c r="K22" s="12" t="str">
        <f aca="false">IF($C22="","",IFERROR(INDEX(Setup!$B$5:$B$24,MATCH($C22,Setup!$A$5:$A$24,0)),""))</f>
        <v/>
      </c>
      <c r="L22" s="12" t="str">
        <f aca="false">IF(OR($C22="",K22=""),"",K22*G22/60)</f>
        <v/>
      </c>
      <c r="M22" s="11" t="str">
        <f aca="false">IF($C22="","",G22-H22)</f>
        <v/>
      </c>
      <c r="N22" s="13" t="str">
        <f aca="false">IF($C22="","",IF(I22&lt;=0,"",J22/I22))</f>
        <v/>
      </c>
      <c r="O22" s="13" t="str">
        <f aca="false">IF($C22="","",IF(OR(L22="",J22&lt;=0),"",L22/J22))</f>
        <v/>
      </c>
      <c r="P22" s="13" t="str">
        <f aca="false">IF($C22="","",IF(G22&lt;=0,"",M22/G22))</f>
        <v/>
      </c>
      <c r="Q22" s="13" t="str">
        <f aca="false">IF(OR(N22="",O22="",P22=""),"",N22*O22*P22)</f>
        <v/>
      </c>
      <c r="R22" s="14" t="str">
        <f aca="false">IF($C22="","",IF(K22="","Machine not in Setup",IF(H22&gt;G22,"Rejects &gt; total parts",IF(J22&lt;0,"Downtime &gt; planned time",IF(AND(ISNUMBER(O22),O22&gt;1.05),"Performance &gt; 100%: check cycle time or counts","OK")))))</f>
        <v/>
      </c>
    </row>
    <row r="23" customFormat="false" ht="15" hidden="false" customHeight="false" outlineLevel="0" collapsed="false">
      <c r="A23" s="10"/>
      <c r="B23" s="8"/>
      <c r="C23" s="8"/>
      <c r="D23" s="8"/>
      <c r="E23" s="8"/>
      <c r="F23" s="8"/>
      <c r="G23" s="8"/>
      <c r="H23" s="8"/>
      <c r="I23" s="11" t="str">
        <f aca="false">IF($C23="","",D23-E23)</f>
        <v/>
      </c>
      <c r="J23" s="11" t="str">
        <f aca="false">IF($C23="","",I23-F23)</f>
        <v/>
      </c>
      <c r="K23" s="12" t="str">
        <f aca="false">IF($C23="","",IFERROR(INDEX(Setup!$B$5:$B$24,MATCH($C23,Setup!$A$5:$A$24,0)),""))</f>
        <v/>
      </c>
      <c r="L23" s="12" t="str">
        <f aca="false">IF(OR($C23="",K23=""),"",K23*G23/60)</f>
        <v/>
      </c>
      <c r="M23" s="11" t="str">
        <f aca="false">IF($C23="","",G23-H23)</f>
        <v/>
      </c>
      <c r="N23" s="13" t="str">
        <f aca="false">IF($C23="","",IF(I23&lt;=0,"",J23/I23))</f>
        <v/>
      </c>
      <c r="O23" s="13" t="str">
        <f aca="false">IF($C23="","",IF(OR(L23="",J23&lt;=0),"",L23/J23))</f>
        <v/>
      </c>
      <c r="P23" s="13" t="str">
        <f aca="false">IF($C23="","",IF(G23&lt;=0,"",M23/G23))</f>
        <v/>
      </c>
      <c r="Q23" s="13" t="str">
        <f aca="false">IF(OR(N23="",O23="",P23=""),"",N23*O23*P23)</f>
        <v/>
      </c>
      <c r="R23" s="14" t="str">
        <f aca="false">IF($C23="","",IF(K23="","Machine not in Setup",IF(H23&gt;G23,"Rejects &gt; total parts",IF(J23&lt;0,"Downtime &gt; planned time",IF(AND(ISNUMBER(O23),O23&gt;1.05),"Performance &gt; 100%: check cycle time or counts","OK")))))</f>
        <v/>
      </c>
    </row>
    <row r="24" customFormat="false" ht="15" hidden="false" customHeight="false" outlineLevel="0" collapsed="false">
      <c r="A24" s="10"/>
      <c r="B24" s="8"/>
      <c r="C24" s="8"/>
      <c r="D24" s="8"/>
      <c r="E24" s="8"/>
      <c r="F24" s="8"/>
      <c r="G24" s="8"/>
      <c r="H24" s="8"/>
      <c r="I24" s="11" t="str">
        <f aca="false">IF($C24="","",D24-E24)</f>
        <v/>
      </c>
      <c r="J24" s="11" t="str">
        <f aca="false">IF($C24="","",I24-F24)</f>
        <v/>
      </c>
      <c r="K24" s="12" t="str">
        <f aca="false">IF($C24="","",IFERROR(INDEX(Setup!$B$5:$B$24,MATCH($C24,Setup!$A$5:$A$24,0)),""))</f>
        <v/>
      </c>
      <c r="L24" s="12" t="str">
        <f aca="false">IF(OR($C24="",K24=""),"",K24*G24/60)</f>
        <v/>
      </c>
      <c r="M24" s="11" t="str">
        <f aca="false">IF($C24="","",G24-H24)</f>
        <v/>
      </c>
      <c r="N24" s="13" t="str">
        <f aca="false">IF($C24="","",IF(I24&lt;=0,"",J24/I24))</f>
        <v/>
      </c>
      <c r="O24" s="13" t="str">
        <f aca="false">IF($C24="","",IF(OR(L24="",J24&lt;=0),"",L24/J24))</f>
        <v/>
      </c>
      <c r="P24" s="13" t="str">
        <f aca="false">IF($C24="","",IF(G24&lt;=0,"",M24/G24))</f>
        <v/>
      </c>
      <c r="Q24" s="13" t="str">
        <f aca="false">IF(OR(N24="",O24="",P24=""),"",N24*O24*P24)</f>
        <v/>
      </c>
      <c r="R24" s="14" t="str">
        <f aca="false">IF($C24="","",IF(K24="","Machine not in Setup",IF(H24&gt;G24,"Rejects &gt; total parts",IF(J24&lt;0,"Downtime &gt; planned time",IF(AND(ISNUMBER(O24),O24&gt;1.05),"Performance &gt; 100%: check cycle time or counts","OK")))))</f>
        <v/>
      </c>
    </row>
    <row r="25" customFormat="false" ht="15" hidden="false" customHeight="false" outlineLevel="0" collapsed="false">
      <c r="A25" s="10"/>
      <c r="B25" s="8"/>
      <c r="C25" s="8"/>
      <c r="D25" s="8"/>
      <c r="E25" s="8"/>
      <c r="F25" s="8"/>
      <c r="G25" s="8"/>
      <c r="H25" s="8"/>
      <c r="I25" s="11" t="str">
        <f aca="false">IF($C25="","",D25-E25)</f>
        <v/>
      </c>
      <c r="J25" s="11" t="str">
        <f aca="false">IF($C25="","",I25-F25)</f>
        <v/>
      </c>
      <c r="K25" s="12" t="str">
        <f aca="false">IF($C25="","",IFERROR(INDEX(Setup!$B$5:$B$24,MATCH($C25,Setup!$A$5:$A$24,0)),""))</f>
        <v/>
      </c>
      <c r="L25" s="12" t="str">
        <f aca="false">IF(OR($C25="",K25=""),"",K25*G25/60)</f>
        <v/>
      </c>
      <c r="M25" s="11" t="str">
        <f aca="false">IF($C25="","",G25-H25)</f>
        <v/>
      </c>
      <c r="N25" s="13" t="str">
        <f aca="false">IF($C25="","",IF(I25&lt;=0,"",J25/I25))</f>
        <v/>
      </c>
      <c r="O25" s="13" t="str">
        <f aca="false">IF($C25="","",IF(OR(L25="",J25&lt;=0),"",L25/J25))</f>
        <v/>
      </c>
      <c r="P25" s="13" t="str">
        <f aca="false">IF($C25="","",IF(G25&lt;=0,"",M25/G25))</f>
        <v/>
      </c>
      <c r="Q25" s="13" t="str">
        <f aca="false">IF(OR(N25="",O25="",P25=""),"",N25*O25*P25)</f>
        <v/>
      </c>
      <c r="R25" s="14" t="str">
        <f aca="false">IF($C25="","",IF(K25="","Machine not in Setup",IF(H25&gt;G25,"Rejects &gt; total parts",IF(J25&lt;0,"Downtime &gt; planned time",IF(AND(ISNUMBER(O25),O25&gt;1.05),"Performance &gt; 100%: check cycle time or counts","OK")))))</f>
        <v/>
      </c>
    </row>
    <row r="26" customFormat="false" ht="15" hidden="false" customHeight="false" outlineLevel="0" collapsed="false">
      <c r="A26" s="10"/>
      <c r="B26" s="8"/>
      <c r="C26" s="8"/>
      <c r="D26" s="8"/>
      <c r="E26" s="8"/>
      <c r="F26" s="8"/>
      <c r="G26" s="8"/>
      <c r="H26" s="8"/>
      <c r="I26" s="11" t="str">
        <f aca="false">IF($C26="","",D26-E26)</f>
        <v/>
      </c>
      <c r="J26" s="11" t="str">
        <f aca="false">IF($C26="","",I26-F26)</f>
        <v/>
      </c>
      <c r="K26" s="12" t="str">
        <f aca="false">IF($C26="","",IFERROR(INDEX(Setup!$B$5:$B$24,MATCH($C26,Setup!$A$5:$A$24,0)),""))</f>
        <v/>
      </c>
      <c r="L26" s="12" t="str">
        <f aca="false">IF(OR($C26="",K26=""),"",K26*G26/60)</f>
        <v/>
      </c>
      <c r="M26" s="11" t="str">
        <f aca="false">IF($C26="","",G26-H26)</f>
        <v/>
      </c>
      <c r="N26" s="13" t="str">
        <f aca="false">IF($C26="","",IF(I26&lt;=0,"",J26/I26))</f>
        <v/>
      </c>
      <c r="O26" s="13" t="str">
        <f aca="false">IF($C26="","",IF(OR(L26="",J26&lt;=0),"",L26/J26))</f>
        <v/>
      </c>
      <c r="P26" s="13" t="str">
        <f aca="false">IF($C26="","",IF(G26&lt;=0,"",M26/G26))</f>
        <v/>
      </c>
      <c r="Q26" s="13" t="str">
        <f aca="false">IF(OR(N26="",O26="",P26=""),"",N26*O26*P26)</f>
        <v/>
      </c>
      <c r="R26" s="14" t="str">
        <f aca="false">IF($C26="","",IF(K26="","Machine not in Setup",IF(H26&gt;G26,"Rejects &gt; total parts",IF(J26&lt;0,"Downtime &gt; planned time",IF(AND(ISNUMBER(O26),O26&gt;1.05),"Performance &gt; 100%: check cycle time or counts","OK")))))</f>
        <v/>
      </c>
    </row>
    <row r="27" customFormat="false" ht="15" hidden="false" customHeight="false" outlineLevel="0" collapsed="false">
      <c r="A27" s="10"/>
      <c r="B27" s="8"/>
      <c r="C27" s="8"/>
      <c r="D27" s="8"/>
      <c r="E27" s="8"/>
      <c r="F27" s="8"/>
      <c r="G27" s="8"/>
      <c r="H27" s="8"/>
      <c r="I27" s="11" t="str">
        <f aca="false">IF($C27="","",D27-E27)</f>
        <v/>
      </c>
      <c r="J27" s="11" t="str">
        <f aca="false">IF($C27="","",I27-F27)</f>
        <v/>
      </c>
      <c r="K27" s="12" t="str">
        <f aca="false">IF($C27="","",IFERROR(INDEX(Setup!$B$5:$B$24,MATCH($C27,Setup!$A$5:$A$24,0)),""))</f>
        <v/>
      </c>
      <c r="L27" s="12" t="str">
        <f aca="false">IF(OR($C27="",K27=""),"",K27*G27/60)</f>
        <v/>
      </c>
      <c r="M27" s="11" t="str">
        <f aca="false">IF($C27="","",G27-H27)</f>
        <v/>
      </c>
      <c r="N27" s="13" t="str">
        <f aca="false">IF($C27="","",IF(I27&lt;=0,"",J27/I27))</f>
        <v/>
      </c>
      <c r="O27" s="13" t="str">
        <f aca="false">IF($C27="","",IF(OR(L27="",J27&lt;=0),"",L27/J27))</f>
        <v/>
      </c>
      <c r="P27" s="13" t="str">
        <f aca="false">IF($C27="","",IF(G27&lt;=0,"",M27/G27))</f>
        <v/>
      </c>
      <c r="Q27" s="13" t="str">
        <f aca="false">IF(OR(N27="",O27="",P27=""),"",N27*O27*P27)</f>
        <v/>
      </c>
      <c r="R27" s="14" t="str">
        <f aca="false">IF($C27="","",IF(K27="","Machine not in Setup",IF(H27&gt;G27,"Rejects &gt; total parts",IF(J27&lt;0,"Downtime &gt; planned time",IF(AND(ISNUMBER(O27),O27&gt;1.05),"Performance &gt; 100%: check cycle time or counts","OK")))))</f>
        <v/>
      </c>
    </row>
    <row r="28" customFormat="false" ht="15" hidden="false" customHeight="false" outlineLevel="0" collapsed="false">
      <c r="A28" s="10"/>
      <c r="B28" s="8"/>
      <c r="C28" s="8"/>
      <c r="D28" s="8"/>
      <c r="E28" s="8"/>
      <c r="F28" s="8"/>
      <c r="G28" s="8"/>
      <c r="H28" s="8"/>
      <c r="I28" s="11" t="str">
        <f aca="false">IF($C28="","",D28-E28)</f>
        <v/>
      </c>
      <c r="J28" s="11" t="str">
        <f aca="false">IF($C28="","",I28-F28)</f>
        <v/>
      </c>
      <c r="K28" s="12" t="str">
        <f aca="false">IF($C28="","",IFERROR(INDEX(Setup!$B$5:$B$24,MATCH($C28,Setup!$A$5:$A$24,0)),""))</f>
        <v/>
      </c>
      <c r="L28" s="12" t="str">
        <f aca="false">IF(OR($C28="",K28=""),"",K28*G28/60)</f>
        <v/>
      </c>
      <c r="M28" s="11" t="str">
        <f aca="false">IF($C28="","",G28-H28)</f>
        <v/>
      </c>
      <c r="N28" s="13" t="str">
        <f aca="false">IF($C28="","",IF(I28&lt;=0,"",J28/I28))</f>
        <v/>
      </c>
      <c r="O28" s="13" t="str">
        <f aca="false">IF($C28="","",IF(OR(L28="",J28&lt;=0),"",L28/J28))</f>
        <v/>
      </c>
      <c r="P28" s="13" t="str">
        <f aca="false">IF($C28="","",IF(G28&lt;=0,"",M28/G28))</f>
        <v/>
      </c>
      <c r="Q28" s="13" t="str">
        <f aca="false">IF(OR(N28="",O28="",P28=""),"",N28*O28*P28)</f>
        <v/>
      </c>
      <c r="R28" s="14" t="str">
        <f aca="false">IF($C28="","",IF(K28="","Machine not in Setup",IF(H28&gt;G28,"Rejects &gt; total parts",IF(J28&lt;0,"Downtime &gt; planned time",IF(AND(ISNUMBER(O28),O28&gt;1.05),"Performance &gt; 100%: check cycle time or counts","OK")))))</f>
        <v/>
      </c>
    </row>
    <row r="29" customFormat="false" ht="15" hidden="false" customHeight="false" outlineLevel="0" collapsed="false">
      <c r="A29" s="10"/>
      <c r="B29" s="8"/>
      <c r="C29" s="8"/>
      <c r="D29" s="8"/>
      <c r="E29" s="8"/>
      <c r="F29" s="8"/>
      <c r="G29" s="8"/>
      <c r="H29" s="8"/>
      <c r="I29" s="11" t="str">
        <f aca="false">IF($C29="","",D29-E29)</f>
        <v/>
      </c>
      <c r="J29" s="11" t="str">
        <f aca="false">IF($C29="","",I29-F29)</f>
        <v/>
      </c>
      <c r="K29" s="12" t="str">
        <f aca="false">IF($C29="","",IFERROR(INDEX(Setup!$B$5:$B$24,MATCH($C29,Setup!$A$5:$A$24,0)),""))</f>
        <v/>
      </c>
      <c r="L29" s="12" t="str">
        <f aca="false">IF(OR($C29="",K29=""),"",K29*G29/60)</f>
        <v/>
      </c>
      <c r="M29" s="11" t="str">
        <f aca="false">IF($C29="","",G29-H29)</f>
        <v/>
      </c>
      <c r="N29" s="13" t="str">
        <f aca="false">IF($C29="","",IF(I29&lt;=0,"",J29/I29))</f>
        <v/>
      </c>
      <c r="O29" s="13" t="str">
        <f aca="false">IF($C29="","",IF(OR(L29="",J29&lt;=0),"",L29/J29))</f>
        <v/>
      </c>
      <c r="P29" s="13" t="str">
        <f aca="false">IF($C29="","",IF(G29&lt;=0,"",M29/G29))</f>
        <v/>
      </c>
      <c r="Q29" s="13" t="str">
        <f aca="false">IF(OR(N29="",O29="",P29=""),"",N29*O29*P29)</f>
        <v/>
      </c>
      <c r="R29" s="14" t="str">
        <f aca="false">IF($C29="","",IF(K29="","Machine not in Setup",IF(H29&gt;G29,"Rejects &gt; total parts",IF(J29&lt;0,"Downtime &gt; planned time",IF(AND(ISNUMBER(O29),O29&gt;1.05),"Performance &gt; 100%: check cycle time or counts","OK")))))</f>
        <v/>
      </c>
    </row>
    <row r="30" customFormat="false" ht="15" hidden="false" customHeight="false" outlineLevel="0" collapsed="false">
      <c r="A30" s="10"/>
      <c r="B30" s="8"/>
      <c r="C30" s="8"/>
      <c r="D30" s="8"/>
      <c r="E30" s="8"/>
      <c r="F30" s="8"/>
      <c r="G30" s="8"/>
      <c r="H30" s="8"/>
      <c r="I30" s="11" t="str">
        <f aca="false">IF($C30="","",D30-E30)</f>
        <v/>
      </c>
      <c r="J30" s="11" t="str">
        <f aca="false">IF($C30="","",I30-F30)</f>
        <v/>
      </c>
      <c r="K30" s="12" t="str">
        <f aca="false">IF($C30="","",IFERROR(INDEX(Setup!$B$5:$B$24,MATCH($C30,Setup!$A$5:$A$24,0)),""))</f>
        <v/>
      </c>
      <c r="L30" s="12" t="str">
        <f aca="false">IF(OR($C30="",K30=""),"",K30*G30/60)</f>
        <v/>
      </c>
      <c r="M30" s="11" t="str">
        <f aca="false">IF($C30="","",G30-H30)</f>
        <v/>
      </c>
      <c r="N30" s="13" t="str">
        <f aca="false">IF($C30="","",IF(I30&lt;=0,"",J30/I30))</f>
        <v/>
      </c>
      <c r="O30" s="13" t="str">
        <f aca="false">IF($C30="","",IF(OR(L30="",J30&lt;=0),"",L30/J30))</f>
        <v/>
      </c>
      <c r="P30" s="13" t="str">
        <f aca="false">IF($C30="","",IF(G30&lt;=0,"",M30/G30))</f>
        <v/>
      </c>
      <c r="Q30" s="13" t="str">
        <f aca="false">IF(OR(N30="",O30="",P30=""),"",N30*O30*P30)</f>
        <v/>
      </c>
      <c r="R30" s="14" t="str">
        <f aca="false">IF($C30="","",IF(K30="","Machine not in Setup",IF(H30&gt;G30,"Rejects &gt; total parts",IF(J30&lt;0,"Downtime &gt; planned time",IF(AND(ISNUMBER(O30),O30&gt;1.05),"Performance &gt; 100%: check cycle time or counts","OK")))))</f>
        <v/>
      </c>
    </row>
    <row r="31" customFormat="false" ht="15" hidden="false" customHeight="false" outlineLevel="0" collapsed="false">
      <c r="A31" s="10"/>
      <c r="B31" s="8"/>
      <c r="C31" s="8"/>
      <c r="D31" s="8"/>
      <c r="E31" s="8"/>
      <c r="F31" s="8"/>
      <c r="G31" s="8"/>
      <c r="H31" s="8"/>
      <c r="I31" s="11" t="str">
        <f aca="false">IF($C31="","",D31-E31)</f>
        <v/>
      </c>
      <c r="J31" s="11" t="str">
        <f aca="false">IF($C31="","",I31-F31)</f>
        <v/>
      </c>
      <c r="K31" s="12" t="str">
        <f aca="false">IF($C31="","",IFERROR(INDEX(Setup!$B$5:$B$24,MATCH($C31,Setup!$A$5:$A$24,0)),""))</f>
        <v/>
      </c>
      <c r="L31" s="12" t="str">
        <f aca="false">IF(OR($C31="",K31=""),"",K31*G31/60)</f>
        <v/>
      </c>
      <c r="M31" s="11" t="str">
        <f aca="false">IF($C31="","",G31-H31)</f>
        <v/>
      </c>
      <c r="N31" s="13" t="str">
        <f aca="false">IF($C31="","",IF(I31&lt;=0,"",J31/I31))</f>
        <v/>
      </c>
      <c r="O31" s="13" t="str">
        <f aca="false">IF($C31="","",IF(OR(L31="",J31&lt;=0),"",L31/J31))</f>
        <v/>
      </c>
      <c r="P31" s="13" t="str">
        <f aca="false">IF($C31="","",IF(G31&lt;=0,"",M31/G31))</f>
        <v/>
      </c>
      <c r="Q31" s="13" t="str">
        <f aca="false">IF(OR(N31="",O31="",P31=""),"",N31*O31*P31)</f>
        <v/>
      </c>
      <c r="R31" s="14" t="str">
        <f aca="false">IF($C31="","",IF(K31="","Machine not in Setup",IF(H31&gt;G31,"Rejects &gt; total parts",IF(J31&lt;0,"Downtime &gt; planned time",IF(AND(ISNUMBER(O31),O31&gt;1.05),"Performance &gt; 100%: check cycle time or counts","OK")))))</f>
        <v/>
      </c>
    </row>
    <row r="32" customFormat="false" ht="15" hidden="false" customHeight="false" outlineLevel="0" collapsed="false">
      <c r="A32" s="10"/>
      <c r="B32" s="8"/>
      <c r="C32" s="8"/>
      <c r="D32" s="8"/>
      <c r="E32" s="8"/>
      <c r="F32" s="8"/>
      <c r="G32" s="8"/>
      <c r="H32" s="8"/>
      <c r="I32" s="11" t="str">
        <f aca="false">IF($C32="","",D32-E32)</f>
        <v/>
      </c>
      <c r="J32" s="11" t="str">
        <f aca="false">IF($C32="","",I32-F32)</f>
        <v/>
      </c>
      <c r="K32" s="12" t="str">
        <f aca="false">IF($C32="","",IFERROR(INDEX(Setup!$B$5:$B$24,MATCH($C32,Setup!$A$5:$A$24,0)),""))</f>
        <v/>
      </c>
      <c r="L32" s="12" t="str">
        <f aca="false">IF(OR($C32="",K32=""),"",K32*G32/60)</f>
        <v/>
      </c>
      <c r="M32" s="11" t="str">
        <f aca="false">IF($C32="","",G32-H32)</f>
        <v/>
      </c>
      <c r="N32" s="13" t="str">
        <f aca="false">IF($C32="","",IF(I32&lt;=0,"",J32/I32))</f>
        <v/>
      </c>
      <c r="O32" s="13" t="str">
        <f aca="false">IF($C32="","",IF(OR(L32="",J32&lt;=0),"",L32/J32))</f>
        <v/>
      </c>
      <c r="P32" s="13" t="str">
        <f aca="false">IF($C32="","",IF(G32&lt;=0,"",M32/G32))</f>
        <v/>
      </c>
      <c r="Q32" s="13" t="str">
        <f aca="false">IF(OR(N32="",O32="",P32=""),"",N32*O32*P32)</f>
        <v/>
      </c>
      <c r="R32" s="14" t="str">
        <f aca="false">IF($C32="","",IF(K32="","Machine not in Setup",IF(H32&gt;G32,"Rejects &gt; total parts",IF(J32&lt;0,"Downtime &gt; planned time",IF(AND(ISNUMBER(O32),O32&gt;1.05),"Performance &gt; 100%: check cycle time or counts","OK")))))</f>
        <v/>
      </c>
    </row>
    <row r="33" customFormat="false" ht="15" hidden="false" customHeight="false" outlineLevel="0" collapsed="false">
      <c r="A33" s="10"/>
      <c r="B33" s="8"/>
      <c r="C33" s="8"/>
      <c r="D33" s="8"/>
      <c r="E33" s="8"/>
      <c r="F33" s="8"/>
      <c r="G33" s="8"/>
      <c r="H33" s="8"/>
      <c r="I33" s="11" t="str">
        <f aca="false">IF($C33="","",D33-E33)</f>
        <v/>
      </c>
      <c r="J33" s="11" t="str">
        <f aca="false">IF($C33="","",I33-F33)</f>
        <v/>
      </c>
      <c r="K33" s="12" t="str">
        <f aca="false">IF($C33="","",IFERROR(INDEX(Setup!$B$5:$B$24,MATCH($C33,Setup!$A$5:$A$24,0)),""))</f>
        <v/>
      </c>
      <c r="L33" s="12" t="str">
        <f aca="false">IF(OR($C33="",K33=""),"",K33*G33/60)</f>
        <v/>
      </c>
      <c r="M33" s="11" t="str">
        <f aca="false">IF($C33="","",G33-H33)</f>
        <v/>
      </c>
      <c r="N33" s="13" t="str">
        <f aca="false">IF($C33="","",IF(I33&lt;=0,"",J33/I33))</f>
        <v/>
      </c>
      <c r="O33" s="13" t="str">
        <f aca="false">IF($C33="","",IF(OR(L33="",J33&lt;=0),"",L33/J33))</f>
        <v/>
      </c>
      <c r="P33" s="13" t="str">
        <f aca="false">IF($C33="","",IF(G33&lt;=0,"",M33/G33))</f>
        <v/>
      </c>
      <c r="Q33" s="13" t="str">
        <f aca="false">IF(OR(N33="",O33="",P33=""),"",N33*O33*P33)</f>
        <v/>
      </c>
      <c r="R33" s="14" t="str">
        <f aca="false">IF($C33="","",IF(K33="","Machine not in Setup",IF(H33&gt;G33,"Rejects &gt; total parts",IF(J33&lt;0,"Downtime &gt; planned time",IF(AND(ISNUMBER(O33),O33&gt;1.05),"Performance &gt; 100%: check cycle time or counts","OK")))))</f>
        <v/>
      </c>
    </row>
    <row r="34" customFormat="false" ht="15" hidden="false" customHeight="false" outlineLevel="0" collapsed="false">
      <c r="A34" s="10"/>
      <c r="B34" s="8"/>
      <c r="C34" s="8"/>
      <c r="D34" s="8"/>
      <c r="E34" s="8"/>
      <c r="F34" s="8"/>
      <c r="G34" s="8"/>
      <c r="H34" s="8"/>
      <c r="I34" s="11" t="str">
        <f aca="false">IF($C34="","",D34-E34)</f>
        <v/>
      </c>
      <c r="J34" s="11" t="str">
        <f aca="false">IF($C34="","",I34-F34)</f>
        <v/>
      </c>
      <c r="K34" s="12" t="str">
        <f aca="false">IF($C34="","",IFERROR(INDEX(Setup!$B$5:$B$24,MATCH($C34,Setup!$A$5:$A$24,0)),""))</f>
        <v/>
      </c>
      <c r="L34" s="12" t="str">
        <f aca="false">IF(OR($C34="",K34=""),"",K34*G34/60)</f>
        <v/>
      </c>
      <c r="M34" s="11" t="str">
        <f aca="false">IF($C34="","",G34-H34)</f>
        <v/>
      </c>
      <c r="N34" s="13" t="str">
        <f aca="false">IF($C34="","",IF(I34&lt;=0,"",J34/I34))</f>
        <v/>
      </c>
      <c r="O34" s="13" t="str">
        <f aca="false">IF($C34="","",IF(OR(L34="",J34&lt;=0),"",L34/J34))</f>
        <v/>
      </c>
      <c r="P34" s="13" t="str">
        <f aca="false">IF($C34="","",IF(G34&lt;=0,"",M34/G34))</f>
        <v/>
      </c>
      <c r="Q34" s="13" t="str">
        <f aca="false">IF(OR(N34="",O34="",P34=""),"",N34*O34*P34)</f>
        <v/>
      </c>
      <c r="R34" s="14" t="str">
        <f aca="false">IF($C34="","",IF(K34="","Machine not in Setup",IF(H34&gt;G34,"Rejects &gt; total parts",IF(J34&lt;0,"Downtime &gt; planned time",IF(AND(ISNUMBER(O34),O34&gt;1.05),"Performance &gt; 100%: check cycle time or counts","OK")))))</f>
        <v/>
      </c>
    </row>
    <row r="35" customFormat="false" ht="15" hidden="false" customHeight="false" outlineLevel="0" collapsed="false">
      <c r="A35" s="10"/>
      <c r="B35" s="8"/>
      <c r="C35" s="8"/>
      <c r="D35" s="8"/>
      <c r="E35" s="8"/>
      <c r="F35" s="8"/>
      <c r="G35" s="8"/>
      <c r="H35" s="8"/>
      <c r="I35" s="11" t="str">
        <f aca="false">IF($C35="","",D35-E35)</f>
        <v/>
      </c>
      <c r="J35" s="11" t="str">
        <f aca="false">IF($C35="","",I35-F35)</f>
        <v/>
      </c>
      <c r="K35" s="12" t="str">
        <f aca="false">IF($C35="","",IFERROR(INDEX(Setup!$B$5:$B$24,MATCH($C35,Setup!$A$5:$A$24,0)),""))</f>
        <v/>
      </c>
      <c r="L35" s="12" t="str">
        <f aca="false">IF(OR($C35="",K35=""),"",K35*G35/60)</f>
        <v/>
      </c>
      <c r="M35" s="11" t="str">
        <f aca="false">IF($C35="","",G35-H35)</f>
        <v/>
      </c>
      <c r="N35" s="13" t="str">
        <f aca="false">IF($C35="","",IF(I35&lt;=0,"",J35/I35))</f>
        <v/>
      </c>
      <c r="O35" s="13" t="str">
        <f aca="false">IF($C35="","",IF(OR(L35="",J35&lt;=0),"",L35/J35))</f>
        <v/>
      </c>
      <c r="P35" s="13" t="str">
        <f aca="false">IF($C35="","",IF(G35&lt;=0,"",M35/G35))</f>
        <v/>
      </c>
      <c r="Q35" s="13" t="str">
        <f aca="false">IF(OR(N35="",O35="",P35=""),"",N35*O35*P35)</f>
        <v/>
      </c>
      <c r="R35" s="14" t="str">
        <f aca="false">IF($C35="","",IF(K35="","Machine not in Setup",IF(H35&gt;G35,"Rejects &gt; total parts",IF(J35&lt;0,"Downtime &gt; planned time",IF(AND(ISNUMBER(O35),O35&gt;1.05),"Performance &gt; 100%: check cycle time or counts","OK")))))</f>
        <v/>
      </c>
    </row>
    <row r="36" customFormat="false" ht="15" hidden="false" customHeight="false" outlineLevel="0" collapsed="false">
      <c r="A36" s="10"/>
      <c r="B36" s="8"/>
      <c r="C36" s="8"/>
      <c r="D36" s="8"/>
      <c r="E36" s="8"/>
      <c r="F36" s="8"/>
      <c r="G36" s="8"/>
      <c r="H36" s="8"/>
      <c r="I36" s="11" t="str">
        <f aca="false">IF($C36="","",D36-E36)</f>
        <v/>
      </c>
      <c r="J36" s="11" t="str">
        <f aca="false">IF($C36="","",I36-F36)</f>
        <v/>
      </c>
      <c r="K36" s="12" t="str">
        <f aca="false">IF($C36="","",IFERROR(INDEX(Setup!$B$5:$B$24,MATCH($C36,Setup!$A$5:$A$24,0)),""))</f>
        <v/>
      </c>
      <c r="L36" s="12" t="str">
        <f aca="false">IF(OR($C36="",K36=""),"",K36*G36/60)</f>
        <v/>
      </c>
      <c r="M36" s="11" t="str">
        <f aca="false">IF($C36="","",G36-H36)</f>
        <v/>
      </c>
      <c r="N36" s="13" t="str">
        <f aca="false">IF($C36="","",IF(I36&lt;=0,"",J36/I36))</f>
        <v/>
      </c>
      <c r="O36" s="13" t="str">
        <f aca="false">IF($C36="","",IF(OR(L36="",J36&lt;=0),"",L36/J36))</f>
        <v/>
      </c>
      <c r="P36" s="13" t="str">
        <f aca="false">IF($C36="","",IF(G36&lt;=0,"",M36/G36))</f>
        <v/>
      </c>
      <c r="Q36" s="13" t="str">
        <f aca="false">IF(OR(N36="",O36="",P36=""),"",N36*O36*P36)</f>
        <v/>
      </c>
      <c r="R36" s="14" t="str">
        <f aca="false">IF($C36="","",IF(K36="","Machine not in Setup",IF(H36&gt;G36,"Rejects &gt; total parts",IF(J36&lt;0,"Downtime &gt; planned time",IF(AND(ISNUMBER(O36),O36&gt;1.05),"Performance &gt; 100%: check cycle time or counts","OK")))))</f>
        <v/>
      </c>
    </row>
    <row r="37" customFormat="false" ht="15" hidden="false" customHeight="false" outlineLevel="0" collapsed="false">
      <c r="A37" s="10"/>
      <c r="B37" s="8"/>
      <c r="C37" s="8"/>
      <c r="D37" s="8"/>
      <c r="E37" s="8"/>
      <c r="F37" s="8"/>
      <c r="G37" s="8"/>
      <c r="H37" s="8"/>
      <c r="I37" s="11" t="str">
        <f aca="false">IF($C37="","",D37-E37)</f>
        <v/>
      </c>
      <c r="J37" s="11" t="str">
        <f aca="false">IF($C37="","",I37-F37)</f>
        <v/>
      </c>
      <c r="K37" s="12" t="str">
        <f aca="false">IF($C37="","",IFERROR(INDEX(Setup!$B$5:$B$24,MATCH($C37,Setup!$A$5:$A$24,0)),""))</f>
        <v/>
      </c>
      <c r="L37" s="12" t="str">
        <f aca="false">IF(OR($C37="",K37=""),"",K37*G37/60)</f>
        <v/>
      </c>
      <c r="M37" s="11" t="str">
        <f aca="false">IF($C37="","",G37-H37)</f>
        <v/>
      </c>
      <c r="N37" s="13" t="str">
        <f aca="false">IF($C37="","",IF(I37&lt;=0,"",J37/I37))</f>
        <v/>
      </c>
      <c r="O37" s="13" t="str">
        <f aca="false">IF($C37="","",IF(OR(L37="",J37&lt;=0),"",L37/J37))</f>
        <v/>
      </c>
      <c r="P37" s="13" t="str">
        <f aca="false">IF($C37="","",IF(G37&lt;=0,"",M37/G37))</f>
        <v/>
      </c>
      <c r="Q37" s="13" t="str">
        <f aca="false">IF(OR(N37="",O37="",P37=""),"",N37*O37*P37)</f>
        <v/>
      </c>
      <c r="R37" s="14" t="str">
        <f aca="false">IF($C37="","",IF(K37="","Machine not in Setup",IF(H37&gt;G37,"Rejects &gt; total parts",IF(J37&lt;0,"Downtime &gt; planned time",IF(AND(ISNUMBER(O37),O37&gt;1.05),"Performance &gt; 100%: check cycle time or counts","OK")))))</f>
        <v/>
      </c>
    </row>
    <row r="38" customFormat="false" ht="15" hidden="false" customHeight="false" outlineLevel="0" collapsed="false">
      <c r="A38" s="10"/>
      <c r="B38" s="8"/>
      <c r="C38" s="8"/>
      <c r="D38" s="8"/>
      <c r="E38" s="8"/>
      <c r="F38" s="8"/>
      <c r="G38" s="8"/>
      <c r="H38" s="8"/>
      <c r="I38" s="11" t="str">
        <f aca="false">IF($C38="","",D38-E38)</f>
        <v/>
      </c>
      <c r="J38" s="11" t="str">
        <f aca="false">IF($C38="","",I38-F38)</f>
        <v/>
      </c>
      <c r="K38" s="12" t="str">
        <f aca="false">IF($C38="","",IFERROR(INDEX(Setup!$B$5:$B$24,MATCH($C38,Setup!$A$5:$A$24,0)),""))</f>
        <v/>
      </c>
      <c r="L38" s="12" t="str">
        <f aca="false">IF(OR($C38="",K38=""),"",K38*G38/60)</f>
        <v/>
      </c>
      <c r="M38" s="11" t="str">
        <f aca="false">IF($C38="","",G38-H38)</f>
        <v/>
      </c>
      <c r="N38" s="13" t="str">
        <f aca="false">IF($C38="","",IF(I38&lt;=0,"",J38/I38))</f>
        <v/>
      </c>
      <c r="O38" s="13" t="str">
        <f aca="false">IF($C38="","",IF(OR(L38="",J38&lt;=0),"",L38/J38))</f>
        <v/>
      </c>
      <c r="P38" s="13" t="str">
        <f aca="false">IF($C38="","",IF(G38&lt;=0,"",M38/G38))</f>
        <v/>
      </c>
      <c r="Q38" s="13" t="str">
        <f aca="false">IF(OR(N38="",O38="",P38=""),"",N38*O38*P38)</f>
        <v/>
      </c>
      <c r="R38" s="14" t="str">
        <f aca="false">IF($C38="","",IF(K38="","Machine not in Setup",IF(H38&gt;G38,"Rejects &gt; total parts",IF(J38&lt;0,"Downtime &gt; planned time",IF(AND(ISNUMBER(O38),O38&gt;1.05),"Performance &gt; 100%: check cycle time or counts","OK")))))</f>
        <v/>
      </c>
    </row>
    <row r="39" customFormat="false" ht="15" hidden="false" customHeight="false" outlineLevel="0" collapsed="false">
      <c r="A39" s="10"/>
      <c r="B39" s="8"/>
      <c r="C39" s="8"/>
      <c r="D39" s="8"/>
      <c r="E39" s="8"/>
      <c r="F39" s="8"/>
      <c r="G39" s="8"/>
      <c r="H39" s="8"/>
      <c r="I39" s="11" t="str">
        <f aca="false">IF($C39="","",D39-E39)</f>
        <v/>
      </c>
      <c r="J39" s="11" t="str">
        <f aca="false">IF($C39="","",I39-F39)</f>
        <v/>
      </c>
      <c r="K39" s="12" t="str">
        <f aca="false">IF($C39="","",IFERROR(INDEX(Setup!$B$5:$B$24,MATCH($C39,Setup!$A$5:$A$24,0)),""))</f>
        <v/>
      </c>
      <c r="L39" s="12" t="str">
        <f aca="false">IF(OR($C39="",K39=""),"",K39*G39/60)</f>
        <v/>
      </c>
      <c r="M39" s="11" t="str">
        <f aca="false">IF($C39="","",G39-H39)</f>
        <v/>
      </c>
      <c r="N39" s="13" t="str">
        <f aca="false">IF($C39="","",IF(I39&lt;=0,"",J39/I39))</f>
        <v/>
      </c>
      <c r="O39" s="13" t="str">
        <f aca="false">IF($C39="","",IF(OR(L39="",J39&lt;=0),"",L39/J39))</f>
        <v/>
      </c>
      <c r="P39" s="13" t="str">
        <f aca="false">IF($C39="","",IF(G39&lt;=0,"",M39/G39))</f>
        <v/>
      </c>
      <c r="Q39" s="13" t="str">
        <f aca="false">IF(OR(N39="",O39="",P39=""),"",N39*O39*P39)</f>
        <v/>
      </c>
      <c r="R39" s="14" t="str">
        <f aca="false">IF($C39="","",IF(K39="","Machine not in Setup",IF(H39&gt;G39,"Rejects &gt; total parts",IF(J39&lt;0,"Downtime &gt; planned time",IF(AND(ISNUMBER(O39),O39&gt;1.05),"Performance &gt; 100%: check cycle time or counts","OK")))))</f>
        <v/>
      </c>
    </row>
    <row r="40" customFormat="false" ht="15" hidden="false" customHeight="false" outlineLevel="0" collapsed="false">
      <c r="A40" s="10"/>
      <c r="B40" s="8"/>
      <c r="C40" s="8"/>
      <c r="D40" s="8"/>
      <c r="E40" s="8"/>
      <c r="F40" s="8"/>
      <c r="G40" s="8"/>
      <c r="H40" s="8"/>
      <c r="I40" s="11" t="str">
        <f aca="false">IF($C40="","",D40-E40)</f>
        <v/>
      </c>
      <c r="J40" s="11" t="str">
        <f aca="false">IF($C40="","",I40-F40)</f>
        <v/>
      </c>
      <c r="K40" s="12" t="str">
        <f aca="false">IF($C40="","",IFERROR(INDEX(Setup!$B$5:$B$24,MATCH($C40,Setup!$A$5:$A$24,0)),""))</f>
        <v/>
      </c>
      <c r="L40" s="12" t="str">
        <f aca="false">IF(OR($C40="",K40=""),"",K40*G40/60)</f>
        <v/>
      </c>
      <c r="M40" s="11" t="str">
        <f aca="false">IF($C40="","",G40-H40)</f>
        <v/>
      </c>
      <c r="N40" s="13" t="str">
        <f aca="false">IF($C40="","",IF(I40&lt;=0,"",J40/I40))</f>
        <v/>
      </c>
      <c r="O40" s="13" t="str">
        <f aca="false">IF($C40="","",IF(OR(L40="",J40&lt;=0),"",L40/J40))</f>
        <v/>
      </c>
      <c r="P40" s="13" t="str">
        <f aca="false">IF($C40="","",IF(G40&lt;=0,"",M40/G40))</f>
        <v/>
      </c>
      <c r="Q40" s="13" t="str">
        <f aca="false">IF(OR(N40="",O40="",P40=""),"",N40*O40*P40)</f>
        <v/>
      </c>
      <c r="R40" s="14" t="str">
        <f aca="false">IF($C40="","",IF(K40="","Machine not in Setup",IF(H40&gt;G40,"Rejects &gt; total parts",IF(J40&lt;0,"Downtime &gt; planned time",IF(AND(ISNUMBER(O40),O40&gt;1.05),"Performance &gt; 100%: check cycle time or counts","OK")))))</f>
        <v/>
      </c>
    </row>
    <row r="41" customFormat="false" ht="15" hidden="false" customHeight="false" outlineLevel="0" collapsed="false">
      <c r="A41" s="10"/>
      <c r="B41" s="8"/>
      <c r="C41" s="8"/>
      <c r="D41" s="8"/>
      <c r="E41" s="8"/>
      <c r="F41" s="8"/>
      <c r="G41" s="8"/>
      <c r="H41" s="8"/>
      <c r="I41" s="11" t="str">
        <f aca="false">IF($C41="","",D41-E41)</f>
        <v/>
      </c>
      <c r="J41" s="11" t="str">
        <f aca="false">IF($C41="","",I41-F41)</f>
        <v/>
      </c>
      <c r="K41" s="12" t="str">
        <f aca="false">IF($C41="","",IFERROR(INDEX(Setup!$B$5:$B$24,MATCH($C41,Setup!$A$5:$A$24,0)),""))</f>
        <v/>
      </c>
      <c r="L41" s="12" t="str">
        <f aca="false">IF(OR($C41="",K41=""),"",K41*G41/60)</f>
        <v/>
      </c>
      <c r="M41" s="11" t="str">
        <f aca="false">IF($C41="","",G41-H41)</f>
        <v/>
      </c>
      <c r="N41" s="13" t="str">
        <f aca="false">IF($C41="","",IF(I41&lt;=0,"",J41/I41))</f>
        <v/>
      </c>
      <c r="O41" s="13" t="str">
        <f aca="false">IF($C41="","",IF(OR(L41="",J41&lt;=0),"",L41/J41))</f>
        <v/>
      </c>
      <c r="P41" s="13" t="str">
        <f aca="false">IF($C41="","",IF(G41&lt;=0,"",M41/G41))</f>
        <v/>
      </c>
      <c r="Q41" s="13" t="str">
        <f aca="false">IF(OR(N41="",O41="",P41=""),"",N41*O41*P41)</f>
        <v/>
      </c>
      <c r="R41" s="14" t="str">
        <f aca="false">IF($C41="","",IF(K41="","Machine not in Setup",IF(H41&gt;G41,"Rejects &gt; total parts",IF(J41&lt;0,"Downtime &gt; planned time",IF(AND(ISNUMBER(O41),O41&gt;1.05),"Performance &gt; 100%: check cycle time or counts","OK")))))</f>
        <v/>
      </c>
    </row>
    <row r="42" customFormat="false" ht="15" hidden="false" customHeight="false" outlineLevel="0" collapsed="false">
      <c r="A42" s="10"/>
      <c r="B42" s="8"/>
      <c r="C42" s="8"/>
      <c r="D42" s="8"/>
      <c r="E42" s="8"/>
      <c r="F42" s="8"/>
      <c r="G42" s="8"/>
      <c r="H42" s="8"/>
      <c r="I42" s="11" t="str">
        <f aca="false">IF($C42="","",D42-E42)</f>
        <v/>
      </c>
      <c r="J42" s="11" t="str">
        <f aca="false">IF($C42="","",I42-F42)</f>
        <v/>
      </c>
      <c r="K42" s="12" t="str">
        <f aca="false">IF($C42="","",IFERROR(INDEX(Setup!$B$5:$B$24,MATCH($C42,Setup!$A$5:$A$24,0)),""))</f>
        <v/>
      </c>
      <c r="L42" s="12" t="str">
        <f aca="false">IF(OR($C42="",K42=""),"",K42*G42/60)</f>
        <v/>
      </c>
      <c r="M42" s="11" t="str">
        <f aca="false">IF($C42="","",G42-H42)</f>
        <v/>
      </c>
      <c r="N42" s="13" t="str">
        <f aca="false">IF($C42="","",IF(I42&lt;=0,"",J42/I42))</f>
        <v/>
      </c>
      <c r="O42" s="13" t="str">
        <f aca="false">IF($C42="","",IF(OR(L42="",J42&lt;=0),"",L42/J42))</f>
        <v/>
      </c>
      <c r="P42" s="13" t="str">
        <f aca="false">IF($C42="","",IF(G42&lt;=0,"",M42/G42))</f>
        <v/>
      </c>
      <c r="Q42" s="13" t="str">
        <f aca="false">IF(OR(N42="",O42="",P42=""),"",N42*O42*P42)</f>
        <v/>
      </c>
      <c r="R42" s="14" t="str">
        <f aca="false">IF($C42="","",IF(K42="","Machine not in Setup",IF(H42&gt;G42,"Rejects &gt; total parts",IF(J42&lt;0,"Downtime &gt; planned time",IF(AND(ISNUMBER(O42),O42&gt;1.05),"Performance &gt; 100%: check cycle time or counts","OK")))))</f>
        <v/>
      </c>
    </row>
    <row r="43" customFormat="false" ht="15" hidden="false" customHeight="false" outlineLevel="0" collapsed="false">
      <c r="A43" s="10"/>
      <c r="B43" s="8"/>
      <c r="C43" s="8"/>
      <c r="D43" s="8"/>
      <c r="E43" s="8"/>
      <c r="F43" s="8"/>
      <c r="G43" s="8"/>
      <c r="H43" s="8"/>
      <c r="I43" s="11" t="str">
        <f aca="false">IF($C43="","",D43-E43)</f>
        <v/>
      </c>
      <c r="J43" s="11" t="str">
        <f aca="false">IF($C43="","",I43-F43)</f>
        <v/>
      </c>
      <c r="K43" s="12" t="str">
        <f aca="false">IF($C43="","",IFERROR(INDEX(Setup!$B$5:$B$24,MATCH($C43,Setup!$A$5:$A$24,0)),""))</f>
        <v/>
      </c>
      <c r="L43" s="12" t="str">
        <f aca="false">IF(OR($C43="",K43=""),"",K43*G43/60)</f>
        <v/>
      </c>
      <c r="M43" s="11" t="str">
        <f aca="false">IF($C43="","",G43-H43)</f>
        <v/>
      </c>
      <c r="N43" s="13" t="str">
        <f aca="false">IF($C43="","",IF(I43&lt;=0,"",J43/I43))</f>
        <v/>
      </c>
      <c r="O43" s="13" t="str">
        <f aca="false">IF($C43="","",IF(OR(L43="",J43&lt;=0),"",L43/J43))</f>
        <v/>
      </c>
      <c r="P43" s="13" t="str">
        <f aca="false">IF($C43="","",IF(G43&lt;=0,"",M43/G43))</f>
        <v/>
      </c>
      <c r="Q43" s="13" t="str">
        <f aca="false">IF(OR(N43="",O43="",P43=""),"",N43*O43*P43)</f>
        <v/>
      </c>
      <c r="R43" s="14" t="str">
        <f aca="false">IF($C43="","",IF(K43="","Machine not in Setup",IF(H43&gt;G43,"Rejects &gt; total parts",IF(J43&lt;0,"Downtime &gt; planned time",IF(AND(ISNUMBER(O43),O43&gt;1.05),"Performance &gt; 100%: check cycle time or counts","OK")))))</f>
        <v/>
      </c>
    </row>
    <row r="44" customFormat="false" ht="15" hidden="false" customHeight="false" outlineLevel="0" collapsed="false">
      <c r="A44" s="10"/>
      <c r="B44" s="8"/>
      <c r="C44" s="8"/>
      <c r="D44" s="8"/>
      <c r="E44" s="8"/>
      <c r="F44" s="8"/>
      <c r="G44" s="8"/>
      <c r="H44" s="8"/>
      <c r="I44" s="11" t="str">
        <f aca="false">IF($C44="","",D44-E44)</f>
        <v/>
      </c>
      <c r="J44" s="11" t="str">
        <f aca="false">IF($C44="","",I44-F44)</f>
        <v/>
      </c>
      <c r="K44" s="12" t="str">
        <f aca="false">IF($C44="","",IFERROR(INDEX(Setup!$B$5:$B$24,MATCH($C44,Setup!$A$5:$A$24,0)),""))</f>
        <v/>
      </c>
      <c r="L44" s="12" t="str">
        <f aca="false">IF(OR($C44="",K44=""),"",K44*G44/60)</f>
        <v/>
      </c>
      <c r="M44" s="11" t="str">
        <f aca="false">IF($C44="","",G44-H44)</f>
        <v/>
      </c>
      <c r="N44" s="13" t="str">
        <f aca="false">IF($C44="","",IF(I44&lt;=0,"",J44/I44))</f>
        <v/>
      </c>
      <c r="O44" s="13" t="str">
        <f aca="false">IF($C44="","",IF(OR(L44="",J44&lt;=0),"",L44/J44))</f>
        <v/>
      </c>
      <c r="P44" s="13" t="str">
        <f aca="false">IF($C44="","",IF(G44&lt;=0,"",M44/G44))</f>
        <v/>
      </c>
      <c r="Q44" s="13" t="str">
        <f aca="false">IF(OR(N44="",O44="",P44=""),"",N44*O44*P44)</f>
        <v/>
      </c>
      <c r="R44" s="14" t="str">
        <f aca="false">IF($C44="","",IF(K44="","Machine not in Setup",IF(H44&gt;G44,"Rejects &gt; total parts",IF(J44&lt;0,"Downtime &gt; planned time",IF(AND(ISNUMBER(O44),O44&gt;1.05),"Performance &gt; 100%: check cycle time or counts","OK")))))</f>
        <v/>
      </c>
    </row>
    <row r="45" customFormat="false" ht="15" hidden="false" customHeight="false" outlineLevel="0" collapsed="false">
      <c r="A45" s="10"/>
      <c r="B45" s="8"/>
      <c r="C45" s="8"/>
      <c r="D45" s="8"/>
      <c r="E45" s="8"/>
      <c r="F45" s="8"/>
      <c r="G45" s="8"/>
      <c r="H45" s="8"/>
      <c r="I45" s="11" t="str">
        <f aca="false">IF($C45="","",D45-E45)</f>
        <v/>
      </c>
      <c r="J45" s="11" t="str">
        <f aca="false">IF($C45="","",I45-F45)</f>
        <v/>
      </c>
      <c r="K45" s="12" t="str">
        <f aca="false">IF($C45="","",IFERROR(INDEX(Setup!$B$5:$B$24,MATCH($C45,Setup!$A$5:$A$24,0)),""))</f>
        <v/>
      </c>
      <c r="L45" s="12" t="str">
        <f aca="false">IF(OR($C45="",K45=""),"",K45*G45/60)</f>
        <v/>
      </c>
      <c r="M45" s="11" t="str">
        <f aca="false">IF($C45="","",G45-H45)</f>
        <v/>
      </c>
      <c r="N45" s="13" t="str">
        <f aca="false">IF($C45="","",IF(I45&lt;=0,"",J45/I45))</f>
        <v/>
      </c>
      <c r="O45" s="13" t="str">
        <f aca="false">IF($C45="","",IF(OR(L45="",J45&lt;=0),"",L45/J45))</f>
        <v/>
      </c>
      <c r="P45" s="13" t="str">
        <f aca="false">IF($C45="","",IF(G45&lt;=0,"",M45/G45))</f>
        <v/>
      </c>
      <c r="Q45" s="13" t="str">
        <f aca="false">IF(OR(N45="",O45="",P45=""),"",N45*O45*P45)</f>
        <v/>
      </c>
      <c r="R45" s="14" t="str">
        <f aca="false">IF($C45="","",IF(K45="","Machine not in Setup",IF(H45&gt;G45,"Rejects &gt; total parts",IF(J45&lt;0,"Downtime &gt; planned time",IF(AND(ISNUMBER(O45),O45&gt;1.05),"Performance &gt; 100%: check cycle time or counts","OK")))))</f>
        <v/>
      </c>
    </row>
    <row r="46" customFormat="false" ht="15" hidden="false" customHeight="false" outlineLevel="0" collapsed="false">
      <c r="A46" s="10"/>
      <c r="B46" s="8"/>
      <c r="C46" s="8"/>
      <c r="D46" s="8"/>
      <c r="E46" s="8"/>
      <c r="F46" s="8"/>
      <c r="G46" s="8"/>
      <c r="H46" s="8"/>
      <c r="I46" s="11" t="str">
        <f aca="false">IF($C46="","",D46-E46)</f>
        <v/>
      </c>
      <c r="J46" s="11" t="str">
        <f aca="false">IF($C46="","",I46-F46)</f>
        <v/>
      </c>
      <c r="K46" s="12" t="str">
        <f aca="false">IF($C46="","",IFERROR(INDEX(Setup!$B$5:$B$24,MATCH($C46,Setup!$A$5:$A$24,0)),""))</f>
        <v/>
      </c>
      <c r="L46" s="12" t="str">
        <f aca="false">IF(OR($C46="",K46=""),"",K46*G46/60)</f>
        <v/>
      </c>
      <c r="M46" s="11" t="str">
        <f aca="false">IF($C46="","",G46-H46)</f>
        <v/>
      </c>
      <c r="N46" s="13" t="str">
        <f aca="false">IF($C46="","",IF(I46&lt;=0,"",J46/I46))</f>
        <v/>
      </c>
      <c r="O46" s="13" t="str">
        <f aca="false">IF($C46="","",IF(OR(L46="",J46&lt;=0),"",L46/J46))</f>
        <v/>
      </c>
      <c r="P46" s="13" t="str">
        <f aca="false">IF($C46="","",IF(G46&lt;=0,"",M46/G46))</f>
        <v/>
      </c>
      <c r="Q46" s="13" t="str">
        <f aca="false">IF(OR(N46="",O46="",P46=""),"",N46*O46*P46)</f>
        <v/>
      </c>
      <c r="R46" s="14" t="str">
        <f aca="false">IF($C46="","",IF(K46="","Machine not in Setup",IF(H46&gt;G46,"Rejects &gt; total parts",IF(J46&lt;0,"Downtime &gt; planned time",IF(AND(ISNUMBER(O46),O46&gt;1.05),"Performance &gt; 100%: check cycle time or counts","OK")))))</f>
        <v/>
      </c>
    </row>
    <row r="47" customFormat="false" ht="15" hidden="false" customHeight="false" outlineLevel="0" collapsed="false">
      <c r="A47" s="10"/>
      <c r="B47" s="8"/>
      <c r="C47" s="8"/>
      <c r="D47" s="8"/>
      <c r="E47" s="8"/>
      <c r="F47" s="8"/>
      <c r="G47" s="8"/>
      <c r="H47" s="8"/>
      <c r="I47" s="11" t="str">
        <f aca="false">IF($C47="","",D47-E47)</f>
        <v/>
      </c>
      <c r="J47" s="11" t="str">
        <f aca="false">IF($C47="","",I47-F47)</f>
        <v/>
      </c>
      <c r="K47" s="12" t="str">
        <f aca="false">IF($C47="","",IFERROR(INDEX(Setup!$B$5:$B$24,MATCH($C47,Setup!$A$5:$A$24,0)),""))</f>
        <v/>
      </c>
      <c r="L47" s="12" t="str">
        <f aca="false">IF(OR($C47="",K47=""),"",K47*G47/60)</f>
        <v/>
      </c>
      <c r="M47" s="11" t="str">
        <f aca="false">IF($C47="","",G47-H47)</f>
        <v/>
      </c>
      <c r="N47" s="13" t="str">
        <f aca="false">IF($C47="","",IF(I47&lt;=0,"",J47/I47))</f>
        <v/>
      </c>
      <c r="O47" s="13" t="str">
        <f aca="false">IF($C47="","",IF(OR(L47="",J47&lt;=0),"",L47/J47))</f>
        <v/>
      </c>
      <c r="P47" s="13" t="str">
        <f aca="false">IF($C47="","",IF(G47&lt;=0,"",M47/G47))</f>
        <v/>
      </c>
      <c r="Q47" s="13" t="str">
        <f aca="false">IF(OR(N47="",O47="",P47=""),"",N47*O47*P47)</f>
        <v/>
      </c>
      <c r="R47" s="14" t="str">
        <f aca="false">IF($C47="","",IF(K47="","Machine not in Setup",IF(H47&gt;G47,"Rejects &gt; total parts",IF(J47&lt;0,"Downtime &gt; planned time",IF(AND(ISNUMBER(O47),O47&gt;1.05),"Performance &gt; 100%: check cycle time or counts","OK")))))</f>
        <v/>
      </c>
    </row>
    <row r="48" customFormat="false" ht="15" hidden="false" customHeight="false" outlineLevel="0" collapsed="false">
      <c r="A48" s="10"/>
      <c r="B48" s="8"/>
      <c r="C48" s="8"/>
      <c r="D48" s="8"/>
      <c r="E48" s="8"/>
      <c r="F48" s="8"/>
      <c r="G48" s="8"/>
      <c r="H48" s="8"/>
      <c r="I48" s="11" t="str">
        <f aca="false">IF($C48="","",D48-E48)</f>
        <v/>
      </c>
      <c r="J48" s="11" t="str">
        <f aca="false">IF($C48="","",I48-F48)</f>
        <v/>
      </c>
      <c r="K48" s="12" t="str">
        <f aca="false">IF($C48="","",IFERROR(INDEX(Setup!$B$5:$B$24,MATCH($C48,Setup!$A$5:$A$24,0)),""))</f>
        <v/>
      </c>
      <c r="L48" s="12" t="str">
        <f aca="false">IF(OR($C48="",K48=""),"",K48*G48/60)</f>
        <v/>
      </c>
      <c r="M48" s="11" t="str">
        <f aca="false">IF($C48="","",G48-H48)</f>
        <v/>
      </c>
      <c r="N48" s="13" t="str">
        <f aca="false">IF($C48="","",IF(I48&lt;=0,"",J48/I48))</f>
        <v/>
      </c>
      <c r="O48" s="13" t="str">
        <f aca="false">IF($C48="","",IF(OR(L48="",J48&lt;=0),"",L48/J48))</f>
        <v/>
      </c>
      <c r="P48" s="13" t="str">
        <f aca="false">IF($C48="","",IF(G48&lt;=0,"",M48/G48))</f>
        <v/>
      </c>
      <c r="Q48" s="13" t="str">
        <f aca="false">IF(OR(N48="",O48="",P48=""),"",N48*O48*P48)</f>
        <v/>
      </c>
      <c r="R48" s="14" t="str">
        <f aca="false">IF($C48="","",IF(K48="","Machine not in Setup",IF(H48&gt;G48,"Rejects &gt; total parts",IF(J48&lt;0,"Downtime &gt; planned time",IF(AND(ISNUMBER(O48),O48&gt;1.05),"Performance &gt; 100%: check cycle time or counts","OK")))))</f>
        <v/>
      </c>
    </row>
    <row r="49" customFormat="false" ht="15" hidden="false" customHeight="false" outlineLevel="0" collapsed="false">
      <c r="A49" s="10"/>
      <c r="B49" s="8"/>
      <c r="C49" s="8"/>
      <c r="D49" s="8"/>
      <c r="E49" s="8"/>
      <c r="F49" s="8"/>
      <c r="G49" s="8"/>
      <c r="H49" s="8"/>
      <c r="I49" s="11" t="str">
        <f aca="false">IF($C49="","",D49-E49)</f>
        <v/>
      </c>
      <c r="J49" s="11" t="str">
        <f aca="false">IF($C49="","",I49-F49)</f>
        <v/>
      </c>
      <c r="K49" s="12" t="str">
        <f aca="false">IF($C49="","",IFERROR(INDEX(Setup!$B$5:$B$24,MATCH($C49,Setup!$A$5:$A$24,0)),""))</f>
        <v/>
      </c>
      <c r="L49" s="12" t="str">
        <f aca="false">IF(OR($C49="",K49=""),"",K49*G49/60)</f>
        <v/>
      </c>
      <c r="M49" s="11" t="str">
        <f aca="false">IF($C49="","",G49-H49)</f>
        <v/>
      </c>
      <c r="N49" s="13" t="str">
        <f aca="false">IF($C49="","",IF(I49&lt;=0,"",J49/I49))</f>
        <v/>
      </c>
      <c r="O49" s="13" t="str">
        <f aca="false">IF($C49="","",IF(OR(L49="",J49&lt;=0),"",L49/J49))</f>
        <v/>
      </c>
      <c r="P49" s="13" t="str">
        <f aca="false">IF($C49="","",IF(G49&lt;=0,"",M49/G49))</f>
        <v/>
      </c>
      <c r="Q49" s="13" t="str">
        <f aca="false">IF(OR(N49="",O49="",P49=""),"",N49*O49*P49)</f>
        <v/>
      </c>
      <c r="R49" s="14" t="str">
        <f aca="false">IF($C49="","",IF(K49="","Machine not in Setup",IF(H49&gt;G49,"Rejects &gt; total parts",IF(J49&lt;0,"Downtime &gt; planned time",IF(AND(ISNUMBER(O49),O49&gt;1.05),"Performance &gt; 100%: check cycle time or counts","OK")))))</f>
        <v/>
      </c>
    </row>
    <row r="50" customFormat="false" ht="15" hidden="false" customHeight="false" outlineLevel="0" collapsed="false">
      <c r="A50" s="10"/>
      <c r="B50" s="8"/>
      <c r="C50" s="8"/>
      <c r="D50" s="8"/>
      <c r="E50" s="8"/>
      <c r="F50" s="8"/>
      <c r="G50" s="8"/>
      <c r="H50" s="8"/>
      <c r="I50" s="11" t="str">
        <f aca="false">IF($C50="","",D50-E50)</f>
        <v/>
      </c>
      <c r="J50" s="11" t="str">
        <f aca="false">IF($C50="","",I50-F50)</f>
        <v/>
      </c>
      <c r="K50" s="12" t="str">
        <f aca="false">IF($C50="","",IFERROR(INDEX(Setup!$B$5:$B$24,MATCH($C50,Setup!$A$5:$A$24,0)),""))</f>
        <v/>
      </c>
      <c r="L50" s="12" t="str">
        <f aca="false">IF(OR($C50="",K50=""),"",K50*G50/60)</f>
        <v/>
      </c>
      <c r="M50" s="11" t="str">
        <f aca="false">IF($C50="","",G50-H50)</f>
        <v/>
      </c>
      <c r="N50" s="13" t="str">
        <f aca="false">IF($C50="","",IF(I50&lt;=0,"",J50/I50))</f>
        <v/>
      </c>
      <c r="O50" s="13" t="str">
        <f aca="false">IF($C50="","",IF(OR(L50="",J50&lt;=0),"",L50/J50))</f>
        <v/>
      </c>
      <c r="P50" s="13" t="str">
        <f aca="false">IF($C50="","",IF(G50&lt;=0,"",M50/G50))</f>
        <v/>
      </c>
      <c r="Q50" s="13" t="str">
        <f aca="false">IF(OR(N50="",O50="",P50=""),"",N50*O50*P50)</f>
        <v/>
      </c>
      <c r="R50" s="14" t="str">
        <f aca="false">IF($C50="","",IF(K50="","Machine not in Setup",IF(H50&gt;G50,"Rejects &gt; total parts",IF(J50&lt;0,"Downtime &gt; planned time",IF(AND(ISNUMBER(O50),O50&gt;1.05),"Performance &gt; 100%: check cycle time or counts","OK")))))</f>
        <v/>
      </c>
    </row>
    <row r="51" customFormat="false" ht="15" hidden="false" customHeight="false" outlineLevel="0" collapsed="false">
      <c r="A51" s="10"/>
      <c r="B51" s="8"/>
      <c r="C51" s="8"/>
      <c r="D51" s="8"/>
      <c r="E51" s="8"/>
      <c r="F51" s="8"/>
      <c r="G51" s="8"/>
      <c r="H51" s="8"/>
      <c r="I51" s="11" t="str">
        <f aca="false">IF($C51="","",D51-E51)</f>
        <v/>
      </c>
      <c r="J51" s="11" t="str">
        <f aca="false">IF($C51="","",I51-F51)</f>
        <v/>
      </c>
      <c r="K51" s="12" t="str">
        <f aca="false">IF($C51="","",IFERROR(INDEX(Setup!$B$5:$B$24,MATCH($C51,Setup!$A$5:$A$24,0)),""))</f>
        <v/>
      </c>
      <c r="L51" s="12" t="str">
        <f aca="false">IF(OR($C51="",K51=""),"",K51*G51/60)</f>
        <v/>
      </c>
      <c r="M51" s="11" t="str">
        <f aca="false">IF($C51="","",G51-H51)</f>
        <v/>
      </c>
      <c r="N51" s="13" t="str">
        <f aca="false">IF($C51="","",IF(I51&lt;=0,"",J51/I51))</f>
        <v/>
      </c>
      <c r="O51" s="13" t="str">
        <f aca="false">IF($C51="","",IF(OR(L51="",J51&lt;=0),"",L51/J51))</f>
        <v/>
      </c>
      <c r="P51" s="13" t="str">
        <f aca="false">IF($C51="","",IF(G51&lt;=0,"",M51/G51))</f>
        <v/>
      </c>
      <c r="Q51" s="13" t="str">
        <f aca="false">IF(OR(N51="",O51="",P51=""),"",N51*O51*P51)</f>
        <v/>
      </c>
      <c r="R51" s="14" t="str">
        <f aca="false">IF($C51="","",IF(K51="","Machine not in Setup",IF(H51&gt;G51,"Rejects &gt; total parts",IF(J51&lt;0,"Downtime &gt; planned time",IF(AND(ISNUMBER(O51),O51&gt;1.05),"Performance &gt; 100%: check cycle time or counts","OK")))))</f>
        <v/>
      </c>
    </row>
    <row r="52" customFormat="false" ht="15" hidden="false" customHeight="false" outlineLevel="0" collapsed="false">
      <c r="A52" s="10"/>
      <c r="B52" s="8"/>
      <c r="C52" s="8"/>
      <c r="D52" s="8"/>
      <c r="E52" s="8"/>
      <c r="F52" s="8"/>
      <c r="G52" s="8"/>
      <c r="H52" s="8"/>
      <c r="I52" s="11" t="str">
        <f aca="false">IF($C52="","",D52-E52)</f>
        <v/>
      </c>
      <c r="J52" s="11" t="str">
        <f aca="false">IF($C52="","",I52-F52)</f>
        <v/>
      </c>
      <c r="K52" s="12" t="str">
        <f aca="false">IF($C52="","",IFERROR(INDEX(Setup!$B$5:$B$24,MATCH($C52,Setup!$A$5:$A$24,0)),""))</f>
        <v/>
      </c>
      <c r="L52" s="12" t="str">
        <f aca="false">IF(OR($C52="",K52=""),"",K52*G52/60)</f>
        <v/>
      </c>
      <c r="M52" s="11" t="str">
        <f aca="false">IF($C52="","",G52-H52)</f>
        <v/>
      </c>
      <c r="N52" s="13" t="str">
        <f aca="false">IF($C52="","",IF(I52&lt;=0,"",J52/I52))</f>
        <v/>
      </c>
      <c r="O52" s="13" t="str">
        <f aca="false">IF($C52="","",IF(OR(L52="",J52&lt;=0),"",L52/J52))</f>
        <v/>
      </c>
      <c r="P52" s="13" t="str">
        <f aca="false">IF($C52="","",IF(G52&lt;=0,"",M52/G52))</f>
        <v/>
      </c>
      <c r="Q52" s="13" t="str">
        <f aca="false">IF(OR(N52="",O52="",P52=""),"",N52*O52*P52)</f>
        <v/>
      </c>
      <c r="R52" s="14" t="str">
        <f aca="false">IF($C52="","",IF(K52="","Machine not in Setup",IF(H52&gt;G52,"Rejects &gt; total parts",IF(J52&lt;0,"Downtime &gt; planned time",IF(AND(ISNUMBER(O52),O52&gt;1.05),"Performance &gt; 100%: check cycle time or counts","OK")))))</f>
        <v/>
      </c>
    </row>
    <row r="53" customFormat="false" ht="15" hidden="false" customHeight="false" outlineLevel="0" collapsed="false">
      <c r="A53" s="10"/>
      <c r="B53" s="8"/>
      <c r="C53" s="8"/>
      <c r="D53" s="8"/>
      <c r="E53" s="8"/>
      <c r="F53" s="8"/>
      <c r="G53" s="8"/>
      <c r="H53" s="8"/>
      <c r="I53" s="11" t="str">
        <f aca="false">IF($C53="","",D53-E53)</f>
        <v/>
      </c>
      <c r="J53" s="11" t="str">
        <f aca="false">IF($C53="","",I53-F53)</f>
        <v/>
      </c>
      <c r="K53" s="12" t="str">
        <f aca="false">IF($C53="","",IFERROR(INDEX(Setup!$B$5:$B$24,MATCH($C53,Setup!$A$5:$A$24,0)),""))</f>
        <v/>
      </c>
      <c r="L53" s="12" t="str">
        <f aca="false">IF(OR($C53="",K53=""),"",K53*G53/60)</f>
        <v/>
      </c>
      <c r="M53" s="11" t="str">
        <f aca="false">IF($C53="","",G53-H53)</f>
        <v/>
      </c>
      <c r="N53" s="13" t="str">
        <f aca="false">IF($C53="","",IF(I53&lt;=0,"",J53/I53))</f>
        <v/>
      </c>
      <c r="O53" s="13" t="str">
        <f aca="false">IF($C53="","",IF(OR(L53="",J53&lt;=0),"",L53/J53))</f>
        <v/>
      </c>
      <c r="P53" s="13" t="str">
        <f aca="false">IF($C53="","",IF(G53&lt;=0,"",M53/G53))</f>
        <v/>
      </c>
      <c r="Q53" s="13" t="str">
        <f aca="false">IF(OR(N53="",O53="",P53=""),"",N53*O53*P53)</f>
        <v/>
      </c>
      <c r="R53" s="14" t="str">
        <f aca="false">IF($C53="","",IF(K53="","Machine not in Setup",IF(H53&gt;G53,"Rejects &gt; total parts",IF(J53&lt;0,"Downtime &gt; planned time",IF(AND(ISNUMBER(O53),O53&gt;1.05),"Performance &gt; 100%: check cycle time or counts","OK")))))</f>
        <v/>
      </c>
    </row>
    <row r="54" customFormat="false" ht="15" hidden="false" customHeight="false" outlineLevel="0" collapsed="false">
      <c r="A54" s="10"/>
      <c r="B54" s="8"/>
      <c r="C54" s="8"/>
      <c r="D54" s="8"/>
      <c r="E54" s="8"/>
      <c r="F54" s="8"/>
      <c r="G54" s="8"/>
      <c r="H54" s="8"/>
      <c r="I54" s="11" t="str">
        <f aca="false">IF($C54="","",D54-E54)</f>
        <v/>
      </c>
      <c r="J54" s="11" t="str">
        <f aca="false">IF($C54="","",I54-F54)</f>
        <v/>
      </c>
      <c r="K54" s="12" t="str">
        <f aca="false">IF($C54="","",IFERROR(INDEX(Setup!$B$5:$B$24,MATCH($C54,Setup!$A$5:$A$24,0)),""))</f>
        <v/>
      </c>
      <c r="L54" s="12" t="str">
        <f aca="false">IF(OR($C54="",K54=""),"",K54*G54/60)</f>
        <v/>
      </c>
      <c r="M54" s="11" t="str">
        <f aca="false">IF($C54="","",G54-H54)</f>
        <v/>
      </c>
      <c r="N54" s="13" t="str">
        <f aca="false">IF($C54="","",IF(I54&lt;=0,"",J54/I54))</f>
        <v/>
      </c>
      <c r="O54" s="13" t="str">
        <f aca="false">IF($C54="","",IF(OR(L54="",J54&lt;=0),"",L54/J54))</f>
        <v/>
      </c>
      <c r="P54" s="13" t="str">
        <f aca="false">IF($C54="","",IF(G54&lt;=0,"",M54/G54))</f>
        <v/>
      </c>
      <c r="Q54" s="13" t="str">
        <f aca="false">IF(OR(N54="",O54="",P54=""),"",N54*O54*P54)</f>
        <v/>
      </c>
      <c r="R54" s="14" t="str">
        <f aca="false">IF($C54="","",IF(K54="","Machine not in Setup",IF(H54&gt;G54,"Rejects &gt; total parts",IF(J54&lt;0,"Downtime &gt; planned time",IF(AND(ISNUMBER(O54),O54&gt;1.05),"Performance &gt; 100%: check cycle time or counts","OK")))))</f>
        <v/>
      </c>
    </row>
    <row r="55" customFormat="false" ht="15" hidden="false" customHeight="false" outlineLevel="0" collapsed="false">
      <c r="A55" s="10"/>
      <c r="B55" s="8"/>
      <c r="C55" s="8"/>
      <c r="D55" s="8"/>
      <c r="E55" s="8"/>
      <c r="F55" s="8"/>
      <c r="G55" s="8"/>
      <c r="H55" s="8"/>
      <c r="I55" s="11" t="str">
        <f aca="false">IF($C55="","",D55-E55)</f>
        <v/>
      </c>
      <c r="J55" s="11" t="str">
        <f aca="false">IF($C55="","",I55-F55)</f>
        <v/>
      </c>
      <c r="K55" s="12" t="str">
        <f aca="false">IF($C55="","",IFERROR(INDEX(Setup!$B$5:$B$24,MATCH($C55,Setup!$A$5:$A$24,0)),""))</f>
        <v/>
      </c>
      <c r="L55" s="12" t="str">
        <f aca="false">IF(OR($C55="",K55=""),"",K55*G55/60)</f>
        <v/>
      </c>
      <c r="M55" s="11" t="str">
        <f aca="false">IF($C55="","",G55-H55)</f>
        <v/>
      </c>
      <c r="N55" s="13" t="str">
        <f aca="false">IF($C55="","",IF(I55&lt;=0,"",J55/I55))</f>
        <v/>
      </c>
      <c r="O55" s="13" t="str">
        <f aca="false">IF($C55="","",IF(OR(L55="",J55&lt;=0),"",L55/J55))</f>
        <v/>
      </c>
      <c r="P55" s="13" t="str">
        <f aca="false">IF($C55="","",IF(G55&lt;=0,"",M55/G55))</f>
        <v/>
      </c>
      <c r="Q55" s="13" t="str">
        <f aca="false">IF(OR(N55="",O55="",P55=""),"",N55*O55*P55)</f>
        <v/>
      </c>
      <c r="R55" s="14" t="str">
        <f aca="false">IF($C55="","",IF(K55="","Machine not in Setup",IF(H55&gt;G55,"Rejects &gt; total parts",IF(J55&lt;0,"Downtime &gt; planned time",IF(AND(ISNUMBER(O55),O55&gt;1.05),"Performance &gt; 100%: check cycle time or counts","OK")))))</f>
        <v/>
      </c>
    </row>
    <row r="56" customFormat="false" ht="15" hidden="false" customHeight="false" outlineLevel="0" collapsed="false">
      <c r="A56" s="10"/>
      <c r="B56" s="8"/>
      <c r="C56" s="8"/>
      <c r="D56" s="8"/>
      <c r="E56" s="8"/>
      <c r="F56" s="8"/>
      <c r="G56" s="8"/>
      <c r="H56" s="8"/>
      <c r="I56" s="11" t="str">
        <f aca="false">IF($C56="","",D56-E56)</f>
        <v/>
      </c>
      <c r="J56" s="11" t="str">
        <f aca="false">IF($C56="","",I56-F56)</f>
        <v/>
      </c>
      <c r="K56" s="12" t="str">
        <f aca="false">IF($C56="","",IFERROR(INDEX(Setup!$B$5:$B$24,MATCH($C56,Setup!$A$5:$A$24,0)),""))</f>
        <v/>
      </c>
      <c r="L56" s="12" t="str">
        <f aca="false">IF(OR($C56="",K56=""),"",K56*G56/60)</f>
        <v/>
      </c>
      <c r="M56" s="11" t="str">
        <f aca="false">IF($C56="","",G56-H56)</f>
        <v/>
      </c>
      <c r="N56" s="13" t="str">
        <f aca="false">IF($C56="","",IF(I56&lt;=0,"",J56/I56))</f>
        <v/>
      </c>
      <c r="O56" s="13" t="str">
        <f aca="false">IF($C56="","",IF(OR(L56="",J56&lt;=0),"",L56/J56))</f>
        <v/>
      </c>
      <c r="P56" s="13" t="str">
        <f aca="false">IF($C56="","",IF(G56&lt;=0,"",M56/G56))</f>
        <v/>
      </c>
      <c r="Q56" s="13" t="str">
        <f aca="false">IF(OR(N56="",O56="",P56=""),"",N56*O56*P56)</f>
        <v/>
      </c>
      <c r="R56" s="14" t="str">
        <f aca="false">IF($C56="","",IF(K56="","Machine not in Setup",IF(H56&gt;G56,"Rejects &gt; total parts",IF(J56&lt;0,"Downtime &gt; planned time",IF(AND(ISNUMBER(O56),O56&gt;1.05),"Performance &gt; 100%: check cycle time or counts","OK")))))</f>
        <v/>
      </c>
    </row>
    <row r="57" customFormat="false" ht="15" hidden="false" customHeight="false" outlineLevel="0" collapsed="false">
      <c r="A57" s="10"/>
      <c r="B57" s="8"/>
      <c r="C57" s="8"/>
      <c r="D57" s="8"/>
      <c r="E57" s="8"/>
      <c r="F57" s="8"/>
      <c r="G57" s="8"/>
      <c r="H57" s="8"/>
      <c r="I57" s="11" t="str">
        <f aca="false">IF($C57="","",D57-E57)</f>
        <v/>
      </c>
      <c r="J57" s="11" t="str">
        <f aca="false">IF($C57="","",I57-F57)</f>
        <v/>
      </c>
      <c r="K57" s="12" t="str">
        <f aca="false">IF($C57="","",IFERROR(INDEX(Setup!$B$5:$B$24,MATCH($C57,Setup!$A$5:$A$24,0)),""))</f>
        <v/>
      </c>
      <c r="L57" s="12" t="str">
        <f aca="false">IF(OR($C57="",K57=""),"",K57*G57/60)</f>
        <v/>
      </c>
      <c r="M57" s="11" t="str">
        <f aca="false">IF($C57="","",G57-H57)</f>
        <v/>
      </c>
      <c r="N57" s="13" t="str">
        <f aca="false">IF($C57="","",IF(I57&lt;=0,"",J57/I57))</f>
        <v/>
      </c>
      <c r="O57" s="13" t="str">
        <f aca="false">IF($C57="","",IF(OR(L57="",J57&lt;=0),"",L57/J57))</f>
        <v/>
      </c>
      <c r="P57" s="13" t="str">
        <f aca="false">IF($C57="","",IF(G57&lt;=0,"",M57/G57))</f>
        <v/>
      </c>
      <c r="Q57" s="13" t="str">
        <f aca="false">IF(OR(N57="",O57="",P57=""),"",N57*O57*P57)</f>
        <v/>
      </c>
      <c r="R57" s="14" t="str">
        <f aca="false">IF($C57="","",IF(K57="","Machine not in Setup",IF(H57&gt;G57,"Rejects &gt; total parts",IF(J57&lt;0,"Downtime &gt; planned time",IF(AND(ISNUMBER(O57),O57&gt;1.05),"Performance &gt; 100%: check cycle time or counts","OK")))))</f>
        <v/>
      </c>
    </row>
    <row r="58" customFormat="false" ht="15" hidden="false" customHeight="false" outlineLevel="0" collapsed="false">
      <c r="A58" s="10"/>
      <c r="B58" s="8"/>
      <c r="C58" s="8"/>
      <c r="D58" s="8"/>
      <c r="E58" s="8"/>
      <c r="F58" s="8"/>
      <c r="G58" s="8"/>
      <c r="H58" s="8"/>
      <c r="I58" s="11" t="str">
        <f aca="false">IF($C58="","",D58-E58)</f>
        <v/>
      </c>
      <c r="J58" s="11" t="str">
        <f aca="false">IF($C58="","",I58-F58)</f>
        <v/>
      </c>
      <c r="K58" s="12" t="str">
        <f aca="false">IF($C58="","",IFERROR(INDEX(Setup!$B$5:$B$24,MATCH($C58,Setup!$A$5:$A$24,0)),""))</f>
        <v/>
      </c>
      <c r="L58" s="12" t="str">
        <f aca="false">IF(OR($C58="",K58=""),"",K58*G58/60)</f>
        <v/>
      </c>
      <c r="M58" s="11" t="str">
        <f aca="false">IF($C58="","",G58-H58)</f>
        <v/>
      </c>
      <c r="N58" s="13" t="str">
        <f aca="false">IF($C58="","",IF(I58&lt;=0,"",J58/I58))</f>
        <v/>
      </c>
      <c r="O58" s="13" t="str">
        <f aca="false">IF($C58="","",IF(OR(L58="",J58&lt;=0),"",L58/J58))</f>
        <v/>
      </c>
      <c r="P58" s="13" t="str">
        <f aca="false">IF($C58="","",IF(G58&lt;=0,"",M58/G58))</f>
        <v/>
      </c>
      <c r="Q58" s="13" t="str">
        <f aca="false">IF(OR(N58="",O58="",P58=""),"",N58*O58*P58)</f>
        <v/>
      </c>
      <c r="R58" s="14" t="str">
        <f aca="false">IF($C58="","",IF(K58="","Machine not in Setup",IF(H58&gt;G58,"Rejects &gt; total parts",IF(J58&lt;0,"Downtime &gt; planned time",IF(AND(ISNUMBER(O58),O58&gt;1.05),"Performance &gt; 100%: check cycle time or counts","OK")))))</f>
        <v/>
      </c>
    </row>
    <row r="59" customFormat="false" ht="15" hidden="false" customHeight="false" outlineLevel="0" collapsed="false">
      <c r="A59" s="10"/>
      <c r="B59" s="8"/>
      <c r="C59" s="8"/>
      <c r="D59" s="8"/>
      <c r="E59" s="8"/>
      <c r="F59" s="8"/>
      <c r="G59" s="8"/>
      <c r="H59" s="8"/>
      <c r="I59" s="11" t="str">
        <f aca="false">IF($C59="","",D59-E59)</f>
        <v/>
      </c>
      <c r="J59" s="11" t="str">
        <f aca="false">IF($C59="","",I59-F59)</f>
        <v/>
      </c>
      <c r="K59" s="12" t="str">
        <f aca="false">IF($C59="","",IFERROR(INDEX(Setup!$B$5:$B$24,MATCH($C59,Setup!$A$5:$A$24,0)),""))</f>
        <v/>
      </c>
      <c r="L59" s="12" t="str">
        <f aca="false">IF(OR($C59="",K59=""),"",K59*G59/60)</f>
        <v/>
      </c>
      <c r="M59" s="11" t="str">
        <f aca="false">IF($C59="","",G59-H59)</f>
        <v/>
      </c>
      <c r="N59" s="13" t="str">
        <f aca="false">IF($C59="","",IF(I59&lt;=0,"",J59/I59))</f>
        <v/>
      </c>
      <c r="O59" s="13" t="str">
        <f aca="false">IF($C59="","",IF(OR(L59="",J59&lt;=0),"",L59/J59))</f>
        <v/>
      </c>
      <c r="P59" s="13" t="str">
        <f aca="false">IF($C59="","",IF(G59&lt;=0,"",M59/G59))</f>
        <v/>
      </c>
      <c r="Q59" s="13" t="str">
        <f aca="false">IF(OR(N59="",O59="",P59=""),"",N59*O59*P59)</f>
        <v/>
      </c>
      <c r="R59" s="14" t="str">
        <f aca="false">IF($C59="","",IF(K59="","Machine not in Setup",IF(H59&gt;G59,"Rejects &gt; total parts",IF(J59&lt;0,"Downtime &gt; planned time",IF(AND(ISNUMBER(O59),O59&gt;1.05),"Performance &gt; 100%: check cycle time or counts","OK")))))</f>
        <v/>
      </c>
    </row>
    <row r="60" customFormat="false" ht="15" hidden="false" customHeight="false" outlineLevel="0" collapsed="false">
      <c r="A60" s="10"/>
      <c r="B60" s="8"/>
      <c r="C60" s="8"/>
      <c r="D60" s="8"/>
      <c r="E60" s="8"/>
      <c r="F60" s="8"/>
      <c r="G60" s="8"/>
      <c r="H60" s="8"/>
      <c r="I60" s="11" t="str">
        <f aca="false">IF($C60="","",D60-E60)</f>
        <v/>
      </c>
      <c r="J60" s="11" t="str">
        <f aca="false">IF($C60="","",I60-F60)</f>
        <v/>
      </c>
      <c r="K60" s="12" t="str">
        <f aca="false">IF($C60="","",IFERROR(INDEX(Setup!$B$5:$B$24,MATCH($C60,Setup!$A$5:$A$24,0)),""))</f>
        <v/>
      </c>
      <c r="L60" s="12" t="str">
        <f aca="false">IF(OR($C60="",K60=""),"",K60*G60/60)</f>
        <v/>
      </c>
      <c r="M60" s="11" t="str">
        <f aca="false">IF($C60="","",G60-H60)</f>
        <v/>
      </c>
      <c r="N60" s="13" t="str">
        <f aca="false">IF($C60="","",IF(I60&lt;=0,"",J60/I60))</f>
        <v/>
      </c>
      <c r="O60" s="13" t="str">
        <f aca="false">IF($C60="","",IF(OR(L60="",J60&lt;=0),"",L60/J60))</f>
        <v/>
      </c>
      <c r="P60" s="13" t="str">
        <f aca="false">IF($C60="","",IF(G60&lt;=0,"",M60/G60))</f>
        <v/>
      </c>
      <c r="Q60" s="13" t="str">
        <f aca="false">IF(OR(N60="",O60="",P60=""),"",N60*O60*P60)</f>
        <v/>
      </c>
      <c r="R60" s="14" t="str">
        <f aca="false">IF($C60="","",IF(K60="","Machine not in Setup",IF(H60&gt;G60,"Rejects &gt; total parts",IF(J60&lt;0,"Downtime &gt; planned time",IF(AND(ISNUMBER(O60),O60&gt;1.05),"Performance &gt; 100%: check cycle time or counts","OK")))))</f>
        <v/>
      </c>
    </row>
    <row r="61" customFormat="false" ht="15" hidden="false" customHeight="false" outlineLevel="0" collapsed="false">
      <c r="A61" s="10"/>
      <c r="B61" s="8"/>
      <c r="C61" s="8"/>
      <c r="D61" s="8"/>
      <c r="E61" s="8"/>
      <c r="F61" s="8"/>
      <c r="G61" s="8"/>
      <c r="H61" s="8"/>
      <c r="I61" s="11" t="str">
        <f aca="false">IF($C61="","",D61-E61)</f>
        <v/>
      </c>
      <c r="J61" s="11" t="str">
        <f aca="false">IF($C61="","",I61-F61)</f>
        <v/>
      </c>
      <c r="K61" s="12" t="str">
        <f aca="false">IF($C61="","",IFERROR(INDEX(Setup!$B$5:$B$24,MATCH($C61,Setup!$A$5:$A$24,0)),""))</f>
        <v/>
      </c>
      <c r="L61" s="12" t="str">
        <f aca="false">IF(OR($C61="",K61=""),"",K61*G61/60)</f>
        <v/>
      </c>
      <c r="M61" s="11" t="str">
        <f aca="false">IF($C61="","",G61-H61)</f>
        <v/>
      </c>
      <c r="N61" s="13" t="str">
        <f aca="false">IF($C61="","",IF(I61&lt;=0,"",J61/I61))</f>
        <v/>
      </c>
      <c r="O61" s="13" t="str">
        <f aca="false">IF($C61="","",IF(OR(L61="",J61&lt;=0),"",L61/J61))</f>
        <v/>
      </c>
      <c r="P61" s="13" t="str">
        <f aca="false">IF($C61="","",IF(G61&lt;=0,"",M61/G61))</f>
        <v/>
      </c>
      <c r="Q61" s="13" t="str">
        <f aca="false">IF(OR(N61="",O61="",P61=""),"",N61*O61*P61)</f>
        <v/>
      </c>
      <c r="R61" s="14" t="str">
        <f aca="false">IF($C61="","",IF(K61="","Machine not in Setup",IF(H61&gt;G61,"Rejects &gt; total parts",IF(J61&lt;0,"Downtime &gt; planned time",IF(AND(ISNUMBER(O61),O61&gt;1.05),"Performance &gt; 100%: check cycle time or counts","OK")))))</f>
        <v/>
      </c>
    </row>
    <row r="62" customFormat="false" ht="15" hidden="false" customHeight="false" outlineLevel="0" collapsed="false">
      <c r="A62" s="10"/>
      <c r="B62" s="8"/>
      <c r="C62" s="8"/>
      <c r="D62" s="8"/>
      <c r="E62" s="8"/>
      <c r="F62" s="8"/>
      <c r="G62" s="8"/>
      <c r="H62" s="8"/>
      <c r="I62" s="11" t="str">
        <f aca="false">IF($C62="","",D62-E62)</f>
        <v/>
      </c>
      <c r="J62" s="11" t="str">
        <f aca="false">IF($C62="","",I62-F62)</f>
        <v/>
      </c>
      <c r="K62" s="12" t="str">
        <f aca="false">IF($C62="","",IFERROR(INDEX(Setup!$B$5:$B$24,MATCH($C62,Setup!$A$5:$A$24,0)),""))</f>
        <v/>
      </c>
      <c r="L62" s="12" t="str">
        <f aca="false">IF(OR($C62="",K62=""),"",K62*G62/60)</f>
        <v/>
      </c>
      <c r="M62" s="11" t="str">
        <f aca="false">IF($C62="","",G62-H62)</f>
        <v/>
      </c>
      <c r="N62" s="13" t="str">
        <f aca="false">IF($C62="","",IF(I62&lt;=0,"",J62/I62))</f>
        <v/>
      </c>
      <c r="O62" s="13" t="str">
        <f aca="false">IF($C62="","",IF(OR(L62="",J62&lt;=0),"",L62/J62))</f>
        <v/>
      </c>
      <c r="P62" s="13" t="str">
        <f aca="false">IF($C62="","",IF(G62&lt;=0,"",M62/G62))</f>
        <v/>
      </c>
      <c r="Q62" s="13" t="str">
        <f aca="false">IF(OR(N62="",O62="",P62=""),"",N62*O62*P62)</f>
        <v/>
      </c>
      <c r="R62" s="14" t="str">
        <f aca="false">IF($C62="","",IF(K62="","Machine not in Setup",IF(H62&gt;G62,"Rejects &gt; total parts",IF(J62&lt;0,"Downtime &gt; planned time",IF(AND(ISNUMBER(O62),O62&gt;1.05),"Performance &gt; 100%: check cycle time or counts","OK")))))</f>
        <v/>
      </c>
    </row>
    <row r="63" customFormat="false" ht="15" hidden="false" customHeight="false" outlineLevel="0" collapsed="false">
      <c r="A63" s="10"/>
      <c r="B63" s="8"/>
      <c r="C63" s="8"/>
      <c r="D63" s="8"/>
      <c r="E63" s="8"/>
      <c r="F63" s="8"/>
      <c r="G63" s="8"/>
      <c r="H63" s="8"/>
      <c r="I63" s="11" t="str">
        <f aca="false">IF($C63="","",D63-E63)</f>
        <v/>
      </c>
      <c r="J63" s="11" t="str">
        <f aca="false">IF($C63="","",I63-F63)</f>
        <v/>
      </c>
      <c r="K63" s="12" t="str">
        <f aca="false">IF($C63="","",IFERROR(INDEX(Setup!$B$5:$B$24,MATCH($C63,Setup!$A$5:$A$24,0)),""))</f>
        <v/>
      </c>
      <c r="L63" s="12" t="str">
        <f aca="false">IF(OR($C63="",K63=""),"",K63*G63/60)</f>
        <v/>
      </c>
      <c r="M63" s="11" t="str">
        <f aca="false">IF($C63="","",G63-H63)</f>
        <v/>
      </c>
      <c r="N63" s="13" t="str">
        <f aca="false">IF($C63="","",IF(I63&lt;=0,"",J63/I63))</f>
        <v/>
      </c>
      <c r="O63" s="13" t="str">
        <f aca="false">IF($C63="","",IF(OR(L63="",J63&lt;=0),"",L63/J63))</f>
        <v/>
      </c>
      <c r="P63" s="13" t="str">
        <f aca="false">IF($C63="","",IF(G63&lt;=0,"",M63/G63))</f>
        <v/>
      </c>
      <c r="Q63" s="13" t="str">
        <f aca="false">IF(OR(N63="",O63="",P63=""),"",N63*O63*P63)</f>
        <v/>
      </c>
      <c r="R63" s="14" t="str">
        <f aca="false">IF($C63="","",IF(K63="","Machine not in Setup",IF(H63&gt;G63,"Rejects &gt; total parts",IF(J63&lt;0,"Downtime &gt; planned time",IF(AND(ISNUMBER(O63),O63&gt;1.05),"Performance &gt; 100%: check cycle time or counts","OK")))))</f>
        <v/>
      </c>
    </row>
    <row r="64" customFormat="false" ht="15" hidden="false" customHeight="false" outlineLevel="0" collapsed="false">
      <c r="A64" s="10"/>
      <c r="B64" s="8"/>
      <c r="C64" s="8"/>
      <c r="D64" s="8"/>
      <c r="E64" s="8"/>
      <c r="F64" s="8"/>
      <c r="G64" s="8"/>
      <c r="H64" s="8"/>
      <c r="I64" s="11" t="str">
        <f aca="false">IF($C64="","",D64-E64)</f>
        <v/>
      </c>
      <c r="J64" s="11" t="str">
        <f aca="false">IF($C64="","",I64-F64)</f>
        <v/>
      </c>
      <c r="K64" s="12" t="str">
        <f aca="false">IF($C64="","",IFERROR(INDEX(Setup!$B$5:$B$24,MATCH($C64,Setup!$A$5:$A$24,0)),""))</f>
        <v/>
      </c>
      <c r="L64" s="12" t="str">
        <f aca="false">IF(OR($C64="",K64=""),"",K64*G64/60)</f>
        <v/>
      </c>
      <c r="M64" s="11" t="str">
        <f aca="false">IF($C64="","",G64-H64)</f>
        <v/>
      </c>
      <c r="N64" s="13" t="str">
        <f aca="false">IF($C64="","",IF(I64&lt;=0,"",J64/I64))</f>
        <v/>
      </c>
      <c r="O64" s="13" t="str">
        <f aca="false">IF($C64="","",IF(OR(L64="",J64&lt;=0),"",L64/J64))</f>
        <v/>
      </c>
      <c r="P64" s="13" t="str">
        <f aca="false">IF($C64="","",IF(G64&lt;=0,"",M64/G64))</f>
        <v/>
      </c>
      <c r="Q64" s="13" t="str">
        <f aca="false">IF(OR(N64="",O64="",P64=""),"",N64*O64*P64)</f>
        <v/>
      </c>
      <c r="R64" s="14" t="str">
        <f aca="false">IF($C64="","",IF(K64="","Machine not in Setup",IF(H64&gt;G64,"Rejects &gt; total parts",IF(J64&lt;0,"Downtime &gt; planned time",IF(AND(ISNUMBER(O64),O64&gt;1.05),"Performance &gt; 100%: check cycle time or counts","OK")))))</f>
        <v/>
      </c>
    </row>
    <row r="65" customFormat="false" ht="15" hidden="false" customHeight="false" outlineLevel="0" collapsed="false">
      <c r="A65" s="10"/>
      <c r="B65" s="8"/>
      <c r="C65" s="8"/>
      <c r="D65" s="8"/>
      <c r="E65" s="8"/>
      <c r="F65" s="8"/>
      <c r="G65" s="8"/>
      <c r="H65" s="8"/>
      <c r="I65" s="11" t="str">
        <f aca="false">IF($C65="","",D65-E65)</f>
        <v/>
      </c>
      <c r="J65" s="11" t="str">
        <f aca="false">IF($C65="","",I65-F65)</f>
        <v/>
      </c>
      <c r="K65" s="12" t="str">
        <f aca="false">IF($C65="","",IFERROR(INDEX(Setup!$B$5:$B$24,MATCH($C65,Setup!$A$5:$A$24,0)),""))</f>
        <v/>
      </c>
      <c r="L65" s="12" t="str">
        <f aca="false">IF(OR($C65="",K65=""),"",K65*G65/60)</f>
        <v/>
      </c>
      <c r="M65" s="11" t="str">
        <f aca="false">IF($C65="","",G65-H65)</f>
        <v/>
      </c>
      <c r="N65" s="13" t="str">
        <f aca="false">IF($C65="","",IF(I65&lt;=0,"",J65/I65))</f>
        <v/>
      </c>
      <c r="O65" s="13" t="str">
        <f aca="false">IF($C65="","",IF(OR(L65="",J65&lt;=0),"",L65/J65))</f>
        <v/>
      </c>
      <c r="P65" s="13" t="str">
        <f aca="false">IF($C65="","",IF(G65&lt;=0,"",M65/G65))</f>
        <v/>
      </c>
      <c r="Q65" s="13" t="str">
        <f aca="false">IF(OR(N65="",O65="",P65=""),"",N65*O65*P65)</f>
        <v/>
      </c>
      <c r="R65" s="14" t="str">
        <f aca="false">IF($C65="","",IF(K65="","Machine not in Setup",IF(H65&gt;G65,"Rejects &gt; total parts",IF(J65&lt;0,"Downtime &gt; planned time",IF(AND(ISNUMBER(O65),O65&gt;1.05),"Performance &gt; 100%: check cycle time or counts","OK")))))</f>
        <v/>
      </c>
    </row>
    <row r="66" customFormat="false" ht="15" hidden="false" customHeight="false" outlineLevel="0" collapsed="false">
      <c r="A66" s="10"/>
      <c r="B66" s="8"/>
      <c r="C66" s="8"/>
      <c r="D66" s="8"/>
      <c r="E66" s="8"/>
      <c r="F66" s="8"/>
      <c r="G66" s="8"/>
      <c r="H66" s="8"/>
      <c r="I66" s="11" t="str">
        <f aca="false">IF($C66="","",D66-E66)</f>
        <v/>
      </c>
      <c r="J66" s="11" t="str">
        <f aca="false">IF($C66="","",I66-F66)</f>
        <v/>
      </c>
      <c r="K66" s="12" t="str">
        <f aca="false">IF($C66="","",IFERROR(INDEX(Setup!$B$5:$B$24,MATCH($C66,Setup!$A$5:$A$24,0)),""))</f>
        <v/>
      </c>
      <c r="L66" s="12" t="str">
        <f aca="false">IF(OR($C66="",K66=""),"",K66*G66/60)</f>
        <v/>
      </c>
      <c r="M66" s="11" t="str">
        <f aca="false">IF($C66="","",G66-H66)</f>
        <v/>
      </c>
      <c r="N66" s="13" t="str">
        <f aca="false">IF($C66="","",IF(I66&lt;=0,"",J66/I66))</f>
        <v/>
      </c>
      <c r="O66" s="13" t="str">
        <f aca="false">IF($C66="","",IF(OR(L66="",J66&lt;=0),"",L66/J66))</f>
        <v/>
      </c>
      <c r="P66" s="13" t="str">
        <f aca="false">IF($C66="","",IF(G66&lt;=0,"",M66/G66))</f>
        <v/>
      </c>
      <c r="Q66" s="13" t="str">
        <f aca="false">IF(OR(N66="",O66="",P66=""),"",N66*O66*P66)</f>
        <v/>
      </c>
      <c r="R66" s="14" t="str">
        <f aca="false">IF($C66="","",IF(K66="","Machine not in Setup",IF(H66&gt;G66,"Rejects &gt; total parts",IF(J66&lt;0,"Downtime &gt; planned time",IF(AND(ISNUMBER(O66),O66&gt;1.05),"Performance &gt; 100%: check cycle time or counts","OK")))))</f>
        <v/>
      </c>
    </row>
    <row r="67" customFormat="false" ht="15" hidden="false" customHeight="false" outlineLevel="0" collapsed="false">
      <c r="A67" s="10"/>
      <c r="B67" s="8"/>
      <c r="C67" s="8"/>
      <c r="D67" s="8"/>
      <c r="E67" s="8"/>
      <c r="F67" s="8"/>
      <c r="G67" s="8"/>
      <c r="H67" s="8"/>
      <c r="I67" s="11" t="str">
        <f aca="false">IF($C67="","",D67-E67)</f>
        <v/>
      </c>
      <c r="J67" s="11" t="str">
        <f aca="false">IF($C67="","",I67-F67)</f>
        <v/>
      </c>
      <c r="K67" s="12" t="str">
        <f aca="false">IF($C67="","",IFERROR(INDEX(Setup!$B$5:$B$24,MATCH($C67,Setup!$A$5:$A$24,0)),""))</f>
        <v/>
      </c>
      <c r="L67" s="12" t="str">
        <f aca="false">IF(OR($C67="",K67=""),"",K67*G67/60)</f>
        <v/>
      </c>
      <c r="M67" s="11" t="str">
        <f aca="false">IF($C67="","",G67-H67)</f>
        <v/>
      </c>
      <c r="N67" s="13" t="str">
        <f aca="false">IF($C67="","",IF(I67&lt;=0,"",J67/I67))</f>
        <v/>
      </c>
      <c r="O67" s="13" t="str">
        <f aca="false">IF($C67="","",IF(OR(L67="",J67&lt;=0),"",L67/J67))</f>
        <v/>
      </c>
      <c r="P67" s="13" t="str">
        <f aca="false">IF($C67="","",IF(G67&lt;=0,"",M67/G67))</f>
        <v/>
      </c>
      <c r="Q67" s="13" t="str">
        <f aca="false">IF(OR(N67="",O67="",P67=""),"",N67*O67*P67)</f>
        <v/>
      </c>
      <c r="R67" s="14" t="str">
        <f aca="false">IF($C67="","",IF(K67="","Machine not in Setup",IF(H67&gt;G67,"Rejects &gt; total parts",IF(J67&lt;0,"Downtime &gt; planned time",IF(AND(ISNUMBER(O67),O67&gt;1.05),"Performance &gt; 100%: check cycle time or counts","OK")))))</f>
        <v/>
      </c>
    </row>
    <row r="68" customFormat="false" ht="15" hidden="false" customHeight="false" outlineLevel="0" collapsed="false">
      <c r="A68" s="10"/>
      <c r="B68" s="8"/>
      <c r="C68" s="8"/>
      <c r="D68" s="8"/>
      <c r="E68" s="8"/>
      <c r="F68" s="8"/>
      <c r="G68" s="8"/>
      <c r="H68" s="8"/>
      <c r="I68" s="11" t="str">
        <f aca="false">IF($C68="","",D68-E68)</f>
        <v/>
      </c>
      <c r="J68" s="11" t="str">
        <f aca="false">IF($C68="","",I68-F68)</f>
        <v/>
      </c>
      <c r="K68" s="12" t="str">
        <f aca="false">IF($C68="","",IFERROR(INDEX(Setup!$B$5:$B$24,MATCH($C68,Setup!$A$5:$A$24,0)),""))</f>
        <v/>
      </c>
      <c r="L68" s="12" t="str">
        <f aca="false">IF(OR($C68="",K68=""),"",K68*G68/60)</f>
        <v/>
      </c>
      <c r="M68" s="11" t="str">
        <f aca="false">IF($C68="","",G68-H68)</f>
        <v/>
      </c>
      <c r="N68" s="13" t="str">
        <f aca="false">IF($C68="","",IF(I68&lt;=0,"",J68/I68))</f>
        <v/>
      </c>
      <c r="O68" s="13" t="str">
        <f aca="false">IF($C68="","",IF(OR(L68="",J68&lt;=0),"",L68/J68))</f>
        <v/>
      </c>
      <c r="P68" s="13" t="str">
        <f aca="false">IF($C68="","",IF(G68&lt;=0,"",M68/G68))</f>
        <v/>
      </c>
      <c r="Q68" s="13" t="str">
        <f aca="false">IF(OR(N68="",O68="",P68=""),"",N68*O68*P68)</f>
        <v/>
      </c>
      <c r="R68" s="14" t="str">
        <f aca="false">IF($C68="","",IF(K68="","Machine not in Setup",IF(H68&gt;G68,"Rejects &gt; total parts",IF(J68&lt;0,"Downtime &gt; planned time",IF(AND(ISNUMBER(O68),O68&gt;1.05),"Performance &gt; 100%: check cycle time or counts","OK")))))</f>
        <v/>
      </c>
    </row>
    <row r="69" customFormat="false" ht="15" hidden="false" customHeight="false" outlineLevel="0" collapsed="false">
      <c r="A69" s="10"/>
      <c r="B69" s="8"/>
      <c r="C69" s="8"/>
      <c r="D69" s="8"/>
      <c r="E69" s="8"/>
      <c r="F69" s="8"/>
      <c r="G69" s="8"/>
      <c r="H69" s="8"/>
      <c r="I69" s="11" t="str">
        <f aca="false">IF($C69="","",D69-E69)</f>
        <v/>
      </c>
      <c r="J69" s="11" t="str">
        <f aca="false">IF($C69="","",I69-F69)</f>
        <v/>
      </c>
      <c r="K69" s="12" t="str">
        <f aca="false">IF($C69="","",IFERROR(INDEX(Setup!$B$5:$B$24,MATCH($C69,Setup!$A$5:$A$24,0)),""))</f>
        <v/>
      </c>
      <c r="L69" s="12" t="str">
        <f aca="false">IF(OR($C69="",K69=""),"",K69*G69/60)</f>
        <v/>
      </c>
      <c r="M69" s="11" t="str">
        <f aca="false">IF($C69="","",G69-H69)</f>
        <v/>
      </c>
      <c r="N69" s="13" t="str">
        <f aca="false">IF($C69="","",IF(I69&lt;=0,"",J69/I69))</f>
        <v/>
      </c>
      <c r="O69" s="13" t="str">
        <f aca="false">IF($C69="","",IF(OR(L69="",J69&lt;=0),"",L69/J69))</f>
        <v/>
      </c>
      <c r="P69" s="13" t="str">
        <f aca="false">IF($C69="","",IF(G69&lt;=0,"",M69/G69))</f>
        <v/>
      </c>
      <c r="Q69" s="13" t="str">
        <f aca="false">IF(OR(N69="",O69="",P69=""),"",N69*O69*P69)</f>
        <v/>
      </c>
      <c r="R69" s="14" t="str">
        <f aca="false">IF($C69="","",IF(K69="","Machine not in Setup",IF(H69&gt;G69,"Rejects &gt; total parts",IF(J69&lt;0,"Downtime &gt; planned time",IF(AND(ISNUMBER(O69),O69&gt;1.05),"Performance &gt; 100%: check cycle time or counts","OK")))))</f>
        <v/>
      </c>
    </row>
    <row r="70" customFormat="false" ht="15" hidden="false" customHeight="false" outlineLevel="0" collapsed="false">
      <c r="A70" s="10"/>
      <c r="B70" s="8"/>
      <c r="C70" s="8"/>
      <c r="D70" s="8"/>
      <c r="E70" s="8"/>
      <c r="F70" s="8"/>
      <c r="G70" s="8"/>
      <c r="H70" s="8"/>
      <c r="I70" s="11" t="str">
        <f aca="false">IF($C70="","",D70-E70)</f>
        <v/>
      </c>
      <c r="J70" s="11" t="str">
        <f aca="false">IF($C70="","",I70-F70)</f>
        <v/>
      </c>
      <c r="K70" s="12" t="str">
        <f aca="false">IF($C70="","",IFERROR(INDEX(Setup!$B$5:$B$24,MATCH($C70,Setup!$A$5:$A$24,0)),""))</f>
        <v/>
      </c>
      <c r="L70" s="12" t="str">
        <f aca="false">IF(OR($C70="",K70=""),"",K70*G70/60)</f>
        <v/>
      </c>
      <c r="M70" s="11" t="str">
        <f aca="false">IF($C70="","",G70-H70)</f>
        <v/>
      </c>
      <c r="N70" s="13" t="str">
        <f aca="false">IF($C70="","",IF(I70&lt;=0,"",J70/I70))</f>
        <v/>
      </c>
      <c r="O70" s="13" t="str">
        <f aca="false">IF($C70="","",IF(OR(L70="",J70&lt;=0),"",L70/J70))</f>
        <v/>
      </c>
      <c r="P70" s="13" t="str">
        <f aca="false">IF($C70="","",IF(G70&lt;=0,"",M70/G70))</f>
        <v/>
      </c>
      <c r="Q70" s="13" t="str">
        <f aca="false">IF(OR(N70="",O70="",P70=""),"",N70*O70*P70)</f>
        <v/>
      </c>
      <c r="R70" s="14" t="str">
        <f aca="false">IF($C70="","",IF(K70="","Machine not in Setup",IF(H70&gt;G70,"Rejects &gt; total parts",IF(J70&lt;0,"Downtime &gt; planned time",IF(AND(ISNUMBER(O70),O70&gt;1.05),"Performance &gt; 100%: check cycle time or counts","OK")))))</f>
        <v/>
      </c>
    </row>
    <row r="71" customFormat="false" ht="15" hidden="false" customHeight="false" outlineLevel="0" collapsed="false">
      <c r="A71" s="10"/>
      <c r="B71" s="8"/>
      <c r="C71" s="8"/>
      <c r="D71" s="8"/>
      <c r="E71" s="8"/>
      <c r="F71" s="8"/>
      <c r="G71" s="8"/>
      <c r="H71" s="8"/>
      <c r="I71" s="11" t="str">
        <f aca="false">IF($C71="","",D71-E71)</f>
        <v/>
      </c>
      <c r="J71" s="11" t="str">
        <f aca="false">IF($C71="","",I71-F71)</f>
        <v/>
      </c>
      <c r="K71" s="12" t="str">
        <f aca="false">IF($C71="","",IFERROR(INDEX(Setup!$B$5:$B$24,MATCH($C71,Setup!$A$5:$A$24,0)),""))</f>
        <v/>
      </c>
      <c r="L71" s="12" t="str">
        <f aca="false">IF(OR($C71="",K71=""),"",K71*G71/60)</f>
        <v/>
      </c>
      <c r="M71" s="11" t="str">
        <f aca="false">IF($C71="","",G71-H71)</f>
        <v/>
      </c>
      <c r="N71" s="13" t="str">
        <f aca="false">IF($C71="","",IF(I71&lt;=0,"",J71/I71))</f>
        <v/>
      </c>
      <c r="O71" s="13" t="str">
        <f aca="false">IF($C71="","",IF(OR(L71="",J71&lt;=0),"",L71/J71))</f>
        <v/>
      </c>
      <c r="P71" s="13" t="str">
        <f aca="false">IF($C71="","",IF(G71&lt;=0,"",M71/G71))</f>
        <v/>
      </c>
      <c r="Q71" s="13" t="str">
        <f aca="false">IF(OR(N71="",O71="",P71=""),"",N71*O71*P71)</f>
        <v/>
      </c>
      <c r="R71" s="14" t="str">
        <f aca="false">IF($C71="","",IF(K71="","Machine not in Setup",IF(H71&gt;G71,"Rejects &gt; total parts",IF(J71&lt;0,"Downtime &gt; planned time",IF(AND(ISNUMBER(O71),O71&gt;1.05),"Performance &gt; 100%: check cycle time or counts","OK")))))</f>
        <v/>
      </c>
    </row>
    <row r="72" customFormat="false" ht="15" hidden="false" customHeight="false" outlineLevel="0" collapsed="false">
      <c r="A72" s="10"/>
      <c r="B72" s="8"/>
      <c r="C72" s="8"/>
      <c r="D72" s="8"/>
      <c r="E72" s="8"/>
      <c r="F72" s="8"/>
      <c r="G72" s="8"/>
      <c r="H72" s="8"/>
      <c r="I72" s="11" t="str">
        <f aca="false">IF($C72="","",D72-E72)</f>
        <v/>
      </c>
      <c r="J72" s="11" t="str">
        <f aca="false">IF($C72="","",I72-F72)</f>
        <v/>
      </c>
      <c r="K72" s="12" t="str">
        <f aca="false">IF($C72="","",IFERROR(INDEX(Setup!$B$5:$B$24,MATCH($C72,Setup!$A$5:$A$24,0)),""))</f>
        <v/>
      </c>
      <c r="L72" s="12" t="str">
        <f aca="false">IF(OR($C72="",K72=""),"",K72*G72/60)</f>
        <v/>
      </c>
      <c r="M72" s="11" t="str">
        <f aca="false">IF($C72="","",G72-H72)</f>
        <v/>
      </c>
      <c r="N72" s="13" t="str">
        <f aca="false">IF($C72="","",IF(I72&lt;=0,"",J72/I72))</f>
        <v/>
      </c>
      <c r="O72" s="13" t="str">
        <f aca="false">IF($C72="","",IF(OR(L72="",J72&lt;=0),"",L72/J72))</f>
        <v/>
      </c>
      <c r="P72" s="13" t="str">
        <f aca="false">IF($C72="","",IF(G72&lt;=0,"",M72/G72))</f>
        <v/>
      </c>
      <c r="Q72" s="13" t="str">
        <f aca="false">IF(OR(N72="",O72="",P72=""),"",N72*O72*P72)</f>
        <v/>
      </c>
      <c r="R72" s="14" t="str">
        <f aca="false">IF($C72="","",IF(K72="","Machine not in Setup",IF(H72&gt;G72,"Rejects &gt; total parts",IF(J72&lt;0,"Downtime &gt; planned time",IF(AND(ISNUMBER(O72),O72&gt;1.05),"Performance &gt; 100%: check cycle time or counts","OK")))))</f>
        <v/>
      </c>
    </row>
    <row r="73" customFormat="false" ht="15" hidden="false" customHeight="false" outlineLevel="0" collapsed="false">
      <c r="A73" s="10"/>
      <c r="B73" s="8"/>
      <c r="C73" s="8"/>
      <c r="D73" s="8"/>
      <c r="E73" s="8"/>
      <c r="F73" s="8"/>
      <c r="G73" s="8"/>
      <c r="H73" s="8"/>
      <c r="I73" s="11" t="str">
        <f aca="false">IF($C73="","",D73-E73)</f>
        <v/>
      </c>
      <c r="J73" s="11" t="str">
        <f aca="false">IF($C73="","",I73-F73)</f>
        <v/>
      </c>
      <c r="K73" s="12" t="str">
        <f aca="false">IF($C73="","",IFERROR(INDEX(Setup!$B$5:$B$24,MATCH($C73,Setup!$A$5:$A$24,0)),""))</f>
        <v/>
      </c>
      <c r="L73" s="12" t="str">
        <f aca="false">IF(OR($C73="",K73=""),"",K73*G73/60)</f>
        <v/>
      </c>
      <c r="M73" s="11" t="str">
        <f aca="false">IF($C73="","",G73-H73)</f>
        <v/>
      </c>
      <c r="N73" s="13" t="str">
        <f aca="false">IF($C73="","",IF(I73&lt;=0,"",J73/I73))</f>
        <v/>
      </c>
      <c r="O73" s="13" t="str">
        <f aca="false">IF($C73="","",IF(OR(L73="",J73&lt;=0),"",L73/J73))</f>
        <v/>
      </c>
      <c r="P73" s="13" t="str">
        <f aca="false">IF($C73="","",IF(G73&lt;=0,"",M73/G73))</f>
        <v/>
      </c>
      <c r="Q73" s="13" t="str">
        <f aca="false">IF(OR(N73="",O73="",P73=""),"",N73*O73*P73)</f>
        <v/>
      </c>
      <c r="R73" s="14" t="str">
        <f aca="false">IF($C73="","",IF(K73="","Machine not in Setup",IF(H73&gt;G73,"Rejects &gt; total parts",IF(J73&lt;0,"Downtime &gt; planned time",IF(AND(ISNUMBER(O73),O73&gt;1.05),"Performance &gt; 100%: check cycle time or counts","OK")))))</f>
        <v/>
      </c>
    </row>
    <row r="74" customFormat="false" ht="15" hidden="false" customHeight="false" outlineLevel="0" collapsed="false">
      <c r="A74" s="10"/>
      <c r="B74" s="8"/>
      <c r="C74" s="8"/>
      <c r="D74" s="8"/>
      <c r="E74" s="8"/>
      <c r="F74" s="8"/>
      <c r="G74" s="8"/>
      <c r="H74" s="8"/>
      <c r="I74" s="11" t="str">
        <f aca="false">IF($C74="","",D74-E74)</f>
        <v/>
      </c>
      <c r="J74" s="11" t="str">
        <f aca="false">IF($C74="","",I74-F74)</f>
        <v/>
      </c>
      <c r="K74" s="12" t="str">
        <f aca="false">IF($C74="","",IFERROR(INDEX(Setup!$B$5:$B$24,MATCH($C74,Setup!$A$5:$A$24,0)),""))</f>
        <v/>
      </c>
      <c r="L74" s="12" t="str">
        <f aca="false">IF(OR($C74="",K74=""),"",K74*G74/60)</f>
        <v/>
      </c>
      <c r="M74" s="11" t="str">
        <f aca="false">IF($C74="","",G74-H74)</f>
        <v/>
      </c>
      <c r="N74" s="13" t="str">
        <f aca="false">IF($C74="","",IF(I74&lt;=0,"",J74/I74))</f>
        <v/>
      </c>
      <c r="O74" s="13" t="str">
        <f aca="false">IF($C74="","",IF(OR(L74="",J74&lt;=0),"",L74/J74))</f>
        <v/>
      </c>
      <c r="P74" s="13" t="str">
        <f aca="false">IF($C74="","",IF(G74&lt;=0,"",M74/G74))</f>
        <v/>
      </c>
      <c r="Q74" s="13" t="str">
        <f aca="false">IF(OR(N74="",O74="",P74=""),"",N74*O74*P74)</f>
        <v/>
      </c>
      <c r="R74" s="14" t="str">
        <f aca="false">IF($C74="","",IF(K74="","Machine not in Setup",IF(H74&gt;G74,"Rejects &gt; total parts",IF(J74&lt;0,"Downtime &gt; planned time",IF(AND(ISNUMBER(O74),O74&gt;1.05),"Performance &gt; 100%: check cycle time or counts","OK")))))</f>
        <v/>
      </c>
    </row>
    <row r="75" customFormat="false" ht="15" hidden="false" customHeight="false" outlineLevel="0" collapsed="false">
      <c r="A75" s="10"/>
      <c r="B75" s="8"/>
      <c r="C75" s="8"/>
      <c r="D75" s="8"/>
      <c r="E75" s="8"/>
      <c r="F75" s="8"/>
      <c r="G75" s="8"/>
      <c r="H75" s="8"/>
      <c r="I75" s="11" t="str">
        <f aca="false">IF($C75="","",D75-E75)</f>
        <v/>
      </c>
      <c r="J75" s="11" t="str">
        <f aca="false">IF($C75="","",I75-F75)</f>
        <v/>
      </c>
      <c r="K75" s="12" t="str">
        <f aca="false">IF($C75="","",IFERROR(INDEX(Setup!$B$5:$B$24,MATCH($C75,Setup!$A$5:$A$24,0)),""))</f>
        <v/>
      </c>
      <c r="L75" s="12" t="str">
        <f aca="false">IF(OR($C75="",K75=""),"",K75*G75/60)</f>
        <v/>
      </c>
      <c r="M75" s="11" t="str">
        <f aca="false">IF($C75="","",G75-H75)</f>
        <v/>
      </c>
      <c r="N75" s="13" t="str">
        <f aca="false">IF($C75="","",IF(I75&lt;=0,"",J75/I75))</f>
        <v/>
      </c>
      <c r="O75" s="13" t="str">
        <f aca="false">IF($C75="","",IF(OR(L75="",J75&lt;=0),"",L75/J75))</f>
        <v/>
      </c>
      <c r="P75" s="13" t="str">
        <f aca="false">IF($C75="","",IF(G75&lt;=0,"",M75/G75))</f>
        <v/>
      </c>
      <c r="Q75" s="13" t="str">
        <f aca="false">IF(OR(N75="",O75="",P75=""),"",N75*O75*P75)</f>
        <v/>
      </c>
      <c r="R75" s="14" t="str">
        <f aca="false">IF($C75="","",IF(K75="","Machine not in Setup",IF(H75&gt;G75,"Rejects &gt; total parts",IF(J75&lt;0,"Downtime &gt; planned time",IF(AND(ISNUMBER(O75),O75&gt;1.05),"Performance &gt; 100%: check cycle time or counts","OK")))))</f>
        <v/>
      </c>
    </row>
    <row r="76" customFormat="false" ht="15" hidden="false" customHeight="false" outlineLevel="0" collapsed="false">
      <c r="A76" s="10"/>
      <c r="B76" s="8"/>
      <c r="C76" s="8"/>
      <c r="D76" s="8"/>
      <c r="E76" s="8"/>
      <c r="F76" s="8"/>
      <c r="G76" s="8"/>
      <c r="H76" s="8"/>
      <c r="I76" s="11" t="str">
        <f aca="false">IF($C76="","",D76-E76)</f>
        <v/>
      </c>
      <c r="J76" s="11" t="str">
        <f aca="false">IF($C76="","",I76-F76)</f>
        <v/>
      </c>
      <c r="K76" s="12" t="str">
        <f aca="false">IF($C76="","",IFERROR(INDEX(Setup!$B$5:$B$24,MATCH($C76,Setup!$A$5:$A$24,0)),""))</f>
        <v/>
      </c>
      <c r="L76" s="12" t="str">
        <f aca="false">IF(OR($C76="",K76=""),"",K76*G76/60)</f>
        <v/>
      </c>
      <c r="M76" s="11" t="str">
        <f aca="false">IF($C76="","",G76-H76)</f>
        <v/>
      </c>
      <c r="N76" s="13" t="str">
        <f aca="false">IF($C76="","",IF(I76&lt;=0,"",J76/I76))</f>
        <v/>
      </c>
      <c r="O76" s="13" t="str">
        <f aca="false">IF($C76="","",IF(OR(L76="",J76&lt;=0),"",L76/J76))</f>
        <v/>
      </c>
      <c r="P76" s="13" t="str">
        <f aca="false">IF($C76="","",IF(G76&lt;=0,"",M76/G76))</f>
        <v/>
      </c>
      <c r="Q76" s="13" t="str">
        <f aca="false">IF(OR(N76="",O76="",P76=""),"",N76*O76*P76)</f>
        <v/>
      </c>
      <c r="R76" s="14" t="str">
        <f aca="false">IF($C76="","",IF(K76="","Machine not in Setup",IF(H76&gt;G76,"Rejects &gt; total parts",IF(J76&lt;0,"Downtime &gt; planned time",IF(AND(ISNUMBER(O76),O76&gt;1.05),"Performance &gt; 100%: check cycle time or counts","OK")))))</f>
        <v/>
      </c>
    </row>
    <row r="77" customFormat="false" ht="15" hidden="false" customHeight="false" outlineLevel="0" collapsed="false">
      <c r="A77" s="10"/>
      <c r="B77" s="8"/>
      <c r="C77" s="8"/>
      <c r="D77" s="8"/>
      <c r="E77" s="8"/>
      <c r="F77" s="8"/>
      <c r="G77" s="8"/>
      <c r="H77" s="8"/>
      <c r="I77" s="11" t="str">
        <f aca="false">IF($C77="","",D77-E77)</f>
        <v/>
      </c>
      <c r="J77" s="11" t="str">
        <f aca="false">IF($C77="","",I77-F77)</f>
        <v/>
      </c>
      <c r="K77" s="12" t="str">
        <f aca="false">IF($C77="","",IFERROR(INDEX(Setup!$B$5:$B$24,MATCH($C77,Setup!$A$5:$A$24,0)),""))</f>
        <v/>
      </c>
      <c r="L77" s="12" t="str">
        <f aca="false">IF(OR($C77="",K77=""),"",K77*G77/60)</f>
        <v/>
      </c>
      <c r="M77" s="11" t="str">
        <f aca="false">IF($C77="","",G77-H77)</f>
        <v/>
      </c>
      <c r="N77" s="13" t="str">
        <f aca="false">IF($C77="","",IF(I77&lt;=0,"",J77/I77))</f>
        <v/>
      </c>
      <c r="O77" s="13" t="str">
        <f aca="false">IF($C77="","",IF(OR(L77="",J77&lt;=0),"",L77/J77))</f>
        <v/>
      </c>
      <c r="P77" s="13" t="str">
        <f aca="false">IF($C77="","",IF(G77&lt;=0,"",M77/G77))</f>
        <v/>
      </c>
      <c r="Q77" s="13" t="str">
        <f aca="false">IF(OR(N77="",O77="",P77=""),"",N77*O77*P77)</f>
        <v/>
      </c>
      <c r="R77" s="14" t="str">
        <f aca="false">IF($C77="","",IF(K77="","Machine not in Setup",IF(H77&gt;G77,"Rejects &gt; total parts",IF(J77&lt;0,"Downtime &gt; planned time",IF(AND(ISNUMBER(O77),O77&gt;1.05),"Performance &gt; 100%: check cycle time or counts","OK")))))</f>
        <v/>
      </c>
    </row>
    <row r="78" customFormat="false" ht="15" hidden="false" customHeight="false" outlineLevel="0" collapsed="false">
      <c r="A78" s="10"/>
      <c r="B78" s="8"/>
      <c r="C78" s="8"/>
      <c r="D78" s="8"/>
      <c r="E78" s="8"/>
      <c r="F78" s="8"/>
      <c r="G78" s="8"/>
      <c r="H78" s="8"/>
      <c r="I78" s="11" t="str">
        <f aca="false">IF($C78="","",D78-E78)</f>
        <v/>
      </c>
      <c r="J78" s="11" t="str">
        <f aca="false">IF($C78="","",I78-F78)</f>
        <v/>
      </c>
      <c r="K78" s="12" t="str">
        <f aca="false">IF($C78="","",IFERROR(INDEX(Setup!$B$5:$B$24,MATCH($C78,Setup!$A$5:$A$24,0)),""))</f>
        <v/>
      </c>
      <c r="L78" s="12" t="str">
        <f aca="false">IF(OR($C78="",K78=""),"",K78*G78/60)</f>
        <v/>
      </c>
      <c r="M78" s="11" t="str">
        <f aca="false">IF($C78="","",G78-H78)</f>
        <v/>
      </c>
      <c r="N78" s="13" t="str">
        <f aca="false">IF($C78="","",IF(I78&lt;=0,"",J78/I78))</f>
        <v/>
      </c>
      <c r="O78" s="13" t="str">
        <f aca="false">IF($C78="","",IF(OR(L78="",J78&lt;=0),"",L78/J78))</f>
        <v/>
      </c>
      <c r="P78" s="13" t="str">
        <f aca="false">IF($C78="","",IF(G78&lt;=0,"",M78/G78))</f>
        <v/>
      </c>
      <c r="Q78" s="13" t="str">
        <f aca="false">IF(OR(N78="",O78="",P78=""),"",N78*O78*P78)</f>
        <v/>
      </c>
      <c r="R78" s="14" t="str">
        <f aca="false">IF($C78="","",IF(K78="","Machine not in Setup",IF(H78&gt;G78,"Rejects &gt; total parts",IF(J78&lt;0,"Downtime &gt; planned time",IF(AND(ISNUMBER(O78),O78&gt;1.05),"Performance &gt; 100%: check cycle time or counts","OK")))))</f>
        <v/>
      </c>
    </row>
    <row r="79" customFormat="false" ht="15" hidden="false" customHeight="false" outlineLevel="0" collapsed="false">
      <c r="A79" s="10"/>
      <c r="B79" s="8"/>
      <c r="C79" s="8"/>
      <c r="D79" s="8"/>
      <c r="E79" s="8"/>
      <c r="F79" s="8"/>
      <c r="G79" s="8"/>
      <c r="H79" s="8"/>
      <c r="I79" s="11" t="str">
        <f aca="false">IF($C79="","",D79-E79)</f>
        <v/>
      </c>
      <c r="J79" s="11" t="str">
        <f aca="false">IF($C79="","",I79-F79)</f>
        <v/>
      </c>
      <c r="K79" s="12" t="str">
        <f aca="false">IF($C79="","",IFERROR(INDEX(Setup!$B$5:$B$24,MATCH($C79,Setup!$A$5:$A$24,0)),""))</f>
        <v/>
      </c>
      <c r="L79" s="12" t="str">
        <f aca="false">IF(OR($C79="",K79=""),"",K79*G79/60)</f>
        <v/>
      </c>
      <c r="M79" s="11" t="str">
        <f aca="false">IF($C79="","",G79-H79)</f>
        <v/>
      </c>
      <c r="N79" s="13" t="str">
        <f aca="false">IF($C79="","",IF(I79&lt;=0,"",J79/I79))</f>
        <v/>
      </c>
      <c r="O79" s="13" t="str">
        <f aca="false">IF($C79="","",IF(OR(L79="",J79&lt;=0),"",L79/J79))</f>
        <v/>
      </c>
      <c r="P79" s="13" t="str">
        <f aca="false">IF($C79="","",IF(G79&lt;=0,"",M79/G79))</f>
        <v/>
      </c>
      <c r="Q79" s="13" t="str">
        <f aca="false">IF(OR(N79="",O79="",P79=""),"",N79*O79*P79)</f>
        <v/>
      </c>
      <c r="R79" s="14" t="str">
        <f aca="false">IF($C79="","",IF(K79="","Machine not in Setup",IF(H79&gt;G79,"Rejects &gt; total parts",IF(J79&lt;0,"Downtime &gt; planned time",IF(AND(ISNUMBER(O79),O79&gt;1.05),"Performance &gt; 100%: check cycle time or counts","OK")))))</f>
        <v/>
      </c>
    </row>
    <row r="80" customFormat="false" ht="15" hidden="false" customHeight="false" outlineLevel="0" collapsed="false">
      <c r="A80" s="10"/>
      <c r="B80" s="8"/>
      <c r="C80" s="8"/>
      <c r="D80" s="8"/>
      <c r="E80" s="8"/>
      <c r="F80" s="8"/>
      <c r="G80" s="8"/>
      <c r="H80" s="8"/>
      <c r="I80" s="11" t="str">
        <f aca="false">IF($C80="","",D80-E80)</f>
        <v/>
      </c>
      <c r="J80" s="11" t="str">
        <f aca="false">IF($C80="","",I80-F80)</f>
        <v/>
      </c>
      <c r="K80" s="12" t="str">
        <f aca="false">IF($C80="","",IFERROR(INDEX(Setup!$B$5:$B$24,MATCH($C80,Setup!$A$5:$A$24,0)),""))</f>
        <v/>
      </c>
      <c r="L80" s="12" t="str">
        <f aca="false">IF(OR($C80="",K80=""),"",K80*G80/60)</f>
        <v/>
      </c>
      <c r="M80" s="11" t="str">
        <f aca="false">IF($C80="","",G80-H80)</f>
        <v/>
      </c>
      <c r="N80" s="13" t="str">
        <f aca="false">IF($C80="","",IF(I80&lt;=0,"",J80/I80))</f>
        <v/>
      </c>
      <c r="O80" s="13" t="str">
        <f aca="false">IF($C80="","",IF(OR(L80="",J80&lt;=0),"",L80/J80))</f>
        <v/>
      </c>
      <c r="P80" s="13" t="str">
        <f aca="false">IF($C80="","",IF(G80&lt;=0,"",M80/G80))</f>
        <v/>
      </c>
      <c r="Q80" s="13" t="str">
        <f aca="false">IF(OR(N80="",O80="",P80=""),"",N80*O80*P80)</f>
        <v/>
      </c>
      <c r="R80" s="14" t="str">
        <f aca="false">IF($C80="","",IF(K80="","Machine not in Setup",IF(H80&gt;G80,"Rejects &gt; total parts",IF(J80&lt;0,"Downtime &gt; planned time",IF(AND(ISNUMBER(O80),O80&gt;1.05),"Performance &gt; 100%: check cycle time or counts","OK")))))</f>
        <v/>
      </c>
    </row>
    <row r="81" customFormat="false" ht="15" hidden="false" customHeight="false" outlineLevel="0" collapsed="false">
      <c r="A81" s="10"/>
      <c r="B81" s="8"/>
      <c r="C81" s="8"/>
      <c r="D81" s="8"/>
      <c r="E81" s="8"/>
      <c r="F81" s="8"/>
      <c r="G81" s="8"/>
      <c r="H81" s="8"/>
      <c r="I81" s="11" t="str">
        <f aca="false">IF($C81="","",D81-E81)</f>
        <v/>
      </c>
      <c r="J81" s="11" t="str">
        <f aca="false">IF($C81="","",I81-F81)</f>
        <v/>
      </c>
      <c r="K81" s="12" t="str">
        <f aca="false">IF($C81="","",IFERROR(INDEX(Setup!$B$5:$B$24,MATCH($C81,Setup!$A$5:$A$24,0)),""))</f>
        <v/>
      </c>
      <c r="L81" s="12" t="str">
        <f aca="false">IF(OR($C81="",K81=""),"",K81*G81/60)</f>
        <v/>
      </c>
      <c r="M81" s="11" t="str">
        <f aca="false">IF($C81="","",G81-H81)</f>
        <v/>
      </c>
      <c r="N81" s="13" t="str">
        <f aca="false">IF($C81="","",IF(I81&lt;=0,"",J81/I81))</f>
        <v/>
      </c>
      <c r="O81" s="13" t="str">
        <f aca="false">IF($C81="","",IF(OR(L81="",J81&lt;=0),"",L81/J81))</f>
        <v/>
      </c>
      <c r="P81" s="13" t="str">
        <f aca="false">IF($C81="","",IF(G81&lt;=0,"",M81/G81))</f>
        <v/>
      </c>
      <c r="Q81" s="13" t="str">
        <f aca="false">IF(OR(N81="",O81="",P81=""),"",N81*O81*P81)</f>
        <v/>
      </c>
      <c r="R81" s="14" t="str">
        <f aca="false">IF($C81="","",IF(K81="","Machine not in Setup",IF(H81&gt;G81,"Rejects &gt; total parts",IF(J81&lt;0,"Downtime &gt; planned time",IF(AND(ISNUMBER(O81),O81&gt;1.05),"Performance &gt; 100%: check cycle time or counts","OK")))))</f>
        <v/>
      </c>
    </row>
    <row r="82" customFormat="false" ht="15" hidden="false" customHeight="false" outlineLevel="0" collapsed="false">
      <c r="A82" s="10"/>
      <c r="B82" s="8"/>
      <c r="C82" s="8"/>
      <c r="D82" s="8"/>
      <c r="E82" s="8"/>
      <c r="F82" s="8"/>
      <c r="G82" s="8"/>
      <c r="H82" s="8"/>
      <c r="I82" s="11" t="str">
        <f aca="false">IF($C82="","",D82-E82)</f>
        <v/>
      </c>
      <c r="J82" s="11" t="str">
        <f aca="false">IF($C82="","",I82-F82)</f>
        <v/>
      </c>
      <c r="K82" s="12" t="str">
        <f aca="false">IF($C82="","",IFERROR(INDEX(Setup!$B$5:$B$24,MATCH($C82,Setup!$A$5:$A$24,0)),""))</f>
        <v/>
      </c>
      <c r="L82" s="12" t="str">
        <f aca="false">IF(OR($C82="",K82=""),"",K82*G82/60)</f>
        <v/>
      </c>
      <c r="M82" s="11" t="str">
        <f aca="false">IF($C82="","",G82-H82)</f>
        <v/>
      </c>
      <c r="N82" s="13" t="str">
        <f aca="false">IF($C82="","",IF(I82&lt;=0,"",J82/I82))</f>
        <v/>
      </c>
      <c r="O82" s="13" t="str">
        <f aca="false">IF($C82="","",IF(OR(L82="",J82&lt;=0),"",L82/J82))</f>
        <v/>
      </c>
      <c r="P82" s="13" t="str">
        <f aca="false">IF($C82="","",IF(G82&lt;=0,"",M82/G82))</f>
        <v/>
      </c>
      <c r="Q82" s="13" t="str">
        <f aca="false">IF(OR(N82="",O82="",P82=""),"",N82*O82*P82)</f>
        <v/>
      </c>
      <c r="R82" s="14" t="str">
        <f aca="false">IF($C82="","",IF(K82="","Machine not in Setup",IF(H82&gt;G82,"Rejects &gt; total parts",IF(J82&lt;0,"Downtime &gt; planned time",IF(AND(ISNUMBER(O82),O82&gt;1.05),"Performance &gt; 100%: check cycle time or counts","OK")))))</f>
        <v/>
      </c>
    </row>
    <row r="83" customFormat="false" ht="15" hidden="false" customHeight="false" outlineLevel="0" collapsed="false">
      <c r="A83" s="10"/>
      <c r="B83" s="8"/>
      <c r="C83" s="8"/>
      <c r="D83" s="8"/>
      <c r="E83" s="8"/>
      <c r="F83" s="8"/>
      <c r="G83" s="8"/>
      <c r="H83" s="8"/>
      <c r="I83" s="11" t="str">
        <f aca="false">IF($C83="","",D83-E83)</f>
        <v/>
      </c>
      <c r="J83" s="11" t="str">
        <f aca="false">IF($C83="","",I83-F83)</f>
        <v/>
      </c>
      <c r="K83" s="12" t="str">
        <f aca="false">IF($C83="","",IFERROR(INDEX(Setup!$B$5:$B$24,MATCH($C83,Setup!$A$5:$A$24,0)),""))</f>
        <v/>
      </c>
      <c r="L83" s="12" t="str">
        <f aca="false">IF(OR($C83="",K83=""),"",K83*G83/60)</f>
        <v/>
      </c>
      <c r="M83" s="11" t="str">
        <f aca="false">IF($C83="","",G83-H83)</f>
        <v/>
      </c>
      <c r="N83" s="13" t="str">
        <f aca="false">IF($C83="","",IF(I83&lt;=0,"",J83/I83))</f>
        <v/>
      </c>
      <c r="O83" s="13" t="str">
        <f aca="false">IF($C83="","",IF(OR(L83="",J83&lt;=0),"",L83/J83))</f>
        <v/>
      </c>
      <c r="P83" s="13" t="str">
        <f aca="false">IF($C83="","",IF(G83&lt;=0,"",M83/G83))</f>
        <v/>
      </c>
      <c r="Q83" s="13" t="str">
        <f aca="false">IF(OR(N83="",O83="",P83=""),"",N83*O83*P83)</f>
        <v/>
      </c>
      <c r="R83" s="14" t="str">
        <f aca="false">IF($C83="","",IF(K83="","Machine not in Setup",IF(H83&gt;G83,"Rejects &gt; total parts",IF(J83&lt;0,"Downtime &gt; planned time",IF(AND(ISNUMBER(O83),O83&gt;1.05),"Performance &gt; 100%: check cycle time or counts","OK")))))</f>
        <v/>
      </c>
    </row>
    <row r="84" customFormat="false" ht="15" hidden="false" customHeight="false" outlineLevel="0" collapsed="false">
      <c r="A84" s="10"/>
      <c r="B84" s="8"/>
      <c r="C84" s="8"/>
      <c r="D84" s="8"/>
      <c r="E84" s="8"/>
      <c r="F84" s="8"/>
      <c r="G84" s="8"/>
      <c r="H84" s="8"/>
      <c r="I84" s="11" t="str">
        <f aca="false">IF($C84="","",D84-E84)</f>
        <v/>
      </c>
      <c r="J84" s="11" t="str">
        <f aca="false">IF($C84="","",I84-F84)</f>
        <v/>
      </c>
      <c r="K84" s="12" t="str">
        <f aca="false">IF($C84="","",IFERROR(INDEX(Setup!$B$5:$B$24,MATCH($C84,Setup!$A$5:$A$24,0)),""))</f>
        <v/>
      </c>
      <c r="L84" s="12" t="str">
        <f aca="false">IF(OR($C84="",K84=""),"",K84*G84/60)</f>
        <v/>
      </c>
      <c r="M84" s="11" t="str">
        <f aca="false">IF($C84="","",G84-H84)</f>
        <v/>
      </c>
      <c r="N84" s="13" t="str">
        <f aca="false">IF($C84="","",IF(I84&lt;=0,"",J84/I84))</f>
        <v/>
      </c>
      <c r="O84" s="13" t="str">
        <f aca="false">IF($C84="","",IF(OR(L84="",J84&lt;=0),"",L84/J84))</f>
        <v/>
      </c>
      <c r="P84" s="13" t="str">
        <f aca="false">IF($C84="","",IF(G84&lt;=0,"",M84/G84))</f>
        <v/>
      </c>
      <c r="Q84" s="13" t="str">
        <f aca="false">IF(OR(N84="",O84="",P84=""),"",N84*O84*P84)</f>
        <v/>
      </c>
      <c r="R84" s="14" t="str">
        <f aca="false">IF($C84="","",IF(K84="","Machine not in Setup",IF(H84&gt;G84,"Rejects &gt; total parts",IF(J84&lt;0,"Downtime &gt; planned time",IF(AND(ISNUMBER(O84),O84&gt;1.05),"Performance &gt; 100%: check cycle time or counts","OK")))))</f>
        <v/>
      </c>
    </row>
    <row r="85" customFormat="false" ht="15" hidden="false" customHeight="false" outlineLevel="0" collapsed="false">
      <c r="A85" s="10"/>
      <c r="B85" s="8"/>
      <c r="C85" s="8"/>
      <c r="D85" s="8"/>
      <c r="E85" s="8"/>
      <c r="F85" s="8"/>
      <c r="G85" s="8"/>
      <c r="H85" s="8"/>
      <c r="I85" s="11" t="str">
        <f aca="false">IF($C85="","",D85-E85)</f>
        <v/>
      </c>
      <c r="J85" s="11" t="str">
        <f aca="false">IF($C85="","",I85-F85)</f>
        <v/>
      </c>
      <c r="K85" s="12" t="str">
        <f aca="false">IF($C85="","",IFERROR(INDEX(Setup!$B$5:$B$24,MATCH($C85,Setup!$A$5:$A$24,0)),""))</f>
        <v/>
      </c>
      <c r="L85" s="12" t="str">
        <f aca="false">IF(OR($C85="",K85=""),"",K85*G85/60)</f>
        <v/>
      </c>
      <c r="M85" s="11" t="str">
        <f aca="false">IF($C85="","",G85-H85)</f>
        <v/>
      </c>
      <c r="N85" s="13" t="str">
        <f aca="false">IF($C85="","",IF(I85&lt;=0,"",J85/I85))</f>
        <v/>
      </c>
      <c r="O85" s="13" t="str">
        <f aca="false">IF($C85="","",IF(OR(L85="",J85&lt;=0),"",L85/J85))</f>
        <v/>
      </c>
      <c r="P85" s="13" t="str">
        <f aca="false">IF($C85="","",IF(G85&lt;=0,"",M85/G85))</f>
        <v/>
      </c>
      <c r="Q85" s="13" t="str">
        <f aca="false">IF(OR(N85="",O85="",P85=""),"",N85*O85*P85)</f>
        <v/>
      </c>
      <c r="R85" s="14" t="str">
        <f aca="false">IF($C85="","",IF(K85="","Machine not in Setup",IF(H85&gt;G85,"Rejects &gt; total parts",IF(J85&lt;0,"Downtime &gt; planned time",IF(AND(ISNUMBER(O85),O85&gt;1.05),"Performance &gt; 100%: check cycle time or counts","OK")))))</f>
        <v/>
      </c>
    </row>
    <row r="86" customFormat="false" ht="15" hidden="false" customHeight="false" outlineLevel="0" collapsed="false">
      <c r="A86" s="10"/>
      <c r="B86" s="8"/>
      <c r="C86" s="8"/>
      <c r="D86" s="8"/>
      <c r="E86" s="8"/>
      <c r="F86" s="8"/>
      <c r="G86" s="8"/>
      <c r="H86" s="8"/>
      <c r="I86" s="11" t="str">
        <f aca="false">IF($C86="","",D86-E86)</f>
        <v/>
      </c>
      <c r="J86" s="11" t="str">
        <f aca="false">IF($C86="","",I86-F86)</f>
        <v/>
      </c>
      <c r="K86" s="12" t="str">
        <f aca="false">IF($C86="","",IFERROR(INDEX(Setup!$B$5:$B$24,MATCH($C86,Setup!$A$5:$A$24,0)),""))</f>
        <v/>
      </c>
      <c r="L86" s="12" t="str">
        <f aca="false">IF(OR($C86="",K86=""),"",K86*G86/60)</f>
        <v/>
      </c>
      <c r="M86" s="11" t="str">
        <f aca="false">IF($C86="","",G86-H86)</f>
        <v/>
      </c>
      <c r="N86" s="13" t="str">
        <f aca="false">IF($C86="","",IF(I86&lt;=0,"",J86/I86))</f>
        <v/>
      </c>
      <c r="O86" s="13" t="str">
        <f aca="false">IF($C86="","",IF(OR(L86="",J86&lt;=0),"",L86/J86))</f>
        <v/>
      </c>
      <c r="P86" s="13" t="str">
        <f aca="false">IF($C86="","",IF(G86&lt;=0,"",M86/G86))</f>
        <v/>
      </c>
      <c r="Q86" s="13" t="str">
        <f aca="false">IF(OR(N86="",O86="",P86=""),"",N86*O86*P86)</f>
        <v/>
      </c>
      <c r="R86" s="14" t="str">
        <f aca="false">IF($C86="","",IF(K86="","Machine not in Setup",IF(H86&gt;G86,"Rejects &gt; total parts",IF(J86&lt;0,"Downtime &gt; planned time",IF(AND(ISNUMBER(O86),O86&gt;1.05),"Performance &gt; 100%: check cycle time or counts","OK")))))</f>
        <v/>
      </c>
    </row>
    <row r="87" customFormat="false" ht="15" hidden="false" customHeight="false" outlineLevel="0" collapsed="false">
      <c r="A87" s="10"/>
      <c r="B87" s="8"/>
      <c r="C87" s="8"/>
      <c r="D87" s="8"/>
      <c r="E87" s="8"/>
      <c r="F87" s="8"/>
      <c r="G87" s="8"/>
      <c r="H87" s="8"/>
      <c r="I87" s="11" t="str">
        <f aca="false">IF($C87="","",D87-E87)</f>
        <v/>
      </c>
      <c r="J87" s="11" t="str">
        <f aca="false">IF($C87="","",I87-F87)</f>
        <v/>
      </c>
      <c r="K87" s="12" t="str">
        <f aca="false">IF($C87="","",IFERROR(INDEX(Setup!$B$5:$B$24,MATCH($C87,Setup!$A$5:$A$24,0)),""))</f>
        <v/>
      </c>
      <c r="L87" s="12" t="str">
        <f aca="false">IF(OR($C87="",K87=""),"",K87*G87/60)</f>
        <v/>
      </c>
      <c r="M87" s="11" t="str">
        <f aca="false">IF($C87="","",G87-H87)</f>
        <v/>
      </c>
      <c r="N87" s="13" t="str">
        <f aca="false">IF($C87="","",IF(I87&lt;=0,"",J87/I87))</f>
        <v/>
      </c>
      <c r="O87" s="13" t="str">
        <f aca="false">IF($C87="","",IF(OR(L87="",J87&lt;=0),"",L87/J87))</f>
        <v/>
      </c>
      <c r="P87" s="13" t="str">
        <f aca="false">IF($C87="","",IF(G87&lt;=0,"",M87/G87))</f>
        <v/>
      </c>
      <c r="Q87" s="13" t="str">
        <f aca="false">IF(OR(N87="",O87="",P87=""),"",N87*O87*P87)</f>
        <v/>
      </c>
      <c r="R87" s="14" t="str">
        <f aca="false">IF($C87="","",IF(K87="","Machine not in Setup",IF(H87&gt;G87,"Rejects &gt; total parts",IF(J87&lt;0,"Downtime &gt; planned time",IF(AND(ISNUMBER(O87),O87&gt;1.05),"Performance &gt; 100%: check cycle time or counts","OK")))))</f>
        <v/>
      </c>
    </row>
    <row r="88" customFormat="false" ht="15" hidden="false" customHeight="false" outlineLevel="0" collapsed="false">
      <c r="A88" s="10"/>
      <c r="B88" s="8"/>
      <c r="C88" s="8"/>
      <c r="D88" s="8"/>
      <c r="E88" s="8"/>
      <c r="F88" s="8"/>
      <c r="G88" s="8"/>
      <c r="H88" s="8"/>
      <c r="I88" s="11" t="str">
        <f aca="false">IF($C88="","",D88-E88)</f>
        <v/>
      </c>
      <c r="J88" s="11" t="str">
        <f aca="false">IF($C88="","",I88-F88)</f>
        <v/>
      </c>
      <c r="K88" s="12" t="str">
        <f aca="false">IF($C88="","",IFERROR(INDEX(Setup!$B$5:$B$24,MATCH($C88,Setup!$A$5:$A$24,0)),""))</f>
        <v/>
      </c>
      <c r="L88" s="12" t="str">
        <f aca="false">IF(OR($C88="",K88=""),"",K88*G88/60)</f>
        <v/>
      </c>
      <c r="M88" s="11" t="str">
        <f aca="false">IF($C88="","",G88-H88)</f>
        <v/>
      </c>
      <c r="N88" s="13" t="str">
        <f aca="false">IF($C88="","",IF(I88&lt;=0,"",J88/I88))</f>
        <v/>
      </c>
      <c r="O88" s="13" t="str">
        <f aca="false">IF($C88="","",IF(OR(L88="",J88&lt;=0),"",L88/J88))</f>
        <v/>
      </c>
      <c r="P88" s="13" t="str">
        <f aca="false">IF($C88="","",IF(G88&lt;=0,"",M88/G88))</f>
        <v/>
      </c>
      <c r="Q88" s="13" t="str">
        <f aca="false">IF(OR(N88="",O88="",P88=""),"",N88*O88*P88)</f>
        <v/>
      </c>
      <c r="R88" s="14" t="str">
        <f aca="false">IF($C88="","",IF(K88="","Machine not in Setup",IF(H88&gt;G88,"Rejects &gt; total parts",IF(J88&lt;0,"Downtime &gt; planned time",IF(AND(ISNUMBER(O88),O88&gt;1.05),"Performance &gt; 100%: check cycle time or counts","OK")))))</f>
        <v/>
      </c>
    </row>
    <row r="89" customFormat="false" ht="15" hidden="false" customHeight="false" outlineLevel="0" collapsed="false">
      <c r="A89" s="10"/>
      <c r="B89" s="8"/>
      <c r="C89" s="8"/>
      <c r="D89" s="8"/>
      <c r="E89" s="8"/>
      <c r="F89" s="8"/>
      <c r="G89" s="8"/>
      <c r="H89" s="8"/>
      <c r="I89" s="11" t="str">
        <f aca="false">IF($C89="","",D89-E89)</f>
        <v/>
      </c>
      <c r="J89" s="11" t="str">
        <f aca="false">IF($C89="","",I89-F89)</f>
        <v/>
      </c>
      <c r="K89" s="12" t="str">
        <f aca="false">IF($C89="","",IFERROR(INDEX(Setup!$B$5:$B$24,MATCH($C89,Setup!$A$5:$A$24,0)),""))</f>
        <v/>
      </c>
      <c r="L89" s="12" t="str">
        <f aca="false">IF(OR($C89="",K89=""),"",K89*G89/60)</f>
        <v/>
      </c>
      <c r="M89" s="11" t="str">
        <f aca="false">IF($C89="","",G89-H89)</f>
        <v/>
      </c>
      <c r="N89" s="13" t="str">
        <f aca="false">IF($C89="","",IF(I89&lt;=0,"",J89/I89))</f>
        <v/>
      </c>
      <c r="O89" s="13" t="str">
        <f aca="false">IF($C89="","",IF(OR(L89="",J89&lt;=0),"",L89/J89))</f>
        <v/>
      </c>
      <c r="P89" s="13" t="str">
        <f aca="false">IF($C89="","",IF(G89&lt;=0,"",M89/G89))</f>
        <v/>
      </c>
      <c r="Q89" s="13" t="str">
        <f aca="false">IF(OR(N89="",O89="",P89=""),"",N89*O89*P89)</f>
        <v/>
      </c>
      <c r="R89" s="14" t="str">
        <f aca="false">IF($C89="","",IF(K89="","Machine not in Setup",IF(H89&gt;G89,"Rejects &gt; total parts",IF(J89&lt;0,"Downtime &gt; planned time",IF(AND(ISNUMBER(O89),O89&gt;1.05),"Performance &gt; 100%: check cycle time or counts","OK")))))</f>
        <v/>
      </c>
    </row>
    <row r="90" customFormat="false" ht="15" hidden="false" customHeight="false" outlineLevel="0" collapsed="false">
      <c r="A90" s="10"/>
      <c r="B90" s="8"/>
      <c r="C90" s="8"/>
      <c r="D90" s="8"/>
      <c r="E90" s="8"/>
      <c r="F90" s="8"/>
      <c r="G90" s="8"/>
      <c r="H90" s="8"/>
      <c r="I90" s="11" t="str">
        <f aca="false">IF($C90="","",D90-E90)</f>
        <v/>
      </c>
      <c r="J90" s="11" t="str">
        <f aca="false">IF($C90="","",I90-F90)</f>
        <v/>
      </c>
      <c r="K90" s="12" t="str">
        <f aca="false">IF($C90="","",IFERROR(INDEX(Setup!$B$5:$B$24,MATCH($C90,Setup!$A$5:$A$24,0)),""))</f>
        <v/>
      </c>
      <c r="L90" s="12" t="str">
        <f aca="false">IF(OR($C90="",K90=""),"",K90*G90/60)</f>
        <v/>
      </c>
      <c r="M90" s="11" t="str">
        <f aca="false">IF($C90="","",G90-H90)</f>
        <v/>
      </c>
      <c r="N90" s="13" t="str">
        <f aca="false">IF($C90="","",IF(I90&lt;=0,"",J90/I90))</f>
        <v/>
      </c>
      <c r="O90" s="13" t="str">
        <f aca="false">IF($C90="","",IF(OR(L90="",J90&lt;=0),"",L90/J90))</f>
        <v/>
      </c>
      <c r="P90" s="13" t="str">
        <f aca="false">IF($C90="","",IF(G90&lt;=0,"",M90/G90))</f>
        <v/>
      </c>
      <c r="Q90" s="13" t="str">
        <f aca="false">IF(OR(N90="",O90="",P90=""),"",N90*O90*P90)</f>
        <v/>
      </c>
      <c r="R90" s="14" t="str">
        <f aca="false">IF($C90="","",IF(K90="","Machine not in Setup",IF(H90&gt;G90,"Rejects &gt; total parts",IF(J90&lt;0,"Downtime &gt; planned time",IF(AND(ISNUMBER(O90),O90&gt;1.05),"Performance &gt; 100%: check cycle time or counts","OK")))))</f>
        <v/>
      </c>
    </row>
    <row r="91" customFormat="false" ht="15" hidden="false" customHeight="false" outlineLevel="0" collapsed="false">
      <c r="A91" s="10"/>
      <c r="B91" s="8"/>
      <c r="C91" s="8"/>
      <c r="D91" s="8"/>
      <c r="E91" s="8"/>
      <c r="F91" s="8"/>
      <c r="G91" s="8"/>
      <c r="H91" s="8"/>
      <c r="I91" s="11" t="str">
        <f aca="false">IF($C91="","",D91-E91)</f>
        <v/>
      </c>
      <c r="J91" s="11" t="str">
        <f aca="false">IF($C91="","",I91-F91)</f>
        <v/>
      </c>
      <c r="K91" s="12" t="str">
        <f aca="false">IF($C91="","",IFERROR(INDEX(Setup!$B$5:$B$24,MATCH($C91,Setup!$A$5:$A$24,0)),""))</f>
        <v/>
      </c>
      <c r="L91" s="12" t="str">
        <f aca="false">IF(OR($C91="",K91=""),"",K91*G91/60)</f>
        <v/>
      </c>
      <c r="M91" s="11" t="str">
        <f aca="false">IF($C91="","",G91-H91)</f>
        <v/>
      </c>
      <c r="N91" s="13" t="str">
        <f aca="false">IF($C91="","",IF(I91&lt;=0,"",J91/I91))</f>
        <v/>
      </c>
      <c r="O91" s="13" t="str">
        <f aca="false">IF($C91="","",IF(OR(L91="",J91&lt;=0),"",L91/J91))</f>
        <v/>
      </c>
      <c r="P91" s="13" t="str">
        <f aca="false">IF($C91="","",IF(G91&lt;=0,"",M91/G91))</f>
        <v/>
      </c>
      <c r="Q91" s="13" t="str">
        <f aca="false">IF(OR(N91="",O91="",P91=""),"",N91*O91*P91)</f>
        <v/>
      </c>
      <c r="R91" s="14" t="str">
        <f aca="false">IF($C91="","",IF(K91="","Machine not in Setup",IF(H91&gt;G91,"Rejects &gt; total parts",IF(J91&lt;0,"Downtime &gt; planned time",IF(AND(ISNUMBER(O91),O91&gt;1.05),"Performance &gt; 100%: check cycle time or counts","OK")))))</f>
        <v/>
      </c>
    </row>
    <row r="92" customFormat="false" ht="15" hidden="false" customHeight="false" outlineLevel="0" collapsed="false">
      <c r="A92" s="10"/>
      <c r="B92" s="8"/>
      <c r="C92" s="8"/>
      <c r="D92" s="8"/>
      <c r="E92" s="8"/>
      <c r="F92" s="8"/>
      <c r="G92" s="8"/>
      <c r="H92" s="8"/>
      <c r="I92" s="11" t="str">
        <f aca="false">IF($C92="","",D92-E92)</f>
        <v/>
      </c>
      <c r="J92" s="11" t="str">
        <f aca="false">IF($C92="","",I92-F92)</f>
        <v/>
      </c>
      <c r="K92" s="12" t="str">
        <f aca="false">IF($C92="","",IFERROR(INDEX(Setup!$B$5:$B$24,MATCH($C92,Setup!$A$5:$A$24,0)),""))</f>
        <v/>
      </c>
      <c r="L92" s="12" t="str">
        <f aca="false">IF(OR($C92="",K92=""),"",K92*G92/60)</f>
        <v/>
      </c>
      <c r="M92" s="11" t="str">
        <f aca="false">IF($C92="","",G92-H92)</f>
        <v/>
      </c>
      <c r="N92" s="13" t="str">
        <f aca="false">IF($C92="","",IF(I92&lt;=0,"",J92/I92))</f>
        <v/>
      </c>
      <c r="O92" s="13" t="str">
        <f aca="false">IF($C92="","",IF(OR(L92="",J92&lt;=0),"",L92/J92))</f>
        <v/>
      </c>
      <c r="P92" s="13" t="str">
        <f aca="false">IF($C92="","",IF(G92&lt;=0,"",M92/G92))</f>
        <v/>
      </c>
      <c r="Q92" s="13" t="str">
        <f aca="false">IF(OR(N92="",O92="",P92=""),"",N92*O92*P92)</f>
        <v/>
      </c>
      <c r="R92" s="14" t="str">
        <f aca="false">IF($C92="","",IF(K92="","Machine not in Setup",IF(H92&gt;G92,"Rejects &gt; total parts",IF(J92&lt;0,"Downtime &gt; planned time",IF(AND(ISNUMBER(O92),O92&gt;1.05),"Performance &gt; 100%: check cycle time or counts","OK")))))</f>
        <v/>
      </c>
    </row>
    <row r="93" customFormat="false" ht="15" hidden="false" customHeight="false" outlineLevel="0" collapsed="false">
      <c r="A93" s="10"/>
      <c r="B93" s="8"/>
      <c r="C93" s="8"/>
      <c r="D93" s="8"/>
      <c r="E93" s="8"/>
      <c r="F93" s="8"/>
      <c r="G93" s="8"/>
      <c r="H93" s="8"/>
      <c r="I93" s="11" t="str">
        <f aca="false">IF($C93="","",D93-E93)</f>
        <v/>
      </c>
      <c r="J93" s="11" t="str">
        <f aca="false">IF($C93="","",I93-F93)</f>
        <v/>
      </c>
      <c r="K93" s="12" t="str">
        <f aca="false">IF($C93="","",IFERROR(INDEX(Setup!$B$5:$B$24,MATCH($C93,Setup!$A$5:$A$24,0)),""))</f>
        <v/>
      </c>
      <c r="L93" s="12" t="str">
        <f aca="false">IF(OR($C93="",K93=""),"",K93*G93/60)</f>
        <v/>
      </c>
      <c r="M93" s="11" t="str">
        <f aca="false">IF($C93="","",G93-H93)</f>
        <v/>
      </c>
      <c r="N93" s="13" t="str">
        <f aca="false">IF($C93="","",IF(I93&lt;=0,"",J93/I93))</f>
        <v/>
      </c>
      <c r="O93" s="13" t="str">
        <f aca="false">IF($C93="","",IF(OR(L93="",J93&lt;=0),"",L93/J93))</f>
        <v/>
      </c>
      <c r="P93" s="13" t="str">
        <f aca="false">IF($C93="","",IF(G93&lt;=0,"",M93/G93))</f>
        <v/>
      </c>
      <c r="Q93" s="13" t="str">
        <f aca="false">IF(OR(N93="",O93="",P93=""),"",N93*O93*P93)</f>
        <v/>
      </c>
      <c r="R93" s="14" t="str">
        <f aca="false">IF($C93="","",IF(K93="","Machine not in Setup",IF(H93&gt;G93,"Rejects &gt; total parts",IF(J93&lt;0,"Downtime &gt; planned time",IF(AND(ISNUMBER(O93),O93&gt;1.05),"Performance &gt; 100%: check cycle time or counts","OK")))))</f>
        <v/>
      </c>
    </row>
    <row r="94" customFormat="false" ht="15" hidden="false" customHeight="false" outlineLevel="0" collapsed="false">
      <c r="A94" s="10"/>
      <c r="B94" s="8"/>
      <c r="C94" s="8"/>
      <c r="D94" s="8"/>
      <c r="E94" s="8"/>
      <c r="F94" s="8"/>
      <c r="G94" s="8"/>
      <c r="H94" s="8"/>
      <c r="I94" s="11" t="str">
        <f aca="false">IF($C94="","",D94-E94)</f>
        <v/>
      </c>
      <c r="J94" s="11" t="str">
        <f aca="false">IF($C94="","",I94-F94)</f>
        <v/>
      </c>
      <c r="K94" s="12" t="str">
        <f aca="false">IF($C94="","",IFERROR(INDEX(Setup!$B$5:$B$24,MATCH($C94,Setup!$A$5:$A$24,0)),""))</f>
        <v/>
      </c>
      <c r="L94" s="12" t="str">
        <f aca="false">IF(OR($C94="",K94=""),"",K94*G94/60)</f>
        <v/>
      </c>
      <c r="M94" s="11" t="str">
        <f aca="false">IF($C94="","",G94-H94)</f>
        <v/>
      </c>
      <c r="N94" s="13" t="str">
        <f aca="false">IF($C94="","",IF(I94&lt;=0,"",J94/I94))</f>
        <v/>
      </c>
      <c r="O94" s="13" t="str">
        <f aca="false">IF($C94="","",IF(OR(L94="",J94&lt;=0),"",L94/J94))</f>
        <v/>
      </c>
      <c r="P94" s="13" t="str">
        <f aca="false">IF($C94="","",IF(G94&lt;=0,"",M94/G94))</f>
        <v/>
      </c>
      <c r="Q94" s="13" t="str">
        <f aca="false">IF(OR(N94="",O94="",P94=""),"",N94*O94*P94)</f>
        <v/>
      </c>
      <c r="R94" s="14" t="str">
        <f aca="false">IF($C94="","",IF(K94="","Machine not in Setup",IF(H94&gt;G94,"Rejects &gt; total parts",IF(J94&lt;0,"Downtime &gt; planned time",IF(AND(ISNUMBER(O94),O94&gt;1.05),"Performance &gt; 100%: check cycle time or counts","OK")))))</f>
        <v/>
      </c>
    </row>
    <row r="95" customFormat="false" ht="15" hidden="false" customHeight="false" outlineLevel="0" collapsed="false">
      <c r="A95" s="10"/>
      <c r="B95" s="8"/>
      <c r="C95" s="8"/>
      <c r="D95" s="8"/>
      <c r="E95" s="8"/>
      <c r="F95" s="8"/>
      <c r="G95" s="8"/>
      <c r="H95" s="8"/>
      <c r="I95" s="11" t="str">
        <f aca="false">IF($C95="","",D95-E95)</f>
        <v/>
      </c>
      <c r="J95" s="11" t="str">
        <f aca="false">IF($C95="","",I95-F95)</f>
        <v/>
      </c>
      <c r="K95" s="12" t="str">
        <f aca="false">IF($C95="","",IFERROR(INDEX(Setup!$B$5:$B$24,MATCH($C95,Setup!$A$5:$A$24,0)),""))</f>
        <v/>
      </c>
      <c r="L95" s="12" t="str">
        <f aca="false">IF(OR($C95="",K95=""),"",K95*G95/60)</f>
        <v/>
      </c>
      <c r="M95" s="11" t="str">
        <f aca="false">IF($C95="","",G95-H95)</f>
        <v/>
      </c>
      <c r="N95" s="13" t="str">
        <f aca="false">IF($C95="","",IF(I95&lt;=0,"",J95/I95))</f>
        <v/>
      </c>
      <c r="O95" s="13" t="str">
        <f aca="false">IF($C95="","",IF(OR(L95="",J95&lt;=0),"",L95/J95))</f>
        <v/>
      </c>
      <c r="P95" s="13" t="str">
        <f aca="false">IF($C95="","",IF(G95&lt;=0,"",M95/G95))</f>
        <v/>
      </c>
      <c r="Q95" s="13" t="str">
        <f aca="false">IF(OR(N95="",O95="",P95=""),"",N95*O95*P95)</f>
        <v/>
      </c>
      <c r="R95" s="14" t="str">
        <f aca="false">IF($C95="","",IF(K95="","Machine not in Setup",IF(H95&gt;G95,"Rejects &gt; total parts",IF(J95&lt;0,"Downtime &gt; planned time",IF(AND(ISNUMBER(O95),O95&gt;1.05),"Performance &gt; 100%: check cycle time or counts","OK")))))</f>
        <v/>
      </c>
    </row>
    <row r="96" customFormat="false" ht="15" hidden="false" customHeight="false" outlineLevel="0" collapsed="false">
      <c r="A96" s="10"/>
      <c r="B96" s="8"/>
      <c r="C96" s="8"/>
      <c r="D96" s="8"/>
      <c r="E96" s="8"/>
      <c r="F96" s="8"/>
      <c r="G96" s="8"/>
      <c r="H96" s="8"/>
      <c r="I96" s="11" t="str">
        <f aca="false">IF($C96="","",D96-E96)</f>
        <v/>
      </c>
      <c r="J96" s="11" t="str">
        <f aca="false">IF($C96="","",I96-F96)</f>
        <v/>
      </c>
      <c r="K96" s="12" t="str">
        <f aca="false">IF($C96="","",IFERROR(INDEX(Setup!$B$5:$B$24,MATCH($C96,Setup!$A$5:$A$24,0)),""))</f>
        <v/>
      </c>
      <c r="L96" s="12" t="str">
        <f aca="false">IF(OR($C96="",K96=""),"",K96*G96/60)</f>
        <v/>
      </c>
      <c r="M96" s="11" t="str">
        <f aca="false">IF($C96="","",G96-H96)</f>
        <v/>
      </c>
      <c r="N96" s="13" t="str">
        <f aca="false">IF($C96="","",IF(I96&lt;=0,"",J96/I96))</f>
        <v/>
      </c>
      <c r="O96" s="13" t="str">
        <f aca="false">IF($C96="","",IF(OR(L96="",J96&lt;=0),"",L96/J96))</f>
        <v/>
      </c>
      <c r="P96" s="13" t="str">
        <f aca="false">IF($C96="","",IF(G96&lt;=0,"",M96/G96))</f>
        <v/>
      </c>
      <c r="Q96" s="13" t="str">
        <f aca="false">IF(OR(N96="",O96="",P96=""),"",N96*O96*P96)</f>
        <v/>
      </c>
      <c r="R96" s="14" t="str">
        <f aca="false">IF($C96="","",IF(K96="","Machine not in Setup",IF(H96&gt;G96,"Rejects &gt; total parts",IF(J96&lt;0,"Downtime &gt; planned time",IF(AND(ISNUMBER(O96),O96&gt;1.05),"Performance &gt; 100%: check cycle time or counts","OK")))))</f>
        <v/>
      </c>
    </row>
    <row r="97" customFormat="false" ht="15" hidden="false" customHeight="false" outlineLevel="0" collapsed="false">
      <c r="A97" s="10"/>
      <c r="B97" s="8"/>
      <c r="C97" s="8"/>
      <c r="D97" s="8"/>
      <c r="E97" s="8"/>
      <c r="F97" s="8"/>
      <c r="G97" s="8"/>
      <c r="H97" s="8"/>
      <c r="I97" s="11" t="str">
        <f aca="false">IF($C97="","",D97-E97)</f>
        <v/>
      </c>
      <c r="J97" s="11" t="str">
        <f aca="false">IF($C97="","",I97-F97)</f>
        <v/>
      </c>
      <c r="K97" s="12" t="str">
        <f aca="false">IF($C97="","",IFERROR(INDEX(Setup!$B$5:$B$24,MATCH($C97,Setup!$A$5:$A$24,0)),""))</f>
        <v/>
      </c>
      <c r="L97" s="12" t="str">
        <f aca="false">IF(OR($C97="",K97=""),"",K97*G97/60)</f>
        <v/>
      </c>
      <c r="M97" s="11" t="str">
        <f aca="false">IF($C97="","",G97-H97)</f>
        <v/>
      </c>
      <c r="N97" s="13" t="str">
        <f aca="false">IF($C97="","",IF(I97&lt;=0,"",J97/I97))</f>
        <v/>
      </c>
      <c r="O97" s="13" t="str">
        <f aca="false">IF($C97="","",IF(OR(L97="",J97&lt;=0),"",L97/J97))</f>
        <v/>
      </c>
      <c r="P97" s="13" t="str">
        <f aca="false">IF($C97="","",IF(G97&lt;=0,"",M97/G97))</f>
        <v/>
      </c>
      <c r="Q97" s="13" t="str">
        <f aca="false">IF(OR(N97="",O97="",P97=""),"",N97*O97*P97)</f>
        <v/>
      </c>
      <c r="R97" s="14" t="str">
        <f aca="false">IF($C97="","",IF(K97="","Machine not in Setup",IF(H97&gt;G97,"Rejects &gt; total parts",IF(J97&lt;0,"Downtime &gt; planned time",IF(AND(ISNUMBER(O97),O97&gt;1.05),"Performance &gt; 100%: check cycle time or counts","OK")))))</f>
        <v/>
      </c>
    </row>
    <row r="98" customFormat="false" ht="15" hidden="false" customHeight="false" outlineLevel="0" collapsed="false">
      <c r="A98" s="10"/>
      <c r="B98" s="8"/>
      <c r="C98" s="8"/>
      <c r="D98" s="8"/>
      <c r="E98" s="8"/>
      <c r="F98" s="8"/>
      <c r="G98" s="8"/>
      <c r="H98" s="8"/>
      <c r="I98" s="11" t="str">
        <f aca="false">IF($C98="","",D98-E98)</f>
        <v/>
      </c>
      <c r="J98" s="11" t="str">
        <f aca="false">IF($C98="","",I98-F98)</f>
        <v/>
      </c>
      <c r="K98" s="12" t="str">
        <f aca="false">IF($C98="","",IFERROR(INDEX(Setup!$B$5:$B$24,MATCH($C98,Setup!$A$5:$A$24,0)),""))</f>
        <v/>
      </c>
      <c r="L98" s="12" t="str">
        <f aca="false">IF(OR($C98="",K98=""),"",K98*G98/60)</f>
        <v/>
      </c>
      <c r="M98" s="11" t="str">
        <f aca="false">IF($C98="","",G98-H98)</f>
        <v/>
      </c>
      <c r="N98" s="13" t="str">
        <f aca="false">IF($C98="","",IF(I98&lt;=0,"",J98/I98))</f>
        <v/>
      </c>
      <c r="O98" s="13" t="str">
        <f aca="false">IF($C98="","",IF(OR(L98="",J98&lt;=0),"",L98/J98))</f>
        <v/>
      </c>
      <c r="P98" s="13" t="str">
        <f aca="false">IF($C98="","",IF(G98&lt;=0,"",M98/G98))</f>
        <v/>
      </c>
      <c r="Q98" s="13" t="str">
        <f aca="false">IF(OR(N98="",O98="",P98=""),"",N98*O98*P98)</f>
        <v/>
      </c>
      <c r="R98" s="14" t="str">
        <f aca="false">IF($C98="","",IF(K98="","Machine not in Setup",IF(H98&gt;G98,"Rejects &gt; total parts",IF(J98&lt;0,"Downtime &gt; planned time",IF(AND(ISNUMBER(O98),O98&gt;1.05),"Performance &gt; 100%: check cycle time or counts","OK")))))</f>
        <v/>
      </c>
    </row>
    <row r="99" customFormat="false" ht="15" hidden="false" customHeight="false" outlineLevel="0" collapsed="false">
      <c r="A99" s="10"/>
      <c r="B99" s="8"/>
      <c r="C99" s="8"/>
      <c r="D99" s="8"/>
      <c r="E99" s="8"/>
      <c r="F99" s="8"/>
      <c r="G99" s="8"/>
      <c r="H99" s="8"/>
      <c r="I99" s="11" t="str">
        <f aca="false">IF($C99="","",D99-E99)</f>
        <v/>
      </c>
      <c r="J99" s="11" t="str">
        <f aca="false">IF($C99="","",I99-F99)</f>
        <v/>
      </c>
      <c r="K99" s="12" t="str">
        <f aca="false">IF($C99="","",IFERROR(INDEX(Setup!$B$5:$B$24,MATCH($C99,Setup!$A$5:$A$24,0)),""))</f>
        <v/>
      </c>
      <c r="L99" s="12" t="str">
        <f aca="false">IF(OR($C99="",K99=""),"",K99*G99/60)</f>
        <v/>
      </c>
      <c r="M99" s="11" t="str">
        <f aca="false">IF($C99="","",G99-H99)</f>
        <v/>
      </c>
      <c r="N99" s="13" t="str">
        <f aca="false">IF($C99="","",IF(I99&lt;=0,"",J99/I99))</f>
        <v/>
      </c>
      <c r="O99" s="13" t="str">
        <f aca="false">IF($C99="","",IF(OR(L99="",J99&lt;=0),"",L99/J99))</f>
        <v/>
      </c>
      <c r="P99" s="13" t="str">
        <f aca="false">IF($C99="","",IF(G99&lt;=0,"",M99/G99))</f>
        <v/>
      </c>
      <c r="Q99" s="13" t="str">
        <f aca="false">IF(OR(N99="",O99="",P99=""),"",N99*O99*P99)</f>
        <v/>
      </c>
      <c r="R99" s="14" t="str">
        <f aca="false">IF($C99="","",IF(K99="","Machine not in Setup",IF(H99&gt;G99,"Rejects &gt; total parts",IF(J99&lt;0,"Downtime &gt; planned time",IF(AND(ISNUMBER(O99),O99&gt;1.05),"Performance &gt; 100%: check cycle time or counts","OK")))))</f>
        <v/>
      </c>
    </row>
    <row r="100" customFormat="false" ht="15" hidden="false" customHeight="false" outlineLevel="0" collapsed="false">
      <c r="A100" s="10"/>
      <c r="B100" s="8"/>
      <c r="C100" s="8"/>
      <c r="D100" s="8"/>
      <c r="E100" s="8"/>
      <c r="F100" s="8"/>
      <c r="G100" s="8"/>
      <c r="H100" s="8"/>
      <c r="I100" s="11" t="str">
        <f aca="false">IF($C100="","",D100-E100)</f>
        <v/>
      </c>
      <c r="J100" s="11" t="str">
        <f aca="false">IF($C100="","",I100-F100)</f>
        <v/>
      </c>
      <c r="K100" s="12" t="str">
        <f aca="false">IF($C100="","",IFERROR(INDEX(Setup!$B$5:$B$24,MATCH($C100,Setup!$A$5:$A$24,0)),""))</f>
        <v/>
      </c>
      <c r="L100" s="12" t="str">
        <f aca="false">IF(OR($C100="",K100=""),"",K100*G100/60)</f>
        <v/>
      </c>
      <c r="M100" s="11" t="str">
        <f aca="false">IF($C100="","",G100-H100)</f>
        <v/>
      </c>
      <c r="N100" s="13" t="str">
        <f aca="false">IF($C100="","",IF(I100&lt;=0,"",J100/I100))</f>
        <v/>
      </c>
      <c r="O100" s="13" t="str">
        <f aca="false">IF($C100="","",IF(OR(L100="",J100&lt;=0),"",L100/J100))</f>
        <v/>
      </c>
      <c r="P100" s="13" t="str">
        <f aca="false">IF($C100="","",IF(G100&lt;=0,"",M100/G100))</f>
        <v/>
      </c>
      <c r="Q100" s="13" t="str">
        <f aca="false">IF(OR(N100="",O100="",P100=""),"",N100*O100*P100)</f>
        <v/>
      </c>
      <c r="R100" s="14" t="str">
        <f aca="false">IF($C100="","",IF(K100="","Machine not in Setup",IF(H100&gt;G100,"Rejects &gt; total parts",IF(J100&lt;0,"Downtime &gt; planned time",IF(AND(ISNUMBER(O100),O100&gt;1.05),"Performance &gt; 100%: check cycle time or counts","OK")))))</f>
        <v/>
      </c>
    </row>
    <row r="101" customFormat="false" ht="15" hidden="false" customHeight="false" outlineLevel="0" collapsed="false">
      <c r="A101" s="10"/>
      <c r="B101" s="8"/>
      <c r="C101" s="8"/>
      <c r="D101" s="8"/>
      <c r="E101" s="8"/>
      <c r="F101" s="8"/>
      <c r="G101" s="8"/>
      <c r="H101" s="8"/>
      <c r="I101" s="11" t="str">
        <f aca="false">IF($C101="","",D101-E101)</f>
        <v/>
      </c>
      <c r="J101" s="11" t="str">
        <f aca="false">IF($C101="","",I101-F101)</f>
        <v/>
      </c>
      <c r="K101" s="12" t="str">
        <f aca="false">IF($C101="","",IFERROR(INDEX(Setup!$B$5:$B$24,MATCH($C101,Setup!$A$5:$A$24,0)),""))</f>
        <v/>
      </c>
      <c r="L101" s="12" t="str">
        <f aca="false">IF(OR($C101="",K101=""),"",K101*G101/60)</f>
        <v/>
      </c>
      <c r="M101" s="11" t="str">
        <f aca="false">IF($C101="","",G101-H101)</f>
        <v/>
      </c>
      <c r="N101" s="13" t="str">
        <f aca="false">IF($C101="","",IF(I101&lt;=0,"",J101/I101))</f>
        <v/>
      </c>
      <c r="O101" s="13" t="str">
        <f aca="false">IF($C101="","",IF(OR(L101="",J101&lt;=0),"",L101/J101))</f>
        <v/>
      </c>
      <c r="P101" s="13" t="str">
        <f aca="false">IF($C101="","",IF(G101&lt;=0,"",M101/G101))</f>
        <v/>
      </c>
      <c r="Q101" s="13" t="str">
        <f aca="false">IF(OR(N101="",O101="",P101=""),"",N101*O101*P101)</f>
        <v/>
      </c>
      <c r="R101" s="14" t="str">
        <f aca="false">IF($C101="","",IF(K101="","Machine not in Setup",IF(H101&gt;G101,"Rejects &gt; total parts",IF(J101&lt;0,"Downtime &gt; planned time",IF(AND(ISNUMBER(O101),O101&gt;1.05),"Performance &gt; 100%: check cycle time or counts","OK")))))</f>
        <v/>
      </c>
    </row>
    <row r="102" customFormat="false" ht="15" hidden="false" customHeight="false" outlineLevel="0" collapsed="false">
      <c r="A102" s="10"/>
      <c r="B102" s="8"/>
      <c r="C102" s="8"/>
      <c r="D102" s="8"/>
      <c r="E102" s="8"/>
      <c r="F102" s="8"/>
      <c r="G102" s="8"/>
      <c r="H102" s="8"/>
      <c r="I102" s="11" t="str">
        <f aca="false">IF($C102="","",D102-E102)</f>
        <v/>
      </c>
      <c r="J102" s="11" t="str">
        <f aca="false">IF($C102="","",I102-F102)</f>
        <v/>
      </c>
      <c r="K102" s="12" t="str">
        <f aca="false">IF($C102="","",IFERROR(INDEX(Setup!$B$5:$B$24,MATCH($C102,Setup!$A$5:$A$24,0)),""))</f>
        <v/>
      </c>
      <c r="L102" s="12" t="str">
        <f aca="false">IF(OR($C102="",K102=""),"",K102*G102/60)</f>
        <v/>
      </c>
      <c r="M102" s="11" t="str">
        <f aca="false">IF($C102="","",G102-H102)</f>
        <v/>
      </c>
      <c r="N102" s="13" t="str">
        <f aca="false">IF($C102="","",IF(I102&lt;=0,"",J102/I102))</f>
        <v/>
      </c>
      <c r="O102" s="13" t="str">
        <f aca="false">IF($C102="","",IF(OR(L102="",J102&lt;=0),"",L102/J102))</f>
        <v/>
      </c>
      <c r="P102" s="13" t="str">
        <f aca="false">IF($C102="","",IF(G102&lt;=0,"",M102/G102))</f>
        <v/>
      </c>
      <c r="Q102" s="13" t="str">
        <f aca="false">IF(OR(N102="",O102="",P102=""),"",N102*O102*P102)</f>
        <v/>
      </c>
      <c r="R102" s="14" t="str">
        <f aca="false">IF($C102="","",IF(K102="","Machine not in Setup",IF(H102&gt;G102,"Rejects &gt; total parts",IF(J102&lt;0,"Downtime &gt; planned time",IF(AND(ISNUMBER(O102),O102&gt;1.05),"Performance &gt; 100%: check cycle time or counts","OK")))))</f>
        <v/>
      </c>
    </row>
    <row r="103" customFormat="false" ht="15" hidden="false" customHeight="false" outlineLevel="0" collapsed="false">
      <c r="A103" s="10"/>
      <c r="B103" s="8"/>
      <c r="C103" s="8"/>
      <c r="D103" s="8"/>
      <c r="E103" s="8"/>
      <c r="F103" s="8"/>
      <c r="G103" s="8"/>
      <c r="H103" s="8"/>
      <c r="I103" s="11" t="str">
        <f aca="false">IF($C103="","",D103-E103)</f>
        <v/>
      </c>
      <c r="J103" s="11" t="str">
        <f aca="false">IF($C103="","",I103-F103)</f>
        <v/>
      </c>
      <c r="K103" s="12" t="str">
        <f aca="false">IF($C103="","",IFERROR(INDEX(Setup!$B$5:$B$24,MATCH($C103,Setup!$A$5:$A$24,0)),""))</f>
        <v/>
      </c>
      <c r="L103" s="12" t="str">
        <f aca="false">IF(OR($C103="",K103=""),"",K103*G103/60)</f>
        <v/>
      </c>
      <c r="M103" s="11" t="str">
        <f aca="false">IF($C103="","",G103-H103)</f>
        <v/>
      </c>
      <c r="N103" s="13" t="str">
        <f aca="false">IF($C103="","",IF(I103&lt;=0,"",J103/I103))</f>
        <v/>
      </c>
      <c r="O103" s="13" t="str">
        <f aca="false">IF($C103="","",IF(OR(L103="",J103&lt;=0),"",L103/J103))</f>
        <v/>
      </c>
      <c r="P103" s="13" t="str">
        <f aca="false">IF($C103="","",IF(G103&lt;=0,"",M103/G103))</f>
        <v/>
      </c>
      <c r="Q103" s="13" t="str">
        <f aca="false">IF(OR(N103="",O103="",P103=""),"",N103*O103*P103)</f>
        <v/>
      </c>
      <c r="R103" s="14" t="str">
        <f aca="false">IF($C103="","",IF(K103="","Machine not in Setup",IF(H103&gt;G103,"Rejects &gt; total parts",IF(J103&lt;0,"Downtime &gt; planned time",IF(AND(ISNUMBER(O103),O103&gt;1.05),"Performance &gt; 100%: check cycle time or counts","OK")))))</f>
        <v/>
      </c>
    </row>
    <row r="104" customFormat="false" ht="15" hidden="false" customHeight="false" outlineLevel="0" collapsed="false">
      <c r="A104" s="10"/>
      <c r="B104" s="8"/>
      <c r="C104" s="8"/>
      <c r="D104" s="8"/>
      <c r="E104" s="8"/>
      <c r="F104" s="8"/>
      <c r="G104" s="8"/>
      <c r="H104" s="8"/>
      <c r="I104" s="11" t="str">
        <f aca="false">IF($C104="","",D104-E104)</f>
        <v/>
      </c>
      <c r="J104" s="11" t="str">
        <f aca="false">IF($C104="","",I104-F104)</f>
        <v/>
      </c>
      <c r="K104" s="12" t="str">
        <f aca="false">IF($C104="","",IFERROR(INDEX(Setup!$B$5:$B$24,MATCH($C104,Setup!$A$5:$A$24,0)),""))</f>
        <v/>
      </c>
      <c r="L104" s="12" t="str">
        <f aca="false">IF(OR($C104="",K104=""),"",K104*G104/60)</f>
        <v/>
      </c>
      <c r="M104" s="11" t="str">
        <f aca="false">IF($C104="","",G104-H104)</f>
        <v/>
      </c>
      <c r="N104" s="13" t="str">
        <f aca="false">IF($C104="","",IF(I104&lt;=0,"",J104/I104))</f>
        <v/>
      </c>
      <c r="O104" s="13" t="str">
        <f aca="false">IF($C104="","",IF(OR(L104="",J104&lt;=0),"",L104/J104))</f>
        <v/>
      </c>
      <c r="P104" s="13" t="str">
        <f aca="false">IF($C104="","",IF(G104&lt;=0,"",M104/G104))</f>
        <v/>
      </c>
      <c r="Q104" s="13" t="str">
        <f aca="false">IF(OR(N104="",O104="",P104=""),"",N104*O104*P104)</f>
        <v/>
      </c>
      <c r="R104" s="14" t="str">
        <f aca="false">IF($C104="","",IF(K104="","Machine not in Setup",IF(H104&gt;G104,"Rejects &gt; total parts",IF(J104&lt;0,"Downtime &gt; planned time",IF(AND(ISNUMBER(O104),O104&gt;1.05),"Performance &gt; 100%: check cycle time or counts","OK")))))</f>
        <v/>
      </c>
    </row>
    <row r="105" customFormat="false" ht="15" hidden="false" customHeight="false" outlineLevel="0" collapsed="false">
      <c r="A105" s="10"/>
      <c r="B105" s="8"/>
      <c r="C105" s="8"/>
      <c r="D105" s="8"/>
      <c r="E105" s="8"/>
      <c r="F105" s="8"/>
      <c r="G105" s="8"/>
      <c r="H105" s="8"/>
      <c r="I105" s="11" t="str">
        <f aca="false">IF($C105="","",D105-E105)</f>
        <v/>
      </c>
      <c r="J105" s="11" t="str">
        <f aca="false">IF($C105="","",I105-F105)</f>
        <v/>
      </c>
      <c r="K105" s="12" t="str">
        <f aca="false">IF($C105="","",IFERROR(INDEX(Setup!$B$5:$B$24,MATCH($C105,Setup!$A$5:$A$24,0)),""))</f>
        <v/>
      </c>
      <c r="L105" s="12" t="str">
        <f aca="false">IF(OR($C105="",K105=""),"",K105*G105/60)</f>
        <v/>
      </c>
      <c r="M105" s="11" t="str">
        <f aca="false">IF($C105="","",G105-H105)</f>
        <v/>
      </c>
      <c r="N105" s="13" t="str">
        <f aca="false">IF($C105="","",IF(I105&lt;=0,"",J105/I105))</f>
        <v/>
      </c>
      <c r="O105" s="13" t="str">
        <f aca="false">IF($C105="","",IF(OR(L105="",J105&lt;=0),"",L105/J105))</f>
        <v/>
      </c>
      <c r="P105" s="13" t="str">
        <f aca="false">IF($C105="","",IF(G105&lt;=0,"",M105/G105))</f>
        <v/>
      </c>
      <c r="Q105" s="13" t="str">
        <f aca="false">IF(OR(N105="",O105="",P105=""),"",N105*O105*P105)</f>
        <v/>
      </c>
      <c r="R105" s="14" t="str">
        <f aca="false">IF($C105="","",IF(K105="","Machine not in Setup",IF(H105&gt;G105,"Rejects &gt; total parts",IF(J105&lt;0,"Downtime &gt; planned time",IF(AND(ISNUMBER(O105),O105&gt;1.05),"Performance &gt; 100%: check cycle time or counts","OK")))))</f>
        <v/>
      </c>
    </row>
    <row r="106" customFormat="false" ht="15" hidden="false" customHeight="false" outlineLevel="0" collapsed="false">
      <c r="A106" s="10"/>
      <c r="B106" s="8"/>
      <c r="C106" s="8"/>
      <c r="D106" s="8"/>
      <c r="E106" s="8"/>
      <c r="F106" s="8"/>
      <c r="G106" s="8"/>
      <c r="H106" s="8"/>
      <c r="I106" s="11" t="str">
        <f aca="false">IF($C106="","",D106-E106)</f>
        <v/>
      </c>
      <c r="J106" s="11" t="str">
        <f aca="false">IF($C106="","",I106-F106)</f>
        <v/>
      </c>
      <c r="K106" s="12" t="str">
        <f aca="false">IF($C106="","",IFERROR(INDEX(Setup!$B$5:$B$24,MATCH($C106,Setup!$A$5:$A$24,0)),""))</f>
        <v/>
      </c>
      <c r="L106" s="12" t="str">
        <f aca="false">IF(OR($C106="",K106=""),"",K106*G106/60)</f>
        <v/>
      </c>
      <c r="M106" s="11" t="str">
        <f aca="false">IF($C106="","",G106-H106)</f>
        <v/>
      </c>
      <c r="N106" s="13" t="str">
        <f aca="false">IF($C106="","",IF(I106&lt;=0,"",J106/I106))</f>
        <v/>
      </c>
      <c r="O106" s="13" t="str">
        <f aca="false">IF($C106="","",IF(OR(L106="",J106&lt;=0),"",L106/J106))</f>
        <v/>
      </c>
      <c r="P106" s="13" t="str">
        <f aca="false">IF($C106="","",IF(G106&lt;=0,"",M106/G106))</f>
        <v/>
      </c>
      <c r="Q106" s="13" t="str">
        <f aca="false">IF(OR(N106="",O106="",P106=""),"",N106*O106*P106)</f>
        <v/>
      </c>
      <c r="R106" s="14" t="str">
        <f aca="false">IF($C106="","",IF(K106="","Machine not in Setup",IF(H106&gt;G106,"Rejects &gt; total parts",IF(J106&lt;0,"Downtime &gt; planned time",IF(AND(ISNUMBER(O106),O106&gt;1.05),"Performance &gt; 100%: check cycle time or counts","OK")))))</f>
        <v/>
      </c>
    </row>
    <row r="107" customFormat="false" ht="15" hidden="false" customHeight="false" outlineLevel="0" collapsed="false">
      <c r="A107" s="10"/>
      <c r="B107" s="8"/>
      <c r="C107" s="8"/>
      <c r="D107" s="8"/>
      <c r="E107" s="8"/>
      <c r="F107" s="8"/>
      <c r="G107" s="8"/>
      <c r="H107" s="8"/>
      <c r="I107" s="11" t="str">
        <f aca="false">IF($C107="","",D107-E107)</f>
        <v/>
      </c>
      <c r="J107" s="11" t="str">
        <f aca="false">IF($C107="","",I107-F107)</f>
        <v/>
      </c>
      <c r="K107" s="12" t="str">
        <f aca="false">IF($C107="","",IFERROR(INDEX(Setup!$B$5:$B$24,MATCH($C107,Setup!$A$5:$A$24,0)),""))</f>
        <v/>
      </c>
      <c r="L107" s="12" t="str">
        <f aca="false">IF(OR($C107="",K107=""),"",K107*G107/60)</f>
        <v/>
      </c>
      <c r="M107" s="11" t="str">
        <f aca="false">IF($C107="","",G107-H107)</f>
        <v/>
      </c>
      <c r="N107" s="13" t="str">
        <f aca="false">IF($C107="","",IF(I107&lt;=0,"",J107/I107))</f>
        <v/>
      </c>
      <c r="O107" s="13" t="str">
        <f aca="false">IF($C107="","",IF(OR(L107="",J107&lt;=0),"",L107/J107))</f>
        <v/>
      </c>
      <c r="P107" s="13" t="str">
        <f aca="false">IF($C107="","",IF(G107&lt;=0,"",M107/G107))</f>
        <v/>
      </c>
      <c r="Q107" s="13" t="str">
        <f aca="false">IF(OR(N107="",O107="",P107=""),"",N107*O107*P107)</f>
        <v/>
      </c>
      <c r="R107" s="14" t="str">
        <f aca="false">IF($C107="","",IF(K107="","Machine not in Setup",IF(H107&gt;G107,"Rejects &gt; total parts",IF(J107&lt;0,"Downtime &gt; planned time",IF(AND(ISNUMBER(O107),O107&gt;1.05),"Performance &gt; 100%: check cycle time or counts","OK")))))</f>
        <v/>
      </c>
    </row>
    <row r="108" customFormat="false" ht="15" hidden="false" customHeight="false" outlineLevel="0" collapsed="false">
      <c r="A108" s="10"/>
      <c r="B108" s="8"/>
      <c r="C108" s="8"/>
      <c r="D108" s="8"/>
      <c r="E108" s="8"/>
      <c r="F108" s="8"/>
      <c r="G108" s="8"/>
      <c r="H108" s="8"/>
      <c r="I108" s="11" t="str">
        <f aca="false">IF($C108="","",D108-E108)</f>
        <v/>
      </c>
      <c r="J108" s="11" t="str">
        <f aca="false">IF($C108="","",I108-F108)</f>
        <v/>
      </c>
      <c r="K108" s="12" t="str">
        <f aca="false">IF($C108="","",IFERROR(INDEX(Setup!$B$5:$B$24,MATCH($C108,Setup!$A$5:$A$24,0)),""))</f>
        <v/>
      </c>
      <c r="L108" s="12" t="str">
        <f aca="false">IF(OR($C108="",K108=""),"",K108*G108/60)</f>
        <v/>
      </c>
      <c r="M108" s="11" t="str">
        <f aca="false">IF($C108="","",G108-H108)</f>
        <v/>
      </c>
      <c r="N108" s="13" t="str">
        <f aca="false">IF($C108="","",IF(I108&lt;=0,"",J108/I108))</f>
        <v/>
      </c>
      <c r="O108" s="13" t="str">
        <f aca="false">IF($C108="","",IF(OR(L108="",J108&lt;=0),"",L108/J108))</f>
        <v/>
      </c>
      <c r="P108" s="13" t="str">
        <f aca="false">IF($C108="","",IF(G108&lt;=0,"",M108/G108))</f>
        <v/>
      </c>
      <c r="Q108" s="13" t="str">
        <f aca="false">IF(OR(N108="",O108="",P108=""),"",N108*O108*P108)</f>
        <v/>
      </c>
      <c r="R108" s="14" t="str">
        <f aca="false">IF($C108="","",IF(K108="","Machine not in Setup",IF(H108&gt;G108,"Rejects &gt; total parts",IF(J108&lt;0,"Downtime &gt; planned time",IF(AND(ISNUMBER(O108),O108&gt;1.05),"Performance &gt; 100%: check cycle time or counts","OK")))))</f>
        <v/>
      </c>
    </row>
    <row r="109" customFormat="false" ht="15" hidden="false" customHeight="false" outlineLevel="0" collapsed="false">
      <c r="A109" s="10"/>
      <c r="B109" s="8"/>
      <c r="C109" s="8"/>
      <c r="D109" s="8"/>
      <c r="E109" s="8"/>
      <c r="F109" s="8"/>
      <c r="G109" s="8"/>
      <c r="H109" s="8"/>
      <c r="I109" s="11" t="str">
        <f aca="false">IF($C109="","",D109-E109)</f>
        <v/>
      </c>
      <c r="J109" s="11" t="str">
        <f aca="false">IF($C109="","",I109-F109)</f>
        <v/>
      </c>
      <c r="K109" s="12" t="str">
        <f aca="false">IF($C109="","",IFERROR(INDEX(Setup!$B$5:$B$24,MATCH($C109,Setup!$A$5:$A$24,0)),""))</f>
        <v/>
      </c>
      <c r="L109" s="12" t="str">
        <f aca="false">IF(OR($C109="",K109=""),"",K109*G109/60)</f>
        <v/>
      </c>
      <c r="M109" s="11" t="str">
        <f aca="false">IF($C109="","",G109-H109)</f>
        <v/>
      </c>
      <c r="N109" s="13" t="str">
        <f aca="false">IF($C109="","",IF(I109&lt;=0,"",J109/I109))</f>
        <v/>
      </c>
      <c r="O109" s="13" t="str">
        <f aca="false">IF($C109="","",IF(OR(L109="",J109&lt;=0),"",L109/J109))</f>
        <v/>
      </c>
      <c r="P109" s="13" t="str">
        <f aca="false">IF($C109="","",IF(G109&lt;=0,"",M109/G109))</f>
        <v/>
      </c>
      <c r="Q109" s="13" t="str">
        <f aca="false">IF(OR(N109="",O109="",P109=""),"",N109*O109*P109)</f>
        <v/>
      </c>
      <c r="R109" s="14" t="str">
        <f aca="false">IF($C109="","",IF(K109="","Machine not in Setup",IF(H109&gt;G109,"Rejects &gt; total parts",IF(J109&lt;0,"Downtime &gt; planned time",IF(AND(ISNUMBER(O109),O109&gt;1.05),"Performance &gt; 100%: check cycle time or counts","OK")))))</f>
        <v/>
      </c>
    </row>
    <row r="110" customFormat="false" ht="15" hidden="false" customHeight="false" outlineLevel="0" collapsed="false">
      <c r="A110" s="10"/>
      <c r="B110" s="8"/>
      <c r="C110" s="8"/>
      <c r="D110" s="8"/>
      <c r="E110" s="8"/>
      <c r="F110" s="8"/>
      <c r="G110" s="8"/>
      <c r="H110" s="8"/>
      <c r="I110" s="11" t="str">
        <f aca="false">IF($C110="","",D110-E110)</f>
        <v/>
      </c>
      <c r="J110" s="11" t="str">
        <f aca="false">IF($C110="","",I110-F110)</f>
        <v/>
      </c>
      <c r="K110" s="12" t="str">
        <f aca="false">IF($C110="","",IFERROR(INDEX(Setup!$B$5:$B$24,MATCH($C110,Setup!$A$5:$A$24,0)),""))</f>
        <v/>
      </c>
      <c r="L110" s="12" t="str">
        <f aca="false">IF(OR($C110="",K110=""),"",K110*G110/60)</f>
        <v/>
      </c>
      <c r="M110" s="11" t="str">
        <f aca="false">IF($C110="","",G110-H110)</f>
        <v/>
      </c>
      <c r="N110" s="13" t="str">
        <f aca="false">IF($C110="","",IF(I110&lt;=0,"",J110/I110))</f>
        <v/>
      </c>
      <c r="O110" s="13" t="str">
        <f aca="false">IF($C110="","",IF(OR(L110="",J110&lt;=0),"",L110/J110))</f>
        <v/>
      </c>
      <c r="P110" s="13" t="str">
        <f aca="false">IF($C110="","",IF(G110&lt;=0,"",M110/G110))</f>
        <v/>
      </c>
      <c r="Q110" s="13" t="str">
        <f aca="false">IF(OR(N110="",O110="",P110=""),"",N110*O110*P110)</f>
        <v/>
      </c>
      <c r="R110" s="14" t="str">
        <f aca="false">IF($C110="","",IF(K110="","Machine not in Setup",IF(H110&gt;G110,"Rejects &gt; total parts",IF(J110&lt;0,"Downtime &gt; planned time",IF(AND(ISNUMBER(O110),O110&gt;1.05),"Performance &gt; 100%: check cycle time or counts","OK")))))</f>
        <v/>
      </c>
    </row>
    <row r="111" customFormat="false" ht="15" hidden="false" customHeight="false" outlineLevel="0" collapsed="false">
      <c r="A111" s="10"/>
      <c r="B111" s="8"/>
      <c r="C111" s="8"/>
      <c r="D111" s="8"/>
      <c r="E111" s="8"/>
      <c r="F111" s="8"/>
      <c r="G111" s="8"/>
      <c r="H111" s="8"/>
      <c r="I111" s="11" t="str">
        <f aca="false">IF($C111="","",D111-E111)</f>
        <v/>
      </c>
      <c r="J111" s="11" t="str">
        <f aca="false">IF($C111="","",I111-F111)</f>
        <v/>
      </c>
      <c r="K111" s="12" t="str">
        <f aca="false">IF($C111="","",IFERROR(INDEX(Setup!$B$5:$B$24,MATCH($C111,Setup!$A$5:$A$24,0)),""))</f>
        <v/>
      </c>
      <c r="L111" s="12" t="str">
        <f aca="false">IF(OR($C111="",K111=""),"",K111*G111/60)</f>
        <v/>
      </c>
      <c r="M111" s="11" t="str">
        <f aca="false">IF($C111="","",G111-H111)</f>
        <v/>
      </c>
      <c r="N111" s="13" t="str">
        <f aca="false">IF($C111="","",IF(I111&lt;=0,"",J111/I111))</f>
        <v/>
      </c>
      <c r="O111" s="13" t="str">
        <f aca="false">IF($C111="","",IF(OR(L111="",J111&lt;=0),"",L111/J111))</f>
        <v/>
      </c>
      <c r="P111" s="13" t="str">
        <f aca="false">IF($C111="","",IF(G111&lt;=0,"",M111/G111))</f>
        <v/>
      </c>
      <c r="Q111" s="13" t="str">
        <f aca="false">IF(OR(N111="",O111="",P111=""),"",N111*O111*P111)</f>
        <v/>
      </c>
      <c r="R111" s="14" t="str">
        <f aca="false">IF($C111="","",IF(K111="","Machine not in Setup",IF(H111&gt;G111,"Rejects &gt; total parts",IF(J111&lt;0,"Downtime &gt; planned time",IF(AND(ISNUMBER(O111),O111&gt;1.05),"Performance &gt; 100%: check cycle time or counts","OK")))))</f>
        <v/>
      </c>
    </row>
    <row r="112" customFormat="false" ht="15" hidden="false" customHeight="false" outlineLevel="0" collapsed="false">
      <c r="A112" s="10"/>
      <c r="B112" s="8"/>
      <c r="C112" s="8"/>
      <c r="D112" s="8"/>
      <c r="E112" s="8"/>
      <c r="F112" s="8"/>
      <c r="G112" s="8"/>
      <c r="H112" s="8"/>
      <c r="I112" s="11" t="str">
        <f aca="false">IF($C112="","",D112-E112)</f>
        <v/>
      </c>
      <c r="J112" s="11" t="str">
        <f aca="false">IF($C112="","",I112-F112)</f>
        <v/>
      </c>
      <c r="K112" s="12" t="str">
        <f aca="false">IF($C112="","",IFERROR(INDEX(Setup!$B$5:$B$24,MATCH($C112,Setup!$A$5:$A$24,0)),""))</f>
        <v/>
      </c>
      <c r="L112" s="12" t="str">
        <f aca="false">IF(OR($C112="",K112=""),"",K112*G112/60)</f>
        <v/>
      </c>
      <c r="M112" s="11" t="str">
        <f aca="false">IF($C112="","",G112-H112)</f>
        <v/>
      </c>
      <c r="N112" s="13" t="str">
        <f aca="false">IF($C112="","",IF(I112&lt;=0,"",J112/I112))</f>
        <v/>
      </c>
      <c r="O112" s="13" t="str">
        <f aca="false">IF($C112="","",IF(OR(L112="",J112&lt;=0),"",L112/J112))</f>
        <v/>
      </c>
      <c r="P112" s="13" t="str">
        <f aca="false">IF($C112="","",IF(G112&lt;=0,"",M112/G112))</f>
        <v/>
      </c>
      <c r="Q112" s="13" t="str">
        <f aca="false">IF(OR(N112="",O112="",P112=""),"",N112*O112*P112)</f>
        <v/>
      </c>
      <c r="R112" s="14" t="str">
        <f aca="false">IF($C112="","",IF(K112="","Machine not in Setup",IF(H112&gt;G112,"Rejects &gt; total parts",IF(J112&lt;0,"Downtime &gt; planned time",IF(AND(ISNUMBER(O112),O112&gt;1.05),"Performance &gt; 100%: check cycle time or counts","OK")))))</f>
        <v/>
      </c>
    </row>
    <row r="113" customFormat="false" ht="15" hidden="false" customHeight="false" outlineLevel="0" collapsed="false">
      <c r="A113" s="10"/>
      <c r="B113" s="8"/>
      <c r="C113" s="8"/>
      <c r="D113" s="8"/>
      <c r="E113" s="8"/>
      <c r="F113" s="8"/>
      <c r="G113" s="8"/>
      <c r="H113" s="8"/>
      <c r="I113" s="11" t="str">
        <f aca="false">IF($C113="","",D113-E113)</f>
        <v/>
      </c>
      <c r="J113" s="11" t="str">
        <f aca="false">IF($C113="","",I113-F113)</f>
        <v/>
      </c>
      <c r="K113" s="12" t="str">
        <f aca="false">IF($C113="","",IFERROR(INDEX(Setup!$B$5:$B$24,MATCH($C113,Setup!$A$5:$A$24,0)),""))</f>
        <v/>
      </c>
      <c r="L113" s="12" t="str">
        <f aca="false">IF(OR($C113="",K113=""),"",K113*G113/60)</f>
        <v/>
      </c>
      <c r="M113" s="11" t="str">
        <f aca="false">IF($C113="","",G113-H113)</f>
        <v/>
      </c>
      <c r="N113" s="13" t="str">
        <f aca="false">IF($C113="","",IF(I113&lt;=0,"",J113/I113))</f>
        <v/>
      </c>
      <c r="O113" s="13" t="str">
        <f aca="false">IF($C113="","",IF(OR(L113="",J113&lt;=0),"",L113/J113))</f>
        <v/>
      </c>
      <c r="P113" s="13" t="str">
        <f aca="false">IF($C113="","",IF(G113&lt;=0,"",M113/G113))</f>
        <v/>
      </c>
      <c r="Q113" s="13" t="str">
        <f aca="false">IF(OR(N113="",O113="",P113=""),"",N113*O113*P113)</f>
        <v/>
      </c>
      <c r="R113" s="14" t="str">
        <f aca="false">IF($C113="","",IF(K113="","Machine not in Setup",IF(H113&gt;G113,"Rejects &gt; total parts",IF(J113&lt;0,"Downtime &gt; planned time",IF(AND(ISNUMBER(O113),O113&gt;1.05),"Performance &gt; 100%: check cycle time or counts","OK")))))</f>
        <v/>
      </c>
    </row>
    <row r="114" customFormat="false" ht="15" hidden="false" customHeight="false" outlineLevel="0" collapsed="false">
      <c r="A114" s="10"/>
      <c r="B114" s="8"/>
      <c r="C114" s="8"/>
      <c r="D114" s="8"/>
      <c r="E114" s="8"/>
      <c r="F114" s="8"/>
      <c r="G114" s="8"/>
      <c r="H114" s="8"/>
      <c r="I114" s="11" t="str">
        <f aca="false">IF($C114="","",D114-E114)</f>
        <v/>
      </c>
      <c r="J114" s="11" t="str">
        <f aca="false">IF($C114="","",I114-F114)</f>
        <v/>
      </c>
      <c r="K114" s="12" t="str">
        <f aca="false">IF($C114="","",IFERROR(INDEX(Setup!$B$5:$B$24,MATCH($C114,Setup!$A$5:$A$24,0)),""))</f>
        <v/>
      </c>
      <c r="L114" s="12" t="str">
        <f aca="false">IF(OR($C114="",K114=""),"",K114*G114/60)</f>
        <v/>
      </c>
      <c r="M114" s="11" t="str">
        <f aca="false">IF($C114="","",G114-H114)</f>
        <v/>
      </c>
      <c r="N114" s="13" t="str">
        <f aca="false">IF($C114="","",IF(I114&lt;=0,"",J114/I114))</f>
        <v/>
      </c>
      <c r="O114" s="13" t="str">
        <f aca="false">IF($C114="","",IF(OR(L114="",J114&lt;=0),"",L114/J114))</f>
        <v/>
      </c>
      <c r="P114" s="13" t="str">
        <f aca="false">IF($C114="","",IF(G114&lt;=0,"",M114/G114))</f>
        <v/>
      </c>
      <c r="Q114" s="13" t="str">
        <f aca="false">IF(OR(N114="",O114="",P114=""),"",N114*O114*P114)</f>
        <v/>
      </c>
      <c r="R114" s="14" t="str">
        <f aca="false">IF($C114="","",IF(K114="","Machine not in Setup",IF(H114&gt;G114,"Rejects &gt; total parts",IF(J114&lt;0,"Downtime &gt; planned time",IF(AND(ISNUMBER(O114),O114&gt;1.05),"Performance &gt; 100%: check cycle time or counts","OK")))))</f>
        <v/>
      </c>
    </row>
    <row r="115" customFormat="false" ht="15" hidden="false" customHeight="false" outlineLevel="0" collapsed="false">
      <c r="A115" s="10"/>
      <c r="B115" s="8"/>
      <c r="C115" s="8"/>
      <c r="D115" s="8"/>
      <c r="E115" s="8"/>
      <c r="F115" s="8"/>
      <c r="G115" s="8"/>
      <c r="H115" s="8"/>
      <c r="I115" s="11" t="str">
        <f aca="false">IF($C115="","",D115-E115)</f>
        <v/>
      </c>
      <c r="J115" s="11" t="str">
        <f aca="false">IF($C115="","",I115-F115)</f>
        <v/>
      </c>
      <c r="K115" s="12" t="str">
        <f aca="false">IF($C115="","",IFERROR(INDEX(Setup!$B$5:$B$24,MATCH($C115,Setup!$A$5:$A$24,0)),""))</f>
        <v/>
      </c>
      <c r="L115" s="12" t="str">
        <f aca="false">IF(OR($C115="",K115=""),"",K115*G115/60)</f>
        <v/>
      </c>
      <c r="M115" s="11" t="str">
        <f aca="false">IF($C115="","",G115-H115)</f>
        <v/>
      </c>
      <c r="N115" s="13" t="str">
        <f aca="false">IF($C115="","",IF(I115&lt;=0,"",J115/I115))</f>
        <v/>
      </c>
      <c r="O115" s="13" t="str">
        <f aca="false">IF($C115="","",IF(OR(L115="",J115&lt;=0),"",L115/J115))</f>
        <v/>
      </c>
      <c r="P115" s="13" t="str">
        <f aca="false">IF($C115="","",IF(G115&lt;=0,"",M115/G115))</f>
        <v/>
      </c>
      <c r="Q115" s="13" t="str">
        <f aca="false">IF(OR(N115="",O115="",P115=""),"",N115*O115*P115)</f>
        <v/>
      </c>
      <c r="R115" s="14" t="str">
        <f aca="false">IF($C115="","",IF(K115="","Machine not in Setup",IF(H115&gt;G115,"Rejects &gt; total parts",IF(J115&lt;0,"Downtime &gt; planned time",IF(AND(ISNUMBER(O115),O115&gt;1.05),"Performance &gt; 100%: check cycle time or counts","OK")))))</f>
        <v/>
      </c>
    </row>
    <row r="116" customFormat="false" ht="15" hidden="false" customHeight="false" outlineLevel="0" collapsed="false">
      <c r="A116" s="10"/>
      <c r="B116" s="8"/>
      <c r="C116" s="8"/>
      <c r="D116" s="8"/>
      <c r="E116" s="8"/>
      <c r="F116" s="8"/>
      <c r="G116" s="8"/>
      <c r="H116" s="8"/>
      <c r="I116" s="11" t="str">
        <f aca="false">IF($C116="","",D116-E116)</f>
        <v/>
      </c>
      <c r="J116" s="11" t="str">
        <f aca="false">IF($C116="","",I116-F116)</f>
        <v/>
      </c>
      <c r="K116" s="12" t="str">
        <f aca="false">IF($C116="","",IFERROR(INDEX(Setup!$B$5:$B$24,MATCH($C116,Setup!$A$5:$A$24,0)),""))</f>
        <v/>
      </c>
      <c r="L116" s="12" t="str">
        <f aca="false">IF(OR($C116="",K116=""),"",K116*G116/60)</f>
        <v/>
      </c>
      <c r="M116" s="11" t="str">
        <f aca="false">IF($C116="","",G116-H116)</f>
        <v/>
      </c>
      <c r="N116" s="13" t="str">
        <f aca="false">IF($C116="","",IF(I116&lt;=0,"",J116/I116))</f>
        <v/>
      </c>
      <c r="O116" s="13" t="str">
        <f aca="false">IF($C116="","",IF(OR(L116="",J116&lt;=0),"",L116/J116))</f>
        <v/>
      </c>
      <c r="P116" s="13" t="str">
        <f aca="false">IF($C116="","",IF(G116&lt;=0,"",M116/G116))</f>
        <v/>
      </c>
      <c r="Q116" s="13" t="str">
        <f aca="false">IF(OR(N116="",O116="",P116=""),"",N116*O116*P116)</f>
        <v/>
      </c>
      <c r="R116" s="14" t="str">
        <f aca="false">IF($C116="","",IF(K116="","Machine not in Setup",IF(H116&gt;G116,"Rejects &gt; total parts",IF(J116&lt;0,"Downtime &gt; planned time",IF(AND(ISNUMBER(O116),O116&gt;1.05),"Performance &gt; 100%: check cycle time or counts","OK")))))</f>
        <v/>
      </c>
    </row>
    <row r="117" customFormat="false" ht="15" hidden="false" customHeight="false" outlineLevel="0" collapsed="false">
      <c r="A117" s="10"/>
      <c r="B117" s="8"/>
      <c r="C117" s="8"/>
      <c r="D117" s="8"/>
      <c r="E117" s="8"/>
      <c r="F117" s="8"/>
      <c r="G117" s="8"/>
      <c r="H117" s="8"/>
      <c r="I117" s="11" t="str">
        <f aca="false">IF($C117="","",D117-E117)</f>
        <v/>
      </c>
      <c r="J117" s="11" t="str">
        <f aca="false">IF($C117="","",I117-F117)</f>
        <v/>
      </c>
      <c r="K117" s="12" t="str">
        <f aca="false">IF($C117="","",IFERROR(INDEX(Setup!$B$5:$B$24,MATCH($C117,Setup!$A$5:$A$24,0)),""))</f>
        <v/>
      </c>
      <c r="L117" s="12" t="str">
        <f aca="false">IF(OR($C117="",K117=""),"",K117*G117/60)</f>
        <v/>
      </c>
      <c r="M117" s="11" t="str">
        <f aca="false">IF($C117="","",G117-H117)</f>
        <v/>
      </c>
      <c r="N117" s="13" t="str">
        <f aca="false">IF($C117="","",IF(I117&lt;=0,"",J117/I117))</f>
        <v/>
      </c>
      <c r="O117" s="13" t="str">
        <f aca="false">IF($C117="","",IF(OR(L117="",J117&lt;=0),"",L117/J117))</f>
        <v/>
      </c>
      <c r="P117" s="13" t="str">
        <f aca="false">IF($C117="","",IF(G117&lt;=0,"",M117/G117))</f>
        <v/>
      </c>
      <c r="Q117" s="13" t="str">
        <f aca="false">IF(OR(N117="",O117="",P117=""),"",N117*O117*P117)</f>
        <v/>
      </c>
      <c r="R117" s="14" t="str">
        <f aca="false">IF($C117="","",IF(K117="","Machine not in Setup",IF(H117&gt;G117,"Rejects &gt; total parts",IF(J117&lt;0,"Downtime &gt; planned time",IF(AND(ISNUMBER(O117),O117&gt;1.05),"Performance &gt; 100%: check cycle time or counts","OK")))))</f>
        <v/>
      </c>
    </row>
    <row r="118" customFormat="false" ht="15" hidden="false" customHeight="false" outlineLevel="0" collapsed="false">
      <c r="A118" s="10"/>
      <c r="B118" s="8"/>
      <c r="C118" s="8"/>
      <c r="D118" s="8"/>
      <c r="E118" s="8"/>
      <c r="F118" s="8"/>
      <c r="G118" s="8"/>
      <c r="H118" s="8"/>
      <c r="I118" s="11" t="str">
        <f aca="false">IF($C118="","",D118-E118)</f>
        <v/>
      </c>
      <c r="J118" s="11" t="str">
        <f aca="false">IF($C118="","",I118-F118)</f>
        <v/>
      </c>
      <c r="K118" s="12" t="str">
        <f aca="false">IF($C118="","",IFERROR(INDEX(Setup!$B$5:$B$24,MATCH($C118,Setup!$A$5:$A$24,0)),""))</f>
        <v/>
      </c>
      <c r="L118" s="12" t="str">
        <f aca="false">IF(OR($C118="",K118=""),"",K118*G118/60)</f>
        <v/>
      </c>
      <c r="M118" s="11" t="str">
        <f aca="false">IF($C118="","",G118-H118)</f>
        <v/>
      </c>
      <c r="N118" s="13" t="str">
        <f aca="false">IF($C118="","",IF(I118&lt;=0,"",J118/I118))</f>
        <v/>
      </c>
      <c r="O118" s="13" t="str">
        <f aca="false">IF($C118="","",IF(OR(L118="",J118&lt;=0),"",L118/J118))</f>
        <v/>
      </c>
      <c r="P118" s="13" t="str">
        <f aca="false">IF($C118="","",IF(G118&lt;=0,"",M118/G118))</f>
        <v/>
      </c>
      <c r="Q118" s="13" t="str">
        <f aca="false">IF(OR(N118="",O118="",P118=""),"",N118*O118*P118)</f>
        <v/>
      </c>
      <c r="R118" s="14" t="str">
        <f aca="false">IF($C118="","",IF(K118="","Machine not in Setup",IF(H118&gt;G118,"Rejects &gt; total parts",IF(J118&lt;0,"Downtime &gt; planned time",IF(AND(ISNUMBER(O118),O118&gt;1.05),"Performance &gt; 100%: check cycle time or counts","OK")))))</f>
        <v/>
      </c>
    </row>
    <row r="119" customFormat="false" ht="15" hidden="false" customHeight="false" outlineLevel="0" collapsed="false">
      <c r="A119" s="10"/>
      <c r="B119" s="8"/>
      <c r="C119" s="8"/>
      <c r="D119" s="8"/>
      <c r="E119" s="8"/>
      <c r="F119" s="8"/>
      <c r="G119" s="8"/>
      <c r="H119" s="8"/>
      <c r="I119" s="11" t="str">
        <f aca="false">IF($C119="","",D119-E119)</f>
        <v/>
      </c>
      <c r="J119" s="11" t="str">
        <f aca="false">IF($C119="","",I119-F119)</f>
        <v/>
      </c>
      <c r="K119" s="12" t="str">
        <f aca="false">IF($C119="","",IFERROR(INDEX(Setup!$B$5:$B$24,MATCH($C119,Setup!$A$5:$A$24,0)),""))</f>
        <v/>
      </c>
      <c r="L119" s="12" t="str">
        <f aca="false">IF(OR($C119="",K119=""),"",K119*G119/60)</f>
        <v/>
      </c>
      <c r="M119" s="11" t="str">
        <f aca="false">IF($C119="","",G119-H119)</f>
        <v/>
      </c>
      <c r="N119" s="13" t="str">
        <f aca="false">IF($C119="","",IF(I119&lt;=0,"",J119/I119))</f>
        <v/>
      </c>
      <c r="O119" s="13" t="str">
        <f aca="false">IF($C119="","",IF(OR(L119="",J119&lt;=0),"",L119/J119))</f>
        <v/>
      </c>
      <c r="P119" s="13" t="str">
        <f aca="false">IF($C119="","",IF(G119&lt;=0,"",M119/G119))</f>
        <v/>
      </c>
      <c r="Q119" s="13" t="str">
        <f aca="false">IF(OR(N119="",O119="",P119=""),"",N119*O119*P119)</f>
        <v/>
      </c>
      <c r="R119" s="14" t="str">
        <f aca="false">IF($C119="","",IF(K119="","Machine not in Setup",IF(H119&gt;G119,"Rejects &gt; total parts",IF(J119&lt;0,"Downtime &gt; planned time",IF(AND(ISNUMBER(O119),O119&gt;1.05),"Performance &gt; 100%: check cycle time or counts","OK")))))</f>
        <v/>
      </c>
    </row>
    <row r="120" customFormat="false" ht="15" hidden="false" customHeight="false" outlineLevel="0" collapsed="false">
      <c r="A120" s="10"/>
      <c r="B120" s="8"/>
      <c r="C120" s="8"/>
      <c r="D120" s="8"/>
      <c r="E120" s="8"/>
      <c r="F120" s="8"/>
      <c r="G120" s="8"/>
      <c r="H120" s="8"/>
      <c r="I120" s="11" t="str">
        <f aca="false">IF($C120="","",D120-E120)</f>
        <v/>
      </c>
      <c r="J120" s="11" t="str">
        <f aca="false">IF($C120="","",I120-F120)</f>
        <v/>
      </c>
      <c r="K120" s="12" t="str">
        <f aca="false">IF($C120="","",IFERROR(INDEX(Setup!$B$5:$B$24,MATCH($C120,Setup!$A$5:$A$24,0)),""))</f>
        <v/>
      </c>
      <c r="L120" s="12" t="str">
        <f aca="false">IF(OR($C120="",K120=""),"",K120*G120/60)</f>
        <v/>
      </c>
      <c r="M120" s="11" t="str">
        <f aca="false">IF($C120="","",G120-H120)</f>
        <v/>
      </c>
      <c r="N120" s="13" t="str">
        <f aca="false">IF($C120="","",IF(I120&lt;=0,"",J120/I120))</f>
        <v/>
      </c>
      <c r="O120" s="13" t="str">
        <f aca="false">IF($C120="","",IF(OR(L120="",J120&lt;=0),"",L120/J120))</f>
        <v/>
      </c>
      <c r="P120" s="13" t="str">
        <f aca="false">IF($C120="","",IF(G120&lt;=0,"",M120/G120))</f>
        <v/>
      </c>
      <c r="Q120" s="13" t="str">
        <f aca="false">IF(OR(N120="",O120="",P120=""),"",N120*O120*P120)</f>
        <v/>
      </c>
      <c r="R120" s="14" t="str">
        <f aca="false">IF($C120="","",IF(K120="","Machine not in Setup",IF(H120&gt;G120,"Rejects &gt; total parts",IF(J120&lt;0,"Downtime &gt; planned time",IF(AND(ISNUMBER(O120),O120&gt;1.05),"Performance &gt; 100%: check cycle time or counts","OK")))))</f>
        <v/>
      </c>
    </row>
    <row r="121" customFormat="false" ht="15" hidden="false" customHeight="false" outlineLevel="0" collapsed="false">
      <c r="A121" s="10"/>
      <c r="B121" s="8"/>
      <c r="C121" s="8"/>
      <c r="D121" s="8"/>
      <c r="E121" s="8"/>
      <c r="F121" s="8"/>
      <c r="G121" s="8"/>
      <c r="H121" s="8"/>
      <c r="I121" s="11" t="str">
        <f aca="false">IF($C121="","",D121-E121)</f>
        <v/>
      </c>
      <c r="J121" s="11" t="str">
        <f aca="false">IF($C121="","",I121-F121)</f>
        <v/>
      </c>
      <c r="K121" s="12" t="str">
        <f aca="false">IF($C121="","",IFERROR(INDEX(Setup!$B$5:$B$24,MATCH($C121,Setup!$A$5:$A$24,0)),""))</f>
        <v/>
      </c>
      <c r="L121" s="12" t="str">
        <f aca="false">IF(OR($C121="",K121=""),"",K121*G121/60)</f>
        <v/>
      </c>
      <c r="M121" s="11" t="str">
        <f aca="false">IF($C121="","",G121-H121)</f>
        <v/>
      </c>
      <c r="N121" s="13" t="str">
        <f aca="false">IF($C121="","",IF(I121&lt;=0,"",J121/I121))</f>
        <v/>
      </c>
      <c r="O121" s="13" t="str">
        <f aca="false">IF($C121="","",IF(OR(L121="",J121&lt;=0),"",L121/J121))</f>
        <v/>
      </c>
      <c r="P121" s="13" t="str">
        <f aca="false">IF($C121="","",IF(G121&lt;=0,"",M121/G121))</f>
        <v/>
      </c>
      <c r="Q121" s="13" t="str">
        <f aca="false">IF(OR(N121="",O121="",P121=""),"",N121*O121*P121)</f>
        <v/>
      </c>
      <c r="R121" s="14" t="str">
        <f aca="false">IF($C121="","",IF(K121="","Machine not in Setup",IF(H121&gt;G121,"Rejects &gt; total parts",IF(J121&lt;0,"Downtime &gt; planned time",IF(AND(ISNUMBER(O121),O121&gt;1.05),"Performance &gt; 100%: check cycle time or counts","OK")))))</f>
        <v/>
      </c>
    </row>
    <row r="122" customFormat="false" ht="15" hidden="false" customHeight="false" outlineLevel="0" collapsed="false">
      <c r="A122" s="10"/>
      <c r="B122" s="8"/>
      <c r="C122" s="8"/>
      <c r="D122" s="8"/>
      <c r="E122" s="8"/>
      <c r="F122" s="8"/>
      <c r="G122" s="8"/>
      <c r="H122" s="8"/>
      <c r="I122" s="11" t="str">
        <f aca="false">IF($C122="","",D122-E122)</f>
        <v/>
      </c>
      <c r="J122" s="11" t="str">
        <f aca="false">IF($C122="","",I122-F122)</f>
        <v/>
      </c>
      <c r="K122" s="12" t="str">
        <f aca="false">IF($C122="","",IFERROR(INDEX(Setup!$B$5:$B$24,MATCH($C122,Setup!$A$5:$A$24,0)),""))</f>
        <v/>
      </c>
      <c r="L122" s="12" t="str">
        <f aca="false">IF(OR($C122="",K122=""),"",K122*G122/60)</f>
        <v/>
      </c>
      <c r="M122" s="11" t="str">
        <f aca="false">IF($C122="","",G122-H122)</f>
        <v/>
      </c>
      <c r="N122" s="13" t="str">
        <f aca="false">IF($C122="","",IF(I122&lt;=0,"",J122/I122))</f>
        <v/>
      </c>
      <c r="O122" s="13" t="str">
        <f aca="false">IF($C122="","",IF(OR(L122="",J122&lt;=0),"",L122/J122))</f>
        <v/>
      </c>
      <c r="P122" s="13" t="str">
        <f aca="false">IF($C122="","",IF(G122&lt;=0,"",M122/G122))</f>
        <v/>
      </c>
      <c r="Q122" s="13" t="str">
        <f aca="false">IF(OR(N122="",O122="",P122=""),"",N122*O122*P122)</f>
        <v/>
      </c>
      <c r="R122" s="14" t="str">
        <f aca="false">IF($C122="","",IF(K122="","Machine not in Setup",IF(H122&gt;G122,"Rejects &gt; total parts",IF(J122&lt;0,"Downtime &gt; planned time",IF(AND(ISNUMBER(O122),O122&gt;1.05),"Performance &gt; 100%: check cycle time or counts","OK")))))</f>
        <v/>
      </c>
    </row>
    <row r="123" customFormat="false" ht="15" hidden="false" customHeight="false" outlineLevel="0" collapsed="false">
      <c r="A123" s="10"/>
      <c r="B123" s="8"/>
      <c r="C123" s="8"/>
      <c r="D123" s="8"/>
      <c r="E123" s="8"/>
      <c r="F123" s="8"/>
      <c r="G123" s="8"/>
      <c r="H123" s="8"/>
      <c r="I123" s="11" t="str">
        <f aca="false">IF($C123="","",D123-E123)</f>
        <v/>
      </c>
      <c r="J123" s="11" t="str">
        <f aca="false">IF($C123="","",I123-F123)</f>
        <v/>
      </c>
      <c r="K123" s="12" t="str">
        <f aca="false">IF($C123="","",IFERROR(INDEX(Setup!$B$5:$B$24,MATCH($C123,Setup!$A$5:$A$24,0)),""))</f>
        <v/>
      </c>
      <c r="L123" s="12" t="str">
        <f aca="false">IF(OR($C123="",K123=""),"",K123*G123/60)</f>
        <v/>
      </c>
      <c r="M123" s="11" t="str">
        <f aca="false">IF($C123="","",G123-H123)</f>
        <v/>
      </c>
      <c r="N123" s="13" t="str">
        <f aca="false">IF($C123="","",IF(I123&lt;=0,"",J123/I123))</f>
        <v/>
      </c>
      <c r="O123" s="13" t="str">
        <f aca="false">IF($C123="","",IF(OR(L123="",J123&lt;=0),"",L123/J123))</f>
        <v/>
      </c>
      <c r="P123" s="13" t="str">
        <f aca="false">IF($C123="","",IF(G123&lt;=0,"",M123/G123))</f>
        <v/>
      </c>
      <c r="Q123" s="13" t="str">
        <f aca="false">IF(OR(N123="",O123="",P123=""),"",N123*O123*P123)</f>
        <v/>
      </c>
      <c r="R123" s="14" t="str">
        <f aca="false">IF($C123="","",IF(K123="","Machine not in Setup",IF(H123&gt;G123,"Rejects &gt; total parts",IF(J123&lt;0,"Downtime &gt; planned time",IF(AND(ISNUMBER(O123),O123&gt;1.05),"Performance &gt; 100%: check cycle time or counts","OK")))))</f>
        <v/>
      </c>
    </row>
    <row r="124" customFormat="false" ht="15" hidden="false" customHeight="false" outlineLevel="0" collapsed="false">
      <c r="A124" s="10"/>
      <c r="B124" s="8"/>
      <c r="C124" s="8"/>
      <c r="D124" s="8"/>
      <c r="E124" s="8"/>
      <c r="F124" s="8"/>
      <c r="G124" s="8"/>
      <c r="H124" s="8"/>
      <c r="I124" s="11" t="str">
        <f aca="false">IF($C124="","",D124-E124)</f>
        <v/>
      </c>
      <c r="J124" s="11" t="str">
        <f aca="false">IF($C124="","",I124-F124)</f>
        <v/>
      </c>
      <c r="K124" s="12" t="str">
        <f aca="false">IF($C124="","",IFERROR(INDEX(Setup!$B$5:$B$24,MATCH($C124,Setup!$A$5:$A$24,0)),""))</f>
        <v/>
      </c>
      <c r="L124" s="12" t="str">
        <f aca="false">IF(OR($C124="",K124=""),"",K124*G124/60)</f>
        <v/>
      </c>
      <c r="M124" s="11" t="str">
        <f aca="false">IF($C124="","",G124-H124)</f>
        <v/>
      </c>
      <c r="N124" s="13" t="str">
        <f aca="false">IF($C124="","",IF(I124&lt;=0,"",J124/I124))</f>
        <v/>
      </c>
      <c r="O124" s="13" t="str">
        <f aca="false">IF($C124="","",IF(OR(L124="",J124&lt;=0),"",L124/J124))</f>
        <v/>
      </c>
      <c r="P124" s="13" t="str">
        <f aca="false">IF($C124="","",IF(G124&lt;=0,"",M124/G124))</f>
        <v/>
      </c>
      <c r="Q124" s="13" t="str">
        <f aca="false">IF(OR(N124="",O124="",P124=""),"",N124*O124*P124)</f>
        <v/>
      </c>
      <c r="R124" s="14" t="str">
        <f aca="false">IF($C124="","",IF(K124="","Machine not in Setup",IF(H124&gt;G124,"Rejects &gt; total parts",IF(J124&lt;0,"Downtime &gt; planned time",IF(AND(ISNUMBER(O124),O124&gt;1.05),"Performance &gt; 100%: check cycle time or counts","OK")))))</f>
        <v/>
      </c>
    </row>
    <row r="125" customFormat="false" ht="15" hidden="false" customHeight="false" outlineLevel="0" collapsed="false">
      <c r="A125" s="10"/>
      <c r="B125" s="8"/>
      <c r="C125" s="8"/>
      <c r="D125" s="8"/>
      <c r="E125" s="8"/>
      <c r="F125" s="8"/>
      <c r="G125" s="8"/>
      <c r="H125" s="8"/>
      <c r="I125" s="11" t="str">
        <f aca="false">IF($C125="","",D125-E125)</f>
        <v/>
      </c>
      <c r="J125" s="11" t="str">
        <f aca="false">IF($C125="","",I125-F125)</f>
        <v/>
      </c>
      <c r="K125" s="12" t="str">
        <f aca="false">IF($C125="","",IFERROR(INDEX(Setup!$B$5:$B$24,MATCH($C125,Setup!$A$5:$A$24,0)),""))</f>
        <v/>
      </c>
      <c r="L125" s="12" t="str">
        <f aca="false">IF(OR($C125="",K125=""),"",K125*G125/60)</f>
        <v/>
      </c>
      <c r="M125" s="11" t="str">
        <f aca="false">IF($C125="","",G125-H125)</f>
        <v/>
      </c>
      <c r="N125" s="13" t="str">
        <f aca="false">IF($C125="","",IF(I125&lt;=0,"",J125/I125))</f>
        <v/>
      </c>
      <c r="O125" s="13" t="str">
        <f aca="false">IF($C125="","",IF(OR(L125="",J125&lt;=0),"",L125/J125))</f>
        <v/>
      </c>
      <c r="P125" s="13" t="str">
        <f aca="false">IF($C125="","",IF(G125&lt;=0,"",M125/G125))</f>
        <v/>
      </c>
      <c r="Q125" s="13" t="str">
        <f aca="false">IF(OR(N125="",O125="",P125=""),"",N125*O125*P125)</f>
        <v/>
      </c>
      <c r="R125" s="14" t="str">
        <f aca="false">IF($C125="","",IF(K125="","Machine not in Setup",IF(H125&gt;G125,"Rejects &gt; total parts",IF(J125&lt;0,"Downtime &gt; planned time",IF(AND(ISNUMBER(O125),O125&gt;1.05),"Performance &gt; 100%: check cycle time or counts","OK")))))</f>
        <v/>
      </c>
    </row>
    <row r="126" customFormat="false" ht="15" hidden="false" customHeight="false" outlineLevel="0" collapsed="false">
      <c r="A126" s="10"/>
      <c r="B126" s="8"/>
      <c r="C126" s="8"/>
      <c r="D126" s="8"/>
      <c r="E126" s="8"/>
      <c r="F126" s="8"/>
      <c r="G126" s="8"/>
      <c r="H126" s="8"/>
      <c r="I126" s="11" t="str">
        <f aca="false">IF($C126="","",D126-E126)</f>
        <v/>
      </c>
      <c r="J126" s="11" t="str">
        <f aca="false">IF($C126="","",I126-F126)</f>
        <v/>
      </c>
      <c r="K126" s="12" t="str">
        <f aca="false">IF($C126="","",IFERROR(INDEX(Setup!$B$5:$B$24,MATCH($C126,Setup!$A$5:$A$24,0)),""))</f>
        <v/>
      </c>
      <c r="L126" s="12" t="str">
        <f aca="false">IF(OR($C126="",K126=""),"",K126*G126/60)</f>
        <v/>
      </c>
      <c r="M126" s="11" t="str">
        <f aca="false">IF($C126="","",G126-H126)</f>
        <v/>
      </c>
      <c r="N126" s="13" t="str">
        <f aca="false">IF($C126="","",IF(I126&lt;=0,"",J126/I126))</f>
        <v/>
      </c>
      <c r="O126" s="13" t="str">
        <f aca="false">IF($C126="","",IF(OR(L126="",J126&lt;=0),"",L126/J126))</f>
        <v/>
      </c>
      <c r="P126" s="13" t="str">
        <f aca="false">IF($C126="","",IF(G126&lt;=0,"",M126/G126))</f>
        <v/>
      </c>
      <c r="Q126" s="13" t="str">
        <f aca="false">IF(OR(N126="",O126="",P126=""),"",N126*O126*P126)</f>
        <v/>
      </c>
      <c r="R126" s="14" t="str">
        <f aca="false">IF($C126="","",IF(K126="","Machine not in Setup",IF(H126&gt;G126,"Rejects &gt; total parts",IF(J126&lt;0,"Downtime &gt; planned time",IF(AND(ISNUMBER(O126),O126&gt;1.05),"Performance &gt; 100%: check cycle time or counts","OK")))))</f>
        <v/>
      </c>
    </row>
    <row r="127" customFormat="false" ht="15" hidden="false" customHeight="false" outlineLevel="0" collapsed="false">
      <c r="A127" s="10"/>
      <c r="B127" s="8"/>
      <c r="C127" s="8"/>
      <c r="D127" s="8"/>
      <c r="E127" s="8"/>
      <c r="F127" s="8"/>
      <c r="G127" s="8"/>
      <c r="H127" s="8"/>
      <c r="I127" s="11" t="str">
        <f aca="false">IF($C127="","",D127-E127)</f>
        <v/>
      </c>
      <c r="J127" s="11" t="str">
        <f aca="false">IF($C127="","",I127-F127)</f>
        <v/>
      </c>
      <c r="K127" s="12" t="str">
        <f aca="false">IF($C127="","",IFERROR(INDEX(Setup!$B$5:$B$24,MATCH($C127,Setup!$A$5:$A$24,0)),""))</f>
        <v/>
      </c>
      <c r="L127" s="12" t="str">
        <f aca="false">IF(OR($C127="",K127=""),"",K127*G127/60)</f>
        <v/>
      </c>
      <c r="M127" s="11" t="str">
        <f aca="false">IF($C127="","",G127-H127)</f>
        <v/>
      </c>
      <c r="N127" s="13" t="str">
        <f aca="false">IF($C127="","",IF(I127&lt;=0,"",J127/I127))</f>
        <v/>
      </c>
      <c r="O127" s="13" t="str">
        <f aca="false">IF($C127="","",IF(OR(L127="",J127&lt;=0),"",L127/J127))</f>
        <v/>
      </c>
      <c r="P127" s="13" t="str">
        <f aca="false">IF($C127="","",IF(G127&lt;=0,"",M127/G127))</f>
        <v/>
      </c>
      <c r="Q127" s="13" t="str">
        <f aca="false">IF(OR(N127="",O127="",P127=""),"",N127*O127*P127)</f>
        <v/>
      </c>
      <c r="R127" s="14" t="str">
        <f aca="false">IF($C127="","",IF(K127="","Machine not in Setup",IF(H127&gt;G127,"Rejects &gt; total parts",IF(J127&lt;0,"Downtime &gt; planned time",IF(AND(ISNUMBER(O127),O127&gt;1.05),"Performance &gt; 100%: check cycle time or counts","OK")))))</f>
        <v/>
      </c>
    </row>
    <row r="128" customFormat="false" ht="15" hidden="false" customHeight="false" outlineLevel="0" collapsed="false">
      <c r="A128" s="10"/>
      <c r="B128" s="8"/>
      <c r="C128" s="8"/>
      <c r="D128" s="8"/>
      <c r="E128" s="8"/>
      <c r="F128" s="8"/>
      <c r="G128" s="8"/>
      <c r="H128" s="8"/>
      <c r="I128" s="11" t="str">
        <f aca="false">IF($C128="","",D128-E128)</f>
        <v/>
      </c>
      <c r="J128" s="11" t="str">
        <f aca="false">IF($C128="","",I128-F128)</f>
        <v/>
      </c>
      <c r="K128" s="12" t="str">
        <f aca="false">IF($C128="","",IFERROR(INDEX(Setup!$B$5:$B$24,MATCH($C128,Setup!$A$5:$A$24,0)),""))</f>
        <v/>
      </c>
      <c r="L128" s="12" t="str">
        <f aca="false">IF(OR($C128="",K128=""),"",K128*G128/60)</f>
        <v/>
      </c>
      <c r="M128" s="11" t="str">
        <f aca="false">IF($C128="","",G128-H128)</f>
        <v/>
      </c>
      <c r="N128" s="13" t="str">
        <f aca="false">IF($C128="","",IF(I128&lt;=0,"",J128/I128))</f>
        <v/>
      </c>
      <c r="O128" s="13" t="str">
        <f aca="false">IF($C128="","",IF(OR(L128="",J128&lt;=0),"",L128/J128))</f>
        <v/>
      </c>
      <c r="P128" s="13" t="str">
        <f aca="false">IF($C128="","",IF(G128&lt;=0,"",M128/G128))</f>
        <v/>
      </c>
      <c r="Q128" s="13" t="str">
        <f aca="false">IF(OR(N128="",O128="",P128=""),"",N128*O128*P128)</f>
        <v/>
      </c>
      <c r="R128" s="14" t="str">
        <f aca="false">IF($C128="","",IF(K128="","Machine not in Setup",IF(H128&gt;G128,"Rejects &gt; total parts",IF(J128&lt;0,"Downtime &gt; planned time",IF(AND(ISNUMBER(O128),O128&gt;1.05),"Performance &gt; 100%: check cycle time or counts","OK")))))</f>
        <v/>
      </c>
    </row>
    <row r="129" customFormat="false" ht="15" hidden="false" customHeight="false" outlineLevel="0" collapsed="false">
      <c r="A129" s="10"/>
      <c r="B129" s="8"/>
      <c r="C129" s="8"/>
      <c r="D129" s="8"/>
      <c r="E129" s="8"/>
      <c r="F129" s="8"/>
      <c r="G129" s="8"/>
      <c r="H129" s="8"/>
      <c r="I129" s="11" t="str">
        <f aca="false">IF($C129="","",D129-E129)</f>
        <v/>
      </c>
      <c r="J129" s="11" t="str">
        <f aca="false">IF($C129="","",I129-F129)</f>
        <v/>
      </c>
      <c r="K129" s="12" t="str">
        <f aca="false">IF($C129="","",IFERROR(INDEX(Setup!$B$5:$B$24,MATCH($C129,Setup!$A$5:$A$24,0)),""))</f>
        <v/>
      </c>
      <c r="L129" s="12" t="str">
        <f aca="false">IF(OR($C129="",K129=""),"",K129*G129/60)</f>
        <v/>
      </c>
      <c r="M129" s="11" t="str">
        <f aca="false">IF($C129="","",G129-H129)</f>
        <v/>
      </c>
      <c r="N129" s="13" t="str">
        <f aca="false">IF($C129="","",IF(I129&lt;=0,"",J129/I129))</f>
        <v/>
      </c>
      <c r="O129" s="13" t="str">
        <f aca="false">IF($C129="","",IF(OR(L129="",J129&lt;=0),"",L129/J129))</f>
        <v/>
      </c>
      <c r="P129" s="13" t="str">
        <f aca="false">IF($C129="","",IF(G129&lt;=0,"",M129/G129))</f>
        <v/>
      </c>
      <c r="Q129" s="13" t="str">
        <f aca="false">IF(OR(N129="",O129="",P129=""),"",N129*O129*P129)</f>
        <v/>
      </c>
      <c r="R129" s="14" t="str">
        <f aca="false">IF($C129="","",IF(K129="","Machine not in Setup",IF(H129&gt;G129,"Rejects &gt; total parts",IF(J129&lt;0,"Downtime &gt; planned time",IF(AND(ISNUMBER(O129),O129&gt;1.05),"Performance &gt; 100%: check cycle time or counts","OK")))))</f>
        <v/>
      </c>
    </row>
    <row r="130" customFormat="false" ht="15" hidden="false" customHeight="false" outlineLevel="0" collapsed="false">
      <c r="A130" s="10"/>
      <c r="B130" s="8"/>
      <c r="C130" s="8"/>
      <c r="D130" s="8"/>
      <c r="E130" s="8"/>
      <c r="F130" s="8"/>
      <c r="G130" s="8"/>
      <c r="H130" s="8"/>
      <c r="I130" s="11" t="str">
        <f aca="false">IF($C130="","",D130-E130)</f>
        <v/>
      </c>
      <c r="J130" s="11" t="str">
        <f aca="false">IF($C130="","",I130-F130)</f>
        <v/>
      </c>
      <c r="K130" s="12" t="str">
        <f aca="false">IF($C130="","",IFERROR(INDEX(Setup!$B$5:$B$24,MATCH($C130,Setup!$A$5:$A$24,0)),""))</f>
        <v/>
      </c>
      <c r="L130" s="12" t="str">
        <f aca="false">IF(OR($C130="",K130=""),"",K130*G130/60)</f>
        <v/>
      </c>
      <c r="M130" s="11" t="str">
        <f aca="false">IF($C130="","",G130-H130)</f>
        <v/>
      </c>
      <c r="N130" s="13" t="str">
        <f aca="false">IF($C130="","",IF(I130&lt;=0,"",J130/I130))</f>
        <v/>
      </c>
      <c r="O130" s="13" t="str">
        <f aca="false">IF($C130="","",IF(OR(L130="",J130&lt;=0),"",L130/J130))</f>
        <v/>
      </c>
      <c r="P130" s="13" t="str">
        <f aca="false">IF($C130="","",IF(G130&lt;=0,"",M130/G130))</f>
        <v/>
      </c>
      <c r="Q130" s="13" t="str">
        <f aca="false">IF(OR(N130="",O130="",P130=""),"",N130*O130*P130)</f>
        <v/>
      </c>
      <c r="R130" s="14" t="str">
        <f aca="false">IF($C130="","",IF(K130="","Machine not in Setup",IF(H130&gt;G130,"Rejects &gt; total parts",IF(J130&lt;0,"Downtime &gt; planned time",IF(AND(ISNUMBER(O130),O130&gt;1.05),"Performance &gt; 100%: check cycle time or counts","OK")))))</f>
        <v/>
      </c>
    </row>
    <row r="131" customFormat="false" ht="15" hidden="false" customHeight="false" outlineLevel="0" collapsed="false">
      <c r="A131" s="10"/>
      <c r="B131" s="8"/>
      <c r="C131" s="8"/>
      <c r="D131" s="8"/>
      <c r="E131" s="8"/>
      <c r="F131" s="8"/>
      <c r="G131" s="8"/>
      <c r="H131" s="8"/>
      <c r="I131" s="11" t="str">
        <f aca="false">IF($C131="","",D131-E131)</f>
        <v/>
      </c>
      <c r="J131" s="11" t="str">
        <f aca="false">IF($C131="","",I131-F131)</f>
        <v/>
      </c>
      <c r="K131" s="12" t="str">
        <f aca="false">IF($C131="","",IFERROR(INDEX(Setup!$B$5:$B$24,MATCH($C131,Setup!$A$5:$A$24,0)),""))</f>
        <v/>
      </c>
      <c r="L131" s="12" t="str">
        <f aca="false">IF(OR($C131="",K131=""),"",K131*G131/60)</f>
        <v/>
      </c>
      <c r="M131" s="11" t="str">
        <f aca="false">IF($C131="","",G131-H131)</f>
        <v/>
      </c>
      <c r="N131" s="13" t="str">
        <f aca="false">IF($C131="","",IF(I131&lt;=0,"",J131/I131))</f>
        <v/>
      </c>
      <c r="O131" s="13" t="str">
        <f aca="false">IF($C131="","",IF(OR(L131="",J131&lt;=0),"",L131/J131))</f>
        <v/>
      </c>
      <c r="P131" s="13" t="str">
        <f aca="false">IF($C131="","",IF(G131&lt;=0,"",M131/G131))</f>
        <v/>
      </c>
      <c r="Q131" s="13" t="str">
        <f aca="false">IF(OR(N131="",O131="",P131=""),"",N131*O131*P131)</f>
        <v/>
      </c>
      <c r="R131" s="14" t="str">
        <f aca="false">IF($C131="","",IF(K131="","Machine not in Setup",IF(H131&gt;G131,"Rejects &gt; total parts",IF(J131&lt;0,"Downtime &gt; planned time",IF(AND(ISNUMBER(O131),O131&gt;1.05),"Performance &gt; 100%: check cycle time or counts","OK")))))</f>
        <v/>
      </c>
    </row>
    <row r="132" customFormat="false" ht="15" hidden="false" customHeight="false" outlineLevel="0" collapsed="false">
      <c r="A132" s="10"/>
      <c r="B132" s="8"/>
      <c r="C132" s="8"/>
      <c r="D132" s="8"/>
      <c r="E132" s="8"/>
      <c r="F132" s="8"/>
      <c r="G132" s="8"/>
      <c r="H132" s="8"/>
      <c r="I132" s="11" t="str">
        <f aca="false">IF($C132="","",D132-E132)</f>
        <v/>
      </c>
      <c r="J132" s="11" t="str">
        <f aca="false">IF($C132="","",I132-F132)</f>
        <v/>
      </c>
      <c r="K132" s="12" t="str">
        <f aca="false">IF($C132="","",IFERROR(INDEX(Setup!$B$5:$B$24,MATCH($C132,Setup!$A$5:$A$24,0)),""))</f>
        <v/>
      </c>
      <c r="L132" s="12" t="str">
        <f aca="false">IF(OR($C132="",K132=""),"",K132*G132/60)</f>
        <v/>
      </c>
      <c r="M132" s="11" t="str">
        <f aca="false">IF($C132="","",G132-H132)</f>
        <v/>
      </c>
      <c r="N132" s="13" t="str">
        <f aca="false">IF($C132="","",IF(I132&lt;=0,"",J132/I132))</f>
        <v/>
      </c>
      <c r="O132" s="13" t="str">
        <f aca="false">IF($C132="","",IF(OR(L132="",J132&lt;=0),"",L132/J132))</f>
        <v/>
      </c>
      <c r="P132" s="13" t="str">
        <f aca="false">IF($C132="","",IF(G132&lt;=0,"",M132/G132))</f>
        <v/>
      </c>
      <c r="Q132" s="13" t="str">
        <f aca="false">IF(OR(N132="",O132="",P132=""),"",N132*O132*P132)</f>
        <v/>
      </c>
      <c r="R132" s="14" t="str">
        <f aca="false">IF($C132="","",IF(K132="","Machine not in Setup",IF(H132&gt;G132,"Rejects &gt; total parts",IF(J132&lt;0,"Downtime &gt; planned time",IF(AND(ISNUMBER(O132),O132&gt;1.05),"Performance &gt; 100%: check cycle time or counts","OK")))))</f>
        <v/>
      </c>
    </row>
    <row r="133" customFormat="false" ht="15" hidden="false" customHeight="false" outlineLevel="0" collapsed="false">
      <c r="A133" s="10"/>
      <c r="B133" s="8"/>
      <c r="C133" s="8"/>
      <c r="D133" s="8"/>
      <c r="E133" s="8"/>
      <c r="F133" s="8"/>
      <c r="G133" s="8"/>
      <c r="H133" s="8"/>
      <c r="I133" s="11" t="str">
        <f aca="false">IF($C133="","",D133-E133)</f>
        <v/>
      </c>
      <c r="J133" s="11" t="str">
        <f aca="false">IF($C133="","",I133-F133)</f>
        <v/>
      </c>
      <c r="K133" s="12" t="str">
        <f aca="false">IF($C133="","",IFERROR(INDEX(Setup!$B$5:$B$24,MATCH($C133,Setup!$A$5:$A$24,0)),""))</f>
        <v/>
      </c>
      <c r="L133" s="12" t="str">
        <f aca="false">IF(OR($C133="",K133=""),"",K133*G133/60)</f>
        <v/>
      </c>
      <c r="M133" s="11" t="str">
        <f aca="false">IF($C133="","",G133-H133)</f>
        <v/>
      </c>
      <c r="N133" s="13" t="str">
        <f aca="false">IF($C133="","",IF(I133&lt;=0,"",J133/I133))</f>
        <v/>
      </c>
      <c r="O133" s="13" t="str">
        <f aca="false">IF($C133="","",IF(OR(L133="",J133&lt;=0),"",L133/J133))</f>
        <v/>
      </c>
      <c r="P133" s="13" t="str">
        <f aca="false">IF($C133="","",IF(G133&lt;=0,"",M133/G133))</f>
        <v/>
      </c>
      <c r="Q133" s="13" t="str">
        <f aca="false">IF(OR(N133="",O133="",P133=""),"",N133*O133*P133)</f>
        <v/>
      </c>
      <c r="R133" s="14" t="str">
        <f aca="false">IF($C133="","",IF(K133="","Machine not in Setup",IF(H133&gt;G133,"Rejects &gt; total parts",IF(J133&lt;0,"Downtime &gt; planned time",IF(AND(ISNUMBER(O133),O133&gt;1.05),"Performance &gt; 100%: check cycle time or counts","OK")))))</f>
        <v/>
      </c>
    </row>
    <row r="134" customFormat="false" ht="15" hidden="false" customHeight="false" outlineLevel="0" collapsed="false">
      <c r="A134" s="10"/>
      <c r="B134" s="8"/>
      <c r="C134" s="8"/>
      <c r="D134" s="8"/>
      <c r="E134" s="8"/>
      <c r="F134" s="8"/>
      <c r="G134" s="8"/>
      <c r="H134" s="8"/>
      <c r="I134" s="11" t="str">
        <f aca="false">IF($C134="","",D134-E134)</f>
        <v/>
      </c>
      <c r="J134" s="11" t="str">
        <f aca="false">IF($C134="","",I134-F134)</f>
        <v/>
      </c>
      <c r="K134" s="12" t="str">
        <f aca="false">IF($C134="","",IFERROR(INDEX(Setup!$B$5:$B$24,MATCH($C134,Setup!$A$5:$A$24,0)),""))</f>
        <v/>
      </c>
      <c r="L134" s="12" t="str">
        <f aca="false">IF(OR($C134="",K134=""),"",K134*G134/60)</f>
        <v/>
      </c>
      <c r="M134" s="11" t="str">
        <f aca="false">IF($C134="","",G134-H134)</f>
        <v/>
      </c>
      <c r="N134" s="13" t="str">
        <f aca="false">IF($C134="","",IF(I134&lt;=0,"",J134/I134))</f>
        <v/>
      </c>
      <c r="O134" s="13" t="str">
        <f aca="false">IF($C134="","",IF(OR(L134="",J134&lt;=0),"",L134/J134))</f>
        <v/>
      </c>
      <c r="P134" s="13" t="str">
        <f aca="false">IF($C134="","",IF(G134&lt;=0,"",M134/G134))</f>
        <v/>
      </c>
      <c r="Q134" s="13" t="str">
        <f aca="false">IF(OR(N134="",O134="",P134=""),"",N134*O134*P134)</f>
        <v/>
      </c>
      <c r="R134" s="14" t="str">
        <f aca="false">IF($C134="","",IF(K134="","Machine not in Setup",IF(H134&gt;G134,"Rejects &gt; total parts",IF(J134&lt;0,"Downtime &gt; planned time",IF(AND(ISNUMBER(O134),O134&gt;1.05),"Performance &gt; 100%: check cycle time or counts","OK")))))</f>
        <v/>
      </c>
    </row>
    <row r="135" customFormat="false" ht="15" hidden="false" customHeight="false" outlineLevel="0" collapsed="false">
      <c r="A135" s="10"/>
      <c r="B135" s="8"/>
      <c r="C135" s="8"/>
      <c r="D135" s="8"/>
      <c r="E135" s="8"/>
      <c r="F135" s="8"/>
      <c r="G135" s="8"/>
      <c r="H135" s="8"/>
      <c r="I135" s="11" t="str">
        <f aca="false">IF($C135="","",D135-E135)</f>
        <v/>
      </c>
      <c r="J135" s="11" t="str">
        <f aca="false">IF($C135="","",I135-F135)</f>
        <v/>
      </c>
      <c r="K135" s="12" t="str">
        <f aca="false">IF($C135="","",IFERROR(INDEX(Setup!$B$5:$B$24,MATCH($C135,Setup!$A$5:$A$24,0)),""))</f>
        <v/>
      </c>
      <c r="L135" s="12" t="str">
        <f aca="false">IF(OR($C135="",K135=""),"",K135*G135/60)</f>
        <v/>
      </c>
      <c r="M135" s="11" t="str">
        <f aca="false">IF($C135="","",G135-H135)</f>
        <v/>
      </c>
      <c r="N135" s="13" t="str">
        <f aca="false">IF($C135="","",IF(I135&lt;=0,"",J135/I135))</f>
        <v/>
      </c>
      <c r="O135" s="13" t="str">
        <f aca="false">IF($C135="","",IF(OR(L135="",J135&lt;=0),"",L135/J135))</f>
        <v/>
      </c>
      <c r="P135" s="13" t="str">
        <f aca="false">IF($C135="","",IF(G135&lt;=0,"",M135/G135))</f>
        <v/>
      </c>
      <c r="Q135" s="13" t="str">
        <f aca="false">IF(OR(N135="",O135="",P135=""),"",N135*O135*P135)</f>
        <v/>
      </c>
      <c r="R135" s="14" t="str">
        <f aca="false">IF($C135="","",IF(K135="","Machine not in Setup",IF(H135&gt;G135,"Rejects &gt; total parts",IF(J135&lt;0,"Downtime &gt; planned time",IF(AND(ISNUMBER(O135),O135&gt;1.05),"Performance &gt; 100%: check cycle time or counts","OK")))))</f>
        <v/>
      </c>
    </row>
    <row r="136" customFormat="false" ht="15" hidden="false" customHeight="false" outlineLevel="0" collapsed="false">
      <c r="A136" s="10"/>
      <c r="B136" s="8"/>
      <c r="C136" s="8"/>
      <c r="D136" s="8"/>
      <c r="E136" s="8"/>
      <c r="F136" s="8"/>
      <c r="G136" s="8"/>
      <c r="H136" s="8"/>
      <c r="I136" s="11" t="str">
        <f aca="false">IF($C136="","",D136-E136)</f>
        <v/>
      </c>
      <c r="J136" s="11" t="str">
        <f aca="false">IF($C136="","",I136-F136)</f>
        <v/>
      </c>
      <c r="K136" s="12" t="str">
        <f aca="false">IF($C136="","",IFERROR(INDEX(Setup!$B$5:$B$24,MATCH($C136,Setup!$A$5:$A$24,0)),""))</f>
        <v/>
      </c>
      <c r="L136" s="12" t="str">
        <f aca="false">IF(OR($C136="",K136=""),"",K136*G136/60)</f>
        <v/>
      </c>
      <c r="M136" s="11" t="str">
        <f aca="false">IF($C136="","",G136-H136)</f>
        <v/>
      </c>
      <c r="N136" s="13" t="str">
        <f aca="false">IF($C136="","",IF(I136&lt;=0,"",J136/I136))</f>
        <v/>
      </c>
      <c r="O136" s="13" t="str">
        <f aca="false">IF($C136="","",IF(OR(L136="",J136&lt;=0),"",L136/J136))</f>
        <v/>
      </c>
      <c r="P136" s="13" t="str">
        <f aca="false">IF($C136="","",IF(G136&lt;=0,"",M136/G136))</f>
        <v/>
      </c>
      <c r="Q136" s="13" t="str">
        <f aca="false">IF(OR(N136="",O136="",P136=""),"",N136*O136*P136)</f>
        <v/>
      </c>
      <c r="R136" s="14" t="str">
        <f aca="false">IF($C136="","",IF(K136="","Machine not in Setup",IF(H136&gt;G136,"Rejects &gt; total parts",IF(J136&lt;0,"Downtime &gt; planned time",IF(AND(ISNUMBER(O136),O136&gt;1.05),"Performance &gt; 100%: check cycle time or counts","OK")))))</f>
        <v/>
      </c>
    </row>
    <row r="137" customFormat="false" ht="15" hidden="false" customHeight="false" outlineLevel="0" collapsed="false">
      <c r="A137" s="10"/>
      <c r="B137" s="8"/>
      <c r="C137" s="8"/>
      <c r="D137" s="8"/>
      <c r="E137" s="8"/>
      <c r="F137" s="8"/>
      <c r="G137" s="8"/>
      <c r="H137" s="8"/>
      <c r="I137" s="11" t="str">
        <f aca="false">IF($C137="","",D137-E137)</f>
        <v/>
      </c>
      <c r="J137" s="11" t="str">
        <f aca="false">IF($C137="","",I137-F137)</f>
        <v/>
      </c>
      <c r="K137" s="12" t="str">
        <f aca="false">IF($C137="","",IFERROR(INDEX(Setup!$B$5:$B$24,MATCH($C137,Setup!$A$5:$A$24,0)),""))</f>
        <v/>
      </c>
      <c r="L137" s="12" t="str">
        <f aca="false">IF(OR($C137="",K137=""),"",K137*G137/60)</f>
        <v/>
      </c>
      <c r="M137" s="11" t="str">
        <f aca="false">IF($C137="","",G137-H137)</f>
        <v/>
      </c>
      <c r="N137" s="13" t="str">
        <f aca="false">IF($C137="","",IF(I137&lt;=0,"",J137/I137))</f>
        <v/>
      </c>
      <c r="O137" s="13" t="str">
        <f aca="false">IF($C137="","",IF(OR(L137="",J137&lt;=0),"",L137/J137))</f>
        <v/>
      </c>
      <c r="P137" s="13" t="str">
        <f aca="false">IF($C137="","",IF(G137&lt;=0,"",M137/G137))</f>
        <v/>
      </c>
      <c r="Q137" s="13" t="str">
        <f aca="false">IF(OR(N137="",O137="",P137=""),"",N137*O137*P137)</f>
        <v/>
      </c>
      <c r="R137" s="14" t="str">
        <f aca="false">IF($C137="","",IF(K137="","Machine not in Setup",IF(H137&gt;G137,"Rejects &gt; total parts",IF(J137&lt;0,"Downtime &gt; planned time",IF(AND(ISNUMBER(O137),O137&gt;1.05),"Performance &gt; 100%: check cycle time or counts","OK")))))</f>
        <v/>
      </c>
    </row>
    <row r="138" customFormat="false" ht="15" hidden="false" customHeight="false" outlineLevel="0" collapsed="false">
      <c r="A138" s="10"/>
      <c r="B138" s="8"/>
      <c r="C138" s="8"/>
      <c r="D138" s="8"/>
      <c r="E138" s="8"/>
      <c r="F138" s="8"/>
      <c r="G138" s="8"/>
      <c r="H138" s="8"/>
      <c r="I138" s="11" t="str">
        <f aca="false">IF($C138="","",D138-E138)</f>
        <v/>
      </c>
      <c r="J138" s="11" t="str">
        <f aca="false">IF($C138="","",I138-F138)</f>
        <v/>
      </c>
      <c r="K138" s="12" t="str">
        <f aca="false">IF($C138="","",IFERROR(INDEX(Setup!$B$5:$B$24,MATCH($C138,Setup!$A$5:$A$24,0)),""))</f>
        <v/>
      </c>
      <c r="L138" s="12" t="str">
        <f aca="false">IF(OR($C138="",K138=""),"",K138*G138/60)</f>
        <v/>
      </c>
      <c r="M138" s="11" t="str">
        <f aca="false">IF($C138="","",G138-H138)</f>
        <v/>
      </c>
      <c r="N138" s="13" t="str">
        <f aca="false">IF($C138="","",IF(I138&lt;=0,"",J138/I138))</f>
        <v/>
      </c>
      <c r="O138" s="13" t="str">
        <f aca="false">IF($C138="","",IF(OR(L138="",J138&lt;=0),"",L138/J138))</f>
        <v/>
      </c>
      <c r="P138" s="13" t="str">
        <f aca="false">IF($C138="","",IF(G138&lt;=0,"",M138/G138))</f>
        <v/>
      </c>
      <c r="Q138" s="13" t="str">
        <f aca="false">IF(OR(N138="",O138="",P138=""),"",N138*O138*P138)</f>
        <v/>
      </c>
      <c r="R138" s="14" t="str">
        <f aca="false">IF($C138="","",IF(K138="","Machine not in Setup",IF(H138&gt;G138,"Rejects &gt; total parts",IF(J138&lt;0,"Downtime &gt; planned time",IF(AND(ISNUMBER(O138),O138&gt;1.05),"Performance &gt; 100%: check cycle time or counts","OK")))))</f>
        <v/>
      </c>
    </row>
    <row r="139" customFormat="false" ht="15" hidden="false" customHeight="false" outlineLevel="0" collapsed="false">
      <c r="A139" s="10"/>
      <c r="B139" s="8"/>
      <c r="C139" s="8"/>
      <c r="D139" s="8"/>
      <c r="E139" s="8"/>
      <c r="F139" s="8"/>
      <c r="G139" s="8"/>
      <c r="H139" s="8"/>
      <c r="I139" s="11" t="str">
        <f aca="false">IF($C139="","",D139-E139)</f>
        <v/>
      </c>
      <c r="J139" s="11" t="str">
        <f aca="false">IF($C139="","",I139-F139)</f>
        <v/>
      </c>
      <c r="K139" s="12" t="str">
        <f aca="false">IF($C139="","",IFERROR(INDEX(Setup!$B$5:$B$24,MATCH($C139,Setup!$A$5:$A$24,0)),""))</f>
        <v/>
      </c>
      <c r="L139" s="12" t="str">
        <f aca="false">IF(OR($C139="",K139=""),"",K139*G139/60)</f>
        <v/>
      </c>
      <c r="M139" s="11" t="str">
        <f aca="false">IF($C139="","",G139-H139)</f>
        <v/>
      </c>
      <c r="N139" s="13" t="str">
        <f aca="false">IF($C139="","",IF(I139&lt;=0,"",J139/I139))</f>
        <v/>
      </c>
      <c r="O139" s="13" t="str">
        <f aca="false">IF($C139="","",IF(OR(L139="",J139&lt;=0),"",L139/J139))</f>
        <v/>
      </c>
      <c r="P139" s="13" t="str">
        <f aca="false">IF($C139="","",IF(G139&lt;=0,"",M139/G139))</f>
        <v/>
      </c>
      <c r="Q139" s="13" t="str">
        <f aca="false">IF(OR(N139="",O139="",P139=""),"",N139*O139*P139)</f>
        <v/>
      </c>
      <c r="R139" s="14" t="str">
        <f aca="false">IF($C139="","",IF(K139="","Machine not in Setup",IF(H139&gt;G139,"Rejects &gt; total parts",IF(J139&lt;0,"Downtime &gt; planned time",IF(AND(ISNUMBER(O139),O139&gt;1.05),"Performance &gt; 100%: check cycle time or counts","OK")))))</f>
        <v/>
      </c>
    </row>
    <row r="140" customFormat="false" ht="15" hidden="false" customHeight="false" outlineLevel="0" collapsed="false">
      <c r="A140" s="10"/>
      <c r="B140" s="8"/>
      <c r="C140" s="8"/>
      <c r="D140" s="8"/>
      <c r="E140" s="8"/>
      <c r="F140" s="8"/>
      <c r="G140" s="8"/>
      <c r="H140" s="8"/>
      <c r="I140" s="11" t="str">
        <f aca="false">IF($C140="","",D140-E140)</f>
        <v/>
      </c>
      <c r="J140" s="11" t="str">
        <f aca="false">IF($C140="","",I140-F140)</f>
        <v/>
      </c>
      <c r="K140" s="12" t="str">
        <f aca="false">IF($C140="","",IFERROR(INDEX(Setup!$B$5:$B$24,MATCH($C140,Setup!$A$5:$A$24,0)),""))</f>
        <v/>
      </c>
      <c r="L140" s="12" t="str">
        <f aca="false">IF(OR($C140="",K140=""),"",K140*G140/60)</f>
        <v/>
      </c>
      <c r="M140" s="11" t="str">
        <f aca="false">IF($C140="","",G140-H140)</f>
        <v/>
      </c>
      <c r="N140" s="13" t="str">
        <f aca="false">IF($C140="","",IF(I140&lt;=0,"",J140/I140))</f>
        <v/>
      </c>
      <c r="O140" s="13" t="str">
        <f aca="false">IF($C140="","",IF(OR(L140="",J140&lt;=0),"",L140/J140))</f>
        <v/>
      </c>
      <c r="P140" s="13" t="str">
        <f aca="false">IF($C140="","",IF(G140&lt;=0,"",M140/G140))</f>
        <v/>
      </c>
      <c r="Q140" s="13" t="str">
        <f aca="false">IF(OR(N140="",O140="",P140=""),"",N140*O140*P140)</f>
        <v/>
      </c>
      <c r="R140" s="14" t="str">
        <f aca="false">IF($C140="","",IF(K140="","Machine not in Setup",IF(H140&gt;G140,"Rejects &gt; total parts",IF(J140&lt;0,"Downtime &gt; planned time",IF(AND(ISNUMBER(O140),O140&gt;1.05),"Performance &gt; 100%: check cycle time or counts","OK")))))</f>
        <v/>
      </c>
    </row>
    <row r="141" customFormat="false" ht="15" hidden="false" customHeight="false" outlineLevel="0" collapsed="false">
      <c r="A141" s="10"/>
      <c r="B141" s="8"/>
      <c r="C141" s="8"/>
      <c r="D141" s="8"/>
      <c r="E141" s="8"/>
      <c r="F141" s="8"/>
      <c r="G141" s="8"/>
      <c r="H141" s="8"/>
      <c r="I141" s="11" t="str">
        <f aca="false">IF($C141="","",D141-E141)</f>
        <v/>
      </c>
      <c r="J141" s="11" t="str">
        <f aca="false">IF($C141="","",I141-F141)</f>
        <v/>
      </c>
      <c r="K141" s="12" t="str">
        <f aca="false">IF($C141="","",IFERROR(INDEX(Setup!$B$5:$B$24,MATCH($C141,Setup!$A$5:$A$24,0)),""))</f>
        <v/>
      </c>
      <c r="L141" s="12" t="str">
        <f aca="false">IF(OR($C141="",K141=""),"",K141*G141/60)</f>
        <v/>
      </c>
      <c r="M141" s="11" t="str">
        <f aca="false">IF($C141="","",G141-H141)</f>
        <v/>
      </c>
      <c r="N141" s="13" t="str">
        <f aca="false">IF($C141="","",IF(I141&lt;=0,"",J141/I141))</f>
        <v/>
      </c>
      <c r="O141" s="13" t="str">
        <f aca="false">IF($C141="","",IF(OR(L141="",J141&lt;=0),"",L141/J141))</f>
        <v/>
      </c>
      <c r="P141" s="13" t="str">
        <f aca="false">IF($C141="","",IF(G141&lt;=0,"",M141/G141))</f>
        <v/>
      </c>
      <c r="Q141" s="13" t="str">
        <f aca="false">IF(OR(N141="",O141="",P141=""),"",N141*O141*P141)</f>
        <v/>
      </c>
      <c r="R141" s="14" t="str">
        <f aca="false">IF($C141="","",IF(K141="","Machine not in Setup",IF(H141&gt;G141,"Rejects &gt; total parts",IF(J141&lt;0,"Downtime &gt; planned time",IF(AND(ISNUMBER(O141),O141&gt;1.05),"Performance &gt; 100%: check cycle time or counts","OK")))))</f>
        <v/>
      </c>
    </row>
    <row r="142" customFormat="false" ht="15" hidden="false" customHeight="false" outlineLevel="0" collapsed="false">
      <c r="A142" s="10"/>
      <c r="B142" s="8"/>
      <c r="C142" s="8"/>
      <c r="D142" s="8"/>
      <c r="E142" s="8"/>
      <c r="F142" s="8"/>
      <c r="G142" s="8"/>
      <c r="H142" s="8"/>
      <c r="I142" s="11" t="str">
        <f aca="false">IF($C142="","",D142-E142)</f>
        <v/>
      </c>
      <c r="J142" s="11" t="str">
        <f aca="false">IF($C142="","",I142-F142)</f>
        <v/>
      </c>
      <c r="K142" s="12" t="str">
        <f aca="false">IF($C142="","",IFERROR(INDEX(Setup!$B$5:$B$24,MATCH($C142,Setup!$A$5:$A$24,0)),""))</f>
        <v/>
      </c>
      <c r="L142" s="12" t="str">
        <f aca="false">IF(OR($C142="",K142=""),"",K142*G142/60)</f>
        <v/>
      </c>
      <c r="M142" s="11" t="str">
        <f aca="false">IF($C142="","",G142-H142)</f>
        <v/>
      </c>
      <c r="N142" s="13" t="str">
        <f aca="false">IF($C142="","",IF(I142&lt;=0,"",J142/I142))</f>
        <v/>
      </c>
      <c r="O142" s="13" t="str">
        <f aca="false">IF($C142="","",IF(OR(L142="",J142&lt;=0),"",L142/J142))</f>
        <v/>
      </c>
      <c r="P142" s="13" t="str">
        <f aca="false">IF($C142="","",IF(G142&lt;=0,"",M142/G142))</f>
        <v/>
      </c>
      <c r="Q142" s="13" t="str">
        <f aca="false">IF(OR(N142="",O142="",P142=""),"",N142*O142*P142)</f>
        <v/>
      </c>
      <c r="R142" s="14" t="str">
        <f aca="false">IF($C142="","",IF(K142="","Machine not in Setup",IF(H142&gt;G142,"Rejects &gt; total parts",IF(J142&lt;0,"Downtime &gt; planned time",IF(AND(ISNUMBER(O142),O142&gt;1.05),"Performance &gt; 100%: check cycle time or counts","OK")))))</f>
        <v/>
      </c>
    </row>
    <row r="143" customFormat="false" ht="15" hidden="false" customHeight="false" outlineLevel="0" collapsed="false">
      <c r="A143" s="10"/>
      <c r="B143" s="8"/>
      <c r="C143" s="8"/>
      <c r="D143" s="8"/>
      <c r="E143" s="8"/>
      <c r="F143" s="8"/>
      <c r="G143" s="8"/>
      <c r="H143" s="8"/>
      <c r="I143" s="11" t="str">
        <f aca="false">IF($C143="","",D143-E143)</f>
        <v/>
      </c>
      <c r="J143" s="11" t="str">
        <f aca="false">IF($C143="","",I143-F143)</f>
        <v/>
      </c>
      <c r="K143" s="12" t="str">
        <f aca="false">IF($C143="","",IFERROR(INDEX(Setup!$B$5:$B$24,MATCH($C143,Setup!$A$5:$A$24,0)),""))</f>
        <v/>
      </c>
      <c r="L143" s="12" t="str">
        <f aca="false">IF(OR($C143="",K143=""),"",K143*G143/60)</f>
        <v/>
      </c>
      <c r="M143" s="11" t="str">
        <f aca="false">IF($C143="","",G143-H143)</f>
        <v/>
      </c>
      <c r="N143" s="13" t="str">
        <f aca="false">IF($C143="","",IF(I143&lt;=0,"",J143/I143))</f>
        <v/>
      </c>
      <c r="O143" s="13" t="str">
        <f aca="false">IF($C143="","",IF(OR(L143="",J143&lt;=0),"",L143/J143))</f>
        <v/>
      </c>
      <c r="P143" s="13" t="str">
        <f aca="false">IF($C143="","",IF(G143&lt;=0,"",M143/G143))</f>
        <v/>
      </c>
      <c r="Q143" s="13" t="str">
        <f aca="false">IF(OR(N143="",O143="",P143=""),"",N143*O143*P143)</f>
        <v/>
      </c>
      <c r="R143" s="14" t="str">
        <f aca="false">IF($C143="","",IF(K143="","Machine not in Setup",IF(H143&gt;G143,"Rejects &gt; total parts",IF(J143&lt;0,"Downtime &gt; planned time",IF(AND(ISNUMBER(O143),O143&gt;1.05),"Performance &gt; 100%: check cycle time or counts","OK")))))</f>
        <v/>
      </c>
    </row>
    <row r="144" customFormat="false" ht="15" hidden="false" customHeight="false" outlineLevel="0" collapsed="false">
      <c r="A144" s="10"/>
      <c r="B144" s="8"/>
      <c r="C144" s="8"/>
      <c r="D144" s="8"/>
      <c r="E144" s="8"/>
      <c r="F144" s="8"/>
      <c r="G144" s="8"/>
      <c r="H144" s="8"/>
      <c r="I144" s="11" t="str">
        <f aca="false">IF($C144="","",D144-E144)</f>
        <v/>
      </c>
      <c r="J144" s="11" t="str">
        <f aca="false">IF($C144="","",I144-F144)</f>
        <v/>
      </c>
      <c r="K144" s="12" t="str">
        <f aca="false">IF($C144="","",IFERROR(INDEX(Setup!$B$5:$B$24,MATCH($C144,Setup!$A$5:$A$24,0)),""))</f>
        <v/>
      </c>
      <c r="L144" s="12" t="str">
        <f aca="false">IF(OR($C144="",K144=""),"",K144*G144/60)</f>
        <v/>
      </c>
      <c r="M144" s="11" t="str">
        <f aca="false">IF($C144="","",G144-H144)</f>
        <v/>
      </c>
      <c r="N144" s="13" t="str">
        <f aca="false">IF($C144="","",IF(I144&lt;=0,"",J144/I144))</f>
        <v/>
      </c>
      <c r="O144" s="13" t="str">
        <f aca="false">IF($C144="","",IF(OR(L144="",J144&lt;=0),"",L144/J144))</f>
        <v/>
      </c>
      <c r="P144" s="13" t="str">
        <f aca="false">IF($C144="","",IF(G144&lt;=0,"",M144/G144))</f>
        <v/>
      </c>
      <c r="Q144" s="13" t="str">
        <f aca="false">IF(OR(N144="",O144="",P144=""),"",N144*O144*P144)</f>
        <v/>
      </c>
      <c r="R144" s="14" t="str">
        <f aca="false">IF($C144="","",IF(K144="","Machine not in Setup",IF(H144&gt;G144,"Rejects &gt; total parts",IF(J144&lt;0,"Downtime &gt; planned time",IF(AND(ISNUMBER(O144),O144&gt;1.05),"Performance &gt; 100%: check cycle time or counts","OK")))))</f>
        <v/>
      </c>
    </row>
    <row r="145" customFormat="false" ht="15" hidden="false" customHeight="false" outlineLevel="0" collapsed="false">
      <c r="A145" s="10"/>
      <c r="B145" s="8"/>
      <c r="C145" s="8"/>
      <c r="D145" s="8"/>
      <c r="E145" s="8"/>
      <c r="F145" s="8"/>
      <c r="G145" s="8"/>
      <c r="H145" s="8"/>
      <c r="I145" s="11" t="str">
        <f aca="false">IF($C145="","",D145-E145)</f>
        <v/>
      </c>
      <c r="J145" s="11" t="str">
        <f aca="false">IF($C145="","",I145-F145)</f>
        <v/>
      </c>
      <c r="K145" s="12" t="str">
        <f aca="false">IF($C145="","",IFERROR(INDEX(Setup!$B$5:$B$24,MATCH($C145,Setup!$A$5:$A$24,0)),""))</f>
        <v/>
      </c>
      <c r="L145" s="12" t="str">
        <f aca="false">IF(OR($C145="",K145=""),"",K145*G145/60)</f>
        <v/>
      </c>
      <c r="M145" s="11" t="str">
        <f aca="false">IF($C145="","",G145-H145)</f>
        <v/>
      </c>
      <c r="N145" s="13" t="str">
        <f aca="false">IF($C145="","",IF(I145&lt;=0,"",J145/I145))</f>
        <v/>
      </c>
      <c r="O145" s="13" t="str">
        <f aca="false">IF($C145="","",IF(OR(L145="",J145&lt;=0),"",L145/J145))</f>
        <v/>
      </c>
      <c r="P145" s="13" t="str">
        <f aca="false">IF($C145="","",IF(G145&lt;=0,"",M145/G145))</f>
        <v/>
      </c>
      <c r="Q145" s="13" t="str">
        <f aca="false">IF(OR(N145="",O145="",P145=""),"",N145*O145*P145)</f>
        <v/>
      </c>
      <c r="R145" s="14" t="str">
        <f aca="false">IF($C145="","",IF(K145="","Machine not in Setup",IF(H145&gt;G145,"Rejects &gt; total parts",IF(J145&lt;0,"Downtime &gt; planned time",IF(AND(ISNUMBER(O145),O145&gt;1.05),"Performance &gt; 100%: check cycle time or counts","OK")))))</f>
        <v/>
      </c>
    </row>
    <row r="146" customFormat="false" ht="15" hidden="false" customHeight="false" outlineLevel="0" collapsed="false">
      <c r="A146" s="10"/>
      <c r="B146" s="8"/>
      <c r="C146" s="8"/>
      <c r="D146" s="8"/>
      <c r="E146" s="8"/>
      <c r="F146" s="8"/>
      <c r="G146" s="8"/>
      <c r="H146" s="8"/>
      <c r="I146" s="11" t="str">
        <f aca="false">IF($C146="","",D146-E146)</f>
        <v/>
      </c>
      <c r="J146" s="11" t="str">
        <f aca="false">IF($C146="","",I146-F146)</f>
        <v/>
      </c>
      <c r="K146" s="12" t="str">
        <f aca="false">IF($C146="","",IFERROR(INDEX(Setup!$B$5:$B$24,MATCH($C146,Setup!$A$5:$A$24,0)),""))</f>
        <v/>
      </c>
      <c r="L146" s="12" t="str">
        <f aca="false">IF(OR($C146="",K146=""),"",K146*G146/60)</f>
        <v/>
      </c>
      <c r="M146" s="11" t="str">
        <f aca="false">IF($C146="","",G146-H146)</f>
        <v/>
      </c>
      <c r="N146" s="13" t="str">
        <f aca="false">IF($C146="","",IF(I146&lt;=0,"",J146/I146))</f>
        <v/>
      </c>
      <c r="O146" s="13" t="str">
        <f aca="false">IF($C146="","",IF(OR(L146="",J146&lt;=0),"",L146/J146))</f>
        <v/>
      </c>
      <c r="P146" s="13" t="str">
        <f aca="false">IF($C146="","",IF(G146&lt;=0,"",M146/G146))</f>
        <v/>
      </c>
      <c r="Q146" s="13" t="str">
        <f aca="false">IF(OR(N146="",O146="",P146=""),"",N146*O146*P146)</f>
        <v/>
      </c>
      <c r="R146" s="14" t="str">
        <f aca="false">IF($C146="","",IF(K146="","Machine not in Setup",IF(H146&gt;G146,"Rejects &gt; total parts",IF(J146&lt;0,"Downtime &gt; planned time",IF(AND(ISNUMBER(O146),O146&gt;1.05),"Performance &gt; 100%: check cycle time or counts","OK")))))</f>
        <v/>
      </c>
    </row>
    <row r="147" customFormat="false" ht="15" hidden="false" customHeight="false" outlineLevel="0" collapsed="false">
      <c r="A147" s="10"/>
      <c r="B147" s="8"/>
      <c r="C147" s="8"/>
      <c r="D147" s="8"/>
      <c r="E147" s="8"/>
      <c r="F147" s="8"/>
      <c r="G147" s="8"/>
      <c r="H147" s="8"/>
      <c r="I147" s="11" t="str">
        <f aca="false">IF($C147="","",D147-E147)</f>
        <v/>
      </c>
      <c r="J147" s="11" t="str">
        <f aca="false">IF($C147="","",I147-F147)</f>
        <v/>
      </c>
      <c r="K147" s="12" t="str">
        <f aca="false">IF($C147="","",IFERROR(INDEX(Setup!$B$5:$B$24,MATCH($C147,Setup!$A$5:$A$24,0)),""))</f>
        <v/>
      </c>
      <c r="L147" s="12" t="str">
        <f aca="false">IF(OR($C147="",K147=""),"",K147*G147/60)</f>
        <v/>
      </c>
      <c r="M147" s="11" t="str">
        <f aca="false">IF($C147="","",G147-H147)</f>
        <v/>
      </c>
      <c r="N147" s="13" t="str">
        <f aca="false">IF($C147="","",IF(I147&lt;=0,"",J147/I147))</f>
        <v/>
      </c>
      <c r="O147" s="13" t="str">
        <f aca="false">IF($C147="","",IF(OR(L147="",J147&lt;=0),"",L147/J147))</f>
        <v/>
      </c>
      <c r="P147" s="13" t="str">
        <f aca="false">IF($C147="","",IF(G147&lt;=0,"",M147/G147))</f>
        <v/>
      </c>
      <c r="Q147" s="13" t="str">
        <f aca="false">IF(OR(N147="",O147="",P147=""),"",N147*O147*P147)</f>
        <v/>
      </c>
      <c r="R147" s="14" t="str">
        <f aca="false">IF($C147="","",IF(K147="","Machine not in Setup",IF(H147&gt;G147,"Rejects &gt; total parts",IF(J147&lt;0,"Downtime &gt; planned time",IF(AND(ISNUMBER(O147),O147&gt;1.05),"Performance &gt; 100%: check cycle time or counts","OK")))))</f>
        <v/>
      </c>
    </row>
    <row r="148" customFormat="false" ht="15" hidden="false" customHeight="false" outlineLevel="0" collapsed="false">
      <c r="A148" s="10"/>
      <c r="B148" s="8"/>
      <c r="C148" s="8"/>
      <c r="D148" s="8"/>
      <c r="E148" s="8"/>
      <c r="F148" s="8"/>
      <c r="G148" s="8"/>
      <c r="H148" s="8"/>
      <c r="I148" s="11" t="str">
        <f aca="false">IF($C148="","",D148-E148)</f>
        <v/>
      </c>
      <c r="J148" s="11" t="str">
        <f aca="false">IF($C148="","",I148-F148)</f>
        <v/>
      </c>
      <c r="K148" s="12" t="str">
        <f aca="false">IF($C148="","",IFERROR(INDEX(Setup!$B$5:$B$24,MATCH($C148,Setup!$A$5:$A$24,0)),""))</f>
        <v/>
      </c>
      <c r="L148" s="12" t="str">
        <f aca="false">IF(OR($C148="",K148=""),"",K148*G148/60)</f>
        <v/>
      </c>
      <c r="M148" s="11" t="str">
        <f aca="false">IF($C148="","",G148-H148)</f>
        <v/>
      </c>
      <c r="N148" s="13" t="str">
        <f aca="false">IF($C148="","",IF(I148&lt;=0,"",J148/I148))</f>
        <v/>
      </c>
      <c r="O148" s="13" t="str">
        <f aca="false">IF($C148="","",IF(OR(L148="",J148&lt;=0),"",L148/J148))</f>
        <v/>
      </c>
      <c r="P148" s="13" t="str">
        <f aca="false">IF($C148="","",IF(G148&lt;=0,"",M148/G148))</f>
        <v/>
      </c>
      <c r="Q148" s="13" t="str">
        <f aca="false">IF(OR(N148="",O148="",P148=""),"",N148*O148*P148)</f>
        <v/>
      </c>
      <c r="R148" s="14" t="str">
        <f aca="false">IF($C148="","",IF(K148="","Machine not in Setup",IF(H148&gt;G148,"Rejects &gt; total parts",IF(J148&lt;0,"Downtime &gt; planned time",IF(AND(ISNUMBER(O148),O148&gt;1.05),"Performance &gt; 100%: check cycle time or counts","OK")))))</f>
        <v/>
      </c>
    </row>
    <row r="149" customFormat="false" ht="15" hidden="false" customHeight="false" outlineLevel="0" collapsed="false">
      <c r="A149" s="10"/>
      <c r="B149" s="8"/>
      <c r="C149" s="8"/>
      <c r="D149" s="8"/>
      <c r="E149" s="8"/>
      <c r="F149" s="8"/>
      <c r="G149" s="8"/>
      <c r="H149" s="8"/>
      <c r="I149" s="11" t="str">
        <f aca="false">IF($C149="","",D149-E149)</f>
        <v/>
      </c>
      <c r="J149" s="11" t="str">
        <f aca="false">IF($C149="","",I149-F149)</f>
        <v/>
      </c>
      <c r="K149" s="12" t="str">
        <f aca="false">IF($C149="","",IFERROR(INDEX(Setup!$B$5:$B$24,MATCH($C149,Setup!$A$5:$A$24,0)),""))</f>
        <v/>
      </c>
      <c r="L149" s="12" t="str">
        <f aca="false">IF(OR($C149="",K149=""),"",K149*G149/60)</f>
        <v/>
      </c>
      <c r="M149" s="11" t="str">
        <f aca="false">IF($C149="","",G149-H149)</f>
        <v/>
      </c>
      <c r="N149" s="13" t="str">
        <f aca="false">IF($C149="","",IF(I149&lt;=0,"",J149/I149))</f>
        <v/>
      </c>
      <c r="O149" s="13" t="str">
        <f aca="false">IF($C149="","",IF(OR(L149="",J149&lt;=0),"",L149/J149))</f>
        <v/>
      </c>
      <c r="P149" s="13" t="str">
        <f aca="false">IF($C149="","",IF(G149&lt;=0,"",M149/G149))</f>
        <v/>
      </c>
      <c r="Q149" s="13" t="str">
        <f aca="false">IF(OR(N149="",O149="",P149=""),"",N149*O149*P149)</f>
        <v/>
      </c>
      <c r="R149" s="14" t="str">
        <f aca="false">IF($C149="","",IF(K149="","Machine not in Setup",IF(H149&gt;G149,"Rejects &gt; total parts",IF(J149&lt;0,"Downtime &gt; planned time",IF(AND(ISNUMBER(O149),O149&gt;1.05),"Performance &gt; 100%: check cycle time or counts","OK")))))</f>
        <v/>
      </c>
    </row>
    <row r="150" customFormat="false" ht="15" hidden="false" customHeight="false" outlineLevel="0" collapsed="false">
      <c r="A150" s="10"/>
      <c r="B150" s="8"/>
      <c r="C150" s="8"/>
      <c r="D150" s="8"/>
      <c r="E150" s="8"/>
      <c r="F150" s="8"/>
      <c r="G150" s="8"/>
      <c r="H150" s="8"/>
      <c r="I150" s="11" t="str">
        <f aca="false">IF($C150="","",D150-E150)</f>
        <v/>
      </c>
      <c r="J150" s="11" t="str">
        <f aca="false">IF($C150="","",I150-F150)</f>
        <v/>
      </c>
      <c r="K150" s="12" t="str">
        <f aca="false">IF($C150="","",IFERROR(INDEX(Setup!$B$5:$B$24,MATCH($C150,Setup!$A$5:$A$24,0)),""))</f>
        <v/>
      </c>
      <c r="L150" s="12" t="str">
        <f aca="false">IF(OR($C150="",K150=""),"",K150*G150/60)</f>
        <v/>
      </c>
      <c r="M150" s="11" t="str">
        <f aca="false">IF($C150="","",G150-H150)</f>
        <v/>
      </c>
      <c r="N150" s="13" t="str">
        <f aca="false">IF($C150="","",IF(I150&lt;=0,"",J150/I150))</f>
        <v/>
      </c>
      <c r="O150" s="13" t="str">
        <f aca="false">IF($C150="","",IF(OR(L150="",J150&lt;=0),"",L150/J150))</f>
        <v/>
      </c>
      <c r="P150" s="13" t="str">
        <f aca="false">IF($C150="","",IF(G150&lt;=0,"",M150/G150))</f>
        <v/>
      </c>
      <c r="Q150" s="13" t="str">
        <f aca="false">IF(OR(N150="",O150="",P150=""),"",N150*O150*P150)</f>
        <v/>
      </c>
      <c r="R150" s="14" t="str">
        <f aca="false">IF($C150="","",IF(K150="","Machine not in Setup",IF(H150&gt;G150,"Rejects &gt; total parts",IF(J150&lt;0,"Downtime &gt; planned time",IF(AND(ISNUMBER(O150),O150&gt;1.05),"Performance &gt; 100%: check cycle time or counts","OK")))))</f>
        <v/>
      </c>
    </row>
    <row r="151" customFormat="false" ht="15" hidden="false" customHeight="false" outlineLevel="0" collapsed="false">
      <c r="A151" s="10"/>
      <c r="B151" s="8"/>
      <c r="C151" s="8"/>
      <c r="D151" s="8"/>
      <c r="E151" s="8"/>
      <c r="F151" s="8"/>
      <c r="G151" s="8"/>
      <c r="H151" s="8"/>
      <c r="I151" s="11" t="str">
        <f aca="false">IF($C151="","",D151-E151)</f>
        <v/>
      </c>
      <c r="J151" s="11" t="str">
        <f aca="false">IF($C151="","",I151-F151)</f>
        <v/>
      </c>
      <c r="K151" s="12" t="str">
        <f aca="false">IF($C151="","",IFERROR(INDEX(Setup!$B$5:$B$24,MATCH($C151,Setup!$A$5:$A$24,0)),""))</f>
        <v/>
      </c>
      <c r="L151" s="12" t="str">
        <f aca="false">IF(OR($C151="",K151=""),"",K151*G151/60)</f>
        <v/>
      </c>
      <c r="M151" s="11" t="str">
        <f aca="false">IF($C151="","",G151-H151)</f>
        <v/>
      </c>
      <c r="N151" s="13" t="str">
        <f aca="false">IF($C151="","",IF(I151&lt;=0,"",J151/I151))</f>
        <v/>
      </c>
      <c r="O151" s="13" t="str">
        <f aca="false">IF($C151="","",IF(OR(L151="",J151&lt;=0),"",L151/J151))</f>
        <v/>
      </c>
      <c r="P151" s="13" t="str">
        <f aca="false">IF($C151="","",IF(G151&lt;=0,"",M151/G151))</f>
        <v/>
      </c>
      <c r="Q151" s="13" t="str">
        <f aca="false">IF(OR(N151="",O151="",P151=""),"",N151*O151*P151)</f>
        <v/>
      </c>
      <c r="R151" s="14" t="str">
        <f aca="false">IF($C151="","",IF(K151="","Machine not in Setup",IF(H151&gt;G151,"Rejects &gt; total parts",IF(J151&lt;0,"Downtime &gt; planned time",IF(AND(ISNUMBER(O151),O151&gt;1.05),"Performance &gt; 100%: check cycle time or counts","OK")))))</f>
        <v/>
      </c>
    </row>
    <row r="152" customFormat="false" ht="15" hidden="false" customHeight="false" outlineLevel="0" collapsed="false">
      <c r="A152" s="10"/>
      <c r="B152" s="8"/>
      <c r="C152" s="8"/>
      <c r="D152" s="8"/>
      <c r="E152" s="8"/>
      <c r="F152" s="8"/>
      <c r="G152" s="8"/>
      <c r="H152" s="8"/>
      <c r="I152" s="11" t="str">
        <f aca="false">IF($C152="","",D152-E152)</f>
        <v/>
      </c>
      <c r="J152" s="11" t="str">
        <f aca="false">IF($C152="","",I152-F152)</f>
        <v/>
      </c>
      <c r="K152" s="12" t="str">
        <f aca="false">IF($C152="","",IFERROR(INDEX(Setup!$B$5:$B$24,MATCH($C152,Setup!$A$5:$A$24,0)),""))</f>
        <v/>
      </c>
      <c r="L152" s="12" t="str">
        <f aca="false">IF(OR($C152="",K152=""),"",K152*G152/60)</f>
        <v/>
      </c>
      <c r="M152" s="11" t="str">
        <f aca="false">IF($C152="","",G152-H152)</f>
        <v/>
      </c>
      <c r="N152" s="13" t="str">
        <f aca="false">IF($C152="","",IF(I152&lt;=0,"",J152/I152))</f>
        <v/>
      </c>
      <c r="O152" s="13" t="str">
        <f aca="false">IF($C152="","",IF(OR(L152="",J152&lt;=0),"",L152/J152))</f>
        <v/>
      </c>
      <c r="P152" s="13" t="str">
        <f aca="false">IF($C152="","",IF(G152&lt;=0,"",M152/G152))</f>
        <v/>
      </c>
      <c r="Q152" s="13" t="str">
        <f aca="false">IF(OR(N152="",O152="",P152=""),"",N152*O152*P152)</f>
        <v/>
      </c>
      <c r="R152" s="14" t="str">
        <f aca="false">IF($C152="","",IF(K152="","Machine not in Setup",IF(H152&gt;G152,"Rejects &gt; total parts",IF(J152&lt;0,"Downtime &gt; planned time",IF(AND(ISNUMBER(O152),O152&gt;1.05),"Performance &gt; 100%: check cycle time or counts","OK")))))</f>
        <v/>
      </c>
    </row>
    <row r="153" customFormat="false" ht="15" hidden="false" customHeight="false" outlineLevel="0" collapsed="false">
      <c r="A153" s="10"/>
      <c r="B153" s="8"/>
      <c r="C153" s="8"/>
      <c r="D153" s="8"/>
      <c r="E153" s="8"/>
      <c r="F153" s="8"/>
      <c r="G153" s="8"/>
      <c r="H153" s="8"/>
      <c r="I153" s="11" t="str">
        <f aca="false">IF($C153="","",D153-E153)</f>
        <v/>
      </c>
      <c r="J153" s="11" t="str">
        <f aca="false">IF($C153="","",I153-F153)</f>
        <v/>
      </c>
      <c r="K153" s="12" t="str">
        <f aca="false">IF($C153="","",IFERROR(INDEX(Setup!$B$5:$B$24,MATCH($C153,Setup!$A$5:$A$24,0)),""))</f>
        <v/>
      </c>
      <c r="L153" s="12" t="str">
        <f aca="false">IF(OR($C153="",K153=""),"",K153*G153/60)</f>
        <v/>
      </c>
      <c r="M153" s="11" t="str">
        <f aca="false">IF($C153="","",G153-H153)</f>
        <v/>
      </c>
      <c r="N153" s="13" t="str">
        <f aca="false">IF($C153="","",IF(I153&lt;=0,"",J153/I153))</f>
        <v/>
      </c>
      <c r="O153" s="13" t="str">
        <f aca="false">IF($C153="","",IF(OR(L153="",J153&lt;=0),"",L153/J153))</f>
        <v/>
      </c>
      <c r="P153" s="13" t="str">
        <f aca="false">IF($C153="","",IF(G153&lt;=0,"",M153/G153))</f>
        <v/>
      </c>
      <c r="Q153" s="13" t="str">
        <f aca="false">IF(OR(N153="",O153="",P153=""),"",N153*O153*P153)</f>
        <v/>
      </c>
      <c r="R153" s="14" t="str">
        <f aca="false">IF($C153="","",IF(K153="","Machine not in Setup",IF(H153&gt;G153,"Rejects &gt; total parts",IF(J153&lt;0,"Downtime &gt; planned time",IF(AND(ISNUMBER(O153),O153&gt;1.05),"Performance &gt; 100%: check cycle time or counts","OK")))))</f>
        <v/>
      </c>
    </row>
    <row r="154" customFormat="false" ht="15" hidden="false" customHeight="false" outlineLevel="0" collapsed="false">
      <c r="A154" s="10"/>
      <c r="B154" s="8"/>
      <c r="C154" s="8"/>
      <c r="D154" s="8"/>
      <c r="E154" s="8"/>
      <c r="F154" s="8"/>
      <c r="G154" s="8"/>
      <c r="H154" s="8"/>
      <c r="I154" s="11" t="str">
        <f aca="false">IF($C154="","",D154-E154)</f>
        <v/>
      </c>
      <c r="J154" s="11" t="str">
        <f aca="false">IF($C154="","",I154-F154)</f>
        <v/>
      </c>
      <c r="K154" s="12" t="str">
        <f aca="false">IF($C154="","",IFERROR(INDEX(Setup!$B$5:$B$24,MATCH($C154,Setup!$A$5:$A$24,0)),""))</f>
        <v/>
      </c>
      <c r="L154" s="12" t="str">
        <f aca="false">IF(OR($C154="",K154=""),"",K154*G154/60)</f>
        <v/>
      </c>
      <c r="M154" s="11" t="str">
        <f aca="false">IF($C154="","",G154-H154)</f>
        <v/>
      </c>
      <c r="N154" s="13" t="str">
        <f aca="false">IF($C154="","",IF(I154&lt;=0,"",J154/I154))</f>
        <v/>
      </c>
      <c r="O154" s="13" t="str">
        <f aca="false">IF($C154="","",IF(OR(L154="",J154&lt;=0),"",L154/J154))</f>
        <v/>
      </c>
      <c r="P154" s="13" t="str">
        <f aca="false">IF($C154="","",IF(G154&lt;=0,"",M154/G154))</f>
        <v/>
      </c>
      <c r="Q154" s="13" t="str">
        <f aca="false">IF(OR(N154="",O154="",P154=""),"",N154*O154*P154)</f>
        <v/>
      </c>
      <c r="R154" s="14" t="str">
        <f aca="false">IF($C154="","",IF(K154="","Machine not in Setup",IF(H154&gt;G154,"Rejects &gt; total parts",IF(J154&lt;0,"Downtime &gt; planned time",IF(AND(ISNUMBER(O154),O154&gt;1.05),"Performance &gt; 100%: check cycle time or counts","OK")))))</f>
        <v/>
      </c>
    </row>
    <row r="155" customFormat="false" ht="15" hidden="false" customHeight="false" outlineLevel="0" collapsed="false">
      <c r="A155" s="10"/>
      <c r="B155" s="8"/>
      <c r="C155" s="8"/>
      <c r="D155" s="8"/>
      <c r="E155" s="8"/>
      <c r="F155" s="8"/>
      <c r="G155" s="8"/>
      <c r="H155" s="8"/>
      <c r="I155" s="11" t="str">
        <f aca="false">IF($C155="","",D155-E155)</f>
        <v/>
      </c>
      <c r="J155" s="11" t="str">
        <f aca="false">IF($C155="","",I155-F155)</f>
        <v/>
      </c>
      <c r="K155" s="12" t="str">
        <f aca="false">IF($C155="","",IFERROR(INDEX(Setup!$B$5:$B$24,MATCH($C155,Setup!$A$5:$A$24,0)),""))</f>
        <v/>
      </c>
      <c r="L155" s="12" t="str">
        <f aca="false">IF(OR($C155="",K155=""),"",K155*G155/60)</f>
        <v/>
      </c>
      <c r="M155" s="11" t="str">
        <f aca="false">IF($C155="","",G155-H155)</f>
        <v/>
      </c>
      <c r="N155" s="13" t="str">
        <f aca="false">IF($C155="","",IF(I155&lt;=0,"",J155/I155))</f>
        <v/>
      </c>
      <c r="O155" s="13" t="str">
        <f aca="false">IF($C155="","",IF(OR(L155="",J155&lt;=0),"",L155/J155))</f>
        <v/>
      </c>
      <c r="P155" s="13" t="str">
        <f aca="false">IF($C155="","",IF(G155&lt;=0,"",M155/G155))</f>
        <v/>
      </c>
      <c r="Q155" s="13" t="str">
        <f aca="false">IF(OR(N155="",O155="",P155=""),"",N155*O155*P155)</f>
        <v/>
      </c>
      <c r="R155" s="14" t="str">
        <f aca="false">IF($C155="","",IF(K155="","Machine not in Setup",IF(H155&gt;G155,"Rejects &gt; total parts",IF(J155&lt;0,"Downtime &gt; planned time",IF(AND(ISNUMBER(O155),O155&gt;1.05),"Performance &gt; 100%: check cycle time or counts","OK")))))</f>
        <v/>
      </c>
    </row>
    <row r="156" customFormat="false" ht="15" hidden="false" customHeight="false" outlineLevel="0" collapsed="false">
      <c r="A156" s="10"/>
      <c r="B156" s="8"/>
      <c r="C156" s="8"/>
      <c r="D156" s="8"/>
      <c r="E156" s="8"/>
      <c r="F156" s="8"/>
      <c r="G156" s="8"/>
      <c r="H156" s="8"/>
      <c r="I156" s="11" t="str">
        <f aca="false">IF($C156="","",D156-E156)</f>
        <v/>
      </c>
      <c r="J156" s="11" t="str">
        <f aca="false">IF($C156="","",I156-F156)</f>
        <v/>
      </c>
      <c r="K156" s="12" t="str">
        <f aca="false">IF($C156="","",IFERROR(INDEX(Setup!$B$5:$B$24,MATCH($C156,Setup!$A$5:$A$24,0)),""))</f>
        <v/>
      </c>
      <c r="L156" s="12" t="str">
        <f aca="false">IF(OR($C156="",K156=""),"",K156*G156/60)</f>
        <v/>
      </c>
      <c r="M156" s="11" t="str">
        <f aca="false">IF($C156="","",G156-H156)</f>
        <v/>
      </c>
      <c r="N156" s="13" t="str">
        <f aca="false">IF($C156="","",IF(I156&lt;=0,"",J156/I156))</f>
        <v/>
      </c>
      <c r="O156" s="13" t="str">
        <f aca="false">IF($C156="","",IF(OR(L156="",J156&lt;=0),"",L156/J156))</f>
        <v/>
      </c>
      <c r="P156" s="13" t="str">
        <f aca="false">IF($C156="","",IF(G156&lt;=0,"",M156/G156))</f>
        <v/>
      </c>
      <c r="Q156" s="13" t="str">
        <f aca="false">IF(OR(N156="",O156="",P156=""),"",N156*O156*P156)</f>
        <v/>
      </c>
      <c r="R156" s="14" t="str">
        <f aca="false">IF($C156="","",IF(K156="","Machine not in Setup",IF(H156&gt;G156,"Rejects &gt; total parts",IF(J156&lt;0,"Downtime &gt; planned time",IF(AND(ISNUMBER(O156),O156&gt;1.05),"Performance &gt; 100%: check cycle time or counts","OK")))))</f>
        <v/>
      </c>
    </row>
    <row r="157" customFormat="false" ht="15" hidden="false" customHeight="false" outlineLevel="0" collapsed="false">
      <c r="A157" s="10"/>
      <c r="B157" s="8"/>
      <c r="C157" s="8"/>
      <c r="D157" s="8"/>
      <c r="E157" s="8"/>
      <c r="F157" s="8"/>
      <c r="G157" s="8"/>
      <c r="H157" s="8"/>
      <c r="I157" s="11" t="str">
        <f aca="false">IF($C157="","",D157-E157)</f>
        <v/>
      </c>
      <c r="J157" s="11" t="str">
        <f aca="false">IF($C157="","",I157-F157)</f>
        <v/>
      </c>
      <c r="K157" s="12" t="str">
        <f aca="false">IF($C157="","",IFERROR(INDEX(Setup!$B$5:$B$24,MATCH($C157,Setup!$A$5:$A$24,0)),""))</f>
        <v/>
      </c>
      <c r="L157" s="12" t="str">
        <f aca="false">IF(OR($C157="",K157=""),"",K157*G157/60)</f>
        <v/>
      </c>
      <c r="M157" s="11" t="str">
        <f aca="false">IF($C157="","",G157-H157)</f>
        <v/>
      </c>
      <c r="N157" s="13" t="str">
        <f aca="false">IF($C157="","",IF(I157&lt;=0,"",J157/I157))</f>
        <v/>
      </c>
      <c r="O157" s="13" t="str">
        <f aca="false">IF($C157="","",IF(OR(L157="",J157&lt;=0),"",L157/J157))</f>
        <v/>
      </c>
      <c r="P157" s="13" t="str">
        <f aca="false">IF($C157="","",IF(G157&lt;=0,"",M157/G157))</f>
        <v/>
      </c>
      <c r="Q157" s="13" t="str">
        <f aca="false">IF(OR(N157="",O157="",P157=""),"",N157*O157*P157)</f>
        <v/>
      </c>
      <c r="R157" s="14" t="str">
        <f aca="false">IF($C157="","",IF(K157="","Machine not in Setup",IF(H157&gt;G157,"Rejects &gt; total parts",IF(J157&lt;0,"Downtime &gt; planned time",IF(AND(ISNUMBER(O157),O157&gt;1.05),"Performance &gt; 100%: check cycle time or counts","OK")))))</f>
        <v/>
      </c>
    </row>
    <row r="158" customFormat="false" ht="15" hidden="false" customHeight="false" outlineLevel="0" collapsed="false">
      <c r="A158" s="10"/>
      <c r="B158" s="8"/>
      <c r="C158" s="8"/>
      <c r="D158" s="8"/>
      <c r="E158" s="8"/>
      <c r="F158" s="8"/>
      <c r="G158" s="8"/>
      <c r="H158" s="8"/>
      <c r="I158" s="11" t="str">
        <f aca="false">IF($C158="","",D158-E158)</f>
        <v/>
      </c>
      <c r="J158" s="11" t="str">
        <f aca="false">IF($C158="","",I158-F158)</f>
        <v/>
      </c>
      <c r="K158" s="12" t="str">
        <f aca="false">IF($C158="","",IFERROR(INDEX(Setup!$B$5:$B$24,MATCH($C158,Setup!$A$5:$A$24,0)),""))</f>
        <v/>
      </c>
      <c r="L158" s="12" t="str">
        <f aca="false">IF(OR($C158="",K158=""),"",K158*G158/60)</f>
        <v/>
      </c>
      <c r="M158" s="11" t="str">
        <f aca="false">IF($C158="","",G158-H158)</f>
        <v/>
      </c>
      <c r="N158" s="13" t="str">
        <f aca="false">IF($C158="","",IF(I158&lt;=0,"",J158/I158))</f>
        <v/>
      </c>
      <c r="O158" s="13" t="str">
        <f aca="false">IF($C158="","",IF(OR(L158="",J158&lt;=0),"",L158/J158))</f>
        <v/>
      </c>
      <c r="P158" s="13" t="str">
        <f aca="false">IF($C158="","",IF(G158&lt;=0,"",M158/G158))</f>
        <v/>
      </c>
      <c r="Q158" s="13" t="str">
        <f aca="false">IF(OR(N158="",O158="",P158=""),"",N158*O158*P158)</f>
        <v/>
      </c>
      <c r="R158" s="14" t="str">
        <f aca="false">IF($C158="","",IF(K158="","Machine not in Setup",IF(H158&gt;G158,"Rejects &gt; total parts",IF(J158&lt;0,"Downtime &gt; planned time",IF(AND(ISNUMBER(O158),O158&gt;1.05),"Performance &gt; 100%: check cycle time or counts","OK")))))</f>
        <v/>
      </c>
    </row>
    <row r="159" customFormat="false" ht="15" hidden="false" customHeight="false" outlineLevel="0" collapsed="false">
      <c r="A159" s="10"/>
      <c r="B159" s="8"/>
      <c r="C159" s="8"/>
      <c r="D159" s="8"/>
      <c r="E159" s="8"/>
      <c r="F159" s="8"/>
      <c r="G159" s="8"/>
      <c r="H159" s="8"/>
      <c r="I159" s="11" t="str">
        <f aca="false">IF($C159="","",D159-E159)</f>
        <v/>
      </c>
      <c r="J159" s="11" t="str">
        <f aca="false">IF($C159="","",I159-F159)</f>
        <v/>
      </c>
      <c r="K159" s="12" t="str">
        <f aca="false">IF($C159="","",IFERROR(INDEX(Setup!$B$5:$B$24,MATCH($C159,Setup!$A$5:$A$24,0)),""))</f>
        <v/>
      </c>
      <c r="L159" s="12" t="str">
        <f aca="false">IF(OR($C159="",K159=""),"",K159*G159/60)</f>
        <v/>
      </c>
      <c r="M159" s="11" t="str">
        <f aca="false">IF($C159="","",G159-H159)</f>
        <v/>
      </c>
      <c r="N159" s="13" t="str">
        <f aca="false">IF($C159="","",IF(I159&lt;=0,"",J159/I159))</f>
        <v/>
      </c>
      <c r="O159" s="13" t="str">
        <f aca="false">IF($C159="","",IF(OR(L159="",J159&lt;=0),"",L159/J159))</f>
        <v/>
      </c>
      <c r="P159" s="13" t="str">
        <f aca="false">IF($C159="","",IF(G159&lt;=0,"",M159/G159))</f>
        <v/>
      </c>
      <c r="Q159" s="13" t="str">
        <f aca="false">IF(OR(N159="",O159="",P159=""),"",N159*O159*P159)</f>
        <v/>
      </c>
      <c r="R159" s="14" t="str">
        <f aca="false">IF($C159="","",IF(K159="","Machine not in Setup",IF(H159&gt;G159,"Rejects &gt; total parts",IF(J159&lt;0,"Downtime &gt; planned time",IF(AND(ISNUMBER(O159),O159&gt;1.05),"Performance &gt; 100%: check cycle time or counts","OK")))))</f>
        <v/>
      </c>
    </row>
    <row r="160" customFormat="false" ht="15" hidden="false" customHeight="false" outlineLevel="0" collapsed="false">
      <c r="A160" s="10"/>
      <c r="B160" s="8"/>
      <c r="C160" s="8"/>
      <c r="D160" s="8"/>
      <c r="E160" s="8"/>
      <c r="F160" s="8"/>
      <c r="G160" s="8"/>
      <c r="H160" s="8"/>
      <c r="I160" s="11" t="str">
        <f aca="false">IF($C160="","",D160-E160)</f>
        <v/>
      </c>
      <c r="J160" s="11" t="str">
        <f aca="false">IF($C160="","",I160-F160)</f>
        <v/>
      </c>
      <c r="K160" s="12" t="str">
        <f aca="false">IF($C160="","",IFERROR(INDEX(Setup!$B$5:$B$24,MATCH($C160,Setup!$A$5:$A$24,0)),""))</f>
        <v/>
      </c>
      <c r="L160" s="12" t="str">
        <f aca="false">IF(OR($C160="",K160=""),"",K160*G160/60)</f>
        <v/>
      </c>
      <c r="M160" s="11" t="str">
        <f aca="false">IF($C160="","",G160-H160)</f>
        <v/>
      </c>
      <c r="N160" s="13" t="str">
        <f aca="false">IF($C160="","",IF(I160&lt;=0,"",J160/I160))</f>
        <v/>
      </c>
      <c r="O160" s="13" t="str">
        <f aca="false">IF($C160="","",IF(OR(L160="",J160&lt;=0),"",L160/J160))</f>
        <v/>
      </c>
      <c r="P160" s="13" t="str">
        <f aca="false">IF($C160="","",IF(G160&lt;=0,"",M160/G160))</f>
        <v/>
      </c>
      <c r="Q160" s="13" t="str">
        <f aca="false">IF(OR(N160="",O160="",P160=""),"",N160*O160*P160)</f>
        <v/>
      </c>
      <c r="R160" s="14" t="str">
        <f aca="false">IF($C160="","",IF(K160="","Machine not in Setup",IF(H160&gt;G160,"Rejects &gt; total parts",IF(J160&lt;0,"Downtime &gt; planned time",IF(AND(ISNUMBER(O160),O160&gt;1.05),"Performance &gt; 100%: check cycle time or counts","OK")))))</f>
        <v/>
      </c>
    </row>
    <row r="161" customFormat="false" ht="15" hidden="false" customHeight="false" outlineLevel="0" collapsed="false">
      <c r="A161" s="10"/>
      <c r="B161" s="8"/>
      <c r="C161" s="8"/>
      <c r="D161" s="8"/>
      <c r="E161" s="8"/>
      <c r="F161" s="8"/>
      <c r="G161" s="8"/>
      <c r="H161" s="8"/>
      <c r="I161" s="11" t="str">
        <f aca="false">IF($C161="","",D161-E161)</f>
        <v/>
      </c>
      <c r="J161" s="11" t="str">
        <f aca="false">IF($C161="","",I161-F161)</f>
        <v/>
      </c>
      <c r="K161" s="12" t="str">
        <f aca="false">IF($C161="","",IFERROR(INDEX(Setup!$B$5:$B$24,MATCH($C161,Setup!$A$5:$A$24,0)),""))</f>
        <v/>
      </c>
      <c r="L161" s="12" t="str">
        <f aca="false">IF(OR($C161="",K161=""),"",K161*G161/60)</f>
        <v/>
      </c>
      <c r="M161" s="11" t="str">
        <f aca="false">IF($C161="","",G161-H161)</f>
        <v/>
      </c>
      <c r="N161" s="13" t="str">
        <f aca="false">IF($C161="","",IF(I161&lt;=0,"",J161/I161))</f>
        <v/>
      </c>
      <c r="O161" s="13" t="str">
        <f aca="false">IF($C161="","",IF(OR(L161="",J161&lt;=0),"",L161/J161))</f>
        <v/>
      </c>
      <c r="P161" s="13" t="str">
        <f aca="false">IF($C161="","",IF(G161&lt;=0,"",M161/G161))</f>
        <v/>
      </c>
      <c r="Q161" s="13" t="str">
        <f aca="false">IF(OR(N161="",O161="",P161=""),"",N161*O161*P161)</f>
        <v/>
      </c>
      <c r="R161" s="14" t="str">
        <f aca="false">IF($C161="","",IF(K161="","Machine not in Setup",IF(H161&gt;G161,"Rejects &gt; total parts",IF(J161&lt;0,"Downtime &gt; planned time",IF(AND(ISNUMBER(O161),O161&gt;1.05),"Performance &gt; 100%: check cycle time or counts","OK")))))</f>
        <v/>
      </c>
    </row>
    <row r="162" customFormat="false" ht="15" hidden="false" customHeight="false" outlineLevel="0" collapsed="false">
      <c r="A162" s="10"/>
      <c r="B162" s="8"/>
      <c r="C162" s="8"/>
      <c r="D162" s="8"/>
      <c r="E162" s="8"/>
      <c r="F162" s="8"/>
      <c r="G162" s="8"/>
      <c r="H162" s="8"/>
      <c r="I162" s="11" t="str">
        <f aca="false">IF($C162="","",D162-E162)</f>
        <v/>
      </c>
      <c r="J162" s="11" t="str">
        <f aca="false">IF($C162="","",I162-F162)</f>
        <v/>
      </c>
      <c r="K162" s="12" t="str">
        <f aca="false">IF($C162="","",IFERROR(INDEX(Setup!$B$5:$B$24,MATCH($C162,Setup!$A$5:$A$24,0)),""))</f>
        <v/>
      </c>
      <c r="L162" s="12" t="str">
        <f aca="false">IF(OR($C162="",K162=""),"",K162*G162/60)</f>
        <v/>
      </c>
      <c r="M162" s="11" t="str">
        <f aca="false">IF($C162="","",G162-H162)</f>
        <v/>
      </c>
      <c r="N162" s="13" t="str">
        <f aca="false">IF($C162="","",IF(I162&lt;=0,"",J162/I162))</f>
        <v/>
      </c>
      <c r="O162" s="13" t="str">
        <f aca="false">IF($C162="","",IF(OR(L162="",J162&lt;=0),"",L162/J162))</f>
        <v/>
      </c>
      <c r="P162" s="13" t="str">
        <f aca="false">IF($C162="","",IF(G162&lt;=0,"",M162/G162))</f>
        <v/>
      </c>
      <c r="Q162" s="13" t="str">
        <f aca="false">IF(OR(N162="",O162="",P162=""),"",N162*O162*P162)</f>
        <v/>
      </c>
      <c r="R162" s="14" t="str">
        <f aca="false">IF($C162="","",IF(K162="","Machine not in Setup",IF(H162&gt;G162,"Rejects &gt; total parts",IF(J162&lt;0,"Downtime &gt; planned time",IF(AND(ISNUMBER(O162),O162&gt;1.05),"Performance &gt; 100%: check cycle time or counts","OK")))))</f>
        <v/>
      </c>
    </row>
    <row r="163" customFormat="false" ht="15" hidden="false" customHeight="false" outlineLevel="0" collapsed="false">
      <c r="A163" s="10"/>
      <c r="B163" s="8"/>
      <c r="C163" s="8"/>
      <c r="D163" s="8"/>
      <c r="E163" s="8"/>
      <c r="F163" s="8"/>
      <c r="G163" s="8"/>
      <c r="H163" s="8"/>
      <c r="I163" s="11" t="str">
        <f aca="false">IF($C163="","",D163-E163)</f>
        <v/>
      </c>
      <c r="J163" s="11" t="str">
        <f aca="false">IF($C163="","",I163-F163)</f>
        <v/>
      </c>
      <c r="K163" s="12" t="str">
        <f aca="false">IF($C163="","",IFERROR(INDEX(Setup!$B$5:$B$24,MATCH($C163,Setup!$A$5:$A$24,0)),""))</f>
        <v/>
      </c>
      <c r="L163" s="12" t="str">
        <f aca="false">IF(OR($C163="",K163=""),"",K163*G163/60)</f>
        <v/>
      </c>
      <c r="M163" s="11" t="str">
        <f aca="false">IF($C163="","",G163-H163)</f>
        <v/>
      </c>
      <c r="N163" s="13" t="str">
        <f aca="false">IF($C163="","",IF(I163&lt;=0,"",J163/I163))</f>
        <v/>
      </c>
      <c r="O163" s="13" t="str">
        <f aca="false">IF($C163="","",IF(OR(L163="",J163&lt;=0),"",L163/J163))</f>
        <v/>
      </c>
      <c r="P163" s="13" t="str">
        <f aca="false">IF($C163="","",IF(G163&lt;=0,"",M163/G163))</f>
        <v/>
      </c>
      <c r="Q163" s="13" t="str">
        <f aca="false">IF(OR(N163="",O163="",P163=""),"",N163*O163*P163)</f>
        <v/>
      </c>
      <c r="R163" s="14" t="str">
        <f aca="false">IF($C163="","",IF(K163="","Machine not in Setup",IF(H163&gt;G163,"Rejects &gt; total parts",IF(J163&lt;0,"Downtime &gt; planned time",IF(AND(ISNUMBER(O163),O163&gt;1.05),"Performance &gt; 100%: check cycle time or counts","OK")))))</f>
        <v/>
      </c>
    </row>
    <row r="164" customFormat="false" ht="15" hidden="false" customHeight="false" outlineLevel="0" collapsed="false">
      <c r="A164" s="10"/>
      <c r="B164" s="8"/>
      <c r="C164" s="8"/>
      <c r="D164" s="8"/>
      <c r="E164" s="8"/>
      <c r="F164" s="8"/>
      <c r="G164" s="8"/>
      <c r="H164" s="8"/>
      <c r="I164" s="11" t="str">
        <f aca="false">IF($C164="","",D164-E164)</f>
        <v/>
      </c>
      <c r="J164" s="11" t="str">
        <f aca="false">IF($C164="","",I164-F164)</f>
        <v/>
      </c>
      <c r="K164" s="12" t="str">
        <f aca="false">IF($C164="","",IFERROR(INDEX(Setup!$B$5:$B$24,MATCH($C164,Setup!$A$5:$A$24,0)),""))</f>
        <v/>
      </c>
      <c r="L164" s="12" t="str">
        <f aca="false">IF(OR($C164="",K164=""),"",K164*G164/60)</f>
        <v/>
      </c>
      <c r="M164" s="11" t="str">
        <f aca="false">IF($C164="","",G164-H164)</f>
        <v/>
      </c>
      <c r="N164" s="13" t="str">
        <f aca="false">IF($C164="","",IF(I164&lt;=0,"",J164/I164))</f>
        <v/>
      </c>
      <c r="O164" s="13" t="str">
        <f aca="false">IF($C164="","",IF(OR(L164="",J164&lt;=0),"",L164/J164))</f>
        <v/>
      </c>
      <c r="P164" s="13" t="str">
        <f aca="false">IF($C164="","",IF(G164&lt;=0,"",M164/G164))</f>
        <v/>
      </c>
      <c r="Q164" s="13" t="str">
        <f aca="false">IF(OR(N164="",O164="",P164=""),"",N164*O164*P164)</f>
        <v/>
      </c>
      <c r="R164" s="14" t="str">
        <f aca="false">IF($C164="","",IF(K164="","Machine not in Setup",IF(H164&gt;G164,"Rejects &gt; total parts",IF(J164&lt;0,"Downtime &gt; planned time",IF(AND(ISNUMBER(O164),O164&gt;1.05),"Performance &gt; 100%: check cycle time or counts","OK")))))</f>
        <v/>
      </c>
    </row>
    <row r="165" customFormat="false" ht="15" hidden="false" customHeight="false" outlineLevel="0" collapsed="false">
      <c r="A165" s="10"/>
      <c r="B165" s="8"/>
      <c r="C165" s="8"/>
      <c r="D165" s="8"/>
      <c r="E165" s="8"/>
      <c r="F165" s="8"/>
      <c r="G165" s="8"/>
      <c r="H165" s="8"/>
      <c r="I165" s="11" t="str">
        <f aca="false">IF($C165="","",D165-E165)</f>
        <v/>
      </c>
      <c r="J165" s="11" t="str">
        <f aca="false">IF($C165="","",I165-F165)</f>
        <v/>
      </c>
      <c r="K165" s="12" t="str">
        <f aca="false">IF($C165="","",IFERROR(INDEX(Setup!$B$5:$B$24,MATCH($C165,Setup!$A$5:$A$24,0)),""))</f>
        <v/>
      </c>
      <c r="L165" s="12" t="str">
        <f aca="false">IF(OR($C165="",K165=""),"",K165*G165/60)</f>
        <v/>
      </c>
      <c r="M165" s="11" t="str">
        <f aca="false">IF($C165="","",G165-H165)</f>
        <v/>
      </c>
      <c r="N165" s="13" t="str">
        <f aca="false">IF($C165="","",IF(I165&lt;=0,"",J165/I165))</f>
        <v/>
      </c>
      <c r="O165" s="13" t="str">
        <f aca="false">IF($C165="","",IF(OR(L165="",J165&lt;=0),"",L165/J165))</f>
        <v/>
      </c>
      <c r="P165" s="13" t="str">
        <f aca="false">IF($C165="","",IF(G165&lt;=0,"",M165/G165))</f>
        <v/>
      </c>
      <c r="Q165" s="13" t="str">
        <f aca="false">IF(OR(N165="",O165="",P165=""),"",N165*O165*P165)</f>
        <v/>
      </c>
      <c r="R165" s="14" t="str">
        <f aca="false">IF($C165="","",IF(K165="","Machine not in Setup",IF(H165&gt;G165,"Rejects &gt; total parts",IF(J165&lt;0,"Downtime &gt; planned time",IF(AND(ISNUMBER(O165),O165&gt;1.05),"Performance &gt; 100%: check cycle time or counts","OK")))))</f>
        <v/>
      </c>
    </row>
    <row r="166" customFormat="false" ht="15" hidden="false" customHeight="false" outlineLevel="0" collapsed="false">
      <c r="A166" s="10"/>
      <c r="B166" s="8"/>
      <c r="C166" s="8"/>
      <c r="D166" s="8"/>
      <c r="E166" s="8"/>
      <c r="F166" s="8"/>
      <c r="G166" s="8"/>
      <c r="H166" s="8"/>
      <c r="I166" s="11" t="str">
        <f aca="false">IF($C166="","",D166-E166)</f>
        <v/>
      </c>
      <c r="J166" s="11" t="str">
        <f aca="false">IF($C166="","",I166-F166)</f>
        <v/>
      </c>
      <c r="K166" s="12" t="str">
        <f aca="false">IF($C166="","",IFERROR(INDEX(Setup!$B$5:$B$24,MATCH($C166,Setup!$A$5:$A$24,0)),""))</f>
        <v/>
      </c>
      <c r="L166" s="12" t="str">
        <f aca="false">IF(OR($C166="",K166=""),"",K166*G166/60)</f>
        <v/>
      </c>
      <c r="M166" s="11" t="str">
        <f aca="false">IF($C166="","",G166-H166)</f>
        <v/>
      </c>
      <c r="N166" s="13" t="str">
        <f aca="false">IF($C166="","",IF(I166&lt;=0,"",J166/I166))</f>
        <v/>
      </c>
      <c r="O166" s="13" t="str">
        <f aca="false">IF($C166="","",IF(OR(L166="",J166&lt;=0),"",L166/J166))</f>
        <v/>
      </c>
      <c r="P166" s="13" t="str">
        <f aca="false">IF($C166="","",IF(G166&lt;=0,"",M166/G166))</f>
        <v/>
      </c>
      <c r="Q166" s="13" t="str">
        <f aca="false">IF(OR(N166="",O166="",P166=""),"",N166*O166*P166)</f>
        <v/>
      </c>
      <c r="R166" s="14" t="str">
        <f aca="false">IF($C166="","",IF(K166="","Machine not in Setup",IF(H166&gt;G166,"Rejects &gt; total parts",IF(J166&lt;0,"Downtime &gt; planned time",IF(AND(ISNUMBER(O166),O166&gt;1.05),"Performance &gt; 100%: check cycle time or counts","OK")))))</f>
        <v/>
      </c>
    </row>
    <row r="167" customFormat="false" ht="15" hidden="false" customHeight="false" outlineLevel="0" collapsed="false">
      <c r="A167" s="10"/>
      <c r="B167" s="8"/>
      <c r="C167" s="8"/>
      <c r="D167" s="8"/>
      <c r="E167" s="8"/>
      <c r="F167" s="8"/>
      <c r="G167" s="8"/>
      <c r="H167" s="8"/>
      <c r="I167" s="11" t="str">
        <f aca="false">IF($C167="","",D167-E167)</f>
        <v/>
      </c>
      <c r="J167" s="11" t="str">
        <f aca="false">IF($C167="","",I167-F167)</f>
        <v/>
      </c>
      <c r="K167" s="12" t="str">
        <f aca="false">IF($C167="","",IFERROR(INDEX(Setup!$B$5:$B$24,MATCH($C167,Setup!$A$5:$A$24,0)),""))</f>
        <v/>
      </c>
      <c r="L167" s="12" t="str">
        <f aca="false">IF(OR($C167="",K167=""),"",K167*G167/60)</f>
        <v/>
      </c>
      <c r="M167" s="11" t="str">
        <f aca="false">IF($C167="","",G167-H167)</f>
        <v/>
      </c>
      <c r="N167" s="13" t="str">
        <f aca="false">IF($C167="","",IF(I167&lt;=0,"",J167/I167))</f>
        <v/>
      </c>
      <c r="O167" s="13" t="str">
        <f aca="false">IF($C167="","",IF(OR(L167="",J167&lt;=0),"",L167/J167))</f>
        <v/>
      </c>
      <c r="P167" s="13" t="str">
        <f aca="false">IF($C167="","",IF(G167&lt;=0,"",M167/G167))</f>
        <v/>
      </c>
      <c r="Q167" s="13" t="str">
        <f aca="false">IF(OR(N167="",O167="",P167=""),"",N167*O167*P167)</f>
        <v/>
      </c>
      <c r="R167" s="14" t="str">
        <f aca="false">IF($C167="","",IF(K167="","Machine not in Setup",IF(H167&gt;G167,"Rejects &gt; total parts",IF(J167&lt;0,"Downtime &gt; planned time",IF(AND(ISNUMBER(O167),O167&gt;1.05),"Performance &gt; 100%: check cycle time or counts","OK")))))</f>
        <v/>
      </c>
    </row>
    <row r="168" customFormat="false" ht="15" hidden="false" customHeight="false" outlineLevel="0" collapsed="false">
      <c r="A168" s="10"/>
      <c r="B168" s="8"/>
      <c r="C168" s="8"/>
      <c r="D168" s="8"/>
      <c r="E168" s="8"/>
      <c r="F168" s="8"/>
      <c r="G168" s="8"/>
      <c r="H168" s="8"/>
      <c r="I168" s="11" t="str">
        <f aca="false">IF($C168="","",D168-E168)</f>
        <v/>
      </c>
      <c r="J168" s="11" t="str">
        <f aca="false">IF($C168="","",I168-F168)</f>
        <v/>
      </c>
      <c r="K168" s="12" t="str">
        <f aca="false">IF($C168="","",IFERROR(INDEX(Setup!$B$5:$B$24,MATCH($C168,Setup!$A$5:$A$24,0)),""))</f>
        <v/>
      </c>
      <c r="L168" s="12" t="str">
        <f aca="false">IF(OR($C168="",K168=""),"",K168*G168/60)</f>
        <v/>
      </c>
      <c r="M168" s="11" t="str">
        <f aca="false">IF($C168="","",G168-H168)</f>
        <v/>
      </c>
      <c r="N168" s="13" t="str">
        <f aca="false">IF($C168="","",IF(I168&lt;=0,"",J168/I168))</f>
        <v/>
      </c>
      <c r="O168" s="13" t="str">
        <f aca="false">IF($C168="","",IF(OR(L168="",J168&lt;=0),"",L168/J168))</f>
        <v/>
      </c>
      <c r="P168" s="13" t="str">
        <f aca="false">IF($C168="","",IF(G168&lt;=0,"",M168/G168))</f>
        <v/>
      </c>
      <c r="Q168" s="13" t="str">
        <f aca="false">IF(OR(N168="",O168="",P168=""),"",N168*O168*P168)</f>
        <v/>
      </c>
      <c r="R168" s="14" t="str">
        <f aca="false">IF($C168="","",IF(K168="","Machine not in Setup",IF(H168&gt;G168,"Rejects &gt; total parts",IF(J168&lt;0,"Downtime &gt; planned time",IF(AND(ISNUMBER(O168),O168&gt;1.05),"Performance &gt; 100%: check cycle time or counts","OK")))))</f>
        <v/>
      </c>
    </row>
    <row r="169" customFormat="false" ht="15" hidden="false" customHeight="false" outlineLevel="0" collapsed="false">
      <c r="A169" s="10"/>
      <c r="B169" s="8"/>
      <c r="C169" s="8"/>
      <c r="D169" s="8"/>
      <c r="E169" s="8"/>
      <c r="F169" s="8"/>
      <c r="G169" s="8"/>
      <c r="H169" s="8"/>
      <c r="I169" s="11" t="str">
        <f aca="false">IF($C169="","",D169-E169)</f>
        <v/>
      </c>
      <c r="J169" s="11" t="str">
        <f aca="false">IF($C169="","",I169-F169)</f>
        <v/>
      </c>
      <c r="K169" s="12" t="str">
        <f aca="false">IF($C169="","",IFERROR(INDEX(Setup!$B$5:$B$24,MATCH($C169,Setup!$A$5:$A$24,0)),""))</f>
        <v/>
      </c>
      <c r="L169" s="12" t="str">
        <f aca="false">IF(OR($C169="",K169=""),"",K169*G169/60)</f>
        <v/>
      </c>
      <c r="M169" s="11" t="str">
        <f aca="false">IF($C169="","",G169-H169)</f>
        <v/>
      </c>
      <c r="N169" s="13" t="str">
        <f aca="false">IF($C169="","",IF(I169&lt;=0,"",J169/I169))</f>
        <v/>
      </c>
      <c r="O169" s="13" t="str">
        <f aca="false">IF($C169="","",IF(OR(L169="",J169&lt;=0),"",L169/J169))</f>
        <v/>
      </c>
      <c r="P169" s="13" t="str">
        <f aca="false">IF($C169="","",IF(G169&lt;=0,"",M169/G169))</f>
        <v/>
      </c>
      <c r="Q169" s="13" t="str">
        <f aca="false">IF(OR(N169="",O169="",P169=""),"",N169*O169*P169)</f>
        <v/>
      </c>
      <c r="R169" s="14" t="str">
        <f aca="false">IF($C169="","",IF(K169="","Machine not in Setup",IF(H169&gt;G169,"Rejects &gt; total parts",IF(J169&lt;0,"Downtime &gt; planned time",IF(AND(ISNUMBER(O169),O169&gt;1.05),"Performance &gt; 100%: check cycle time or counts","OK")))))</f>
        <v/>
      </c>
    </row>
    <row r="170" customFormat="false" ht="15" hidden="false" customHeight="false" outlineLevel="0" collapsed="false">
      <c r="A170" s="10"/>
      <c r="B170" s="8"/>
      <c r="C170" s="8"/>
      <c r="D170" s="8"/>
      <c r="E170" s="8"/>
      <c r="F170" s="8"/>
      <c r="G170" s="8"/>
      <c r="H170" s="8"/>
      <c r="I170" s="11" t="str">
        <f aca="false">IF($C170="","",D170-E170)</f>
        <v/>
      </c>
      <c r="J170" s="11" t="str">
        <f aca="false">IF($C170="","",I170-F170)</f>
        <v/>
      </c>
      <c r="K170" s="12" t="str">
        <f aca="false">IF($C170="","",IFERROR(INDEX(Setup!$B$5:$B$24,MATCH($C170,Setup!$A$5:$A$24,0)),""))</f>
        <v/>
      </c>
      <c r="L170" s="12" t="str">
        <f aca="false">IF(OR($C170="",K170=""),"",K170*G170/60)</f>
        <v/>
      </c>
      <c r="M170" s="11" t="str">
        <f aca="false">IF($C170="","",G170-H170)</f>
        <v/>
      </c>
      <c r="N170" s="13" t="str">
        <f aca="false">IF($C170="","",IF(I170&lt;=0,"",J170/I170))</f>
        <v/>
      </c>
      <c r="O170" s="13" t="str">
        <f aca="false">IF($C170="","",IF(OR(L170="",J170&lt;=0),"",L170/J170))</f>
        <v/>
      </c>
      <c r="P170" s="13" t="str">
        <f aca="false">IF($C170="","",IF(G170&lt;=0,"",M170/G170))</f>
        <v/>
      </c>
      <c r="Q170" s="13" t="str">
        <f aca="false">IF(OR(N170="",O170="",P170=""),"",N170*O170*P170)</f>
        <v/>
      </c>
      <c r="R170" s="14" t="str">
        <f aca="false">IF($C170="","",IF(K170="","Machine not in Setup",IF(H170&gt;G170,"Rejects &gt; total parts",IF(J170&lt;0,"Downtime &gt; planned time",IF(AND(ISNUMBER(O170),O170&gt;1.05),"Performance &gt; 100%: check cycle time or counts","OK")))))</f>
        <v/>
      </c>
    </row>
    <row r="171" customFormat="false" ht="15" hidden="false" customHeight="false" outlineLevel="0" collapsed="false">
      <c r="A171" s="10"/>
      <c r="B171" s="8"/>
      <c r="C171" s="8"/>
      <c r="D171" s="8"/>
      <c r="E171" s="8"/>
      <c r="F171" s="8"/>
      <c r="G171" s="8"/>
      <c r="H171" s="8"/>
      <c r="I171" s="11" t="str">
        <f aca="false">IF($C171="","",D171-E171)</f>
        <v/>
      </c>
      <c r="J171" s="11" t="str">
        <f aca="false">IF($C171="","",I171-F171)</f>
        <v/>
      </c>
      <c r="K171" s="12" t="str">
        <f aca="false">IF($C171="","",IFERROR(INDEX(Setup!$B$5:$B$24,MATCH($C171,Setup!$A$5:$A$24,0)),""))</f>
        <v/>
      </c>
      <c r="L171" s="12" t="str">
        <f aca="false">IF(OR($C171="",K171=""),"",K171*G171/60)</f>
        <v/>
      </c>
      <c r="M171" s="11" t="str">
        <f aca="false">IF($C171="","",G171-H171)</f>
        <v/>
      </c>
      <c r="N171" s="13" t="str">
        <f aca="false">IF($C171="","",IF(I171&lt;=0,"",J171/I171))</f>
        <v/>
      </c>
      <c r="O171" s="13" t="str">
        <f aca="false">IF($C171="","",IF(OR(L171="",J171&lt;=0),"",L171/J171))</f>
        <v/>
      </c>
      <c r="P171" s="13" t="str">
        <f aca="false">IF($C171="","",IF(G171&lt;=0,"",M171/G171))</f>
        <v/>
      </c>
      <c r="Q171" s="13" t="str">
        <f aca="false">IF(OR(N171="",O171="",P171=""),"",N171*O171*P171)</f>
        <v/>
      </c>
      <c r="R171" s="14" t="str">
        <f aca="false">IF($C171="","",IF(K171="","Machine not in Setup",IF(H171&gt;G171,"Rejects &gt; total parts",IF(J171&lt;0,"Downtime &gt; planned time",IF(AND(ISNUMBER(O171),O171&gt;1.05),"Performance &gt; 100%: check cycle time or counts","OK")))))</f>
        <v/>
      </c>
    </row>
    <row r="172" customFormat="false" ht="15" hidden="false" customHeight="false" outlineLevel="0" collapsed="false">
      <c r="A172" s="10"/>
      <c r="B172" s="8"/>
      <c r="C172" s="8"/>
      <c r="D172" s="8"/>
      <c r="E172" s="8"/>
      <c r="F172" s="8"/>
      <c r="G172" s="8"/>
      <c r="H172" s="8"/>
      <c r="I172" s="11" t="str">
        <f aca="false">IF($C172="","",D172-E172)</f>
        <v/>
      </c>
      <c r="J172" s="11" t="str">
        <f aca="false">IF($C172="","",I172-F172)</f>
        <v/>
      </c>
      <c r="K172" s="12" t="str">
        <f aca="false">IF($C172="","",IFERROR(INDEX(Setup!$B$5:$B$24,MATCH($C172,Setup!$A$5:$A$24,0)),""))</f>
        <v/>
      </c>
      <c r="L172" s="12" t="str">
        <f aca="false">IF(OR($C172="",K172=""),"",K172*G172/60)</f>
        <v/>
      </c>
      <c r="M172" s="11" t="str">
        <f aca="false">IF($C172="","",G172-H172)</f>
        <v/>
      </c>
      <c r="N172" s="13" t="str">
        <f aca="false">IF($C172="","",IF(I172&lt;=0,"",J172/I172))</f>
        <v/>
      </c>
      <c r="O172" s="13" t="str">
        <f aca="false">IF($C172="","",IF(OR(L172="",J172&lt;=0),"",L172/J172))</f>
        <v/>
      </c>
      <c r="P172" s="13" t="str">
        <f aca="false">IF($C172="","",IF(G172&lt;=0,"",M172/G172))</f>
        <v/>
      </c>
      <c r="Q172" s="13" t="str">
        <f aca="false">IF(OR(N172="",O172="",P172=""),"",N172*O172*P172)</f>
        <v/>
      </c>
      <c r="R172" s="14" t="str">
        <f aca="false">IF($C172="","",IF(K172="","Machine not in Setup",IF(H172&gt;G172,"Rejects &gt; total parts",IF(J172&lt;0,"Downtime &gt; planned time",IF(AND(ISNUMBER(O172),O172&gt;1.05),"Performance &gt; 100%: check cycle time or counts","OK")))))</f>
        <v/>
      </c>
    </row>
    <row r="173" customFormat="false" ht="15" hidden="false" customHeight="false" outlineLevel="0" collapsed="false">
      <c r="A173" s="10"/>
      <c r="B173" s="8"/>
      <c r="C173" s="8"/>
      <c r="D173" s="8"/>
      <c r="E173" s="8"/>
      <c r="F173" s="8"/>
      <c r="G173" s="8"/>
      <c r="H173" s="8"/>
      <c r="I173" s="11" t="str">
        <f aca="false">IF($C173="","",D173-E173)</f>
        <v/>
      </c>
      <c r="J173" s="11" t="str">
        <f aca="false">IF($C173="","",I173-F173)</f>
        <v/>
      </c>
      <c r="K173" s="12" t="str">
        <f aca="false">IF($C173="","",IFERROR(INDEX(Setup!$B$5:$B$24,MATCH($C173,Setup!$A$5:$A$24,0)),""))</f>
        <v/>
      </c>
      <c r="L173" s="12" t="str">
        <f aca="false">IF(OR($C173="",K173=""),"",K173*G173/60)</f>
        <v/>
      </c>
      <c r="M173" s="11" t="str">
        <f aca="false">IF($C173="","",G173-H173)</f>
        <v/>
      </c>
      <c r="N173" s="13" t="str">
        <f aca="false">IF($C173="","",IF(I173&lt;=0,"",J173/I173))</f>
        <v/>
      </c>
      <c r="O173" s="13" t="str">
        <f aca="false">IF($C173="","",IF(OR(L173="",J173&lt;=0),"",L173/J173))</f>
        <v/>
      </c>
      <c r="P173" s="13" t="str">
        <f aca="false">IF($C173="","",IF(G173&lt;=0,"",M173/G173))</f>
        <v/>
      </c>
      <c r="Q173" s="13" t="str">
        <f aca="false">IF(OR(N173="",O173="",P173=""),"",N173*O173*P173)</f>
        <v/>
      </c>
      <c r="R173" s="14" t="str">
        <f aca="false">IF($C173="","",IF(K173="","Machine not in Setup",IF(H173&gt;G173,"Rejects &gt; total parts",IF(J173&lt;0,"Downtime &gt; planned time",IF(AND(ISNUMBER(O173),O173&gt;1.05),"Performance &gt; 100%: check cycle time or counts","OK")))))</f>
        <v/>
      </c>
    </row>
    <row r="174" customFormat="false" ht="15" hidden="false" customHeight="false" outlineLevel="0" collapsed="false">
      <c r="A174" s="10"/>
      <c r="B174" s="8"/>
      <c r="C174" s="8"/>
      <c r="D174" s="8"/>
      <c r="E174" s="8"/>
      <c r="F174" s="8"/>
      <c r="G174" s="8"/>
      <c r="H174" s="8"/>
      <c r="I174" s="11" t="str">
        <f aca="false">IF($C174="","",D174-E174)</f>
        <v/>
      </c>
      <c r="J174" s="11" t="str">
        <f aca="false">IF($C174="","",I174-F174)</f>
        <v/>
      </c>
      <c r="K174" s="12" t="str">
        <f aca="false">IF($C174="","",IFERROR(INDEX(Setup!$B$5:$B$24,MATCH($C174,Setup!$A$5:$A$24,0)),""))</f>
        <v/>
      </c>
      <c r="L174" s="12" t="str">
        <f aca="false">IF(OR($C174="",K174=""),"",K174*G174/60)</f>
        <v/>
      </c>
      <c r="M174" s="11" t="str">
        <f aca="false">IF($C174="","",G174-H174)</f>
        <v/>
      </c>
      <c r="N174" s="13" t="str">
        <f aca="false">IF($C174="","",IF(I174&lt;=0,"",J174/I174))</f>
        <v/>
      </c>
      <c r="O174" s="13" t="str">
        <f aca="false">IF($C174="","",IF(OR(L174="",J174&lt;=0),"",L174/J174))</f>
        <v/>
      </c>
      <c r="P174" s="13" t="str">
        <f aca="false">IF($C174="","",IF(G174&lt;=0,"",M174/G174))</f>
        <v/>
      </c>
      <c r="Q174" s="13" t="str">
        <f aca="false">IF(OR(N174="",O174="",P174=""),"",N174*O174*P174)</f>
        <v/>
      </c>
      <c r="R174" s="14" t="str">
        <f aca="false">IF($C174="","",IF(K174="","Machine not in Setup",IF(H174&gt;G174,"Rejects &gt; total parts",IF(J174&lt;0,"Downtime &gt; planned time",IF(AND(ISNUMBER(O174),O174&gt;1.05),"Performance &gt; 100%: check cycle time or counts","OK")))))</f>
        <v/>
      </c>
    </row>
    <row r="175" customFormat="false" ht="15" hidden="false" customHeight="false" outlineLevel="0" collapsed="false">
      <c r="A175" s="10"/>
      <c r="B175" s="8"/>
      <c r="C175" s="8"/>
      <c r="D175" s="8"/>
      <c r="E175" s="8"/>
      <c r="F175" s="8"/>
      <c r="G175" s="8"/>
      <c r="H175" s="8"/>
      <c r="I175" s="11" t="str">
        <f aca="false">IF($C175="","",D175-E175)</f>
        <v/>
      </c>
      <c r="J175" s="11" t="str">
        <f aca="false">IF($C175="","",I175-F175)</f>
        <v/>
      </c>
      <c r="K175" s="12" t="str">
        <f aca="false">IF($C175="","",IFERROR(INDEX(Setup!$B$5:$B$24,MATCH($C175,Setup!$A$5:$A$24,0)),""))</f>
        <v/>
      </c>
      <c r="L175" s="12" t="str">
        <f aca="false">IF(OR($C175="",K175=""),"",K175*G175/60)</f>
        <v/>
      </c>
      <c r="M175" s="11" t="str">
        <f aca="false">IF($C175="","",G175-H175)</f>
        <v/>
      </c>
      <c r="N175" s="13" t="str">
        <f aca="false">IF($C175="","",IF(I175&lt;=0,"",J175/I175))</f>
        <v/>
      </c>
      <c r="O175" s="13" t="str">
        <f aca="false">IF($C175="","",IF(OR(L175="",J175&lt;=0),"",L175/J175))</f>
        <v/>
      </c>
      <c r="P175" s="13" t="str">
        <f aca="false">IF($C175="","",IF(G175&lt;=0,"",M175/G175))</f>
        <v/>
      </c>
      <c r="Q175" s="13" t="str">
        <f aca="false">IF(OR(N175="",O175="",P175=""),"",N175*O175*P175)</f>
        <v/>
      </c>
      <c r="R175" s="14" t="str">
        <f aca="false">IF($C175="","",IF(K175="","Machine not in Setup",IF(H175&gt;G175,"Rejects &gt; total parts",IF(J175&lt;0,"Downtime &gt; planned time",IF(AND(ISNUMBER(O175),O175&gt;1.05),"Performance &gt; 100%: check cycle time or counts","OK")))))</f>
        <v/>
      </c>
    </row>
    <row r="176" customFormat="false" ht="15" hidden="false" customHeight="false" outlineLevel="0" collapsed="false">
      <c r="A176" s="10"/>
      <c r="B176" s="8"/>
      <c r="C176" s="8"/>
      <c r="D176" s="8"/>
      <c r="E176" s="8"/>
      <c r="F176" s="8"/>
      <c r="G176" s="8"/>
      <c r="H176" s="8"/>
      <c r="I176" s="11" t="str">
        <f aca="false">IF($C176="","",D176-E176)</f>
        <v/>
      </c>
      <c r="J176" s="11" t="str">
        <f aca="false">IF($C176="","",I176-F176)</f>
        <v/>
      </c>
      <c r="K176" s="12" t="str">
        <f aca="false">IF($C176="","",IFERROR(INDEX(Setup!$B$5:$B$24,MATCH($C176,Setup!$A$5:$A$24,0)),""))</f>
        <v/>
      </c>
      <c r="L176" s="12" t="str">
        <f aca="false">IF(OR($C176="",K176=""),"",K176*G176/60)</f>
        <v/>
      </c>
      <c r="M176" s="11" t="str">
        <f aca="false">IF($C176="","",G176-H176)</f>
        <v/>
      </c>
      <c r="N176" s="13" t="str">
        <f aca="false">IF($C176="","",IF(I176&lt;=0,"",J176/I176))</f>
        <v/>
      </c>
      <c r="O176" s="13" t="str">
        <f aca="false">IF($C176="","",IF(OR(L176="",J176&lt;=0),"",L176/J176))</f>
        <v/>
      </c>
      <c r="P176" s="13" t="str">
        <f aca="false">IF($C176="","",IF(G176&lt;=0,"",M176/G176))</f>
        <v/>
      </c>
      <c r="Q176" s="13" t="str">
        <f aca="false">IF(OR(N176="",O176="",P176=""),"",N176*O176*P176)</f>
        <v/>
      </c>
      <c r="R176" s="14" t="str">
        <f aca="false">IF($C176="","",IF(K176="","Machine not in Setup",IF(H176&gt;G176,"Rejects &gt; total parts",IF(J176&lt;0,"Downtime &gt; planned time",IF(AND(ISNUMBER(O176),O176&gt;1.05),"Performance &gt; 100%: check cycle time or counts","OK")))))</f>
        <v/>
      </c>
    </row>
    <row r="177" customFormat="false" ht="15" hidden="false" customHeight="false" outlineLevel="0" collapsed="false">
      <c r="A177" s="10"/>
      <c r="B177" s="8"/>
      <c r="C177" s="8"/>
      <c r="D177" s="8"/>
      <c r="E177" s="8"/>
      <c r="F177" s="8"/>
      <c r="G177" s="8"/>
      <c r="H177" s="8"/>
      <c r="I177" s="11" t="str">
        <f aca="false">IF($C177="","",D177-E177)</f>
        <v/>
      </c>
      <c r="J177" s="11" t="str">
        <f aca="false">IF($C177="","",I177-F177)</f>
        <v/>
      </c>
      <c r="K177" s="12" t="str">
        <f aca="false">IF($C177="","",IFERROR(INDEX(Setup!$B$5:$B$24,MATCH($C177,Setup!$A$5:$A$24,0)),""))</f>
        <v/>
      </c>
      <c r="L177" s="12" t="str">
        <f aca="false">IF(OR($C177="",K177=""),"",K177*G177/60)</f>
        <v/>
      </c>
      <c r="M177" s="11" t="str">
        <f aca="false">IF($C177="","",G177-H177)</f>
        <v/>
      </c>
      <c r="N177" s="13" t="str">
        <f aca="false">IF($C177="","",IF(I177&lt;=0,"",J177/I177))</f>
        <v/>
      </c>
      <c r="O177" s="13" t="str">
        <f aca="false">IF($C177="","",IF(OR(L177="",J177&lt;=0),"",L177/J177))</f>
        <v/>
      </c>
      <c r="P177" s="13" t="str">
        <f aca="false">IF($C177="","",IF(G177&lt;=0,"",M177/G177))</f>
        <v/>
      </c>
      <c r="Q177" s="13" t="str">
        <f aca="false">IF(OR(N177="",O177="",P177=""),"",N177*O177*P177)</f>
        <v/>
      </c>
      <c r="R177" s="14" t="str">
        <f aca="false">IF($C177="","",IF(K177="","Machine not in Setup",IF(H177&gt;G177,"Rejects &gt; total parts",IF(J177&lt;0,"Downtime &gt; planned time",IF(AND(ISNUMBER(O177),O177&gt;1.05),"Performance &gt; 100%: check cycle time or counts","OK")))))</f>
        <v/>
      </c>
    </row>
    <row r="178" customFormat="false" ht="15" hidden="false" customHeight="false" outlineLevel="0" collapsed="false">
      <c r="A178" s="10"/>
      <c r="B178" s="8"/>
      <c r="C178" s="8"/>
      <c r="D178" s="8"/>
      <c r="E178" s="8"/>
      <c r="F178" s="8"/>
      <c r="G178" s="8"/>
      <c r="H178" s="8"/>
      <c r="I178" s="11" t="str">
        <f aca="false">IF($C178="","",D178-E178)</f>
        <v/>
      </c>
      <c r="J178" s="11" t="str">
        <f aca="false">IF($C178="","",I178-F178)</f>
        <v/>
      </c>
      <c r="K178" s="12" t="str">
        <f aca="false">IF($C178="","",IFERROR(INDEX(Setup!$B$5:$B$24,MATCH($C178,Setup!$A$5:$A$24,0)),""))</f>
        <v/>
      </c>
      <c r="L178" s="12" t="str">
        <f aca="false">IF(OR($C178="",K178=""),"",K178*G178/60)</f>
        <v/>
      </c>
      <c r="M178" s="11" t="str">
        <f aca="false">IF($C178="","",G178-H178)</f>
        <v/>
      </c>
      <c r="N178" s="13" t="str">
        <f aca="false">IF($C178="","",IF(I178&lt;=0,"",J178/I178))</f>
        <v/>
      </c>
      <c r="O178" s="13" t="str">
        <f aca="false">IF($C178="","",IF(OR(L178="",J178&lt;=0),"",L178/J178))</f>
        <v/>
      </c>
      <c r="P178" s="13" t="str">
        <f aca="false">IF($C178="","",IF(G178&lt;=0,"",M178/G178))</f>
        <v/>
      </c>
      <c r="Q178" s="13" t="str">
        <f aca="false">IF(OR(N178="",O178="",P178=""),"",N178*O178*P178)</f>
        <v/>
      </c>
      <c r="R178" s="14" t="str">
        <f aca="false">IF($C178="","",IF(K178="","Machine not in Setup",IF(H178&gt;G178,"Rejects &gt; total parts",IF(J178&lt;0,"Downtime &gt; planned time",IF(AND(ISNUMBER(O178),O178&gt;1.05),"Performance &gt; 100%: check cycle time or counts","OK")))))</f>
        <v/>
      </c>
    </row>
    <row r="179" customFormat="false" ht="15" hidden="false" customHeight="false" outlineLevel="0" collapsed="false">
      <c r="A179" s="10"/>
      <c r="B179" s="8"/>
      <c r="C179" s="8"/>
      <c r="D179" s="8"/>
      <c r="E179" s="8"/>
      <c r="F179" s="8"/>
      <c r="G179" s="8"/>
      <c r="H179" s="8"/>
      <c r="I179" s="11" t="str">
        <f aca="false">IF($C179="","",D179-E179)</f>
        <v/>
      </c>
      <c r="J179" s="11" t="str">
        <f aca="false">IF($C179="","",I179-F179)</f>
        <v/>
      </c>
      <c r="K179" s="12" t="str">
        <f aca="false">IF($C179="","",IFERROR(INDEX(Setup!$B$5:$B$24,MATCH($C179,Setup!$A$5:$A$24,0)),""))</f>
        <v/>
      </c>
      <c r="L179" s="12" t="str">
        <f aca="false">IF(OR($C179="",K179=""),"",K179*G179/60)</f>
        <v/>
      </c>
      <c r="M179" s="11" t="str">
        <f aca="false">IF($C179="","",G179-H179)</f>
        <v/>
      </c>
      <c r="N179" s="13" t="str">
        <f aca="false">IF($C179="","",IF(I179&lt;=0,"",J179/I179))</f>
        <v/>
      </c>
      <c r="O179" s="13" t="str">
        <f aca="false">IF($C179="","",IF(OR(L179="",J179&lt;=0),"",L179/J179))</f>
        <v/>
      </c>
      <c r="P179" s="13" t="str">
        <f aca="false">IF($C179="","",IF(G179&lt;=0,"",M179/G179))</f>
        <v/>
      </c>
      <c r="Q179" s="13" t="str">
        <f aca="false">IF(OR(N179="",O179="",P179=""),"",N179*O179*P179)</f>
        <v/>
      </c>
      <c r="R179" s="14" t="str">
        <f aca="false">IF($C179="","",IF(K179="","Machine not in Setup",IF(H179&gt;G179,"Rejects &gt; total parts",IF(J179&lt;0,"Downtime &gt; planned time",IF(AND(ISNUMBER(O179),O179&gt;1.05),"Performance &gt; 100%: check cycle time or counts","OK")))))</f>
        <v/>
      </c>
    </row>
    <row r="180" customFormat="false" ht="15" hidden="false" customHeight="false" outlineLevel="0" collapsed="false">
      <c r="A180" s="10"/>
      <c r="B180" s="8"/>
      <c r="C180" s="8"/>
      <c r="D180" s="8"/>
      <c r="E180" s="8"/>
      <c r="F180" s="8"/>
      <c r="G180" s="8"/>
      <c r="H180" s="8"/>
      <c r="I180" s="11" t="str">
        <f aca="false">IF($C180="","",D180-E180)</f>
        <v/>
      </c>
      <c r="J180" s="11" t="str">
        <f aca="false">IF($C180="","",I180-F180)</f>
        <v/>
      </c>
      <c r="K180" s="12" t="str">
        <f aca="false">IF($C180="","",IFERROR(INDEX(Setup!$B$5:$B$24,MATCH($C180,Setup!$A$5:$A$24,0)),""))</f>
        <v/>
      </c>
      <c r="L180" s="12" t="str">
        <f aca="false">IF(OR($C180="",K180=""),"",K180*G180/60)</f>
        <v/>
      </c>
      <c r="M180" s="11" t="str">
        <f aca="false">IF($C180="","",G180-H180)</f>
        <v/>
      </c>
      <c r="N180" s="13" t="str">
        <f aca="false">IF($C180="","",IF(I180&lt;=0,"",J180/I180))</f>
        <v/>
      </c>
      <c r="O180" s="13" t="str">
        <f aca="false">IF($C180="","",IF(OR(L180="",J180&lt;=0),"",L180/J180))</f>
        <v/>
      </c>
      <c r="P180" s="13" t="str">
        <f aca="false">IF($C180="","",IF(G180&lt;=0,"",M180/G180))</f>
        <v/>
      </c>
      <c r="Q180" s="13" t="str">
        <f aca="false">IF(OR(N180="",O180="",P180=""),"",N180*O180*P180)</f>
        <v/>
      </c>
      <c r="R180" s="14" t="str">
        <f aca="false">IF($C180="","",IF(K180="","Machine not in Setup",IF(H180&gt;G180,"Rejects &gt; total parts",IF(J180&lt;0,"Downtime &gt; planned time",IF(AND(ISNUMBER(O180),O180&gt;1.05),"Performance &gt; 100%: check cycle time or counts","OK")))))</f>
        <v/>
      </c>
    </row>
    <row r="181" customFormat="false" ht="15" hidden="false" customHeight="false" outlineLevel="0" collapsed="false">
      <c r="A181" s="10"/>
      <c r="B181" s="8"/>
      <c r="C181" s="8"/>
      <c r="D181" s="8"/>
      <c r="E181" s="8"/>
      <c r="F181" s="8"/>
      <c r="G181" s="8"/>
      <c r="H181" s="8"/>
      <c r="I181" s="11" t="str">
        <f aca="false">IF($C181="","",D181-E181)</f>
        <v/>
      </c>
      <c r="J181" s="11" t="str">
        <f aca="false">IF($C181="","",I181-F181)</f>
        <v/>
      </c>
      <c r="K181" s="12" t="str">
        <f aca="false">IF($C181="","",IFERROR(INDEX(Setup!$B$5:$B$24,MATCH($C181,Setup!$A$5:$A$24,0)),""))</f>
        <v/>
      </c>
      <c r="L181" s="12" t="str">
        <f aca="false">IF(OR($C181="",K181=""),"",K181*G181/60)</f>
        <v/>
      </c>
      <c r="M181" s="11" t="str">
        <f aca="false">IF($C181="","",G181-H181)</f>
        <v/>
      </c>
      <c r="N181" s="13" t="str">
        <f aca="false">IF($C181="","",IF(I181&lt;=0,"",J181/I181))</f>
        <v/>
      </c>
      <c r="O181" s="13" t="str">
        <f aca="false">IF($C181="","",IF(OR(L181="",J181&lt;=0),"",L181/J181))</f>
        <v/>
      </c>
      <c r="P181" s="13" t="str">
        <f aca="false">IF($C181="","",IF(G181&lt;=0,"",M181/G181))</f>
        <v/>
      </c>
      <c r="Q181" s="13" t="str">
        <f aca="false">IF(OR(N181="",O181="",P181=""),"",N181*O181*P181)</f>
        <v/>
      </c>
      <c r="R181" s="14" t="str">
        <f aca="false">IF($C181="","",IF(K181="","Machine not in Setup",IF(H181&gt;G181,"Rejects &gt; total parts",IF(J181&lt;0,"Downtime &gt; planned time",IF(AND(ISNUMBER(O181),O181&gt;1.05),"Performance &gt; 100%: check cycle time or counts","OK")))))</f>
        <v/>
      </c>
    </row>
    <row r="182" customFormat="false" ht="15" hidden="false" customHeight="false" outlineLevel="0" collapsed="false">
      <c r="A182" s="10"/>
      <c r="B182" s="8"/>
      <c r="C182" s="8"/>
      <c r="D182" s="8"/>
      <c r="E182" s="8"/>
      <c r="F182" s="8"/>
      <c r="G182" s="8"/>
      <c r="H182" s="8"/>
      <c r="I182" s="11" t="str">
        <f aca="false">IF($C182="","",D182-E182)</f>
        <v/>
      </c>
      <c r="J182" s="11" t="str">
        <f aca="false">IF($C182="","",I182-F182)</f>
        <v/>
      </c>
      <c r="K182" s="12" t="str">
        <f aca="false">IF($C182="","",IFERROR(INDEX(Setup!$B$5:$B$24,MATCH($C182,Setup!$A$5:$A$24,0)),""))</f>
        <v/>
      </c>
      <c r="L182" s="12" t="str">
        <f aca="false">IF(OR($C182="",K182=""),"",K182*G182/60)</f>
        <v/>
      </c>
      <c r="M182" s="11" t="str">
        <f aca="false">IF($C182="","",G182-H182)</f>
        <v/>
      </c>
      <c r="N182" s="13" t="str">
        <f aca="false">IF($C182="","",IF(I182&lt;=0,"",J182/I182))</f>
        <v/>
      </c>
      <c r="O182" s="13" t="str">
        <f aca="false">IF($C182="","",IF(OR(L182="",J182&lt;=0),"",L182/J182))</f>
        <v/>
      </c>
      <c r="P182" s="13" t="str">
        <f aca="false">IF($C182="","",IF(G182&lt;=0,"",M182/G182))</f>
        <v/>
      </c>
      <c r="Q182" s="13" t="str">
        <f aca="false">IF(OR(N182="",O182="",P182=""),"",N182*O182*P182)</f>
        <v/>
      </c>
      <c r="R182" s="14" t="str">
        <f aca="false">IF($C182="","",IF(K182="","Machine not in Setup",IF(H182&gt;G182,"Rejects &gt; total parts",IF(J182&lt;0,"Downtime &gt; planned time",IF(AND(ISNUMBER(O182),O182&gt;1.05),"Performance &gt; 100%: check cycle time or counts","OK")))))</f>
        <v/>
      </c>
    </row>
    <row r="183" customFormat="false" ht="15" hidden="false" customHeight="false" outlineLevel="0" collapsed="false">
      <c r="A183" s="10"/>
      <c r="B183" s="8"/>
      <c r="C183" s="8"/>
      <c r="D183" s="8"/>
      <c r="E183" s="8"/>
      <c r="F183" s="8"/>
      <c r="G183" s="8"/>
      <c r="H183" s="8"/>
      <c r="I183" s="11" t="str">
        <f aca="false">IF($C183="","",D183-E183)</f>
        <v/>
      </c>
      <c r="J183" s="11" t="str">
        <f aca="false">IF($C183="","",I183-F183)</f>
        <v/>
      </c>
      <c r="K183" s="12" t="str">
        <f aca="false">IF($C183="","",IFERROR(INDEX(Setup!$B$5:$B$24,MATCH($C183,Setup!$A$5:$A$24,0)),""))</f>
        <v/>
      </c>
      <c r="L183" s="12" t="str">
        <f aca="false">IF(OR($C183="",K183=""),"",K183*G183/60)</f>
        <v/>
      </c>
      <c r="M183" s="11" t="str">
        <f aca="false">IF($C183="","",G183-H183)</f>
        <v/>
      </c>
      <c r="N183" s="13" t="str">
        <f aca="false">IF($C183="","",IF(I183&lt;=0,"",J183/I183))</f>
        <v/>
      </c>
      <c r="O183" s="13" t="str">
        <f aca="false">IF($C183="","",IF(OR(L183="",J183&lt;=0),"",L183/J183))</f>
        <v/>
      </c>
      <c r="P183" s="13" t="str">
        <f aca="false">IF($C183="","",IF(G183&lt;=0,"",M183/G183))</f>
        <v/>
      </c>
      <c r="Q183" s="13" t="str">
        <f aca="false">IF(OR(N183="",O183="",P183=""),"",N183*O183*P183)</f>
        <v/>
      </c>
      <c r="R183" s="14" t="str">
        <f aca="false">IF($C183="","",IF(K183="","Machine not in Setup",IF(H183&gt;G183,"Rejects &gt; total parts",IF(J183&lt;0,"Downtime &gt; planned time",IF(AND(ISNUMBER(O183),O183&gt;1.05),"Performance &gt; 100%: check cycle time or counts","OK")))))</f>
        <v/>
      </c>
    </row>
    <row r="184" customFormat="false" ht="15" hidden="false" customHeight="false" outlineLevel="0" collapsed="false">
      <c r="A184" s="10"/>
      <c r="B184" s="8"/>
      <c r="C184" s="8"/>
      <c r="D184" s="8"/>
      <c r="E184" s="8"/>
      <c r="F184" s="8"/>
      <c r="G184" s="8"/>
      <c r="H184" s="8"/>
      <c r="I184" s="11" t="str">
        <f aca="false">IF($C184="","",D184-E184)</f>
        <v/>
      </c>
      <c r="J184" s="11" t="str">
        <f aca="false">IF($C184="","",I184-F184)</f>
        <v/>
      </c>
      <c r="K184" s="12" t="str">
        <f aca="false">IF($C184="","",IFERROR(INDEX(Setup!$B$5:$B$24,MATCH($C184,Setup!$A$5:$A$24,0)),""))</f>
        <v/>
      </c>
      <c r="L184" s="12" t="str">
        <f aca="false">IF(OR($C184="",K184=""),"",K184*G184/60)</f>
        <v/>
      </c>
      <c r="M184" s="11" t="str">
        <f aca="false">IF($C184="","",G184-H184)</f>
        <v/>
      </c>
      <c r="N184" s="13" t="str">
        <f aca="false">IF($C184="","",IF(I184&lt;=0,"",J184/I184))</f>
        <v/>
      </c>
      <c r="O184" s="13" t="str">
        <f aca="false">IF($C184="","",IF(OR(L184="",J184&lt;=0),"",L184/J184))</f>
        <v/>
      </c>
      <c r="P184" s="13" t="str">
        <f aca="false">IF($C184="","",IF(G184&lt;=0,"",M184/G184))</f>
        <v/>
      </c>
      <c r="Q184" s="13" t="str">
        <f aca="false">IF(OR(N184="",O184="",P184=""),"",N184*O184*P184)</f>
        <v/>
      </c>
      <c r="R184" s="14" t="str">
        <f aca="false">IF($C184="","",IF(K184="","Machine not in Setup",IF(H184&gt;G184,"Rejects &gt; total parts",IF(J184&lt;0,"Downtime &gt; planned time",IF(AND(ISNUMBER(O184),O184&gt;1.05),"Performance &gt; 100%: check cycle time or counts","OK")))))</f>
        <v/>
      </c>
    </row>
    <row r="185" customFormat="false" ht="15" hidden="false" customHeight="false" outlineLevel="0" collapsed="false">
      <c r="A185" s="10"/>
      <c r="B185" s="8"/>
      <c r="C185" s="8"/>
      <c r="D185" s="8"/>
      <c r="E185" s="8"/>
      <c r="F185" s="8"/>
      <c r="G185" s="8"/>
      <c r="H185" s="8"/>
      <c r="I185" s="11" t="str">
        <f aca="false">IF($C185="","",D185-E185)</f>
        <v/>
      </c>
      <c r="J185" s="11" t="str">
        <f aca="false">IF($C185="","",I185-F185)</f>
        <v/>
      </c>
      <c r="K185" s="12" t="str">
        <f aca="false">IF($C185="","",IFERROR(INDEX(Setup!$B$5:$B$24,MATCH($C185,Setup!$A$5:$A$24,0)),""))</f>
        <v/>
      </c>
      <c r="L185" s="12" t="str">
        <f aca="false">IF(OR($C185="",K185=""),"",K185*G185/60)</f>
        <v/>
      </c>
      <c r="M185" s="11" t="str">
        <f aca="false">IF($C185="","",G185-H185)</f>
        <v/>
      </c>
      <c r="N185" s="13" t="str">
        <f aca="false">IF($C185="","",IF(I185&lt;=0,"",J185/I185))</f>
        <v/>
      </c>
      <c r="O185" s="13" t="str">
        <f aca="false">IF($C185="","",IF(OR(L185="",J185&lt;=0),"",L185/J185))</f>
        <v/>
      </c>
      <c r="P185" s="13" t="str">
        <f aca="false">IF($C185="","",IF(G185&lt;=0,"",M185/G185))</f>
        <v/>
      </c>
      <c r="Q185" s="13" t="str">
        <f aca="false">IF(OR(N185="",O185="",P185=""),"",N185*O185*P185)</f>
        <v/>
      </c>
      <c r="R185" s="14" t="str">
        <f aca="false">IF($C185="","",IF(K185="","Machine not in Setup",IF(H185&gt;G185,"Rejects &gt; total parts",IF(J185&lt;0,"Downtime &gt; planned time",IF(AND(ISNUMBER(O185),O185&gt;1.05),"Performance &gt; 100%: check cycle time or counts","OK")))))</f>
        <v/>
      </c>
    </row>
    <row r="186" customFormat="false" ht="15" hidden="false" customHeight="false" outlineLevel="0" collapsed="false">
      <c r="A186" s="10"/>
      <c r="B186" s="8"/>
      <c r="C186" s="8"/>
      <c r="D186" s="8"/>
      <c r="E186" s="8"/>
      <c r="F186" s="8"/>
      <c r="G186" s="8"/>
      <c r="H186" s="8"/>
      <c r="I186" s="11" t="str">
        <f aca="false">IF($C186="","",D186-E186)</f>
        <v/>
      </c>
      <c r="J186" s="11" t="str">
        <f aca="false">IF($C186="","",I186-F186)</f>
        <v/>
      </c>
      <c r="K186" s="12" t="str">
        <f aca="false">IF($C186="","",IFERROR(INDEX(Setup!$B$5:$B$24,MATCH($C186,Setup!$A$5:$A$24,0)),""))</f>
        <v/>
      </c>
      <c r="L186" s="12" t="str">
        <f aca="false">IF(OR($C186="",K186=""),"",K186*G186/60)</f>
        <v/>
      </c>
      <c r="M186" s="11" t="str">
        <f aca="false">IF($C186="","",G186-H186)</f>
        <v/>
      </c>
      <c r="N186" s="13" t="str">
        <f aca="false">IF($C186="","",IF(I186&lt;=0,"",J186/I186))</f>
        <v/>
      </c>
      <c r="O186" s="13" t="str">
        <f aca="false">IF($C186="","",IF(OR(L186="",J186&lt;=0),"",L186/J186))</f>
        <v/>
      </c>
      <c r="P186" s="13" t="str">
        <f aca="false">IF($C186="","",IF(G186&lt;=0,"",M186/G186))</f>
        <v/>
      </c>
      <c r="Q186" s="13" t="str">
        <f aca="false">IF(OR(N186="",O186="",P186=""),"",N186*O186*P186)</f>
        <v/>
      </c>
      <c r="R186" s="14" t="str">
        <f aca="false">IF($C186="","",IF(K186="","Machine not in Setup",IF(H186&gt;G186,"Rejects &gt; total parts",IF(J186&lt;0,"Downtime &gt; planned time",IF(AND(ISNUMBER(O186),O186&gt;1.05),"Performance &gt; 100%: check cycle time or counts","OK")))))</f>
        <v/>
      </c>
    </row>
    <row r="187" customFormat="false" ht="15" hidden="false" customHeight="false" outlineLevel="0" collapsed="false">
      <c r="A187" s="10"/>
      <c r="B187" s="8"/>
      <c r="C187" s="8"/>
      <c r="D187" s="8"/>
      <c r="E187" s="8"/>
      <c r="F187" s="8"/>
      <c r="G187" s="8"/>
      <c r="H187" s="8"/>
      <c r="I187" s="11" t="str">
        <f aca="false">IF($C187="","",D187-E187)</f>
        <v/>
      </c>
      <c r="J187" s="11" t="str">
        <f aca="false">IF($C187="","",I187-F187)</f>
        <v/>
      </c>
      <c r="K187" s="12" t="str">
        <f aca="false">IF($C187="","",IFERROR(INDEX(Setup!$B$5:$B$24,MATCH($C187,Setup!$A$5:$A$24,0)),""))</f>
        <v/>
      </c>
      <c r="L187" s="12" t="str">
        <f aca="false">IF(OR($C187="",K187=""),"",K187*G187/60)</f>
        <v/>
      </c>
      <c r="M187" s="11" t="str">
        <f aca="false">IF($C187="","",G187-H187)</f>
        <v/>
      </c>
      <c r="N187" s="13" t="str">
        <f aca="false">IF($C187="","",IF(I187&lt;=0,"",J187/I187))</f>
        <v/>
      </c>
      <c r="O187" s="13" t="str">
        <f aca="false">IF($C187="","",IF(OR(L187="",J187&lt;=0),"",L187/J187))</f>
        <v/>
      </c>
      <c r="P187" s="13" t="str">
        <f aca="false">IF($C187="","",IF(G187&lt;=0,"",M187/G187))</f>
        <v/>
      </c>
      <c r="Q187" s="13" t="str">
        <f aca="false">IF(OR(N187="",O187="",P187=""),"",N187*O187*P187)</f>
        <v/>
      </c>
      <c r="R187" s="14" t="str">
        <f aca="false">IF($C187="","",IF(K187="","Machine not in Setup",IF(H187&gt;G187,"Rejects &gt; total parts",IF(J187&lt;0,"Downtime &gt; planned time",IF(AND(ISNUMBER(O187),O187&gt;1.05),"Performance &gt; 100%: check cycle time or counts","OK")))))</f>
        <v/>
      </c>
    </row>
    <row r="188" customFormat="false" ht="15" hidden="false" customHeight="false" outlineLevel="0" collapsed="false">
      <c r="A188" s="10"/>
      <c r="B188" s="8"/>
      <c r="C188" s="8"/>
      <c r="D188" s="8"/>
      <c r="E188" s="8"/>
      <c r="F188" s="8"/>
      <c r="G188" s="8"/>
      <c r="H188" s="8"/>
      <c r="I188" s="11" t="str">
        <f aca="false">IF($C188="","",D188-E188)</f>
        <v/>
      </c>
      <c r="J188" s="11" t="str">
        <f aca="false">IF($C188="","",I188-F188)</f>
        <v/>
      </c>
      <c r="K188" s="12" t="str">
        <f aca="false">IF($C188="","",IFERROR(INDEX(Setup!$B$5:$B$24,MATCH($C188,Setup!$A$5:$A$24,0)),""))</f>
        <v/>
      </c>
      <c r="L188" s="12" t="str">
        <f aca="false">IF(OR($C188="",K188=""),"",K188*G188/60)</f>
        <v/>
      </c>
      <c r="M188" s="11" t="str">
        <f aca="false">IF($C188="","",G188-H188)</f>
        <v/>
      </c>
      <c r="N188" s="13" t="str">
        <f aca="false">IF($C188="","",IF(I188&lt;=0,"",J188/I188))</f>
        <v/>
      </c>
      <c r="O188" s="13" t="str">
        <f aca="false">IF($C188="","",IF(OR(L188="",J188&lt;=0),"",L188/J188))</f>
        <v/>
      </c>
      <c r="P188" s="13" t="str">
        <f aca="false">IF($C188="","",IF(G188&lt;=0,"",M188/G188))</f>
        <v/>
      </c>
      <c r="Q188" s="13" t="str">
        <f aca="false">IF(OR(N188="",O188="",P188=""),"",N188*O188*P188)</f>
        <v/>
      </c>
      <c r="R188" s="14" t="str">
        <f aca="false">IF($C188="","",IF(K188="","Machine not in Setup",IF(H188&gt;G188,"Rejects &gt; total parts",IF(J188&lt;0,"Downtime &gt; planned time",IF(AND(ISNUMBER(O188),O188&gt;1.05),"Performance &gt; 100%: check cycle time or counts","OK")))))</f>
        <v/>
      </c>
    </row>
    <row r="189" customFormat="false" ht="15" hidden="false" customHeight="false" outlineLevel="0" collapsed="false">
      <c r="A189" s="10"/>
      <c r="B189" s="8"/>
      <c r="C189" s="8"/>
      <c r="D189" s="8"/>
      <c r="E189" s="8"/>
      <c r="F189" s="8"/>
      <c r="G189" s="8"/>
      <c r="H189" s="8"/>
      <c r="I189" s="11" t="str">
        <f aca="false">IF($C189="","",D189-E189)</f>
        <v/>
      </c>
      <c r="J189" s="11" t="str">
        <f aca="false">IF($C189="","",I189-F189)</f>
        <v/>
      </c>
      <c r="K189" s="12" t="str">
        <f aca="false">IF($C189="","",IFERROR(INDEX(Setup!$B$5:$B$24,MATCH($C189,Setup!$A$5:$A$24,0)),""))</f>
        <v/>
      </c>
      <c r="L189" s="12" t="str">
        <f aca="false">IF(OR($C189="",K189=""),"",K189*G189/60)</f>
        <v/>
      </c>
      <c r="M189" s="11" t="str">
        <f aca="false">IF($C189="","",G189-H189)</f>
        <v/>
      </c>
      <c r="N189" s="13" t="str">
        <f aca="false">IF($C189="","",IF(I189&lt;=0,"",J189/I189))</f>
        <v/>
      </c>
      <c r="O189" s="13" t="str">
        <f aca="false">IF($C189="","",IF(OR(L189="",J189&lt;=0),"",L189/J189))</f>
        <v/>
      </c>
      <c r="P189" s="13" t="str">
        <f aca="false">IF($C189="","",IF(G189&lt;=0,"",M189/G189))</f>
        <v/>
      </c>
      <c r="Q189" s="13" t="str">
        <f aca="false">IF(OR(N189="",O189="",P189=""),"",N189*O189*P189)</f>
        <v/>
      </c>
      <c r="R189" s="14" t="str">
        <f aca="false">IF($C189="","",IF(K189="","Machine not in Setup",IF(H189&gt;G189,"Rejects &gt; total parts",IF(J189&lt;0,"Downtime &gt; planned time",IF(AND(ISNUMBER(O189),O189&gt;1.05),"Performance &gt; 100%: check cycle time or counts","OK")))))</f>
        <v/>
      </c>
    </row>
    <row r="190" customFormat="false" ht="15" hidden="false" customHeight="false" outlineLevel="0" collapsed="false">
      <c r="A190" s="10"/>
      <c r="B190" s="8"/>
      <c r="C190" s="8"/>
      <c r="D190" s="8"/>
      <c r="E190" s="8"/>
      <c r="F190" s="8"/>
      <c r="G190" s="8"/>
      <c r="H190" s="8"/>
      <c r="I190" s="11" t="str">
        <f aca="false">IF($C190="","",D190-E190)</f>
        <v/>
      </c>
      <c r="J190" s="11" t="str">
        <f aca="false">IF($C190="","",I190-F190)</f>
        <v/>
      </c>
      <c r="K190" s="12" t="str">
        <f aca="false">IF($C190="","",IFERROR(INDEX(Setup!$B$5:$B$24,MATCH($C190,Setup!$A$5:$A$24,0)),""))</f>
        <v/>
      </c>
      <c r="L190" s="12" t="str">
        <f aca="false">IF(OR($C190="",K190=""),"",K190*G190/60)</f>
        <v/>
      </c>
      <c r="M190" s="11" t="str">
        <f aca="false">IF($C190="","",G190-H190)</f>
        <v/>
      </c>
      <c r="N190" s="13" t="str">
        <f aca="false">IF($C190="","",IF(I190&lt;=0,"",J190/I190))</f>
        <v/>
      </c>
      <c r="O190" s="13" t="str">
        <f aca="false">IF($C190="","",IF(OR(L190="",J190&lt;=0),"",L190/J190))</f>
        <v/>
      </c>
      <c r="P190" s="13" t="str">
        <f aca="false">IF($C190="","",IF(G190&lt;=0,"",M190/G190))</f>
        <v/>
      </c>
      <c r="Q190" s="13" t="str">
        <f aca="false">IF(OR(N190="",O190="",P190=""),"",N190*O190*P190)</f>
        <v/>
      </c>
      <c r="R190" s="14" t="str">
        <f aca="false">IF($C190="","",IF(K190="","Machine not in Setup",IF(H190&gt;G190,"Rejects &gt; total parts",IF(J190&lt;0,"Downtime &gt; planned time",IF(AND(ISNUMBER(O190),O190&gt;1.05),"Performance &gt; 100%: check cycle time or counts","OK")))))</f>
        <v/>
      </c>
    </row>
    <row r="191" customFormat="false" ht="15" hidden="false" customHeight="false" outlineLevel="0" collapsed="false">
      <c r="A191" s="10"/>
      <c r="B191" s="8"/>
      <c r="C191" s="8"/>
      <c r="D191" s="8"/>
      <c r="E191" s="8"/>
      <c r="F191" s="8"/>
      <c r="G191" s="8"/>
      <c r="H191" s="8"/>
      <c r="I191" s="11" t="str">
        <f aca="false">IF($C191="","",D191-E191)</f>
        <v/>
      </c>
      <c r="J191" s="11" t="str">
        <f aca="false">IF($C191="","",I191-F191)</f>
        <v/>
      </c>
      <c r="K191" s="12" t="str">
        <f aca="false">IF($C191="","",IFERROR(INDEX(Setup!$B$5:$B$24,MATCH($C191,Setup!$A$5:$A$24,0)),""))</f>
        <v/>
      </c>
      <c r="L191" s="12" t="str">
        <f aca="false">IF(OR($C191="",K191=""),"",K191*G191/60)</f>
        <v/>
      </c>
      <c r="M191" s="11" t="str">
        <f aca="false">IF($C191="","",G191-H191)</f>
        <v/>
      </c>
      <c r="N191" s="13" t="str">
        <f aca="false">IF($C191="","",IF(I191&lt;=0,"",J191/I191))</f>
        <v/>
      </c>
      <c r="O191" s="13" t="str">
        <f aca="false">IF($C191="","",IF(OR(L191="",J191&lt;=0),"",L191/J191))</f>
        <v/>
      </c>
      <c r="P191" s="13" t="str">
        <f aca="false">IF($C191="","",IF(G191&lt;=0,"",M191/G191))</f>
        <v/>
      </c>
      <c r="Q191" s="13" t="str">
        <f aca="false">IF(OR(N191="",O191="",P191=""),"",N191*O191*P191)</f>
        <v/>
      </c>
      <c r="R191" s="14" t="str">
        <f aca="false">IF($C191="","",IF(K191="","Machine not in Setup",IF(H191&gt;G191,"Rejects &gt; total parts",IF(J191&lt;0,"Downtime &gt; planned time",IF(AND(ISNUMBER(O191),O191&gt;1.05),"Performance &gt; 100%: check cycle time or counts","OK")))))</f>
        <v/>
      </c>
    </row>
    <row r="192" customFormat="false" ht="15" hidden="false" customHeight="false" outlineLevel="0" collapsed="false">
      <c r="A192" s="10"/>
      <c r="B192" s="8"/>
      <c r="C192" s="8"/>
      <c r="D192" s="8"/>
      <c r="E192" s="8"/>
      <c r="F192" s="8"/>
      <c r="G192" s="8"/>
      <c r="H192" s="8"/>
      <c r="I192" s="11" t="str">
        <f aca="false">IF($C192="","",D192-E192)</f>
        <v/>
      </c>
      <c r="J192" s="11" t="str">
        <f aca="false">IF($C192="","",I192-F192)</f>
        <v/>
      </c>
      <c r="K192" s="12" t="str">
        <f aca="false">IF($C192="","",IFERROR(INDEX(Setup!$B$5:$B$24,MATCH($C192,Setup!$A$5:$A$24,0)),""))</f>
        <v/>
      </c>
      <c r="L192" s="12" t="str">
        <f aca="false">IF(OR($C192="",K192=""),"",K192*G192/60)</f>
        <v/>
      </c>
      <c r="M192" s="11" t="str">
        <f aca="false">IF($C192="","",G192-H192)</f>
        <v/>
      </c>
      <c r="N192" s="13" t="str">
        <f aca="false">IF($C192="","",IF(I192&lt;=0,"",J192/I192))</f>
        <v/>
      </c>
      <c r="O192" s="13" t="str">
        <f aca="false">IF($C192="","",IF(OR(L192="",J192&lt;=0),"",L192/J192))</f>
        <v/>
      </c>
      <c r="P192" s="13" t="str">
        <f aca="false">IF($C192="","",IF(G192&lt;=0,"",M192/G192))</f>
        <v/>
      </c>
      <c r="Q192" s="13" t="str">
        <f aca="false">IF(OR(N192="",O192="",P192=""),"",N192*O192*P192)</f>
        <v/>
      </c>
      <c r="R192" s="14" t="str">
        <f aca="false">IF($C192="","",IF(K192="","Machine not in Setup",IF(H192&gt;G192,"Rejects &gt; total parts",IF(J192&lt;0,"Downtime &gt; planned time",IF(AND(ISNUMBER(O192),O192&gt;1.05),"Performance &gt; 100%: check cycle time or counts","OK")))))</f>
        <v/>
      </c>
    </row>
    <row r="193" customFormat="false" ht="15" hidden="false" customHeight="false" outlineLevel="0" collapsed="false">
      <c r="A193" s="10"/>
      <c r="B193" s="8"/>
      <c r="C193" s="8"/>
      <c r="D193" s="8"/>
      <c r="E193" s="8"/>
      <c r="F193" s="8"/>
      <c r="G193" s="8"/>
      <c r="H193" s="8"/>
      <c r="I193" s="11" t="str">
        <f aca="false">IF($C193="","",D193-E193)</f>
        <v/>
      </c>
      <c r="J193" s="11" t="str">
        <f aca="false">IF($C193="","",I193-F193)</f>
        <v/>
      </c>
      <c r="K193" s="12" t="str">
        <f aca="false">IF($C193="","",IFERROR(INDEX(Setup!$B$5:$B$24,MATCH($C193,Setup!$A$5:$A$24,0)),""))</f>
        <v/>
      </c>
      <c r="L193" s="12" t="str">
        <f aca="false">IF(OR($C193="",K193=""),"",K193*G193/60)</f>
        <v/>
      </c>
      <c r="M193" s="11" t="str">
        <f aca="false">IF($C193="","",G193-H193)</f>
        <v/>
      </c>
      <c r="N193" s="13" t="str">
        <f aca="false">IF($C193="","",IF(I193&lt;=0,"",J193/I193))</f>
        <v/>
      </c>
      <c r="O193" s="13" t="str">
        <f aca="false">IF($C193="","",IF(OR(L193="",J193&lt;=0),"",L193/J193))</f>
        <v/>
      </c>
      <c r="P193" s="13" t="str">
        <f aca="false">IF($C193="","",IF(G193&lt;=0,"",M193/G193))</f>
        <v/>
      </c>
      <c r="Q193" s="13" t="str">
        <f aca="false">IF(OR(N193="",O193="",P193=""),"",N193*O193*P193)</f>
        <v/>
      </c>
      <c r="R193" s="14" t="str">
        <f aca="false">IF($C193="","",IF(K193="","Machine not in Setup",IF(H193&gt;G193,"Rejects &gt; total parts",IF(J193&lt;0,"Downtime &gt; planned time",IF(AND(ISNUMBER(O193),O193&gt;1.05),"Performance &gt; 100%: check cycle time or counts","OK")))))</f>
        <v/>
      </c>
    </row>
    <row r="194" customFormat="false" ht="15" hidden="false" customHeight="false" outlineLevel="0" collapsed="false">
      <c r="A194" s="10"/>
      <c r="B194" s="8"/>
      <c r="C194" s="8"/>
      <c r="D194" s="8"/>
      <c r="E194" s="8"/>
      <c r="F194" s="8"/>
      <c r="G194" s="8"/>
      <c r="H194" s="8"/>
      <c r="I194" s="11" t="str">
        <f aca="false">IF($C194="","",D194-E194)</f>
        <v/>
      </c>
      <c r="J194" s="11" t="str">
        <f aca="false">IF($C194="","",I194-F194)</f>
        <v/>
      </c>
      <c r="K194" s="12" t="str">
        <f aca="false">IF($C194="","",IFERROR(INDEX(Setup!$B$5:$B$24,MATCH($C194,Setup!$A$5:$A$24,0)),""))</f>
        <v/>
      </c>
      <c r="L194" s="12" t="str">
        <f aca="false">IF(OR($C194="",K194=""),"",K194*G194/60)</f>
        <v/>
      </c>
      <c r="M194" s="11" t="str">
        <f aca="false">IF($C194="","",G194-H194)</f>
        <v/>
      </c>
      <c r="N194" s="13" t="str">
        <f aca="false">IF($C194="","",IF(I194&lt;=0,"",J194/I194))</f>
        <v/>
      </c>
      <c r="O194" s="13" t="str">
        <f aca="false">IF($C194="","",IF(OR(L194="",J194&lt;=0),"",L194/J194))</f>
        <v/>
      </c>
      <c r="P194" s="13" t="str">
        <f aca="false">IF($C194="","",IF(G194&lt;=0,"",M194/G194))</f>
        <v/>
      </c>
      <c r="Q194" s="13" t="str">
        <f aca="false">IF(OR(N194="",O194="",P194=""),"",N194*O194*P194)</f>
        <v/>
      </c>
      <c r="R194" s="14" t="str">
        <f aca="false">IF($C194="","",IF(K194="","Machine not in Setup",IF(H194&gt;G194,"Rejects &gt; total parts",IF(J194&lt;0,"Downtime &gt; planned time",IF(AND(ISNUMBER(O194),O194&gt;1.05),"Performance &gt; 100%: check cycle time or counts","OK")))))</f>
        <v/>
      </c>
    </row>
    <row r="195" customFormat="false" ht="15" hidden="false" customHeight="false" outlineLevel="0" collapsed="false">
      <c r="A195" s="10"/>
      <c r="B195" s="8"/>
      <c r="C195" s="8"/>
      <c r="D195" s="8"/>
      <c r="E195" s="8"/>
      <c r="F195" s="8"/>
      <c r="G195" s="8"/>
      <c r="H195" s="8"/>
      <c r="I195" s="11" t="str">
        <f aca="false">IF($C195="","",D195-E195)</f>
        <v/>
      </c>
      <c r="J195" s="11" t="str">
        <f aca="false">IF($C195="","",I195-F195)</f>
        <v/>
      </c>
      <c r="K195" s="12" t="str">
        <f aca="false">IF($C195="","",IFERROR(INDEX(Setup!$B$5:$B$24,MATCH($C195,Setup!$A$5:$A$24,0)),""))</f>
        <v/>
      </c>
      <c r="L195" s="12" t="str">
        <f aca="false">IF(OR($C195="",K195=""),"",K195*G195/60)</f>
        <v/>
      </c>
      <c r="M195" s="11" t="str">
        <f aca="false">IF($C195="","",G195-H195)</f>
        <v/>
      </c>
      <c r="N195" s="13" t="str">
        <f aca="false">IF($C195="","",IF(I195&lt;=0,"",J195/I195))</f>
        <v/>
      </c>
      <c r="O195" s="13" t="str">
        <f aca="false">IF($C195="","",IF(OR(L195="",J195&lt;=0),"",L195/J195))</f>
        <v/>
      </c>
      <c r="P195" s="13" t="str">
        <f aca="false">IF($C195="","",IF(G195&lt;=0,"",M195/G195))</f>
        <v/>
      </c>
      <c r="Q195" s="13" t="str">
        <f aca="false">IF(OR(N195="",O195="",P195=""),"",N195*O195*P195)</f>
        <v/>
      </c>
      <c r="R195" s="14" t="str">
        <f aca="false">IF($C195="","",IF(K195="","Machine not in Setup",IF(H195&gt;G195,"Rejects &gt; total parts",IF(J195&lt;0,"Downtime &gt; planned time",IF(AND(ISNUMBER(O195),O195&gt;1.05),"Performance &gt; 100%: check cycle time or counts","OK")))))</f>
        <v/>
      </c>
    </row>
    <row r="196" customFormat="false" ht="15" hidden="false" customHeight="false" outlineLevel="0" collapsed="false">
      <c r="A196" s="10"/>
      <c r="B196" s="8"/>
      <c r="C196" s="8"/>
      <c r="D196" s="8"/>
      <c r="E196" s="8"/>
      <c r="F196" s="8"/>
      <c r="G196" s="8"/>
      <c r="H196" s="8"/>
      <c r="I196" s="11" t="str">
        <f aca="false">IF($C196="","",D196-E196)</f>
        <v/>
      </c>
      <c r="J196" s="11" t="str">
        <f aca="false">IF($C196="","",I196-F196)</f>
        <v/>
      </c>
      <c r="K196" s="12" t="str">
        <f aca="false">IF($C196="","",IFERROR(INDEX(Setup!$B$5:$B$24,MATCH($C196,Setup!$A$5:$A$24,0)),""))</f>
        <v/>
      </c>
      <c r="L196" s="12" t="str">
        <f aca="false">IF(OR($C196="",K196=""),"",K196*G196/60)</f>
        <v/>
      </c>
      <c r="M196" s="11" t="str">
        <f aca="false">IF($C196="","",G196-H196)</f>
        <v/>
      </c>
      <c r="N196" s="13" t="str">
        <f aca="false">IF($C196="","",IF(I196&lt;=0,"",J196/I196))</f>
        <v/>
      </c>
      <c r="O196" s="13" t="str">
        <f aca="false">IF($C196="","",IF(OR(L196="",J196&lt;=0),"",L196/J196))</f>
        <v/>
      </c>
      <c r="P196" s="13" t="str">
        <f aca="false">IF($C196="","",IF(G196&lt;=0,"",M196/G196))</f>
        <v/>
      </c>
      <c r="Q196" s="13" t="str">
        <f aca="false">IF(OR(N196="",O196="",P196=""),"",N196*O196*P196)</f>
        <v/>
      </c>
      <c r="R196" s="14" t="str">
        <f aca="false">IF($C196="","",IF(K196="","Machine not in Setup",IF(H196&gt;G196,"Rejects &gt; total parts",IF(J196&lt;0,"Downtime &gt; planned time",IF(AND(ISNUMBER(O196),O196&gt;1.05),"Performance &gt; 100%: check cycle time or counts","OK")))))</f>
        <v/>
      </c>
    </row>
    <row r="197" customFormat="false" ht="15" hidden="false" customHeight="false" outlineLevel="0" collapsed="false">
      <c r="A197" s="10"/>
      <c r="B197" s="8"/>
      <c r="C197" s="8"/>
      <c r="D197" s="8"/>
      <c r="E197" s="8"/>
      <c r="F197" s="8"/>
      <c r="G197" s="8"/>
      <c r="H197" s="8"/>
      <c r="I197" s="11" t="str">
        <f aca="false">IF($C197="","",D197-E197)</f>
        <v/>
      </c>
      <c r="J197" s="11" t="str">
        <f aca="false">IF($C197="","",I197-F197)</f>
        <v/>
      </c>
      <c r="K197" s="12" t="str">
        <f aca="false">IF($C197="","",IFERROR(INDEX(Setup!$B$5:$B$24,MATCH($C197,Setup!$A$5:$A$24,0)),""))</f>
        <v/>
      </c>
      <c r="L197" s="12" t="str">
        <f aca="false">IF(OR($C197="",K197=""),"",K197*G197/60)</f>
        <v/>
      </c>
      <c r="M197" s="11" t="str">
        <f aca="false">IF($C197="","",G197-H197)</f>
        <v/>
      </c>
      <c r="N197" s="13" t="str">
        <f aca="false">IF($C197="","",IF(I197&lt;=0,"",J197/I197))</f>
        <v/>
      </c>
      <c r="O197" s="13" t="str">
        <f aca="false">IF($C197="","",IF(OR(L197="",J197&lt;=0),"",L197/J197))</f>
        <v/>
      </c>
      <c r="P197" s="13" t="str">
        <f aca="false">IF($C197="","",IF(G197&lt;=0,"",M197/G197))</f>
        <v/>
      </c>
      <c r="Q197" s="13" t="str">
        <f aca="false">IF(OR(N197="",O197="",P197=""),"",N197*O197*P197)</f>
        <v/>
      </c>
      <c r="R197" s="14" t="str">
        <f aca="false">IF($C197="","",IF(K197="","Machine not in Setup",IF(H197&gt;G197,"Rejects &gt; total parts",IF(J197&lt;0,"Downtime &gt; planned time",IF(AND(ISNUMBER(O197),O197&gt;1.05),"Performance &gt; 100%: check cycle time or counts","OK")))))</f>
        <v/>
      </c>
    </row>
    <row r="198" customFormat="false" ht="15" hidden="false" customHeight="false" outlineLevel="0" collapsed="false">
      <c r="A198" s="10"/>
      <c r="B198" s="8"/>
      <c r="C198" s="8"/>
      <c r="D198" s="8"/>
      <c r="E198" s="8"/>
      <c r="F198" s="8"/>
      <c r="G198" s="8"/>
      <c r="H198" s="8"/>
      <c r="I198" s="11" t="str">
        <f aca="false">IF($C198="","",D198-E198)</f>
        <v/>
      </c>
      <c r="J198" s="11" t="str">
        <f aca="false">IF($C198="","",I198-F198)</f>
        <v/>
      </c>
      <c r="K198" s="12" t="str">
        <f aca="false">IF($C198="","",IFERROR(INDEX(Setup!$B$5:$B$24,MATCH($C198,Setup!$A$5:$A$24,0)),""))</f>
        <v/>
      </c>
      <c r="L198" s="12" t="str">
        <f aca="false">IF(OR($C198="",K198=""),"",K198*G198/60)</f>
        <v/>
      </c>
      <c r="M198" s="11" t="str">
        <f aca="false">IF($C198="","",G198-H198)</f>
        <v/>
      </c>
      <c r="N198" s="13" t="str">
        <f aca="false">IF($C198="","",IF(I198&lt;=0,"",J198/I198))</f>
        <v/>
      </c>
      <c r="O198" s="13" t="str">
        <f aca="false">IF($C198="","",IF(OR(L198="",J198&lt;=0),"",L198/J198))</f>
        <v/>
      </c>
      <c r="P198" s="13" t="str">
        <f aca="false">IF($C198="","",IF(G198&lt;=0,"",M198/G198))</f>
        <v/>
      </c>
      <c r="Q198" s="13" t="str">
        <f aca="false">IF(OR(N198="",O198="",P198=""),"",N198*O198*P198)</f>
        <v/>
      </c>
      <c r="R198" s="14" t="str">
        <f aca="false">IF($C198="","",IF(K198="","Machine not in Setup",IF(H198&gt;G198,"Rejects &gt; total parts",IF(J198&lt;0,"Downtime &gt; planned time",IF(AND(ISNUMBER(O198),O198&gt;1.05),"Performance &gt; 100%: check cycle time or counts","OK")))))</f>
        <v/>
      </c>
    </row>
    <row r="199" customFormat="false" ht="15" hidden="false" customHeight="false" outlineLevel="0" collapsed="false">
      <c r="A199" s="10"/>
      <c r="B199" s="8"/>
      <c r="C199" s="8"/>
      <c r="D199" s="8"/>
      <c r="E199" s="8"/>
      <c r="F199" s="8"/>
      <c r="G199" s="8"/>
      <c r="H199" s="8"/>
      <c r="I199" s="11" t="str">
        <f aca="false">IF($C199="","",D199-E199)</f>
        <v/>
      </c>
      <c r="J199" s="11" t="str">
        <f aca="false">IF($C199="","",I199-F199)</f>
        <v/>
      </c>
      <c r="K199" s="12" t="str">
        <f aca="false">IF($C199="","",IFERROR(INDEX(Setup!$B$5:$B$24,MATCH($C199,Setup!$A$5:$A$24,0)),""))</f>
        <v/>
      </c>
      <c r="L199" s="12" t="str">
        <f aca="false">IF(OR($C199="",K199=""),"",K199*G199/60)</f>
        <v/>
      </c>
      <c r="M199" s="11" t="str">
        <f aca="false">IF($C199="","",G199-H199)</f>
        <v/>
      </c>
      <c r="N199" s="13" t="str">
        <f aca="false">IF($C199="","",IF(I199&lt;=0,"",J199/I199))</f>
        <v/>
      </c>
      <c r="O199" s="13" t="str">
        <f aca="false">IF($C199="","",IF(OR(L199="",J199&lt;=0),"",L199/J199))</f>
        <v/>
      </c>
      <c r="P199" s="13" t="str">
        <f aca="false">IF($C199="","",IF(G199&lt;=0,"",M199/G199))</f>
        <v/>
      </c>
      <c r="Q199" s="13" t="str">
        <f aca="false">IF(OR(N199="",O199="",P199=""),"",N199*O199*P199)</f>
        <v/>
      </c>
      <c r="R199" s="14" t="str">
        <f aca="false">IF($C199="","",IF(K199="","Machine not in Setup",IF(H199&gt;G199,"Rejects &gt; total parts",IF(J199&lt;0,"Downtime &gt; planned time",IF(AND(ISNUMBER(O199),O199&gt;1.05),"Performance &gt; 100%: check cycle time or counts","OK")))))</f>
        <v/>
      </c>
    </row>
    <row r="200" customFormat="false" ht="15" hidden="false" customHeight="false" outlineLevel="0" collapsed="false">
      <c r="A200" s="10"/>
      <c r="B200" s="8"/>
      <c r="C200" s="8"/>
      <c r="D200" s="8"/>
      <c r="E200" s="8"/>
      <c r="F200" s="8"/>
      <c r="G200" s="8"/>
      <c r="H200" s="8"/>
      <c r="I200" s="11" t="str">
        <f aca="false">IF($C200="","",D200-E200)</f>
        <v/>
      </c>
      <c r="J200" s="11" t="str">
        <f aca="false">IF($C200="","",I200-F200)</f>
        <v/>
      </c>
      <c r="K200" s="12" t="str">
        <f aca="false">IF($C200="","",IFERROR(INDEX(Setup!$B$5:$B$24,MATCH($C200,Setup!$A$5:$A$24,0)),""))</f>
        <v/>
      </c>
      <c r="L200" s="12" t="str">
        <f aca="false">IF(OR($C200="",K200=""),"",K200*G200/60)</f>
        <v/>
      </c>
      <c r="M200" s="11" t="str">
        <f aca="false">IF($C200="","",G200-H200)</f>
        <v/>
      </c>
      <c r="N200" s="13" t="str">
        <f aca="false">IF($C200="","",IF(I200&lt;=0,"",J200/I200))</f>
        <v/>
      </c>
      <c r="O200" s="13" t="str">
        <f aca="false">IF($C200="","",IF(OR(L200="",J200&lt;=0),"",L200/J200))</f>
        <v/>
      </c>
      <c r="P200" s="13" t="str">
        <f aca="false">IF($C200="","",IF(G200&lt;=0,"",M200/G200))</f>
        <v/>
      </c>
      <c r="Q200" s="13" t="str">
        <f aca="false">IF(OR(N200="",O200="",P200=""),"",N200*O200*P200)</f>
        <v/>
      </c>
      <c r="R200" s="14" t="str">
        <f aca="false">IF($C200="","",IF(K200="","Machine not in Setup",IF(H200&gt;G200,"Rejects &gt; total parts",IF(J200&lt;0,"Downtime &gt; planned time",IF(AND(ISNUMBER(O200),O200&gt;1.05),"Performance &gt; 100%: check cycle time or counts","OK")))))</f>
        <v/>
      </c>
    </row>
    <row r="201" customFormat="false" ht="15" hidden="false" customHeight="false" outlineLevel="0" collapsed="false">
      <c r="A201" s="10"/>
      <c r="B201" s="8"/>
      <c r="C201" s="8"/>
      <c r="D201" s="8"/>
      <c r="E201" s="8"/>
      <c r="F201" s="8"/>
      <c r="G201" s="8"/>
      <c r="H201" s="8"/>
      <c r="I201" s="11" t="str">
        <f aca="false">IF($C201="","",D201-E201)</f>
        <v/>
      </c>
      <c r="J201" s="11" t="str">
        <f aca="false">IF($C201="","",I201-F201)</f>
        <v/>
      </c>
      <c r="K201" s="12" t="str">
        <f aca="false">IF($C201="","",IFERROR(INDEX(Setup!$B$5:$B$24,MATCH($C201,Setup!$A$5:$A$24,0)),""))</f>
        <v/>
      </c>
      <c r="L201" s="12" t="str">
        <f aca="false">IF(OR($C201="",K201=""),"",K201*G201/60)</f>
        <v/>
      </c>
      <c r="M201" s="11" t="str">
        <f aca="false">IF($C201="","",G201-H201)</f>
        <v/>
      </c>
      <c r="N201" s="13" t="str">
        <f aca="false">IF($C201="","",IF(I201&lt;=0,"",J201/I201))</f>
        <v/>
      </c>
      <c r="O201" s="13" t="str">
        <f aca="false">IF($C201="","",IF(OR(L201="",J201&lt;=0),"",L201/J201))</f>
        <v/>
      </c>
      <c r="P201" s="13" t="str">
        <f aca="false">IF($C201="","",IF(G201&lt;=0,"",M201/G201))</f>
        <v/>
      </c>
      <c r="Q201" s="13" t="str">
        <f aca="false">IF(OR(N201="",O201="",P201=""),"",N201*O201*P201)</f>
        <v/>
      </c>
      <c r="R201" s="14" t="str">
        <f aca="false">IF($C201="","",IF(K201="","Machine not in Setup",IF(H201&gt;G201,"Rejects &gt; total parts",IF(J201&lt;0,"Downtime &gt; planned time",IF(AND(ISNUMBER(O201),O201&gt;1.05),"Performance &gt; 100%: check cycle time or counts","OK")))))</f>
        <v/>
      </c>
    </row>
    <row r="202" customFormat="false" ht="15" hidden="false" customHeight="false" outlineLevel="0" collapsed="false">
      <c r="A202" s="10"/>
      <c r="B202" s="8"/>
      <c r="C202" s="8"/>
      <c r="D202" s="8"/>
      <c r="E202" s="8"/>
      <c r="F202" s="8"/>
      <c r="G202" s="8"/>
      <c r="H202" s="8"/>
      <c r="I202" s="11" t="str">
        <f aca="false">IF($C202="","",D202-E202)</f>
        <v/>
      </c>
      <c r="J202" s="11" t="str">
        <f aca="false">IF($C202="","",I202-F202)</f>
        <v/>
      </c>
      <c r="K202" s="12" t="str">
        <f aca="false">IF($C202="","",IFERROR(INDEX(Setup!$B$5:$B$24,MATCH($C202,Setup!$A$5:$A$24,0)),""))</f>
        <v/>
      </c>
      <c r="L202" s="12" t="str">
        <f aca="false">IF(OR($C202="",K202=""),"",K202*G202/60)</f>
        <v/>
      </c>
      <c r="M202" s="11" t="str">
        <f aca="false">IF($C202="","",G202-H202)</f>
        <v/>
      </c>
      <c r="N202" s="13" t="str">
        <f aca="false">IF($C202="","",IF(I202&lt;=0,"",J202/I202))</f>
        <v/>
      </c>
      <c r="O202" s="13" t="str">
        <f aca="false">IF($C202="","",IF(OR(L202="",J202&lt;=0),"",L202/J202))</f>
        <v/>
      </c>
      <c r="P202" s="13" t="str">
        <f aca="false">IF($C202="","",IF(G202&lt;=0,"",M202/G202))</f>
        <v/>
      </c>
      <c r="Q202" s="13" t="str">
        <f aca="false">IF(OR(N202="",O202="",P202=""),"",N202*O202*P202)</f>
        <v/>
      </c>
      <c r="R202" s="14" t="str">
        <f aca="false">IF($C202="","",IF(K202="","Machine not in Setup",IF(H202&gt;G202,"Rejects &gt; total parts",IF(J202&lt;0,"Downtime &gt; planned time",IF(AND(ISNUMBER(O202),O202&gt;1.05),"Performance &gt; 100%: check cycle time or counts","OK")))))</f>
        <v/>
      </c>
    </row>
    <row r="203" customFormat="false" ht="15" hidden="false" customHeight="false" outlineLevel="0" collapsed="false">
      <c r="A203" s="10"/>
      <c r="B203" s="8"/>
      <c r="C203" s="8"/>
      <c r="D203" s="8"/>
      <c r="E203" s="8"/>
      <c r="F203" s="8"/>
      <c r="G203" s="8"/>
      <c r="H203" s="8"/>
      <c r="I203" s="11" t="str">
        <f aca="false">IF($C203="","",D203-E203)</f>
        <v/>
      </c>
      <c r="J203" s="11" t="str">
        <f aca="false">IF($C203="","",I203-F203)</f>
        <v/>
      </c>
      <c r="K203" s="12" t="str">
        <f aca="false">IF($C203="","",IFERROR(INDEX(Setup!$B$5:$B$24,MATCH($C203,Setup!$A$5:$A$24,0)),""))</f>
        <v/>
      </c>
      <c r="L203" s="12" t="str">
        <f aca="false">IF(OR($C203="",K203=""),"",K203*G203/60)</f>
        <v/>
      </c>
      <c r="M203" s="11" t="str">
        <f aca="false">IF($C203="","",G203-H203)</f>
        <v/>
      </c>
      <c r="N203" s="13" t="str">
        <f aca="false">IF($C203="","",IF(I203&lt;=0,"",J203/I203))</f>
        <v/>
      </c>
      <c r="O203" s="13" t="str">
        <f aca="false">IF($C203="","",IF(OR(L203="",J203&lt;=0),"",L203/J203))</f>
        <v/>
      </c>
      <c r="P203" s="13" t="str">
        <f aca="false">IF($C203="","",IF(G203&lt;=0,"",M203/G203))</f>
        <v/>
      </c>
      <c r="Q203" s="13" t="str">
        <f aca="false">IF(OR(N203="",O203="",P203=""),"",N203*O203*P203)</f>
        <v/>
      </c>
      <c r="R203" s="14" t="str">
        <f aca="false">IF($C203="","",IF(K203="","Machine not in Setup",IF(H203&gt;G203,"Rejects &gt; total parts",IF(J203&lt;0,"Downtime &gt; planned time",IF(AND(ISNUMBER(O203),O203&gt;1.05),"Performance &gt; 100%: check cycle time or counts","OK")))))</f>
        <v/>
      </c>
    </row>
    <row r="204" customFormat="false" ht="15" hidden="false" customHeight="false" outlineLevel="0" collapsed="false">
      <c r="A204" s="10"/>
      <c r="B204" s="8"/>
      <c r="C204" s="8"/>
      <c r="D204" s="8"/>
      <c r="E204" s="8"/>
      <c r="F204" s="8"/>
      <c r="G204" s="8"/>
      <c r="H204" s="8"/>
      <c r="I204" s="11" t="str">
        <f aca="false">IF($C204="","",D204-E204)</f>
        <v/>
      </c>
      <c r="J204" s="11" t="str">
        <f aca="false">IF($C204="","",I204-F204)</f>
        <v/>
      </c>
      <c r="K204" s="12" t="str">
        <f aca="false">IF($C204="","",IFERROR(INDEX(Setup!$B$5:$B$24,MATCH($C204,Setup!$A$5:$A$24,0)),""))</f>
        <v/>
      </c>
      <c r="L204" s="12" t="str">
        <f aca="false">IF(OR($C204="",K204=""),"",K204*G204/60)</f>
        <v/>
      </c>
      <c r="M204" s="11" t="str">
        <f aca="false">IF($C204="","",G204-H204)</f>
        <v/>
      </c>
      <c r="N204" s="13" t="str">
        <f aca="false">IF($C204="","",IF(I204&lt;=0,"",J204/I204))</f>
        <v/>
      </c>
      <c r="O204" s="13" t="str">
        <f aca="false">IF($C204="","",IF(OR(L204="",J204&lt;=0),"",L204/J204))</f>
        <v/>
      </c>
      <c r="P204" s="13" t="str">
        <f aca="false">IF($C204="","",IF(G204&lt;=0,"",M204/G204))</f>
        <v/>
      </c>
      <c r="Q204" s="13" t="str">
        <f aca="false">IF(OR(N204="",O204="",P204=""),"",N204*O204*P204)</f>
        <v/>
      </c>
      <c r="R204" s="14" t="str">
        <f aca="false">IF($C204="","",IF(K204="","Machine not in Setup",IF(H204&gt;G204,"Rejects &gt; total parts",IF(J204&lt;0,"Downtime &gt; planned time",IF(AND(ISNUMBER(O204),O204&gt;1.05),"Performance &gt; 100%: check cycle time or counts","OK")))))</f>
        <v/>
      </c>
    </row>
    <row r="205" customFormat="false" ht="15" hidden="false" customHeight="false" outlineLevel="0" collapsed="false">
      <c r="A205" s="10"/>
      <c r="B205" s="8"/>
      <c r="C205" s="8"/>
      <c r="D205" s="8"/>
      <c r="E205" s="8"/>
      <c r="F205" s="8"/>
      <c r="G205" s="8"/>
      <c r="H205" s="8"/>
      <c r="I205" s="11" t="str">
        <f aca="false">IF($C205="","",D205-E205)</f>
        <v/>
      </c>
      <c r="J205" s="11" t="str">
        <f aca="false">IF($C205="","",I205-F205)</f>
        <v/>
      </c>
      <c r="K205" s="12" t="str">
        <f aca="false">IF($C205="","",IFERROR(INDEX(Setup!$B$5:$B$24,MATCH($C205,Setup!$A$5:$A$24,0)),""))</f>
        <v/>
      </c>
      <c r="L205" s="12" t="str">
        <f aca="false">IF(OR($C205="",K205=""),"",K205*G205/60)</f>
        <v/>
      </c>
      <c r="M205" s="11" t="str">
        <f aca="false">IF($C205="","",G205-H205)</f>
        <v/>
      </c>
      <c r="N205" s="13" t="str">
        <f aca="false">IF($C205="","",IF(I205&lt;=0,"",J205/I205))</f>
        <v/>
      </c>
      <c r="O205" s="13" t="str">
        <f aca="false">IF($C205="","",IF(OR(L205="",J205&lt;=0),"",L205/J205))</f>
        <v/>
      </c>
      <c r="P205" s="13" t="str">
        <f aca="false">IF($C205="","",IF(G205&lt;=0,"",M205/G205))</f>
        <v/>
      </c>
      <c r="Q205" s="13" t="str">
        <f aca="false">IF(OR(N205="",O205="",P205=""),"",N205*O205*P205)</f>
        <v/>
      </c>
      <c r="R205" s="14" t="str">
        <f aca="false">IF($C205="","",IF(K205="","Machine not in Setup",IF(H205&gt;G205,"Rejects &gt; total parts",IF(J205&lt;0,"Downtime &gt; planned time",IF(AND(ISNUMBER(O205),O205&gt;1.05),"Performance &gt; 100%: check cycle time or counts","OK")))))</f>
        <v/>
      </c>
    </row>
    <row r="206" customFormat="false" ht="15" hidden="false" customHeight="false" outlineLevel="0" collapsed="false">
      <c r="A206" s="10"/>
      <c r="B206" s="8"/>
      <c r="C206" s="8"/>
      <c r="D206" s="8"/>
      <c r="E206" s="8"/>
      <c r="F206" s="8"/>
      <c r="G206" s="8"/>
      <c r="H206" s="8"/>
      <c r="I206" s="11" t="str">
        <f aca="false">IF($C206="","",D206-E206)</f>
        <v/>
      </c>
      <c r="J206" s="11" t="str">
        <f aca="false">IF($C206="","",I206-F206)</f>
        <v/>
      </c>
      <c r="K206" s="12" t="str">
        <f aca="false">IF($C206="","",IFERROR(INDEX(Setup!$B$5:$B$24,MATCH($C206,Setup!$A$5:$A$24,0)),""))</f>
        <v/>
      </c>
      <c r="L206" s="12" t="str">
        <f aca="false">IF(OR($C206="",K206=""),"",K206*G206/60)</f>
        <v/>
      </c>
      <c r="M206" s="11" t="str">
        <f aca="false">IF($C206="","",G206-H206)</f>
        <v/>
      </c>
      <c r="N206" s="13" t="str">
        <f aca="false">IF($C206="","",IF(I206&lt;=0,"",J206/I206))</f>
        <v/>
      </c>
      <c r="O206" s="13" t="str">
        <f aca="false">IF($C206="","",IF(OR(L206="",J206&lt;=0),"",L206/J206))</f>
        <v/>
      </c>
      <c r="P206" s="13" t="str">
        <f aca="false">IF($C206="","",IF(G206&lt;=0,"",M206/G206))</f>
        <v/>
      </c>
      <c r="Q206" s="13" t="str">
        <f aca="false">IF(OR(N206="",O206="",P206=""),"",N206*O206*P206)</f>
        <v/>
      </c>
      <c r="R206" s="14" t="str">
        <f aca="false">IF($C206="","",IF(K206="","Machine not in Setup",IF(H206&gt;G206,"Rejects &gt; total parts",IF(J206&lt;0,"Downtime &gt; planned time",IF(AND(ISNUMBER(O206),O206&gt;1.05),"Performance &gt; 100%: check cycle time or counts","OK")))))</f>
        <v/>
      </c>
    </row>
    <row r="207" customFormat="false" ht="15" hidden="false" customHeight="false" outlineLevel="0" collapsed="false">
      <c r="A207" s="10"/>
      <c r="B207" s="8"/>
      <c r="C207" s="8"/>
      <c r="D207" s="8"/>
      <c r="E207" s="8"/>
      <c r="F207" s="8"/>
      <c r="G207" s="8"/>
      <c r="H207" s="8"/>
      <c r="I207" s="11" t="str">
        <f aca="false">IF($C207="","",D207-E207)</f>
        <v/>
      </c>
      <c r="J207" s="11" t="str">
        <f aca="false">IF($C207="","",I207-F207)</f>
        <v/>
      </c>
      <c r="K207" s="12" t="str">
        <f aca="false">IF($C207="","",IFERROR(INDEX(Setup!$B$5:$B$24,MATCH($C207,Setup!$A$5:$A$24,0)),""))</f>
        <v/>
      </c>
      <c r="L207" s="12" t="str">
        <f aca="false">IF(OR($C207="",K207=""),"",K207*G207/60)</f>
        <v/>
      </c>
      <c r="M207" s="11" t="str">
        <f aca="false">IF($C207="","",G207-H207)</f>
        <v/>
      </c>
      <c r="N207" s="13" t="str">
        <f aca="false">IF($C207="","",IF(I207&lt;=0,"",J207/I207))</f>
        <v/>
      </c>
      <c r="O207" s="13" t="str">
        <f aca="false">IF($C207="","",IF(OR(L207="",J207&lt;=0),"",L207/J207))</f>
        <v/>
      </c>
      <c r="P207" s="13" t="str">
        <f aca="false">IF($C207="","",IF(G207&lt;=0,"",M207/G207))</f>
        <v/>
      </c>
      <c r="Q207" s="13" t="str">
        <f aca="false">IF(OR(N207="",O207="",P207=""),"",N207*O207*P207)</f>
        <v/>
      </c>
      <c r="R207" s="14" t="str">
        <f aca="false">IF($C207="","",IF(K207="","Machine not in Setup",IF(H207&gt;G207,"Rejects &gt; total parts",IF(J207&lt;0,"Downtime &gt; planned time",IF(AND(ISNUMBER(O207),O207&gt;1.05),"Performance &gt; 100%: check cycle time or counts","OK")))))</f>
        <v/>
      </c>
    </row>
    <row r="208" customFormat="false" ht="15" hidden="false" customHeight="false" outlineLevel="0" collapsed="false">
      <c r="A208" s="10"/>
      <c r="B208" s="8"/>
      <c r="C208" s="8"/>
      <c r="D208" s="8"/>
      <c r="E208" s="8"/>
      <c r="F208" s="8"/>
      <c r="G208" s="8"/>
      <c r="H208" s="8"/>
      <c r="I208" s="11" t="str">
        <f aca="false">IF($C208="","",D208-E208)</f>
        <v/>
      </c>
      <c r="J208" s="11" t="str">
        <f aca="false">IF($C208="","",I208-F208)</f>
        <v/>
      </c>
      <c r="K208" s="12" t="str">
        <f aca="false">IF($C208="","",IFERROR(INDEX(Setup!$B$5:$B$24,MATCH($C208,Setup!$A$5:$A$24,0)),""))</f>
        <v/>
      </c>
      <c r="L208" s="12" t="str">
        <f aca="false">IF(OR($C208="",K208=""),"",K208*G208/60)</f>
        <v/>
      </c>
      <c r="M208" s="11" t="str">
        <f aca="false">IF($C208="","",G208-H208)</f>
        <v/>
      </c>
      <c r="N208" s="13" t="str">
        <f aca="false">IF($C208="","",IF(I208&lt;=0,"",J208/I208))</f>
        <v/>
      </c>
      <c r="O208" s="13" t="str">
        <f aca="false">IF($C208="","",IF(OR(L208="",J208&lt;=0),"",L208/J208))</f>
        <v/>
      </c>
      <c r="P208" s="13" t="str">
        <f aca="false">IF($C208="","",IF(G208&lt;=0,"",M208/G208))</f>
        <v/>
      </c>
      <c r="Q208" s="13" t="str">
        <f aca="false">IF(OR(N208="",O208="",P208=""),"",N208*O208*P208)</f>
        <v/>
      </c>
      <c r="R208" s="14" t="str">
        <f aca="false">IF($C208="","",IF(K208="","Machine not in Setup",IF(H208&gt;G208,"Rejects &gt; total parts",IF(J208&lt;0,"Downtime &gt; planned time",IF(AND(ISNUMBER(O208),O208&gt;1.05),"Performance &gt; 100%: check cycle time or counts","OK")))))</f>
        <v/>
      </c>
    </row>
    <row r="209" customFormat="false" ht="15" hidden="false" customHeight="false" outlineLevel="0" collapsed="false">
      <c r="A209" s="10"/>
      <c r="B209" s="8"/>
      <c r="C209" s="8"/>
      <c r="D209" s="8"/>
      <c r="E209" s="8"/>
      <c r="F209" s="8"/>
      <c r="G209" s="8"/>
      <c r="H209" s="8"/>
      <c r="I209" s="11" t="str">
        <f aca="false">IF($C209="","",D209-E209)</f>
        <v/>
      </c>
      <c r="J209" s="11" t="str">
        <f aca="false">IF($C209="","",I209-F209)</f>
        <v/>
      </c>
      <c r="K209" s="12" t="str">
        <f aca="false">IF($C209="","",IFERROR(INDEX(Setup!$B$5:$B$24,MATCH($C209,Setup!$A$5:$A$24,0)),""))</f>
        <v/>
      </c>
      <c r="L209" s="12" t="str">
        <f aca="false">IF(OR($C209="",K209=""),"",K209*G209/60)</f>
        <v/>
      </c>
      <c r="M209" s="11" t="str">
        <f aca="false">IF($C209="","",G209-H209)</f>
        <v/>
      </c>
      <c r="N209" s="13" t="str">
        <f aca="false">IF($C209="","",IF(I209&lt;=0,"",J209/I209))</f>
        <v/>
      </c>
      <c r="O209" s="13" t="str">
        <f aca="false">IF($C209="","",IF(OR(L209="",J209&lt;=0),"",L209/J209))</f>
        <v/>
      </c>
      <c r="P209" s="13" t="str">
        <f aca="false">IF($C209="","",IF(G209&lt;=0,"",M209/G209))</f>
        <v/>
      </c>
      <c r="Q209" s="13" t="str">
        <f aca="false">IF(OR(N209="",O209="",P209=""),"",N209*O209*P209)</f>
        <v/>
      </c>
      <c r="R209" s="14" t="str">
        <f aca="false">IF($C209="","",IF(K209="","Machine not in Setup",IF(H209&gt;G209,"Rejects &gt; total parts",IF(J209&lt;0,"Downtime &gt; planned time",IF(AND(ISNUMBER(O209),O209&gt;1.05),"Performance &gt; 100%: check cycle time or counts","OK")))))</f>
        <v/>
      </c>
    </row>
    <row r="210" customFormat="false" ht="15" hidden="false" customHeight="false" outlineLevel="0" collapsed="false">
      <c r="A210" s="10"/>
      <c r="B210" s="8"/>
      <c r="C210" s="8"/>
      <c r="D210" s="8"/>
      <c r="E210" s="8"/>
      <c r="F210" s="8"/>
      <c r="G210" s="8"/>
      <c r="H210" s="8"/>
      <c r="I210" s="11" t="str">
        <f aca="false">IF($C210="","",D210-E210)</f>
        <v/>
      </c>
      <c r="J210" s="11" t="str">
        <f aca="false">IF($C210="","",I210-F210)</f>
        <v/>
      </c>
      <c r="K210" s="12" t="str">
        <f aca="false">IF($C210="","",IFERROR(INDEX(Setup!$B$5:$B$24,MATCH($C210,Setup!$A$5:$A$24,0)),""))</f>
        <v/>
      </c>
      <c r="L210" s="12" t="str">
        <f aca="false">IF(OR($C210="",K210=""),"",K210*G210/60)</f>
        <v/>
      </c>
      <c r="M210" s="11" t="str">
        <f aca="false">IF($C210="","",G210-H210)</f>
        <v/>
      </c>
      <c r="N210" s="13" t="str">
        <f aca="false">IF($C210="","",IF(I210&lt;=0,"",J210/I210))</f>
        <v/>
      </c>
      <c r="O210" s="13" t="str">
        <f aca="false">IF($C210="","",IF(OR(L210="",J210&lt;=0),"",L210/J210))</f>
        <v/>
      </c>
      <c r="P210" s="13" t="str">
        <f aca="false">IF($C210="","",IF(G210&lt;=0,"",M210/G210))</f>
        <v/>
      </c>
      <c r="Q210" s="13" t="str">
        <f aca="false">IF(OR(N210="",O210="",P210=""),"",N210*O210*P210)</f>
        <v/>
      </c>
      <c r="R210" s="14" t="str">
        <f aca="false">IF($C210="","",IF(K210="","Machine not in Setup",IF(H210&gt;G210,"Rejects &gt; total parts",IF(J210&lt;0,"Downtime &gt; planned time",IF(AND(ISNUMBER(O210),O210&gt;1.05),"Performance &gt; 100%: check cycle time or counts","OK")))))</f>
        <v/>
      </c>
    </row>
    <row r="211" customFormat="false" ht="15" hidden="false" customHeight="false" outlineLevel="0" collapsed="false">
      <c r="A211" s="10"/>
      <c r="B211" s="8"/>
      <c r="C211" s="8"/>
      <c r="D211" s="8"/>
      <c r="E211" s="8"/>
      <c r="F211" s="8"/>
      <c r="G211" s="8"/>
      <c r="H211" s="8"/>
      <c r="I211" s="11" t="str">
        <f aca="false">IF($C211="","",D211-E211)</f>
        <v/>
      </c>
      <c r="J211" s="11" t="str">
        <f aca="false">IF($C211="","",I211-F211)</f>
        <v/>
      </c>
      <c r="K211" s="12" t="str">
        <f aca="false">IF($C211="","",IFERROR(INDEX(Setup!$B$5:$B$24,MATCH($C211,Setup!$A$5:$A$24,0)),""))</f>
        <v/>
      </c>
      <c r="L211" s="12" t="str">
        <f aca="false">IF(OR($C211="",K211=""),"",K211*G211/60)</f>
        <v/>
      </c>
      <c r="M211" s="11" t="str">
        <f aca="false">IF($C211="","",G211-H211)</f>
        <v/>
      </c>
      <c r="N211" s="13" t="str">
        <f aca="false">IF($C211="","",IF(I211&lt;=0,"",J211/I211))</f>
        <v/>
      </c>
      <c r="O211" s="13" t="str">
        <f aca="false">IF($C211="","",IF(OR(L211="",J211&lt;=0),"",L211/J211))</f>
        <v/>
      </c>
      <c r="P211" s="13" t="str">
        <f aca="false">IF($C211="","",IF(G211&lt;=0,"",M211/G211))</f>
        <v/>
      </c>
      <c r="Q211" s="13" t="str">
        <f aca="false">IF(OR(N211="",O211="",P211=""),"",N211*O211*P211)</f>
        <v/>
      </c>
      <c r="R211" s="14" t="str">
        <f aca="false">IF($C211="","",IF(K211="","Machine not in Setup",IF(H211&gt;G211,"Rejects &gt; total parts",IF(J211&lt;0,"Downtime &gt; planned time",IF(AND(ISNUMBER(O211),O211&gt;1.05),"Performance &gt; 100%: check cycle time or counts","OK")))))</f>
        <v/>
      </c>
    </row>
    <row r="212" customFormat="false" ht="15" hidden="false" customHeight="false" outlineLevel="0" collapsed="false">
      <c r="A212" s="10"/>
      <c r="B212" s="8"/>
      <c r="C212" s="8"/>
      <c r="D212" s="8"/>
      <c r="E212" s="8"/>
      <c r="F212" s="8"/>
      <c r="G212" s="8"/>
      <c r="H212" s="8"/>
      <c r="I212" s="11" t="str">
        <f aca="false">IF($C212="","",D212-E212)</f>
        <v/>
      </c>
      <c r="J212" s="11" t="str">
        <f aca="false">IF($C212="","",I212-F212)</f>
        <v/>
      </c>
      <c r="K212" s="12" t="str">
        <f aca="false">IF($C212="","",IFERROR(INDEX(Setup!$B$5:$B$24,MATCH($C212,Setup!$A$5:$A$24,0)),""))</f>
        <v/>
      </c>
      <c r="L212" s="12" t="str">
        <f aca="false">IF(OR($C212="",K212=""),"",K212*G212/60)</f>
        <v/>
      </c>
      <c r="M212" s="11" t="str">
        <f aca="false">IF($C212="","",G212-H212)</f>
        <v/>
      </c>
      <c r="N212" s="13" t="str">
        <f aca="false">IF($C212="","",IF(I212&lt;=0,"",J212/I212))</f>
        <v/>
      </c>
      <c r="O212" s="13" t="str">
        <f aca="false">IF($C212="","",IF(OR(L212="",J212&lt;=0),"",L212/J212))</f>
        <v/>
      </c>
      <c r="P212" s="13" t="str">
        <f aca="false">IF($C212="","",IF(G212&lt;=0,"",M212/G212))</f>
        <v/>
      </c>
      <c r="Q212" s="13" t="str">
        <f aca="false">IF(OR(N212="",O212="",P212=""),"",N212*O212*P212)</f>
        <v/>
      </c>
      <c r="R212" s="14" t="str">
        <f aca="false">IF($C212="","",IF(K212="","Machine not in Setup",IF(H212&gt;G212,"Rejects &gt; total parts",IF(J212&lt;0,"Downtime &gt; planned time",IF(AND(ISNUMBER(O212),O212&gt;1.05),"Performance &gt; 100%: check cycle time or counts","OK")))))</f>
        <v/>
      </c>
    </row>
    <row r="213" customFormat="false" ht="15" hidden="false" customHeight="false" outlineLevel="0" collapsed="false">
      <c r="A213" s="10"/>
      <c r="B213" s="8"/>
      <c r="C213" s="8"/>
      <c r="D213" s="8"/>
      <c r="E213" s="8"/>
      <c r="F213" s="8"/>
      <c r="G213" s="8"/>
      <c r="H213" s="8"/>
      <c r="I213" s="11" t="str">
        <f aca="false">IF($C213="","",D213-E213)</f>
        <v/>
      </c>
      <c r="J213" s="11" t="str">
        <f aca="false">IF($C213="","",I213-F213)</f>
        <v/>
      </c>
      <c r="K213" s="12" t="str">
        <f aca="false">IF($C213="","",IFERROR(INDEX(Setup!$B$5:$B$24,MATCH($C213,Setup!$A$5:$A$24,0)),""))</f>
        <v/>
      </c>
      <c r="L213" s="12" t="str">
        <f aca="false">IF(OR($C213="",K213=""),"",K213*G213/60)</f>
        <v/>
      </c>
      <c r="M213" s="11" t="str">
        <f aca="false">IF($C213="","",G213-H213)</f>
        <v/>
      </c>
      <c r="N213" s="13" t="str">
        <f aca="false">IF($C213="","",IF(I213&lt;=0,"",J213/I213))</f>
        <v/>
      </c>
      <c r="O213" s="13" t="str">
        <f aca="false">IF($C213="","",IF(OR(L213="",J213&lt;=0),"",L213/J213))</f>
        <v/>
      </c>
      <c r="P213" s="13" t="str">
        <f aca="false">IF($C213="","",IF(G213&lt;=0,"",M213/G213))</f>
        <v/>
      </c>
      <c r="Q213" s="13" t="str">
        <f aca="false">IF(OR(N213="",O213="",P213=""),"",N213*O213*P213)</f>
        <v/>
      </c>
      <c r="R213" s="14" t="str">
        <f aca="false">IF($C213="","",IF(K213="","Machine not in Setup",IF(H213&gt;G213,"Rejects &gt; total parts",IF(J213&lt;0,"Downtime &gt; planned time",IF(AND(ISNUMBER(O213),O213&gt;1.05),"Performance &gt; 100%: check cycle time or counts","OK")))))</f>
        <v/>
      </c>
    </row>
    <row r="214" customFormat="false" ht="15" hidden="false" customHeight="false" outlineLevel="0" collapsed="false">
      <c r="A214" s="10"/>
      <c r="B214" s="8"/>
      <c r="C214" s="8"/>
      <c r="D214" s="8"/>
      <c r="E214" s="8"/>
      <c r="F214" s="8"/>
      <c r="G214" s="8"/>
      <c r="H214" s="8"/>
      <c r="I214" s="11" t="str">
        <f aca="false">IF($C214="","",D214-E214)</f>
        <v/>
      </c>
      <c r="J214" s="11" t="str">
        <f aca="false">IF($C214="","",I214-F214)</f>
        <v/>
      </c>
      <c r="K214" s="12" t="str">
        <f aca="false">IF($C214="","",IFERROR(INDEX(Setup!$B$5:$B$24,MATCH($C214,Setup!$A$5:$A$24,0)),""))</f>
        <v/>
      </c>
      <c r="L214" s="12" t="str">
        <f aca="false">IF(OR($C214="",K214=""),"",K214*G214/60)</f>
        <v/>
      </c>
      <c r="M214" s="11" t="str">
        <f aca="false">IF($C214="","",G214-H214)</f>
        <v/>
      </c>
      <c r="N214" s="13" t="str">
        <f aca="false">IF($C214="","",IF(I214&lt;=0,"",J214/I214))</f>
        <v/>
      </c>
      <c r="O214" s="13" t="str">
        <f aca="false">IF($C214="","",IF(OR(L214="",J214&lt;=0),"",L214/J214))</f>
        <v/>
      </c>
      <c r="P214" s="13" t="str">
        <f aca="false">IF($C214="","",IF(G214&lt;=0,"",M214/G214))</f>
        <v/>
      </c>
      <c r="Q214" s="13" t="str">
        <f aca="false">IF(OR(N214="",O214="",P214=""),"",N214*O214*P214)</f>
        <v/>
      </c>
      <c r="R214" s="14" t="str">
        <f aca="false">IF($C214="","",IF(K214="","Machine not in Setup",IF(H214&gt;G214,"Rejects &gt; total parts",IF(J214&lt;0,"Downtime &gt; planned time",IF(AND(ISNUMBER(O214),O214&gt;1.05),"Performance &gt; 100%: check cycle time or counts","OK")))))</f>
        <v/>
      </c>
    </row>
    <row r="215" customFormat="false" ht="15" hidden="false" customHeight="false" outlineLevel="0" collapsed="false">
      <c r="A215" s="10"/>
      <c r="B215" s="8"/>
      <c r="C215" s="8"/>
      <c r="D215" s="8"/>
      <c r="E215" s="8"/>
      <c r="F215" s="8"/>
      <c r="G215" s="8"/>
      <c r="H215" s="8"/>
      <c r="I215" s="11" t="str">
        <f aca="false">IF($C215="","",D215-E215)</f>
        <v/>
      </c>
      <c r="J215" s="11" t="str">
        <f aca="false">IF($C215="","",I215-F215)</f>
        <v/>
      </c>
      <c r="K215" s="12" t="str">
        <f aca="false">IF($C215="","",IFERROR(INDEX(Setup!$B$5:$B$24,MATCH($C215,Setup!$A$5:$A$24,0)),""))</f>
        <v/>
      </c>
      <c r="L215" s="12" t="str">
        <f aca="false">IF(OR($C215="",K215=""),"",K215*G215/60)</f>
        <v/>
      </c>
      <c r="M215" s="11" t="str">
        <f aca="false">IF($C215="","",G215-H215)</f>
        <v/>
      </c>
      <c r="N215" s="13" t="str">
        <f aca="false">IF($C215="","",IF(I215&lt;=0,"",J215/I215))</f>
        <v/>
      </c>
      <c r="O215" s="13" t="str">
        <f aca="false">IF($C215="","",IF(OR(L215="",J215&lt;=0),"",L215/J215))</f>
        <v/>
      </c>
      <c r="P215" s="13" t="str">
        <f aca="false">IF($C215="","",IF(G215&lt;=0,"",M215/G215))</f>
        <v/>
      </c>
      <c r="Q215" s="13" t="str">
        <f aca="false">IF(OR(N215="",O215="",P215=""),"",N215*O215*P215)</f>
        <v/>
      </c>
      <c r="R215" s="14" t="str">
        <f aca="false">IF($C215="","",IF(K215="","Machine not in Setup",IF(H215&gt;G215,"Rejects &gt; total parts",IF(J215&lt;0,"Downtime &gt; planned time",IF(AND(ISNUMBER(O215),O215&gt;1.05),"Performance &gt; 100%: check cycle time or counts","OK")))))</f>
        <v/>
      </c>
    </row>
    <row r="216" customFormat="false" ht="15" hidden="false" customHeight="false" outlineLevel="0" collapsed="false">
      <c r="A216" s="10"/>
      <c r="B216" s="8"/>
      <c r="C216" s="8"/>
      <c r="D216" s="8"/>
      <c r="E216" s="8"/>
      <c r="F216" s="8"/>
      <c r="G216" s="8"/>
      <c r="H216" s="8"/>
      <c r="I216" s="11" t="str">
        <f aca="false">IF($C216="","",D216-E216)</f>
        <v/>
      </c>
      <c r="J216" s="11" t="str">
        <f aca="false">IF($C216="","",I216-F216)</f>
        <v/>
      </c>
      <c r="K216" s="12" t="str">
        <f aca="false">IF($C216="","",IFERROR(INDEX(Setup!$B$5:$B$24,MATCH($C216,Setup!$A$5:$A$24,0)),""))</f>
        <v/>
      </c>
      <c r="L216" s="12" t="str">
        <f aca="false">IF(OR($C216="",K216=""),"",K216*G216/60)</f>
        <v/>
      </c>
      <c r="M216" s="11" t="str">
        <f aca="false">IF($C216="","",G216-H216)</f>
        <v/>
      </c>
      <c r="N216" s="13" t="str">
        <f aca="false">IF($C216="","",IF(I216&lt;=0,"",J216/I216))</f>
        <v/>
      </c>
      <c r="O216" s="13" t="str">
        <f aca="false">IF($C216="","",IF(OR(L216="",J216&lt;=0),"",L216/J216))</f>
        <v/>
      </c>
      <c r="P216" s="13" t="str">
        <f aca="false">IF($C216="","",IF(G216&lt;=0,"",M216/G216))</f>
        <v/>
      </c>
      <c r="Q216" s="13" t="str">
        <f aca="false">IF(OR(N216="",O216="",P216=""),"",N216*O216*P216)</f>
        <v/>
      </c>
      <c r="R216" s="14" t="str">
        <f aca="false">IF($C216="","",IF(K216="","Machine not in Setup",IF(H216&gt;G216,"Rejects &gt; total parts",IF(J216&lt;0,"Downtime &gt; planned time",IF(AND(ISNUMBER(O216),O216&gt;1.05),"Performance &gt; 100%: check cycle time or counts","OK")))))</f>
        <v/>
      </c>
    </row>
    <row r="217" customFormat="false" ht="15" hidden="false" customHeight="false" outlineLevel="0" collapsed="false">
      <c r="A217" s="10"/>
      <c r="B217" s="8"/>
      <c r="C217" s="8"/>
      <c r="D217" s="8"/>
      <c r="E217" s="8"/>
      <c r="F217" s="8"/>
      <c r="G217" s="8"/>
      <c r="H217" s="8"/>
      <c r="I217" s="11" t="str">
        <f aca="false">IF($C217="","",D217-E217)</f>
        <v/>
      </c>
      <c r="J217" s="11" t="str">
        <f aca="false">IF($C217="","",I217-F217)</f>
        <v/>
      </c>
      <c r="K217" s="12" t="str">
        <f aca="false">IF($C217="","",IFERROR(INDEX(Setup!$B$5:$B$24,MATCH($C217,Setup!$A$5:$A$24,0)),""))</f>
        <v/>
      </c>
      <c r="L217" s="12" t="str">
        <f aca="false">IF(OR($C217="",K217=""),"",K217*G217/60)</f>
        <v/>
      </c>
      <c r="M217" s="11" t="str">
        <f aca="false">IF($C217="","",G217-H217)</f>
        <v/>
      </c>
      <c r="N217" s="13" t="str">
        <f aca="false">IF($C217="","",IF(I217&lt;=0,"",J217/I217))</f>
        <v/>
      </c>
      <c r="O217" s="13" t="str">
        <f aca="false">IF($C217="","",IF(OR(L217="",J217&lt;=0),"",L217/J217))</f>
        <v/>
      </c>
      <c r="P217" s="13" t="str">
        <f aca="false">IF($C217="","",IF(G217&lt;=0,"",M217/G217))</f>
        <v/>
      </c>
      <c r="Q217" s="13" t="str">
        <f aca="false">IF(OR(N217="",O217="",P217=""),"",N217*O217*P217)</f>
        <v/>
      </c>
      <c r="R217" s="14" t="str">
        <f aca="false">IF($C217="","",IF(K217="","Machine not in Setup",IF(H217&gt;G217,"Rejects &gt; total parts",IF(J217&lt;0,"Downtime &gt; planned time",IF(AND(ISNUMBER(O217),O217&gt;1.05),"Performance &gt; 100%: check cycle time or counts","OK")))))</f>
        <v/>
      </c>
    </row>
    <row r="218" customFormat="false" ht="15" hidden="false" customHeight="false" outlineLevel="0" collapsed="false">
      <c r="A218" s="10"/>
      <c r="B218" s="8"/>
      <c r="C218" s="8"/>
      <c r="D218" s="8"/>
      <c r="E218" s="8"/>
      <c r="F218" s="8"/>
      <c r="G218" s="8"/>
      <c r="H218" s="8"/>
      <c r="I218" s="11" t="str">
        <f aca="false">IF($C218="","",D218-E218)</f>
        <v/>
      </c>
      <c r="J218" s="11" t="str">
        <f aca="false">IF($C218="","",I218-F218)</f>
        <v/>
      </c>
      <c r="K218" s="12" t="str">
        <f aca="false">IF($C218="","",IFERROR(INDEX(Setup!$B$5:$B$24,MATCH($C218,Setup!$A$5:$A$24,0)),""))</f>
        <v/>
      </c>
      <c r="L218" s="12" t="str">
        <f aca="false">IF(OR($C218="",K218=""),"",K218*G218/60)</f>
        <v/>
      </c>
      <c r="M218" s="11" t="str">
        <f aca="false">IF($C218="","",G218-H218)</f>
        <v/>
      </c>
      <c r="N218" s="13" t="str">
        <f aca="false">IF($C218="","",IF(I218&lt;=0,"",J218/I218))</f>
        <v/>
      </c>
      <c r="O218" s="13" t="str">
        <f aca="false">IF($C218="","",IF(OR(L218="",J218&lt;=0),"",L218/J218))</f>
        <v/>
      </c>
      <c r="P218" s="13" t="str">
        <f aca="false">IF($C218="","",IF(G218&lt;=0,"",M218/G218))</f>
        <v/>
      </c>
      <c r="Q218" s="13" t="str">
        <f aca="false">IF(OR(N218="",O218="",P218=""),"",N218*O218*P218)</f>
        <v/>
      </c>
      <c r="R218" s="14" t="str">
        <f aca="false">IF($C218="","",IF(K218="","Machine not in Setup",IF(H218&gt;G218,"Rejects &gt; total parts",IF(J218&lt;0,"Downtime &gt; planned time",IF(AND(ISNUMBER(O218),O218&gt;1.05),"Performance &gt; 100%: check cycle time or counts","OK")))))</f>
        <v/>
      </c>
    </row>
    <row r="219" customFormat="false" ht="15" hidden="false" customHeight="false" outlineLevel="0" collapsed="false">
      <c r="A219" s="10"/>
      <c r="B219" s="8"/>
      <c r="C219" s="8"/>
      <c r="D219" s="8"/>
      <c r="E219" s="8"/>
      <c r="F219" s="8"/>
      <c r="G219" s="8"/>
      <c r="H219" s="8"/>
      <c r="I219" s="11" t="str">
        <f aca="false">IF($C219="","",D219-E219)</f>
        <v/>
      </c>
      <c r="J219" s="11" t="str">
        <f aca="false">IF($C219="","",I219-F219)</f>
        <v/>
      </c>
      <c r="K219" s="12" t="str">
        <f aca="false">IF($C219="","",IFERROR(INDEX(Setup!$B$5:$B$24,MATCH($C219,Setup!$A$5:$A$24,0)),""))</f>
        <v/>
      </c>
      <c r="L219" s="12" t="str">
        <f aca="false">IF(OR($C219="",K219=""),"",K219*G219/60)</f>
        <v/>
      </c>
      <c r="M219" s="11" t="str">
        <f aca="false">IF($C219="","",G219-H219)</f>
        <v/>
      </c>
      <c r="N219" s="13" t="str">
        <f aca="false">IF($C219="","",IF(I219&lt;=0,"",J219/I219))</f>
        <v/>
      </c>
      <c r="O219" s="13" t="str">
        <f aca="false">IF($C219="","",IF(OR(L219="",J219&lt;=0),"",L219/J219))</f>
        <v/>
      </c>
      <c r="P219" s="13" t="str">
        <f aca="false">IF($C219="","",IF(G219&lt;=0,"",M219/G219))</f>
        <v/>
      </c>
      <c r="Q219" s="13" t="str">
        <f aca="false">IF(OR(N219="",O219="",P219=""),"",N219*O219*P219)</f>
        <v/>
      </c>
      <c r="R219" s="14" t="str">
        <f aca="false">IF($C219="","",IF(K219="","Machine not in Setup",IF(H219&gt;G219,"Rejects &gt; total parts",IF(J219&lt;0,"Downtime &gt; planned time",IF(AND(ISNUMBER(O219),O219&gt;1.05),"Performance &gt; 100%: check cycle time or counts","OK")))))</f>
        <v/>
      </c>
    </row>
    <row r="220" customFormat="false" ht="15" hidden="false" customHeight="false" outlineLevel="0" collapsed="false">
      <c r="A220" s="10"/>
      <c r="B220" s="8"/>
      <c r="C220" s="8"/>
      <c r="D220" s="8"/>
      <c r="E220" s="8"/>
      <c r="F220" s="8"/>
      <c r="G220" s="8"/>
      <c r="H220" s="8"/>
      <c r="I220" s="11" t="str">
        <f aca="false">IF($C220="","",D220-E220)</f>
        <v/>
      </c>
      <c r="J220" s="11" t="str">
        <f aca="false">IF($C220="","",I220-F220)</f>
        <v/>
      </c>
      <c r="K220" s="12" t="str">
        <f aca="false">IF($C220="","",IFERROR(INDEX(Setup!$B$5:$B$24,MATCH($C220,Setup!$A$5:$A$24,0)),""))</f>
        <v/>
      </c>
      <c r="L220" s="12" t="str">
        <f aca="false">IF(OR($C220="",K220=""),"",K220*G220/60)</f>
        <v/>
      </c>
      <c r="M220" s="11" t="str">
        <f aca="false">IF($C220="","",G220-H220)</f>
        <v/>
      </c>
      <c r="N220" s="13" t="str">
        <f aca="false">IF($C220="","",IF(I220&lt;=0,"",J220/I220))</f>
        <v/>
      </c>
      <c r="O220" s="13" t="str">
        <f aca="false">IF($C220="","",IF(OR(L220="",J220&lt;=0),"",L220/J220))</f>
        <v/>
      </c>
      <c r="P220" s="13" t="str">
        <f aca="false">IF($C220="","",IF(G220&lt;=0,"",M220/G220))</f>
        <v/>
      </c>
      <c r="Q220" s="13" t="str">
        <f aca="false">IF(OR(N220="",O220="",P220=""),"",N220*O220*P220)</f>
        <v/>
      </c>
      <c r="R220" s="14" t="str">
        <f aca="false">IF($C220="","",IF(K220="","Machine not in Setup",IF(H220&gt;G220,"Rejects &gt; total parts",IF(J220&lt;0,"Downtime &gt; planned time",IF(AND(ISNUMBER(O220),O220&gt;1.05),"Performance &gt; 100%: check cycle time or counts","OK")))))</f>
        <v/>
      </c>
    </row>
    <row r="221" customFormat="false" ht="15" hidden="false" customHeight="false" outlineLevel="0" collapsed="false">
      <c r="A221" s="10"/>
      <c r="B221" s="8"/>
      <c r="C221" s="8"/>
      <c r="D221" s="8"/>
      <c r="E221" s="8"/>
      <c r="F221" s="8"/>
      <c r="G221" s="8"/>
      <c r="H221" s="8"/>
      <c r="I221" s="11" t="str">
        <f aca="false">IF($C221="","",D221-E221)</f>
        <v/>
      </c>
      <c r="J221" s="11" t="str">
        <f aca="false">IF($C221="","",I221-F221)</f>
        <v/>
      </c>
      <c r="K221" s="12" t="str">
        <f aca="false">IF($C221="","",IFERROR(INDEX(Setup!$B$5:$B$24,MATCH($C221,Setup!$A$5:$A$24,0)),""))</f>
        <v/>
      </c>
      <c r="L221" s="12" t="str">
        <f aca="false">IF(OR($C221="",K221=""),"",K221*G221/60)</f>
        <v/>
      </c>
      <c r="M221" s="11" t="str">
        <f aca="false">IF($C221="","",G221-H221)</f>
        <v/>
      </c>
      <c r="N221" s="13" t="str">
        <f aca="false">IF($C221="","",IF(I221&lt;=0,"",J221/I221))</f>
        <v/>
      </c>
      <c r="O221" s="13" t="str">
        <f aca="false">IF($C221="","",IF(OR(L221="",J221&lt;=0),"",L221/J221))</f>
        <v/>
      </c>
      <c r="P221" s="13" t="str">
        <f aca="false">IF($C221="","",IF(G221&lt;=0,"",M221/G221))</f>
        <v/>
      </c>
      <c r="Q221" s="13" t="str">
        <f aca="false">IF(OR(N221="",O221="",P221=""),"",N221*O221*P221)</f>
        <v/>
      </c>
      <c r="R221" s="14" t="str">
        <f aca="false">IF($C221="","",IF(K221="","Machine not in Setup",IF(H221&gt;G221,"Rejects &gt; total parts",IF(J221&lt;0,"Downtime &gt; planned time",IF(AND(ISNUMBER(O221),O221&gt;1.05),"Performance &gt; 100%: check cycle time or counts","OK")))))</f>
        <v/>
      </c>
    </row>
    <row r="222" customFormat="false" ht="15" hidden="false" customHeight="false" outlineLevel="0" collapsed="false">
      <c r="A222" s="10"/>
      <c r="B222" s="8"/>
      <c r="C222" s="8"/>
      <c r="D222" s="8"/>
      <c r="E222" s="8"/>
      <c r="F222" s="8"/>
      <c r="G222" s="8"/>
      <c r="H222" s="8"/>
      <c r="I222" s="11" t="str">
        <f aca="false">IF($C222="","",D222-E222)</f>
        <v/>
      </c>
      <c r="J222" s="11" t="str">
        <f aca="false">IF($C222="","",I222-F222)</f>
        <v/>
      </c>
      <c r="K222" s="12" t="str">
        <f aca="false">IF($C222="","",IFERROR(INDEX(Setup!$B$5:$B$24,MATCH($C222,Setup!$A$5:$A$24,0)),""))</f>
        <v/>
      </c>
      <c r="L222" s="12" t="str">
        <f aca="false">IF(OR($C222="",K222=""),"",K222*G222/60)</f>
        <v/>
      </c>
      <c r="M222" s="11" t="str">
        <f aca="false">IF($C222="","",G222-H222)</f>
        <v/>
      </c>
      <c r="N222" s="13" t="str">
        <f aca="false">IF($C222="","",IF(I222&lt;=0,"",J222/I222))</f>
        <v/>
      </c>
      <c r="O222" s="13" t="str">
        <f aca="false">IF($C222="","",IF(OR(L222="",J222&lt;=0),"",L222/J222))</f>
        <v/>
      </c>
      <c r="P222" s="13" t="str">
        <f aca="false">IF($C222="","",IF(G222&lt;=0,"",M222/G222))</f>
        <v/>
      </c>
      <c r="Q222" s="13" t="str">
        <f aca="false">IF(OR(N222="",O222="",P222=""),"",N222*O222*P222)</f>
        <v/>
      </c>
      <c r="R222" s="14" t="str">
        <f aca="false">IF($C222="","",IF(K222="","Machine not in Setup",IF(H222&gt;G222,"Rejects &gt; total parts",IF(J222&lt;0,"Downtime &gt; planned time",IF(AND(ISNUMBER(O222),O222&gt;1.05),"Performance &gt; 100%: check cycle time or counts","OK")))))</f>
        <v/>
      </c>
    </row>
    <row r="223" customFormat="false" ht="15" hidden="false" customHeight="false" outlineLevel="0" collapsed="false">
      <c r="A223" s="10"/>
      <c r="B223" s="8"/>
      <c r="C223" s="8"/>
      <c r="D223" s="8"/>
      <c r="E223" s="8"/>
      <c r="F223" s="8"/>
      <c r="G223" s="8"/>
      <c r="H223" s="8"/>
      <c r="I223" s="11" t="str">
        <f aca="false">IF($C223="","",D223-E223)</f>
        <v/>
      </c>
      <c r="J223" s="11" t="str">
        <f aca="false">IF($C223="","",I223-F223)</f>
        <v/>
      </c>
      <c r="K223" s="12" t="str">
        <f aca="false">IF($C223="","",IFERROR(INDEX(Setup!$B$5:$B$24,MATCH($C223,Setup!$A$5:$A$24,0)),""))</f>
        <v/>
      </c>
      <c r="L223" s="12" t="str">
        <f aca="false">IF(OR($C223="",K223=""),"",K223*G223/60)</f>
        <v/>
      </c>
      <c r="M223" s="11" t="str">
        <f aca="false">IF($C223="","",G223-H223)</f>
        <v/>
      </c>
      <c r="N223" s="13" t="str">
        <f aca="false">IF($C223="","",IF(I223&lt;=0,"",J223/I223))</f>
        <v/>
      </c>
      <c r="O223" s="13" t="str">
        <f aca="false">IF($C223="","",IF(OR(L223="",J223&lt;=0),"",L223/J223))</f>
        <v/>
      </c>
      <c r="P223" s="13" t="str">
        <f aca="false">IF($C223="","",IF(G223&lt;=0,"",M223/G223))</f>
        <v/>
      </c>
      <c r="Q223" s="13" t="str">
        <f aca="false">IF(OR(N223="",O223="",P223=""),"",N223*O223*P223)</f>
        <v/>
      </c>
      <c r="R223" s="14" t="str">
        <f aca="false">IF($C223="","",IF(K223="","Machine not in Setup",IF(H223&gt;G223,"Rejects &gt; total parts",IF(J223&lt;0,"Downtime &gt; planned time",IF(AND(ISNUMBER(O223),O223&gt;1.05),"Performance &gt; 100%: check cycle time or counts","OK")))))</f>
        <v/>
      </c>
    </row>
    <row r="224" customFormat="false" ht="15" hidden="false" customHeight="false" outlineLevel="0" collapsed="false">
      <c r="A224" s="10"/>
      <c r="B224" s="8"/>
      <c r="C224" s="8"/>
      <c r="D224" s="8"/>
      <c r="E224" s="8"/>
      <c r="F224" s="8"/>
      <c r="G224" s="8"/>
      <c r="H224" s="8"/>
      <c r="I224" s="11" t="str">
        <f aca="false">IF($C224="","",D224-E224)</f>
        <v/>
      </c>
      <c r="J224" s="11" t="str">
        <f aca="false">IF($C224="","",I224-F224)</f>
        <v/>
      </c>
      <c r="K224" s="12" t="str">
        <f aca="false">IF($C224="","",IFERROR(INDEX(Setup!$B$5:$B$24,MATCH($C224,Setup!$A$5:$A$24,0)),""))</f>
        <v/>
      </c>
      <c r="L224" s="12" t="str">
        <f aca="false">IF(OR($C224="",K224=""),"",K224*G224/60)</f>
        <v/>
      </c>
      <c r="M224" s="11" t="str">
        <f aca="false">IF($C224="","",G224-H224)</f>
        <v/>
      </c>
      <c r="N224" s="13" t="str">
        <f aca="false">IF($C224="","",IF(I224&lt;=0,"",J224/I224))</f>
        <v/>
      </c>
      <c r="O224" s="13" t="str">
        <f aca="false">IF($C224="","",IF(OR(L224="",J224&lt;=0),"",L224/J224))</f>
        <v/>
      </c>
      <c r="P224" s="13" t="str">
        <f aca="false">IF($C224="","",IF(G224&lt;=0,"",M224/G224))</f>
        <v/>
      </c>
      <c r="Q224" s="13" t="str">
        <f aca="false">IF(OR(N224="",O224="",P224=""),"",N224*O224*P224)</f>
        <v/>
      </c>
      <c r="R224" s="14" t="str">
        <f aca="false">IF($C224="","",IF(K224="","Machine not in Setup",IF(H224&gt;G224,"Rejects &gt; total parts",IF(J224&lt;0,"Downtime &gt; planned time",IF(AND(ISNUMBER(O224),O224&gt;1.05),"Performance &gt; 100%: check cycle time or counts","OK")))))</f>
        <v/>
      </c>
    </row>
    <row r="225" customFormat="false" ht="15" hidden="false" customHeight="false" outlineLevel="0" collapsed="false">
      <c r="A225" s="10"/>
      <c r="B225" s="8"/>
      <c r="C225" s="8"/>
      <c r="D225" s="8"/>
      <c r="E225" s="8"/>
      <c r="F225" s="8"/>
      <c r="G225" s="8"/>
      <c r="H225" s="8"/>
      <c r="I225" s="11" t="str">
        <f aca="false">IF($C225="","",D225-E225)</f>
        <v/>
      </c>
      <c r="J225" s="11" t="str">
        <f aca="false">IF($C225="","",I225-F225)</f>
        <v/>
      </c>
      <c r="K225" s="12" t="str">
        <f aca="false">IF($C225="","",IFERROR(INDEX(Setup!$B$5:$B$24,MATCH($C225,Setup!$A$5:$A$24,0)),""))</f>
        <v/>
      </c>
      <c r="L225" s="12" t="str">
        <f aca="false">IF(OR($C225="",K225=""),"",K225*G225/60)</f>
        <v/>
      </c>
      <c r="M225" s="11" t="str">
        <f aca="false">IF($C225="","",G225-H225)</f>
        <v/>
      </c>
      <c r="N225" s="13" t="str">
        <f aca="false">IF($C225="","",IF(I225&lt;=0,"",J225/I225))</f>
        <v/>
      </c>
      <c r="O225" s="13" t="str">
        <f aca="false">IF($C225="","",IF(OR(L225="",J225&lt;=0),"",L225/J225))</f>
        <v/>
      </c>
      <c r="P225" s="13" t="str">
        <f aca="false">IF($C225="","",IF(G225&lt;=0,"",M225/G225))</f>
        <v/>
      </c>
      <c r="Q225" s="13" t="str">
        <f aca="false">IF(OR(N225="",O225="",P225=""),"",N225*O225*P225)</f>
        <v/>
      </c>
      <c r="R225" s="14" t="str">
        <f aca="false">IF($C225="","",IF(K225="","Machine not in Setup",IF(H225&gt;G225,"Rejects &gt; total parts",IF(J225&lt;0,"Downtime &gt; planned time",IF(AND(ISNUMBER(O225),O225&gt;1.05),"Performance &gt; 100%: check cycle time or counts","OK")))))</f>
        <v/>
      </c>
    </row>
    <row r="226" customFormat="false" ht="15" hidden="false" customHeight="false" outlineLevel="0" collapsed="false">
      <c r="A226" s="10"/>
      <c r="B226" s="8"/>
      <c r="C226" s="8"/>
      <c r="D226" s="8"/>
      <c r="E226" s="8"/>
      <c r="F226" s="8"/>
      <c r="G226" s="8"/>
      <c r="H226" s="8"/>
      <c r="I226" s="11" t="str">
        <f aca="false">IF($C226="","",D226-E226)</f>
        <v/>
      </c>
      <c r="J226" s="11" t="str">
        <f aca="false">IF($C226="","",I226-F226)</f>
        <v/>
      </c>
      <c r="K226" s="12" t="str">
        <f aca="false">IF($C226="","",IFERROR(INDEX(Setup!$B$5:$B$24,MATCH($C226,Setup!$A$5:$A$24,0)),""))</f>
        <v/>
      </c>
      <c r="L226" s="12" t="str">
        <f aca="false">IF(OR($C226="",K226=""),"",K226*G226/60)</f>
        <v/>
      </c>
      <c r="M226" s="11" t="str">
        <f aca="false">IF($C226="","",G226-H226)</f>
        <v/>
      </c>
      <c r="N226" s="13" t="str">
        <f aca="false">IF($C226="","",IF(I226&lt;=0,"",J226/I226))</f>
        <v/>
      </c>
      <c r="O226" s="13" t="str">
        <f aca="false">IF($C226="","",IF(OR(L226="",J226&lt;=0),"",L226/J226))</f>
        <v/>
      </c>
      <c r="P226" s="13" t="str">
        <f aca="false">IF($C226="","",IF(G226&lt;=0,"",M226/G226))</f>
        <v/>
      </c>
      <c r="Q226" s="13" t="str">
        <f aca="false">IF(OR(N226="",O226="",P226=""),"",N226*O226*P226)</f>
        <v/>
      </c>
      <c r="R226" s="14" t="str">
        <f aca="false">IF($C226="","",IF(K226="","Machine not in Setup",IF(H226&gt;G226,"Rejects &gt; total parts",IF(J226&lt;0,"Downtime &gt; planned time",IF(AND(ISNUMBER(O226),O226&gt;1.05),"Performance &gt; 100%: check cycle time or counts","OK")))))</f>
        <v/>
      </c>
    </row>
    <row r="227" customFormat="false" ht="15" hidden="false" customHeight="false" outlineLevel="0" collapsed="false">
      <c r="A227" s="10"/>
      <c r="B227" s="8"/>
      <c r="C227" s="8"/>
      <c r="D227" s="8"/>
      <c r="E227" s="8"/>
      <c r="F227" s="8"/>
      <c r="G227" s="8"/>
      <c r="H227" s="8"/>
      <c r="I227" s="11" t="str">
        <f aca="false">IF($C227="","",D227-E227)</f>
        <v/>
      </c>
      <c r="J227" s="11" t="str">
        <f aca="false">IF($C227="","",I227-F227)</f>
        <v/>
      </c>
      <c r="K227" s="12" t="str">
        <f aca="false">IF($C227="","",IFERROR(INDEX(Setup!$B$5:$B$24,MATCH($C227,Setup!$A$5:$A$24,0)),""))</f>
        <v/>
      </c>
      <c r="L227" s="12" t="str">
        <f aca="false">IF(OR($C227="",K227=""),"",K227*G227/60)</f>
        <v/>
      </c>
      <c r="M227" s="11" t="str">
        <f aca="false">IF($C227="","",G227-H227)</f>
        <v/>
      </c>
      <c r="N227" s="13" t="str">
        <f aca="false">IF($C227="","",IF(I227&lt;=0,"",J227/I227))</f>
        <v/>
      </c>
      <c r="O227" s="13" t="str">
        <f aca="false">IF($C227="","",IF(OR(L227="",J227&lt;=0),"",L227/J227))</f>
        <v/>
      </c>
      <c r="P227" s="13" t="str">
        <f aca="false">IF($C227="","",IF(G227&lt;=0,"",M227/G227))</f>
        <v/>
      </c>
      <c r="Q227" s="13" t="str">
        <f aca="false">IF(OR(N227="",O227="",P227=""),"",N227*O227*P227)</f>
        <v/>
      </c>
      <c r="R227" s="14" t="str">
        <f aca="false">IF($C227="","",IF(K227="","Machine not in Setup",IF(H227&gt;G227,"Rejects &gt; total parts",IF(J227&lt;0,"Downtime &gt; planned time",IF(AND(ISNUMBER(O227),O227&gt;1.05),"Performance &gt; 100%: check cycle time or counts","OK")))))</f>
        <v/>
      </c>
    </row>
    <row r="228" customFormat="false" ht="15" hidden="false" customHeight="false" outlineLevel="0" collapsed="false">
      <c r="A228" s="10"/>
      <c r="B228" s="8"/>
      <c r="C228" s="8"/>
      <c r="D228" s="8"/>
      <c r="E228" s="8"/>
      <c r="F228" s="8"/>
      <c r="G228" s="8"/>
      <c r="H228" s="8"/>
      <c r="I228" s="11" t="str">
        <f aca="false">IF($C228="","",D228-E228)</f>
        <v/>
      </c>
      <c r="J228" s="11" t="str">
        <f aca="false">IF($C228="","",I228-F228)</f>
        <v/>
      </c>
      <c r="K228" s="12" t="str">
        <f aca="false">IF($C228="","",IFERROR(INDEX(Setup!$B$5:$B$24,MATCH($C228,Setup!$A$5:$A$24,0)),""))</f>
        <v/>
      </c>
      <c r="L228" s="12" t="str">
        <f aca="false">IF(OR($C228="",K228=""),"",K228*G228/60)</f>
        <v/>
      </c>
      <c r="M228" s="11" t="str">
        <f aca="false">IF($C228="","",G228-H228)</f>
        <v/>
      </c>
      <c r="N228" s="13" t="str">
        <f aca="false">IF($C228="","",IF(I228&lt;=0,"",J228/I228))</f>
        <v/>
      </c>
      <c r="O228" s="13" t="str">
        <f aca="false">IF($C228="","",IF(OR(L228="",J228&lt;=0),"",L228/J228))</f>
        <v/>
      </c>
      <c r="P228" s="13" t="str">
        <f aca="false">IF($C228="","",IF(G228&lt;=0,"",M228/G228))</f>
        <v/>
      </c>
      <c r="Q228" s="13" t="str">
        <f aca="false">IF(OR(N228="",O228="",P228=""),"",N228*O228*P228)</f>
        <v/>
      </c>
      <c r="R228" s="14" t="str">
        <f aca="false">IF($C228="","",IF(K228="","Machine not in Setup",IF(H228&gt;G228,"Rejects &gt; total parts",IF(J228&lt;0,"Downtime &gt; planned time",IF(AND(ISNUMBER(O228),O228&gt;1.05),"Performance &gt; 100%: check cycle time or counts","OK")))))</f>
        <v/>
      </c>
    </row>
    <row r="229" customFormat="false" ht="15" hidden="false" customHeight="false" outlineLevel="0" collapsed="false">
      <c r="A229" s="10"/>
      <c r="B229" s="8"/>
      <c r="C229" s="8"/>
      <c r="D229" s="8"/>
      <c r="E229" s="8"/>
      <c r="F229" s="8"/>
      <c r="G229" s="8"/>
      <c r="H229" s="8"/>
      <c r="I229" s="11" t="str">
        <f aca="false">IF($C229="","",D229-E229)</f>
        <v/>
      </c>
      <c r="J229" s="11" t="str">
        <f aca="false">IF($C229="","",I229-F229)</f>
        <v/>
      </c>
      <c r="K229" s="12" t="str">
        <f aca="false">IF($C229="","",IFERROR(INDEX(Setup!$B$5:$B$24,MATCH($C229,Setup!$A$5:$A$24,0)),""))</f>
        <v/>
      </c>
      <c r="L229" s="12" t="str">
        <f aca="false">IF(OR($C229="",K229=""),"",K229*G229/60)</f>
        <v/>
      </c>
      <c r="M229" s="11" t="str">
        <f aca="false">IF($C229="","",G229-H229)</f>
        <v/>
      </c>
      <c r="N229" s="13" t="str">
        <f aca="false">IF($C229="","",IF(I229&lt;=0,"",J229/I229))</f>
        <v/>
      </c>
      <c r="O229" s="13" t="str">
        <f aca="false">IF($C229="","",IF(OR(L229="",J229&lt;=0),"",L229/J229))</f>
        <v/>
      </c>
      <c r="P229" s="13" t="str">
        <f aca="false">IF($C229="","",IF(G229&lt;=0,"",M229/G229))</f>
        <v/>
      </c>
      <c r="Q229" s="13" t="str">
        <f aca="false">IF(OR(N229="",O229="",P229=""),"",N229*O229*P229)</f>
        <v/>
      </c>
      <c r="R229" s="14" t="str">
        <f aca="false">IF($C229="","",IF(K229="","Machine not in Setup",IF(H229&gt;G229,"Rejects &gt; total parts",IF(J229&lt;0,"Downtime &gt; planned time",IF(AND(ISNUMBER(O229),O229&gt;1.05),"Performance &gt; 100%: check cycle time or counts","OK")))))</f>
        <v/>
      </c>
    </row>
    <row r="230" customFormat="false" ht="15" hidden="false" customHeight="false" outlineLevel="0" collapsed="false">
      <c r="A230" s="10"/>
      <c r="B230" s="8"/>
      <c r="C230" s="8"/>
      <c r="D230" s="8"/>
      <c r="E230" s="8"/>
      <c r="F230" s="8"/>
      <c r="G230" s="8"/>
      <c r="H230" s="8"/>
      <c r="I230" s="11" t="str">
        <f aca="false">IF($C230="","",D230-E230)</f>
        <v/>
      </c>
      <c r="J230" s="11" t="str">
        <f aca="false">IF($C230="","",I230-F230)</f>
        <v/>
      </c>
      <c r="K230" s="12" t="str">
        <f aca="false">IF($C230="","",IFERROR(INDEX(Setup!$B$5:$B$24,MATCH($C230,Setup!$A$5:$A$24,0)),""))</f>
        <v/>
      </c>
      <c r="L230" s="12" t="str">
        <f aca="false">IF(OR($C230="",K230=""),"",K230*G230/60)</f>
        <v/>
      </c>
      <c r="M230" s="11" t="str">
        <f aca="false">IF($C230="","",G230-H230)</f>
        <v/>
      </c>
      <c r="N230" s="13" t="str">
        <f aca="false">IF($C230="","",IF(I230&lt;=0,"",J230/I230))</f>
        <v/>
      </c>
      <c r="O230" s="13" t="str">
        <f aca="false">IF($C230="","",IF(OR(L230="",J230&lt;=0),"",L230/J230))</f>
        <v/>
      </c>
      <c r="P230" s="13" t="str">
        <f aca="false">IF($C230="","",IF(G230&lt;=0,"",M230/G230))</f>
        <v/>
      </c>
      <c r="Q230" s="13" t="str">
        <f aca="false">IF(OR(N230="",O230="",P230=""),"",N230*O230*P230)</f>
        <v/>
      </c>
      <c r="R230" s="14" t="str">
        <f aca="false">IF($C230="","",IF(K230="","Machine not in Setup",IF(H230&gt;G230,"Rejects &gt; total parts",IF(J230&lt;0,"Downtime &gt; planned time",IF(AND(ISNUMBER(O230),O230&gt;1.05),"Performance &gt; 100%: check cycle time or counts","OK")))))</f>
        <v/>
      </c>
    </row>
    <row r="231" customFormat="false" ht="15" hidden="false" customHeight="false" outlineLevel="0" collapsed="false">
      <c r="A231" s="10"/>
      <c r="B231" s="8"/>
      <c r="C231" s="8"/>
      <c r="D231" s="8"/>
      <c r="E231" s="8"/>
      <c r="F231" s="8"/>
      <c r="G231" s="8"/>
      <c r="H231" s="8"/>
      <c r="I231" s="11" t="str">
        <f aca="false">IF($C231="","",D231-E231)</f>
        <v/>
      </c>
      <c r="J231" s="11" t="str">
        <f aca="false">IF($C231="","",I231-F231)</f>
        <v/>
      </c>
      <c r="K231" s="12" t="str">
        <f aca="false">IF($C231="","",IFERROR(INDEX(Setup!$B$5:$B$24,MATCH($C231,Setup!$A$5:$A$24,0)),""))</f>
        <v/>
      </c>
      <c r="L231" s="12" t="str">
        <f aca="false">IF(OR($C231="",K231=""),"",K231*G231/60)</f>
        <v/>
      </c>
      <c r="M231" s="11" t="str">
        <f aca="false">IF($C231="","",G231-H231)</f>
        <v/>
      </c>
      <c r="N231" s="13" t="str">
        <f aca="false">IF($C231="","",IF(I231&lt;=0,"",J231/I231))</f>
        <v/>
      </c>
      <c r="O231" s="13" t="str">
        <f aca="false">IF($C231="","",IF(OR(L231="",J231&lt;=0),"",L231/J231))</f>
        <v/>
      </c>
      <c r="P231" s="13" t="str">
        <f aca="false">IF($C231="","",IF(G231&lt;=0,"",M231/G231))</f>
        <v/>
      </c>
      <c r="Q231" s="13" t="str">
        <f aca="false">IF(OR(N231="",O231="",P231=""),"",N231*O231*P231)</f>
        <v/>
      </c>
      <c r="R231" s="14" t="str">
        <f aca="false">IF($C231="","",IF(K231="","Machine not in Setup",IF(H231&gt;G231,"Rejects &gt; total parts",IF(J231&lt;0,"Downtime &gt; planned time",IF(AND(ISNUMBER(O231),O231&gt;1.05),"Performance &gt; 100%: check cycle time or counts","OK")))))</f>
        <v/>
      </c>
    </row>
    <row r="232" customFormat="false" ht="15" hidden="false" customHeight="false" outlineLevel="0" collapsed="false">
      <c r="A232" s="10"/>
      <c r="B232" s="8"/>
      <c r="C232" s="8"/>
      <c r="D232" s="8"/>
      <c r="E232" s="8"/>
      <c r="F232" s="8"/>
      <c r="G232" s="8"/>
      <c r="H232" s="8"/>
      <c r="I232" s="11" t="str">
        <f aca="false">IF($C232="","",D232-E232)</f>
        <v/>
      </c>
      <c r="J232" s="11" t="str">
        <f aca="false">IF($C232="","",I232-F232)</f>
        <v/>
      </c>
      <c r="K232" s="12" t="str">
        <f aca="false">IF($C232="","",IFERROR(INDEX(Setup!$B$5:$B$24,MATCH($C232,Setup!$A$5:$A$24,0)),""))</f>
        <v/>
      </c>
      <c r="L232" s="12" t="str">
        <f aca="false">IF(OR($C232="",K232=""),"",K232*G232/60)</f>
        <v/>
      </c>
      <c r="M232" s="11" t="str">
        <f aca="false">IF($C232="","",G232-H232)</f>
        <v/>
      </c>
      <c r="N232" s="13" t="str">
        <f aca="false">IF($C232="","",IF(I232&lt;=0,"",J232/I232))</f>
        <v/>
      </c>
      <c r="O232" s="13" t="str">
        <f aca="false">IF($C232="","",IF(OR(L232="",J232&lt;=0),"",L232/J232))</f>
        <v/>
      </c>
      <c r="P232" s="13" t="str">
        <f aca="false">IF($C232="","",IF(G232&lt;=0,"",M232/G232))</f>
        <v/>
      </c>
      <c r="Q232" s="13" t="str">
        <f aca="false">IF(OR(N232="",O232="",P232=""),"",N232*O232*P232)</f>
        <v/>
      </c>
      <c r="R232" s="14" t="str">
        <f aca="false">IF($C232="","",IF(K232="","Machine not in Setup",IF(H232&gt;G232,"Rejects &gt; total parts",IF(J232&lt;0,"Downtime &gt; planned time",IF(AND(ISNUMBER(O232),O232&gt;1.05),"Performance &gt; 100%: check cycle time or counts","OK")))))</f>
        <v/>
      </c>
    </row>
    <row r="233" customFormat="false" ht="15" hidden="false" customHeight="false" outlineLevel="0" collapsed="false">
      <c r="A233" s="10"/>
      <c r="B233" s="8"/>
      <c r="C233" s="8"/>
      <c r="D233" s="8"/>
      <c r="E233" s="8"/>
      <c r="F233" s="8"/>
      <c r="G233" s="8"/>
      <c r="H233" s="8"/>
      <c r="I233" s="11" t="str">
        <f aca="false">IF($C233="","",D233-E233)</f>
        <v/>
      </c>
      <c r="J233" s="11" t="str">
        <f aca="false">IF($C233="","",I233-F233)</f>
        <v/>
      </c>
      <c r="K233" s="12" t="str">
        <f aca="false">IF($C233="","",IFERROR(INDEX(Setup!$B$5:$B$24,MATCH($C233,Setup!$A$5:$A$24,0)),""))</f>
        <v/>
      </c>
      <c r="L233" s="12" t="str">
        <f aca="false">IF(OR($C233="",K233=""),"",K233*G233/60)</f>
        <v/>
      </c>
      <c r="M233" s="11" t="str">
        <f aca="false">IF($C233="","",G233-H233)</f>
        <v/>
      </c>
      <c r="N233" s="13" t="str">
        <f aca="false">IF($C233="","",IF(I233&lt;=0,"",J233/I233))</f>
        <v/>
      </c>
      <c r="O233" s="13" t="str">
        <f aca="false">IF($C233="","",IF(OR(L233="",J233&lt;=0),"",L233/J233))</f>
        <v/>
      </c>
      <c r="P233" s="13" t="str">
        <f aca="false">IF($C233="","",IF(G233&lt;=0,"",M233/G233))</f>
        <v/>
      </c>
      <c r="Q233" s="13" t="str">
        <f aca="false">IF(OR(N233="",O233="",P233=""),"",N233*O233*P233)</f>
        <v/>
      </c>
      <c r="R233" s="14" t="str">
        <f aca="false">IF($C233="","",IF(K233="","Machine not in Setup",IF(H233&gt;G233,"Rejects &gt; total parts",IF(J233&lt;0,"Downtime &gt; planned time",IF(AND(ISNUMBER(O233),O233&gt;1.05),"Performance &gt; 100%: check cycle time or counts","OK")))))</f>
        <v/>
      </c>
    </row>
    <row r="234" customFormat="false" ht="15" hidden="false" customHeight="false" outlineLevel="0" collapsed="false">
      <c r="A234" s="10"/>
      <c r="B234" s="8"/>
      <c r="C234" s="8"/>
      <c r="D234" s="8"/>
      <c r="E234" s="8"/>
      <c r="F234" s="8"/>
      <c r="G234" s="8"/>
      <c r="H234" s="8"/>
      <c r="I234" s="11" t="str">
        <f aca="false">IF($C234="","",D234-E234)</f>
        <v/>
      </c>
      <c r="J234" s="11" t="str">
        <f aca="false">IF($C234="","",I234-F234)</f>
        <v/>
      </c>
      <c r="K234" s="12" t="str">
        <f aca="false">IF($C234="","",IFERROR(INDEX(Setup!$B$5:$B$24,MATCH($C234,Setup!$A$5:$A$24,0)),""))</f>
        <v/>
      </c>
      <c r="L234" s="12" t="str">
        <f aca="false">IF(OR($C234="",K234=""),"",K234*G234/60)</f>
        <v/>
      </c>
      <c r="M234" s="11" t="str">
        <f aca="false">IF($C234="","",G234-H234)</f>
        <v/>
      </c>
      <c r="N234" s="13" t="str">
        <f aca="false">IF($C234="","",IF(I234&lt;=0,"",J234/I234))</f>
        <v/>
      </c>
      <c r="O234" s="13" t="str">
        <f aca="false">IF($C234="","",IF(OR(L234="",J234&lt;=0),"",L234/J234))</f>
        <v/>
      </c>
      <c r="P234" s="13" t="str">
        <f aca="false">IF($C234="","",IF(G234&lt;=0,"",M234/G234))</f>
        <v/>
      </c>
      <c r="Q234" s="13" t="str">
        <f aca="false">IF(OR(N234="",O234="",P234=""),"",N234*O234*P234)</f>
        <v/>
      </c>
      <c r="R234" s="14" t="str">
        <f aca="false">IF($C234="","",IF(K234="","Machine not in Setup",IF(H234&gt;G234,"Rejects &gt; total parts",IF(J234&lt;0,"Downtime &gt; planned time",IF(AND(ISNUMBER(O234),O234&gt;1.05),"Performance &gt; 100%: check cycle time or counts","OK")))))</f>
        <v/>
      </c>
    </row>
    <row r="235" customFormat="false" ht="15" hidden="false" customHeight="false" outlineLevel="0" collapsed="false">
      <c r="A235" s="10"/>
      <c r="B235" s="8"/>
      <c r="C235" s="8"/>
      <c r="D235" s="8"/>
      <c r="E235" s="8"/>
      <c r="F235" s="8"/>
      <c r="G235" s="8"/>
      <c r="H235" s="8"/>
      <c r="I235" s="11" t="str">
        <f aca="false">IF($C235="","",D235-E235)</f>
        <v/>
      </c>
      <c r="J235" s="11" t="str">
        <f aca="false">IF($C235="","",I235-F235)</f>
        <v/>
      </c>
      <c r="K235" s="12" t="str">
        <f aca="false">IF($C235="","",IFERROR(INDEX(Setup!$B$5:$B$24,MATCH($C235,Setup!$A$5:$A$24,0)),""))</f>
        <v/>
      </c>
      <c r="L235" s="12" t="str">
        <f aca="false">IF(OR($C235="",K235=""),"",K235*G235/60)</f>
        <v/>
      </c>
      <c r="M235" s="11" t="str">
        <f aca="false">IF($C235="","",G235-H235)</f>
        <v/>
      </c>
      <c r="N235" s="13" t="str">
        <f aca="false">IF($C235="","",IF(I235&lt;=0,"",J235/I235))</f>
        <v/>
      </c>
      <c r="O235" s="13" t="str">
        <f aca="false">IF($C235="","",IF(OR(L235="",J235&lt;=0),"",L235/J235))</f>
        <v/>
      </c>
      <c r="P235" s="13" t="str">
        <f aca="false">IF($C235="","",IF(G235&lt;=0,"",M235/G235))</f>
        <v/>
      </c>
      <c r="Q235" s="13" t="str">
        <f aca="false">IF(OR(N235="",O235="",P235=""),"",N235*O235*P235)</f>
        <v/>
      </c>
      <c r="R235" s="14" t="str">
        <f aca="false">IF($C235="","",IF(K235="","Machine not in Setup",IF(H235&gt;G235,"Rejects &gt; total parts",IF(J235&lt;0,"Downtime &gt; planned time",IF(AND(ISNUMBER(O235),O235&gt;1.05),"Performance &gt; 100%: check cycle time or counts","OK")))))</f>
        <v/>
      </c>
    </row>
    <row r="236" customFormat="false" ht="15" hidden="false" customHeight="false" outlineLevel="0" collapsed="false">
      <c r="A236" s="10"/>
      <c r="B236" s="8"/>
      <c r="C236" s="8"/>
      <c r="D236" s="8"/>
      <c r="E236" s="8"/>
      <c r="F236" s="8"/>
      <c r="G236" s="8"/>
      <c r="H236" s="8"/>
      <c r="I236" s="11" t="str">
        <f aca="false">IF($C236="","",D236-E236)</f>
        <v/>
      </c>
      <c r="J236" s="11" t="str">
        <f aca="false">IF($C236="","",I236-F236)</f>
        <v/>
      </c>
      <c r="K236" s="12" t="str">
        <f aca="false">IF($C236="","",IFERROR(INDEX(Setup!$B$5:$B$24,MATCH($C236,Setup!$A$5:$A$24,0)),""))</f>
        <v/>
      </c>
      <c r="L236" s="12" t="str">
        <f aca="false">IF(OR($C236="",K236=""),"",K236*G236/60)</f>
        <v/>
      </c>
      <c r="M236" s="11" t="str">
        <f aca="false">IF($C236="","",G236-H236)</f>
        <v/>
      </c>
      <c r="N236" s="13" t="str">
        <f aca="false">IF($C236="","",IF(I236&lt;=0,"",J236/I236))</f>
        <v/>
      </c>
      <c r="O236" s="13" t="str">
        <f aca="false">IF($C236="","",IF(OR(L236="",J236&lt;=0),"",L236/J236))</f>
        <v/>
      </c>
      <c r="P236" s="13" t="str">
        <f aca="false">IF($C236="","",IF(G236&lt;=0,"",M236/G236))</f>
        <v/>
      </c>
      <c r="Q236" s="13" t="str">
        <f aca="false">IF(OR(N236="",O236="",P236=""),"",N236*O236*P236)</f>
        <v/>
      </c>
      <c r="R236" s="14" t="str">
        <f aca="false">IF($C236="","",IF(K236="","Machine not in Setup",IF(H236&gt;G236,"Rejects &gt; total parts",IF(J236&lt;0,"Downtime &gt; planned time",IF(AND(ISNUMBER(O236),O236&gt;1.05),"Performance &gt; 100%: check cycle time or counts","OK")))))</f>
        <v/>
      </c>
    </row>
    <row r="237" customFormat="false" ht="15" hidden="false" customHeight="false" outlineLevel="0" collapsed="false">
      <c r="A237" s="10"/>
      <c r="B237" s="8"/>
      <c r="C237" s="8"/>
      <c r="D237" s="8"/>
      <c r="E237" s="8"/>
      <c r="F237" s="8"/>
      <c r="G237" s="8"/>
      <c r="H237" s="8"/>
      <c r="I237" s="11" t="str">
        <f aca="false">IF($C237="","",D237-E237)</f>
        <v/>
      </c>
      <c r="J237" s="11" t="str">
        <f aca="false">IF($C237="","",I237-F237)</f>
        <v/>
      </c>
      <c r="K237" s="12" t="str">
        <f aca="false">IF($C237="","",IFERROR(INDEX(Setup!$B$5:$B$24,MATCH($C237,Setup!$A$5:$A$24,0)),""))</f>
        <v/>
      </c>
      <c r="L237" s="12" t="str">
        <f aca="false">IF(OR($C237="",K237=""),"",K237*G237/60)</f>
        <v/>
      </c>
      <c r="M237" s="11" t="str">
        <f aca="false">IF($C237="","",G237-H237)</f>
        <v/>
      </c>
      <c r="N237" s="13" t="str">
        <f aca="false">IF($C237="","",IF(I237&lt;=0,"",J237/I237))</f>
        <v/>
      </c>
      <c r="O237" s="13" t="str">
        <f aca="false">IF($C237="","",IF(OR(L237="",J237&lt;=0),"",L237/J237))</f>
        <v/>
      </c>
      <c r="P237" s="13" t="str">
        <f aca="false">IF($C237="","",IF(G237&lt;=0,"",M237/G237))</f>
        <v/>
      </c>
      <c r="Q237" s="13" t="str">
        <f aca="false">IF(OR(N237="",O237="",P237=""),"",N237*O237*P237)</f>
        <v/>
      </c>
      <c r="R237" s="14" t="str">
        <f aca="false">IF($C237="","",IF(K237="","Machine not in Setup",IF(H237&gt;G237,"Rejects &gt; total parts",IF(J237&lt;0,"Downtime &gt; planned time",IF(AND(ISNUMBER(O237),O237&gt;1.05),"Performance &gt; 100%: check cycle time or counts","OK")))))</f>
        <v/>
      </c>
    </row>
    <row r="238" customFormat="false" ht="15" hidden="false" customHeight="false" outlineLevel="0" collapsed="false">
      <c r="A238" s="10"/>
      <c r="B238" s="8"/>
      <c r="C238" s="8"/>
      <c r="D238" s="8"/>
      <c r="E238" s="8"/>
      <c r="F238" s="8"/>
      <c r="G238" s="8"/>
      <c r="H238" s="8"/>
      <c r="I238" s="11" t="str">
        <f aca="false">IF($C238="","",D238-E238)</f>
        <v/>
      </c>
      <c r="J238" s="11" t="str">
        <f aca="false">IF($C238="","",I238-F238)</f>
        <v/>
      </c>
      <c r="K238" s="12" t="str">
        <f aca="false">IF($C238="","",IFERROR(INDEX(Setup!$B$5:$B$24,MATCH($C238,Setup!$A$5:$A$24,0)),""))</f>
        <v/>
      </c>
      <c r="L238" s="12" t="str">
        <f aca="false">IF(OR($C238="",K238=""),"",K238*G238/60)</f>
        <v/>
      </c>
      <c r="M238" s="11" t="str">
        <f aca="false">IF($C238="","",G238-H238)</f>
        <v/>
      </c>
      <c r="N238" s="13" t="str">
        <f aca="false">IF($C238="","",IF(I238&lt;=0,"",J238/I238))</f>
        <v/>
      </c>
      <c r="O238" s="13" t="str">
        <f aca="false">IF($C238="","",IF(OR(L238="",J238&lt;=0),"",L238/J238))</f>
        <v/>
      </c>
      <c r="P238" s="13" t="str">
        <f aca="false">IF($C238="","",IF(G238&lt;=0,"",M238/G238))</f>
        <v/>
      </c>
      <c r="Q238" s="13" t="str">
        <f aca="false">IF(OR(N238="",O238="",P238=""),"",N238*O238*P238)</f>
        <v/>
      </c>
      <c r="R238" s="14" t="str">
        <f aca="false">IF($C238="","",IF(K238="","Machine not in Setup",IF(H238&gt;G238,"Rejects &gt; total parts",IF(J238&lt;0,"Downtime &gt; planned time",IF(AND(ISNUMBER(O238),O238&gt;1.05),"Performance &gt; 100%: check cycle time or counts","OK")))))</f>
        <v/>
      </c>
    </row>
    <row r="239" customFormat="false" ht="15" hidden="false" customHeight="false" outlineLevel="0" collapsed="false">
      <c r="A239" s="10"/>
      <c r="B239" s="8"/>
      <c r="C239" s="8"/>
      <c r="D239" s="8"/>
      <c r="E239" s="8"/>
      <c r="F239" s="8"/>
      <c r="G239" s="8"/>
      <c r="H239" s="8"/>
      <c r="I239" s="11" t="str">
        <f aca="false">IF($C239="","",D239-E239)</f>
        <v/>
      </c>
      <c r="J239" s="11" t="str">
        <f aca="false">IF($C239="","",I239-F239)</f>
        <v/>
      </c>
      <c r="K239" s="12" t="str">
        <f aca="false">IF($C239="","",IFERROR(INDEX(Setup!$B$5:$B$24,MATCH($C239,Setup!$A$5:$A$24,0)),""))</f>
        <v/>
      </c>
      <c r="L239" s="12" t="str">
        <f aca="false">IF(OR($C239="",K239=""),"",K239*G239/60)</f>
        <v/>
      </c>
      <c r="M239" s="11" t="str">
        <f aca="false">IF($C239="","",G239-H239)</f>
        <v/>
      </c>
      <c r="N239" s="13" t="str">
        <f aca="false">IF($C239="","",IF(I239&lt;=0,"",J239/I239))</f>
        <v/>
      </c>
      <c r="O239" s="13" t="str">
        <f aca="false">IF($C239="","",IF(OR(L239="",J239&lt;=0),"",L239/J239))</f>
        <v/>
      </c>
      <c r="P239" s="13" t="str">
        <f aca="false">IF($C239="","",IF(G239&lt;=0,"",M239/G239))</f>
        <v/>
      </c>
      <c r="Q239" s="13" t="str">
        <f aca="false">IF(OR(N239="",O239="",P239=""),"",N239*O239*P239)</f>
        <v/>
      </c>
      <c r="R239" s="14" t="str">
        <f aca="false">IF($C239="","",IF(K239="","Machine not in Setup",IF(H239&gt;G239,"Rejects &gt; total parts",IF(J239&lt;0,"Downtime &gt; planned time",IF(AND(ISNUMBER(O239),O239&gt;1.05),"Performance &gt; 100%: check cycle time or counts","OK")))))</f>
        <v/>
      </c>
    </row>
    <row r="240" customFormat="false" ht="15" hidden="false" customHeight="false" outlineLevel="0" collapsed="false">
      <c r="A240" s="10"/>
      <c r="B240" s="8"/>
      <c r="C240" s="8"/>
      <c r="D240" s="8"/>
      <c r="E240" s="8"/>
      <c r="F240" s="8"/>
      <c r="G240" s="8"/>
      <c r="H240" s="8"/>
      <c r="I240" s="11" t="str">
        <f aca="false">IF($C240="","",D240-E240)</f>
        <v/>
      </c>
      <c r="J240" s="11" t="str">
        <f aca="false">IF($C240="","",I240-F240)</f>
        <v/>
      </c>
      <c r="K240" s="12" t="str">
        <f aca="false">IF($C240="","",IFERROR(INDEX(Setup!$B$5:$B$24,MATCH($C240,Setup!$A$5:$A$24,0)),""))</f>
        <v/>
      </c>
      <c r="L240" s="12" t="str">
        <f aca="false">IF(OR($C240="",K240=""),"",K240*G240/60)</f>
        <v/>
      </c>
      <c r="M240" s="11" t="str">
        <f aca="false">IF($C240="","",G240-H240)</f>
        <v/>
      </c>
      <c r="N240" s="13" t="str">
        <f aca="false">IF($C240="","",IF(I240&lt;=0,"",J240/I240))</f>
        <v/>
      </c>
      <c r="O240" s="13" t="str">
        <f aca="false">IF($C240="","",IF(OR(L240="",J240&lt;=0),"",L240/J240))</f>
        <v/>
      </c>
      <c r="P240" s="13" t="str">
        <f aca="false">IF($C240="","",IF(G240&lt;=0,"",M240/G240))</f>
        <v/>
      </c>
      <c r="Q240" s="13" t="str">
        <f aca="false">IF(OR(N240="",O240="",P240=""),"",N240*O240*P240)</f>
        <v/>
      </c>
      <c r="R240" s="14" t="str">
        <f aca="false">IF($C240="","",IF(K240="","Machine not in Setup",IF(H240&gt;G240,"Rejects &gt; total parts",IF(J240&lt;0,"Downtime &gt; planned time",IF(AND(ISNUMBER(O240),O240&gt;1.05),"Performance &gt; 100%: check cycle time or counts","OK")))))</f>
        <v/>
      </c>
    </row>
    <row r="241" customFormat="false" ht="15" hidden="false" customHeight="false" outlineLevel="0" collapsed="false">
      <c r="A241" s="10"/>
      <c r="B241" s="8"/>
      <c r="C241" s="8"/>
      <c r="D241" s="8"/>
      <c r="E241" s="8"/>
      <c r="F241" s="8"/>
      <c r="G241" s="8"/>
      <c r="H241" s="8"/>
      <c r="I241" s="11" t="str">
        <f aca="false">IF($C241="","",D241-E241)</f>
        <v/>
      </c>
      <c r="J241" s="11" t="str">
        <f aca="false">IF($C241="","",I241-F241)</f>
        <v/>
      </c>
      <c r="K241" s="12" t="str">
        <f aca="false">IF($C241="","",IFERROR(INDEX(Setup!$B$5:$B$24,MATCH($C241,Setup!$A$5:$A$24,0)),""))</f>
        <v/>
      </c>
      <c r="L241" s="12" t="str">
        <f aca="false">IF(OR($C241="",K241=""),"",K241*G241/60)</f>
        <v/>
      </c>
      <c r="M241" s="11" t="str">
        <f aca="false">IF($C241="","",G241-H241)</f>
        <v/>
      </c>
      <c r="N241" s="13" t="str">
        <f aca="false">IF($C241="","",IF(I241&lt;=0,"",J241/I241))</f>
        <v/>
      </c>
      <c r="O241" s="13" t="str">
        <f aca="false">IF($C241="","",IF(OR(L241="",J241&lt;=0),"",L241/J241))</f>
        <v/>
      </c>
      <c r="P241" s="13" t="str">
        <f aca="false">IF($C241="","",IF(G241&lt;=0,"",M241/G241))</f>
        <v/>
      </c>
      <c r="Q241" s="13" t="str">
        <f aca="false">IF(OR(N241="",O241="",P241=""),"",N241*O241*P241)</f>
        <v/>
      </c>
      <c r="R241" s="14" t="str">
        <f aca="false">IF($C241="","",IF(K241="","Machine not in Setup",IF(H241&gt;G241,"Rejects &gt; total parts",IF(J241&lt;0,"Downtime &gt; planned time",IF(AND(ISNUMBER(O241),O241&gt;1.05),"Performance &gt; 100%: check cycle time or counts","OK")))))</f>
        <v/>
      </c>
    </row>
    <row r="242" customFormat="false" ht="15" hidden="false" customHeight="false" outlineLevel="0" collapsed="false">
      <c r="A242" s="10"/>
      <c r="B242" s="8"/>
      <c r="C242" s="8"/>
      <c r="D242" s="8"/>
      <c r="E242" s="8"/>
      <c r="F242" s="8"/>
      <c r="G242" s="8"/>
      <c r="H242" s="8"/>
      <c r="I242" s="11" t="str">
        <f aca="false">IF($C242="","",D242-E242)</f>
        <v/>
      </c>
      <c r="J242" s="11" t="str">
        <f aca="false">IF($C242="","",I242-F242)</f>
        <v/>
      </c>
      <c r="K242" s="12" t="str">
        <f aca="false">IF($C242="","",IFERROR(INDEX(Setup!$B$5:$B$24,MATCH($C242,Setup!$A$5:$A$24,0)),""))</f>
        <v/>
      </c>
      <c r="L242" s="12" t="str">
        <f aca="false">IF(OR($C242="",K242=""),"",K242*G242/60)</f>
        <v/>
      </c>
      <c r="M242" s="11" t="str">
        <f aca="false">IF($C242="","",G242-H242)</f>
        <v/>
      </c>
      <c r="N242" s="13" t="str">
        <f aca="false">IF($C242="","",IF(I242&lt;=0,"",J242/I242))</f>
        <v/>
      </c>
      <c r="O242" s="13" t="str">
        <f aca="false">IF($C242="","",IF(OR(L242="",J242&lt;=0),"",L242/J242))</f>
        <v/>
      </c>
      <c r="P242" s="13" t="str">
        <f aca="false">IF($C242="","",IF(G242&lt;=0,"",M242/G242))</f>
        <v/>
      </c>
      <c r="Q242" s="13" t="str">
        <f aca="false">IF(OR(N242="",O242="",P242=""),"",N242*O242*P242)</f>
        <v/>
      </c>
      <c r="R242" s="14" t="str">
        <f aca="false">IF($C242="","",IF(K242="","Machine not in Setup",IF(H242&gt;G242,"Rejects &gt; total parts",IF(J242&lt;0,"Downtime &gt; planned time",IF(AND(ISNUMBER(O242),O242&gt;1.05),"Performance &gt; 100%: check cycle time or counts","OK")))))</f>
        <v/>
      </c>
    </row>
    <row r="243" customFormat="false" ht="15" hidden="false" customHeight="false" outlineLevel="0" collapsed="false">
      <c r="A243" s="10"/>
      <c r="B243" s="8"/>
      <c r="C243" s="8"/>
      <c r="D243" s="8"/>
      <c r="E243" s="8"/>
      <c r="F243" s="8"/>
      <c r="G243" s="8"/>
      <c r="H243" s="8"/>
      <c r="I243" s="11" t="str">
        <f aca="false">IF($C243="","",D243-E243)</f>
        <v/>
      </c>
      <c r="J243" s="11" t="str">
        <f aca="false">IF($C243="","",I243-F243)</f>
        <v/>
      </c>
      <c r="K243" s="12" t="str">
        <f aca="false">IF($C243="","",IFERROR(INDEX(Setup!$B$5:$B$24,MATCH($C243,Setup!$A$5:$A$24,0)),""))</f>
        <v/>
      </c>
      <c r="L243" s="12" t="str">
        <f aca="false">IF(OR($C243="",K243=""),"",K243*G243/60)</f>
        <v/>
      </c>
      <c r="M243" s="11" t="str">
        <f aca="false">IF($C243="","",G243-H243)</f>
        <v/>
      </c>
      <c r="N243" s="13" t="str">
        <f aca="false">IF($C243="","",IF(I243&lt;=0,"",J243/I243))</f>
        <v/>
      </c>
      <c r="O243" s="13" t="str">
        <f aca="false">IF($C243="","",IF(OR(L243="",J243&lt;=0),"",L243/J243))</f>
        <v/>
      </c>
      <c r="P243" s="13" t="str">
        <f aca="false">IF($C243="","",IF(G243&lt;=0,"",M243/G243))</f>
        <v/>
      </c>
      <c r="Q243" s="13" t="str">
        <f aca="false">IF(OR(N243="",O243="",P243=""),"",N243*O243*P243)</f>
        <v/>
      </c>
      <c r="R243" s="14" t="str">
        <f aca="false">IF($C243="","",IF(K243="","Machine not in Setup",IF(H243&gt;G243,"Rejects &gt; total parts",IF(J243&lt;0,"Downtime &gt; planned time",IF(AND(ISNUMBER(O243),O243&gt;1.05),"Performance &gt; 100%: check cycle time or counts","OK")))))</f>
        <v/>
      </c>
    </row>
    <row r="244" customFormat="false" ht="15" hidden="false" customHeight="false" outlineLevel="0" collapsed="false">
      <c r="A244" s="10"/>
      <c r="B244" s="8"/>
      <c r="C244" s="8"/>
      <c r="D244" s="8"/>
      <c r="E244" s="8"/>
      <c r="F244" s="8"/>
      <c r="G244" s="8"/>
      <c r="H244" s="8"/>
      <c r="I244" s="11" t="str">
        <f aca="false">IF($C244="","",D244-E244)</f>
        <v/>
      </c>
      <c r="J244" s="11" t="str">
        <f aca="false">IF($C244="","",I244-F244)</f>
        <v/>
      </c>
      <c r="K244" s="12" t="str">
        <f aca="false">IF($C244="","",IFERROR(INDEX(Setup!$B$5:$B$24,MATCH($C244,Setup!$A$5:$A$24,0)),""))</f>
        <v/>
      </c>
      <c r="L244" s="12" t="str">
        <f aca="false">IF(OR($C244="",K244=""),"",K244*G244/60)</f>
        <v/>
      </c>
      <c r="M244" s="11" t="str">
        <f aca="false">IF($C244="","",G244-H244)</f>
        <v/>
      </c>
      <c r="N244" s="13" t="str">
        <f aca="false">IF($C244="","",IF(I244&lt;=0,"",J244/I244))</f>
        <v/>
      </c>
      <c r="O244" s="13" t="str">
        <f aca="false">IF($C244="","",IF(OR(L244="",J244&lt;=0),"",L244/J244))</f>
        <v/>
      </c>
      <c r="P244" s="13" t="str">
        <f aca="false">IF($C244="","",IF(G244&lt;=0,"",M244/G244))</f>
        <v/>
      </c>
      <c r="Q244" s="13" t="str">
        <f aca="false">IF(OR(N244="",O244="",P244=""),"",N244*O244*P244)</f>
        <v/>
      </c>
      <c r="R244" s="14" t="str">
        <f aca="false">IF($C244="","",IF(K244="","Machine not in Setup",IF(H244&gt;G244,"Rejects &gt; total parts",IF(J244&lt;0,"Downtime &gt; planned time",IF(AND(ISNUMBER(O244),O244&gt;1.05),"Performance &gt; 100%: check cycle time or counts","OK")))))</f>
        <v/>
      </c>
    </row>
    <row r="245" customFormat="false" ht="15" hidden="false" customHeight="false" outlineLevel="0" collapsed="false">
      <c r="A245" s="10"/>
      <c r="B245" s="8"/>
      <c r="C245" s="8"/>
      <c r="D245" s="8"/>
      <c r="E245" s="8"/>
      <c r="F245" s="8"/>
      <c r="G245" s="8"/>
      <c r="H245" s="8"/>
      <c r="I245" s="11" t="str">
        <f aca="false">IF($C245="","",D245-E245)</f>
        <v/>
      </c>
      <c r="J245" s="11" t="str">
        <f aca="false">IF($C245="","",I245-F245)</f>
        <v/>
      </c>
      <c r="K245" s="12" t="str">
        <f aca="false">IF($C245="","",IFERROR(INDEX(Setup!$B$5:$B$24,MATCH($C245,Setup!$A$5:$A$24,0)),""))</f>
        <v/>
      </c>
      <c r="L245" s="12" t="str">
        <f aca="false">IF(OR($C245="",K245=""),"",K245*G245/60)</f>
        <v/>
      </c>
      <c r="M245" s="11" t="str">
        <f aca="false">IF($C245="","",G245-H245)</f>
        <v/>
      </c>
      <c r="N245" s="13" t="str">
        <f aca="false">IF($C245="","",IF(I245&lt;=0,"",J245/I245))</f>
        <v/>
      </c>
      <c r="O245" s="13" t="str">
        <f aca="false">IF($C245="","",IF(OR(L245="",J245&lt;=0),"",L245/J245))</f>
        <v/>
      </c>
      <c r="P245" s="13" t="str">
        <f aca="false">IF($C245="","",IF(G245&lt;=0,"",M245/G245))</f>
        <v/>
      </c>
      <c r="Q245" s="13" t="str">
        <f aca="false">IF(OR(N245="",O245="",P245=""),"",N245*O245*P245)</f>
        <v/>
      </c>
      <c r="R245" s="14" t="str">
        <f aca="false">IF($C245="","",IF(K245="","Machine not in Setup",IF(H245&gt;G245,"Rejects &gt; total parts",IF(J245&lt;0,"Downtime &gt; planned time",IF(AND(ISNUMBER(O245),O245&gt;1.05),"Performance &gt; 100%: check cycle time or counts","OK")))))</f>
        <v/>
      </c>
    </row>
    <row r="246" customFormat="false" ht="15" hidden="false" customHeight="false" outlineLevel="0" collapsed="false">
      <c r="A246" s="10"/>
      <c r="B246" s="8"/>
      <c r="C246" s="8"/>
      <c r="D246" s="8"/>
      <c r="E246" s="8"/>
      <c r="F246" s="8"/>
      <c r="G246" s="8"/>
      <c r="H246" s="8"/>
      <c r="I246" s="11" t="str">
        <f aca="false">IF($C246="","",D246-E246)</f>
        <v/>
      </c>
      <c r="J246" s="11" t="str">
        <f aca="false">IF($C246="","",I246-F246)</f>
        <v/>
      </c>
      <c r="K246" s="12" t="str">
        <f aca="false">IF($C246="","",IFERROR(INDEX(Setup!$B$5:$B$24,MATCH($C246,Setup!$A$5:$A$24,0)),""))</f>
        <v/>
      </c>
      <c r="L246" s="12" t="str">
        <f aca="false">IF(OR($C246="",K246=""),"",K246*G246/60)</f>
        <v/>
      </c>
      <c r="M246" s="11" t="str">
        <f aca="false">IF($C246="","",G246-H246)</f>
        <v/>
      </c>
      <c r="N246" s="13" t="str">
        <f aca="false">IF($C246="","",IF(I246&lt;=0,"",J246/I246))</f>
        <v/>
      </c>
      <c r="O246" s="13" t="str">
        <f aca="false">IF($C246="","",IF(OR(L246="",J246&lt;=0),"",L246/J246))</f>
        <v/>
      </c>
      <c r="P246" s="13" t="str">
        <f aca="false">IF($C246="","",IF(G246&lt;=0,"",M246/G246))</f>
        <v/>
      </c>
      <c r="Q246" s="13" t="str">
        <f aca="false">IF(OR(N246="",O246="",P246=""),"",N246*O246*P246)</f>
        <v/>
      </c>
      <c r="R246" s="14" t="str">
        <f aca="false">IF($C246="","",IF(K246="","Machine not in Setup",IF(H246&gt;G246,"Rejects &gt; total parts",IF(J246&lt;0,"Downtime &gt; planned time",IF(AND(ISNUMBER(O246),O246&gt;1.05),"Performance &gt; 100%: check cycle time or counts","OK")))))</f>
        <v/>
      </c>
    </row>
    <row r="247" customFormat="false" ht="15" hidden="false" customHeight="false" outlineLevel="0" collapsed="false">
      <c r="A247" s="10"/>
      <c r="B247" s="8"/>
      <c r="C247" s="8"/>
      <c r="D247" s="8"/>
      <c r="E247" s="8"/>
      <c r="F247" s="8"/>
      <c r="G247" s="8"/>
      <c r="H247" s="8"/>
      <c r="I247" s="11" t="str">
        <f aca="false">IF($C247="","",D247-E247)</f>
        <v/>
      </c>
      <c r="J247" s="11" t="str">
        <f aca="false">IF($C247="","",I247-F247)</f>
        <v/>
      </c>
      <c r="K247" s="12" t="str">
        <f aca="false">IF($C247="","",IFERROR(INDEX(Setup!$B$5:$B$24,MATCH($C247,Setup!$A$5:$A$24,0)),""))</f>
        <v/>
      </c>
      <c r="L247" s="12" t="str">
        <f aca="false">IF(OR($C247="",K247=""),"",K247*G247/60)</f>
        <v/>
      </c>
      <c r="M247" s="11" t="str">
        <f aca="false">IF($C247="","",G247-H247)</f>
        <v/>
      </c>
      <c r="N247" s="13" t="str">
        <f aca="false">IF($C247="","",IF(I247&lt;=0,"",J247/I247))</f>
        <v/>
      </c>
      <c r="O247" s="13" t="str">
        <f aca="false">IF($C247="","",IF(OR(L247="",J247&lt;=0),"",L247/J247))</f>
        <v/>
      </c>
      <c r="P247" s="13" t="str">
        <f aca="false">IF($C247="","",IF(G247&lt;=0,"",M247/G247))</f>
        <v/>
      </c>
      <c r="Q247" s="13" t="str">
        <f aca="false">IF(OR(N247="",O247="",P247=""),"",N247*O247*P247)</f>
        <v/>
      </c>
      <c r="R247" s="14" t="str">
        <f aca="false">IF($C247="","",IF(K247="","Machine not in Setup",IF(H247&gt;G247,"Rejects &gt; total parts",IF(J247&lt;0,"Downtime &gt; planned time",IF(AND(ISNUMBER(O247),O247&gt;1.05),"Performance &gt; 100%: check cycle time or counts","OK")))))</f>
        <v/>
      </c>
    </row>
    <row r="248" customFormat="false" ht="15" hidden="false" customHeight="false" outlineLevel="0" collapsed="false">
      <c r="A248" s="10"/>
      <c r="B248" s="8"/>
      <c r="C248" s="8"/>
      <c r="D248" s="8"/>
      <c r="E248" s="8"/>
      <c r="F248" s="8"/>
      <c r="G248" s="8"/>
      <c r="H248" s="8"/>
      <c r="I248" s="11" t="str">
        <f aca="false">IF($C248="","",D248-E248)</f>
        <v/>
      </c>
      <c r="J248" s="11" t="str">
        <f aca="false">IF($C248="","",I248-F248)</f>
        <v/>
      </c>
      <c r="K248" s="12" t="str">
        <f aca="false">IF($C248="","",IFERROR(INDEX(Setup!$B$5:$B$24,MATCH($C248,Setup!$A$5:$A$24,0)),""))</f>
        <v/>
      </c>
      <c r="L248" s="12" t="str">
        <f aca="false">IF(OR($C248="",K248=""),"",K248*G248/60)</f>
        <v/>
      </c>
      <c r="M248" s="11" t="str">
        <f aca="false">IF($C248="","",G248-H248)</f>
        <v/>
      </c>
      <c r="N248" s="13" t="str">
        <f aca="false">IF($C248="","",IF(I248&lt;=0,"",J248/I248))</f>
        <v/>
      </c>
      <c r="O248" s="13" t="str">
        <f aca="false">IF($C248="","",IF(OR(L248="",J248&lt;=0),"",L248/J248))</f>
        <v/>
      </c>
      <c r="P248" s="13" t="str">
        <f aca="false">IF($C248="","",IF(G248&lt;=0,"",M248/G248))</f>
        <v/>
      </c>
      <c r="Q248" s="13" t="str">
        <f aca="false">IF(OR(N248="",O248="",P248=""),"",N248*O248*P248)</f>
        <v/>
      </c>
      <c r="R248" s="14" t="str">
        <f aca="false">IF($C248="","",IF(K248="","Machine not in Setup",IF(H248&gt;G248,"Rejects &gt; total parts",IF(J248&lt;0,"Downtime &gt; planned time",IF(AND(ISNUMBER(O248),O248&gt;1.05),"Performance &gt; 100%: check cycle time or counts","OK")))))</f>
        <v/>
      </c>
    </row>
    <row r="249" customFormat="false" ht="15" hidden="false" customHeight="false" outlineLevel="0" collapsed="false">
      <c r="A249" s="10"/>
      <c r="B249" s="8"/>
      <c r="C249" s="8"/>
      <c r="D249" s="8"/>
      <c r="E249" s="8"/>
      <c r="F249" s="8"/>
      <c r="G249" s="8"/>
      <c r="H249" s="8"/>
      <c r="I249" s="11" t="str">
        <f aca="false">IF($C249="","",D249-E249)</f>
        <v/>
      </c>
      <c r="J249" s="11" t="str">
        <f aca="false">IF($C249="","",I249-F249)</f>
        <v/>
      </c>
      <c r="K249" s="12" t="str">
        <f aca="false">IF($C249="","",IFERROR(INDEX(Setup!$B$5:$B$24,MATCH($C249,Setup!$A$5:$A$24,0)),""))</f>
        <v/>
      </c>
      <c r="L249" s="12" t="str">
        <f aca="false">IF(OR($C249="",K249=""),"",K249*G249/60)</f>
        <v/>
      </c>
      <c r="M249" s="11" t="str">
        <f aca="false">IF($C249="","",G249-H249)</f>
        <v/>
      </c>
      <c r="N249" s="13" t="str">
        <f aca="false">IF($C249="","",IF(I249&lt;=0,"",J249/I249))</f>
        <v/>
      </c>
      <c r="O249" s="13" t="str">
        <f aca="false">IF($C249="","",IF(OR(L249="",J249&lt;=0),"",L249/J249))</f>
        <v/>
      </c>
      <c r="P249" s="13" t="str">
        <f aca="false">IF($C249="","",IF(G249&lt;=0,"",M249/G249))</f>
        <v/>
      </c>
      <c r="Q249" s="13" t="str">
        <f aca="false">IF(OR(N249="",O249="",P249=""),"",N249*O249*P249)</f>
        <v/>
      </c>
      <c r="R249" s="14" t="str">
        <f aca="false">IF($C249="","",IF(K249="","Machine not in Setup",IF(H249&gt;G249,"Rejects &gt; total parts",IF(J249&lt;0,"Downtime &gt; planned time",IF(AND(ISNUMBER(O249),O249&gt;1.05),"Performance &gt; 100%: check cycle time or counts","OK")))))</f>
        <v/>
      </c>
    </row>
    <row r="250" customFormat="false" ht="15" hidden="false" customHeight="false" outlineLevel="0" collapsed="false">
      <c r="A250" s="10"/>
      <c r="B250" s="8"/>
      <c r="C250" s="8"/>
      <c r="D250" s="8"/>
      <c r="E250" s="8"/>
      <c r="F250" s="8"/>
      <c r="G250" s="8"/>
      <c r="H250" s="8"/>
      <c r="I250" s="11" t="str">
        <f aca="false">IF($C250="","",D250-E250)</f>
        <v/>
      </c>
      <c r="J250" s="11" t="str">
        <f aca="false">IF($C250="","",I250-F250)</f>
        <v/>
      </c>
      <c r="K250" s="12" t="str">
        <f aca="false">IF($C250="","",IFERROR(INDEX(Setup!$B$5:$B$24,MATCH($C250,Setup!$A$5:$A$24,0)),""))</f>
        <v/>
      </c>
      <c r="L250" s="12" t="str">
        <f aca="false">IF(OR($C250="",K250=""),"",K250*G250/60)</f>
        <v/>
      </c>
      <c r="M250" s="11" t="str">
        <f aca="false">IF($C250="","",G250-H250)</f>
        <v/>
      </c>
      <c r="N250" s="13" t="str">
        <f aca="false">IF($C250="","",IF(I250&lt;=0,"",J250/I250))</f>
        <v/>
      </c>
      <c r="O250" s="13" t="str">
        <f aca="false">IF($C250="","",IF(OR(L250="",J250&lt;=0),"",L250/J250))</f>
        <v/>
      </c>
      <c r="P250" s="13" t="str">
        <f aca="false">IF($C250="","",IF(G250&lt;=0,"",M250/G250))</f>
        <v/>
      </c>
      <c r="Q250" s="13" t="str">
        <f aca="false">IF(OR(N250="",O250="",P250=""),"",N250*O250*P250)</f>
        <v/>
      </c>
      <c r="R250" s="14" t="str">
        <f aca="false">IF($C250="","",IF(K250="","Machine not in Setup",IF(H250&gt;G250,"Rejects &gt; total parts",IF(J250&lt;0,"Downtime &gt; planned time",IF(AND(ISNUMBER(O250),O250&gt;1.05),"Performance &gt; 100%: check cycle time or counts","OK")))))</f>
        <v/>
      </c>
    </row>
    <row r="251" customFormat="false" ht="15" hidden="false" customHeight="false" outlineLevel="0" collapsed="false">
      <c r="A251" s="10"/>
      <c r="B251" s="8"/>
      <c r="C251" s="8"/>
      <c r="D251" s="8"/>
      <c r="E251" s="8"/>
      <c r="F251" s="8"/>
      <c r="G251" s="8"/>
      <c r="H251" s="8"/>
      <c r="I251" s="11" t="str">
        <f aca="false">IF($C251="","",D251-E251)</f>
        <v/>
      </c>
      <c r="J251" s="11" t="str">
        <f aca="false">IF($C251="","",I251-F251)</f>
        <v/>
      </c>
      <c r="K251" s="12" t="str">
        <f aca="false">IF($C251="","",IFERROR(INDEX(Setup!$B$5:$B$24,MATCH($C251,Setup!$A$5:$A$24,0)),""))</f>
        <v/>
      </c>
      <c r="L251" s="12" t="str">
        <f aca="false">IF(OR($C251="",K251=""),"",K251*G251/60)</f>
        <v/>
      </c>
      <c r="M251" s="11" t="str">
        <f aca="false">IF($C251="","",G251-H251)</f>
        <v/>
      </c>
      <c r="N251" s="13" t="str">
        <f aca="false">IF($C251="","",IF(I251&lt;=0,"",J251/I251))</f>
        <v/>
      </c>
      <c r="O251" s="13" t="str">
        <f aca="false">IF($C251="","",IF(OR(L251="",J251&lt;=0),"",L251/J251))</f>
        <v/>
      </c>
      <c r="P251" s="13" t="str">
        <f aca="false">IF($C251="","",IF(G251&lt;=0,"",M251/G251))</f>
        <v/>
      </c>
      <c r="Q251" s="13" t="str">
        <f aca="false">IF(OR(N251="",O251="",P251=""),"",N251*O251*P251)</f>
        <v/>
      </c>
      <c r="R251" s="14" t="str">
        <f aca="false">IF($C251="","",IF(K251="","Machine not in Setup",IF(H251&gt;G251,"Rejects &gt; total parts",IF(J251&lt;0,"Downtime &gt; planned time",IF(AND(ISNUMBER(O251),O251&gt;1.05),"Performance &gt; 100%: check cycle time or counts","OK")))))</f>
        <v/>
      </c>
    </row>
    <row r="252" customFormat="false" ht="15" hidden="false" customHeight="false" outlineLevel="0" collapsed="false">
      <c r="A252" s="10"/>
      <c r="B252" s="8"/>
      <c r="C252" s="8"/>
      <c r="D252" s="8"/>
      <c r="E252" s="8"/>
      <c r="F252" s="8"/>
      <c r="G252" s="8"/>
      <c r="H252" s="8"/>
      <c r="I252" s="11" t="str">
        <f aca="false">IF($C252="","",D252-E252)</f>
        <v/>
      </c>
      <c r="J252" s="11" t="str">
        <f aca="false">IF($C252="","",I252-F252)</f>
        <v/>
      </c>
      <c r="K252" s="12" t="str">
        <f aca="false">IF($C252="","",IFERROR(INDEX(Setup!$B$5:$B$24,MATCH($C252,Setup!$A$5:$A$24,0)),""))</f>
        <v/>
      </c>
      <c r="L252" s="12" t="str">
        <f aca="false">IF(OR($C252="",K252=""),"",K252*G252/60)</f>
        <v/>
      </c>
      <c r="M252" s="11" t="str">
        <f aca="false">IF($C252="","",G252-H252)</f>
        <v/>
      </c>
      <c r="N252" s="13" t="str">
        <f aca="false">IF($C252="","",IF(I252&lt;=0,"",J252/I252))</f>
        <v/>
      </c>
      <c r="O252" s="13" t="str">
        <f aca="false">IF($C252="","",IF(OR(L252="",J252&lt;=0),"",L252/J252))</f>
        <v/>
      </c>
      <c r="P252" s="13" t="str">
        <f aca="false">IF($C252="","",IF(G252&lt;=0,"",M252/G252))</f>
        <v/>
      </c>
      <c r="Q252" s="13" t="str">
        <f aca="false">IF(OR(N252="",O252="",P252=""),"",N252*O252*P252)</f>
        <v/>
      </c>
      <c r="R252" s="14" t="str">
        <f aca="false">IF($C252="","",IF(K252="","Machine not in Setup",IF(H252&gt;G252,"Rejects &gt; total parts",IF(J252&lt;0,"Downtime &gt; planned time",IF(AND(ISNUMBER(O252),O252&gt;1.05),"Performance &gt; 100%: check cycle time or counts","OK")))))</f>
        <v/>
      </c>
    </row>
    <row r="253" customFormat="false" ht="15" hidden="false" customHeight="false" outlineLevel="0" collapsed="false">
      <c r="A253" s="10"/>
      <c r="B253" s="8"/>
      <c r="C253" s="8"/>
      <c r="D253" s="8"/>
      <c r="E253" s="8"/>
      <c r="F253" s="8"/>
      <c r="G253" s="8"/>
      <c r="H253" s="8"/>
      <c r="I253" s="11" t="str">
        <f aca="false">IF($C253="","",D253-E253)</f>
        <v/>
      </c>
      <c r="J253" s="11" t="str">
        <f aca="false">IF($C253="","",I253-F253)</f>
        <v/>
      </c>
      <c r="K253" s="12" t="str">
        <f aca="false">IF($C253="","",IFERROR(INDEX(Setup!$B$5:$B$24,MATCH($C253,Setup!$A$5:$A$24,0)),""))</f>
        <v/>
      </c>
      <c r="L253" s="12" t="str">
        <f aca="false">IF(OR($C253="",K253=""),"",K253*G253/60)</f>
        <v/>
      </c>
      <c r="M253" s="11" t="str">
        <f aca="false">IF($C253="","",G253-H253)</f>
        <v/>
      </c>
      <c r="N253" s="13" t="str">
        <f aca="false">IF($C253="","",IF(I253&lt;=0,"",J253/I253))</f>
        <v/>
      </c>
      <c r="O253" s="13" t="str">
        <f aca="false">IF($C253="","",IF(OR(L253="",J253&lt;=0),"",L253/J253))</f>
        <v/>
      </c>
      <c r="P253" s="13" t="str">
        <f aca="false">IF($C253="","",IF(G253&lt;=0,"",M253/G253))</f>
        <v/>
      </c>
      <c r="Q253" s="13" t="str">
        <f aca="false">IF(OR(N253="",O253="",P253=""),"",N253*O253*P253)</f>
        <v/>
      </c>
      <c r="R253" s="14" t="str">
        <f aca="false">IF($C253="","",IF(K253="","Machine not in Setup",IF(H253&gt;G253,"Rejects &gt; total parts",IF(J253&lt;0,"Downtime &gt; planned time",IF(AND(ISNUMBER(O253),O253&gt;1.05),"Performance &gt; 100%: check cycle time or counts","OK")))))</f>
        <v/>
      </c>
    </row>
    <row r="254" customFormat="false" ht="15" hidden="false" customHeight="false" outlineLevel="0" collapsed="false">
      <c r="A254" s="10"/>
      <c r="B254" s="8"/>
      <c r="C254" s="8"/>
      <c r="D254" s="8"/>
      <c r="E254" s="8"/>
      <c r="F254" s="8"/>
      <c r="G254" s="8"/>
      <c r="H254" s="8"/>
      <c r="I254" s="11" t="str">
        <f aca="false">IF($C254="","",D254-E254)</f>
        <v/>
      </c>
      <c r="J254" s="11" t="str">
        <f aca="false">IF($C254="","",I254-F254)</f>
        <v/>
      </c>
      <c r="K254" s="12" t="str">
        <f aca="false">IF($C254="","",IFERROR(INDEX(Setup!$B$5:$B$24,MATCH($C254,Setup!$A$5:$A$24,0)),""))</f>
        <v/>
      </c>
      <c r="L254" s="12" t="str">
        <f aca="false">IF(OR($C254="",K254=""),"",K254*G254/60)</f>
        <v/>
      </c>
      <c r="M254" s="11" t="str">
        <f aca="false">IF($C254="","",G254-H254)</f>
        <v/>
      </c>
      <c r="N254" s="13" t="str">
        <f aca="false">IF($C254="","",IF(I254&lt;=0,"",J254/I254))</f>
        <v/>
      </c>
      <c r="O254" s="13" t="str">
        <f aca="false">IF($C254="","",IF(OR(L254="",J254&lt;=0),"",L254/J254))</f>
        <v/>
      </c>
      <c r="P254" s="13" t="str">
        <f aca="false">IF($C254="","",IF(G254&lt;=0,"",M254/G254))</f>
        <v/>
      </c>
      <c r="Q254" s="13" t="str">
        <f aca="false">IF(OR(N254="",O254="",P254=""),"",N254*O254*P254)</f>
        <v/>
      </c>
      <c r="R254" s="14" t="str">
        <f aca="false">IF($C254="","",IF(K254="","Machine not in Setup",IF(H254&gt;G254,"Rejects &gt; total parts",IF(J254&lt;0,"Downtime &gt; planned time",IF(AND(ISNUMBER(O254),O254&gt;1.05),"Performance &gt; 100%: check cycle time or counts","OK")))))</f>
        <v/>
      </c>
    </row>
    <row r="255" customFormat="false" ht="15" hidden="false" customHeight="false" outlineLevel="0" collapsed="false">
      <c r="A255" s="10"/>
      <c r="B255" s="8"/>
      <c r="C255" s="8"/>
      <c r="D255" s="8"/>
      <c r="E255" s="8"/>
      <c r="F255" s="8"/>
      <c r="G255" s="8"/>
      <c r="H255" s="8"/>
      <c r="I255" s="11" t="str">
        <f aca="false">IF($C255="","",D255-E255)</f>
        <v/>
      </c>
      <c r="J255" s="11" t="str">
        <f aca="false">IF($C255="","",I255-F255)</f>
        <v/>
      </c>
      <c r="K255" s="12" t="str">
        <f aca="false">IF($C255="","",IFERROR(INDEX(Setup!$B$5:$B$24,MATCH($C255,Setup!$A$5:$A$24,0)),""))</f>
        <v/>
      </c>
      <c r="L255" s="12" t="str">
        <f aca="false">IF(OR($C255="",K255=""),"",K255*G255/60)</f>
        <v/>
      </c>
      <c r="M255" s="11" t="str">
        <f aca="false">IF($C255="","",G255-H255)</f>
        <v/>
      </c>
      <c r="N255" s="13" t="str">
        <f aca="false">IF($C255="","",IF(I255&lt;=0,"",J255/I255))</f>
        <v/>
      </c>
      <c r="O255" s="13" t="str">
        <f aca="false">IF($C255="","",IF(OR(L255="",J255&lt;=0),"",L255/J255))</f>
        <v/>
      </c>
      <c r="P255" s="13" t="str">
        <f aca="false">IF($C255="","",IF(G255&lt;=0,"",M255/G255))</f>
        <v/>
      </c>
      <c r="Q255" s="13" t="str">
        <f aca="false">IF(OR(N255="",O255="",P255=""),"",N255*O255*P255)</f>
        <v/>
      </c>
      <c r="R255" s="14" t="str">
        <f aca="false">IF($C255="","",IF(K255="","Machine not in Setup",IF(H255&gt;G255,"Rejects &gt; total parts",IF(J255&lt;0,"Downtime &gt; planned time",IF(AND(ISNUMBER(O255),O255&gt;1.05),"Performance &gt; 100%: check cycle time or counts","OK")))))</f>
        <v/>
      </c>
    </row>
    <row r="256" customFormat="false" ht="15" hidden="false" customHeight="false" outlineLevel="0" collapsed="false">
      <c r="A256" s="10"/>
      <c r="B256" s="8"/>
      <c r="C256" s="8"/>
      <c r="D256" s="8"/>
      <c r="E256" s="8"/>
      <c r="F256" s="8"/>
      <c r="G256" s="8"/>
      <c r="H256" s="8"/>
      <c r="I256" s="11" t="str">
        <f aca="false">IF($C256="","",D256-E256)</f>
        <v/>
      </c>
      <c r="J256" s="11" t="str">
        <f aca="false">IF($C256="","",I256-F256)</f>
        <v/>
      </c>
      <c r="K256" s="12" t="str">
        <f aca="false">IF($C256="","",IFERROR(INDEX(Setup!$B$5:$B$24,MATCH($C256,Setup!$A$5:$A$24,0)),""))</f>
        <v/>
      </c>
      <c r="L256" s="12" t="str">
        <f aca="false">IF(OR($C256="",K256=""),"",K256*G256/60)</f>
        <v/>
      </c>
      <c r="M256" s="11" t="str">
        <f aca="false">IF($C256="","",G256-H256)</f>
        <v/>
      </c>
      <c r="N256" s="13" t="str">
        <f aca="false">IF($C256="","",IF(I256&lt;=0,"",J256/I256))</f>
        <v/>
      </c>
      <c r="O256" s="13" t="str">
        <f aca="false">IF($C256="","",IF(OR(L256="",J256&lt;=0),"",L256/J256))</f>
        <v/>
      </c>
      <c r="P256" s="13" t="str">
        <f aca="false">IF($C256="","",IF(G256&lt;=0,"",M256/G256))</f>
        <v/>
      </c>
      <c r="Q256" s="13" t="str">
        <f aca="false">IF(OR(N256="",O256="",P256=""),"",N256*O256*P256)</f>
        <v/>
      </c>
      <c r="R256" s="14" t="str">
        <f aca="false">IF($C256="","",IF(K256="","Machine not in Setup",IF(H256&gt;G256,"Rejects &gt; total parts",IF(J256&lt;0,"Downtime &gt; planned time",IF(AND(ISNUMBER(O256),O256&gt;1.05),"Performance &gt; 100%: check cycle time or counts","OK")))))</f>
        <v/>
      </c>
    </row>
    <row r="257" customFormat="false" ht="15" hidden="false" customHeight="false" outlineLevel="0" collapsed="false">
      <c r="A257" s="10"/>
      <c r="B257" s="8"/>
      <c r="C257" s="8"/>
      <c r="D257" s="8"/>
      <c r="E257" s="8"/>
      <c r="F257" s="8"/>
      <c r="G257" s="8"/>
      <c r="H257" s="8"/>
      <c r="I257" s="11" t="str">
        <f aca="false">IF($C257="","",D257-E257)</f>
        <v/>
      </c>
      <c r="J257" s="11" t="str">
        <f aca="false">IF($C257="","",I257-F257)</f>
        <v/>
      </c>
      <c r="K257" s="12" t="str">
        <f aca="false">IF($C257="","",IFERROR(INDEX(Setup!$B$5:$B$24,MATCH($C257,Setup!$A$5:$A$24,0)),""))</f>
        <v/>
      </c>
      <c r="L257" s="12" t="str">
        <f aca="false">IF(OR($C257="",K257=""),"",K257*G257/60)</f>
        <v/>
      </c>
      <c r="M257" s="11" t="str">
        <f aca="false">IF($C257="","",G257-H257)</f>
        <v/>
      </c>
      <c r="N257" s="13" t="str">
        <f aca="false">IF($C257="","",IF(I257&lt;=0,"",J257/I257))</f>
        <v/>
      </c>
      <c r="O257" s="13" t="str">
        <f aca="false">IF($C257="","",IF(OR(L257="",J257&lt;=0),"",L257/J257))</f>
        <v/>
      </c>
      <c r="P257" s="13" t="str">
        <f aca="false">IF($C257="","",IF(G257&lt;=0,"",M257/G257))</f>
        <v/>
      </c>
      <c r="Q257" s="13" t="str">
        <f aca="false">IF(OR(N257="",O257="",P257=""),"",N257*O257*P257)</f>
        <v/>
      </c>
      <c r="R257" s="14" t="str">
        <f aca="false">IF($C257="","",IF(K257="","Machine not in Setup",IF(H257&gt;G257,"Rejects &gt; total parts",IF(J257&lt;0,"Downtime &gt; planned time",IF(AND(ISNUMBER(O257),O257&gt;1.05),"Performance &gt; 100%: check cycle time or counts","OK")))))</f>
        <v/>
      </c>
    </row>
    <row r="258" customFormat="false" ht="15" hidden="false" customHeight="false" outlineLevel="0" collapsed="false">
      <c r="A258" s="10"/>
      <c r="B258" s="8"/>
      <c r="C258" s="8"/>
      <c r="D258" s="8"/>
      <c r="E258" s="8"/>
      <c r="F258" s="8"/>
      <c r="G258" s="8"/>
      <c r="H258" s="8"/>
      <c r="I258" s="11" t="str">
        <f aca="false">IF($C258="","",D258-E258)</f>
        <v/>
      </c>
      <c r="J258" s="11" t="str">
        <f aca="false">IF($C258="","",I258-F258)</f>
        <v/>
      </c>
      <c r="K258" s="12" t="str">
        <f aca="false">IF($C258="","",IFERROR(INDEX(Setup!$B$5:$B$24,MATCH($C258,Setup!$A$5:$A$24,0)),""))</f>
        <v/>
      </c>
      <c r="L258" s="12" t="str">
        <f aca="false">IF(OR($C258="",K258=""),"",K258*G258/60)</f>
        <v/>
      </c>
      <c r="M258" s="11" t="str">
        <f aca="false">IF($C258="","",G258-H258)</f>
        <v/>
      </c>
      <c r="N258" s="13" t="str">
        <f aca="false">IF($C258="","",IF(I258&lt;=0,"",J258/I258))</f>
        <v/>
      </c>
      <c r="O258" s="13" t="str">
        <f aca="false">IF($C258="","",IF(OR(L258="",J258&lt;=0),"",L258/J258))</f>
        <v/>
      </c>
      <c r="P258" s="13" t="str">
        <f aca="false">IF($C258="","",IF(G258&lt;=0,"",M258/G258))</f>
        <v/>
      </c>
      <c r="Q258" s="13" t="str">
        <f aca="false">IF(OR(N258="",O258="",P258=""),"",N258*O258*P258)</f>
        <v/>
      </c>
      <c r="R258" s="14" t="str">
        <f aca="false">IF($C258="","",IF(K258="","Machine not in Setup",IF(H258&gt;G258,"Rejects &gt; total parts",IF(J258&lt;0,"Downtime &gt; planned time",IF(AND(ISNUMBER(O258),O258&gt;1.05),"Performance &gt; 100%: check cycle time or counts","OK")))))</f>
        <v/>
      </c>
    </row>
    <row r="259" customFormat="false" ht="15" hidden="false" customHeight="false" outlineLevel="0" collapsed="false">
      <c r="A259" s="10"/>
      <c r="B259" s="8"/>
      <c r="C259" s="8"/>
      <c r="D259" s="8"/>
      <c r="E259" s="8"/>
      <c r="F259" s="8"/>
      <c r="G259" s="8"/>
      <c r="H259" s="8"/>
      <c r="I259" s="11" t="str">
        <f aca="false">IF($C259="","",D259-E259)</f>
        <v/>
      </c>
      <c r="J259" s="11" t="str">
        <f aca="false">IF($C259="","",I259-F259)</f>
        <v/>
      </c>
      <c r="K259" s="12" t="str">
        <f aca="false">IF($C259="","",IFERROR(INDEX(Setup!$B$5:$B$24,MATCH($C259,Setup!$A$5:$A$24,0)),""))</f>
        <v/>
      </c>
      <c r="L259" s="12" t="str">
        <f aca="false">IF(OR($C259="",K259=""),"",K259*G259/60)</f>
        <v/>
      </c>
      <c r="M259" s="11" t="str">
        <f aca="false">IF($C259="","",G259-H259)</f>
        <v/>
      </c>
      <c r="N259" s="13" t="str">
        <f aca="false">IF($C259="","",IF(I259&lt;=0,"",J259/I259))</f>
        <v/>
      </c>
      <c r="O259" s="13" t="str">
        <f aca="false">IF($C259="","",IF(OR(L259="",J259&lt;=0),"",L259/J259))</f>
        <v/>
      </c>
      <c r="P259" s="13" t="str">
        <f aca="false">IF($C259="","",IF(G259&lt;=0,"",M259/G259))</f>
        <v/>
      </c>
      <c r="Q259" s="13" t="str">
        <f aca="false">IF(OR(N259="",O259="",P259=""),"",N259*O259*P259)</f>
        <v/>
      </c>
      <c r="R259" s="14" t="str">
        <f aca="false">IF($C259="","",IF(K259="","Machine not in Setup",IF(H259&gt;G259,"Rejects &gt; total parts",IF(J259&lt;0,"Downtime &gt; planned time",IF(AND(ISNUMBER(O259),O259&gt;1.05),"Performance &gt; 100%: check cycle time or counts","OK")))))</f>
        <v/>
      </c>
    </row>
    <row r="260" customFormat="false" ht="15" hidden="false" customHeight="false" outlineLevel="0" collapsed="false">
      <c r="A260" s="10"/>
      <c r="B260" s="8"/>
      <c r="C260" s="8"/>
      <c r="D260" s="8"/>
      <c r="E260" s="8"/>
      <c r="F260" s="8"/>
      <c r="G260" s="8"/>
      <c r="H260" s="8"/>
      <c r="I260" s="11" t="str">
        <f aca="false">IF($C260="","",D260-E260)</f>
        <v/>
      </c>
      <c r="J260" s="11" t="str">
        <f aca="false">IF($C260="","",I260-F260)</f>
        <v/>
      </c>
      <c r="K260" s="12" t="str">
        <f aca="false">IF($C260="","",IFERROR(INDEX(Setup!$B$5:$B$24,MATCH($C260,Setup!$A$5:$A$24,0)),""))</f>
        <v/>
      </c>
      <c r="L260" s="12" t="str">
        <f aca="false">IF(OR($C260="",K260=""),"",K260*G260/60)</f>
        <v/>
      </c>
      <c r="M260" s="11" t="str">
        <f aca="false">IF($C260="","",G260-H260)</f>
        <v/>
      </c>
      <c r="N260" s="13" t="str">
        <f aca="false">IF($C260="","",IF(I260&lt;=0,"",J260/I260))</f>
        <v/>
      </c>
      <c r="O260" s="13" t="str">
        <f aca="false">IF($C260="","",IF(OR(L260="",J260&lt;=0),"",L260/J260))</f>
        <v/>
      </c>
      <c r="P260" s="13" t="str">
        <f aca="false">IF($C260="","",IF(G260&lt;=0,"",M260/G260))</f>
        <v/>
      </c>
      <c r="Q260" s="13" t="str">
        <f aca="false">IF(OR(N260="",O260="",P260=""),"",N260*O260*P260)</f>
        <v/>
      </c>
      <c r="R260" s="14" t="str">
        <f aca="false">IF($C260="","",IF(K260="","Machine not in Setup",IF(H260&gt;G260,"Rejects &gt; total parts",IF(J260&lt;0,"Downtime &gt; planned time",IF(AND(ISNUMBER(O260),O260&gt;1.05),"Performance &gt; 100%: check cycle time or counts","OK")))))</f>
        <v/>
      </c>
    </row>
    <row r="261" customFormat="false" ht="15" hidden="false" customHeight="false" outlineLevel="0" collapsed="false">
      <c r="A261" s="10"/>
      <c r="B261" s="8"/>
      <c r="C261" s="8"/>
      <c r="D261" s="8"/>
      <c r="E261" s="8"/>
      <c r="F261" s="8"/>
      <c r="G261" s="8"/>
      <c r="H261" s="8"/>
      <c r="I261" s="11" t="str">
        <f aca="false">IF($C261="","",D261-E261)</f>
        <v/>
      </c>
      <c r="J261" s="11" t="str">
        <f aca="false">IF($C261="","",I261-F261)</f>
        <v/>
      </c>
      <c r="K261" s="12" t="str">
        <f aca="false">IF($C261="","",IFERROR(INDEX(Setup!$B$5:$B$24,MATCH($C261,Setup!$A$5:$A$24,0)),""))</f>
        <v/>
      </c>
      <c r="L261" s="12" t="str">
        <f aca="false">IF(OR($C261="",K261=""),"",K261*G261/60)</f>
        <v/>
      </c>
      <c r="M261" s="11" t="str">
        <f aca="false">IF($C261="","",G261-H261)</f>
        <v/>
      </c>
      <c r="N261" s="13" t="str">
        <f aca="false">IF($C261="","",IF(I261&lt;=0,"",J261/I261))</f>
        <v/>
      </c>
      <c r="O261" s="13" t="str">
        <f aca="false">IF($C261="","",IF(OR(L261="",J261&lt;=0),"",L261/J261))</f>
        <v/>
      </c>
      <c r="P261" s="13" t="str">
        <f aca="false">IF($C261="","",IF(G261&lt;=0,"",M261/G261))</f>
        <v/>
      </c>
      <c r="Q261" s="13" t="str">
        <f aca="false">IF(OR(N261="",O261="",P261=""),"",N261*O261*P261)</f>
        <v/>
      </c>
      <c r="R261" s="14" t="str">
        <f aca="false">IF($C261="","",IF(K261="","Machine not in Setup",IF(H261&gt;G261,"Rejects &gt; total parts",IF(J261&lt;0,"Downtime &gt; planned time",IF(AND(ISNUMBER(O261),O261&gt;1.05),"Performance &gt; 100%: check cycle time or counts","OK")))))</f>
        <v/>
      </c>
    </row>
    <row r="262" customFormat="false" ht="15" hidden="false" customHeight="false" outlineLevel="0" collapsed="false">
      <c r="A262" s="10"/>
      <c r="B262" s="8"/>
      <c r="C262" s="8"/>
      <c r="D262" s="8"/>
      <c r="E262" s="8"/>
      <c r="F262" s="8"/>
      <c r="G262" s="8"/>
      <c r="H262" s="8"/>
      <c r="I262" s="11" t="str">
        <f aca="false">IF($C262="","",D262-E262)</f>
        <v/>
      </c>
      <c r="J262" s="11" t="str">
        <f aca="false">IF($C262="","",I262-F262)</f>
        <v/>
      </c>
      <c r="K262" s="12" t="str">
        <f aca="false">IF($C262="","",IFERROR(INDEX(Setup!$B$5:$B$24,MATCH($C262,Setup!$A$5:$A$24,0)),""))</f>
        <v/>
      </c>
      <c r="L262" s="12" t="str">
        <f aca="false">IF(OR($C262="",K262=""),"",K262*G262/60)</f>
        <v/>
      </c>
      <c r="M262" s="11" t="str">
        <f aca="false">IF($C262="","",G262-H262)</f>
        <v/>
      </c>
      <c r="N262" s="13" t="str">
        <f aca="false">IF($C262="","",IF(I262&lt;=0,"",J262/I262))</f>
        <v/>
      </c>
      <c r="O262" s="13" t="str">
        <f aca="false">IF($C262="","",IF(OR(L262="",J262&lt;=0),"",L262/J262))</f>
        <v/>
      </c>
      <c r="P262" s="13" t="str">
        <f aca="false">IF($C262="","",IF(G262&lt;=0,"",M262/G262))</f>
        <v/>
      </c>
      <c r="Q262" s="13" t="str">
        <f aca="false">IF(OR(N262="",O262="",P262=""),"",N262*O262*P262)</f>
        <v/>
      </c>
      <c r="R262" s="14" t="str">
        <f aca="false">IF($C262="","",IF(K262="","Machine not in Setup",IF(H262&gt;G262,"Rejects &gt; total parts",IF(J262&lt;0,"Downtime &gt; planned time",IF(AND(ISNUMBER(O262),O262&gt;1.05),"Performance &gt; 100%: check cycle time or counts","OK")))))</f>
        <v/>
      </c>
    </row>
    <row r="263" customFormat="false" ht="15" hidden="false" customHeight="false" outlineLevel="0" collapsed="false">
      <c r="A263" s="10"/>
      <c r="B263" s="8"/>
      <c r="C263" s="8"/>
      <c r="D263" s="8"/>
      <c r="E263" s="8"/>
      <c r="F263" s="8"/>
      <c r="G263" s="8"/>
      <c r="H263" s="8"/>
      <c r="I263" s="11" t="str">
        <f aca="false">IF($C263="","",D263-E263)</f>
        <v/>
      </c>
      <c r="J263" s="11" t="str">
        <f aca="false">IF($C263="","",I263-F263)</f>
        <v/>
      </c>
      <c r="K263" s="12" t="str">
        <f aca="false">IF($C263="","",IFERROR(INDEX(Setup!$B$5:$B$24,MATCH($C263,Setup!$A$5:$A$24,0)),""))</f>
        <v/>
      </c>
      <c r="L263" s="12" t="str">
        <f aca="false">IF(OR($C263="",K263=""),"",K263*G263/60)</f>
        <v/>
      </c>
      <c r="M263" s="11" t="str">
        <f aca="false">IF($C263="","",G263-H263)</f>
        <v/>
      </c>
      <c r="N263" s="13" t="str">
        <f aca="false">IF($C263="","",IF(I263&lt;=0,"",J263/I263))</f>
        <v/>
      </c>
      <c r="O263" s="13" t="str">
        <f aca="false">IF($C263="","",IF(OR(L263="",J263&lt;=0),"",L263/J263))</f>
        <v/>
      </c>
      <c r="P263" s="13" t="str">
        <f aca="false">IF($C263="","",IF(G263&lt;=0,"",M263/G263))</f>
        <v/>
      </c>
      <c r="Q263" s="13" t="str">
        <f aca="false">IF(OR(N263="",O263="",P263=""),"",N263*O263*P263)</f>
        <v/>
      </c>
      <c r="R263" s="14" t="str">
        <f aca="false">IF($C263="","",IF(K263="","Machine not in Setup",IF(H263&gt;G263,"Rejects &gt; total parts",IF(J263&lt;0,"Downtime &gt; planned time",IF(AND(ISNUMBER(O263),O263&gt;1.05),"Performance &gt; 100%: check cycle time or counts","OK")))))</f>
        <v/>
      </c>
    </row>
    <row r="264" customFormat="false" ht="15" hidden="false" customHeight="false" outlineLevel="0" collapsed="false">
      <c r="A264" s="10"/>
      <c r="B264" s="8"/>
      <c r="C264" s="8"/>
      <c r="D264" s="8"/>
      <c r="E264" s="8"/>
      <c r="F264" s="8"/>
      <c r="G264" s="8"/>
      <c r="H264" s="8"/>
      <c r="I264" s="11" t="str">
        <f aca="false">IF($C264="","",D264-E264)</f>
        <v/>
      </c>
      <c r="J264" s="11" t="str">
        <f aca="false">IF($C264="","",I264-F264)</f>
        <v/>
      </c>
      <c r="K264" s="12" t="str">
        <f aca="false">IF($C264="","",IFERROR(INDEX(Setup!$B$5:$B$24,MATCH($C264,Setup!$A$5:$A$24,0)),""))</f>
        <v/>
      </c>
      <c r="L264" s="12" t="str">
        <f aca="false">IF(OR($C264="",K264=""),"",K264*G264/60)</f>
        <v/>
      </c>
      <c r="M264" s="11" t="str">
        <f aca="false">IF($C264="","",G264-H264)</f>
        <v/>
      </c>
      <c r="N264" s="13" t="str">
        <f aca="false">IF($C264="","",IF(I264&lt;=0,"",J264/I264))</f>
        <v/>
      </c>
      <c r="O264" s="13" t="str">
        <f aca="false">IF($C264="","",IF(OR(L264="",J264&lt;=0),"",L264/J264))</f>
        <v/>
      </c>
      <c r="P264" s="13" t="str">
        <f aca="false">IF($C264="","",IF(G264&lt;=0,"",M264/G264))</f>
        <v/>
      </c>
      <c r="Q264" s="13" t="str">
        <f aca="false">IF(OR(N264="",O264="",P264=""),"",N264*O264*P264)</f>
        <v/>
      </c>
      <c r="R264" s="14" t="str">
        <f aca="false">IF($C264="","",IF(K264="","Machine not in Setup",IF(H264&gt;G264,"Rejects &gt; total parts",IF(J264&lt;0,"Downtime &gt; planned time",IF(AND(ISNUMBER(O264),O264&gt;1.05),"Performance &gt; 100%: check cycle time or counts","OK")))))</f>
        <v/>
      </c>
    </row>
    <row r="265" customFormat="false" ht="15" hidden="false" customHeight="false" outlineLevel="0" collapsed="false">
      <c r="A265" s="10"/>
      <c r="B265" s="8"/>
      <c r="C265" s="8"/>
      <c r="D265" s="8"/>
      <c r="E265" s="8"/>
      <c r="F265" s="8"/>
      <c r="G265" s="8"/>
      <c r="H265" s="8"/>
      <c r="I265" s="11" t="str">
        <f aca="false">IF($C265="","",D265-E265)</f>
        <v/>
      </c>
      <c r="J265" s="11" t="str">
        <f aca="false">IF($C265="","",I265-F265)</f>
        <v/>
      </c>
      <c r="K265" s="12" t="str">
        <f aca="false">IF($C265="","",IFERROR(INDEX(Setup!$B$5:$B$24,MATCH($C265,Setup!$A$5:$A$24,0)),""))</f>
        <v/>
      </c>
      <c r="L265" s="12" t="str">
        <f aca="false">IF(OR($C265="",K265=""),"",K265*G265/60)</f>
        <v/>
      </c>
      <c r="M265" s="11" t="str">
        <f aca="false">IF($C265="","",G265-H265)</f>
        <v/>
      </c>
      <c r="N265" s="13" t="str">
        <f aca="false">IF($C265="","",IF(I265&lt;=0,"",J265/I265))</f>
        <v/>
      </c>
      <c r="O265" s="13" t="str">
        <f aca="false">IF($C265="","",IF(OR(L265="",J265&lt;=0),"",L265/J265))</f>
        <v/>
      </c>
      <c r="P265" s="13" t="str">
        <f aca="false">IF($C265="","",IF(G265&lt;=0,"",M265/G265))</f>
        <v/>
      </c>
      <c r="Q265" s="13" t="str">
        <f aca="false">IF(OR(N265="",O265="",P265=""),"",N265*O265*P265)</f>
        <v/>
      </c>
      <c r="R265" s="14" t="str">
        <f aca="false">IF($C265="","",IF(K265="","Machine not in Setup",IF(H265&gt;G265,"Rejects &gt; total parts",IF(J265&lt;0,"Downtime &gt; planned time",IF(AND(ISNUMBER(O265),O265&gt;1.05),"Performance &gt; 100%: check cycle time or counts","OK")))))</f>
        <v/>
      </c>
    </row>
    <row r="266" customFormat="false" ht="15" hidden="false" customHeight="false" outlineLevel="0" collapsed="false">
      <c r="A266" s="10"/>
      <c r="B266" s="8"/>
      <c r="C266" s="8"/>
      <c r="D266" s="8"/>
      <c r="E266" s="8"/>
      <c r="F266" s="8"/>
      <c r="G266" s="8"/>
      <c r="H266" s="8"/>
      <c r="I266" s="11" t="str">
        <f aca="false">IF($C266="","",D266-E266)</f>
        <v/>
      </c>
      <c r="J266" s="11" t="str">
        <f aca="false">IF($C266="","",I266-F266)</f>
        <v/>
      </c>
      <c r="K266" s="12" t="str">
        <f aca="false">IF($C266="","",IFERROR(INDEX(Setup!$B$5:$B$24,MATCH($C266,Setup!$A$5:$A$24,0)),""))</f>
        <v/>
      </c>
      <c r="L266" s="12" t="str">
        <f aca="false">IF(OR($C266="",K266=""),"",K266*G266/60)</f>
        <v/>
      </c>
      <c r="M266" s="11" t="str">
        <f aca="false">IF($C266="","",G266-H266)</f>
        <v/>
      </c>
      <c r="N266" s="13" t="str">
        <f aca="false">IF($C266="","",IF(I266&lt;=0,"",J266/I266))</f>
        <v/>
      </c>
      <c r="O266" s="13" t="str">
        <f aca="false">IF($C266="","",IF(OR(L266="",J266&lt;=0),"",L266/J266))</f>
        <v/>
      </c>
      <c r="P266" s="13" t="str">
        <f aca="false">IF($C266="","",IF(G266&lt;=0,"",M266/G266))</f>
        <v/>
      </c>
      <c r="Q266" s="13" t="str">
        <f aca="false">IF(OR(N266="",O266="",P266=""),"",N266*O266*P266)</f>
        <v/>
      </c>
      <c r="R266" s="14" t="str">
        <f aca="false">IF($C266="","",IF(K266="","Machine not in Setup",IF(H266&gt;G266,"Rejects &gt; total parts",IF(J266&lt;0,"Downtime &gt; planned time",IF(AND(ISNUMBER(O266),O266&gt;1.05),"Performance &gt; 100%: check cycle time or counts","OK")))))</f>
        <v/>
      </c>
    </row>
    <row r="267" customFormat="false" ht="15" hidden="false" customHeight="false" outlineLevel="0" collapsed="false">
      <c r="A267" s="10"/>
      <c r="B267" s="8"/>
      <c r="C267" s="8"/>
      <c r="D267" s="8"/>
      <c r="E267" s="8"/>
      <c r="F267" s="8"/>
      <c r="G267" s="8"/>
      <c r="H267" s="8"/>
      <c r="I267" s="11" t="str">
        <f aca="false">IF($C267="","",D267-E267)</f>
        <v/>
      </c>
      <c r="J267" s="11" t="str">
        <f aca="false">IF($C267="","",I267-F267)</f>
        <v/>
      </c>
      <c r="K267" s="12" t="str">
        <f aca="false">IF($C267="","",IFERROR(INDEX(Setup!$B$5:$B$24,MATCH($C267,Setup!$A$5:$A$24,0)),""))</f>
        <v/>
      </c>
      <c r="L267" s="12" t="str">
        <f aca="false">IF(OR($C267="",K267=""),"",K267*G267/60)</f>
        <v/>
      </c>
      <c r="M267" s="11" t="str">
        <f aca="false">IF($C267="","",G267-H267)</f>
        <v/>
      </c>
      <c r="N267" s="13" t="str">
        <f aca="false">IF($C267="","",IF(I267&lt;=0,"",J267/I267))</f>
        <v/>
      </c>
      <c r="O267" s="13" t="str">
        <f aca="false">IF($C267="","",IF(OR(L267="",J267&lt;=0),"",L267/J267))</f>
        <v/>
      </c>
      <c r="P267" s="13" t="str">
        <f aca="false">IF($C267="","",IF(G267&lt;=0,"",M267/G267))</f>
        <v/>
      </c>
      <c r="Q267" s="13" t="str">
        <f aca="false">IF(OR(N267="",O267="",P267=""),"",N267*O267*P267)</f>
        <v/>
      </c>
      <c r="R267" s="14" t="str">
        <f aca="false">IF($C267="","",IF(K267="","Machine not in Setup",IF(H267&gt;G267,"Rejects &gt; total parts",IF(J267&lt;0,"Downtime &gt; planned time",IF(AND(ISNUMBER(O267),O267&gt;1.05),"Performance &gt; 100%: check cycle time or counts","OK")))))</f>
        <v/>
      </c>
    </row>
    <row r="268" customFormat="false" ht="15" hidden="false" customHeight="false" outlineLevel="0" collapsed="false">
      <c r="A268" s="10"/>
      <c r="B268" s="8"/>
      <c r="C268" s="8"/>
      <c r="D268" s="8"/>
      <c r="E268" s="8"/>
      <c r="F268" s="8"/>
      <c r="G268" s="8"/>
      <c r="H268" s="8"/>
      <c r="I268" s="11" t="str">
        <f aca="false">IF($C268="","",D268-E268)</f>
        <v/>
      </c>
      <c r="J268" s="11" t="str">
        <f aca="false">IF($C268="","",I268-F268)</f>
        <v/>
      </c>
      <c r="K268" s="12" t="str">
        <f aca="false">IF($C268="","",IFERROR(INDEX(Setup!$B$5:$B$24,MATCH($C268,Setup!$A$5:$A$24,0)),""))</f>
        <v/>
      </c>
      <c r="L268" s="12" t="str">
        <f aca="false">IF(OR($C268="",K268=""),"",K268*G268/60)</f>
        <v/>
      </c>
      <c r="M268" s="11" t="str">
        <f aca="false">IF($C268="","",G268-H268)</f>
        <v/>
      </c>
      <c r="N268" s="13" t="str">
        <f aca="false">IF($C268="","",IF(I268&lt;=0,"",J268/I268))</f>
        <v/>
      </c>
      <c r="O268" s="13" t="str">
        <f aca="false">IF($C268="","",IF(OR(L268="",J268&lt;=0),"",L268/J268))</f>
        <v/>
      </c>
      <c r="P268" s="13" t="str">
        <f aca="false">IF($C268="","",IF(G268&lt;=0,"",M268/G268))</f>
        <v/>
      </c>
      <c r="Q268" s="13" t="str">
        <f aca="false">IF(OR(N268="",O268="",P268=""),"",N268*O268*P268)</f>
        <v/>
      </c>
      <c r="R268" s="14" t="str">
        <f aca="false">IF($C268="","",IF(K268="","Machine not in Setup",IF(H268&gt;G268,"Rejects &gt; total parts",IF(J268&lt;0,"Downtime &gt; planned time",IF(AND(ISNUMBER(O268),O268&gt;1.05),"Performance &gt; 100%: check cycle time or counts","OK")))))</f>
        <v/>
      </c>
    </row>
    <row r="269" customFormat="false" ht="15" hidden="false" customHeight="false" outlineLevel="0" collapsed="false">
      <c r="A269" s="10"/>
      <c r="B269" s="8"/>
      <c r="C269" s="8"/>
      <c r="D269" s="8"/>
      <c r="E269" s="8"/>
      <c r="F269" s="8"/>
      <c r="G269" s="8"/>
      <c r="H269" s="8"/>
      <c r="I269" s="11" t="str">
        <f aca="false">IF($C269="","",D269-E269)</f>
        <v/>
      </c>
      <c r="J269" s="11" t="str">
        <f aca="false">IF($C269="","",I269-F269)</f>
        <v/>
      </c>
      <c r="K269" s="12" t="str">
        <f aca="false">IF($C269="","",IFERROR(INDEX(Setup!$B$5:$B$24,MATCH($C269,Setup!$A$5:$A$24,0)),""))</f>
        <v/>
      </c>
      <c r="L269" s="12" t="str">
        <f aca="false">IF(OR($C269="",K269=""),"",K269*G269/60)</f>
        <v/>
      </c>
      <c r="M269" s="11" t="str">
        <f aca="false">IF($C269="","",G269-H269)</f>
        <v/>
      </c>
      <c r="N269" s="13" t="str">
        <f aca="false">IF($C269="","",IF(I269&lt;=0,"",J269/I269))</f>
        <v/>
      </c>
      <c r="O269" s="13" t="str">
        <f aca="false">IF($C269="","",IF(OR(L269="",J269&lt;=0),"",L269/J269))</f>
        <v/>
      </c>
      <c r="P269" s="13" t="str">
        <f aca="false">IF($C269="","",IF(G269&lt;=0,"",M269/G269))</f>
        <v/>
      </c>
      <c r="Q269" s="13" t="str">
        <f aca="false">IF(OR(N269="",O269="",P269=""),"",N269*O269*P269)</f>
        <v/>
      </c>
      <c r="R269" s="14" t="str">
        <f aca="false">IF($C269="","",IF(K269="","Machine not in Setup",IF(H269&gt;G269,"Rejects &gt; total parts",IF(J269&lt;0,"Downtime &gt; planned time",IF(AND(ISNUMBER(O269),O269&gt;1.05),"Performance &gt; 100%: check cycle time or counts","OK")))))</f>
        <v/>
      </c>
    </row>
    <row r="270" customFormat="false" ht="15" hidden="false" customHeight="false" outlineLevel="0" collapsed="false">
      <c r="A270" s="10"/>
      <c r="B270" s="8"/>
      <c r="C270" s="8"/>
      <c r="D270" s="8"/>
      <c r="E270" s="8"/>
      <c r="F270" s="8"/>
      <c r="G270" s="8"/>
      <c r="H270" s="8"/>
      <c r="I270" s="11" t="str">
        <f aca="false">IF($C270="","",D270-E270)</f>
        <v/>
      </c>
      <c r="J270" s="11" t="str">
        <f aca="false">IF($C270="","",I270-F270)</f>
        <v/>
      </c>
      <c r="K270" s="12" t="str">
        <f aca="false">IF($C270="","",IFERROR(INDEX(Setup!$B$5:$B$24,MATCH($C270,Setup!$A$5:$A$24,0)),""))</f>
        <v/>
      </c>
      <c r="L270" s="12" t="str">
        <f aca="false">IF(OR($C270="",K270=""),"",K270*G270/60)</f>
        <v/>
      </c>
      <c r="M270" s="11" t="str">
        <f aca="false">IF($C270="","",G270-H270)</f>
        <v/>
      </c>
      <c r="N270" s="13" t="str">
        <f aca="false">IF($C270="","",IF(I270&lt;=0,"",J270/I270))</f>
        <v/>
      </c>
      <c r="O270" s="13" t="str">
        <f aca="false">IF($C270="","",IF(OR(L270="",J270&lt;=0),"",L270/J270))</f>
        <v/>
      </c>
      <c r="P270" s="13" t="str">
        <f aca="false">IF($C270="","",IF(G270&lt;=0,"",M270/G270))</f>
        <v/>
      </c>
      <c r="Q270" s="13" t="str">
        <f aca="false">IF(OR(N270="",O270="",P270=""),"",N270*O270*P270)</f>
        <v/>
      </c>
      <c r="R270" s="14" t="str">
        <f aca="false">IF($C270="","",IF(K270="","Machine not in Setup",IF(H270&gt;G270,"Rejects &gt; total parts",IF(J270&lt;0,"Downtime &gt; planned time",IF(AND(ISNUMBER(O270),O270&gt;1.05),"Performance &gt; 100%: check cycle time or counts","OK")))))</f>
        <v/>
      </c>
    </row>
    <row r="271" customFormat="false" ht="15" hidden="false" customHeight="false" outlineLevel="0" collapsed="false">
      <c r="A271" s="10"/>
      <c r="B271" s="8"/>
      <c r="C271" s="8"/>
      <c r="D271" s="8"/>
      <c r="E271" s="8"/>
      <c r="F271" s="8"/>
      <c r="G271" s="8"/>
      <c r="H271" s="8"/>
      <c r="I271" s="11" t="str">
        <f aca="false">IF($C271="","",D271-E271)</f>
        <v/>
      </c>
      <c r="J271" s="11" t="str">
        <f aca="false">IF($C271="","",I271-F271)</f>
        <v/>
      </c>
      <c r="K271" s="12" t="str">
        <f aca="false">IF($C271="","",IFERROR(INDEX(Setup!$B$5:$B$24,MATCH($C271,Setup!$A$5:$A$24,0)),""))</f>
        <v/>
      </c>
      <c r="L271" s="12" t="str">
        <f aca="false">IF(OR($C271="",K271=""),"",K271*G271/60)</f>
        <v/>
      </c>
      <c r="M271" s="11" t="str">
        <f aca="false">IF($C271="","",G271-H271)</f>
        <v/>
      </c>
      <c r="N271" s="13" t="str">
        <f aca="false">IF($C271="","",IF(I271&lt;=0,"",J271/I271))</f>
        <v/>
      </c>
      <c r="O271" s="13" t="str">
        <f aca="false">IF($C271="","",IF(OR(L271="",J271&lt;=0),"",L271/J271))</f>
        <v/>
      </c>
      <c r="P271" s="13" t="str">
        <f aca="false">IF($C271="","",IF(G271&lt;=0,"",M271/G271))</f>
        <v/>
      </c>
      <c r="Q271" s="13" t="str">
        <f aca="false">IF(OR(N271="",O271="",P271=""),"",N271*O271*P271)</f>
        <v/>
      </c>
      <c r="R271" s="14" t="str">
        <f aca="false">IF($C271="","",IF(K271="","Machine not in Setup",IF(H271&gt;G271,"Rejects &gt; total parts",IF(J271&lt;0,"Downtime &gt; planned time",IF(AND(ISNUMBER(O271),O271&gt;1.05),"Performance &gt; 100%: check cycle time or counts","OK")))))</f>
        <v/>
      </c>
    </row>
    <row r="272" customFormat="false" ht="15" hidden="false" customHeight="false" outlineLevel="0" collapsed="false">
      <c r="A272" s="10"/>
      <c r="B272" s="8"/>
      <c r="C272" s="8"/>
      <c r="D272" s="8"/>
      <c r="E272" s="8"/>
      <c r="F272" s="8"/>
      <c r="G272" s="8"/>
      <c r="H272" s="8"/>
      <c r="I272" s="11" t="str">
        <f aca="false">IF($C272="","",D272-E272)</f>
        <v/>
      </c>
      <c r="J272" s="11" t="str">
        <f aca="false">IF($C272="","",I272-F272)</f>
        <v/>
      </c>
      <c r="K272" s="12" t="str">
        <f aca="false">IF($C272="","",IFERROR(INDEX(Setup!$B$5:$B$24,MATCH($C272,Setup!$A$5:$A$24,0)),""))</f>
        <v/>
      </c>
      <c r="L272" s="12" t="str">
        <f aca="false">IF(OR($C272="",K272=""),"",K272*G272/60)</f>
        <v/>
      </c>
      <c r="M272" s="11" t="str">
        <f aca="false">IF($C272="","",G272-H272)</f>
        <v/>
      </c>
      <c r="N272" s="13" t="str">
        <f aca="false">IF($C272="","",IF(I272&lt;=0,"",J272/I272))</f>
        <v/>
      </c>
      <c r="O272" s="13" t="str">
        <f aca="false">IF($C272="","",IF(OR(L272="",J272&lt;=0),"",L272/J272))</f>
        <v/>
      </c>
      <c r="P272" s="13" t="str">
        <f aca="false">IF($C272="","",IF(G272&lt;=0,"",M272/G272))</f>
        <v/>
      </c>
      <c r="Q272" s="13" t="str">
        <f aca="false">IF(OR(N272="",O272="",P272=""),"",N272*O272*P272)</f>
        <v/>
      </c>
      <c r="R272" s="14" t="str">
        <f aca="false">IF($C272="","",IF(K272="","Machine not in Setup",IF(H272&gt;G272,"Rejects &gt; total parts",IF(J272&lt;0,"Downtime &gt; planned time",IF(AND(ISNUMBER(O272),O272&gt;1.05),"Performance &gt; 100%: check cycle time or counts","OK")))))</f>
        <v/>
      </c>
    </row>
    <row r="273" customFormat="false" ht="15" hidden="false" customHeight="false" outlineLevel="0" collapsed="false">
      <c r="A273" s="10"/>
      <c r="B273" s="8"/>
      <c r="C273" s="8"/>
      <c r="D273" s="8"/>
      <c r="E273" s="8"/>
      <c r="F273" s="8"/>
      <c r="G273" s="8"/>
      <c r="H273" s="8"/>
      <c r="I273" s="11" t="str">
        <f aca="false">IF($C273="","",D273-E273)</f>
        <v/>
      </c>
      <c r="J273" s="11" t="str">
        <f aca="false">IF($C273="","",I273-F273)</f>
        <v/>
      </c>
      <c r="K273" s="12" t="str">
        <f aca="false">IF($C273="","",IFERROR(INDEX(Setup!$B$5:$B$24,MATCH($C273,Setup!$A$5:$A$24,0)),""))</f>
        <v/>
      </c>
      <c r="L273" s="12" t="str">
        <f aca="false">IF(OR($C273="",K273=""),"",K273*G273/60)</f>
        <v/>
      </c>
      <c r="M273" s="11" t="str">
        <f aca="false">IF($C273="","",G273-H273)</f>
        <v/>
      </c>
      <c r="N273" s="13" t="str">
        <f aca="false">IF($C273="","",IF(I273&lt;=0,"",J273/I273))</f>
        <v/>
      </c>
      <c r="O273" s="13" t="str">
        <f aca="false">IF($C273="","",IF(OR(L273="",J273&lt;=0),"",L273/J273))</f>
        <v/>
      </c>
      <c r="P273" s="13" t="str">
        <f aca="false">IF($C273="","",IF(G273&lt;=0,"",M273/G273))</f>
        <v/>
      </c>
      <c r="Q273" s="13" t="str">
        <f aca="false">IF(OR(N273="",O273="",P273=""),"",N273*O273*P273)</f>
        <v/>
      </c>
      <c r="R273" s="14" t="str">
        <f aca="false">IF($C273="","",IF(K273="","Machine not in Setup",IF(H273&gt;G273,"Rejects &gt; total parts",IF(J273&lt;0,"Downtime &gt; planned time",IF(AND(ISNUMBER(O273),O273&gt;1.05),"Performance &gt; 100%: check cycle time or counts","OK")))))</f>
        <v/>
      </c>
    </row>
    <row r="274" customFormat="false" ht="15" hidden="false" customHeight="false" outlineLevel="0" collapsed="false">
      <c r="A274" s="10"/>
      <c r="B274" s="8"/>
      <c r="C274" s="8"/>
      <c r="D274" s="8"/>
      <c r="E274" s="8"/>
      <c r="F274" s="8"/>
      <c r="G274" s="8"/>
      <c r="H274" s="8"/>
      <c r="I274" s="11" t="str">
        <f aca="false">IF($C274="","",D274-E274)</f>
        <v/>
      </c>
      <c r="J274" s="11" t="str">
        <f aca="false">IF($C274="","",I274-F274)</f>
        <v/>
      </c>
      <c r="K274" s="12" t="str">
        <f aca="false">IF($C274="","",IFERROR(INDEX(Setup!$B$5:$B$24,MATCH($C274,Setup!$A$5:$A$24,0)),""))</f>
        <v/>
      </c>
      <c r="L274" s="12" t="str">
        <f aca="false">IF(OR($C274="",K274=""),"",K274*G274/60)</f>
        <v/>
      </c>
      <c r="M274" s="11" t="str">
        <f aca="false">IF($C274="","",G274-H274)</f>
        <v/>
      </c>
      <c r="N274" s="13" t="str">
        <f aca="false">IF($C274="","",IF(I274&lt;=0,"",J274/I274))</f>
        <v/>
      </c>
      <c r="O274" s="13" t="str">
        <f aca="false">IF($C274="","",IF(OR(L274="",J274&lt;=0),"",L274/J274))</f>
        <v/>
      </c>
      <c r="P274" s="13" t="str">
        <f aca="false">IF($C274="","",IF(G274&lt;=0,"",M274/G274))</f>
        <v/>
      </c>
      <c r="Q274" s="13" t="str">
        <f aca="false">IF(OR(N274="",O274="",P274=""),"",N274*O274*P274)</f>
        <v/>
      </c>
      <c r="R274" s="14" t="str">
        <f aca="false">IF($C274="","",IF(K274="","Machine not in Setup",IF(H274&gt;G274,"Rejects &gt; total parts",IF(J274&lt;0,"Downtime &gt; planned time",IF(AND(ISNUMBER(O274),O274&gt;1.05),"Performance &gt; 100%: check cycle time or counts","OK")))))</f>
        <v/>
      </c>
    </row>
    <row r="275" customFormat="false" ht="15" hidden="false" customHeight="false" outlineLevel="0" collapsed="false">
      <c r="A275" s="10"/>
      <c r="B275" s="8"/>
      <c r="C275" s="8"/>
      <c r="D275" s="8"/>
      <c r="E275" s="8"/>
      <c r="F275" s="8"/>
      <c r="G275" s="8"/>
      <c r="H275" s="8"/>
      <c r="I275" s="11" t="str">
        <f aca="false">IF($C275="","",D275-E275)</f>
        <v/>
      </c>
      <c r="J275" s="11" t="str">
        <f aca="false">IF($C275="","",I275-F275)</f>
        <v/>
      </c>
      <c r="K275" s="12" t="str">
        <f aca="false">IF($C275="","",IFERROR(INDEX(Setup!$B$5:$B$24,MATCH($C275,Setup!$A$5:$A$24,0)),""))</f>
        <v/>
      </c>
      <c r="L275" s="12" t="str">
        <f aca="false">IF(OR($C275="",K275=""),"",K275*G275/60)</f>
        <v/>
      </c>
      <c r="M275" s="11" t="str">
        <f aca="false">IF($C275="","",G275-H275)</f>
        <v/>
      </c>
      <c r="N275" s="13" t="str">
        <f aca="false">IF($C275="","",IF(I275&lt;=0,"",J275/I275))</f>
        <v/>
      </c>
      <c r="O275" s="13" t="str">
        <f aca="false">IF($C275="","",IF(OR(L275="",J275&lt;=0),"",L275/J275))</f>
        <v/>
      </c>
      <c r="P275" s="13" t="str">
        <f aca="false">IF($C275="","",IF(G275&lt;=0,"",M275/G275))</f>
        <v/>
      </c>
      <c r="Q275" s="13" t="str">
        <f aca="false">IF(OR(N275="",O275="",P275=""),"",N275*O275*P275)</f>
        <v/>
      </c>
      <c r="R275" s="14" t="str">
        <f aca="false">IF($C275="","",IF(K275="","Machine not in Setup",IF(H275&gt;G275,"Rejects &gt; total parts",IF(J275&lt;0,"Downtime &gt; planned time",IF(AND(ISNUMBER(O275),O275&gt;1.05),"Performance &gt; 100%: check cycle time or counts","OK")))))</f>
        <v/>
      </c>
    </row>
    <row r="276" customFormat="false" ht="15" hidden="false" customHeight="false" outlineLevel="0" collapsed="false">
      <c r="A276" s="10"/>
      <c r="B276" s="8"/>
      <c r="C276" s="8"/>
      <c r="D276" s="8"/>
      <c r="E276" s="8"/>
      <c r="F276" s="8"/>
      <c r="G276" s="8"/>
      <c r="H276" s="8"/>
      <c r="I276" s="11" t="str">
        <f aca="false">IF($C276="","",D276-E276)</f>
        <v/>
      </c>
      <c r="J276" s="11" t="str">
        <f aca="false">IF($C276="","",I276-F276)</f>
        <v/>
      </c>
      <c r="K276" s="12" t="str">
        <f aca="false">IF($C276="","",IFERROR(INDEX(Setup!$B$5:$B$24,MATCH($C276,Setup!$A$5:$A$24,0)),""))</f>
        <v/>
      </c>
      <c r="L276" s="12" t="str">
        <f aca="false">IF(OR($C276="",K276=""),"",K276*G276/60)</f>
        <v/>
      </c>
      <c r="M276" s="11" t="str">
        <f aca="false">IF($C276="","",G276-H276)</f>
        <v/>
      </c>
      <c r="N276" s="13" t="str">
        <f aca="false">IF($C276="","",IF(I276&lt;=0,"",J276/I276))</f>
        <v/>
      </c>
      <c r="O276" s="13" t="str">
        <f aca="false">IF($C276="","",IF(OR(L276="",J276&lt;=0),"",L276/J276))</f>
        <v/>
      </c>
      <c r="P276" s="13" t="str">
        <f aca="false">IF($C276="","",IF(G276&lt;=0,"",M276/G276))</f>
        <v/>
      </c>
      <c r="Q276" s="13" t="str">
        <f aca="false">IF(OR(N276="",O276="",P276=""),"",N276*O276*P276)</f>
        <v/>
      </c>
      <c r="R276" s="14" t="str">
        <f aca="false">IF($C276="","",IF(K276="","Machine not in Setup",IF(H276&gt;G276,"Rejects &gt; total parts",IF(J276&lt;0,"Downtime &gt; planned time",IF(AND(ISNUMBER(O276),O276&gt;1.05),"Performance &gt; 100%: check cycle time or counts","OK")))))</f>
        <v/>
      </c>
    </row>
    <row r="277" customFormat="false" ht="15" hidden="false" customHeight="false" outlineLevel="0" collapsed="false">
      <c r="A277" s="10"/>
      <c r="B277" s="8"/>
      <c r="C277" s="8"/>
      <c r="D277" s="8"/>
      <c r="E277" s="8"/>
      <c r="F277" s="8"/>
      <c r="G277" s="8"/>
      <c r="H277" s="8"/>
      <c r="I277" s="11" t="str">
        <f aca="false">IF($C277="","",D277-E277)</f>
        <v/>
      </c>
      <c r="J277" s="11" t="str">
        <f aca="false">IF($C277="","",I277-F277)</f>
        <v/>
      </c>
      <c r="K277" s="12" t="str">
        <f aca="false">IF($C277="","",IFERROR(INDEX(Setup!$B$5:$B$24,MATCH($C277,Setup!$A$5:$A$24,0)),""))</f>
        <v/>
      </c>
      <c r="L277" s="12" t="str">
        <f aca="false">IF(OR($C277="",K277=""),"",K277*G277/60)</f>
        <v/>
      </c>
      <c r="M277" s="11" t="str">
        <f aca="false">IF($C277="","",G277-H277)</f>
        <v/>
      </c>
      <c r="N277" s="13" t="str">
        <f aca="false">IF($C277="","",IF(I277&lt;=0,"",J277/I277))</f>
        <v/>
      </c>
      <c r="O277" s="13" t="str">
        <f aca="false">IF($C277="","",IF(OR(L277="",J277&lt;=0),"",L277/J277))</f>
        <v/>
      </c>
      <c r="P277" s="13" t="str">
        <f aca="false">IF($C277="","",IF(G277&lt;=0,"",M277/G277))</f>
        <v/>
      </c>
      <c r="Q277" s="13" t="str">
        <f aca="false">IF(OR(N277="",O277="",P277=""),"",N277*O277*P277)</f>
        <v/>
      </c>
      <c r="R277" s="14" t="str">
        <f aca="false">IF($C277="","",IF(K277="","Machine not in Setup",IF(H277&gt;G277,"Rejects &gt; total parts",IF(J277&lt;0,"Downtime &gt; planned time",IF(AND(ISNUMBER(O277),O277&gt;1.05),"Performance &gt; 100%: check cycle time or counts","OK")))))</f>
        <v/>
      </c>
    </row>
    <row r="278" customFormat="false" ht="15" hidden="false" customHeight="false" outlineLevel="0" collapsed="false">
      <c r="A278" s="10"/>
      <c r="B278" s="8"/>
      <c r="C278" s="8"/>
      <c r="D278" s="8"/>
      <c r="E278" s="8"/>
      <c r="F278" s="8"/>
      <c r="G278" s="8"/>
      <c r="H278" s="8"/>
      <c r="I278" s="11" t="str">
        <f aca="false">IF($C278="","",D278-E278)</f>
        <v/>
      </c>
      <c r="J278" s="11" t="str">
        <f aca="false">IF($C278="","",I278-F278)</f>
        <v/>
      </c>
      <c r="K278" s="12" t="str">
        <f aca="false">IF($C278="","",IFERROR(INDEX(Setup!$B$5:$B$24,MATCH($C278,Setup!$A$5:$A$24,0)),""))</f>
        <v/>
      </c>
      <c r="L278" s="12" t="str">
        <f aca="false">IF(OR($C278="",K278=""),"",K278*G278/60)</f>
        <v/>
      </c>
      <c r="M278" s="11" t="str">
        <f aca="false">IF($C278="","",G278-H278)</f>
        <v/>
      </c>
      <c r="N278" s="13" t="str">
        <f aca="false">IF($C278="","",IF(I278&lt;=0,"",J278/I278))</f>
        <v/>
      </c>
      <c r="O278" s="13" t="str">
        <f aca="false">IF($C278="","",IF(OR(L278="",J278&lt;=0),"",L278/J278))</f>
        <v/>
      </c>
      <c r="P278" s="13" t="str">
        <f aca="false">IF($C278="","",IF(G278&lt;=0,"",M278/G278))</f>
        <v/>
      </c>
      <c r="Q278" s="13" t="str">
        <f aca="false">IF(OR(N278="",O278="",P278=""),"",N278*O278*P278)</f>
        <v/>
      </c>
      <c r="R278" s="14" t="str">
        <f aca="false">IF($C278="","",IF(K278="","Machine not in Setup",IF(H278&gt;G278,"Rejects &gt; total parts",IF(J278&lt;0,"Downtime &gt; planned time",IF(AND(ISNUMBER(O278),O278&gt;1.05),"Performance &gt; 100%: check cycle time or counts","OK")))))</f>
        <v/>
      </c>
    </row>
    <row r="279" customFormat="false" ht="15" hidden="false" customHeight="false" outlineLevel="0" collapsed="false">
      <c r="A279" s="10"/>
      <c r="B279" s="8"/>
      <c r="C279" s="8"/>
      <c r="D279" s="8"/>
      <c r="E279" s="8"/>
      <c r="F279" s="8"/>
      <c r="G279" s="8"/>
      <c r="H279" s="8"/>
      <c r="I279" s="11" t="str">
        <f aca="false">IF($C279="","",D279-E279)</f>
        <v/>
      </c>
      <c r="J279" s="11" t="str">
        <f aca="false">IF($C279="","",I279-F279)</f>
        <v/>
      </c>
      <c r="K279" s="12" t="str">
        <f aca="false">IF($C279="","",IFERROR(INDEX(Setup!$B$5:$B$24,MATCH($C279,Setup!$A$5:$A$24,0)),""))</f>
        <v/>
      </c>
      <c r="L279" s="12" t="str">
        <f aca="false">IF(OR($C279="",K279=""),"",K279*G279/60)</f>
        <v/>
      </c>
      <c r="M279" s="11" t="str">
        <f aca="false">IF($C279="","",G279-H279)</f>
        <v/>
      </c>
      <c r="N279" s="13" t="str">
        <f aca="false">IF($C279="","",IF(I279&lt;=0,"",J279/I279))</f>
        <v/>
      </c>
      <c r="O279" s="13" t="str">
        <f aca="false">IF($C279="","",IF(OR(L279="",J279&lt;=0),"",L279/J279))</f>
        <v/>
      </c>
      <c r="P279" s="13" t="str">
        <f aca="false">IF($C279="","",IF(G279&lt;=0,"",M279/G279))</f>
        <v/>
      </c>
      <c r="Q279" s="13" t="str">
        <f aca="false">IF(OR(N279="",O279="",P279=""),"",N279*O279*P279)</f>
        <v/>
      </c>
      <c r="R279" s="14" t="str">
        <f aca="false">IF($C279="","",IF(K279="","Machine not in Setup",IF(H279&gt;G279,"Rejects &gt; total parts",IF(J279&lt;0,"Downtime &gt; planned time",IF(AND(ISNUMBER(O279),O279&gt;1.05),"Performance &gt; 100%: check cycle time or counts","OK")))))</f>
        <v/>
      </c>
    </row>
    <row r="280" customFormat="false" ht="15" hidden="false" customHeight="false" outlineLevel="0" collapsed="false">
      <c r="A280" s="10"/>
      <c r="B280" s="8"/>
      <c r="C280" s="8"/>
      <c r="D280" s="8"/>
      <c r="E280" s="8"/>
      <c r="F280" s="8"/>
      <c r="G280" s="8"/>
      <c r="H280" s="8"/>
      <c r="I280" s="11" t="str">
        <f aca="false">IF($C280="","",D280-E280)</f>
        <v/>
      </c>
      <c r="J280" s="11" t="str">
        <f aca="false">IF($C280="","",I280-F280)</f>
        <v/>
      </c>
      <c r="K280" s="12" t="str">
        <f aca="false">IF($C280="","",IFERROR(INDEX(Setup!$B$5:$B$24,MATCH($C280,Setup!$A$5:$A$24,0)),""))</f>
        <v/>
      </c>
      <c r="L280" s="12" t="str">
        <f aca="false">IF(OR($C280="",K280=""),"",K280*G280/60)</f>
        <v/>
      </c>
      <c r="M280" s="11" t="str">
        <f aca="false">IF($C280="","",G280-H280)</f>
        <v/>
      </c>
      <c r="N280" s="13" t="str">
        <f aca="false">IF($C280="","",IF(I280&lt;=0,"",J280/I280))</f>
        <v/>
      </c>
      <c r="O280" s="13" t="str">
        <f aca="false">IF($C280="","",IF(OR(L280="",J280&lt;=0),"",L280/J280))</f>
        <v/>
      </c>
      <c r="P280" s="13" t="str">
        <f aca="false">IF($C280="","",IF(G280&lt;=0,"",M280/G280))</f>
        <v/>
      </c>
      <c r="Q280" s="13" t="str">
        <f aca="false">IF(OR(N280="",O280="",P280=""),"",N280*O280*P280)</f>
        <v/>
      </c>
      <c r="R280" s="14" t="str">
        <f aca="false">IF($C280="","",IF(K280="","Machine not in Setup",IF(H280&gt;G280,"Rejects &gt; total parts",IF(J280&lt;0,"Downtime &gt; planned time",IF(AND(ISNUMBER(O280),O280&gt;1.05),"Performance &gt; 100%: check cycle time or counts","OK")))))</f>
        <v/>
      </c>
    </row>
    <row r="281" customFormat="false" ht="15" hidden="false" customHeight="false" outlineLevel="0" collapsed="false">
      <c r="A281" s="10"/>
      <c r="B281" s="8"/>
      <c r="C281" s="8"/>
      <c r="D281" s="8"/>
      <c r="E281" s="8"/>
      <c r="F281" s="8"/>
      <c r="G281" s="8"/>
      <c r="H281" s="8"/>
      <c r="I281" s="11" t="str">
        <f aca="false">IF($C281="","",D281-E281)</f>
        <v/>
      </c>
      <c r="J281" s="11" t="str">
        <f aca="false">IF($C281="","",I281-F281)</f>
        <v/>
      </c>
      <c r="K281" s="12" t="str">
        <f aca="false">IF($C281="","",IFERROR(INDEX(Setup!$B$5:$B$24,MATCH($C281,Setup!$A$5:$A$24,0)),""))</f>
        <v/>
      </c>
      <c r="L281" s="12" t="str">
        <f aca="false">IF(OR($C281="",K281=""),"",K281*G281/60)</f>
        <v/>
      </c>
      <c r="M281" s="11" t="str">
        <f aca="false">IF($C281="","",G281-H281)</f>
        <v/>
      </c>
      <c r="N281" s="13" t="str">
        <f aca="false">IF($C281="","",IF(I281&lt;=0,"",J281/I281))</f>
        <v/>
      </c>
      <c r="O281" s="13" t="str">
        <f aca="false">IF($C281="","",IF(OR(L281="",J281&lt;=0),"",L281/J281))</f>
        <v/>
      </c>
      <c r="P281" s="13" t="str">
        <f aca="false">IF($C281="","",IF(G281&lt;=0,"",M281/G281))</f>
        <v/>
      </c>
      <c r="Q281" s="13" t="str">
        <f aca="false">IF(OR(N281="",O281="",P281=""),"",N281*O281*P281)</f>
        <v/>
      </c>
      <c r="R281" s="14" t="str">
        <f aca="false">IF($C281="","",IF(K281="","Machine not in Setup",IF(H281&gt;G281,"Rejects &gt; total parts",IF(J281&lt;0,"Downtime &gt; planned time",IF(AND(ISNUMBER(O281),O281&gt;1.05),"Performance &gt; 100%: check cycle time or counts","OK")))))</f>
        <v/>
      </c>
    </row>
    <row r="282" customFormat="false" ht="15" hidden="false" customHeight="false" outlineLevel="0" collapsed="false">
      <c r="A282" s="10"/>
      <c r="B282" s="8"/>
      <c r="C282" s="8"/>
      <c r="D282" s="8"/>
      <c r="E282" s="8"/>
      <c r="F282" s="8"/>
      <c r="G282" s="8"/>
      <c r="H282" s="8"/>
      <c r="I282" s="11" t="str">
        <f aca="false">IF($C282="","",D282-E282)</f>
        <v/>
      </c>
      <c r="J282" s="11" t="str">
        <f aca="false">IF($C282="","",I282-F282)</f>
        <v/>
      </c>
      <c r="K282" s="12" t="str">
        <f aca="false">IF($C282="","",IFERROR(INDEX(Setup!$B$5:$B$24,MATCH($C282,Setup!$A$5:$A$24,0)),""))</f>
        <v/>
      </c>
      <c r="L282" s="12" t="str">
        <f aca="false">IF(OR($C282="",K282=""),"",K282*G282/60)</f>
        <v/>
      </c>
      <c r="M282" s="11" t="str">
        <f aca="false">IF($C282="","",G282-H282)</f>
        <v/>
      </c>
      <c r="N282" s="13" t="str">
        <f aca="false">IF($C282="","",IF(I282&lt;=0,"",J282/I282))</f>
        <v/>
      </c>
      <c r="O282" s="13" t="str">
        <f aca="false">IF($C282="","",IF(OR(L282="",J282&lt;=0),"",L282/J282))</f>
        <v/>
      </c>
      <c r="P282" s="13" t="str">
        <f aca="false">IF($C282="","",IF(G282&lt;=0,"",M282/G282))</f>
        <v/>
      </c>
      <c r="Q282" s="13" t="str">
        <f aca="false">IF(OR(N282="",O282="",P282=""),"",N282*O282*P282)</f>
        <v/>
      </c>
      <c r="R282" s="14" t="str">
        <f aca="false">IF($C282="","",IF(K282="","Machine not in Setup",IF(H282&gt;G282,"Rejects &gt; total parts",IF(J282&lt;0,"Downtime &gt; planned time",IF(AND(ISNUMBER(O282),O282&gt;1.05),"Performance &gt; 100%: check cycle time or counts","OK")))))</f>
        <v/>
      </c>
    </row>
    <row r="283" customFormat="false" ht="15" hidden="false" customHeight="false" outlineLevel="0" collapsed="false">
      <c r="A283" s="10"/>
      <c r="B283" s="8"/>
      <c r="C283" s="8"/>
      <c r="D283" s="8"/>
      <c r="E283" s="8"/>
      <c r="F283" s="8"/>
      <c r="G283" s="8"/>
      <c r="H283" s="8"/>
      <c r="I283" s="11" t="str">
        <f aca="false">IF($C283="","",D283-E283)</f>
        <v/>
      </c>
      <c r="J283" s="11" t="str">
        <f aca="false">IF($C283="","",I283-F283)</f>
        <v/>
      </c>
      <c r="K283" s="12" t="str">
        <f aca="false">IF($C283="","",IFERROR(INDEX(Setup!$B$5:$B$24,MATCH($C283,Setup!$A$5:$A$24,0)),""))</f>
        <v/>
      </c>
      <c r="L283" s="12" t="str">
        <f aca="false">IF(OR($C283="",K283=""),"",K283*G283/60)</f>
        <v/>
      </c>
      <c r="M283" s="11" t="str">
        <f aca="false">IF($C283="","",G283-H283)</f>
        <v/>
      </c>
      <c r="N283" s="13" t="str">
        <f aca="false">IF($C283="","",IF(I283&lt;=0,"",J283/I283))</f>
        <v/>
      </c>
      <c r="O283" s="13" t="str">
        <f aca="false">IF($C283="","",IF(OR(L283="",J283&lt;=0),"",L283/J283))</f>
        <v/>
      </c>
      <c r="P283" s="13" t="str">
        <f aca="false">IF($C283="","",IF(G283&lt;=0,"",M283/G283))</f>
        <v/>
      </c>
      <c r="Q283" s="13" t="str">
        <f aca="false">IF(OR(N283="",O283="",P283=""),"",N283*O283*P283)</f>
        <v/>
      </c>
      <c r="R283" s="14" t="str">
        <f aca="false">IF($C283="","",IF(K283="","Machine not in Setup",IF(H283&gt;G283,"Rejects &gt; total parts",IF(J283&lt;0,"Downtime &gt; planned time",IF(AND(ISNUMBER(O283),O283&gt;1.05),"Performance &gt; 100%: check cycle time or counts","OK")))))</f>
        <v/>
      </c>
    </row>
    <row r="284" customFormat="false" ht="15" hidden="false" customHeight="false" outlineLevel="0" collapsed="false">
      <c r="A284" s="10"/>
      <c r="B284" s="8"/>
      <c r="C284" s="8"/>
      <c r="D284" s="8"/>
      <c r="E284" s="8"/>
      <c r="F284" s="8"/>
      <c r="G284" s="8"/>
      <c r="H284" s="8"/>
      <c r="I284" s="11" t="str">
        <f aca="false">IF($C284="","",D284-E284)</f>
        <v/>
      </c>
      <c r="J284" s="11" t="str">
        <f aca="false">IF($C284="","",I284-F284)</f>
        <v/>
      </c>
      <c r="K284" s="12" t="str">
        <f aca="false">IF($C284="","",IFERROR(INDEX(Setup!$B$5:$B$24,MATCH($C284,Setup!$A$5:$A$24,0)),""))</f>
        <v/>
      </c>
      <c r="L284" s="12" t="str">
        <f aca="false">IF(OR($C284="",K284=""),"",K284*G284/60)</f>
        <v/>
      </c>
      <c r="M284" s="11" t="str">
        <f aca="false">IF($C284="","",G284-H284)</f>
        <v/>
      </c>
      <c r="N284" s="13" t="str">
        <f aca="false">IF($C284="","",IF(I284&lt;=0,"",J284/I284))</f>
        <v/>
      </c>
      <c r="O284" s="13" t="str">
        <f aca="false">IF($C284="","",IF(OR(L284="",J284&lt;=0),"",L284/J284))</f>
        <v/>
      </c>
      <c r="P284" s="13" t="str">
        <f aca="false">IF($C284="","",IF(G284&lt;=0,"",M284/G284))</f>
        <v/>
      </c>
      <c r="Q284" s="13" t="str">
        <f aca="false">IF(OR(N284="",O284="",P284=""),"",N284*O284*P284)</f>
        <v/>
      </c>
      <c r="R284" s="14" t="str">
        <f aca="false">IF($C284="","",IF(K284="","Machine not in Setup",IF(H284&gt;G284,"Rejects &gt; total parts",IF(J284&lt;0,"Downtime &gt; planned time",IF(AND(ISNUMBER(O284),O284&gt;1.05),"Performance &gt; 100%: check cycle time or counts","OK")))))</f>
        <v/>
      </c>
    </row>
    <row r="285" customFormat="false" ht="15" hidden="false" customHeight="false" outlineLevel="0" collapsed="false">
      <c r="A285" s="10"/>
      <c r="B285" s="8"/>
      <c r="C285" s="8"/>
      <c r="D285" s="8"/>
      <c r="E285" s="8"/>
      <c r="F285" s="8"/>
      <c r="G285" s="8"/>
      <c r="H285" s="8"/>
      <c r="I285" s="11" t="str">
        <f aca="false">IF($C285="","",D285-E285)</f>
        <v/>
      </c>
      <c r="J285" s="11" t="str">
        <f aca="false">IF($C285="","",I285-F285)</f>
        <v/>
      </c>
      <c r="K285" s="12" t="str">
        <f aca="false">IF($C285="","",IFERROR(INDEX(Setup!$B$5:$B$24,MATCH($C285,Setup!$A$5:$A$24,0)),""))</f>
        <v/>
      </c>
      <c r="L285" s="12" t="str">
        <f aca="false">IF(OR($C285="",K285=""),"",K285*G285/60)</f>
        <v/>
      </c>
      <c r="M285" s="11" t="str">
        <f aca="false">IF($C285="","",G285-H285)</f>
        <v/>
      </c>
      <c r="N285" s="13" t="str">
        <f aca="false">IF($C285="","",IF(I285&lt;=0,"",J285/I285))</f>
        <v/>
      </c>
      <c r="O285" s="13" t="str">
        <f aca="false">IF($C285="","",IF(OR(L285="",J285&lt;=0),"",L285/J285))</f>
        <v/>
      </c>
      <c r="P285" s="13" t="str">
        <f aca="false">IF($C285="","",IF(G285&lt;=0,"",M285/G285))</f>
        <v/>
      </c>
      <c r="Q285" s="13" t="str">
        <f aca="false">IF(OR(N285="",O285="",P285=""),"",N285*O285*P285)</f>
        <v/>
      </c>
      <c r="R285" s="14" t="str">
        <f aca="false">IF($C285="","",IF(K285="","Machine not in Setup",IF(H285&gt;G285,"Rejects &gt; total parts",IF(J285&lt;0,"Downtime &gt; planned time",IF(AND(ISNUMBER(O285),O285&gt;1.05),"Performance &gt; 100%: check cycle time or counts","OK")))))</f>
        <v/>
      </c>
    </row>
    <row r="286" customFormat="false" ht="15" hidden="false" customHeight="false" outlineLevel="0" collapsed="false">
      <c r="A286" s="10"/>
      <c r="B286" s="8"/>
      <c r="C286" s="8"/>
      <c r="D286" s="8"/>
      <c r="E286" s="8"/>
      <c r="F286" s="8"/>
      <c r="G286" s="8"/>
      <c r="H286" s="8"/>
      <c r="I286" s="11" t="str">
        <f aca="false">IF($C286="","",D286-E286)</f>
        <v/>
      </c>
      <c r="J286" s="11" t="str">
        <f aca="false">IF($C286="","",I286-F286)</f>
        <v/>
      </c>
      <c r="K286" s="12" t="str">
        <f aca="false">IF($C286="","",IFERROR(INDEX(Setup!$B$5:$B$24,MATCH($C286,Setup!$A$5:$A$24,0)),""))</f>
        <v/>
      </c>
      <c r="L286" s="12" t="str">
        <f aca="false">IF(OR($C286="",K286=""),"",K286*G286/60)</f>
        <v/>
      </c>
      <c r="M286" s="11" t="str">
        <f aca="false">IF($C286="","",G286-H286)</f>
        <v/>
      </c>
      <c r="N286" s="13" t="str">
        <f aca="false">IF($C286="","",IF(I286&lt;=0,"",J286/I286))</f>
        <v/>
      </c>
      <c r="O286" s="13" t="str">
        <f aca="false">IF($C286="","",IF(OR(L286="",J286&lt;=0),"",L286/J286))</f>
        <v/>
      </c>
      <c r="P286" s="13" t="str">
        <f aca="false">IF($C286="","",IF(G286&lt;=0,"",M286/G286))</f>
        <v/>
      </c>
      <c r="Q286" s="13" t="str">
        <f aca="false">IF(OR(N286="",O286="",P286=""),"",N286*O286*P286)</f>
        <v/>
      </c>
      <c r="R286" s="14" t="str">
        <f aca="false">IF($C286="","",IF(K286="","Machine not in Setup",IF(H286&gt;G286,"Rejects &gt; total parts",IF(J286&lt;0,"Downtime &gt; planned time",IF(AND(ISNUMBER(O286),O286&gt;1.05),"Performance &gt; 100%: check cycle time or counts","OK")))))</f>
        <v/>
      </c>
    </row>
    <row r="287" customFormat="false" ht="15" hidden="false" customHeight="false" outlineLevel="0" collapsed="false">
      <c r="A287" s="10"/>
      <c r="B287" s="8"/>
      <c r="C287" s="8"/>
      <c r="D287" s="8"/>
      <c r="E287" s="8"/>
      <c r="F287" s="8"/>
      <c r="G287" s="8"/>
      <c r="H287" s="8"/>
      <c r="I287" s="11" t="str">
        <f aca="false">IF($C287="","",D287-E287)</f>
        <v/>
      </c>
      <c r="J287" s="11" t="str">
        <f aca="false">IF($C287="","",I287-F287)</f>
        <v/>
      </c>
      <c r="K287" s="12" t="str">
        <f aca="false">IF($C287="","",IFERROR(INDEX(Setup!$B$5:$B$24,MATCH($C287,Setup!$A$5:$A$24,0)),""))</f>
        <v/>
      </c>
      <c r="L287" s="12" t="str">
        <f aca="false">IF(OR($C287="",K287=""),"",K287*G287/60)</f>
        <v/>
      </c>
      <c r="M287" s="11" t="str">
        <f aca="false">IF($C287="","",G287-H287)</f>
        <v/>
      </c>
      <c r="N287" s="13" t="str">
        <f aca="false">IF($C287="","",IF(I287&lt;=0,"",J287/I287))</f>
        <v/>
      </c>
      <c r="O287" s="13" t="str">
        <f aca="false">IF($C287="","",IF(OR(L287="",J287&lt;=0),"",L287/J287))</f>
        <v/>
      </c>
      <c r="P287" s="13" t="str">
        <f aca="false">IF($C287="","",IF(G287&lt;=0,"",M287/G287))</f>
        <v/>
      </c>
      <c r="Q287" s="13" t="str">
        <f aca="false">IF(OR(N287="",O287="",P287=""),"",N287*O287*P287)</f>
        <v/>
      </c>
      <c r="R287" s="14" t="str">
        <f aca="false">IF($C287="","",IF(K287="","Machine not in Setup",IF(H287&gt;G287,"Rejects &gt; total parts",IF(J287&lt;0,"Downtime &gt; planned time",IF(AND(ISNUMBER(O287),O287&gt;1.05),"Performance &gt; 100%: check cycle time or counts","OK")))))</f>
        <v/>
      </c>
    </row>
    <row r="288" customFormat="false" ht="15" hidden="false" customHeight="false" outlineLevel="0" collapsed="false">
      <c r="A288" s="10"/>
      <c r="B288" s="8"/>
      <c r="C288" s="8"/>
      <c r="D288" s="8"/>
      <c r="E288" s="8"/>
      <c r="F288" s="8"/>
      <c r="G288" s="8"/>
      <c r="H288" s="8"/>
      <c r="I288" s="11" t="str">
        <f aca="false">IF($C288="","",D288-E288)</f>
        <v/>
      </c>
      <c r="J288" s="11" t="str">
        <f aca="false">IF($C288="","",I288-F288)</f>
        <v/>
      </c>
      <c r="K288" s="12" t="str">
        <f aca="false">IF($C288="","",IFERROR(INDEX(Setup!$B$5:$B$24,MATCH($C288,Setup!$A$5:$A$24,0)),""))</f>
        <v/>
      </c>
      <c r="L288" s="12" t="str">
        <f aca="false">IF(OR($C288="",K288=""),"",K288*G288/60)</f>
        <v/>
      </c>
      <c r="M288" s="11" t="str">
        <f aca="false">IF($C288="","",G288-H288)</f>
        <v/>
      </c>
      <c r="N288" s="13" t="str">
        <f aca="false">IF($C288="","",IF(I288&lt;=0,"",J288/I288))</f>
        <v/>
      </c>
      <c r="O288" s="13" t="str">
        <f aca="false">IF($C288="","",IF(OR(L288="",J288&lt;=0),"",L288/J288))</f>
        <v/>
      </c>
      <c r="P288" s="13" t="str">
        <f aca="false">IF($C288="","",IF(G288&lt;=0,"",M288/G288))</f>
        <v/>
      </c>
      <c r="Q288" s="13" t="str">
        <f aca="false">IF(OR(N288="",O288="",P288=""),"",N288*O288*P288)</f>
        <v/>
      </c>
      <c r="R288" s="14" t="str">
        <f aca="false">IF($C288="","",IF(K288="","Machine not in Setup",IF(H288&gt;G288,"Rejects &gt; total parts",IF(J288&lt;0,"Downtime &gt; planned time",IF(AND(ISNUMBER(O288),O288&gt;1.05),"Performance &gt; 100%: check cycle time or counts","OK")))))</f>
        <v/>
      </c>
    </row>
    <row r="289" customFormat="false" ht="15" hidden="false" customHeight="false" outlineLevel="0" collapsed="false">
      <c r="A289" s="10"/>
      <c r="B289" s="8"/>
      <c r="C289" s="8"/>
      <c r="D289" s="8"/>
      <c r="E289" s="8"/>
      <c r="F289" s="8"/>
      <c r="G289" s="8"/>
      <c r="H289" s="8"/>
      <c r="I289" s="11" t="str">
        <f aca="false">IF($C289="","",D289-E289)</f>
        <v/>
      </c>
      <c r="J289" s="11" t="str">
        <f aca="false">IF($C289="","",I289-F289)</f>
        <v/>
      </c>
      <c r="K289" s="12" t="str">
        <f aca="false">IF($C289="","",IFERROR(INDEX(Setup!$B$5:$B$24,MATCH($C289,Setup!$A$5:$A$24,0)),""))</f>
        <v/>
      </c>
      <c r="L289" s="12" t="str">
        <f aca="false">IF(OR($C289="",K289=""),"",K289*G289/60)</f>
        <v/>
      </c>
      <c r="M289" s="11" t="str">
        <f aca="false">IF($C289="","",G289-H289)</f>
        <v/>
      </c>
      <c r="N289" s="13" t="str">
        <f aca="false">IF($C289="","",IF(I289&lt;=0,"",J289/I289))</f>
        <v/>
      </c>
      <c r="O289" s="13" t="str">
        <f aca="false">IF($C289="","",IF(OR(L289="",J289&lt;=0),"",L289/J289))</f>
        <v/>
      </c>
      <c r="P289" s="13" t="str">
        <f aca="false">IF($C289="","",IF(G289&lt;=0,"",M289/G289))</f>
        <v/>
      </c>
      <c r="Q289" s="13" t="str">
        <f aca="false">IF(OR(N289="",O289="",P289=""),"",N289*O289*P289)</f>
        <v/>
      </c>
      <c r="R289" s="14" t="str">
        <f aca="false">IF($C289="","",IF(K289="","Machine not in Setup",IF(H289&gt;G289,"Rejects &gt; total parts",IF(J289&lt;0,"Downtime &gt; planned time",IF(AND(ISNUMBER(O289),O289&gt;1.05),"Performance &gt; 100%: check cycle time or counts","OK")))))</f>
        <v/>
      </c>
    </row>
    <row r="290" customFormat="false" ht="15" hidden="false" customHeight="false" outlineLevel="0" collapsed="false">
      <c r="A290" s="10"/>
      <c r="B290" s="8"/>
      <c r="C290" s="8"/>
      <c r="D290" s="8"/>
      <c r="E290" s="8"/>
      <c r="F290" s="8"/>
      <c r="G290" s="8"/>
      <c r="H290" s="8"/>
      <c r="I290" s="11" t="str">
        <f aca="false">IF($C290="","",D290-E290)</f>
        <v/>
      </c>
      <c r="J290" s="11" t="str">
        <f aca="false">IF($C290="","",I290-F290)</f>
        <v/>
      </c>
      <c r="K290" s="12" t="str">
        <f aca="false">IF($C290="","",IFERROR(INDEX(Setup!$B$5:$B$24,MATCH($C290,Setup!$A$5:$A$24,0)),""))</f>
        <v/>
      </c>
      <c r="L290" s="12" t="str">
        <f aca="false">IF(OR($C290="",K290=""),"",K290*G290/60)</f>
        <v/>
      </c>
      <c r="M290" s="11" t="str">
        <f aca="false">IF($C290="","",G290-H290)</f>
        <v/>
      </c>
      <c r="N290" s="13" t="str">
        <f aca="false">IF($C290="","",IF(I290&lt;=0,"",J290/I290))</f>
        <v/>
      </c>
      <c r="O290" s="13" t="str">
        <f aca="false">IF($C290="","",IF(OR(L290="",J290&lt;=0),"",L290/J290))</f>
        <v/>
      </c>
      <c r="P290" s="13" t="str">
        <f aca="false">IF($C290="","",IF(G290&lt;=0,"",M290/G290))</f>
        <v/>
      </c>
      <c r="Q290" s="13" t="str">
        <f aca="false">IF(OR(N290="",O290="",P290=""),"",N290*O290*P290)</f>
        <v/>
      </c>
      <c r="R290" s="14" t="str">
        <f aca="false">IF($C290="","",IF(K290="","Machine not in Setup",IF(H290&gt;G290,"Rejects &gt; total parts",IF(J290&lt;0,"Downtime &gt; planned time",IF(AND(ISNUMBER(O290),O290&gt;1.05),"Performance &gt; 100%: check cycle time or counts","OK")))))</f>
        <v/>
      </c>
    </row>
    <row r="291" customFormat="false" ht="15" hidden="false" customHeight="false" outlineLevel="0" collapsed="false">
      <c r="A291" s="10"/>
      <c r="B291" s="8"/>
      <c r="C291" s="8"/>
      <c r="D291" s="8"/>
      <c r="E291" s="8"/>
      <c r="F291" s="8"/>
      <c r="G291" s="8"/>
      <c r="H291" s="8"/>
      <c r="I291" s="11" t="str">
        <f aca="false">IF($C291="","",D291-E291)</f>
        <v/>
      </c>
      <c r="J291" s="11" t="str">
        <f aca="false">IF($C291="","",I291-F291)</f>
        <v/>
      </c>
      <c r="K291" s="12" t="str">
        <f aca="false">IF($C291="","",IFERROR(INDEX(Setup!$B$5:$B$24,MATCH($C291,Setup!$A$5:$A$24,0)),""))</f>
        <v/>
      </c>
      <c r="L291" s="12" t="str">
        <f aca="false">IF(OR($C291="",K291=""),"",K291*G291/60)</f>
        <v/>
      </c>
      <c r="M291" s="11" t="str">
        <f aca="false">IF($C291="","",G291-H291)</f>
        <v/>
      </c>
      <c r="N291" s="13" t="str">
        <f aca="false">IF($C291="","",IF(I291&lt;=0,"",J291/I291))</f>
        <v/>
      </c>
      <c r="O291" s="13" t="str">
        <f aca="false">IF($C291="","",IF(OR(L291="",J291&lt;=0),"",L291/J291))</f>
        <v/>
      </c>
      <c r="P291" s="13" t="str">
        <f aca="false">IF($C291="","",IF(G291&lt;=0,"",M291/G291))</f>
        <v/>
      </c>
      <c r="Q291" s="13" t="str">
        <f aca="false">IF(OR(N291="",O291="",P291=""),"",N291*O291*P291)</f>
        <v/>
      </c>
      <c r="R291" s="14" t="str">
        <f aca="false">IF($C291="","",IF(K291="","Machine not in Setup",IF(H291&gt;G291,"Rejects &gt; total parts",IF(J291&lt;0,"Downtime &gt; planned time",IF(AND(ISNUMBER(O291),O291&gt;1.05),"Performance &gt; 100%: check cycle time or counts","OK")))))</f>
        <v/>
      </c>
    </row>
    <row r="292" customFormat="false" ht="15" hidden="false" customHeight="false" outlineLevel="0" collapsed="false">
      <c r="A292" s="10"/>
      <c r="B292" s="8"/>
      <c r="C292" s="8"/>
      <c r="D292" s="8"/>
      <c r="E292" s="8"/>
      <c r="F292" s="8"/>
      <c r="G292" s="8"/>
      <c r="H292" s="8"/>
      <c r="I292" s="11" t="str">
        <f aca="false">IF($C292="","",D292-E292)</f>
        <v/>
      </c>
      <c r="J292" s="11" t="str">
        <f aca="false">IF($C292="","",I292-F292)</f>
        <v/>
      </c>
      <c r="K292" s="12" t="str">
        <f aca="false">IF($C292="","",IFERROR(INDEX(Setup!$B$5:$B$24,MATCH($C292,Setup!$A$5:$A$24,0)),""))</f>
        <v/>
      </c>
      <c r="L292" s="12" t="str">
        <f aca="false">IF(OR($C292="",K292=""),"",K292*G292/60)</f>
        <v/>
      </c>
      <c r="M292" s="11" t="str">
        <f aca="false">IF($C292="","",G292-H292)</f>
        <v/>
      </c>
      <c r="N292" s="13" t="str">
        <f aca="false">IF($C292="","",IF(I292&lt;=0,"",J292/I292))</f>
        <v/>
      </c>
      <c r="O292" s="13" t="str">
        <f aca="false">IF($C292="","",IF(OR(L292="",J292&lt;=0),"",L292/J292))</f>
        <v/>
      </c>
      <c r="P292" s="13" t="str">
        <f aca="false">IF($C292="","",IF(G292&lt;=0,"",M292/G292))</f>
        <v/>
      </c>
      <c r="Q292" s="13" t="str">
        <f aca="false">IF(OR(N292="",O292="",P292=""),"",N292*O292*P292)</f>
        <v/>
      </c>
      <c r="R292" s="14" t="str">
        <f aca="false">IF($C292="","",IF(K292="","Machine not in Setup",IF(H292&gt;G292,"Rejects &gt; total parts",IF(J292&lt;0,"Downtime &gt; planned time",IF(AND(ISNUMBER(O292),O292&gt;1.05),"Performance &gt; 100%: check cycle time or counts","OK")))))</f>
        <v/>
      </c>
    </row>
    <row r="293" customFormat="false" ht="15" hidden="false" customHeight="false" outlineLevel="0" collapsed="false">
      <c r="A293" s="10"/>
      <c r="B293" s="8"/>
      <c r="C293" s="8"/>
      <c r="D293" s="8"/>
      <c r="E293" s="8"/>
      <c r="F293" s="8"/>
      <c r="G293" s="8"/>
      <c r="H293" s="8"/>
      <c r="I293" s="11" t="str">
        <f aca="false">IF($C293="","",D293-E293)</f>
        <v/>
      </c>
      <c r="J293" s="11" t="str">
        <f aca="false">IF($C293="","",I293-F293)</f>
        <v/>
      </c>
      <c r="K293" s="12" t="str">
        <f aca="false">IF($C293="","",IFERROR(INDEX(Setup!$B$5:$B$24,MATCH($C293,Setup!$A$5:$A$24,0)),""))</f>
        <v/>
      </c>
      <c r="L293" s="12" t="str">
        <f aca="false">IF(OR($C293="",K293=""),"",K293*G293/60)</f>
        <v/>
      </c>
      <c r="M293" s="11" t="str">
        <f aca="false">IF($C293="","",G293-H293)</f>
        <v/>
      </c>
      <c r="N293" s="13" t="str">
        <f aca="false">IF($C293="","",IF(I293&lt;=0,"",J293/I293))</f>
        <v/>
      </c>
      <c r="O293" s="13" t="str">
        <f aca="false">IF($C293="","",IF(OR(L293="",J293&lt;=0),"",L293/J293))</f>
        <v/>
      </c>
      <c r="P293" s="13" t="str">
        <f aca="false">IF($C293="","",IF(G293&lt;=0,"",M293/G293))</f>
        <v/>
      </c>
      <c r="Q293" s="13" t="str">
        <f aca="false">IF(OR(N293="",O293="",P293=""),"",N293*O293*P293)</f>
        <v/>
      </c>
      <c r="R293" s="14" t="str">
        <f aca="false">IF($C293="","",IF(K293="","Machine not in Setup",IF(H293&gt;G293,"Rejects &gt; total parts",IF(J293&lt;0,"Downtime &gt; planned time",IF(AND(ISNUMBER(O293),O293&gt;1.05),"Performance &gt; 100%: check cycle time or counts","OK")))))</f>
        <v/>
      </c>
    </row>
    <row r="294" customFormat="false" ht="15" hidden="false" customHeight="false" outlineLevel="0" collapsed="false">
      <c r="A294" s="10"/>
      <c r="B294" s="8"/>
      <c r="C294" s="8"/>
      <c r="D294" s="8"/>
      <c r="E294" s="8"/>
      <c r="F294" s="8"/>
      <c r="G294" s="8"/>
      <c r="H294" s="8"/>
      <c r="I294" s="11" t="str">
        <f aca="false">IF($C294="","",D294-E294)</f>
        <v/>
      </c>
      <c r="J294" s="11" t="str">
        <f aca="false">IF($C294="","",I294-F294)</f>
        <v/>
      </c>
      <c r="K294" s="12" t="str">
        <f aca="false">IF($C294="","",IFERROR(INDEX(Setup!$B$5:$B$24,MATCH($C294,Setup!$A$5:$A$24,0)),""))</f>
        <v/>
      </c>
      <c r="L294" s="12" t="str">
        <f aca="false">IF(OR($C294="",K294=""),"",K294*G294/60)</f>
        <v/>
      </c>
      <c r="M294" s="11" t="str">
        <f aca="false">IF($C294="","",G294-H294)</f>
        <v/>
      </c>
      <c r="N294" s="13" t="str">
        <f aca="false">IF($C294="","",IF(I294&lt;=0,"",J294/I294))</f>
        <v/>
      </c>
      <c r="O294" s="13" t="str">
        <f aca="false">IF($C294="","",IF(OR(L294="",J294&lt;=0),"",L294/J294))</f>
        <v/>
      </c>
      <c r="P294" s="13" t="str">
        <f aca="false">IF($C294="","",IF(G294&lt;=0,"",M294/G294))</f>
        <v/>
      </c>
      <c r="Q294" s="13" t="str">
        <f aca="false">IF(OR(N294="",O294="",P294=""),"",N294*O294*P294)</f>
        <v/>
      </c>
      <c r="R294" s="14" t="str">
        <f aca="false">IF($C294="","",IF(K294="","Machine not in Setup",IF(H294&gt;G294,"Rejects &gt; total parts",IF(J294&lt;0,"Downtime &gt; planned time",IF(AND(ISNUMBER(O294),O294&gt;1.05),"Performance &gt; 100%: check cycle time or counts","OK")))))</f>
        <v/>
      </c>
    </row>
    <row r="295" customFormat="false" ht="15" hidden="false" customHeight="false" outlineLevel="0" collapsed="false">
      <c r="A295" s="10"/>
      <c r="B295" s="8"/>
      <c r="C295" s="8"/>
      <c r="D295" s="8"/>
      <c r="E295" s="8"/>
      <c r="F295" s="8"/>
      <c r="G295" s="8"/>
      <c r="H295" s="8"/>
      <c r="I295" s="11" t="str">
        <f aca="false">IF($C295="","",D295-E295)</f>
        <v/>
      </c>
      <c r="J295" s="11" t="str">
        <f aca="false">IF($C295="","",I295-F295)</f>
        <v/>
      </c>
      <c r="K295" s="12" t="str">
        <f aca="false">IF($C295="","",IFERROR(INDEX(Setup!$B$5:$B$24,MATCH($C295,Setup!$A$5:$A$24,0)),""))</f>
        <v/>
      </c>
      <c r="L295" s="12" t="str">
        <f aca="false">IF(OR($C295="",K295=""),"",K295*G295/60)</f>
        <v/>
      </c>
      <c r="M295" s="11" t="str">
        <f aca="false">IF($C295="","",G295-H295)</f>
        <v/>
      </c>
      <c r="N295" s="13" t="str">
        <f aca="false">IF($C295="","",IF(I295&lt;=0,"",J295/I295))</f>
        <v/>
      </c>
      <c r="O295" s="13" t="str">
        <f aca="false">IF($C295="","",IF(OR(L295="",J295&lt;=0),"",L295/J295))</f>
        <v/>
      </c>
      <c r="P295" s="13" t="str">
        <f aca="false">IF($C295="","",IF(G295&lt;=0,"",M295/G295))</f>
        <v/>
      </c>
      <c r="Q295" s="13" t="str">
        <f aca="false">IF(OR(N295="",O295="",P295=""),"",N295*O295*P295)</f>
        <v/>
      </c>
      <c r="R295" s="14" t="str">
        <f aca="false">IF($C295="","",IF(K295="","Machine not in Setup",IF(H295&gt;G295,"Rejects &gt; total parts",IF(J295&lt;0,"Downtime &gt; planned time",IF(AND(ISNUMBER(O295),O295&gt;1.05),"Performance &gt; 100%: check cycle time or counts","OK")))))</f>
        <v/>
      </c>
    </row>
    <row r="296" customFormat="false" ht="15" hidden="false" customHeight="false" outlineLevel="0" collapsed="false">
      <c r="A296" s="10"/>
      <c r="B296" s="8"/>
      <c r="C296" s="8"/>
      <c r="D296" s="8"/>
      <c r="E296" s="8"/>
      <c r="F296" s="8"/>
      <c r="G296" s="8"/>
      <c r="H296" s="8"/>
      <c r="I296" s="11" t="str">
        <f aca="false">IF($C296="","",D296-E296)</f>
        <v/>
      </c>
      <c r="J296" s="11" t="str">
        <f aca="false">IF($C296="","",I296-F296)</f>
        <v/>
      </c>
      <c r="K296" s="12" t="str">
        <f aca="false">IF($C296="","",IFERROR(INDEX(Setup!$B$5:$B$24,MATCH($C296,Setup!$A$5:$A$24,0)),""))</f>
        <v/>
      </c>
      <c r="L296" s="12" t="str">
        <f aca="false">IF(OR($C296="",K296=""),"",K296*G296/60)</f>
        <v/>
      </c>
      <c r="M296" s="11" t="str">
        <f aca="false">IF($C296="","",G296-H296)</f>
        <v/>
      </c>
      <c r="N296" s="13" t="str">
        <f aca="false">IF($C296="","",IF(I296&lt;=0,"",J296/I296))</f>
        <v/>
      </c>
      <c r="O296" s="13" t="str">
        <f aca="false">IF($C296="","",IF(OR(L296="",J296&lt;=0),"",L296/J296))</f>
        <v/>
      </c>
      <c r="P296" s="13" t="str">
        <f aca="false">IF($C296="","",IF(G296&lt;=0,"",M296/G296))</f>
        <v/>
      </c>
      <c r="Q296" s="13" t="str">
        <f aca="false">IF(OR(N296="",O296="",P296=""),"",N296*O296*P296)</f>
        <v/>
      </c>
      <c r="R296" s="14" t="str">
        <f aca="false">IF($C296="","",IF(K296="","Machine not in Setup",IF(H296&gt;G296,"Rejects &gt; total parts",IF(J296&lt;0,"Downtime &gt; planned time",IF(AND(ISNUMBER(O296),O296&gt;1.05),"Performance &gt; 100%: check cycle time or counts","OK")))))</f>
        <v/>
      </c>
    </row>
    <row r="297" customFormat="false" ht="15" hidden="false" customHeight="false" outlineLevel="0" collapsed="false">
      <c r="A297" s="10"/>
      <c r="B297" s="8"/>
      <c r="C297" s="8"/>
      <c r="D297" s="8"/>
      <c r="E297" s="8"/>
      <c r="F297" s="8"/>
      <c r="G297" s="8"/>
      <c r="H297" s="8"/>
      <c r="I297" s="11" t="str">
        <f aca="false">IF($C297="","",D297-E297)</f>
        <v/>
      </c>
      <c r="J297" s="11" t="str">
        <f aca="false">IF($C297="","",I297-F297)</f>
        <v/>
      </c>
      <c r="K297" s="12" t="str">
        <f aca="false">IF($C297="","",IFERROR(INDEX(Setup!$B$5:$B$24,MATCH($C297,Setup!$A$5:$A$24,0)),""))</f>
        <v/>
      </c>
      <c r="L297" s="12" t="str">
        <f aca="false">IF(OR($C297="",K297=""),"",K297*G297/60)</f>
        <v/>
      </c>
      <c r="M297" s="11" t="str">
        <f aca="false">IF($C297="","",G297-H297)</f>
        <v/>
      </c>
      <c r="N297" s="13" t="str">
        <f aca="false">IF($C297="","",IF(I297&lt;=0,"",J297/I297))</f>
        <v/>
      </c>
      <c r="O297" s="13" t="str">
        <f aca="false">IF($C297="","",IF(OR(L297="",J297&lt;=0),"",L297/J297))</f>
        <v/>
      </c>
      <c r="P297" s="13" t="str">
        <f aca="false">IF($C297="","",IF(G297&lt;=0,"",M297/G297))</f>
        <v/>
      </c>
      <c r="Q297" s="13" t="str">
        <f aca="false">IF(OR(N297="",O297="",P297=""),"",N297*O297*P297)</f>
        <v/>
      </c>
      <c r="R297" s="14" t="str">
        <f aca="false">IF($C297="","",IF(K297="","Machine not in Setup",IF(H297&gt;G297,"Rejects &gt; total parts",IF(J297&lt;0,"Downtime &gt; planned time",IF(AND(ISNUMBER(O297),O297&gt;1.05),"Performance &gt; 100%: check cycle time or counts","OK")))))</f>
        <v/>
      </c>
    </row>
    <row r="298" customFormat="false" ht="15" hidden="false" customHeight="false" outlineLevel="0" collapsed="false">
      <c r="A298" s="10"/>
      <c r="B298" s="8"/>
      <c r="C298" s="8"/>
      <c r="D298" s="8"/>
      <c r="E298" s="8"/>
      <c r="F298" s="8"/>
      <c r="G298" s="8"/>
      <c r="H298" s="8"/>
      <c r="I298" s="11" t="str">
        <f aca="false">IF($C298="","",D298-E298)</f>
        <v/>
      </c>
      <c r="J298" s="11" t="str">
        <f aca="false">IF($C298="","",I298-F298)</f>
        <v/>
      </c>
      <c r="K298" s="12" t="str">
        <f aca="false">IF($C298="","",IFERROR(INDEX(Setup!$B$5:$B$24,MATCH($C298,Setup!$A$5:$A$24,0)),""))</f>
        <v/>
      </c>
      <c r="L298" s="12" t="str">
        <f aca="false">IF(OR($C298="",K298=""),"",K298*G298/60)</f>
        <v/>
      </c>
      <c r="M298" s="11" t="str">
        <f aca="false">IF($C298="","",G298-H298)</f>
        <v/>
      </c>
      <c r="N298" s="13" t="str">
        <f aca="false">IF($C298="","",IF(I298&lt;=0,"",J298/I298))</f>
        <v/>
      </c>
      <c r="O298" s="13" t="str">
        <f aca="false">IF($C298="","",IF(OR(L298="",J298&lt;=0),"",L298/J298))</f>
        <v/>
      </c>
      <c r="P298" s="13" t="str">
        <f aca="false">IF($C298="","",IF(G298&lt;=0,"",M298/G298))</f>
        <v/>
      </c>
      <c r="Q298" s="13" t="str">
        <f aca="false">IF(OR(N298="",O298="",P298=""),"",N298*O298*P298)</f>
        <v/>
      </c>
      <c r="R298" s="14" t="str">
        <f aca="false">IF($C298="","",IF(K298="","Machine not in Setup",IF(H298&gt;G298,"Rejects &gt; total parts",IF(J298&lt;0,"Downtime &gt; planned time",IF(AND(ISNUMBER(O298),O298&gt;1.05),"Performance &gt; 100%: check cycle time or counts","OK")))))</f>
        <v/>
      </c>
    </row>
    <row r="299" customFormat="false" ht="15" hidden="false" customHeight="false" outlineLevel="0" collapsed="false">
      <c r="A299" s="10"/>
      <c r="B299" s="8"/>
      <c r="C299" s="8"/>
      <c r="D299" s="8"/>
      <c r="E299" s="8"/>
      <c r="F299" s="8"/>
      <c r="G299" s="8"/>
      <c r="H299" s="8"/>
      <c r="I299" s="11" t="str">
        <f aca="false">IF($C299="","",D299-E299)</f>
        <v/>
      </c>
      <c r="J299" s="11" t="str">
        <f aca="false">IF($C299="","",I299-F299)</f>
        <v/>
      </c>
      <c r="K299" s="12" t="str">
        <f aca="false">IF($C299="","",IFERROR(INDEX(Setup!$B$5:$B$24,MATCH($C299,Setup!$A$5:$A$24,0)),""))</f>
        <v/>
      </c>
      <c r="L299" s="12" t="str">
        <f aca="false">IF(OR($C299="",K299=""),"",K299*G299/60)</f>
        <v/>
      </c>
      <c r="M299" s="11" t="str">
        <f aca="false">IF($C299="","",G299-H299)</f>
        <v/>
      </c>
      <c r="N299" s="13" t="str">
        <f aca="false">IF($C299="","",IF(I299&lt;=0,"",J299/I299))</f>
        <v/>
      </c>
      <c r="O299" s="13" t="str">
        <f aca="false">IF($C299="","",IF(OR(L299="",J299&lt;=0),"",L299/J299))</f>
        <v/>
      </c>
      <c r="P299" s="13" t="str">
        <f aca="false">IF($C299="","",IF(G299&lt;=0,"",M299/G299))</f>
        <v/>
      </c>
      <c r="Q299" s="13" t="str">
        <f aca="false">IF(OR(N299="",O299="",P299=""),"",N299*O299*P299)</f>
        <v/>
      </c>
      <c r="R299" s="14" t="str">
        <f aca="false">IF($C299="","",IF(K299="","Machine not in Setup",IF(H299&gt;G299,"Rejects &gt; total parts",IF(J299&lt;0,"Downtime &gt; planned time",IF(AND(ISNUMBER(O299),O299&gt;1.05),"Performance &gt; 100%: check cycle time or counts","OK")))))</f>
        <v/>
      </c>
    </row>
    <row r="300" customFormat="false" ht="15" hidden="false" customHeight="false" outlineLevel="0" collapsed="false">
      <c r="A300" s="10"/>
      <c r="B300" s="8"/>
      <c r="C300" s="8"/>
      <c r="D300" s="8"/>
      <c r="E300" s="8"/>
      <c r="F300" s="8"/>
      <c r="G300" s="8"/>
      <c r="H300" s="8"/>
      <c r="I300" s="11" t="str">
        <f aca="false">IF($C300="","",D300-E300)</f>
        <v/>
      </c>
      <c r="J300" s="11" t="str">
        <f aca="false">IF($C300="","",I300-F300)</f>
        <v/>
      </c>
      <c r="K300" s="12" t="str">
        <f aca="false">IF($C300="","",IFERROR(INDEX(Setup!$B$5:$B$24,MATCH($C300,Setup!$A$5:$A$24,0)),""))</f>
        <v/>
      </c>
      <c r="L300" s="12" t="str">
        <f aca="false">IF(OR($C300="",K300=""),"",K300*G300/60)</f>
        <v/>
      </c>
      <c r="M300" s="11" t="str">
        <f aca="false">IF($C300="","",G300-H300)</f>
        <v/>
      </c>
      <c r="N300" s="13" t="str">
        <f aca="false">IF($C300="","",IF(I300&lt;=0,"",J300/I300))</f>
        <v/>
      </c>
      <c r="O300" s="13" t="str">
        <f aca="false">IF($C300="","",IF(OR(L300="",J300&lt;=0),"",L300/J300))</f>
        <v/>
      </c>
      <c r="P300" s="13" t="str">
        <f aca="false">IF($C300="","",IF(G300&lt;=0,"",M300/G300))</f>
        <v/>
      </c>
      <c r="Q300" s="13" t="str">
        <f aca="false">IF(OR(N300="",O300="",P300=""),"",N300*O300*P300)</f>
        <v/>
      </c>
      <c r="R300" s="14" t="str">
        <f aca="false">IF($C300="","",IF(K300="","Machine not in Setup",IF(H300&gt;G300,"Rejects &gt; total parts",IF(J300&lt;0,"Downtime &gt; planned time",IF(AND(ISNUMBER(O300),O300&gt;1.05),"Performance &gt; 100%: check cycle time or counts","OK")))))</f>
        <v/>
      </c>
    </row>
    <row r="301" customFormat="false" ht="15" hidden="false" customHeight="false" outlineLevel="0" collapsed="false">
      <c r="A301" s="10"/>
      <c r="B301" s="8"/>
      <c r="C301" s="8"/>
      <c r="D301" s="8"/>
      <c r="E301" s="8"/>
      <c r="F301" s="8"/>
      <c r="G301" s="8"/>
      <c r="H301" s="8"/>
      <c r="I301" s="11" t="str">
        <f aca="false">IF($C301="","",D301-E301)</f>
        <v/>
      </c>
      <c r="J301" s="11" t="str">
        <f aca="false">IF($C301="","",I301-F301)</f>
        <v/>
      </c>
      <c r="K301" s="12" t="str">
        <f aca="false">IF($C301="","",IFERROR(INDEX(Setup!$B$5:$B$24,MATCH($C301,Setup!$A$5:$A$24,0)),""))</f>
        <v/>
      </c>
      <c r="L301" s="12" t="str">
        <f aca="false">IF(OR($C301="",K301=""),"",K301*G301/60)</f>
        <v/>
      </c>
      <c r="M301" s="11" t="str">
        <f aca="false">IF($C301="","",G301-H301)</f>
        <v/>
      </c>
      <c r="N301" s="13" t="str">
        <f aca="false">IF($C301="","",IF(I301&lt;=0,"",J301/I301))</f>
        <v/>
      </c>
      <c r="O301" s="13" t="str">
        <f aca="false">IF($C301="","",IF(OR(L301="",J301&lt;=0),"",L301/J301))</f>
        <v/>
      </c>
      <c r="P301" s="13" t="str">
        <f aca="false">IF($C301="","",IF(G301&lt;=0,"",M301/G301))</f>
        <v/>
      </c>
      <c r="Q301" s="13" t="str">
        <f aca="false">IF(OR(N301="",O301="",P301=""),"",N301*O301*P301)</f>
        <v/>
      </c>
      <c r="R301" s="14" t="str">
        <f aca="false">IF($C301="","",IF(K301="","Machine not in Setup",IF(H301&gt;G301,"Rejects &gt; total parts",IF(J301&lt;0,"Downtime &gt; planned time",IF(AND(ISNUMBER(O301),O301&gt;1.05),"Performance &gt; 100%: check cycle time or counts","OK")))))</f>
        <v/>
      </c>
    </row>
    <row r="302" customFormat="false" ht="15" hidden="false" customHeight="false" outlineLevel="0" collapsed="false">
      <c r="A302" s="10"/>
      <c r="B302" s="8"/>
      <c r="C302" s="8"/>
      <c r="D302" s="8"/>
      <c r="E302" s="8"/>
      <c r="F302" s="8"/>
      <c r="G302" s="8"/>
      <c r="H302" s="8"/>
      <c r="I302" s="11" t="str">
        <f aca="false">IF($C302="","",D302-E302)</f>
        <v/>
      </c>
      <c r="J302" s="11" t="str">
        <f aca="false">IF($C302="","",I302-F302)</f>
        <v/>
      </c>
      <c r="K302" s="12" t="str">
        <f aca="false">IF($C302="","",IFERROR(INDEX(Setup!$B$5:$B$24,MATCH($C302,Setup!$A$5:$A$24,0)),""))</f>
        <v/>
      </c>
      <c r="L302" s="12" t="str">
        <f aca="false">IF(OR($C302="",K302=""),"",K302*G302/60)</f>
        <v/>
      </c>
      <c r="M302" s="11" t="str">
        <f aca="false">IF($C302="","",G302-H302)</f>
        <v/>
      </c>
      <c r="N302" s="13" t="str">
        <f aca="false">IF($C302="","",IF(I302&lt;=0,"",J302/I302))</f>
        <v/>
      </c>
      <c r="O302" s="13" t="str">
        <f aca="false">IF($C302="","",IF(OR(L302="",J302&lt;=0),"",L302/J302))</f>
        <v/>
      </c>
      <c r="P302" s="13" t="str">
        <f aca="false">IF($C302="","",IF(G302&lt;=0,"",M302/G302))</f>
        <v/>
      </c>
      <c r="Q302" s="13" t="str">
        <f aca="false">IF(OR(N302="",O302="",P302=""),"",N302*O302*P302)</f>
        <v/>
      </c>
      <c r="R302" s="14" t="str">
        <f aca="false">IF($C302="","",IF(K302="","Machine not in Setup",IF(H302&gt;G302,"Rejects &gt; total parts",IF(J302&lt;0,"Downtime &gt; planned time",IF(AND(ISNUMBER(O302),O302&gt;1.05),"Performance &gt; 100%: check cycle time or counts","OK")))))</f>
        <v/>
      </c>
    </row>
    <row r="303" customFormat="false" ht="15" hidden="false" customHeight="false" outlineLevel="0" collapsed="false">
      <c r="A303" s="10"/>
      <c r="B303" s="8"/>
      <c r="C303" s="8"/>
      <c r="D303" s="8"/>
      <c r="E303" s="8"/>
      <c r="F303" s="8"/>
      <c r="G303" s="8"/>
      <c r="H303" s="8"/>
      <c r="I303" s="11" t="str">
        <f aca="false">IF($C303="","",D303-E303)</f>
        <v/>
      </c>
      <c r="J303" s="11" t="str">
        <f aca="false">IF($C303="","",I303-F303)</f>
        <v/>
      </c>
      <c r="K303" s="12" t="str">
        <f aca="false">IF($C303="","",IFERROR(INDEX(Setup!$B$5:$B$24,MATCH($C303,Setup!$A$5:$A$24,0)),""))</f>
        <v/>
      </c>
      <c r="L303" s="12" t="str">
        <f aca="false">IF(OR($C303="",K303=""),"",K303*G303/60)</f>
        <v/>
      </c>
      <c r="M303" s="11" t="str">
        <f aca="false">IF($C303="","",G303-H303)</f>
        <v/>
      </c>
      <c r="N303" s="13" t="str">
        <f aca="false">IF($C303="","",IF(I303&lt;=0,"",J303/I303))</f>
        <v/>
      </c>
      <c r="O303" s="13" t="str">
        <f aca="false">IF($C303="","",IF(OR(L303="",J303&lt;=0),"",L303/J303))</f>
        <v/>
      </c>
      <c r="P303" s="13" t="str">
        <f aca="false">IF($C303="","",IF(G303&lt;=0,"",M303/G303))</f>
        <v/>
      </c>
      <c r="Q303" s="13" t="str">
        <f aca="false">IF(OR(N303="",O303="",P303=""),"",N303*O303*P303)</f>
        <v/>
      </c>
      <c r="R303" s="14" t="str">
        <f aca="false">IF($C303="","",IF(K303="","Machine not in Setup",IF(H303&gt;G303,"Rejects &gt; total parts",IF(J303&lt;0,"Downtime &gt; planned time",IF(AND(ISNUMBER(O303),O303&gt;1.05),"Performance &gt; 100%: check cycle time or counts","OK")))))</f>
        <v/>
      </c>
    </row>
    <row r="304" customFormat="false" ht="15" hidden="false" customHeight="false" outlineLevel="0" collapsed="false">
      <c r="A304" s="10"/>
      <c r="B304" s="8"/>
      <c r="C304" s="8"/>
      <c r="D304" s="8"/>
      <c r="E304" s="8"/>
      <c r="F304" s="8"/>
      <c r="G304" s="8"/>
      <c r="H304" s="8"/>
      <c r="I304" s="11" t="str">
        <f aca="false">IF($C304="","",D304-E304)</f>
        <v/>
      </c>
      <c r="J304" s="11" t="str">
        <f aca="false">IF($C304="","",I304-F304)</f>
        <v/>
      </c>
      <c r="K304" s="12" t="str">
        <f aca="false">IF($C304="","",IFERROR(INDEX(Setup!$B$5:$B$24,MATCH($C304,Setup!$A$5:$A$24,0)),""))</f>
        <v/>
      </c>
      <c r="L304" s="12" t="str">
        <f aca="false">IF(OR($C304="",K304=""),"",K304*G304/60)</f>
        <v/>
      </c>
      <c r="M304" s="11" t="str">
        <f aca="false">IF($C304="","",G304-H304)</f>
        <v/>
      </c>
      <c r="N304" s="13" t="str">
        <f aca="false">IF($C304="","",IF(I304&lt;=0,"",J304/I304))</f>
        <v/>
      </c>
      <c r="O304" s="13" t="str">
        <f aca="false">IF($C304="","",IF(OR(L304="",J304&lt;=0),"",L304/J304))</f>
        <v/>
      </c>
      <c r="P304" s="13" t="str">
        <f aca="false">IF($C304="","",IF(G304&lt;=0,"",M304/G304))</f>
        <v/>
      </c>
      <c r="Q304" s="13" t="str">
        <f aca="false">IF(OR(N304="",O304="",P304=""),"",N304*O304*P304)</f>
        <v/>
      </c>
      <c r="R304" s="14" t="str">
        <f aca="false">IF($C304="","",IF(K304="","Machine not in Setup",IF(H304&gt;G304,"Rejects &gt; total parts",IF(J304&lt;0,"Downtime &gt; planned time",IF(AND(ISNUMBER(O304),O304&gt;1.05),"Performance &gt; 100%: check cycle time or counts","OK")))))</f>
        <v/>
      </c>
    </row>
    <row r="305" customFormat="false" ht="15" hidden="false" customHeight="false" outlineLevel="0" collapsed="false">
      <c r="A305" s="10"/>
      <c r="B305" s="8"/>
      <c r="C305" s="8"/>
      <c r="D305" s="8"/>
      <c r="E305" s="8"/>
      <c r="F305" s="8"/>
      <c r="G305" s="8"/>
      <c r="H305" s="8"/>
      <c r="I305" s="11" t="str">
        <f aca="false">IF($C305="","",D305-E305)</f>
        <v/>
      </c>
      <c r="J305" s="11" t="str">
        <f aca="false">IF($C305="","",I305-F305)</f>
        <v/>
      </c>
      <c r="K305" s="12" t="str">
        <f aca="false">IF($C305="","",IFERROR(INDEX(Setup!$B$5:$B$24,MATCH($C305,Setup!$A$5:$A$24,0)),""))</f>
        <v/>
      </c>
      <c r="L305" s="12" t="str">
        <f aca="false">IF(OR($C305="",K305=""),"",K305*G305/60)</f>
        <v/>
      </c>
      <c r="M305" s="11" t="str">
        <f aca="false">IF($C305="","",G305-H305)</f>
        <v/>
      </c>
      <c r="N305" s="13" t="str">
        <f aca="false">IF($C305="","",IF(I305&lt;=0,"",J305/I305))</f>
        <v/>
      </c>
      <c r="O305" s="13" t="str">
        <f aca="false">IF($C305="","",IF(OR(L305="",J305&lt;=0),"",L305/J305))</f>
        <v/>
      </c>
      <c r="P305" s="13" t="str">
        <f aca="false">IF($C305="","",IF(G305&lt;=0,"",M305/G305))</f>
        <v/>
      </c>
      <c r="Q305" s="13" t="str">
        <f aca="false">IF(OR(N305="",O305="",P305=""),"",N305*O305*P305)</f>
        <v/>
      </c>
      <c r="R305" s="14" t="str">
        <f aca="false">IF($C305="","",IF(K305="","Machine not in Setup",IF(H305&gt;G305,"Rejects &gt; total parts",IF(J305&lt;0,"Downtime &gt; planned time",IF(AND(ISNUMBER(O305),O305&gt;1.05),"Performance &gt; 100%: check cycle time or counts","OK")))))</f>
        <v/>
      </c>
    </row>
    <row r="306" customFormat="false" ht="15" hidden="false" customHeight="false" outlineLevel="0" collapsed="false">
      <c r="A306" s="10"/>
      <c r="B306" s="8"/>
      <c r="C306" s="8"/>
      <c r="D306" s="8"/>
      <c r="E306" s="8"/>
      <c r="F306" s="8"/>
      <c r="G306" s="8"/>
      <c r="H306" s="8"/>
      <c r="I306" s="11" t="str">
        <f aca="false">IF($C306="","",D306-E306)</f>
        <v/>
      </c>
      <c r="J306" s="11" t="str">
        <f aca="false">IF($C306="","",I306-F306)</f>
        <v/>
      </c>
      <c r="K306" s="12" t="str">
        <f aca="false">IF($C306="","",IFERROR(INDEX(Setup!$B$5:$B$24,MATCH($C306,Setup!$A$5:$A$24,0)),""))</f>
        <v/>
      </c>
      <c r="L306" s="12" t="str">
        <f aca="false">IF(OR($C306="",K306=""),"",K306*G306/60)</f>
        <v/>
      </c>
      <c r="M306" s="11" t="str">
        <f aca="false">IF($C306="","",G306-H306)</f>
        <v/>
      </c>
      <c r="N306" s="13" t="str">
        <f aca="false">IF($C306="","",IF(I306&lt;=0,"",J306/I306))</f>
        <v/>
      </c>
      <c r="O306" s="13" t="str">
        <f aca="false">IF($C306="","",IF(OR(L306="",J306&lt;=0),"",L306/J306))</f>
        <v/>
      </c>
      <c r="P306" s="13" t="str">
        <f aca="false">IF($C306="","",IF(G306&lt;=0,"",M306/G306))</f>
        <v/>
      </c>
      <c r="Q306" s="13" t="str">
        <f aca="false">IF(OR(N306="",O306="",P306=""),"",N306*O306*P306)</f>
        <v/>
      </c>
      <c r="R306" s="14" t="str">
        <f aca="false">IF($C306="","",IF(K306="","Machine not in Setup",IF(H306&gt;G306,"Rejects &gt; total parts",IF(J306&lt;0,"Downtime &gt; planned time",IF(AND(ISNUMBER(O306),O306&gt;1.05),"Performance &gt; 100%: check cycle time or counts","OK")))))</f>
        <v/>
      </c>
    </row>
    <row r="307" customFormat="false" ht="15" hidden="false" customHeight="false" outlineLevel="0" collapsed="false">
      <c r="A307" s="10"/>
      <c r="B307" s="8"/>
      <c r="C307" s="8"/>
      <c r="D307" s="8"/>
      <c r="E307" s="8"/>
      <c r="F307" s="8"/>
      <c r="G307" s="8"/>
      <c r="H307" s="8"/>
      <c r="I307" s="11" t="str">
        <f aca="false">IF($C307="","",D307-E307)</f>
        <v/>
      </c>
      <c r="J307" s="11" t="str">
        <f aca="false">IF($C307="","",I307-F307)</f>
        <v/>
      </c>
      <c r="K307" s="12" t="str">
        <f aca="false">IF($C307="","",IFERROR(INDEX(Setup!$B$5:$B$24,MATCH($C307,Setup!$A$5:$A$24,0)),""))</f>
        <v/>
      </c>
      <c r="L307" s="12" t="str">
        <f aca="false">IF(OR($C307="",K307=""),"",K307*G307/60)</f>
        <v/>
      </c>
      <c r="M307" s="11" t="str">
        <f aca="false">IF($C307="","",G307-H307)</f>
        <v/>
      </c>
      <c r="N307" s="13" t="str">
        <f aca="false">IF($C307="","",IF(I307&lt;=0,"",J307/I307))</f>
        <v/>
      </c>
      <c r="O307" s="13" t="str">
        <f aca="false">IF($C307="","",IF(OR(L307="",J307&lt;=0),"",L307/J307))</f>
        <v/>
      </c>
      <c r="P307" s="13" t="str">
        <f aca="false">IF($C307="","",IF(G307&lt;=0,"",M307/G307))</f>
        <v/>
      </c>
      <c r="Q307" s="13" t="str">
        <f aca="false">IF(OR(N307="",O307="",P307=""),"",N307*O307*P307)</f>
        <v/>
      </c>
      <c r="R307" s="14" t="str">
        <f aca="false">IF($C307="","",IF(K307="","Machine not in Setup",IF(H307&gt;G307,"Rejects &gt; total parts",IF(J307&lt;0,"Downtime &gt; planned time",IF(AND(ISNUMBER(O307),O307&gt;1.05),"Performance &gt; 100%: check cycle time or counts","OK")))))</f>
        <v/>
      </c>
    </row>
    <row r="308" customFormat="false" ht="15" hidden="false" customHeight="false" outlineLevel="0" collapsed="false">
      <c r="A308" s="10"/>
      <c r="B308" s="8"/>
      <c r="C308" s="8"/>
      <c r="D308" s="8"/>
      <c r="E308" s="8"/>
      <c r="F308" s="8"/>
      <c r="G308" s="8"/>
      <c r="H308" s="8"/>
      <c r="I308" s="11" t="str">
        <f aca="false">IF($C308="","",D308-E308)</f>
        <v/>
      </c>
      <c r="J308" s="11" t="str">
        <f aca="false">IF($C308="","",I308-F308)</f>
        <v/>
      </c>
      <c r="K308" s="12" t="str">
        <f aca="false">IF($C308="","",IFERROR(INDEX(Setup!$B$5:$B$24,MATCH($C308,Setup!$A$5:$A$24,0)),""))</f>
        <v/>
      </c>
      <c r="L308" s="12" t="str">
        <f aca="false">IF(OR($C308="",K308=""),"",K308*G308/60)</f>
        <v/>
      </c>
      <c r="M308" s="11" t="str">
        <f aca="false">IF($C308="","",G308-H308)</f>
        <v/>
      </c>
      <c r="N308" s="13" t="str">
        <f aca="false">IF($C308="","",IF(I308&lt;=0,"",J308/I308))</f>
        <v/>
      </c>
      <c r="O308" s="13" t="str">
        <f aca="false">IF($C308="","",IF(OR(L308="",J308&lt;=0),"",L308/J308))</f>
        <v/>
      </c>
      <c r="P308" s="13" t="str">
        <f aca="false">IF($C308="","",IF(G308&lt;=0,"",M308/G308))</f>
        <v/>
      </c>
      <c r="Q308" s="13" t="str">
        <f aca="false">IF(OR(N308="",O308="",P308=""),"",N308*O308*P308)</f>
        <v/>
      </c>
      <c r="R308" s="14" t="str">
        <f aca="false">IF($C308="","",IF(K308="","Machine not in Setup",IF(H308&gt;G308,"Rejects &gt; total parts",IF(J308&lt;0,"Downtime &gt; planned time",IF(AND(ISNUMBER(O308),O308&gt;1.05),"Performance &gt; 100%: check cycle time or counts","OK")))))</f>
        <v/>
      </c>
    </row>
    <row r="309" customFormat="false" ht="15" hidden="false" customHeight="false" outlineLevel="0" collapsed="false">
      <c r="A309" s="10"/>
      <c r="B309" s="8"/>
      <c r="C309" s="8"/>
      <c r="D309" s="8"/>
      <c r="E309" s="8"/>
      <c r="F309" s="8"/>
      <c r="G309" s="8"/>
      <c r="H309" s="8"/>
      <c r="I309" s="11" t="str">
        <f aca="false">IF($C309="","",D309-E309)</f>
        <v/>
      </c>
      <c r="J309" s="11" t="str">
        <f aca="false">IF($C309="","",I309-F309)</f>
        <v/>
      </c>
      <c r="K309" s="12" t="str">
        <f aca="false">IF($C309="","",IFERROR(INDEX(Setup!$B$5:$B$24,MATCH($C309,Setup!$A$5:$A$24,0)),""))</f>
        <v/>
      </c>
      <c r="L309" s="12" t="str">
        <f aca="false">IF(OR($C309="",K309=""),"",K309*G309/60)</f>
        <v/>
      </c>
      <c r="M309" s="11" t="str">
        <f aca="false">IF($C309="","",G309-H309)</f>
        <v/>
      </c>
      <c r="N309" s="13" t="str">
        <f aca="false">IF($C309="","",IF(I309&lt;=0,"",J309/I309))</f>
        <v/>
      </c>
      <c r="O309" s="13" t="str">
        <f aca="false">IF($C309="","",IF(OR(L309="",J309&lt;=0),"",L309/J309))</f>
        <v/>
      </c>
      <c r="P309" s="13" t="str">
        <f aca="false">IF($C309="","",IF(G309&lt;=0,"",M309/G309))</f>
        <v/>
      </c>
      <c r="Q309" s="13" t="str">
        <f aca="false">IF(OR(N309="",O309="",P309=""),"",N309*O309*P309)</f>
        <v/>
      </c>
      <c r="R309" s="14" t="str">
        <f aca="false">IF($C309="","",IF(K309="","Machine not in Setup",IF(H309&gt;G309,"Rejects &gt; total parts",IF(J309&lt;0,"Downtime &gt; planned time",IF(AND(ISNUMBER(O309),O309&gt;1.05),"Performance &gt; 100%: check cycle time or counts","OK")))))</f>
        <v/>
      </c>
    </row>
    <row r="310" customFormat="false" ht="15" hidden="false" customHeight="false" outlineLevel="0" collapsed="false">
      <c r="A310" s="10"/>
      <c r="B310" s="8"/>
      <c r="C310" s="8"/>
      <c r="D310" s="8"/>
      <c r="E310" s="8"/>
      <c r="F310" s="8"/>
      <c r="G310" s="8"/>
      <c r="H310" s="8"/>
      <c r="I310" s="11" t="str">
        <f aca="false">IF($C310="","",D310-E310)</f>
        <v/>
      </c>
      <c r="J310" s="11" t="str">
        <f aca="false">IF($C310="","",I310-F310)</f>
        <v/>
      </c>
      <c r="K310" s="12" t="str">
        <f aca="false">IF($C310="","",IFERROR(INDEX(Setup!$B$5:$B$24,MATCH($C310,Setup!$A$5:$A$24,0)),""))</f>
        <v/>
      </c>
      <c r="L310" s="12" t="str">
        <f aca="false">IF(OR($C310="",K310=""),"",K310*G310/60)</f>
        <v/>
      </c>
      <c r="M310" s="11" t="str">
        <f aca="false">IF($C310="","",G310-H310)</f>
        <v/>
      </c>
      <c r="N310" s="13" t="str">
        <f aca="false">IF($C310="","",IF(I310&lt;=0,"",J310/I310))</f>
        <v/>
      </c>
      <c r="O310" s="13" t="str">
        <f aca="false">IF($C310="","",IF(OR(L310="",J310&lt;=0),"",L310/J310))</f>
        <v/>
      </c>
      <c r="P310" s="13" t="str">
        <f aca="false">IF($C310="","",IF(G310&lt;=0,"",M310/G310))</f>
        <v/>
      </c>
      <c r="Q310" s="13" t="str">
        <f aca="false">IF(OR(N310="",O310="",P310=""),"",N310*O310*P310)</f>
        <v/>
      </c>
      <c r="R310" s="14" t="str">
        <f aca="false">IF($C310="","",IF(K310="","Machine not in Setup",IF(H310&gt;G310,"Rejects &gt; total parts",IF(J310&lt;0,"Downtime &gt; planned time",IF(AND(ISNUMBER(O310),O310&gt;1.05),"Performance &gt; 100%: check cycle time or counts","OK")))))</f>
        <v/>
      </c>
    </row>
    <row r="311" customFormat="false" ht="15" hidden="false" customHeight="false" outlineLevel="0" collapsed="false">
      <c r="A311" s="10"/>
      <c r="B311" s="8"/>
      <c r="C311" s="8"/>
      <c r="D311" s="8"/>
      <c r="E311" s="8"/>
      <c r="F311" s="8"/>
      <c r="G311" s="8"/>
      <c r="H311" s="8"/>
      <c r="I311" s="11" t="str">
        <f aca="false">IF($C311="","",D311-E311)</f>
        <v/>
      </c>
      <c r="J311" s="11" t="str">
        <f aca="false">IF($C311="","",I311-F311)</f>
        <v/>
      </c>
      <c r="K311" s="12" t="str">
        <f aca="false">IF($C311="","",IFERROR(INDEX(Setup!$B$5:$B$24,MATCH($C311,Setup!$A$5:$A$24,0)),""))</f>
        <v/>
      </c>
      <c r="L311" s="12" t="str">
        <f aca="false">IF(OR($C311="",K311=""),"",K311*G311/60)</f>
        <v/>
      </c>
      <c r="M311" s="11" t="str">
        <f aca="false">IF($C311="","",G311-H311)</f>
        <v/>
      </c>
      <c r="N311" s="13" t="str">
        <f aca="false">IF($C311="","",IF(I311&lt;=0,"",J311/I311))</f>
        <v/>
      </c>
      <c r="O311" s="13" t="str">
        <f aca="false">IF($C311="","",IF(OR(L311="",J311&lt;=0),"",L311/J311))</f>
        <v/>
      </c>
      <c r="P311" s="13" t="str">
        <f aca="false">IF($C311="","",IF(G311&lt;=0,"",M311/G311))</f>
        <v/>
      </c>
      <c r="Q311" s="13" t="str">
        <f aca="false">IF(OR(N311="",O311="",P311=""),"",N311*O311*P311)</f>
        <v/>
      </c>
      <c r="R311" s="14" t="str">
        <f aca="false">IF($C311="","",IF(K311="","Machine not in Setup",IF(H311&gt;G311,"Rejects &gt; total parts",IF(J311&lt;0,"Downtime &gt; planned time",IF(AND(ISNUMBER(O311),O311&gt;1.05),"Performance &gt; 100%: check cycle time or counts","OK")))))</f>
        <v/>
      </c>
    </row>
    <row r="312" customFormat="false" ht="15" hidden="false" customHeight="false" outlineLevel="0" collapsed="false">
      <c r="A312" s="10"/>
      <c r="B312" s="8"/>
      <c r="C312" s="8"/>
      <c r="D312" s="8"/>
      <c r="E312" s="8"/>
      <c r="F312" s="8"/>
      <c r="G312" s="8"/>
      <c r="H312" s="8"/>
      <c r="I312" s="11" t="str">
        <f aca="false">IF($C312="","",D312-E312)</f>
        <v/>
      </c>
      <c r="J312" s="11" t="str">
        <f aca="false">IF($C312="","",I312-F312)</f>
        <v/>
      </c>
      <c r="K312" s="12" t="str">
        <f aca="false">IF($C312="","",IFERROR(INDEX(Setup!$B$5:$B$24,MATCH($C312,Setup!$A$5:$A$24,0)),""))</f>
        <v/>
      </c>
      <c r="L312" s="12" t="str">
        <f aca="false">IF(OR($C312="",K312=""),"",K312*G312/60)</f>
        <v/>
      </c>
      <c r="M312" s="11" t="str">
        <f aca="false">IF($C312="","",G312-H312)</f>
        <v/>
      </c>
      <c r="N312" s="13" t="str">
        <f aca="false">IF($C312="","",IF(I312&lt;=0,"",J312/I312))</f>
        <v/>
      </c>
      <c r="O312" s="13" t="str">
        <f aca="false">IF($C312="","",IF(OR(L312="",J312&lt;=0),"",L312/J312))</f>
        <v/>
      </c>
      <c r="P312" s="13" t="str">
        <f aca="false">IF($C312="","",IF(G312&lt;=0,"",M312/G312))</f>
        <v/>
      </c>
      <c r="Q312" s="13" t="str">
        <f aca="false">IF(OR(N312="",O312="",P312=""),"",N312*O312*P312)</f>
        <v/>
      </c>
      <c r="R312" s="14" t="str">
        <f aca="false">IF($C312="","",IF(K312="","Machine not in Setup",IF(H312&gt;G312,"Rejects &gt; total parts",IF(J312&lt;0,"Downtime &gt; planned time",IF(AND(ISNUMBER(O312),O312&gt;1.05),"Performance &gt; 100%: check cycle time or counts","OK")))))</f>
        <v/>
      </c>
    </row>
    <row r="313" customFormat="false" ht="15" hidden="false" customHeight="false" outlineLevel="0" collapsed="false">
      <c r="A313" s="10"/>
      <c r="B313" s="8"/>
      <c r="C313" s="8"/>
      <c r="D313" s="8"/>
      <c r="E313" s="8"/>
      <c r="F313" s="8"/>
      <c r="G313" s="8"/>
      <c r="H313" s="8"/>
      <c r="I313" s="11" t="str">
        <f aca="false">IF($C313="","",D313-E313)</f>
        <v/>
      </c>
      <c r="J313" s="11" t="str">
        <f aca="false">IF($C313="","",I313-F313)</f>
        <v/>
      </c>
      <c r="K313" s="12" t="str">
        <f aca="false">IF($C313="","",IFERROR(INDEX(Setup!$B$5:$B$24,MATCH($C313,Setup!$A$5:$A$24,0)),""))</f>
        <v/>
      </c>
      <c r="L313" s="12" t="str">
        <f aca="false">IF(OR($C313="",K313=""),"",K313*G313/60)</f>
        <v/>
      </c>
      <c r="M313" s="11" t="str">
        <f aca="false">IF($C313="","",G313-H313)</f>
        <v/>
      </c>
      <c r="N313" s="13" t="str">
        <f aca="false">IF($C313="","",IF(I313&lt;=0,"",J313/I313))</f>
        <v/>
      </c>
      <c r="O313" s="13" t="str">
        <f aca="false">IF($C313="","",IF(OR(L313="",J313&lt;=0),"",L313/J313))</f>
        <v/>
      </c>
      <c r="P313" s="13" t="str">
        <f aca="false">IF($C313="","",IF(G313&lt;=0,"",M313/G313))</f>
        <v/>
      </c>
      <c r="Q313" s="13" t="str">
        <f aca="false">IF(OR(N313="",O313="",P313=""),"",N313*O313*P313)</f>
        <v/>
      </c>
      <c r="R313" s="14" t="str">
        <f aca="false">IF($C313="","",IF(K313="","Machine not in Setup",IF(H313&gt;G313,"Rejects &gt; total parts",IF(J313&lt;0,"Downtime &gt; planned time",IF(AND(ISNUMBER(O313),O313&gt;1.05),"Performance &gt; 100%: check cycle time or counts","OK")))))</f>
        <v/>
      </c>
    </row>
    <row r="314" customFormat="false" ht="15" hidden="false" customHeight="false" outlineLevel="0" collapsed="false">
      <c r="A314" s="10"/>
      <c r="B314" s="8"/>
      <c r="C314" s="8"/>
      <c r="D314" s="8"/>
      <c r="E314" s="8"/>
      <c r="F314" s="8"/>
      <c r="G314" s="8"/>
      <c r="H314" s="8"/>
      <c r="I314" s="11" t="str">
        <f aca="false">IF($C314="","",D314-E314)</f>
        <v/>
      </c>
      <c r="J314" s="11" t="str">
        <f aca="false">IF($C314="","",I314-F314)</f>
        <v/>
      </c>
      <c r="K314" s="12" t="str">
        <f aca="false">IF($C314="","",IFERROR(INDEX(Setup!$B$5:$B$24,MATCH($C314,Setup!$A$5:$A$24,0)),""))</f>
        <v/>
      </c>
      <c r="L314" s="12" t="str">
        <f aca="false">IF(OR($C314="",K314=""),"",K314*G314/60)</f>
        <v/>
      </c>
      <c r="M314" s="11" t="str">
        <f aca="false">IF($C314="","",G314-H314)</f>
        <v/>
      </c>
      <c r="N314" s="13" t="str">
        <f aca="false">IF($C314="","",IF(I314&lt;=0,"",J314/I314))</f>
        <v/>
      </c>
      <c r="O314" s="13" t="str">
        <f aca="false">IF($C314="","",IF(OR(L314="",J314&lt;=0),"",L314/J314))</f>
        <v/>
      </c>
      <c r="P314" s="13" t="str">
        <f aca="false">IF($C314="","",IF(G314&lt;=0,"",M314/G314))</f>
        <v/>
      </c>
      <c r="Q314" s="13" t="str">
        <f aca="false">IF(OR(N314="",O314="",P314=""),"",N314*O314*P314)</f>
        <v/>
      </c>
      <c r="R314" s="14" t="str">
        <f aca="false">IF($C314="","",IF(K314="","Machine not in Setup",IF(H314&gt;G314,"Rejects &gt; total parts",IF(J314&lt;0,"Downtime &gt; planned time",IF(AND(ISNUMBER(O314),O314&gt;1.05),"Performance &gt; 100%: check cycle time or counts","OK")))))</f>
        <v/>
      </c>
    </row>
    <row r="315" customFormat="false" ht="15" hidden="false" customHeight="false" outlineLevel="0" collapsed="false">
      <c r="A315" s="10"/>
      <c r="B315" s="8"/>
      <c r="C315" s="8"/>
      <c r="D315" s="8"/>
      <c r="E315" s="8"/>
      <c r="F315" s="8"/>
      <c r="G315" s="8"/>
      <c r="H315" s="8"/>
      <c r="I315" s="11" t="str">
        <f aca="false">IF($C315="","",D315-E315)</f>
        <v/>
      </c>
      <c r="J315" s="11" t="str">
        <f aca="false">IF($C315="","",I315-F315)</f>
        <v/>
      </c>
      <c r="K315" s="12" t="str">
        <f aca="false">IF($C315="","",IFERROR(INDEX(Setup!$B$5:$B$24,MATCH($C315,Setup!$A$5:$A$24,0)),""))</f>
        <v/>
      </c>
      <c r="L315" s="12" t="str">
        <f aca="false">IF(OR($C315="",K315=""),"",K315*G315/60)</f>
        <v/>
      </c>
      <c r="M315" s="11" t="str">
        <f aca="false">IF($C315="","",G315-H315)</f>
        <v/>
      </c>
      <c r="N315" s="13" t="str">
        <f aca="false">IF($C315="","",IF(I315&lt;=0,"",J315/I315))</f>
        <v/>
      </c>
      <c r="O315" s="13" t="str">
        <f aca="false">IF($C315="","",IF(OR(L315="",J315&lt;=0),"",L315/J315))</f>
        <v/>
      </c>
      <c r="P315" s="13" t="str">
        <f aca="false">IF($C315="","",IF(G315&lt;=0,"",M315/G315))</f>
        <v/>
      </c>
      <c r="Q315" s="13" t="str">
        <f aca="false">IF(OR(N315="",O315="",P315=""),"",N315*O315*P315)</f>
        <v/>
      </c>
      <c r="R315" s="14" t="str">
        <f aca="false">IF($C315="","",IF(K315="","Machine not in Setup",IF(H315&gt;G315,"Rejects &gt; total parts",IF(J315&lt;0,"Downtime &gt; planned time",IF(AND(ISNUMBER(O315),O315&gt;1.05),"Performance &gt; 100%: check cycle time or counts","OK")))))</f>
        <v/>
      </c>
    </row>
    <row r="316" customFormat="false" ht="15" hidden="false" customHeight="false" outlineLevel="0" collapsed="false">
      <c r="A316" s="10"/>
      <c r="B316" s="8"/>
      <c r="C316" s="8"/>
      <c r="D316" s="8"/>
      <c r="E316" s="8"/>
      <c r="F316" s="8"/>
      <c r="G316" s="8"/>
      <c r="H316" s="8"/>
      <c r="I316" s="11" t="str">
        <f aca="false">IF($C316="","",D316-E316)</f>
        <v/>
      </c>
      <c r="J316" s="11" t="str">
        <f aca="false">IF($C316="","",I316-F316)</f>
        <v/>
      </c>
      <c r="K316" s="12" t="str">
        <f aca="false">IF($C316="","",IFERROR(INDEX(Setup!$B$5:$B$24,MATCH($C316,Setup!$A$5:$A$24,0)),""))</f>
        <v/>
      </c>
      <c r="L316" s="12" t="str">
        <f aca="false">IF(OR($C316="",K316=""),"",K316*G316/60)</f>
        <v/>
      </c>
      <c r="M316" s="11" t="str">
        <f aca="false">IF($C316="","",G316-H316)</f>
        <v/>
      </c>
      <c r="N316" s="13" t="str">
        <f aca="false">IF($C316="","",IF(I316&lt;=0,"",J316/I316))</f>
        <v/>
      </c>
      <c r="O316" s="13" t="str">
        <f aca="false">IF($C316="","",IF(OR(L316="",J316&lt;=0),"",L316/J316))</f>
        <v/>
      </c>
      <c r="P316" s="13" t="str">
        <f aca="false">IF($C316="","",IF(G316&lt;=0,"",M316/G316))</f>
        <v/>
      </c>
      <c r="Q316" s="13" t="str">
        <f aca="false">IF(OR(N316="",O316="",P316=""),"",N316*O316*P316)</f>
        <v/>
      </c>
      <c r="R316" s="14" t="str">
        <f aca="false">IF($C316="","",IF(K316="","Machine not in Setup",IF(H316&gt;G316,"Rejects &gt; total parts",IF(J316&lt;0,"Downtime &gt; planned time",IF(AND(ISNUMBER(O316),O316&gt;1.05),"Performance &gt; 100%: check cycle time or counts","OK")))))</f>
        <v/>
      </c>
    </row>
    <row r="317" customFormat="false" ht="15" hidden="false" customHeight="false" outlineLevel="0" collapsed="false">
      <c r="A317" s="10"/>
      <c r="B317" s="8"/>
      <c r="C317" s="8"/>
      <c r="D317" s="8"/>
      <c r="E317" s="8"/>
      <c r="F317" s="8"/>
      <c r="G317" s="8"/>
      <c r="H317" s="8"/>
      <c r="I317" s="11" t="str">
        <f aca="false">IF($C317="","",D317-E317)</f>
        <v/>
      </c>
      <c r="J317" s="11" t="str">
        <f aca="false">IF($C317="","",I317-F317)</f>
        <v/>
      </c>
      <c r="K317" s="12" t="str">
        <f aca="false">IF($C317="","",IFERROR(INDEX(Setup!$B$5:$B$24,MATCH($C317,Setup!$A$5:$A$24,0)),""))</f>
        <v/>
      </c>
      <c r="L317" s="12" t="str">
        <f aca="false">IF(OR($C317="",K317=""),"",K317*G317/60)</f>
        <v/>
      </c>
      <c r="M317" s="11" t="str">
        <f aca="false">IF($C317="","",G317-H317)</f>
        <v/>
      </c>
      <c r="N317" s="13" t="str">
        <f aca="false">IF($C317="","",IF(I317&lt;=0,"",J317/I317))</f>
        <v/>
      </c>
      <c r="O317" s="13" t="str">
        <f aca="false">IF($C317="","",IF(OR(L317="",J317&lt;=0),"",L317/J317))</f>
        <v/>
      </c>
      <c r="P317" s="13" t="str">
        <f aca="false">IF($C317="","",IF(G317&lt;=0,"",M317/G317))</f>
        <v/>
      </c>
      <c r="Q317" s="13" t="str">
        <f aca="false">IF(OR(N317="",O317="",P317=""),"",N317*O317*P317)</f>
        <v/>
      </c>
      <c r="R317" s="14" t="str">
        <f aca="false">IF($C317="","",IF(K317="","Machine not in Setup",IF(H317&gt;G317,"Rejects &gt; total parts",IF(J317&lt;0,"Downtime &gt; planned time",IF(AND(ISNUMBER(O317),O317&gt;1.05),"Performance &gt; 100%: check cycle time or counts","OK")))))</f>
        <v/>
      </c>
    </row>
    <row r="318" customFormat="false" ht="15" hidden="false" customHeight="false" outlineLevel="0" collapsed="false">
      <c r="A318" s="10"/>
      <c r="B318" s="8"/>
      <c r="C318" s="8"/>
      <c r="D318" s="8"/>
      <c r="E318" s="8"/>
      <c r="F318" s="8"/>
      <c r="G318" s="8"/>
      <c r="H318" s="8"/>
      <c r="I318" s="11" t="str">
        <f aca="false">IF($C318="","",D318-E318)</f>
        <v/>
      </c>
      <c r="J318" s="11" t="str">
        <f aca="false">IF($C318="","",I318-F318)</f>
        <v/>
      </c>
      <c r="K318" s="12" t="str">
        <f aca="false">IF($C318="","",IFERROR(INDEX(Setup!$B$5:$B$24,MATCH($C318,Setup!$A$5:$A$24,0)),""))</f>
        <v/>
      </c>
      <c r="L318" s="12" t="str">
        <f aca="false">IF(OR($C318="",K318=""),"",K318*G318/60)</f>
        <v/>
      </c>
      <c r="M318" s="11" t="str">
        <f aca="false">IF($C318="","",G318-H318)</f>
        <v/>
      </c>
      <c r="N318" s="13" t="str">
        <f aca="false">IF($C318="","",IF(I318&lt;=0,"",J318/I318))</f>
        <v/>
      </c>
      <c r="O318" s="13" t="str">
        <f aca="false">IF($C318="","",IF(OR(L318="",J318&lt;=0),"",L318/J318))</f>
        <v/>
      </c>
      <c r="P318" s="13" t="str">
        <f aca="false">IF($C318="","",IF(G318&lt;=0,"",M318/G318))</f>
        <v/>
      </c>
      <c r="Q318" s="13" t="str">
        <f aca="false">IF(OR(N318="",O318="",P318=""),"",N318*O318*P318)</f>
        <v/>
      </c>
      <c r="R318" s="14" t="str">
        <f aca="false">IF($C318="","",IF(K318="","Machine not in Setup",IF(H318&gt;G318,"Rejects &gt; total parts",IF(J318&lt;0,"Downtime &gt; planned time",IF(AND(ISNUMBER(O318),O318&gt;1.05),"Performance &gt; 100%: check cycle time or counts","OK")))))</f>
        <v/>
      </c>
    </row>
    <row r="319" customFormat="false" ht="15" hidden="false" customHeight="false" outlineLevel="0" collapsed="false">
      <c r="A319" s="10"/>
      <c r="B319" s="8"/>
      <c r="C319" s="8"/>
      <c r="D319" s="8"/>
      <c r="E319" s="8"/>
      <c r="F319" s="8"/>
      <c r="G319" s="8"/>
      <c r="H319" s="8"/>
      <c r="I319" s="11" t="str">
        <f aca="false">IF($C319="","",D319-E319)</f>
        <v/>
      </c>
      <c r="J319" s="11" t="str">
        <f aca="false">IF($C319="","",I319-F319)</f>
        <v/>
      </c>
      <c r="K319" s="12" t="str">
        <f aca="false">IF($C319="","",IFERROR(INDEX(Setup!$B$5:$B$24,MATCH($C319,Setup!$A$5:$A$24,0)),""))</f>
        <v/>
      </c>
      <c r="L319" s="12" t="str">
        <f aca="false">IF(OR($C319="",K319=""),"",K319*G319/60)</f>
        <v/>
      </c>
      <c r="M319" s="11" t="str">
        <f aca="false">IF($C319="","",G319-H319)</f>
        <v/>
      </c>
      <c r="N319" s="13" t="str">
        <f aca="false">IF($C319="","",IF(I319&lt;=0,"",J319/I319))</f>
        <v/>
      </c>
      <c r="O319" s="13" t="str">
        <f aca="false">IF($C319="","",IF(OR(L319="",J319&lt;=0),"",L319/J319))</f>
        <v/>
      </c>
      <c r="P319" s="13" t="str">
        <f aca="false">IF($C319="","",IF(G319&lt;=0,"",M319/G319))</f>
        <v/>
      </c>
      <c r="Q319" s="13" t="str">
        <f aca="false">IF(OR(N319="",O319="",P319=""),"",N319*O319*P319)</f>
        <v/>
      </c>
      <c r="R319" s="14" t="str">
        <f aca="false">IF($C319="","",IF(K319="","Machine not in Setup",IF(H319&gt;G319,"Rejects &gt; total parts",IF(J319&lt;0,"Downtime &gt; planned time",IF(AND(ISNUMBER(O319),O319&gt;1.05),"Performance &gt; 100%: check cycle time or counts","OK")))))</f>
        <v/>
      </c>
    </row>
    <row r="320" customFormat="false" ht="15" hidden="false" customHeight="false" outlineLevel="0" collapsed="false">
      <c r="A320" s="10"/>
      <c r="B320" s="8"/>
      <c r="C320" s="8"/>
      <c r="D320" s="8"/>
      <c r="E320" s="8"/>
      <c r="F320" s="8"/>
      <c r="G320" s="8"/>
      <c r="H320" s="8"/>
      <c r="I320" s="11" t="str">
        <f aca="false">IF($C320="","",D320-E320)</f>
        <v/>
      </c>
      <c r="J320" s="11" t="str">
        <f aca="false">IF($C320="","",I320-F320)</f>
        <v/>
      </c>
      <c r="K320" s="12" t="str">
        <f aca="false">IF($C320="","",IFERROR(INDEX(Setup!$B$5:$B$24,MATCH($C320,Setup!$A$5:$A$24,0)),""))</f>
        <v/>
      </c>
      <c r="L320" s="12" t="str">
        <f aca="false">IF(OR($C320="",K320=""),"",K320*G320/60)</f>
        <v/>
      </c>
      <c r="M320" s="11" t="str">
        <f aca="false">IF($C320="","",G320-H320)</f>
        <v/>
      </c>
      <c r="N320" s="13" t="str">
        <f aca="false">IF($C320="","",IF(I320&lt;=0,"",J320/I320))</f>
        <v/>
      </c>
      <c r="O320" s="13" t="str">
        <f aca="false">IF($C320="","",IF(OR(L320="",J320&lt;=0),"",L320/J320))</f>
        <v/>
      </c>
      <c r="P320" s="13" t="str">
        <f aca="false">IF($C320="","",IF(G320&lt;=0,"",M320/G320))</f>
        <v/>
      </c>
      <c r="Q320" s="13" t="str">
        <f aca="false">IF(OR(N320="",O320="",P320=""),"",N320*O320*P320)</f>
        <v/>
      </c>
      <c r="R320" s="14" t="str">
        <f aca="false">IF($C320="","",IF(K320="","Machine not in Setup",IF(H320&gt;G320,"Rejects &gt; total parts",IF(J320&lt;0,"Downtime &gt; planned time",IF(AND(ISNUMBER(O320),O320&gt;1.05),"Performance &gt; 100%: check cycle time or counts","OK")))))</f>
        <v/>
      </c>
    </row>
    <row r="321" customFormat="false" ht="15" hidden="false" customHeight="false" outlineLevel="0" collapsed="false">
      <c r="A321" s="10"/>
      <c r="B321" s="8"/>
      <c r="C321" s="8"/>
      <c r="D321" s="8"/>
      <c r="E321" s="8"/>
      <c r="F321" s="8"/>
      <c r="G321" s="8"/>
      <c r="H321" s="8"/>
      <c r="I321" s="11" t="str">
        <f aca="false">IF($C321="","",D321-E321)</f>
        <v/>
      </c>
      <c r="J321" s="11" t="str">
        <f aca="false">IF($C321="","",I321-F321)</f>
        <v/>
      </c>
      <c r="K321" s="12" t="str">
        <f aca="false">IF($C321="","",IFERROR(INDEX(Setup!$B$5:$B$24,MATCH($C321,Setup!$A$5:$A$24,0)),""))</f>
        <v/>
      </c>
      <c r="L321" s="12" t="str">
        <f aca="false">IF(OR($C321="",K321=""),"",K321*G321/60)</f>
        <v/>
      </c>
      <c r="M321" s="11" t="str">
        <f aca="false">IF($C321="","",G321-H321)</f>
        <v/>
      </c>
      <c r="N321" s="13" t="str">
        <f aca="false">IF($C321="","",IF(I321&lt;=0,"",J321/I321))</f>
        <v/>
      </c>
      <c r="O321" s="13" t="str">
        <f aca="false">IF($C321="","",IF(OR(L321="",J321&lt;=0),"",L321/J321))</f>
        <v/>
      </c>
      <c r="P321" s="13" t="str">
        <f aca="false">IF($C321="","",IF(G321&lt;=0,"",M321/G321))</f>
        <v/>
      </c>
      <c r="Q321" s="13" t="str">
        <f aca="false">IF(OR(N321="",O321="",P321=""),"",N321*O321*P321)</f>
        <v/>
      </c>
      <c r="R321" s="14" t="str">
        <f aca="false">IF($C321="","",IF(K321="","Machine not in Setup",IF(H321&gt;G321,"Rejects &gt; total parts",IF(J321&lt;0,"Downtime &gt; planned time",IF(AND(ISNUMBER(O321),O321&gt;1.05),"Performance &gt; 100%: check cycle time or counts","OK")))))</f>
        <v/>
      </c>
    </row>
    <row r="322" customFormat="false" ht="15" hidden="false" customHeight="false" outlineLevel="0" collapsed="false">
      <c r="A322" s="10"/>
      <c r="B322" s="8"/>
      <c r="C322" s="8"/>
      <c r="D322" s="8"/>
      <c r="E322" s="8"/>
      <c r="F322" s="8"/>
      <c r="G322" s="8"/>
      <c r="H322" s="8"/>
      <c r="I322" s="11" t="str">
        <f aca="false">IF($C322="","",D322-E322)</f>
        <v/>
      </c>
      <c r="J322" s="11" t="str">
        <f aca="false">IF($C322="","",I322-F322)</f>
        <v/>
      </c>
      <c r="K322" s="12" t="str">
        <f aca="false">IF($C322="","",IFERROR(INDEX(Setup!$B$5:$B$24,MATCH($C322,Setup!$A$5:$A$24,0)),""))</f>
        <v/>
      </c>
      <c r="L322" s="12" t="str">
        <f aca="false">IF(OR($C322="",K322=""),"",K322*G322/60)</f>
        <v/>
      </c>
      <c r="M322" s="11" t="str">
        <f aca="false">IF($C322="","",G322-H322)</f>
        <v/>
      </c>
      <c r="N322" s="13" t="str">
        <f aca="false">IF($C322="","",IF(I322&lt;=0,"",J322/I322))</f>
        <v/>
      </c>
      <c r="O322" s="13" t="str">
        <f aca="false">IF($C322="","",IF(OR(L322="",J322&lt;=0),"",L322/J322))</f>
        <v/>
      </c>
      <c r="P322" s="13" t="str">
        <f aca="false">IF($C322="","",IF(G322&lt;=0,"",M322/G322))</f>
        <v/>
      </c>
      <c r="Q322" s="13" t="str">
        <f aca="false">IF(OR(N322="",O322="",P322=""),"",N322*O322*P322)</f>
        <v/>
      </c>
      <c r="R322" s="14" t="str">
        <f aca="false">IF($C322="","",IF(K322="","Machine not in Setup",IF(H322&gt;G322,"Rejects &gt; total parts",IF(J322&lt;0,"Downtime &gt; planned time",IF(AND(ISNUMBER(O322),O322&gt;1.05),"Performance &gt; 100%: check cycle time or counts","OK")))))</f>
        <v/>
      </c>
    </row>
    <row r="323" customFormat="false" ht="15" hidden="false" customHeight="false" outlineLevel="0" collapsed="false">
      <c r="A323" s="10"/>
      <c r="B323" s="8"/>
      <c r="C323" s="8"/>
      <c r="D323" s="8"/>
      <c r="E323" s="8"/>
      <c r="F323" s="8"/>
      <c r="G323" s="8"/>
      <c r="H323" s="8"/>
      <c r="I323" s="11" t="str">
        <f aca="false">IF($C323="","",D323-E323)</f>
        <v/>
      </c>
      <c r="J323" s="11" t="str">
        <f aca="false">IF($C323="","",I323-F323)</f>
        <v/>
      </c>
      <c r="K323" s="12" t="str">
        <f aca="false">IF($C323="","",IFERROR(INDEX(Setup!$B$5:$B$24,MATCH($C323,Setup!$A$5:$A$24,0)),""))</f>
        <v/>
      </c>
      <c r="L323" s="12" t="str">
        <f aca="false">IF(OR($C323="",K323=""),"",K323*G323/60)</f>
        <v/>
      </c>
      <c r="M323" s="11" t="str">
        <f aca="false">IF($C323="","",G323-H323)</f>
        <v/>
      </c>
      <c r="N323" s="13" t="str">
        <f aca="false">IF($C323="","",IF(I323&lt;=0,"",J323/I323))</f>
        <v/>
      </c>
      <c r="O323" s="13" t="str">
        <f aca="false">IF($C323="","",IF(OR(L323="",J323&lt;=0),"",L323/J323))</f>
        <v/>
      </c>
      <c r="P323" s="13" t="str">
        <f aca="false">IF($C323="","",IF(G323&lt;=0,"",M323/G323))</f>
        <v/>
      </c>
      <c r="Q323" s="13" t="str">
        <f aca="false">IF(OR(N323="",O323="",P323=""),"",N323*O323*P323)</f>
        <v/>
      </c>
      <c r="R323" s="14" t="str">
        <f aca="false">IF($C323="","",IF(K323="","Machine not in Setup",IF(H323&gt;G323,"Rejects &gt; total parts",IF(J323&lt;0,"Downtime &gt; planned time",IF(AND(ISNUMBER(O323),O323&gt;1.05),"Performance &gt; 100%: check cycle time or counts","OK")))))</f>
        <v/>
      </c>
    </row>
    <row r="324" customFormat="false" ht="15" hidden="false" customHeight="false" outlineLevel="0" collapsed="false">
      <c r="A324" s="10"/>
      <c r="B324" s="8"/>
      <c r="C324" s="8"/>
      <c r="D324" s="8"/>
      <c r="E324" s="8"/>
      <c r="F324" s="8"/>
      <c r="G324" s="8"/>
      <c r="H324" s="8"/>
      <c r="I324" s="11" t="str">
        <f aca="false">IF($C324="","",D324-E324)</f>
        <v/>
      </c>
      <c r="J324" s="11" t="str">
        <f aca="false">IF($C324="","",I324-F324)</f>
        <v/>
      </c>
      <c r="K324" s="12" t="str">
        <f aca="false">IF($C324="","",IFERROR(INDEX(Setup!$B$5:$B$24,MATCH($C324,Setup!$A$5:$A$24,0)),""))</f>
        <v/>
      </c>
      <c r="L324" s="12" t="str">
        <f aca="false">IF(OR($C324="",K324=""),"",K324*G324/60)</f>
        <v/>
      </c>
      <c r="M324" s="11" t="str">
        <f aca="false">IF($C324="","",G324-H324)</f>
        <v/>
      </c>
      <c r="N324" s="13" t="str">
        <f aca="false">IF($C324="","",IF(I324&lt;=0,"",J324/I324))</f>
        <v/>
      </c>
      <c r="O324" s="13" t="str">
        <f aca="false">IF($C324="","",IF(OR(L324="",J324&lt;=0),"",L324/J324))</f>
        <v/>
      </c>
      <c r="P324" s="13" t="str">
        <f aca="false">IF($C324="","",IF(G324&lt;=0,"",M324/G324))</f>
        <v/>
      </c>
      <c r="Q324" s="13" t="str">
        <f aca="false">IF(OR(N324="",O324="",P324=""),"",N324*O324*P324)</f>
        <v/>
      </c>
      <c r="R324" s="14" t="str">
        <f aca="false">IF($C324="","",IF(K324="","Machine not in Setup",IF(H324&gt;G324,"Rejects &gt; total parts",IF(J324&lt;0,"Downtime &gt; planned time",IF(AND(ISNUMBER(O324),O324&gt;1.05),"Performance &gt; 100%: check cycle time or counts","OK")))))</f>
        <v/>
      </c>
    </row>
    <row r="325" customFormat="false" ht="15" hidden="false" customHeight="false" outlineLevel="0" collapsed="false">
      <c r="A325" s="10"/>
      <c r="B325" s="8"/>
      <c r="C325" s="8"/>
      <c r="D325" s="8"/>
      <c r="E325" s="8"/>
      <c r="F325" s="8"/>
      <c r="G325" s="8"/>
      <c r="H325" s="8"/>
      <c r="I325" s="11" t="str">
        <f aca="false">IF($C325="","",D325-E325)</f>
        <v/>
      </c>
      <c r="J325" s="11" t="str">
        <f aca="false">IF($C325="","",I325-F325)</f>
        <v/>
      </c>
      <c r="K325" s="12" t="str">
        <f aca="false">IF($C325="","",IFERROR(INDEX(Setup!$B$5:$B$24,MATCH($C325,Setup!$A$5:$A$24,0)),""))</f>
        <v/>
      </c>
      <c r="L325" s="12" t="str">
        <f aca="false">IF(OR($C325="",K325=""),"",K325*G325/60)</f>
        <v/>
      </c>
      <c r="M325" s="11" t="str">
        <f aca="false">IF($C325="","",G325-H325)</f>
        <v/>
      </c>
      <c r="N325" s="13" t="str">
        <f aca="false">IF($C325="","",IF(I325&lt;=0,"",J325/I325))</f>
        <v/>
      </c>
      <c r="O325" s="13" t="str">
        <f aca="false">IF($C325="","",IF(OR(L325="",J325&lt;=0),"",L325/J325))</f>
        <v/>
      </c>
      <c r="P325" s="13" t="str">
        <f aca="false">IF($C325="","",IF(G325&lt;=0,"",M325/G325))</f>
        <v/>
      </c>
      <c r="Q325" s="13" t="str">
        <f aca="false">IF(OR(N325="",O325="",P325=""),"",N325*O325*P325)</f>
        <v/>
      </c>
      <c r="R325" s="14" t="str">
        <f aca="false">IF($C325="","",IF(K325="","Machine not in Setup",IF(H325&gt;G325,"Rejects &gt; total parts",IF(J325&lt;0,"Downtime &gt; planned time",IF(AND(ISNUMBER(O325),O325&gt;1.05),"Performance &gt; 100%: check cycle time or counts","OK")))))</f>
        <v/>
      </c>
    </row>
    <row r="326" customFormat="false" ht="15" hidden="false" customHeight="false" outlineLevel="0" collapsed="false">
      <c r="A326" s="10"/>
      <c r="B326" s="8"/>
      <c r="C326" s="8"/>
      <c r="D326" s="8"/>
      <c r="E326" s="8"/>
      <c r="F326" s="8"/>
      <c r="G326" s="8"/>
      <c r="H326" s="8"/>
      <c r="I326" s="11" t="str">
        <f aca="false">IF($C326="","",D326-E326)</f>
        <v/>
      </c>
      <c r="J326" s="11" t="str">
        <f aca="false">IF($C326="","",I326-F326)</f>
        <v/>
      </c>
      <c r="K326" s="12" t="str">
        <f aca="false">IF($C326="","",IFERROR(INDEX(Setup!$B$5:$B$24,MATCH($C326,Setup!$A$5:$A$24,0)),""))</f>
        <v/>
      </c>
      <c r="L326" s="12" t="str">
        <f aca="false">IF(OR($C326="",K326=""),"",K326*G326/60)</f>
        <v/>
      </c>
      <c r="M326" s="11" t="str">
        <f aca="false">IF($C326="","",G326-H326)</f>
        <v/>
      </c>
      <c r="N326" s="13" t="str">
        <f aca="false">IF($C326="","",IF(I326&lt;=0,"",J326/I326))</f>
        <v/>
      </c>
      <c r="O326" s="13" t="str">
        <f aca="false">IF($C326="","",IF(OR(L326="",J326&lt;=0),"",L326/J326))</f>
        <v/>
      </c>
      <c r="P326" s="13" t="str">
        <f aca="false">IF($C326="","",IF(G326&lt;=0,"",M326/G326))</f>
        <v/>
      </c>
      <c r="Q326" s="13" t="str">
        <f aca="false">IF(OR(N326="",O326="",P326=""),"",N326*O326*P326)</f>
        <v/>
      </c>
      <c r="R326" s="14" t="str">
        <f aca="false">IF($C326="","",IF(K326="","Machine not in Setup",IF(H326&gt;G326,"Rejects &gt; total parts",IF(J326&lt;0,"Downtime &gt; planned time",IF(AND(ISNUMBER(O326),O326&gt;1.05),"Performance &gt; 100%: check cycle time or counts","OK")))))</f>
        <v/>
      </c>
    </row>
    <row r="327" customFormat="false" ht="15" hidden="false" customHeight="false" outlineLevel="0" collapsed="false">
      <c r="A327" s="10"/>
      <c r="B327" s="8"/>
      <c r="C327" s="8"/>
      <c r="D327" s="8"/>
      <c r="E327" s="8"/>
      <c r="F327" s="8"/>
      <c r="G327" s="8"/>
      <c r="H327" s="8"/>
      <c r="I327" s="11" t="str">
        <f aca="false">IF($C327="","",D327-E327)</f>
        <v/>
      </c>
      <c r="J327" s="11" t="str">
        <f aca="false">IF($C327="","",I327-F327)</f>
        <v/>
      </c>
      <c r="K327" s="12" t="str">
        <f aca="false">IF($C327="","",IFERROR(INDEX(Setup!$B$5:$B$24,MATCH($C327,Setup!$A$5:$A$24,0)),""))</f>
        <v/>
      </c>
      <c r="L327" s="12" t="str">
        <f aca="false">IF(OR($C327="",K327=""),"",K327*G327/60)</f>
        <v/>
      </c>
      <c r="M327" s="11" t="str">
        <f aca="false">IF($C327="","",G327-H327)</f>
        <v/>
      </c>
      <c r="N327" s="13" t="str">
        <f aca="false">IF($C327="","",IF(I327&lt;=0,"",J327/I327))</f>
        <v/>
      </c>
      <c r="O327" s="13" t="str">
        <f aca="false">IF($C327="","",IF(OR(L327="",J327&lt;=0),"",L327/J327))</f>
        <v/>
      </c>
      <c r="P327" s="13" t="str">
        <f aca="false">IF($C327="","",IF(G327&lt;=0,"",M327/G327))</f>
        <v/>
      </c>
      <c r="Q327" s="13" t="str">
        <f aca="false">IF(OR(N327="",O327="",P327=""),"",N327*O327*P327)</f>
        <v/>
      </c>
      <c r="R327" s="14" t="str">
        <f aca="false">IF($C327="","",IF(K327="","Machine not in Setup",IF(H327&gt;G327,"Rejects &gt; total parts",IF(J327&lt;0,"Downtime &gt; planned time",IF(AND(ISNUMBER(O327),O327&gt;1.05),"Performance &gt; 100%: check cycle time or counts","OK")))))</f>
        <v/>
      </c>
    </row>
    <row r="328" customFormat="false" ht="15" hidden="false" customHeight="false" outlineLevel="0" collapsed="false">
      <c r="A328" s="10"/>
      <c r="B328" s="8"/>
      <c r="C328" s="8"/>
      <c r="D328" s="8"/>
      <c r="E328" s="8"/>
      <c r="F328" s="8"/>
      <c r="G328" s="8"/>
      <c r="H328" s="8"/>
      <c r="I328" s="11" t="str">
        <f aca="false">IF($C328="","",D328-E328)</f>
        <v/>
      </c>
      <c r="J328" s="11" t="str">
        <f aca="false">IF($C328="","",I328-F328)</f>
        <v/>
      </c>
      <c r="K328" s="12" t="str">
        <f aca="false">IF($C328="","",IFERROR(INDEX(Setup!$B$5:$B$24,MATCH($C328,Setup!$A$5:$A$24,0)),""))</f>
        <v/>
      </c>
      <c r="L328" s="12" t="str">
        <f aca="false">IF(OR($C328="",K328=""),"",K328*G328/60)</f>
        <v/>
      </c>
      <c r="M328" s="11" t="str">
        <f aca="false">IF($C328="","",G328-H328)</f>
        <v/>
      </c>
      <c r="N328" s="13" t="str">
        <f aca="false">IF($C328="","",IF(I328&lt;=0,"",J328/I328))</f>
        <v/>
      </c>
      <c r="O328" s="13" t="str">
        <f aca="false">IF($C328="","",IF(OR(L328="",J328&lt;=0),"",L328/J328))</f>
        <v/>
      </c>
      <c r="P328" s="13" t="str">
        <f aca="false">IF($C328="","",IF(G328&lt;=0,"",M328/G328))</f>
        <v/>
      </c>
      <c r="Q328" s="13" t="str">
        <f aca="false">IF(OR(N328="",O328="",P328=""),"",N328*O328*P328)</f>
        <v/>
      </c>
      <c r="R328" s="14" t="str">
        <f aca="false">IF($C328="","",IF(K328="","Machine not in Setup",IF(H328&gt;G328,"Rejects &gt; total parts",IF(J328&lt;0,"Downtime &gt; planned time",IF(AND(ISNUMBER(O328),O328&gt;1.05),"Performance &gt; 100%: check cycle time or counts","OK")))))</f>
        <v/>
      </c>
    </row>
    <row r="329" customFormat="false" ht="15" hidden="false" customHeight="false" outlineLevel="0" collapsed="false">
      <c r="A329" s="10"/>
      <c r="B329" s="8"/>
      <c r="C329" s="8"/>
      <c r="D329" s="8"/>
      <c r="E329" s="8"/>
      <c r="F329" s="8"/>
      <c r="G329" s="8"/>
      <c r="H329" s="8"/>
      <c r="I329" s="11" t="str">
        <f aca="false">IF($C329="","",D329-E329)</f>
        <v/>
      </c>
      <c r="J329" s="11" t="str">
        <f aca="false">IF($C329="","",I329-F329)</f>
        <v/>
      </c>
      <c r="K329" s="12" t="str">
        <f aca="false">IF($C329="","",IFERROR(INDEX(Setup!$B$5:$B$24,MATCH($C329,Setup!$A$5:$A$24,0)),""))</f>
        <v/>
      </c>
      <c r="L329" s="12" t="str">
        <f aca="false">IF(OR($C329="",K329=""),"",K329*G329/60)</f>
        <v/>
      </c>
      <c r="M329" s="11" t="str">
        <f aca="false">IF($C329="","",G329-H329)</f>
        <v/>
      </c>
      <c r="N329" s="13" t="str">
        <f aca="false">IF($C329="","",IF(I329&lt;=0,"",J329/I329))</f>
        <v/>
      </c>
      <c r="O329" s="13" t="str">
        <f aca="false">IF($C329="","",IF(OR(L329="",J329&lt;=0),"",L329/J329))</f>
        <v/>
      </c>
      <c r="P329" s="13" t="str">
        <f aca="false">IF($C329="","",IF(G329&lt;=0,"",M329/G329))</f>
        <v/>
      </c>
      <c r="Q329" s="13" t="str">
        <f aca="false">IF(OR(N329="",O329="",P329=""),"",N329*O329*P329)</f>
        <v/>
      </c>
      <c r="R329" s="14" t="str">
        <f aca="false">IF($C329="","",IF(K329="","Machine not in Setup",IF(H329&gt;G329,"Rejects &gt; total parts",IF(J329&lt;0,"Downtime &gt; planned time",IF(AND(ISNUMBER(O329),O329&gt;1.05),"Performance &gt; 100%: check cycle time or counts","OK")))))</f>
        <v/>
      </c>
    </row>
    <row r="330" customFormat="false" ht="15" hidden="false" customHeight="false" outlineLevel="0" collapsed="false">
      <c r="A330" s="10"/>
      <c r="B330" s="8"/>
      <c r="C330" s="8"/>
      <c r="D330" s="8"/>
      <c r="E330" s="8"/>
      <c r="F330" s="8"/>
      <c r="G330" s="8"/>
      <c r="H330" s="8"/>
      <c r="I330" s="11" t="str">
        <f aca="false">IF($C330="","",D330-E330)</f>
        <v/>
      </c>
      <c r="J330" s="11" t="str">
        <f aca="false">IF($C330="","",I330-F330)</f>
        <v/>
      </c>
      <c r="K330" s="12" t="str">
        <f aca="false">IF($C330="","",IFERROR(INDEX(Setup!$B$5:$B$24,MATCH($C330,Setup!$A$5:$A$24,0)),""))</f>
        <v/>
      </c>
      <c r="L330" s="12" t="str">
        <f aca="false">IF(OR($C330="",K330=""),"",K330*G330/60)</f>
        <v/>
      </c>
      <c r="M330" s="11" t="str">
        <f aca="false">IF($C330="","",G330-H330)</f>
        <v/>
      </c>
      <c r="N330" s="13" t="str">
        <f aca="false">IF($C330="","",IF(I330&lt;=0,"",J330/I330))</f>
        <v/>
      </c>
      <c r="O330" s="13" t="str">
        <f aca="false">IF($C330="","",IF(OR(L330="",J330&lt;=0),"",L330/J330))</f>
        <v/>
      </c>
      <c r="P330" s="13" t="str">
        <f aca="false">IF($C330="","",IF(G330&lt;=0,"",M330/G330))</f>
        <v/>
      </c>
      <c r="Q330" s="13" t="str">
        <f aca="false">IF(OR(N330="",O330="",P330=""),"",N330*O330*P330)</f>
        <v/>
      </c>
      <c r="R330" s="14" t="str">
        <f aca="false">IF($C330="","",IF(K330="","Machine not in Setup",IF(H330&gt;G330,"Rejects &gt; total parts",IF(J330&lt;0,"Downtime &gt; planned time",IF(AND(ISNUMBER(O330),O330&gt;1.05),"Performance &gt; 100%: check cycle time or counts","OK")))))</f>
        <v/>
      </c>
    </row>
    <row r="331" customFormat="false" ht="15" hidden="false" customHeight="false" outlineLevel="0" collapsed="false">
      <c r="A331" s="10"/>
      <c r="B331" s="8"/>
      <c r="C331" s="8"/>
      <c r="D331" s="8"/>
      <c r="E331" s="8"/>
      <c r="F331" s="8"/>
      <c r="G331" s="8"/>
      <c r="H331" s="8"/>
      <c r="I331" s="11" t="str">
        <f aca="false">IF($C331="","",D331-E331)</f>
        <v/>
      </c>
      <c r="J331" s="11" t="str">
        <f aca="false">IF($C331="","",I331-F331)</f>
        <v/>
      </c>
      <c r="K331" s="12" t="str">
        <f aca="false">IF($C331="","",IFERROR(INDEX(Setup!$B$5:$B$24,MATCH($C331,Setup!$A$5:$A$24,0)),""))</f>
        <v/>
      </c>
      <c r="L331" s="12" t="str">
        <f aca="false">IF(OR($C331="",K331=""),"",K331*G331/60)</f>
        <v/>
      </c>
      <c r="M331" s="11" t="str">
        <f aca="false">IF($C331="","",G331-H331)</f>
        <v/>
      </c>
      <c r="N331" s="13" t="str">
        <f aca="false">IF($C331="","",IF(I331&lt;=0,"",J331/I331))</f>
        <v/>
      </c>
      <c r="O331" s="13" t="str">
        <f aca="false">IF($C331="","",IF(OR(L331="",J331&lt;=0),"",L331/J331))</f>
        <v/>
      </c>
      <c r="P331" s="13" t="str">
        <f aca="false">IF($C331="","",IF(G331&lt;=0,"",M331/G331))</f>
        <v/>
      </c>
      <c r="Q331" s="13" t="str">
        <f aca="false">IF(OR(N331="",O331="",P331=""),"",N331*O331*P331)</f>
        <v/>
      </c>
      <c r="R331" s="14" t="str">
        <f aca="false">IF($C331="","",IF(K331="","Machine not in Setup",IF(H331&gt;G331,"Rejects &gt; total parts",IF(J331&lt;0,"Downtime &gt; planned time",IF(AND(ISNUMBER(O331),O331&gt;1.05),"Performance &gt; 100%: check cycle time or counts","OK")))))</f>
        <v/>
      </c>
    </row>
    <row r="332" customFormat="false" ht="15" hidden="false" customHeight="false" outlineLevel="0" collapsed="false">
      <c r="A332" s="10"/>
      <c r="B332" s="8"/>
      <c r="C332" s="8"/>
      <c r="D332" s="8"/>
      <c r="E332" s="8"/>
      <c r="F332" s="8"/>
      <c r="G332" s="8"/>
      <c r="H332" s="8"/>
      <c r="I332" s="11" t="str">
        <f aca="false">IF($C332="","",D332-E332)</f>
        <v/>
      </c>
      <c r="J332" s="11" t="str">
        <f aca="false">IF($C332="","",I332-F332)</f>
        <v/>
      </c>
      <c r="K332" s="12" t="str">
        <f aca="false">IF($C332="","",IFERROR(INDEX(Setup!$B$5:$B$24,MATCH($C332,Setup!$A$5:$A$24,0)),""))</f>
        <v/>
      </c>
      <c r="L332" s="12" t="str">
        <f aca="false">IF(OR($C332="",K332=""),"",K332*G332/60)</f>
        <v/>
      </c>
      <c r="M332" s="11" t="str">
        <f aca="false">IF($C332="","",G332-H332)</f>
        <v/>
      </c>
      <c r="N332" s="13" t="str">
        <f aca="false">IF($C332="","",IF(I332&lt;=0,"",J332/I332))</f>
        <v/>
      </c>
      <c r="O332" s="13" t="str">
        <f aca="false">IF($C332="","",IF(OR(L332="",J332&lt;=0),"",L332/J332))</f>
        <v/>
      </c>
      <c r="P332" s="13" t="str">
        <f aca="false">IF($C332="","",IF(G332&lt;=0,"",M332/G332))</f>
        <v/>
      </c>
      <c r="Q332" s="13" t="str">
        <f aca="false">IF(OR(N332="",O332="",P332=""),"",N332*O332*P332)</f>
        <v/>
      </c>
      <c r="R332" s="14" t="str">
        <f aca="false">IF($C332="","",IF(K332="","Machine not in Setup",IF(H332&gt;G332,"Rejects &gt; total parts",IF(J332&lt;0,"Downtime &gt; planned time",IF(AND(ISNUMBER(O332),O332&gt;1.05),"Performance &gt; 100%: check cycle time or counts","OK")))))</f>
        <v/>
      </c>
    </row>
    <row r="333" customFormat="false" ht="15" hidden="false" customHeight="false" outlineLevel="0" collapsed="false">
      <c r="A333" s="10"/>
      <c r="B333" s="8"/>
      <c r="C333" s="8"/>
      <c r="D333" s="8"/>
      <c r="E333" s="8"/>
      <c r="F333" s="8"/>
      <c r="G333" s="8"/>
      <c r="H333" s="8"/>
      <c r="I333" s="11" t="str">
        <f aca="false">IF($C333="","",D333-E333)</f>
        <v/>
      </c>
      <c r="J333" s="11" t="str">
        <f aca="false">IF($C333="","",I333-F333)</f>
        <v/>
      </c>
      <c r="K333" s="12" t="str">
        <f aca="false">IF($C333="","",IFERROR(INDEX(Setup!$B$5:$B$24,MATCH($C333,Setup!$A$5:$A$24,0)),""))</f>
        <v/>
      </c>
      <c r="L333" s="12" t="str">
        <f aca="false">IF(OR($C333="",K333=""),"",K333*G333/60)</f>
        <v/>
      </c>
      <c r="M333" s="11" t="str">
        <f aca="false">IF($C333="","",G333-H333)</f>
        <v/>
      </c>
      <c r="N333" s="13" t="str">
        <f aca="false">IF($C333="","",IF(I333&lt;=0,"",J333/I333))</f>
        <v/>
      </c>
      <c r="O333" s="13" t="str">
        <f aca="false">IF($C333="","",IF(OR(L333="",J333&lt;=0),"",L333/J333))</f>
        <v/>
      </c>
      <c r="P333" s="13" t="str">
        <f aca="false">IF($C333="","",IF(G333&lt;=0,"",M333/G333))</f>
        <v/>
      </c>
      <c r="Q333" s="13" t="str">
        <f aca="false">IF(OR(N333="",O333="",P333=""),"",N333*O333*P333)</f>
        <v/>
      </c>
      <c r="R333" s="14" t="str">
        <f aca="false">IF($C333="","",IF(K333="","Machine not in Setup",IF(H333&gt;G333,"Rejects &gt; total parts",IF(J333&lt;0,"Downtime &gt; planned time",IF(AND(ISNUMBER(O333),O333&gt;1.05),"Performance &gt; 100%: check cycle time or counts","OK")))))</f>
        <v/>
      </c>
    </row>
    <row r="334" customFormat="false" ht="15" hidden="false" customHeight="false" outlineLevel="0" collapsed="false">
      <c r="A334" s="10"/>
      <c r="B334" s="8"/>
      <c r="C334" s="8"/>
      <c r="D334" s="8"/>
      <c r="E334" s="8"/>
      <c r="F334" s="8"/>
      <c r="G334" s="8"/>
      <c r="H334" s="8"/>
      <c r="I334" s="11" t="str">
        <f aca="false">IF($C334="","",D334-E334)</f>
        <v/>
      </c>
      <c r="J334" s="11" t="str">
        <f aca="false">IF($C334="","",I334-F334)</f>
        <v/>
      </c>
      <c r="K334" s="12" t="str">
        <f aca="false">IF($C334="","",IFERROR(INDEX(Setup!$B$5:$B$24,MATCH($C334,Setup!$A$5:$A$24,0)),""))</f>
        <v/>
      </c>
      <c r="L334" s="12" t="str">
        <f aca="false">IF(OR($C334="",K334=""),"",K334*G334/60)</f>
        <v/>
      </c>
      <c r="M334" s="11" t="str">
        <f aca="false">IF($C334="","",G334-H334)</f>
        <v/>
      </c>
      <c r="N334" s="13" t="str">
        <f aca="false">IF($C334="","",IF(I334&lt;=0,"",J334/I334))</f>
        <v/>
      </c>
      <c r="O334" s="13" t="str">
        <f aca="false">IF($C334="","",IF(OR(L334="",J334&lt;=0),"",L334/J334))</f>
        <v/>
      </c>
      <c r="P334" s="13" t="str">
        <f aca="false">IF($C334="","",IF(G334&lt;=0,"",M334/G334))</f>
        <v/>
      </c>
      <c r="Q334" s="13" t="str">
        <f aca="false">IF(OR(N334="",O334="",P334=""),"",N334*O334*P334)</f>
        <v/>
      </c>
      <c r="R334" s="14" t="str">
        <f aca="false">IF($C334="","",IF(K334="","Machine not in Setup",IF(H334&gt;G334,"Rejects &gt; total parts",IF(J334&lt;0,"Downtime &gt; planned time",IF(AND(ISNUMBER(O334),O334&gt;1.05),"Performance &gt; 100%: check cycle time or counts","OK")))))</f>
        <v/>
      </c>
    </row>
    <row r="335" customFormat="false" ht="15" hidden="false" customHeight="false" outlineLevel="0" collapsed="false">
      <c r="A335" s="10"/>
      <c r="B335" s="8"/>
      <c r="C335" s="8"/>
      <c r="D335" s="8"/>
      <c r="E335" s="8"/>
      <c r="F335" s="8"/>
      <c r="G335" s="8"/>
      <c r="H335" s="8"/>
      <c r="I335" s="11" t="str">
        <f aca="false">IF($C335="","",D335-E335)</f>
        <v/>
      </c>
      <c r="J335" s="11" t="str">
        <f aca="false">IF($C335="","",I335-F335)</f>
        <v/>
      </c>
      <c r="K335" s="12" t="str">
        <f aca="false">IF($C335="","",IFERROR(INDEX(Setup!$B$5:$B$24,MATCH($C335,Setup!$A$5:$A$24,0)),""))</f>
        <v/>
      </c>
      <c r="L335" s="12" t="str">
        <f aca="false">IF(OR($C335="",K335=""),"",K335*G335/60)</f>
        <v/>
      </c>
      <c r="M335" s="11" t="str">
        <f aca="false">IF($C335="","",G335-H335)</f>
        <v/>
      </c>
      <c r="N335" s="13" t="str">
        <f aca="false">IF($C335="","",IF(I335&lt;=0,"",J335/I335))</f>
        <v/>
      </c>
      <c r="O335" s="13" t="str">
        <f aca="false">IF($C335="","",IF(OR(L335="",J335&lt;=0),"",L335/J335))</f>
        <v/>
      </c>
      <c r="P335" s="13" t="str">
        <f aca="false">IF($C335="","",IF(G335&lt;=0,"",M335/G335))</f>
        <v/>
      </c>
      <c r="Q335" s="13" t="str">
        <f aca="false">IF(OR(N335="",O335="",P335=""),"",N335*O335*P335)</f>
        <v/>
      </c>
      <c r="R335" s="14" t="str">
        <f aca="false">IF($C335="","",IF(K335="","Machine not in Setup",IF(H335&gt;G335,"Rejects &gt; total parts",IF(J335&lt;0,"Downtime &gt; planned time",IF(AND(ISNUMBER(O335),O335&gt;1.05),"Performance &gt; 100%: check cycle time or counts","OK")))))</f>
        <v/>
      </c>
    </row>
    <row r="336" customFormat="false" ht="15" hidden="false" customHeight="false" outlineLevel="0" collapsed="false">
      <c r="A336" s="10"/>
      <c r="B336" s="8"/>
      <c r="C336" s="8"/>
      <c r="D336" s="8"/>
      <c r="E336" s="8"/>
      <c r="F336" s="8"/>
      <c r="G336" s="8"/>
      <c r="H336" s="8"/>
      <c r="I336" s="11" t="str">
        <f aca="false">IF($C336="","",D336-E336)</f>
        <v/>
      </c>
      <c r="J336" s="11" t="str">
        <f aca="false">IF($C336="","",I336-F336)</f>
        <v/>
      </c>
      <c r="K336" s="12" t="str">
        <f aca="false">IF($C336="","",IFERROR(INDEX(Setup!$B$5:$B$24,MATCH($C336,Setup!$A$5:$A$24,0)),""))</f>
        <v/>
      </c>
      <c r="L336" s="12" t="str">
        <f aca="false">IF(OR($C336="",K336=""),"",K336*G336/60)</f>
        <v/>
      </c>
      <c r="M336" s="11" t="str">
        <f aca="false">IF($C336="","",G336-H336)</f>
        <v/>
      </c>
      <c r="N336" s="13" t="str">
        <f aca="false">IF($C336="","",IF(I336&lt;=0,"",J336/I336))</f>
        <v/>
      </c>
      <c r="O336" s="13" t="str">
        <f aca="false">IF($C336="","",IF(OR(L336="",J336&lt;=0),"",L336/J336))</f>
        <v/>
      </c>
      <c r="P336" s="13" t="str">
        <f aca="false">IF($C336="","",IF(G336&lt;=0,"",M336/G336))</f>
        <v/>
      </c>
      <c r="Q336" s="13" t="str">
        <f aca="false">IF(OR(N336="",O336="",P336=""),"",N336*O336*P336)</f>
        <v/>
      </c>
      <c r="R336" s="14" t="str">
        <f aca="false">IF($C336="","",IF(K336="","Machine not in Setup",IF(H336&gt;G336,"Rejects &gt; total parts",IF(J336&lt;0,"Downtime &gt; planned time",IF(AND(ISNUMBER(O336),O336&gt;1.05),"Performance &gt; 100%: check cycle time or counts","OK")))))</f>
        <v/>
      </c>
    </row>
    <row r="337" customFormat="false" ht="15" hidden="false" customHeight="false" outlineLevel="0" collapsed="false">
      <c r="A337" s="10"/>
      <c r="B337" s="8"/>
      <c r="C337" s="8"/>
      <c r="D337" s="8"/>
      <c r="E337" s="8"/>
      <c r="F337" s="8"/>
      <c r="G337" s="8"/>
      <c r="H337" s="8"/>
      <c r="I337" s="11" t="str">
        <f aca="false">IF($C337="","",D337-E337)</f>
        <v/>
      </c>
      <c r="J337" s="11" t="str">
        <f aca="false">IF($C337="","",I337-F337)</f>
        <v/>
      </c>
      <c r="K337" s="12" t="str">
        <f aca="false">IF($C337="","",IFERROR(INDEX(Setup!$B$5:$B$24,MATCH($C337,Setup!$A$5:$A$24,0)),""))</f>
        <v/>
      </c>
      <c r="L337" s="12" t="str">
        <f aca="false">IF(OR($C337="",K337=""),"",K337*G337/60)</f>
        <v/>
      </c>
      <c r="M337" s="11" t="str">
        <f aca="false">IF($C337="","",G337-H337)</f>
        <v/>
      </c>
      <c r="N337" s="13" t="str">
        <f aca="false">IF($C337="","",IF(I337&lt;=0,"",J337/I337))</f>
        <v/>
      </c>
      <c r="O337" s="13" t="str">
        <f aca="false">IF($C337="","",IF(OR(L337="",J337&lt;=0),"",L337/J337))</f>
        <v/>
      </c>
      <c r="P337" s="13" t="str">
        <f aca="false">IF($C337="","",IF(G337&lt;=0,"",M337/G337))</f>
        <v/>
      </c>
      <c r="Q337" s="13" t="str">
        <f aca="false">IF(OR(N337="",O337="",P337=""),"",N337*O337*P337)</f>
        <v/>
      </c>
      <c r="R337" s="14" t="str">
        <f aca="false">IF($C337="","",IF(K337="","Machine not in Setup",IF(H337&gt;G337,"Rejects &gt; total parts",IF(J337&lt;0,"Downtime &gt; planned time",IF(AND(ISNUMBER(O337),O337&gt;1.05),"Performance &gt; 100%: check cycle time or counts","OK")))))</f>
        <v/>
      </c>
    </row>
    <row r="338" customFormat="false" ht="15" hidden="false" customHeight="false" outlineLevel="0" collapsed="false">
      <c r="A338" s="10"/>
      <c r="B338" s="8"/>
      <c r="C338" s="8"/>
      <c r="D338" s="8"/>
      <c r="E338" s="8"/>
      <c r="F338" s="8"/>
      <c r="G338" s="8"/>
      <c r="H338" s="8"/>
      <c r="I338" s="11" t="str">
        <f aca="false">IF($C338="","",D338-E338)</f>
        <v/>
      </c>
      <c r="J338" s="11" t="str">
        <f aca="false">IF($C338="","",I338-F338)</f>
        <v/>
      </c>
      <c r="K338" s="12" t="str">
        <f aca="false">IF($C338="","",IFERROR(INDEX(Setup!$B$5:$B$24,MATCH($C338,Setup!$A$5:$A$24,0)),""))</f>
        <v/>
      </c>
      <c r="L338" s="12" t="str">
        <f aca="false">IF(OR($C338="",K338=""),"",K338*G338/60)</f>
        <v/>
      </c>
      <c r="M338" s="11" t="str">
        <f aca="false">IF($C338="","",G338-H338)</f>
        <v/>
      </c>
      <c r="N338" s="13" t="str">
        <f aca="false">IF($C338="","",IF(I338&lt;=0,"",J338/I338))</f>
        <v/>
      </c>
      <c r="O338" s="13" t="str">
        <f aca="false">IF($C338="","",IF(OR(L338="",J338&lt;=0),"",L338/J338))</f>
        <v/>
      </c>
      <c r="P338" s="13" t="str">
        <f aca="false">IF($C338="","",IF(G338&lt;=0,"",M338/G338))</f>
        <v/>
      </c>
      <c r="Q338" s="13" t="str">
        <f aca="false">IF(OR(N338="",O338="",P338=""),"",N338*O338*P338)</f>
        <v/>
      </c>
      <c r="R338" s="14" t="str">
        <f aca="false">IF($C338="","",IF(K338="","Machine not in Setup",IF(H338&gt;G338,"Rejects &gt; total parts",IF(J338&lt;0,"Downtime &gt; planned time",IF(AND(ISNUMBER(O338),O338&gt;1.05),"Performance &gt; 100%: check cycle time or counts","OK")))))</f>
        <v/>
      </c>
    </row>
    <row r="339" customFormat="false" ht="15" hidden="false" customHeight="false" outlineLevel="0" collapsed="false">
      <c r="A339" s="10"/>
      <c r="B339" s="8"/>
      <c r="C339" s="8"/>
      <c r="D339" s="8"/>
      <c r="E339" s="8"/>
      <c r="F339" s="8"/>
      <c r="G339" s="8"/>
      <c r="H339" s="8"/>
      <c r="I339" s="11" t="str">
        <f aca="false">IF($C339="","",D339-E339)</f>
        <v/>
      </c>
      <c r="J339" s="11" t="str">
        <f aca="false">IF($C339="","",I339-F339)</f>
        <v/>
      </c>
      <c r="K339" s="12" t="str">
        <f aca="false">IF($C339="","",IFERROR(INDEX(Setup!$B$5:$B$24,MATCH($C339,Setup!$A$5:$A$24,0)),""))</f>
        <v/>
      </c>
      <c r="L339" s="12" t="str">
        <f aca="false">IF(OR($C339="",K339=""),"",K339*G339/60)</f>
        <v/>
      </c>
      <c r="M339" s="11" t="str">
        <f aca="false">IF($C339="","",G339-H339)</f>
        <v/>
      </c>
      <c r="N339" s="13" t="str">
        <f aca="false">IF($C339="","",IF(I339&lt;=0,"",J339/I339))</f>
        <v/>
      </c>
      <c r="O339" s="13" t="str">
        <f aca="false">IF($C339="","",IF(OR(L339="",J339&lt;=0),"",L339/J339))</f>
        <v/>
      </c>
      <c r="P339" s="13" t="str">
        <f aca="false">IF($C339="","",IF(G339&lt;=0,"",M339/G339))</f>
        <v/>
      </c>
      <c r="Q339" s="13" t="str">
        <f aca="false">IF(OR(N339="",O339="",P339=""),"",N339*O339*P339)</f>
        <v/>
      </c>
      <c r="R339" s="14" t="str">
        <f aca="false">IF($C339="","",IF(K339="","Machine not in Setup",IF(H339&gt;G339,"Rejects &gt; total parts",IF(J339&lt;0,"Downtime &gt; planned time",IF(AND(ISNUMBER(O339),O339&gt;1.05),"Performance &gt; 100%: check cycle time or counts","OK")))))</f>
        <v/>
      </c>
    </row>
    <row r="340" customFormat="false" ht="15" hidden="false" customHeight="false" outlineLevel="0" collapsed="false">
      <c r="A340" s="10"/>
      <c r="B340" s="8"/>
      <c r="C340" s="8"/>
      <c r="D340" s="8"/>
      <c r="E340" s="8"/>
      <c r="F340" s="8"/>
      <c r="G340" s="8"/>
      <c r="H340" s="8"/>
      <c r="I340" s="11" t="str">
        <f aca="false">IF($C340="","",D340-E340)</f>
        <v/>
      </c>
      <c r="J340" s="11" t="str">
        <f aca="false">IF($C340="","",I340-F340)</f>
        <v/>
      </c>
      <c r="K340" s="12" t="str">
        <f aca="false">IF($C340="","",IFERROR(INDEX(Setup!$B$5:$B$24,MATCH($C340,Setup!$A$5:$A$24,0)),""))</f>
        <v/>
      </c>
      <c r="L340" s="12" t="str">
        <f aca="false">IF(OR($C340="",K340=""),"",K340*G340/60)</f>
        <v/>
      </c>
      <c r="M340" s="11" t="str">
        <f aca="false">IF($C340="","",G340-H340)</f>
        <v/>
      </c>
      <c r="N340" s="13" t="str">
        <f aca="false">IF($C340="","",IF(I340&lt;=0,"",J340/I340))</f>
        <v/>
      </c>
      <c r="O340" s="13" t="str">
        <f aca="false">IF($C340="","",IF(OR(L340="",J340&lt;=0),"",L340/J340))</f>
        <v/>
      </c>
      <c r="P340" s="13" t="str">
        <f aca="false">IF($C340="","",IF(G340&lt;=0,"",M340/G340))</f>
        <v/>
      </c>
      <c r="Q340" s="13" t="str">
        <f aca="false">IF(OR(N340="",O340="",P340=""),"",N340*O340*P340)</f>
        <v/>
      </c>
      <c r="R340" s="14" t="str">
        <f aca="false">IF($C340="","",IF(K340="","Machine not in Setup",IF(H340&gt;G340,"Rejects &gt; total parts",IF(J340&lt;0,"Downtime &gt; planned time",IF(AND(ISNUMBER(O340),O340&gt;1.05),"Performance &gt; 100%: check cycle time or counts","OK")))))</f>
        <v/>
      </c>
    </row>
    <row r="341" customFormat="false" ht="15" hidden="false" customHeight="false" outlineLevel="0" collapsed="false">
      <c r="A341" s="10"/>
      <c r="B341" s="8"/>
      <c r="C341" s="8"/>
      <c r="D341" s="8"/>
      <c r="E341" s="8"/>
      <c r="F341" s="8"/>
      <c r="G341" s="8"/>
      <c r="H341" s="8"/>
      <c r="I341" s="11" t="str">
        <f aca="false">IF($C341="","",D341-E341)</f>
        <v/>
      </c>
      <c r="J341" s="11" t="str">
        <f aca="false">IF($C341="","",I341-F341)</f>
        <v/>
      </c>
      <c r="K341" s="12" t="str">
        <f aca="false">IF($C341="","",IFERROR(INDEX(Setup!$B$5:$B$24,MATCH($C341,Setup!$A$5:$A$24,0)),""))</f>
        <v/>
      </c>
      <c r="L341" s="12" t="str">
        <f aca="false">IF(OR($C341="",K341=""),"",K341*G341/60)</f>
        <v/>
      </c>
      <c r="M341" s="11" t="str">
        <f aca="false">IF($C341="","",G341-H341)</f>
        <v/>
      </c>
      <c r="N341" s="13" t="str">
        <f aca="false">IF($C341="","",IF(I341&lt;=0,"",J341/I341))</f>
        <v/>
      </c>
      <c r="O341" s="13" t="str">
        <f aca="false">IF($C341="","",IF(OR(L341="",J341&lt;=0),"",L341/J341))</f>
        <v/>
      </c>
      <c r="P341" s="13" t="str">
        <f aca="false">IF($C341="","",IF(G341&lt;=0,"",M341/G341))</f>
        <v/>
      </c>
      <c r="Q341" s="13" t="str">
        <f aca="false">IF(OR(N341="",O341="",P341=""),"",N341*O341*P341)</f>
        <v/>
      </c>
      <c r="R341" s="14" t="str">
        <f aca="false">IF($C341="","",IF(K341="","Machine not in Setup",IF(H341&gt;G341,"Rejects &gt; total parts",IF(J341&lt;0,"Downtime &gt; planned time",IF(AND(ISNUMBER(O341),O341&gt;1.05),"Performance &gt; 100%: check cycle time or counts","OK")))))</f>
        <v/>
      </c>
    </row>
    <row r="342" customFormat="false" ht="15" hidden="false" customHeight="false" outlineLevel="0" collapsed="false">
      <c r="A342" s="10"/>
      <c r="B342" s="8"/>
      <c r="C342" s="8"/>
      <c r="D342" s="8"/>
      <c r="E342" s="8"/>
      <c r="F342" s="8"/>
      <c r="G342" s="8"/>
      <c r="H342" s="8"/>
      <c r="I342" s="11" t="str">
        <f aca="false">IF($C342="","",D342-E342)</f>
        <v/>
      </c>
      <c r="J342" s="11" t="str">
        <f aca="false">IF($C342="","",I342-F342)</f>
        <v/>
      </c>
      <c r="K342" s="12" t="str">
        <f aca="false">IF($C342="","",IFERROR(INDEX(Setup!$B$5:$B$24,MATCH($C342,Setup!$A$5:$A$24,0)),""))</f>
        <v/>
      </c>
      <c r="L342" s="12" t="str">
        <f aca="false">IF(OR($C342="",K342=""),"",K342*G342/60)</f>
        <v/>
      </c>
      <c r="M342" s="11" t="str">
        <f aca="false">IF($C342="","",G342-H342)</f>
        <v/>
      </c>
      <c r="N342" s="13" t="str">
        <f aca="false">IF($C342="","",IF(I342&lt;=0,"",J342/I342))</f>
        <v/>
      </c>
      <c r="O342" s="13" t="str">
        <f aca="false">IF($C342="","",IF(OR(L342="",J342&lt;=0),"",L342/J342))</f>
        <v/>
      </c>
      <c r="P342" s="13" t="str">
        <f aca="false">IF($C342="","",IF(G342&lt;=0,"",M342/G342))</f>
        <v/>
      </c>
      <c r="Q342" s="13" t="str">
        <f aca="false">IF(OR(N342="",O342="",P342=""),"",N342*O342*P342)</f>
        <v/>
      </c>
      <c r="R342" s="14" t="str">
        <f aca="false">IF($C342="","",IF(K342="","Machine not in Setup",IF(H342&gt;G342,"Rejects &gt; total parts",IF(J342&lt;0,"Downtime &gt; planned time",IF(AND(ISNUMBER(O342),O342&gt;1.05),"Performance &gt; 100%: check cycle time or counts","OK")))))</f>
        <v/>
      </c>
    </row>
    <row r="343" customFormat="false" ht="15" hidden="false" customHeight="false" outlineLevel="0" collapsed="false">
      <c r="A343" s="10"/>
      <c r="B343" s="8"/>
      <c r="C343" s="8"/>
      <c r="D343" s="8"/>
      <c r="E343" s="8"/>
      <c r="F343" s="8"/>
      <c r="G343" s="8"/>
      <c r="H343" s="8"/>
      <c r="I343" s="11" t="str">
        <f aca="false">IF($C343="","",D343-E343)</f>
        <v/>
      </c>
      <c r="J343" s="11" t="str">
        <f aca="false">IF($C343="","",I343-F343)</f>
        <v/>
      </c>
      <c r="K343" s="12" t="str">
        <f aca="false">IF($C343="","",IFERROR(INDEX(Setup!$B$5:$B$24,MATCH($C343,Setup!$A$5:$A$24,0)),""))</f>
        <v/>
      </c>
      <c r="L343" s="12" t="str">
        <f aca="false">IF(OR($C343="",K343=""),"",K343*G343/60)</f>
        <v/>
      </c>
      <c r="M343" s="11" t="str">
        <f aca="false">IF($C343="","",G343-H343)</f>
        <v/>
      </c>
      <c r="N343" s="13" t="str">
        <f aca="false">IF($C343="","",IF(I343&lt;=0,"",J343/I343))</f>
        <v/>
      </c>
      <c r="O343" s="13" t="str">
        <f aca="false">IF($C343="","",IF(OR(L343="",J343&lt;=0),"",L343/J343))</f>
        <v/>
      </c>
      <c r="P343" s="13" t="str">
        <f aca="false">IF($C343="","",IF(G343&lt;=0,"",M343/G343))</f>
        <v/>
      </c>
      <c r="Q343" s="13" t="str">
        <f aca="false">IF(OR(N343="",O343="",P343=""),"",N343*O343*P343)</f>
        <v/>
      </c>
      <c r="R343" s="14" t="str">
        <f aca="false">IF($C343="","",IF(K343="","Machine not in Setup",IF(H343&gt;G343,"Rejects &gt; total parts",IF(J343&lt;0,"Downtime &gt; planned time",IF(AND(ISNUMBER(O343),O343&gt;1.05),"Performance &gt; 100%: check cycle time or counts","OK")))))</f>
        <v/>
      </c>
    </row>
    <row r="344" customFormat="false" ht="15" hidden="false" customHeight="false" outlineLevel="0" collapsed="false">
      <c r="A344" s="10"/>
      <c r="B344" s="8"/>
      <c r="C344" s="8"/>
      <c r="D344" s="8"/>
      <c r="E344" s="8"/>
      <c r="F344" s="8"/>
      <c r="G344" s="8"/>
      <c r="H344" s="8"/>
      <c r="I344" s="11" t="str">
        <f aca="false">IF($C344="","",D344-E344)</f>
        <v/>
      </c>
      <c r="J344" s="11" t="str">
        <f aca="false">IF($C344="","",I344-F344)</f>
        <v/>
      </c>
      <c r="K344" s="12" t="str">
        <f aca="false">IF($C344="","",IFERROR(INDEX(Setup!$B$5:$B$24,MATCH($C344,Setup!$A$5:$A$24,0)),""))</f>
        <v/>
      </c>
      <c r="L344" s="12" t="str">
        <f aca="false">IF(OR($C344="",K344=""),"",K344*G344/60)</f>
        <v/>
      </c>
      <c r="M344" s="11" t="str">
        <f aca="false">IF($C344="","",G344-H344)</f>
        <v/>
      </c>
      <c r="N344" s="13" t="str">
        <f aca="false">IF($C344="","",IF(I344&lt;=0,"",J344/I344))</f>
        <v/>
      </c>
      <c r="O344" s="13" t="str">
        <f aca="false">IF($C344="","",IF(OR(L344="",J344&lt;=0),"",L344/J344))</f>
        <v/>
      </c>
      <c r="P344" s="13" t="str">
        <f aca="false">IF($C344="","",IF(G344&lt;=0,"",M344/G344))</f>
        <v/>
      </c>
      <c r="Q344" s="13" t="str">
        <f aca="false">IF(OR(N344="",O344="",P344=""),"",N344*O344*P344)</f>
        <v/>
      </c>
      <c r="R344" s="14" t="str">
        <f aca="false">IF($C344="","",IF(K344="","Machine not in Setup",IF(H344&gt;G344,"Rejects &gt; total parts",IF(J344&lt;0,"Downtime &gt; planned time",IF(AND(ISNUMBER(O344),O344&gt;1.05),"Performance &gt; 100%: check cycle time or counts","OK")))))</f>
        <v/>
      </c>
    </row>
    <row r="345" customFormat="false" ht="15" hidden="false" customHeight="false" outlineLevel="0" collapsed="false">
      <c r="A345" s="10"/>
      <c r="B345" s="8"/>
      <c r="C345" s="8"/>
      <c r="D345" s="8"/>
      <c r="E345" s="8"/>
      <c r="F345" s="8"/>
      <c r="G345" s="8"/>
      <c r="H345" s="8"/>
      <c r="I345" s="11" t="str">
        <f aca="false">IF($C345="","",D345-E345)</f>
        <v/>
      </c>
      <c r="J345" s="11" t="str">
        <f aca="false">IF($C345="","",I345-F345)</f>
        <v/>
      </c>
      <c r="K345" s="12" t="str">
        <f aca="false">IF($C345="","",IFERROR(INDEX(Setup!$B$5:$B$24,MATCH($C345,Setup!$A$5:$A$24,0)),""))</f>
        <v/>
      </c>
      <c r="L345" s="12" t="str">
        <f aca="false">IF(OR($C345="",K345=""),"",K345*G345/60)</f>
        <v/>
      </c>
      <c r="M345" s="11" t="str">
        <f aca="false">IF($C345="","",G345-H345)</f>
        <v/>
      </c>
      <c r="N345" s="13" t="str">
        <f aca="false">IF($C345="","",IF(I345&lt;=0,"",J345/I345))</f>
        <v/>
      </c>
      <c r="O345" s="13" t="str">
        <f aca="false">IF($C345="","",IF(OR(L345="",J345&lt;=0),"",L345/J345))</f>
        <v/>
      </c>
      <c r="P345" s="13" t="str">
        <f aca="false">IF($C345="","",IF(G345&lt;=0,"",M345/G345))</f>
        <v/>
      </c>
      <c r="Q345" s="13" t="str">
        <f aca="false">IF(OR(N345="",O345="",P345=""),"",N345*O345*P345)</f>
        <v/>
      </c>
      <c r="R345" s="14" t="str">
        <f aca="false">IF($C345="","",IF(K345="","Machine not in Setup",IF(H345&gt;G345,"Rejects &gt; total parts",IF(J345&lt;0,"Downtime &gt; planned time",IF(AND(ISNUMBER(O345),O345&gt;1.05),"Performance &gt; 100%: check cycle time or counts","OK")))))</f>
        <v/>
      </c>
    </row>
    <row r="346" customFormat="false" ht="15" hidden="false" customHeight="false" outlineLevel="0" collapsed="false">
      <c r="A346" s="10"/>
      <c r="B346" s="8"/>
      <c r="C346" s="8"/>
      <c r="D346" s="8"/>
      <c r="E346" s="8"/>
      <c r="F346" s="8"/>
      <c r="G346" s="8"/>
      <c r="H346" s="8"/>
      <c r="I346" s="11" t="str">
        <f aca="false">IF($C346="","",D346-E346)</f>
        <v/>
      </c>
      <c r="J346" s="11" t="str">
        <f aca="false">IF($C346="","",I346-F346)</f>
        <v/>
      </c>
      <c r="K346" s="12" t="str">
        <f aca="false">IF($C346="","",IFERROR(INDEX(Setup!$B$5:$B$24,MATCH($C346,Setup!$A$5:$A$24,0)),""))</f>
        <v/>
      </c>
      <c r="L346" s="12" t="str">
        <f aca="false">IF(OR($C346="",K346=""),"",K346*G346/60)</f>
        <v/>
      </c>
      <c r="M346" s="11" t="str">
        <f aca="false">IF($C346="","",G346-H346)</f>
        <v/>
      </c>
      <c r="N346" s="13" t="str">
        <f aca="false">IF($C346="","",IF(I346&lt;=0,"",J346/I346))</f>
        <v/>
      </c>
      <c r="O346" s="13" t="str">
        <f aca="false">IF($C346="","",IF(OR(L346="",J346&lt;=0),"",L346/J346))</f>
        <v/>
      </c>
      <c r="P346" s="13" t="str">
        <f aca="false">IF($C346="","",IF(G346&lt;=0,"",M346/G346))</f>
        <v/>
      </c>
      <c r="Q346" s="13" t="str">
        <f aca="false">IF(OR(N346="",O346="",P346=""),"",N346*O346*P346)</f>
        <v/>
      </c>
      <c r="R346" s="14" t="str">
        <f aca="false">IF($C346="","",IF(K346="","Machine not in Setup",IF(H346&gt;G346,"Rejects &gt; total parts",IF(J346&lt;0,"Downtime &gt; planned time",IF(AND(ISNUMBER(O346),O346&gt;1.05),"Performance &gt; 100%: check cycle time or counts","OK")))))</f>
        <v/>
      </c>
    </row>
    <row r="347" customFormat="false" ht="15" hidden="false" customHeight="false" outlineLevel="0" collapsed="false">
      <c r="A347" s="10"/>
      <c r="B347" s="8"/>
      <c r="C347" s="8"/>
      <c r="D347" s="8"/>
      <c r="E347" s="8"/>
      <c r="F347" s="8"/>
      <c r="G347" s="8"/>
      <c r="H347" s="8"/>
      <c r="I347" s="11" t="str">
        <f aca="false">IF($C347="","",D347-E347)</f>
        <v/>
      </c>
      <c r="J347" s="11" t="str">
        <f aca="false">IF($C347="","",I347-F347)</f>
        <v/>
      </c>
      <c r="K347" s="12" t="str">
        <f aca="false">IF($C347="","",IFERROR(INDEX(Setup!$B$5:$B$24,MATCH($C347,Setup!$A$5:$A$24,0)),""))</f>
        <v/>
      </c>
      <c r="L347" s="12" t="str">
        <f aca="false">IF(OR($C347="",K347=""),"",K347*G347/60)</f>
        <v/>
      </c>
      <c r="M347" s="11" t="str">
        <f aca="false">IF($C347="","",G347-H347)</f>
        <v/>
      </c>
      <c r="N347" s="13" t="str">
        <f aca="false">IF($C347="","",IF(I347&lt;=0,"",J347/I347))</f>
        <v/>
      </c>
      <c r="O347" s="13" t="str">
        <f aca="false">IF($C347="","",IF(OR(L347="",J347&lt;=0),"",L347/J347))</f>
        <v/>
      </c>
      <c r="P347" s="13" t="str">
        <f aca="false">IF($C347="","",IF(G347&lt;=0,"",M347/G347))</f>
        <v/>
      </c>
      <c r="Q347" s="13" t="str">
        <f aca="false">IF(OR(N347="",O347="",P347=""),"",N347*O347*P347)</f>
        <v/>
      </c>
      <c r="R347" s="14" t="str">
        <f aca="false">IF($C347="","",IF(K347="","Machine not in Setup",IF(H347&gt;G347,"Rejects &gt; total parts",IF(J347&lt;0,"Downtime &gt; planned time",IF(AND(ISNUMBER(O347),O347&gt;1.05),"Performance &gt; 100%: check cycle time or counts","OK")))))</f>
        <v/>
      </c>
    </row>
    <row r="348" customFormat="false" ht="15" hidden="false" customHeight="false" outlineLevel="0" collapsed="false">
      <c r="A348" s="10"/>
      <c r="B348" s="8"/>
      <c r="C348" s="8"/>
      <c r="D348" s="8"/>
      <c r="E348" s="8"/>
      <c r="F348" s="8"/>
      <c r="G348" s="8"/>
      <c r="H348" s="8"/>
      <c r="I348" s="11" t="str">
        <f aca="false">IF($C348="","",D348-E348)</f>
        <v/>
      </c>
      <c r="J348" s="11" t="str">
        <f aca="false">IF($C348="","",I348-F348)</f>
        <v/>
      </c>
      <c r="K348" s="12" t="str">
        <f aca="false">IF($C348="","",IFERROR(INDEX(Setup!$B$5:$B$24,MATCH($C348,Setup!$A$5:$A$24,0)),""))</f>
        <v/>
      </c>
      <c r="L348" s="12" t="str">
        <f aca="false">IF(OR($C348="",K348=""),"",K348*G348/60)</f>
        <v/>
      </c>
      <c r="M348" s="11" t="str">
        <f aca="false">IF($C348="","",G348-H348)</f>
        <v/>
      </c>
      <c r="N348" s="13" t="str">
        <f aca="false">IF($C348="","",IF(I348&lt;=0,"",J348/I348))</f>
        <v/>
      </c>
      <c r="O348" s="13" t="str">
        <f aca="false">IF($C348="","",IF(OR(L348="",J348&lt;=0),"",L348/J348))</f>
        <v/>
      </c>
      <c r="P348" s="13" t="str">
        <f aca="false">IF($C348="","",IF(G348&lt;=0,"",M348/G348))</f>
        <v/>
      </c>
      <c r="Q348" s="13" t="str">
        <f aca="false">IF(OR(N348="",O348="",P348=""),"",N348*O348*P348)</f>
        <v/>
      </c>
      <c r="R348" s="14" t="str">
        <f aca="false">IF($C348="","",IF(K348="","Machine not in Setup",IF(H348&gt;G348,"Rejects &gt; total parts",IF(J348&lt;0,"Downtime &gt; planned time",IF(AND(ISNUMBER(O348),O348&gt;1.05),"Performance &gt; 100%: check cycle time or counts","OK")))))</f>
        <v/>
      </c>
    </row>
    <row r="349" customFormat="false" ht="15" hidden="false" customHeight="false" outlineLevel="0" collapsed="false">
      <c r="A349" s="10"/>
      <c r="B349" s="8"/>
      <c r="C349" s="8"/>
      <c r="D349" s="8"/>
      <c r="E349" s="8"/>
      <c r="F349" s="8"/>
      <c r="G349" s="8"/>
      <c r="H349" s="8"/>
      <c r="I349" s="11" t="str">
        <f aca="false">IF($C349="","",D349-E349)</f>
        <v/>
      </c>
      <c r="J349" s="11" t="str">
        <f aca="false">IF($C349="","",I349-F349)</f>
        <v/>
      </c>
      <c r="K349" s="12" t="str">
        <f aca="false">IF($C349="","",IFERROR(INDEX(Setup!$B$5:$B$24,MATCH($C349,Setup!$A$5:$A$24,0)),""))</f>
        <v/>
      </c>
      <c r="L349" s="12" t="str">
        <f aca="false">IF(OR($C349="",K349=""),"",K349*G349/60)</f>
        <v/>
      </c>
      <c r="M349" s="11" t="str">
        <f aca="false">IF($C349="","",G349-H349)</f>
        <v/>
      </c>
      <c r="N349" s="13" t="str">
        <f aca="false">IF($C349="","",IF(I349&lt;=0,"",J349/I349))</f>
        <v/>
      </c>
      <c r="O349" s="13" t="str">
        <f aca="false">IF($C349="","",IF(OR(L349="",J349&lt;=0),"",L349/J349))</f>
        <v/>
      </c>
      <c r="P349" s="13" t="str">
        <f aca="false">IF($C349="","",IF(G349&lt;=0,"",M349/G349))</f>
        <v/>
      </c>
      <c r="Q349" s="13" t="str">
        <f aca="false">IF(OR(N349="",O349="",P349=""),"",N349*O349*P349)</f>
        <v/>
      </c>
      <c r="R349" s="14" t="str">
        <f aca="false">IF($C349="","",IF(K349="","Machine not in Setup",IF(H349&gt;G349,"Rejects &gt; total parts",IF(J349&lt;0,"Downtime &gt; planned time",IF(AND(ISNUMBER(O349),O349&gt;1.05),"Performance &gt; 100%: check cycle time or counts","OK")))))</f>
        <v/>
      </c>
    </row>
    <row r="350" customFormat="false" ht="15" hidden="false" customHeight="false" outlineLevel="0" collapsed="false">
      <c r="A350" s="10"/>
      <c r="B350" s="8"/>
      <c r="C350" s="8"/>
      <c r="D350" s="8"/>
      <c r="E350" s="8"/>
      <c r="F350" s="8"/>
      <c r="G350" s="8"/>
      <c r="H350" s="8"/>
      <c r="I350" s="11" t="str">
        <f aca="false">IF($C350="","",D350-E350)</f>
        <v/>
      </c>
      <c r="J350" s="11" t="str">
        <f aca="false">IF($C350="","",I350-F350)</f>
        <v/>
      </c>
      <c r="K350" s="12" t="str">
        <f aca="false">IF($C350="","",IFERROR(INDEX(Setup!$B$5:$B$24,MATCH($C350,Setup!$A$5:$A$24,0)),""))</f>
        <v/>
      </c>
      <c r="L350" s="12" t="str">
        <f aca="false">IF(OR($C350="",K350=""),"",K350*G350/60)</f>
        <v/>
      </c>
      <c r="M350" s="11" t="str">
        <f aca="false">IF($C350="","",G350-H350)</f>
        <v/>
      </c>
      <c r="N350" s="13" t="str">
        <f aca="false">IF($C350="","",IF(I350&lt;=0,"",J350/I350))</f>
        <v/>
      </c>
      <c r="O350" s="13" t="str">
        <f aca="false">IF($C350="","",IF(OR(L350="",J350&lt;=0),"",L350/J350))</f>
        <v/>
      </c>
      <c r="P350" s="13" t="str">
        <f aca="false">IF($C350="","",IF(G350&lt;=0,"",M350/G350))</f>
        <v/>
      </c>
      <c r="Q350" s="13" t="str">
        <f aca="false">IF(OR(N350="",O350="",P350=""),"",N350*O350*P350)</f>
        <v/>
      </c>
      <c r="R350" s="14" t="str">
        <f aca="false">IF($C350="","",IF(K350="","Machine not in Setup",IF(H350&gt;G350,"Rejects &gt; total parts",IF(J350&lt;0,"Downtime &gt; planned time",IF(AND(ISNUMBER(O350),O350&gt;1.05),"Performance &gt; 100%: check cycle time or counts","OK")))))</f>
        <v/>
      </c>
    </row>
    <row r="351" customFormat="false" ht="15" hidden="false" customHeight="false" outlineLevel="0" collapsed="false">
      <c r="A351" s="10"/>
      <c r="B351" s="8"/>
      <c r="C351" s="8"/>
      <c r="D351" s="8"/>
      <c r="E351" s="8"/>
      <c r="F351" s="8"/>
      <c r="G351" s="8"/>
      <c r="H351" s="8"/>
      <c r="I351" s="11" t="str">
        <f aca="false">IF($C351="","",D351-E351)</f>
        <v/>
      </c>
      <c r="J351" s="11" t="str">
        <f aca="false">IF($C351="","",I351-F351)</f>
        <v/>
      </c>
      <c r="K351" s="12" t="str">
        <f aca="false">IF($C351="","",IFERROR(INDEX(Setup!$B$5:$B$24,MATCH($C351,Setup!$A$5:$A$24,0)),""))</f>
        <v/>
      </c>
      <c r="L351" s="12" t="str">
        <f aca="false">IF(OR($C351="",K351=""),"",K351*G351/60)</f>
        <v/>
      </c>
      <c r="M351" s="11" t="str">
        <f aca="false">IF($C351="","",G351-H351)</f>
        <v/>
      </c>
      <c r="N351" s="13" t="str">
        <f aca="false">IF($C351="","",IF(I351&lt;=0,"",J351/I351))</f>
        <v/>
      </c>
      <c r="O351" s="13" t="str">
        <f aca="false">IF($C351="","",IF(OR(L351="",J351&lt;=0),"",L351/J351))</f>
        <v/>
      </c>
      <c r="P351" s="13" t="str">
        <f aca="false">IF($C351="","",IF(G351&lt;=0,"",M351/G351))</f>
        <v/>
      </c>
      <c r="Q351" s="13" t="str">
        <f aca="false">IF(OR(N351="",O351="",P351=""),"",N351*O351*P351)</f>
        <v/>
      </c>
      <c r="R351" s="14" t="str">
        <f aca="false">IF($C351="","",IF(K351="","Machine not in Setup",IF(H351&gt;G351,"Rejects &gt; total parts",IF(J351&lt;0,"Downtime &gt; planned time",IF(AND(ISNUMBER(O351),O351&gt;1.05),"Performance &gt; 100%: check cycle time or counts","OK")))))</f>
        <v/>
      </c>
    </row>
    <row r="352" customFormat="false" ht="15" hidden="false" customHeight="false" outlineLevel="0" collapsed="false">
      <c r="A352" s="10"/>
      <c r="B352" s="8"/>
      <c r="C352" s="8"/>
      <c r="D352" s="8"/>
      <c r="E352" s="8"/>
      <c r="F352" s="8"/>
      <c r="G352" s="8"/>
      <c r="H352" s="8"/>
      <c r="I352" s="11" t="str">
        <f aca="false">IF($C352="","",D352-E352)</f>
        <v/>
      </c>
      <c r="J352" s="11" t="str">
        <f aca="false">IF($C352="","",I352-F352)</f>
        <v/>
      </c>
      <c r="K352" s="12" t="str">
        <f aca="false">IF($C352="","",IFERROR(INDEX(Setup!$B$5:$B$24,MATCH($C352,Setup!$A$5:$A$24,0)),""))</f>
        <v/>
      </c>
      <c r="L352" s="12" t="str">
        <f aca="false">IF(OR($C352="",K352=""),"",K352*G352/60)</f>
        <v/>
      </c>
      <c r="M352" s="11" t="str">
        <f aca="false">IF($C352="","",G352-H352)</f>
        <v/>
      </c>
      <c r="N352" s="13" t="str">
        <f aca="false">IF($C352="","",IF(I352&lt;=0,"",J352/I352))</f>
        <v/>
      </c>
      <c r="O352" s="13" t="str">
        <f aca="false">IF($C352="","",IF(OR(L352="",J352&lt;=0),"",L352/J352))</f>
        <v/>
      </c>
      <c r="P352" s="13" t="str">
        <f aca="false">IF($C352="","",IF(G352&lt;=0,"",M352/G352))</f>
        <v/>
      </c>
      <c r="Q352" s="13" t="str">
        <f aca="false">IF(OR(N352="",O352="",P352=""),"",N352*O352*P352)</f>
        <v/>
      </c>
      <c r="R352" s="14" t="str">
        <f aca="false">IF($C352="","",IF(K352="","Machine not in Setup",IF(H352&gt;G352,"Rejects &gt; total parts",IF(J352&lt;0,"Downtime &gt; planned time",IF(AND(ISNUMBER(O352),O352&gt;1.05),"Performance &gt; 100%: check cycle time or counts","OK")))))</f>
        <v/>
      </c>
    </row>
    <row r="353" customFormat="false" ht="15" hidden="false" customHeight="false" outlineLevel="0" collapsed="false">
      <c r="A353" s="10"/>
      <c r="B353" s="8"/>
      <c r="C353" s="8"/>
      <c r="D353" s="8"/>
      <c r="E353" s="8"/>
      <c r="F353" s="8"/>
      <c r="G353" s="8"/>
      <c r="H353" s="8"/>
      <c r="I353" s="11" t="str">
        <f aca="false">IF($C353="","",D353-E353)</f>
        <v/>
      </c>
      <c r="J353" s="11" t="str">
        <f aca="false">IF($C353="","",I353-F353)</f>
        <v/>
      </c>
      <c r="K353" s="12" t="str">
        <f aca="false">IF($C353="","",IFERROR(INDEX(Setup!$B$5:$B$24,MATCH($C353,Setup!$A$5:$A$24,0)),""))</f>
        <v/>
      </c>
      <c r="L353" s="12" t="str">
        <f aca="false">IF(OR($C353="",K353=""),"",K353*G353/60)</f>
        <v/>
      </c>
      <c r="M353" s="11" t="str">
        <f aca="false">IF($C353="","",G353-H353)</f>
        <v/>
      </c>
      <c r="N353" s="13" t="str">
        <f aca="false">IF($C353="","",IF(I353&lt;=0,"",J353/I353))</f>
        <v/>
      </c>
      <c r="O353" s="13" t="str">
        <f aca="false">IF($C353="","",IF(OR(L353="",J353&lt;=0),"",L353/J353))</f>
        <v/>
      </c>
      <c r="P353" s="13" t="str">
        <f aca="false">IF($C353="","",IF(G353&lt;=0,"",M353/G353))</f>
        <v/>
      </c>
      <c r="Q353" s="13" t="str">
        <f aca="false">IF(OR(N353="",O353="",P353=""),"",N353*O353*P353)</f>
        <v/>
      </c>
      <c r="R353" s="14" t="str">
        <f aca="false">IF($C353="","",IF(K353="","Machine not in Setup",IF(H353&gt;G353,"Rejects &gt; total parts",IF(J353&lt;0,"Downtime &gt; planned time",IF(AND(ISNUMBER(O353),O353&gt;1.05),"Performance &gt; 100%: check cycle time or counts","OK")))))</f>
        <v/>
      </c>
    </row>
    <row r="354" customFormat="false" ht="15" hidden="false" customHeight="false" outlineLevel="0" collapsed="false">
      <c r="A354" s="10"/>
      <c r="B354" s="8"/>
      <c r="C354" s="8"/>
      <c r="D354" s="8"/>
      <c r="E354" s="8"/>
      <c r="F354" s="8"/>
      <c r="G354" s="8"/>
      <c r="H354" s="8"/>
      <c r="I354" s="11" t="str">
        <f aca="false">IF($C354="","",D354-E354)</f>
        <v/>
      </c>
      <c r="J354" s="11" t="str">
        <f aca="false">IF($C354="","",I354-F354)</f>
        <v/>
      </c>
      <c r="K354" s="12" t="str">
        <f aca="false">IF($C354="","",IFERROR(INDEX(Setup!$B$5:$B$24,MATCH($C354,Setup!$A$5:$A$24,0)),""))</f>
        <v/>
      </c>
      <c r="L354" s="12" t="str">
        <f aca="false">IF(OR($C354="",K354=""),"",K354*G354/60)</f>
        <v/>
      </c>
      <c r="M354" s="11" t="str">
        <f aca="false">IF($C354="","",G354-H354)</f>
        <v/>
      </c>
      <c r="N354" s="13" t="str">
        <f aca="false">IF($C354="","",IF(I354&lt;=0,"",J354/I354))</f>
        <v/>
      </c>
      <c r="O354" s="13" t="str">
        <f aca="false">IF($C354="","",IF(OR(L354="",J354&lt;=0),"",L354/J354))</f>
        <v/>
      </c>
      <c r="P354" s="13" t="str">
        <f aca="false">IF($C354="","",IF(G354&lt;=0,"",M354/G354))</f>
        <v/>
      </c>
      <c r="Q354" s="13" t="str">
        <f aca="false">IF(OR(N354="",O354="",P354=""),"",N354*O354*P354)</f>
        <v/>
      </c>
      <c r="R354" s="14" t="str">
        <f aca="false">IF($C354="","",IF(K354="","Machine not in Setup",IF(H354&gt;G354,"Rejects &gt; total parts",IF(J354&lt;0,"Downtime &gt; planned time",IF(AND(ISNUMBER(O354),O354&gt;1.05),"Performance &gt; 100%: check cycle time or counts","OK")))))</f>
        <v/>
      </c>
    </row>
    <row r="355" customFormat="false" ht="15" hidden="false" customHeight="false" outlineLevel="0" collapsed="false">
      <c r="A355" s="10"/>
      <c r="B355" s="8"/>
      <c r="C355" s="8"/>
      <c r="D355" s="8"/>
      <c r="E355" s="8"/>
      <c r="F355" s="8"/>
      <c r="G355" s="8"/>
      <c r="H355" s="8"/>
      <c r="I355" s="11" t="str">
        <f aca="false">IF($C355="","",D355-E355)</f>
        <v/>
      </c>
      <c r="J355" s="11" t="str">
        <f aca="false">IF($C355="","",I355-F355)</f>
        <v/>
      </c>
      <c r="K355" s="12" t="str">
        <f aca="false">IF($C355="","",IFERROR(INDEX(Setup!$B$5:$B$24,MATCH($C355,Setup!$A$5:$A$24,0)),""))</f>
        <v/>
      </c>
      <c r="L355" s="12" t="str">
        <f aca="false">IF(OR($C355="",K355=""),"",K355*G355/60)</f>
        <v/>
      </c>
      <c r="M355" s="11" t="str">
        <f aca="false">IF($C355="","",G355-H355)</f>
        <v/>
      </c>
      <c r="N355" s="13" t="str">
        <f aca="false">IF($C355="","",IF(I355&lt;=0,"",J355/I355))</f>
        <v/>
      </c>
      <c r="O355" s="13" t="str">
        <f aca="false">IF($C355="","",IF(OR(L355="",J355&lt;=0),"",L355/J355))</f>
        <v/>
      </c>
      <c r="P355" s="13" t="str">
        <f aca="false">IF($C355="","",IF(G355&lt;=0,"",M355/G355))</f>
        <v/>
      </c>
      <c r="Q355" s="13" t="str">
        <f aca="false">IF(OR(N355="",O355="",P355=""),"",N355*O355*P355)</f>
        <v/>
      </c>
      <c r="R355" s="14" t="str">
        <f aca="false">IF($C355="","",IF(K355="","Machine not in Setup",IF(H355&gt;G355,"Rejects &gt; total parts",IF(J355&lt;0,"Downtime &gt; planned time",IF(AND(ISNUMBER(O355),O355&gt;1.05),"Performance &gt; 100%: check cycle time or counts","OK")))))</f>
        <v/>
      </c>
    </row>
    <row r="356" customFormat="false" ht="15" hidden="false" customHeight="false" outlineLevel="0" collapsed="false">
      <c r="A356" s="10"/>
      <c r="B356" s="8"/>
      <c r="C356" s="8"/>
      <c r="D356" s="8"/>
      <c r="E356" s="8"/>
      <c r="F356" s="8"/>
      <c r="G356" s="8"/>
      <c r="H356" s="8"/>
      <c r="I356" s="11" t="str">
        <f aca="false">IF($C356="","",D356-E356)</f>
        <v/>
      </c>
      <c r="J356" s="11" t="str">
        <f aca="false">IF($C356="","",I356-F356)</f>
        <v/>
      </c>
      <c r="K356" s="12" t="str">
        <f aca="false">IF($C356="","",IFERROR(INDEX(Setup!$B$5:$B$24,MATCH($C356,Setup!$A$5:$A$24,0)),""))</f>
        <v/>
      </c>
      <c r="L356" s="12" t="str">
        <f aca="false">IF(OR($C356="",K356=""),"",K356*G356/60)</f>
        <v/>
      </c>
      <c r="M356" s="11" t="str">
        <f aca="false">IF($C356="","",G356-H356)</f>
        <v/>
      </c>
      <c r="N356" s="13" t="str">
        <f aca="false">IF($C356="","",IF(I356&lt;=0,"",J356/I356))</f>
        <v/>
      </c>
      <c r="O356" s="13" t="str">
        <f aca="false">IF($C356="","",IF(OR(L356="",J356&lt;=0),"",L356/J356))</f>
        <v/>
      </c>
      <c r="P356" s="13" t="str">
        <f aca="false">IF($C356="","",IF(G356&lt;=0,"",M356/G356))</f>
        <v/>
      </c>
      <c r="Q356" s="13" t="str">
        <f aca="false">IF(OR(N356="",O356="",P356=""),"",N356*O356*P356)</f>
        <v/>
      </c>
      <c r="R356" s="14" t="str">
        <f aca="false">IF($C356="","",IF(K356="","Machine not in Setup",IF(H356&gt;G356,"Rejects &gt; total parts",IF(J356&lt;0,"Downtime &gt; planned time",IF(AND(ISNUMBER(O356),O356&gt;1.05),"Performance &gt; 100%: check cycle time or counts","OK")))))</f>
        <v/>
      </c>
    </row>
    <row r="357" customFormat="false" ht="15" hidden="false" customHeight="false" outlineLevel="0" collapsed="false">
      <c r="A357" s="10"/>
      <c r="B357" s="8"/>
      <c r="C357" s="8"/>
      <c r="D357" s="8"/>
      <c r="E357" s="8"/>
      <c r="F357" s="8"/>
      <c r="G357" s="8"/>
      <c r="H357" s="8"/>
      <c r="I357" s="11" t="str">
        <f aca="false">IF($C357="","",D357-E357)</f>
        <v/>
      </c>
      <c r="J357" s="11" t="str">
        <f aca="false">IF($C357="","",I357-F357)</f>
        <v/>
      </c>
      <c r="K357" s="12" t="str">
        <f aca="false">IF($C357="","",IFERROR(INDEX(Setup!$B$5:$B$24,MATCH($C357,Setup!$A$5:$A$24,0)),""))</f>
        <v/>
      </c>
      <c r="L357" s="12" t="str">
        <f aca="false">IF(OR($C357="",K357=""),"",K357*G357/60)</f>
        <v/>
      </c>
      <c r="M357" s="11" t="str">
        <f aca="false">IF($C357="","",G357-H357)</f>
        <v/>
      </c>
      <c r="N357" s="13" t="str">
        <f aca="false">IF($C357="","",IF(I357&lt;=0,"",J357/I357))</f>
        <v/>
      </c>
      <c r="O357" s="13" t="str">
        <f aca="false">IF($C357="","",IF(OR(L357="",J357&lt;=0),"",L357/J357))</f>
        <v/>
      </c>
      <c r="P357" s="13" t="str">
        <f aca="false">IF($C357="","",IF(G357&lt;=0,"",M357/G357))</f>
        <v/>
      </c>
      <c r="Q357" s="13" t="str">
        <f aca="false">IF(OR(N357="",O357="",P357=""),"",N357*O357*P357)</f>
        <v/>
      </c>
      <c r="R357" s="14" t="str">
        <f aca="false">IF($C357="","",IF(K357="","Machine not in Setup",IF(H357&gt;G357,"Rejects &gt; total parts",IF(J357&lt;0,"Downtime &gt; planned time",IF(AND(ISNUMBER(O357),O357&gt;1.05),"Performance &gt; 100%: check cycle time or counts","OK")))))</f>
        <v/>
      </c>
    </row>
    <row r="358" customFormat="false" ht="15" hidden="false" customHeight="false" outlineLevel="0" collapsed="false">
      <c r="A358" s="10"/>
      <c r="B358" s="8"/>
      <c r="C358" s="8"/>
      <c r="D358" s="8"/>
      <c r="E358" s="8"/>
      <c r="F358" s="8"/>
      <c r="G358" s="8"/>
      <c r="H358" s="8"/>
      <c r="I358" s="11" t="str">
        <f aca="false">IF($C358="","",D358-E358)</f>
        <v/>
      </c>
      <c r="J358" s="11" t="str">
        <f aca="false">IF($C358="","",I358-F358)</f>
        <v/>
      </c>
      <c r="K358" s="12" t="str">
        <f aca="false">IF($C358="","",IFERROR(INDEX(Setup!$B$5:$B$24,MATCH($C358,Setup!$A$5:$A$24,0)),""))</f>
        <v/>
      </c>
      <c r="L358" s="12" t="str">
        <f aca="false">IF(OR($C358="",K358=""),"",K358*G358/60)</f>
        <v/>
      </c>
      <c r="M358" s="11" t="str">
        <f aca="false">IF($C358="","",G358-H358)</f>
        <v/>
      </c>
      <c r="N358" s="13" t="str">
        <f aca="false">IF($C358="","",IF(I358&lt;=0,"",J358/I358))</f>
        <v/>
      </c>
      <c r="O358" s="13" t="str">
        <f aca="false">IF($C358="","",IF(OR(L358="",J358&lt;=0),"",L358/J358))</f>
        <v/>
      </c>
      <c r="P358" s="13" t="str">
        <f aca="false">IF($C358="","",IF(G358&lt;=0,"",M358/G358))</f>
        <v/>
      </c>
      <c r="Q358" s="13" t="str">
        <f aca="false">IF(OR(N358="",O358="",P358=""),"",N358*O358*P358)</f>
        <v/>
      </c>
      <c r="R358" s="14" t="str">
        <f aca="false">IF($C358="","",IF(K358="","Machine not in Setup",IF(H358&gt;G358,"Rejects &gt; total parts",IF(J358&lt;0,"Downtime &gt; planned time",IF(AND(ISNUMBER(O358),O358&gt;1.05),"Performance &gt; 100%: check cycle time or counts","OK")))))</f>
        <v/>
      </c>
    </row>
    <row r="359" customFormat="false" ht="15" hidden="false" customHeight="false" outlineLevel="0" collapsed="false">
      <c r="A359" s="10"/>
      <c r="B359" s="8"/>
      <c r="C359" s="8"/>
      <c r="D359" s="8"/>
      <c r="E359" s="8"/>
      <c r="F359" s="8"/>
      <c r="G359" s="8"/>
      <c r="H359" s="8"/>
      <c r="I359" s="11" t="str">
        <f aca="false">IF($C359="","",D359-E359)</f>
        <v/>
      </c>
      <c r="J359" s="11" t="str">
        <f aca="false">IF($C359="","",I359-F359)</f>
        <v/>
      </c>
      <c r="K359" s="12" t="str">
        <f aca="false">IF($C359="","",IFERROR(INDEX(Setup!$B$5:$B$24,MATCH($C359,Setup!$A$5:$A$24,0)),""))</f>
        <v/>
      </c>
      <c r="L359" s="12" t="str">
        <f aca="false">IF(OR($C359="",K359=""),"",K359*G359/60)</f>
        <v/>
      </c>
      <c r="M359" s="11" t="str">
        <f aca="false">IF($C359="","",G359-H359)</f>
        <v/>
      </c>
      <c r="N359" s="13" t="str">
        <f aca="false">IF($C359="","",IF(I359&lt;=0,"",J359/I359))</f>
        <v/>
      </c>
      <c r="O359" s="13" t="str">
        <f aca="false">IF($C359="","",IF(OR(L359="",J359&lt;=0),"",L359/J359))</f>
        <v/>
      </c>
      <c r="P359" s="13" t="str">
        <f aca="false">IF($C359="","",IF(G359&lt;=0,"",M359/G359))</f>
        <v/>
      </c>
      <c r="Q359" s="13" t="str">
        <f aca="false">IF(OR(N359="",O359="",P359=""),"",N359*O359*P359)</f>
        <v/>
      </c>
      <c r="R359" s="14" t="str">
        <f aca="false">IF($C359="","",IF(K359="","Machine not in Setup",IF(H359&gt;G359,"Rejects &gt; total parts",IF(J359&lt;0,"Downtime &gt; planned time",IF(AND(ISNUMBER(O359),O359&gt;1.05),"Performance &gt; 100%: check cycle time or counts","OK")))))</f>
        <v/>
      </c>
    </row>
    <row r="360" customFormat="false" ht="15" hidden="false" customHeight="false" outlineLevel="0" collapsed="false">
      <c r="A360" s="10"/>
      <c r="B360" s="8"/>
      <c r="C360" s="8"/>
      <c r="D360" s="8"/>
      <c r="E360" s="8"/>
      <c r="F360" s="8"/>
      <c r="G360" s="8"/>
      <c r="H360" s="8"/>
      <c r="I360" s="11" t="str">
        <f aca="false">IF($C360="","",D360-E360)</f>
        <v/>
      </c>
      <c r="J360" s="11" t="str">
        <f aca="false">IF($C360="","",I360-F360)</f>
        <v/>
      </c>
      <c r="K360" s="12" t="str">
        <f aca="false">IF($C360="","",IFERROR(INDEX(Setup!$B$5:$B$24,MATCH($C360,Setup!$A$5:$A$24,0)),""))</f>
        <v/>
      </c>
      <c r="L360" s="12" t="str">
        <f aca="false">IF(OR($C360="",K360=""),"",K360*G360/60)</f>
        <v/>
      </c>
      <c r="M360" s="11" t="str">
        <f aca="false">IF($C360="","",G360-H360)</f>
        <v/>
      </c>
      <c r="N360" s="13" t="str">
        <f aca="false">IF($C360="","",IF(I360&lt;=0,"",J360/I360))</f>
        <v/>
      </c>
      <c r="O360" s="13" t="str">
        <f aca="false">IF($C360="","",IF(OR(L360="",J360&lt;=0),"",L360/J360))</f>
        <v/>
      </c>
      <c r="P360" s="13" t="str">
        <f aca="false">IF($C360="","",IF(G360&lt;=0,"",M360/G360))</f>
        <v/>
      </c>
      <c r="Q360" s="13" t="str">
        <f aca="false">IF(OR(N360="",O360="",P360=""),"",N360*O360*P360)</f>
        <v/>
      </c>
      <c r="R360" s="14" t="str">
        <f aca="false">IF($C360="","",IF(K360="","Machine not in Setup",IF(H360&gt;G360,"Rejects &gt; total parts",IF(J360&lt;0,"Downtime &gt; planned time",IF(AND(ISNUMBER(O360),O360&gt;1.05),"Performance &gt; 100%: check cycle time or counts","OK")))))</f>
        <v/>
      </c>
    </row>
    <row r="361" customFormat="false" ht="15" hidden="false" customHeight="false" outlineLevel="0" collapsed="false">
      <c r="A361" s="10"/>
      <c r="B361" s="8"/>
      <c r="C361" s="8"/>
      <c r="D361" s="8"/>
      <c r="E361" s="8"/>
      <c r="F361" s="8"/>
      <c r="G361" s="8"/>
      <c r="H361" s="8"/>
      <c r="I361" s="11" t="str">
        <f aca="false">IF($C361="","",D361-E361)</f>
        <v/>
      </c>
      <c r="J361" s="11" t="str">
        <f aca="false">IF($C361="","",I361-F361)</f>
        <v/>
      </c>
      <c r="K361" s="12" t="str">
        <f aca="false">IF($C361="","",IFERROR(INDEX(Setup!$B$5:$B$24,MATCH($C361,Setup!$A$5:$A$24,0)),""))</f>
        <v/>
      </c>
      <c r="L361" s="12" t="str">
        <f aca="false">IF(OR($C361="",K361=""),"",K361*G361/60)</f>
        <v/>
      </c>
      <c r="M361" s="11" t="str">
        <f aca="false">IF($C361="","",G361-H361)</f>
        <v/>
      </c>
      <c r="N361" s="13" t="str">
        <f aca="false">IF($C361="","",IF(I361&lt;=0,"",J361/I361))</f>
        <v/>
      </c>
      <c r="O361" s="13" t="str">
        <f aca="false">IF($C361="","",IF(OR(L361="",J361&lt;=0),"",L361/J361))</f>
        <v/>
      </c>
      <c r="P361" s="13" t="str">
        <f aca="false">IF($C361="","",IF(G361&lt;=0,"",M361/G361))</f>
        <v/>
      </c>
      <c r="Q361" s="13" t="str">
        <f aca="false">IF(OR(N361="",O361="",P361=""),"",N361*O361*P361)</f>
        <v/>
      </c>
      <c r="R361" s="14" t="str">
        <f aca="false">IF($C361="","",IF(K361="","Machine not in Setup",IF(H361&gt;G361,"Rejects &gt; total parts",IF(J361&lt;0,"Downtime &gt; planned time",IF(AND(ISNUMBER(O361),O361&gt;1.05),"Performance &gt; 100%: check cycle time or counts","OK")))))</f>
        <v/>
      </c>
    </row>
    <row r="362" customFormat="false" ht="15" hidden="false" customHeight="false" outlineLevel="0" collapsed="false">
      <c r="A362" s="10"/>
      <c r="B362" s="8"/>
      <c r="C362" s="8"/>
      <c r="D362" s="8"/>
      <c r="E362" s="8"/>
      <c r="F362" s="8"/>
      <c r="G362" s="8"/>
      <c r="H362" s="8"/>
      <c r="I362" s="11" t="str">
        <f aca="false">IF($C362="","",D362-E362)</f>
        <v/>
      </c>
      <c r="J362" s="11" t="str">
        <f aca="false">IF($C362="","",I362-F362)</f>
        <v/>
      </c>
      <c r="K362" s="12" t="str">
        <f aca="false">IF($C362="","",IFERROR(INDEX(Setup!$B$5:$B$24,MATCH($C362,Setup!$A$5:$A$24,0)),""))</f>
        <v/>
      </c>
      <c r="L362" s="12" t="str">
        <f aca="false">IF(OR($C362="",K362=""),"",K362*G362/60)</f>
        <v/>
      </c>
      <c r="M362" s="11" t="str">
        <f aca="false">IF($C362="","",G362-H362)</f>
        <v/>
      </c>
      <c r="N362" s="13" t="str">
        <f aca="false">IF($C362="","",IF(I362&lt;=0,"",J362/I362))</f>
        <v/>
      </c>
      <c r="O362" s="13" t="str">
        <f aca="false">IF($C362="","",IF(OR(L362="",J362&lt;=0),"",L362/J362))</f>
        <v/>
      </c>
      <c r="P362" s="13" t="str">
        <f aca="false">IF($C362="","",IF(G362&lt;=0,"",M362/G362))</f>
        <v/>
      </c>
      <c r="Q362" s="13" t="str">
        <f aca="false">IF(OR(N362="",O362="",P362=""),"",N362*O362*P362)</f>
        <v/>
      </c>
      <c r="R362" s="14" t="str">
        <f aca="false">IF($C362="","",IF(K362="","Machine not in Setup",IF(H362&gt;G362,"Rejects &gt; total parts",IF(J362&lt;0,"Downtime &gt; planned time",IF(AND(ISNUMBER(O362),O362&gt;1.05),"Performance &gt; 100%: check cycle time or counts","OK")))))</f>
        <v/>
      </c>
    </row>
    <row r="363" customFormat="false" ht="15" hidden="false" customHeight="false" outlineLevel="0" collapsed="false">
      <c r="A363" s="10"/>
      <c r="B363" s="8"/>
      <c r="C363" s="8"/>
      <c r="D363" s="8"/>
      <c r="E363" s="8"/>
      <c r="F363" s="8"/>
      <c r="G363" s="8"/>
      <c r="H363" s="8"/>
      <c r="I363" s="11" t="str">
        <f aca="false">IF($C363="","",D363-E363)</f>
        <v/>
      </c>
      <c r="J363" s="11" t="str">
        <f aca="false">IF($C363="","",I363-F363)</f>
        <v/>
      </c>
      <c r="K363" s="12" t="str">
        <f aca="false">IF($C363="","",IFERROR(INDEX(Setup!$B$5:$B$24,MATCH($C363,Setup!$A$5:$A$24,0)),""))</f>
        <v/>
      </c>
      <c r="L363" s="12" t="str">
        <f aca="false">IF(OR($C363="",K363=""),"",K363*G363/60)</f>
        <v/>
      </c>
      <c r="M363" s="11" t="str">
        <f aca="false">IF($C363="","",G363-H363)</f>
        <v/>
      </c>
      <c r="N363" s="13" t="str">
        <f aca="false">IF($C363="","",IF(I363&lt;=0,"",J363/I363))</f>
        <v/>
      </c>
      <c r="O363" s="13" t="str">
        <f aca="false">IF($C363="","",IF(OR(L363="",J363&lt;=0),"",L363/J363))</f>
        <v/>
      </c>
      <c r="P363" s="13" t="str">
        <f aca="false">IF($C363="","",IF(G363&lt;=0,"",M363/G363))</f>
        <v/>
      </c>
      <c r="Q363" s="13" t="str">
        <f aca="false">IF(OR(N363="",O363="",P363=""),"",N363*O363*P363)</f>
        <v/>
      </c>
      <c r="R363" s="14" t="str">
        <f aca="false">IF($C363="","",IF(K363="","Machine not in Setup",IF(H363&gt;G363,"Rejects &gt; total parts",IF(J363&lt;0,"Downtime &gt; planned time",IF(AND(ISNUMBER(O363),O363&gt;1.05),"Performance &gt; 100%: check cycle time or counts","OK")))))</f>
        <v/>
      </c>
    </row>
    <row r="364" customFormat="false" ht="15" hidden="false" customHeight="false" outlineLevel="0" collapsed="false">
      <c r="A364" s="10"/>
      <c r="B364" s="8"/>
      <c r="C364" s="8"/>
      <c r="D364" s="8"/>
      <c r="E364" s="8"/>
      <c r="F364" s="8"/>
      <c r="G364" s="8"/>
      <c r="H364" s="8"/>
      <c r="I364" s="11" t="str">
        <f aca="false">IF($C364="","",D364-E364)</f>
        <v/>
      </c>
      <c r="J364" s="11" t="str">
        <f aca="false">IF($C364="","",I364-F364)</f>
        <v/>
      </c>
      <c r="K364" s="12" t="str">
        <f aca="false">IF($C364="","",IFERROR(INDEX(Setup!$B$5:$B$24,MATCH($C364,Setup!$A$5:$A$24,0)),""))</f>
        <v/>
      </c>
      <c r="L364" s="12" t="str">
        <f aca="false">IF(OR($C364="",K364=""),"",K364*G364/60)</f>
        <v/>
      </c>
      <c r="M364" s="11" t="str">
        <f aca="false">IF($C364="","",G364-H364)</f>
        <v/>
      </c>
      <c r="N364" s="13" t="str">
        <f aca="false">IF($C364="","",IF(I364&lt;=0,"",J364/I364))</f>
        <v/>
      </c>
      <c r="O364" s="13" t="str">
        <f aca="false">IF($C364="","",IF(OR(L364="",J364&lt;=0),"",L364/J364))</f>
        <v/>
      </c>
      <c r="P364" s="13" t="str">
        <f aca="false">IF($C364="","",IF(G364&lt;=0,"",M364/G364))</f>
        <v/>
      </c>
      <c r="Q364" s="13" t="str">
        <f aca="false">IF(OR(N364="",O364="",P364=""),"",N364*O364*P364)</f>
        <v/>
      </c>
      <c r="R364" s="14" t="str">
        <f aca="false">IF($C364="","",IF(K364="","Machine not in Setup",IF(H364&gt;G364,"Rejects &gt; total parts",IF(J364&lt;0,"Downtime &gt; planned time",IF(AND(ISNUMBER(O364),O364&gt;1.05),"Performance &gt; 100%: check cycle time or counts","OK")))))</f>
        <v/>
      </c>
    </row>
    <row r="365" customFormat="false" ht="15" hidden="false" customHeight="false" outlineLevel="0" collapsed="false">
      <c r="A365" s="10"/>
      <c r="B365" s="8"/>
      <c r="C365" s="8"/>
      <c r="D365" s="8"/>
      <c r="E365" s="8"/>
      <c r="F365" s="8"/>
      <c r="G365" s="8"/>
      <c r="H365" s="8"/>
      <c r="I365" s="11" t="str">
        <f aca="false">IF($C365="","",D365-E365)</f>
        <v/>
      </c>
      <c r="J365" s="11" t="str">
        <f aca="false">IF($C365="","",I365-F365)</f>
        <v/>
      </c>
      <c r="K365" s="12" t="str">
        <f aca="false">IF($C365="","",IFERROR(INDEX(Setup!$B$5:$B$24,MATCH($C365,Setup!$A$5:$A$24,0)),""))</f>
        <v/>
      </c>
      <c r="L365" s="12" t="str">
        <f aca="false">IF(OR($C365="",K365=""),"",K365*G365/60)</f>
        <v/>
      </c>
      <c r="M365" s="11" t="str">
        <f aca="false">IF($C365="","",G365-H365)</f>
        <v/>
      </c>
      <c r="N365" s="13" t="str">
        <f aca="false">IF($C365="","",IF(I365&lt;=0,"",J365/I365))</f>
        <v/>
      </c>
      <c r="O365" s="13" t="str">
        <f aca="false">IF($C365="","",IF(OR(L365="",J365&lt;=0),"",L365/J365))</f>
        <v/>
      </c>
      <c r="P365" s="13" t="str">
        <f aca="false">IF($C365="","",IF(G365&lt;=0,"",M365/G365))</f>
        <v/>
      </c>
      <c r="Q365" s="13" t="str">
        <f aca="false">IF(OR(N365="",O365="",P365=""),"",N365*O365*P365)</f>
        <v/>
      </c>
      <c r="R365" s="14" t="str">
        <f aca="false">IF($C365="","",IF(K365="","Machine not in Setup",IF(H365&gt;G365,"Rejects &gt; total parts",IF(J365&lt;0,"Downtime &gt; planned time",IF(AND(ISNUMBER(O365),O365&gt;1.05),"Performance &gt; 100%: check cycle time or counts","OK")))))</f>
        <v/>
      </c>
    </row>
    <row r="366" customFormat="false" ht="15" hidden="false" customHeight="false" outlineLevel="0" collapsed="false">
      <c r="A366" s="10"/>
      <c r="B366" s="8"/>
      <c r="C366" s="8"/>
      <c r="D366" s="8"/>
      <c r="E366" s="8"/>
      <c r="F366" s="8"/>
      <c r="G366" s="8"/>
      <c r="H366" s="8"/>
      <c r="I366" s="11" t="str">
        <f aca="false">IF($C366="","",D366-E366)</f>
        <v/>
      </c>
      <c r="J366" s="11" t="str">
        <f aca="false">IF($C366="","",I366-F366)</f>
        <v/>
      </c>
      <c r="K366" s="12" t="str">
        <f aca="false">IF($C366="","",IFERROR(INDEX(Setup!$B$5:$B$24,MATCH($C366,Setup!$A$5:$A$24,0)),""))</f>
        <v/>
      </c>
      <c r="L366" s="12" t="str">
        <f aca="false">IF(OR($C366="",K366=""),"",K366*G366/60)</f>
        <v/>
      </c>
      <c r="M366" s="11" t="str">
        <f aca="false">IF($C366="","",G366-H366)</f>
        <v/>
      </c>
      <c r="N366" s="13" t="str">
        <f aca="false">IF($C366="","",IF(I366&lt;=0,"",J366/I366))</f>
        <v/>
      </c>
      <c r="O366" s="13" t="str">
        <f aca="false">IF($C366="","",IF(OR(L366="",J366&lt;=0),"",L366/J366))</f>
        <v/>
      </c>
      <c r="P366" s="13" t="str">
        <f aca="false">IF($C366="","",IF(G366&lt;=0,"",M366/G366))</f>
        <v/>
      </c>
      <c r="Q366" s="13" t="str">
        <f aca="false">IF(OR(N366="",O366="",P366=""),"",N366*O366*P366)</f>
        <v/>
      </c>
      <c r="R366" s="14" t="str">
        <f aca="false">IF($C366="","",IF(K366="","Machine not in Setup",IF(H366&gt;G366,"Rejects &gt; total parts",IF(J366&lt;0,"Downtime &gt; planned time",IF(AND(ISNUMBER(O366),O366&gt;1.05),"Performance &gt; 100%: check cycle time or counts","OK")))))</f>
        <v/>
      </c>
    </row>
    <row r="367" customFormat="false" ht="15" hidden="false" customHeight="false" outlineLevel="0" collapsed="false">
      <c r="A367" s="10"/>
      <c r="B367" s="8"/>
      <c r="C367" s="8"/>
      <c r="D367" s="8"/>
      <c r="E367" s="8"/>
      <c r="F367" s="8"/>
      <c r="G367" s="8"/>
      <c r="H367" s="8"/>
      <c r="I367" s="11" t="str">
        <f aca="false">IF($C367="","",D367-E367)</f>
        <v/>
      </c>
      <c r="J367" s="11" t="str">
        <f aca="false">IF($C367="","",I367-F367)</f>
        <v/>
      </c>
      <c r="K367" s="12" t="str">
        <f aca="false">IF($C367="","",IFERROR(INDEX(Setup!$B$5:$B$24,MATCH($C367,Setup!$A$5:$A$24,0)),""))</f>
        <v/>
      </c>
      <c r="L367" s="12" t="str">
        <f aca="false">IF(OR($C367="",K367=""),"",K367*G367/60)</f>
        <v/>
      </c>
      <c r="M367" s="11" t="str">
        <f aca="false">IF($C367="","",G367-H367)</f>
        <v/>
      </c>
      <c r="N367" s="13" t="str">
        <f aca="false">IF($C367="","",IF(I367&lt;=0,"",J367/I367))</f>
        <v/>
      </c>
      <c r="O367" s="13" t="str">
        <f aca="false">IF($C367="","",IF(OR(L367="",J367&lt;=0),"",L367/J367))</f>
        <v/>
      </c>
      <c r="P367" s="13" t="str">
        <f aca="false">IF($C367="","",IF(G367&lt;=0,"",M367/G367))</f>
        <v/>
      </c>
      <c r="Q367" s="13" t="str">
        <f aca="false">IF(OR(N367="",O367="",P367=""),"",N367*O367*P367)</f>
        <v/>
      </c>
      <c r="R367" s="14" t="str">
        <f aca="false">IF($C367="","",IF(K367="","Machine not in Setup",IF(H367&gt;G367,"Rejects &gt; total parts",IF(J367&lt;0,"Downtime &gt; planned time",IF(AND(ISNUMBER(O367),O367&gt;1.05),"Performance &gt; 100%: check cycle time or counts","OK")))))</f>
        <v/>
      </c>
    </row>
    <row r="368" customFormat="false" ht="15" hidden="false" customHeight="false" outlineLevel="0" collapsed="false">
      <c r="A368" s="10"/>
      <c r="B368" s="8"/>
      <c r="C368" s="8"/>
      <c r="D368" s="8"/>
      <c r="E368" s="8"/>
      <c r="F368" s="8"/>
      <c r="G368" s="8"/>
      <c r="H368" s="8"/>
      <c r="I368" s="11" t="str">
        <f aca="false">IF($C368="","",D368-E368)</f>
        <v/>
      </c>
      <c r="J368" s="11" t="str">
        <f aca="false">IF($C368="","",I368-F368)</f>
        <v/>
      </c>
      <c r="K368" s="12" t="str">
        <f aca="false">IF($C368="","",IFERROR(INDEX(Setup!$B$5:$B$24,MATCH($C368,Setup!$A$5:$A$24,0)),""))</f>
        <v/>
      </c>
      <c r="L368" s="12" t="str">
        <f aca="false">IF(OR($C368="",K368=""),"",K368*G368/60)</f>
        <v/>
      </c>
      <c r="M368" s="11" t="str">
        <f aca="false">IF($C368="","",G368-H368)</f>
        <v/>
      </c>
      <c r="N368" s="13" t="str">
        <f aca="false">IF($C368="","",IF(I368&lt;=0,"",J368/I368))</f>
        <v/>
      </c>
      <c r="O368" s="13" t="str">
        <f aca="false">IF($C368="","",IF(OR(L368="",J368&lt;=0),"",L368/J368))</f>
        <v/>
      </c>
      <c r="P368" s="13" t="str">
        <f aca="false">IF($C368="","",IF(G368&lt;=0,"",M368/G368))</f>
        <v/>
      </c>
      <c r="Q368" s="13" t="str">
        <f aca="false">IF(OR(N368="",O368="",P368=""),"",N368*O368*P368)</f>
        <v/>
      </c>
      <c r="R368" s="14" t="str">
        <f aca="false">IF($C368="","",IF(K368="","Machine not in Setup",IF(H368&gt;G368,"Rejects &gt; total parts",IF(J368&lt;0,"Downtime &gt; planned time",IF(AND(ISNUMBER(O368),O368&gt;1.05),"Performance &gt; 100%: check cycle time or counts","OK")))))</f>
        <v/>
      </c>
    </row>
    <row r="369" customFormat="false" ht="15" hidden="false" customHeight="false" outlineLevel="0" collapsed="false">
      <c r="A369" s="10"/>
      <c r="B369" s="8"/>
      <c r="C369" s="8"/>
      <c r="D369" s="8"/>
      <c r="E369" s="8"/>
      <c r="F369" s="8"/>
      <c r="G369" s="8"/>
      <c r="H369" s="8"/>
      <c r="I369" s="11" t="str">
        <f aca="false">IF($C369="","",D369-E369)</f>
        <v/>
      </c>
      <c r="J369" s="11" t="str">
        <f aca="false">IF($C369="","",I369-F369)</f>
        <v/>
      </c>
      <c r="K369" s="12" t="str">
        <f aca="false">IF($C369="","",IFERROR(INDEX(Setup!$B$5:$B$24,MATCH($C369,Setup!$A$5:$A$24,0)),""))</f>
        <v/>
      </c>
      <c r="L369" s="12" t="str">
        <f aca="false">IF(OR($C369="",K369=""),"",K369*G369/60)</f>
        <v/>
      </c>
      <c r="M369" s="11" t="str">
        <f aca="false">IF($C369="","",G369-H369)</f>
        <v/>
      </c>
      <c r="N369" s="13" t="str">
        <f aca="false">IF($C369="","",IF(I369&lt;=0,"",J369/I369))</f>
        <v/>
      </c>
      <c r="O369" s="13" t="str">
        <f aca="false">IF($C369="","",IF(OR(L369="",J369&lt;=0),"",L369/J369))</f>
        <v/>
      </c>
      <c r="P369" s="13" t="str">
        <f aca="false">IF($C369="","",IF(G369&lt;=0,"",M369/G369))</f>
        <v/>
      </c>
      <c r="Q369" s="13" t="str">
        <f aca="false">IF(OR(N369="",O369="",P369=""),"",N369*O369*P369)</f>
        <v/>
      </c>
      <c r="R369" s="14" t="str">
        <f aca="false">IF($C369="","",IF(K369="","Machine not in Setup",IF(H369&gt;G369,"Rejects &gt; total parts",IF(J369&lt;0,"Downtime &gt; planned time",IF(AND(ISNUMBER(O369),O369&gt;1.05),"Performance &gt; 100%: check cycle time or counts","OK")))))</f>
        <v/>
      </c>
    </row>
    <row r="370" customFormat="false" ht="15" hidden="false" customHeight="false" outlineLevel="0" collapsed="false">
      <c r="A370" s="10"/>
      <c r="B370" s="8"/>
      <c r="C370" s="8"/>
      <c r="D370" s="8"/>
      <c r="E370" s="8"/>
      <c r="F370" s="8"/>
      <c r="G370" s="8"/>
      <c r="H370" s="8"/>
      <c r="I370" s="11" t="str">
        <f aca="false">IF($C370="","",D370-E370)</f>
        <v/>
      </c>
      <c r="J370" s="11" t="str">
        <f aca="false">IF($C370="","",I370-F370)</f>
        <v/>
      </c>
      <c r="K370" s="12" t="str">
        <f aca="false">IF($C370="","",IFERROR(INDEX(Setup!$B$5:$B$24,MATCH($C370,Setup!$A$5:$A$24,0)),""))</f>
        <v/>
      </c>
      <c r="L370" s="12" t="str">
        <f aca="false">IF(OR($C370="",K370=""),"",K370*G370/60)</f>
        <v/>
      </c>
      <c r="M370" s="11" t="str">
        <f aca="false">IF($C370="","",G370-H370)</f>
        <v/>
      </c>
      <c r="N370" s="13" t="str">
        <f aca="false">IF($C370="","",IF(I370&lt;=0,"",J370/I370))</f>
        <v/>
      </c>
      <c r="O370" s="13" t="str">
        <f aca="false">IF($C370="","",IF(OR(L370="",J370&lt;=0),"",L370/J370))</f>
        <v/>
      </c>
      <c r="P370" s="13" t="str">
        <f aca="false">IF($C370="","",IF(G370&lt;=0,"",M370/G370))</f>
        <v/>
      </c>
      <c r="Q370" s="13" t="str">
        <f aca="false">IF(OR(N370="",O370="",P370=""),"",N370*O370*P370)</f>
        <v/>
      </c>
      <c r="R370" s="14" t="str">
        <f aca="false">IF($C370="","",IF(K370="","Machine not in Setup",IF(H370&gt;G370,"Rejects &gt; total parts",IF(J370&lt;0,"Downtime &gt; planned time",IF(AND(ISNUMBER(O370),O370&gt;1.05),"Performance &gt; 100%: check cycle time or counts","OK")))))</f>
        <v/>
      </c>
    </row>
    <row r="371" customFormat="false" ht="15" hidden="false" customHeight="false" outlineLevel="0" collapsed="false">
      <c r="A371" s="10"/>
      <c r="B371" s="8"/>
      <c r="C371" s="8"/>
      <c r="D371" s="8"/>
      <c r="E371" s="8"/>
      <c r="F371" s="8"/>
      <c r="G371" s="8"/>
      <c r="H371" s="8"/>
      <c r="I371" s="11" t="str">
        <f aca="false">IF($C371="","",D371-E371)</f>
        <v/>
      </c>
      <c r="J371" s="11" t="str">
        <f aca="false">IF($C371="","",I371-F371)</f>
        <v/>
      </c>
      <c r="K371" s="12" t="str">
        <f aca="false">IF($C371="","",IFERROR(INDEX(Setup!$B$5:$B$24,MATCH($C371,Setup!$A$5:$A$24,0)),""))</f>
        <v/>
      </c>
      <c r="L371" s="12" t="str">
        <f aca="false">IF(OR($C371="",K371=""),"",K371*G371/60)</f>
        <v/>
      </c>
      <c r="M371" s="11" t="str">
        <f aca="false">IF($C371="","",G371-H371)</f>
        <v/>
      </c>
      <c r="N371" s="13" t="str">
        <f aca="false">IF($C371="","",IF(I371&lt;=0,"",J371/I371))</f>
        <v/>
      </c>
      <c r="O371" s="13" t="str">
        <f aca="false">IF($C371="","",IF(OR(L371="",J371&lt;=0),"",L371/J371))</f>
        <v/>
      </c>
      <c r="P371" s="13" t="str">
        <f aca="false">IF($C371="","",IF(G371&lt;=0,"",M371/G371))</f>
        <v/>
      </c>
      <c r="Q371" s="13" t="str">
        <f aca="false">IF(OR(N371="",O371="",P371=""),"",N371*O371*P371)</f>
        <v/>
      </c>
      <c r="R371" s="14" t="str">
        <f aca="false">IF($C371="","",IF(K371="","Machine not in Setup",IF(H371&gt;G371,"Rejects &gt; total parts",IF(J371&lt;0,"Downtime &gt; planned time",IF(AND(ISNUMBER(O371),O371&gt;1.05),"Performance &gt; 100%: check cycle time or counts","OK")))))</f>
        <v/>
      </c>
    </row>
    <row r="372" customFormat="false" ht="15" hidden="false" customHeight="false" outlineLevel="0" collapsed="false">
      <c r="A372" s="10"/>
      <c r="B372" s="8"/>
      <c r="C372" s="8"/>
      <c r="D372" s="8"/>
      <c r="E372" s="8"/>
      <c r="F372" s="8"/>
      <c r="G372" s="8"/>
      <c r="H372" s="8"/>
      <c r="I372" s="11" t="str">
        <f aca="false">IF($C372="","",D372-E372)</f>
        <v/>
      </c>
      <c r="J372" s="11" t="str">
        <f aca="false">IF($C372="","",I372-F372)</f>
        <v/>
      </c>
      <c r="K372" s="12" t="str">
        <f aca="false">IF($C372="","",IFERROR(INDEX(Setup!$B$5:$B$24,MATCH($C372,Setup!$A$5:$A$24,0)),""))</f>
        <v/>
      </c>
      <c r="L372" s="12" t="str">
        <f aca="false">IF(OR($C372="",K372=""),"",K372*G372/60)</f>
        <v/>
      </c>
      <c r="M372" s="11" t="str">
        <f aca="false">IF($C372="","",G372-H372)</f>
        <v/>
      </c>
      <c r="N372" s="13" t="str">
        <f aca="false">IF($C372="","",IF(I372&lt;=0,"",J372/I372))</f>
        <v/>
      </c>
      <c r="O372" s="13" t="str">
        <f aca="false">IF($C372="","",IF(OR(L372="",J372&lt;=0),"",L372/J372))</f>
        <v/>
      </c>
      <c r="P372" s="13" t="str">
        <f aca="false">IF($C372="","",IF(G372&lt;=0,"",M372/G372))</f>
        <v/>
      </c>
      <c r="Q372" s="13" t="str">
        <f aca="false">IF(OR(N372="",O372="",P372=""),"",N372*O372*P372)</f>
        <v/>
      </c>
      <c r="R372" s="14" t="str">
        <f aca="false">IF($C372="","",IF(K372="","Machine not in Setup",IF(H372&gt;G372,"Rejects &gt; total parts",IF(J372&lt;0,"Downtime &gt; planned time",IF(AND(ISNUMBER(O372),O372&gt;1.05),"Performance &gt; 100%: check cycle time or counts","OK")))))</f>
        <v/>
      </c>
    </row>
    <row r="373" customFormat="false" ht="15" hidden="false" customHeight="false" outlineLevel="0" collapsed="false">
      <c r="A373" s="10"/>
      <c r="B373" s="8"/>
      <c r="C373" s="8"/>
      <c r="D373" s="8"/>
      <c r="E373" s="8"/>
      <c r="F373" s="8"/>
      <c r="G373" s="8"/>
      <c r="H373" s="8"/>
      <c r="I373" s="11" t="str">
        <f aca="false">IF($C373="","",D373-E373)</f>
        <v/>
      </c>
      <c r="J373" s="11" t="str">
        <f aca="false">IF($C373="","",I373-F373)</f>
        <v/>
      </c>
      <c r="K373" s="12" t="str">
        <f aca="false">IF($C373="","",IFERROR(INDEX(Setup!$B$5:$B$24,MATCH($C373,Setup!$A$5:$A$24,0)),""))</f>
        <v/>
      </c>
      <c r="L373" s="12" t="str">
        <f aca="false">IF(OR($C373="",K373=""),"",K373*G373/60)</f>
        <v/>
      </c>
      <c r="M373" s="11" t="str">
        <f aca="false">IF($C373="","",G373-H373)</f>
        <v/>
      </c>
      <c r="N373" s="13" t="str">
        <f aca="false">IF($C373="","",IF(I373&lt;=0,"",J373/I373))</f>
        <v/>
      </c>
      <c r="O373" s="13" t="str">
        <f aca="false">IF($C373="","",IF(OR(L373="",J373&lt;=0),"",L373/J373))</f>
        <v/>
      </c>
      <c r="P373" s="13" t="str">
        <f aca="false">IF($C373="","",IF(G373&lt;=0,"",M373/G373))</f>
        <v/>
      </c>
      <c r="Q373" s="13" t="str">
        <f aca="false">IF(OR(N373="",O373="",P373=""),"",N373*O373*P373)</f>
        <v/>
      </c>
      <c r="R373" s="14" t="str">
        <f aca="false">IF($C373="","",IF(K373="","Machine not in Setup",IF(H373&gt;G373,"Rejects &gt; total parts",IF(J373&lt;0,"Downtime &gt; planned time",IF(AND(ISNUMBER(O373),O373&gt;1.05),"Performance &gt; 100%: check cycle time or counts","OK")))))</f>
        <v/>
      </c>
    </row>
    <row r="374" customFormat="false" ht="15" hidden="false" customHeight="false" outlineLevel="0" collapsed="false">
      <c r="A374" s="10"/>
      <c r="B374" s="8"/>
      <c r="C374" s="8"/>
      <c r="D374" s="8"/>
      <c r="E374" s="8"/>
      <c r="F374" s="8"/>
      <c r="G374" s="8"/>
      <c r="H374" s="8"/>
      <c r="I374" s="11" t="str">
        <f aca="false">IF($C374="","",D374-E374)</f>
        <v/>
      </c>
      <c r="J374" s="11" t="str">
        <f aca="false">IF($C374="","",I374-F374)</f>
        <v/>
      </c>
      <c r="K374" s="12" t="str">
        <f aca="false">IF($C374="","",IFERROR(INDEX(Setup!$B$5:$B$24,MATCH($C374,Setup!$A$5:$A$24,0)),""))</f>
        <v/>
      </c>
      <c r="L374" s="12" t="str">
        <f aca="false">IF(OR($C374="",K374=""),"",K374*G374/60)</f>
        <v/>
      </c>
      <c r="M374" s="11" t="str">
        <f aca="false">IF($C374="","",G374-H374)</f>
        <v/>
      </c>
      <c r="N374" s="13" t="str">
        <f aca="false">IF($C374="","",IF(I374&lt;=0,"",J374/I374))</f>
        <v/>
      </c>
      <c r="O374" s="13" t="str">
        <f aca="false">IF($C374="","",IF(OR(L374="",J374&lt;=0),"",L374/J374))</f>
        <v/>
      </c>
      <c r="P374" s="13" t="str">
        <f aca="false">IF($C374="","",IF(G374&lt;=0,"",M374/G374))</f>
        <v/>
      </c>
      <c r="Q374" s="13" t="str">
        <f aca="false">IF(OR(N374="",O374="",P374=""),"",N374*O374*P374)</f>
        <v/>
      </c>
      <c r="R374" s="14" t="str">
        <f aca="false">IF($C374="","",IF(K374="","Machine not in Setup",IF(H374&gt;G374,"Rejects &gt; total parts",IF(J374&lt;0,"Downtime &gt; planned time",IF(AND(ISNUMBER(O374),O374&gt;1.05),"Performance &gt; 100%: check cycle time or counts","OK")))))</f>
        <v/>
      </c>
    </row>
    <row r="375" customFormat="false" ht="15" hidden="false" customHeight="false" outlineLevel="0" collapsed="false">
      <c r="A375" s="10"/>
      <c r="B375" s="8"/>
      <c r="C375" s="8"/>
      <c r="D375" s="8"/>
      <c r="E375" s="8"/>
      <c r="F375" s="8"/>
      <c r="G375" s="8"/>
      <c r="H375" s="8"/>
      <c r="I375" s="11" t="str">
        <f aca="false">IF($C375="","",D375-E375)</f>
        <v/>
      </c>
      <c r="J375" s="11" t="str">
        <f aca="false">IF($C375="","",I375-F375)</f>
        <v/>
      </c>
      <c r="K375" s="12" t="str">
        <f aca="false">IF($C375="","",IFERROR(INDEX(Setup!$B$5:$B$24,MATCH($C375,Setup!$A$5:$A$24,0)),""))</f>
        <v/>
      </c>
      <c r="L375" s="12" t="str">
        <f aca="false">IF(OR($C375="",K375=""),"",K375*G375/60)</f>
        <v/>
      </c>
      <c r="M375" s="11" t="str">
        <f aca="false">IF($C375="","",G375-H375)</f>
        <v/>
      </c>
      <c r="N375" s="13" t="str">
        <f aca="false">IF($C375="","",IF(I375&lt;=0,"",J375/I375))</f>
        <v/>
      </c>
      <c r="O375" s="13" t="str">
        <f aca="false">IF($C375="","",IF(OR(L375="",J375&lt;=0),"",L375/J375))</f>
        <v/>
      </c>
      <c r="P375" s="13" t="str">
        <f aca="false">IF($C375="","",IF(G375&lt;=0,"",M375/G375))</f>
        <v/>
      </c>
      <c r="Q375" s="13" t="str">
        <f aca="false">IF(OR(N375="",O375="",P375=""),"",N375*O375*P375)</f>
        <v/>
      </c>
      <c r="R375" s="14" t="str">
        <f aca="false">IF($C375="","",IF(K375="","Machine not in Setup",IF(H375&gt;G375,"Rejects &gt; total parts",IF(J375&lt;0,"Downtime &gt; planned time",IF(AND(ISNUMBER(O375),O375&gt;1.05),"Performance &gt; 100%: check cycle time or counts","OK")))))</f>
        <v/>
      </c>
    </row>
    <row r="376" customFormat="false" ht="15" hidden="false" customHeight="false" outlineLevel="0" collapsed="false">
      <c r="A376" s="10"/>
      <c r="B376" s="8"/>
      <c r="C376" s="8"/>
      <c r="D376" s="8"/>
      <c r="E376" s="8"/>
      <c r="F376" s="8"/>
      <c r="G376" s="8"/>
      <c r="H376" s="8"/>
      <c r="I376" s="11" t="str">
        <f aca="false">IF($C376="","",D376-E376)</f>
        <v/>
      </c>
      <c r="J376" s="11" t="str">
        <f aca="false">IF($C376="","",I376-F376)</f>
        <v/>
      </c>
      <c r="K376" s="12" t="str">
        <f aca="false">IF($C376="","",IFERROR(INDEX(Setup!$B$5:$B$24,MATCH($C376,Setup!$A$5:$A$24,0)),""))</f>
        <v/>
      </c>
      <c r="L376" s="12" t="str">
        <f aca="false">IF(OR($C376="",K376=""),"",K376*G376/60)</f>
        <v/>
      </c>
      <c r="M376" s="11" t="str">
        <f aca="false">IF($C376="","",G376-H376)</f>
        <v/>
      </c>
      <c r="N376" s="13" t="str">
        <f aca="false">IF($C376="","",IF(I376&lt;=0,"",J376/I376))</f>
        <v/>
      </c>
      <c r="O376" s="13" t="str">
        <f aca="false">IF($C376="","",IF(OR(L376="",J376&lt;=0),"",L376/J376))</f>
        <v/>
      </c>
      <c r="P376" s="13" t="str">
        <f aca="false">IF($C376="","",IF(G376&lt;=0,"",M376/G376))</f>
        <v/>
      </c>
      <c r="Q376" s="13" t="str">
        <f aca="false">IF(OR(N376="",O376="",P376=""),"",N376*O376*P376)</f>
        <v/>
      </c>
      <c r="R376" s="14" t="str">
        <f aca="false">IF($C376="","",IF(K376="","Machine not in Setup",IF(H376&gt;G376,"Rejects &gt; total parts",IF(J376&lt;0,"Downtime &gt; planned time",IF(AND(ISNUMBER(O376),O376&gt;1.05),"Performance &gt; 100%: check cycle time or counts","OK")))))</f>
        <v/>
      </c>
    </row>
    <row r="377" customFormat="false" ht="15" hidden="false" customHeight="false" outlineLevel="0" collapsed="false">
      <c r="A377" s="10"/>
      <c r="B377" s="8"/>
      <c r="C377" s="8"/>
      <c r="D377" s="8"/>
      <c r="E377" s="8"/>
      <c r="F377" s="8"/>
      <c r="G377" s="8"/>
      <c r="H377" s="8"/>
      <c r="I377" s="11" t="str">
        <f aca="false">IF($C377="","",D377-E377)</f>
        <v/>
      </c>
      <c r="J377" s="11" t="str">
        <f aca="false">IF($C377="","",I377-F377)</f>
        <v/>
      </c>
      <c r="K377" s="12" t="str">
        <f aca="false">IF($C377="","",IFERROR(INDEX(Setup!$B$5:$B$24,MATCH($C377,Setup!$A$5:$A$24,0)),""))</f>
        <v/>
      </c>
      <c r="L377" s="12" t="str">
        <f aca="false">IF(OR($C377="",K377=""),"",K377*G377/60)</f>
        <v/>
      </c>
      <c r="M377" s="11" t="str">
        <f aca="false">IF($C377="","",G377-H377)</f>
        <v/>
      </c>
      <c r="N377" s="13" t="str">
        <f aca="false">IF($C377="","",IF(I377&lt;=0,"",J377/I377))</f>
        <v/>
      </c>
      <c r="O377" s="13" t="str">
        <f aca="false">IF($C377="","",IF(OR(L377="",J377&lt;=0),"",L377/J377))</f>
        <v/>
      </c>
      <c r="P377" s="13" t="str">
        <f aca="false">IF($C377="","",IF(G377&lt;=0,"",M377/G377))</f>
        <v/>
      </c>
      <c r="Q377" s="13" t="str">
        <f aca="false">IF(OR(N377="",O377="",P377=""),"",N377*O377*P377)</f>
        <v/>
      </c>
      <c r="R377" s="14" t="str">
        <f aca="false">IF($C377="","",IF(K377="","Machine not in Setup",IF(H377&gt;G377,"Rejects &gt; total parts",IF(J377&lt;0,"Downtime &gt; planned time",IF(AND(ISNUMBER(O377),O377&gt;1.05),"Performance &gt; 100%: check cycle time or counts","OK")))))</f>
        <v/>
      </c>
    </row>
    <row r="378" customFormat="false" ht="15" hidden="false" customHeight="false" outlineLevel="0" collapsed="false">
      <c r="A378" s="10"/>
      <c r="B378" s="8"/>
      <c r="C378" s="8"/>
      <c r="D378" s="8"/>
      <c r="E378" s="8"/>
      <c r="F378" s="8"/>
      <c r="G378" s="8"/>
      <c r="H378" s="8"/>
      <c r="I378" s="11" t="str">
        <f aca="false">IF($C378="","",D378-E378)</f>
        <v/>
      </c>
      <c r="J378" s="11" t="str">
        <f aca="false">IF($C378="","",I378-F378)</f>
        <v/>
      </c>
      <c r="K378" s="12" t="str">
        <f aca="false">IF($C378="","",IFERROR(INDEX(Setup!$B$5:$B$24,MATCH($C378,Setup!$A$5:$A$24,0)),""))</f>
        <v/>
      </c>
      <c r="L378" s="12" t="str">
        <f aca="false">IF(OR($C378="",K378=""),"",K378*G378/60)</f>
        <v/>
      </c>
      <c r="M378" s="11" t="str">
        <f aca="false">IF($C378="","",G378-H378)</f>
        <v/>
      </c>
      <c r="N378" s="13" t="str">
        <f aca="false">IF($C378="","",IF(I378&lt;=0,"",J378/I378))</f>
        <v/>
      </c>
      <c r="O378" s="13" t="str">
        <f aca="false">IF($C378="","",IF(OR(L378="",J378&lt;=0),"",L378/J378))</f>
        <v/>
      </c>
      <c r="P378" s="13" t="str">
        <f aca="false">IF($C378="","",IF(G378&lt;=0,"",M378/G378))</f>
        <v/>
      </c>
      <c r="Q378" s="13" t="str">
        <f aca="false">IF(OR(N378="",O378="",P378=""),"",N378*O378*P378)</f>
        <v/>
      </c>
      <c r="R378" s="14" t="str">
        <f aca="false">IF($C378="","",IF(K378="","Machine not in Setup",IF(H378&gt;G378,"Rejects &gt; total parts",IF(J378&lt;0,"Downtime &gt; planned time",IF(AND(ISNUMBER(O378),O378&gt;1.05),"Performance &gt; 100%: check cycle time or counts","OK")))))</f>
        <v/>
      </c>
    </row>
    <row r="379" customFormat="false" ht="15" hidden="false" customHeight="false" outlineLevel="0" collapsed="false">
      <c r="A379" s="10"/>
      <c r="B379" s="8"/>
      <c r="C379" s="8"/>
      <c r="D379" s="8"/>
      <c r="E379" s="8"/>
      <c r="F379" s="8"/>
      <c r="G379" s="8"/>
      <c r="H379" s="8"/>
      <c r="I379" s="11" t="str">
        <f aca="false">IF($C379="","",D379-E379)</f>
        <v/>
      </c>
      <c r="J379" s="11" t="str">
        <f aca="false">IF($C379="","",I379-F379)</f>
        <v/>
      </c>
      <c r="K379" s="12" t="str">
        <f aca="false">IF($C379="","",IFERROR(INDEX(Setup!$B$5:$B$24,MATCH($C379,Setup!$A$5:$A$24,0)),""))</f>
        <v/>
      </c>
      <c r="L379" s="12" t="str">
        <f aca="false">IF(OR($C379="",K379=""),"",K379*G379/60)</f>
        <v/>
      </c>
      <c r="M379" s="11" t="str">
        <f aca="false">IF($C379="","",G379-H379)</f>
        <v/>
      </c>
      <c r="N379" s="13" t="str">
        <f aca="false">IF($C379="","",IF(I379&lt;=0,"",J379/I379))</f>
        <v/>
      </c>
      <c r="O379" s="13" t="str">
        <f aca="false">IF($C379="","",IF(OR(L379="",J379&lt;=0),"",L379/J379))</f>
        <v/>
      </c>
      <c r="P379" s="13" t="str">
        <f aca="false">IF($C379="","",IF(G379&lt;=0,"",M379/G379))</f>
        <v/>
      </c>
      <c r="Q379" s="13" t="str">
        <f aca="false">IF(OR(N379="",O379="",P379=""),"",N379*O379*P379)</f>
        <v/>
      </c>
      <c r="R379" s="14" t="str">
        <f aca="false">IF($C379="","",IF(K379="","Machine not in Setup",IF(H379&gt;G379,"Rejects &gt; total parts",IF(J379&lt;0,"Downtime &gt; planned time",IF(AND(ISNUMBER(O379),O379&gt;1.05),"Performance &gt; 100%: check cycle time or counts","OK")))))</f>
        <v/>
      </c>
    </row>
    <row r="380" customFormat="false" ht="15" hidden="false" customHeight="false" outlineLevel="0" collapsed="false">
      <c r="A380" s="10"/>
      <c r="B380" s="8"/>
      <c r="C380" s="8"/>
      <c r="D380" s="8"/>
      <c r="E380" s="8"/>
      <c r="F380" s="8"/>
      <c r="G380" s="8"/>
      <c r="H380" s="8"/>
      <c r="I380" s="11" t="str">
        <f aca="false">IF($C380="","",D380-E380)</f>
        <v/>
      </c>
      <c r="J380" s="11" t="str">
        <f aca="false">IF($C380="","",I380-F380)</f>
        <v/>
      </c>
      <c r="K380" s="12" t="str">
        <f aca="false">IF($C380="","",IFERROR(INDEX(Setup!$B$5:$B$24,MATCH($C380,Setup!$A$5:$A$24,0)),""))</f>
        <v/>
      </c>
      <c r="L380" s="12" t="str">
        <f aca="false">IF(OR($C380="",K380=""),"",K380*G380/60)</f>
        <v/>
      </c>
      <c r="M380" s="11" t="str">
        <f aca="false">IF($C380="","",G380-H380)</f>
        <v/>
      </c>
      <c r="N380" s="13" t="str">
        <f aca="false">IF($C380="","",IF(I380&lt;=0,"",J380/I380))</f>
        <v/>
      </c>
      <c r="O380" s="13" t="str">
        <f aca="false">IF($C380="","",IF(OR(L380="",J380&lt;=0),"",L380/J380))</f>
        <v/>
      </c>
      <c r="P380" s="13" t="str">
        <f aca="false">IF($C380="","",IF(G380&lt;=0,"",M380/G380))</f>
        <v/>
      </c>
      <c r="Q380" s="13" t="str">
        <f aca="false">IF(OR(N380="",O380="",P380=""),"",N380*O380*P380)</f>
        <v/>
      </c>
      <c r="R380" s="14" t="str">
        <f aca="false">IF($C380="","",IF(K380="","Machine not in Setup",IF(H380&gt;G380,"Rejects &gt; total parts",IF(J380&lt;0,"Downtime &gt; planned time",IF(AND(ISNUMBER(O380),O380&gt;1.05),"Performance &gt; 100%: check cycle time or counts","OK")))))</f>
        <v/>
      </c>
    </row>
    <row r="381" customFormat="false" ht="15" hidden="false" customHeight="false" outlineLevel="0" collapsed="false">
      <c r="A381" s="10"/>
      <c r="B381" s="8"/>
      <c r="C381" s="8"/>
      <c r="D381" s="8"/>
      <c r="E381" s="8"/>
      <c r="F381" s="8"/>
      <c r="G381" s="8"/>
      <c r="H381" s="8"/>
      <c r="I381" s="11" t="str">
        <f aca="false">IF($C381="","",D381-E381)</f>
        <v/>
      </c>
      <c r="J381" s="11" t="str">
        <f aca="false">IF($C381="","",I381-F381)</f>
        <v/>
      </c>
      <c r="K381" s="12" t="str">
        <f aca="false">IF($C381="","",IFERROR(INDEX(Setup!$B$5:$B$24,MATCH($C381,Setup!$A$5:$A$24,0)),""))</f>
        <v/>
      </c>
      <c r="L381" s="12" t="str">
        <f aca="false">IF(OR($C381="",K381=""),"",K381*G381/60)</f>
        <v/>
      </c>
      <c r="M381" s="11" t="str">
        <f aca="false">IF($C381="","",G381-H381)</f>
        <v/>
      </c>
      <c r="N381" s="13" t="str">
        <f aca="false">IF($C381="","",IF(I381&lt;=0,"",J381/I381))</f>
        <v/>
      </c>
      <c r="O381" s="13" t="str">
        <f aca="false">IF($C381="","",IF(OR(L381="",J381&lt;=0),"",L381/J381))</f>
        <v/>
      </c>
      <c r="P381" s="13" t="str">
        <f aca="false">IF($C381="","",IF(G381&lt;=0,"",M381/G381))</f>
        <v/>
      </c>
      <c r="Q381" s="13" t="str">
        <f aca="false">IF(OR(N381="",O381="",P381=""),"",N381*O381*P381)</f>
        <v/>
      </c>
      <c r="R381" s="14" t="str">
        <f aca="false">IF($C381="","",IF(K381="","Machine not in Setup",IF(H381&gt;G381,"Rejects &gt; total parts",IF(J381&lt;0,"Downtime &gt; planned time",IF(AND(ISNUMBER(O381),O381&gt;1.05),"Performance &gt; 100%: check cycle time or counts","OK")))))</f>
        <v/>
      </c>
    </row>
    <row r="382" customFormat="false" ht="15" hidden="false" customHeight="false" outlineLevel="0" collapsed="false">
      <c r="A382" s="10"/>
      <c r="B382" s="8"/>
      <c r="C382" s="8"/>
      <c r="D382" s="8"/>
      <c r="E382" s="8"/>
      <c r="F382" s="8"/>
      <c r="G382" s="8"/>
      <c r="H382" s="8"/>
      <c r="I382" s="11" t="str">
        <f aca="false">IF($C382="","",D382-E382)</f>
        <v/>
      </c>
      <c r="J382" s="11" t="str">
        <f aca="false">IF($C382="","",I382-F382)</f>
        <v/>
      </c>
      <c r="K382" s="12" t="str">
        <f aca="false">IF($C382="","",IFERROR(INDEX(Setup!$B$5:$B$24,MATCH($C382,Setup!$A$5:$A$24,0)),""))</f>
        <v/>
      </c>
      <c r="L382" s="12" t="str">
        <f aca="false">IF(OR($C382="",K382=""),"",K382*G382/60)</f>
        <v/>
      </c>
      <c r="M382" s="11" t="str">
        <f aca="false">IF($C382="","",G382-H382)</f>
        <v/>
      </c>
      <c r="N382" s="13" t="str">
        <f aca="false">IF($C382="","",IF(I382&lt;=0,"",J382/I382))</f>
        <v/>
      </c>
      <c r="O382" s="13" t="str">
        <f aca="false">IF($C382="","",IF(OR(L382="",J382&lt;=0),"",L382/J382))</f>
        <v/>
      </c>
      <c r="P382" s="13" t="str">
        <f aca="false">IF($C382="","",IF(G382&lt;=0,"",M382/G382))</f>
        <v/>
      </c>
      <c r="Q382" s="13" t="str">
        <f aca="false">IF(OR(N382="",O382="",P382=""),"",N382*O382*P382)</f>
        <v/>
      </c>
      <c r="R382" s="14" t="str">
        <f aca="false">IF($C382="","",IF(K382="","Machine not in Setup",IF(H382&gt;G382,"Rejects &gt; total parts",IF(J382&lt;0,"Downtime &gt; planned time",IF(AND(ISNUMBER(O382),O382&gt;1.05),"Performance &gt; 100%: check cycle time or counts","OK")))))</f>
        <v/>
      </c>
    </row>
    <row r="383" customFormat="false" ht="15" hidden="false" customHeight="false" outlineLevel="0" collapsed="false">
      <c r="A383" s="10"/>
      <c r="B383" s="8"/>
      <c r="C383" s="8"/>
      <c r="D383" s="8"/>
      <c r="E383" s="8"/>
      <c r="F383" s="8"/>
      <c r="G383" s="8"/>
      <c r="H383" s="8"/>
      <c r="I383" s="11" t="str">
        <f aca="false">IF($C383="","",D383-E383)</f>
        <v/>
      </c>
      <c r="J383" s="11" t="str">
        <f aca="false">IF($C383="","",I383-F383)</f>
        <v/>
      </c>
      <c r="K383" s="12" t="str">
        <f aca="false">IF($C383="","",IFERROR(INDEX(Setup!$B$5:$B$24,MATCH($C383,Setup!$A$5:$A$24,0)),""))</f>
        <v/>
      </c>
      <c r="L383" s="12" t="str">
        <f aca="false">IF(OR($C383="",K383=""),"",K383*G383/60)</f>
        <v/>
      </c>
      <c r="M383" s="11" t="str">
        <f aca="false">IF($C383="","",G383-H383)</f>
        <v/>
      </c>
      <c r="N383" s="13" t="str">
        <f aca="false">IF($C383="","",IF(I383&lt;=0,"",J383/I383))</f>
        <v/>
      </c>
      <c r="O383" s="13" t="str">
        <f aca="false">IF($C383="","",IF(OR(L383="",J383&lt;=0),"",L383/J383))</f>
        <v/>
      </c>
      <c r="P383" s="13" t="str">
        <f aca="false">IF($C383="","",IF(G383&lt;=0,"",M383/G383))</f>
        <v/>
      </c>
      <c r="Q383" s="13" t="str">
        <f aca="false">IF(OR(N383="",O383="",P383=""),"",N383*O383*P383)</f>
        <v/>
      </c>
      <c r="R383" s="14" t="str">
        <f aca="false">IF($C383="","",IF(K383="","Machine not in Setup",IF(H383&gt;G383,"Rejects &gt; total parts",IF(J383&lt;0,"Downtime &gt; planned time",IF(AND(ISNUMBER(O383),O383&gt;1.05),"Performance &gt; 100%: check cycle time or counts","OK")))))</f>
        <v/>
      </c>
    </row>
    <row r="384" customFormat="false" ht="15" hidden="false" customHeight="false" outlineLevel="0" collapsed="false">
      <c r="A384" s="10"/>
      <c r="B384" s="8"/>
      <c r="C384" s="8"/>
      <c r="D384" s="8"/>
      <c r="E384" s="8"/>
      <c r="F384" s="8"/>
      <c r="G384" s="8"/>
      <c r="H384" s="8"/>
      <c r="I384" s="11" t="str">
        <f aca="false">IF($C384="","",D384-E384)</f>
        <v/>
      </c>
      <c r="J384" s="11" t="str">
        <f aca="false">IF($C384="","",I384-F384)</f>
        <v/>
      </c>
      <c r="K384" s="12" t="str">
        <f aca="false">IF($C384="","",IFERROR(INDEX(Setup!$B$5:$B$24,MATCH($C384,Setup!$A$5:$A$24,0)),""))</f>
        <v/>
      </c>
      <c r="L384" s="12" t="str">
        <f aca="false">IF(OR($C384="",K384=""),"",K384*G384/60)</f>
        <v/>
      </c>
      <c r="M384" s="11" t="str">
        <f aca="false">IF($C384="","",G384-H384)</f>
        <v/>
      </c>
      <c r="N384" s="13" t="str">
        <f aca="false">IF($C384="","",IF(I384&lt;=0,"",J384/I384))</f>
        <v/>
      </c>
      <c r="O384" s="13" t="str">
        <f aca="false">IF($C384="","",IF(OR(L384="",J384&lt;=0),"",L384/J384))</f>
        <v/>
      </c>
      <c r="P384" s="13" t="str">
        <f aca="false">IF($C384="","",IF(G384&lt;=0,"",M384/G384))</f>
        <v/>
      </c>
      <c r="Q384" s="13" t="str">
        <f aca="false">IF(OR(N384="",O384="",P384=""),"",N384*O384*P384)</f>
        <v/>
      </c>
      <c r="R384" s="14" t="str">
        <f aca="false">IF($C384="","",IF(K384="","Machine not in Setup",IF(H384&gt;G384,"Rejects &gt; total parts",IF(J384&lt;0,"Downtime &gt; planned time",IF(AND(ISNUMBER(O384),O384&gt;1.05),"Performance &gt; 100%: check cycle time or counts","OK")))))</f>
        <v/>
      </c>
    </row>
    <row r="385" customFormat="false" ht="15" hidden="false" customHeight="false" outlineLevel="0" collapsed="false">
      <c r="A385" s="10"/>
      <c r="B385" s="8"/>
      <c r="C385" s="8"/>
      <c r="D385" s="8"/>
      <c r="E385" s="8"/>
      <c r="F385" s="8"/>
      <c r="G385" s="8"/>
      <c r="H385" s="8"/>
      <c r="I385" s="11" t="str">
        <f aca="false">IF($C385="","",D385-E385)</f>
        <v/>
      </c>
      <c r="J385" s="11" t="str">
        <f aca="false">IF($C385="","",I385-F385)</f>
        <v/>
      </c>
      <c r="K385" s="12" t="str">
        <f aca="false">IF($C385="","",IFERROR(INDEX(Setup!$B$5:$B$24,MATCH($C385,Setup!$A$5:$A$24,0)),""))</f>
        <v/>
      </c>
      <c r="L385" s="12" t="str">
        <f aca="false">IF(OR($C385="",K385=""),"",K385*G385/60)</f>
        <v/>
      </c>
      <c r="M385" s="11" t="str">
        <f aca="false">IF($C385="","",G385-H385)</f>
        <v/>
      </c>
      <c r="N385" s="13" t="str">
        <f aca="false">IF($C385="","",IF(I385&lt;=0,"",J385/I385))</f>
        <v/>
      </c>
      <c r="O385" s="13" t="str">
        <f aca="false">IF($C385="","",IF(OR(L385="",J385&lt;=0),"",L385/J385))</f>
        <v/>
      </c>
      <c r="P385" s="13" t="str">
        <f aca="false">IF($C385="","",IF(G385&lt;=0,"",M385/G385))</f>
        <v/>
      </c>
      <c r="Q385" s="13" t="str">
        <f aca="false">IF(OR(N385="",O385="",P385=""),"",N385*O385*P385)</f>
        <v/>
      </c>
      <c r="R385" s="14" t="str">
        <f aca="false">IF($C385="","",IF(K385="","Machine not in Setup",IF(H385&gt;G385,"Rejects &gt; total parts",IF(J385&lt;0,"Downtime &gt; planned time",IF(AND(ISNUMBER(O385),O385&gt;1.05),"Performance &gt; 100%: check cycle time or counts","OK")))))</f>
        <v/>
      </c>
    </row>
    <row r="386" customFormat="false" ht="15" hidden="false" customHeight="false" outlineLevel="0" collapsed="false">
      <c r="A386" s="10"/>
      <c r="B386" s="8"/>
      <c r="C386" s="8"/>
      <c r="D386" s="8"/>
      <c r="E386" s="8"/>
      <c r="F386" s="8"/>
      <c r="G386" s="8"/>
      <c r="H386" s="8"/>
      <c r="I386" s="11" t="str">
        <f aca="false">IF($C386="","",D386-E386)</f>
        <v/>
      </c>
      <c r="J386" s="11" t="str">
        <f aca="false">IF($C386="","",I386-F386)</f>
        <v/>
      </c>
      <c r="K386" s="12" t="str">
        <f aca="false">IF($C386="","",IFERROR(INDEX(Setup!$B$5:$B$24,MATCH($C386,Setup!$A$5:$A$24,0)),""))</f>
        <v/>
      </c>
      <c r="L386" s="12" t="str">
        <f aca="false">IF(OR($C386="",K386=""),"",K386*G386/60)</f>
        <v/>
      </c>
      <c r="M386" s="11" t="str">
        <f aca="false">IF($C386="","",G386-H386)</f>
        <v/>
      </c>
      <c r="N386" s="13" t="str">
        <f aca="false">IF($C386="","",IF(I386&lt;=0,"",J386/I386))</f>
        <v/>
      </c>
      <c r="O386" s="13" t="str">
        <f aca="false">IF($C386="","",IF(OR(L386="",J386&lt;=0),"",L386/J386))</f>
        <v/>
      </c>
      <c r="P386" s="13" t="str">
        <f aca="false">IF($C386="","",IF(G386&lt;=0,"",M386/G386))</f>
        <v/>
      </c>
      <c r="Q386" s="13" t="str">
        <f aca="false">IF(OR(N386="",O386="",P386=""),"",N386*O386*P386)</f>
        <v/>
      </c>
      <c r="R386" s="14" t="str">
        <f aca="false">IF($C386="","",IF(K386="","Machine not in Setup",IF(H386&gt;G386,"Rejects &gt; total parts",IF(J386&lt;0,"Downtime &gt; planned time",IF(AND(ISNUMBER(O386),O386&gt;1.05),"Performance &gt; 100%: check cycle time or counts","OK")))))</f>
        <v/>
      </c>
    </row>
    <row r="387" customFormat="false" ht="15" hidden="false" customHeight="false" outlineLevel="0" collapsed="false">
      <c r="A387" s="10"/>
      <c r="B387" s="8"/>
      <c r="C387" s="8"/>
      <c r="D387" s="8"/>
      <c r="E387" s="8"/>
      <c r="F387" s="8"/>
      <c r="G387" s="8"/>
      <c r="H387" s="8"/>
      <c r="I387" s="11" t="str">
        <f aca="false">IF($C387="","",D387-E387)</f>
        <v/>
      </c>
      <c r="J387" s="11" t="str">
        <f aca="false">IF($C387="","",I387-F387)</f>
        <v/>
      </c>
      <c r="K387" s="12" t="str">
        <f aca="false">IF($C387="","",IFERROR(INDEX(Setup!$B$5:$B$24,MATCH($C387,Setup!$A$5:$A$24,0)),""))</f>
        <v/>
      </c>
      <c r="L387" s="12" t="str">
        <f aca="false">IF(OR($C387="",K387=""),"",K387*G387/60)</f>
        <v/>
      </c>
      <c r="M387" s="11" t="str">
        <f aca="false">IF($C387="","",G387-H387)</f>
        <v/>
      </c>
      <c r="N387" s="13" t="str">
        <f aca="false">IF($C387="","",IF(I387&lt;=0,"",J387/I387))</f>
        <v/>
      </c>
      <c r="O387" s="13" t="str">
        <f aca="false">IF($C387="","",IF(OR(L387="",J387&lt;=0),"",L387/J387))</f>
        <v/>
      </c>
      <c r="P387" s="13" t="str">
        <f aca="false">IF($C387="","",IF(G387&lt;=0,"",M387/G387))</f>
        <v/>
      </c>
      <c r="Q387" s="13" t="str">
        <f aca="false">IF(OR(N387="",O387="",P387=""),"",N387*O387*P387)</f>
        <v/>
      </c>
      <c r="R387" s="14" t="str">
        <f aca="false">IF($C387="","",IF(K387="","Machine not in Setup",IF(H387&gt;G387,"Rejects &gt; total parts",IF(J387&lt;0,"Downtime &gt; planned time",IF(AND(ISNUMBER(O387),O387&gt;1.05),"Performance &gt; 100%: check cycle time or counts","OK")))))</f>
        <v/>
      </c>
    </row>
    <row r="388" customFormat="false" ht="15" hidden="false" customHeight="false" outlineLevel="0" collapsed="false">
      <c r="A388" s="10"/>
      <c r="B388" s="8"/>
      <c r="C388" s="8"/>
      <c r="D388" s="8"/>
      <c r="E388" s="8"/>
      <c r="F388" s="8"/>
      <c r="G388" s="8"/>
      <c r="H388" s="8"/>
      <c r="I388" s="11" t="str">
        <f aca="false">IF($C388="","",D388-E388)</f>
        <v/>
      </c>
      <c r="J388" s="11" t="str">
        <f aca="false">IF($C388="","",I388-F388)</f>
        <v/>
      </c>
      <c r="K388" s="12" t="str">
        <f aca="false">IF($C388="","",IFERROR(INDEX(Setup!$B$5:$B$24,MATCH($C388,Setup!$A$5:$A$24,0)),""))</f>
        <v/>
      </c>
      <c r="L388" s="12" t="str">
        <f aca="false">IF(OR($C388="",K388=""),"",K388*G388/60)</f>
        <v/>
      </c>
      <c r="M388" s="11" t="str">
        <f aca="false">IF($C388="","",G388-H388)</f>
        <v/>
      </c>
      <c r="N388" s="13" t="str">
        <f aca="false">IF($C388="","",IF(I388&lt;=0,"",J388/I388))</f>
        <v/>
      </c>
      <c r="O388" s="13" t="str">
        <f aca="false">IF($C388="","",IF(OR(L388="",J388&lt;=0),"",L388/J388))</f>
        <v/>
      </c>
      <c r="P388" s="13" t="str">
        <f aca="false">IF($C388="","",IF(G388&lt;=0,"",M388/G388))</f>
        <v/>
      </c>
      <c r="Q388" s="13" t="str">
        <f aca="false">IF(OR(N388="",O388="",P388=""),"",N388*O388*P388)</f>
        <v/>
      </c>
      <c r="R388" s="14" t="str">
        <f aca="false">IF($C388="","",IF(K388="","Machine not in Setup",IF(H388&gt;G388,"Rejects &gt; total parts",IF(J388&lt;0,"Downtime &gt; planned time",IF(AND(ISNUMBER(O388),O388&gt;1.05),"Performance &gt; 100%: check cycle time or counts","OK")))))</f>
        <v/>
      </c>
    </row>
    <row r="389" customFormat="false" ht="15" hidden="false" customHeight="false" outlineLevel="0" collapsed="false">
      <c r="A389" s="10"/>
      <c r="B389" s="8"/>
      <c r="C389" s="8"/>
      <c r="D389" s="8"/>
      <c r="E389" s="8"/>
      <c r="F389" s="8"/>
      <c r="G389" s="8"/>
      <c r="H389" s="8"/>
      <c r="I389" s="11" t="str">
        <f aca="false">IF($C389="","",D389-E389)</f>
        <v/>
      </c>
      <c r="J389" s="11" t="str">
        <f aca="false">IF($C389="","",I389-F389)</f>
        <v/>
      </c>
      <c r="K389" s="12" t="str">
        <f aca="false">IF($C389="","",IFERROR(INDEX(Setup!$B$5:$B$24,MATCH($C389,Setup!$A$5:$A$24,0)),""))</f>
        <v/>
      </c>
      <c r="L389" s="12" t="str">
        <f aca="false">IF(OR($C389="",K389=""),"",K389*G389/60)</f>
        <v/>
      </c>
      <c r="M389" s="11" t="str">
        <f aca="false">IF($C389="","",G389-H389)</f>
        <v/>
      </c>
      <c r="N389" s="13" t="str">
        <f aca="false">IF($C389="","",IF(I389&lt;=0,"",J389/I389))</f>
        <v/>
      </c>
      <c r="O389" s="13" t="str">
        <f aca="false">IF($C389="","",IF(OR(L389="",J389&lt;=0),"",L389/J389))</f>
        <v/>
      </c>
      <c r="P389" s="13" t="str">
        <f aca="false">IF($C389="","",IF(G389&lt;=0,"",M389/G389))</f>
        <v/>
      </c>
      <c r="Q389" s="13" t="str">
        <f aca="false">IF(OR(N389="",O389="",P389=""),"",N389*O389*P389)</f>
        <v/>
      </c>
      <c r="R389" s="14" t="str">
        <f aca="false">IF($C389="","",IF(K389="","Machine not in Setup",IF(H389&gt;G389,"Rejects &gt; total parts",IF(J389&lt;0,"Downtime &gt; planned time",IF(AND(ISNUMBER(O389),O389&gt;1.05),"Performance &gt; 100%: check cycle time or counts","OK")))))</f>
        <v/>
      </c>
    </row>
    <row r="390" customFormat="false" ht="15" hidden="false" customHeight="false" outlineLevel="0" collapsed="false">
      <c r="A390" s="10"/>
      <c r="B390" s="8"/>
      <c r="C390" s="8"/>
      <c r="D390" s="8"/>
      <c r="E390" s="8"/>
      <c r="F390" s="8"/>
      <c r="G390" s="8"/>
      <c r="H390" s="8"/>
      <c r="I390" s="11" t="str">
        <f aca="false">IF($C390="","",D390-E390)</f>
        <v/>
      </c>
      <c r="J390" s="11" t="str">
        <f aca="false">IF($C390="","",I390-F390)</f>
        <v/>
      </c>
      <c r="K390" s="12" t="str">
        <f aca="false">IF($C390="","",IFERROR(INDEX(Setup!$B$5:$B$24,MATCH($C390,Setup!$A$5:$A$24,0)),""))</f>
        <v/>
      </c>
      <c r="L390" s="12" t="str">
        <f aca="false">IF(OR($C390="",K390=""),"",K390*G390/60)</f>
        <v/>
      </c>
      <c r="M390" s="11" t="str">
        <f aca="false">IF($C390="","",G390-H390)</f>
        <v/>
      </c>
      <c r="N390" s="13" t="str">
        <f aca="false">IF($C390="","",IF(I390&lt;=0,"",J390/I390))</f>
        <v/>
      </c>
      <c r="O390" s="13" t="str">
        <f aca="false">IF($C390="","",IF(OR(L390="",J390&lt;=0),"",L390/J390))</f>
        <v/>
      </c>
      <c r="P390" s="13" t="str">
        <f aca="false">IF($C390="","",IF(G390&lt;=0,"",M390/G390))</f>
        <v/>
      </c>
      <c r="Q390" s="13" t="str">
        <f aca="false">IF(OR(N390="",O390="",P390=""),"",N390*O390*P390)</f>
        <v/>
      </c>
      <c r="R390" s="14" t="str">
        <f aca="false">IF($C390="","",IF(K390="","Machine not in Setup",IF(H390&gt;G390,"Rejects &gt; total parts",IF(J390&lt;0,"Downtime &gt; planned time",IF(AND(ISNUMBER(O390),O390&gt;1.05),"Performance &gt; 100%: check cycle time or counts","OK")))))</f>
        <v/>
      </c>
    </row>
    <row r="391" customFormat="false" ht="15" hidden="false" customHeight="false" outlineLevel="0" collapsed="false">
      <c r="A391" s="10"/>
      <c r="B391" s="8"/>
      <c r="C391" s="8"/>
      <c r="D391" s="8"/>
      <c r="E391" s="8"/>
      <c r="F391" s="8"/>
      <c r="G391" s="8"/>
      <c r="H391" s="8"/>
      <c r="I391" s="11" t="str">
        <f aca="false">IF($C391="","",D391-E391)</f>
        <v/>
      </c>
      <c r="J391" s="11" t="str">
        <f aca="false">IF($C391="","",I391-F391)</f>
        <v/>
      </c>
      <c r="K391" s="12" t="str">
        <f aca="false">IF($C391="","",IFERROR(INDEX(Setup!$B$5:$B$24,MATCH($C391,Setup!$A$5:$A$24,0)),""))</f>
        <v/>
      </c>
      <c r="L391" s="12" t="str">
        <f aca="false">IF(OR($C391="",K391=""),"",K391*G391/60)</f>
        <v/>
      </c>
      <c r="M391" s="11" t="str">
        <f aca="false">IF($C391="","",G391-H391)</f>
        <v/>
      </c>
      <c r="N391" s="13" t="str">
        <f aca="false">IF($C391="","",IF(I391&lt;=0,"",J391/I391))</f>
        <v/>
      </c>
      <c r="O391" s="13" t="str">
        <f aca="false">IF($C391="","",IF(OR(L391="",J391&lt;=0),"",L391/J391))</f>
        <v/>
      </c>
      <c r="P391" s="13" t="str">
        <f aca="false">IF($C391="","",IF(G391&lt;=0,"",M391/G391))</f>
        <v/>
      </c>
      <c r="Q391" s="13" t="str">
        <f aca="false">IF(OR(N391="",O391="",P391=""),"",N391*O391*P391)</f>
        <v/>
      </c>
      <c r="R391" s="14" t="str">
        <f aca="false">IF($C391="","",IF(K391="","Machine not in Setup",IF(H391&gt;G391,"Rejects &gt; total parts",IF(J391&lt;0,"Downtime &gt; planned time",IF(AND(ISNUMBER(O391),O391&gt;1.05),"Performance &gt; 100%: check cycle time or counts","OK")))))</f>
        <v/>
      </c>
    </row>
    <row r="392" customFormat="false" ht="15" hidden="false" customHeight="false" outlineLevel="0" collapsed="false">
      <c r="A392" s="10"/>
      <c r="B392" s="8"/>
      <c r="C392" s="8"/>
      <c r="D392" s="8"/>
      <c r="E392" s="8"/>
      <c r="F392" s="8"/>
      <c r="G392" s="8"/>
      <c r="H392" s="8"/>
      <c r="I392" s="11" t="str">
        <f aca="false">IF($C392="","",D392-E392)</f>
        <v/>
      </c>
      <c r="J392" s="11" t="str">
        <f aca="false">IF($C392="","",I392-F392)</f>
        <v/>
      </c>
      <c r="K392" s="12" t="str">
        <f aca="false">IF($C392="","",IFERROR(INDEX(Setup!$B$5:$B$24,MATCH($C392,Setup!$A$5:$A$24,0)),""))</f>
        <v/>
      </c>
      <c r="L392" s="12" t="str">
        <f aca="false">IF(OR($C392="",K392=""),"",K392*G392/60)</f>
        <v/>
      </c>
      <c r="M392" s="11" t="str">
        <f aca="false">IF($C392="","",G392-H392)</f>
        <v/>
      </c>
      <c r="N392" s="13" t="str">
        <f aca="false">IF($C392="","",IF(I392&lt;=0,"",J392/I392))</f>
        <v/>
      </c>
      <c r="O392" s="13" t="str">
        <f aca="false">IF($C392="","",IF(OR(L392="",J392&lt;=0),"",L392/J392))</f>
        <v/>
      </c>
      <c r="P392" s="13" t="str">
        <f aca="false">IF($C392="","",IF(G392&lt;=0,"",M392/G392))</f>
        <v/>
      </c>
      <c r="Q392" s="13" t="str">
        <f aca="false">IF(OR(N392="",O392="",P392=""),"",N392*O392*P392)</f>
        <v/>
      </c>
      <c r="R392" s="14" t="str">
        <f aca="false">IF($C392="","",IF(K392="","Machine not in Setup",IF(H392&gt;G392,"Rejects &gt; total parts",IF(J392&lt;0,"Downtime &gt; planned time",IF(AND(ISNUMBER(O392),O392&gt;1.05),"Performance &gt; 100%: check cycle time or counts","OK")))))</f>
        <v/>
      </c>
    </row>
    <row r="393" customFormat="false" ht="15" hidden="false" customHeight="false" outlineLevel="0" collapsed="false">
      <c r="A393" s="10"/>
      <c r="B393" s="8"/>
      <c r="C393" s="8"/>
      <c r="D393" s="8"/>
      <c r="E393" s="8"/>
      <c r="F393" s="8"/>
      <c r="G393" s="8"/>
      <c r="H393" s="8"/>
      <c r="I393" s="11" t="str">
        <f aca="false">IF($C393="","",D393-E393)</f>
        <v/>
      </c>
      <c r="J393" s="11" t="str">
        <f aca="false">IF($C393="","",I393-F393)</f>
        <v/>
      </c>
      <c r="K393" s="12" t="str">
        <f aca="false">IF($C393="","",IFERROR(INDEX(Setup!$B$5:$B$24,MATCH($C393,Setup!$A$5:$A$24,0)),""))</f>
        <v/>
      </c>
      <c r="L393" s="12" t="str">
        <f aca="false">IF(OR($C393="",K393=""),"",K393*G393/60)</f>
        <v/>
      </c>
      <c r="M393" s="11" t="str">
        <f aca="false">IF($C393="","",G393-H393)</f>
        <v/>
      </c>
      <c r="N393" s="13" t="str">
        <f aca="false">IF($C393="","",IF(I393&lt;=0,"",J393/I393))</f>
        <v/>
      </c>
      <c r="O393" s="13" t="str">
        <f aca="false">IF($C393="","",IF(OR(L393="",J393&lt;=0),"",L393/J393))</f>
        <v/>
      </c>
      <c r="P393" s="13" t="str">
        <f aca="false">IF($C393="","",IF(G393&lt;=0,"",M393/G393))</f>
        <v/>
      </c>
      <c r="Q393" s="13" t="str">
        <f aca="false">IF(OR(N393="",O393="",P393=""),"",N393*O393*P393)</f>
        <v/>
      </c>
      <c r="R393" s="14" t="str">
        <f aca="false">IF($C393="","",IF(K393="","Machine not in Setup",IF(H393&gt;G393,"Rejects &gt; total parts",IF(J393&lt;0,"Downtime &gt; planned time",IF(AND(ISNUMBER(O393),O393&gt;1.05),"Performance &gt; 100%: check cycle time or counts","OK")))))</f>
        <v/>
      </c>
    </row>
    <row r="394" customFormat="false" ht="15" hidden="false" customHeight="false" outlineLevel="0" collapsed="false">
      <c r="A394" s="10"/>
      <c r="B394" s="8"/>
      <c r="C394" s="8"/>
      <c r="D394" s="8"/>
      <c r="E394" s="8"/>
      <c r="F394" s="8"/>
      <c r="G394" s="8"/>
      <c r="H394" s="8"/>
      <c r="I394" s="11" t="str">
        <f aca="false">IF($C394="","",D394-E394)</f>
        <v/>
      </c>
      <c r="J394" s="11" t="str">
        <f aca="false">IF($C394="","",I394-F394)</f>
        <v/>
      </c>
      <c r="K394" s="12" t="str">
        <f aca="false">IF($C394="","",IFERROR(INDEX(Setup!$B$5:$B$24,MATCH($C394,Setup!$A$5:$A$24,0)),""))</f>
        <v/>
      </c>
      <c r="L394" s="12" t="str">
        <f aca="false">IF(OR($C394="",K394=""),"",K394*G394/60)</f>
        <v/>
      </c>
      <c r="M394" s="11" t="str">
        <f aca="false">IF($C394="","",G394-H394)</f>
        <v/>
      </c>
      <c r="N394" s="13" t="str">
        <f aca="false">IF($C394="","",IF(I394&lt;=0,"",J394/I394))</f>
        <v/>
      </c>
      <c r="O394" s="13" t="str">
        <f aca="false">IF($C394="","",IF(OR(L394="",J394&lt;=0),"",L394/J394))</f>
        <v/>
      </c>
      <c r="P394" s="13" t="str">
        <f aca="false">IF($C394="","",IF(G394&lt;=0,"",M394/G394))</f>
        <v/>
      </c>
      <c r="Q394" s="13" t="str">
        <f aca="false">IF(OR(N394="",O394="",P394=""),"",N394*O394*P394)</f>
        <v/>
      </c>
      <c r="R394" s="14" t="str">
        <f aca="false">IF($C394="","",IF(K394="","Machine not in Setup",IF(H394&gt;G394,"Rejects &gt; total parts",IF(J394&lt;0,"Downtime &gt; planned time",IF(AND(ISNUMBER(O394),O394&gt;1.05),"Performance &gt; 100%: check cycle time or counts","OK")))))</f>
        <v/>
      </c>
    </row>
    <row r="395" customFormat="false" ht="15" hidden="false" customHeight="false" outlineLevel="0" collapsed="false">
      <c r="A395" s="10"/>
      <c r="B395" s="8"/>
      <c r="C395" s="8"/>
      <c r="D395" s="8"/>
      <c r="E395" s="8"/>
      <c r="F395" s="8"/>
      <c r="G395" s="8"/>
      <c r="H395" s="8"/>
      <c r="I395" s="11" t="str">
        <f aca="false">IF($C395="","",D395-E395)</f>
        <v/>
      </c>
      <c r="J395" s="11" t="str">
        <f aca="false">IF($C395="","",I395-F395)</f>
        <v/>
      </c>
      <c r="K395" s="12" t="str">
        <f aca="false">IF($C395="","",IFERROR(INDEX(Setup!$B$5:$B$24,MATCH($C395,Setup!$A$5:$A$24,0)),""))</f>
        <v/>
      </c>
      <c r="L395" s="12" t="str">
        <f aca="false">IF(OR($C395="",K395=""),"",K395*G395/60)</f>
        <v/>
      </c>
      <c r="M395" s="11" t="str">
        <f aca="false">IF($C395="","",G395-H395)</f>
        <v/>
      </c>
      <c r="N395" s="13" t="str">
        <f aca="false">IF($C395="","",IF(I395&lt;=0,"",J395/I395))</f>
        <v/>
      </c>
      <c r="O395" s="13" t="str">
        <f aca="false">IF($C395="","",IF(OR(L395="",J395&lt;=0),"",L395/J395))</f>
        <v/>
      </c>
      <c r="P395" s="13" t="str">
        <f aca="false">IF($C395="","",IF(G395&lt;=0,"",M395/G395))</f>
        <v/>
      </c>
      <c r="Q395" s="13" t="str">
        <f aca="false">IF(OR(N395="",O395="",P395=""),"",N395*O395*P395)</f>
        <v/>
      </c>
      <c r="R395" s="14" t="str">
        <f aca="false">IF($C395="","",IF(K395="","Machine not in Setup",IF(H395&gt;G395,"Rejects &gt; total parts",IF(J395&lt;0,"Downtime &gt; planned time",IF(AND(ISNUMBER(O395),O395&gt;1.05),"Performance &gt; 100%: check cycle time or counts","OK")))))</f>
        <v/>
      </c>
    </row>
    <row r="396" customFormat="false" ht="15" hidden="false" customHeight="false" outlineLevel="0" collapsed="false">
      <c r="A396" s="10"/>
      <c r="B396" s="8"/>
      <c r="C396" s="8"/>
      <c r="D396" s="8"/>
      <c r="E396" s="8"/>
      <c r="F396" s="8"/>
      <c r="G396" s="8"/>
      <c r="H396" s="8"/>
      <c r="I396" s="11" t="str">
        <f aca="false">IF($C396="","",D396-E396)</f>
        <v/>
      </c>
      <c r="J396" s="11" t="str">
        <f aca="false">IF($C396="","",I396-F396)</f>
        <v/>
      </c>
      <c r="K396" s="12" t="str">
        <f aca="false">IF($C396="","",IFERROR(INDEX(Setup!$B$5:$B$24,MATCH($C396,Setup!$A$5:$A$24,0)),""))</f>
        <v/>
      </c>
      <c r="L396" s="12" t="str">
        <f aca="false">IF(OR($C396="",K396=""),"",K396*G396/60)</f>
        <v/>
      </c>
      <c r="M396" s="11" t="str">
        <f aca="false">IF($C396="","",G396-H396)</f>
        <v/>
      </c>
      <c r="N396" s="13" t="str">
        <f aca="false">IF($C396="","",IF(I396&lt;=0,"",J396/I396))</f>
        <v/>
      </c>
      <c r="O396" s="13" t="str">
        <f aca="false">IF($C396="","",IF(OR(L396="",J396&lt;=0),"",L396/J396))</f>
        <v/>
      </c>
      <c r="P396" s="13" t="str">
        <f aca="false">IF($C396="","",IF(G396&lt;=0,"",M396/G396))</f>
        <v/>
      </c>
      <c r="Q396" s="13" t="str">
        <f aca="false">IF(OR(N396="",O396="",P396=""),"",N396*O396*P396)</f>
        <v/>
      </c>
      <c r="R396" s="14" t="str">
        <f aca="false">IF($C396="","",IF(K396="","Machine not in Setup",IF(H396&gt;G396,"Rejects &gt; total parts",IF(J396&lt;0,"Downtime &gt; planned time",IF(AND(ISNUMBER(O396),O396&gt;1.05),"Performance &gt; 100%: check cycle time or counts","OK")))))</f>
        <v/>
      </c>
    </row>
    <row r="397" customFormat="false" ht="15" hidden="false" customHeight="false" outlineLevel="0" collapsed="false">
      <c r="A397" s="10"/>
      <c r="B397" s="8"/>
      <c r="C397" s="8"/>
      <c r="D397" s="8"/>
      <c r="E397" s="8"/>
      <c r="F397" s="8"/>
      <c r="G397" s="8"/>
      <c r="H397" s="8"/>
      <c r="I397" s="11" t="str">
        <f aca="false">IF($C397="","",D397-E397)</f>
        <v/>
      </c>
      <c r="J397" s="11" t="str">
        <f aca="false">IF($C397="","",I397-F397)</f>
        <v/>
      </c>
      <c r="K397" s="12" t="str">
        <f aca="false">IF($C397="","",IFERROR(INDEX(Setup!$B$5:$B$24,MATCH($C397,Setup!$A$5:$A$24,0)),""))</f>
        <v/>
      </c>
      <c r="L397" s="12" t="str">
        <f aca="false">IF(OR($C397="",K397=""),"",K397*G397/60)</f>
        <v/>
      </c>
      <c r="M397" s="11" t="str">
        <f aca="false">IF($C397="","",G397-H397)</f>
        <v/>
      </c>
      <c r="N397" s="13" t="str">
        <f aca="false">IF($C397="","",IF(I397&lt;=0,"",J397/I397))</f>
        <v/>
      </c>
      <c r="O397" s="13" t="str">
        <f aca="false">IF($C397="","",IF(OR(L397="",J397&lt;=0),"",L397/J397))</f>
        <v/>
      </c>
      <c r="P397" s="13" t="str">
        <f aca="false">IF($C397="","",IF(G397&lt;=0,"",M397/G397))</f>
        <v/>
      </c>
      <c r="Q397" s="13" t="str">
        <f aca="false">IF(OR(N397="",O397="",P397=""),"",N397*O397*P397)</f>
        <v/>
      </c>
      <c r="R397" s="14" t="str">
        <f aca="false">IF($C397="","",IF(K397="","Machine not in Setup",IF(H397&gt;G397,"Rejects &gt; total parts",IF(J397&lt;0,"Downtime &gt; planned time",IF(AND(ISNUMBER(O397),O397&gt;1.05),"Performance &gt; 100%: check cycle time or counts","OK")))))</f>
        <v/>
      </c>
    </row>
    <row r="398" customFormat="false" ht="15" hidden="false" customHeight="false" outlineLevel="0" collapsed="false">
      <c r="A398" s="10"/>
      <c r="B398" s="8"/>
      <c r="C398" s="8"/>
      <c r="D398" s="8"/>
      <c r="E398" s="8"/>
      <c r="F398" s="8"/>
      <c r="G398" s="8"/>
      <c r="H398" s="8"/>
      <c r="I398" s="11" t="str">
        <f aca="false">IF($C398="","",D398-E398)</f>
        <v/>
      </c>
      <c r="J398" s="11" t="str">
        <f aca="false">IF($C398="","",I398-F398)</f>
        <v/>
      </c>
      <c r="K398" s="12" t="str">
        <f aca="false">IF($C398="","",IFERROR(INDEX(Setup!$B$5:$B$24,MATCH($C398,Setup!$A$5:$A$24,0)),""))</f>
        <v/>
      </c>
      <c r="L398" s="12" t="str">
        <f aca="false">IF(OR($C398="",K398=""),"",K398*G398/60)</f>
        <v/>
      </c>
      <c r="M398" s="11" t="str">
        <f aca="false">IF($C398="","",G398-H398)</f>
        <v/>
      </c>
      <c r="N398" s="13" t="str">
        <f aca="false">IF($C398="","",IF(I398&lt;=0,"",J398/I398))</f>
        <v/>
      </c>
      <c r="O398" s="13" t="str">
        <f aca="false">IF($C398="","",IF(OR(L398="",J398&lt;=0),"",L398/J398))</f>
        <v/>
      </c>
      <c r="P398" s="13" t="str">
        <f aca="false">IF($C398="","",IF(G398&lt;=0,"",M398/G398))</f>
        <v/>
      </c>
      <c r="Q398" s="13" t="str">
        <f aca="false">IF(OR(N398="",O398="",P398=""),"",N398*O398*P398)</f>
        <v/>
      </c>
      <c r="R398" s="14" t="str">
        <f aca="false">IF($C398="","",IF(K398="","Machine not in Setup",IF(H398&gt;G398,"Rejects &gt; total parts",IF(J398&lt;0,"Downtime &gt; planned time",IF(AND(ISNUMBER(O398),O398&gt;1.05),"Performance &gt; 100%: check cycle time or counts","OK")))))</f>
        <v/>
      </c>
    </row>
    <row r="399" customFormat="false" ht="15" hidden="false" customHeight="false" outlineLevel="0" collapsed="false">
      <c r="A399" s="10"/>
      <c r="B399" s="8"/>
      <c r="C399" s="8"/>
      <c r="D399" s="8"/>
      <c r="E399" s="8"/>
      <c r="F399" s="8"/>
      <c r="G399" s="8"/>
      <c r="H399" s="8"/>
      <c r="I399" s="11" t="str">
        <f aca="false">IF($C399="","",D399-E399)</f>
        <v/>
      </c>
      <c r="J399" s="11" t="str">
        <f aca="false">IF($C399="","",I399-F399)</f>
        <v/>
      </c>
      <c r="K399" s="12" t="str">
        <f aca="false">IF($C399="","",IFERROR(INDEX(Setup!$B$5:$B$24,MATCH($C399,Setup!$A$5:$A$24,0)),""))</f>
        <v/>
      </c>
      <c r="L399" s="12" t="str">
        <f aca="false">IF(OR($C399="",K399=""),"",K399*G399/60)</f>
        <v/>
      </c>
      <c r="M399" s="11" t="str">
        <f aca="false">IF($C399="","",G399-H399)</f>
        <v/>
      </c>
      <c r="N399" s="13" t="str">
        <f aca="false">IF($C399="","",IF(I399&lt;=0,"",J399/I399))</f>
        <v/>
      </c>
      <c r="O399" s="13" t="str">
        <f aca="false">IF($C399="","",IF(OR(L399="",J399&lt;=0),"",L399/J399))</f>
        <v/>
      </c>
      <c r="P399" s="13" t="str">
        <f aca="false">IF($C399="","",IF(G399&lt;=0,"",M399/G399))</f>
        <v/>
      </c>
      <c r="Q399" s="13" t="str">
        <f aca="false">IF(OR(N399="",O399="",P399=""),"",N399*O399*P399)</f>
        <v/>
      </c>
      <c r="R399" s="14" t="str">
        <f aca="false">IF($C399="","",IF(K399="","Machine not in Setup",IF(H399&gt;G399,"Rejects &gt; total parts",IF(J399&lt;0,"Downtime &gt; planned time",IF(AND(ISNUMBER(O399),O399&gt;1.05),"Performance &gt; 100%: check cycle time or counts","OK")))))</f>
        <v/>
      </c>
    </row>
    <row r="400" customFormat="false" ht="15" hidden="false" customHeight="false" outlineLevel="0" collapsed="false">
      <c r="A400" s="10"/>
      <c r="B400" s="8"/>
      <c r="C400" s="8"/>
      <c r="D400" s="8"/>
      <c r="E400" s="8"/>
      <c r="F400" s="8"/>
      <c r="G400" s="8"/>
      <c r="H400" s="8"/>
      <c r="I400" s="11" t="str">
        <f aca="false">IF($C400="","",D400-E400)</f>
        <v/>
      </c>
      <c r="J400" s="11" t="str">
        <f aca="false">IF($C400="","",I400-F400)</f>
        <v/>
      </c>
      <c r="K400" s="12" t="str">
        <f aca="false">IF($C400="","",IFERROR(INDEX(Setup!$B$5:$B$24,MATCH($C400,Setup!$A$5:$A$24,0)),""))</f>
        <v/>
      </c>
      <c r="L400" s="12" t="str">
        <f aca="false">IF(OR($C400="",K400=""),"",K400*G400/60)</f>
        <v/>
      </c>
      <c r="M400" s="11" t="str">
        <f aca="false">IF($C400="","",G400-H400)</f>
        <v/>
      </c>
      <c r="N400" s="13" t="str">
        <f aca="false">IF($C400="","",IF(I400&lt;=0,"",J400/I400))</f>
        <v/>
      </c>
      <c r="O400" s="13" t="str">
        <f aca="false">IF($C400="","",IF(OR(L400="",J400&lt;=0),"",L400/J400))</f>
        <v/>
      </c>
      <c r="P400" s="13" t="str">
        <f aca="false">IF($C400="","",IF(G400&lt;=0,"",M400/G400))</f>
        <v/>
      </c>
      <c r="Q400" s="13" t="str">
        <f aca="false">IF(OR(N400="",O400="",P400=""),"",N400*O400*P400)</f>
        <v/>
      </c>
      <c r="R400" s="14" t="str">
        <f aca="false">IF($C400="","",IF(K400="","Machine not in Setup",IF(H400&gt;G400,"Rejects &gt; total parts",IF(J400&lt;0,"Downtime &gt; planned time",IF(AND(ISNUMBER(O400),O400&gt;1.05),"Performance &gt; 100%: check cycle time or counts","OK")))))</f>
        <v/>
      </c>
    </row>
    <row r="401" customFormat="false" ht="15" hidden="false" customHeight="false" outlineLevel="0" collapsed="false">
      <c r="A401" s="10"/>
      <c r="B401" s="8"/>
      <c r="C401" s="8"/>
      <c r="D401" s="8"/>
      <c r="E401" s="8"/>
      <c r="F401" s="8"/>
      <c r="G401" s="8"/>
      <c r="H401" s="8"/>
      <c r="I401" s="11" t="str">
        <f aca="false">IF($C401="","",D401-E401)</f>
        <v/>
      </c>
      <c r="J401" s="11" t="str">
        <f aca="false">IF($C401="","",I401-F401)</f>
        <v/>
      </c>
      <c r="K401" s="12" t="str">
        <f aca="false">IF($C401="","",IFERROR(INDEX(Setup!$B$5:$B$24,MATCH($C401,Setup!$A$5:$A$24,0)),""))</f>
        <v/>
      </c>
      <c r="L401" s="12" t="str">
        <f aca="false">IF(OR($C401="",K401=""),"",K401*G401/60)</f>
        <v/>
      </c>
      <c r="M401" s="11" t="str">
        <f aca="false">IF($C401="","",G401-H401)</f>
        <v/>
      </c>
      <c r="N401" s="13" t="str">
        <f aca="false">IF($C401="","",IF(I401&lt;=0,"",J401/I401))</f>
        <v/>
      </c>
      <c r="O401" s="13" t="str">
        <f aca="false">IF($C401="","",IF(OR(L401="",J401&lt;=0),"",L401/J401))</f>
        <v/>
      </c>
      <c r="P401" s="13" t="str">
        <f aca="false">IF($C401="","",IF(G401&lt;=0,"",M401/G401))</f>
        <v/>
      </c>
      <c r="Q401" s="13" t="str">
        <f aca="false">IF(OR(N401="",O401="",P401=""),"",N401*O401*P401)</f>
        <v/>
      </c>
      <c r="R401" s="14" t="str">
        <f aca="false">IF($C401="","",IF(K401="","Machine not in Setup",IF(H401&gt;G401,"Rejects &gt; total parts",IF(J401&lt;0,"Downtime &gt; planned time",IF(AND(ISNUMBER(O401),O401&gt;1.05),"Performance &gt; 100%: check cycle time or counts","OK")))))</f>
        <v/>
      </c>
    </row>
    <row r="402" customFormat="false" ht="15" hidden="false" customHeight="false" outlineLevel="0" collapsed="false">
      <c r="A402" s="10"/>
      <c r="B402" s="8"/>
      <c r="C402" s="8"/>
      <c r="D402" s="8"/>
      <c r="E402" s="8"/>
      <c r="F402" s="8"/>
      <c r="G402" s="8"/>
      <c r="H402" s="8"/>
      <c r="I402" s="11" t="str">
        <f aca="false">IF($C402="","",D402-E402)</f>
        <v/>
      </c>
      <c r="J402" s="11" t="str">
        <f aca="false">IF($C402="","",I402-F402)</f>
        <v/>
      </c>
      <c r="K402" s="12" t="str">
        <f aca="false">IF($C402="","",IFERROR(INDEX(Setup!$B$5:$B$24,MATCH($C402,Setup!$A$5:$A$24,0)),""))</f>
        <v/>
      </c>
      <c r="L402" s="12" t="str">
        <f aca="false">IF(OR($C402="",K402=""),"",K402*G402/60)</f>
        <v/>
      </c>
      <c r="M402" s="11" t="str">
        <f aca="false">IF($C402="","",G402-H402)</f>
        <v/>
      </c>
      <c r="N402" s="13" t="str">
        <f aca="false">IF($C402="","",IF(I402&lt;=0,"",J402/I402))</f>
        <v/>
      </c>
      <c r="O402" s="13" t="str">
        <f aca="false">IF($C402="","",IF(OR(L402="",J402&lt;=0),"",L402/J402))</f>
        <v/>
      </c>
      <c r="P402" s="13" t="str">
        <f aca="false">IF($C402="","",IF(G402&lt;=0,"",M402/G402))</f>
        <v/>
      </c>
      <c r="Q402" s="13" t="str">
        <f aca="false">IF(OR(N402="",O402="",P402=""),"",N402*O402*P402)</f>
        <v/>
      </c>
      <c r="R402" s="14" t="str">
        <f aca="false">IF($C402="","",IF(K402="","Machine not in Setup",IF(H402&gt;G402,"Rejects &gt; total parts",IF(J402&lt;0,"Downtime &gt; planned time",IF(AND(ISNUMBER(O402),O402&gt;1.05),"Performance &gt; 100%: check cycle time or counts","OK")))))</f>
        <v/>
      </c>
    </row>
    <row r="403" customFormat="false" ht="15" hidden="false" customHeight="false" outlineLevel="0" collapsed="false">
      <c r="A403" s="10"/>
      <c r="B403" s="8"/>
      <c r="C403" s="8"/>
      <c r="D403" s="8"/>
      <c r="E403" s="8"/>
      <c r="F403" s="8"/>
      <c r="G403" s="8"/>
      <c r="H403" s="8"/>
      <c r="I403" s="11" t="str">
        <f aca="false">IF($C403="","",D403-E403)</f>
        <v/>
      </c>
      <c r="J403" s="11" t="str">
        <f aca="false">IF($C403="","",I403-F403)</f>
        <v/>
      </c>
      <c r="K403" s="12" t="str">
        <f aca="false">IF($C403="","",IFERROR(INDEX(Setup!$B$5:$B$24,MATCH($C403,Setup!$A$5:$A$24,0)),""))</f>
        <v/>
      </c>
      <c r="L403" s="12" t="str">
        <f aca="false">IF(OR($C403="",K403=""),"",K403*G403/60)</f>
        <v/>
      </c>
      <c r="M403" s="11" t="str">
        <f aca="false">IF($C403="","",G403-H403)</f>
        <v/>
      </c>
      <c r="N403" s="13" t="str">
        <f aca="false">IF($C403="","",IF(I403&lt;=0,"",J403/I403))</f>
        <v/>
      </c>
      <c r="O403" s="13" t="str">
        <f aca="false">IF($C403="","",IF(OR(L403="",J403&lt;=0),"",L403/J403))</f>
        <v/>
      </c>
      <c r="P403" s="13" t="str">
        <f aca="false">IF($C403="","",IF(G403&lt;=0,"",M403/G403))</f>
        <v/>
      </c>
      <c r="Q403" s="13" t="str">
        <f aca="false">IF(OR(N403="",O403="",P403=""),"",N403*O403*P403)</f>
        <v/>
      </c>
      <c r="R403" s="14" t="str">
        <f aca="false">IF($C403="","",IF(K403="","Machine not in Setup",IF(H403&gt;G403,"Rejects &gt; total parts",IF(J403&lt;0,"Downtime &gt; planned time",IF(AND(ISNUMBER(O403),O403&gt;1.05),"Performance &gt; 100%: check cycle time or counts","OK")))))</f>
        <v/>
      </c>
    </row>
    <row r="404" customFormat="false" ht="15" hidden="false" customHeight="false" outlineLevel="0" collapsed="false">
      <c r="A404" s="10"/>
      <c r="B404" s="8"/>
      <c r="C404" s="8"/>
      <c r="D404" s="8"/>
      <c r="E404" s="8"/>
      <c r="F404" s="8"/>
      <c r="G404" s="8"/>
      <c r="H404" s="8"/>
      <c r="I404" s="11" t="str">
        <f aca="false">IF($C404="","",D404-E404)</f>
        <v/>
      </c>
      <c r="J404" s="11" t="str">
        <f aca="false">IF($C404="","",I404-F404)</f>
        <v/>
      </c>
      <c r="K404" s="12" t="str">
        <f aca="false">IF($C404="","",IFERROR(INDEX(Setup!$B$5:$B$24,MATCH($C404,Setup!$A$5:$A$24,0)),""))</f>
        <v/>
      </c>
      <c r="L404" s="12" t="str">
        <f aca="false">IF(OR($C404="",K404=""),"",K404*G404/60)</f>
        <v/>
      </c>
      <c r="M404" s="11" t="str">
        <f aca="false">IF($C404="","",G404-H404)</f>
        <v/>
      </c>
      <c r="N404" s="13" t="str">
        <f aca="false">IF($C404="","",IF(I404&lt;=0,"",J404/I404))</f>
        <v/>
      </c>
      <c r="O404" s="13" t="str">
        <f aca="false">IF($C404="","",IF(OR(L404="",J404&lt;=0),"",L404/J404))</f>
        <v/>
      </c>
      <c r="P404" s="13" t="str">
        <f aca="false">IF($C404="","",IF(G404&lt;=0,"",M404/G404))</f>
        <v/>
      </c>
      <c r="Q404" s="13" t="str">
        <f aca="false">IF(OR(N404="",O404="",P404=""),"",N404*O404*P404)</f>
        <v/>
      </c>
      <c r="R404" s="14" t="str">
        <f aca="false">IF($C404="","",IF(K404="","Machine not in Setup",IF(H404&gt;G404,"Rejects &gt; total parts",IF(J404&lt;0,"Downtime &gt; planned time",IF(AND(ISNUMBER(O404),O404&gt;1.05),"Performance &gt; 100%: check cycle time or counts","OK")))))</f>
        <v/>
      </c>
    </row>
    <row r="405" customFormat="false" ht="15" hidden="false" customHeight="false" outlineLevel="0" collapsed="false">
      <c r="A405" s="10"/>
      <c r="B405" s="8"/>
      <c r="C405" s="8"/>
      <c r="D405" s="8"/>
      <c r="E405" s="8"/>
      <c r="F405" s="8"/>
      <c r="G405" s="8"/>
      <c r="H405" s="8"/>
      <c r="I405" s="11" t="str">
        <f aca="false">IF($C405="","",D405-E405)</f>
        <v/>
      </c>
      <c r="J405" s="11" t="str">
        <f aca="false">IF($C405="","",I405-F405)</f>
        <v/>
      </c>
      <c r="K405" s="12" t="str">
        <f aca="false">IF($C405="","",IFERROR(INDEX(Setup!$B$5:$B$24,MATCH($C405,Setup!$A$5:$A$24,0)),""))</f>
        <v/>
      </c>
      <c r="L405" s="12" t="str">
        <f aca="false">IF(OR($C405="",K405=""),"",K405*G405/60)</f>
        <v/>
      </c>
      <c r="M405" s="11" t="str">
        <f aca="false">IF($C405="","",G405-H405)</f>
        <v/>
      </c>
      <c r="N405" s="13" t="str">
        <f aca="false">IF($C405="","",IF(I405&lt;=0,"",J405/I405))</f>
        <v/>
      </c>
      <c r="O405" s="13" t="str">
        <f aca="false">IF($C405="","",IF(OR(L405="",J405&lt;=0),"",L405/J405))</f>
        <v/>
      </c>
      <c r="P405" s="13" t="str">
        <f aca="false">IF($C405="","",IF(G405&lt;=0,"",M405/G405))</f>
        <v/>
      </c>
      <c r="Q405" s="13" t="str">
        <f aca="false">IF(OR(N405="",O405="",P405=""),"",N405*O405*P405)</f>
        <v/>
      </c>
      <c r="R405" s="14" t="str">
        <f aca="false">IF($C405="","",IF(K405="","Machine not in Setup",IF(H405&gt;G405,"Rejects &gt; total parts",IF(J405&lt;0,"Downtime &gt; planned time",IF(AND(ISNUMBER(O405),O405&gt;1.05),"Performance &gt; 100%: check cycle time or counts","OK")))))</f>
        <v/>
      </c>
    </row>
    <row r="406" customFormat="false" ht="15" hidden="false" customHeight="false" outlineLevel="0" collapsed="false">
      <c r="A406" s="10"/>
      <c r="B406" s="8"/>
      <c r="C406" s="8"/>
      <c r="D406" s="8"/>
      <c r="E406" s="8"/>
      <c r="F406" s="8"/>
      <c r="G406" s="8"/>
      <c r="H406" s="8"/>
      <c r="I406" s="11" t="str">
        <f aca="false">IF($C406="","",D406-E406)</f>
        <v/>
      </c>
      <c r="J406" s="11" t="str">
        <f aca="false">IF($C406="","",I406-F406)</f>
        <v/>
      </c>
      <c r="K406" s="12" t="str">
        <f aca="false">IF($C406="","",IFERROR(INDEX(Setup!$B$5:$B$24,MATCH($C406,Setup!$A$5:$A$24,0)),""))</f>
        <v/>
      </c>
      <c r="L406" s="12" t="str">
        <f aca="false">IF(OR($C406="",K406=""),"",K406*G406/60)</f>
        <v/>
      </c>
      <c r="M406" s="11" t="str">
        <f aca="false">IF($C406="","",G406-H406)</f>
        <v/>
      </c>
      <c r="N406" s="13" t="str">
        <f aca="false">IF($C406="","",IF(I406&lt;=0,"",J406/I406))</f>
        <v/>
      </c>
      <c r="O406" s="13" t="str">
        <f aca="false">IF($C406="","",IF(OR(L406="",J406&lt;=0),"",L406/J406))</f>
        <v/>
      </c>
      <c r="P406" s="13" t="str">
        <f aca="false">IF($C406="","",IF(G406&lt;=0,"",M406/G406))</f>
        <v/>
      </c>
      <c r="Q406" s="13" t="str">
        <f aca="false">IF(OR(N406="",O406="",P406=""),"",N406*O406*P406)</f>
        <v/>
      </c>
      <c r="R406" s="14" t="str">
        <f aca="false">IF($C406="","",IF(K406="","Machine not in Setup",IF(H406&gt;G406,"Rejects &gt; total parts",IF(J406&lt;0,"Downtime &gt; planned time",IF(AND(ISNUMBER(O406),O406&gt;1.05),"Performance &gt; 100%: check cycle time or counts","OK")))))</f>
        <v/>
      </c>
    </row>
    <row r="407" customFormat="false" ht="15" hidden="false" customHeight="false" outlineLevel="0" collapsed="false">
      <c r="A407" s="10"/>
      <c r="B407" s="8"/>
      <c r="C407" s="8"/>
      <c r="D407" s="8"/>
      <c r="E407" s="8"/>
      <c r="F407" s="8"/>
      <c r="G407" s="8"/>
      <c r="H407" s="8"/>
      <c r="I407" s="11" t="str">
        <f aca="false">IF($C407="","",D407-E407)</f>
        <v/>
      </c>
      <c r="J407" s="11" t="str">
        <f aca="false">IF($C407="","",I407-F407)</f>
        <v/>
      </c>
      <c r="K407" s="12" t="str">
        <f aca="false">IF($C407="","",IFERROR(INDEX(Setup!$B$5:$B$24,MATCH($C407,Setup!$A$5:$A$24,0)),""))</f>
        <v/>
      </c>
      <c r="L407" s="12" t="str">
        <f aca="false">IF(OR($C407="",K407=""),"",K407*G407/60)</f>
        <v/>
      </c>
      <c r="M407" s="11" t="str">
        <f aca="false">IF($C407="","",G407-H407)</f>
        <v/>
      </c>
      <c r="N407" s="13" t="str">
        <f aca="false">IF($C407="","",IF(I407&lt;=0,"",J407/I407))</f>
        <v/>
      </c>
      <c r="O407" s="13" t="str">
        <f aca="false">IF($C407="","",IF(OR(L407="",J407&lt;=0),"",L407/J407))</f>
        <v/>
      </c>
      <c r="P407" s="13" t="str">
        <f aca="false">IF($C407="","",IF(G407&lt;=0,"",M407/G407))</f>
        <v/>
      </c>
      <c r="Q407" s="13" t="str">
        <f aca="false">IF(OR(N407="",O407="",P407=""),"",N407*O407*P407)</f>
        <v/>
      </c>
      <c r="R407" s="14" t="str">
        <f aca="false">IF($C407="","",IF(K407="","Machine not in Setup",IF(H407&gt;G407,"Rejects &gt; total parts",IF(J407&lt;0,"Downtime &gt; planned time",IF(AND(ISNUMBER(O407),O407&gt;1.05),"Performance &gt; 100%: check cycle time or counts","OK")))))</f>
        <v/>
      </c>
    </row>
    <row r="408" customFormat="false" ht="15" hidden="false" customHeight="false" outlineLevel="0" collapsed="false">
      <c r="A408" s="10"/>
      <c r="B408" s="8"/>
      <c r="C408" s="8"/>
      <c r="D408" s="8"/>
      <c r="E408" s="8"/>
      <c r="F408" s="8"/>
      <c r="G408" s="8"/>
      <c r="H408" s="8"/>
      <c r="I408" s="11" t="str">
        <f aca="false">IF($C408="","",D408-E408)</f>
        <v/>
      </c>
      <c r="J408" s="11" t="str">
        <f aca="false">IF($C408="","",I408-F408)</f>
        <v/>
      </c>
      <c r="K408" s="12" t="str">
        <f aca="false">IF($C408="","",IFERROR(INDEX(Setup!$B$5:$B$24,MATCH($C408,Setup!$A$5:$A$24,0)),""))</f>
        <v/>
      </c>
      <c r="L408" s="12" t="str">
        <f aca="false">IF(OR($C408="",K408=""),"",K408*G408/60)</f>
        <v/>
      </c>
      <c r="M408" s="11" t="str">
        <f aca="false">IF($C408="","",G408-H408)</f>
        <v/>
      </c>
      <c r="N408" s="13" t="str">
        <f aca="false">IF($C408="","",IF(I408&lt;=0,"",J408/I408))</f>
        <v/>
      </c>
      <c r="O408" s="13" t="str">
        <f aca="false">IF($C408="","",IF(OR(L408="",J408&lt;=0),"",L408/J408))</f>
        <v/>
      </c>
      <c r="P408" s="13" t="str">
        <f aca="false">IF($C408="","",IF(G408&lt;=0,"",M408/G408))</f>
        <v/>
      </c>
      <c r="Q408" s="13" t="str">
        <f aca="false">IF(OR(N408="",O408="",P408=""),"",N408*O408*P408)</f>
        <v/>
      </c>
      <c r="R408" s="14" t="str">
        <f aca="false">IF($C408="","",IF(K408="","Machine not in Setup",IF(H408&gt;G408,"Rejects &gt; total parts",IF(J408&lt;0,"Downtime &gt; planned time",IF(AND(ISNUMBER(O408),O408&gt;1.05),"Performance &gt; 100%: check cycle time or counts","OK")))))</f>
        <v/>
      </c>
    </row>
    <row r="409" customFormat="false" ht="15" hidden="false" customHeight="false" outlineLevel="0" collapsed="false">
      <c r="A409" s="10"/>
      <c r="B409" s="8"/>
      <c r="C409" s="8"/>
      <c r="D409" s="8"/>
      <c r="E409" s="8"/>
      <c r="F409" s="8"/>
      <c r="G409" s="8"/>
      <c r="H409" s="8"/>
      <c r="I409" s="11" t="str">
        <f aca="false">IF($C409="","",D409-E409)</f>
        <v/>
      </c>
      <c r="J409" s="11" t="str">
        <f aca="false">IF($C409="","",I409-F409)</f>
        <v/>
      </c>
      <c r="K409" s="12" t="str">
        <f aca="false">IF($C409="","",IFERROR(INDEX(Setup!$B$5:$B$24,MATCH($C409,Setup!$A$5:$A$24,0)),""))</f>
        <v/>
      </c>
      <c r="L409" s="12" t="str">
        <f aca="false">IF(OR($C409="",K409=""),"",K409*G409/60)</f>
        <v/>
      </c>
      <c r="M409" s="11" t="str">
        <f aca="false">IF($C409="","",G409-H409)</f>
        <v/>
      </c>
      <c r="N409" s="13" t="str">
        <f aca="false">IF($C409="","",IF(I409&lt;=0,"",J409/I409))</f>
        <v/>
      </c>
      <c r="O409" s="13" t="str">
        <f aca="false">IF($C409="","",IF(OR(L409="",J409&lt;=0),"",L409/J409))</f>
        <v/>
      </c>
      <c r="P409" s="13" t="str">
        <f aca="false">IF($C409="","",IF(G409&lt;=0,"",M409/G409))</f>
        <v/>
      </c>
      <c r="Q409" s="13" t="str">
        <f aca="false">IF(OR(N409="",O409="",P409=""),"",N409*O409*P409)</f>
        <v/>
      </c>
      <c r="R409" s="14" t="str">
        <f aca="false">IF($C409="","",IF(K409="","Machine not in Setup",IF(H409&gt;G409,"Rejects &gt; total parts",IF(J409&lt;0,"Downtime &gt; planned time",IF(AND(ISNUMBER(O409),O409&gt;1.05),"Performance &gt; 100%: check cycle time or counts","OK")))))</f>
        <v/>
      </c>
    </row>
    <row r="410" customFormat="false" ht="15" hidden="false" customHeight="false" outlineLevel="0" collapsed="false">
      <c r="A410" s="10"/>
      <c r="B410" s="8"/>
      <c r="C410" s="8"/>
      <c r="D410" s="8"/>
      <c r="E410" s="8"/>
      <c r="F410" s="8"/>
      <c r="G410" s="8"/>
      <c r="H410" s="8"/>
      <c r="I410" s="11" t="str">
        <f aca="false">IF($C410="","",D410-E410)</f>
        <v/>
      </c>
      <c r="J410" s="11" t="str">
        <f aca="false">IF($C410="","",I410-F410)</f>
        <v/>
      </c>
      <c r="K410" s="12" t="str">
        <f aca="false">IF($C410="","",IFERROR(INDEX(Setup!$B$5:$B$24,MATCH($C410,Setup!$A$5:$A$24,0)),""))</f>
        <v/>
      </c>
      <c r="L410" s="12" t="str">
        <f aca="false">IF(OR($C410="",K410=""),"",K410*G410/60)</f>
        <v/>
      </c>
      <c r="M410" s="11" t="str">
        <f aca="false">IF($C410="","",G410-H410)</f>
        <v/>
      </c>
      <c r="N410" s="13" t="str">
        <f aca="false">IF($C410="","",IF(I410&lt;=0,"",J410/I410))</f>
        <v/>
      </c>
      <c r="O410" s="13" t="str">
        <f aca="false">IF($C410="","",IF(OR(L410="",J410&lt;=0),"",L410/J410))</f>
        <v/>
      </c>
      <c r="P410" s="13" t="str">
        <f aca="false">IF($C410="","",IF(G410&lt;=0,"",M410/G410))</f>
        <v/>
      </c>
      <c r="Q410" s="13" t="str">
        <f aca="false">IF(OR(N410="",O410="",P410=""),"",N410*O410*P410)</f>
        <v/>
      </c>
      <c r="R410" s="14" t="str">
        <f aca="false">IF($C410="","",IF(K410="","Machine not in Setup",IF(H410&gt;G410,"Rejects &gt; total parts",IF(J410&lt;0,"Downtime &gt; planned time",IF(AND(ISNUMBER(O410),O410&gt;1.05),"Performance &gt; 100%: check cycle time or counts","OK")))))</f>
        <v/>
      </c>
    </row>
    <row r="411" customFormat="false" ht="15" hidden="false" customHeight="false" outlineLevel="0" collapsed="false">
      <c r="A411" s="10"/>
      <c r="B411" s="8"/>
      <c r="C411" s="8"/>
      <c r="D411" s="8"/>
      <c r="E411" s="8"/>
      <c r="F411" s="8"/>
      <c r="G411" s="8"/>
      <c r="H411" s="8"/>
      <c r="I411" s="11" t="str">
        <f aca="false">IF($C411="","",D411-E411)</f>
        <v/>
      </c>
      <c r="J411" s="11" t="str">
        <f aca="false">IF($C411="","",I411-F411)</f>
        <v/>
      </c>
      <c r="K411" s="12" t="str">
        <f aca="false">IF($C411="","",IFERROR(INDEX(Setup!$B$5:$B$24,MATCH($C411,Setup!$A$5:$A$24,0)),""))</f>
        <v/>
      </c>
      <c r="L411" s="12" t="str">
        <f aca="false">IF(OR($C411="",K411=""),"",K411*G411/60)</f>
        <v/>
      </c>
      <c r="M411" s="11" t="str">
        <f aca="false">IF($C411="","",G411-H411)</f>
        <v/>
      </c>
      <c r="N411" s="13" t="str">
        <f aca="false">IF($C411="","",IF(I411&lt;=0,"",J411/I411))</f>
        <v/>
      </c>
      <c r="O411" s="13" t="str">
        <f aca="false">IF($C411="","",IF(OR(L411="",J411&lt;=0),"",L411/J411))</f>
        <v/>
      </c>
      <c r="P411" s="13" t="str">
        <f aca="false">IF($C411="","",IF(G411&lt;=0,"",M411/G411))</f>
        <v/>
      </c>
      <c r="Q411" s="13" t="str">
        <f aca="false">IF(OR(N411="",O411="",P411=""),"",N411*O411*P411)</f>
        <v/>
      </c>
      <c r="R411" s="14" t="str">
        <f aca="false">IF($C411="","",IF(K411="","Machine not in Setup",IF(H411&gt;G411,"Rejects &gt; total parts",IF(J411&lt;0,"Downtime &gt; planned time",IF(AND(ISNUMBER(O411),O411&gt;1.05),"Performance &gt; 100%: check cycle time or counts","OK")))))</f>
        <v/>
      </c>
    </row>
    <row r="412" customFormat="false" ht="15" hidden="false" customHeight="false" outlineLevel="0" collapsed="false">
      <c r="A412" s="10"/>
      <c r="B412" s="8"/>
      <c r="C412" s="8"/>
      <c r="D412" s="8"/>
      <c r="E412" s="8"/>
      <c r="F412" s="8"/>
      <c r="G412" s="8"/>
      <c r="H412" s="8"/>
      <c r="I412" s="11" t="str">
        <f aca="false">IF($C412="","",D412-E412)</f>
        <v/>
      </c>
      <c r="J412" s="11" t="str">
        <f aca="false">IF($C412="","",I412-F412)</f>
        <v/>
      </c>
      <c r="K412" s="12" t="str">
        <f aca="false">IF($C412="","",IFERROR(INDEX(Setup!$B$5:$B$24,MATCH($C412,Setup!$A$5:$A$24,0)),""))</f>
        <v/>
      </c>
      <c r="L412" s="12" t="str">
        <f aca="false">IF(OR($C412="",K412=""),"",K412*G412/60)</f>
        <v/>
      </c>
      <c r="M412" s="11" t="str">
        <f aca="false">IF($C412="","",G412-H412)</f>
        <v/>
      </c>
      <c r="N412" s="13" t="str">
        <f aca="false">IF($C412="","",IF(I412&lt;=0,"",J412/I412))</f>
        <v/>
      </c>
      <c r="O412" s="13" t="str">
        <f aca="false">IF($C412="","",IF(OR(L412="",J412&lt;=0),"",L412/J412))</f>
        <v/>
      </c>
      <c r="P412" s="13" t="str">
        <f aca="false">IF($C412="","",IF(G412&lt;=0,"",M412/G412))</f>
        <v/>
      </c>
      <c r="Q412" s="13" t="str">
        <f aca="false">IF(OR(N412="",O412="",P412=""),"",N412*O412*P412)</f>
        <v/>
      </c>
      <c r="R412" s="14" t="str">
        <f aca="false">IF($C412="","",IF(K412="","Machine not in Setup",IF(H412&gt;G412,"Rejects &gt; total parts",IF(J412&lt;0,"Downtime &gt; planned time",IF(AND(ISNUMBER(O412),O412&gt;1.05),"Performance &gt; 100%: check cycle time or counts","OK")))))</f>
        <v/>
      </c>
    </row>
    <row r="413" customFormat="false" ht="15" hidden="false" customHeight="false" outlineLevel="0" collapsed="false">
      <c r="A413" s="10"/>
      <c r="B413" s="8"/>
      <c r="C413" s="8"/>
      <c r="D413" s="8"/>
      <c r="E413" s="8"/>
      <c r="F413" s="8"/>
      <c r="G413" s="8"/>
      <c r="H413" s="8"/>
      <c r="I413" s="11" t="str">
        <f aca="false">IF($C413="","",D413-E413)</f>
        <v/>
      </c>
      <c r="J413" s="11" t="str">
        <f aca="false">IF($C413="","",I413-F413)</f>
        <v/>
      </c>
      <c r="K413" s="12" t="str">
        <f aca="false">IF($C413="","",IFERROR(INDEX(Setup!$B$5:$B$24,MATCH($C413,Setup!$A$5:$A$24,0)),""))</f>
        <v/>
      </c>
      <c r="L413" s="12" t="str">
        <f aca="false">IF(OR($C413="",K413=""),"",K413*G413/60)</f>
        <v/>
      </c>
      <c r="M413" s="11" t="str">
        <f aca="false">IF($C413="","",G413-H413)</f>
        <v/>
      </c>
      <c r="N413" s="13" t="str">
        <f aca="false">IF($C413="","",IF(I413&lt;=0,"",J413/I413))</f>
        <v/>
      </c>
      <c r="O413" s="13" t="str">
        <f aca="false">IF($C413="","",IF(OR(L413="",J413&lt;=0),"",L413/J413))</f>
        <v/>
      </c>
      <c r="P413" s="13" t="str">
        <f aca="false">IF($C413="","",IF(G413&lt;=0,"",M413/G413))</f>
        <v/>
      </c>
      <c r="Q413" s="13" t="str">
        <f aca="false">IF(OR(N413="",O413="",P413=""),"",N413*O413*P413)</f>
        <v/>
      </c>
      <c r="R413" s="14" t="str">
        <f aca="false">IF($C413="","",IF(K413="","Machine not in Setup",IF(H413&gt;G413,"Rejects &gt; total parts",IF(J413&lt;0,"Downtime &gt; planned time",IF(AND(ISNUMBER(O413),O413&gt;1.05),"Performance &gt; 100%: check cycle time or counts","OK")))))</f>
        <v/>
      </c>
    </row>
    <row r="414" customFormat="false" ht="15" hidden="false" customHeight="false" outlineLevel="0" collapsed="false">
      <c r="A414" s="10"/>
      <c r="B414" s="8"/>
      <c r="C414" s="8"/>
      <c r="D414" s="8"/>
      <c r="E414" s="8"/>
      <c r="F414" s="8"/>
      <c r="G414" s="8"/>
      <c r="H414" s="8"/>
      <c r="I414" s="11" t="str">
        <f aca="false">IF($C414="","",D414-E414)</f>
        <v/>
      </c>
      <c r="J414" s="11" t="str">
        <f aca="false">IF($C414="","",I414-F414)</f>
        <v/>
      </c>
      <c r="K414" s="12" t="str">
        <f aca="false">IF($C414="","",IFERROR(INDEX(Setup!$B$5:$B$24,MATCH($C414,Setup!$A$5:$A$24,0)),""))</f>
        <v/>
      </c>
      <c r="L414" s="12" t="str">
        <f aca="false">IF(OR($C414="",K414=""),"",K414*G414/60)</f>
        <v/>
      </c>
      <c r="M414" s="11" t="str">
        <f aca="false">IF($C414="","",G414-H414)</f>
        <v/>
      </c>
      <c r="N414" s="13" t="str">
        <f aca="false">IF($C414="","",IF(I414&lt;=0,"",J414/I414))</f>
        <v/>
      </c>
      <c r="O414" s="13" t="str">
        <f aca="false">IF($C414="","",IF(OR(L414="",J414&lt;=0),"",L414/J414))</f>
        <v/>
      </c>
      <c r="P414" s="13" t="str">
        <f aca="false">IF($C414="","",IF(G414&lt;=0,"",M414/G414))</f>
        <v/>
      </c>
      <c r="Q414" s="13" t="str">
        <f aca="false">IF(OR(N414="",O414="",P414=""),"",N414*O414*P414)</f>
        <v/>
      </c>
      <c r="R414" s="14" t="str">
        <f aca="false">IF($C414="","",IF(K414="","Machine not in Setup",IF(H414&gt;G414,"Rejects &gt; total parts",IF(J414&lt;0,"Downtime &gt; planned time",IF(AND(ISNUMBER(O414),O414&gt;1.05),"Performance &gt; 100%: check cycle time or counts","OK")))))</f>
        <v/>
      </c>
    </row>
    <row r="415" customFormat="false" ht="15" hidden="false" customHeight="false" outlineLevel="0" collapsed="false">
      <c r="A415" s="10"/>
      <c r="B415" s="8"/>
      <c r="C415" s="8"/>
      <c r="D415" s="8"/>
      <c r="E415" s="8"/>
      <c r="F415" s="8"/>
      <c r="G415" s="8"/>
      <c r="H415" s="8"/>
      <c r="I415" s="11" t="str">
        <f aca="false">IF($C415="","",D415-E415)</f>
        <v/>
      </c>
      <c r="J415" s="11" t="str">
        <f aca="false">IF($C415="","",I415-F415)</f>
        <v/>
      </c>
      <c r="K415" s="12" t="str">
        <f aca="false">IF($C415="","",IFERROR(INDEX(Setup!$B$5:$B$24,MATCH($C415,Setup!$A$5:$A$24,0)),""))</f>
        <v/>
      </c>
      <c r="L415" s="12" t="str">
        <f aca="false">IF(OR($C415="",K415=""),"",K415*G415/60)</f>
        <v/>
      </c>
      <c r="M415" s="11" t="str">
        <f aca="false">IF($C415="","",G415-H415)</f>
        <v/>
      </c>
      <c r="N415" s="13" t="str">
        <f aca="false">IF($C415="","",IF(I415&lt;=0,"",J415/I415))</f>
        <v/>
      </c>
      <c r="O415" s="13" t="str">
        <f aca="false">IF($C415="","",IF(OR(L415="",J415&lt;=0),"",L415/J415))</f>
        <v/>
      </c>
      <c r="P415" s="13" t="str">
        <f aca="false">IF($C415="","",IF(G415&lt;=0,"",M415/G415))</f>
        <v/>
      </c>
      <c r="Q415" s="13" t="str">
        <f aca="false">IF(OR(N415="",O415="",P415=""),"",N415*O415*P415)</f>
        <v/>
      </c>
      <c r="R415" s="14" t="str">
        <f aca="false">IF($C415="","",IF(K415="","Machine not in Setup",IF(H415&gt;G415,"Rejects &gt; total parts",IF(J415&lt;0,"Downtime &gt; planned time",IF(AND(ISNUMBER(O415),O415&gt;1.05),"Performance &gt; 100%: check cycle time or counts","OK")))))</f>
        <v/>
      </c>
    </row>
    <row r="416" customFormat="false" ht="15" hidden="false" customHeight="false" outlineLevel="0" collapsed="false">
      <c r="A416" s="10"/>
      <c r="B416" s="8"/>
      <c r="C416" s="8"/>
      <c r="D416" s="8"/>
      <c r="E416" s="8"/>
      <c r="F416" s="8"/>
      <c r="G416" s="8"/>
      <c r="H416" s="8"/>
      <c r="I416" s="11" t="str">
        <f aca="false">IF($C416="","",D416-E416)</f>
        <v/>
      </c>
      <c r="J416" s="11" t="str">
        <f aca="false">IF($C416="","",I416-F416)</f>
        <v/>
      </c>
      <c r="K416" s="12" t="str">
        <f aca="false">IF($C416="","",IFERROR(INDEX(Setup!$B$5:$B$24,MATCH($C416,Setup!$A$5:$A$24,0)),""))</f>
        <v/>
      </c>
      <c r="L416" s="12" t="str">
        <f aca="false">IF(OR($C416="",K416=""),"",K416*G416/60)</f>
        <v/>
      </c>
      <c r="M416" s="11" t="str">
        <f aca="false">IF($C416="","",G416-H416)</f>
        <v/>
      </c>
      <c r="N416" s="13" t="str">
        <f aca="false">IF($C416="","",IF(I416&lt;=0,"",J416/I416))</f>
        <v/>
      </c>
      <c r="O416" s="13" t="str">
        <f aca="false">IF($C416="","",IF(OR(L416="",J416&lt;=0),"",L416/J416))</f>
        <v/>
      </c>
      <c r="P416" s="13" t="str">
        <f aca="false">IF($C416="","",IF(G416&lt;=0,"",M416/G416))</f>
        <v/>
      </c>
      <c r="Q416" s="13" t="str">
        <f aca="false">IF(OR(N416="",O416="",P416=""),"",N416*O416*P416)</f>
        <v/>
      </c>
      <c r="R416" s="14" t="str">
        <f aca="false">IF($C416="","",IF(K416="","Machine not in Setup",IF(H416&gt;G416,"Rejects &gt; total parts",IF(J416&lt;0,"Downtime &gt; planned time",IF(AND(ISNUMBER(O416),O416&gt;1.05),"Performance &gt; 100%: check cycle time or counts","OK")))))</f>
        <v/>
      </c>
    </row>
    <row r="417" customFormat="false" ht="15" hidden="false" customHeight="false" outlineLevel="0" collapsed="false">
      <c r="A417" s="10"/>
      <c r="B417" s="8"/>
      <c r="C417" s="8"/>
      <c r="D417" s="8"/>
      <c r="E417" s="8"/>
      <c r="F417" s="8"/>
      <c r="G417" s="8"/>
      <c r="H417" s="8"/>
      <c r="I417" s="11" t="str">
        <f aca="false">IF($C417="","",D417-E417)</f>
        <v/>
      </c>
      <c r="J417" s="11" t="str">
        <f aca="false">IF($C417="","",I417-F417)</f>
        <v/>
      </c>
      <c r="K417" s="12" t="str">
        <f aca="false">IF($C417="","",IFERROR(INDEX(Setup!$B$5:$B$24,MATCH($C417,Setup!$A$5:$A$24,0)),""))</f>
        <v/>
      </c>
      <c r="L417" s="12" t="str">
        <f aca="false">IF(OR($C417="",K417=""),"",K417*G417/60)</f>
        <v/>
      </c>
      <c r="M417" s="11" t="str">
        <f aca="false">IF($C417="","",G417-H417)</f>
        <v/>
      </c>
      <c r="N417" s="13" t="str">
        <f aca="false">IF($C417="","",IF(I417&lt;=0,"",J417/I417))</f>
        <v/>
      </c>
      <c r="O417" s="13" t="str">
        <f aca="false">IF($C417="","",IF(OR(L417="",J417&lt;=0),"",L417/J417))</f>
        <v/>
      </c>
      <c r="P417" s="13" t="str">
        <f aca="false">IF($C417="","",IF(G417&lt;=0,"",M417/G417))</f>
        <v/>
      </c>
      <c r="Q417" s="13" t="str">
        <f aca="false">IF(OR(N417="",O417="",P417=""),"",N417*O417*P417)</f>
        <v/>
      </c>
      <c r="R417" s="14" t="str">
        <f aca="false">IF($C417="","",IF(K417="","Machine not in Setup",IF(H417&gt;G417,"Rejects &gt; total parts",IF(J417&lt;0,"Downtime &gt; planned time",IF(AND(ISNUMBER(O417),O417&gt;1.05),"Performance &gt; 100%: check cycle time or counts","OK")))))</f>
        <v/>
      </c>
    </row>
    <row r="418" customFormat="false" ht="15" hidden="false" customHeight="false" outlineLevel="0" collapsed="false">
      <c r="A418" s="10"/>
      <c r="B418" s="8"/>
      <c r="C418" s="8"/>
      <c r="D418" s="8"/>
      <c r="E418" s="8"/>
      <c r="F418" s="8"/>
      <c r="G418" s="8"/>
      <c r="H418" s="8"/>
      <c r="I418" s="11" t="str">
        <f aca="false">IF($C418="","",D418-E418)</f>
        <v/>
      </c>
      <c r="J418" s="11" t="str">
        <f aca="false">IF($C418="","",I418-F418)</f>
        <v/>
      </c>
      <c r="K418" s="12" t="str">
        <f aca="false">IF($C418="","",IFERROR(INDEX(Setup!$B$5:$B$24,MATCH($C418,Setup!$A$5:$A$24,0)),""))</f>
        <v/>
      </c>
      <c r="L418" s="12" t="str">
        <f aca="false">IF(OR($C418="",K418=""),"",K418*G418/60)</f>
        <v/>
      </c>
      <c r="M418" s="11" t="str">
        <f aca="false">IF($C418="","",G418-H418)</f>
        <v/>
      </c>
      <c r="N418" s="13" t="str">
        <f aca="false">IF($C418="","",IF(I418&lt;=0,"",J418/I418))</f>
        <v/>
      </c>
      <c r="O418" s="13" t="str">
        <f aca="false">IF($C418="","",IF(OR(L418="",J418&lt;=0),"",L418/J418))</f>
        <v/>
      </c>
      <c r="P418" s="13" t="str">
        <f aca="false">IF($C418="","",IF(G418&lt;=0,"",M418/G418))</f>
        <v/>
      </c>
      <c r="Q418" s="13" t="str">
        <f aca="false">IF(OR(N418="",O418="",P418=""),"",N418*O418*P418)</f>
        <v/>
      </c>
      <c r="R418" s="14" t="str">
        <f aca="false">IF($C418="","",IF(K418="","Machine not in Setup",IF(H418&gt;G418,"Rejects &gt; total parts",IF(J418&lt;0,"Downtime &gt; planned time",IF(AND(ISNUMBER(O418),O418&gt;1.05),"Performance &gt; 100%: check cycle time or counts","OK")))))</f>
        <v/>
      </c>
    </row>
    <row r="419" customFormat="false" ht="15" hidden="false" customHeight="false" outlineLevel="0" collapsed="false">
      <c r="A419" s="10"/>
      <c r="B419" s="8"/>
      <c r="C419" s="8"/>
      <c r="D419" s="8"/>
      <c r="E419" s="8"/>
      <c r="F419" s="8"/>
      <c r="G419" s="8"/>
      <c r="H419" s="8"/>
      <c r="I419" s="11" t="str">
        <f aca="false">IF($C419="","",D419-E419)</f>
        <v/>
      </c>
      <c r="J419" s="11" t="str">
        <f aca="false">IF($C419="","",I419-F419)</f>
        <v/>
      </c>
      <c r="K419" s="12" t="str">
        <f aca="false">IF($C419="","",IFERROR(INDEX(Setup!$B$5:$B$24,MATCH($C419,Setup!$A$5:$A$24,0)),""))</f>
        <v/>
      </c>
      <c r="L419" s="12" t="str">
        <f aca="false">IF(OR($C419="",K419=""),"",K419*G419/60)</f>
        <v/>
      </c>
      <c r="M419" s="11" t="str">
        <f aca="false">IF($C419="","",G419-H419)</f>
        <v/>
      </c>
      <c r="N419" s="13" t="str">
        <f aca="false">IF($C419="","",IF(I419&lt;=0,"",J419/I419))</f>
        <v/>
      </c>
      <c r="O419" s="13" t="str">
        <f aca="false">IF($C419="","",IF(OR(L419="",J419&lt;=0),"",L419/J419))</f>
        <v/>
      </c>
      <c r="P419" s="13" t="str">
        <f aca="false">IF($C419="","",IF(G419&lt;=0,"",M419/G419))</f>
        <v/>
      </c>
      <c r="Q419" s="13" t="str">
        <f aca="false">IF(OR(N419="",O419="",P419=""),"",N419*O419*P419)</f>
        <v/>
      </c>
      <c r="R419" s="14" t="str">
        <f aca="false">IF($C419="","",IF(K419="","Machine not in Setup",IF(H419&gt;G419,"Rejects &gt; total parts",IF(J419&lt;0,"Downtime &gt; planned time",IF(AND(ISNUMBER(O419),O419&gt;1.05),"Performance &gt; 100%: check cycle time or counts","OK")))))</f>
        <v/>
      </c>
    </row>
    <row r="420" customFormat="false" ht="15" hidden="false" customHeight="false" outlineLevel="0" collapsed="false">
      <c r="A420" s="10"/>
      <c r="B420" s="8"/>
      <c r="C420" s="8"/>
      <c r="D420" s="8"/>
      <c r="E420" s="8"/>
      <c r="F420" s="8"/>
      <c r="G420" s="8"/>
      <c r="H420" s="8"/>
      <c r="I420" s="11" t="str">
        <f aca="false">IF($C420="","",D420-E420)</f>
        <v/>
      </c>
      <c r="J420" s="11" t="str">
        <f aca="false">IF($C420="","",I420-F420)</f>
        <v/>
      </c>
      <c r="K420" s="12" t="str">
        <f aca="false">IF($C420="","",IFERROR(INDEX(Setup!$B$5:$B$24,MATCH($C420,Setup!$A$5:$A$24,0)),""))</f>
        <v/>
      </c>
      <c r="L420" s="12" t="str">
        <f aca="false">IF(OR($C420="",K420=""),"",K420*G420/60)</f>
        <v/>
      </c>
      <c r="M420" s="11" t="str">
        <f aca="false">IF($C420="","",G420-H420)</f>
        <v/>
      </c>
      <c r="N420" s="13" t="str">
        <f aca="false">IF($C420="","",IF(I420&lt;=0,"",J420/I420))</f>
        <v/>
      </c>
      <c r="O420" s="13" t="str">
        <f aca="false">IF($C420="","",IF(OR(L420="",J420&lt;=0),"",L420/J420))</f>
        <v/>
      </c>
      <c r="P420" s="13" t="str">
        <f aca="false">IF($C420="","",IF(G420&lt;=0,"",M420/G420))</f>
        <v/>
      </c>
      <c r="Q420" s="13" t="str">
        <f aca="false">IF(OR(N420="",O420="",P420=""),"",N420*O420*P420)</f>
        <v/>
      </c>
      <c r="R420" s="14" t="str">
        <f aca="false">IF($C420="","",IF(K420="","Machine not in Setup",IF(H420&gt;G420,"Rejects &gt; total parts",IF(J420&lt;0,"Downtime &gt; planned time",IF(AND(ISNUMBER(O420),O420&gt;1.05),"Performance &gt; 100%: check cycle time or counts","OK")))))</f>
        <v/>
      </c>
    </row>
    <row r="421" customFormat="false" ht="15" hidden="false" customHeight="false" outlineLevel="0" collapsed="false">
      <c r="A421" s="10"/>
      <c r="B421" s="8"/>
      <c r="C421" s="8"/>
      <c r="D421" s="8"/>
      <c r="E421" s="8"/>
      <c r="F421" s="8"/>
      <c r="G421" s="8"/>
      <c r="H421" s="8"/>
      <c r="I421" s="11" t="str">
        <f aca="false">IF($C421="","",D421-E421)</f>
        <v/>
      </c>
      <c r="J421" s="11" t="str">
        <f aca="false">IF($C421="","",I421-F421)</f>
        <v/>
      </c>
      <c r="K421" s="12" t="str">
        <f aca="false">IF($C421="","",IFERROR(INDEX(Setup!$B$5:$B$24,MATCH($C421,Setup!$A$5:$A$24,0)),""))</f>
        <v/>
      </c>
      <c r="L421" s="12" t="str">
        <f aca="false">IF(OR($C421="",K421=""),"",K421*G421/60)</f>
        <v/>
      </c>
      <c r="M421" s="11" t="str">
        <f aca="false">IF($C421="","",G421-H421)</f>
        <v/>
      </c>
      <c r="N421" s="13" t="str">
        <f aca="false">IF($C421="","",IF(I421&lt;=0,"",J421/I421))</f>
        <v/>
      </c>
      <c r="O421" s="13" t="str">
        <f aca="false">IF($C421="","",IF(OR(L421="",J421&lt;=0),"",L421/J421))</f>
        <v/>
      </c>
      <c r="P421" s="13" t="str">
        <f aca="false">IF($C421="","",IF(G421&lt;=0,"",M421/G421))</f>
        <v/>
      </c>
      <c r="Q421" s="13" t="str">
        <f aca="false">IF(OR(N421="",O421="",P421=""),"",N421*O421*P421)</f>
        <v/>
      </c>
      <c r="R421" s="14" t="str">
        <f aca="false">IF($C421="","",IF(K421="","Machine not in Setup",IF(H421&gt;G421,"Rejects &gt; total parts",IF(J421&lt;0,"Downtime &gt; planned time",IF(AND(ISNUMBER(O421),O421&gt;1.05),"Performance &gt; 100%: check cycle time or counts","OK")))))</f>
        <v/>
      </c>
    </row>
    <row r="422" customFormat="false" ht="15" hidden="false" customHeight="false" outlineLevel="0" collapsed="false">
      <c r="A422" s="10"/>
      <c r="B422" s="8"/>
      <c r="C422" s="8"/>
      <c r="D422" s="8"/>
      <c r="E422" s="8"/>
      <c r="F422" s="8"/>
      <c r="G422" s="8"/>
      <c r="H422" s="8"/>
      <c r="I422" s="11" t="str">
        <f aca="false">IF($C422="","",D422-E422)</f>
        <v/>
      </c>
      <c r="J422" s="11" t="str">
        <f aca="false">IF($C422="","",I422-F422)</f>
        <v/>
      </c>
      <c r="K422" s="12" t="str">
        <f aca="false">IF($C422="","",IFERROR(INDEX(Setup!$B$5:$B$24,MATCH($C422,Setup!$A$5:$A$24,0)),""))</f>
        <v/>
      </c>
      <c r="L422" s="12" t="str">
        <f aca="false">IF(OR($C422="",K422=""),"",K422*G422/60)</f>
        <v/>
      </c>
      <c r="M422" s="11" t="str">
        <f aca="false">IF($C422="","",G422-H422)</f>
        <v/>
      </c>
      <c r="N422" s="13" t="str">
        <f aca="false">IF($C422="","",IF(I422&lt;=0,"",J422/I422))</f>
        <v/>
      </c>
      <c r="O422" s="13" t="str">
        <f aca="false">IF($C422="","",IF(OR(L422="",J422&lt;=0),"",L422/J422))</f>
        <v/>
      </c>
      <c r="P422" s="13" t="str">
        <f aca="false">IF($C422="","",IF(G422&lt;=0,"",M422/G422))</f>
        <v/>
      </c>
      <c r="Q422" s="13" t="str">
        <f aca="false">IF(OR(N422="",O422="",P422=""),"",N422*O422*P422)</f>
        <v/>
      </c>
      <c r="R422" s="14" t="str">
        <f aca="false">IF($C422="","",IF(K422="","Machine not in Setup",IF(H422&gt;G422,"Rejects &gt; total parts",IF(J422&lt;0,"Downtime &gt; planned time",IF(AND(ISNUMBER(O422),O422&gt;1.05),"Performance &gt; 100%: check cycle time or counts","OK")))))</f>
        <v/>
      </c>
    </row>
    <row r="423" customFormat="false" ht="15" hidden="false" customHeight="false" outlineLevel="0" collapsed="false">
      <c r="A423" s="10"/>
      <c r="B423" s="8"/>
      <c r="C423" s="8"/>
      <c r="D423" s="8"/>
      <c r="E423" s="8"/>
      <c r="F423" s="8"/>
      <c r="G423" s="8"/>
      <c r="H423" s="8"/>
      <c r="I423" s="11" t="str">
        <f aca="false">IF($C423="","",D423-E423)</f>
        <v/>
      </c>
      <c r="J423" s="11" t="str">
        <f aca="false">IF($C423="","",I423-F423)</f>
        <v/>
      </c>
      <c r="K423" s="12" t="str">
        <f aca="false">IF($C423="","",IFERROR(INDEX(Setup!$B$5:$B$24,MATCH($C423,Setup!$A$5:$A$24,0)),""))</f>
        <v/>
      </c>
      <c r="L423" s="12" t="str">
        <f aca="false">IF(OR($C423="",K423=""),"",K423*G423/60)</f>
        <v/>
      </c>
      <c r="M423" s="11" t="str">
        <f aca="false">IF($C423="","",G423-H423)</f>
        <v/>
      </c>
      <c r="N423" s="13" t="str">
        <f aca="false">IF($C423="","",IF(I423&lt;=0,"",J423/I423))</f>
        <v/>
      </c>
      <c r="O423" s="13" t="str">
        <f aca="false">IF($C423="","",IF(OR(L423="",J423&lt;=0),"",L423/J423))</f>
        <v/>
      </c>
      <c r="P423" s="13" t="str">
        <f aca="false">IF($C423="","",IF(G423&lt;=0,"",M423/G423))</f>
        <v/>
      </c>
      <c r="Q423" s="13" t="str">
        <f aca="false">IF(OR(N423="",O423="",P423=""),"",N423*O423*P423)</f>
        <v/>
      </c>
      <c r="R423" s="14" t="str">
        <f aca="false">IF($C423="","",IF(K423="","Machine not in Setup",IF(H423&gt;G423,"Rejects &gt; total parts",IF(J423&lt;0,"Downtime &gt; planned time",IF(AND(ISNUMBER(O423),O423&gt;1.05),"Performance &gt; 100%: check cycle time or counts","OK")))))</f>
        <v/>
      </c>
    </row>
    <row r="424" customFormat="false" ht="15" hidden="false" customHeight="false" outlineLevel="0" collapsed="false">
      <c r="A424" s="10"/>
      <c r="B424" s="8"/>
      <c r="C424" s="8"/>
      <c r="D424" s="8"/>
      <c r="E424" s="8"/>
      <c r="F424" s="8"/>
      <c r="G424" s="8"/>
      <c r="H424" s="8"/>
      <c r="I424" s="11" t="str">
        <f aca="false">IF($C424="","",D424-E424)</f>
        <v/>
      </c>
      <c r="J424" s="11" t="str">
        <f aca="false">IF($C424="","",I424-F424)</f>
        <v/>
      </c>
      <c r="K424" s="12" t="str">
        <f aca="false">IF($C424="","",IFERROR(INDEX(Setup!$B$5:$B$24,MATCH($C424,Setup!$A$5:$A$24,0)),""))</f>
        <v/>
      </c>
      <c r="L424" s="12" t="str">
        <f aca="false">IF(OR($C424="",K424=""),"",K424*G424/60)</f>
        <v/>
      </c>
      <c r="M424" s="11" t="str">
        <f aca="false">IF($C424="","",G424-H424)</f>
        <v/>
      </c>
      <c r="N424" s="13" t="str">
        <f aca="false">IF($C424="","",IF(I424&lt;=0,"",J424/I424))</f>
        <v/>
      </c>
      <c r="O424" s="13" t="str">
        <f aca="false">IF($C424="","",IF(OR(L424="",J424&lt;=0),"",L424/J424))</f>
        <v/>
      </c>
      <c r="P424" s="13" t="str">
        <f aca="false">IF($C424="","",IF(G424&lt;=0,"",M424/G424))</f>
        <v/>
      </c>
      <c r="Q424" s="13" t="str">
        <f aca="false">IF(OR(N424="",O424="",P424=""),"",N424*O424*P424)</f>
        <v/>
      </c>
      <c r="R424" s="14" t="str">
        <f aca="false">IF($C424="","",IF(K424="","Machine not in Setup",IF(H424&gt;G424,"Rejects &gt; total parts",IF(J424&lt;0,"Downtime &gt; planned time",IF(AND(ISNUMBER(O424),O424&gt;1.05),"Performance &gt; 100%: check cycle time or counts","OK")))))</f>
        <v/>
      </c>
    </row>
    <row r="425" customFormat="false" ht="15" hidden="false" customHeight="false" outlineLevel="0" collapsed="false">
      <c r="A425" s="10"/>
      <c r="B425" s="8"/>
      <c r="C425" s="8"/>
      <c r="D425" s="8"/>
      <c r="E425" s="8"/>
      <c r="F425" s="8"/>
      <c r="G425" s="8"/>
      <c r="H425" s="8"/>
      <c r="I425" s="11" t="str">
        <f aca="false">IF($C425="","",D425-E425)</f>
        <v/>
      </c>
      <c r="J425" s="11" t="str">
        <f aca="false">IF($C425="","",I425-F425)</f>
        <v/>
      </c>
      <c r="K425" s="12" t="str">
        <f aca="false">IF($C425="","",IFERROR(INDEX(Setup!$B$5:$B$24,MATCH($C425,Setup!$A$5:$A$24,0)),""))</f>
        <v/>
      </c>
      <c r="L425" s="12" t="str">
        <f aca="false">IF(OR($C425="",K425=""),"",K425*G425/60)</f>
        <v/>
      </c>
      <c r="M425" s="11" t="str">
        <f aca="false">IF($C425="","",G425-H425)</f>
        <v/>
      </c>
      <c r="N425" s="13" t="str">
        <f aca="false">IF($C425="","",IF(I425&lt;=0,"",J425/I425))</f>
        <v/>
      </c>
      <c r="O425" s="13" t="str">
        <f aca="false">IF($C425="","",IF(OR(L425="",J425&lt;=0),"",L425/J425))</f>
        <v/>
      </c>
      <c r="P425" s="13" t="str">
        <f aca="false">IF($C425="","",IF(G425&lt;=0,"",M425/G425))</f>
        <v/>
      </c>
      <c r="Q425" s="13" t="str">
        <f aca="false">IF(OR(N425="",O425="",P425=""),"",N425*O425*P425)</f>
        <v/>
      </c>
      <c r="R425" s="14" t="str">
        <f aca="false">IF($C425="","",IF(K425="","Machine not in Setup",IF(H425&gt;G425,"Rejects &gt; total parts",IF(J425&lt;0,"Downtime &gt; planned time",IF(AND(ISNUMBER(O425),O425&gt;1.05),"Performance &gt; 100%: check cycle time or counts","OK")))))</f>
        <v/>
      </c>
    </row>
    <row r="426" customFormat="false" ht="15" hidden="false" customHeight="false" outlineLevel="0" collapsed="false">
      <c r="A426" s="10"/>
      <c r="B426" s="8"/>
      <c r="C426" s="8"/>
      <c r="D426" s="8"/>
      <c r="E426" s="8"/>
      <c r="F426" s="8"/>
      <c r="G426" s="8"/>
      <c r="H426" s="8"/>
      <c r="I426" s="11" t="str">
        <f aca="false">IF($C426="","",D426-E426)</f>
        <v/>
      </c>
      <c r="J426" s="11" t="str">
        <f aca="false">IF($C426="","",I426-F426)</f>
        <v/>
      </c>
      <c r="K426" s="12" t="str">
        <f aca="false">IF($C426="","",IFERROR(INDEX(Setup!$B$5:$B$24,MATCH($C426,Setup!$A$5:$A$24,0)),""))</f>
        <v/>
      </c>
      <c r="L426" s="12" t="str">
        <f aca="false">IF(OR($C426="",K426=""),"",K426*G426/60)</f>
        <v/>
      </c>
      <c r="M426" s="11" t="str">
        <f aca="false">IF($C426="","",G426-H426)</f>
        <v/>
      </c>
      <c r="N426" s="13" t="str">
        <f aca="false">IF($C426="","",IF(I426&lt;=0,"",J426/I426))</f>
        <v/>
      </c>
      <c r="O426" s="13" t="str">
        <f aca="false">IF($C426="","",IF(OR(L426="",J426&lt;=0),"",L426/J426))</f>
        <v/>
      </c>
      <c r="P426" s="13" t="str">
        <f aca="false">IF($C426="","",IF(G426&lt;=0,"",M426/G426))</f>
        <v/>
      </c>
      <c r="Q426" s="13" t="str">
        <f aca="false">IF(OR(N426="",O426="",P426=""),"",N426*O426*P426)</f>
        <v/>
      </c>
      <c r="R426" s="14" t="str">
        <f aca="false">IF($C426="","",IF(K426="","Machine not in Setup",IF(H426&gt;G426,"Rejects &gt; total parts",IF(J426&lt;0,"Downtime &gt; planned time",IF(AND(ISNUMBER(O426),O426&gt;1.05),"Performance &gt; 100%: check cycle time or counts","OK")))))</f>
        <v/>
      </c>
    </row>
    <row r="427" customFormat="false" ht="15" hidden="false" customHeight="false" outlineLevel="0" collapsed="false">
      <c r="A427" s="10"/>
      <c r="B427" s="8"/>
      <c r="C427" s="8"/>
      <c r="D427" s="8"/>
      <c r="E427" s="8"/>
      <c r="F427" s="8"/>
      <c r="G427" s="8"/>
      <c r="H427" s="8"/>
      <c r="I427" s="11" t="str">
        <f aca="false">IF($C427="","",D427-E427)</f>
        <v/>
      </c>
      <c r="J427" s="11" t="str">
        <f aca="false">IF($C427="","",I427-F427)</f>
        <v/>
      </c>
      <c r="K427" s="12" t="str">
        <f aca="false">IF($C427="","",IFERROR(INDEX(Setup!$B$5:$B$24,MATCH($C427,Setup!$A$5:$A$24,0)),""))</f>
        <v/>
      </c>
      <c r="L427" s="12" t="str">
        <f aca="false">IF(OR($C427="",K427=""),"",K427*G427/60)</f>
        <v/>
      </c>
      <c r="M427" s="11" t="str">
        <f aca="false">IF($C427="","",G427-H427)</f>
        <v/>
      </c>
      <c r="N427" s="13" t="str">
        <f aca="false">IF($C427="","",IF(I427&lt;=0,"",J427/I427))</f>
        <v/>
      </c>
      <c r="O427" s="13" t="str">
        <f aca="false">IF($C427="","",IF(OR(L427="",J427&lt;=0),"",L427/J427))</f>
        <v/>
      </c>
      <c r="P427" s="13" t="str">
        <f aca="false">IF($C427="","",IF(G427&lt;=0,"",M427/G427))</f>
        <v/>
      </c>
      <c r="Q427" s="13" t="str">
        <f aca="false">IF(OR(N427="",O427="",P427=""),"",N427*O427*P427)</f>
        <v/>
      </c>
      <c r="R427" s="14" t="str">
        <f aca="false">IF($C427="","",IF(K427="","Machine not in Setup",IF(H427&gt;G427,"Rejects &gt; total parts",IF(J427&lt;0,"Downtime &gt; planned time",IF(AND(ISNUMBER(O427),O427&gt;1.05),"Performance &gt; 100%: check cycle time or counts","OK")))))</f>
        <v/>
      </c>
    </row>
    <row r="428" customFormat="false" ht="15" hidden="false" customHeight="false" outlineLevel="0" collapsed="false">
      <c r="A428" s="10"/>
      <c r="B428" s="8"/>
      <c r="C428" s="8"/>
      <c r="D428" s="8"/>
      <c r="E428" s="8"/>
      <c r="F428" s="8"/>
      <c r="G428" s="8"/>
      <c r="H428" s="8"/>
      <c r="I428" s="11" t="str">
        <f aca="false">IF($C428="","",D428-E428)</f>
        <v/>
      </c>
      <c r="J428" s="11" t="str">
        <f aca="false">IF($C428="","",I428-F428)</f>
        <v/>
      </c>
      <c r="K428" s="12" t="str">
        <f aca="false">IF($C428="","",IFERROR(INDEX(Setup!$B$5:$B$24,MATCH($C428,Setup!$A$5:$A$24,0)),""))</f>
        <v/>
      </c>
      <c r="L428" s="12" t="str">
        <f aca="false">IF(OR($C428="",K428=""),"",K428*G428/60)</f>
        <v/>
      </c>
      <c r="M428" s="11" t="str">
        <f aca="false">IF($C428="","",G428-H428)</f>
        <v/>
      </c>
      <c r="N428" s="13" t="str">
        <f aca="false">IF($C428="","",IF(I428&lt;=0,"",J428/I428))</f>
        <v/>
      </c>
      <c r="O428" s="13" t="str">
        <f aca="false">IF($C428="","",IF(OR(L428="",J428&lt;=0),"",L428/J428))</f>
        <v/>
      </c>
      <c r="P428" s="13" t="str">
        <f aca="false">IF($C428="","",IF(G428&lt;=0,"",M428/G428))</f>
        <v/>
      </c>
      <c r="Q428" s="13" t="str">
        <f aca="false">IF(OR(N428="",O428="",P428=""),"",N428*O428*P428)</f>
        <v/>
      </c>
      <c r="R428" s="14" t="str">
        <f aca="false">IF($C428="","",IF(K428="","Machine not in Setup",IF(H428&gt;G428,"Rejects &gt; total parts",IF(J428&lt;0,"Downtime &gt; planned time",IF(AND(ISNUMBER(O428),O428&gt;1.05),"Performance &gt; 100%: check cycle time or counts","OK")))))</f>
        <v/>
      </c>
    </row>
    <row r="429" customFormat="false" ht="15" hidden="false" customHeight="false" outlineLevel="0" collapsed="false">
      <c r="A429" s="10"/>
      <c r="B429" s="8"/>
      <c r="C429" s="8"/>
      <c r="D429" s="8"/>
      <c r="E429" s="8"/>
      <c r="F429" s="8"/>
      <c r="G429" s="8"/>
      <c r="H429" s="8"/>
      <c r="I429" s="11" t="str">
        <f aca="false">IF($C429="","",D429-E429)</f>
        <v/>
      </c>
      <c r="J429" s="11" t="str">
        <f aca="false">IF($C429="","",I429-F429)</f>
        <v/>
      </c>
      <c r="K429" s="12" t="str">
        <f aca="false">IF($C429="","",IFERROR(INDEX(Setup!$B$5:$B$24,MATCH($C429,Setup!$A$5:$A$24,0)),""))</f>
        <v/>
      </c>
      <c r="L429" s="12" t="str">
        <f aca="false">IF(OR($C429="",K429=""),"",K429*G429/60)</f>
        <v/>
      </c>
      <c r="M429" s="11" t="str">
        <f aca="false">IF($C429="","",G429-H429)</f>
        <v/>
      </c>
      <c r="N429" s="13" t="str">
        <f aca="false">IF($C429="","",IF(I429&lt;=0,"",J429/I429))</f>
        <v/>
      </c>
      <c r="O429" s="13" t="str">
        <f aca="false">IF($C429="","",IF(OR(L429="",J429&lt;=0),"",L429/J429))</f>
        <v/>
      </c>
      <c r="P429" s="13" t="str">
        <f aca="false">IF($C429="","",IF(G429&lt;=0,"",M429/G429))</f>
        <v/>
      </c>
      <c r="Q429" s="13" t="str">
        <f aca="false">IF(OR(N429="",O429="",P429=""),"",N429*O429*P429)</f>
        <v/>
      </c>
      <c r="R429" s="14" t="str">
        <f aca="false">IF($C429="","",IF(K429="","Machine not in Setup",IF(H429&gt;G429,"Rejects &gt; total parts",IF(J429&lt;0,"Downtime &gt; planned time",IF(AND(ISNUMBER(O429),O429&gt;1.05),"Performance &gt; 100%: check cycle time or counts","OK")))))</f>
        <v/>
      </c>
    </row>
    <row r="430" customFormat="false" ht="15" hidden="false" customHeight="false" outlineLevel="0" collapsed="false">
      <c r="A430" s="10"/>
      <c r="B430" s="8"/>
      <c r="C430" s="8"/>
      <c r="D430" s="8"/>
      <c r="E430" s="8"/>
      <c r="F430" s="8"/>
      <c r="G430" s="8"/>
      <c r="H430" s="8"/>
      <c r="I430" s="11" t="str">
        <f aca="false">IF($C430="","",D430-E430)</f>
        <v/>
      </c>
      <c r="J430" s="11" t="str">
        <f aca="false">IF($C430="","",I430-F430)</f>
        <v/>
      </c>
      <c r="K430" s="12" t="str">
        <f aca="false">IF($C430="","",IFERROR(INDEX(Setup!$B$5:$B$24,MATCH($C430,Setup!$A$5:$A$24,0)),""))</f>
        <v/>
      </c>
      <c r="L430" s="12" t="str">
        <f aca="false">IF(OR($C430="",K430=""),"",K430*G430/60)</f>
        <v/>
      </c>
      <c r="M430" s="11" t="str">
        <f aca="false">IF($C430="","",G430-H430)</f>
        <v/>
      </c>
      <c r="N430" s="13" t="str">
        <f aca="false">IF($C430="","",IF(I430&lt;=0,"",J430/I430))</f>
        <v/>
      </c>
      <c r="O430" s="13" t="str">
        <f aca="false">IF($C430="","",IF(OR(L430="",J430&lt;=0),"",L430/J430))</f>
        <v/>
      </c>
      <c r="P430" s="13" t="str">
        <f aca="false">IF($C430="","",IF(G430&lt;=0,"",M430/G430))</f>
        <v/>
      </c>
      <c r="Q430" s="13" t="str">
        <f aca="false">IF(OR(N430="",O430="",P430=""),"",N430*O430*P430)</f>
        <v/>
      </c>
      <c r="R430" s="14" t="str">
        <f aca="false">IF($C430="","",IF(K430="","Machine not in Setup",IF(H430&gt;G430,"Rejects &gt; total parts",IF(J430&lt;0,"Downtime &gt; planned time",IF(AND(ISNUMBER(O430),O430&gt;1.05),"Performance &gt; 100%: check cycle time or counts","OK")))))</f>
        <v/>
      </c>
    </row>
    <row r="431" customFormat="false" ht="15" hidden="false" customHeight="false" outlineLevel="0" collapsed="false">
      <c r="A431" s="10"/>
      <c r="B431" s="8"/>
      <c r="C431" s="8"/>
      <c r="D431" s="8"/>
      <c r="E431" s="8"/>
      <c r="F431" s="8"/>
      <c r="G431" s="8"/>
      <c r="H431" s="8"/>
      <c r="I431" s="11" t="str">
        <f aca="false">IF($C431="","",D431-E431)</f>
        <v/>
      </c>
      <c r="J431" s="11" t="str">
        <f aca="false">IF($C431="","",I431-F431)</f>
        <v/>
      </c>
      <c r="K431" s="12" t="str">
        <f aca="false">IF($C431="","",IFERROR(INDEX(Setup!$B$5:$B$24,MATCH($C431,Setup!$A$5:$A$24,0)),""))</f>
        <v/>
      </c>
      <c r="L431" s="12" t="str">
        <f aca="false">IF(OR($C431="",K431=""),"",K431*G431/60)</f>
        <v/>
      </c>
      <c r="M431" s="11" t="str">
        <f aca="false">IF($C431="","",G431-H431)</f>
        <v/>
      </c>
      <c r="N431" s="13" t="str">
        <f aca="false">IF($C431="","",IF(I431&lt;=0,"",J431/I431))</f>
        <v/>
      </c>
      <c r="O431" s="13" t="str">
        <f aca="false">IF($C431="","",IF(OR(L431="",J431&lt;=0),"",L431/J431))</f>
        <v/>
      </c>
      <c r="P431" s="13" t="str">
        <f aca="false">IF($C431="","",IF(G431&lt;=0,"",M431/G431))</f>
        <v/>
      </c>
      <c r="Q431" s="13" t="str">
        <f aca="false">IF(OR(N431="",O431="",P431=""),"",N431*O431*P431)</f>
        <v/>
      </c>
      <c r="R431" s="14" t="str">
        <f aca="false">IF($C431="","",IF(K431="","Machine not in Setup",IF(H431&gt;G431,"Rejects &gt; total parts",IF(J431&lt;0,"Downtime &gt; planned time",IF(AND(ISNUMBER(O431),O431&gt;1.05),"Performance &gt; 100%: check cycle time or counts","OK")))))</f>
        <v/>
      </c>
    </row>
    <row r="432" customFormat="false" ht="15" hidden="false" customHeight="false" outlineLevel="0" collapsed="false">
      <c r="A432" s="10"/>
      <c r="B432" s="8"/>
      <c r="C432" s="8"/>
      <c r="D432" s="8"/>
      <c r="E432" s="8"/>
      <c r="F432" s="8"/>
      <c r="G432" s="8"/>
      <c r="H432" s="8"/>
      <c r="I432" s="11" t="str">
        <f aca="false">IF($C432="","",D432-E432)</f>
        <v/>
      </c>
      <c r="J432" s="11" t="str">
        <f aca="false">IF($C432="","",I432-F432)</f>
        <v/>
      </c>
      <c r="K432" s="12" t="str">
        <f aca="false">IF($C432="","",IFERROR(INDEX(Setup!$B$5:$B$24,MATCH($C432,Setup!$A$5:$A$24,0)),""))</f>
        <v/>
      </c>
      <c r="L432" s="12" t="str">
        <f aca="false">IF(OR($C432="",K432=""),"",K432*G432/60)</f>
        <v/>
      </c>
      <c r="M432" s="11" t="str">
        <f aca="false">IF($C432="","",G432-H432)</f>
        <v/>
      </c>
      <c r="N432" s="13" t="str">
        <f aca="false">IF($C432="","",IF(I432&lt;=0,"",J432/I432))</f>
        <v/>
      </c>
      <c r="O432" s="13" t="str">
        <f aca="false">IF($C432="","",IF(OR(L432="",J432&lt;=0),"",L432/J432))</f>
        <v/>
      </c>
      <c r="P432" s="13" t="str">
        <f aca="false">IF($C432="","",IF(G432&lt;=0,"",M432/G432))</f>
        <v/>
      </c>
      <c r="Q432" s="13" t="str">
        <f aca="false">IF(OR(N432="",O432="",P432=""),"",N432*O432*P432)</f>
        <v/>
      </c>
      <c r="R432" s="14" t="str">
        <f aca="false">IF($C432="","",IF(K432="","Machine not in Setup",IF(H432&gt;G432,"Rejects &gt; total parts",IF(J432&lt;0,"Downtime &gt; planned time",IF(AND(ISNUMBER(O432),O432&gt;1.05),"Performance &gt; 100%: check cycle time or counts","OK")))))</f>
        <v/>
      </c>
    </row>
    <row r="433" customFormat="false" ht="15" hidden="false" customHeight="false" outlineLevel="0" collapsed="false">
      <c r="A433" s="10"/>
      <c r="B433" s="8"/>
      <c r="C433" s="8"/>
      <c r="D433" s="8"/>
      <c r="E433" s="8"/>
      <c r="F433" s="8"/>
      <c r="G433" s="8"/>
      <c r="H433" s="8"/>
      <c r="I433" s="11" t="str">
        <f aca="false">IF($C433="","",D433-E433)</f>
        <v/>
      </c>
      <c r="J433" s="11" t="str">
        <f aca="false">IF($C433="","",I433-F433)</f>
        <v/>
      </c>
      <c r="K433" s="12" t="str">
        <f aca="false">IF($C433="","",IFERROR(INDEX(Setup!$B$5:$B$24,MATCH($C433,Setup!$A$5:$A$24,0)),""))</f>
        <v/>
      </c>
      <c r="L433" s="12" t="str">
        <f aca="false">IF(OR($C433="",K433=""),"",K433*G433/60)</f>
        <v/>
      </c>
      <c r="M433" s="11" t="str">
        <f aca="false">IF($C433="","",G433-H433)</f>
        <v/>
      </c>
      <c r="N433" s="13" t="str">
        <f aca="false">IF($C433="","",IF(I433&lt;=0,"",J433/I433))</f>
        <v/>
      </c>
      <c r="O433" s="13" t="str">
        <f aca="false">IF($C433="","",IF(OR(L433="",J433&lt;=0),"",L433/J433))</f>
        <v/>
      </c>
      <c r="P433" s="13" t="str">
        <f aca="false">IF($C433="","",IF(G433&lt;=0,"",M433/G433))</f>
        <v/>
      </c>
      <c r="Q433" s="13" t="str">
        <f aca="false">IF(OR(N433="",O433="",P433=""),"",N433*O433*P433)</f>
        <v/>
      </c>
      <c r="R433" s="14" t="str">
        <f aca="false">IF($C433="","",IF(K433="","Machine not in Setup",IF(H433&gt;G433,"Rejects &gt; total parts",IF(J433&lt;0,"Downtime &gt; planned time",IF(AND(ISNUMBER(O433),O433&gt;1.05),"Performance &gt; 100%: check cycle time or counts","OK")))))</f>
        <v/>
      </c>
    </row>
    <row r="434" customFormat="false" ht="15" hidden="false" customHeight="false" outlineLevel="0" collapsed="false">
      <c r="A434" s="10"/>
      <c r="B434" s="8"/>
      <c r="C434" s="8"/>
      <c r="D434" s="8"/>
      <c r="E434" s="8"/>
      <c r="F434" s="8"/>
      <c r="G434" s="8"/>
      <c r="H434" s="8"/>
      <c r="I434" s="11" t="str">
        <f aca="false">IF($C434="","",D434-E434)</f>
        <v/>
      </c>
      <c r="J434" s="11" t="str">
        <f aca="false">IF($C434="","",I434-F434)</f>
        <v/>
      </c>
      <c r="K434" s="12" t="str">
        <f aca="false">IF($C434="","",IFERROR(INDEX(Setup!$B$5:$B$24,MATCH($C434,Setup!$A$5:$A$24,0)),""))</f>
        <v/>
      </c>
      <c r="L434" s="12" t="str">
        <f aca="false">IF(OR($C434="",K434=""),"",K434*G434/60)</f>
        <v/>
      </c>
      <c r="M434" s="11" t="str">
        <f aca="false">IF($C434="","",G434-H434)</f>
        <v/>
      </c>
      <c r="N434" s="13" t="str">
        <f aca="false">IF($C434="","",IF(I434&lt;=0,"",J434/I434))</f>
        <v/>
      </c>
      <c r="O434" s="13" t="str">
        <f aca="false">IF($C434="","",IF(OR(L434="",J434&lt;=0),"",L434/J434))</f>
        <v/>
      </c>
      <c r="P434" s="13" t="str">
        <f aca="false">IF($C434="","",IF(G434&lt;=0,"",M434/G434))</f>
        <v/>
      </c>
      <c r="Q434" s="13" t="str">
        <f aca="false">IF(OR(N434="",O434="",P434=""),"",N434*O434*P434)</f>
        <v/>
      </c>
      <c r="R434" s="14" t="str">
        <f aca="false">IF($C434="","",IF(K434="","Machine not in Setup",IF(H434&gt;G434,"Rejects &gt; total parts",IF(J434&lt;0,"Downtime &gt; planned time",IF(AND(ISNUMBER(O434),O434&gt;1.05),"Performance &gt; 100%: check cycle time or counts","OK")))))</f>
        <v/>
      </c>
    </row>
    <row r="435" customFormat="false" ht="15" hidden="false" customHeight="false" outlineLevel="0" collapsed="false">
      <c r="A435" s="10"/>
      <c r="B435" s="8"/>
      <c r="C435" s="8"/>
      <c r="D435" s="8"/>
      <c r="E435" s="8"/>
      <c r="F435" s="8"/>
      <c r="G435" s="8"/>
      <c r="H435" s="8"/>
      <c r="I435" s="11" t="str">
        <f aca="false">IF($C435="","",D435-E435)</f>
        <v/>
      </c>
      <c r="J435" s="11" t="str">
        <f aca="false">IF($C435="","",I435-F435)</f>
        <v/>
      </c>
      <c r="K435" s="12" t="str">
        <f aca="false">IF($C435="","",IFERROR(INDEX(Setup!$B$5:$B$24,MATCH($C435,Setup!$A$5:$A$24,0)),""))</f>
        <v/>
      </c>
      <c r="L435" s="12" t="str">
        <f aca="false">IF(OR($C435="",K435=""),"",K435*G435/60)</f>
        <v/>
      </c>
      <c r="M435" s="11" t="str">
        <f aca="false">IF($C435="","",G435-H435)</f>
        <v/>
      </c>
      <c r="N435" s="13" t="str">
        <f aca="false">IF($C435="","",IF(I435&lt;=0,"",J435/I435))</f>
        <v/>
      </c>
      <c r="O435" s="13" t="str">
        <f aca="false">IF($C435="","",IF(OR(L435="",J435&lt;=0),"",L435/J435))</f>
        <v/>
      </c>
      <c r="P435" s="13" t="str">
        <f aca="false">IF($C435="","",IF(G435&lt;=0,"",M435/G435))</f>
        <v/>
      </c>
      <c r="Q435" s="13" t="str">
        <f aca="false">IF(OR(N435="",O435="",P435=""),"",N435*O435*P435)</f>
        <v/>
      </c>
      <c r="R435" s="14" t="str">
        <f aca="false">IF($C435="","",IF(K435="","Machine not in Setup",IF(H435&gt;G435,"Rejects &gt; total parts",IF(J435&lt;0,"Downtime &gt; planned time",IF(AND(ISNUMBER(O435),O435&gt;1.05),"Performance &gt; 100%: check cycle time or counts","OK")))))</f>
        <v/>
      </c>
    </row>
    <row r="436" customFormat="false" ht="15" hidden="false" customHeight="false" outlineLevel="0" collapsed="false">
      <c r="A436" s="10"/>
      <c r="B436" s="8"/>
      <c r="C436" s="8"/>
      <c r="D436" s="8"/>
      <c r="E436" s="8"/>
      <c r="F436" s="8"/>
      <c r="G436" s="8"/>
      <c r="H436" s="8"/>
      <c r="I436" s="11" t="str">
        <f aca="false">IF($C436="","",D436-E436)</f>
        <v/>
      </c>
      <c r="J436" s="11" t="str">
        <f aca="false">IF($C436="","",I436-F436)</f>
        <v/>
      </c>
      <c r="K436" s="12" t="str">
        <f aca="false">IF($C436="","",IFERROR(INDEX(Setup!$B$5:$B$24,MATCH($C436,Setup!$A$5:$A$24,0)),""))</f>
        <v/>
      </c>
      <c r="L436" s="12" t="str">
        <f aca="false">IF(OR($C436="",K436=""),"",K436*G436/60)</f>
        <v/>
      </c>
      <c r="M436" s="11" t="str">
        <f aca="false">IF($C436="","",G436-H436)</f>
        <v/>
      </c>
      <c r="N436" s="13" t="str">
        <f aca="false">IF($C436="","",IF(I436&lt;=0,"",J436/I436))</f>
        <v/>
      </c>
      <c r="O436" s="13" t="str">
        <f aca="false">IF($C436="","",IF(OR(L436="",J436&lt;=0),"",L436/J436))</f>
        <v/>
      </c>
      <c r="P436" s="13" t="str">
        <f aca="false">IF($C436="","",IF(G436&lt;=0,"",M436/G436))</f>
        <v/>
      </c>
      <c r="Q436" s="13" t="str">
        <f aca="false">IF(OR(N436="",O436="",P436=""),"",N436*O436*P436)</f>
        <v/>
      </c>
      <c r="R436" s="14" t="str">
        <f aca="false">IF($C436="","",IF(K436="","Machine not in Setup",IF(H436&gt;G436,"Rejects &gt; total parts",IF(J436&lt;0,"Downtime &gt; planned time",IF(AND(ISNUMBER(O436),O436&gt;1.05),"Performance &gt; 100%: check cycle time or counts","OK")))))</f>
        <v/>
      </c>
    </row>
    <row r="437" customFormat="false" ht="15" hidden="false" customHeight="false" outlineLevel="0" collapsed="false">
      <c r="A437" s="10"/>
      <c r="B437" s="8"/>
      <c r="C437" s="8"/>
      <c r="D437" s="8"/>
      <c r="E437" s="8"/>
      <c r="F437" s="8"/>
      <c r="G437" s="8"/>
      <c r="H437" s="8"/>
      <c r="I437" s="11" t="str">
        <f aca="false">IF($C437="","",D437-E437)</f>
        <v/>
      </c>
      <c r="J437" s="11" t="str">
        <f aca="false">IF($C437="","",I437-F437)</f>
        <v/>
      </c>
      <c r="K437" s="12" t="str">
        <f aca="false">IF($C437="","",IFERROR(INDEX(Setup!$B$5:$B$24,MATCH($C437,Setup!$A$5:$A$24,0)),""))</f>
        <v/>
      </c>
      <c r="L437" s="12" t="str">
        <f aca="false">IF(OR($C437="",K437=""),"",K437*G437/60)</f>
        <v/>
      </c>
      <c r="M437" s="11" t="str">
        <f aca="false">IF($C437="","",G437-H437)</f>
        <v/>
      </c>
      <c r="N437" s="13" t="str">
        <f aca="false">IF($C437="","",IF(I437&lt;=0,"",J437/I437))</f>
        <v/>
      </c>
      <c r="O437" s="13" t="str">
        <f aca="false">IF($C437="","",IF(OR(L437="",J437&lt;=0),"",L437/J437))</f>
        <v/>
      </c>
      <c r="P437" s="13" t="str">
        <f aca="false">IF($C437="","",IF(G437&lt;=0,"",M437/G437))</f>
        <v/>
      </c>
      <c r="Q437" s="13" t="str">
        <f aca="false">IF(OR(N437="",O437="",P437=""),"",N437*O437*P437)</f>
        <v/>
      </c>
      <c r="R437" s="14" t="str">
        <f aca="false">IF($C437="","",IF(K437="","Machine not in Setup",IF(H437&gt;G437,"Rejects &gt; total parts",IF(J437&lt;0,"Downtime &gt; planned time",IF(AND(ISNUMBER(O437),O437&gt;1.05),"Performance &gt; 100%: check cycle time or counts","OK")))))</f>
        <v/>
      </c>
    </row>
    <row r="438" customFormat="false" ht="15" hidden="false" customHeight="false" outlineLevel="0" collapsed="false">
      <c r="A438" s="10"/>
      <c r="B438" s="8"/>
      <c r="C438" s="8"/>
      <c r="D438" s="8"/>
      <c r="E438" s="8"/>
      <c r="F438" s="8"/>
      <c r="G438" s="8"/>
      <c r="H438" s="8"/>
      <c r="I438" s="11" t="str">
        <f aca="false">IF($C438="","",D438-E438)</f>
        <v/>
      </c>
      <c r="J438" s="11" t="str">
        <f aca="false">IF($C438="","",I438-F438)</f>
        <v/>
      </c>
      <c r="K438" s="12" t="str">
        <f aca="false">IF($C438="","",IFERROR(INDEX(Setup!$B$5:$B$24,MATCH($C438,Setup!$A$5:$A$24,0)),""))</f>
        <v/>
      </c>
      <c r="L438" s="12" t="str">
        <f aca="false">IF(OR($C438="",K438=""),"",K438*G438/60)</f>
        <v/>
      </c>
      <c r="M438" s="11" t="str">
        <f aca="false">IF($C438="","",G438-H438)</f>
        <v/>
      </c>
      <c r="N438" s="13" t="str">
        <f aca="false">IF($C438="","",IF(I438&lt;=0,"",J438/I438))</f>
        <v/>
      </c>
      <c r="O438" s="13" t="str">
        <f aca="false">IF($C438="","",IF(OR(L438="",J438&lt;=0),"",L438/J438))</f>
        <v/>
      </c>
      <c r="P438" s="13" t="str">
        <f aca="false">IF($C438="","",IF(G438&lt;=0,"",M438/G438))</f>
        <v/>
      </c>
      <c r="Q438" s="13" t="str">
        <f aca="false">IF(OR(N438="",O438="",P438=""),"",N438*O438*P438)</f>
        <v/>
      </c>
      <c r="R438" s="14" t="str">
        <f aca="false">IF($C438="","",IF(K438="","Machine not in Setup",IF(H438&gt;G438,"Rejects &gt; total parts",IF(J438&lt;0,"Downtime &gt; planned time",IF(AND(ISNUMBER(O438),O438&gt;1.05),"Performance &gt; 100%: check cycle time or counts","OK")))))</f>
        <v/>
      </c>
    </row>
    <row r="439" customFormat="false" ht="15" hidden="false" customHeight="false" outlineLevel="0" collapsed="false">
      <c r="A439" s="10"/>
      <c r="B439" s="8"/>
      <c r="C439" s="8"/>
      <c r="D439" s="8"/>
      <c r="E439" s="8"/>
      <c r="F439" s="8"/>
      <c r="G439" s="8"/>
      <c r="H439" s="8"/>
      <c r="I439" s="11" t="str">
        <f aca="false">IF($C439="","",D439-E439)</f>
        <v/>
      </c>
      <c r="J439" s="11" t="str">
        <f aca="false">IF($C439="","",I439-F439)</f>
        <v/>
      </c>
      <c r="K439" s="12" t="str">
        <f aca="false">IF($C439="","",IFERROR(INDEX(Setup!$B$5:$B$24,MATCH($C439,Setup!$A$5:$A$24,0)),""))</f>
        <v/>
      </c>
      <c r="L439" s="12" t="str">
        <f aca="false">IF(OR($C439="",K439=""),"",K439*G439/60)</f>
        <v/>
      </c>
      <c r="M439" s="11" t="str">
        <f aca="false">IF($C439="","",G439-H439)</f>
        <v/>
      </c>
      <c r="N439" s="13" t="str">
        <f aca="false">IF($C439="","",IF(I439&lt;=0,"",J439/I439))</f>
        <v/>
      </c>
      <c r="O439" s="13" t="str">
        <f aca="false">IF($C439="","",IF(OR(L439="",J439&lt;=0),"",L439/J439))</f>
        <v/>
      </c>
      <c r="P439" s="13" t="str">
        <f aca="false">IF($C439="","",IF(G439&lt;=0,"",M439/G439))</f>
        <v/>
      </c>
      <c r="Q439" s="13" t="str">
        <f aca="false">IF(OR(N439="",O439="",P439=""),"",N439*O439*P439)</f>
        <v/>
      </c>
      <c r="R439" s="14" t="str">
        <f aca="false">IF($C439="","",IF(K439="","Machine not in Setup",IF(H439&gt;G439,"Rejects &gt; total parts",IF(J439&lt;0,"Downtime &gt; planned time",IF(AND(ISNUMBER(O439),O439&gt;1.05),"Performance &gt; 100%: check cycle time or counts","OK")))))</f>
        <v/>
      </c>
    </row>
    <row r="440" customFormat="false" ht="15" hidden="false" customHeight="false" outlineLevel="0" collapsed="false">
      <c r="A440" s="10"/>
      <c r="B440" s="8"/>
      <c r="C440" s="8"/>
      <c r="D440" s="8"/>
      <c r="E440" s="8"/>
      <c r="F440" s="8"/>
      <c r="G440" s="8"/>
      <c r="H440" s="8"/>
      <c r="I440" s="11" t="str">
        <f aca="false">IF($C440="","",D440-E440)</f>
        <v/>
      </c>
      <c r="J440" s="11" t="str">
        <f aca="false">IF($C440="","",I440-F440)</f>
        <v/>
      </c>
      <c r="K440" s="12" t="str">
        <f aca="false">IF($C440="","",IFERROR(INDEX(Setup!$B$5:$B$24,MATCH($C440,Setup!$A$5:$A$24,0)),""))</f>
        <v/>
      </c>
      <c r="L440" s="12" t="str">
        <f aca="false">IF(OR($C440="",K440=""),"",K440*G440/60)</f>
        <v/>
      </c>
      <c r="M440" s="11" t="str">
        <f aca="false">IF($C440="","",G440-H440)</f>
        <v/>
      </c>
      <c r="N440" s="13" t="str">
        <f aca="false">IF($C440="","",IF(I440&lt;=0,"",J440/I440))</f>
        <v/>
      </c>
      <c r="O440" s="13" t="str">
        <f aca="false">IF($C440="","",IF(OR(L440="",J440&lt;=0),"",L440/J440))</f>
        <v/>
      </c>
      <c r="P440" s="13" t="str">
        <f aca="false">IF($C440="","",IF(G440&lt;=0,"",M440/G440))</f>
        <v/>
      </c>
      <c r="Q440" s="13" t="str">
        <f aca="false">IF(OR(N440="",O440="",P440=""),"",N440*O440*P440)</f>
        <v/>
      </c>
      <c r="R440" s="14" t="str">
        <f aca="false">IF($C440="","",IF(K440="","Machine not in Setup",IF(H440&gt;G440,"Rejects &gt; total parts",IF(J440&lt;0,"Downtime &gt; planned time",IF(AND(ISNUMBER(O440),O440&gt;1.05),"Performance &gt; 100%: check cycle time or counts","OK")))))</f>
        <v/>
      </c>
    </row>
    <row r="441" customFormat="false" ht="15" hidden="false" customHeight="false" outlineLevel="0" collapsed="false">
      <c r="A441" s="10"/>
      <c r="B441" s="8"/>
      <c r="C441" s="8"/>
      <c r="D441" s="8"/>
      <c r="E441" s="8"/>
      <c r="F441" s="8"/>
      <c r="G441" s="8"/>
      <c r="H441" s="8"/>
      <c r="I441" s="11" t="str">
        <f aca="false">IF($C441="","",D441-E441)</f>
        <v/>
      </c>
      <c r="J441" s="11" t="str">
        <f aca="false">IF($C441="","",I441-F441)</f>
        <v/>
      </c>
      <c r="K441" s="12" t="str">
        <f aca="false">IF($C441="","",IFERROR(INDEX(Setup!$B$5:$B$24,MATCH($C441,Setup!$A$5:$A$24,0)),""))</f>
        <v/>
      </c>
      <c r="L441" s="12" t="str">
        <f aca="false">IF(OR($C441="",K441=""),"",K441*G441/60)</f>
        <v/>
      </c>
      <c r="M441" s="11" t="str">
        <f aca="false">IF($C441="","",G441-H441)</f>
        <v/>
      </c>
      <c r="N441" s="13" t="str">
        <f aca="false">IF($C441="","",IF(I441&lt;=0,"",J441/I441))</f>
        <v/>
      </c>
      <c r="O441" s="13" t="str">
        <f aca="false">IF($C441="","",IF(OR(L441="",J441&lt;=0),"",L441/J441))</f>
        <v/>
      </c>
      <c r="P441" s="13" t="str">
        <f aca="false">IF($C441="","",IF(G441&lt;=0,"",M441/G441))</f>
        <v/>
      </c>
      <c r="Q441" s="13" t="str">
        <f aca="false">IF(OR(N441="",O441="",P441=""),"",N441*O441*P441)</f>
        <v/>
      </c>
      <c r="R441" s="14" t="str">
        <f aca="false">IF($C441="","",IF(K441="","Machine not in Setup",IF(H441&gt;G441,"Rejects &gt; total parts",IF(J441&lt;0,"Downtime &gt; planned time",IF(AND(ISNUMBER(O441),O441&gt;1.05),"Performance &gt; 100%: check cycle time or counts","OK")))))</f>
        <v/>
      </c>
    </row>
    <row r="442" customFormat="false" ht="15" hidden="false" customHeight="false" outlineLevel="0" collapsed="false">
      <c r="A442" s="10"/>
      <c r="B442" s="8"/>
      <c r="C442" s="8"/>
      <c r="D442" s="8"/>
      <c r="E442" s="8"/>
      <c r="F442" s="8"/>
      <c r="G442" s="8"/>
      <c r="H442" s="8"/>
      <c r="I442" s="11" t="str">
        <f aca="false">IF($C442="","",D442-E442)</f>
        <v/>
      </c>
      <c r="J442" s="11" t="str">
        <f aca="false">IF($C442="","",I442-F442)</f>
        <v/>
      </c>
      <c r="K442" s="12" t="str">
        <f aca="false">IF($C442="","",IFERROR(INDEX(Setup!$B$5:$B$24,MATCH($C442,Setup!$A$5:$A$24,0)),""))</f>
        <v/>
      </c>
      <c r="L442" s="12" t="str">
        <f aca="false">IF(OR($C442="",K442=""),"",K442*G442/60)</f>
        <v/>
      </c>
      <c r="M442" s="11" t="str">
        <f aca="false">IF($C442="","",G442-H442)</f>
        <v/>
      </c>
      <c r="N442" s="13" t="str">
        <f aca="false">IF($C442="","",IF(I442&lt;=0,"",J442/I442))</f>
        <v/>
      </c>
      <c r="O442" s="13" t="str">
        <f aca="false">IF($C442="","",IF(OR(L442="",J442&lt;=0),"",L442/J442))</f>
        <v/>
      </c>
      <c r="P442" s="13" t="str">
        <f aca="false">IF($C442="","",IF(G442&lt;=0,"",M442/G442))</f>
        <v/>
      </c>
      <c r="Q442" s="13" t="str">
        <f aca="false">IF(OR(N442="",O442="",P442=""),"",N442*O442*P442)</f>
        <v/>
      </c>
      <c r="R442" s="14" t="str">
        <f aca="false">IF($C442="","",IF(K442="","Machine not in Setup",IF(H442&gt;G442,"Rejects &gt; total parts",IF(J442&lt;0,"Downtime &gt; planned time",IF(AND(ISNUMBER(O442),O442&gt;1.05),"Performance &gt; 100%: check cycle time or counts","OK")))))</f>
        <v/>
      </c>
    </row>
    <row r="443" customFormat="false" ht="15" hidden="false" customHeight="false" outlineLevel="0" collapsed="false">
      <c r="A443" s="10"/>
      <c r="B443" s="8"/>
      <c r="C443" s="8"/>
      <c r="D443" s="8"/>
      <c r="E443" s="8"/>
      <c r="F443" s="8"/>
      <c r="G443" s="8"/>
      <c r="H443" s="8"/>
      <c r="I443" s="11" t="str">
        <f aca="false">IF($C443="","",D443-E443)</f>
        <v/>
      </c>
      <c r="J443" s="11" t="str">
        <f aca="false">IF($C443="","",I443-F443)</f>
        <v/>
      </c>
      <c r="K443" s="12" t="str">
        <f aca="false">IF($C443="","",IFERROR(INDEX(Setup!$B$5:$B$24,MATCH($C443,Setup!$A$5:$A$24,0)),""))</f>
        <v/>
      </c>
      <c r="L443" s="12" t="str">
        <f aca="false">IF(OR($C443="",K443=""),"",K443*G443/60)</f>
        <v/>
      </c>
      <c r="M443" s="11" t="str">
        <f aca="false">IF($C443="","",G443-H443)</f>
        <v/>
      </c>
      <c r="N443" s="13" t="str">
        <f aca="false">IF($C443="","",IF(I443&lt;=0,"",J443/I443))</f>
        <v/>
      </c>
      <c r="O443" s="13" t="str">
        <f aca="false">IF($C443="","",IF(OR(L443="",J443&lt;=0),"",L443/J443))</f>
        <v/>
      </c>
      <c r="P443" s="13" t="str">
        <f aca="false">IF($C443="","",IF(G443&lt;=0,"",M443/G443))</f>
        <v/>
      </c>
      <c r="Q443" s="13" t="str">
        <f aca="false">IF(OR(N443="",O443="",P443=""),"",N443*O443*P443)</f>
        <v/>
      </c>
      <c r="R443" s="14" t="str">
        <f aca="false">IF($C443="","",IF(K443="","Machine not in Setup",IF(H443&gt;G443,"Rejects &gt; total parts",IF(J443&lt;0,"Downtime &gt; planned time",IF(AND(ISNUMBER(O443),O443&gt;1.05),"Performance &gt; 100%: check cycle time or counts","OK")))))</f>
        <v/>
      </c>
    </row>
    <row r="444" customFormat="false" ht="15" hidden="false" customHeight="false" outlineLevel="0" collapsed="false">
      <c r="A444" s="10"/>
      <c r="B444" s="8"/>
      <c r="C444" s="8"/>
      <c r="D444" s="8"/>
      <c r="E444" s="8"/>
      <c r="F444" s="8"/>
      <c r="G444" s="8"/>
      <c r="H444" s="8"/>
      <c r="I444" s="11" t="str">
        <f aca="false">IF($C444="","",D444-E444)</f>
        <v/>
      </c>
      <c r="J444" s="11" t="str">
        <f aca="false">IF($C444="","",I444-F444)</f>
        <v/>
      </c>
      <c r="K444" s="12" t="str">
        <f aca="false">IF($C444="","",IFERROR(INDEX(Setup!$B$5:$B$24,MATCH($C444,Setup!$A$5:$A$24,0)),""))</f>
        <v/>
      </c>
      <c r="L444" s="12" t="str">
        <f aca="false">IF(OR($C444="",K444=""),"",K444*G444/60)</f>
        <v/>
      </c>
      <c r="M444" s="11" t="str">
        <f aca="false">IF($C444="","",G444-H444)</f>
        <v/>
      </c>
      <c r="N444" s="13" t="str">
        <f aca="false">IF($C444="","",IF(I444&lt;=0,"",J444/I444))</f>
        <v/>
      </c>
      <c r="O444" s="13" t="str">
        <f aca="false">IF($C444="","",IF(OR(L444="",J444&lt;=0),"",L444/J444))</f>
        <v/>
      </c>
      <c r="P444" s="13" t="str">
        <f aca="false">IF($C444="","",IF(G444&lt;=0,"",M444/G444))</f>
        <v/>
      </c>
      <c r="Q444" s="13" t="str">
        <f aca="false">IF(OR(N444="",O444="",P444=""),"",N444*O444*P444)</f>
        <v/>
      </c>
      <c r="R444" s="14" t="str">
        <f aca="false">IF($C444="","",IF(K444="","Machine not in Setup",IF(H444&gt;G444,"Rejects &gt; total parts",IF(J444&lt;0,"Downtime &gt; planned time",IF(AND(ISNUMBER(O444),O444&gt;1.05),"Performance &gt; 100%: check cycle time or counts","OK")))))</f>
        <v/>
      </c>
    </row>
    <row r="445" customFormat="false" ht="15" hidden="false" customHeight="false" outlineLevel="0" collapsed="false">
      <c r="A445" s="10"/>
      <c r="B445" s="8"/>
      <c r="C445" s="8"/>
      <c r="D445" s="8"/>
      <c r="E445" s="8"/>
      <c r="F445" s="8"/>
      <c r="G445" s="8"/>
      <c r="H445" s="8"/>
      <c r="I445" s="11" t="str">
        <f aca="false">IF($C445="","",D445-E445)</f>
        <v/>
      </c>
      <c r="J445" s="11" t="str">
        <f aca="false">IF($C445="","",I445-F445)</f>
        <v/>
      </c>
      <c r="K445" s="12" t="str">
        <f aca="false">IF($C445="","",IFERROR(INDEX(Setup!$B$5:$B$24,MATCH($C445,Setup!$A$5:$A$24,0)),""))</f>
        <v/>
      </c>
      <c r="L445" s="12" t="str">
        <f aca="false">IF(OR($C445="",K445=""),"",K445*G445/60)</f>
        <v/>
      </c>
      <c r="M445" s="11" t="str">
        <f aca="false">IF($C445="","",G445-H445)</f>
        <v/>
      </c>
      <c r="N445" s="13" t="str">
        <f aca="false">IF($C445="","",IF(I445&lt;=0,"",J445/I445))</f>
        <v/>
      </c>
      <c r="O445" s="13" t="str">
        <f aca="false">IF($C445="","",IF(OR(L445="",J445&lt;=0),"",L445/J445))</f>
        <v/>
      </c>
      <c r="P445" s="13" t="str">
        <f aca="false">IF($C445="","",IF(G445&lt;=0,"",M445/G445))</f>
        <v/>
      </c>
      <c r="Q445" s="13" t="str">
        <f aca="false">IF(OR(N445="",O445="",P445=""),"",N445*O445*P445)</f>
        <v/>
      </c>
      <c r="R445" s="14" t="str">
        <f aca="false">IF($C445="","",IF(K445="","Machine not in Setup",IF(H445&gt;G445,"Rejects &gt; total parts",IF(J445&lt;0,"Downtime &gt; planned time",IF(AND(ISNUMBER(O445),O445&gt;1.05),"Performance &gt; 100%: check cycle time or counts","OK")))))</f>
        <v/>
      </c>
    </row>
    <row r="446" customFormat="false" ht="15" hidden="false" customHeight="false" outlineLevel="0" collapsed="false">
      <c r="A446" s="10"/>
      <c r="B446" s="8"/>
      <c r="C446" s="8"/>
      <c r="D446" s="8"/>
      <c r="E446" s="8"/>
      <c r="F446" s="8"/>
      <c r="G446" s="8"/>
      <c r="H446" s="8"/>
      <c r="I446" s="11" t="str">
        <f aca="false">IF($C446="","",D446-E446)</f>
        <v/>
      </c>
      <c r="J446" s="11" t="str">
        <f aca="false">IF($C446="","",I446-F446)</f>
        <v/>
      </c>
      <c r="K446" s="12" t="str">
        <f aca="false">IF($C446="","",IFERROR(INDEX(Setup!$B$5:$B$24,MATCH($C446,Setup!$A$5:$A$24,0)),""))</f>
        <v/>
      </c>
      <c r="L446" s="12" t="str">
        <f aca="false">IF(OR($C446="",K446=""),"",K446*G446/60)</f>
        <v/>
      </c>
      <c r="M446" s="11" t="str">
        <f aca="false">IF($C446="","",G446-H446)</f>
        <v/>
      </c>
      <c r="N446" s="13" t="str">
        <f aca="false">IF($C446="","",IF(I446&lt;=0,"",J446/I446))</f>
        <v/>
      </c>
      <c r="O446" s="13" t="str">
        <f aca="false">IF($C446="","",IF(OR(L446="",J446&lt;=0),"",L446/J446))</f>
        <v/>
      </c>
      <c r="P446" s="13" t="str">
        <f aca="false">IF($C446="","",IF(G446&lt;=0,"",M446/G446))</f>
        <v/>
      </c>
      <c r="Q446" s="13" t="str">
        <f aca="false">IF(OR(N446="",O446="",P446=""),"",N446*O446*P446)</f>
        <v/>
      </c>
      <c r="R446" s="14" t="str">
        <f aca="false">IF($C446="","",IF(K446="","Machine not in Setup",IF(H446&gt;G446,"Rejects &gt; total parts",IF(J446&lt;0,"Downtime &gt; planned time",IF(AND(ISNUMBER(O446),O446&gt;1.05),"Performance &gt; 100%: check cycle time or counts","OK")))))</f>
        <v/>
      </c>
    </row>
    <row r="447" customFormat="false" ht="15" hidden="false" customHeight="false" outlineLevel="0" collapsed="false">
      <c r="A447" s="10"/>
      <c r="B447" s="8"/>
      <c r="C447" s="8"/>
      <c r="D447" s="8"/>
      <c r="E447" s="8"/>
      <c r="F447" s="8"/>
      <c r="G447" s="8"/>
      <c r="H447" s="8"/>
      <c r="I447" s="11" t="str">
        <f aca="false">IF($C447="","",D447-E447)</f>
        <v/>
      </c>
      <c r="J447" s="11" t="str">
        <f aca="false">IF($C447="","",I447-F447)</f>
        <v/>
      </c>
      <c r="K447" s="12" t="str">
        <f aca="false">IF($C447="","",IFERROR(INDEX(Setup!$B$5:$B$24,MATCH($C447,Setup!$A$5:$A$24,0)),""))</f>
        <v/>
      </c>
      <c r="L447" s="12" t="str">
        <f aca="false">IF(OR($C447="",K447=""),"",K447*G447/60)</f>
        <v/>
      </c>
      <c r="M447" s="11" t="str">
        <f aca="false">IF($C447="","",G447-H447)</f>
        <v/>
      </c>
      <c r="N447" s="13" t="str">
        <f aca="false">IF($C447="","",IF(I447&lt;=0,"",J447/I447))</f>
        <v/>
      </c>
      <c r="O447" s="13" t="str">
        <f aca="false">IF($C447="","",IF(OR(L447="",J447&lt;=0),"",L447/J447))</f>
        <v/>
      </c>
      <c r="P447" s="13" t="str">
        <f aca="false">IF($C447="","",IF(G447&lt;=0,"",M447/G447))</f>
        <v/>
      </c>
      <c r="Q447" s="13" t="str">
        <f aca="false">IF(OR(N447="",O447="",P447=""),"",N447*O447*P447)</f>
        <v/>
      </c>
      <c r="R447" s="14" t="str">
        <f aca="false">IF($C447="","",IF(K447="","Machine not in Setup",IF(H447&gt;G447,"Rejects &gt; total parts",IF(J447&lt;0,"Downtime &gt; planned time",IF(AND(ISNUMBER(O447),O447&gt;1.05),"Performance &gt; 100%: check cycle time or counts","OK")))))</f>
        <v/>
      </c>
    </row>
    <row r="448" customFormat="false" ht="15" hidden="false" customHeight="false" outlineLevel="0" collapsed="false">
      <c r="A448" s="10"/>
      <c r="B448" s="8"/>
      <c r="C448" s="8"/>
      <c r="D448" s="8"/>
      <c r="E448" s="8"/>
      <c r="F448" s="8"/>
      <c r="G448" s="8"/>
      <c r="H448" s="8"/>
      <c r="I448" s="11" t="str">
        <f aca="false">IF($C448="","",D448-E448)</f>
        <v/>
      </c>
      <c r="J448" s="11" t="str">
        <f aca="false">IF($C448="","",I448-F448)</f>
        <v/>
      </c>
      <c r="K448" s="12" t="str">
        <f aca="false">IF($C448="","",IFERROR(INDEX(Setup!$B$5:$B$24,MATCH($C448,Setup!$A$5:$A$24,0)),""))</f>
        <v/>
      </c>
      <c r="L448" s="12" t="str">
        <f aca="false">IF(OR($C448="",K448=""),"",K448*G448/60)</f>
        <v/>
      </c>
      <c r="M448" s="11" t="str">
        <f aca="false">IF($C448="","",G448-H448)</f>
        <v/>
      </c>
      <c r="N448" s="13" t="str">
        <f aca="false">IF($C448="","",IF(I448&lt;=0,"",J448/I448))</f>
        <v/>
      </c>
      <c r="O448" s="13" t="str">
        <f aca="false">IF($C448="","",IF(OR(L448="",J448&lt;=0),"",L448/J448))</f>
        <v/>
      </c>
      <c r="P448" s="13" t="str">
        <f aca="false">IF($C448="","",IF(G448&lt;=0,"",M448/G448))</f>
        <v/>
      </c>
      <c r="Q448" s="13" t="str">
        <f aca="false">IF(OR(N448="",O448="",P448=""),"",N448*O448*P448)</f>
        <v/>
      </c>
      <c r="R448" s="14" t="str">
        <f aca="false">IF($C448="","",IF(K448="","Machine not in Setup",IF(H448&gt;G448,"Rejects &gt; total parts",IF(J448&lt;0,"Downtime &gt; planned time",IF(AND(ISNUMBER(O448),O448&gt;1.05),"Performance &gt; 100%: check cycle time or counts","OK")))))</f>
        <v/>
      </c>
    </row>
    <row r="449" customFormat="false" ht="15" hidden="false" customHeight="false" outlineLevel="0" collapsed="false">
      <c r="A449" s="10"/>
      <c r="B449" s="8"/>
      <c r="C449" s="8"/>
      <c r="D449" s="8"/>
      <c r="E449" s="8"/>
      <c r="F449" s="8"/>
      <c r="G449" s="8"/>
      <c r="H449" s="8"/>
      <c r="I449" s="11" t="str">
        <f aca="false">IF($C449="","",D449-E449)</f>
        <v/>
      </c>
      <c r="J449" s="11" t="str">
        <f aca="false">IF($C449="","",I449-F449)</f>
        <v/>
      </c>
      <c r="K449" s="12" t="str">
        <f aca="false">IF($C449="","",IFERROR(INDEX(Setup!$B$5:$B$24,MATCH($C449,Setup!$A$5:$A$24,0)),""))</f>
        <v/>
      </c>
      <c r="L449" s="12" t="str">
        <f aca="false">IF(OR($C449="",K449=""),"",K449*G449/60)</f>
        <v/>
      </c>
      <c r="M449" s="11" t="str">
        <f aca="false">IF($C449="","",G449-H449)</f>
        <v/>
      </c>
      <c r="N449" s="13" t="str">
        <f aca="false">IF($C449="","",IF(I449&lt;=0,"",J449/I449))</f>
        <v/>
      </c>
      <c r="O449" s="13" t="str">
        <f aca="false">IF($C449="","",IF(OR(L449="",J449&lt;=0),"",L449/J449))</f>
        <v/>
      </c>
      <c r="P449" s="13" t="str">
        <f aca="false">IF($C449="","",IF(G449&lt;=0,"",M449/G449))</f>
        <v/>
      </c>
      <c r="Q449" s="13" t="str">
        <f aca="false">IF(OR(N449="",O449="",P449=""),"",N449*O449*P449)</f>
        <v/>
      </c>
      <c r="R449" s="14" t="str">
        <f aca="false">IF($C449="","",IF(K449="","Machine not in Setup",IF(H449&gt;G449,"Rejects &gt; total parts",IF(J449&lt;0,"Downtime &gt; planned time",IF(AND(ISNUMBER(O449),O449&gt;1.05),"Performance &gt; 100%: check cycle time or counts","OK")))))</f>
        <v/>
      </c>
    </row>
    <row r="450" customFormat="false" ht="15" hidden="false" customHeight="false" outlineLevel="0" collapsed="false">
      <c r="A450" s="10"/>
      <c r="B450" s="8"/>
      <c r="C450" s="8"/>
      <c r="D450" s="8"/>
      <c r="E450" s="8"/>
      <c r="F450" s="8"/>
      <c r="G450" s="8"/>
      <c r="H450" s="8"/>
      <c r="I450" s="11" t="str">
        <f aca="false">IF($C450="","",D450-E450)</f>
        <v/>
      </c>
      <c r="J450" s="11" t="str">
        <f aca="false">IF($C450="","",I450-F450)</f>
        <v/>
      </c>
      <c r="K450" s="12" t="str">
        <f aca="false">IF($C450="","",IFERROR(INDEX(Setup!$B$5:$B$24,MATCH($C450,Setup!$A$5:$A$24,0)),""))</f>
        <v/>
      </c>
      <c r="L450" s="12" t="str">
        <f aca="false">IF(OR($C450="",K450=""),"",K450*G450/60)</f>
        <v/>
      </c>
      <c r="M450" s="11" t="str">
        <f aca="false">IF($C450="","",G450-H450)</f>
        <v/>
      </c>
      <c r="N450" s="13" t="str">
        <f aca="false">IF($C450="","",IF(I450&lt;=0,"",J450/I450))</f>
        <v/>
      </c>
      <c r="O450" s="13" t="str">
        <f aca="false">IF($C450="","",IF(OR(L450="",J450&lt;=0),"",L450/J450))</f>
        <v/>
      </c>
      <c r="P450" s="13" t="str">
        <f aca="false">IF($C450="","",IF(G450&lt;=0,"",M450/G450))</f>
        <v/>
      </c>
      <c r="Q450" s="13" t="str">
        <f aca="false">IF(OR(N450="",O450="",P450=""),"",N450*O450*P450)</f>
        <v/>
      </c>
      <c r="R450" s="14" t="str">
        <f aca="false">IF($C450="","",IF(K450="","Machine not in Setup",IF(H450&gt;G450,"Rejects &gt; total parts",IF(J450&lt;0,"Downtime &gt; planned time",IF(AND(ISNUMBER(O450),O450&gt;1.05),"Performance &gt; 100%: check cycle time or counts","OK")))))</f>
        <v/>
      </c>
    </row>
    <row r="451" customFormat="false" ht="15" hidden="false" customHeight="false" outlineLevel="0" collapsed="false">
      <c r="A451" s="10"/>
      <c r="B451" s="8"/>
      <c r="C451" s="8"/>
      <c r="D451" s="8"/>
      <c r="E451" s="8"/>
      <c r="F451" s="8"/>
      <c r="G451" s="8"/>
      <c r="H451" s="8"/>
      <c r="I451" s="11" t="str">
        <f aca="false">IF($C451="","",D451-E451)</f>
        <v/>
      </c>
      <c r="J451" s="11" t="str">
        <f aca="false">IF($C451="","",I451-F451)</f>
        <v/>
      </c>
      <c r="K451" s="12" t="str">
        <f aca="false">IF($C451="","",IFERROR(INDEX(Setup!$B$5:$B$24,MATCH($C451,Setup!$A$5:$A$24,0)),""))</f>
        <v/>
      </c>
      <c r="L451" s="12" t="str">
        <f aca="false">IF(OR($C451="",K451=""),"",K451*G451/60)</f>
        <v/>
      </c>
      <c r="M451" s="11" t="str">
        <f aca="false">IF($C451="","",G451-H451)</f>
        <v/>
      </c>
      <c r="N451" s="13" t="str">
        <f aca="false">IF($C451="","",IF(I451&lt;=0,"",J451/I451))</f>
        <v/>
      </c>
      <c r="O451" s="13" t="str">
        <f aca="false">IF($C451="","",IF(OR(L451="",J451&lt;=0),"",L451/J451))</f>
        <v/>
      </c>
      <c r="P451" s="13" t="str">
        <f aca="false">IF($C451="","",IF(G451&lt;=0,"",M451/G451))</f>
        <v/>
      </c>
      <c r="Q451" s="13" t="str">
        <f aca="false">IF(OR(N451="",O451="",P451=""),"",N451*O451*P451)</f>
        <v/>
      </c>
      <c r="R451" s="14" t="str">
        <f aca="false">IF($C451="","",IF(K451="","Machine not in Setup",IF(H451&gt;G451,"Rejects &gt; total parts",IF(J451&lt;0,"Downtime &gt; planned time",IF(AND(ISNUMBER(O451),O451&gt;1.05),"Performance &gt; 100%: check cycle time or counts","OK")))))</f>
        <v/>
      </c>
    </row>
    <row r="452" customFormat="false" ht="15" hidden="false" customHeight="false" outlineLevel="0" collapsed="false">
      <c r="A452" s="10"/>
      <c r="B452" s="8"/>
      <c r="C452" s="8"/>
      <c r="D452" s="8"/>
      <c r="E452" s="8"/>
      <c r="F452" s="8"/>
      <c r="G452" s="8"/>
      <c r="H452" s="8"/>
      <c r="I452" s="11" t="str">
        <f aca="false">IF($C452="","",D452-E452)</f>
        <v/>
      </c>
      <c r="J452" s="11" t="str">
        <f aca="false">IF($C452="","",I452-F452)</f>
        <v/>
      </c>
      <c r="K452" s="12" t="str">
        <f aca="false">IF($C452="","",IFERROR(INDEX(Setup!$B$5:$B$24,MATCH($C452,Setup!$A$5:$A$24,0)),""))</f>
        <v/>
      </c>
      <c r="L452" s="12" t="str">
        <f aca="false">IF(OR($C452="",K452=""),"",K452*G452/60)</f>
        <v/>
      </c>
      <c r="M452" s="11" t="str">
        <f aca="false">IF($C452="","",G452-H452)</f>
        <v/>
      </c>
      <c r="N452" s="13" t="str">
        <f aca="false">IF($C452="","",IF(I452&lt;=0,"",J452/I452))</f>
        <v/>
      </c>
      <c r="O452" s="13" t="str">
        <f aca="false">IF($C452="","",IF(OR(L452="",J452&lt;=0),"",L452/J452))</f>
        <v/>
      </c>
      <c r="P452" s="13" t="str">
        <f aca="false">IF($C452="","",IF(G452&lt;=0,"",M452/G452))</f>
        <v/>
      </c>
      <c r="Q452" s="13" t="str">
        <f aca="false">IF(OR(N452="",O452="",P452=""),"",N452*O452*P452)</f>
        <v/>
      </c>
      <c r="R452" s="14" t="str">
        <f aca="false">IF($C452="","",IF(K452="","Machine not in Setup",IF(H452&gt;G452,"Rejects &gt; total parts",IF(J452&lt;0,"Downtime &gt; planned time",IF(AND(ISNUMBER(O452),O452&gt;1.05),"Performance &gt; 100%: check cycle time or counts","OK")))))</f>
        <v/>
      </c>
    </row>
    <row r="453" customFormat="false" ht="15" hidden="false" customHeight="false" outlineLevel="0" collapsed="false">
      <c r="A453" s="10"/>
      <c r="B453" s="8"/>
      <c r="C453" s="8"/>
      <c r="D453" s="8"/>
      <c r="E453" s="8"/>
      <c r="F453" s="8"/>
      <c r="G453" s="8"/>
      <c r="H453" s="8"/>
      <c r="I453" s="11" t="str">
        <f aca="false">IF($C453="","",D453-E453)</f>
        <v/>
      </c>
      <c r="J453" s="11" t="str">
        <f aca="false">IF($C453="","",I453-F453)</f>
        <v/>
      </c>
      <c r="K453" s="12" t="str">
        <f aca="false">IF($C453="","",IFERROR(INDEX(Setup!$B$5:$B$24,MATCH($C453,Setup!$A$5:$A$24,0)),""))</f>
        <v/>
      </c>
      <c r="L453" s="12" t="str">
        <f aca="false">IF(OR($C453="",K453=""),"",K453*G453/60)</f>
        <v/>
      </c>
      <c r="M453" s="11" t="str">
        <f aca="false">IF($C453="","",G453-H453)</f>
        <v/>
      </c>
      <c r="N453" s="13" t="str">
        <f aca="false">IF($C453="","",IF(I453&lt;=0,"",J453/I453))</f>
        <v/>
      </c>
      <c r="O453" s="13" t="str">
        <f aca="false">IF($C453="","",IF(OR(L453="",J453&lt;=0),"",L453/J453))</f>
        <v/>
      </c>
      <c r="P453" s="13" t="str">
        <f aca="false">IF($C453="","",IF(G453&lt;=0,"",M453/G453))</f>
        <v/>
      </c>
      <c r="Q453" s="13" t="str">
        <f aca="false">IF(OR(N453="",O453="",P453=""),"",N453*O453*P453)</f>
        <v/>
      </c>
      <c r="R453" s="14" t="str">
        <f aca="false">IF($C453="","",IF(K453="","Machine not in Setup",IF(H453&gt;G453,"Rejects &gt; total parts",IF(J453&lt;0,"Downtime &gt; planned time",IF(AND(ISNUMBER(O453),O453&gt;1.05),"Performance &gt; 100%: check cycle time or counts","OK")))))</f>
        <v/>
      </c>
    </row>
    <row r="454" customFormat="false" ht="15" hidden="false" customHeight="false" outlineLevel="0" collapsed="false">
      <c r="A454" s="10"/>
      <c r="B454" s="8"/>
      <c r="C454" s="8"/>
      <c r="D454" s="8"/>
      <c r="E454" s="8"/>
      <c r="F454" s="8"/>
      <c r="G454" s="8"/>
      <c r="H454" s="8"/>
      <c r="I454" s="11" t="str">
        <f aca="false">IF($C454="","",D454-E454)</f>
        <v/>
      </c>
      <c r="J454" s="11" t="str">
        <f aca="false">IF($C454="","",I454-F454)</f>
        <v/>
      </c>
      <c r="K454" s="12" t="str">
        <f aca="false">IF($C454="","",IFERROR(INDEX(Setup!$B$5:$B$24,MATCH($C454,Setup!$A$5:$A$24,0)),""))</f>
        <v/>
      </c>
      <c r="L454" s="12" t="str">
        <f aca="false">IF(OR($C454="",K454=""),"",K454*G454/60)</f>
        <v/>
      </c>
      <c r="M454" s="11" t="str">
        <f aca="false">IF($C454="","",G454-H454)</f>
        <v/>
      </c>
      <c r="N454" s="13" t="str">
        <f aca="false">IF($C454="","",IF(I454&lt;=0,"",J454/I454))</f>
        <v/>
      </c>
      <c r="O454" s="13" t="str">
        <f aca="false">IF($C454="","",IF(OR(L454="",J454&lt;=0),"",L454/J454))</f>
        <v/>
      </c>
      <c r="P454" s="13" t="str">
        <f aca="false">IF($C454="","",IF(G454&lt;=0,"",M454/G454))</f>
        <v/>
      </c>
      <c r="Q454" s="13" t="str">
        <f aca="false">IF(OR(N454="",O454="",P454=""),"",N454*O454*P454)</f>
        <v/>
      </c>
      <c r="R454" s="14" t="str">
        <f aca="false">IF($C454="","",IF(K454="","Machine not in Setup",IF(H454&gt;G454,"Rejects &gt; total parts",IF(J454&lt;0,"Downtime &gt; planned time",IF(AND(ISNUMBER(O454),O454&gt;1.05),"Performance &gt; 100%: check cycle time or counts","OK")))))</f>
        <v/>
      </c>
    </row>
    <row r="455" customFormat="false" ht="15" hidden="false" customHeight="false" outlineLevel="0" collapsed="false">
      <c r="A455" s="10"/>
      <c r="B455" s="8"/>
      <c r="C455" s="8"/>
      <c r="D455" s="8"/>
      <c r="E455" s="8"/>
      <c r="F455" s="8"/>
      <c r="G455" s="8"/>
      <c r="H455" s="8"/>
      <c r="I455" s="11" t="str">
        <f aca="false">IF($C455="","",D455-E455)</f>
        <v/>
      </c>
      <c r="J455" s="11" t="str">
        <f aca="false">IF($C455="","",I455-F455)</f>
        <v/>
      </c>
      <c r="K455" s="12" t="str">
        <f aca="false">IF($C455="","",IFERROR(INDEX(Setup!$B$5:$B$24,MATCH($C455,Setup!$A$5:$A$24,0)),""))</f>
        <v/>
      </c>
      <c r="L455" s="12" t="str">
        <f aca="false">IF(OR($C455="",K455=""),"",K455*G455/60)</f>
        <v/>
      </c>
      <c r="M455" s="11" t="str">
        <f aca="false">IF($C455="","",G455-H455)</f>
        <v/>
      </c>
      <c r="N455" s="13" t="str">
        <f aca="false">IF($C455="","",IF(I455&lt;=0,"",J455/I455))</f>
        <v/>
      </c>
      <c r="O455" s="13" t="str">
        <f aca="false">IF($C455="","",IF(OR(L455="",J455&lt;=0),"",L455/J455))</f>
        <v/>
      </c>
      <c r="P455" s="13" t="str">
        <f aca="false">IF($C455="","",IF(G455&lt;=0,"",M455/G455))</f>
        <v/>
      </c>
      <c r="Q455" s="13" t="str">
        <f aca="false">IF(OR(N455="",O455="",P455=""),"",N455*O455*P455)</f>
        <v/>
      </c>
      <c r="R455" s="14" t="str">
        <f aca="false">IF($C455="","",IF(K455="","Machine not in Setup",IF(H455&gt;G455,"Rejects &gt; total parts",IF(J455&lt;0,"Downtime &gt; planned time",IF(AND(ISNUMBER(O455),O455&gt;1.05),"Performance &gt; 100%: check cycle time or counts","OK")))))</f>
        <v/>
      </c>
    </row>
    <row r="456" customFormat="false" ht="15" hidden="false" customHeight="false" outlineLevel="0" collapsed="false">
      <c r="A456" s="10"/>
      <c r="B456" s="8"/>
      <c r="C456" s="8"/>
      <c r="D456" s="8"/>
      <c r="E456" s="8"/>
      <c r="F456" s="8"/>
      <c r="G456" s="8"/>
      <c r="H456" s="8"/>
      <c r="I456" s="11" t="str">
        <f aca="false">IF($C456="","",D456-E456)</f>
        <v/>
      </c>
      <c r="J456" s="11" t="str">
        <f aca="false">IF($C456="","",I456-F456)</f>
        <v/>
      </c>
      <c r="K456" s="12" t="str">
        <f aca="false">IF($C456="","",IFERROR(INDEX(Setup!$B$5:$B$24,MATCH($C456,Setup!$A$5:$A$24,0)),""))</f>
        <v/>
      </c>
      <c r="L456" s="12" t="str">
        <f aca="false">IF(OR($C456="",K456=""),"",K456*G456/60)</f>
        <v/>
      </c>
      <c r="M456" s="11" t="str">
        <f aca="false">IF($C456="","",G456-H456)</f>
        <v/>
      </c>
      <c r="N456" s="13" t="str">
        <f aca="false">IF($C456="","",IF(I456&lt;=0,"",J456/I456))</f>
        <v/>
      </c>
      <c r="O456" s="13" t="str">
        <f aca="false">IF($C456="","",IF(OR(L456="",J456&lt;=0),"",L456/J456))</f>
        <v/>
      </c>
      <c r="P456" s="13" t="str">
        <f aca="false">IF($C456="","",IF(G456&lt;=0,"",M456/G456))</f>
        <v/>
      </c>
      <c r="Q456" s="13" t="str">
        <f aca="false">IF(OR(N456="",O456="",P456=""),"",N456*O456*P456)</f>
        <v/>
      </c>
      <c r="R456" s="14" t="str">
        <f aca="false">IF($C456="","",IF(K456="","Machine not in Setup",IF(H456&gt;G456,"Rejects &gt; total parts",IF(J456&lt;0,"Downtime &gt; planned time",IF(AND(ISNUMBER(O456),O456&gt;1.05),"Performance &gt; 100%: check cycle time or counts","OK")))))</f>
        <v/>
      </c>
    </row>
    <row r="457" customFormat="false" ht="15" hidden="false" customHeight="false" outlineLevel="0" collapsed="false">
      <c r="A457" s="10"/>
      <c r="B457" s="8"/>
      <c r="C457" s="8"/>
      <c r="D457" s="8"/>
      <c r="E457" s="8"/>
      <c r="F457" s="8"/>
      <c r="G457" s="8"/>
      <c r="H457" s="8"/>
      <c r="I457" s="11" t="str">
        <f aca="false">IF($C457="","",D457-E457)</f>
        <v/>
      </c>
      <c r="J457" s="11" t="str">
        <f aca="false">IF($C457="","",I457-F457)</f>
        <v/>
      </c>
      <c r="K457" s="12" t="str">
        <f aca="false">IF($C457="","",IFERROR(INDEX(Setup!$B$5:$B$24,MATCH($C457,Setup!$A$5:$A$24,0)),""))</f>
        <v/>
      </c>
      <c r="L457" s="12" t="str">
        <f aca="false">IF(OR($C457="",K457=""),"",K457*G457/60)</f>
        <v/>
      </c>
      <c r="M457" s="11" t="str">
        <f aca="false">IF($C457="","",G457-H457)</f>
        <v/>
      </c>
      <c r="N457" s="13" t="str">
        <f aca="false">IF($C457="","",IF(I457&lt;=0,"",J457/I457))</f>
        <v/>
      </c>
      <c r="O457" s="13" t="str">
        <f aca="false">IF($C457="","",IF(OR(L457="",J457&lt;=0),"",L457/J457))</f>
        <v/>
      </c>
      <c r="P457" s="13" t="str">
        <f aca="false">IF($C457="","",IF(G457&lt;=0,"",M457/G457))</f>
        <v/>
      </c>
      <c r="Q457" s="13" t="str">
        <f aca="false">IF(OR(N457="",O457="",P457=""),"",N457*O457*P457)</f>
        <v/>
      </c>
      <c r="R457" s="14" t="str">
        <f aca="false">IF($C457="","",IF(K457="","Machine not in Setup",IF(H457&gt;G457,"Rejects &gt; total parts",IF(J457&lt;0,"Downtime &gt; planned time",IF(AND(ISNUMBER(O457),O457&gt;1.05),"Performance &gt; 100%: check cycle time or counts","OK")))))</f>
        <v/>
      </c>
    </row>
    <row r="458" customFormat="false" ht="15" hidden="false" customHeight="false" outlineLevel="0" collapsed="false">
      <c r="A458" s="10"/>
      <c r="B458" s="8"/>
      <c r="C458" s="8"/>
      <c r="D458" s="8"/>
      <c r="E458" s="8"/>
      <c r="F458" s="8"/>
      <c r="G458" s="8"/>
      <c r="H458" s="8"/>
      <c r="I458" s="11" t="str">
        <f aca="false">IF($C458="","",D458-E458)</f>
        <v/>
      </c>
      <c r="J458" s="11" t="str">
        <f aca="false">IF($C458="","",I458-F458)</f>
        <v/>
      </c>
      <c r="K458" s="12" t="str">
        <f aca="false">IF($C458="","",IFERROR(INDEX(Setup!$B$5:$B$24,MATCH($C458,Setup!$A$5:$A$24,0)),""))</f>
        <v/>
      </c>
      <c r="L458" s="12" t="str">
        <f aca="false">IF(OR($C458="",K458=""),"",K458*G458/60)</f>
        <v/>
      </c>
      <c r="M458" s="11" t="str">
        <f aca="false">IF($C458="","",G458-H458)</f>
        <v/>
      </c>
      <c r="N458" s="13" t="str">
        <f aca="false">IF($C458="","",IF(I458&lt;=0,"",J458/I458))</f>
        <v/>
      </c>
      <c r="O458" s="13" t="str">
        <f aca="false">IF($C458="","",IF(OR(L458="",J458&lt;=0),"",L458/J458))</f>
        <v/>
      </c>
      <c r="P458" s="13" t="str">
        <f aca="false">IF($C458="","",IF(G458&lt;=0,"",M458/G458))</f>
        <v/>
      </c>
      <c r="Q458" s="13" t="str">
        <f aca="false">IF(OR(N458="",O458="",P458=""),"",N458*O458*P458)</f>
        <v/>
      </c>
      <c r="R458" s="14" t="str">
        <f aca="false">IF($C458="","",IF(K458="","Machine not in Setup",IF(H458&gt;G458,"Rejects &gt; total parts",IF(J458&lt;0,"Downtime &gt; planned time",IF(AND(ISNUMBER(O458),O458&gt;1.05),"Performance &gt; 100%: check cycle time or counts","OK")))))</f>
        <v/>
      </c>
    </row>
    <row r="459" customFormat="false" ht="15" hidden="false" customHeight="false" outlineLevel="0" collapsed="false">
      <c r="A459" s="10"/>
      <c r="B459" s="8"/>
      <c r="C459" s="8"/>
      <c r="D459" s="8"/>
      <c r="E459" s="8"/>
      <c r="F459" s="8"/>
      <c r="G459" s="8"/>
      <c r="H459" s="8"/>
      <c r="I459" s="11" t="str">
        <f aca="false">IF($C459="","",D459-E459)</f>
        <v/>
      </c>
      <c r="J459" s="11" t="str">
        <f aca="false">IF($C459="","",I459-F459)</f>
        <v/>
      </c>
      <c r="K459" s="12" t="str">
        <f aca="false">IF($C459="","",IFERROR(INDEX(Setup!$B$5:$B$24,MATCH($C459,Setup!$A$5:$A$24,0)),""))</f>
        <v/>
      </c>
      <c r="L459" s="12" t="str">
        <f aca="false">IF(OR($C459="",K459=""),"",K459*G459/60)</f>
        <v/>
      </c>
      <c r="M459" s="11" t="str">
        <f aca="false">IF($C459="","",G459-H459)</f>
        <v/>
      </c>
      <c r="N459" s="13" t="str">
        <f aca="false">IF($C459="","",IF(I459&lt;=0,"",J459/I459))</f>
        <v/>
      </c>
      <c r="O459" s="13" t="str">
        <f aca="false">IF($C459="","",IF(OR(L459="",J459&lt;=0),"",L459/J459))</f>
        <v/>
      </c>
      <c r="P459" s="13" t="str">
        <f aca="false">IF($C459="","",IF(G459&lt;=0,"",M459/G459))</f>
        <v/>
      </c>
      <c r="Q459" s="13" t="str">
        <f aca="false">IF(OR(N459="",O459="",P459=""),"",N459*O459*P459)</f>
        <v/>
      </c>
      <c r="R459" s="14" t="str">
        <f aca="false">IF($C459="","",IF(K459="","Machine not in Setup",IF(H459&gt;G459,"Rejects &gt; total parts",IF(J459&lt;0,"Downtime &gt; planned time",IF(AND(ISNUMBER(O459),O459&gt;1.05),"Performance &gt; 100%: check cycle time or counts","OK")))))</f>
        <v/>
      </c>
    </row>
    <row r="460" customFormat="false" ht="15" hidden="false" customHeight="false" outlineLevel="0" collapsed="false">
      <c r="A460" s="10"/>
      <c r="B460" s="8"/>
      <c r="C460" s="8"/>
      <c r="D460" s="8"/>
      <c r="E460" s="8"/>
      <c r="F460" s="8"/>
      <c r="G460" s="8"/>
      <c r="H460" s="8"/>
      <c r="I460" s="11" t="str">
        <f aca="false">IF($C460="","",D460-E460)</f>
        <v/>
      </c>
      <c r="J460" s="11" t="str">
        <f aca="false">IF($C460="","",I460-F460)</f>
        <v/>
      </c>
      <c r="K460" s="12" t="str">
        <f aca="false">IF($C460="","",IFERROR(INDEX(Setup!$B$5:$B$24,MATCH($C460,Setup!$A$5:$A$24,0)),""))</f>
        <v/>
      </c>
      <c r="L460" s="12" t="str">
        <f aca="false">IF(OR($C460="",K460=""),"",K460*G460/60)</f>
        <v/>
      </c>
      <c r="M460" s="11" t="str">
        <f aca="false">IF($C460="","",G460-H460)</f>
        <v/>
      </c>
      <c r="N460" s="13" t="str">
        <f aca="false">IF($C460="","",IF(I460&lt;=0,"",J460/I460))</f>
        <v/>
      </c>
      <c r="O460" s="13" t="str">
        <f aca="false">IF($C460="","",IF(OR(L460="",J460&lt;=0),"",L460/J460))</f>
        <v/>
      </c>
      <c r="P460" s="13" t="str">
        <f aca="false">IF($C460="","",IF(G460&lt;=0,"",M460/G460))</f>
        <v/>
      </c>
      <c r="Q460" s="13" t="str">
        <f aca="false">IF(OR(N460="",O460="",P460=""),"",N460*O460*P460)</f>
        <v/>
      </c>
      <c r="R460" s="14" t="str">
        <f aca="false">IF($C460="","",IF(K460="","Machine not in Setup",IF(H460&gt;G460,"Rejects &gt; total parts",IF(J460&lt;0,"Downtime &gt; planned time",IF(AND(ISNUMBER(O460),O460&gt;1.05),"Performance &gt; 100%: check cycle time or counts","OK")))))</f>
        <v/>
      </c>
    </row>
    <row r="461" customFormat="false" ht="15" hidden="false" customHeight="false" outlineLevel="0" collapsed="false">
      <c r="A461" s="10"/>
      <c r="B461" s="8"/>
      <c r="C461" s="8"/>
      <c r="D461" s="8"/>
      <c r="E461" s="8"/>
      <c r="F461" s="8"/>
      <c r="G461" s="8"/>
      <c r="H461" s="8"/>
      <c r="I461" s="11" t="str">
        <f aca="false">IF($C461="","",D461-E461)</f>
        <v/>
      </c>
      <c r="J461" s="11" t="str">
        <f aca="false">IF($C461="","",I461-F461)</f>
        <v/>
      </c>
      <c r="K461" s="12" t="str">
        <f aca="false">IF($C461="","",IFERROR(INDEX(Setup!$B$5:$B$24,MATCH($C461,Setup!$A$5:$A$24,0)),""))</f>
        <v/>
      </c>
      <c r="L461" s="12" t="str">
        <f aca="false">IF(OR($C461="",K461=""),"",K461*G461/60)</f>
        <v/>
      </c>
      <c r="M461" s="11" t="str">
        <f aca="false">IF($C461="","",G461-H461)</f>
        <v/>
      </c>
      <c r="N461" s="13" t="str">
        <f aca="false">IF($C461="","",IF(I461&lt;=0,"",J461/I461))</f>
        <v/>
      </c>
      <c r="O461" s="13" t="str">
        <f aca="false">IF($C461="","",IF(OR(L461="",J461&lt;=0),"",L461/J461))</f>
        <v/>
      </c>
      <c r="P461" s="13" t="str">
        <f aca="false">IF($C461="","",IF(G461&lt;=0,"",M461/G461))</f>
        <v/>
      </c>
      <c r="Q461" s="13" t="str">
        <f aca="false">IF(OR(N461="",O461="",P461=""),"",N461*O461*P461)</f>
        <v/>
      </c>
      <c r="R461" s="14" t="str">
        <f aca="false">IF($C461="","",IF(K461="","Machine not in Setup",IF(H461&gt;G461,"Rejects &gt; total parts",IF(J461&lt;0,"Downtime &gt; planned time",IF(AND(ISNUMBER(O461),O461&gt;1.05),"Performance &gt; 100%: check cycle time or counts","OK")))))</f>
        <v/>
      </c>
    </row>
    <row r="462" customFormat="false" ht="15" hidden="false" customHeight="false" outlineLevel="0" collapsed="false">
      <c r="A462" s="10"/>
      <c r="B462" s="8"/>
      <c r="C462" s="8"/>
      <c r="D462" s="8"/>
      <c r="E462" s="8"/>
      <c r="F462" s="8"/>
      <c r="G462" s="8"/>
      <c r="H462" s="8"/>
      <c r="I462" s="11" t="str">
        <f aca="false">IF($C462="","",D462-E462)</f>
        <v/>
      </c>
      <c r="J462" s="11" t="str">
        <f aca="false">IF($C462="","",I462-F462)</f>
        <v/>
      </c>
      <c r="K462" s="12" t="str">
        <f aca="false">IF($C462="","",IFERROR(INDEX(Setup!$B$5:$B$24,MATCH($C462,Setup!$A$5:$A$24,0)),""))</f>
        <v/>
      </c>
      <c r="L462" s="12" t="str">
        <f aca="false">IF(OR($C462="",K462=""),"",K462*G462/60)</f>
        <v/>
      </c>
      <c r="M462" s="11" t="str">
        <f aca="false">IF($C462="","",G462-H462)</f>
        <v/>
      </c>
      <c r="N462" s="13" t="str">
        <f aca="false">IF($C462="","",IF(I462&lt;=0,"",J462/I462))</f>
        <v/>
      </c>
      <c r="O462" s="13" t="str">
        <f aca="false">IF($C462="","",IF(OR(L462="",J462&lt;=0),"",L462/J462))</f>
        <v/>
      </c>
      <c r="P462" s="13" t="str">
        <f aca="false">IF($C462="","",IF(G462&lt;=0,"",M462/G462))</f>
        <v/>
      </c>
      <c r="Q462" s="13" t="str">
        <f aca="false">IF(OR(N462="",O462="",P462=""),"",N462*O462*P462)</f>
        <v/>
      </c>
      <c r="R462" s="14" t="str">
        <f aca="false">IF($C462="","",IF(K462="","Machine not in Setup",IF(H462&gt;G462,"Rejects &gt; total parts",IF(J462&lt;0,"Downtime &gt; planned time",IF(AND(ISNUMBER(O462),O462&gt;1.05),"Performance &gt; 100%: check cycle time or counts","OK")))))</f>
        <v/>
      </c>
    </row>
    <row r="463" customFormat="false" ht="15" hidden="false" customHeight="false" outlineLevel="0" collapsed="false">
      <c r="A463" s="10"/>
      <c r="B463" s="8"/>
      <c r="C463" s="8"/>
      <c r="D463" s="8"/>
      <c r="E463" s="8"/>
      <c r="F463" s="8"/>
      <c r="G463" s="8"/>
      <c r="H463" s="8"/>
      <c r="I463" s="11" t="str">
        <f aca="false">IF($C463="","",D463-E463)</f>
        <v/>
      </c>
      <c r="J463" s="11" t="str">
        <f aca="false">IF($C463="","",I463-F463)</f>
        <v/>
      </c>
      <c r="K463" s="12" t="str">
        <f aca="false">IF($C463="","",IFERROR(INDEX(Setup!$B$5:$B$24,MATCH($C463,Setup!$A$5:$A$24,0)),""))</f>
        <v/>
      </c>
      <c r="L463" s="12" t="str">
        <f aca="false">IF(OR($C463="",K463=""),"",K463*G463/60)</f>
        <v/>
      </c>
      <c r="M463" s="11" t="str">
        <f aca="false">IF($C463="","",G463-H463)</f>
        <v/>
      </c>
      <c r="N463" s="13" t="str">
        <f aca="false">IF($C463="","",IF(I463&lt;=0,"",J463/I463))</f>
        <v/>
      </c>
      <c r="O463" s="13" t="str">
        <f aca="false">IF($C463="","",IF(OR(L463="",J463&lt;=0),"",L463/J463))</f>
        <v/>
      </c>
      <c r="P463" s="13" t="str">
        <f aca="false">IF($C463="","",IF(G463&lt;=0,"",M463/G463))</f>
        <v/>
      </c>
      <c r="Q463" s="13" t="str">
        <f aca="false">IF(OR(N463="",O463="",P463=""),"",N463*O463*P463)</f>
        <v/>
      </c>
      <c r="R463" s="14" t="str">
        <f aca="false">IF($C463="","",IF(K463="","Machine not in Setup",IF(H463&gt;G463,"Rejects &gt; total parts",IF(J463&lt;0,"Downtime &gt; planned time",IF(AND(ISNUMBER(O463),O463&gt;1.05),"Performance &gt; 100%: check cycle time or counts","OK")))))</f>
        <v/>
      </c>
    </row>
    <row r="464" customFormat="false" ht="15" hidden="false" customHeight="false" outlineLevel="0" collapsed="false">
      <c r="A464" s="10"/>
      <c r="B464" s="8"/>
      <c r="C464" s="8"/>
      <c r="D464" s="8"/>
      <c r="E464" s="8"/>
      <c r="F464" s="8"/>
      <c r="G464" s="8"/>
      <c r="H464" s="8"/>
      <c r="I464" s="11" t="str">
        <f aca="false">IF($C464="","",D464-E464)</f>
        <v/>
      </c>
      <c r="J464" s="11" t="str">
        <f aca="false">IF($C464="","",I464-F464)</f>
        <v/>
      </c>
      <c r="K464" s="12" t="str">
        <f aca="false">IF($C464="","",IFERROR(INDEX(Setup!$B$5:$B$24,MATCH($C464,Setup!$A$5:$A$24,0)),""))</f>
        <v/>
      </c>
      <c r="L464" s="12" t="str">
        <f aca="false">IF(OR($C464="",K464=""),"",K464*G464/60)</f>
        <v/>
      </c>
      <c r="M464" s="11" t="str">
        <f aca="false">IF($C464="","",G464-H464)</f>
        <v/>
      </c>
      <c r="N464" s="13" t="str">
        <f aca="false">IF($C464="","",IF(I464&lt;=0,"",J464/I464))</f>
        <v/>
      </c>
      <c r="O464" s="13" t="str">
        <f aca="false">IF($C464="","",IF(OR(L464="",J464&lt;=0),"",L464/J464))</f>
        <v/>
      </c>
      <c r="P464" s="13" t="str">
        <f aca="false">IF($C464="","",IF(G464&lt;=0,"",M464/G464))</f>
        <v/>
      </c>
      <c r="Q464" s="13" t="str">
        <f aca="false">IF(OR(N464="",O464="",P464=""),"",N464*O464*P464)</f>
        <v/>
      </c>
      <c r="R464" s="14" t="str">
        <f aca="false">IF($C464="","",IF(K464="","Machine not in Setup",IF(H464&gt;G464,"Rejects &gt; total parts",IF(J464&lt;0,"Downtime &gt; planned time",IF(AND(ISNUMBER(O464),O464&gt;1.05),"Performance &gt; 100%: check cycle time or counts","OK")))))</f>
        <v/>
      </c>
    </row>
    <row r="465" customFormat="false" ht="15" hidden="false" customHeight="false" outlineLevel="0" collapsed="false">
      <c r="A465" s="10"/>
      <c r="B465" s="8"/>
      <c r="C465" s="8"/>
      <c r="D465" s="8"/>
      <c r="E465" s="8"/>
      <c r="F465" s="8"/>
      <c r="G465" s="8"/>
      <c r="H465" s="8"/>
      <c r="I465" s="11" t="str">
        <f aca="false">IF($C465="","",D465-E465)</f>
        <v/>
      </c>
      <c r="J465" s="11" t="str">
        <f aca="false">IF($C465="","",I465-F465)</f>
        <v/>
      </c>
      <c r="K465" s="12" t="str">
        <f aca="false">IF($C465="","",IFERROR(INDEX(Setup!$B$5:$B$24,MATCH($C465,Setup!$A$5:$A$24,0)),""))</f>
        <v/>
      </c>
      <c r="L465" s="12" t="str">
        <f aca="false">IF(OR($C465="",K465=""),"",K465*G465/60)</f>
        <v/>
      </c>
      <c r="M465" s="11" t="str">
        <f aca="false">IF($C465="","",G465-H465)</f>
        <v/>
      </c>
      <c r="N465" s="13" t="str">
        <f aca="false">IF($C465="","",IF(I465&lt;=0,"",J465/I465))</f>
        <v/>
      </c>
      <c r="O465" s="13" t="str">
        <f aca="false">IF($C465="","",IF(OR(L465="",J465&lt;=0),"",L465/J465))</f>
        <v/>
      </c>
      <c r="P465" s="13" t="str">
        <f aca="false">IF($C465="","",IF(G465&lt;=0,"",M465/G465))</f>
        <v/>
      </c>
      <c r="Q465" s="13" t="str">
        <f aca="false">IF(OR(N465="",O465="",P465=""),"",N465*O465*P465)</f>
        <v/>
      </c>
      <c r="R465" s="14" t="str">
        <f aca="false">IF($C465="","",IF(K465="","Machine not in Setup",IF(H465&gt;G465,"Rejects &gt; total parts",IF(J465&lt;0,"Downtime &gt; planned time",IF(AND(ISNUMBER(O465),O465&gt;1.05),"Performance &gt; 100%: check cycle time or counts","OK")))))</f>
        <v/>
      </c>
    </row>
    <row r="466" customFormat="false" ht="15" hidden="false" customHeight="false" outlineLevel="0" collapsed="false">
      <c r="A466" s="10"/>
      <c r="B466" s="8"/>
      <c r="C466" s="8"/>
      <c r="D466" s="8"/>
      <c r="E466" s="8"/>
      <c r="F466" s="8"/>
      <c r="G466" s="8"/>
      <c r="H466" s="8"/>
      <c r="I466" s="11" t="str">
        <f aca="false">IF($C466="","",D466-E466)</f>
        <v/>
      </c>
      <c r="J466" s="11" t="str">
        <f aca="false">IF($C466="","",I466-F466)</f>
        <v/>
      </c>
      <c r="K466" s="12" t="str">
        <f aca="false">IF($C466="","",IFERROR(INDEX(Setup!$B$5:$B$24,MATCH($C466,Setup!$A$5:$A$24,0)),""))</f>
        <v/>
      </c>
      <c r="L466" s="12" t="str">
        <f aca="false">IF(OR($C466="",K466=""),"",K466*G466/60)</f>
        <v/>
      </c>
      <c r="M466" s="11" t="str">
        <f aca="false">IF($C466="","",G466-H466)</f>
        <v/>
      </c>
      <c r="N466" s="13" t="str">
        <f aca="false">IF($C466="","",IF(I466&lt;=0,"",J466/I466))</f>
        <v/>
      </c>
      <c r="O466" s="13" t="str">
        <f aca="false">IF($C466="","",IF(OR(L466="",J466&lt;=0),"",L466/J466))</f>
        <v/>
      </c>
      <c r="P466" s="13" t="str">
        <f aca="false">IF($C466="","",IF(G466&lt;=0,"",M466/G466))</f>
        <v/>
      </c>
      <c r="Q466" s="13" t="str">
        <f aca="false">IF(OR(N466="",O466="",P466=""),"",N466*O466*P466)</f>
        <v/>
      </c>
      <c r="R466" s="14" t="str">
        <f aca="false">IF($C466="","",IF(K466="","Machine not in Setup",IF(H466&gt;G466,"Rejects &gt; total parts",IF(J466&lt;0,"Downtime &gt; planned time",IF(AND(ISNUMBER(O466),O466&gt;1.05),"Performance &gt; 100%: check cycle time or counts","OK")))))</f>
        <v/>
      </c>
    </row>
    <row r="467" customFormat="false" ht="15" hidden="false" customHeight="false" outlineLevel="0" collapsed="false">
      <c r="A467" s="10"/>
      <c r="B467" s="8"/>
      <c r="C467" s="8"/>
      <c r="D467" s="8"/>
      <c r="E467" s="8"/>
      <c r="F467" s="8"/>
      <c r="G467" s="8"/>
      <c r="H467" s="8"/>
      <c r="I467" s="11" t="str">
        <f aca="false">IF($C467="","",D467-E467)</f>
        <v/>
      </c>
      <c r="J467" s="11" t="str">
        <f aca="false">IF($C467="","",I467-F467)</f>
        <v/>
      </c>
      <c r="K467" s="12" t="str">
        <f aca="false">IF($C467="","",IFERROR(INDEX(Setup!$B$5:$B$24,MATCH($C467,Setup!$A$5:$A$24,0)),""))</f>
        <v/>
      </c>
      <c r="L467" s="12" t="str">
        <f aca="false">IF(OR($C467="",K467=""),"",K467*G467/60)</f>
        <v/>
      </c>
      <c r="M467" s="11" t="str">
        <f aca="false">IF($C467="","",G467-H467)</f>
        <v/>
      </c>
      <c r="N467" s="13" t="str">
        <f aca="false">IF($C467="","",IF(I467&lt;=0,"",J467/I467))</f>
        <v/>
      </c>
      <c r="O467" s="13" t="str">
        <f aca="false">IF($C467="","",IF(OR(L467="",J467&lt;=0),"",L467/J467))</f>
        <v/>
      </c>
      <c r="P467" s="13" t="str">
        <f aca="false">IF($C467="","",IF(G467&lt;=0,"",M467/G467))</f>
        <v/>
      </c>
      <c r="Q467" s="13" t="str">
        <f aca="false">IF(OR(N467="",O467="",P467=""),"",N467*O467*P467)</f>
        <v/>
      </c>
      <c r="R467" s="14" t="str">
        <f aca="false">IF($C467="","",IF(K467="","Machine not in Setup",IF(H467&gt;G467,"Rejects &gt; total parts",IF(J467&lt;0,"Downtime &gt; planned time",IF(AND(ISNUMBER(O467),O467&gt;1.05),"Performance &gt; 100%: check cycle time or counts","OK")))))</f>
        <v/>
      </c>
    </row>
    <row r="468" customFormat="false" ht="15" hidden="false" customHeight="false" outlineLevel="0" collapsed="false">
      <c r="A468" s="10"/>
      <c r="B468" s="8"/>
      <c r="C468" s="8"/>
      <c r="D468" s="8"/>
      <c r="E468" s="8"/>
      <c r="F468" s="8"/>
      <c r="G468" s="8"/>
      <c r="H468" s="8"/>
      <c r="I468" s="11" t="str">
        <f aca="false">IF($C468="","",D468-E468)</f>
        <v/>
      </c>
      <c r="J468" s="11" t="str">
        <f aca="false">IF($C468="","",I468-F468)</f>
        <v/>
      </c>
      <c r="K468" s="12" t="str">
        <f aca="false">IF($C468="","",IFERROR(INDEX(Setup!$B$5:$B$24,MATCH($C468,Setup!$A$5:$A$24,0)),""))</f>
        <v/>
      </c>
      <c r="L468" s="12" t="str">
        <f aca="false">IF(OR($C468="",K468=""),"",K468*G468/60)</f>
        <v/>
      </c>
      <c r="M468" s="11" t="str">
        <f aca="false">IF($C468="","",G468-H468)</f>
        <v/>
      </c>
      <c r="N468" s="13" t="str">
        <f aca="false">IF($C468="","",IF(I468&lt;=0,"",J468/I468))</f>
        <v/>
      </c>
      <c r="O468" s="13" t="str">
        <f aca="false">IF($C468="","",IF(OR(L468="",J468&lt;=0),"",L468/J468))</f>
        <v/>
      </c>
      <c r="P468" s="13" t="str">
        <f aca="false">IF($C468="","",IF(G468&lt;=0,"",M468/G468))</f>
        <v/>
      </c>
      <c r="Q468" s="13" t="str">
        <f aca="false">IF(OR(N468="",O468="",P468=""),"",N468*O468*P468)</f>
        <v/>
      </c>
      <c r="R468" s="14" t="str">
        <f aca="false">IF($C468="","",IF(K468="","Machine not in Setup",IF(H468&gt;G468,"Rejects &gt; total parts",IF(J468&lt;0,"Downtime &gt; planned time",IF(AND(ISNUMBER(O468),O468&gt;1.05),"Performance &gt; 100%: check cycle time or counts","OK")))))</f>
        <v/>
      </c>
    </row>
    <row r="469" customFormat="false" ht="15" hidden="false" customHeight="false" outlineLevel="0" collapsed="false">
      <c r="A469" s="10"/>
      <c r="B469" s="8"/>
      <c r="C469" s="8"/>
      <c r="D469" s="8"/>
      <c r="E469" s="8"/>
      <c r="F469" s="8"/>
      <c r="G469" s="8"/>
      <c r="H469" s="8"/>
      <c r="I469" s="11" t="str">
        <f aca="false">IF($C469="","",D469-E469)</f>
        <v/>
      </c>
      <c r="J469" s="11" t="str">
        <f aca="false">IF($C469="","",I469-F469)</f>
        <v/>
      </c>
      <c r="K469" s="12" t="str">
        <f aca="false">IF($C469="","",IFERROR(INDEX(Setup!$B$5:$B$24,MATCH($C469,Setup!$A$5:$A$24,0)),""))</f>
        <v/>
      </c>
      <c r="L469" s="12" t="str">
        <f aca="false">IF(OR($C469="",K469=""),"",K469*G469/60)</f>
        <v/>
      </c>
      <c r="M469" s="11" t="str">
        <f aca="false">IF($C469="","",G469-H469)</f>
        <v/>
      </c>
      <c r="N469" s="13" t="str">
        <f aca="false">IF($C469="","",IF(I469&lt;=0,"",J469/I469))</f>
        <v/>
      </c>
      <c r="O469" s="13" t="str">
        <f aca="false">IF($C469="","",IF(OR(L469="",J469&lt;=0),"",L469/J469))</f>
        <v/>
      </c>
      <c r="P469" s="13" t="str">
        <f aca="false">IF($C469="","",IF(G469&lt;=0,"",M469/G469))</f>
        <v/>
      </c>
      <c r="Q469" s="13" t="str">
        <f aca="false">IF(OR(N469="",O469="",P469=""),"",N469*O469*P469)</f>
        <v/>
      </c>
      <c r="R469" s="14" t="str">
        <f aca="false">IF($C469="","",IF(K469="","Machine not in Setup",IF(H469&gt;G469,"Rejects &gt; total parts",IF(J469&lt;0,"Downtime &gt; planned time",IF(AND(ISNUMBER(O469),O469&gt;1.05),"Performance &gt; 100%: check cycle time or counts","OK")))))</f>
        <v/>
      </c>
    </row>
    <row r="470" customFormat="false" ht="15" hidden="false" customHeight="false" outlineLevel="0" collapsed="false">
      <c r="A470" s="10"/>
      <c r="B470" s="8"/>
      <c r="C470" s="8"/>
      <c r="D470" s="8"/>
      <c r="E470" s="8"/>
      <c r="F470" s="8"/>
      <c r="G470" s="8"/>
      <c r="H470" s="8"/>
      <c r="I470" s="11" t="str">
        <f aca="false">IF($C470="","",D470-E470)</f>
        <v/>
      </c>
      <c r="J470" s="11" t="str">
        <f aca="false">IF($C470="","",I470-F470)</f>
        <v/>
      </c>
      <c r="K470" s="12" t="str">
        <f aca="false">IF($C470="","",IFERROR(INDEX(Setup!$B$5:$B$24,MATCH($C470,Setup!$A$5:$A$24,0)),""))</f>
        <v/>
      </c>
      <c r="L470" s="12" t="str">
        <f aca="false">IF(OR($C470="",K470=""),"",K470*G470/60)</f>
        <v/>
      </c>
      <c r="M470" s="11" t="str">
        <f aca="false">IF($C470="","",G470-H470)</f>
        <v/>
      </c>
      <c r="N470" s="13" t="str">
        <f aca="false">IF($C470="","",IF(I470&lt;=0,"",J470/I470))</f>
        <v/>
      </c>
      <c r="O470" s="13" t="str">
        <f aca="false">IF($C470="","",IF(OR(L470="",J470&lt;=0),"",L470/J470))</f>
        <v/>
      </c>
      <c r="P470" s="13" t="str">
        <f aca="false">IF($C470="","",IF(G470&lt;=0,"",M470/G470))</f>
        <v/>
      </c>
      <c r="Q470" s="13" t="str">
        <f aca="false">IF(OR(N470="",O470="",P470=""),"",N470*O470*P470)</f>
        <v/>
      </c>
      <c r="R470" s="14" t="str">
        <f aca="false">IF($C470="","",IF(K470="","Machine not in Setup",IF(H470&gt;G470,"Rejects &gt; total parts",IF(J470&lt;0,"Downtime &gt; planned time",IF(AND(ISNUMBER(O470),O470&gt;1.05),"Performance &gt; 100%: check cycle time or counts","OK")))))</f>
        <v/>
      </c>
    </row>
    <row r="471" customFormat="false" ht="15" hidden="false" customHeight="false" outlineLevel="0" collapsed="false">
      <c r="A471" s="10"/>
      <c r="B471" s="8"/>
      <c r="C471" s="8"/>
      <c r="D471" s="8"/>
      <c r="E471" s="8"/>
      <c r="F471" s="8"/>
      <c r="G471" s="8"/>
      <c r="H471" s="8"/>
      <c r="I471" s="11" t="str">
        <f aca="false">IF($C471="","",D471-E471)</f>
        <v/>
      </c>
      <c r="J471" s="11" t="str">
        <f aca="false">IF($C471="","",I471-F471)</f>
        <v/>
      </c>
      <c r="K471" s="12" t="str">
        <f aca="false">IF($C471="","",IFERROR(INDEX(Setup!$B$5:$B$24,MATCH($C471,Setup!$A$5:$A$24,0)),""))</f>
        <v/>
      </c>
      <c r="L471" s="12" t="str">
        <f aca="false">IF(OR($C471="",K471=""),"",K471*G471/60)</f>
        <v/>
      </c>
      <c r="M471" s="11" t="str">
        <f aca="false">IF($C471="","",G471-H471)</f>
        <v/>
      </c>
      <c r="N471" s="13" t="str">
        <f aca="false">IF($C471="","",IF(I471&lt;=0,"",J471/I471))</f>
        <v/>
      </c>
      <c r="O471" s="13" t="str">
        <f aca="false">IF($C471="","",IF(OR(L471="",J471&lt;=0),"",L471/J471))</f>
        <v/>
      </c>
      <c r="P471" s="13" t="str">
        <f aca="false">IF($C471="","",IF(G471&lt;=0,"",M471/G471))</f>
        <v/>
      </c>
      <c r="Q471" s="13" t="str">
        <f aca="false">IF(OR(N471="",O471="",P471=""),"",N471*O471*P471)</f>
        <v/>
      </c>
      <c r="R471" s="14" t="str">
        <f aca="false">IF($C471="","",IF(K471="","Machine not in Setup",IF(H471&gt;G471,"Rejects &gt; total parts",IF(J471&lt;0,"Downtime &gt; planned time",IF(AND(ISNUMBER(O471),O471&gt;1.05),"Performance &gt; 100%: check cycle time or counts","OK")))))</f>
        <v/>
      </c>
    </row>
    <row r="472" customFormat="false" ht="15" hidden="false" customHeight="false" outlineLevel="0" collapsed="false">
      <c r="A472" s="10"/>
      <c r="B472" s="8"/>
      <c r="C472" s="8"/>
      <c r="D472" s="8"/>
      <c r="E472" s="8"/>
      <c r="F472" s="8"/>
      <c r="G472" s="8"/>
      <c r="H472" s="8"/>
      <c r="I472" s="11" t="str">
        <f aca="false">IF($C472="","",D472-E472)</f>
        <v/>
      </c>
      <c r="J472" s="11" t="str">
        <f aca="false">IF($C472="","",I472-F472)</f>
        <v/>
      </c>
      <c r="K472" s="12" t="str">
        <f aca="false">IF($C472="","",IFERROR(INDEX(Setup!$B$5:$B$24,MATCH($C472,Setup!$A$5:$A$24,0)),""))</f>
        <v/>
      </c>
      <c r="L472" s="12" t="str">
        <f aca="false">IF(OR($C472="",K472=""),"",K472*G472/60)</f>
        <v/>
      </c>
      <c r="M472" s="11" t="str">
        <f aca="false">IF($C472="","",G472-H472)</f>
        <v/>
      </c>
      <c r="N472" s="13" t="str">
        <f aca="false">IF($C472="","",IF(I472&lt;=0,"",J472/I472))</f>
        <v/>
      </c>
      <c r="O472" s="13" t="str">
        <f aca="false">IF($C472="","",IF(OR(L472="",J472&lt;=0),"",L472/J472))</f>
        <v/>
      </c>
      <c r="P472" s="13" t="str">
        <f aca="false">IF($C472="","",IF(G472&lt;=0,"",M472/G472))</f>
        <v/>
      </c>
      <c r="Q472" s="13" t="str">
        <f aca="false">IF(OR(N472="",O472="",P472=""),"",N472*O472*P472)</f>
        <v/>
      </c>
      <c r="R472" s="14" t="str">
        <f aca="false">IF($C472="","",IF(K472="","Machine not in Setup",IF(H472&gt;G472,"Rejects &gt; total parts",IF(J472&lt;0,"Downtime &gt; planned time",IF(AND(ISNUMBER(O472),O472&gt;1.05),"Performance &gt; 100%: check cycle time or counts","OK")))))</f>
        <v/>
      </c>
    </row>
    <row r="473" customFormat="false" ht="15" hidden="false" customHeight="false" outlineLevel="0" collapsed="false">
      <c r="A473" s="10"/>
      <c r="B473" s="8"/>
      <c r="C473" s="8"/>
      <c r="D473" s="8"/>
      <c r="E473" s="8"/>
      <c r="F473" s="8"/>
      <c r="G473" s="8"/>
      <c r="H473" s="8"/>
      <c r="I473" s="11" t="str">
        <f aca="false">IF($C473="","",D473-E473)</f>
        <v/>
      </c>
      <c r="J473" s="11" t="str">
        <f aca="false">IF($C473="","",I473-F473)</f>
        <v/>
      </c>
      <c r="K473" s="12" t="str">
        <f aca="false">IF($C473="","",IFERROR(INDEX(Setup!$B$5:$B$24,MATCH($C473,Setup!$A$5:$A$24,0)),""))</f>
        <v/>
      </c>
      <c r="L473" s="12" t="str">
        <f aca="false">IF(OR($C473="",K473=""),"",K473*G473/60)</f>
        <v/>
      </c>
      <c r="M473" s="11" t="str">
        <f aca="false">IF($C473="","",G473-H473)</f>
        <v/>
      </c>
      <c r="N473" s="13" t="str">
        <f aca="false">IF($C473="","",IF(I473&lt;=0,"",J473/I473))</f>
        <v/>
      </c>
      <c r="O473" s="13" t="str">
        <f aca="false">IF($C473="","",IF(OR(L473="",J473&lt;=0),"",L473/J473))</f>
        <v/>
      </c>
      <c r="P473" s="13" t="str">
        <f aca="false">IF($C473="","",IF(G473&lt;=0,"",M473/G473))</f>
        <v/>
      </c>
      <c r="Q473" s="13" t="str">
        <f aca="false">IF(OR(N473="",O473="",P473=""),"",N473*O473*P473)</f>
        <v/>
      </c>
      <c r="R473" s="14" t="str">
        <f aca="false">IF($C473="","",IF(K473="","Machine not in Setup",IF(H473&gt;G473,"Rejects &gt; total parts",IF(J473&lt;0,"Downtime &gt; planned time",IF(AND(ISNUMBER(O473),O473&gt;1.05),"Performance &gt; 100%: check cycle time or counts","OK")))))</f>
        <v/>
      </c>
    </row>
    <row r="474" customFormat="false" ht="15" hidden="false" customHeight="false" outlineLevel="0" collapsed="false">
      <c r="A474" s="10"/>
      <c r="B474" s="8"/>
      <c r="C474" s="8"/>
      <c r="D474" s="8"/>
      <c r="E474" s="8"/>
      <c r="F474" s="8"/>
      <c r="G474" s="8"/>
      <c r="H474" s="8"/>
      <c r="I474" s="11" t="str">
        <f aca="false">IF($C474="","",D474-E474)</f>
        <v/>
      </c>
      <c r="J474" s="11" t="str">
        <f aca="false">IF($C474="","",I474-F474)</f>
        <v/>
      </c>
      <c r="K474" s="12" t="str">
        <f aca="false">IF($C474="","",IFERROR(INDEX(Setup!$B$5:$B$24,MATCH($C474,Setup!$A$5:$A$24,0)),""))</f>
        <v/>
      </c>
      <c r="L474" s="12" t="str">
        <f aca="false">IF(OR($C474="",K474=""),"",K474*G474/60)</f>
        <v/>
      </c>
      <c r="M474" s="11" t="str">
        <f aca="false">IF($C474="","",G474-H474)</f>
        <v/>
      </c>
      <c r="N474" s="13" t="str">
        <f aca="false">IF($C474="","",IF(I474&lt;=0,"",J474/I474))</f>
        <v/>
      </c>
      <c r="O474" s="13" t="str">
        <f aca="false">IF($C474="","",IF(OR(L474="",J474&lt;=0),"",L474/J474))</f>
        <v/>
      </c>
      <c r="P474" s="13" t="str">
        <f aca="false">IF($C474="","",IF(G474&lt;=0,"",M474/G474))</f>
        <v/>
      </c>
      <c r="Q474" s="13" t="str">
        <f aca="false">IF(OR(N474="",O474="",P474=""),"",N474*O474*P474)</f>
        <v/>
      </c>
      <c r="R474" s="14" t="str">
        <f aca="false">IF($C474="","",IF(K474="","Machine not in Setup",IF(H474&gt;G474,"Rejects &gt; total parts",IF(J474&lt;0,"Downtime &gt; planned time",IF(AND(ISNUMBER(O474),O474&gt;1.05),"Performance &gt; 100%: check cycle time or counts","OK")))))</f>
        <v/>
      </c>
    </row>
    <row r="475" customFormat="false" ht="15" hidden="false" customHeight="false" outlineLevel="0" collapsed="false">
      <c r="A475" s="10"/>
      <c r="B475" s="8"/>
      <c r="C475" s="8"/>
      <c r="D475" s="8"/>
      <c r="E475" s="8"/>
      <c r="F475" s="8"/>
      <c r="G475" s="8"/>
      <c r="H475" s="8"/>
      <c r="I475" s="11" t="str">
        <f aca="false">IF($C475="","",D475-E475)</f>
        <v/>
      </c>
      <c r="J475" s="11" t="str">
        <f aca="false">IF($C475="","",I475-F475)</f>
        <v/>
      </c>
      <c r="K475" s="12" t="str">
        <f aca="false">IF($C475="","",IFERROR(INDEX(Setup!$B$5:$B$24,MATCH($C475,Setup!$A$5:$A$24,0)),""))</f>
        <v/>
      </c>
      <c r="L475" s="12" t="str">
        <f aca="false">IF(OR($C475="",K475=""),"",K475*G475/60)</f>
        <v/>
      </c>
      <c r="M475" s="11" t="str">
        <f aca="false">IF($C475="","",G475-H475)</f>
        <v/>
      </c>
      <c r="N475" s="13" t="str">
        <f aca="false">IF($C475="","",IF(I475&lt;=0,"",J475/I475))</f>
        <v/>
      </c>
      <c r="O475" s="13" t="str">
        <f aca="false">IF($C475="","",IF(OR(L475="",J475&lt;=0),"",L475/J475))</f>
        <v/>
      </c>
      <c r="P475" s="13" t="str">
        <f aca="false">IF($C475="","",IF(G475&lt;=0,"",M475/G475))</f>
        <v/>
      </c>
      <c r="Q475" s="13" t="str">
        <f aca="false">IF(OR(N475="",O475="",P475=""),"",N475*O475*P475)</f>
        <v/>
      </c>
      <c r="R475" s="14" t="str">
        <f aca="false">IF($C475="","",IF(K475="","Machine not in Setup",IF(H475&gt;G475,"Rejects &gt; total parts",IF(J475&lt;0,"Downtime &gt; planned time",IF(AND(ISNUMBER(O475),O475&gt;1.05),"Performance &gt; 100%: check cycle time or counts","OK")))))</f>
        <v/>
      </c>
    </row>
    <row r="476" customFormat="false" ht="15" hidden="false" customHeight="false" outlineLevel="0" collapsed="false">
      <c r="A476" s="10"/>
      <c r="B476" s="8"/>
      <c r="C476" s="8"/>
      <c r="D476" s="8"/>
      <c r="E476" s="8"/>
      <c r="F476" s="8"/>
      <c r="G476" s="8"/>
      <c r="H476" s="8"/>
      <c r="I476" s="11" t="str">
        <f aca="false">IF($C476="","",D476-E476)</f>
        <v/>
      </c>
      <c r="J476" s="11" t="str">
        <f aca="false">IF($C476="","",I476-F476)</f>
        <v/>
      </c>
      <c r="K476" s="12" t="str">
        <f aca="false">IF($C476="","",IFERROR(INDEX(Setup!$B$5:$B$24,MATCH($C476,Setup!$A$5:$A$24,0)),""))</f>
        <v/>
      </c>
      <c r="L476" s="12" t="str">
        <f aca="false">IF(OR($C476="",K476=""),"",K476*G476/60)</f>
        <v/>
      </c>
      <c r="M476" s="11" t="str">
        <f aca="false">IF($C476="","",G476-H476)</f>
        <v/>
      </c>
      <c r="N476" s="13" t="str">
        <f aca="false">IF($C476="","",IF(I476&lt;=0,"",J476/I476))</f>
        <v/>
      </c>
      <c r="O476" s="13" t="str">
        <f aca="false">IF($C476="","",IF(OR(L476="",J476&lt;=0),"",L476/J476))</f>
        <v/>
      </c>
      <c r="P476" s="13" t="str">
        <f aca="false">IF($C476="","",IF(G476&lt;=0,"",M476/G476))</f>
        <v/>
      </c>
      <c r="Q476" s="13" t="str">
        <f aca="false">IF(OR(N476="",O476="",P476=""),"",N476*O476*P476)</f>
        <v/>
      </c>
      <c r="R476" s="14" t="str">
        <f aca="false">IF($C476="","",IF(K476="","Machine not in Setup",IF(H476&gt;G476,"Rejects &gt; total parts",IF(J476&lt;0,"Downtime &gt; planned time",IF(AND(ISNUMBER(O476),O476&gt;1.05),"Performance &gt; 100%: check cycle time or counts","OK")))))</f>
        <v/>
      </c>
    </row>
    <row r="477" customFormat="false" ht="15" hidden="false" customHeight="false" outlineLevel="0" collapsed="false">
      <c r="A477" s="10"/>
      <c r="B477" s="8"/>
      <c r="C477" s="8"/>
      <c r="D477" s="8"/>
      <c r="E477" s="8"/>
      <c r="F477" s="8"/>
      <c r="G477" s="8"/>
      <c r="H477" s="8"/>
      <c r="I477" s="11" t="str">
        <f aca="false">IF($C477="","",D477-E477)</f>
        <v/>
      </c>
      <c r="J477" s="11" t="str">
        <f aca="false">IF($C477="","",I477-F477)</f>
        <v/>
      </c>
      <c r="K477" s="12" t="str">
        <f aca="false">IF($C477="","",IFERROR(INDEX(Setup!$B$5:$B$24,MATCH($C477,Setup!$A$5:$A$24,0)),""))</f>
        <v/>
      </c>
      <c r="L477" s="12" t="str">
        <f aca="false">IF(OR($C477="",K477=""),"",K477*G477/60)</f>
        <v/>
      </c>
      <c r="M477" s="11" t="str">
        <f aca="false">IF($C477="","",G477-H477)</f>
        <v/>
      </c>
      <c r="N477" s="13" t="str">
        <f aca="false">IF($C477="","",IF(I477&lt;=0,"",J477/I477))</f>
        <v/>
      </c>
      <c r="O477" s="13" t="str">
        <f aca="false">IF($C477="","",IF(OR(L477="",J477&lt;=0),"",L477/J477))</f>
        <v/>
      </c>
      <c r="P477" s="13" t="str">
        <f aca="false">IF($C477="","",IF(G477&lt;=0,"",M477/G477))</f>
        <v/>
      </c>
      <c r="Q477" s="13" t="str">
        <f aca="false">IF(OR(N477="",O477="",P477=""),"",N477*O477*P477)</f>
        <v/>
      </c>
      <c r="R477" s="14" t="str">
        <f aca="false">IF($C477="","",IF(K477="","Machine not in Setup",IF(H477&gt;G477,"Rejects &gt; total parts",IF(J477&lt;0,"Downtime &gt; planned time",IF(AND(ISNUMBER(O477),O477&gt;1.05),"Performance &gt; 100%: check cycle time or counts","OK")))))</f>
        <v/>
      </c>
    </row>
    <row r="478" customFormat="false" ht="15" hidden="false" customHeight="false" outlineLevel="0" collapsed="false">
      <c r="A478" s="10"/>
      <c r="B478" s="8"/>
      <c r="C478" s="8"/>
      <c r="D478" s="8"/>
      <c r="E478" s="8"/>
      <c r="F478" s="8"/>
      <c r="G478" s="8"/>
      <c r="H478" s="8"/>
      <c r="I478" s="11" t="str">
        <f aca="false">IF($C478="","",D478-E478)</f>
        <v/>
      </c>
      <c r="J478" s="11" t="str">
        <f aca="false">IF($C478="","",I478-F478)</f>
        <v/>
      </c>
      <c r="K478" s="12" t="str">
        <f aca="false">IF($C478="","",IFERROR(INDEX(Setup!$B$5:$B$24,MATCH($C478,Setup!$A$5:$A$24,0)),""))</f>
        <v/>
      </c>
      <c r="L478" s="12" t="str">
        <f aca="false">IF(OR($C478="",K478=""),"",K478*G478/60)</f>
        <v/>
      </c>
      <c r="M478" s="11" t="str">
        <f aca="false">IF($C478="","",G478-H478)</f>
        <v/>
      </c>
      <c r="N478" s="13" t="str">
        <f aca="false">IF($C478="","",IF(I478&lt;=0,"",J478/I478))</f>
        <v/>
      </c>
      <c r="O478" s="13" t="str">
        <f aca="false">IF($C478="","",IF(OR(L478="",J478&lt;=0),"",L478/J478))</f>
        <v/>
      </c>
      <c r="P478" s="13" t="str">
        <f aca="false">IF($C478="","",IF(G478&lt;=0,"",M478/G478))</f>
        <v/>
      </c>
      <c r="Q478" s="13" t="str">
        <f aca="false">IF(OR(N478="",O478="",P478=""),"",N478*O478*P478)</f>
        <v/>
      </c>
      <c r="R478" s="14" t="str">
        <f aca="false">IF($C478="","",IF(K478="","Machine not in Setup",IF(H478&gt;G478,"Rejects &gt; total parts",IF(J478&lt;0,"Downtime &gt; planned time",IF(AND(ISNUMBER(O478),O478&gt;1.05),"Performance &gt; 100%: check cycle time or counts","OK")))))</f>
        <v/>
      </c>
    </row>
    <row r="479" customFormat="false" ht="15" hidden="false" customHeight="false" outlineLevel="0" collapsed="false">
      <c r="A479" s="10"/>
      <c r="B479" s="8"/>
      <c r="C479" s="8"/>
      <c r="D479" s="8"/>
      <c r="E479" s="8"/>
      <c r="F479" s="8"/>
      <c r="G479" s="8"/>
      <c r="H479" s="8"/>
      <c r="I479" s="11" t="str">
        <f aca="false">IF($C479="","",D479-E479)</f>
        <v/>
      </c>
      <c r="J479" s="11" t="str">
        <f aca="false">IF($C479="","",I479-F479)</f>
        <v/>
      </c>
      <c r="K479" s="12" t="str">
        <f aca="false">IF($C479="","",IFERROR(INDEX(Setup!$B$5:$B$24,MATCH($C479,Setup!$A$5:$A$24,0)),""))</f>
        <v/>
      </c>
      <c r="L479" s="12" t="str">
        <f aca="false">IF(OR($C479="",K479=""),"",K479*G479/60)</f>
        <v/>
      </c>
      <c r="M479" s="11" t="str">
        <f aca="false">IF($C479="","",G479-H479)</f>
        <v/>
      </c>
      <c r="N479" s="13" t="str">
        <f aca="false">IF($C479="","",IF(I479&lt;=0,"",J479/I479))</f>
        <v/>
      </c>
      <c r="O479" s="13" t="str">
        <f aca="false">IF($C479="","",IF(OR(L479="",J479&lt;=0),"",L479/J479))</f>
        <v/>
      </c>
      <c r="P479" s="13" t="str">
        <f aca="false">IF($C479="","",IF(G479&lt;=0,"",M479/G479))</f>
        <v/>
      </c>
      <c r="Q479" s="13" t="str">
        <f aca="false">IF(OR(N479="",O479="",P479=""),"",N479*O479*P479)</f>
        <v/>
      </c>
      <c r="R479" s="14" t="str">
        <f aca="false">IF($C479="","",IF(K479="","Machine not in Setup",IF(H479&gt;G479,"Rejects &gt; total parts",IF(J479&lt;0,"Downtime &gt; planned time",IF(AND(ISNUMBER(O479),O479&gt;1.05),"Performance &gt; 100%: check cycle time or counts","OK")))))</f>
        <v/>
      </c>
    </row>
    <row r="480" customFormat="false" ht="15" hidden="false" customHeight="false" outlineLevel="0" collapsed="false">
      <c r="A480" s="10"/>
      <c r="B480" s="8"/>
      <c r="C480" s="8"/>
      <c r="D480" s="8"/>
      <c r="E480" s="8"/>
      <c r="F480" s="8"/>
      <c r="G480" s="8"/>
      <c r="H480" s="8"/>
      <c r="I480" s="11" t="str">
        <f aca="false">IF($C480="","",D480-E480)</f>
        <v/>
      </c>
      <c r="J480" s="11" t="str">
        <f aca="false">IF($C480="","",I480-F480)</f>
        <v/>
      </c>
      <c r="K480" s="12" t="str">
        <f aca="false">IF($C480="","",IFERROR(INDEX(Setup!$B$5:$B$24,MATCH($C480,Setup!$A$5:$A$24,0)),""))</f>
        <v/>
      </c>
      <c r="L480" s="12" t="str">
        <f aca="false">IF(OR($C480="",K480=""),"",K480*G480/60)</f>
        <v/>
      </c>
      <c r="M480" s="11" t="str">
        <f aca="false">IF($C480="","",G480-H480)</f>
        <v/>
      </c>
      <c r="N480" s="13" t="str">
        <f aca="false">IF($C480="","",IF(I480&lt;=0,"",J480/I480))</f>
        <v/>
      </c>
      <c r="O480" s="13" t="str">
        <f aca="false">IF($C480="","",IF(OR(L480="",J480&lt;=0),"",L480/J480))</f>
        <v/>
      </c>
      <c r="P480" s="13" t="str">
        <f aca="false">IF($C480="","",IF(G480&lt;=0,"",M480/G480))</f>
        <v/>
      </c>
      <c r="Q480" s="13" t="str">
        <f aca="false">IF(OR(N480="",O480="",P480=""),"",N480*O480*P480)</f>
        <v/>
      </c>
      <c r="R480" s="14" t="str">
        <f aca="false">IF($C480="","",IF(K480="","Machine not in Setup",IF(H480&gt;G480,"Rejects &gt; total parts",IF(J480&lt;0,"Downtime &gt; planned time",IF(AND(ISNUMBER(O480),O480&gt;1.05),"Performance &gt; 100%: check cycle time or counts","OK")))))</f>
        <v/>
      </c>
    </row>
    <row r="481" customFormat="false" ht="15" hidden="false" customHeight="false" outlineLevel="0" collapsed="false">
      <c r="A481" s="10"/>
      <c r="B481" s="8"/>
      <c r="C481" s="8"/>
      <c r="D481" s="8"/>
      <c r="E481" s="8"/>
      <c r="F481" s="8"/>
      <c r="G481" s="8"/>
      <c r="H481" s="8"/>
      <c r="I481" s="11" t="str">
        <f aca="false">IF($C481="","",D481-E481)</f>
        <v/>
      </c>
      <c r="J481" s="11" t="str">
        <f aca="false">IF($C481="","",I481-F481)</f>
        <v/>
      </c>
      <c r="K481" s="12" t="str">
        <f aca="false">IF($C481="","",IFERROR(INDEX(Setup!$B$5:$B$24,MATCH($C481,Setup!$A$5:$A$24,0)),""))</f>
        <v/>
      </c>
      <c r="L481" s="12" t="str">
        <f aca="false">IF(OR($C481="",K481=""),"",K481*G481/60)</f>
        <v/>
      </c>
      <c r="M481" s="11" t="str">
        <f aca="false">IF($C481="","",G481-H481)</f>
        <v/>
      </c>
      <c r="N481" s="13" t="str">
        <f aca="false">IF($C481="","",IF(I481&lt;=0,"",J481/I481))</f>
        <v/>
      </c>
      <c r="O481" s="13" t="str">
        <f aca="false">IF($C481="","",IF(OR(L481="",J481&lt;=0),"",L481/J481))</f>
        <v/>
      </c>
      <c r="P481" s="13" t="str">
        <f aca="false">IF($C481="","",IF(G481&lt;=0,"",M481/G481))</f>
        <v/>
      </c>
      <c r="Q481" s="13" t="str">
        <f aca="false">IF(OR(N481="",O481="",P481=""),"",N481*O481*P481)</f>
        <v/>
      </c>
      <c r="R481" s="14" t="str">
        <f aca="false">IF($C481="","",IF(K481="","Machine not in Setup",IF(H481&gt;G481,"Rejects &gt; total parts",IF(J481&lt;0,"Downtime &gt; planned time",IF(AND(ISNUMBER(O481),O481&gt;1.05),"Performance &gt; 100%: check cycle time or counts","OK")))))</f>
        <v/>
      </c>
    </row>
    <row r="482" customFormat="false" ht="15" hidden="false" customHeight="false" outlineLevel="0" collapsed="false">
      <c r="A482" s="10"/>
      <c r="B482" s="8"/>
      <c r="C482" s="8"/>
      <c r="D482" s="8"/>
      <c r="E482" s="8"/>
      <c r="F482" s="8"/>
      <c r="G482" s="8"/>
      <c r="H482" s="8"/>
      <c r="I482" s="11" t="str">
        <f aca="false">IF($C482="","",D482-E482)</f>
        <v/>
      </c>
      <c r="J482" s="11" t="str">
        <f aca="false">IF($C482="","",I482-F482)</f>
        <v/>
      </c>
      <c r="K482" s="12" t="str">
        <f aca="false">IF($C482="","",IFERROR(INDEX(Setup!$B$5:$B$24,MATCH($C482,Setup!$A$5:$A$24,0)),""))</f>
        <v/>
      </c>
      <c r="L482" s="12" t="str">
        <f aca="false">IF(OR($C482="",K482=""),"",K482*G482/60)</f>
        <v/>
      </c>
      <c r="M482" s="11" t="str">
        <f aca="false">IF($C482="","",G482-H482)</f>
        <v/>
      </c>
      <c r="N482" s="13" t="str">
        <f aca="false">IF($C482="","",IF(I482&lt;=0,"",J482/I482))</f>
        <v/>
      </c>
      <c r="O482" s="13" t="str">
        <f aca="false">IF($C482="","",IF(OR(L482="",J482&lt;=0),"",L482/J482))</f>
        <v/>
      </c>
      <c r="P482" s="13" t="str">
        <f aca="false">IF($C482="","",IF(G482&lt;=0,"",M482/G482))</f>
        <v/>
      </c>
      <c r="Q482" s="13" t="str">
        <f aca="false">IF(OR(N482="",O482="",P482=""),"",N482*O482*P482)</f>
        <v/>
      </c>
      <c r="R482" s="14" t="str">
        <f aca="false">IF($C482="","",IF(K482="","Machine not in Setup",IF(H482&gt;G482,"Rejects &gt; total parts",IF(J482&lt;0,"Downtime &gt; planned time",IF(AND(ISNUMBER(O482),O482&gt;1.05),"Performance &gt; 100%: check cycle time or counts","OK")))))</f>
        <v/>
      </c>
    </row>
    <row r="483" customFormat="false" ht="15" hidden="false" customHeight="false" outlineLevel="0" collapsed="false">
      <c r="A483" s="10"/>
      <c r="B483" s="8"/>
      <c r="C483" s="8"/>
      <c r="D483" s="8"/>
      <c r="E483" s="8"/>
      <c r="F483" s="8"/>
      <c r="G483" s="8"/>
      <c r="H483" s="8"/>
      <c r="I483" s="11" t="str">
        <f aca="false">IF($C483="","",D483-E483)</f>
        <v/>
      </c>
      <c r="J483" s="11" t="str">
        <f aca="false">IF($C483="","",I483-F483)</f>
        <v/>
      </c>
      <c r="K483" s="12" t="str">
        <f aca="false">IF($C483="","",IFERROR(INDEX(Setup!$B$5:$B$24,MATCH($C483,Setup!$A$5:$A$24,0)),""))</f>
        <v/>
      </c>
      <c r="L483" s="12" t="str">
        <f aca="false">IF(OR($C483="",K483=""),"",K483*G483/60)</f>
        <v/>
      </c>
      <c r="M483" s="11" t="str">
        <f aca="false">IF($C483="","",G483-H483)</f>
        <v/>
      </c>
      <c r="N483" s="13" t="str">
        <f aca="false">IF($C483="","",IF(I483&lt;=0,"",J483/I483))</f>
        <v/>
      </c>
      <c r="O483" s="13" t="str">
        <f aca="false">IF($C483="","",IF(OR(L483="",J483&lt;=0),"",L483/J483))</f>
        <v/>
      </c>
      <c r="P483" s="13" t="str">
        <f aca="false">IF($C483="","",IF(G483&lt;=0,"",M483/G483))</f>
        <v/>
      </c>
      <c r="Q483" s="13" t="str">
        <f aca="false">IF(OR(N483="",O483="",P483=""),"",N483*O483*P483)</f>
        <v/>
      </c>
      <c r="R483" s="14" t="str">
        <f aca="false">IF($C483="","",IF(K483="","Machine not in Setup",IF(H483&gt;G483,"Rejects &gt; total parts",IF(J483&lt;0,"Downtime &gt; planned time",IF(AND(ISNUMBER(O483),O483&gt;1.05),"Performance &gt; 100%: check cycle time or counts","OK")))))</f>
        <v/>
      </c>
    </row>
    <row r="484" customFormat="false" ht="15" hidden="false" customHeight="false" outlineLevel="0" collapsed="false">
      <c r="A484" s="10"/>
      <c r="B484" s="8"/>
      <c r="C484" s="8"/>
      <c r="D484" s="8"/>
      <c r="E484" s="8"/>
      <c r="F484" s="8"/>
      <c r="G484" s="8"/>
      <c r="H484" s="8"/>
      <c r="I484" s="11" t="str">
        <f aca="false">IF($C484="","",D484-E484)</f>
        <v/>
      </c>
      <c r="J484" s="11" t="str">
        <f aca="false">IF($C484="","",I484-F484)</f>
        <v/>
      </c>
      <c r="K484" s="12" t="str">
        <f aca="false">IF($C484="","",IFERROR(INDEX(Setup!$B$5:$B$24,MATCH($C484,Setup!$A$5:$A$24,0)),""))</f>
        <v/>
      </c>
      <c r="L484" s="12" t="str">
        <f aca="false">IF(OR($C484="",K484=""),"",K484*G484/60)</f>
        <v/>
      </c>
      <c r="M484" s="11" t="str">
        <f aca="false">IF($C484="","",G484-H484)</f>
        <v/>
      </c>
      <c r="N484" s="13" t="str">
        <f aca="false">IF($C484="","",IF(I484&lt;=0,"",J484/I484))</f>
        <v/>
      </c>
      <c r="O484" s="13" t="str">
        <f aca="false">IF($C484="","",IF(OR(L484="",J484&lt;=0),"",L484/J484))</f>
        <v/>
      </c>
      <c r="P484" s="13" t="str">
        <f aca="false">IF($C484="","",IF(G484&lt;=0,"",M484/G484))</f>
        <v/>
      </c>
      <c r="Q484" s="13" t="str">
        <f aca="false">IF(OR(N484="",O484="",P484=""),"",N484*O484*P484)</f>
        <v/>
      </c>
      <c r="R484" s="14" t="str">
        <f aca="false">IF($C484="","",IF(K484="","Machine not in Setup",IF(H484&gt;G484,"Rejects &gt; total parts",IF(J484&lt;0,"Downtime &gt; planned time",IF(AND(ISNUMBER(O484),O484&gt;1.05),"Performance &gt; 100%: check cycle time or counts","OK")))))</f>
        <v/>
      </c>
    </row>
    <row r="485" customFormat="false" ht="15" hidden="false" customHeight="false" outlineLevel="0" collapsed="false">
      <c r="A485" s="10"/>
      <c r="B485" s="8"/>
      <c r="C485" s="8"/>
      <c r="D485" s="8"/>
      <c r="E485" s="8"/>
      <c r="F485" s="8"/>
      <c r="G485" s="8"/>
      <c r="H485" s="8"/>
      <c r="I485" s="11" t="str">
        <f aca="false">IF($C485="","",D485-E485)</f>
        <v/>
      </c>
      <c r="J485" s="11" t="str">
        <f aca="false">IF($C485="","",I485-F485)</f>
        <v/>
      </c>
      <c r="K485" s="12" t="str">
        <f aca="false">IF($C485="","",IFERROR(INDEX(Setup!$B$5:$B$24,MATCH($C485,Setup!$A$5:$A$24,0)),""))</f>
        <v/>
      </c>
      <c r="L485" s="12" t="str">
        <f aca="false">IF(OR($C485="",K485=""),"",K485*G485/60)</f>
        <v/>
      </c>
      <c r="M485" s="11" t="str">
        <f aca="false">IF($C485="","",G485-H485)</f>
        <v/>
      </c>
      <c r="N485" s="13" t="str">
        <f aca="false">IF($C485="","",IF(I485&lt;=0,"",J485/I485))</f>
        <v/>
      </c>
      <c r="O485" s="13" t="str">
        <f aca="false">IF($C485="","",IF(OR(L485="",J485&lt;=0),"",L485/J485))</f>
        <v/>
      </c>
      <c r="P485" s="13" t="str">
        <f aca="false">IF($C485="","",IF(G485&lt;=0,"",M485/G485))</f>
        <v/>
      </c>
      <c r="Q485" s="13" t="str">
        <f aca="false">IF(OR(N485="",O485="",P485=""),"",N485*O485*P485)</f>
        <v/>
      </c>
      <c r="R485" s="14" t="str">
        <f aca="false">IF($C485="","",IF(K485="","Machine not in Setup",IF(H485&gt;G485,"Rejects &gt; total parts",IF(J485&lt;0,"Downtime &gt; planned time",IF(AND(ISNUMBER(O485),O485&gt;1.05),"Performance &gt; 100%: check cycle time or counts","OK")))))</f>
        <v/>
      </c>
    </row>
    <row r="486" customFormat="false" ht="15" hidden="false" customHeight="false" outlineLevel="0" collapsed="false">
      <c r="A486" s="10"/>
      <c r="B486" s="8"/>
      <c r="C486" s="8"/>
      <c r="D486" s="8"/>
      <c r="E486" s="8"/>
      <c r="F486" s="8"/>
      <c r="G486" s="8"/>
      <c r="H486" s="8"/>
      <c r="I486" s="11" t="str">
        <f aca="false">IF($C486="","",D486-E486)</f>
        <v/>
      </c>
      <c r="J486" s="11" t="str">
        <f aca="false">IF($C486="","",I486-F486)</f>
        <v/>
      </c>
      <c r="K486" s="12" t="str">
        <f aca="false">IF($C486="","",IFERROR(INDEX(Setup!$B$5:$B$24,MATCH($C486,Setup!$A$5:$A$24,0)),""))</f>
        <v/>
      </c>
      <c r="L486" s="12" t="str">
        <f aca="false">IF(OR($C486="",K486=""),"",K486*G486/60)</f>
        <v/>
      </c>
      <c r="M486" s="11" t="str">
        <f aca="false">IF($C486="","",G486-H486)</f>
        <v/>
      </c>
      <c r="N486" s="13" t="str">
        <f aca="false">IF($C486="","",IF(I486&lt;=0,"",J486/I486))</f>
        <v/>
      </c>
      <c r="O486" s="13" t="str">
        <f aca="false">IF($C486="","",IF(OR(L486="",J486&lt;=0),"",L486/J486))</f>
        <v/>
      </c>
      <c r="P486" s="13" t="str">
        <f aca="false">IF($C486="","",IF(G486&lt;=0,"",M486/G486))</f>
        <v/>
      </c>
      <c r="Q486" s="13" t="str">
        <f aca="false">IF(OR(N486="",O486="",P486=""),"",N486*O486*P486)</f>
        <v/>
      </c>
      <c r="R486" s="14" t="str">
        <f aca="false">IF($C486="","",IF(K486="","Machine not in Setup",IF(H486&gt;G486,"Rejects &gt; total parts",IF(J486&lt;0,"Downtime &gt; planned time",IF(AND(ISNUMBER(O486),O486&gt;1.05),"Performance &gt; 100%: check cycle time or counts","OK")))))</f>
        <v/>
      </c>
    </row>
    <row r="487" customFormat="false" ht="15" hidden="false" customHeight="false" outlineLevel="0" collapsed="false">
      <c r="A487" s="10"/>
      <c r="B487" s="8"/>
      <c r="C487" s="8"/>
      <c r="D487" s="8"/>
      <c r="E487" s="8"/>
      <c r="F487" s="8"/>
      <c r="G487" s="8"/>
      <c r="H487" s="8"/>
      <c r="I487" s="11" t="str">
        <f aca="false">IF($C487="","",D487-E487)</f>
        <v/>
      </c>
      <c r="J487" s="11" t="str">
        <f aca="false">IF($C487="","",I487-F487)</f>
        <v/>
      </c>
      <c r="K487" s="12" t="str">
        <f aca="false">IF($C487="","",IFERROR(INDEX(Setup!$B$5:$B$24,MATCH($C487,Setup!$A$5:$A$24,0)),""))</f>
        <v/>
      </c>
      <c r="L487" s="12" t="str">
        <f aca="false">IF(OR($C487="",K487=""),"",K487*G487/60)</f>
        <v/>
      </c>
      <c r="M487" s="11" t="str">
        <f aca="false">IF($C487="","",G487-H487)</f>
        <v/>
      </c>
      <c r="N487" s="13" t="str">
        <f aca="false">IF($C487="","",IF(I487&lt;=0,"",J487/I487))</f>
        <v/>
      </c>
      <c r="O487" s="13" t="str">
        <f aca="false">IF($C487="","",IF(OR(L487="",J487&lt;=0),"",L487/J487))</f>
        <v/>
      </c>
      <c r="P487" s="13" t="str">
        <f aca="false">IF($C487="","",IF(G487&lt;=0,"",M487/G487))</f>
        <v/>
      </c>
      <c r="Q487" s="13" t="str">
        <f aca="false">IF(OR(N487="",O487="",P487=""),"",N487*O487*P487)</f>
        <v/>
      </c>
      <c r="R487" s="14" t="str">
        <f aca="false">IF($C487="","",IF(K487="","Machine not in Setup",IF(H487&gt;G487,"Rejects &gt; total parts",IF(J487&lt;0,"Downtime &gt; planned time",IF(AND(ISNUMBER(O487),O487&gt;1.05),"Performance &gt; 100%: check cycle time or counts","OK")))))</f>
        <v/>
      </c>
    </row>
    <row r="488" customFormat="false" ht="15" hidden="false" customHeight="false" outlineLevel="0" collapsed="false">
      <c r="A488" s="10"/>
      <c r="B488" s="8"/>
      <c r="C488" s="8"/>
      <c r="D488" s="8"/>
      <c r="E488" s="8"/>
      <c r="F488" s="8"/>
      <c r="G488" s="8"/>
      <c r="H488" s="8"/>
      <c r="I488" s="11" t="str">
        <f aca="false">IF($C488="","",D488-E488)</f>
        <v/>
      </c>
      <c r="J488" s="11" t="str">
        <f aca="false">IF($C488="","",I488-F488)</f>
        <v/>
      </c>
      <c r="K488" s="12" t="str">
        <f aca="false">IF($C488="","",IFERROR(INDEX(Setup!$B$5:$B$24,MATCH($C488,Setup!$A$5:$A$24,0)),""))</f>
        <v/>
      </c>
      <c r="L488" s="12" t="str">
        <f aca="false">IF(OR($C488="",K488=""),"",K488*G488/60)</f>
        <v/>
      </c>
      <c r="M488" s="11" t="str">
        <f aca="false">IF($C488="","",G488-H488)</f>
        <v/>
      </c>
      <c r="N488" s="13" t="str">
        <f aca="false">IF($C488="","",IF(I488&lt;=0,"",J488/I488))</f>
        <v/>
      </c>
      <c r="O488" s="13" t="str">
        <f aca="false">IF($C488="","",IF(OR(L488="",J488&lt;=0),"",L488/J488))</f>
        <v/>
      </c>
      <c r="P488" s="13" t="str">
        <f aca="false">IF($C488="","",IF(G488&lt;=0,"",M488/G488))</f>
        <v/>
      </c>
      <c r="Q488" s="13" t="str">
        <f aca="false">IF(OR(N488="",O488="",P488=""),"",N488*O488*P488)</f>
        <v/>
      </c>
      <c r="R488" s="14" t="str">
        <f aca="false">IF($C488="","",IF(K488="","Machine not in Setup",IF(H488&gt;G488,"Rejects &gt; total parts",IF(J488&lt;0,"Downtime &gt; planned time",IF(AND(ISNUMBER(O488),O488&gt;1.05),"Performance &gt; 100%: check cycle time or counts","OK")))))</f>
        <v/>
      </c>
    </row>
    <row r="489" customFormat="false" ht="15" hidden="false" customHeight="false" outlineLevel="0" collapsed="false">
      <c r="A489" s="10"/>
      <c r="B489" s="8"/>
      <c r="C489" s="8"/>
      <c r="D489" s="8"/>
      <c r="E489" s="8"/>
      <c r="F489" s="8"/>
      <c r="G489" s="8"/>
      <c r="H489" s="8"/>
      <c r="I489" s="11" t="str">
        <f aca="false">IF($C489="","",D489-E489)</f>
        <v/>
      </c>
      <c r="J489" s="11" t="str">
        <f aca="false">IF($C489="","",I489-F489)</f>
        <v/>
      </c>
      <c r="K489" s="12" t="str">
        <f aca="false">IF($C489="","",IFERROR(INDEX(Setup!$B$5:$B$24,MATCH($C489,Setup!$A$5:$A$24,0)),""))</f>
        <v/>
      </c>
      <c r="L489" s="12" t="str">
        <f aca="false">IF(OR($C489="",K489=""),"",K489*G489/60)</f>
        <v/>
      </c>
      <c r="M489" s="11" t="str">
        <f aca="false">IF($C489="","",G489-H489)</f>
        <v/>
      </c>
      <c r="N489" s="13" t="str">
        <f aca="false">IF($C489="","",IF(I489&lt;=0,"",J489/I489))</f>
        <v/>
      </c>
      <c r="O489" s="13" t="str">
        <f aca="false">IF($C489="","",IF(OR(L489="",J489&lt;=0),"",L489/J489))</f>
        <v/>
      </c>
      <c r="P489" s="13" t="str">
        <f aca="false">IF($C489="","",IF(G489&lt;=0,"",M489/G489))</f>
        <v/>
      </c>
      <c r="Q489" s="13" t="str">
        <f aca="false">IF(OR(N489="",O489="",P489=""),"",N489*O489*P489)</f>
        <v/>
      </c>
      <c r="R489" s="14" t="str">
        <f aca="false">IF($C489="","",IF(K489="","Machine not in Setup",IF(H489&gt;G489,"Rejects &gt; total parts",IF(J489&lt;0,"Downtime &gt; planned time",IF(AND(ISNUMBER(O489),O489&gt;1.05),"Performance &gt; 100%: check cycle time or counts","OK")))))</f>
        <v/>
      </c>
    </row>
    <row r="490" customFormat="false" ht="15" hidden="false" customHeight="false" outlineLevel="0" collapsed="false">
      <c r="A490" s="10"/>
      <c r="B490" s="8"/>
      <c r="C490" s="8"/>
      <c r="D490" s="8"/>
      <c r="E490" s="8"/>
      <c r="F490" s="8"/>
      <c r="G490" s="8"/>
      <c r="H490" s="8"/>
      <c r="I490" s="11" t="str">
        <f aca="false">IF($C490="","",D490-E490)</f>
        <v/>
      </c>
      <c r="J490" s="11" t="str">
        <f aca="false">IF($C490="","",I490-F490)</f>
        <v/>
      </c>
      <c r="K490" s="12" t="str">
        <f aca="false">IF($C490="","",IFERROR(INDEX(Setup!$B$5:$B$24,MATCH($C490,Setup!$A$5:$A$24,0)),""))</f>
        <v/>
      </c>
      <c r="L490" s="12" t="str">
        <f aca="false">IF(OR($C490="",K490=""),"",K490*G490/60)</f>
        <v/>
      </c>
      <c r="M490" s="11" t="str">
        <f aca="false">IF($C490="","",G490-H490)</f>
        <v/>
      </c>
      <c r="N490" s="13" t="str">
        <f aca="false">IF($C490="","",IF(I490&lt;=0,"",J490/I490))</f>
        <v/>
      </c>
      <c r="O490" s="13" t="str">
        <f aca="false">IF($C490="","",IF(OR(L490="",J490&lt;=0),"",L490/J490))</f>
        <v/>
      </c>
      <c r="P490" s="13" t="str">
        <f aca="false">IF($C490="","",IF(G490&lt;=0,"",M490/G490))</f>
        <v/>
      </c>
      <c r="Q490" s="13" t="str">
        <f aca="false">IF(OR(N490="",O490="",P490=""),"",N490*O490*P490)</f>
        <v/>
      </c>
      <c r="R490" s="14" t="str">
        <f aca="false">IF($C490="","",IF(K490="","Machine not in Setup",IF(H490&gt;G490,"Rejects &gt; total parts",IF(J490&lt;0,"Downtime &gt; planned time",IF(AND(ISNUMBER(O490),O490&gt;1.05),"Performance &gt; 100%: check cycle time or counts","OK")))))</f>
        <v/>
      </c>
    </row>
    <row r="491" customFormat="false" ht="15" hidden="false" customHeight="false" outlineLevel="0" collapsed="false">
      <c r="A491" s="10"/>
      <c r="B491" s="8"/>
      <c r="C491" s="8"/>
      <c r="D491" s="8"/>
      <c r="E491" s="8"/>
      <c r="F491" s="8"/>
      <c r="G491" s="8"/>
      <c r="H491" s="8"/>
      <c r="I491" s="11" t="str">
        <f aca="false">IF($C491="","",D491-E491)</f>
        <v/>
      </c>
      <c r="J491" s="11" t="str">
        <f aca="false">IF($C491="","",I491-F491)</f>
        <v/>
      </c>
      <c r="K491" s="12" t="str">
        <f aca="false">IF($C491="","",IFERROR(INDEX(Setup!$B$5:$B$24,MATCH($C491,Setup!$A$5:$A$24,0)),""))</f>
        <v/>
      </c>
      <c r="L491" s="12" t="str">
        <f aca="false">IF(OR($C491="",K491=""),"",K491*G491/60)</f>
        <v/>
      </c>
      <c r="M491" s="11" t="str">
        <f aca="false">IF($C491="","",G491-H491)</f>
        <v/>
      </c>
      <c r="N491" s="13" t="str">
        <f aca="false">IF($C491="","",IF(I491&lt;=0,"",J491/I491))</f>
        <v/>
      </c>
      <c r="O491" s="13" t="str">
        <f aca="false">IF($C491="","",IF(OR(L491="",J491&lt;=0),"",L491/J491))</f>
        <v/>
      </c>
      <c r="P491" s="13" t="str">
        <f aca="false">IF($C491="","",IF(G491&lt;=0,"",M491/G491))</f>
        <v/>
      </c>
      <c r="Q491" s="13" t="str">
        <f aca="false">IF(OR(N491="",O491="",P491=""),"",N491*O491*P491)</f>
        <v/>
      </c>
      <c r="R491" s="14" t="str">
        <f aca="false">IF($C491="","",IF(K491="","Machine not in Setup",IF(H491&gt;G491,"Rejects &gt; total parts",IF(J491&lt;0,"Downtime &gt; planned time",IF(AND(ISNUMBER(O491),O491&gt;1.05),"Performance &gt; 100%: check cycle time or counts","OK")))))</f>
        <v/>
      </c>
    </row>
    <row r="492" customFormat="false" ht="15" hidden="false" customHeight="false" outlineLevel="0" collapsed="false">
      <c r="A492" s="10"/>
      <c r="B492" s="8"/>
      <c r="C492" s="8"/>
      <c r="D492" s="8"/>
      <c r="E492" s="8"/>
      <c r="F492" s="8"/>
      <c r="G492" s="8"/>
      <c r="H492" s="8"/>
      <c r="I492" s="11" t="str">
        <f aca="false">IF($C492="","",D492-E492)</f>
        <v/>
      </c>
      <c r="J492" s="11" t="str">
        <f aca="false">IF($C492="","",I492-F492)</f>
        <v/>
      </c>
      <c r="K492" s="12" t="str">
        <f aca="false">IF($C492="","",IFERROR(INDEX(Setup!$B$5:$B$24,MATCH($C492,Setup!$A$5:$A$24,0)),""))</f>
        <v/>
      </c>
      <c r="L492" s="12" t="str">
        <f aca="false">IF(OR($C492="",K492=""),"",K492*G492/60)</f>
        <v/>
      </c>
      <c r="M492" s="11" t="str">
        <f aca="false">IF($C492="","",G492-H492)</f>
        <v/>
      </c>
      <c r="N492" s="13" t="str">
        <f aca="false">IF($C492="","",IF(I492&lt;=0,"",J492/I492))</f>
        <v/>
      </c>
      <c r="O492" s="13" t="str">
        <f aca="false">IF($C492="","",IF(OR(L492="",J492&lt;=0),"",L492/J492))</f>
        <v/>
      </c>
      <c r="P492" s="13" t="str">
        <f aca="false">IF($C492="","",IF(G492&lt;=0,"",M492/G492))</f>
        <v/>
      </c>
      <c r="Q492" s="13" t="str">
        <f aca="false">IF(OR(N492="",O492="",P492=""),"",N492*O492*P492)</f>
        <v/>
      </c>
      <c r="R492" s="14" t="str">
        <f aca="false">IF($C492="","",IF(K492="","Machine not in Setup",IF(H492&gt;G492,"Rejects &gt; total parts",IF(J492&lt;0,"Downtime &gt; planned time",IF(AND(ISNUMBER(O492),O492&gt;1.05),"Performance &gt; 100%: check cycle time or counts","OK")))))</f>
        <v/>
      </c>
    </row>
    <row r="493" customFormat="false" ht="15" hidden="false" customHeight="false" outlineLevel="0" collapsed="false">
      <c r="A493" s="10"/>
      <c r="B493" s="8"/>
      <c r="C493" s="8"/>
      <c r="D493" s="8"/>
      <c r="E493" s="8"/>
      <c r="F493" s="8"/>
      <c r="G493" s="8"/>
      <c r="H493" s="8"/>
      <c r="I493" s="11" t="str">
        <f aca="false">IF($C493="","",D493-E493)</f>
        <v/>
      </c>
      <c r="J493" s="11" t="str">
        <f aca="false">IF($C493="","",I493-F493)</f>
        <v/>
      </c>
      <c r="K493" s="12" t="str">
        <f aca="false">IF($C493="","",IFERROR(INDEX(Setup!$B$5:$B$24,MATCH($C493,Setup!$A$5:$A$24,0)),""))</f>
        <v/>
      </c>
      <c r="L493" s="12" t="str">
        <f aca="false">IF(OR($C493="",K493=""),"",K493*G493/60)</f>
        <v/>
      </c>
      <c r="M493" s="11" t="str">
        <f aca="false">IF($C493="","",G493-H493)</f>
        <v/>
      </c>
      <c r="N493" s="13" t="str">
        <f aca="false">IF($C493="","",IF(I493&lt;=0,"",J493/I493))</f>
        <v/>
      </c>
      <c r="O493" s="13" t="str">
        <f aca="false">IF($C493="","",IF(OR(L493="",J493&lt;=0),"",L493/J493))</f>
        <v/>
      </c>
      <c r="P493" s="13" t="str">
        <f aca="false">IF($C493="","",IF(G493&lt;=0,"",M493/G493))</f>
        <v/>
      </c>
      <c r="Q493" s="13" t="str">
        <f aca="false">IF(OR(N493="",O493="",P493=""),"",N493*O493*P493)</f>
        <v/>
      </c>
      <c r="R493" s="14" t="str">
        <f aca="false">IF($C493="","",IF(K493="","Machine not in Setup",IF(H493&gt;G493,"Rejects &gt; total parts",IF(J493&lt;0,"Downtime &gt; planned time",IF(AND(ISNUMBER(O493),O493&gt;1.05),"Performance &gt; 100%: check cycle time or counts","OK")))))</f>
        <v/>
      </c>
    </row>
    <row r="494" customFormat="false" ht="15" hidden="false" customHeight="false" outlineLevel="0" collapsed="false">
      <c r="A494" s="10"/>
      <c r="B494" s="8"/>
      <c r="C494" s="8"/>
      <c r="D494" s="8"/>
      <c r="E494" s="8"/>
      <c r="F494" s="8"/>
      <c r="G494" s="8"/>
      <c r="H494" s="8"/>
      <c r="I494" s="11" t="str">
        <f aca="false">IF($C494="","",D494-E494)</f>
        <v/>
      </c>
      <c r="J494" s="11" t="str">
        <f aca="false">IF($C494="","",I494-F494)</f>
        <v/>
      </c>
      <c r="K494" s="12" t="str">
        <f aca="false">IF($C494="","",IFERROR(INDEX(Setup!$B$5:$B$24,MATCH($C494,Setup!$A$5:$A$24,0)),""))</f>
        <v/>
      </c>
      <c r="L494" s="12" t="str">
        <f aca="false">IF(OR($C494="",K494=""),"",K494*G494/60)</f>
        <v/>
      </c>
      <c r="M494" s="11" t="str">
        <f aca="false">IF($C494="","",G494-H494)</f>
        <v/>
      </c>
      <c r="N494" s="13" t="str">
        <f aca="false">IF($C494="","",IF(I494&lt;=0,"",J494/I494))</f>
        <v/>
      </c>
      <c r="O494" s="13" t="str">
        <f aca="false">IF($C494="","",IF(OR(L494="",J494&lt;=0),"",L494/J494))</f>
        <v/>
      </c>
      <c r="P494" s="13" t="str">
        <f aca="false">IF($C494="","",IF(G494&lt;=0,"",M494/G494))</f>
        <v/>
      </c>
      <c r="Q494" s="13" t="str">
        <f aca="false">IF(OR(N494="",O494="",P494=""),"",N494*O494*P494)</f>
        <v/>
      </c>
      <c r="R494" s="14" t="str">
        <f aca="false">IF($C494="","",IF(K494="","Machine not in Setup",IF(H494&gt;G494,"Rejects &gt; total parts",IF(J494&lt;0,"Downtime &gt; planned time",IF(AND(ISNUMBER(O494),O494&gt;1.05),"Performance &gt; 100%: check cycle time or counts","OK")))))</f>
        <v/>
      </c>
    </row>
    <row r="495" customFormat="false" ht="15" hidden="false" customHeight="false" outlineLevel="0" collapsed="false">
      <c r="A495" s="10"/>
      <c r="B495" s="8"/>
      <c r="C495" s="8"/>
      <c r="D495" s="8"/>
      <c r="E495" s="8"/>
      <c r="F495" s="8"/>
      <c r="G495" s="8"/>
      <c r="H495" s="8"/>
      <c r="I495" s="11" t="str">
        <f aca="false">IF($C495="","",D495-E495)</f>
        <v/>
      </c>
      <c r="J495" s="11" t="str">
        <f aca="false">IF($C495="","",I495-F495)</f>
        <v/>
      </c>
      <c r="K495" s="12" t="str">
        <f aca="false">IF($C495="","",IFERROR(INDEX(Setup!$B$5:$B$24,MATCH($C495,Setup!$A$5:$A$24,0)),""))</f>
        <v/>
      </c>
      <c r="L495" s="12" t="str">
        <f aca="false">IF(OR($C495="",K495=""),"",K495*G495/60)</f>
        <v/>
      </c>
      <c r="M495" s="11" t="str">
        <f aca="false">IF($C495="","",G495-H495)</f>
        <v/>
      </c>
      <c r="N495" s="13" t="str">
        <f aca="false">IF($C495="","",IF(I495&lt;=0,"",J495/I495))</f>
        <v/>
      </c>
      <c r="O495" s="13" t="str">
        <f aca="false">IF($C495="","",IF(OR(L495="",J495&lt;=0),"",L495/J495))</f>
        <v/>
      </c>
      <c r="P495" s="13" t="str">
        <f aca="false">IF($C495="","",IF(G495&lt;=0,"",M495/G495))</f>
        <v/>
      </c>
      <c r="Q495" s="13" t="str">
        <f aca="false">IF(OR(N495="",O495="",P495=""),"",N495*O495*P495)</f>
        <v/>
      </c>
      <c r="R495" s="14" t="str">
        <f aca="false">IF($C495="","",IF(K495="","Machine not in Setup",IF(H495&gt;G495,"Rejects &gt; total parts",IF(J495&lt;0,"Downtime &gt; planned time",IF(AND(ISNUMBER(O495),O495&gt;1.05),"Performance &gt; 100%: check cycle time or counts","OK")))))</f>
        <v/>
      </c>
    </row>
    <row r="496" customFormat="false" ht="15" hidden="false" customHeight="false" outlineLevel="0" collapsed="false">
      <c r="A496" s="10"/>
      <c r="B496" s="8"/>
      <c r="C496" s="8"/>
      <c r="D496" s="8"/>
      <c r="E496" s="8"/>
      <c r="F496" s="8"/>
      <c r="G496" s="8"/>
      <c r="H496" s="8"/>
      <c r="I496" s="11" t="str">
        <f aca="false">IF($C496="","",D496-E496)</f>
        <v/>
      </c>
      <c r="J496" s="11" t="str">
        <f aca="false">IF($C496="","",I496-F496)</f>
        <v/>
      </c>
      <c r="K496" s="12" t="str">
        <f aca="false">IF($C496="","",IFERROR(INDEX(Setup!$B$5:$B$24,MATCH($C496,Setup!$A$5:$A$24,0)),""))</f>
        <v/>
      </c>
      <c r="L496" s="12" t="str">
        <f aca="false">IF(OR($C496="",K496=""),"",K496*G496/60)</f>
        <v/>
      </c>
      <c r="M496" s="11" t="str">
        <f aca="false">IF($C496="","",G496-H496)</f>
        <v/>
      </c>
      <c r="N496" s="13" t="str">
        <f aca="false">IF($C496="","",IF(I496&lt;=0,"",J496/I496))</f>
        <v/>
      </c>
      <c r="O496" s="13" t="str">
        <f aca="false">IF($C496="","",IF(OR(L496="",J496&lt;=0),"",L496/J496))</f>
        <v/>
      </c>
      <c r="P496" s="13" t="str">
        <f aca="false">IF($C496="","",IF(G496&lt;=0,"",M496/G496))</f>
        <v/>
      </c>
      <c r="Q496" s="13" t="str">
        <f aca="false">IF(OR(N496="",O496="",P496=""),"",N496*O496*P496)</f>
        <v/>
      </c>
      <c r="R496" s="14" t="str">
        <f aca="false">IF($C496="","",IF(K496="","Machine not in Setup",IF(H496&gt;G496,"Rejects &gt; total parts",IF(J496&lt;0,"Downtime &gt; planned time",IF(AND(ISNUMBER(O496),O496&gt;1.05),"Performance &gt; 100%: check cycle time or counts","OK")))))</f>
        <v/>
      </c>
    </row>
    <row r="497" customFormat="false" ht="15" hidden="false" customHeight="false" outlineLevel="0" collapsed="false">
      <c r="A497" s="10"/>
      <c r="B497" s="8"/>
      <c r="C497" s="8"/>
      <c r="D497" s="8"/>
      <c r="E497" s="8"/>
      <c r="F497" s="8"/>
      <c r="G497" s="8"/>
      <c r="H497" s="8"/>
      <c r="I497" s="11" t="str">
        <f aca="false">IF($C497="","",D497-E497)</f>
        <v/>
      </c>
      <c r="J497" s="11" t="str">
        <f aca="false">IF($C497="","",I497-F497)</f>
        <v/>
      </c>
      <c r="K497" s="12" t="str">
        <f aca="false">IF($C497="","",IFERROR(INDEX(Setup!$B$5:$B$24,MATCH($C497,Setup!$A$5:$A$24,0)),""))</f>
        <v/>
      </c>
      <c r="L497" s="12" t="str">
        <f aca="false">IF(OR($C497="",K497=""),"",K497*G497/60)</f>
        <v/>
      </c>
      <c r="M497" s="11" t="str">
        <f aca="false">IF($C497="","",G497-H497)</f>
        <v/>
      </c>
      <c r="N497" s="13" t="str">
        <f aca="false">IF($C497="","",IF(I497&lt;=0,"",J497/I497))</f>
        <v/>
      </c>
      <c r="O497" s="13" t="str">
        <f aca="false">IF($C497="","",IF(OR(L497="",J497&lt;=0),"",L497/J497))</f>
        <v/>
      </c>
      <c r="P497" s="13" t="str">
        <f aca="false">IF($C497="","",IF(G497&lt;=0,"",M497/G497))</f>
        <v/>
      </c>
      <c r="Q497" s="13" t="str">
        <f aca="false">IF(OR(N497="",O497="",P497=""),"",N497*O497*P497)</f>
        <v/>
      </c>
      <c r="R497" s="14" t="str">
        <f aca="false">IF($C497="","",IF(K497="","Machine not in Setup",IF(H497&gt;G497,"Rejects &gt; total parts",IF(J497&lt;0,"Downtime &gt; planned time",IF(AND(ISNUMBER(O497),O497&gt;1.05),"Performance &gt; 100%: check cycle time or counts","OK")))))</f>
        <v/>
      </c>
    </row>
    <row r="498" customFormat="false" ht="15" hidden="false" customHeight="false" outlineLevel="0" collapsed="false">
      <c r="A498" s="10"/>
      <c r="B498" s="8"/>
      <c r="C498" s="8"/>
      <c r="D498" s="8"/>
      <c r="E498" s="8"/>
      <c r="F498" s="8"/>
      <c r="G498" s="8"/>
      <c r="H498" s="8"/>
      <c r="I498" s="11" t="str">
        <f aca="false">IF($C498="","",D498-E498)</f>
        <v/>
      </c>
      <c r="J498" s="11" t="str">
        <f aca="false">IF($C498="","",I498-F498)</f>
        <v/>
      </c>
      <c r="K498" s="12" t="str">
        <f aca="false">IF($C498="","",IFERROR(INDEX(Setup!$B$5:$B$24,MATCH($C498,Setup!$A$5:$A$24,0)),""))</f>
        <v/>
      </c>
      <c r="L498" s="12" t="str">
        <f aca="false">IF(OR($C498="",K498=""),"",K498*G498/60)</f>
        <v/>
      </c>
      <c r="M498" s="11" t="str">
        <f aca="false">IF($C498="","",G498-H498)</f>
        <v/>
      </c>
      <c r="N498" s="13" t="str">
        <f aca="false">IF($C498="","",IF(I498&lt;=0,"",J498/I498))</f>
        <v/>
      </c>
      <c r="O498" s="13" t="str">
        <f aca="false">IF($C498="","",IF(OR(L498="",J498&lt;=0),"",L498/J498))</f>
        <v/>
      </c>
      <c r="P498" s="13" t="str">
        <f aca="false">IF($C498="","",IF(G498&lt;=0,"",M498/G498))</f>
        <v/>
      </c>
      <c r="Q498" s="13" t="str">
        <f aca="false">IF(OR(N498="",O498="",P498=""),"",N498*O498*P498)</f>
        <v/>
      </c>
      <c r="R498" s="14" t="str">
        <f aca="false">IF($C498="","",IF(K498="","Machine not in Setup",IF(H498&gt;G498,"Rejects &gt; total parts",IF(J498&lt;0,"Downtime &gt; planned time",IF(AND(ISNUMBER(O498),O498&gt;1.05),"Performance &gt; 100%: check cycle time or counts","OK")))))</f>
        <v/>
      </c>
    </row>
    <row r="499" customFormat="false" ht="15" hidden="false" customHeight="false" outlineLevel="0" collapsed="false">
      <c r="A499" s="10"/>
      <c r="B499" s="8"/>
      <c r="C499" s="8"/>
      <c r="D499" s="8"/>
      <c r="E499" s="8"/>
      <c r="F499" s="8"/>
      <c r="G499" s="8"/>
      <c r="H499" s="8"/>
      <c r="I499" s="11" t="str">
        <f aca="false">IF($C499="","",D499-E499)</f>
        <v/>
      </c>
      <c r="J499" s="11" t="str">
        <f aca="false">IF($C499="","",I499-F499)</f>
        <v/>
      </c>
      <c r="K499" s="12" t="str">
        <f aca="false">IF($C499="","",IFERROR(INDEX(Setup!$B$5:$B$24,MATCH($C499,Setup!$A$5:$A$24,0)),""))</f>
        <v/>
      </c>
      <c r="L499" s="12" t="str">
        <f aca="false">IF(OR($C499="",K499=""),"",K499*G499/60)</f>
        <v/>
      </c>
      <c r="M499" s="11" t="str">
        <f aca="false">IF($C499="","",G499-H499)</f>
        <v/>
      </c>
      <c r="N499" s="13" t="str">
        <f aca="false">IF($C499="","",IF(I499&lt;=0,"",J499/I499))</f>
        <v/>
      </c>
      <c r="O499" s="13" t="str">
        <f aca="false">IF($C499="","",IF(OR(L499="",J499&lt;=0),"",L499/J499))</f>
        <v/>
      </c>
      <c r="P499" s="13" t="str">
        <f aca="false">IF($C499="","",IF(G499&lt;=0,"",M499/G499))</f>
        <v/>
      </c>
      <c r="Q499" s="13" t="str">
        <f aca="false">IF(OR(N499="",O499="",P499=""),"",N499*O499*P499)</f>
        <v/>
      </c>
      <c r="R499" s="14" t="str">
        <f aca="false">IF($C499="","",IF(K499="","Machine not in Setup",IF(H499&gt;G499,"Rejects &gt; total parts",IF(J499&lt;0,"Downtime &gt; planned time",IF(AND(ISNUMBER(O499),O499&gt;1.05),"Performance &gt; 100%: check cycle time or counts","OK")))))</f>
        <v/>
      </c>
    </row>
    <row r="500" customFormat="false" ht="15" hidden="false" customHeight="false" outlineLevel="0" collapsed="false">
      <c r="A500" s="10"/>
      <c r="B500" s="8"/>
      <c r="C500" s="8"/>
      <c r="D500" s="8"/>
      <c r="E500" s="8"/>
      <c r="F500" s="8"/>
      <c r="G500" s="8"/>
      <c r="H500" s="8"/>
      <c r="I500" s="11" t="str">
        <f aca="false">IF($C500="","",D500-E500)</f>
        <v/>
      </c>
      <c r="J500" s="11" t="str">
        <f aca="false">IF($C500="","",I500-F500)</f>
        <v/>
      </c>
      <c r="K500" s="12" t="str">
        <f aca="false">IF($C500="","",IFERROR(INDEX(Setup!$B$5:$B$24,MATCH($C500,Setup!$A$5:$A$24,0)),""))</f>
        <v/>
      </c>
      <c r="L500" s="12" t="str">
        <f aca="false">IF(OR($C500="",K500=""),"",K500*G500/60)</f>
        <v/>
      </c>
      <c r="M500" s="11" t="str">
        <f aca="false">IF($C500="","",G500-H500)</f>
        <v/>
      </c>
      <c r="N500" s="13" t="str">
        <f aca="false">IF($C500="","",IF(I500&lt;=0,"",J500/I500))</f>
        <v/>
      </c>
      <c r="O500" s="13" t="str">
        <f aca="false">IF($C500="","",IF(OR(L500="",J500&lt;=0),"",L500/J500))</f>
        <v/>
      </c>
      <c r="P500" s="13" t="str">
        <f aca="false">IF($C500="","",IF(G500&lt;=0,"",M500/G500))</f>
        <v/>
      </c>
      <c r="Q500" s="13" t="str">
        <f aca="false">IF(OR(N500="",O500="",P500=""),"",N500*O500*P500)</f>
        <v/>
      </c>
      <c r="R500" s="14" t="str">
        <f aca="false">IF($C500="","",IF(K500="","Machine not in Setup",IF(H500&gt;G500,"Rejects &gt; total parts",IF(J500&lt;0,"Downtime &gt; planned time",IF(AND(ISNUMBER(O500),O500&gt;1.05),"Performance &gt; 100%: check cycle time or counts","OK")))))</f>
        <v/>
      </c>
    </row>
    <row r="501" customFormat="false" ht="15" hidden="false" customHeight="false" outlineLevel="0" collapsed="false">
      <c r="A501" s="10"/>
      <c r="B501" s="8"/>
      <c r="C501" s="8"/>
      <c r="D501" s="8"/>
      <c r="E501" s="8"/>
      <c r="F501" s="8"/>
      <c r="G501" s="8"/>
      <c r="H501" s="8"/>
      <c r="I501" s="11" t="str">
        <f aca="false">IF($C501="","",D501-E501)</f>
        <v/>
      </c>
      <c r="J501" s="11" t="str">
        <f aca="false">IF($C501="","",I501-F501)</f>
        <v/>
      </c>
      <c r="K501" s="12" t="str">
        <f aca="false">IF($C501="","",IFERROR(INDEX(Setup!$B$5:$B$24,MATCH($C501,Setup!$A$5:$A$24,0)),""))</f>
        <v/>
      </c>
      <c r="L501" s="12" t="str">
        <f aca="false">IF(OR($C501="",K501=""),"",K501*G501/60)</f>
        <v/>
      </c>
      <c r="M501" s="11" t="str">
        <f aca="false">IF($C501="","",G501-H501)</f>
        <v/>
      </c>
      <c r="N501" s="13" t="str">
        <f aca="false">IF($C501="","",IF(I501&lt;=0,"",J501/I501))</f>
        <v/>
      </c>
      <c r="O501" s="13" t="str">
        <f aca="false">IF($C501="","",IF(OR(L501="",J501&lt;=0),"",L501/J501))</f>
        <v/>
      </c>
      <c r="P501" s="13" t="str">
        <f aca="false">IF($C501="","",IF(G501&lt;=0,"",M501/G501))</f>
        <v/>
      </c>
      <c r="Q501" s="13" t="str">
        <f aca="false">IF(OR(N501="",O501="",P501=""),"",N501*O501*P501)</f>
        <v/>
      </c>
      <c r="R501" s="14" t="str">
        <f aca="false">IF($C501="","",IF(K501="","Machine not in Setup",IF(H501&gt;G501,"Rejects &gt; total parts",IF(J501&lt;0,"Downtime &gt; planned time",IF(AND(ISNUMBER(O501),O501&gt;1.05),"Performance &gt; 100%: check cycle time or counts","OK")))))</f>
        <v/>
      </c>
    </row>
    <row r="502" customFormat="false" ht="15" hidden="false" customHeight="false" outlineLevel="0" collapsed="false">
      <c r="A502" s="10"/>
      <c r="B502" s="8"/>
      <c r="C502" s="8"/>
      <c r="D502" s="8"/>
      <c r="E502" s="8"/>
      <c r="F502" s="8"/>
      <c r="G502" s="8"/>
      <c r="H502" s="8"/>
      <c r="I502" s="11" t="str">
        <f aca="false">IF($C502="","",D502-E502)</f>
        <v/>
      </c>
      <c r="J502" s="11" t="str">
        <f aca="false">IF($C502="","",I502-F502)</f>
        <v/>
      </c>
      <c r="K502" s="12" t="str">
        <f aca="false">IF($C502="","",IFERROR(INDEX(Setup!$B$5:$B$24,MATCH($C502,Setup!$A$5:$A$24,0)),""))</f>
        <v/>
      </c>
      <c r="L502" s="12" t="str">
        <f aca="false">IF(OR($C502="",K502=""),"",K502*G502/60)</f>
        <v/>
      </c>
      <c r="M502" s="11" t="str">
        <f aca="false">IF($C502="","",G502-H502)</f>
        <v/>
      </c>
      <c r="N502" s="13" t="str">
        <f aca="false">IF($C502="","",IF(I502&lt;=0,"",J502/I502))</f>
        <v/>
      </c>
      <c r="O502" s="13" t="str">
        <f aca="false">IF($C502="","",IF(OR(L502="",J502&lt;=0),"",L502/J502))</f>
        <v/>
      </c>
      <c r="P502" s="13" t="str">
        <f aca="false">IF($C502="","",IF(G502&lt;=0,"",M502/G502))</f>
        <v/>
      </c>
      <c r="Q502" s="13" t="str">
        <f aca="false">IF(OR(N502="",O502="",P502=""),"",N502*O502*P502)</f>
        <v/>
      </c>
      <c r="R502" s="14" t="str">
        <f aca="false">IF($C502="","",IF(K502="","Machine not in Setup",IF(H502&gt;G502,"Rejects &gt; total parts",IF(J502&lt;0,"Downtime &gt; planned time",IF(AND(ISNUMBER(O502),O502&gt;1.05),"Performance &gt; 100%: check cycle time or counts","OK")))))</f>
        <v/>
      </c>
    </row>
    <row r="503" customFormat="false" ht="15" hidden="false" customHeight="false" outlineLevel="0" collapsed="false">
      <c r="A503" s="10"/>
      <c r="B503" s="8"/>
      <c r="C503" s="8"/>
      <c r="D503" s="8"/>
      <c r="E503" s="8"/>
      <c r="F503" s="8"/>
      <c r="G503" s="8"/>
      <c r="H503" s="8"/>
      <c r="I503" s="11" t="str">
        <f aca="false">IF($C503="","",D503-E503)</f>
        <v/>
      </c>
      <c r="J503" s="11" t="str">
        <f aca="false">IF($C503="","",I503-F503)</f>
        <v/>
      </c>
      <c r="K503" s="12" t="str">
        <f aca="false">IF($C503="","",IFERROR(INDEX(Setup!$B$5:$B$24,MATCH($C503,Setup!$A$5:$A$24,0)),""))</f>
        <v/>
      </c>
      <c r="L503" s="12" t="str">
        <f aca="false">IF(OR($C503="",K503=""),"",K503*G503/60)</f>
        <v/>
      </c>
      <c r="M503" s="11" t="str">
        <f aca="false">IF($C503="","",G503-H503)</f>
        <v/>
      </c>
      <c r="N503" s="13" t="str">
        <f aca="false">IF($C503="","",IF(I503&lt;=0,"",J503/I503))</f>
        <v/>
      </c>
      <c r="O503" s="13" t="str">
        <f aca="false">IF($C503="","",IF(OR(L503="",J503&lt;=0),"",L503/J503))</f>
        <v/>
      </c>
      <c r="P503" s="13" t="str">
        <f aca="false">IF($C503="","",IF(G503&lt;=0,"",M503/G503))</f>
        <v/>
      </c>
      <c r="Q503" s="13" t="str">
        <f aca="false">IF(OR(N503="",O503="",P503=""),"",N503*O503*P503)</f>
        <v/>
      </c>
      <c r="R503" s="14" t="str">
        <f aca="false">IF($C503="","",IF(K503="","Machine not in Setup",IF(H503&gt;G503,"Rejects &gt; total parts",IF(J503&lt;0,"Downtime &gt; planned time",IF(AND(ISNUMBER(O503),O503&gt;1.05),"Performance &gt; 100%: check cycle time or counts","OK")))))</f>
        <v/>
      </c>
    </row>
    <row r="504" customFormat="false" ht="15" hidden="false" customHeight="false" outlineLevel="0" collapsed="false">
      <c r="A504" s="10"/>
      <c r="B504" s="8"/>
      <c r="C504" s="8"/>
      <c r="D504" s="8"/>
      <c r="E504" s="8"/>
      <c r="F504" s="8"/>
      <c r="G504" s="8"/>
      <c r="H504" s="8"/>
      <c r="I504" s="11" t="str">
        <f aca="false">IF($C504="","",D504-E504)</f>
        <v/>
      </c>
      <c r="J504" s="11" t="str">
        <f aca="false">IF($C504="","",I504-F504)</f>
        <v/>
      </c>
      <c r="K504" s="12" t="str">
        <f aca="false">IF($C504="","",IFERROR(INDEX(Setup!$B$5:$B$24,MATCH($C504,Setup!$A$5:$A$24,0)),""))</f>
        <v/>
      </c>
      <c r="L504" s="12" t="str">
        <f aca="false">IF(OR($C504="",K504=""),"",K504*G504/60)</f>
        <v/>
      </c>
      <c r="M504" s="11" t="str">
        <f aca="false">IF($C504="","",G504-H504)</f>
        <v/>
      </c>
      <c r="N504" s="13" t="str">
        <f aca="false">IF($C504="","",IF(I504&lt;=0,"",J504/I504))</f>
        <v/>
      </c>
      <c r="O504" s="13" t="str">
        <f aca="false">IF($C504="","",IF(OR(L504="",J504&lt;=0),"",L504/J504))</f>
        <v/>
      </c>
      <c r="P504" s="13" t="str">
        <f aca="false">IF($C504="","",IF(G504&lt;=0,"",M504/G504))</f>
        <v/>
      </c>
      <c r="Q504" s="13" t="str">
        <f aca="false">IF(OR(N504="",O504="",P504=""),"",N504*O504*P504)</f>
        <v/>
      </c>
      <c r="R504" s="14" t="str">
        <f aca="false">IF($C504="","",IF(K504="","Machine not in Setup",IF(H504&gt;G504,"Rejects &gt; total parts",IF(J504&lt;0,"Downtime &gt; planned time",IF(AND(ISNUMBER(O504),O504&gt;1.05),"Performance &gt; 100%: check cycle time or counts","OK")))))</f>
        <v/>
      </c>
    </row>
  </sheetData>
  <conditionalFormatting sqref="Q5:Q504">
    <cfRule type="expression" priority="2" aboveAverage="0" equalAverage="0" bottom="0" percent="0" rank="0" text="" dxfId="0">
      <formula>AND(ISNUMBER(Q5),Q5&gt;=Dashboard!$B$5)</formula>
    </cfRule>
    <cfRule type="expression" priority="3" aboveAverage="0" equalAverage="0" bottom="0" percent="0" rank="0" text="" dxfId="1">
      <formula>AND(ISNUMBER(Q5),Q5&gt;=0.6,Q5&lt;Dashboard!$B$5)</formula>
    </cfRule>
    <cfRule type="expression" priority="4" aboveAverage="0" equalAverage="0" bottom="0" percent="0" rank="0" text="" dxfId="2">
      <formula>AND(ISNUMBER(Q5),Q5&lt;0.6)</formula>
    </cfRule>
  </conditionalFormatting>
  <dataValidations count="2">
    <dataValidation allowBlank="true" error="Pick a machine listed on the Setup sheet." errorStyle="stop" operator="between" showDropDown="false" showErrorMessage="false" showInputMessage="false" sqref="C5:C504" type="list">
      <formula1>Setup!$A$5:$A$24</formula1>
      <formula2>0</formula2>
    </dataValidation>
    <dataValidation allowBlank="true" error="Enter a number of zero or more." errorStyle="stop" operator="greaterThanOrEqual" showDropDown="false" showErrorMessage="false" showInputMessage="false" sqref="D5:H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9" min="5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3" customFormat="false" ht="15" hidden="false" customHeight="false" outlineLevel="0" collapsed="false">
      <c r="A3" s="15" t="s">
        <v>53</v>
      </c>
      <c r="B3" s="10"/>
      <c r="D3" s="16" t="n">
        <f aca="false">IF(B3="",DATE(1900,1,1),B3)</f>
        <v>2</v>
      </c>
    </row>
    <row r="4" customFormat="false" ht="15" hidden="false" customHeight="false" outlineLevel="0" collapsed="false">
      <c r="A4" s="15" t="s">
        <v>54</v>
      </c>
      <c r="B4" s="10"/>
      <c r="D4" s="16" t="n">
        <f aca="false">IF(B4="",DATE(2999,12,31),B4)</f>
        <v>401768</v>
      </c>
    </row>
    <row r="5" customFormat="false" ht="15" hidden="false" customHeight="false" outlineLevel="0" collapsed="false">
      <c r="A5" s="15" t="s">
        <v>55</v>
      </c>
      <c r="B5" s="17" t="n">
        <v>0.85</v>
      </c>
    </row>
    <row r="8" customFormat="false" ht="31.5" hidden="false" customHeight="true" outlineLevel="0" collapsed="false">
      <c r="A8" s="7" t="s">
        <v>24</v>
      </c>
      <c r="B8" s="7" t="s">
        <v>56</v>
      </c>
      <c r="C8" s="7" t="s">
        <v>41</v>
      </c>
      <c r="D8" s="7" t="s">
        <v>37</v>
      </c>
      <c r="E8" s="7" t="s">
        <v>38</v>
      </c>
      <c r="F8" s="7" t="s">
        <v>44</v>
      </c>
      <c r="G8" s="7" t="s">
        <v>57</v>
      </c>
      <c r="H8" s="7" t="s">
        <v>45</v>
      </c>
      <c r="I8" s="7" t="s">
        <v>46</v>
      </c>
      <c r="J8" s="7" t="s">
        <v>47</v>
      </c>
      <c r="K8" s="7" t="s">
        <v>48</v>
      </c>
      <c r="L8" s="7" t="s">
        <v>58</v>
      </c>
    </row>
    <row r="9" customFormat="false" ht="15" hidden="false" customHeight="false" outlineLevel="0" collapsed="false">
      <c r="A9" s="14" t="str">
        <f aca="false">IF(Setup!A5="","",Setup!A5)</f>
        <v>Press 01</v>
      </c>
      <c r="B9" s="18" t="n">
        <f aca="false">IF($A9="","",SUMIFS('Production Log'!$I$5:$I$504,'Production Log'!$C$5:$C$504,$A9,'Production Log'!$A$5:$A$504,"&gt;="&amp;$D$3,'Production Log'!$A$5:$A$504,"&lt;="&amp;$D$4))</f>
        <v>880</v>
      </c>
      <c r="C9" s="18" t="n">
        <f aca="false">IF($A9="","",SUMIFS('Production Log'!$J$5:$J$504,'Production Log'!$C$5:$C$504,$A9,'Production Log'!$A$5:$A$504,"&gt;="&amp;$D$3,'Production Log'!$A$5:$A$504,"&lt;="&amp;$D$4))</f>
        <v>755</v>
      </c>
      <c r="D9" s="18" t="n">
        <f aca="false">IF($A9="","",SUMIFS('Production Log'!$F$5:$F$504,'Production Log'!$C$5:$C$504,$A9,'Production Log'!$A$5:$A$504,"&gt;="&amp;$D$3,'Production Log'!$A$5:$A$504,"&lt;="&amp;$D$4))</f>
        <v>125</v>
      </c>
      <c r="E9" s="18" t="n">
        <f aca="false">IF($A9="","",SUMIFS('Production Log'!$G$5:$G$504,'Production Log'!$C$5:$C$504,$A9,'Production Log'!$A$5:$A$504,"&gt;="&amp;$D$3,'Production Log'!$A$5:$A$504,"&lt;="&amp;$D$4))</f>
        <v>3400</v>
      </c>
      <c r="F9" s="18" t="n">
        <f aca="false">IF($A9="","",SUMIFS('Production Log'!$M$5:$M$504,'Production Log'!$C$5:$C$504,$A9,'Production Log'!$A$5:$A$504,"&gt;="&amp;$D$3,'Production Log'!$A$5:$A$504,"&lt;="&amp;$D$4))</f>
        <v>3348</v>
      </c>
      <c r="G9" s="18" t="n">
        <f aca="false">IF($A9="","",SUMIFS('Production Log'!$L$5:$L$504,'Production Log'!$C$5:$C$504,$A9,'Production Log'!$A$5:$A$504,"&gt;="&amp;$D$3,'Production Log'!$A$5:$A$504,"&lt;="&amp;$D$4))</f>
        <v>680</v>
      </c>
      <c r="H9" s="13" t="n">
        <f aca="false">IF($A9="","",IF(B9=0,"",C9/B9))</f>
        <v>0.857954545454545</v>
      </c>
      <c r="I9" s="13" t="n">
        <f aca="false">IF($A9="","",IF(C9=0,"",G9/C9))</f>
        <v>0.900662251655629</v>
      </c>
      <c r="J9" s="13" t="n">
        <f aca="false">IF($A9="","",IF(E9=0,"",F9/E9))</f>
        <v>0.984705882352941</v>
      </c>
      <c r="K9" s="13" t="n">
        <f aca="false">IF(OR(H9="",I9="",J9=""),"",H9*I9*J9)</f>
        <v>0.760909090909091</v>
      </c>
      <c r="L9" s="19" t="n">
        <f aca="false">IF(K9="","",K9-$B$5)</f>
        <v>-0.0890909090909091</v>
      </c>
    </row>
    <row r="10" customFormat="false" ht="15" hidden="false" customHeight="false" outlineLevel="0" collapsed="false">
      <c r="A10" s="14" t="str">
        <f aca="false">IF(Setup!A6="","",Setup!A6)</f>
        <v>CNC Lathe 02</v>
      </c>
      <c r="B10" s="18" t="n">
        <f aca="false">IF($A10="","",SUMIFS('Production Log'!$I$5:$I$504,'Production Log'!$C$5:$C$504,$A10,'Production Log'!$A$5:$A$504,"&gt;="&amp;$D$3,'Production Log'!$A$5:$A$504,"&lt;="&amp;$D$4))</f>
        <v>880</v>
      </c>
      <c r="C10" s="18" t="n">
        <f aca="false">IF($A10="","",SUMIFS('Production Log'!$J$5:$J$504,'Production Log'!$C$5:$C$504,$A10,'Production Log'!$A$5:$A$504,"&gt;="&amp;$D$3,'Production Log'!$A$5:$A$504,"&lt;="&amp;$D$4))</f>
        <v>800</v>
      </c>
      <c r="D10" s="18" t="n">
        <f aca="false">IF($A10="","",SUMIFS('Production Log'!$F$5:$F$504,'Production Log'!$C$5:$C$504,$A10,'Production Log'!$A$5:$A$504,"&gt;="&amp;$D$3,'Production Log'!$A$5:$A$504,"&lt;="&amp;$D$4))</f>
        <v>80</v>
      </c>
      <c r="E10" s="18" t="n">
        <f aca="false">IF($A10="","",SUMIFS('Production Log'!$G$5:$G$504,'Production Log'!$C$5:$C$504,$A10,'Production Log'!$A$5:$A$504,"&gt;="&amp;$D$3,'Production Log'!$A$5:$A$504,"&lt;="&amp;$D$4))</f>
        <v>450</v>
      </c>
      <c r="F10" s="18" t="n">
        <f aca="false">IF($A10="","",SUMIFS('Production Log'!$M$5:$M$504,'Production Log'!$C$5:$C$504,$A10,'Production Log'!$A$5:$A$504,"&gt;="&amp;$D$3,'Production Log'!$A$5:$A$504,"&lt;="&amp;$D$4))</f>
        <v>444</v>
      </c>
      <c r="G10" s="18" t="n">
        <f aca="false">IF($A10="","",SUMIFS('Production Log'!$L$5:$L$504,'Production Log'!$C$5:$C$504,$A10,'Production Log'!$A$5:$A$504,"&gt;="&amp;$D$3,'Production Log'!$A$5:$A$504,"&lt;="&amp;$D$4))</f>
        <v>712.5</v>
      </c>
      <c r="H10" s="13" t="n">
        <f aca="false">IF($A10="","",IF(B10=0,"",C10/B10))</f>
        <v>0.909090909090909</v>
      </c>
      <c r="I10" s="13" t="n">
        <f aca="false">IF($A10="","",IF(C10=0,"",G10/C10))</f>
        <v>0.890625</v>
      </c>
      <c r="J10" s="13" t="n">
        <f aca="false">IF($A10="","",IF(E10=0,"",F10/E10))</f>
        <v>0.986666666666667</v>
      </c>
      <c r="K10" s="13" t="n">
        <f aca="false">IF(OR(H10="",I10="",J10=""),"",H10*I10*J10)</f>
        <v>0.798863636363636</v>
      </c>
      <c r="L10" s="19" t="n">
        <f aca="false">IF(K10="","",K10-$B$5)</f>
        <v>-0.0511363636363636</v>
      </c>
    </row>
    <row r="11" customFormat="false" ht="15" hidden="false" customHeight="false" outlineLevel="0" collapsed="false">
      <c r="A11" s="14" t="str">
        <f aca="false">IF(Setup!A7="","",Setup!A7)</f>
        <v>Packaging Line A</v>
      </c>
      <c r="B11" s="18" t="n">
        <f aca="false">IF($A11="","",SUMIFS('Production Log'!$I$5:$I$504,'Production Log'!$C$5:$C$504,$A11,'Production Log'!$A$5:$A$504,"&gt;="&amp;$D$3,'Production Log'!$A$5:$A$504,"&lt;="&amp;$D$4))</f>
        <v>880</v>
      </c>
      <c r="C11" s="18" t="n">
        <f aca="false">IF($A11="","",SUMIFS('Production Log'!$J$5:$J$504,'Production Log'!$C$5:$C$504,$A11,'Production Log'!$A$5:$A$504,"&gt;="&amp;$D$3,'Production Log'!$A$5:$A$504,"&lt;="&amp;$D$4))</f>
        <v>800</v>
      </c>
      <c r="D11" s="18" t="n">
        <f aca="false">IF($A11="","",SUMIFS('Production Log'!$F$5:$F$504,'Production Log'!$C$5:$C$504,$A11,'Production Log'!$A$5:$A$504,"&gt;="&amp;$D$3,'Production Log'!$A$5:$A$504,"&lt;="&amp;$D$4))</f>
        <v>80</v>
      </c>
      <c r="E11" s="18" t="n">
        <f aca="false">IF($A11="","",SUMIFS('Production Log'!$G$5:$G$504,'Production Log'!$C$5:$C$504,$A11,'Production Log'!$A$5:$A$504,"&gt;="&amp;$D$3,'Production Log'!$A$5:$A$504,"&lt;="&amp;$D$4))</f>
        <v>17600</v>
      </c>
      <c r="F11" s="18" t="n">
        <f aca="false">IF($A11="","",SUMIFS('Production Log'!$M$5:$M$504,'Production Log'!$C$5:$C$504,$A11,'Production Log'!$A$5:$A$504,"&gt;="&amp;$D$3,'Production Log'!$A$5:$A$504,"&lt;="&amp;$D$4))</f>
        <v>17355</v>
      </c>
      <c r="G11" s="18" t="n">
        <f aca="false">IF($A11="","",SUMIFS('Production Log'!$L$5:$L$504,'Production Log'!$C$5:$C$504,$A11,'Production Log'!$A$5:$A$504,"&gt;="&amp;$D$3,'Production Log'!$A$5:$A$504,"&lt;="&amp;$D$4))</f>
        <v>733.333333333333</v>
      </c>
      <c r="H11" s="13" t="n">
        <f aca="false">IF($A11="","",IF(B11=0,"",C11/B11))</f>
        <v>0.909090909090909</v>
      </c>
      <c r="I11" s="13" t="n">
        <f aca="false">IF($A11="","",IF(C11=0,"",G11/C11))</f>
        <v>0.916666666666667</v>
      </c>
      <c r="J11" s="13" t="n">
        <f aca="false">IF($A11="","",IF(E11=0,"",F11/E11))</f>
        <v>0.986079545454546</v>
      </c>
      <c r="K11" s="13" t="n">
        <f aca="false">IF(OR(H11="",I11="",J11=""),"",H11*I11*J11)</f>
        <v>0.821732954545454</v>
      </c>
      <c r="L11" s="19" t="n">
        <f aca="false">IF(K11="","",K11-$B$5)</f>
        <v>-0.0282670454545456</v>
      </c>
    </row>
    <row r="12" customFormat="false" ht="15" hidden="false" customHeight="false" outlineLevel="0" collapsed="false">
      <c r="A12" s="14" t="str">
        <f aca="false">IF(Setup!A8="","",Setup!A8)</f>
        <v/>
      </c>
      <c r="B12" s="18" t="str">
        <f aca="false">IF($A12="","",SUMIFS('Production Log'!$I$5:$I$504,'Production Log'!$C$5:$C$504,$A12,'Production Log'!$A$5:$A$504,"&gt;="&amp;$D$3,'Production Log'!$A$5:$A$504,"&lt;="&amp;$D$4))</f>
        <v/>
      </c>
      <c r="C12" s="18" t="str">
        <f aca="false">IF($A12="","",SUMIFS('Production Log'!$J$5:$J$504,'Production Log'!$C$5:$C$504,$A12,'Production Log'!$A$5:$A$504,"&gt;="&amp;$D$3,'Production Log'!$A$5:$A$504,"&lt;="&amp;$D$4))</f>
        <v/>
      </c>
      <c r="D12" s="18" t="str">
        <f aca="false">IF($A12="","",SUMIFS('Production Log'!$F$5:$F$504,'Production Log'!$C$5:$C$504,$A12,'Production Log'!$A$5:$A$504,"&gt;="&amp;$D$3,'Production Log'!$A$5:$A$504,"&lt;="&amp;$D$4))</f>
        <v/>
      </c>
      <c r="E12" s="18" t="str">
        <f aca="false">IF($A12="","",SUMIFS('Production Log'!$G$5:$G$504,'Production Log'!$C$5:$C$504,$A12,'Production Log'!$A$5:$A$504,"&gt;="&amp;$D$3,'Production Log'!$A$5:$A$504,"&lt;="&amp;$D$4))</f>
        <v/>
      </c>
      <c r="F12" s="18" t="str">
        <f aca="false">IF($A12="","",SUMIFS('Production Log'!$M$5:$M$504,'Production Log'!$C$5:$C$504,$A12,'Production Log'!$A$5:$A$504,"&gt;="&amp;$D$3,'Production Log'!$A$5:$A$504,"&lt;="&amp;$D$4))</f>
        <v/>
      </c>
      <c r="G12" s="18" t="str">
        <f aca="false">IF($A12="","",SUMIFS('Production Log'!$L$5:$L$504,'Production Log'!$C$5:$C$504,$A12,'Production Log'!$A$5:$A$504,"&gt;="&amp;$D$3,'Production Log'!$A$5:$A$504,"&lt;="&amp;$D$4))</f>
        <v/>
      </c>
      <c r="H12" s="13" t="str">
        <f aca="false">IF($A12="","",IF(B12=0,"",C12/B12))</f>
        <v/>
      </c>
      <c r="I12" s="13" t="str">
        <f aca="false">IF($A12="","",IF(C12=0,"",G12/C12))</f>
        <v/>
      </c>
      <c r="J12" s="13" t="str">
        <f aca="false">IF($A12="","",IF(E12=0,"",F12/E12))</f>
        <v/>
      </c>
      <c r="K12" s="13" t="str">
        <f aca="false">IF(OR(H12="",I12="",J12=""),"",H12*I12*J12)</f>
        <v/>
      </c>
      <c r="L12" s="19" t="str">
        <f aca="false">IF(K12="","",K12-$B$5)</f>
        <v/>
      </c>
    </row>
    <row r="13" customFormat="false" ht="15" hidden="false" customHeight="false" outlineLevel="0" collapsed="false">
      <c r="A13" s="14" t="str">
        <f aca="false">IF(Setup!A9="","",Setup!A9)</f>
        <v/>
      </c>
      <c r="B13" s="18" t="str">
        <f aca="false">IF($A13="","",SUMIFS('Production Log'!$I$5:$I$504,'Production Log'!$C$5:$C$504,$A13,'Production Log'!$A$5:$A$504,"&gt;="&amp;$D$3,'Production Log'!$A$5:$A$504,"&lt;="&amp;$D$4))</f>
        <v/>
      </c>
      <c r="C13" s="18" t="str">
        <f aca="false">IF($A13="","",SUMIFS('Production Log'!$J$5:$J$504,'Production Log'!$C$5:$C$504,$A13,'Production Log'!$A$5:$A$504,"&gt;="&amp;$D$3,'Production Log'!$A$5:$A$504,"&lt;="&amp;$D$4))</f>
        <v/>
      </c>
      <c r="D13" s="18" t="str">
        <f aca="false">IF($A13="","",SUMIFS('Production Log'!$F$5:$F$504,'Production Log'!$C$5:$C$504,$A13,'Production Log'!$A$5:$A$504,"&gt;="&amp;$D$3,'Production Log'!$A$5:$A$504,"&lt;="&amp;$D$4))</f>
        <v/>
      </c>
      <c r="E13" s="18" t="str">
        <f aca="false">IF($A13="","",SUMIFS('Production Log'!$G$5:$G$504,'Production Log'!$C$5:$C$504,$A13,'Production Log'!$A$5:$A$504,"&gt;="&amp;$D$3,'Production Log'!$A$5:$A$504,"&lt;="&amp;$D$4))</f>
        <v/>
      </c>
      <c r="F13" s="18" t="str">
        <f aca="false">IF($A13="","",SUMIFS('Production Log'!$M$5:$M$504,'Production Log'!$C$5:$C$504,$A13,'Production Log'!$A$5:$A$504,"&gt;="&amp;$D$3,'Production Log'!$A$5:$A$504,"&lt;="&amp;$D$4))</f>
        <v/>
      </c>
      <c r="G13" s="18" t="str">
        <f aca="false">IF($A13="","",SUMIFS('Production Log'!$L$5:$L$504,'Production Log'!$C$5:$C$504,$A13,'Production Log'!$A$5:$A$504,"&gt;="&amp;$D$3,'Production Log'!$A$5:$A$504,"&lt;="&amp;$D$4))</f>
        <v/>
      </c>
      <c r="H13" s="13" t="str">
        <f aca="false">IF($A13="","",IF(B13=0,"",C13/B13))</f>
        <v/>
      </c>
      <c r="I13" s="13" t="str">
        <f aca="false">IF($A13="","",IF(C13=0,"",G13/C13))</f>
        <v/>
      </c>
      <c r="J13" s="13" t="str">
        <f aca="false">IF($A13="","",IF(E13=0,"",F13/E13))</f>
        <v/>
      </c>
      <c r="K13" s="13" t="str">
        <f aca="false">IF(OR(H13="",I13="",J13=""),"",H13*I13*J13)</f>
        <v/>
      </c>
      <c r="L13" s="19" t="str">
        <f aca="false">IF(K13="","",K13-$B$5)</f>
        <v/>
      </c>
    </row>
    <row r="14" customFormat="false" ht="15" hidden="false" customHeight="false" outlineLevel="0" collapsed="false">
      <c r="A14" s="14" t="str">
        <f aca="false">IF(Setup!A10="","",Setup!A10)</f>
        <v/>
      </c>
      <c r="B14" s="18" t="str">
        <f aca="false">IF($A14="","",SUMIFS('Production Log'!$I$5:$I$504,'Production Log'!$C$5:$C$504,$A14,'Production Log'!$A$5:$A$504,"&gt;="&amp;$D$3,'Production Log'!$A$5:$A$504,"&lt;="&amp;$D$4))</f>
        <v/>
      </c>
      <c r="C14" s="18" t="str">
        <f aca="false">IF($A14="","",SUMIFS('Production Log'!$J$5:$J$504,'Production Log'!$C$5:$C$504,$A14,'Production Log'!$A$5:$A$504,"&gt;="&amp;$D$3,'Production Log'!$A$5:$A$504,"&lt;="&amp;$D$4))</f>
        <v/>
      </c>
      <c r="D14" s="18" t="str">
        <f aca="false">IF($A14="","",SUMIFS('Production Log'!$F$5:$F$504,'Production Log'!$C$5:$C$504,$A14,'Production Log'!$A$5:$A$504,"&gt;="&amp;$D$3,'Production Log'!$A$5:$A$504,"&lt;="&amp;$D$4))</f>
        <v/>
      </c>
      <c r="E14" s="18" t="str">
        <f aca="false">IF($A14="","",SUMIFS('Production Log'!$G$5:$G$504,'Production Log'!$C$5:$C$504,$A14,'Production Log'!$A$5:$A$504,"&gt;="&amp;$D$3,'Production Log'!$A$5:$A$504,"&lt;="&amp;$D$4))</f>
        <v/>
      </c>
      <c r="F14" s="18" t="str">
        <f aca="false">IF($A14="","",SUMIFS('Production Log'!$M$5:$M$504,'Production Log'!$C$5:$C$504,$A14,'Production Log'!$A$5:$A$504,"&gt;="&amp;$D$3,'Production Log'!$A$5:$A$504,"&lt;="&amp;$D$4))</f>
        <v/>
      </c>
      <c r="G14" s="18" t="str">
        <f aca="false">IF($A14="","",SUMIFS('Production Log'!$L$5:$L$504,'Production Log'!$C$5:$C$504,$A14,'Production Log'!$A$5:$A$504,"&gt;="&amp;$D$3,'Production Log'!$A$5:$A$504,"&lt;="&amp;$D$4))</f>
        <v/>
      </c>
      <c r="H14" s="13" t="str">
        <f aca="false">IF($A14="","",IF(B14=0,"",C14/B14))</f>
        <v/>
      </c>
      <c r="I14" s="13" t="str">
        <f aca="false">IF($A14="","",IF(C14=0,"",G14/C14))</f>
        <v/>
      </c>
      <c r="J14" s="13" t="str">
        <f aca="false">IF($A14="","",IF(E14=0,"",F14/E14))</f>
        <v/>
      </c>
      <c r="K14" s="13" t="str">
        <f aca="false">IF(OR(H14="",I14="",J14=""),"",H14*I14*J14)</f>
        <v/>
      </c>
      <c r="L14" s="19" t="str">
        <f aca="false">IF(K14="","",K14-$B$5)</f>
        <v/>
      </c>
    </row>
    <row r="15" customFormat="false" ht="15" hidden="false" customHeight="false" outlineLevel="0" collapsed="false">
      <c r="A15" s="14" t="str">
        <f aca="false">IF(Setup!A11="","",Setup!A11)</f>
        <v/>
      </c>
      <c r="B15" s="18" t="str">
        <f aca="false">IF($A15="","",SUMIFS('Production Log'!$I$5:$I$504,'Production Log'!$C$5:$C$504,$A15,'Production Log'!$A$5:$A$504,"&gt;="&amp;$D$3,'Production Log'!$A$5:$A$504,"&lt;="&amp;$D$4))</f>
        <v/>
      </c>
      <c r="C15" s="18" t="str">
        <f aca="false">IF($A15="","",SUMIFS('Production Log'!$J$5:$J$504,'Production Log'!$C$5:$C$504,$A15,'Production Log'!$A$5:$A$504,"&gt;="&amp;$D$3,'Production Log'!$A$5:$A$504,"&lt;="&amp;$D$4))</f>
        <v/>
      </c>
      <c r="D15" s="18" t="str">
        <f aca="false">IF($A15="","",SUMIFS('Production Log'!$F$5:$F$504,'Production Log'!$C$5:$C$504,$A15,'Production Log'!$A$5:$A$504,"&gt;="&amp;$D$3,'Production Log'!$A$5:$A$504,"&lt;="&amp;$D$4))</f>
        <v/>
      </c>
      <c r="E15" s="18" t="str">
        <f aca="false">IF($A15="","",SUMIFS('Production Log'!$G$5:$G$504,'Production Log'!$C$5:$C$504,$A15,'Production Log'!$A$5:$A$504,"&gt;="&amp;$D$3,'Production Log'!$A$5:$A$504,"&lt;="&amp;$D$4))</f>
        <v/>
      </c>
      <c r="F15" s="18" t="str">
        <f aca="false">IF($A15="","",SUMIFS('Production Log'!$M$5:$M$504,'Production Log'!$C$5:$C$504,$A15,'Production Log'!$A$5:$A$504,"&gt;="&amp;$D$3,'Production Log'!$A$5:$A$504,"&lt;="&amp;$D$4))</f>
        <v/>
      </c>
      <c r="G15" s="18" t="str">
        <f aca="false">IF($A15="","",SUMIFS('Production Log'!$L$5:$L$504,'Production Log'!$C$5:$C$504,$A15,'Production Log'!$A$5:$A$504,"&gt;="&amp;$D$3,'Production Log'!$A$5:$A$504,"&lt;="&amp;$D$4))</f>
        <v/>
      </c>
      <c r="H15" s="13" t="str">
        <f aca="false">IF($A15="","",IF(B15=0,"",C15/B15))</f>
        <v/>
      </c>
      <c r="I15" s="13" t="str">
        <f aca="false">IF($A15="","",IF(C15=0,"",G15/C15))</f>
        <v/>
      </c>
      <c r="J15" s="13" t="str">
        <f aca="false">IF($A15="","",IF(E15=0,"",F15/E15))</f>
        <v/>
      </c>
      <c r="K15" s="13" t="str">
        <f aca="false">IF(OR(H15="",I15="",J15=""),"",H15*I15*J15)</f>
        <v/>
      </c>
      <c r="L15" s="19" t="str">
        <f aca="false">IF(K15="","",K15-$B$5)</f>
        <v/>
      </c>
    </row>
    <row r="16" customFormat="false" ht="15" hidden="false" customHeight="false" outlineLevel="0" collapsed="false">
      <c r="A16" s="14" t="str">
        <f aca="false">IF(Setup!A12="","",Setup!A12)</f>
        <v/>
      </c>
      <c r="B16" s="18" t="str">
        <f aca="false">IF($A16="","",SUMIFS('Production Log'!$I$5:$I$504,'Production Log'!$C$5:$C$504,$A16,'Production Log'!$A$5:$A$504,"&gt;="&amp;$D$3,'Production Log'!$A$5:$A$504,"&lt;="&amp;$D$4))</f>
        <v/>
      </c>
      <c r="C16" s="18" t="str">
        <f aca="false">IF($A16="","",SUMIFS('Production Log'!$J$5:$J$504,'Production Log'!$C$5:$C$504,$A16,'Production Log'!$A$5:$A$504,"&gt;="&amp;$D$3,'Production Log'!$A$5:$A$504,"&lt;="&amp;$D$4))</f>
        <v/>
      </c>
      <c r="D16" s="18" t="str">
        <f aca="false">IF($A16="","",SUMIFS('Production Log'!$F$5:$F$504,'Production Log'!$C$5:$C$504,$A16,'Production Log'!$A$5:$A$504,"&gt;="&amp;$D$3,'Production Log'!$A$5:$A$504,"&lt;="&amp;$D$4))</f>
        <v/>
      </c>
      <c r="E16" s="18" t="str">
        <f aca="false">IF($A16="","",SUMIFS('Production Log'!$G$5:$G$504,'Production Log'!$C$5:$C$504,$A16,'Production Log'!$A$5:$A$504,"&gt;="&amp;$D$3,'Production Log'!$A$5:$A$504,"&lt;="&amp;$D$4))</f>
        <v/>
      </c>
      <c r="F16" s="18" t="str">
        <f aca="false">IF($A16="","",SUMIFS('Production Log'!$M$5:$M$504,'Production Log'!$C$5:$C$504,$A16,'Production Log'!$A$5:$A$504,"&gt;="&amp;$D$3,'Production Log'!$A$5:$A$504,"&lt;="&amp;$D$4))</f>
        <v/>
      </c>
      <c r="G16" s="18" t="str">
        <f aca="false">IF($A16="","",SUMIFS('Production Log'!$L$5:$L$504,'Production Log'!$C$5:$C$504,$A16,'Production Log'!$A$5:$A$504,"&gt;="&amp;$D$3,'Production Log'!$A$5:$A$504,"&lt;="&amp;$D$4))</f>
        <v/>
      </c>
      <c r="H16" s="13" t="str">
        <f aca="false">IF($A16="","",IF(B16=0,"",C16/B16))</f>
        <v/>
      </c>
      <c r="I16" s="13" t="str">
        <f aca="false">IF($A16="","",IF(C16=0,"",G16/C16))</f>
        <v/>
      </c>
      <c r="J16" s="13" t="str">
        <f aca="false">IF($A16="","",IF(E16=0,"",F16/E16))</f>
        <v/>
      </c>
      <c r="K16" s="13" t="str">
        <f aca="false">IF(OR(H16="",I16="",J16=""),"",H16*I16*J16)</f>
        <v/>
      </c>
      <c r="L16" s="19" t="str">
        <f aca="false">IF(K16="","",K16-$B$5)</f>
        <v/>
      </c>
    </row>
    <row r="17" customFormat="false" ht="15" hidden="false" customHeight="false" outlineLevel="0" collapsed="false">
      <c r="A17" s="14" t="str">
        <f aca="false">IF(Setup!A13="","",Setup!A13)</f>
        <v/>
      </c>
      <c r="B17" s="18" t="str">
        <f aca="false">IF($A17="","",SUMIFS('Production Log'!$I$5:$I$504,'Production Log'!$C$5:$C$504,$A17,'Production Log'!$A$5:$A$504,"&gt;="&amp;$D$3,'Production Log'!$A$5:$A$504,"&lt;="&amp;$D$4))</f>
        <v/>
      </c>
      <c r="C17" s="18" t="str">
        <f aca="false">IF($A17="","",SUMIFS('Production Log'!$J$5:$J$504,'Production Log'!$C$5:$C$504,$A17,'Production Log'!$A$5:$A$504,"&gt;="&amp;$D$3,'Production Log'!$A$5:$A$504,"&lt;="&amp;$D$4))</f>
        <v/>
      </c>
      <c r="D17" s="18" t="str">
        <f aca="false">IF($A17="","",SUMIFS('Production Log'!$F$5:$F$504,'Production Log'!$C$5:$C$504,$A17,'Production Log'!$A$5:$A$504,"&gt;="&amp;$D$3,'Production Log'!$A$5:$A$504,"&lt;="&amp;$D$4))</f>
        <v/>
      </c>
      <c r="E17" s="18" t="str">
        <f aca="false">IF($A17="","",SUMIFS('Production Log'!$G$5:$G$504,'Production Log'!$C$5:$C$504,$A17,'Production Log'!$A$5:$A$504,"&gt;="&amp;$D$3,'Production Log'!$A$5:$A$504,"&lt;="&amp;$D$4))</f>
        <v/>
      </c>
      <c r="F17" s="18" t="str">
        <f aca="false">IF($A17="","",SUMIFS('Production Log'!$M$5:$M$504,'Production Log'!$C$5:$C$504,$A17,'Production Log'!$A$5:$A$504,"&gt;="&amp;$D$3,'Production Log'!$A$5:$A$504,"&lt;="&amp;$D$4))</f>
        <v/>
      </c>
      <c r="G17" s="18" t="str">
        <f aca="false">IF($A17="","",SUMIFS('Production Log'!$L$5:$L$504,'Production Log'!$C$5:$C$504,$A17,'Production Log'!$A$5:$A$504,"&gt;="&amp;$D$3,'Production Log'!$A$5:$A$504,"&lt;="&amp;$D$4))</f>
        <v/>
      </c>
      <c r="H17" s="13" t="str">
        <f aca="false">IF($A17="","",IF(B17=0,"",C17/B17))</f>
        <v/>
      </c>
      <c r="I17" s="13" t="str">
        <f aca="false">IF($A17="","",IF(C17=0,"",G17/C17))</f>
        <v/>
      </c>
      <c r="J17" s="13" t="str">
        <f aca="false">IF($A17="","",IF(E17=0,"",F17/E17))</f>
        <v/>
      </c>
      <c r="K17" s="13" t="str">
        <f aca="false">IF(OR(H17="",I17="",J17=""),"",H17*I17*J17)</f>
        <v/>
      </c>
      <c r="L17" s="19" t="str">
        <f aca="false">IF(K17="","",K17-$B$5)</f>
        <v/>
      </c>
    </row>
    <row r="18" customFormat="false" ht="15" hidden="false" customHeight="false" outlineLevel="0" collapsed="false">
      <c r="A18" s="14" t="str">
        <f aca="false">IF(Setup!A14="","",Setup!A14)</f>
        <v/>
      </c>
      <c r="B18" s="18" t="str">
        <f aca="false">IF($A18="","",SUMIFS('Production Log'!$I$5:$I$504,'Production Log'!$C$5:$C$504,$A18,'Production Log'!$A$5:$A$504,"&gt;="&amp;$D$3,'Production Log'!$A$5:$A$504,"&lt;="&amp;$D$4))</f>
        <v/>
      </c>
      <c r="C18" s="18" t="str">
        <f aca="false">IF($A18="","",SUMIFS('Production Log'!$J$5:$J$504,'Production Log'!$C$5:$C$504,$A18,'Production Log'!$A$5:$A$504,"&gt;="&amp;$D$3,'Production Log'!$A$5:$A$504,"&lt;="&amp;$D$4))</f>
        <v/>
      </c>
      <c r="D18" s="18" t="str">
        <f aca="false">IF($A18="","",SUMIFS('Production Log'!$F$5:$F$504,'Production Log'!$C$5:$C$504,$A18,'Production Log'!$A$5:$A$504,"&gt;="&amp;$D$3,'Production Log'!$A$5:$A$504,"&lt;="&amp;$D$4))</f>
        <v/>
      </c>
      <c r="E18" s="18" t="str">
        <f aca="false">IF($A18="","",SUMIFS('Production Log'!$G$5:$G$504,'Production Log'!$C$5:$C$504,$A18,'Production Log'!$A$5:$A$504,"&gt;="&amp;$D$3,'Production Log'!$A$5:$A$504,"&lt;="&amp;$D$4))</f>
        <v/>
      </c>
      <c r="F18" s="18" t="str">
        <f aca="false">IF($A18="","",SUMIFS('Production Log'!$M$5:$M$504,'Production Log'!$C$5:$C$504,$A18,'Production Log'!$A$5:$A$504,"&gt;="&amp;$D$3,'Production Log'!$A$5:$A$504,"&lt;="&amp;$D$4))</f>
        <v/>
      </c>
      <c r="G18" s="18" t="str">
        <f aca="false">IF($A18="","",SUMIFS('Production Log'!$L$5:$L$504,'Production Log'!$C$5:$C$504,$A18,'Production Log'!$A$5:$A$504,"&gt;="&amp;$D$3,'Production Log'!$A$5:$A$504,"&lt;="&amp;$D$4))</f>
        <v/>
      </c>
      <c r="H18" s="13" t="str">
        <f aca="false">IF($A18="","",IF(B18=0,"",C18/B18))</f>
        <v/>
      </c>
      <c r="I18" s="13" t="str">
        <f aca="false">IF($A18="","",IF(C18=0,"",G18/C18))</f>
        <v/>
      </c>
      <c r="J18" s="13" t="str">
        <f aca="false">IF($A18="","",IF(E18=0,"",F18/E18))</f>
        <v/>
      </c>
      <c r="K18" s="13" t="str">
        <f aca="false">IF(OR(H18="",I18="",J18=""),"",H18*I18*J18)</f>
        <v/>
      </c>
      <c r="L18" s="19" t="str">
        <f aca="false">IF(K18="","",K18-$B$5)</f>
        <v/>
      </c>
    </row>
    <row r="19" customFormat="false" ht="15" hidden="false" customHeight="false" outlineLevel="0" collapsed="false">
      <c r="A19" s="14" t="str">
        <f aca="false">IF(Setup!A15="","",Setup!A15)</f>
        <v/>
      </c>
      <c r="B19" s="18" t="str">
        <f aca="false">IF($A19="","",SUMIFS('Production Log'!$I$5:$I$504,'Production Log'!$C$5:$C$504,$A19,'Production Log'!$A$5:$A$504,"&gt;="&amp;$D$3,'Production Log'!$A$5:$A$504,"&lt;="&amp;$D$4))</f>
        <v/>
      </c>
      <c r="C19" s="18" t="str">
        <f aca="false">IF($A19="","",SUMIFS('Production Log'!$J$5:$J$504,'Production Log'!$C$5:$C$504,$A19,'Production Log'!$A$5:$A$504,"&gt;="&amp;$D$3,'Production Log'!$A$5:$A$504,"&lt;="&amp;$D$4))</f>
        <v/>
      </c>
      <c r="D19" s="18" t="str">
        <f aca="false">IF($A19="","",SUMIFS('Production Log'!$F$5:$F$504,'Production Log'!$C$5:$C$504,$A19,'Production Log'!$A$5:$A$504,"&gt;="&amp;$D$3,'Production Log'!$A$5:$A$504,"&lt;="&amp;$D$4))</f>
        <v/>
      </c>
      <c r="E19" s="18" t="str">
        <f aca="false">IF($A19="","",SUMIFS('Production Log'!$G$5:$G$504,'Production Log'!$C$5:$C$504,$A19,'Production Log'!$A$5:$A$504,"&gt;="&amp;$D$3,'Production Log'!$A$5:$A$504,"&lt;="&amp;$D$4))</f>
        <v/>
      </c>
      <c r="F19" s="18" t="str">
        <f aca="false">IF($A19="","",SUMIFS('Production Log'!$M$5:$M$504,'Production Log'!$C$5:$C$504,$A19,'Production Log'!$A$5:$A$504,"&gt;="&amp;$D$3,'Production Log'!$A$5:$A$504,"&lt;="&amp;$D$4))</f>
        <v/>
      </c>
      <c r="G19" s="18" t="str">
        <f aca="false">IF($A19="","",SUMIFS('Production Log'!$L$5:$L$504,'Production Log'!$C$5:$C$504,$A19,'Production Log'!$A$5:$A$504,"&gt;="&amp;$D$3,'Production Log'!$A$5:$A$504,"&lt;="&amp;$D$4))</f>
        <v/>
      </c>
      <c r="H19" s="13" t="str">
        <f aca="false">IF($A19="","",IF(B19=0,"",C19/B19))</f>
        <v/>
      </c>
      <c r="I19" s="13" t="str">
        <f aca="false">IF($A19="","",IF(C19=0,"",G19/C19))</f>
        <v/>
      </c>
      <c r="J19" s="13" t="str">
        <f aca="false">IF($A19="","",IF(E19=0,"",F19/E19))</f>
        <v/>
      </c>
      <c r="K19" s="13" t="str">
        <f aca="false">IF(OR(H19="",I19="",J19=""),"",H19*I19*J19)</f>
        <v/>
      </c>
      <c r="L19" s="19" t="str">
        <f aca="false">IF(K19="","",K19-$B$5)</f>
        <v/>
      </c>
    </row>
    <row r="20" customFormat="false" ht="15" hidden="false" customHeight="false" outlineLevel="0" collapsed="false">
      <c r="A20" s="14" t="str">
        <f aca="false">IF(Setup!A16="","",Setup!A16)</f>
        <v/>
      </c>
      <c r="B20" s="18" t="str">
        <f aca="false">IF($A20="","",SUMIFS('Production Log'!$I$5:$I$504,'Production Log'!$C$5:$C$504,$A20,'Production Log'!$A$5:$A$504,"&gt;="&amp;$D$3,'Production Log'!$A$5:$A$504,"&lt;="&amp;$D$4))</f>
        <v/>
      </c>
      <c r="C20" s="18" t="str">
        <f aca="false">IF($A20="","",SUMIFS('Production Log'!$J$5:$J$504,'Production Log'!$C$5:$C$504,$A20,'Production Log'!$A$5:$A$504,"&gt;="&amp;$D$3,'Production Log'!$A$5:$A$504,"&lt;="&amp;$D$4))</f>
        <v/>
      </c>
      <c r="D20" s="18" t="str">
        <f aca="false">IF($A20="","",SUMIFS('Production Log'!$F$5:$F$504,'Production Log'!$C$5:$C$504,$A20,'Production Log'!$A$5:$A$504,"&gt;="&amp;$D$3,'Production Log'!$A$5:$A$504,"&lt;="&amp;$D$4))</f>
        <v/>
      </c>
      <c r="E20" s="18" t="str">
        <f aca="false">IF($A20="","",SUMIFS('Production Log'!$G$5:$G$504,'Production Log'!$C$5:$C$504,$A20,'Production Log'!$A$5:$A$504,"&gt;="&amp;$D$3,'Production Log'!$A$5:$A$504,"&lt;="&amp;$D$4))</f>
        <v/>
      </c>
      <c r="F20" s="18" t="str">
        <f aca="false">IF($A20="","",SUMIFS('Production Log'!$M$5:$M$504,'Production Log'!$C$5:$C$504,$A20,'Production Log'!$A$5:$A$504,"&gt;="&amp;$D$3,'Production Log'!$A$5:$A$504,"&lt;="&amp;$D$4))</f>
        <v/>
      </c>
      <c r="G20" s="18" t="str">
        <f aca="false">IF($A20="","",SUMIFS('Production Log'!$L$5:$L$504,'Production Log'!$C$5:$C$504,$A20,'Production Log'!$A$5:$A$504,"&gt;="&amp;$D$3,'Production Log'!$A$5:$A$504,"&lt;="&amp;$D$4))</f>
        <v/>
      </c>
      <c r="H20" s="13" t="str">
        <f aca="false">IF($A20="","",IF(B20=0,"",C20/B20))</f>
        <v/>
      </c>
      <c r="I20" s="13" t="str">
        <f aca="false">IF($A20="","",IF(C20=0,"",G20/C20))</f>
        <v/>
      </c>
      <c r="J20" s="13" t="str">
        <f aca="false">IF($A20="","",IF(E20=0,"",F20/E20))</f>
        <v/>
      </c>
      <c r="K20" s="13" t="str">
        <f aca="false">IF(OR(H20="",I20="",J20=""),"",H20*I20*J20)</f>
        <v/>
      </c>
      <c r="L20" s="19" t="str">
        <f aca="false">IF(K20="","",K20-$B$5)</f>
        <v/>
      </c>
    </row>
    <row r="21" customFormat="false" ht="15" hidden="false" customHeight="false" outlineLevel="0" collapsed="false">
      <c r="A21" s="14" t="str">
        <f aca="false">IF(Setup!A17="","",Setup!A17)</f>
        <v/>
      </c>
      <c r="B21" s="18" t="str">
        <f aca="false">IF($A21="","",SUMIFS('Production Log'!$I$5:$I$504,'Production Log'!$C$5:$C$504,$A21,'Production Log'!$A$5:$A$504,"&gt;="&amp;$D$3,'Production Log'!$A$5:$A$504,"&lt;="&amp;$D$4))</f>
        <v/>
      </c>
      <c r="C21" s="18" t="str">
        <f aca="false">IF($A21="","",SUMIFS('Production Log'!$J$5:$J$504,'Production Log'!$C$5:$C$504,$A21,'Production Log'!$A$5:$A$504,"&gt;="&amp;$D$3,'Production Log'!$A$5:$A$504,"&lt;="&amp;$D$4))</f>
        <v/>
      </c>
      <c r="D21" s="18" t="str">
        <f aca="false">IF($A21="","",SUMIFS('Production Log'!$F$5:$F$504,'Production Log'!$C$5:$C$504,$A21,'Production Log'!$A$5:$A$504,"&gt;="&amp;$D$3,'Production Log'!$A$5:$A$504,"&lt;="&amp;$D$4))</f>
        <v/>
      </c>
      <c r="E21" s="18" t="str">
        <f aca="false">IF($A21="","",SUMIFS('Production Log'!$G$5:$G$504,'Production Log'!$C$5:$C$504,$A21,'Production Log'!$A$5:$A$504,"&gt;="&amp;$D$3,'Production Log'!$A$5:$A$504,"&lt;="&amp;$D$4))</f>
        <v/>
      </c>
      <c r="F21" s="18" t="str">
        <f aca="false">IF($A21="","",SUMIFS('Production Log'!$M$5:$M$504,'Production Log'!$C$5:$C$504,$A21,'Production Log'!$A$5:$A$504,"&gt;="&amp;$D$3,'Production Log'!$A$5:$A$504,"&lt;="&amp;$D$4))</f>
        <v/>
      </c>
      <c r="G21" s="18" t="str">
        <f aca="false">IF($A21="","",SUMIFS('Production Log'!$L$5:$L$504,'Production Log'!$C$5:$C$504,$A21,'Production Log'!$A$5:$A$504,"&gt;="&amp;$D$3,'Production Log'!$A$5:$A$504,"&lt;="&amp;$D$4))</f>
        <v/>
      </c>
      <c r="H21" s="13" t="str">
        <f aca="false">IF($A21="","",IF(B21=0,"",C21/B21))</f>
        <v/>
      </c>
      <c r="I21" s="13" t="str">
        <f aca="false">IF($A21="","",IF(C21=0,"",G21/C21))</f>
        <v/>
      </c>
      <c r="J21" s="13" t="str">
        <f aca="false">IF($A21="","",IF(E21=0,"",F21/E21))</f>
        <v/>
      </c>
      <c r="K21" s="13" t="str">
        <f aca="false">IF(OR(H21="",I21="",J21=""),"",H21*I21*J21)</f>
        <v/>
      </c>
      <c r="L21" s="19" t="str">
        <f aca="false">IF(K21="","",K21-$B$5)</f>
        <v/>
      </c>
    </row>
    <row r="22" customFormat="false" ht="15" hidden="false" customHeight="false" outlineLevel="0" collapsed="false">
      <c r="A22" s="14" t="str">
        <f aca="false">IF(Setup!A18="","",Setup!A18)</f>
        <v/>
      </c>
      <c r="B22" s="18" t="str">
        <f aca="false">IF($A22="","",SUMIFS('Production Log'!$I$5:$I$504,'Production Log'!$C$5:$C$504,$A22,'Production Log'!$A$5:$A$504,"&gt;="&amp;$D$3,'Production Log'!$A$5:$A$504,"&lt;="&amp;$D$4))</f>
        <v/>
      </c>
      <c r="C22" s="18" t="str">
        <f aca="false">IF($A22="","",SUMIFS('Production Log'!$J$5:$J$504,'Production Log'!$C$5:$C$504,$A22,'Production Log'!$A$5:$A$504,"&gt;="&amp;$D$3,'Production Log'!$A$5:$A$504,"&lt;="&amp;$D$4))</f>
        <v/>
      </c>
      <c r="D22" s="18" t="str">
        <f aca="false">IF($A22="","",SUMIFS('Production Log'!$F$5:$F$504,'Production Log'!$C$5:$C$504,$A22,'Production Log'!$A$5:$A$504,"&gt;="&amp;$D$3,'Production Log'!$A$5:$A$504,"&lt;="&amp;$D$4))</f>
        <v/>
      </c>
      <c r="E22" s="18" t="str">
        <f aca="false">IF($A22="","",SUMIFS('Production Log'!$G$5:$G$504,'Production Log'!$C$5:$C$504,$A22,'Production Log'!$A$5:$A$504,"&gt;="&amp;$D$3,'Production Log'!$A$5:$A$504,"&lt;="&amp;$D$4))</f>
        <v/>
      </c>
      <c r="F22" s="18" t="str">
        <f aca="false">IF($A22="","",SUMIFS('Production Log'!$M$5:$M$504,'Production Log'!$C$5:$C$504,$A22,'Production Log'!$A$5:$A$504,"&gt;="&amp;$D$3,'Production Log'!$A$5:$A$504,"&lt;="&amp;$D$4))</f>
        <v/>
      </c>
      <c r="G22" s="18" t="str">
        <f aca="false">IF($A22="","",SUMIFS('Production Log'!$L$5:$L$504,'Production Log'!$C$5:$C$504,$A22,'Production Log'!$A$5:$A$504,"&gt;="&amp;$D$3,'Production Log'!$A$5:$A$504,"&lt;="&amp;$D$4))</f>
        <v/>
      </c>
      <c r="H22" s="13" t="str">
        <f aca="false">IF($A22="","",IF(B22=0,"",C22/B22))</f>
        <v/>
      </c>
      <c r="I22" s="13" t="str">
        <f aca="false">IF($A22="","",IF(C22=0,"",G22/C22))</f>
        <v/>
      </c>
      <c r="J22" s="13" t="str">
        <f aca="false">IF($A22="","",IF(E22=0,"",F22/E22))</f>
        <v/>
      </c>
      <c r="K22" s="13" t="str">
        <f aca="false">IF(OR(H22="",I22="",J22=""),"",H22*I22*J22)</f>
        <v/>
      </c>
      <c r="L22" s="19" t="str">
        <f aca="false">IF(K22="","",K22-$B$5)</f>
        <v/>
      </c>
    </row>
    <row r="23" customFormat="false" ht="15" hidden="false" customHeight="false" outlineLevel="0" collapsed="false">
      <c r="A23" s="14" t="str">
        <f aca="false">IF(Setup!A19="","",Setup!A19)</f>
        <v/>
      </c>
      <c r="B23" s="18" t="str">
        <f aca="false">IF($A23="","",SUMIFS('Production Log'!$I$5:$I$504,'Production Log'!$C$5:$C$504,$A23,'Production Log'!$A$5:$A$504,"&gt;="&amp;$D$3,'Production Log'!$A$5:$A$504,"&lt;="&amp;$D$4))</f>
        <v/>
      </c>
      <c r="C23" s="18" t="str">
        <f aca="false">IF($A23="","",SUMIFS('Production Log'!$J$5:$J$504,'Production Log'!$C$5:$C$504,$A23,'Production Log'!$A$5:$A$504,"&gt;="&amp;$D$3,'Production Log'!$A$5:$A$504,"&lt;="&amp;$D$4))</f>
        <v/>
      </c>
      <c r="D23" s="18" t="str">
        <f aca="false">IF($A23="","",SUMIFS('Production Log'!$F$5:$F$504,'Production Log'!$C$5:$C$504,$A23,'Production Log'!$A$5:$A$504,"&gt;="&amp;$D$3,'Production Log'!$A$5:$A$504,"&lt;="&amp;$D$4))</f>
        <v/>
      </c>
      <c r="E23" s="18" t="str">
        <f aca="false">IF($A23="","",SUMIFS('Production Log'!$G$5:$G$504,'Production Log'!$C$5:$C$504,$A23,'Production Log'!$A$5:$A$504,"&gt;="&amp;$D$3,'Production Log'!$A$5:$A$504,"&lt;="&amp;$D$4))</f>
        <v/>
      </c>
      <c r="F23" s="18" t="str">
        <f aca="false">IF($A23="","",SUMIFS('Production Log'!$M$5:$M$504,'Production Log'!$C$5:$C$504,$A23,'Production Log'!$A$5:$A$504,"&gt;="&amp;$D$3,'Production Log'!$A$5:$A$504,"&lt;="&amp;$D$4))</f>
        <v/>
      </c>
      <c r="G23" s="18" t="str">
        <f aca="false">IF($A23="","",SUMIFS('Production Log'!$L$5:$L$504,'Production Log'!$C$5:$C$504,$A23,'Production Log'!$A$5:$A$504,"&gt;="&amp;$D$3,'Production Log'!$A$5:$A$504,"&lt;="&amp;$D$4))</f>
        <v/>
      </c>
      <c r="H23" s="13" t="str">
        <f aca="false">IF($A23="","",IF(B23=0,"",C23/B23))</f>
        <v/>
      </c>
      <c r="I23" s="13" t="str">
        <f aca="false">IF($A23="","",IF(C23=0,"",G23/C23))</f>
        <v/>
      </c>
      <c r="J23" s="13" t="str">
        <f aca="false">IF($A23="","",IF(E23=0,"",F23/E23))</f>
        <v/>
      </c>
      <c r="K23" s="13" t="str">
        <f aca="false">IF(OR(H23="",I23="",J23=""),"",H23*I23*J23)</f>
        <v/>
      </c>
      <c r="L23" s="19" t="str">
        <f aca="false">IF(K23="","",K23-$B$5)</f>
        <v/>
      </c>
    </row>
    <row r="24" customFormat="false" ht="15" hidden="false" customHeight="false" outlineLevel="0" collapsed="false">
      <c r="A24" s="14" t="str">
        <f aca="false">IF(Setup!A20="","",Setup!A20)</f>
        <v/>
      </c>
      <c r="B24" s="18" t="str">
        <f aca="false">IF($A24="","",SUMIFS('Production Log'!$I$5:$I$504,'Production Log'!$C$5:$C$504,$A24,'Production Log'!$A$5:$A$504,"&gt;="&amp;$D$3,'Production Log'!$A$5:$A$504,"&lt;="&amp;$D$4))</f>
        <v/>
      </c>
      <c r="C24" s="18" t="str">
        <f aca="false">IF($A24="","",SUMIFS('Production Log'!$J$5:$J$504,'Production Log'!$C$5:$C$504,$A24,'Production Log'!$A$5:$A$504,"&gt;="&amp;$D$3,'Production Log'!$A$5:$A$504,"&lt;="&amp;$D$4))</f>
        <v/>
      </c>
      <c r="D24" s="18" t="str">
        <f aca="false">IF($A24="","",SUMIFS('Production Log'!$F$5:$F$504,'Production Log'!$C$5:$C$504,$A24,'Production Log'!$A$5:$A$504,"&gt;="&amp;$D$3,'Production Log'!$A$5:$A$504,"&lt;="&amp;$D$4))</f>
        <v/>
      </c>
      <c r="E24" s="18" t="str">
        <f aca="false">IF($A24="","",SUMIFS('Production Log'!$G$5:$G$504,'Production Log'!$C$5:$C$504,$A24,'Production Log'!$A$5:$A$504,"&gt;="&amp;$D$3,'Production Log'!$A$5:$A$504,"&lt;="&amp;$D$4))</f>
        <v/>
      </c>
      <c r="F24" s="18" t="str">
        <f aca="false">IF($A24="","",SUMIFS('Production Log'!$M$5:$M$504,'Production Log'!$C$5:$C$504,$A24,'Production Log'!$A$5:$A$504,"&gt;="&amp;$D$3,'Production Log'!$A$5:$A$504,"&lt;="&amp;$D$4))</f>
        <v/>
      </c>
      <c r="G24" s="18" t="str">
        <f aca="false">IF($A24="","",SUMIFS('Production Log'!$L$5:$L$504,'Production Log'!$C$5:$C$504,$A24,'Production Log'!$A$5:$A$504,"&gt;="&amp;$D$3,'Production Log'!$A$5:$A$504,"&lt;="&amp;$D$4))</f>
        <v/>
      </c>
      <c r="H24" s="13" t="str">
        <f aca="false">IF($A24="","",IF(B24=0,"",C24/B24))</f>
        <v/>
      </c>
      <c r="I24" s="13" t="str">
        <f aca="false">IF($A24="","",IF(C24=0,"",G24/C24))</f>
        <v/>
      </c>
      <c r="J24" s="13" t="str">
        <f aca="false">IF($A24="","",IF(E24=0,"",F24/E24))</f>
        <v/>
      </c>
      <c r="K24" s="13" t="str">
        <f aca="false">IF(OR(H24="",I24="",J24=""),"",H24*I24*J24)</f>
        <v/>
      </c>
      <c r="L24" s="19" t="str">
        <f aca="false">IF(K24="","",K24-$B$5)</f>
        <v/>
      </c>
    </row>
    <row r="25" customFormat="false" ht="15" hidden="false" customHeight="false" outlineLevel="0" collapsed="false">
      <c r="A25" s="14" t="str">
        <f aca="false">IF(Setup!A21="","",Setup!A21)</f>
        <v/>
      </c>
      <c r="B25" s="18" t="str">
        <f aca="false">IF($A25="","",SUMIFS('Production Log'!$I$5:$I$504,'Production Log'!$C$5:$C$504,$A25,'Production Log'!$A$5:$A$504,"&gt;="&amp;$D$3,'Production Log'!$A$5:$A$504,"&lt;="&amp;$D$4))</f>
        <v/>
      </c>
      <c r="C25" s="18" t="str">
        <f aca="false">IF($A25="","",SUMIFS('Production Log'!$J$5:$J$504,'Production Log'!$C$5:$C$504,$A25,'Production Log'!$A$5:$A$504,"&gt;="&amp;$D$3,'Production Log'!$A$5:$A$504,"&lt;="&amp;$D$4))</f>
        <v/>
      </c>
      <c r="D25" s="18" t="str">
        <f aca="false">IF($A25="","",SUMIFS('Production Log'!$F$5:$F$504,'Production Log'!$C$5:$C$504,$A25,'Production Log'!$A$5:$A$504,"&gt;="&amp;$D$3,'Production Log'!$A$5:$A$504,"&lt;="&amp;$D$4))</f>
        <v/>
      </c>
      <c r="E25" s="18" t="str">
        <f aca="false">IF($A25="","",SUMIFS('Production Log'!$G$5:$G$504,'Production Log'!$C$5:$C$504,$A25,'Production Log'!$A$5:$A$504,"&gt;="&amp;$D$3,'Production Log'!$A$5:$A$504,"&lt;="&amp;$D$4))</f>
        <v/>
      </c>
      <c r="F25" s="18" t="str">
        <f aca="false">IF($A25="","",SUMIFS('Production Log'!$M$5:$M$504,'Production Log'!$C$5:$C$504,$A25,'Production Log'!$A$5:$A$504,"&gt;="&amp;$D$3,'Production Log'!$A$5:$A$504,"&lt;="&amp;$D$4))</f>
        <v/>
      </c>
      <c r="G25" s="18" t="str">
        <f aca="false">IF($A25="","",SUMIFS('Production Log'!$L$5:$L$504,'Production Log'!$C$5:$C$504,$A25,'Production Log'!$A$5:$A$504,"&gt;="&amp;$D$3,'Production Log'!$A$5:$A$504,"&lt;="&amp;$D$4))</f>
        <v/>
      </c>
      <c r="H25" s="13" t="str">
        <f aca="false">IF($A25="","",IF(B25=0,"",C25/B25))</f>
        <v/>
      </c>
      <c r="I25" s="13" t="str">
        <f aca="false">IF($A25="","",IF(C25=0,"",G25/C25))</f>
        <v/>
      </c>
      <c r="J25" s="13" t="str">
        <f aca="false">IF($A25="","",IF(E25=0,"",F25/E25))</f>
        <v/>
      </c>
      <c r="K25" s="13" t="str">
        <f aca="false">IF(OR(H25="",I25="",J25=""),"",H25*I25*J25)</f>
        <v/>
      </c>
      <c r="L25" s="19" t="str">
        <f aca="false">IF(K25="","",K25-$B$5)</f>
        <v/>
      </c>
    </row>
    <row r="26" customFormat="false" ht="15" hidden="false" customHeight="false" outlineLevel="0" collapsed="false">
      <c r="A26" s="14" t="str">
        <f aca="false">IF(Setup!A22="","",Setup!A22)</f>
        <v/>
      </c>
      <c r="B26" s="18" t="str">
        <f aca="false">IF($A26="","",SUMIFS('Production Log'!$I$5:$I$504,'Production Log'!$C$5:$C$504,$A26,'Production Log'!$A$5:$A$504,"&gt;="&amp;$D$3,'Production Log'!$A$5:$A$504,"&lt;="&amp;$D$4))</f>
        <v/>
      </c>
      <c r="C26" s="18" t="str">
        <f aca="false">IF($A26="","",SUMIFS('Production Log'!$J$5:$J$504,'Production Log'!$C$5:$C$504,$A26,'Production Log'!$A$5:$A$504,"&gt;="&amp;$D$3,'Production Log'!$A$5:$A$504,"&lt;="&amp;$D$4))</f>
        <v/>
      </c>
      <c r="D26" s="18" t="str">
        <f aca="false">IF($A26="","",SUMIFS('Production Log'!$F$5:$F$504,'Production Log'!$C$5:$C$504,$A26,'Production Log'!$A$5:$A$504,"&gt;="&amp;$D$3,'Production Log'!$A$5:$A$504,"&lt;="&amp;$D$4))</f>
        <v/>
      </c>
      <c r="E26" s="18" t="str">
        <f aca="false">IF($A26="","",SUMIFS('Production Log'!$G$5:$G$504,'Production Log'!$C$5:$C$504,$A26,'Production Log'!$A$5:$A$504,"&gt;="&amp;$D$3,'Production Log'!$A$5:$A$504,"&lt;="&amp;$D$4))</f>
        <v/>
      </c>
      <c r="F26" s="18" t="str">
        <f aca="false">IF($A26="","",SUMIFS('Production Log'!$M$5:$M$504,'Production Log'!$C$5:$C$504,$A26,'Production Log'!$A$5:$A$504,"&gt;="&amp;$D$3,'Production Log'!$A$5:$A$504,"&lt;="&amp;$D$4))</f>
        <v/>
      </c>
      <c r="G26" s="18" t="str">
        <f aca="false">IF($A26="","",SUMIFS('Production Log'!$L$5:$L$504,'Production Log'!$C$5:$C$504,$A26,'Production Log'!$A$5:$A$504,"&gt;="&amp;$D$3,'Production Log'!$A$5:$A$504,"&lt;="&amp;$D$4))</f>
        <v/>
      </c>
      <c r="H26" s="13" t="str">
        <f aca="false">IF($A26="","",IF(B26=0,"",C26/B26))</f>
        <v/>
      </c>
      <c r="I26" s="13" t="str">
        <f aca="false">IF($A26="","",IF(C26=0,"",G26/C26))</f>
        <v/>
      </c>
      <c r="J26" s="13" t="str">
        <f aca="false">IF($A26="","",IF(E26=0,"",F26/E26))</f>
        <v/>
      </c>
      <c r="K26" s="13" t="str">
        <f aca="false">IF(OR(H26="",I26="",J26=""),"",H26*I26*J26)</f>
        <v/>
      </c>
      <c r="L26" s="19" t="str">
        <f aca="false">IF(K26="","",K26-$B$5)</f>
        <v/>
      </c>
    </row>
    <row r="27" customFormat="false" ht="15" hidden="false" customHeight="false" outlineLevel="0" collapsed="false">
      <c r="A27" s="14" t="str">
        <f aca="false">IF(Setup!A23="","",Setup!A23)</f>
        <v/>
      </c>
      <c r="B27" s="18" t="str">
        <f aca="false">IF($A27="","",SUMIFS('Production Log'!$I$5:$I$504,'Production Log'!$C$5:$C$504,$A27,'Production Log'!$A$5:$A$504,"&gt;="&amp;$D$3,'Production Log'!$A$5:$A$504,"&lt;="&amp;$D$4))</f>
        <v/>
      </c>
      <c r="C27" s="18" t="str">
        <f aca="false">IF($A27="","",SUMIFS('Production Log'!$J$5:$J$504,'Production Log'!$C$5:$C$504,$A27,'Production Log'!$A$5:$A$504,"&gt;="&amp;$D$3,'Production Log'!$A$5:$A$504,"&lt;="&amp;$D$4))</f>
        <v/>
      </c>
      <c r="D27" s="18" t="str">
        <f aca="false">IF($A27="","",SUMIFS('Production Log'!$F$5:$F$504,'Production Log'!$C$5:$C$504,$A27,'Production Log'!$A$5:$A$504,"&gt;="&amp;$D$3,'Production Log'!$A$5:$A$504,"&lt;="&amp;$D$4))</f>
        <v/>
      </c>
      <c r="E27" s="18" t="str">
        <f aca="false">IF($A27="","",SUMIFS('Production Log'!$G$5:$G$504,'Production Log'!$C$5:$C$504,$A27,'Production Log'!$A$5:$A$504,"&gt;="&amp;$D$3,'Production Log'!$A$5:$A$504,"&lt;="&amp;$D$4))</f>
        <v/>
      </c>
      <c r="F27" s="18" t="str">
        <f aca="false">IF($A27="","",SUMIFS('Production Log'!$M$5:$M$504,'Production Log'!$C$5:$C$504,$A27,'Production Log'!$A$5:$A$504,"&gt;="&amp;$D$3,'Production Log'!$A$5:$A$504,"&lt;="&amp;$D$4))</f>
        <v/>
      </c>
      <c r="G27" s="18" t="str">
        <f aca="false">IF($A27="","",SUMIFS('Production Log'!$L$5:$L$504,'Production Log'!$C$5:$C$504,$A27,'Production Log'!$A$5:$A$504,"&gt;="&amp;$D$3,'Production Log'!$A$5:$A$504,"&lt;="&amp;$D$4))</f>
        <v/>
      </c>
      <c r="H27" s="13" t="str">
        <f aca="false">IF($A27="","",IF(B27=0,"",C27/B27))</f>
        <v/>
      </c>
      <c r="I27" s="13" t="str">
        <f aca="false">IF($A27="","",IF(C27=0,"",G27/C27))</f>
        <v/>
      </c>
      <c r="J27" s="13" t="str">
        <f aca="false">IF($A27="","",IF(E27=0,"",F27/E27))</f>
        <v/>
      </c>
      <c r="K27" s="13" t="str">
        <f aca="false">IF(OR(H27="",I27="",J27=""),"",H27*I27*J27)</f>
        <v/>
      </c>
      <c r="L27" s="19" t="str">
        <f aca="false">IF(K27="","",K27-$B$5)</f>
        <v/>
      </c>
    </row>
    <row r="28" customFormat="false" ht="15" hidden="false" customHeight="false" outlineLevel="0" collapsed="false">
      <c r="A28" s="14" t="str">
        <f aca="false">IF(Setup!A24="","",Setup!A24)</f>
        <v/>
      </c>
      <c r="B28" s="18" t="str">
        <f aca="false">IF($A28="","",SUMIFS('Production Log'!$I$5:$I$504,'Production Log'!$C$5:$C$504,$A28,'Production Log'!$A$5:$A$504,"&gt;="&amp;$D$3,'Production Log'!$A$5:$A$504,"&lt;="&amp;$D$4))</f>
        <v/>
      </c>
      <c r="C28" s="18" t="str">
        <f aca="false">IF($A28="","",SUMIFS('Production Log'!$J$5:$J$504,'Production Log'!$C$5:$C$504,$A28,'Production Log'!$A$5:$A$504,"&gt;="&amp;$D$3,'Production Log'!$A$5:$A$504,"&lt;="&amp;$D$4))</f>
        <v/>
      </c>
      <c r="D28" s="18" t="str">
        <f aca="false">IF($A28="","",SUMIFS('Production Log'!$F$5:$F$504,'Production Log'!$C$5:$C$504,$A28,'Production Log'!$A$5:$A$504,"&gt;="&amp;$D$3,'Production Log'!$A$5:$A$504,"&lt;="&amp;$D$4))</f>
        <v/>
      </c>
      <c r="E28" s="18" t="str">
        <f aca="false">IF($A28="","",SUMIFS('Production Log'!$G$5:$G$504,'Production Log'!$C$5:$C$504,$A28,'Production Log'!$A$5:$A$504,"&gt;="&amp;$D$3,'Production Log'!$A$5:$A$504,"&lt;="&amp;$D$4))</f>
        <v/>
      </c>
      <c r="F28" s="18" t="str">
        <f aca="false">IF($A28="","",SUMIFS('Production Log'!$M$5:$M$504,'Production Log'!$C$5:$C$504,$A28,'Production Log'!$A$5:$A$504,"&gt;="&amp;$D$3,'Production Log'!$A$5:$A$504,"&lt;="&amp;$D$4))</f>
        <v/>
      </c>
      <c r="G28" s="18" t="str">
        <f aca="false">IF($A28="","",SUMIFS('Production Log'!$L$5:$L$504,'Production Log'!$C$5:$C$504,$A28,'Production Log'!$A$5:$A$504,"&gt;="&amp;$D$3,'Production Log'!$A$5:$A$504,"&lt;="&amp;$D$4))</f>
        <v/>
      </c>
      <c r="H28" s="13" t="str">
        <f aca="false">IF($A28="","",IF(B28=0,"",C28/B28))</f>
        <v/>
      </c>
      <c r="I28" s="13" t="str">
        <f aca="false">IF($A28="","",IF(C28=0,"",G28/C28))</f>
        <v/>
      </c>
      <c r="J28" s="13" t="str">
        <f aca="false">IF($A28="","",IF(E28=0,"",F28/E28))</f>
        <v/>
      </c>
      <c r="K28" s="13" t="str">
        <f aca="false">IF(OR(H28="",I28="",J28=""),"",H28*I28*J28)</f>
        <v/>
      </c>
      <c r="L28" s="19" t="str">
        <f aca="false">IF(K28="","",K28-$B$5)</f>
        <v/>
      </c>
    </row>
    <row r="29" customFormat="false" ht="15" hidden="false" customHeight="false" outlineLevel="0" collapsed="false">
      <c r="A29" s="20" t="s">
        <v>59</v>
      </c>
      <c r="B29" s="21" t="n">
        <f aca="false">SUM(B9:B28)</f>
        <v>2640</v>
      </c>
      <c r="C29" s="21" t="n">
        <f aca="false">SUM(C9:C28)</f>
        <v>2355</v>
      </c>
      <c r="D29" s="21" t="n">
        <f aca="false">SUM(D9:D28)</f>
        <v>285</v>
      </c>
      <c r="E29" s="21" t="n">
        <f aca="false">SUM(E9:E28)</f>
        <v>21450</v>
      </c>
      <c r="F29" s="21" t="n">
        <f aca="false">SUM(F9:F28)</f>
        <v>21147</v>
      </c>
      <c r="G29" s="21" t="n">
        <f aca="false">SUM(G9:G28)</f>
        <v>2125.83333333333</v>
      </c>
      <c r="H29" s="22" t="n">
        <f aca="false">IF(B29=0,"",C29/B29)</f>
        <v>0.892045454545455</v>
      </c>
      <c r="I29" s="22" t="n">
        <f aca="false">IF(C29=0,"",G29/C29)</f>
        <v>0.902689313517339</v>
      </c>
      <c r="J29" s="22" t="n">
        <f aca="false">IF(E29=0,"",F29/E29)</f>
        <v>0.985874125874126</v>
      </c>
      <c r="K29" s="22" t="n">
        <f aca="false">IF(OR(H29="",I29="",J29=""),"",H29*I29*J29)</f>
        <v>0.793865181535636</v>
      </c>
      <c r="L29" s="23" t="n">
        <f aca="false">IF(K29="","",K29-$B$5)</f>
        <v>-0.056134818464364</v>
      </c>
    </row>
  </sheetData>
  <conditionalFormatting sqref="K9:K29">
    <cfRule type="expression" priority="2" aboveAverage="0" equalAverage="0" bottom="0" percent="0" rank="0" text="" dxfId="0">
      <formula>AND(ISNUMBER(K9),K9&gt;=$B$5)</formula>
    </cfRule>
    <cfRule type="expression" priority="3" aboveAverage="0" equalAverage="0" bottom="0" percent="0" rank="0" text="" dxfId="1">
      <formula>AND(ISNUMBER(K9),K9&gt;=0.6,K9&lt;$B$5)</formula>
    </cfRule>
    <cfRule type="expression" priority="4" aboveAverage="0" equalAverage="0" bottom="0" percent="0" rank="0" text="" dxfId="2">
      <formula>AND(ISNUMBER(K9),K9&lt;0.6)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2026-10-10T19:09:03Z</dcterms:created>
  <dc:creator>openpyxl</dc:creator>
  <dc:description/>
  <dc:language>en-US</dc:language>
  <cp:lastModifiedBy/>
  <dcterms:modified xsi:type="dcterms:W3CDTF">2026-10-10T14:09:11Z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